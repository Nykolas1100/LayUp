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EDD4AC-49CD-4974-99F2-D15A894EAF59}" xr6:coauthVersionLast="45" xr6:coauthVersionMax="45" xr10:uidLastSave="{00000000-0000-0000-0000-000000000000}"/>
  <bookViews>
    <workbookView xWindow="380" yWindow="380" windowWidth="28800" windowHeight="15460" firstSheet="2" activeTab="6"/>
  </bookViews>
  <sheets>
    <sheet name="ch7tu1" sheetId="1" r:id="rId1"/>
    <sheet name="ch7tu2" sheetId="2" r:id="rId2"/>
    <sheet name="ch7tu3" sheetId="3" r:id="rId3"/>
    <sheet name="ch7tu4" sheetId="4" r:id="rId4"/>
    <sheet name="ch7tu5" sheetId="5" r:id="rId5"/>
    <sheet name="ch7tu6" sheetId="6" r:id="rId6"/>
    <sheet name="Homework 11" sheetId="7" r:id="rId7"/>
    <sheet name="Data for HW11" sheetId="8" r:id="rId8"/>
    <sheet name="ch7pr2" sheetId="9" r:id="rId9"/>
    <sheet name="ch7pr3" sheetId="10" r:id="rId10"/>
    <sheet name="Sheet2" sheetId="11" r:id="rId11"/>
    <sheet name="Sheet3" sheetId="12" r:id="rId12"/>
    <sheet name="Sheet4" sheetId="13" r:id="rId13"/>
    <sheet name="Sheet5" sheetId="14" r:id="rId14"/>
    <sheet name="Sheet6" sheetId="15" r:id="rId15"/>
    <sheet name="Sheet7" sheetId="16" r:id="rId16"/>
    <sheet name="Sheet8" sheetId="17" r:id="rId17"/>
    <sheet name="Sheet9" sheetId="18" r:id="rId18"/>
    <sheet name="Sheet10" sheetId="19" r:id="rId19"/>
    <sheet name="Sheet11" sheetId="20" r:id="rId20"/>
    <sheet name="Sheet12" sheetId="21" r:id="rId21"/>
    <sheet name="Sheet13" sheetId="22" r:id="rId22"/>
    <sheet name="Sheet14" sheetId="23" r:id="rId23"/>
    <sheet name="Sheet15" sheetId="24" r:id="rId24"/>
    <sheet name="Sheet16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2" i="1" l="1"/>
  <c r="I19" i="1"/>
  <c r="E98" i="2"/>
  <c r="E97" i="2"/>
  <c r="E96" i="2"/>
  <c r="E95" i="2"/>
  <c r="E94" i="2"/>
  <c r="E93" i="2"/>
  <c r="E92" i="2"/>
  <c r="E91" i="2"/>
  <c r="E90" i="2"/>
  <c r="E89" i="2"/>
  <c r="D95" i="2"/>
  <c r="D93" i="2"/>
  <c r="D98" i="2"/>
  <c r="D97" i="2"/>
  <c r="D96" i="2"/>
  <c r="D94" i="2"/>
  <c r="D92" i="2"/>
  <c r="D91" i="2"/>
  <c r="D90" i="2"/>
  <c r="D89" i="2"/>
  <c r="D63" i="2"/>
  <c r="D19" i="2"/>
  <c r="D21" i="2" s="1"/>
  <c r="E86" i="4" a="1"/>
  <c r="E86" i="4" s="1"/>
  <c r="D134" i="4"/>
  <c r="D129" i="4"/>
  <c r="D53" i="4"/>
  <c r="D52" i="4"/>
  <c r="C32" i="4"/>
  <c r="C31" i="4"/>
  <c r="B12" i="6"/>
  <c r="C12" i="6" s="1"/>
  <c r="C11" i="6"/>
  <c r="E90" i="4" l="1"/>
  <c r="E87" i="4"/>
  <c r="B13" i="6"/>
  <c r="E89" i="4"/>
  <c r="E88" i="4"/>
  <c r="C13" i="6" l="1"/>
  <c r="B14" i="6"/>
  <c r="B15" i="6" l="1"/>
  <c r="C14" i="6"/>
  <c r="B16" i="6" l="1"/>
  <c r="C15" i="6"/>
  <c r="C16" i="6" l="1"/>
  <c r="B17" i="6"/>
  <c r="C17" i="6" l="1"/>
  <c r="B18" i="6"/>
  <c r="C18" i="6" l="1"/>
  <c r="B19" i="6"/>
  <c r="B20" i="6" l="1"/>
  <c r="C19" i="6"/>
  <c r="B21" i="6" l="1"/>
  <c r="C20" i="6"/>
  <c r="B22" i="6" l="1"/>
  <c r="C21" i="6"/>
  <c r="B23" i="6" l="1"/>
  <c r="C22" i="6"/>
  <c r="B24" i="6" l="1"/>
  <c r="C23" i="6"/>
  <c r="B25" i="6" l="1"/>
  <c r="C24" i="6"/>
  <c r="C25" i="6" l="1"/>
  <c r="B26" i="6"/>
  <c r="B27" i="6" l="1"/>
  <c r="C26" i="6"/>
  <c r="C27" i="6" l="1"/>
  <c r="B28" i="6"/>
  <c r="B29" i="6" l="1"/>
  <c r="C28" i="6"/>
  <c r="C29" i="6" l="1"/>
  <c r="B30" i="6"/>
  <c r="B31" i="6" l="1"/>
  <c r="C30" i="6"/>
  <c r="C31" i="6" l="1"/>
  <c r="B32" i="6"/>
  <c r="C32" i="6" l="1"/>
  <c r="B33" i="6"/>
  <c r="C33" i="6" l="1"/>
  <c r="B34" i="6"/>
  <c r="B35" i="6" l="1"/>
  <c r="C34" i="6"/>
  <c r="B36" i="6" l="1"/>
  <c r="C36" i="6" s="1"/>
  <c r="C35" i="6"/>
</calcChain>
</file>

<file path=xl/sharedStrings.xml><?xml version="1.0" encoding="utf-8"?>
<sst xmlns="http://schemas.openxmlformats.org/spreadsheetml/2006/main" count="513" uniqueCount="424">
  <si>
    <t>Chapter 7: Tutorial 1</t>
  </si>
  <si>
    <r>
      <t xml:space="preserve">                     </t>
    </r>
    <r>
      <rPr>
        <b/>
        <u/>
        <sz val="10"/>
        <rFont val="Arial"/>
        <family val="2"/>
      </rPr>
      <t xml:space="preserve"> Measuring Central Tendencies</t>
    </r>
  </si>
  <si>
    <t xml:space="preserve">  Sec. 7.2</t>
  </si>
  <si>
    <t>Besides taking the average, one can use other measures to calculate central tendency of</t>
  </si>
  <si>
    <t xml:space="preserve">data.  </t>
  </si>
  <si>
    <r>
      <t>Median:</t>
    </r>
    <r>
      <rPr>
        <sz val="10"/>
        <rFont val="Arial"/>
      </rPr>
      <t xml:space="preserve">  The median of a data set means that 50% of the elements in the data set are</t>
    </r>
  </si>
  <si>
    <t>above the median and 50% are below.  To calculate the median (which we do in a later</t>
  </si>
  <si>
    <t>tutorial), you order the data set, and simply pick the data point in the middle.</t>
  </si>
  <si>
    <t>If there are an even number of data points, you pick the two in the middle, and take</t>
  </si>
  <si>
    <t>their average.</t>
  </si>
  <si>
    <r>
      <t>Mode:</t>
    </r>
    <r>
      <rPr>
        <sz val="10"/>
        <rFont val="Arial"/>
      </rPr>
      <t xml:space="preserve">  This is simple - the data point in the data set that occurs most often.</t>
    </r>
  </si>
  <si>
    <t>How is the mean different from the median?  Let's look at the following table of salaries for the</t>
  </si>
  <si>
    <t>players of the Baltimore Orioles baseball team (Source: USA Today, April 5, 1994 )</t>
  </si>
  <si>
    <t>Player</t>
  </si>
  <si>
    <t>Position</t>
  </si>
  <si>
    <t>Salary</t>
  </si>
  <si>
    <t>Code</t>
  </si>
  <si>
    <t>Rafael Palmeiro</t>
  </si>
  <si>
    <t>1b</t>
  </si>
  <si>
    <t>H</t>
  </si>
  <si>
    <r>
      <t xml:space="preserve">The </t>
    </r>
    <r>
      <rPr>
        <b/>
        <sz val="10"/>
        <rFont val="Arial"/>
      </rPr>
      <t>average</t>
    </r>
    <r>
      <rPr>
        <sz val="10"/>
        <rFont val="Arial"/>
      </rPr>
      <t xml:space="preserve"> salary for  </t>
    </r>
  </si>
  <si>
    <t>Cal Ripken</t>
  </si>
  <si>
    <t>ss</t>
  </si>
  <si>
    <t>players is:$</t>
  </si>
  <si>
    <t>Mike Devereaux</t>
  </si>
  <si>
    <t>of</t>
  </si>
  <si>
    <t>G</t>
  </si>
  <si>
    <t>Brady Anderson</t>
  </si>
  <si>
    <r>
      <t xml:space="preserve">However, the </t>
    </r>
    <r>
      <rPr>
        <b/>
        <sz val="10"/>
        <rFont val="Arial"/>
      </rPr>
      <t>median</t>
    </r>
  </si>
  <si>
    <t>Ben McDonalo</t>
  </si>
  <si>
    <t>p</t>
  </si>
  <si>
    <t>F</t>
  </si>
  <si>
    <t>salary is:   $</t>
  </si>
  <si>
    <t>Chris Sabo</t>
  </si>
  <si>
    <t>3b</t>
  </si>
  <si>
    <t>Chris Hoiles</t>
  </si>
  <si>
    <t>c</t>
  </si>
  <si>
    <t>Harold Baines</t>
  </si>
  <si>
    <t>E</t>
  </si>
  <si>
    <t>Lee Smith</t>
  </si>
  <si>
    <t>Mark McLemore</t>
  </si>
  <si>
    <t>2b</t>
  </si>
  <si>
    <t>Mike Mussina</t>
  </si>
  <si>
    <t>D</t>
  </si>
  <si>
    <t>Lonnie Smith</t>
  </si>
  <si>
    <t>Jamie Moyer</t>
  </si>
  <si>
    <t>Tim Hulett</t>
  </si>
  <si>
    <t>if</t>
  </si>
  <si>
    <t>C</t>
  </si>
  <si>
    <t>Mark Eichhorn</t>
  </si>
  <si>
    <t>Leo Gomez</t>
  </si>
  <si>
    <t>Alan Mills</t>
  </si>
  <si>
    <t>Mark Wilhamson</t>
  </si>
  <si>
    <t>B</t>
  </si>
  <si>
    <t>Jim Poole</t>
  </si>
  <si>
    <t>Arthur Rhodes</t>
  </si>
  <si>
    <t>Jeff Tackett</t>
  </si>
  <si>
    <t>A</t>
  </si>
  <si>
    <t>Jeffrey Hammonds</t>
  </si>
  <si>
    <t>Jack Voigt</t>
  </si>
  <si>
    <t>Damon Buford</t>
  </si>
  <si>
    <t>Brad Pennington</t>
  </si>
  <si>
    <t>Pauf Carey</t>
  </si>
  <si>
    <t>if/of (DL)</t>
  </si>
  <si>
    <t>Manny Alexander</t>
  </si>
  <si>
    <t>ss (DL)</t>
  </si>
  <si>
    <t>In order to make sense of the data, we arranged the salaries into ranges and coded</t>
  </si>
  <si>
    <t>each range with a letter of the alphabet.</t>
  </si>
  <si>
    <t>Therefore,  0-200000 was code A, 200001-999999 was coded B and so on.</t>
  </si>
  <si>
    <t>The following table summarizes the number of occurrences for each letter code:</t>
  </si>
  <si>
    <t>Here are some questions to answer:</t>
  </si>
  <si>
    <t xml:space="preserve">(1)  Do the median and the mean necessarily coincide?  </t>
  </si>
  <si>
    <t>(2)  Can you give a reason why the average and the median are so far apart?</t>
  </si>
  <si>
    <t>(3)  If the name of one of these players is selected at random, what is the probability that he would</t>
  </si>
  <si>
    <t>earn a million dollars or above?</t>
  </si>
  <si>
    <t>(4)  What is the mode of the data set?  Is it true that more than 50 percent of players make that salary?</t>
  </si>
  <si>
    <t>Chapter 7: Tutorial 2</t>
  </si>
  <si>
    <t>Calculating Binomial &amp; Normal Probabilities</t>
  </si>
  <si>
    <t xml:space="preserve">     Sec. 7.2, 7.5</t>
  </si>
  <si>
    <t>Calculating Binomial Probabilities</t>
  </si>
  <si>
    <t>These types of calculations are easy using Excel's built-in statistical functions.</t>
  </si>
  <si>
    <t>Example:</t>
  </si>
  <si>
    <t xml:space="preserve">  Let's look at Example 2 from Sec. 7.2:  58% of all married women</t>
  </si>
  <si>
    <t>in the US are in the work force. Five married women are selected at random.</t>
  </si>
  <si>
    <t>Find the probability that at least one of them is in the work force.</t>
  </si>
  <si>
    <t>Solution:</t>
  </si>
  <si>
    <t>Note that Pr(X&gt;=1) = 1 - Pr(X=0).  That is, the probability that at</t>
  </si>
  <si>
    <t>least one woman works is 1 - Pr(none of the five women works).</t>
  </si>
  <si>
    <t>Here,  p = 0.58 and n=5.  We need to calculate the probability</t>
  </si>
  <si>
    <t>that none of the women work.  This is accomplished by calling</t>
  </si>
  <si>
    <t>the BINOMDIST function in Excel:</t>
  </si>
  <si>
    <t>Pr(X=0)</t>
  </si>
  <si>
    <t>Pr(X&gt;=1)</t>
  </si>
  <si>
    <t>Click on the respective cells to see how the formulas are entered.</t>
  </si>
  <si>
    <t>The BINOMDIST function is called as follows:</t>
  </si>
  <si>
    <t xml:space="preserve">  =binomdist(num_of_successes,num_of_trials,prob_of_success,</t>
  </si>
  <si>
    <t xml:space="preserve"> </t>
  </si>
  <si>
    <t xml:space="preserve">   cumulative?)</t>
  </si>
  <si>
    <t>In this example, the parameters are as follows:</t>
  </si>
  <si>
    <t xml:space="preserve">num_of_successes  </t>
  </si>
  <si>
    <t>num_of_trials</t>
  </si>
  <si>
    <t>prob_of_success</t>
  </si>
  <si>
    <t>cumulative?</t>
  </si>
  <si>
    <t xml:space="preserve">   the last parameter asks if you want the Pr(X &lt;= num).  </t>
  </si>
  <si>
    <t xml:space="preserve">   in this case that is FALSE.</t>
  </si>
  <si>
    <t>U Try It</t>
  </si>
  <si>
    <t xml:space="preserve"> Change the probability 0.4 in the above example.  Recalculate</t>
  </si>
  <si>
    <t xml:space="preserve"> Pr(X&gt;=1).  Compare with the original answer and comment on the</t>
  </si>
  <si>
    <t>difference.</t>
  </si>
  <si>
    <t>Problem:</t>
  </si>
  <si>
    <t>For the problem in the original example,  calculate the probability</t>
  </si>
  <si>
    <r>
      <t xml:space="preserve">that at most 2 women are in the work force using the </t>
    </r>
    <r>
      <rPr>
        <sz val="10"/>
        <color indexed="12"/>
        <rFont val="Arial"/>
        <family val="2"/>
      </rPr>
      <t>binomdist</t>
    </r>
  </si>
  <si>
    <t>function.  Compare your answer with work by hand.</t>
  </si>
  <si>
    <t>(Note: in this case, you  set the cumulative option to TRUE.)</t>
  </si>
  <si>
    <t>Problems:</t>
  </si>
  <si>
    <t>Try problems 1-13, 21-24 in Sec. 7.2 using the BINOMDIST function.</t>
  </si>
  <si>
    <t>Calculating Normal Probabilities</t>
  </si>
  <si>
    <t xml:space="preserve">As in the previous discussion, calculating probabilities arising from the normal </t>
  </si>
  <si>
    <t>distribution is also simple.</t>
  </si>
  <si>
    <t xml:space="preserve">Suppose that a set of test scores are normally distributed with </t>
  </si>
  <si>
    <t>mean 75 and standard deviation 8.  What percentage of the scores</t>
  </si>
  <si>
    <t xml:space="preserve">are less than 83? </t>
  </si>
  <si>
    <t>To answer this, invoke the NORMDIST function:</t>
  </si>
  <si>
    <t>Pr(X &lt;=83):</t>
  </si>
  <si>
    <t xml:space="preserve">   84% scored below 83.</t>
  </si>
  <si>
    <t>Click on the cells to see how the formula is entered.</t>
  </si>
  <si>
    <t>value of the number - x</t>
  </si>
  <si>
    <t>mean</t>
  </si>
  <si>
    <t>standard deviation</t>
  </si>
  <si>
    <t xml:space="preserve">   In this case that is TRUE  If this value is set to FALSE,.</t>
  </si>
  <si>
    <t xml:space="preserve">   the value of the "bell curve" at x is returned.</t>
  </si>
  <si>
    <t>Question:</t>
  </si>
  <si>
    <t>From your knowledge of the mean and standard deviation, how can</t>
  </si>
  <si>
    <t>you check the answer above? (Do not use tables!)</t>
  </si>
  <si>
    <t>For the example above, calculate the percentage of scores above 80.</t>
  </si>
  <si>
    <t>Graphs</t>
  </si>
  <si>
    <t>Graphs of the normal curve can be easily generated:</t>
  </si>
  <si>
    <t>Example :</t>
  </si>
  <si>
    <t>Compare the graph of the normal curve with mu=1 and sigma = 0.5</t>
  </si>
  <si>
    <t>with that of the normal curve with mu =1 and sigma  = 1.0.</t>
  </si>
  <si>
    <t>x</t>
  </si>
  <si>
    <t>sig=0.5</t>
  </si>
  <si>
    <t>sig=1.0</t>
  </si>
  <si>
    <t>This table was generated</t>
  </si>
  <si>
    <t>with the NORMDIST</t>
  </si>
  <si>
    <t>function.  Click on the</t>
  </si>
  <si>
    <t>individual cells to see how</t>
  </si>
  <si>
    <t>the formula is entered.</t>
  </si>
  <si>
    <t>The cumulative option is</t>
  </si>
  <si>
    <t>set to FALSE (why?)</t>
  </si>
  <si>
    <t>Call on ChartWizard to draw the graph - the X-Y Scatter option with</t>
  </si>
  <si>
    <t>graph option #6  was used to create this.  Do NOT use the LINE</t>
  </si>
  <si>
    <t>option!</t>
  </si>
  <si>
    <t>Note that the graph with the larger sigma has a greater spread.</t>
  </si>
  <si>
    <t>Try #37-39 in Section 7.2.</t>
  </si>
  <si>
    <t>Chapter 7 : Tutorial 3</t>
  </si>
  <si>
    <t>Simulation of Binomial Distributions</t>
  </si>
  <si>
    <t>Sec. 7.2</t>
  </si>
  <si>
    <t>Note:  Before starting this tutorial, make sure the Data Analysis Tool is installed.  You</t>
  </si>
  <si>
    <t>can check this by clicking on the TOOLS menu and seeing if there is a Data Analysis</t>
  </si>
  <si>
    <t>option.  If it is not installed, your system administrator will be able to install it for you,</t>
  </si>
  <si>
    <t>using the setup program and the program disks.</t>
  </si>
  <si>
    <t>Suppose it is known that 5% of manufactured microchips are defective.  You</t>
  </si>
  <si>
    <t>are given 15 different batches of 100 microchips to test.  Run a simulation</t>
  </si>
  <si>
    <t>of how many defective microchips you would find in each batch.</t>
  </si>
  <si>
    <t>Each batch of 100 microchips represents a binomial experiment.  The parameters</t>
  </si>
  <si>
    <t xml:space="preserve">are p=0.05 and n = 100 (why?).  Since we don't happen to have handy a lot of 100 </t>
  </si>
  <si>
    <t>microchips, we will ask Excel to simulate the experiment and see how many</t>
  </si>
  <si>
    <t>defectives it finds.  To do this, go to the TOOLS menu, and click on the Data</t>
  </si>
  <si>
    <t>Analysis Option.  Select the Random Number Generation  tool.</t>
  </si>
  <si>
    <t>In the dialog box, you will have to enter various values.  Enter 1 for the number</t>
  </si>
  <si>
    <t>of variables (we are dealing only with microchips). You want only 1 experiment,</t>
  </si>
  <si>
    <t xml:space="preserve">so enter 1 for the number of random numbers. </t>
  </si>
  <si>
    <t>For the distribution, select "Binomial".  Another dialog box will appear asking you</t>
  </si>
  <si>
    <t>to enter the parameters.</t>
  </si>
  <si>
    <t>Enter the output options  - I have simply entered an output range of one cell,  C28.</t>
  </si>
  <si>
    <t># defective</t>
  </si>
  <si>
    <t>So for this single batch of 100 microchips, the computer found 4 defectives.</t>
  </si>
  <si>
    <t xml:space="preserve">Note that the F9 key does not recalculate for another simulation of the </t>
  </si>
  <si>
    <t>Data Analysis tool.</t>
  </si>
  <si>
    <t>Our original problem was to test 15 batches of 100 microchips, not just one.</t>
  </si>
  <si>
    <t>But if we can generate one random number we can definitely generate fifteen</t>
  </si>
  <si>
    <t xml:space="preserve">random numbers, each representing a different batch.  </t>
  </si>
  <si>
    <t>Before we do our calculations, make sure you understand what we are trying</t>
  </si>
  <si>
    <t>to accomplish.  Quiz yourself on the following points:</t>
  </si>
  <si>
    <t>(1) Why is n=100 (and not 15)?</t>
  </si>
  <si>
    <t>(2) If the probability is 0.05 of  finding a defective, and you have 100 chips,</t>
  </si>
  <si>
    <t>intuitively, how many defectives would you hope to find?</t>
  </si>
  <si>
    <t xml:space="preserve">Fill in the table below to get the number of defectives for the fifteen </t>
  </si>
  <si>
    <t xml:space="preserve">batches.  Use the Data Analysis / Random Number Generation Tool </t>
  </si>
  <si>
    <t>to generate the number of defectives.</t>
  </si>
  <si>
    <t>Batch No.</t>
  </si>
  <si>
    <t># defectives</t>
  </si>
  <si>
    <r>
      <t>Question:</t>
    </r>
    <r>
      <rPr>
        <sz val="10"/>
        <rFont val="Arial"/>
      </rPr>
      <t xml:space="preserve">   How would you quantitatively summarize the results of the above </t>
    </r>
  </si>
  <si>
    <t>simulation?  (Hint: what is the average good for?)</t>
  </si>
  <si>
    <t>Make a column chart of the frequency of defectives.  What</t>
  </si>
  <si>
    <t>conclusions can you draw from this chart?</t>
  </si>
  <si>
    <t>Chapter 7: Tutorial 4</t>
  </si>
  <si>
    <t>Using statistical functions in Excel</t>
  </si>
  <si>
    <t>Sec. 7.3,7.4</t>
  </si>
  <si>
    <t>Excel's built-in statistical functions will automatically calculate the average, median, mode,</t>
  </si>
  <si>
    <t>and standard deviation. These functions can be used to analyze large sets of data for which</t>
  </si>
  <si>
    <t>it would be time consuming or impossible to calculate the relevant quantities by hand.</t>
  </si>
  <si>
    <t>Calculate the average and standard deviation of the following set of test</t>
  </si>
  <si>
    <t>scores.</t>
  </si>
  <si>
    <t>Scores</t>
  </si>
  <si>
    <r>
      <t xml:space="preserve">  These calculations are quite simple;  for the average, simply enter</t>
    </r>
    <r>
      <rPr>
        <sz val="10"/>
        <color indexed="12"/>
        <rFont val="Arial"/>
        <family val="2"/>
      </rPr>
      <t xml:space="preserve"> </t>
    </r>
  </si>
  <si>
    <t xml:space="preserve">   =average($c$11:$c$20)</t>
  </si>
  <si>
    <r>
      <t>For the standard deviation, simply enter</t>
    </r>
    <r>
      <rPr>
        <sz val="10"/>
        <color indexed="12"/>
        <rFont val="Arial"/>
        <family val="2"/>
      </rPr>
      <t xml:space="preserve"> = stdevp($c$11:$c$20)</t>
    </r>
  </si>
  <si>
    <t>Note that STDEVP is the standard deviation formula for the population -</t>
  </si>
  <si>
    <t>since these test scores are for the entire population, we must use STDEVP.</t>
  </si>
  <si>
    <t>The results are summarized below:</t>
  </si>
  <si>
    <t>Average</t>
  </si>
  <si>
    <t>Std. dev</t>
  </si>
  <si>
    <t>U Try It:</t>
  </si>
  <si>
    <t xml:space="preserve">Change a few of the test scores to include some higher scores.  What </t>
  </si>
  <si>
    <t xml:space="preserve">happens to the average?  </t>
  </si>
  <si>
    <t>(Make a new table, leaving the original intact)</t>
  </si>
  <si>
    <t>Change the test scores so as to obtain a lower standard deviation.</t>
  </si>
  <si>
    <t>What does this tell you about the distribution of the test scores?</t>
  </si>
  <si>
    <t>Try #21, 22 in Sec. 7.4</t>
  </si>
  <si>
    <t>Standard deviation of a sample:</t>
  </si>
  <si>
    <t>To calculate the standard deviation of a  given sample, use the STDEV function</t>
  </si>
  <si>
    <t>instead.</t>
  </si>
  <si>
    <r>
      <t xml:space="preserve">Suppose the table in c11:c20 was a </t>
    </r>
    <r>
      <rPr>
        <i/>
        <sz val="10"/>
        <rFont val="Arial"/>
      </rPr>
      <t>sample</t>
    </r>
    <r>
      <rPr>
        <sz val="10"/>
        <rFont val="Arial"/>
      </rPr>
      <t xml:space="preserve"> of ten test scores.</t>
    </r>
  </si>
  <si>
    <t xml:space="preserve">Recall that the difference stems from taking N-1 rather than N in the </t>
  </si>
  <si>
    <t>formula calculation.</t>
  </si>
  <si>
    <t>Frequency distribution of a data set:</t>
  </si>
  <si>
    <t>A useful way to analyze large sets of data is to break them up to suitable ranges</t>
  </si>
  <si>
    <t>and finding the frequency of numbers in the data set which fall in a particular range.</t>
  </si>
  <si>
    <t>Suppose a class of ten students have the following test scores.  The</t>
  </si>
  <si>
    <t>instructor wants to know how many are in the range 90-100, 80-89,</t>
  </si>
  <si>
    <t>70-79,60-69, 0-59.</t>
  </si>
  <si>
    <t>Test Scores</t>
  </si>
  <si>
    <t>This can be accomplished by the FREQUENCY function.</t>
  </si>
  <si>
    <t>The different groups of scores are entered in a RANGE column (in gray).</t>
  </si>
  <si>
    <t>and the frequency column adjacent to it is the output.</t>
  </si>
  <si>
    <t>The Descriptive Range heading is for informative purposes only.</t>
  </si>
  <si>
    <t>Descriptive Range</t>
  </si>
  <si>
    <t>Range</t>
  </si>
  <si>
    <t>Frequency</t>
  </si>
  <si>
    <t>0-59</t>
  </si>
  <si>
    <t>60-69</t>
  </si>
  <si>
    <t>70-79</t>
  </si>
  <si>
    <t>80-89</t>
  </si>
  <si>
    <t>90-100</t>
  </si>
  <si>
    <t>The frequency function is an array formula.  To use it, you must</t>
  </si>
  <si>
    <t>(1)  select the yellow colored range of cells under the</t>
  </si>
  <si>
    <t xml:space="preserve">     frequency heading</t>
  </si>
  <si>
    <r>
      <t xml:space="preserve">(2) enter the array formula </t>
    </r>
    <r>
      <rPr>
        <sz val="10"/>
        <color indexed="12"/>
        <rFont val="Arial"/>
        <family val="2"/>
      </rPr>
      <t xml:space="preserve"> = frequency(d68:d77,d86:d89)</t>
    </r>
  </si>
  <si>
    <t xml:space="preserve">     and  hit &lt;CTRL&gt;&lt;SHIFT&gt;&lt;ENTER&gt;,</t>
  </si>
  <si>
    <t xml:space="preserve">     all at the same time</t>
  </si>
  <si>
    <t xml:space="preserve">     (for more on array formulas, see Chap. 2, tutorial 1)</t>
  </si>
  <si>
    <t xml:space="preserve">In the frequency formula, the first parameter is the set of test scores.  </t>
  </si>
  <si>
    <t>The second is the set of range data.</t>
  </si>
  <si>
    <t>Change the data for the test scores.  What happens to the</t>
  </si>
  <si>
    <t>frequency distribution?  Check your answer by hand.</t>
  </si>
  <si>
    <t>For the test data above, create a   frequency distribution</t>
  </si>
  <si>
    <t>for the following range:   0-50, 51-65,66-75,76-85,86-100</t>
  </si>
  <si>
    <t>Desc. Range</t>
  </si>
  <si>
    <t>(Fill in the rest....)</t>
  </si>
  <si>
    <t xml:space="preserve">Problem: </t>
  </si>
  <si>
    <t>Calculate the frequency distribution for the golfers' scores in Problem 6, Sec. 7.4.</t>
  </si>
  <si>
    <t xml:space="preserve">How would you select your range?  Remember that choosing the range will </t>
  </si>
  <si>
    <t>depend on the data in the problem.  Furthermore, your frequency distribution has</t>
  </si>
  <si>
    <t>to be of some value for the analysis of the data.</t>
  </si>
  <si>
    <t>Make a column graph of the frequency distribution of the test scores in the</t>
  </si>
  <si>
    <t>example.  Your headings etc. should be descriptive, so for your x-labels,</t>
  </si>
  <si>
    <t>you should use the Descriptive Range column.</t>
  </si>
  <si>
    <t>Median and Mode of a data set:</t>
  </si>
  <si>
    <t>Similarly, the median and the mode of a data set can also be calculated.</t>
  </si>
  <si>
    <t>For the test score example above, the median is given by the formula</t>
  </si>
  <si>
    <t xml:space="preserve">   =MEDIAN($C$11:$C$20)</t>
  </si>
  <si>
    <t>Median -&gt;</t>
  </si>
  <si>
    <t>The mode is given by</t>
  </si>
  <si>
    <t xml:space="preserve">   =MODE($c$11:$c$20)</t>
  </si>
  <si>
    <t>Mode -&gt;</t>
  </si>
  <si>
    <t xml:space="preserve">  Are the median and the mean the same for this data set?</t>
  </si>
  <si>
    <t xml:space="preserve">  Interpret the significance of the mode.</t>
  </si>
  <si>
    <t xml:space="preserve">Question:  </t>
  </si>
  <si>
    <t xml:space="preserve">  If you wanted to give an overall picture of the performance on</t>
  </si>
  <si>
    <t xml:space="preserve">  the test, would you use the median or the mean and why?</t>
  </si>
  <si>
    <t>Compute the median for the data in Problems 21,22 in section 7.4.</t>
  </si>
  <si>
    <t>Chapter 7: Tutorial 5</t>
  </si>
  <si>
    <t>Simulation of Normal Distributions</t>
  </si>
  <si>
    <t>Sec. 7.5</t>
  </si>
  <si>
    <t xml:space="preserve">  You are asked to test how well a soft drink machine fills an 8 ounce cup.</t>
  </si>
  <si>
    <t>It is known that the number of ounces of liquid that the machine dispenses</t>
  </si>
  <si>
    <t>is normally distributed with mean 7.75 oz. with a standard deviation of</t>
  </si>
  <si>
    <t>0.25 ounces.  Simulate the filling of 10 soft drink cups.  How many overflow?</t>
  </si>
  <si>
    <t>Each soft drink cup fill represents one experiment.  The parameters</t>
  </si>
  <si>
    <t>are mu=7.75 and sigma=0.25 (why?).  Since we don't happen to have</t>
  </si>
  <si>
    <t xml:space="preserve">soft drinks on hand,  we will ask Excel to simulate the experiment </t>
  </si>
  <si>
    <t>and see how the cup is filled.  To do this, go to the TOOLS menu, and click</t>
  </si>
  <si>
    <t>on the Data Analysis Option.  Select the Random Number Generation  tool.</t>
  </si>
  <si>
    <t>of variables (we are dealing only with soft drinks). You want only 1 experiment,</t>
  </si>
  <si>
    <t xml:space="preserve">(for now) , so enter 1 for the number of random numbers. </t>
  </si>
  <si>
    <t>For the distribution, select "Normal".  Another dialog box will appear asking you</t>
  </si>
  <si>
    <t>Enter the output options  - I have simply entered an output range of one cell,  C29.</t>
  </si>
  <si>
    <t xml:space="preserve">Amount </t>
  </si>
  <si>
    <t>(ounces)</t>
  </si>
  <si>
    <t>The original problem was to calculate how 10 cups are filled.  So we have to</t>
  </si>
  <si>
    <t>generate 10 random numbers.  You can fill in the table below:</t>
  </si>
  <si>
    <t>Cup #</t>
  </si>
  <si>
    <t>Amount filled</t>
  </si>
  <si>
    <t>How many times did the cup over+B21flow?</t>
  </si>
  <si>
    <t>Simulate the same experiment for 100 soft drink cups.  How many</t>
  </si>
  <si>
    <t>overflowed?  You can either count it up or use an "if" statement to</t>
  </si>
  <si>
    <t>figure it out automatically (see Chap.6, Tut.# 3).</t>
  </si>
  <si>
    <t xml:space="preserve">Theoretically, what is the percentage of time that the cup would </t>
  </si>
  <si>
    <t>overflow?  How does this compare with the "actual" values above?</t>
  </si>
  <si>
    <t>Chapter 7: Tutorial 6</t>
  </si>
  <si>
    <t>Binomial distribution and the normal curve</t>
  </si>
  <si>
    <t>Sec. 7.6</t>
  </si>
  <si>
    <t xml:space="preserve">An advertising agency believes that 40% of the  viewers of  a particular </t>
  </si>
  <si>
    <t xml:space="preserve"> TV commercial will buy the product advertised.</t>
  </si>
  <si>
    <t xml:space="preserve">Suppose a sample of 25 people is picked. </t>
  </si>
  <si>
    <t xml:space="preserve">Using Excel and the formula for binomial probabilities, we can  create a chart of the probability of </t>
  </si>
  <si>
    <t>the number of people buying.</t>
  </si>
  <si>
    <t>x: # who buy</t>
  </si>
  <si>
    <t>Pr(x)</t>
  </si>
  <si>
    <t xml:space="preserve">(The probabilities were calculated using the </t>
  </si>
  <si>
    <t>BINOMDIST function - see  Chapter 7, Tut. 2</t>
  </si>
  <si>
    <t>or online help.)</t>
  </si>
  <si>
    <t>Sample size is 25</t>
  </si>
  <si>
    <t>Click under the probability column to see how the formulas are entered.  The Excel</t>
  </si>
  <si>
    <t>function BINOMDIST was used to figure the probabilities  (Ch. 7, tut.2).</t>
  </si>
  <si>
    <t>Questions</t>
  </si>
  <si>
    <t>1.  From the chart above, what is the probability that exactly 12 people will buy the product?</t>
  </si>
  <si>
    <t>2. What is the probability that between 7 and 10 viewers (inclusive) will buy the product?  Use</t>
  </si>
  <si>
    <t>the chart above.  Recalculate using the normal curve approximation.</t>
  </si>
  <si>
    <t>3.  Use other values of the probability and see what happens to the bar graph.</t>
  </si>
  <si>
    <t>You will have to reenter the formulas for calculating the probabilities.</t>
  </si>
  <si>
    <t xml:space="preserve">  #15-17, Sec. 7.6</t>
  </si>
  <si>
    <t>Chapter 7 : Project 1</t>
  </si>
  <si>
    <t>Statistical Analysis of Mutual Fund Data</t>
  </si>
  <si>
    <t xml:space="preserve">In this project, you will use actual data about the value of a mutual fund to analyze its </t>
  </si>
  <si>
    <t>performance.</t>
  </si>
  <si>
    <t xml:space="preserve">mutual fund over a period of time.  When turning in your project, do not turn in the raw data </t>
  </si>
  <si>
    <t>(a)  Using only values in the NAV column, determine the average NAV for this fund.  To do this,</t>
  </si>
  <si>
    <t xml:space="preserve">you will need to use the AVERAGE function.  </t>
  </si>
  <si>
    <t>(b)  Find the standard deviation of the data by using the STDEVP function.  The syntax is exactly</t>
  </si>
  <si>
    <t>the same as for the AVERAGE function.</t>
  </si>
  <si>
    <t>of the data.  Again use descriptive headings and labels.</t>
  </si>
  <si>
    <t>consecutive days.  Using Excel,  create a column of 5-day moving averages by</t>
  </si>
  <si>
    <t>taking the average of the first five NAV's and then the second five NAV's and so forth.  You</t>
  </si>
  <si>
    <t xml:space="preserve">should copy and paste formulas to do this.  </t>
  </si>
  <si>
    <t>You do not need specific x-values of the dates.  The LINE option will by default assign</t>
  </si>
  <si>
    <t>x-value of 1 to the first NAV and moving average, x =2 for the second NAV and average etc.</t>
  </si>
  <si>
    <t>What is the major difference between the behavior of the two sets of data?</t>
  </si>
  <si>
    <t>(Use option number 2 for the line graph format, or you will get a blob of symbols.)</t>
  </si>
  <si>
    <t>of the moving average should be?</t>
  </si>
  <si>
    <r>
      <t>Excel Tips</t>
    </r>
    <r>
      <rPr>
        <sz val="10"/>
        <rFont val="Arial"/>
      </rPr>
      <t>:</t>
    </r>
  </si>
  <si>
    <t xml:space="preserve">Do all your work on a "scratch" worksheet.  When you're ready to write up your report, </t>
  </si>
  <si>
    <t xml:space="preserve">copy and paste only the stuff you need onto a new worksheet, along with your  </t>
  </si>
  <si>
    <t xml:space="preserve">explanations.  Do not delete the original data, or else you will get strange messages </t>
  </si>
  <si>
    <t>since the charts can longer access the information they need!</t>
  </si>
  <si>
    <t>If you want to paste only the values to a new place (but not the formulas), then</t>
  </si>
  <si>
    <t>choose the "paste special" option and choose "by values" in the dialog box.</t>
  </si>
  <si>
    <t>DATA FOR PROJECT 1</t>
  </si>
  <si>
    <t>Date</t>
  </si>
  <si>
    <t>NAV</t>
  </si>
  <si>
    <t>Data for part(c)</t>
  </si>
  <si>
    <t>30.51-31</t>
  </si>
  <si>
    <t>31.01-31.50</t>
  </si>
  <si>
    <t>31.51-32</t>
  </si>
  <si>
    <t>32.01-32.50</t>
  </si>
  <si>
    <t>32.51-33.</t>
  </si>
  <si>
    <t>33.01-33.5</t>
  </si>
  <si>
    <t>33.50+</t>
  </si>
  <si>
    <t>Chapter 7: Project 2</t>
  </si>
  <si>
    <t>Analysis of Housing Data</t>
  </si>
  <si>
    <t>In this project, you will use Excel's data handling capabilities to analyze data about the number of</t>
  </si>
  <si>
    <t>rooms in homes for the population of the U.S.</t>
  </si>
  <si>
    <t>The following table gives the number of rooms in a single-family dwelling and the number of dwellings</t>
  </si>
  <si>
    <t>in the United States which have the respective number of rooms.</t>
  </si>
  <si>
    <t>(Source: 1990 US Census Data)</t>
  </si>
  <si>
    <t># of rooms</t>
  </si>
  <si>
    <t># of homes</t>
  </si>
  <si>
    <t>(a)  Plot a histogram charting the frequency for each number of rooms.  Your headings</t>
  </si>
  <si>
    <t>and axis lables should be clear and descriptive.  You can just use a column graph from</t>
  </si>
  <si>
    <t>the chart wizard for this.</t>
  </si>
  <si>
    <t>(b)  What is the mode of this data?  Write a brief sentence interpreting the meaning of the mode</t>
  </si>
  <si>
    <t>in this context.</t>
  </si>
  <si>
    <t>(c)  What is the average number of rooms in a single family dwelling in the U.S.?</t>
  </si>
  <si>
    <t>(d)  What is the median of this data set?</t>
  </si>
  <si>
    <t>(e) Compare the median and the average of this data set and comment.</t>
  </si>
  <si>
    <t>(f)  Does your histogram approximate a normal curve?  Explain.</t>
  </si>
  <si>
    <t>(g)  Without doing any calculations, what is the approximate percentage of homes which will lie</t>
  </si>
  <si>
    <t xml:space="preserve">within one standard deviation of the mean?  How can you justify your approximation (without </t>
  </si>
  <si>
    <t>explicit calculation)?</t>
  </si>
  <si>
    <t xml:space="preserve">(h)  Calculate the standard deviation for this data set.  Remember to take the frequencies into </t>
  </si>
  <si>
    <t xml:space="preserve">account.  Since you are using the entire population, you should use the standard deviation for </t>
  </si>
  <si>
    <t>population formula.</t>
  </si>
  <si>
    <t>(STDEVP will not work here -why?)</t>
  </si>
  <si>
    <t>Chapter 7: Project 3</t>
  </si>
  <si>
    <t>Data Simulations</t>
  </si>
  <si>
    <t>Note:  You will need the Data Analysis Tool installed for this project.  Also you should</t>
  </si>
  <si>
    <t>be familiar with the material in Ch.7,Tutorial 5.</t>
  </si>
  <si>
    <t xml:space="preserve">You want to simulate the lifetimes for a certain type of light bulb.  You have been told </t>
  </si>
  <si>
    <t>that the lifetimes are normally distributed with mu=1200 hours and sigma = 160.</t>
  </si>
  <si>
    <t>(cf. Problem 30, Sec. 7.5).</t>
  </si>
  <si>
    <t xml:space="preserve">A sample of 30 randomly selected light bulb is given to you.  </t>
  </si>
  <si>
    <t>(1)  Simulate the lifetime for each bulb using the Data Analysis Random Number Generation</t>
  </si>
  <si>
    <t xml:space="preserve">     Tool.  (Note: Using the Rand() function will NOT work since it creates only a  uniform</t>
  </si>
  <si>
    <t xml:space="preserve">     distribution.)</t>
  </si>
  <si>
    <t>(Insert as many rows as necessary)</t>
  </si>
  <si>
    <r>
      <t xml:space="preserve">(2)  From the </t>
    </r>
    <r>
      <rPr>
        <i/>
        <sz val="10"/>
        <rFont val="Arial"/>
      </rPr>
      <t>sample</t>
    </r>
    <r>
      <rPr>
        <sz val="10"/>
        <rFont val="Arial"/>
      </rPr>
      <t xml:space="preserve"> of thirty bulb lifetimes you generated in part(1), calculate the  sample </t>
    </r>
  </si>
  <si>
    <t xml:space="preserve">     mean and sample standard deviation.  Compare with the parameters mu and sigma.</t>
  </si>
  <si>
    <t xml:space="preserve">     Are they close?  Why is there a difference between the two?</t>
  </si>
  <si>
    <t xml:space="preserve">     State which Excel functions you used.</t>
  </si>
  <si>
    <t>(3) Create a frequency table for the data in part(1) using suitable range values.  Make</t>
  </si>
  <si>
    <t>a column graph from your frequency table.  Use descriptive headings.  Does your column</t>
  </si>
  <si>
    <t>graph look bell shaped?</t>
  </si>
  <si>
    <t>(4)  Repeat parts(1-3), but simulate the lifetimes of 100 light bulbs.</t>
  </si>
  <si>
    <t>(5)  Compare the sample mean and standard deviation in part(3) with that in part(2).  Which</t>
  </si>
  <si>
    <t xml:space="preserve">      is closer to the parameters mu and sigma?  What do you think will happen to the </t>
  </si>
  <si>
    <t xml:space="preserve">      sample mean and standard deviation as the sample size gets larger and larger?</t>
  </si>
  <si>
    <r>
      <t>The set of data in the</t>
    </r>
    <r>
      <rPr>
        <b/>
        <sz val="10"/>
        <rFont val="Arial"/>
      </rPr>
      <t xml:space="preserve">  "Data for HW11"</t>
    </r>
    <r>
      <rPr>
        <sz val="10"/>
        <rFont val="Arial"/>
      </rPr>
      <t xml:space="preserve"> worksheet gives the net asset value (NAV) of the Babson Value </t>
    </r>
  </si>
  <si>
    <r>
      <t xml:space="preserve">from the </t>
    </r>
    <r>
      <rPr>
        <b/>
        <sz val="10"/>
        <rFont val="Arial"/>
      </rPr>
      <t xml:space="preserve"> "Data for HW11" </t>
    </r>
    <r>
      <rPr>
        <sz val="10"/>
        <rFont val="Arial"/>
      </rPr>
      <t>worksheet.</t>
    </r>
  </si>
  <si>
    <r>
      <t xml:space="preserve">(c)  Using the range and frequency data appearing in the </t>
    </r>
    <r>
      <rPr>
        <b/>
        <sz val="10"/>
        <rFont val="Arial"/>
      </rPr>
      <t xml:space="preserve"> "Data for HW11" </t>
    </r>
    <r>
      <rPr>
        <sz val="10"/>
        <rFont val="Arial"/>
      </rPr>
      <t>worksheet, plot a bar graph</t>
    </r>
  </si>
  <si>
    <r>
      <t xml:space="preserve">(d) The 5-day </t>
    </r>
    <r>
      <rPr>
        <i/>
        <sz val="10"/>
        <rFont val="Arial"/>
      </rPr>
      <t>moving average</t>
    </r>
    <r>
      <rPr>
        <sz val="10"/>
        <rFont val="Arial"/>
      </rPr>
      <t xml:space="preserve"> of a set of values is obtained by averaging the NAV's on five </t>
    </r>
  </si>
  <si>
    <t>(e)  Use the chart wizard to plot a LINE graph of the NAV's and the five-day moving averages.</t>
  </si>
  <si>
    <t xml:space="preserve">(f)  If you hope to make money in the stock market, what do you think the general trend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</si>
</sst>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0"/>
      <color indexed="18"/>
      <name val="Arial"/>
      <family val="2"/>
    </font>
    <font>
      <b/>
      <i/>
      <sz val="9"/>
      <color indexed="9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9"/>
      <name val="Arial"/>
      <family val="2"/>
    </font>
    <font>
      <i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2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" fillId="0" borderId="2" xfId="0" applyFont="1" applyBorder="1" applyAlignment="1">
      <alignment horizontal="center"/>
    </xf>
    <xf numFmtId="0" fontId="5" fillId="0" borderId="0" xfId="0" applyFont="1"/>
    <xf numFmtId="0" fontId="10" fillId="0" borderId="0" xfId="0" applyFon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2" fillId="0" borderId="0" xfId="0" applyFont="1" applyFill="1" applyBorder="1" applyAlignment="1">
      <alignment horizontal="center"/>
    </xf>
    <xf numFmtId="0" fontId="0" fillId="2" borderId="4" xfId="0" applyFill="1" applyBorder="1"/>
    <xf numFmtId="0" fontId="12" fillId="3" borderId="5" xfId="0" applyFont="1" applyFill="1" applyBorder="1" applyAlignment="1">
      <alignment horizontal="right"/>
    </xf>
    <xf numFmtId="0" fontId="12" fillId="3" borderId="6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3" fillId="4" borderId="4" xfId="0" applyFont="1" applyFill="1" applyBorder="1" applyAlignment="1">
      <alignment horizontal="left"/>
    </xf>
    <xf numFmtId="0" fontId="13" fillId="4" borderId="12" xfId="0" applyFont="1" applyFill="1" applyBorder="1" applyAlignment="1">
      <alignment horizontal="left"/>
    </xf>
    <xf numFmtId="0" fontId="13" fillId="4" borderId="13" xfId="0" applyFont="1" applyFill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14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0" fillId="0" borderId="4" xfId="0" applyBorder="1"/>
    <xf numFmtId="0" fontId="15" fillId="0" borderId="0" xfId="0" applyFont="1"/>
    <xf numFmtId="0" fontId="0" fillId="0" borderId="0" xfId="0" applyBorder="1"/>
    <xf numFmtId="0" fontId="0" fillId="6" borderId="29" xfId="0" applyFill="1" applyBorder="1" applyAlignment="1">
      <alignment horizontal="center" wrapText="1"/>
    </xf>
    <xf numFmtId="0" fontId="0" fillId="6" borderId="4" xfId="0" applyFill="1" applyBorder="1"/>
    <xf numFmtId="0" fontId="0" fillId="7" borderId="4" xfId="0" applyFill="1" applyBorder="1"/>
    <xf numFmtId="0" fontId="0" fillId="0" borderId="4" xfId="0" applyFill="1" applyBorder="1"/>
    <xf numFmtId="0" fontId="0" fillId="0" borderId="0" xfId="0" applyFill="1"/>
    <xf numFmtId="0" fontId="0" fillId="0" borderId="0" xfId="0" applyFill="1" applyBorder="1"/>
    <xf numFmtId="0" fontId="0" fillId="0" borderId="4" xfId="0" applyFill="1" applyBorder="1" applyAlignment="1">
      <alignment wrapText="1"/>
    </xf>
    <xf numFmtId="0" fontId="0" fillId="6" borderId="30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1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7" fillId="0" borderId="0" xfId="0" applyFont="1" applyBorder="1"/>
    <xf numFmtId="0" fontId="16" fillId="0" borderId="0" xfId="0" applyFont="1" applyFill="1" applyBorder="1" applyAlignment="1">
      <alignment horizontal="center"/>
    </xf>
    <xf numFmtId="0" fontId="7" fillId="0" borderId="0" xfId="0" applyNumberFormat="1" applyFont="1" applyFill="1" applyBorder="1" applyAlignment="1"/>
    <xf numFmtId="0" fontId="7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Salaries</a:t>
            </a:r>
          </a:p>
        </c:rich>
      </c:tx>
      <c:layout>
        <c:manualLayout>
          <c:xMode val="edge"/>
          <c:yMode val="edge"/>
          <c:x val="0.40477611046646522"/>
          <c:y val="3.67828117135766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28972530817841"/>
          <c:y val="0.23219149894195254"/>
          <c:w val="0.6190693454192997"/>
          <c:h val="0.634503502059197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ch7tu1!$D$54:$D$61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ch7tu1!$E$54:$E$61</c:f>
              <c:numCache>
                <c:formatCode>General</c:formatCode>
                <c:ptCount val="8"/>
                <c:pt idx="0">
                  <c:v>7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E-417C-A1F0-948FC73BB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382575"/>
        <c:axId val="1"/>
      </c:barChart>
      <c:catAx>
        <c:axId val="85738257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3825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907460988628384"/>
          <c:y val="0.51955721545427003"/>
          <c:w val="0.19762598334539183"/>
          <c:h val="5.97720690345620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134302488242537E-2"/>
          <c:y val="8.4708637768045505E-2"/>
          <c:w val="0.71250213400598139"/>
          <c:h val="0.832968271385780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ch7tu2!$D$88</c:f>
              <c:strCache>
                <c:ptCount val="1"/>
                <c:pt idx="0">
                  <c:v>sig=0.5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ch7tu2!$C$89:$C$98</c:f>
              <c:numCache>
                <c:formatCode>General</c:formatCode>
                <c:ptCount val="10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xVal>
          <c:yVal>
            <c:numRef>
              <c:f>ch7tu2!$D$89:$D$98</c:f>
              <c:numCache>
                <c:formatCode>General</c:formatCode>
                <c:ptCount val="10"/>
                <c:pt idx="0">
                  <c:v>1.0104542167073785E-14</c:v>
                </c:pt>
                <c:pt idx="1">
                  <c:v>1.2151765699646572E-8</c:v>
                </c:pt>
                <c:pt idx="2">
                  <c:v>2.6766045152977074E-4</c:v>
                </c:pt>
                <c:pt idx="3">
                  <c:v>0.10798193302637613</c:v>
                </c:pt>
                <c:pt idx="4">
                  <c:v>0.48394144903828673</c:v>
                </c:pt>
                <c:pt idx="5">
                  <c:v>0.79788456080286541</c:v>
                </c:pt>
                <c:pt idx="6">
                  <c:v>0.48394144903828673</c:v>
                </c:pt>
                <c:pt idx="7">
                  <c:v>0.10798193302637613</c:v>
                </c:pt>
                <c:pt idx="8">
                  <c:v>2.6766045152977074E-4</c:v>
                </c:pt>
                <c:pt idx="9">
                  <c:v>1.2151765699646572E-8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64-4CEA-B0E7-5BA41A10D8CF}"/>
            </c:ext>
          </c:extLst>
        </c:ser>
        <c:ser>
          <c:idx val="1"/>
          <c:order val="1"/>
          <c:tx>
            <c:strRef>
              <c:f>ch7tu2!$E$88</c:f>
              <c:strCache>
                <c:ptCount val="1"/>
                <c:pt idx="0">
                  <c:v>sig=1.0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ch7tu2!$C$89:$C$98</c:f>
              <c:numCache>
                <c:formatCode>General</c:formatCode>
                <c:ptCount val="10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xVal>
          <c:yVal>
            <c:numRef>
              <c:f>ch7tu2!$E$89:$E$98</c:f>
              <c:numCache>
                <c:formatCode>General</c:formatCode>
                <c:ptCount val="10"/>
                <c:pt idx="0">
                  <c:v>1.3383022576488537E-4</c:v>
                </c:pt>
                <c:pt idx="1">
                  <c:v>4.4318484119380075E-3</c:v>
                </c:pt>
                <c:pt idx="2">
                  <c:v>5.3990966513188063E-2</c:v>
                </c:pt>
                <c:pt idx="3">
                  <c:v>0.24197072451914337</c:v>
                </c:pt>
                <c:pt idx="4">
                  <c:v>0.35206532676429952</c:v>
                </c:pt>
                <c:pt idx="5">
                  <c:v>0.3989422804014327</c:v>
                </c:pt>
                <c:pt idx="6">
                  <c:v>0.35206532676429952</c:v>
                </c:pt>
                <c:pt idx="7">
                  <c:v>0.24197072451914337</c:v>
                </c:pt>
                <c:pt idx="8">
                  <c:v>5.3990966513188063E-2</c:v>
                </c:pt>
                <c:pt idx="9">
                  <c:v>4.4318484119380075E-3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64-4CEA-B0E7-5BA41A10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77375"/>
        <c:axId val="1"/>
      </c:scatterChart>
      <c:valAx>
        <c:axId val="88587737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8773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71194754556652"/>
          <c:y val="0.43766129513490176"/>
          <c:w val="0.17378100829414178"/>
          <c:h val="0.120003903504731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Advertising effectiveness</a:t>
            </a:r>
          </a:p>
        </c:rich>
      </c:tx>
      <c:layout>
        <c:manualLayout>
          <c:xMode val="edge"/>
          <c:yMode val="edge"/>
          <c:x val="0.23932452609874746"/>
          <c:y val="4.38611990084113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009309096581242"/>
          <c:y val="0.28363575358772686"/>
          <c:w val="0.7329313611774142"/>
          <c:h val="0.45908054962137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ch7tu6!$C$10</c:f>
              <c:strCache>
                <c:ptCount val="1"/>
                <c:pt idx="0">
                  <c:v>Pr(x)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ch7tu6!$B$11:$B$36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ch7tu6!$C$11:$C$36</c:f>
              <c:numCache>
                <c:formatCode>General</c:formatCode>
                <c:ptCount val="26"/>
                <c:pt idx="0">
                  <c:v>2.8430288029929681E-6</c:v>
                </c:pt>
                <c:pt idx="1">
                  <c:v>4.7383813383216083E-5</c:v>
                </c:pt>
                <c:pt idx="2">
                  <c:v>3.7907050706572964E-4</c:v>
                </c:pt>
                <c:pt idx="3">
                  <c:v>1.9374714805581734E-3</c:v>
                </c:pt>
                <c:pt idx="4">
                  <c:v>7.1040620953799665E-3</c:v>
                </c:pt>
                <c:pt idx="5">
                  <c:v>1.9891373867063907E-2</c:v>
                </c:pt>
                <c:pt idx="6">
                  <c:v>4.4203053037919791E-2</c:v>
                </c:pt>
                <c:pt idx="7">
                  <c:v>7.9986476925759609E-2</c:v>
                </c:pt>
                <c:pt idx="8">
                  <c:v>0.11997971538863936</c:v>
                </c:pt>
                <c:pt idx="9">
                  <c:v>0.15108556752643482</c:v>
                </c:pt>
                <c:pt idx="10">
                  <c:v>0.16115793869486375</c:v>
                </c:pt>
                <c:pt idx="11">
                  <c:v>0.1465072169953307</c:v>
                </c:pt>
                <c:pt idx="12">
                  <c:v>0.11395005766303502</c:v>
                </c:pt>
                <c:pt idx="13">
                  <c:v>7.5966705108689969E-2</c:v>
                </c:pt>
                <c:pt idx="14">
                  <c:v>4.3409545776394276E-2</c:v>
                </c:pt>
                <c:pt idx="15">
                  <c:v>2.1222444601792775E-2</c:v>
                </c:pt>
                <c:pt idx="16">
                  <c:v>8.842685250746973E-3</c:v>
                </c:pt>
                <c:pt idx="17">
                  <c:v>3.1209477355577638E-3</c:v>
                </c:pt>
                <c:pt idx="18">
                  <c:v>9.2472525498007671E-4</c:v>
                </c:pt>
                <c:pt idx="19">
                  <c:v>2.2712550122317698E-4</c:v>
                </c:pt>
                <c:pt idx="20">
                  <c:v>4.5425100244635373E-5</c:v>
                </c:pt>
                <c:pt idx="21">
                  <c:v>7.2103333721643504E-6</c:v>
                </c:pt>
                <c:pt idx="22">
                  <c:v>8.7397980268658438E-7</c:v>
                </c:pt>
                <c:pt idx="23">
                  <c:v>7.5998243711877615E-8</c:v>
                </c:pt>
                <c:pt idx="24">
                  <c:v>4.2221246506598524E-9</c:v>
                </c:pt>
                <c:pt idx="25">
                  <c:v>1.1258999068426259E-10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7-4801-AC4C-522A23EEB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374959"/>
        <c:axId val="1"/>
      </c:barChart>
      <c:catAx>
        <c:axId val="857374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# of people buying</a:t>
                </a:r>
              </a:p>
            </c:rich>
          </c:tx>
          <c:layout>
            <c:manualLayout>
              <c:xMode val="edge"/>
              <c:yMode val="edge"/>
              <c:x val="0.42950205130221647"/>
              <c:y val="0.84213502096149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Pr(x)</a:t>
                </a:r>
              </a:p>
            </c:rich>
          </c:tx>
          <c:layout>
            <c:manualLayout>
              <c:xMode val="edge"/>
              <c:yMode val="edge"/>
              <c:x val="5.7694305398805198E-2"/>
              <c:y val="0.450308309819690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37495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26</xdr:row>
      <xdr:rowOff>63500</xdr:rowOff>
    </xdr:from>
    <xdr:to>
      <xdr:col>9</xdr:col>
      <xdr:colOff>527050</xdr:colOff>
      <xdr:row>43</xdr:row>
      <xdr:rowOff>127000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8B47328-0BA9-45E3-B6A6-7C80BD1F5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482600</xdr:colOff>
      <xdr:row>103</xdr:row>
      <xdr:rowOff>38100</xdr:rowOff>
    </xdr:from>
    <xdr:to>
      <xdr:col>7</xdr:col>
      <xdr:colOff>304800</xdr:colOff>
      <xdr:row>120</xdr:row>
      <xdr:rowOff>38100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36354F7A-5C32-49B6-8547-99A897E89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336550</xdr:colOff>
      <xdr:row>19</xdr:row>
      <xdr:rowOff>88900</xdr:rowOff>
    </xdr:from>
    <xdr:to>
      <xdr:col>8</xdr:col>
      <xdr:colOff>260350</xdr:colOff>
      <xdr:row>33</xdr:row>
      <xdr:rowOff>38100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D4CEF726-B695-4478-A92F-5AB42C889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>
      <selection activeCell="B1" sqref="B1"/>
    </sheetView>
  </sheetViews>
  <sheetFormatPr defaultRowHeight="12.5" x14ac:dyDescent="0.25"/>
  <cols>
    <col min="1" max="2" width="1.6328125" customWidth="1"/>
    <col min="3" max="3" width="20.453125" customWidth="1"/>
    <col min="6" max="6" width="5.6328125" customWidth="1"/>
    <col min="7" max="7" width="9.453125" customWidth="1"/>
    <col min="8" max="8" width="10.90625" customWidth="1"/>
    <col min="9" max="9" width="10.6328125" customWidth="1"/>
  </cols>
  <sheetData>
    <row r="1" spans="1:9" ht="15.5" x14ac:dyDescent="0.35">
      <c r="C1" s="12" t="s">
        <v>0</v>
      </c>
      <c r="D1" s="12" t="s">
        <v>1</v>
      </c>
      <c r="E1" s="10"/>
      <c r="F1" s="10"/>
      <c r="G1" s="10"/>
      <c r="I1" s="3" t="s">
        <v>2</v>
      </c>
    </row>
    <row r="2" spans="1:9" x14ac:dyDescent="0.25">
      <c r="A2" t="s">
        <v>3</v>
      </c>
    </row>
    <row r="3" spans="1:9" x14ac:dyDescent="0.25">
      <c r="A3" t="s">
        <v>4</v>
      </c>
    </row>
    <row r="5" spans="1:9" ht="13" x14ac:dyDescent="0.3">
      <c r="A5" s="1" t="s">
        <v>5</v>
      </c>
    </row>
    <row r="6" spans="1:9" x14ac:dyDescent="0.25">
      <c r="A6" t="s">
        <v>6</v>
      </c>
    </row>
    <row r="7" spans="1:9" x14ac:dyDescent="0.25">
      <c r="A7" t="s">
        <v>7</v>
      </c>
    </row>
    <row r="8" spans="1:9" x14ac:dyDescent="0.25">
      <c r="A8" t="s">
        <v>8</v>
      </c>
    </row>
    <row r="9" spans="1:9" x14ac:dyDescent="0.25">
      <c r="A9" t="s">
        <v>9</v>
      </c>
    </row>
    <row r="11" spans="1:9" ht="13" x14ac:dyDescent="0.3">
      <c r="A11" s="1" t="s">
        <v>10</v>
      </c>
    </row>
    <row r="14" spans="1:9" x14ac:dyDescent="0.25">
      <c r="A14" t="s">
        <v>11</v>
      </c>
    </row>
    <row r="15" spans="1:9" x14ac:dyDescent="0.25">
      <c r="A15" t="s">
        <v>12</v>
      </c>
    </row>
    <row r="17" spans="1:9" ht="13.5" thickBot="1" x14ac:dyDescent="0.35">
      <c r="A17" s="11"/>
      <c r="B17" s="11"/>
      <c r="C17" s="11" t="s">
        <v>13</v>
      </c>
      <c r="D17" s="11" t="s">
        <v>14</v>
      </c>
      <c r="E17" s="11" t="s">
        <v>15</v>
      </c>
      <c r="F17" s="11" t="s">
        <v>16</v>
      </c>
    </row>
    <row r="18" spans="1:9" ht="13" x14ac:dyDescent="0.3">
      <c r="C18" t="s">
        <v>17</v>
      </c>
      <c r="D18" t="s">
        <v>18</v>
      </c>
      <c r="E18">
        <v>5406603</v>
      </c>
      <c r="F18" s="9" t="s">
        <v>19</v>
      </c>
      <c r="H18" s="66" t="s">
        <v>20</v>
      </c>
      <c r="I18" s="67"/>
    </row>
    <row r="19" spans="1:9" x14ac:dyDescent="0.25">
      <c r="C19" t="s">
        <v>21</v>
      </c>
      <c r="D19" t="s">
        <v>22</v>
      </c>
      <c r="E19">
        <v>5400000</v>
      </c>
      <c r="F19" s="9" t="s">
        <v>19</v>
      </c>
      <c r="H19" s="68" t="s">
        <v>23</v>
      </c>
      <c r="I19" s="69">
        <f>AVERAGE(E18:E44)</f>
        <v>1271719.8518518519</v>
      </c>
    </row>
    <row r="20" spans="1:9" x14ac:dyDescent="0.25">
      <c r="C20" t="s">
        <v>24</v>
      </c>
      <c r="D20" t="s">
        <v>25</v>
      </c>
      <c r="E20">
        <v>3375000</v>
      </c>
      <c r="F20" s="9" t="s">
        <v>26</v>
      </c>
      <c r="H20" s="68"/>
      <c r="I20" s="69"/>
    </row>
    <row r="21" spans="1:9" ht="13" x14ac:dyDescent="0.3">
      <c r="C21" t="s">
        <v>27</v>
      </c>
      <c r="D21" t="s">
        <v>25</v>
      </c>
      <c r="E21">
        <v>3083333</v>
      </c>
      <c r="F21" s="9" t="s">
        <v>26</v>
      </c>
      <c r="H21" s="68" t="s">
        <v>28</v>
      </c>
      <c r="I21" s="69"/>
    </row>
    <row r="22" spans="1:9" ht="13" thickBot="1" x14ac:dyDescent="0.3">
      <c r="C22" t="s">
        <v>29</v>
      </c>
      <c r="D22" t="s">
        <v>30</v>
      </c>
      <c r="E22">
        <v>2675000</v>
      </c>
      <c r="F22" s="9" t="s">
        <v>31</v>
      </c>
      <c r="H22" s="70" t="s">
        <v>32</v>
      </c>
      <c r="I22" s="71">
        <f>MEDIAN(E18:E44)</f>
        <v>550000</v>
      </c>
    </row>
    <row r="23" spans="1:9" x14ac:dyDescent="0.25">
      <c r="C23" t="s">
        <v>33</v>
      </c>
      <c r="D23" t="s">
        <v>34</v>
      </c>
      <c r="E23">
        <v>2000000</v>
      </c>
      <c r="F23" s="9" t="s">
        <v>31</v>
      </c>
    </row>
    <row r="24" spans="1:9" x14ac:dyDescent="0.25">
      <c r="C24" t="s">
        <v>35</v>
      </c>
      <c r="D24" t="s">
        <v>36</v>
      </c>
      <c r="E24">
        <v>2000000</v>
      </c>
      <c r="F24" s="9" t="s">
        <v>31</v>
      </c>
    </row>
    <row r="25" spans="1:9" x14ac:dyDescent="0.25">
      <c r="C25" t="s">
        <v>37</v>
      </c>
      <c r="D25" t="s">
        <v>25</v>
      </c>
      <c r="E25">
        <v>1800000</v>
      </c>
      <c r="F25" s="9" t="s">
        <v>38</v>
      </c>
    </row>
    <row r="26" spans="1:9" x14ac:dyDescent="0.25">
      <c r="C26" t="s">
        <v>39</v>
      </c>
      <c r="D26" t="s">
        <v>30</v>
      </c>
      <c r="E26">
        <v>1500000</v>
      </c>
      <c r="F26" s="9" t="s">
        <v>38</v>
      </c>
    </row>
    <row r="27" spans="1:9" x14ac:dyDescent="0.25">
      <c r="C27" t="s">
        <v>40</v>
      </c>
      <c r="D27" t="s">
        <v>41</v>
      </c>
      <c r="E27">
        <v>1000000</v>
      </c>
      <c r="F27" s="9" t="s">
        <v>38</v>
      </c>
    </row>
    <row r="28" spans="1:9" x14ac:dyDescent="0.25">
      <c r="C28" t="s">
        <v>42</v>
      </c>
      <c r="D28" t="s">
        <v>30</v>
      </c>
      <c r="E28">
        <v>750000</v>
      </c>
      <c r="F28" s="9" t="s">
        <v>43</v>
      </c>
    </row>
    <row r="29" spans="1:9" x14ac:dyDescent="0.25">
      <c r="C29" t="s">
        <v>44</v>
      </c>
      <c r="D29" t="s">
        <v>25</v>
      </c>
      <c r="E29">
        <v>750000</v>
      </c>
      <c r="F29" s="9" t="s">
        <v>43</v>
      </c>
    </row>
    <row r="30" spans="1:9" x14ac:dyDescent="0.25">
      <c r="C30" t="s">
        <v>45</v>
      </c>
      <c r="D30" t="s">
        <v>30</v>
      </c>
      <c r="E30">
        <v>725000</v>
      </c>
      <c r="F30" s="9" t="s">
        <v>43</v>
      </c>
    </row>
    <row r="31" spans="1:9" x14ac:dyDescent="0.25">
      <c r="C31" t="s">
        <v>46</v>
      </c>
      <c r="D31" t="s">
        <v>47</v>
      </c>
      <c r="E31">
        <v>550000</v>
      </c>
      <c r="F31" s="9" t="s">
        <v>48</v>
      </c>
    </row>
    <row r="32" spans="1:9" x14ac:dyDescent="0.25">
      <c r="C32" t="s">
        <v>49</v>
      </c>
      <c r="D32" t="s">
        <v>30</v>
      </c>
      <c r="E32">
        <v>525000</v>
      </c>
      <c r="F32" s="9" t="s">
        <v>48</v>
      </c>
    </row>
    <row r="33" spans="3:6" x14ac:dyDescent="0.25">
      <c r="C33" t="s">
        <v>50</v>
      </c>
      <c r="D33" t="s">
        <v>47</v>
      </c>
      <c r="E33">
        <v>500000</v>
      </c>
      <c r="F33" s="9" t="s">
        <v>48</v>
      </c>
    </row>
    <row r="34" spans="3:6" x14ac:dyDescent="0.25">
      <c r="C34" t="s">
        <v>51</v>
      </c>
      <c r="D34" t="s">
        <v>30</v>
      </c>
      <c r="E34">
        <v>500000</v>
      </c>
      <c r="F34" s="9" t="s">
        <v>48</v>
      </c>
    </row>
    <row r="35" spans="3:6" x14ac:dyDescent="0.25">
      <c r="C35" t="s">
        <v>52</v>
      </c>
      <c r="D35" t="s">
        <v>30</v>
      </c>
      <c r="E35">
        <v>350000</v>
      </c>
      <c r="F35" s="9" t="s">
        <v>53</v>
      </c>
    </row>
    <row r="36" spans="3:6" x14ac:dyDescent="0.25">
      <c r="C36" t="s">
        <v>54</v>
      </c>
      <c r="D36" t="s">
        <v>30</v>
      </c>
      <c r="E36">
        <v>270000</v>
      </c>
      <c r="F36" s="9" t="s">
        <v>53</v>
      </c>
    </row>
    <row r="37" spans="3:6" x14ac:dyDescent="0.25">
      <c r="C37" t="s">
        <v>55</v>
      </c>
      <c r="D37" t="s">
        <v>30</v>
      </c>
      <c r="E37">
        <v>230000</v>
      </c>
      <c r="F37" s="9" t="s">
        <v>53</v>
      </c>
    </row>
    <row r="38" spans="3:6" x14ac:dyDescent="0.25">
      <c r="C38" t="s">
        <v>56</v>
      </c>
      <c r="D38" t="s">
        <v>36</v>
      </c>
      <c r="E38">
        <v>162500</v>
      </c>
      <c r="F38" s="9" t="s">
        <v>57</v>
      </c>
    </row>
    <row r="39" spans="3:6" x14ac:dyDescent="0.25">
      <c r="C39" t="s">
        <v>58</v>
      </c>
      <c r="D39" t="s">
        <v>25</v>
      </c>
      <c r="E39">
        <v>150000</v>
      </c>
      <c r="F39" s="9" t="s">
        <v>57</v>
      </c>
    </row>
    <row r="40" spans="3:6" x14ac:dyDescent="0.25">
      <c r="C40" t="s">
        <v>59</v>
      </c>
      <c r="D40" t="s">
        <v>25</v>
      </c>
      <c r="E40">
        <v>150000</v>
      </c>
      <c r="F40" s="9" t="s">
        <v>57</v>
      </c>
    </row>
    <row r="41" spans="3:6" x14ac:dyDescent="0.25">
      <c r="C41" t="s">
        <v>60</v>
      </c>
      <c r="D41" t="s">
        <v>25</v>
      </c>
      <c r="E41">
        <v>130000</v>
      </c>
      <c r="F41" s="9" t="s">
        <v>57</v>
      </c>
    </row>
    <row r="42" spans="3:6" x14ac:dyDescent="0.25">
      <c r="C42" t="s">
        <v>61</v>
      </c>
      <c r="D42" t="s">
        <v>30</v>
      </c>
      <c r="E42">
        <v>130000</v>
      </c>
      <c r="F42" s="9" t="s">
        <v>57</v>
      </c>
    </row>
    <row r="43" spans="3:6" x14ac:dyDescent="0.25">
      <c r="C43" t="s">
        <v>62</v>
      </c>
      <c r="D43" t="s">
        <v>63</v>
      </c>
      <c r="E43">
        <v>115000</v>
      </c>
      <c r="F43" s="9" t="s">
        <v>57</v>
      </c>
    </row>
    <row r="44" spans="3:6" x14ac:dyDescent="0.25">
      <c r="C44" t="s">
        <v>64</v>
      </c>
      <c r="D44" t="s">
        <v>65</v>
      </c>
      <c r="E44">
        <v>109000</v>
      </c>
      <c r="F44" s="9" t="s">
        <v>57</v>
      </c>
    </row>
    <row r="46" spans="3:6" x14ac:dyDescent="0.25">
      <c r="C46" t="s">
        <v>66</v>
      </c>
    </row>
    <row r="47" spans="3:6" x14ac:dyDescent="0.25">
      <c r="C47" t="s">
        <v>67</v>
      </c>
    </row>
    <row r="48" spans="3:6" x14ac:dyDescent="0.25">
      <c r="C48" t="s">
        <v>68</v>
      </c>
    </row>
    <row r="52" spans="1:5" x14ac:dyDescent="0.25">
      <c r="C52" t="s">
        <v>69</v>
      </c>
    </row>
    <row r="54" spans="1:5" x14ac:dyDescent="0.25">
      <c r="D54" t="s">
        <v>57</v>
      </c>
      <c r="E54">
        <v>7</v>
      </c>
    </row>
    <row r="55" spans="1:5" x14ac:dyDescent="0.25">
      <c r="D55" t="s">
        <v>53</v>
      </c>
      <c r="E55">
        <v>3</v>
      </c>
    </row>
    <row r="56" spans="1:5" x14ac:dyDescent="0.25">
      <c r="D56" t="s">
        <v>48</v>
      </c>
      <c r="E56">
        <v>4</v>
      </c>
    </row>
    <row r="57" spans="1:5" x14ac:dyDescent="0.25">
      <c r="D57" t="s">
        <v>43</v>
      </c>
      <c r="E57">
        <v>3</v>
      </c>
    </row>
    <row r="58" spans="1:5" x14ac:dyDescent="0.25">
      <c r="D58" t="s">
        <v>38</v>
      </c>
      <c r="E58">
        <v>3</v>
      </c>
    </row>
    <row r="59" spans="1:5" x14ac:dyDescent="0.25">
      <c r="D59" t="s">
        <v>31</v>
      </c>
      <c r="E59">
        <v>3</v>
      </c>
    </row>
    <row r="60" spans="1:5" x14ac:dyDescent="0.25">
      <c r="D60" t="s">
        <v>26</v>
      </c>
      <c r="E60">
        <v>2</v>
      </c>
    </row>
    <row r="61" spans="1:5" x14ac:dyDescent="0.25">
      <c r="D61" t="s">
        <v>19</v>
      </c>
      <c r="E61">
        <v>2</v>
      </c>
    </row>
    <row r="63" spans="1:5" x14ac:dyDescent="0.25">
      <c r="A63" t="s">
        <v>70</v>
      </c>
    </row>
    <row r="64" spans="1:5" x14ac:dyDescent="0.25">
      <c r="A64" t="s">
        <v>71</v>
      </c>
    </row>
    <row r="68" spans="1:1" x14ac:dyDescent="0.25">
      <c r="A68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7" spans="1:1" x14ac:dyDescent="0.25">
      <c r="A77" t="s">
        <v>75</v>
      </c>
    </row>
  </sheetData>
  <phoneticPr fontId="7" type="noConversion"/>
  <pageMargins left="1.25" right="0.25" top="1" bottom="1" header="0.5" footer="0.5"/>
  <pageSetup orientation="portrait" horizontalDpi="300" verticalDpi="0" r:id="rId1"/>
  <headerFooter alignWithMargins="0">
    <oddFooter>&amp;CPage &amp;P of &amp;N      (c) 1998 Prentice Hall, Upper Saddle River, NJ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workbookViewId="0">
      <selection activeCell="D3" sqref="D3"/>
    </sheetView>
  </sheetViews>
  <sheetFormatPr defaultRowHeight="12.5" x14ac:dyDescent="0.25"/>
  <cols>
    <col min="2" max="2" width="10.453125" customWidth="1"/>
    <col min="3" max="3" width="10.08984375" customWidth="1"/>
    <col min="7" max="7" width="13.36328125" customWidth="1"/>
  </cols>
  <sheetData>
    <row r="1" spans="1:8" ht="13" x14ac:dyDescent="0.3">
      <c r="A1" s="1" t="s">
        <v>76</v>
      </c>
      <c r="B1" s="1"/>
      <c r="D1" s="2" t="s">
        <v>77</v>
      </c>
      <c r="E1" s="2"/>
      <c r="F1" s="2"/>
      <c r="G1" s="2"/>
      <c r="H1" s="3"/>
    </row>
    <row r="2" spans="1:8" ht="13" x14ac:dyDescent="0.3">
      <c r="E2" s="3" t="s">
        <v>78</v>
      </c>
      <c r="F2" s="3"/>
    </row>
    <row r="4" spans="1:8" ht="13" x14ac:dyDescent="0.3">
      <c r="A4" s="1" t="s">
        <v>79</v>
      </c>
      <c r="B4" s="1"/>
      <c r="C4" s="1"/>
    </row>
    <row r="6" spans="1:8" x14ac:dyDescent="0.25">
      <c r="B6" t="s">
        <v>80</v>
      </c>
    </row>
    <row r="8" spans="1:8" ht="13" x14ac:dyDescent="0.3">
      <c r="B8" s="1" t="s">
        <v>81</v>
      </c>
      <c r="C8" t="s">
        <v>82</v>
      </c>
    </row>
    <row r="9" spans="1:8" x14ac:dyDescent="0.25">
      <c r="B9" t="s">
        <v>83</v>
      </c>
    </row>
    <row r="10" spans="1:8" x14ac:dyDescent="0.25">
      <c r="B10" t="s">
        <v>84</v>
      </c>
    </row>
    <row r="12" spans="1:8" ht="13" x14ac:dyDescent="0.3">
      <c r="B12" s="1" t="s">
        <v>85</v>
      </c>
      <c r="C12" t="s">
        <v>86</v>
      </c>
    </row>
    <row r="13" spans="1:8" x14ac:dyDescent="0.25">
      <c r="C13" t="s">
        <v>87</v>
      </c>
    </row>
    <row r="15" spans="1:8" x14ac:dyDescent="0.25">
      <c r="C15" t="s">
        <v>88</v>
      </c>
    </row>
    <row r="16" spans="1:8" x14ac:dyDescent="0.25">
      <c r="C16" t="s">
        <v>89</v>
      </c>
    </row>
    <row r="17" spans="3:8" x14ac:dyDescent="0.25">
      <c r="C17" t="s">
        <v>90</v>
      </c>
    </row>
    <row r="18" spans="3:8" ht="13" thickBot="1" x14ac:dyDescent="0.3"/>
    <row r="19" spans="3:8" ht="13" thickBot="1" x14ac:dyDescent="0.3">
      <c r="C19" s="41" t="s">
        <v>91</v>
      </c>
      <c r="D19" s="42">
        <f>BINOMDIST(0,5,0.58,FALSE)</f>
        <v>1.3069123200000008E-2</v>
      </c>
    </row>
    <row r="20" spans="3:8" ht="13" thickBot="1" x14ac:dyDescent="0.3">
      <c r="C20" s="37"/>
      <c r="D20" s="38"/>
    </row>
    <row r="21" spans="3:8" ht="13" thickBot="1" x14ac:dyDescent="0.3">
      <c r="C21" s="39" t="s">
        <v>92</v>
      </c>
      <c r="D21" s="40">
        <f>1-D19</f>
        <v>0.98693087680000002</v>
      </c>
    </row>
    <row r="23" spans="3:8" x14ac:dyDescent="0.25">
      <c r="C23" t="s">
        <v>93</v>
      </c>
    </row>
    <row r="25" spans="3:8" x14ac:dyDescent="0.25">
      <c r="C25" t="s">
        <v>94</v>
      </c>
    </row>
    <row r="26" spans="3:8" x14ac:dyDescent="0.25">
      <c r="C26" s="43" t="s">
        <v>95</v>
      </c>
      <c r="D26" s="43"/>
      <c r="E26" s="43"/>
      <c r="F26" s="43"/>
      <c r="G26" s="43"/>
      <c r="H26" s="43"/>
    </row>
    <row r="27" spans="3:8" x14ac:dyDescent="0.25">
      <c r="C27" s="43" t="s">
        <v>96</v>
      </c>
      <c r="D27" s="43" t="s">
        <v>97</v>
      </c>
      <c r="E27" s="43"/>
      <c r="F27" s="43"/>
      <c r="G27" s="43"/>
      <c r="H27" s="43"/>
    </row>
    <row r="29" spans="3:8" x14ac:dyDescent="0.25">
      <c r="C29" t="s">
        <v>98</v>
      </c>
    </row>
    <row r="31" spans="3:8" x14ac:dyDescent="0.25">
      <c r="C31" s="44" t="s">
        <v>99</v>
      </c>
      <c r="D31" s="26"/>
      <c r="E31" s="26">
        <v>0</v>
      </c>
    </row>
    <row r="32" spans="3:8" x14ac:dyDescent="0.25">
      <c r="C32" s="45" t="s">
        <v>100</v>
      </c>
      <c r="D32" s="27"/>
      <c r="E32" s="27">
        <v>5</v>
      </c>
    </row>
    <row r="33" spans="2:5" x14ac:dyDescent="0.25">
      <c r="C33" s="45" t="s">
        <v>101</v>
      </c>
      <c r="D33" s="27"/>
      <c r="E33" s="27">
        <v>0.57999999999999996</v>
      </c>
    </row>
    <row r="34" spans="2:5" x14ac:dyDescent="0.25">
      <c r="C34" s="46" t="s">
        <v>102</v>
      </c>
      <c r="D34" s="29"/>
      <c r="E34" s="29" t="b">
        <v>0</v>
      </c>
    </row>
    <row r="35" spans="2:5" x14ac:dyDescent="0.25">
      <c r="C35" t="s">
        <v>103</v>
      </c>
    </row>
    <row r="36" spans="2:5" x14ac:dyDescent="0.25">
      <c r="C36" t="s">
        <v>104</v>
      </c>
    </row>
    <row r="38" spans="2:5" ht="13" x14ac:dyDescent="0.3">
      <c r="B38" s="2" t="s">
        <v>105</v>
      </c>
      <c r="C38" t="s">
        <v>106</v>
      </c>
    </row>
    <row r="39" spans="2:5" x14ac:dyDescent="0.25">
      <c r="C39" t="s">
        <v>107</v>
      </c>
    </row>
    <row r="40" spans="2:5" x14ac:dyDescent="0.25">
      <c r="C40" t="s">
        <v>108</v>
      </c>
    </row>
    <row r="42" spans="2:5" ht="13" x14ac:dyDescent="0.3">
      <c r="B42" s="1" t="s">
        <v>109</v>
      </c>
      <c r="C42" t="s">
        <v>110</v>
      </c>
    </row>
    <row r="43" spans="2:5" x14ac:dyDescent="0.25">
      <c r="C43" t="s">
        <v>111</v>
      </c>
    </row>
    <row r="44" spans="2:5" x14ac:dyDescent="0.25">
      <c r="C44" t="s">
        <v>112</v>
      </c>
    </row>
    <row r="46" spans="2:5" x14ac:dyDescent="0.25">
      <c r="C46" t="s">
        <v>113</v>
      </c>
    </row>
    <row r="48" spans="2:5" ht="13" x14ac:dyDescent="0.3">
      <c r="B48" s="1" t="s">
        <v>114</v>
      </c>
      <c r="C48" t="s">
        <v>115</v>
      </c>
    </row>
    <row r="52" spans="1:5" ht="13" x14ac:dyDescent="0.3">
      <c r="A52" s="1" t="s">
        <v>116</v>
      </c>
      <c r="B52" s="1"/>
      <c r="C52" s="1"/>
    </row>
    <row r="54" spans="1:5" x14ac:dyDescent="0.25">
      <c r="B54" t="s">
        <v>117</v>
      </c>
    </row>
    <row r="55" spans="1:5" x14ac:dyDescent="0.25">
      <c r="B55" t="s">
        <v>118</v>
      </c>
    </row>
    <row r="57" spans="1:5" ht="13" x14ac:dyDescent="0.3">
      <c r="B57" s="1" t="s">
        <v>81</v>
      </c>
      <c r="C57" t="s">
        <v>119</v>
      </c>
    </row>
    <row r="58" spans="1:5" x14ac:dyDescent="0.25">
      <c r="C58" t="s">
        <v>120</v>
      </c>
    </row>
    <row r="59" spans="1:5" x14ac:dyDescent="0.25">
      <c r="C59" t="s">
        <v>121</v>
      </c>
    </row>
    <row r="61" spans="1:5" ht="13" x14ac:dyDescent="0.3">
      <c r="B61" s="1" t="s">
        <v>85</v>
      </c>
      <c r="C61" t="s">
        <v>122</v>
      </c>
    </row>
    <row r="63" spans="1:5" x14ac:dyDescent="0.25">
      <c r="C63" s="20" t="s">
        <v>123</v>
      </c>
      <c r="D63" s="20">
        <f>NORMDIST(83,75,8,TRUE)</f>
        <v>0.84134474606854304</v>
      </c>
      <c r="E63" t="s">
        <v>124</v>
      </c>
    </row>
    <row r="65" spans="2:5" x14ac:dyDescent="0.25">
      <c r="C65" t="s">
        <v>125</v>
      </c>
    </row>
    <row r="67" spans="2:5" x14ac:dyDescent="0.25">
      <c r="C67" t="s">
        <v>98</v>
      </c>
    </row>
    <row r="69" spans="2:5" x14ac:dyDescent="0.25">
      <c r="C69" s="44" t="s">
        <v>126</v>
      </c>
      <c r="D69" s="26"/>
      <c r="E69" s="26">
        <v>83</v>
      </c>
    </row>
    <row r="70" spans="2:5" x14ac:dyDescent="0.25">
      <c r="C70" s="45" t="s">
        <v>127</v>
      </c>
      <c r="D70" s="27"/>
      <c r="E70" s="27">
        <v>75</v>
      </c>
    </row>
    <row r="71" spans="2:5" x14ac:dyDescent="0.25">
      <c r="C71" s="45" t="s">
        <v>128</v>
      </c>
      <c r="D71" s="27"/>
      <c r="E71" s="27">
        <v>8</v>
      </c>
    </row>
    <row r="72" spans="2:5" x14ac:dyDescent="0.25">
      <c r="C72" s="46" t="s">
        <v>102</v>
      </c>
      <c r="D72" s="29"/>
      <c r="E72" s="29" t="b">
        <v>1</v>
      </c>
    </row>
    <row r="73" spans="2:5" x14ac:dyDescent="0.25">
      <c r="C73" t="s">
        <v>103</v>
      </c>
    </row>
    <row r="74" spans="2:5" x14ac:dyDescent="0.25">
      <c r="C74" t="s">
        <v>129</v>
      </c>
    </row>
    <row r="75" spans="2:5" x14ac:dyDescent="0.25">
      <c r="C75" t="s">
        <v>130</v>
      </c>
    </row>
    <row r="78" spans="2:5" ht="13" x14ac:dyDescent="0.3">
      <c r="B78" s="1" t="s">
        <v>131</v>
      </c>
      <c r="C78" t="s">
        <v>132</v>
      </c>
    </row>
    <row r="79" spans="2:5" x14ac:dyDescent="0.25">
      <c r="C79" t="s">
        <v>133</v>
      </c>
    </row>
    <row r="81" spans="1:7" ht="13" x14ac:dyDescent="0.3">
      <c r="B81" s="1" t="s">
        <v>109</v>
      </c>
      <c r="C81" t="s">
        <v>134</v>
      </c>
    </row>
    <row r="83" spans="1:7" ht="13" x14ac:dyDescent="0.3">
      <c r="A83" s="1" t="s">
        <v>135</v>
      </c>
      <c r="B83" t="s">
        <v>136</v>
      </c>
    </row>
    <row r="85" spans="1:7" ht="13" x14ac:dyDescent="0.3">
      <c r="B85" s="1" t="s">
        <v>137</v>
      </c>
      <c r="C85" t="s">
        <v>138</v>
      </c>
    </row>
    <row r="86" spans="1:7" x14ac:dyDescent="0.25">
      <c r="C86" t="s">
        <v>139</v>
      </c>
    </row>
    <row r="87" spans="1:7" ht="13" thickBot="1" x14ac:dyDescent="0.3"/>
    <row r="88" spans="1:7" ht="13.5" thickBot="1" x14ac:dyDescent="0.35">
      <c r="C88" s="50" t="s">
        <v>140</v>
      </c>
      <c r="D88" s="51" t="s">
        <v>141</v>
      </c>
      <c r="E88" s="52" t="s">
        <v>142</v>
      </c>
    </row>
    <row r="89" spans="1:7" x14ac:dyDescent="0.25">
      <c r="C89" s="47">
        <v>-3</v>
      </c>
      <c r="D89" s="27">
        <f>NORMDIST(C89,1,0.5,FALSE)</f>
        <v>1.0104542167073785E-14</v>
      </c>
      <c r="E89" s="36">
        <f>NORMDIST(C89,1,1,FALSE)</f>
        <v>1.3383022576488537E-4</v>
      </c>
      <c r="G89" t="s">
        <v>143</v>
      </c>
    </row>
    <row r="90" spans="1:7" x14ac:dyDescent="0.25">
      <c r="C90" s="47">
        <v>-2</v>
      </c>
      <c r="D90" s="27">
        <f t="shared" ref="D90:D98" si="0">NORMDIST(C90,1,0.5,FALSE)</f>
        <v>1.2151765699646572E-8</v>
      </c>
      <c r="E90" s="36">
        <f t="shared" ref="E90:E98" si="1">NORMDIST(C90,1,1,FALSE)</f>
        <v>4.4318484119380075E-3</v>
      </c>
      <c r="G90" t="s">
        <v>144</v>
      </c>
    </row>
    <row r="91" spans="1:7" x14ac:dyDescent="0.25">
      <c r="C91" s="47">
        <v>-1</v>
      </c>
      <c r="D91" s="27">
        <f t="shared" si="0"/>
        <v>2.6766045152977074E-4</v>
      </c>
      <c r="E91" s="36">
        <f t="shared" si="1"/>
        <v>5.3990966513188063E-2</v>
      </c>
      <c r="G91" t="s">
        <v>145</v>
      </c>
    </row>
    <row r="92" spans="1:7" x14ac:dyDescent="0.25">
      <c r="C92" s="47">
        <v>0</v>
      </c>
      <c r="D92" s="27">
        <f t="shared" si="0"/>
        <v>0.10798193302637613</v>
      </c>
      <c r="E92" s="36">
        <f t="shared" si="1"/>
        <v>0.24197072451914337</v>
      </c>
      <c r="G92" t="s">
        <v>146</v>
      </c>
    </row>
    <row r="93" spans="1:7" x14ac:dyDescent="0.25">
      <c r="C93" s="47">
        <v>0.5</v>
      </c>
      <c r="D93" s="27">
        <f t="shared" si="0"/>
        <v>0.48394144903828673</v>
      </c>
      <c r="E93" s="36">
        <f t="shared" si="1"/>
        <v>0.35206532676429952</v>
      </c>
      <c r="G93" t="s">
        <v>147</v>
      </c>
    </row>
    <row r="94" spans="1:7" x14ac:dyDescent="0.25">
      <c r="C94" s="47">
        <v>1</v>
      </c>
      <c r="D94" s="27">
        <f t="shared" si="0"/>
        <v>0.79788456080286541</v>
      </c>
      <c r="E94" s="36">
        <f t="shared" si="1"/>
        <v>0.3989422804014327</v>
      </c>
    </row>
    <row r="95" spans="1:7" x14ac:dyDescent="0.25">
      <c r="C95" s="47">
        <v>1.5</v>
      </c>
      <c r="D95" s="27">
        <f t="shared" si="0"/>
        <v>0.48394144903828673</v>
      </c>
      <c r="E95" s="36">
        <f t="shared" si="1"/>
        <v>0.35206532676429952</v>
      </c>
      <c r="G95" t="s">
        <v>148</v>
      </c>
    </row>
    <row r="96" spans="1:7" x14ac:dyDescent="0.25">
      <c r="C96" s="47">
        <v>2</v>
      </c>
      <c r="D96" s="27">
        <f t="shared" si="0"/>
        <v>0.10798193302637613</v>
      </c>
      <c r="E96" s="36">
        <f t="shared" si="1"/>
        <v>0.24197072451914337</v>
      </c>
      <c r="G96" t="s">
        <v>149</v>
      </c>
    </row>
    <row r="97" spans="3:5" x14ac:dyDescent="0.25">
      <c r="C97" s="47">
        <v>3</v>
      </c>
      <c r="D97" s="27">
        <f t="shared" si="0"/>
        <v>2.6766045152977074E-4</v>
      </c>
      <c r="E97" s="36">
        <f t="shared" si="1"/>
        <v>5.3990966513188063E-2</v>
      </c>
    </row>
    <row r="98" spans="3:5" ht="13" thickBot="1" x14ac:dyDescent="0.3">
      <c r="C98" s="48">
        <v>4</v>
      </c>
      <c r="D98" s="49">
        <f t="shared" si="0"/>
        <v>1.2151765699646572E-8</v>
      </c>
      <c r="E98" s="38">
        <f t="shared" si="1"/>
        <v>4.4318484119380075E-3</v>
      </c>
    </row>
    <row r="100" spans="3:5" x14ac:dyDescent="0.25">
      <c r="C100" t="s">
        <v>150</v>
      </c>
    </row>
    <row r="101" spans="3:5" x14ac:dyDescent="0.25">
      <c r="C101" t="s">
        <v>151</v>
      </c>
    </row>
    <row r="102" spans="3:5" x14ac:dyDescent="0.25">
      <c r="C102" t="s">
        <v>152</v>
      </c>
    </row>
    <row r="123" spans="2:3" x14ac:dyDescent="0.25">
      <c r="C123" t="s">
        <v>153</v>
      </c>
    </row>
    <row r="125" spans="2:3" ht="13" x14ac:dyDescent="0.3">
      <c r="B125" s="1" t="s">
        <v>109</v>
      </c>
      <c r="C125" t="s">
        <v>154</v>
      </c>
    </row>
  </sheetData>
  <phoneticPr fontId="7" type="noConversion"/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31" workbookViewId="0"/>
  </sheetViews>
  <sheetFormatPr defaultRowHeight="12.5" x14ac:dyDescent="0.25"/>
  <cols>
    <col min="2" max="2" width="10.54296875" customWidth="1"/>
    <col min="3" max="3" width="9.08984375" customWidth="1"/>
    <col min="4" max="4" width="11.36328125" customWidth="1"/>
  </cols>
  <sheetData>
    <row r="1" spans="1:8" ht="13" x14ac:dyDescent="0.3">
      <c r="A1" s="1" t="s">
        <v>155</v>
      </c>
      <c r="B1" s="1"/>
      <c r="D1" s="2" t="s">
        <v>156</v>
      </c>
      <c r="E1" s="2"/>
      <c r="F1" s="2"/>
      <c r="H1" s="3" t="s">
        <v>157</v>
      </c>
    </row>
    <row r="3" spans="1:8" x14ac:dyDescent="0.25">
      <c r="A3" t="s">
        <v>158</v>
      </c>
    </row>
    <row r="4" spans="1:8" x14ac:dyDescent="0.25">
      <c r="A4" t="s">
        <v>159</v>
      </c>
    </row>
    <row r="5" spans="1:8" x14ac:dyDescent="0.25">
      <c r="A5" t="s">
        <v>160</v>
      </c>
    </row>
    <row r="6" spans="1:8" x14ac:dyDescent="0.25">
      <c r="A6" t="s">
        <v>161</v>
      </c>
    </row>
    <row r="8" spans="1:8" ht="13" x14ac:dyDescent="0.3">
      <c r="A8" s="1"/>
      <c r="E8" s="19"/>
      <c r="F8" s="19"/>
    </row>
    <row r="9" spans="1:8" ht="13" x14ac:dyDescent="0.3">
      <c r="A9" s="1" t="s">
        <v>81</v>
      </c>
      <c r="B9" t="s">
        <v>162</v>
      </c>
      <c r="E9" s="17"/>
      <c r="F9" s="18"/>
    </row>
    <row r="10" spans="1:8" x14ac:dyDescent="0.25">
      <c r="B10" t="s">
        <v>163</v>
      </c>
      <c r="E10" s="17"/>
      <c r="F10" s="18"/>
    </row>
    <row r="11" spans="1:8" x14ac:dyDescent="0.25">
      <c r="B11" t="s">
        <v>164</v>
      </c>
      <c r="E11" s="17"/>
      <c r="F11" s="18"/>
    </row>
    <row r="12" spans="1:8" x14ac:dyDescent="0.25">
      <c r="E12" s="17"/>
      <c r="F12" s="18"/>
    </row>
    <row r="13" spans="1:8" ht="13" x14ac:dyDescent="0.3">
      <c r="A13" s="1" t="s">
        <v>85</v>
      </c>
      <c r="B13" t="s">
        <v>165</v>
      </c>
      <c r="E13" s="17"/>
      <c r="F13" s="18"/>
    </row>
    <row r="14" spans="1:8" x14ac:dyDescent="0.25">
      <c r="B14" t="s">
        <v>166</v>
      </c>
      <c r="E14" s="17"/>
      <c r="F14" s="18"/>
    </row>
    <row r="15" spans="1:8" x14ac:dyDescent="0.25">
      <c r="B15" t="s">
        <v>167</v>
      </c>
      <c r="E15" s="17"/>
      <c r="F15" s="18"/>
    </row>
    <row r="16" spans="1:8" x14ac:dyDescent="0.25">
      <c r="B16" t="s">
        <v>168</v>
      </c>
      <c r="E16" s="17"/>
      <c r="F16" s="18"/>
    </row>
    <row r="17" spans="1:6" x14ac:dyDescent="0.25">
      <c r="B17" t="s">
        <v>169</v>
      </c>
      <c r="E17" s="17"/>
      <c r="F17" s="18"/>
    </row>
    <row r="18" spans="1:6" x14ac:dyDescent="0.25">
      <c r="E18" s="17"/>
      <c r="F18" s="18"/>
    </row>
    <row r="19" spans="1:6" ht="13" x14ac:dyDescent="0.3">
      <c r="A19" s="1">
        <v>1</v>
      </c>
      <c r="B19" t="s">
        <v>170</v>
      </c>
      <c r="E19" s="18"/>
      <c r="F19" s="18"/>
    </row>
    <row r="20" spans="1:6" x14ac:dyDescent="0.25">
      <c r="B20" t="s">
        <v>171</v>
      </c>
    </row>
    <row r="21" spans="1:6" x14ac:dyDescent="0.25">
      <c r="B21" t="s">
        <v>172</v>
      </c>
    </row>
    <row r="23" spans="1:6" ht="13" x14ac:dyDescent="0.3">
      <c r="A23" s="1">
        <v>2</v>
      </c>
      <c r="B23" t="s">
        <v>173</v>
      </c>
    </row>
    <row r="24" spans="1:6" x14ac:dyDescent="0.25">
      <c r="B24" t="s">
        <v>174</v>
      </c>
    </row>
    <row r="26" spans="1:6" ht="13" x14ac:dyDescent="0.3">
      <c r="A26" s="1">
        <v>3</v>
      </c>
      <c r="B26" t="s">
        <v>175</v>
      </c>
    </row>
    <row r="28" spans="1:6" x14ac:dyDescent="0.25">
      <c r="B28" s="20" t="s">
        <v>176</v>
      </c>
      <c r="C28" s="20">
        <v>4</v>
      </c>
    </row>
    <row r="30" spans="1:6" x14ac:dyDescent="0.25">
      <c r="B30" t="s">
        <v>177</v>
      </c>
    </row>
    <row r="31" spans="1:6" x14ac:dyDescent="0.25">
      <c r="B31" t="s">
        <v>178</v>
      </c>
    </row>
    <row r="32" spans="1:6" x14ac:dyDescent="0.25">
      <c r="B32" t="s">
        <v>179</v>
      </c>
    </row>
    <row r="34" spans="2:2" x14ac:dyDescent="0.25">
      <c r="B34" t="s">
        <v>180</v>
      </c>
    </row>
    <row r="35" spans="2:2" x14ac:dyDescent="0.25">
      <c r="B35" t="s">
        <v>181</v>
      </c>
    </row>
    <row r="36" spans="2:2" x14ac:dyDescent="0.25">
      <c r="B36" t="s">
        <v>182</v>
      </c>
    </row>
    <row r="38" spans="2:2" x14ac:dyDescent="0.25">
      <c r="B38" t="s">
        <v>183</v>
      </c>
    </row>
    <row r="39" spans="2:2" x14ac:dyDescent="0.25">
      <c r="B39" t="s">
        <v>184</v>
      </c>
    </row>
    <row r="41" spans="2:2" x14ac:dyDescent="0.25">
      <c r="B41" t="s">
        <v>185</v>
      </c>
    </row>
    <row r="46" spans="2:2" x14ac:dyDescent="0.25">
      <c r="B46" t="s">
        <v>186</v>
      </c>
    </row>
    <row r="47" spans="2:2" x14ac:dyDescent="0.25">
      <c r="B47" t="s">
        <v>187</v>
      </c>
    </row>
    <row r="53" spans="2:4" ht="13" x14ac:dyDescent="0.3">
      <c r="B53" s="2" t="s">
        <v>105</v>
      </c>
      <c r="C53" t="s">
        <v>188</v>
      </c>
    </row>
    <row r="54" spans="2:4" x14ac:dyDescent="0.25">
      <c r="C54" t="s">
        <v>189</v>
      </c>
    </row>
    <row r="55" spans="2:4" x14ac:dyDescent="0.25">
      <c r="C55" t="s">
        <v>190</v>
      </c>
    </row>
    <row r="56" spans="2:4" ht="13" thickBot="1" x14ac:dyDescent="0.3"/>
    <row r="57" spans="2:4" x14ac:dyDescent="0.25">
      <c r="C57" s="21" t="s">
        <v>191</v>
      </c>
      <c r="D57" s="22" t="s">
        <v>192</v>
      </c>
    </row>
    <row r="58" spans="2:4" x14ac:dyDescent="0.25">
      <c r="C58" s="23">
        <v>1</v>
      </c>
    </row>
    <row r="59" spans="2:4" x14ac:dyDescent="0.25">
      <c r="C59" s="23">
        <v>2</v>
      </c>
    </row>
    <row r="60" spans="2:4" x14ac:dyDescent="0.25">
      <c r="C60" s="23">
        <v>3</v>
      </c>
    </row>
    <row r="61" spans="2:4" x14ac:dyDescent="0.25">
      <c r="C61" s="23">
        <v>4</v>
      </c>
    </row>
    <row r="62" spans="2:4" x14ac:dyDescent="0.25">
      <c r="C62" s="23">
        <v>5</v>
      </c>
    </row>
    <row r="63" spans="2:4" x14ac:dyDescent="0.25">
      <c r="C63" s="23">
        <v>6</v>
      </c>
    </row>
    <row r="64" spans="2:4" x14ac:dyDescent="0.25">
      <c r="C64" s="23">
        <v>7</v>
      </c>
    </row>
    <row r="65" spans="2:4" x14ac:dyDescent="0.25">
      <c r="C65" s="23">
        <v>8</v>
      </c>
    </row>
    <row r="66" spans="2:4" x14ac:dyDescent="0.25">
      <c r="C66" s="23">
        <v>9</v>
      </c>
    </row>
    <row r="67" spans="2:4" x14ac:dyDescent="0.25">
      <c r="C67" s="23">
        <v>10</v>
      </c>
    </row>
    <row r="68" spans="2:4" x14ac:dyDescent="0.25">
      <c r="C68" s="23">
        <v>11</v>
      </c>
    </row>
    <row r="69" spans="2:4" x14ac:dyDescent="0.25">
      <c r="C69" s="23">
        <v>12</v>
      </c>
    </row>
    <row r="70" spans="2:4" x14ac:dyDescent="0.25">
      <c r="C70" s="23">
        <v>13</v>
      </c>
    </row>
    <row r="71" spans="2:4" x14ac:dyDescent="0.25">
      <c r="C71" s="23">
        <v>14</v>
      </c>
    </row>
    <row r="72" spans="2:4" ht="13" thickBot="1" x14ac:dyDescent="0.3">
      <c r="C72" s="24">
        <v>15</v>
      </c>
      <c r="D72" s="25"/>
    </row>
    <row r="75" spans="2:4" ht="13" x14ac:dyDescent="0.3">
      <c r="B75" s="1" t="s">
        <v>193</v>
      </c>
    </row>
    <row r="76" spans="2:4" x14ac:dyDescent="0.25">
      <c r="C76" t="s">
        <v>194</v>
      </c>
    </row>
    <row r="78" spans="2:4" ht="13" x14ac:dyDescent="0.3">
      <c r="B78" s="1" t="s">
        <v>109</v>
      </c>
      <c r="C78" t="s">
        <v>195</v>
      </c>
    </row>
    <row r="79" spans="2:4" x14ac:dyDescent="0.25">
      <c r="C79" t="s">
        <v>196</v>
      </c>
    </row>
  </sheetData>
  <phoneticPr fontId="7" type="noConversion"/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opLeftCell="A126" workbookViewId="0"/>
  </sheetViews>
  <sheetFormatPr defaultRowHeight="12.5" x14ac:dyDescent="0.25"/>
  <cols>
    <col min="2" max="2" width="10" customWidth="1"/>
    <col min="3" max="3" width="10.08984375" customWidth="1"/>
    <col min="4" max="4" width="7.6328125" customWidth="1"/>
    <col min="5" max="5" width="9.6328125" customWidth="1"/>
    <col min="6" max="6" width="10.36328125" customWidth="1"/>
  </cols>
  <sheetData>
    <row r="1" spans="1:9" ht="13" x14ac:dyDescent="0.3">
      <c r="A1" s="1" t="s">
        <v>197</v>
      </c>
      <c r="B1" s="1"/>
      <c r="D1" s="2" t="s">
        <v>198</v>
      </c>
      <c r="E1" s="2"/>
      <c r="F1" s="2"/>
      <c r="G1" s="2"/>
      <c r="H1" s="3" t="s">
        <v>199</v>
      </c>
      <c r="I1" s="3"/>
    </row>
    <row r="2" spans="1:9" ht="13" x14ac:dyDescent="0.3">
      <c r="G2" s="3"/>
      <c r="H2" s="3"/>
    </row>
    <row r="3" spans="1:9" x14ac:dyDescent="0.25">
      <c r="A3" t="s">
        <v>200</v>
      </c>
    </row>
    <row r="4" spans="1:9" x14ac:dyDescent="0.25">
      <c r="A4" t="s">
        <v>201</v>
      </c>
    </row>
    <row r="5" spans="1:9" x14ac:dyDescent="0.25">
      <c r="A5" t="s">
        <v>202</v>
      </c>
    </row>
    <row r="7" spans="1:9" ht="13" x14ac:dyDescent="0.3">
      <c r="A7" s="1" t="s">
        <v>81</v>
      </c>
      <c r="B7" t="s">
        <v>203</v>
      </c>
    </row>
    <row r="8" spans="1:9" x14ac:dyDescent="0.25">
      <c r="B8" t="s">
        <v>204</v>
      </c>
    </row>
    <row r="9" spans="1:9" ht="13" thickBot="1" x14ac:dyDescent="0.3"/>
    <row r="10" spans="1:9" ht="13.5" thickBot="1" x14ac:dyDescent="0.35">
      <c r="A10" s="1"/>
      <c r="C10" s="55" t="s">
        <v>205</v>
      </c>
    </row>
    <row r="11" spans="1:9" x14ac:dyDescent="0.25">
      <c r="C11" s="53">
        <v>100</v>
      </c>
    </row>
    <row r="12" spans="1:9" x14ac:dyDescent="0.25">
      <c r="C12" s="53">
        <v>75</v>
      </c>
    </row>
    <row r="13" spans="1:9" x14ac:dyDescent="0.25">
      <c r="C13" s="53">
        <v>64</v>
      </c>
    </row>
    <row r="14" spans="1:9" x14ac:dyDescent="0.25">
      <c r="C14" s="53">
        <v>98</v>
      </c>
    </row>
    <row r="15" spans="1:9" x14ac:dyDescent="0.25">
      <c r="C15" s="53">
        <v>67</v>
      </c>
    </row>
    <row r="16" spans="1:9" x14ac:dyDescent="0.25">
      <c r="C16" s="53">
        <v>89</v>
      </c>
    </row>
    <row r="17" spans="1:3" x14ac:dyDescent="0.25">
      <c r="C17" s="53">
        <v>90</v>
      </c>
    </row>
    <row r="18" spans="1:3" x14ac:dyDescent="0.25">
      <c r="C18" s="53">
        <v>55</v>
      </c>
    </row>
    <row r="19" spans="1:3" x14ac:dyDescent="0.25">
      <c r="C19" s="53">
        <v>78</v>
      </c>
    </row>
    <row r="20" spans="1:3" ht="13" thickBot="1" x14ac:dyDescent="0.3">
      <c r="C20" s="54">
        <v>75</v>
      </c>
    </row>
    <row r="22" spans="1:3" ht="13" x14ac:dyDescent="0.3">
      <c r="A22" s="1" t="s">
        <v>85</v>
      </c>
      <c r="B22" t="s">
        <v>206</v>
      </c>
    </row>
    <row r="23" spans="1:3" x14ac:dyDescent="0.25">
      <c r="B23" s="43" t="s">
        <v>207</v>
      </c>
      <c r="C23" s="43"/>
    </row>
    <row r="25" spans="1:3" x14ac:dyDescent="0.25">
      <c r="B25" t="s">
        <v>208</v>
      </c>
    </row>
    <row r="26" spans="1:3" x14ac:dyDescent="0.25">
      <c r="B26" t="s">
        <v>209</v>
      </c>
    </row>
    <row r="27" spans="1:3" x14ac:dyDescent="0.25">
      <c r="B27" t="s">
        <v>210</v>
      </c>
    </row>
    <row r="29" spans="1:3" x14ac:dyDescent="0.25">
      <c r="B29" t="s">
        <v>211</v>
      </c>
    </row>
    <row r="31" spans="1:3" x14ac:dyDescent="0.25">
      <c r="B31" s="20" t="s">
        <v>212</v>
      </c>
      <c r="C31" s="56">
        <f>AVERAGE($C$11:$C$20)</f>
        <v>79.099999999999994</v>
      </c>
    </row>
    <row r="32" spans="1:3" x14ac:dyDescent="0.25">
      <c r="B32" s="20" t="s">
        <v>213</v>
      </c>
      <c r="C32" s="56">
        <f>STDEVP($C$11:$C$20)</f>
        <v>14.145317246354002</v>
      </c>
    </row>
    <row r="34" spans="1:3" ht="13" x14ac:dyDescent="0.3">
      <c r="B34" s="2" t="s">
        <v>214</v>
      </c>
      <c r="C34" t="s">
        <v>215</v>
      </c>
    </row>
    <row r="35" spans="1:3" x14ac:dyDescent="0.25">
      <c r="C35" t="s">
        <v>216</v>
      </c>
    </row>
    <row r="36" spans="1:3" x14ac:dyDescent="0.25">
      <c r="C36" t="s">
        <v>217</v>
      </c>
    </row>
    <row r="38" spans="1:3" ht="13" x14ac:dyDescent="0.3">
      <c r="B38" s="2" t="s">
        <v>214</v>
      </c>
      <c r="C38" t="s">
        <v>218</v>
      </c>
    </row>
    <row r="39" spans="1:3" x14ac:dyDescent="0.25">
      <c r="C39" t="s">
        <v>219</v>
      </c>
    </row>
    <row r="42" spans="1:3" ht="13" x14ac:dyDescent="0.3">
      <c r="A42" s="1" t="s">
        <v>109</v>
      </c>
      <c r="B42" t="s">
        <v>220</v>
      </c>
    </row>
    <row r="44" spans="1:3" ht="13" x14ac:dyDescent="0.3">
      <c r="A44" s="1" t="s">
        <v>221</v>
      </c>
      <c r="B44" s="1"/>
      <c r="C44" s="1"/>
    </row>
    <row r="46" spans="1:3" x14ac:dyDescent="0.25">
      <c r="B46" t="s">
        <v>222</v>
      </c>
    </row>
    <row r="47" spans="1:3" x14ac:dyDescent="0.25">
      <c r="B47" t="s">
        <v>223</v>
      </c>
    </row>
    <row r="49" spans="1:4" ht="13" x14ac:dyDescent="0.3">
      <c r="B49" s="1" t="s">
        <v>81</v>
      </c>
      <c r="C49" t="s">
        <v>224</v>
      </c>
    </row>
    <row r="50" spans="1:4" ht="13" x14ac:dyDescent="0.3">
      <c r="B50" s="1"/>
    </row>
    <row r="52" spans="1:4" x14ac:dyDescent="0.25">
      <c r="C52" s="20" t="s">
        <v>212</v>
      </c>
      <c r="D52" s="56">
        <f>AVERAGE($C$11:$C$20)</f>
        <v>79.099999999999994</v>
      </c>
    </row>
    <row r="53" spans="1:4" x14ac:dyDescent="0.25">
      <c r="C53" s="20" t="s">
        <v>213</v>
      </c>
      <c r="D53" s="56">
        <f>STDEV($C$11:$C$20)</f>
        <v>14.91047357471326</v>
      </c>
    </row>
    <row r="55" spans="1:4" x14ac:dyDescent="0.25">
      <c r="C55" t="s">
        <v>225</v>
      </c>
    </row>
    <row r="56" spans="1:4" x14ac:dyDescent="0.25">
      <c r="C56" t="s">
        <v>226</v>
      </c>
    </row>
    <row r="58" spans="1:4" ht="13" x14ac:dyDescent="0.3">
      <c r="A58" s="1" t="s">
        <v>227</v>
      </c>
      <c r="B58" s="1"/>
      <c r="C58" s="1"/>
      <c r="D58" s="1"/>
    </row>
    <row r="60" spans="1:4" x14ac:dyDescent="0.25">
      <c r="B60" t="s">
        <v>228</v>
      </c>
    </row>
    <row r="61" spans="1:4" x14ac:dyDescent="0.25">
      <c r="B61" t="s">
        <v>229</v>
      </c>
    </row>
    <row r="63" spans="1:4" ht="13" x14ac:dyDescent="0.3">
      <c r="B63" s="1" t="s">
        <v>81</v>
      </c>
      <c r="C63" t="s">
        <v>230</v>
      </c>
    </row>
    <row r="64" spans="1:4" x14ac:dyDescent="0.25">
      <c r="C64" t="s">
        <v>231</v>
      </c>
    </row>
    <row r="65" spans="2:4" x14ac:dyDescent="0.25">
      <c r="C65" t="s">
        <v>232</v>
      </c>
    </row>
    <row r="66" spans="2:4" ht="13" thickBot="1" x14ac:dyDescent="0.3"/>
    <row r="67" spans="2:4" ht="25.5" thickBot="1" x14ac:dyDescent="0.3">
      <c r="D67" s="59" t="s">
        <v>233</v>
      </c>
    </row>
    <row r="68" spans="2:4" x14ac:dyDescent="0.25">
      <c r="D68" s="53">
        <v>89</v>
      </c>
    </row>
    <row r="69" spans="2:4" x14ac:dyDescent="0.25">
      <c r="D69" s="53">
        <v>92</v>
      </c>
    </row>
    <row r="70" spans="2:4" x14ac:dyDescent="0.25">
      <c r="D70" s="53">
        <v>78</v>
      </c>
    </row>
    <row r="71" spans="2:4" x14ac:dyDescent="0.25">
      <c r="D71" s="53">
        <v>75</v>
      </c>
    </row>
    <row r="72" spans="2:4" x14ac:dyDescent="0.25">
      <c r="D72" s="53">
        <v>73</v>
      </c>
    </row>
    <row r="73" spans="2:4" x14ac:dyDescent="0.25">
      <c r="D73" s="53">
        <v>68</v>
      </c>
    </row>
    <row r="74" spans="2:4" x14ac:dyDescent="0.25">
      <c r="D74" s="53">
        <v>79</v>
      </c>
    </row>
    <row r="75" spans="2:4" x14ac:dyDescent="0.25">
      <c r="D75" s="53">
        <v>50</v>
      </c>
    </row>
    <row r="76" spans="2:4" x14ac:dyDescent="0.25">
      <c r="D76" s="53">
        <v>65</v>
      </c>
    </row>
    <row r="77" spans="2:4" ht="13" thickBot="1" x14ac:dyDescent="0.3">
      <c r="D77" s="54">
        <v>87</v>
      </c>
    </row>
    <row r="80" spans="2:4" ht="13" x14ac:dyDescent="0.3">
      <c r="B80" s="1" t="s">
        <v>85</v>
      </c>
      <c r="C80" t="s">
        <v>234</v>
      </c>
    </row>
    <row r="81" spans="3:6" x14ac:dyDescent="0.25">
      <c r="C81" t="s">
        <v>235</v>
      </c>
    </row>
    <row r="82" spans="3:6" x14ac:dyDescent="0.25">
      <c r="C82" t="s">
        <v>236</v>
      </c>
    </row>
    <row r="83" spans="3:6" ht="13" x14ac:dyDescent="0.3">
      <c r="C83" s="3" t="s">
        <v>237</v>
      </c>
    </row>
    <row r="85" spans="3:6" ht="25" x14ac:dyDescent="0.25">
      <c r="C85" s="65" t="s">
        <v>238</v>
      </c>
      <c r="D85" s="56" t="s">
        <v>239</v>
      </c>
      <c r="E85" s="65" t="s">
        <v>240</v>
      </c>
      <c r="F85" s="64"/>
    </row>
    <row r="86" spans="3:6" x14ac:dyDescent="0.25">
      <c r="C86" s="62" t="s">
        <v>241</v>
      </c>
      <c r="D86" s="61">
        <v>59</v>
      </c>
      <c r="E86" s="60">
        <f t="array" ref="E86:E90">FREQUENCY(D68:D77,D86:D89)</f>
        <v>1</v>
      </c>
      <c r="F86" s="64"/>
    </row>
    <row r="87" spans="3:6" x14ac:dyDescent="0.25">
      <c r="C87" s="62" t="s">
        <v>242</v>
      </c>
      <c r="D87" s="61">
        <v>69</v>
      </c>
      <c r="E87" s="60">
        <v>2</v>
      </c>
      <c r="F87" s="64"/>
    </row>
    <row r="88" spans="3:6" x14ac:dyDescent="0.25">
      <c r="C88" s="62" t="s">
        <v>243</v>
      </c>
      <c r="D88" s="61">
        <v>79</v>
      </c>
      <c r="E88" s="60">
        <v>4</v>
      </c>
      <c r="F88" s="64"/>
    </row>
    <row r="89" spans="3:6" x14ac:dyDescent="0.25">
      <c r="C89" s="62" t="s">
        <v>244</v>
      </c>
      <c r="D89" s="61">
        <v>89</v>
      </c>
      <c r="E89" s="60">
        <v>2</v>
      </c>
      <c r="F89" s="64"/>
    </row>
    <row r="90" spans="3:6" x14ac:dyDescent="0.25">
      <c r="C90" s="62" t="s">
        <v>245</v>
      </c>
      <c r="D90" s="64"/>
      <c r="E90" s="60">
        <v>1</v>
      </c>
      <c r="F90" s="64"/>
    </row>
    <row r="91" spans="3:6" x14ac:dyDescent="0.25">
      <c r="C91" s="58"/>
      <c r="D91" s="58"/>
      <c r="F91" s="63"/>
    </row>
    <row r="92" spans="3:6" x14ac:dyDescent="0.25">
      <c r="C92" t="s">
        <v>246</v>
      </c>
    </row>
    <row r="94" spans="3:6" x14ac:dyDescent="0.25">
      <c r="D94" t="s">
        <v>247</v>
      </c>
    </row>
    <row r="95" spans="3:6" x14ac:dyDescent="0.25">
      <c r="D95" t="s">
        <v>248</v>
      </c>
    </row>
    <row r="96" spans="3:6" x14ac:dyDescent="0.25">
      <c r="D96" t="s">
        <v>249</v>
      </c>
    </row>
    <row r="97" spans="3:6" x14ac:dyDescent="0.25">
      <c r="D97" t="s">
        <v>250</v>
      </c>
    </row>
    <row r="98" spans="3:6" x14ac:dyDescent="0.25">
      <c r="D98" t="s">
        <v>251</v>
      </c>
    </row>
    <row r="99" spans="3:6" x14ac:dyDescent="0.25">
      <c r="D99" t="s">
        <v>252</v>
      </c>
    </row>
    <row r="101" spans="3:6" x14ac:dyDescent="0.25">
      <c r="C101" t="s">
        <v>253</v>
      </c>
    </row>
    <row r="102" spans="3:6" x14ac:dyDescent="0.25">
      <c r="C102" t="s">
        <v>254</v>
      </c>
    </row>
    <row r="104" spans="3:6" ht="13" x14ac:dyDescent="0.3">
      <c r="C104" s="2" t="s">
        <v>214</v>
      </c>
      <c r="D104" t="s">
        <v>255</v>
      </c>
    </row>
    <row r="105" spans="3:6" x14ac:dyDescent="0.25">
      <c r="D105" t="s">
        <v>256</v>
      </c>
    </row>
    <row r="107" spans="3:6" ht="13" x14ac:dyDescent="0.3">
      <c r="C107" s="2" t="s">
        <v>214</v>
      </c>
      <c r="D107" t="s">
        <v>257</v>
      </c>
    </row>
    <row r="108" spans="3:6" x14ac:dyDescent="0.25">
      <c r="D108" t="s">
        <v>258</v>
      </c>
    </row>
    <row r="110" spans="3:6" ht="25" x14ac:dyDescent="0.25">
      <c r="D110" s="65" t="s">
        <v>259</v>
      </c>
      <c r="E110" s="56" t="s">
        <v>239</v>
      </c>
      <c r="F110" s="65" t="s">
        <v>240</v>
      </c>
    </row>
    <row r="112" spans="3:6" x14ac:dyDescent="0.25">
      <c r="D112" t="s">
        <v>260</v>
      </c>
    </row>
    <row r="114" spans="1:4" ht="13" x14ac:dyDescent="0.3">
      <c r="A114" s="1" t="s">
        <v>261</v>
      </c>
      <c r="B114" t="s">
        <v>262</v>
      </c>
    </row>
    <row r="115" spans="1:4" x14ac:dyDescent="0.25">
      <c r="B115" t="s">
        <v>263</v>
      </c>
    </row>
    <row r="116" spans="1:4" x14ac:dyDescent="0.25">
      <c r="B116" t="s">
        <v>264</v>
      </c>
    </row>
    <row r="117" spans="1:4" x14ac:dyDescent="0.25">
      <c r="B117" t="s">
        <v>265</v>
      </c>
    </row>
    <row r="119" spans="1:4" ht="13" x14ac:dyDescent="0.3">
      <c r="A119" s="1" t="s">
        <v>109</v>
      </c>
      <c r="B119" t="s">
        <v>266</v>
      </c>
    </row>
    <row r="120" spans="1:4" x14ac:dyDescent="0.25">
      <c r="B120" t="s">
        <v>267</v>
      </c>
    </row>
    <row r="121" spans="1:4" x14ac:dyDescent="0.25">
      <c r="B121" t="s">
        <v>268</v>
      </c>
    </row>
    <row r="123" spans="1:4" ht="13" x14ac:dyDescent="0.3">
      <c r="A123" s="1" t="s">
        <v>269</v>
      </c>
      <c r="B123" s="1"/>
      <c r="C123" s="1"/>
    </row>
    <row r="125" spans="1:4" x14ac:dyDescent="0.25">
      <c r="B125" t="s">
        <v>270</v>
      </c>
    </row>
    <row r="126" spans="1:4" x14ac:dyDescent="0.25">
      <c r="B126" t="s">
        <v>271</v>
      </c>
    </row>
    <row r="127" spans="1:4" x14ac:dyDescent="0.25">
      <c r="B127" s="43" t="s">
        <v>272</v>
      </c>
      <c r="C127" s="43"/>
      <c r="D127" s="43"/>
    </row>
    <row r="129" spans="1:4" x14ac:dyDescent="0.25">
      <c r="C129" s="20" t="s">
        <v>273</v>
      </c>
      <c r="D129" s="56">
        <f>MEDIAN($C$11:$C$20)</f>
        <v>76.5</v>
      </c>
    </row>
    <row r="131" spans="1:4" x14ac:dyDescent="0.25">
      <c r="B131" t="s">
        <v>274</v>
      </c>
    </row>
    <row r="132" spans="1:4" x14ac:dyDescent="0.25">
      <c r="B132" s="43" t="s">
        <v>275</v>
      </c>
      <c r="C132" s="43"/>
      <c r="D132" s="43"/>
    </row>
    <row r="134" spans="1:4" x14ac:dyDescent="0.25">
      <c r="C134" s="20" t="s">
        <v>276</v>
      </c>
      <c r="D134" s="56">
        <f>MODE($C$11:$C$20)</f>
        <v>75</v>
      </c>
    </row>
    <row r="137" spans="1:4" ht="13" x14ac:dyDescent="0.3">
      <c r="B137" s="1" t="s">
        <v>131</v>
      </c>
      <c r="C137" t="s">
        <v>277</v>
      </c>
    </row>
    <row r="139" spans="1:4" ht="13" x14ac:dyDescent="0.3">
      <c r="B139" s="1" t="s">
        <v>131</v>
      </c>
      <c r="C139" t="s">
        <v>278</v>
      </c>
    </row>
    <row r="141" spans="1:4" ht="13" x14ac:dyDescent="0.3">
      <c r="B141" s="1" t="s">
        <v>279</v>
      </c>
      <c r="C141" t="s">
        <v>280</v>
      </c>
    </row>
    <row r="142" spans="1:4" x14ac:dyDescent="0.25">
      <c r="C142" t="s">
        <v>281</v>
      </c>
    </row>
    <row r="144" spans="1:4" ht="13" x14ac:dyDescent="0.3">
      <c r="A144" s="1" t="s">
        <v>109</v>
      </c>
      <c r="B144" t="s">
        <v>282</v>
      </c>
    </row>
  </sheetData>
  <phoneticPr fontId="7" type="noConversion"/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selection activeCell="B53" sqref="B53"/>
    </sheetView>
  </sheetViews>
  <sheetFormatPr defaultRowHeight="12.5" x14ac:dyDescent="0.25"/>
  <sheetData>
    <row r="1" spans="1:8" ht="13" x14ac:dyDescent="0.3">
      <c r="A1" s="1" t="s">
        <v>283</v>
      </c>
      <c r="B1" s="1"/>
      <c r="D1" s="2" t="s">
        <v>284</v>
      </c>
      <c r="E1" s="2"/>
      <c r="F1" s="2"/>
      <c r="G1" s="2"/>
      <c r="H1" s="3" t="s">
        <v>285</v>
      </c>
    </row>
    <row r="3" spans="1:8" x14ac:dyDescent="0.25">
      <c r="A3" t="s">
        <v>158</v>
      </c>
    </row>
    <row r="4" spans="1:8" x14ac:dyDescent="0.25">
      <c r="A4" t="s">
        <v>159</v>
      </c>
    </row>
    <row r="5" spans="1:8" x14ac:dyDescent="0.25">
      <c r="A5" t="s">
        <v>160</v>
      </c>
    </row>
    <row r="6" spans="1:8" x14ac:dyDescent="0.25">
      <c r="A6" t="s">
        <v>161</v>
      </c>
    </row>
    <row r="9" spans="1:8" ht="13" x14ac:dyDescent="0.3">
      <c r="A9" s="1" t="s">
        <v>81</v>
      </c>
      <c r="B9" t="s">
        <v>286</v>
      </c>
    </row>
    <row r="10" spans="1:8" x14ac:dyDescent="0.25">
      <c r="B10" t="s">
        <v>287</v>
      </c>
    </row>
    <row r="11" spans="1:8" x14ac:dyDescent="0.25">
      <c r="B11" t="s">
        <v>288</v>
      </c>
    </row>
    <row r="12" spans="1:8" x14ac:dyDescent="0.25">
      <c r="B12" t="s">
        <v>289</v>
      </c>
    </row>
    <row r="14" spans="1:8" ht="13" x14ac:dyDescent="0.3">
      <c r="A14" s="1" t="s">
        <v>85</v>
      </c>
      <c r="B14" t="s">
        <v>290</v>
      </c>
      <c r="E14" s="17"/>
      <c r="F14" s="18"/>
    </row>
    <row r="15" spans="1:8" x14ac:dyDescent="0.25">
      <c r="B15" t="s">
        <v>291</v>
      </c>
      <c r="E15" s="17"/>
      <c r="F15" s="18"/>
    </row>
    <row r="16" spans="1:8" x14ac:dyDescent="0.25">
      <c r="B16" t="s">
        <v>292</v>
      </c>
      <c r="E16" s="17"/>
      <c r="F16" s="18"/>
    </row>
    <row r="17" spans="1:6" x14ac:dyDescent="0.25">
      <c r="B17" t="s">
        <v>293</v>
      </c>
      <c r="E17" s="17"/>
      <c r="F17" s="18"/>
    </row>
    <row r="18" spans="1:6" x14ac:dyDescent="0.25">
      <c r="B18" t="s">
        <v>294</v>
      </c>
      <c r="E18" s="17"/>
      <c r="F18" s="18"/>
    </row>
    <row r="19" spans="1:6" x14ac:dyDescent="0.25">
      <c r="E19" s="17"/>
      <c r="F19" s="18"/>
    </row>
    <row r="20" spans="1:6" ht="13" x14ac:dyDescent="0.3">
      <c r="A20" s="1">
        <v>1</v>
      </c>
      <c r="B20" t="s">
        <v>170</v>
      </c>
      <c r="E20" s="18"/>
      <c r="F20" s="18"/>
    </row>
    <row r="21" spans="1:6" x14ac:dyDescent="0.25">
      <c r="B21" t="s">
        <v>295</v>
      </c>
    </row>
    <row r="22" spans="1:6" x14ac:dyDescent="0.25">
      <c r="B22" t="s">
        <v>296</v>
      </c>
    </row>
    <row r="24" spans="1:6" ht="13" x14ac:dyDescent="0.3">
      <c r="A24" s="1">
        <v>2</v>
      </c>
      <c r="B24" t="s">
        <v>297</v>
      </c>
    </row>
    <row r="25" spans="1:6" x14ac:dyDescent="0.25">
      <c r="B25" t="s">
        <v>174</v>
      </c>
    </row>
    <row r="27" spans="1:6" ht="13" x14ac:dyDescent="0.3">
      <c r="A27" s="1">
        <v>3</v>
      </c>
      <c r="B27" t="s">
        <v>298</v>
      </c>
    </row>
    <row r="29" spans="1:6" x14ac:dyDescent="0.25">
      <c r="B29" s="20" t="s">
        <v>299</v>
      </c>
      <c r="C29" s="20">
        <v>8.0353187197615625</v>
      </c>
    </row>
    <row r="30" spans="1:6" x14ac:dyDescent="0.25">
      <c r="B30" t="s">
        <v>300</v>
      </c>
    </row>
    <row r="32" spans="1:6" x14ac:dyDescent="0.25">
      <c r="B32" t="s">
        <v>178</v>
      </c>
    </row>
    <row r="33" spans="2:5" x14ac:dyDescent="0.25">
      <c r="B33" t="s">
        <v>179</v>
      </c>
    </row>
    <row r="35" spans="2:5" ht="13" x14ac:dyDescent="0.3">
      <c r="B35" s="2" t="s">
        <v>105</v>
      </c>
    </row>
    <row r="36" spans="2:5" x14ac:dyDescent="0.25">
      <c r="B36" t="s">
        <v>301</v>
      </c>
    </row>
    <row r="37" spans="2:5" x14ac:dyDescent="0.25">
      <c r="B37" t="s">
        <v>302</v>
      </c>
    </row>
    <row r="40" spans="2:5" x14ac:dyDescent="0.25">
      <c r="C40" s="33" t="s">
        <v>303</v>
      </c>
      <c r="D40" s="34" t="s">
        <v>304</v>
      </c>
      <c r="E40" s="35"/>
    </row>
    <row r="41" spans="2:5" x14ac:dyDescent="0.25">
      <c r="C41" s="30"/>
      <c r="E41" s="26"/>
    </row>
    <row r="42" spans="2:5" x14ac:dyDescent="0.25">
      <c r="C42" s="31"/>
      <c r="E42" s="27"/>
    </row>
    <row r="43" spans="2:5" x14ac:dyDescent="0.25">
      <c r="C43" s="31"/>
      <c r="E43" s="27"/>
    </row>
    <row r="44" spans="2:5" x14ac:dyDescent="0.25">
      <c r="C44" s="31"/>
      <c r="E44" s="27"/>
    </row>
    <row r="45" spans="2:5" x14ac:dyDescent="0.25">
      <c r="C45" s="31"/>
      <c r="E45" s="27"/>
    </row>
    <row r="46" spans="2:5" x14ac:dyDescent="0.25">
      <c r="C46" s="31"/>
      <c r="E46" s="27"/>
    </row>
    <row r="47" spans="2:5" x14ac:dyDescent="0.25">
      <c r="C47" s="31"/>
      <c r="E47" s="27"/>
    </row>
    <row r="48" spans="2:5" x14ac:dyDescent="0.25">
      <c r="C48" s="31"/>
      <c r="E48" s="27"/>
    </row>
    <row r="49" spans="2:5" x14ac:dyDescent="0.25">
      <c r="C49" s="31"/>
      <c r="E49" s="27"/>
    </row>
    <row r="50" spans="2:5" x14ac:dyDescent="0.25">
      <c r="C50" s="32"/>
      <c r="D50" s="28"/>
      <c r="E50" s="29"/>
    </row>
    <row r="53" spans="2:5" x14ac:dyDescent="0.25">
      <c r="B53" t="s">
        <v>305</v>
      </c>
    </row>
    <row r="56" spans="2:5" ht="13" x14ac:dyDescent="0.3">
      <c r="B56" s="1" t="s">
        <v>109</v>
      </c>
      <c r="C56" t="s">
        <v>306</v>
      </c>
    </row>
    <row r="57" spans="2:5" x14ac:dyDescent="0.25">
      <c r="C57" t="s">
        <v>307</v>
      </c>
    </row>
    <row r="58" spans="2:5" x14ac:dyDescent="0.25">
      <c r="C58" t="s">
        <v>308</v>
      </c>
    </row>
    <row r="60" spans="2:5" ht="13" x14ac:dyDescent="0.3">
      <c r="B60" s="1" t="s">
        <v>131</v>
      </c>
      <c r="C60" t="s">
        <v>309</v>
      </c>
    </row>
    <row r="61" spans="2:5" x14ac:dyDescent="0.25">
      <c r="C61" t="s">
        <v>310</v>
      </c>
    </row>
  </sheetData>
  <phoneticPr fontId="7" type="noConversion"/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selection activeCell="A8" sqref="A8"/>
    </sheetView>
  </sheetViews>
  <sheetFormatPr defaultRowHeight="12.5" x14ac:dyDescent="0.25"/>
  <cols>
    <col min="1" max="1" width="9.6328125" customWidth="1"/>
    <col min="2" max="2" width="9.90625" customWidth="1"/>
  </cols>
  <sheetData>
    <row r="1" spans="1:9" ht="14" x14ac:dyDescent="0.3">
      <c r="A1" s="1" t="s">
        <v>311</v>
      </c>
      <c r="B1" s="13"/>
      <c r="D1" s="2" t="s">
        <v>312</v>
      </c>
      <c r="E1" s="2"/>
      <c r="F1" s="2"/>
      <c r="G1" s="2"/>
      <c r="H1" s="16"/>
      <c r="I1" s="3" t="s">
        <v>313</v>
      </c>
    </row>
    <row r="4" spans="1:9" x14ac:dyDescent="0.25">
      <c r="A4" t="s">
        <v>314</v>
      </c>
    </row>
    <row r="5" spans="1:9" x14ac:dyDescent="0.25">
      <c r="A5" t="s">
        <v>315</v>
      </c>
    </row>
    <row r="6" spans="1:9" x14ac:dyDescent="0.25">
      <c r="A6" t="s">
        <v>316</v>
      </c>
    </row>
    <row r="7" spans="1:9" x14ac:dyDescent="0.25">
      <c r="A7" t="s">
        <v>317</v>
      </c>
    </row>
    <row r="8" spans="1:9" x14ac:dyDescent="0.25">
      <c r="A8" t="s">
        <v>318</v>
      </c>
    </row>
    <row r="10" spans="1:9" ht="26" x14ac:dyDescent="0.3">
      <c r="B10" s="72" t="s">
        <v>319</v>
      </c>
      <c r="C10" s="14" t="s">
        <v>320</v>
      </c>
      <c r="E10" s="3" t="s">
        <v>321</v>
      </c>
      <c r="F10" s="3"/>
      <c r="G10" s="3"/>
      <c r="H10" s="3"/>
    </row>
    <row r="11" spans="1:9" ht="13" x14ac:dyDescent="0.3">
      <c r="B11" s="8">
        <v>0</v>
      </c>
      <c r="C11" s="9">
        <f>BINOMDIST(B11,25,0.4,0)</f>
        <v>2.8430288029929681E-6</v>
      </c>
      <c r="E11" s="3" t="s">
        <v>322</v>
      </c>
      <c r="F11" s="3"/>
      <c r="G11" s="3"/>
      <c r="H11" s="3"/>
    </row>
    <row r="12" spans="1:9" ht="13" x14ac:dyDescent="0.3">
      <c r="B12" s="8">
        <f t="shared" ref="B12:B36" si="0">B11+1</f>
        <v>1</v>
      </c>
      <c r="C12" s="9">
        <f t="shared" ref="C12:C27" si="1">BINOMDIST(B12,25,0.4,0)</f>
        <v>4.7383813383216083E-5</v>
      </c>
      <c r="E12" s="3" t="s">
        <v>323</v>
      </c>
      <c r="F12" s="3"/>
      <c r="G12" s="3"/>
      <c r="H12" s="3"/>
    </row>
    <row r="13" spans="1:9" x14ac:dyDescent="0.25">
      <c r="B13" s="8">
        <f t="shared" si="0"/>
        <v>2</v>
      </c>
      <c r="C13" s="9">
        <f t="shared" si="1"/>
        <v>3.7907050706572964E-4</v>
      </c>
    </row>
    <row r="14" spans="1:9" x14ac:dyDescent="0.25">
      <c r="B14" s="8">
        <f t="shared" si="0"/>
        <v>3</v>
      </c>
      <c r="C14" s="9">
        <f t="shared" si="1"/>
        <v>1.9374714805581734E-3</v>
      </c>
    </row>
    <row r="15" spans="1:9" x14ac:dyDescent="0.25">
      <c r="B15" s="8">
        <f t="shared" si="0"/>
        <v>4</v>
      </c>
      <c r="C15" s="9">
        <f t="shared" si="1"/>
        <v>7.1040620953799665E-3</v>
      </c>
      <c r="E15" s="15" t="s">
        <v>324</v>
      </c>
    </row>
    <row r="16" spans="1:9" x14ac:dyDescent="0.25">
      <c r="B16" s="8">
        <f t="shared" si="0"/>
        <v>5</v>
      </c>
      <c r="C16" s="9">
        <f t="shared" si="1"/>
        <v>1.9891373867063907E-2</v>
      </c>
    </row>
    <row r="17" spans="2:3" x14ac:dyDescent="0.25">
      <c r="B17" s="8">
        <f t="shared" si="0"/>
        <v>6</v>
      </c>
      <c r="C17" s="9">
        <f t="shared" si="1"/>
        <v>4.4203053037919791E-2</v>
      </c>
    </row>
    <row r="18" spans="2:3" x14ac:dyDescent="0.25">
      <c r="B18" s="8">
        <f t="shared" si="0"/>
        <v>7</v>
      </c>
      <c r="C18" s="9">
        <f t="shared" si="1"/>
        <v>7.9986476925759609E-2</v>
      </c>
    </row>
    <row r="19" spans="2:3" x14ac:dyDescent="0.25">
      <c r="B19" s="8">
        <f t="shared" si="0"/>
        <v>8</v>
      </c>
      <c r="C19" s="9">
        <f t="shared" si="1"/>
        <v>0.11997971538863936</v>
      </c>
    </row>
    <row r="20" spans="2:3" x14ac:dyDescent="0.25">
      <c r="B20" s="8">
        <f t="shared" si="0"/>
        <v>9</v>
      </c>
      <c r="C20" s="9">
        <f t="shared" si="1"/>
        <v>0.15108556752643482</v>
      </c>
    </row>
    <row r="21" spans="2:3" x14ac:dyDescent="0.25">
      <c r="B21" s="8">
        <f t="shared" si="0"/>
        <v>10</v>
      </c>
      <c r="C21" s="9">
        <f t="shared" si="1"/>
        <v>0.16115793869486375</v>
      </c>
    </row>
    <row r="22" spans="2:3" x14ac:dyDescent="0.25">
      <c r="B22" s="8">
        <f t="shared" si="0"/>
        <v>11</v>
      </c>
      <c r="C22" s="9">
        <f t="shared" si="1"/>
        <v>0.1465072169953307</v>
      </c>
    </row>
    <row r="23" spans="2:3" x14ac:dyDescent="0.25">
      <c r="B23" s="8">
        <f t="shared" si="0"/>
        <v>12</v>
      </c>
      <c r="C23" s="9">
        <f t="shared" si="1"/>
        <v>0.11395005766303502</v>
      </c>
    </row>
    <row r="24" spans="2:3" x14ac:dyDescent="0.25">
      <c r="B24" s="8">
        <f t="shared" si="0"/>
        <v>13</v>
      </c>
      <c r="C24" s="9">
        <f t="shared" si="1"/>
        <v>7.5966705108689969E-2</v>
      </c>
    </row>
    <row r="25" spans="2:3" x14ac:dyDescent="0.25">
      <c r="B25" s="8">
        <f t="shared" si="0"/>
        <v>14</v>
      </c>
      <c r="C25" s="9">
        <f t="shared" si="1"/>
        <v>4.3409545776394276E-2</v>
      </c>
    </row>
    <row r="26" spans="2:3" x14ac:dyDescent="0.25">
      <c r="B26" s="8">
        <f t="shared" si="0"/>
        <v>15</v>
      </c>
      <c r="C26" s="9">
        <f t="shared" si="1"/>
        <v>2.1222444601792775E-2</v>
      </c>
    </row>
    <row r="27" spans="2:3" x14ac:dyDescent="0.25">
      <c r="B27" s="8">
        <f t="shared" si="0"/>
        <v>16</v>
      </c>
      <c r="C27" s="9">
        <f t="shared" si="1"/>
        <v>8.842685250746973E-3</v>
      </c>
    </row>
    <row r="28" spans="2:3" x14ac:dyDescent="0.25">
      <c r="B28" s="8">
        <f t="shared" si="0"/>
        <v>17</v>
      </c>
      <c r="C28" s="9">
        <f t="shared" ref="C28:C36" si="2">BINOMDIST(B28,25,0.4,0)</f>
        <v>3.1209477355577638E-3</v>
      </c>
    </row>
    <row r="29" spans="2:3" x14ac:dyDescent="0.25">
      <c r="B29" s="8">
        <f t="shared" si="0"/>
        <v>18</v>
      </c>
      <c r="C29" s="9">
        <f t="shared" si="2"/>
        <v>9.2472525498007671E-4</v>
      </c>
    </row>
    <row r="30" spans="2:3" x14ac:dyDescent="0.25">
      <c r="B30" s="8">
        <f t="shared" si="0"/>
        <v>19</v>
      </c>
      <c r="C30" s="9">
        <f t="shared" si="2"/>
        <v>2.2712550122317698E-4</v>
      </c>
    </row>
    <row r="31" spans="2:3" x14ac:dyDescent="0.25">
      <c r="B31" s="8">
        <f t="shared" si="0"/>
        <v>20</v>
      </c>
      <c r="C31" s="9">
        <f t="shared" si="2"/>
        <v>4.5425100244635373E-5</v>
      </c>
    </row>
    <row r="32" spans="2:3" x14ac:dyDescent="0.25">
      <c r="B32" s="8">
        <f t="shared" si="0"/>
        <v>21</v>
      </c>
      <c r="C32" s="9">
        <f t="shared" si="2"/>
        <v>7.2103333721643504E-6</v>
      </c>
    </row>
    <row r="33" spans="1:3" x14ac:dyDescent="0.25">
      <c r="B33" s="8">
        <f t="shared" si="0"/>
        <v>22</v>
      </c>
      <c r="C33" s="9">
        <f t="shared" si="2"/>
        <v>8.7397980268658438E-7</v>
      </c>
    </row>
    <row r="34" spans="1:3" x14ac:dyDescent="0.25">
      <c r="B34" s="8">
        <f t="shared" si="0"/>
        <v>23</v>
      </c>
      <c r="C34" s="9">
        <f t="shared" si="2"/>
        <v>7.5998243711877615E-8</v>
      </c>
    </row>
    <row r="35" spans="1:3" x14ac:dyDescent="0.25">
      <c r="B35" s="8">
        <f t="shared" si="0"/>
        <v>24</v>
      </c>
      <c r="C35" s="9">
        <f t="shared" si="2"/>
        <v>4.2221246506598524E-9</v>
      </c>
    </row>
    <row r="36" spans="1:3" x14ac:dyDescent="0.25">
      <c r="B36" s="8">
        <f t="shared" si="0"/>
        <v>25</v>
      </c>
      <c r="C36" s="9">
        <f t="shared" si="2"/>
        <v>1.1258999068426259E-10</v>
      </c>
    </row>
    <row r="37" spans="1:3" x14ac:dyDescent="0.25">
      <c r="B37" s="73"/>
      <c r="C37" s="9"/>
    </row>
    <row r="38" spans="1:3" x14ac:dyDescent="0.25">
      <c r="A38" t="s">
        <v>325</v>
      </c>
      <c r="B38" s="73"/>
      <c r="C38" s="9"/>
    </row>
    <row r="39" spans="1:3" x14ac:dyDescent="0.25">
      <c r="A39" t="s">
        <v>326</v>
      </c>
      <c r="B39" s="73"/>
      <c r="C39" s="9"/>
    </row>
    <row r="40" spans="1:3" x14ac:dyDescent="0.25">
      <c r="B40" s="73"/>
      <c r="C40" s="9"/>
    </row>
    <row r="41" spans="1:3" ht="13" x14ac:dyDescent="0.3">
      <c r="A41" s="2" t="s">
        <v>327</v>
      </c>
    </row>
    <row r="42" spans="1:3" x14ac:dyDescent="0.25">
      <c r="A42" t="s">
        <v>328</v>
      </c>
    </row>
    <row r="44" spans="1:3" x14ac:dyDescent="0.25">
      <c r="A44" t="s">
        <v>329</v>
      </c>
    </row>
    <row r="45" spans="1:3" x14ac:dyDescent="0.25">
      <c r="A45" t="s">
        <v>330</v>
      </c>
    </row>
    <row r="47" spans="1:3" x14ac:dyDescent="0.25">
      <c r="A47" s="5" t="s">
        <v>331</v>
      </c>
    </row>
    <row r="48" spans="1:3" x14ac:dyDescent="0.25">
      <c r="A48" t="s">
        <v>332</v>
      </c>
    </row>
    <row r="50" spans="1:2" ht="13" x14ac:dyDescent="0.3">
      <c r="A50" s="1" t="s">
        <v>114</v>
      </c>
      <c r="B50" t="s">
        <v>333</v>
      </c>
    </row>
  </sheetData>
  <phoneticPr fontId="7" type="noConversion"/>
  <pageMargins left="1.25" right="0.75" top="1" bottom="1" header="0.5" footer="0.5"/>
  <pageSetup orientation="portrait" horizontalDpi="300" verticalDpi="0" r:id="rId1"/>
  <headerFooter alignWithMargins="0">
    <oddFooter>&amp;CPage &amp;P of &amp;N      (c) 1998 Prentice Hall, Upper Saddle River, NJ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A10" workbookViewId="0">
      <selection activeCell="A31" sqref="A31:IV31"/>
    </sheetView>
  </sheetViews>
  <sheetFormatPr defaultRowHeight="12.5" x14ac:dyDescent="0.25"/>
  <cols>
    <col min="1" max="2" width="1.6328125" customWidth="1"/>
  </cols>
  <sheetData>
    <row r="1" spans="1:10" ht="13" x14ac:dyDescent="0.3">
      <c r="A1" s="1" t="s">
        <v>334</v>
      </c>
      <c r="B1" s="1"/>
      <c r="C1" s="1"/>
      <c r="D1" s="1"/>
      <c r="E1" s="1"/>
      <c r="F1" s="2" t="s">
        <v>335</v>
      </c>
      <c r="G1" s="2"/>
      <c r="H1" s="2"/>
      <c r="I1" s="2"/>
    </row>
    <row r="3" spans="1:10" ht="13" x14ac:dyDescent="0.3">
      <c r="A3" s="3" t="s">
        <v>336</v>
      </c>
      <c r="B3" s="3"/>
      <c r="C3" s="3"/>
      <c r="D3" s="3"/>
      <c r="E3" s="3"/>
      <c r="F3" s="3"/>
      <c r="G3" s="3"/>
      <c r="H3" s="3"/>
      <c r="I3" s="3"/>
      <c r="J3" s="3"/>
    </row>
    <row r="4" spans="1:10" ht="13" x14ac:dyDescent="0.3">
      <c r="A4" s="3" t="s">
        <v>337</v>
      </c>
      <c r="B4" s="3"/>
      <c r="C4" s="3"/>
      <c r="D4" s="3"/>
      <c r="E4" s="3"/>
      <c r="F4" s="3"/>
      <c r="G4" s="3"/>
      <c r="H4" s="3"/>
      <c r="I4" s="3"/>
      <c r="J4" s="3"/>
    </row>
    <row r="6" spans="1:10" ht="13" x14ac:dyDescent="0.3">
      <c r="A6" t="s">
        <v>418</v>
      </c>
    </row>
    <row r="7" spans="1:10" x14ac:dyDescent="0.25">
      <c r="A7" t="s">
        <v>338</v>
      </c>
    </row>
    <row r="8" spans="1:10" ht="13" x14ac:dyDescent="0.3">
      <c r="A8" t="s">
        <v>419</v>
      </c>
    </row>
    <row r="10" spans="1:10" x14ac:dyDescent="0.25">
      <c r="C10" t="s">
        <v>339</v>
      </c>
    </row>
    <row r="11" spans="1:10" x14ac:dyDescent="0.25">
      <c r="C11" t="s">
        <v>340</v>
      </c>
    </row>
    <row r="14" spans="1:10" x14ac:dyDescent="0.25">
      <c r="C14" t="s">
        <v>341</v>
      </c>
    </row>
    <row r="15" spans="1:10" x14ac:dyDescent="0.25">
      <c r="C15" t="s">
        <v>342</v>
      </c>
    </row>
    <row r="17" spans="3:10" ht="13" x14ac:dyDescent="0.3">
      <c r="C17" t="s">
        <v>420</v>
      </c>
    </row>
    <row r="18" spans="3:10" x14ac:dyDescent="0.25">
      <c r="C18" t="s">
        <v>343</v>
      </c>
    </row>
    <row r="20" spans="3:10" ht="13" x14ac:dyDescent="0.3">
      <c r="C20" t="s">
        <v>421</v>
      </c>
    </row>
    <row r="21" spans="3:10" x14ac:dyDescent="0.25">
      <c r="C21" t="s">
        <v>344</v>
      </c>
    </row>
    <row r="22" spans="3:10" x14ac:dyDescent="0.25">
      <c r="C22" t="s">
        <v>345</v>
      </c>
    </row>
    <row r="23" spans="3:10" x14ac:dyDescent="0.25">
      <c r="C23" t="s">
        <v>346</v>
      </c>
    </row>
    <row r="25" spans="3:10" x14ac:dyDescent="0.25">
      <c r="C25" t="s">
        <v>422</v>
      </c>
    </row>
    <row r="26" spans="3:10" x14ac:dyDescent="0.25">
      <c r="C26" t="s">
        <v>347</v>
      </c>
    </row>
    <row r="27" spans="3:10" x14ac:dyDescent="0.25">
      <c r="C27" t="s">
        <v>348</v>
      </c>
    </row>
    <row r="28" spans="3:10" x14ac:dyDescent="0.25">
      <c r="C28" t="s">
        <v>349</v>
      </c>
    </row>
    <row r="29" spans="3:10" ht="13" x14ac:dyDescent="0.3">
      <c r="C29" s="3" t="s">
        <v>350</v>
      </c>
      <c r="D29" s="3"/>
      <c r="E29" s="3"/>
      <c r="F29" s="3"/>
      <c r="G29" s="3"/>
      <c r="H29" s="3"/>
      <c r="I29" s="3"/>
      <c r="J29" s="3"/>
    </row>
    <row r="31" spans="3:10" x14ac:dyDescent="0.25">
      <c r="C31" t="s">
        <v>423</v>
      </c>
    </row>
    <row r="32" spans="3:10" x14ac:dyDescent="0.25">
      <c r="C32" t="s">
        <v>351</v>
      </c>
    </row>
    <row r="34" spans="1:4" ht="13" x14ac:dyDescent="0.3">
      <c r="A34" s="2" t="s">
        <v>352</v>
      </c>
      <c r="B34" s="2"/>
      <c r="D34" t="s">
        <v>353</v>
      </c>
    </row>
    <row r="35" spans="1:4" x14ac:dyDescent="0.25">
      <c r="D35" t="s">
        <v>354</v>
      </c>
    </row>
    <row r="36" spans="1:4" x14ac:dyDescent="0.25">
      <c r="D36" t="s">
        <v>355</v>
      </c>
    </row>
    <row r="37" spans="1:4" x14ac:dyDescent="0.25">
      <c r="D37" t="s">
        <v>356</v>
      </c>
    </row>
    <row r="39" spans="1:4" x14ac:dyDescent="0.25">
      <c r="D39" t="s">
        <v>357</v>
      </c>
    </row>
    <row r="40" spans="1:4" x14ac:dyDescent="0.25">
      <c r="D40" t="s">
        <v>358</v>
      </c>
    </row>
  </sheetData>
  <phoneticPr fontId="7" type="noConversion"/>
  <pageMargins left="1.25" right="0.5" top="1" bottom="1" header="0.5" footer="0.5"/>
  <pageSetup orientation="portrait" horizontalDpi="300" verticalDpi="0" r:id="rId1"/>
  <headerFooter alignWithMargins="0">
    <oddFooter>&amp;CPage &amp;P of &amp;N      (c) 1998 Prentice Hall, Upper Saddle River, NJ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workbookViewId="0">
      <selection activeCell="C16" sqref="C16"/>
    </sheetView>
  </sheetViews>
  <sheetFormatPr defaultColWidth="10.1796875" defaultRowHeight="10" x14ac:dyDescent="0.2"/>
  <cols>
    <col min="1" max="4" width="10.1796875" style="74" customWidth="1"/>
    <col min="5" max="5" width="11.6328125" style="74" customWidth="1"/>
    <col min="6" max="16384" width="10.1796875" style="74"/>
  </cols>
  <sheetData>
    <row r="1" spans="1:9" x14ac:dyDescent="0.2">
      <c r="A1" s="74" t="s">
        <v>359</v>
      </c>
    </row>
    <row r="3" spans="1:9" x14ac:dyDescent="0.2">
      <c r="A3" s="74" t="s">
        <v>360</v>
      </c>
      <c r="B3" s="74" t="s">
        <v>361</v>
      </c>
      <c r="E3" s="74" t="s">
        <v>362</v>
      </c>
    </row>
    <row r="4" spans="1:9" x14ac:dyDescent="0.2">
      <c r="A4" s="75">
        <v>34955</v>
      </c>
      <c r="B4" s="74">
        <v>31.22</v>
      </c>
      <c r="E4" s="74" t="s">
        <v>239</v>
      </c>
      <c r="F4" s="74" t="s">
        <v>240</v>
      </c>
    </row>
    <row r="5" spans="1:9" x14ac:dyDescent="0.2">
      <c r="A5" s="75">
        <v>34956</v>
      </c>
      <c r="B5" s="74">
        <v>31.29</v>
      </c>
      <c r="E5" s="74" t="s">
        <v>363</v>
      </c>
      <c r="F5" s="74">
        <v>2</v>
      </c>
    </row>
    <row r="6" spans="1:9" x14ac:dyDescent="0.2">
      <c r="A6" s="75">
        <v>34957</v>
      </c>
      <c r="B6" s="74">
        <v>31.13</v>
      </c>
      <c r="E6" s="74" t="s">
        <v>364</v>
      </c>
      <c r="F6" s="74">
        <v>13</v>
      </c>
    </row>
    <row r="7" spans="1:9" x14ac:dyDescent="0.2">
      <c r="A7" s="75">
        <v>34960</v>
      </c>
      <c r="B7" s="74">
        <v>31.11</v>
      </c>
      <c r="E7" s="74" t="s">
        <v>365</v>
      </c>
      <c r="F7" s="74">
        <v>45</v>
      </c>
    </row>
    <row r="8" spans="1:9" x14ac:dyDescent="0.2">
      <c r="A8" s="75">
        <v>34961</v>
      </c>
      <c r="B8" s="74">
        <v>31.19</v>
      </c>
      <c r="E8" s="74" t="s">
        <v>366</v>
      </c>
      <c r="F8" s="74">
        <v>28</v>
      </c>
    </row>
    <row r="9" spans="1:9" x14ac:dyDescent="0.2">
      <c r="A9" s="75">
        <v>34962</v>
      </c>
      <c r="B9" s="74">
        <v>31.26</v>
      </c>
      <c r="E9" s="74" t="s">
        <v>367</v>
      </c>
      <c r="F9" s="74">
        <v>12</v>
      </c>
    </row>
    <row r="10" spans="1:9" x14ac:dyDescent="0.2">
      <c r="A10" s="75">
        <v>34963</v>
      </c>
      <c r="B10" s="74">
        <v>31.05</v>
      </c>
      <c r="E10" s="74" t="s">
        <v>368</v>
      </c>
      <c r="F10" s="74">
        <v>8</v>
      </c>
    </row>
    <row r="11" spans="1:9" x14ac:dyDescent="0.2">
      <c r="A11" s="75">
        <v>34964</v>
      </c>
      <c r="B11" s="74">
        <v>30.78</v>
      </c>
      <c r="E11" s="74" t="s">
        <v>369</v>
      </c>
      <c r="F11" s="74">
        <v>9</v>
      </c>
    </row>
    <row r="12" spans="1:9" x14ac:dyDescent="0.2">
      <c r="A12" s="75">
        <v>34967</v>
      </c>
      <c r="B12" s="74">
        <v>30.8</v>
      </c>
    </row>
    <row r="13" spans="1:9" x14ac:dyDescent="0.2">
      <c r="A13" s="75">
        <v>34968</v>
      </c>
      <c r="B13" s="74">
        <v>30.82</v>
      </c>
    </row>
    <row r="14" spans="1:9" x14ac:dyDescent="0.2">
      <c r="A14" s="75">
        <v>34969</v>
      </c>
      <c r="B14" s="74">
        <v>30.7</v>
      </c>
      <c r="H14" s="76"/>
      <c r="I14" s="76"/>
    </row>
    <row r="15" spans="1:9" x14ac:dyDescent="0.2">
      <c r="A15" s="75">
        <v>34970</v>
      </c>
      <c r="B15" s="74">
        <v>31.12</v>
      </c>
      <c r="H15" s="77"/>
      <c r="I15" s="77"/>
    </row>
    <row r="16" spans="1:9" x14ac:dyDescent="0.2">
      <c r="A16" s="75">
        <v>34971</v>
      </c>
      <c r="B16" s="74">
        <v>31.17</v>
      </c>
      <c r="H16" s="78"/>
      <c r="I16" s="79"/>
    </row>
    <row r="17" spans="1:9" x14ac:dyDescent="0.2">
      <c r="A17" s="75">
        <v>34974</v>
      </c>
      <c r="B17" s="74">
        <v>31.04</v>
      </c>
      <c r="H17" s="78"/>
      <c r="I17" s="79"/>
    </row>
    <row r="18" spans="1:9" x14ac:dyDescent="0.2">
      <c r="A18" s="75">
        <v>34975</v>
      </c>
      <c r="B18" s="74">
        <v>31.02</v>
      </c>
      <c r="H18" s="78"/>
      <c r="I18" s="79"/>
    </row>
    <row r="19" spans="1:9" x14ac:dyDescent="0.2">
      <c r="A19" s="75">
        <v>34976</v>
      </c>
      <c r="B19" s="74">
        <v>30.93</v>
      </c>
      <c r="H19" s="78"/>
      <c r="I19" s="79"/>
    </row>
    <row r="20" spans="1:9" x14ac:dyDescent="0.2">
      <c r="A20" s="75">
        <v>34977</v>
      </c>
      <c r="B20" s="74">
        <v>31.06</v>
      </c>
      <c r="H20" s="78"/>
      <c r="I20" s="79"/>
    </row>
    <row r="21" spans="1:9" x14ac:dyDescent="0.2">
      <c r="A21" s="75">
        <v>34978</v>
      </c>
      <c r="B21" s="74">
        <v>31.07</v>
      </c>
      <c r="H21" s="78"/>
      <c r="I21" s="79"/>
    </row>
    <row r="22" spans="1:9" x14ac:dyDescent="0.2">
      <c r="A22" s="75">
        <v>34981</v>
      </c>
      <c r="B22" s="74">
        <v>30.86</v>
      </c>
      <c r="H22" s="79"/>
      <c r="I22" s="79"/>
    </row>
    <row r="23" spans="1:9" x14ac:dyDescent="0.2">
      <c r="A23" s="75">
        <v>34982</v>
      </c>
      <c r="B23" s="74">
        <v>30.74</v>
      </c>
      <c r="H23" s="76"/>
      <c r="I23" s="76"/>
    </row>
    <row r="24" spans="1:9" x14ac:dyDescent="0.2">
      <c r="A24" s="75">
        <v>34983</v>
      </c>
      <c r="B24" s="74">
        <v>30.92</v>
      </c>
    </row>
    <row r="25" spans="1:9" x14ac:dyDescent="0.2">
      <c r="A25" s="75">
        <v>34984</v>
      </c>
      <c r="B25" s="74">
        <v>31.21</v>
      </c>
    </row>
    <row r="26" spans="1:9" x14ac:dyDescent="0.2">
      <c r="A26" s="75">
        <v>34985</v>
      </c>
      <c r="B26" s="74">
        <v>31.34</v>
      </c>
    </row>
    <row r="27" spans="1:9" x14ac:dyDescent="0.2">
      <c r="A27" s="75">
        <v>34988</v>
      </c>
      <c r="B27" s="74">
        <v>31.28</v>
      </c>
    </row>
    <row r="28" spans="1:9" x14ac:dyDescent="0.2">
      <c r="A28" s="75">
        <v>34989</v>
      </c>
      <c r="B28" s="74">
        <v>31.27</v>
      </c>
    </row>
    <row r="29" spans="1:9" x14ac:dyDescent="0.2">
      <c r="A29" s="75">
        <v>34990</v>
      </c>
      <c r="B29" s="74">
        <v>31.49</v>
      </c>
    </row>
    <row r="30" spans="1:9" x14ac:dyDescent="0.2">
      <c r="A30" s="75">
        <v>34991</v>
      </c>
      <c r="B30" s="74">
        <v>31.45</v>
      </c>
    </row>
    <row r="31" spans="1:9" x14ac:dyDescent="0.2">
      <c r="A31" s="75">
        <v>34992</v>
      </c>
      <c r="B31" s="74">
        <v>31.33</v>
      </c>
    </row>
    <row r="32" spans="1:9" x14ac:dyDescent="0.2">
      <c r="A32" s="75">
        <v>34995</v>
      </c>
      <c r="B32" s="74">
        <v>31.03</v>
      </c>
    </row>
    <row r="33" spans="1:2" x14ac:dyDescent="0.2">
      <c r="A33" s="75">
        <v>34996</v>
      </c>
      <c r="B33" s="74">
        <v>30.94</v>
      </c>
    </row>
    <row r="34" spans="1:2" x14ac:dyDescent="0.2">
      <c r="A34" s="75">
        <v>34997</v>
      </c>
      <c r="B34" s="74">
        <v>30.63</v>
      </c>
    </row>
    <row r="35" spans="1:2" x14ac:dyDescent="0.2">
      <c r="A35" s="75">
        <v>34998</v>
      </c>
      <c r="B35" s="74">
        <v>30.42</v>
      </c>
    </row>
    <row r="36" spans="1:2" x14ac:dyDescent="0.2">
      <c r="A36" s="75">
        <v>34999</v>
      </c>
      <c r="B36" s="74">
        <v>30.63</v>
      </c>
    </row>
    <row r="37" spans="1:2" x14ac:dyDescent="0.2">
      <c r="A37" s="75">
        <v>35002</v>
      </c>
      <c r="B37" s="74">
        <v>30.64</v>
      </c>
    </row>
    <row r="38" spans="1:2" x14ac:dyDescent="0.2">
      <c r="A38" s="75">
        <v>35003</v>
      </c>
      <c r="B38" s="74">
        <v>30.49</v>
      </c>
    </row>
    <row r="39" spans="1:2" x14ac:dyDescent="0.2">
      <c r="A39" s="75">
        <v>35004</v>
      </c>
      <c r="B39" s="74">
        <v>30.69</v>
      </c>
    </row>
    <row r="40" spans="1:2" x14ac:dyDescent="0.2">
      <c r="A40" s="75">
        <v>35005</v>
      </c>
      <c r="B40" s="74">
        <v>31.02</v>
      </c>
    </row>
    <row r="41" spans="1:2" x14ac:dyDescent="0.2">
      <c r="A41" s="75">
        <v>35006</v>
      </c>
      <c r="B41" s="74">
        <v>31.17</v>
      </c>
    </row>
    <row r="42" spans="1:2" x14ac:dyDescent="0.2">
      <c r="A42" s="75">
        <v>35009</v>
      </c>
      <c r="B42" s="74">
        <v>31.15</v>
      </c>
    </row>
    <row r="43" spans="1:2" x14ac:dyDescent="0.2">
      <c r="A43" s="75">
        <v>35010</v>
      </c>
      <c r="B43" s="74">
        <v>31.05</v>
      </c>
    </row>
    <row r="44" spans="1:2" x14ac:dyDescent="0.2">
      <c r="A44" s="75">
        <v>35011</v>
      </c>
      <c r="B44" s="74">
        <v>31.36</v>
      </c>
    </row>
    <row r="45" spans="1:2" x14ac:dyDescent="0.2">
      <c r="A45" s="75">
        <v>35012</v>
      </c>
      <c r="B45" s="74">
        <v>31.44</v>
      </c>
    </row>
    <row r="46" spans="1:2" x14ac:dyDescent="0.2">
      <c r="A46" s="75">
        <v>35013</v>
      </c>
      <c r="B46" s="74">
        <v>31.39</v>
      </c>
    </row>
    <row r="47" spans="1:2" x14ac:dyDescent="0.2">
      <c r="A47" s="75">
        <v>35016</v>
      </c>
      <c r="B47" s="74">
        <v>31.46</v>
      </c>
    </row>
    <row r="48" spans="1:2" x14ac:dyDescent="0.2">
      <c r="A48" s="75">
        <v>35017</v>
      </c>
      <c r="B48" s="74">
        <v>31.32</v>
      </c>
    </row>
    <row r="49" spans="1:2" x14ac:dyDescent="0.2">
      <c r="A49" s="75">
        <v>35018</v>
      </c>
      <c r="B49" s="74">
        <v>31.42</v>
      </c>
    </row>
    <row r="50" spans="1:2" x14ac:dyDescent="0.2">
      <c r="A50" s="75">
        <v>35019</v>
      </c>
      <c r="B50" s="74">
        <v>31.43</v>
      </c>
    </row>
    <row r="51" spans="1:2" x14ac:dyDescent="0.2">
      <c r="A51" s="75">
        <v>35023</v>
      </c>
      <c r="B51" s="74">
        <v>31.34</v>
      </c>
    </row>
    <row r="52" spans="1:2" x14ac:dyDescent="0.2">
      <c r="A52" s="75">
        <v>35024</v>
      </c>
      <c r="B52" s="74">
        <v>31.48</v>
      </c>
    </row>
    <row r="53" spans="1:2" x14ac:dyDescent="0.2">
      <c r="A53" s="75">
        <v>35025</v>
      </c>
      <c r="B53" s="74">
        <v>31.63</v>
      </c>
    </row>
    <row r="54" spans="1:2" x14ac:dyDescent="0.2">
      <c r="A54" s="75">
        <v>35027</v>
      </c>
      <c r="B54" s="74">
        <v>31.67</v>
      </c>
    </row>
    <row r="55" spans="1:2" x14ac:dyDescent="0.2">
      <c r="A55" s="75">
        <v>35030</v>
      </c>
      <c r="B55" s="74">
        <v>31.71</v>
      </c>
    </row>
    <row r="56" spans="1:2" x14ac:dyDescent="0.2">
      <c r="A56" s="75">
        <v>35031</v>
      </c>
      <c r="B56" s="74">
        <v>31.82</v>
      </c>
    </row>
    <row r="57" spans="1:2" x14ac:dyDescent="0.2">
      <c r="A57" s="75">
        <v>35032</v>
      </c>
      <c r="B57" s="74">
        <v>31.92</v>
      </c>
    </row>
    <row r="58" spans="1:2" x14ac:dyDescent="0.2">
      <c r="A58" s="75">
        <v>35033</v>
      </c>
      <c r="B58" s="74">
        <v>31.78</v>
      </c>
    </row>
    <row r="59" spans="1:2" x14ac:dyDescent="0.2">
      <c r="A59" s="75">
        <v>35034</v>
      </c>
      <c r="B59" s="74">
        <v>31.85</v>
      </c>
    </row>
    <row r="60" spans="1:2" x14ac:dyDescent="0.2">
      <c r="A60" s="75">
        <v>35037</v>
      </c>
      <c r="B60" s="74">
        <v>32.1</v>
      </c>
    </row>
    <row r="61" spans="1:2" x14ac:dyDescent="0.2">
      <c r="A61" s="75">
        <v>35038</v>
      </c>
      <c r="B61" s="74">
        <v>32.229999999999997</v>
      </c>
    </row>
    <row r="62" spans="1:2" x14ac:dyDescent="0.2">
      <c r="A62" s="75">
        <v>35039</v>
      </c>
      <c r="B62" s="74">
        <v>32.21</v>
      </c>
    </row>
    <row r="63" spans="1:2" x14ac:dyDescent="0.2">
      <c r="A63" s="75">
        <v>35040</v>
      </c>
      <c r="B63" s="74">
        <v>32.049999999999997</v>
      </c>
    </row>
    <row r="64" spans="1:2" x14ac:dyDescent="0.2">
      <c r="A64" s="75">
        <v>35041</v>
      </c>
      <c r="B64" s="74">
        <v>32.07</v>
      </c>
    </row>
    <row r="65" spans="1:2" x14ac:dyDescent="0.2">
      <c r="A65" s="75">
        <v>35044</v>
      </c>
      <c r="B65" s="74">
        <v>32.08</v>
      </c>
    </row>
    <row r="66" spans="1:2" x14ac:dyDescent="0.2">
      <c r="A66" s="75">
        <v>35045</v>
      </c>
      <c r="B66" s="74">
        <v>31.93</v>
      </c>
    </row>
    <row r="67" spans="1:2" x14ac:dyDescent="0.2">
      <c r="A67" s="75">
        <v>35046</v>
      </c>
      <c r="B67" s="74">
        <v>32.03</v>
      </c>
    </row>
    <row r="68" spans="1:2" x14ac:dyDescent="0.2">
      <c r="A68" s="75">
        <v>35047</v>
      </c>
      <c r="B68" s="74">
        <v>31.95</v>
      </c>
    </row>
    <row r="69" spans="1:2" x14ac:dyDescent="0.2">
      <c r="A69" s="75">
        <v>35048</v>
      </c>
      <c r="B69" s="74">
        <v>31.83</v>
      </c>
    </row>
    <row r="70" spans="1:2" x14ac:dyDescent="0.2">
      <c r="A70" s="75">
        <v>35051</v>
      </c>
      <c r="B70" s="74">
        <v>31.29</v>
      </c>
    </row>
    <row r="71" spans="1:2" x14ac:dyDescent="0.2">
      <c r="A71" s="75">
        <v>35052</v>
      </c>
      <c r="B71" s="74">
        <v>31.51</v>
      </c>
    </row>
    <row r="72" spans="1:2" x14ac:dyDescent="0.2">
      <c r="A72" s="75">
        <v>35053</v>
      </c>
      <c r="B72" s="74">
        <v>31.54</v>
      </c>
    </row>
    <row r="73" spans="1:2" x14ac:dyDescent="0.2">
      <c r="A73" s="75">
        <v>35054</v>
      </c>
      <c r="B73" s="74">
        <v>31.9</v>
      </c>
    </row>
    <row r="74" spans="1:2" x14ac:dyDescent="0.2">
      <c r="A74" s="75">
        <v>35055</v>
      </c>
      <c r="B74" s="74">
        <v>31.47</v>
      </c>
    </row>
    <row r="75" spans="1:2" x14ac:dyDescent="0.2">
      <c r="A75" s="75">
        <v>35059</v>
      </c>
      <c r="B75" s="74">
        <v>31.47</v>
      </c>
    </row>
    <row r="76" spans="1:2" x14ac:dyDescent="0.2">
      <c r="A76" s="75">
        <v>35060</v>
      </c>
      <c r="B76" s="74">
        <v>31.52</v>
      </c>
    </row>
    <row r="77" spans="1:2" x14ac:dyDescent="0.2">
      <c r="A77" s="75">
        <v>35061</v>
      </c>
      <c r="B77" s="74">
        <v>31.63</v>
      </c>
    </row>
    <row r="78" spans="1:2" x14ac:dyDescent="0.2">
      <c r="A78" s="75">
        <v>35062</v>
      </c>
      <c r="B78" s="74">
        <v>31.68</v>
      </c>
    </row>
    <row r="79" spans="1:2" x14ac:dyDescent="0.2">
      <c r="A79" s="75">
        <v>35066</v>
      </c>
      <c r="B79" s="74">
        <v>31.99</v>
      </c>
    </row>
    <row r="80" spans="1:2" x14ac:dyDescent="0.2">
      <c r="A80" s="75">
        <v>35067</v>
      </c>
      <c r="B80" s="74">
        <v>32</v>
      </c>
    </row>
    <row r="81" spans="1:2" x14ac:dyDescent="0.2">
      <c r="A81" s="75">
        <v>35068</v>
      </c>
      <c r="B81" s="74">
        <v>31.75</v>
      </c>
    </row>
    <row r="82" spans="1:2" x14ac:dyDescent="0.2">
      <c r="A82" s="75">
        <v>35069</v>
      </c>
      <c r="B82" s="74">
        <v>31.79</v>
      </c>
    </row>
    <row r="83" spans="1:2" x14ac:dyDescent="0.2">
      <c r="A83" s="75">
        <v>35072</v>
      </c>
      <c r="B83" s="74">
        <v>31.89</v>
      </c>
    </row>
    <row r="84" spans="1:2" x14ac:dyDescent="0.2">
      <c r="A84" s="75">
        <v>35073</v>
      </c>
      <c r="B84" s="74">
        <v>31.57</v>
      </c>
    </row>
    <row r="85" spans="1:2" x14ac:dyDescent="0.2">
      <c r="A85" s="75">
        <v>35074</v>
      </c>
      <c r="B85" s="74">
        <v>31.19</v>
      </c>
    </row>
    <row r="86" spans="1:2" x14ac:dyDescent="0.2">
      <c r="A86" s="75">
        <v>35075</v>
      </c>
      <c r="B86" s="74">
        <v>31.36</v>
      </c>
    </row>
    <row r="87" spans="1:2" x14ac:dyDescent="0.2">
      <c r="A87" s="75">
        <v>35076</v>
      </c>
      <c r="B87" s="74">
        <v>31.29</v>
      </c>
    </row>
    <row r="88" spans="1:2" x14ac:dyDescent="0.2">
      <c r="A88" s="75">
        <v>35079</v>
      </c>
      <c r="B88" s="74">
        <v>31.09</v>
      </c>
    </row>
    <row r="89" spans="1:2" x14ac:dyDescent="0.2">
      <c r="A89" s="75">
        <v>35080</v>
      </c>
      <c r="B89" s="74">
        <v>31.36</v>
      </c>
    </row>
    <row r="90" spans="1:2" x14ac:dyDescent="0.2">
      <c r="A90" s="75">
        <v>35081</v>
      </c>
      <c r="B90" s="74">
        <v>31.41</v>
      </c>
    </row>
    <row r="91" spans="1:2" x14ac:dyDescent="0.2">
      <c r="A91" s="75">
        <v>35082</v>
      </c>
      <c r="B91" s="74">
        <v>31.5</v>
      </c>
    </row>
    <row r="92" spans="1:2" x14ac:dyDescent="0.2">
      <c r="A92" s="75">
        <v>35083</v>
      </c>
      <c r="B92" s="74">
        <v>31.59</v>
      </c>
    </row>
    <row r="93" spans="1:2" x14ac:dyDescent="0.2">
      <c r="A93" s="75">
        <v>35086</v>
      </c>
      <c r="B93" s="74">
        <v>31.68</v>
      </c>
    </row>
    <row r="94" spans="1:2" x14ac:dyDescent="0.2">
      <c r="A94" s="75">
        <v>35087</v>
      </c>
      <c r="B94" s="74">
        <v>31.61</v>
      </c>
    </row>
    <row r="95" spans="1:2" x14ac:dyDescent="0.2">
      <c r="A95" s="75">
        <v>35088</v>
      </c>
      <c r="B95" s="74">
        <v>31.68</v>
      </c>
    </row>
    <row r="96" spans="1:2" x14ac:dyDescent="0.2">
      <c r="A96" s="75">
        <v>35089</v>
      </c>
      <c r="B96" s="74">
        <v>31.57</v>
      </c>
    </row>
    <row r="97" spans="1:2" x14ac:dyDescent="0.2">
      <c r="A97" s="75">
        <v>35090</v>
      </c>
      <c r="B97" s="74">
        <v>31.69</v>
      </c>
    </row>
    <row r="98" spans="1:2" x14ac:dyDescent="0.2">
      <c r="A98" s="75">
        <v>35093</v>
      </c>
      <c r="B98" s="74">
        <v>31.9</v>
      </c>
    </row>
    <row r="99" spans="1:2" x14ac:dyDescent="0.2">
      <c r="A99" s="75">
        <v>35094</v>
      </c>
      <c r="B99" s="74">
        <v>32.04</v>
      </c>
    </row>
    <row r="100" spans="1:2" x14ac:dyDescent="0.2">
      <c r="A100" s="75">
        <v>35095</v>
      </c>
      <c r="B100" s="74">
        <v>32.31</v>
      </c>
    </row>
    <row r="101" spans="1:2" x14ac:dyDescent="0.2">
      <c r="A101" s="75">
        <v>35096</v>
      </c>
      <c r="B101" s="74">
        <v>32.35</v>
      </c>
    </row>
    <row r="102" spans="1:2" x14ac:dyDescent="0.2">
      <c r="A102" s="75">
        <v>35097</v>
      </c>
      <c r="B102" s="74">
        <v>32.35</v>
      </c>
    </row>
    <row r="103" spans="1:2" x14ac:dyDescent="0.2">
      <c r="A103" s="75">
        <v>35100</v>
      </c>
      <c r="B103" s="74">
        <v>32.42</v>
      </c>
    </row>
    <row r="104" spans="1:2" x14ac:dyDescent="0.2">
      <c r="A104" s="75">
        <v>35101</v>
      </c>
      <c r="B104" s="74">
        <v>32.659999999999997</v>
      </c>
    </row>
    <row r="105" spans="1:2" x14ac:dyDescent="0.2">
      <c r="A105" s="75">
        <v>35102</v>
      </c>
      <c r="B105" s="74">
        <v>32.71</v>
      </c>
    </row>
    <row r="106" spans="1:2" x14ac:dyDescent="0.2">
      <c r="A106" s="75">
        <v>35103</v>
      </c>
      <c r="B106" s="74">
        <v>32.93</v>
      </c>
    </row>
    <row r="107" spans="1:2" x14ac:dyDescent="0.2">
      <c r="A107" s="75">
        <v>35104</v>
      </c>
      <c r="B107" s="74">
        <v>33</v>
      </c>
    </row>
    <row r="108" spans="1:2" x14ac:dyDescent="0.2">
      <c r="A108" s="75">
        <v>35107</v>
      </c>
      <c r="B108" s="74">
        <v>33.24</v>
      </c>
    </row>
    <row r="109" spans="1:2" x14ac:dyDescent="0.2">
      <c r="A109" s="75">
        <v>35108</v>
      </c>
      <c r="B109" s="74">
        <v>33.130000000000003</v>
      </c>
    </row>
    <row r="110" spans="1:2" x14ac:dyDescent="0.2">
      <c r="A110" s="75">
        <v>35109</v>
      </c>
      <c r="B110" s="74">
        <v>33.049999999999997</v>
      </c>
    </row>
    <row r="111" spans="1:2" x14ac:dyDescent="0.2">
      <c r="A111" s="75">
        <v>35110</v>
      </c>
      <c r="B111" s="74">
        <v>33</v>
      </c>
    </row>
    <row r="112" spans="1:2" x14ac:dyDescent="0.2">
      <c r="A112" s="75">
        <v>35111</v>
      </c>
      <c r="B112" s="74">
        <v>32.86</v>
      </c>
    </row>
    <row r="113" spans="1:2" x14ac:dyDescent="0.2">
      <c r="A113" s="75">
        <v>35115</v>
      </c>
      <c r="B113" s="74">
        <v>32.549999999999997</v>
      </c>
    </row>
    <row r="114" spans="1:2" x14ac:dyDescent="0.2">
      <c r="A114" s="75">
        <v>35116</v>
      </c>
      <c r="B114" s="74">
        <v>32.92</v>
      </c>
    </row>
    <row r="115" spans="1:2" x14ac:dyDescent="0.2">
      <c r="A115" s="75">
        <v>35117</v>
      </c>
      <c r="B115" s="74">
        <v>33.409999999999997</v>
      </c>
    </row>
    <row r="116" spans="1:2" x14ac:dyDescent="0.2">
      <c r="A116" s="75">
        <v>35118</v>
      </c>
      <c r="B116" s="74">
        <v>33.6</v>
      </c>
    </row>
    <row r="117" spans="1:2" x14ac:dyDescent="0.2">
      <c r="A117" s="75">
        <v>35121</v>
      </c>
      <c r="B117" s="74">
        <v>33.33</v>
      </c>
    </row>
    <row r="118" spans="1:2" x14ac:dyDescent="0.2">
      <c r="A118" s="75">
        <v>35122</v>
      </c>
      <c r="B118" s="74">
        <v>33.31</v>
      </c>
    </row>
    <row r="119" spans="1:2" x14ac:dyDescent="0.2">
      <c r="A119" s="75">
        <v>35123</v>
      </c>
      <c r="B119" s="74">
        <v>33.24</v>
      </c>
    </row>
    <row r="120" spans="1:2" x14ac:dyDescent="0.2">
      <c r="A120" s="75">
        <v>35124</v>
      </c>
      <c r="B120" s="74">
        <v>33.090000000000003</v>
      </c>
    </row>
    <row r="121" spans="1:2" x14ac:dyDescent="0.2">
      <c r="A121" s="75">
        <v>35125</v>
      </c>
      <c r="B121" s="74">
        <v>33.35</v>
      </c>
    </row>
  </sheetData>
  <phoneticPr fontId="7" type="noConversion"/>
  <pageMargins left="1.25" right="0.75" top="1" bottom="1" header="0.5" footer="0.5"/>
  <pageSetup orientation="portrait" horizontalDpi="360" verticalDpi="360" r:id="rId1"/>
  <headerFooter alignWithMargins="0">
    <oddFooter>&amp;CPage &amp;P of &amp;N      (c) 1998 Prentice Hall, Upper Saddle River, NJ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topLeftCell="A29" workbookViewId="0"/>
  </sheetViews>
  <sheetFormatPr defaultRowHeight="12.5" x14ac:dyDescent="0.25"/>
  <cols>
    <col min="4" max="4" width="11" customWidth="1"/>
  </cols>
  <sheetData>
    <row r="1" spans="1:9" ht="13" x14ac:dyDescent="0.3">
      <c r="A1" s="1" t="s">
        <v>370</v>
      </c>
      <c r="B1" s="1"/>
      <c r="D1" s="2" t="s">
        <v>371</v>
      </c>
      <c r="E1" s="2"/>
      <c r="F1" s="2"/>
    </row>
    <row r="3" spans="1:9" ht="13" x14ac:dyDescent="0.3">
      <c r="A3" s="3" t="s">
        <v>372</v>
      </c>
      <c r="B3" s="3"/>
      <c r="C3" s="3"/>
      <c r="D3" s="3"/>
      <c r="E3" s="3"/>
      <c r="F3" s="3"/>
      <c r="G3" s="3"/>
      <c r="H3" s="3"/>
      <c r="I3" s="3"/>
    </row>
    <row r="4" spans="1:9" ht="13" x14ac:dyDescent="0.3">
      <c r="A4" s="3" t="s">
        <v>373</v>
      </c>
      <c r="B4" s="3"/>
      <c r="C4" s="3"/>
      <c r="D4" s="3"/>
      <c r="E4" s="3"/>
      <c r="F4" s="3"/>
      <c r="G4" s="3"/>
      <c r="H4" s="3"/>
      <c r="I4" s="3"/>
    </row>
    <row r="5" spans="1:9" ht="13" x14ac:dyDescent="0.3">
      <c r="A5" s="3"/>
      <c r="B5" s="3"/>
      <c r="C5" s="3"/>
      <c r="D5" s="3"/>
      <c r="E5" s="3"/>
      <c r="F5" s="3"/>
      <c r="G5" s="3"/>
      <c r="H5" s="3"/>
      <c r="I5" s="3"/>
    </row>
    <row r="6" spans="1:9" ht="13" x14ac:dyDescent="0.3">
      <c r="A6" s="5" t="s">
        <v>374</v>
      </c>
      <c r="B6" s="3"/>
      <c r="C6" s="3"/>
      <c r="D6" s="3"/>
      <c r="E6" s="3"/>
      <c r="F6" s="3"/>
      <c r="G6" s="3"/>
      <c r="H6" s="3"/>
      <c r="I6" s="3"/>
    </row>
    <row r="7" spans="1:9" ht="13" x14ac:dyDescent="0.3">
      <c r="A7" s="5" t="s">
        <v>375</v>
      </c>
      <c r="B7" s="3"/>
      <c r="C7" s="3"/>
      <c r="D7" s="3"/>
      <c r="E7" s="3"/>
      <c r="F7" s="3"/>
      <c r="G7" s="3"/>
      <c r="H7" s="3"/>
      <c r="I7" s="3"/>
    </row>
    <row r="8" spans="1:9" x14ac:dyDescent="0.25">
      <c r="A8" t="s">
        <v>376</v>
      </c>
    </row>
    <row r="10" spans="1:9" ht="13" x14ac:dyDescent="0.3">
      <c r="D10" s="6" t="s">
        <v>377</v>
      </c>
      <c r="E10" s="7" t="s">
        <v>378</v>
      </c>
    </row>
    <row r="11" spans="1:9" x14ac:dyDescent="0.25">
      <c r="D11" s="8">
        <v>1</v>
      </c>
      <c r="E11" s="9">
        <v>1807282</v>
      </c>
    </row>
    <row r="12" spans="1:9" x14ac:dyDescent="0.25">
      <c r="D12" s="8">
        <v>2</v>
      </c>
      <c r="E12" s="9">
        <v>4034511</v>
      </c>
    </row>
    <row r="13" spans="1:9" x14ac:dyDescent="0.25">
      <c r="D13" s="8">
        <v>3</v>
      </c>
      <c r="E13" s="9">
        <v>10475598</v>
      </c>
    </row>
    <row r="14" spans="1:9" x14ac:dyDescent="0.25">
      <c r="D14" s="8">
        <v>4</v>
      </c>
      <c r="E14" s="9">
        <v>19167218</v>
      </c>
    </row>
    <row r="15" spans="1:9" x14ac:dyDescent="0.25">
      <c r="D15" s="8">
        <v>5</v>
      </c>
      <c r="E15" s="9">
        <v>22299766</v>
      </c>
    </row>
    <row r="16" spans="1:9" x14ac:dyDescent="0.25">
      <c r="D16" s="8">
        <v>6</v>
      </c>
      <c r="E16" s="9">
        <v>19123529</v>
      </c>
    </row>
    <row r="17" spans="1:5" x14ac:dyDescent="0.25">
      <c r="D17" s="8">
        <v>7</v>
      </c>
      <c r="E17" s="9">
        <v>11644729</v>
      </c>
    </row>
    <row r="18" spans="1:5" x14ac:dyDescent="0.25">
      <c r="D18" s="8">
        <v>8</v>
      </c>
      <c r="E18" s="9">
        <v>7104904</v>
      </c>
    </row>
    <row r="19" spans="1:5" x14ac:dyDescent="0.25">
      <c r="D19" s="8">
        <v>9</v>
      </c>
      <c r="E19" s="9">
        <v>6606141</v>
      </c>
    </row>
    <row r="21" spans="1:5" x14ac:dyDescent="0.25">
      <c r="A21" t="s">
        <v>379</v>
      </c>
    </row>
    <row r="22" spans="1:5" x14ac:dyDescent="0.25">
      <c r="A22" t="s">
        <v>380</v>
      </c>
    </row>
    <row r="23" spans="1:5" x14ac:dyDescent="0.25">
      <c r="A23" t="s">
        <v>381</v>
      </c>
    </row>
    <row r="27" spans="1:5" x14ac:dyDescent="0.25">
      <c r="A27" t="s">
        <v>382</v>
      </c>
    </row>
    <row r="28" spans="1:5" x14ac:dyDescent="0.25">
      <c r="A28" s="4" t="s">
        <v>383</v>
      </c>
    </row>
    <row r="29" spans="1:5" x14ac:dyDescent="0.25">
      <c r="A29" s="4"/>
    </row>
    <row r="30" spans="1:5" x14ac:dyDescent="0.25">
      <c r="A30" s="4"/>
    </row>
    <row r="31" spans="1:5" x14ac:dyDescent="0.25">
      <c r="A31" s="4" t="s">
        <v>384</v>
      </c>
    </row>
    <row r="32" spans="1:5" x14ac:dyDescent="0.25">
      <c r="A32" s="4"/>
    </row>
    <row r="33" spans="1:1" x14ac:dyDescent="0.25">
      <c r="A33" s="4"/>
    </row>
    <row r="34" spans="1:1" x14ac:dyDescent="0.25">
      <c r="A34" s="4" t="s">
        <v>385</v>
      </c>
    </row>
    <row r="35" spans="1:1" x14ac:dyDescent="0.25">
      <c r="A35" s="4"/>
    </row>
    <row r="36" spans="1:1" x14ac:dyDescent="0.25">
      <c r="A36" s="4"/>
    </row>
    <row r="37" spans="1:1" x14ac:dyDescent="0.25">
      <c r="A37" s="4" t="s">
        <v>386</v>
      </c>
    </row>
    <row r="38" spans="1:1" x14ac:dyDescent="0.25">
      <c r="A38" s="4"/>
    </row>
    <row r="39" spans="1:1" x14ac:dyDescent="0.25">
      <c r="A39" s="4"/>
    </row>
    <row r="40" spans="1:1" x14ac:dyDescent="0.25">
      <c r="A40" s="4" t="s">
        <v>387</v>
      </c>
    </row>
    <row r="41" spans="1:1" x14ac:dyDescent="0.25">
      <c r="A41" s="4"/>
    </row>
    <row r="42" spans="1:1" x14ac:dyDescent="0.25">
      <c r="A42" s="4"/>
    </row>
    <row r="43" spans="1:1" x14ac:dyDescent="0.25">
      <c r="A43" t="s">
        <v>388</v>
      </c>
    </row>
    <row r="44" spans="1:1" x14ac:dyDescent="0.25">
      <c r="A44" t="s">
        <v>389</v>
      </c>
    </row>
    <row r="45" spans="1:1" x14ac:dyDescent="0.25">
      <c r="A45" t="s">
        <v>390</v>
      </c>
    </row>
    <row r="46" spans="1:1" x14ac:dyDescent="0.25">
      <c r="A46" s="4"/>
    </row>
    <row r="47" spans="1:1" x14ac:dyDescent="0.25">
      <c r="A47" s="4"/>
    </row>
    <row r="48" spans="1:1" x14ac:dyDescent="0.25">
      <c r="A48" s="4" t="s">
        <v>391</v>
      </c>
    </row>
    <row r="49" spans="1:3" x14ac:dyDescent="0.25">
      <c r="A49" s="4" t="s">
        <v>392</v>
      </c>
    </row>
    <row r="50" spans="1:3" x14ac:dyDescent="0.25">
      <c r="A50" s="4" t="s">
        <v>393</v>
      </c>
      <c r="C50" t="s">
        <v>394</v>
      </c>
    </row>
    <row r="51" spans="1:3" x14ac:dyDescent="0.25">
      <c r="A51" s="4"/>
    </row>
    <row r="52" spans="1:3" x14ac:dyDescent="0.25">
      <c r="A52" s="4"/>
    </row>
    <row r="53" spans="1:3" x14ac:dyDescent="0.25">
      <c r="A53" s="4"/>
    </row>
    <row r="54" spans="1:3" x14ac:dyDescent="0.25">
      <c r="A54" s="4"/>
    </row>
    <row r="55" spans="1:3" x14ac:dyDescent="0.25">
      <c r="A55" s="4"/>
    </row>
    <row r="56" spans="1:3" x14ac:dyDescent="0.25">
      <c r="A56" s="4"/>
    </row>
    <row r="57" spans="1:3" x14ac:dyDescent="0.25">
      <c r="A57" s="4"/>
    </row>
    <row r="58" spans="1:3" x14ac:dyDescent="0.25">
      <c r="A58" s="4"/>
    </row>
    <row r="59" spans="1:3" x14ac:dyDescent="0.25">
      <c r="A59" s="4"/>
    </row>
    <row r="60" spans="1:3" x14ac:dyDescent="0.25">
      <c r="A60" s="4"/>
    </row>
    <row r="61" spans="1:3" x14ac:dyDescent="0.25">
      <c r="A61" s="4"/>
    </row>
    <row r="62" spans="1:3" x14ac:dyDescent="0.25">
      <c r="A62" s="4"/>
    </row>
    <row r="63" spans="1:3" x14ac:dyDescent="0.25">
      <c r="A63" s="4"/>
    </row>
    <row r="64" spans="1:3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</sheetData>
  <phoneticPr fontId="7" type="noConversion"/>
  <pageMargins left="1.25" right="0.75" top="1" bottom="1" header="0.5" footer="0.5"/>
  <pageSetup orientation="portrait" horizontalDpi="300" verticalDpi="0" r:id="rId1"/>
  <headerFooter alignWithMargins="0">
    <oddFooter>&amp;CPage &amp;P of &amp;N      (c) 1998 Prentice Hall, Upper Saddle River, NJ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/>
  </sheetViews>
  <sheetFormatPr defaultRowHeight="12.5" x14ac:dyDescent="0.25"/>
  <cols>
    <col min="6" max="6" width="10" customWidth="1"/>
    <col min="7" max="7" width="10.90625" customWidth="1"/>
  </cols>
  <sheetData>
    <row r="1" spans="1:8" ht="13" x14ac:dyDescent="0.3">
      <c r="A1" s="1" t="s">
        <v>395</v>
      </c>
      <c r="B1" s="1"/>
      <c r="D1" s="2" t="s">
        <v>396</v>
      </c>
      <c r="E1" s="2"/>
    </row>
    <row r="3" spans="1:8" ht="13" x14ac:dyDescent="0.3">
      <c r="A3" s="57" t="s">
        <v>397</v>
      </c>
      <c r="B3" s="57"/>
      <c r="C3" s="57"/>
      <c r="D3" s="57"/>
      <c r="E3" s="57"/>
      <c r="F3" s="57"/>
      <c r="G3" s="57"/>
      <c r="H3" s="57"/>
    </row>
    <row r="4" spans="1:8" ht="13" x14ac:dyDescent="0.3">
      <c r="A4" s="57" t="s">
        <v>398</v>
      </c>
      <c r="B4" s="57"/>
      <c r="C4" s="57"/>
      <c r="D4" s="57"/>
      <c r="E4" s="57"/>
      <c r="F4" s="57"/>
      <c r="G4" s="57"/>
      <c r="H4" s="57"/>
    </row>
    <row r="6" spans="1:8" x14ac:dyDescent="0.25">
      <c r="A6" t="s">
        <v>399</v>
      </c>
    </row>
    <row r="7" spans="1:8" x14ac:dyDescent="0.25">
      <c r="A7" t="s">
        <v>400</v>
      </c>
    </row>
    <row r="8" spans="1:8" x14ac:dyDescent="0.25">
      <c r="A8" t="s">
        <v>401</v>
      </c>
    </row>
    <row r="10" spans="1:8" x14ac:dyDescent="0.25">
      <c r="A10" t="s">
        <v>402</v>
      </c>
    </row>
    <row r="12" spans="1:8" x14ac:dyDescent="0.25">
      <c r="A12" t="s">
        <v>403</v>
      </c>
    </row>
    <row r="13" spans="1:8" x14ac:dyDescent="0.25">
      <c r="A13" t="s">
        <v>404</v>
      </c>
    </row>
    <row r="14" spans="1:8" ht="13" x14ac:dyDescent="0.3">
      <c r="A14" t="s">
        <v>405</v>
      </c>
      <c r="C14" s="57"/>
      <c r="D14" s="57"/>
      <c r="E14" s="57"/>
      <c r="F14" s="57"/>
    </row>
    <row r="16" spans="1:8" ht="13" x14ac:dyDescent="0.3">
      <c r="C16" s="3" t="s">
        <v>406</v>
      </c>
      <c r="D16" s="3"/>
      <c r="E16" s="3"/>
      <c r="F16" s="3"/>
    </row>
    <row r="22" spans="1:1" ht="13" x14ac:dyDescent="0.3">
      <c r="A22" t="s">
        <v>407</v>
      </c>
    </row>
    <row r="23" spans="1:1" x14ac:dyDescent="0.25">
      <c r="A23" t="s">
        <v>408</v>
      </c>
    </row>
    <row r="24" spans="1:1" x14ac:dyDescent="0.25">
      <c r="A24" t="s">
        <v>409</v>
      </c>
    </row>
    <row r="25" spans="1:1" x14ac:dyDescent="0.25">
      <c r="A25" t="s">
        <v>410</v>
      </c>
    </row>
    <row r="31" spans="1:1" x14ac:dyDescent="0.25">
      <c r="A31" t="s">
        <v>411</v>
      </c>
    </row>
    <row r="32" spans="1:1" x14ac:dyDescent="0.25">
      <c r="A32" t="s">
        <v>412</v>
      </c>
    </row>
    <row r="33" spans="1:6" x14ac:dyDescent="0.25">
      <c r="A33" t="s">
        <v>413</v>
      </c>
    </row>
    <row r="37" spans="1:6" x14ac:dyDescent="0.25">
      <c r="A37" t="s">
        <v>414</v>
      </c>
    </row>
    <row r="39" spans="1:6" ht="13" x14ac:dyDescent="0.3">
      <c r="C39" s="57" t="s">
        <v>406</v>
      </c>
      <c r="D39" s="57"/>
      <c r="E39" s="57"/>
      <c r="F39" s="57"/>
    </row>
    <row r="43" spans="1:6" x14ac:dyDescent="0.25">
      <c r="A43" t="s">
        <v>415</v>
      </c>
    </row>
    <row r="44" spans="1:6" x14ac:dyDescent="0.25">
      <c r="A44" t="s">
        <v>416</v>
      </c>
    </row>
    <row r="45" spans="1:6" x14ac:dyDescent="0.25">
      <c r="A45" t="s">
        <v>417</v>
      </c>
    </row>
  </sheetData>
  <phoneticPr fontId="7" type="noConversion"/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ch7tu1</vt:lpstr>
      <vt:lpstr>ch7tu2</vt:lpstr>
      <vt:lpstr>ch7tu3</vt:lpstr>
      <vt:lpstr>ch7tu4</vt:lpstr>
      <vt:lpstr>ch7tu5</vt:lpstr>
      <vt:lpstr>ch7tu6</vt:lpstr>
      <vt:lpstr>Homework 11</vt:lpstr>
      <vt:lpstr>Data for HW11</vt:lpstr>
      <vt:lpstr>ch7pr2</vt:lpstr>
      <vt:lpstr>ch7pr3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dcterms:created xsi:type="dcterms:W3CDTF">2002-03-27T15:10:23Z</dcterms:created>
  <dcterms:modified xsi:type="dcterms:W3CDTF">2020-01-27T11:43:26Z</dcterms:modified>
</cp:coreProperties>
</file>