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266FD3-488D-4210-B413-1E67CA002C41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Sheet1" sheetId="1" state="hidden" r:id="rId1"/>
    <sheet name="Breakdown" sheetId="2" r:id="rId2"/>
  </sheets>
  <definedNames>
    <definedName name="_xlnm.Print_Area" localSheetId="1">Breakdown!$A$1:$K$91</definedName>
    <definedName name="_xlnm.Print_Titles" localSheetId="1">Breakdown!$10:$12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2" i="2" l="1"/>
  <c r="G34" i="2"/>
  <c r="G41" i="2"/>
  <c r="G48" i="2"/>
  <c r="G54" i="2"/>
  <c r="G60" i="2"/>
  <c r="G66" i="2"/>
  <c r="G71" i="2"/>
  <c r="G75" i="2" s="1"/>
  <c r="E7" i="1"/>
  <c r="E8" i="1"/>
  <c r="E9" i="1"/>
  <c r="E11" i="1"/>
  <c r="E14" i="1" s="1"/>
  <c r="E20" i="1"/>
  <c r="E21" i="1"/>
  <c r="E22" i="1"/>
  <c r="E24" i="1"/>
  <c r="E42" i="1" s="1"/>
  <c r="E25" i="1"/>
  <c r="E26" i="1"/>
  <c r="E27" i="1"/>
  <c r="E28" i="1"/>
  <c r="E30" i="1"/>
  <c r="C31" i="1"/>
  <c r="E31" i="1"/>
  <c r="E32" i="1"/>
  <c r="E35" i="1"/>
  <c r="E36" i="1"/>
  <c r="E39" i="1"/>
  <c r="E40" i="1"/>
  <c r="E46" i="1"/>
  <c r="E49" i="1" s="1"/>
  <c r="E47" i="1"/>
  <c r="E53" i="1"/>
  <c r="E54" i="1"/>
  <c r="E55" i="1"/>
  <c r="E58" i="1" s="1"/>
  <c r="E56" i="1"/>
  <c r="E57" i="1"/>
  <c r="E63" i="1"/>
  <c r="E67" i="1" s="1"/>
  <c r="E64" i="1"/>
  <c r="E65" i="1"/>
  <c r="E66" i="1"/>
  <c r="E71" i="1"/>
  <c r="E74" i="1" s="1"/>
  <c r="E72" i="1"/>
  <c r="E77" i="1" l="1"/>
  <c r="E79" i="1"/>
  <c r="E81" i="1" s="1"/>
</calcChain>
</file>

<file path=xl/sharedStrings.xml><?xml version="1.0" encoding="utf-8"?>
<sst xmlns="http://schemas.openxmlformats.org/spreadsheetml/2006/main" count="158" uniqueCount="126">
  <si>
    <t>Indicative budget breakdown</t>
  </si>
  <si>
    <t>Unit</t>
  </si>
  <si>
    <t>No of Units</t>
  </si>
  <si>
    <t>Rate</t>
  </si>
  <si>
    <t>Total</t>
  </si>
  <si>
    <t>costs</t>
  </si>
  <si>
    <t>Personnel costs</t>
  </si>
  <si>
    <t>EUR / Unit</t>
  </si>
  <si>
    <t>EUR</t>
  </si>
  <si>
    <t>Long-term</t>
  </si>
  <si>
    <t>Leadership</t>
  </si>
  <si>
    <t>10 mos.</t>
  </si>
  <si>
    <t>Program Coordinator</t>
  </si>
  <si>
    <t>11 mos.</t>
  </si>
  <si>
    <t>Financial Officer</t>
  </si>
  <si>
    <t>Short term</t>
  </si>
  <si>
    <t>Geneva Coordinator</t>
  </si>
  <si>
    <t>6 mos.</t>
  </si>
  <si>
    <t>Total personnel costs</t>
  </si>
  <si>
    <t>Travel, accommodation &amp; subsistence</t>
  </si>
  <si>
    <t>International travel</t>
  </si>
  <si>
    <t>Intern Travel (Train to Geneva   and Airfare to New York)</t>
  </si>
  <si>
    <t>2 trips</t>
  </si>
  <si>
    <t>Coordinator Travel (To Geneva/Brussels)</t>
  </si>
  <si>
    <t>3 trips</t>
  </si>
  <si>
    <t>Other EC Travel</t>
  </si>
  <si>
    <t>Local travel</t>
  </si>
  <si>
    <t>Intern Allowance for local travel</t>
  </si>
  <si>
    <t>Inter taxi allowance (When work ends after 8pm)</t>
  </si>
  <si>
    <t xml:space="preserve">Coordinator travel in Geneva and New York </t>
  </si>
  <si>
    <t>Other local travel</t>
  </si>
  <si>
    <t>Accommodation</t>
  </si>
  <si>
    <t>Housing   for interns in Geneva</t>
  </si>
  <si>
    <t>6 mos</t>
  </si>
  <si>
    <t>Housing  for interns in New York</t>
  </si>
  <si>
    <t>4 mos.</t>
  </si>
  <si>
    <t>Subsistence (limited to the per diem rate for the country)</t>
  </si>
  <si>
    <t>Interns per diem/stipend</t>
  </si>
  <si>
    <t>306 days</t>
  </si>
  <si>
    <t>Coordinator per diem (Geneva/Brussels)</t>
  </si>
  <si>
    <t>Other travel related costs</t>
  </si>
  <si>
    <t>Health &amp; travel insurance for interns</t>
  </si>
  <si>
    <t>Sundry expenses (Visa, airport taxes, insurance for experts)</t>
  </si>
  <si>
    <t>Total travel, accommodation &amp; subsistence</t>
  </si>
  <si>
    <t>Equipment</t>
  </si>
  <si>
    <t>Fax</t>
  </si>
  <si>
    <t>10mos.</t>
  </si>
  <si>
    <t>Laptop/printer</t>
  </si>
  <si>
    <t>Total equipment</t>
  </si>
  <si>
    <t>Consumables</t>
  </si>
  <si>
    <t>Postage and messenger service</t>
  </si>
  <si>
    <t>Duplicating and photocopying</t>
  </si>
  <si>
    <t>Supplies including housing necessities for interns</t>
  </si>
  <si>
    <t>Telephone, email, faxing and internet access costs</t>
  </si>
  <si>
    <t>Utilities for interns housing</t>
  </si>
  <si>
    <t>Total consumables</t>
  </si>
  <si>
    <t>Activities</t>
  </si>
  <si>
    <t xml:space="preserve">Printing and dissemination of information on UN and human </t>
  </si>
  <si>
    <t xml:space="preserve">  rights including books for interns</t>
  </si>
  <si>
    <t>Briefings, inductions, social gatherings</t>
  </si>
  <si>
    <t>Honoraria to NGO experts for speaking engagement</t>
  </si>
  <si>
    <t>Access fees to conference attendance, UN receptions, etc.</t>
  </si>
  <si>
    <t>Total Activities</t>
  </si>
  <si>
    <t>Other direct costs</t>
  </si>
  <si>
    <t>Finance and bank charges including audit costs</t>
  </si>
  <si>
    <t>Office Costs (Geneva)</t>
  </si>
  <si>
    <t>Total other direct costs</t>
  </si>
  <si>
    <t>Administration (max 7% of eligible costs)</t>
  </si>
  <si>
    <t>Contingencies (max 5% of eligible costs)</t>
  </si>
  <si>
    <t>TOTAL PROJECT COSTS</t>
  </si>
  <si>
    <t>Description</t>
  </si>
  <si>
    <t>Duration</t>
  </si>
  <si>
    <t xml:space="preserve">Total amount </t>
  </si>
  <si>
    <t>If difference from  contract, please explain</t>
  </si>
  <si>
    <t>spent  -  EUR</t>
  </si>
  <si>
    <t>contract</t>
  </si>
  <si>
    <t>A. Total direct costs</t>
  </si>
  <si>
    <t>Source of Funding</t>
  </si>
  <si>
    <t>Amount in EUR</t>
  </si>
  <si>
    <t xml:space="preserve">% of Total </t>
  </si>
  <si>
    <t>Start date of project :</t>
  </si>
  <si>
    <t xml:space="preserve"> costs</t>
  </si>
  <si>
    <t>European Commission contribution</t>
  </si>
  <si>
    <t>End date of project :</t>
  </si>
  <si>
    <t>Other contributions</t>
  </si>
  <si>
    <t>Interests accrued</t>
  </si>
  <si>
    <t>Total financial contributions</t>
  </si>
  <si>
    <t>Please attach a list of the exchange rates used (exchange rate, month, year)</t>
  </si>
  <si>
    <t>Name and signature of the accountant</t>
  </si>
  <si>
    <t>Date</t>
  </si>
  <si>
    <t>Name and signature of the person responsible for the contract</t>
  </si>
  <si>
    <t>Unused contingencies</t>
  </si>
  <si>
    <t xml:space="preserve">EUR / Unit </t>
  </si>
  <si>
    <t xml:space="preserve">No of </t>
  </si>
  <si>
    <t xml:space="preserve">Units in </t>
  </si>
  <si>
    <t xml:space="preserve">Rate </t>
  </si>
  <si>
    <t xml:space="preserve">Units </t>
  </si>
  <si>
    <t>used</t>
  </si>
  <si>
    <t>in contract</t>
  </si>
  <si>
    <t>Real expenditure</t>
  </si>
  <si>
    <t>In contract</t>
  </si>
  <si>
    <t>The final report needs to account for all costs incurred since the beginning of the project</t>
  </si>
  <si>
    <t>Salaries</t>
  </si>
  <si>
    <t>Per diem</t>
  </si>
  <si>
    <t>2.Travel</t>
  </si>
  <si>
    <t>3. Equipment and supplies</t>
  </si>
  <si>
    <t>1. Human resources</t>
  </si>
  <si>
    <t>Sub-total human resources</t>
  </si>
  <si>
    <t>Sub-total travel</t>
  </si>
  <si>
    <t>Sub-total equipment and supplies</t>
  </si>
  <si>
    <t>4. Local office / project costs</t>
  </si>
  <si>
    <t>Sub-total local office / project costs</t>
  </si>
  <si>
    <t>5. Other costs / services</t>
  </si>
  <si>
    <t>Sub-total Other costs / services</t>
  </si>
  <si>
    <t>6. Real estate and works</t>
  </si>
  <si>
    <t>Sub-total real estate and works</t>
  </si>
  <si>
    <t>7. Other</t>
  </si>
  <si>
    <t>Sub-total other</t>
  </si>
  <si>
    <t>TOTAL PROJECT COSTS (A + 8)</t>
  </si>
  <si>
    <t>Uses of Funds by Disbursement</t>
  </si>
  <si>
    <t>For the Period ending XXX 31, 200Y</t>
  </si>
  <si>
    <t>(in Euro)</t>
  </si>
  <si>
    <t>Contractor:</t>
  </si>
  <si>
    <r>
      <t xml:space="preserve">8. Administration  </t>
    </r>
    <r>
      <rPr>
        <sz val="10"/>
        <rFont val="Arial Narrow"/>
        <family val="2"/>
      </rPr>
      <t>(Maximum X % of A. Total direct costs - see % in contract budget)</t>
    </r>
  </si>
  <si>
    <t>Project Title:</t>
  </si>
  <si>
    <t>Contract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</si>
</sst>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93" formatCode="_-* #,##0_-;\-* #,##0_-;_-* &quot;-&quot;??_-;_-@_-"/>
    <numFmt numFmtId="196" formatCode="_-* #,##0.0000_-;\-* #,##0.0000_-;_-* &quot;-&quot;??_-;_-@_-"/>
    <numFmt numFmtId="197" formatCode="#,##0\ _F"/>
  </numFmts>
  <fonts count="11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6" fillId="0" borderId="0" xfId="0" applyFont="1"/>
    <xf numFmtId="0" fontId="1" fillId="0" borderId="0" xfId="0" applyFont="1"/>
    <xf numFmtId="0" fontId="0" fillId="0" borderId="0" xfId="0" applyBorder="1"/>
    <xf numFmtId="0" fontId="7" fillId="0" borderId="3" xfId="0" applyFont="1" applyBorder="1"/>
    <xf numFmtId="0" fontId="7" fillId="0" borderId="4" xfId="0" applyFont="1" applyBorder="1" applyAlignment="1">
      <alignment horizontal="right"/>
    </xf>
    <xf numFmtId="0" fontId="7" fillId="0" borderId="5" xfId="0" applyFont="1" applyBorder="1"/>
    <xf numFmtId="197" fontId="7" fillId="0" borderId="6" xfId="0" applyNumberFormat="1" applyFont="1" applyBorder="1"/>
    <xf numFmtId="197" fontId="8" fillId="0" borderId="7" xfId="0" applyNumberFormat="1" applyFont="1" applyBorder="1"/>
    <xf numFmtId="0" fontId="8" fillId="0" borderId="8" xfId="0" applyFont="1" applyBorder="1"/>
    <xf numFmtId="10" fontId="8" fillId="0" borderId="9" xfId="2" applyNumberFormat="1" applyFont="1" applyBorder="1"/>
    <xf numFmtId="0" fontId="8" fillId="0" borderId="9" xfId="0" applyFont="1" applyBorder="1"/>
    <xf numFmtId="10" fontId="8" fillId="0" borderId="10" xfId="2" applyNumberFormat="1" applyFont="1" applyBorder="1"/>
    <xf numFmtId="0" fontId="7" fillId="0" borderId="11" xfId="0" applyFont="1" applyBorder="1"/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15" xfId="0" applyFont="1" applyBorder="1"/>
    <xf numFmtId="0" fontId="7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7" xfId="0" applyFont="1" applyBorder="1"/>
    <xf numFmtId="0" fontId="7" fillId="0" borderId="2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8" xfId="0" applyFont="1" applyBorder="1"/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/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8" fillId="0" borderId="12" xfId="0" applyFont="1" applyBorder="1"/>
    <xf numFmtId="0" fontId="8" fillId="0" borderId="12" xfId="0" applyFont="1" applyBorder="1" applyAlignment="1">
      <alignment horizontal="center"/>
    </xf>
    <xf numFmtId="0" fontId="8" fillId="0" borderId="31" xfId="0" applyFont="1" applyBorder="1"/>
    <xf numFmtId="0" fontId="9" fillId="0" borderId="32" xfId="0" applyFont="1" applyBorder="1"/>
    <xf numFmtId="3" fontId="8" fillId="0" borderId="7" xfId="0" applyNumberFormat="1" applyFont="1" applyBorder="1" applyAlignment="1">
      <alignment horizontal="center"/>
    </xf>
    <xf numFmtId="193" fontId="8" fillId="0" borderId="7" xfId="1" applyNumberFormat="1" applyFont="1" applyBorder="1"/>
    <xf numFmtId="0" fontId="8" fillId="0" borderId="33" xfId="0" applyFont="1" applyBorder="1"/>
    <xf numFmtId="0" fontId="8" fillId="0" borderId="32" xfId="0" applyFont="1" applyBorder="1"/>
    <xf numFmtId="193" fontId="8" fillId="0" borderId="7" xfId="0" applyNumberFormat="1" applyFont="1" applyBorder="1"/>
    <xf numFmtId="0" fontId="7" fillId="0" borderId="32" xfId="0" applyFont="1" applyBorder="1"/>
    <xf numFmtId="0" fontId="8" fillId="0" borderId="7" xfId="0" applyFont="1" applyBorder="1" applyAlignment="1">
      <alignment horizontal="center"/>
    </xf>
    <xf numFmtId="193" fontId="7" fillId="0" borderId="7" xfId="1" applyNumberFormat="1" applyFont="1" applyBorder="1"/>
    <xf numFmtId="193" fontId="8" fillId="0" borderId="18" xfId="1" applyNumberFormat="1" applyFont="1" applyBorder="1"/>
    <xf numFmtId="0" fontId="10" fillId="0" borderId="32" xfId="0" applyFont="1" applyBorder="1"/>
    <xf numFmtId="196" fontId="8" fillId="0" borderId="7" xfId="0" applyNumberFormat="1" applyFont="1" applyBorder="1"/>
    <xf numFmtId="193" fontId="8" fillId="0" borderId="33" xfId="0" applyNumberFormat="1" applyFont="1" applyBorder="1"/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193" fontId="8" fillId="0" borderId="34" xfId="1" applyNumberFormat="1" applyFont="1" applyBorder="1"/>
    <xf numFmtId="0" fontId="8" fillId="0" borderId="29" xfId="0" applyFont="1" applyBorder="1"/>
    <xf numFmtId="0" fontId="8" fillId="0" borderId="28" xfId="0" applyFont="1" applyBorder="1"/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93" fontId="7" fillId="0" borderId="6" xfId="1" applyNumberFormat="1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8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B9" sqref="B9"/>
    </sheetView>
  </sheetViews>
  <sheetFormatPr defaultColWidth="8.81640625" defaultRowHeight="12.5" x14ac:dyDescent="0.25"/>
  <cols>
    <col min="1" max="1" width="50.81640625" customWidth="1"/>
  </cols>
  <sheetData>
    <row r="1" spans="1:5" ht="18" x14ac:dyDescent="0.4">
      <c r="A1" s="1" t="s">
        <v>0</v>
      </c>
      <c r="B1" s="1"/>
      <c r="C1" s="1"/>
      <c r="D1" s="1"/>
      <c r="E1" s="1"/>
    </row>
    <row r="3" spans="1:5" x14ac:dyDescent="0.25">
      <c r="B3" s="2" t="s">
        <v>1</v>
      </c>
      <c r="C3" t="s">
        <v>2</v>
      </c>
      <c r="D3" s="2" t="s">
        <v>3</v>
      </c>
      <c r="E3" s="2" t="s">
        <v>4</v>
      </c>
    </row>
    <row r="4" spans="1:5" x14ac:dyDescent="0.25">
      <c r="E4" s="2" t="s">
        <v>5</v>
      </c>
    </row>
    <row r="5" spans="1:5" ht="13" x14ac:dyDescent="0.3">
      <c r="A5" s="3" t="s">
        <v>6</v>
      </c>
      <c r="D5" s="2" t="s">
        <v>7</v>
      </c>
      <c r="E5" s="2" t="s">
        <v>8</v>
      </c>
    </row>
    <row r="6" spans="1:5" ht="13" x14ac:dyDescent="0.3">
      <c r="A6" s="4" t="s">
        <v>9</v>
      </c>
    </row>
    <row r="7" spans="1:5" x14ac:dyDescent="0.25">
      <c r="A7" t="s">
        <v>10</v>
      </c>
      <c r="B7" t="s">
        <v>11</v>
      </c>
      <c r="C7">
        <v>10</v>
      </c>
      <c r="D7">
        <v>500</v>
      </c>
      <c r="E7">
        <f>IF(OR(D7&lt;&gt;"", C7&lt;&gt;""), ROUND(D7*C7, 0), "")</f>
        <v>5000</v>
      </c>
    </row>
    <row r="8" spans="1:5" x14ac:dyDescent="0.25">
      <c r="A8" t="s">
        <v>12</v>
      </c>
      <c r="B8" t="s">
        <v>13</v>
      </c>
      <c r="C8">
        <v>10</v>
      </c>
      <c r="D8">
        <v>1800</v>
      </c>
      <c r="E8">
        <f>IF(OR(D8&lt;&gt;"", C8&lt;&gt;""), ROUND(D8*C8, 0), "")</f>
        <v>18000</v>
      </c>
    </row>
    <row r="9" spans="1:5" x14ac:dyDescent="0.25">
      <c r="A9" t="s">
        <v>14</v>
      </c>
      <c r="B9" t="s">
        <v>13</v>
      </c>
      <c r="C9">
        <v>11</v>
      </c>
      <c r="D9">
        <v>500</v>
      </c>
      <c r="E9">
        <f>IF(OR(D9&lt;&gt;"", C9&lt;&gt;""), ROUND(D9*C9, 0), "")</f>
        <v>5500</v>
      </c>
    </row>
    <row r="11" spans="1:5" ht="13" x14ac:dyDescent="0.3">
      <c r="A11" s="4" t="s">
        <v>15</v>
      </c>
      <c r="E11" t="str">
        <f>IF(OR(D11&lt;&gt;"", C11&lt;&gt;""), ROUND(D11*C11, 0), "")</f>
        <v/>
      </c>
    </row>
    <row r="12" spans="1:5" x14ac:dyDescent="0.25">
      <c r="A12" s="9" t="s">
        <v>16</v>
      </c>
      <c r="B12" t="s">
        <v>17</v>
      </c>
      <c r="C12">
        <v>10</v>
      </c>
      <c r="D12">
        <v>1000</v>
      </c>
      <c r="E12">
        <v>10000</v>
      </c>
    </row>
    <row r="14" spans="1:5" ht="13" x14ac:dyDescent="0.3">
      <c r="A14" s="5" t="s">
        <v>18</v>
      </c>
      <c r="E14" s="6">
        <f>IF(OR(E7&lt;&gt;"", E11&lt;&gt;""), SUM(E6:E13), 0)</f>
        <v>38500</v>
      </c>
    </row>
    <row r="17" spans="1:5" ht="13" x14ac:dyDescent="0.3">
      <c r="A17" s="3" t="s">
        <v>19</v>
      </c>
    </row>
    <row r="19" spans="1:5" ht="13" x14ac:dyDescent="0.3">
      <c r="A19" s="4" t="s">
        <v>20</v>
      </c>
    </row>
    <row r="20" spans="1:5" x14ac:dyDescent="0.25">
      <c r="A20" t="s">
        <v>21</v>
      </c>
      <c r="B20" t="s">
        <v>22</v>
      </c>
      <c r="C20">
        <v>10</v>
      </c>
      <c r="D20">
        <v>800</v>
      </c>
      <c r="E20">
        <f>IF(OR(D20&lt;&gt;"", C20&lt;&gt;""), ROUND(D20*C20, 0), "")</f>
        <v>8000</v>
      </c>
    </row>
    <row r="21" spans="1:5" x14ac:dyDescent="0.25">
      <c r="A21" t="s">
        <v>23</v>
      </c>
      <c r="B21" t="s">
        <v>24</v>
      </c>
      <c r="C21">
        <v>3</v>
      </c>
      <c r="D21">
        <v>1000</v>
      </c>
      <c r="E21">
        <f>IF(OR(D21&lt;&gt;"", C21&lt;&gt;""), ROUND(D21*C21, 0), "")</f>
        <v>3000</v>
      </c>
    </row>
    <row r="22" spans="1:5" x14ac:dyDescent="0.25">
      <c r="A22" t="s">
        <v>25</v>
      </c>
      <c r="B22" t="s">
        <v>22</v>
      </c>
      <c r="C22">
        <v>2</v>
      </c>
      <c r="D22">
        <v>600</v>
      </c>
      <c r="E22">
        <f>IF(OR(D22&lt;&gt;"", C22&lt;&gt;""), ROUND(D22*C22, 0), "")</f>
        <v>1200</v>
      </c>
    </row>
    <row r="24" spans="1:5" ht="13" x14ac:dyDescent="0.3">
      <c r="A24" s="4" t="s">
        <v>26</v>
      </c>
      <c r="E24" t="str">
        <f>IF(OR(D24&lt;&gt;"", C24&lt;&gt;""), ROUND(D24*C24, 0), "")</f>
        <v/>
      </c>
    </row>
    <row r="25" spans="1:5" x14ac:dyDescent="0.25">
      <c r="A25" s="9" t="s">
        <v>27</v>
      </c>
      <c r="B25" t="s">
        <v>11</v>
      </c>
      <c r="C25">
        <v>50</v>
      </c>
      <c r="D25">
        <v>100</v>
      </c>
      <c r="E25">
        <f>IF(OR(D25&lt;&gt;"", C25&lt;&gt;""), ROUND(D25*C25, 0), "")</f>
        <v>5000</v>
      </c>
    </row>
    <row r="26" spans="1:5" x14ac:dyDescent="0.25">
      <c r="A26" s="9" t="s">
        <v>28</v>
      </c>
      <c r="B26" t="s">
        <v>11</v>
      </c>
      <c r="C26">
        <v>5</v>
      </c>
      <c r="D26">
        <v>240</v>
      </c>
      <c r="E26">
        <f>+D26*C26</f>
        <v>1200</v>
      </c>
    </row>
    <row r="27" spans="1:5" x14ac:dyDescent="0.25">
      <c r="A27" s="9" t="s">
        <v>29</v>
      </c>
      <c r="B27" t="s">
        <v>24</v>
      </c>
      <c r="C27">
        <v>6</v>
      </c>
      <c r="D27">
        <v>40</v>
      </c>
      <c r="E27">
        <f>IF(OR(D27&lt;&gt;"", C27&lt;&gt;""), ROUND(D27*C27, 0), "")</f>
        <v>240</v>
      </c>
    </row>
    <row r="28" spans="1:5" x14ac:dyDescent="0.25">
      <c r="A28" s="9" t="s">
        <v>30</v>
      </c>
      <c r="B28" t="s">
        <v>11</v>
      </c>
      <c r="C28">
        <v>20</v>
      </c>
      <c r="D28">
        <v>10</v>
      </c>
      <c r="E28">
        <f>IF(OR(D28&lt;&gt;"", C28&lt;&gt;""), ROUND(D28*C28, 0), "")</f>
        <v>200</v>
      </c>
    </row>
    <row r="30" spans="1:5" ht="13" x14ac:dyDescent="0.3">
      <c r="A30" s="4" t="s">
        <v>31</v>
      </c>
      <c r="E30" t="str">
        <f>IF(OR(D30&lt;&gt;"", C30&lt;&gt;""), ROUND(D30*C30, 0), "")</f>
        <v/>
      </c>
    </row>
    <row r="31" spans="1:5" x14ac:dyDescent="0.25">
      <c r="A31" s="9" t="s">
        <v>32</v>
      </c>
      <c r="B31" t="s">
        <v>33</v>
      </c>
      <c r="C31">
        <f>5*6</f>
        <v>30</v>
      </c>
      <c r="D31">
        <v>750</v>
      </c>
      <c r="E31">
        <f>+D31*C31</f>
        <v>22500</v>
      </c>
    </row>
    <row r="32" spans="1:5" x14ac:dyDescent="0.25">
      <c r="A32" s="9" t="s">
        <v>34</v>
      </c>
      <c r="B32" t="s">
        <v>35</v>
      </c>
      <c r="C32">
        <v>20</v>
      </c>
      <c r="D32">
        <v>1300</v>
      </c>
      <c r="E32">
        <f>+D32*C32</f>
        <v>26000</v>
      </c>
    </row>
    <row r="34" spans="1:5" ht="13" x14ac:dyDescent="0.3">
      <c r="A34" s="4" t="s">
        <v>36</v>
      </c>
    </row>
    <row r="35" spans="1:5" x14ac:dyDescent="0.25">
      <c r="A35" t="s">
        <v>37</v>
      </c>
      <c r="B35" t="s">
        <v>38</v>
      </c>
      <c r="C35">
        <v>1530</v>
      </c>
      <c r="D35">
        <v>35</v>
      </c>
      <c r="E35">
        <f>IF(OR(D35&lt;&gt;"", C35&lt;&gt;""), ROUND(D35*C35, 0), "")</f>
        <v>53550</v>
      </c>
    </row>
    <row r="36" spans="1:5" x14ac:dyDescent="0.25">
      <c r="A36" t="s">
        <v>39</v>
      </c>
      <c r="B36" t="s">
        <v>24</v>
      </c>
      <c r="C36">
        <v>12</v>
      </c>
      <c r="D36">
        <v>150</v>
      </c>
      <c r="E36">
        <f>IF(OR(D36&lt;&gt;"", C36&lt;&gt;""), ROUND(D36*C36, 0), "")</f>
        <v>1800</v>
      </c>
    </row>
    <row r="38" spans="1:5" ht="13" x14ac:dyDescent="0.3">
      <c r="A38" s="4" t="s">
        <v>40</v>
      </c>
    </row>
    <row r="39" spans="1:5" x14ac:dyDescent="0.25">
      <c r="A39" t="s">
        <v>41</v>
      </c>
      <c r="B39" t="s">
        <v>11</v>
      </c>
      <c r="C39">
        <v>5</v>
      </c>
      <c r="D39">
        <v>1500</v>
      </c>
      <c r="E39">
        <f>IF(OR(D39&lt;&gt;"", C39&lt;&gt;""), ROUND(D39*C39, 0), "")</f>
        <v>7500</v>
      </c>
    </row>
    <row r="40" spans="1:5" x14ac:dyDescent="0.25">
      <c r="A40" t="s">
        <v>42</v>
      </c>
      <c r="B40" t="s">
        <v>11</v>
      </c>
      <c r="C40">
        <v>5</v>
      </c>
      <c r="D40">
        <v>100</v>
      </c>
      <c r="E40">
        <f>IF(OR(D40&lt;&gt;"", C40&lt;&gt;""), ROUND(D40*C40, 0), "")</f>
        <v>500</v>
      </c>
    </row>
    <row r="42" spans="1:5" ht="13" x14ac:dyDescent="0.3">
      <c r="A42" s="5" t="s">
        <v>43</v>
      </c>
      <c r="E42" s="6">
        <f>IF(OR(E36&lt;&gt;"", E35&lt;&gt;"", E24&lt;&gt;"", E21&lt;&gt;"", E20&lt;&gt;""), SUM(E19:E41), 0)</f>
        <v>130690</v>
      </c>
    </row>
    <row r="45" spans="1:5" ht="13" x14ac:dyDescent="0.3">
      <c r="A45" s="3" t="s">
        <v>44</v>
      </c>
    </row>
    <row r="46" spans="1:5" x14ac:dyDescent="0.25">
      <c r="A46" t="s">
        <v>45</v>
      </c>
      <c r="B46" t="s">
        <v>46</v>
      </c>
      <c r="C46">
        <v>1</v>
      </c>
      <c r="D46">
        <v>500</v>
      </c>
      <c r="E46">
        <f>IF(OR(D46&lt;&gt;"", C46&lt;&gt;""), ROUND(D46*C46, 0), "")</f>
        <v>500</v>
      </c>
    </row>
    <row r="47" spans="1:5" x14ac:dyDescent="0.25">
      <c r="A47" t="s">
        <v>47</v>
      </c>
      <c r="B47" t="s">
        <v>11</v>
      </c>
      <c r="C47">
        <v>10</v>
      </c>
      <c r="D47">
        <v>100</v>
      </c>
      <c r="E47">
        <f>IF(OR(D47&lt;&gt;"", C47&lt;&gt;""), ROUND(D47*C47, 0), "")</f>
        <v>1000</v>
      </c>
    </row>
    <row r="49" spans="1:5" ht="13" x14ac:dyDescent="0.3">
      <c r="A49" s="5" t="s">
        <v>48</v>
      </c>
      <c r="E49" s="6">
        <f>IF(E46&lt;&gt;"", SUM(E46:E48), 0)</f>
        <v>1500</v>
      </c>
    </row>
    <row r="52" spans="1:5" ht="13" x14ac:dyDescent="0.3">
      <c r="A52" s="3" t="s">
        <v>49</v>
      </c>
    </row>
    <row r="53" spans="1:5" x14ac:dyDescent="0.25">
      <c r="A53" t="s">
        <v>50</v>
      </c>
      <c r="B53" t="s">
        <v>11</v>
      </c>
      <c r="C53">
        <v>10</v>
      </c>
      <c r="D53">
        <v>50</v>
      </c>
      <c r="E53">
        <f>IF(OR(D53&lt;&gt;"", C53&lt;&gt;""), ROUND(D53*C53, 0), "")</f>
        <v>500</v>
      </c>
    </row>
    <row r="54" spans="1:5" x14ac:dyDescent="0.25">
      <c r="A54" t="s">
        <v>51</v>
      </c>
      <c r="B54" t="s">
        <v>11</v>
      </c>
      <c r="C54">
        <v>10</v>
      </c>
      <c r="D54">
        <v>50</v>
      </c>
      <c r="E54">
        <f>IF(OR(D54&lt;&gt;"", C54&lt;&gt;""), ROUND(D54*C54, 0), "")</f>
        <v>500</v>
      </c>
    </row>
    <row r="55" spans="1:5" x14ac:dyDescent="0.25">
      <c r="A55" t="s">
        <v>52</v>
      </c>
      <c r="B55" t="s">
        <v>11</v>
      </c>
      <c r="C55">
        <v>10</v>
      </c>
      <c r="D55">
        <v>200</v>
      </c>
      <c r="E55">
        <f>IF(OR(D55&lt;&gt;"", C55&lt;&gt;""), ROUND(D55*C55, 0), "")</f>
        <v>2000</v>
      </c>
    </row>
    <row r="56" spans="1:5" x14ac:dyDescent="0.25">
      <c r="A56" t="s">
        <v>53</v>
      </c>
      <c r="B56" t="s">
        <v>11</v>
      </c>
      <c r="C56">
        <v>10</v>
      </c>
      <c r="D56">
        <v>100</v>
      </c>
      <c r="E56">
        <f>IF(OR(D56&lt;&gt;"", C56&lt;&gt;""), ROUND(D56*C56, 0), "")</f>
        <v>1000</v>
      </c>
    </row>
    <row r="57" spans="1:5" x14ac:dyDescent="0.25">
      <c r="A57" t="s">
        <v>54</v>
      </c>
      <c r="B57" t="s">
        <v>11</v>
      </c>
      <c r="C57">
        <v>50</v>
      </c>
      <c r="D57">
        <v>50</v>
      </c>
      <c r="E57">
        <f>IF(OR(D57&lt;&gt;"", C57&lt;&gt;""), ROUND(D57*C57, 0), "")</f>
        <v>2500</v>
      </c>
    </row>
    <row r="58" spans="1:5" ht="13" x14ac:dyDescent="0.3">
      <c r="A58" s="5" t="s">
        <v>55</v>
      </c>
      <c r="E58" s="6">
        <f>IF(E53&lt;&gt;"", SUM(E53:E57), 0)</f>
        <v>6500</v>
      </c>
    </row>
    <row r="59" spans="1:5" ht="13" x14ac:dyDescent="0.3">
      <c r="A59" s="5"/>
      <c r="E59" s="10"/>
    </row>
    <row r="60" spans="1:5" ht="13" x14ac:dyDescent="0.3">
      <c r="A60" s="5"/>
      <c r="E60" s="10"/>
    </row>
    <row r="61" spans="1:5" ht="13" x14ac:dyDescent="0.3">
      <c r="A61" s="3" t="s">
        <v>56</v>
      </c>
    </row>
    <row r="62" spans="1:5" x14ac:dyDescent="0.25">
      <c r="A62" s="8" t="s">
        <v>57</v>
      </c>
    </row>
    <row r="63" spans="1:5" x14ac:dyDescent="0.25">
      <c r="A63" s="8" t="s">
        <v>58</v>
      </c>
      <c r="B63" t="s">
        <v>11</v>
      </c>
      <c r="C63">
        <v>5</v>
      </c>
      <c r="D63">
        <v>500</v>
      </c>
      <c r="E63">
        <f>IF(OR(D63&lt;&gt;"", C63&lt;&gt;""), ROUND(D63*C63, 0), "")</f>
        <v>2500</v>
      </c>
    </row>
    <row r="64" spans="1:5" x14ac:dyDescent="0.25">
      <c r="A64" s="8" t="s">
        <v>59</v>
      </c>
      <c r="B64" t="s">
        <v>11</v>
      </c>
      <c r="C64">
        <v>5</v>
      </c>
      <c r="D64">
        <v>500</v>
      </c>
      <c r="E64">
        <f>IF(OR(D64&lt;&gt;"", C64&lt;&gt;""), ROUND(D64*C64, 0), "")</f>
        <v>2500</v>
      </c>
    </row>
    <row r="65" spans="1:5" x14ac:dyDescent="0.25">
      <c r="A65" s="8" t="s">
        <v>60</v>
      </c>
      <c r="B65" t="s">
        <v>11</v>
      </c>
      <c r="C65">
        <v>10</v>
      </c>
      <c r="D65">
        <v>100</v>
      </c>
      <c r="E65">
        <f>IF(OR(D65&lt;&gt;"", C65&lt;&gt;""), ROUND(D65*C65, 0), "")</f>
        <v>1000</v>
      </c>
    </row>
    <row r="66" spans="1:5" x14ac:dyDescent="0.25">
      <c r="A66" s="8" t="s">
        <v>61</v>
      </c>
      <c r="B66" t="s">
        <v>11</v>
      </c>
      <c r="C66">
        <v>5</v>
      </c>
      <c r="D66">
        <v>160</v>
      </c>
      <c r="E66">
        <f>IF(OR(D66&lt;&gt;"", C66&lt;&gt;""), ROUND(D66*C66, 0), "")</f>
        <v>800</v>
      </c>
    </row>
    <row r="67" spans="1:5" ht="13" x14ac:dyDescent="0.3">
      <c r="A67" s="5" t="s">
        <v>62</v>
      </c>
      <c r="E67" s="6">
        <f xml:space="preserve"> SUM(E62:E66)</f>
        <v>6800</v>
      </c>
    </row>
    <row r="68" spans="1:5" ht="13" x14ac:dyDescent="0.3">
      <c r="A68" s="5"/>
      <c r="E68" s="10"/>
    </row>
    <row r="70" spans="1:5" ht="13" x14ac:dyDescent="0.3">
      <c r="A70" s="3" t="s">
        <v>63</v>
      </c>
    </row>
    <row r="71" spans="1:5" x14ac:dyDescent="0.25">
      <c r="A71" t="s">
        <v>64</v>
      </c>
      <c r="B71" t="s">
        <v>11</v>
      </c>
      <c r="C71">
        <v>50</v>
      </c>
      <c r="D71">
        <v>30</v>
      </c>
      <c r="E71">
        <f>IF(OR(D71&lt;&gt;"", C71&lt;&gt;""), ROUND(D71*C71, 0), "")</f>
        <v>1500</v>
      </c>
    </row>
    <row r="72" spans="1:5" x14ac:dyDescent="0.25">
      <c r="A72" t="s">
        <v>65</v>
      </c>
      <c r="B72" t="s">
        <v>11</v>
      </c>
      <c r="C72">
        <v>10</v>
      </c>
      <c r="D72">
        <v>300</v>
      </c>
      <c r="E72">
        <f>IF(OR(D72&lt;&gt;"", C72&lt;&gt;""), ROUND(D72*C72, 0), "")</f>
        <v>3000</v>
      </c>
    </row>
    <row r="74" spans="1:5" ht="13" x14ac:dyDescent="0.3">
      <c r="A74" s="5" t="s">
        <v>66</v>
      </c>
      <c r="E74" s="6">
        <f>IF(E71&lt;&gt;"", SUM(E71:E73), 0)</f>
        <v>4500</v>
      </c>
    </row>
    <row r="75" spans="1:5" ht="13" x14ac:dyDescent="0.3">
      <c r="A75" s="5"/>
    </row>
    <row r="76" spans="1:5" ht="13" x14ac:dyDescent="0.3">
      <c r="A76" s="5"/>
    </row>
    <row r="77" spans="1:5" ht="13" x14ac:dyDescent="0.3">
      <c r="A77" s="3" t="s">
        <v>67</v>
      </c>
      <c r="E77">
        <f>ROUND(+SUM(+$E$74+E67+$E$58+$E$49+$E$42+$E$14)*0.07,-2)</f>
        <v>13200</v>
      </c>
    </row>
    <row r="79" spans="1:5" ht="13" x14ac:dyDescent="0.3">
      <c r="A79" s="3" t="s">
        <v>68</v>
      </c>
      <c r="E79">
        <f>ROUND(+SUM(+$E$74+E67+$E$58+$E$49+$E$42+$E$14)*0.05,-2)-4700</f>
        <v>4700</v>
      </c>
    </row>
    <row r="81" spans="1:5" ht="13.5" thickBot="1" x14ac:dyDescent="0.35">
      <c r="A81" s="3" t="s">
        <v>69</v>
      </c>
      <c r="E81" s="7">
        <f>E14+E42+E58+E49+E67+E74+E77+E79</f>
        <v>206390</v>
      </c>
    </row>
    <row r="82" spans="1:5" ht="13" thickTop="1" x14ac:dyDescent="0.25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"/>
  <sheetViews>
    <sheetView tabSelected="1" zoomScale="75" workbookViewId="0">
      <selection activeCell="A2" sqref="A2:IV4"/>
    </sheetView>
  </sheetViews>
  <sheetFormatPr defaultColWidth="8.81640625" defaultRowHeight="13" x14ac:dyDescent="0.3"/>
  <cols>
    <col min="1" max="1" width="51.81640625" style="33" customWidth="1"/>
    <col min="2" max="2" width="14.1796875" style="33" customWidth="1"/>
    <col min="3" max="3" width="11.1796875" style="59" customWidth="1"/>
    <col min="4" max="4" width="10.7265625" style="33" customWidth="1"/>
    <col min="5" max="5" width="12.7265625" style="33" customWidth="1"/>
    <col min="6" max="6" width="13.453125" style="33" customWidth="1"/>
    <col min="7" max="7" width="0.1796875" style="33" hidden="1" customWidth="1"/>
    <col min="8" max="8" width="11.81640625" style="33" customWidth="1"/>
    <col min="9" max="9" width="12" style="33" customWidth="1"/>
    <col min="10" max="10" width="14" style="33" customWidth="1"/>
    <col min="11" max="11" width="36.7265625" style="33" customWidth="1"/>
    <col min="12" max="16384" width="8.81640625" style="33"/>
  </cols>
  <sheetData>
    <row r="1" spans="1:12" x14ac:dyDescent="0.3">
      <c r="A1" s="70" t="s">
        <v>101</v>
      </c>
      <c r="B1" s="71"/>
      <c r="C1" s="24"/>
      <c r="D1" s="71"/>
      <c r="E1" s="71"/>
      <c r="F1" s="71"/>
      <c r="G1" s="30"/>
      <c r="H1" s="71"/>
      <c r="I1" s="71"/>
      <c r="J1" s="25"/>
      <c r="K1" s="25"/>
      <c r="L1" s="32"/>
    </row>
    <row r="2" spans="1:12" x14ac:dyDescent="0.3">
      <c r="A2" s="76" t="s">
        <v>122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32"/>
    </row>
    <row r="3" spans="1:12" x14ac:dyDescent="0.3">
      <c r="A3" s="76" t="s">
        <v>124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32"/>
    </row>
    <row r="4" spans="1:12" x14ac:dyDescent="0.3">
      <c r="A4" s="76" t="s">
        <v>125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32"/>
    </row>
    <row r="5" spans="1:12" x14ac:dyDescent="0.3">
      <c r="A5" s="77" t="s">
        <v>119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32"/>
    </row>
    <row r="6" spans="1:12" x14ac:dyDescent="0.3">
      <c r="A6" s="77" t="s">
        <v>120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32"/>
    </row>
    <row r="7" spans="1:12" x14ac:dyDescent="0.3">
      <c r="A7" s="77" t="s">
        <v>121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32"/>
    </row>
    <row r="8" spans="1:12" ht="13.5" thickBot="1" x14ac:dyDescent="0.35">
      <c r="A8" s="70"/>
      <c r="B8" s="71"/>
      <c r="C8" s="24"/>
      <c r="D8" s="71"/>
      <c r="E8" s="71"/>
      <c r="F8" s="71"/>
      <c r="G8" s="30"/>
      <c r="H8" s="71"/>
      <c r="I8" s="71"/>
      <c r="J8" s="25"/>
      <c r="K8" s="25"/>
      <c r="L8" s="32"/>
    </row>
    <row r="9" spans="1:12" ht="13.5" thickBot="1" x14ac:dyDescent="0.35">
      <c r="A9" s="25"/>
      <c r="B9" s="25"/>
      <c r="C9" s="26"/>
      <c r="D9" s="27"/>
      <c r="E9" s="28" t="s">
        <v>99</v>
      </c>
      <c r="F9" s="29"/>
      <c r="G9" s="30"/>
      <c r="H9" s="27"/>
      <c r="I9" s="28" t="s">
        <v>100</v>
      </c>
      <c r="J9" s="29"/>
      <c r="K9" s="31"/>
      <c r="L9" s="32"/>
    </row>
    <row r="10" spans="1:12" x14ac:dyDescent="0.3">
      <c r="A10" s="34" t="s">
        <v>70</v>
      </c>
      <c r="B10" s="35" t="s">
        <v>1</v>
      </c>
      <c r="C10" s="35" t="s">
        <v>71</v>
      </c>
      <c r="D10" s="35" t="s">
        <v>93</v>
      </c>
      <c r="E10" s="35" t="s">
        <v>95</v>
      </c>
      <c r="F10" s="35" t="s">
        <v>72</v>
      </c>
      <c r="G10" s="36"/>
      <c r="H10" s="35" t="s">
        <v>93</v>
      </c>
      <c r="I10" s="35" t="s">
        <v>95</v>
      </c>
      <c r="J10" s="35" t="s">
        <v>72</v>
      </c>
      <c r="K10" s="37" t="s">
        <v>73</v>
      </c>
      <c r="L10" s="32"/>
    </row>
    <row r="11" spans="1:12" x14ac:dyDescent="0.3">
      <c r="A11" s="38"/>
      <c r="B11" s="39"/>
      <c r="C11" s="39"/>
      <c r="D11" s="40" t="s">
        <v>96</v>
      </c>
      <c r="E11" s="40" t="s">
        <v>92</v>
      </c>
      <c r="F11" s="40" t="s">
        <v>74</v>
      </c>
      <c r="G11" s="36"/>
      <c r="H11" s="40" t="s">
        <v>94</v>
      </c>
      <c r="I11" s="40" t="s">
        <v>92</v>
      </c>
      <c r="J11" s="40" t="s">
        <v>98</v>
      </c>
      <c r="K11" s="41"/>
      <c r="L11" s="32"/>
    </row>
    <row r="12" spans="1:12" ht="13.5" thickBot="1" x14ac:dyDescent="0.35">
      <c r="A12" s="42"/>
      <c r="B12" s="43"/>
      <c r="C12" s="44"/>
      <c r="D12" s="45" t="s">
        <v>97</v>
      </c>
      <c r="E12" s="45" t="s">
        <v>97</v>
      </c>
      <c r="F12" s="45"/>
      <c r="G12" s="46"/>
      <c r="H12" s="45" t="s">
        <v>75</v>
      </c>
      <c r="I12" s="45" t="s">
        <v>98</v>
      </c>
      <c r="J12" s="45" t="s">
        <v>8</v>
      </c>
      <c r="K12" s="47"/>
      <c r="L12" s="32"/>
    </row>
    <row r="13" spans="1:12" ht="18.75" customHeight="1" x14ac:dyDescent="0.3">
      <c r="A13" s="48" t="s">
        <v>106</v>
      </c>
      <c r="B13" s="49"/>
      <c r="C13" s="50"/>
      <c r="D13" s="49"/>
      <c r="E13" s="49"/>
      <c r="F13" s="49"/>
      <c r="G13" s="30"/>
      <c r="H13" s="49"/>
      <c r="I13" s="49"/>
      <c r="J13" s="49"/>
      <c r="K13" s="51"/>
      <c r="L13" s="32"/>
    </row>
    <row r="14" spans="1:12" x14ac:dyDescent="0.3">
      <c r="A14" s="52" t="s">
        <v>102</v>
      </c>
      <c r="B14" s="49"/>
      <c r="C14" s="53"/>
      <c r="F14" s="54"/>
      <c r="G14" s="30"/>
      <c r="K14" s="55"/>
      <c r="L14" s="32"/>
    </row>
    <row r="15" spans="1:12" x14ac:dyDescent="0.3">
      <c r="A15" s="52"/>
      <c r="B15" s="49"/>
      <c r="C15" s="53"/>
      <c r="F15" s="54"/>
      <c r="G15" s="30"/>
      <c r="K15" s="55"/>
      <c r="L15" s="32"/>
    </row>
    <row r="16" spans="1:12" x14ac:dyDescent="0.3">
      <c r="A16" s="52"/>
      <c r="B16" s="49"/>
      <c r="C16" s="53"/>
      <c r="F16" s="54"/>
      <c r="G16" s="30"/>
      <c r="K16" s="55"/>
      <c r="L16" s="32"/>
    </row>
    <row r="17" spans="1:12" x14ac:dyDescent="0.3">
      <c r="A17" s="56"/>
      <c r="B17" s="49"/>
      <c r="C17" s="53"/>
      <c r="F17" s="54"/>
      <c r="G17" s="30"/>
      <c r="J17" s="57"/>
      <c r="K17" s="55"/>
      <c r="L17" s="32"/>
    </row>
    <row r="18" spans="1:12" x14ac:dyDescent="0.3">
      <c r="A18" s="52" t="s">
        <v>103</v>
      </c>
      <c r="B18" s="49"/>
      <c r="C18" s="53"/>
      <c r="F18" s="54"/>
      <c r="G18" s="30"/>
      <c r="K18" s="55"/>
      <c r="L18" s="32"/>
    </row>
    <row r="19" spans="1:12" x14ac:dyDescent="0.3">
      <c r="A19" s="52"/>
      <c r="B19" s="49"/>
      <c r="C19" s="53"/>
      <c r="F19" s="54"/>
      <c r="G19" s="30"/>
      <c r="K19" s="55"/>
      <c r="L19" s="32"/>
    </row>
    <row r="20" spans="1:12" x14ac:dyDescent="0.3">
      <c r="A20" s="52"/>
      <c r="B20" s="49"/>
      <c r="C20" s="53"/>
      <c r="F20" s="54"/>
      <c r="G20" s="30"/>
      <c r="K20" s="55"/>
      <c r="L20" s="32"/>
    </row>
    <row r="21" spans="1:12" x14ac:dyDescent="0.3">
      <c r="A21" s="56"/>
      <c r="B21" s="49"/>
      <c r="C21" s="53"/>
      <c r="F21" s="54"/>
      <c r="G21" s="30"/>
      <c r="K21" s="55"/>
      <c r="L21" s="32"/>
    </row>
    <row r="22" spans="1:12" x14ac:dyDescent="0.3">
      <c r="A22" s="58" t="s">
        <v>107</v>
      </c>
      <c r="F22" s="60"/>
      <c r="G22" s="61" t="e">
        <f>IF(OR(G14&lt;&gt;"",#REF!&lt;&gt; ""), SUM(G13:G21), 0)</f>
        <v>#REF!</v>
      </c>
      <c r="K22" s="55"/>
      <c r="L22" s="32"/>
    </row>
    <row r="23" spans="1:12" ht="12.75" customHeight="1" x14ac:dyDescent="0.3">
      <c r="A23" s="56"/>
      <c r="F23" s="54"/>
      <c r="G23" s="30"/>
      <c r="K23" s="55"/>
      <c r="L23" s="32"/>
    </row>
    <row r="24" spans="1:12" ht="20.25" customHeight="1" x14ac:dyDescent="0.3">
      <c r="A24" s="58" t="s">
        <v>104</v>
      </c>
      <c r="F24" s="54"/>
      <c r="G24" s="30"/>
      <c r="K24" s="55"/>
      <c r="L24" s="32"/>
    </row>
    <row r="25" spans="1:12" x14ac:dyDescent="0.3">
      <c r="A25" s="52" t="s">
        <v>20</v>
      </c>
      <c r="F25" s="54"/>
      <c r="G25" s="30"/>
      <c r="K25" s="55"/>
      <c r="L25" s="32"/>
    </row>
    <row r="26" spans="1:12" x14ac:dyDescent="0.3">
      <c r="A26" s="52"/>
      <c r="F26" s="54"/>
      <c r="G26" s="30"/>
      <c r="K26" s="55"/>
      <c r="L26" s="32"/>
    </row>
    <row r="27" spans="1:12" x14ac:dyDescent="0.3">
      <c r="A27" s="56"/>
      <c r="F27" s="54"/>
      <c r="G27" s="30"/>
      <c r="K27" s="55"/>
      <c r="L27" s="32"/>
    </row>
    <row r="28" spans="1:12" x14ac:dyDescent="0.3">
      <c r="A28" s="56"/>
      <c r="F28" s="54"/>
      <c r="G28" s="30"/>
      <c r="K28" s="55"/>
      <c r="L28" s="32"/>
    </row>
    <row r="29" spans="1:12" x14ac:dyDescent="0.3">
      <c r="A29" s="52" t="s">
        <v>26</v>
      </c>
      <c r="F29" s="54"/>
      <c r="G29" s="30"/>
      <c r="K29" s="55"/>
      <c r="L29" s="32"/>
    </row>
    <row r="30" spans="1:12" x14ac:dyDescent="0.3">
      <c r="A30" s="56"/>
      <c r="F30" s="54"/>
      <c r="G30" s="30"/>
      <c r="K30" s="55"/>
      <c r="L30" s="32"/>
    </row>
    <row r="31" spans="1:12" x14ac:dyDescent="0.3">
      <c r="A31" s="56"/>
      <c r="F31" s="54"/>
      <c r="G31" s="30"/>
      <c r="K31" s="55"/>
      <c r="L31" s="32"/>
    </row>
    <row r="32" spans="1:12" x14ac:dyDescent="0.3">
      <c r="A32" s="56"/>
      <c r="F32" s="54"/>
      <c r="G32" s="30"/>
      <c r="K32" s="55"/>
      <c r="L32" s="32"/>
    </row>
    <row r="33" spans="1:12" x14ac:dyDescent="0.3">
      <c r="A33" s="56"/>
      <c r="F33" s="54"/>
      <c r="G33" s="30"/>
      <c r="K33" s="55"/>
      <c r="L33" s="32"/>
    </row>
    <row r="34" spans="1:12" x14ac:dyDescent="0.3">
      <c r="A34" s="58" t="s">
        <v>108</v>
      </c>
      <c r="F34" s="60"/>
      <c r="G34" s="61" t="e">
        <f>IF(OR(#REF!&lt;&gt;"",#REF!&lt;&gt; "", G29&lt;&gt;"", G27&lt;&gt;"",#REF!&lt;&gt; ""), SUM(G25:G33), 0)</f>
        <v>#REF!</v>
      </c>
      <c r="K34" s="55"/>
      <c r="L34" s="32"/>
    </row>
    <row r="35" spans="1:12" x14ac:dyDescent="0.3">
      <c r="A35" s="56"/>
      <c r="F35" s="54"/>
      <c r="G35" s="30"/>
      <c r="K35" s="55"/>
      <c r="L35" s="32"/>
    </row>
    <row r="36" spans="1:12" hidden="1" x14ac:dyDescent="0.3">
      <c r="A36" s="56"/>
      <c r="F36" s="54"/>
      <c r="G36" s="30"/>
      <c r="K36" s="55"/>
      <c r="L36" s="32"/>
    </row>
    <row r="37" spans="1:12" ht="21" customHeight="1" x14ac:dyDescent="0.3">
      <c r="A37" s="58" t="s">
        <v>105</v>
      </c>
      <c r="F37" s="54"/>
      <c r="G37" s="30"/>
      <c r="K37" s="55"/>
      <c r="L37" s="32"/>
    </row>
    <row r="38" spans="1:12" ht="12.75" customHeight="1" x14ac:dyDescent="0.3">
      <c r="A38" s="58"/>
      <c r="F38" s="54"/>
      <c r="G38" s="30"/>
      <c r="K38" s="55"/>
      <c r="L38" s="32"/>
    </row>
    <row r="39" spans="1:12" x14ac:dyDescent="0.3">
      <c r="A39" s="56"/>
      <c r="F39" s="54"/>
      <c r="G39" s="30"/>
      <c r="K39" s="55"/>
      <c r="L39" s="32"/>
    </row>
    <row r="40" spans="1:12" x14ac:dyDescent="0.3">
      <c r="A40" s="56"/>
      <c r="F40" s="54"/>
      <c r="G40" s="30"/>
      <c r="K40" s="55"/>
      <c r="L40" s="32"/>
    </row>
    <row r="41" spans="1:12" x14ac:dyDescent="0.3">
      <c r="A41" s="58" t="s">
        <v>109</v>
      </c>
      <c r="F41" s="60"/>
      <c r="G41" s="61" t="e">
        <f>IF(#REF!&lt;&gt;"", SUM(G40:G40), 0)</f>
        <v>#REF!</v>
      </c>
      <c r="K41" s="55"/>
      <c r="L41" s="32"/>
    </row>
    <row r="42" spans="1:12" x14ac:dyDescent="0.3">
      <c r="A42" s="62"/>
      <c r="F42" s="54"/>
      <c r="G42" s="30"/>
      <c r="K42" s="55"/>
      <c r="L42" s="32"/>
    </row>
    <row r="43" spans="1:12" hidden="1" x14ac:dyDescent="0.3">
      <c r="A43" s="62"/>
      <c r="F43" s="54"/>
      <c r="G43" s="30"/>
      <c r="K43" s="55"/>
      <c r="L43" s="32"/>
    </row>
    <row r="44" spans="1:12" ht="21" customHeight="1" x14ac:dyDescent="0.3">
      <c r="A44" s="58" t="s">
        <v>110</v>
      </c>
      <c r="F44" s="54"/>
      <c r="G44" s="30"/>
      <c r="K44" s="55"/>
      <c r="L44" s="32"/>
    </row>
    <row r="45" spans="1:12" ht="12.75" customHeight="1" x14ac:dyDescent="0.3">
      <c r="A45" s="58"/>
      <c r="F45" s="54"/>
      <c r="G45" s="30"/>
      <c r="K45" s="55"/>
      <c r="L45" s="32"/>
    </row>
    <row r="46" spans="1:12" x14ac:dyDescent="0.3">
      <c r="A46" s="56"/>
      <c r="F46" s="54"/>
      <c r="G46" s="30"/>
      <c r="K46" s="55"/>
      <c r="L46" s="32"/>
    </row>
    <row r="47" spans="1:12" x14ac:dyDescent="0.3">
      <c r="A47" s="56"/>
      <c r="F47" s="54"/>
      <c r="G47" s="30"/>
      <c r="K47" s="55"/>
      <c r="L47" s="32"/>
    </row>
    <row r="48" spans="1:12" x14ac:dyDescent="0.3">
      <c r="A48" s="58" t="s">
        <v>111</v>
      </c>
      <c r="F48" s="60"/>
      <c r="G48" s="61" t="e">
        <f>IF(#REF!&lt;&gt;"", SUM(G47:G47), 0)</f>
        <v>#REF!</v>
      </c>
      <c r="K48" s="55"/>
      <c r="L48" s="32"/>
    </row>
    <row r="49" spans="1:12" x14ac:dyDescent="0.3">
      <c r="A49" s="58"/>
      <c r="F49" s="60"/>
      <c r="G49" s="61"/>
      <c r="K49" s="55"/>
      <c r="L49" s="32"/>
    </row>
    <row r="50" spans="1:12" ht="19.5" customHeight="1" x14ac:dyDescent="0.3">
      <c r="A50" s="58" t="s">
        <v>112</v>
      </c>
      <c r="F50" s="54"/>
      <c r="G50" s="30"/>
      <c r="K50" s="55"/>
      <c r="L50" s="32"/>
    </row>
    <row r="51" spans="1:12" x14ac:dyDescent="0.3">
      <c r="A51" s="56"/>
      <c r="F51" s="54"/>
      <c r="G51" s="30"/>
      <c r="K51" s="55"/>
      <c r="L51" s="32"/>
    </row>
    <row r="52" spans="1:12" x14ac:dyDescent="0.3">
      <c r="A52" s="56"/>
      <c r="F52" s="54"/>
      <c r="G52" s="30"/>
      <c r="K52" s="55"/>
      <c r="L52" s="32"/>
    </row>
    <row r="53" spans="1:12" x14ac:dyDescent="0.3">
      <c r="A53" s="56"/>
      <c r="F53" s="54"/>
      <c r="G53" s="30"/>
      <c r="K53" s="55"/>
      <c r="L53" s="32"/>
    </row>
    <row r="54" spans="1:12" x14ac:dyDescent="0.3">
      <c r="A54" s="58" t="s">
        <v>113</v>
      </c>
      <c r="F54" s="60"/>
      <c r="G54" s="61">
        <f>SUM(G51:G53)</f>
        <v>0</v>
      </c>
      <c r="K54" s="55"/>
      <c r="L54" s="32"/>
    </row>
    <row r="55" spans="1:12" x14ac:dyDescent="0.3">
      <c r="A55" s="62"/>
      <c r="F55" s="60"/>
      <c r="G55" s="61"/>
      <c r="K55" s="55"/>
      <c r="L55" s="32"/>
    </row>
    <row r="56" spans="1:12" ht="21" customHeight="1" x14ac:dyDescent="0.3">
      <c r="A56" s="58" t="s">
        <v>114</v>
      </c>
      <c r="F56" s="54"/>
      <c r="G56" s="30"/>
      <c r="K56" s="55"/>
      <c r="L56" s="32"/>
    </row>
    <row r="57" spans="1:12" ht="12.75" customHeight="1" x14ac:dyDescent="0.3">
      <c r="A57" s="58"/>
      <c r="F57" s="54"/>
      <c r="G57" s="30"/>
      <c r="K57" s="55"/>
      <c r="L57" s="32"/>
    </row>
    <row r="58" spans="1:12" x14ac:dyDescent="0.3">
      <c r="A58" s="56"/>
      <c r="F58" s="54"/>
      <c r="G58" s="30"/>
      <c r="K58" s="55"/>
      <c r="L58" s="32"/>
    </row>
    <row r="59" spans="1:12" x14ac:dyDescent="0.3">
      <c r="A59" s="56"/>
      <c r="F59" s="54"/>
      <c r="G59" s="30"/>
      <c r="K59" s="55"/>
      <c r="L59" s="32"/>
    </row>
    <row r="60" spans="1:12" x14ac:dyDescent="0.3">
      <c r="A60" s="58" t="s">
        <v>115</v>
      </c>
      <c r="F60" s="60"/>
      <c r="G60" s="61" t="e">
        <f>IF(#REF!&lt;&gt;"", SUM(G59:G59), 0)</f>
        <v>#REF!</v>
      </c>
      <c r="K60" s="55"/>
      <c r="L60" s="32"/>
    </row>
    <row r="61" spans="1:12" x14ac:dyDescent="0.3">
      <c r="A61" s="58"/>
      <c r="F61" s="60"/>
      <c r="G61" s="61"/>
      <c r="K61" s="55"/>
      <c r="L61" s="32"/>
    </row>
    <row r="62" spans="1:12" ht="19.5" customHeight="1" x14ac:dyDescent="0.3">
      <c r="A62" s="58" t="s">
        <v>116</v>
      </c>
      <c r="F62" s="54"/>
      <c r="G62" s="30"/>
      <c r="K62" s="55"/>
      <c r="L62" s="32"/>
    </row>
    <row r="63" spans="1:12" x14ac:dyDescent="0.3">
      <c r="A63" s="56"/>
      <c r="F63" s="54"/>
      <c r="G63" s="30"/>
      <c r="K63" s="55"/>
      <c r="L63" s="32"/>
    </row>
    <row r="64" spans="1:12" x14ac:dyDescent="0.3">
      <c r="A64" s="56"/>
      <c r="F64" s="54"/>
      <c r="G64" s="30"/>
      <c r="K64" s="55"/>
      <c r="L64" s="32"/>
    </row>
    <row r="65" spans="1:12" x14ac:dyDescent="0.3">
      <c r="A65" s="56"/>
      <c r="F65" s="54"/>
      <c r="G65" s="30"/>
      <c r="K65" s="55"/>
      <c r="L65" s="32"/>
    </row>
    <row r="66" spans="1:12" x14ac:dyDescent="0.3">
      <c r="A66" s="58" t="s">
        <v>117</v>
      </c>
      <c r="F66" s="60"/>
      <c r="G66" s="61">
        <f>SUM(G63:G65)</f>
        <v>0</v>
      </c>
      <c r="K66" s="55"/>
      <c r="L66" s="32"/>
    </row>
    <row r="67" spans="1:12" x14ac:dyDescent="0.3">
      <c r="A67" s="62"/>
      <c r="F67" s="60"/>
      <c r="G67" s="61"/>
      <c r="K67" s="55"/>
      <c r="L67" s="32"/>
    </row>
    <row r="68" spans="1:12" x14ac:dyDescent="0.3">
      <c r="A68" s="58" t="s">
        <v>76</v>
      </c>
      <c r="F68" s="60"/>
      <c r="G68" s="61"/>
      <c r="K68" s="55"/>
      <c r="L68" s="32"/>
    </row>
    <row r="69" spans="1:12" x14ac:dyDescent="0.3">
      <c r="A69" s="62"/>
      <c r="F69" s="60"/>
      <c r="G69" s="61"/>
      <c r="K69" s="55"/>
      <c r="L69" s="32"/>
    </row>
    <row r="70" spans="1:12" hidden="1" x14ac:dyDescent="0.3">
      <c r="A70" s="62"/>
      <c r="F70" s="54"/>
      <c r="G70" s="30"/>
      <c r="K70" s="55"/>
      <c r="L70" s="32"/>
    </row>
    <row r="71" spans="1:12" ht="18" customHeight="1" x14ac:dyDescent="0.3">
      <c r="A71" s="58" t="s">
        <v>123</v>
      </c>
      <c r="F71" s="60"/>
      <c r="G71" s="30" t="e">
        <f>+SUM($G$22:$G$70)*0.07</f>
        <v>#REF!</v>
      </c>
      <c r="J71" s="63"/>
      <c r="K71" s="64"/>
      <c r="L71" s="32"/>
    </row>
    <row r="72" spans="1:12" ht="14.25" customHeight="1" x14ac:dyDescent="0.3">
      <c r="A72" s="58"/>
      <c r="F72" s="60"/>
      <c r="G72" s="30"/>
      <c r="J72" s="63"/>
      <c r="K72" s="64"/>
      <c r="L72" s="32"/>
    </row>
    <row r="73" spans="1:12" ht="14.25" customHeight="1" x14ac:dyDescent="0.3">
      <c r="A73" s="58" t="s">
        <v>118</v>
      </c>
      <c r="F73" s="60"/>
      <c r="G73" s="30"/>
      <c r="J73" s="63"/>
      <c r="K73" s="64"/>
      <c r="L73" s="32"/>
    </row>
    <row r="74" spans="1:12" x14ac:dyDescent="0.3">
      <c r="A74" s="56"/>
      <c r="F74" s="54"/>
      <c r="G74" s="30"/>
      <c r="K74" s="55"/>
      <c r="L74" s="32"/>
    </row>
    <row r="75" spans="1:12" ht="15" customHeight="1" thickBot="1" x14ac:dyDescent="0.35">
      <c r="A75" s="42" t="s">
        <v>91</v>
      </c>
      <c r="B75" s="65"/>
      <c r="C75" s="66"/>
      <c r="D75" s="65"/>
      <c r="E75" s="65"/>
      <c r="F75" s="72"/>
      <c r="G75" s="67" t="e">
        <f>G22+G34+G41+#REF!+G54+G71+#REF!</f>
        <v>#REF!</v>
      </c>
      <c r="H75" s="65"/>
      <c r="I75" s="65"/>
      <c r="J75" s="65"/>
      <c r="K75" s="68"/>
      <c r="L75" s="32"/>
    </row>
    <row r="76" spans="1:12" ht="35.25" customHeight="1" thickBot="1" x14ac:dyDescent="0.35">
      <c r="A76" s="25"/>
      <c r="B76" s="25"/>
      <c r="C76" s="26"/>
      <c r="D76" s="25"/>
      <c r="E76" s="25"/>
      <c r="F76" s="25"/>
      <c r="G76" s="69"/>
      <c r="H76" s="25"/>
      <c r="I76" s="25"/>
      <c r="J76" s="25"/>
      <c r="K76" s="25"/>
      <c r="L76" s="32"/>
    </row>
    <row r="77" spans="1:12" x14ac:dyDescent="0.3">
      <c r="A77" s="11" t="s">
        <v>77</v>
      </c>
      <c r="B77" s="12" t="s">
        <v>78</v>
      </c>
      <c r="C77" s="22" t="s">
        <v>79</v>
      </c>
      <c r="D77" s="25"/>
      <c r="E77" s="25" t="s">
        <v>80</v>
      </c>
      <c r="F77" s="25"/>
      <c r="G77" s="30"/>
      <c r="H77" s="25"/>
      <c r="I77" s="25"/>
      <c r="J77" s="25"/>
      <c r="K77" s="25"/>
      <c r="L77" s="32"/>
    </row>
    <row r="78" spans="1:12" x14ac:dyDescent="0.3">
      <c r="A78" s="20"/>
      <c r="B78" s="21"/>
      <c r="C78" s="23" t="s">
        <v>81</v>
      </c>
      <c r="D78" s="25"/>
      <c r="E78" s="25"/>
      <c r="F78" s="25"/>
      <c r="G78" s="30"/>
      <c r="H78" s="25"/>
      <c r="I78" s="25"/>
      <c r="J78" s="25"/>
      <c r="K78" s="25"/>
      <c r="L78" s="32"/>
    </row>
    <row r="79" spans="1:12" x14ac:dyDescent="0.3">
      <c r="A79" s="16" t="s">
        <v>82</v>
      </c>
      <c r="B79" s="15"/>
      <c r="C79" s="17"/>
      <c r="D79" s="25"/>
      <c r="E79" s="25" t="s">
        <v>83</v>
      </c>
      <c r="F79" s="25"/>
      <c r="G79" s="30"/>
      <c r="H79" s="25"/>
      <c r="I79" s="25"/>
      <c r="J79" s="25"/>
      <c r="K79" s="25"/>
      <c r="L79" s="32"/>
    </row>
    <row r="80" spans="1:12" x14ac:dyDescent="0.3">
      <c r="A80" s="16" t="s">
        <v>84</v>
      </c>
      <c r="B80" s="15"/>
      <c r="C80" s="17"/>
      <c r="D80" s="25"/>
      <c r="E80" s="25"/>
      <c r="F80" s="25"/>
      <c r="G80" s="30"/>
      <c r="H80" s="25"/>
      <c r="I80" s="25"/>
      <c r="J80" s="25"/>
      <c r="K80" s="25"/>
      <c r="L80" s="32"/>
    </row>
    <row r="81" spans="1:12" x14ac:dyDescent="0.3">
      <c r="A81" s="16" t="s">
        <v>85</v>
      </c>
      <c r="B81" s="15"/>
      <c r="C81" s="18"/>
      <c r="D81" s="25"/>
      <c r="E81" s="25"/>
      <c r="F81" s="25"/>
      <c r="G81" s="30"/>
      <c r="H81" s="25"/>
      <c r="I81" s="25"/>
      <c r="J81" s="25"/>
      <c r="K81" s="25"/>
      <c r="L81" s="32"/>
    </row>
    <row r="82" spans="1:12" ht="13.5" thickBot="1" x14ac:dyDescent="0.35">
      <c r="A82" s="13" t="s">
        <v>86</v>
      </c>
      <c r="B82" s="14"/>
      <c r="C82" s="19"/>
      <c r="D82" s="25"/>
      <c r="E82" s="25"/>
      <c r="F82" s="25"/>
      <c r="G82" s="30"/>
      <c r="H82" s="25"/>
      <c r="I82" s="25"/>
      <c r="J82" s="25"/>
      <c r="K82" s="25"/>
      <c r="L82" s="32"/>
    </row>
    <row r="83" spans="1:12" x14ac:dyDescent="0.3">
      <c r="A83" s="25"/>
      <c r="B83" s="25"/>
      <c r="C83" s="26"/>
      <c r="D83" s="25"/>
      <c r="E83" s="25"/>
      <c r="F83" s="25"/>
      <c r="G83" s="30"/>
      <c r="H83" s="25"/>
      <c r="I83" s="25"/>
      <c r="J83" s="25"/>
      <c r="K83" s="25"/>
      <c r="L83" s="32"/>
    </row>
    <row r="84" spans="1:12" x14ac:dyDescent="0.3">
      <c r="A84" s="25" t="s">
        <v>87</v>
      </c>
      <c r="B84" s="25"/>
      <c r="C84" s="26"/>
      <c r="D84" s="25"/>
      <c r="E84" s="25"/>
      <c r="F84" s="25"/>
      <c r="G84" s="30"/>
      <c r="H84" s="25"/>
      <c r="I84" s="25"/>
      <c r="J84" s="25"/>
      <c r="K84" s="25"/>
      <c r="L84" s="32"/>
    </row>
    <row r="85" spans="1:12" x14ac:dyDescent="0.3">
      <c r="A85" s="25"/>
      <c r="B85" s="25"/>
      <c r="C85" s="26"/>
      <c r="D85" s="25"/>
      <c r="E85" s="25"/>
      <c r="F85" s="25"/>
      <c r="G85" s="30"/>
      <c r="H85" s="25"/>
      <c r="I85" s="25"/>
      <c r="J85" s="25"/>
      <c r="K85" s="25"/>
      <c r="L85" s="32"/>
    </row>
    <row r="86" spans="1:12" x14ac:dyDescent="0.3">
      <c r="A86" s="33" t="s">
        <v>88</v>
      </c>
      <c r="B86" s="25"/>
      <c r="C86" s="59" t="s">
        <v>89</v>
      </c>
      <c r="D86" s="25"/>
      <c r="E86" s="25"/>
      <c r="F86" s="25"/>
      <c r="G86" s="30"/>
      <c r="H86" s="25"/>
      <c r="I86" s="25"/>
      <c r="J86" s="25"/>
      <c r="K86" s="25"/>
      <c r="L86" s="32"/>
    </row>
    <row r="87" spans="1:12" x14ac:dyDescent="0.3">
      <c r="A87" s="25"/>
      <c r="B87" s="25"/>
      <c r="C87" s="26"/>
      <c r="D87" s="25"/>
      <c r="E87" s="25"/>
      <c r="F87" s="25"/>
      <c r="G87" s="30"/>
      <c r="H87" s="25"/>
      <c r="I87" s="25"/>
      <c r="J87" s="25"/>
      <c r="K87" s="25"/>
      <c r="L87" s="32"/>
    </row>
    <row r="88" spans="1:12" x14ac:dyDescent="0.3">
      <c r="A88" s="25"/>
      <c r="B88" s="25"/>
      <c r="C88" s="26"/>
      <c r="D88" s="25"/>
      <c r="E88" s="25"/>
      <c r="F88" s="25"/>
      <c r="G88" s="30"/>
      <c r="H88" s="25"/>
      <c r="I88" s="25"/>
      <c r="J88" s="25"/>
      <c r="K88" s="25"/>
      <c r="L88" s="32"/>
    </row>
    <row r="89" spans="1:12" x14ac:dyDescent="0.3">
      <c r="A89" s="33" t="s">
        <v>90</v>
      </c>
      <c r="B89" s="25"/>
      <c r="C89" s="59" t="s">
        <v>89</v>
      </c>
      <c r="D89" s="25"/>
      <c r="E89" s="25"/>
      <c r="F89" s="25"/>
      <c r="G89" s="30"/>
      <c r="H89" s="25"/>
      <c r="I89" s="25"/>
      <c r="J89" s="25"/>
      <c r="K89" s="25"/>
      <c r="L89" s="32"/>
    </row>
    <row r="90" spans="1:12" s="75" customFormat="1" x14ac:dyDescent="0.3">
      <c r="A90" s="25"/>
      <c r="B90" s="25"/>
      <c r="C90" s="26"/>
      <c r="D90" s="25"/>
      <c r="E90" s="25"/>
      <c r="F90" s="25"/>
      <c r="G90" s="73"/>
      <c r="H90" s="25"/>
      <c r="I90" s="25"/>
      <c r="J90" s="25"/>
      <c r="K90" s="25"/>
      <c r="L90" s="74"/>
    </row>
    <row r="91" spans="1:12" s="25" customFormat="1" x14ac:dyDescent="0.3">
      <c r="C91" s="26"/>
    </row>
    <row r="92" spans="1:12" s="25" customFormat="1" x14ac:dyDescent="0.3">
      <c r="C92" s="26"/>
    </row>
    <row r="93" spans="1:12" s="25" customFormat="1" x14ac:dyDescent="0.3">
      <c r="C93" s="26"/>
    </row>
    <row r="94" spans="1:12" s="25" customFormat="1" x14ac:dyDescent="0.3">
      <c r="C94" s="26"/>
    </row>
    <row r="95" spans="1:12" s="25" customFormat="1" x14ac:dyDescent="0.3">
      <c r="C95" s="26"/>
    </row>
    <row r="96" spans="1:12" s="25" customFormat="1" x14ac:dyDescent="0.3">
      <c r="C96" s="26"/>
    </row>
    <row r="97" spans="3:3" s="25" customFormat="1" x14ac:dyDescent="0.3">
      <c r="C97" s="26"/>
    </row>
    <row r="98" spans="3:3" s="25" customFormat="1" x14ac:dyDescent="0.3">
      <c r="C98" s="26"/>
    </row>
    <row r="99" spans="3:3" s="25" customFormat="1" x14ac:dyDescent="0.3">
      <c r="C99" s="26"/>
    </row>
    <row r="100" spans="3:3" s="25" customFormat="1" x14ac:dyDescent="0.3">
      <c r="C100" s="26"/>
    </row>
    <row r="101" spans="3:3" s="25" customFormat="1" x14ac:dyDescent="0.3">
      <c r="C101" s="26"/>
    </row>
    <row r="102" spans="3:3" s="25" customFormat="1" x14ac:dyDescent="0.3">
      <c r="C102" s="26"/>
    </row>
    <row r="103" spans="3:3" s="25" customFormat="1" x14ac:dyDescent="0.3">
      <c r="C103" s="26"/>
    </row>
    <row r="104" spans="3:3" s="25" customFormat="1" x14ac:dyDescent="0.3">
      <c r="C104" s="26"/>
    </row>
    <row r="105" spans="3:3" s="25" customFormat="1" x14ac:dyDescent="0.3">
      <c r="C105" s="26"/>
    </row>
    <row r="106" spans="3:3" s="25" customFormat="1" x14ac:dyDescent="0.3">
      <c r="C106" s="26"/>
    </row>
    <row r="107" spans="3:3" s="25" customFormat="1" x14ac:dyDescent="0.3">
      <c r="C107" s="26"/>
    </row>
    <row r="108" spans="3:3" s="25" customFormat="1" x14ac:dyDescent="0.3">
      <c r="C108" s="26"/>
    </row>
    <row r="109" spans="3:3" s="25" customFormat="1" x14ac:dyDescent="0.3">
      <c r="C109" s="26"/>
    </row>
    <row r="110" spans="3:3" s="25" customFormat="1" x14ac:dyDescent="0.3">
      <c r="C110" s="26"/>
    </row>
    <row r="111" spans="3:3" s="25" customFormat="1" x14ac:dyDescent="0.3">
      <c r="C111" s="26"/>
    </row>
    <row r="112" spans="3:3" s="25" customFormat="1" x14ac:dyDescent="0.3">
      <c r="C112" s="26"/>
    </row>
    <row r="113" spans="3:3" s="25" customFormat="1" x14ac:dyDescent="0.3">
      <c r="C113" s="26"/>
    </row>
    <row r="114" spans="3:3" s="25" customFormat="1" x14ac:dyDescent="0.3">
      <c r="C114" s="26"/>
    </row>
    <row r="115" spans="3:3" s="25" customFormat="1" x14ac:dyDescent="0.3">
      <c r="C115" s="26"/>
    </row>
    <row r="116" spans="3:3" s="25" customFormat="1" x14ac:dyDescent="0.3">
      <c r="C116" s="26"/>
    </row>
    <row r="117" spans="3:3" s="25" customFormat="1" x14ac:dyDescent="0.3">
      <c r="C117" s="26"/>
    </row>
    <row r="118" spans="3:3" s="25" customFormat="1" x14ac:dyDescent="0.3">
      <c r="C118" s="26"/>
    </row>
    <row r="119" spans="3:3" s="25" customFormat="1" x14ac:dyDescent="0.3">
      <c r="C119" s="26"/>
    </row>
    <row r="120" spans="3:3" s="25" customFormat="1" x14ac:dyDescent="0.3">
      <c r="C120" s="26"/>
    </row>
    <row r="121" spans="3:3" s="25" customFormat="1" x14ac:dyDescent="0.3">
      <c r="C121" s="26"/>
    </row>
    <row r="122" spans="3:3" s="25" customFormat="1" x14ac:dyDescent="0.3">
      <c r="C122" s="26"/>
    </row>
    <row r="123" spans="3:3" s="25" customFormat="1" x14ac:dyDescent="0.3">
      <c r="C123" s="26"/>
    </row>
    <row r="124" spans="3:3" s="25" customFormat="1" x14ac:dyDescent="0.3">
      <c r="C124" s="26"/>
    </row>
    <row r="125" spans="3:3" s="25" customFormat="1" x14ac:dyDescent="0.3">
      <c r="C125" s="26"/>
    </row>
    <row r="126" spans="3:3" s="25" customFormat="1" x14ac:dyDescent="0.3">
      <c r="C126" s="26"/>
    </row>
    <row r="127" spans="3:3" s="25" customFormat="1" x14ac:dyDescent="0.3">
      <c r="C127" s="26"/>
    </row>
    <row r="128" spans="3:3" s="25" customFormat="1" x14ac:dyDescent="0.3">
      <c r="C128" s="26"/>
    </row>
    <row r="129" spans="3:3" s="25" customFormat="1" x14ac:dyDescent="0.3">
      <c r="C129" s="26"/>
    </row>
    <row r="130" spans="3:3" s="25" customFormat="1" x14ac:dyDescent="0.3">
      <c r="C130" s="26"/>
    </row>
    <row r="131" spans="3:3" s="25" customFormat="1" x14ac:dyDescent="0.3">
      <c r="C131" s="26"/>
    </row>
    <row r="132" spans="3:3" s="25" customFormat="1" x14ac:dyDescent="0.3">
      <c r="C132" s="26"/>
    </row>
    <row r="133" spans="3:3" s="25" customFormat="1" x14ac:dyDescent="0.3">
      <c r="C133" s="26"/>
    </row>
    <row r="134" spans="3:3" s="25" customFormat="1" x14ac:dyDescent="0.3">
      <c r="C134" s="26"/>
    </row>
    <row r="135" spans="3:3" s="25" customFormat="1" x14ac:dyDescent="0.3">
      <c r="C135" s="26"/>
    </row>
    <row r="136" spans="3:3" s="25" customFormat="1" x14ac:dyDescent="0.3">
      <c r="C136" s="26"/>
    </row>
    <row r="137" spans="3:3" s="25" customFormat="1" x14ac:dyDescent="0.3">
      <c r="C137" s="26"/>
    </row>
    <row r="138" spans="3:3" s="25" customFormat="1" x14ac:dyDescent="0.3">
      <c r="C138" s="26"/>
    </row>
    <row r="139" spans="3:3" s="25" customFormat="1" x14ac:dyDescent="0.3">
      <c r="C139" s="26"/>
    </row>
    <row r="140" spans="3:3" s="25" customFormat="1" x14ac:dyDescent="0.3">
      <c r="C140" s="26"/>
    </row>
    <row r="141" spans="3:3" s="25" customFormat="1" x14ac:dyDescent="0.3">
      <c r="C141" s="26"/>
    </row>
  </sheetData>
  <mergeCells count="6">
    <mergeCell ref="A3:K3"/>
    <mergeCell ref="A2:K2"/>
    <mergeCell ref="A6:K6"/>
    <mergeCell ref="A7:K7"/>
    <mergeCell ref="A5:K5"/>
    <mergeCell ref="A4:K4"/>
  </mergeCells>
  <phoneticPr fontId="0" type="noConversion"/>
  <printOptions horizontalCentered="1"/>
  <pageMargins left="0.2" right="0.23" top="0.67" bottom="0.8" header="0.4" footer="0.31"/>
  <pageSetup paperSize="9" scale="75" orientation="landscape" horizontalDpi="300" r:id="rId1"/>
  <headerFooter alignWithMargins="0">
    <oddHeader>&amp;LName of Contractor :&amp;C&amp;"Arial,Gras"&amp;15FINAL FINANCIAL REPORT&amp;R&amp;11Contract nr :          .</oddHead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Breakdown</vt:lpstr>
      <vt:lpstr>Breakdown!Print_Area</vt:lpstr>
      <vt:lpstr>Breakdown!Print_Titles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Obhi Chatterjee</dc:creator>
  <cp:lastModifiedBy>Carina Negreanu</cp:lastModifiedBy>
  <cp:lastPrinted>2001-11-29T11:58:21Z</cp:lastPrinted>
  <dcterms:created xsi:type="dcterms:W3CDTF">1999-06-03T15:49:04Z</dcterms:created>
  <dcterms:modified xsi:type="dcterms:W3CDTF">2020-01-27T11:14:39Z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1620094579</vt:i4>
  </property>
  <property fmtid="{D5CDD505-2E9C-101B-9397-08002B2CF9AE}" pid="3" name="_EmailSubject">
    <vt:lpwstr>EIDHR</vt:lpwstr>
  </property>
  <property fmtid="{D5CDD505-2E9C-101B-9397-08002B2CF9AE}" pid="4" name="_AuthorEmail">
    <vt:lpwstr>Micheline.KOCAK@cec.eu.int</vt:lpwstr>
  </property>
  <property fmtid="{D5CDD505-2E9C-101B-9397-08002B2CF9AE}" pid="5" name="_AuthorEmailDisplayName">
    <vt:lpwstr>KOCAK Micheline (RELEX)</vt:lpwstr>
  </property>
  <property fmtid="{D5CDD505-2E9C-101B-9397-08002B2CF9AE}" pid="6" name="_ReviewingToolsShownOnce">
    <vt:lpwstr/>
  </property>
</Properties>
</file>