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2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drawings/drawing11.xml" ContentType="application/vnd.openxmlformats-officedocument.drawingml.chartshapes+xml"/>
  <Override PartName="/xl/charts/chart8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9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1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E41A694-3E3C-455F-AB14-4BADEACB72D0}" xr6:coauthVersionLast="45" xr6:coauthVersionMax="45" xr10:uidLastSave="{00000000-0000-0000-0000-000000000000}"/>
  <bookViews>
    <workbookView xWindow="2280" yWindow="2280" windowWidth="28800" windowHeight="15460" tabRatio="746"/>
  </bookViews>
  <sheets>
    <sheet name="Chart1TotalEnrollment" sheetId="44559" r:id="rId1"/>
    <sheet name="Chart2GP-UGRecvgAid" sheetId="29453" r:id="rId2"/>
    <sheet name="Chart3SplitElig_NoNeed" sheetId="5" r:id="rId3"/>
    <sheet name="Chart4TotalAidBySource" sheetId="44560" r:id="rId4"/>
    <sheet name="Chart5SplitAidEligGP-GU" sheetId="15" r:id="rId5"/>
    <sheet name="Chart6AidByType" sheetId="3" r:id="rId6"/>
    <sheet name="Chart7UndergradNeedBased" sheetId="14" r:id="rId7"/>
    <sheet name="Chart8InStateFreshmanAid" sheetId="4" r:id="rId8"/>
    <sheet name="Chart9NeedAidBySource" sheetId="2" r:id="rId9"/>
    <sheet name="Profile Graphs Data" sheetId="44556" r:id="rId10"/>
    <sheet name="SAO Report Graphs Data" sheetId="8" r:id="rId11"/>
    <sheet name="Need Graphs Data" sheetId="29449" r:id="rId12"/>
  </sheets>
  <externalReferences>
    <externalReference r:id="rId13"/>
  </externalReferences>
  <definedNames>
    <definedName name="AllStu_Elig_Num_Total">[1]ChartData!$D$14</definedName>
    <definedName name="AllStu_Enroll_Grad">[1]GradProf!$B$2</definedName>
    <definedName name="AllStu_Enroll_GradProf">[1]GradProf!$B$1</definedName>
    <definedName name="AllStu_Enroll_Prof">[1]GradProf!$B$3</definedName>
    <definedName name="AllStu_Enroll_Total">[1]AllStudents!$B$2</definedName>
    <definedName name="AllStu_Enroll_UGrad">[1]Undergrad!$B$1</definedName>
    <definedName name="AllStu_InElig_Num_Total">[1]ChartData!$R$5</definedName>
    <definedName name="AllStu_Total_RecvingAid">[1]ChartData!$S$5</definedName>
    <definedName name="Cntld_Acad_Ugrad_Schol_Tot_noneed">#REF!</definedName>
    <definedName name="Cntld_Dept_Ugrad_Schol_Tot_noneed">#REF!</definedName>
    <definedName name="Cntld_Fed_Funds_Schol_Tot">#REF!</definedName>
    <definedName name="Cntld_Fed_Funds_Tot_Grants">#REF!</definedName>
    <definedName name="Cntld_Fed_Funds_Tot_Loans">#REF!</definedName>
    <definedName name="Cntld_Gen_Ugrad_Schol_Tot_need">#REF!</definedName>
    <definedName name="Cntld_Grad_AsstshpAwd_Tot">#REF!</definedName>
    <definedName name="Cntld_GradProf_Sch_Schol_Tot">#REF!</definedName>
    <definedName name="Cntld_Grants_Total">#REF!</definedName>
    <definedName name="Cntld_HP_Schols">#REF!</definedName>
    <definedName name="Cntld_Johnston_Award_Prog">#REF!</definedName>
    <definedName name="Cntld_Loans_Total">#REF!</definedName>
    <definedName name="Cntld_Othr_Disting_Schol_need">#REF!</definedName>
    <definedName name="Cntld_Restricted_Schols_noneed">#REF!</definedName>
    <definedName name="Cntld_ScholAwd_Univ_Funds_Total">#REF!</definedName>
    <definedName name="Cntld_State_Funds_Grants_Tots">#REF!</definedName>
    <definedName name="Cntld_Total_ScholsAwards">#REF!</definedName>
    <definedName name="Cntld_Tuit_Remiss_Waivers_Tot">#REF!</definedName>
    <definedName name="Cntld_Univ_Funds_Schol_Tot">#REF!</definedName>
    <definedName name="Cntld_Univ_Funds_Tot_Grants">#REF!</definedName>
    <definedName name="Cntld_Univ_Funds_Tot_Loans">#REF!</definedName>
    <definedName name="Cntld_Whitehead_Schol_need">#REF!</definedName>
    <definedName name="Cntld_WorkStudy_Tot">#REF!</definedName>
    <definedName name="GP_AidElig_Num_Total">[1]GradProf!$B$8</definedName>
    <definedName name="GP_AidInElig_Num_Total">[1]GradProf!$B$9</definedName>
    <definedName name="GP_ElAndInEl_Total_RecvingAid">[1]ChartData!$S$4</definedName>
    <definedName name="GP_Elig_Amt_TotFed">[1]GradProf!$D$80+[1]GradProf!$H$80</definedName>
    <definedName name="GP_Elig_Amt_TotGrantSch">[1]GradProf!$D$86+[1]GradProf!$H$86</definedName>
    <definedName name="GP_Elig_Amt_TotLoan">[1]GradProf!$D$87+[1]GradProf!$H$87</definedName>
    <definedName name="GP_Elig_Amt_TotPrivInst">[1]GradProf!$D$82+[1]GradProf!$H$82</definedName>
    <definedName name="GP_Elig_Amt_TotState">[1]GradProf!$D$81+[1]GradProf!$H$81</definedName>
    <definedName name="GP_Elig_Amt_TotWkStdy">[1]GradProf!$D$88+[1]GradProf!$H$88</definedName>
    <definedName name="GP_Elig_NRes_Amt_SourceTotFed">[1]GradProf!$H$80</definedName>
    <definedName name="GP_Elig_NRes_Amt_SourceTotPrivInst">[1]GradProf!$H$82</definedName>
    <definedName name="GP_Elig_NRes_Amt_SourceTotState">[1]GradProf!$H$81</definedName>
    <definedName name="GP_Elig_NRes_Amt_TotAid">[1]GradProf!$H$89</definedName>
    <definedName name="GP_Elig_NRes_Amt_TypeTotLoan">[1]GradProf!$H$87</definedName>
    <definedName name="GP_Elig_NRes_Amt_TypeTotScholGrant">[1]GradProf!$H$86</definedName>
    <definedName name="GP_Elig_NRes_Amt_TypeTotWS">[1]GradProf!$H$88</definedName>
    <definedName name="GP_Elig_NRes_Num_AmIndian">[1]GradProf!$F$54</definedName>
    <definedName name="GP_Elig_NRes_Num_Asian">[1]GradProf!$F$51</definedName>
    <definedName name="GP_Elig_NRes_Num_Black">[1]GradProf!$F$52</definedName>
    <definedName name="GP_Elig_NRes_Num_Depend">[1]GradProf!$F$43</definedName>
    <definedName name="GP_Elig_NRes_Num_DepUnk">[1]GradProf!$F$45</definedName>
    <definedName name="GP_Elig_NRes_Num_EthUnk">[1]GradProf!$F$56</definedName>
    <definedName name="GP_Elig_NRes_Num_Female">[1]GradProf!$F$48</definedName>
    <definedName name="GP_Elig_NRes_Num_FullTime">[1]GradProf!$F$58</definedName>
    <definedName name="GP_Elig_NRes_Num_Grad">[1]GradProf!$F$61</definedName>
    <definedName name="GP_Elig_NRes_Num_GradProfStatUnk">[1]GradProf!$F$63</definedName>
    <definedName name="GP_Elig_NRes_Num_Hisp">[1]GradProf!$F$53</definedName>
    <definedName name="GP_Elig_NRes_Num_Indep">[1]GradProf!$F$44</definedName>
    <definedName name="GP_Elig_NRes_Num_Male">[1]GradProf!$F$47</definedName>
    <definedName name="GP_Elig_NRes_Num_PartTime">[1]GradProf!$F$59</definedName>
    <definedName name="GP_Elig_NRes_Num_Prof">[1]GradProf!$F$62</definedName>
    <definedName name="GP_Elig_NRes_Num_SexUnk">[1]GradProf!$F$49</definedName>
    <definedName name="GP_Elig_NRes_Num_Total">[1]GradProf!$F$41</definedName>
    <definedName name="GP_Elig_NRes_Num_White">[1]GradProf!$F$55</definedName>
    <definedName name="GP_Elig_Num_FedGrants">[1]GradProf!$B$70+[1]GradProf!$F$70</definedName>
    <definedName name="GP_Elig_Num_FedLoans">[1]GradProf!$B$73+[1]GradProf!$F$73</definedName>
    <definedName name="GP_Elig_Num_InstPrivSchGrant">[1]GradProf!$B$72+[1]GradProf!$F$72</definedName>
    <definedName name="GP_Elig_Num_NonFedLoans">[1]GradProf!$B$75+[1]GradProf!$F$75</definedName>
    <definedName name="GP_Elig_Num_StateSchGrant">[1]GradProf!$B$71+[1]GradProf!$F$71</definedName>
    <definedName name="GP_Elig_Num_Total">[1]ChartData!$D$13</definedName>
    <definedName name="GP_Elig_Num_TotRecvgAid">[1]GradProf!$B$77+[1]GradProf!$F$77</definedName>
    <definedName name="GP_Elig_Num_WS">[1]GradProf!$B$76+[1]GradProf!$F$76</definedName>
    <definedName name="GP_Elig_Res_Amt_SourceTotFed">[1]GradProf!$D$80</definedName>
    <definedName name="GP_Elig_Res_Amt_SourceTotPrivInst">[1]GradProf!$D$82</definedName>
    <definedName name="GP_Elig_Res_Amt_SourceTotState">[1]GradProf!$D$81</definedName>
    <definedName name="GP_Elig_Res_Amt_TotAid">[1]GradProf!$D$89</definedName>
    <definedName name="GP_Elig_Res_Amt_TypeTotLoan">[1]GradProf!$D$87</definedName>
    <definedName name="GP_Elig_Res_Amt_TypeTotScholGrant">[1]GradProf!$D$86</definedName>
    <definedName name="GP_Elig_Res_Amt_TypeTotWS">[1]GradProf!$D$88</definedName>
    <definedName name="GP_Elig_Res_Num_AmIndian">[1]GradProf!$B$54</definedName>
    <definedName name="GP_Elig_Res_Num_Asian">[1]GradProf!$B$51</definedName>
    <definedName name="GP_Elig_Res_Num_Black">[1]GradProf!$B$52</definedName>
    <definedName name="GP_Elig_Res_Num_Depend">[1]GradProf!$B$43</definedName>
    <definedName name="GP_Elig_Res_Num_DepUnk">[1]GradProf!$B$45</definedName>
    <definedName name="GP_Elig_Res_Num_EthUnk">[1]GradProf!$B$56</definedName>
    <definedName name="GP_Elig_Res_Num_Female">[1]GradProf!$B$48</definedName>
    <definedName name="GP_Elig_Res_Num_FullTime">[1]GradProf!$B$58</definedName>
    <definedName name="GP_Elig_Res_Num_Grad">[1]GradProf!$B$61</definedName>
    <definedName name="GP_Elig_Res_Num_GradProfStatUnk">[1]GradProf!$B$63</definedName>
    <definedName name="GP_Elig_Res_Num_Hisp">[1]GradProf!$B$53</definedName>
    <definedName name="GP_Elig_Res_Num_Indep">[1]GradProf!$B$44</definedName>
    <definedName name="GP_Elig_Res_Num_Male">[1]GradProf!$B$47</definedName>
    <definedName name="GP_Elig_Res_Num_PartTime">[1]GradProf!$B$59</definedName>
    <definedName name="GP_Elig_Res_Num_Prof">[1]GradProf!$B$62</definedName>
    <definedName name="GP_Elig_Res_Num_SexUnk">[1]GradProf!$B$49</definedName>
    <definedName name="GP_Elig_Res_Num_Total">[1]GradProf!$B$41</definedName>
    <definedName name="GP_Elig_Res_Num_White">[1]GradProf!$B$55</definedName>
    <definedName name="GP_InElig_NRes_Num_AmIndian">[1]GradProf!$N$54</definedName>
    <definedName name="GP_InElig_NRes_Num_Asian">[1]GradProf!$N$51</definedName>
    <definedName name="GP_InElig_NRes_Num_Black">[1]GradProf!$N$52</definedName>
    <definedName name="GP_InElig_NRes_Num_Depend">[1]GradProf!$N$43</definedName>
    <definedName name="GP_InElig_NRes_Num_DepUnk">[1]GradProf!$N$45</definedName>
    <definedName name="GP_InElig_NRes_Num_EthUnk">[1]GradProf!$N$56</definedName>
    <definedName name="GP_InElig_NRes_Num_Female">[1]GradProf!$N$48</definedName>
    <definedName name="GP_InElig_NRes_Num_FullTime">[1]GradProf!$N$58</definedName>
    <definedName name="GP_InElig_NRes_Num_Grad">[1]GradProf!$N$61</definedName>
    <definedName name="GP_InElig_NRes_Num_GradProfUnk">[1]GradProf!$N$63</definedName>
    <definedName name="GP_InElig_NRes_Num_Hisp">[1]GradProf!$N$53</definedName>
    <definedName name="GP_InElig_NRes_Num_Indep">[1]GradProf!$N$44</definedName>
    <definedName name="GP_InElig_NRes_Num_Male">[1]GradProf!$N$47</definedName>
    <definedName name="GP_InElig_NRes_Num_PartTime">[1]GradProf!$N$59</definedName>
    <definedName name="GP_InElig_NRes_Num_Prof">[1]GradProf!$N$62</definedName>
    <definedName name="GP_InElig_NRes_Num_SexUnk">[1]GradProf!$N$49</definedName>
    <definedName name="GP_InElig_NRes_Num_Total">[1]GradProf!$N$41</definedName>
    <definedName name="GP_InElig_NRes_Num_White">[1]GradProf!$N$55</definedName>
    <definedName name="GP_InElig_Num_FedGrants">[1]GradProf!$J$70+[1]GradProf!$N$70</definedName>
    <definedName name="GP_InElig_Num_FedLoans">[1]GradProf!$J$73+[1]GradProf!$N$73</definedName>
    <definedName name="GP_InElig_Num_InstPrivSchGrants">[1]GradProf!$J$72+[1]GradProf!$N$72</definedName>
    <definedName name="GP_InElig_Num_NonFedLoans">[1]GradProf!$J$75+[1]GradProf!$N$75</definedName>
    <definedName name="GP_InElig_Num_StateSchGrants">[1]GradProf!$J$71+[1]GradProf!$N$71</definedName>
    <definedName name="GP_InElig_Num_TotRecvgAid">[1]GradProf!$J$77+[1]GradProf!$N$77</definedName>
    <definedName name="GP_InElig_Num_WS">[1]GradProf!$J$76+[1]GradProf!$N$76</definedName>
    <definedName name="GP_InElig_Res_Num_AmIndian">[1]GradProf!$J$54</definedName>
    <definedName name="GP_InElig_Res_Num_Asian">[1]GradProf!$J$51</definedName>
    <definedName name="GP_InElig_Res_Num_Black">[1]GradProf!$J$52</definedName>
    <definedName name="GP_InElig_Res_Num_Depend">[1]GradProf!$J$43</definedName>
    <definedName name="GP_InElig_Res_Num_DepUnk">[1]GradProf!$J$45</definedName>
    <definedName name="GP_InElig_Res_Num_EthUnk">[1]GradProf!$J$56</definedName>
    <definedName name="GP_InElig_Res_Num_Female">[1]GradProf!$J$48</definedName>
    <definedName name="GP_InElig_Res_Num_FullTime">[1]GradProf!$J$58</definedName>
    <definedName name="GP_InElig_Res_Num_Grad">[1]GradProf!$J$61</definedName>
    <definedName name="GP_InElig_Res_Num_GradProfUnk">[1]GradProf!$J$63</definedName>
    <definedName name="GP_InElig_Res_Num_Hisp">[1]GradProf!$J$53</definedName>
    <definedName name="GP_InElig_Res_Num_Indep">[1]GradProf!$J$44</definedName>
    <definedName name="GP_InElig_Res_Num_Male">[1]GradProf!$J$47</definedName>
    <definedName name="GP_InElig_Res_Num_PartTime">[1]GradProf!$J$59</definedName>
    <definedName name="GP_InElig_Res_Num_Prof">[1]GradProf!$J$62</definedName>
    <definedName name="GP_InElig_Res_Num_SexUnk">[1]GradProf!$J$49</definedName>
    <definedName name="GP_InElig_Res_Num_Total">[1]GradProf!$J$41</definedName>
    <definedName name="GP_InElig_Res_Num_White">[1]GradProf!$J$55</definedName>
    <definedName name="GP_Num_TotRecvingAid">[1]GradProf!$B$7</definedName>
    <definedName name="_xlnm.Print_Area" localSheetId="1">'Chart2GP-UGRecvgAid'!$A$1:$O$32</definedName>
    <definedName name="_xlnm.Print_Area" localSheetId="5">Chart6AidByType!$A$1:$O$30</definedName>
    <definedName name="_xlnm.Print_Area" localSheetId="10">'SAO Report Graphs Data'!$A$1:$B$30</definedName>
    <definedName name="Tot_Funds_Awded_by_SAO">#REF!</definedName>
    <definedName name="Total_Awds_Outside_Sources">#REF!</definedName>
    <definedName name="Total_Awds_UCntld_Sources">#REF!</definedName>
    <definedName name="UG_AidElig_Num_Total">[1]Undergrad!$B$6</definedName>
    <definedName name="UG_AidInElig_Num_Total">[1]Undergrad!$B$7</definedName>
    <definedName name="UG_ElAndInEl_Total_RecvingAid">[1]ChartData!$S$3</definedName>
    <definedName name="UG_Elig_Amt_TotFed">[1]Undergrad!$D$80+[1]Undergrad!$H$80</definedName>
    <definedName name="UG_Elig_Amt_TotGrantSch">[1]Undergrad!$D$86+[1]Undergrad!$H$86</definedName>
    <definedName name="UG_Elig_Amt_TotLoan">[1]Undergrad!$D$87+[1]Undergrad!$H$87</definedName>
    <definedName name="UG_Elig_Amt_TotPrivInst">[1]Undergrad!$D$82+[1]Undergrad!$H$82</definedName>
    <definedName name="UG_Elig_Amt_TotState">[1]Undergrad!$D$81+[1]Undergrad!$H$81</definedName>
    <definedName name="UG_Elig_Amt_TotWkStdy">[1]Undergrad!$D$88+[1]Undergrad!$H$88</definedName>
    <definedName name="UG_Elig_NRes_Amt_SourceTotFed">[1]Undergrad!$H$80</definedName>
    <definedName name="UG_Elig_NRes_Amt_SourceTotPrivState">[1]Undergrad!$H$82</definedName>
    <definedName name="UG_Elig_NRes_Amt_SourceTotState">[1]Undergrad!$H$81</definedName>
    <definedName name="UG_Elig_NRes_Amt_TotAid">[1]Undergrad!$H$89</definedName>
    <definedName name="UG_Elig_NRes_Amt_TypeTotLoan">[1]Undergrad!$H$87</definedName>
    <definedName name="UG_Elig_NRes_Amt_TypeTotScholGrant">[1]Undergrad!$H$86</definedName>
    <definedName name="UG_Elig_NRes_Amt_TypeTotWS">[1]Undergrad!$H$88</definedName>
    <definedName name="UG_Elig_NRes_Num_AmIndian">[1]Undergrad!$F$51</definedName>
    <definedName name="UG_Elig_NRes_Num_Asian">[1]Undergrad!$F$48</definedName>
    <definedName name="UG_Elig_NRes_Num_Black">[1]Undergrad!$F$49</definedName>
    <definedName name="UG_Elig_NRes_Num_ClassOther">[1]Undergrad!$F$62</definedName>
    <definedName name="UG_Elig_NRes_Num_Depend">[1]Undergrad!$F$41</definedName>
    <definedName name="UG_Elig_NRes_Num_DepUnk">[1]Undergrad!$F$43</definedName>
    <definedName name="UG_Elig_NRes_Num_EthUnk">[1]Undergrad!$F$53</definedName>
    <definedName name="UG_Elig_NRes_Num_Female">[1]Undergrad!$F$46</definedName>
    <definedName name="UG_Elig_NRes_Num_Freshman">[1]Undergrad!$F$58</definedName>
    <definedName name="UG_Elig_NRes_Num_FullTime">[1]Undergrad!$F$55</definedName>
    <definedName name="UG_Elig_NRes_Num_Hisp">[1]Undergrad!$F$50</definedName>
    <definedName name="UG_Elig_NRes_Num_Indep">[1]Undergrad!$F$42</definedName>
    <definedName name="UG_Elig_NRes_Num_Jr">[1]Undergrad!$F$60</definedName>
    <definedName name="UG_Elig_NRes_Num_Male">[1]Undergrad!$F$45</definedName>
    <definedName name="UG_Elig_NRes_Num_PartTime">[1]Undergrad!$F$56</definedName>
    <definedName name="UG_Elig_NRes_Num_Soph">[1]Undergrad!$F$59</definedName>
    <definedName name="UG_Elig_NRes_Num_Sr">[1]Undergrad!$F$61</definedName>
    <definedName name="UG_Elig_NRes_Num_Total">[1]Undergrad!$F$39</definedName>
    <definedName name="UG_Elig_NRes_Num_White">[1]Undergrad!$F$52</definedName>
    <definedName name="UG_Elig_Num_FedGrants">[1]Undergrad!$B$70+[1]Undergrad!$F$70</definedName>
    <definedName name="UG_Elig_Num_FedLoans">[1]Undergrad!$B$73+[1]Undergrad!$F$73</definedName>
    <definedName name="UG_Elig_Num_InstPrivSchGrant">[1]Undergrad!$B$72+[1]Undergrad!$F$72</definedName>
    <definedName name="UG_Elig_Num_NonFedLoans">[1]Undergrad!$B$75+[1]Undergrad!$F$75</definedName>
    <definedName name="UG_Elig_Num_StateSchGrant">[1]Undergrad!$B$71+[1]Undergrad!$F$71</definedName>
    <definedName name="UG_Elig_Num_Total">[1]ChartData!$D$12</definedName>
    <definedName name="UG_Elig_Num_TotRecvgAid">[1]Undergrad!$B$77+[1]Undergrad!$F$77</definedName>
    <definedName name="UG_Elig_Num_WS">[1]Undergrad!$B$76+[1]Undergrad!$F$76</definedName>
    <definedName name="UG_Elig_Res_Amt_SourceTotFed">[1]Undergrad!$D$80</definedName>
    <definedName name="UG_Elig_Res_Amt_SourceTotPrivInst">[1]Undergrad!$D$82</definedName>
    <definedName name="UG_Elig_Res_Amt_SourceTotState">[1]Undergrad!$D$81</definedName>
    <definedName name="UG_Elig_Res_Amt_TotAid">[1]Undergrad!$D$89</definedName>
    <definedName name="UG_Elig_Res_Amt_TypeTotLoan">[1]Undergrad!$D$87</definedName>
    <definedName name="UG_Elig_Res_Amt_TypeTotScholGrant">[1]Undergrad!$D$86</definedName>
    <definedName name="UG_Elig_Res_Amt_TypeTotWS">[1]Undergrad!$D$88</definedName>
    <definedName name="UG_Elig_Res_Num_AmIndian">[1]Undergrad!$B$51</definedName>
    <definedName name="UG_Elig_Res_Num_Asian">[1]Undergrad!$B$48</definedName>
    <definedName name="UG_Elig_Res_Num_Black">[1]Undergrad!$B$49</definedName>
    <definedName name="UG_Elig_Res_Num_ClassOther">[1]Undergrad!$B$62</definedName>
    <definedName name="UG_Elig_Res_Num_Depend">[1]Undergrad!$B$41</definedName>
    <definedName name="UG_Elig_Res_Num_DepUnk">[1]Undergrad!$B$43</definedName>
    <definedName name="UG_Elig_Res_Num_EthUnk">[1]Undergrad!$B$53</definedName>
    <definedName name="UG_Elig_Res_Num_Female">[1]Undergrad!$B$46</definedName>
    <definedName name="UG_Elig_Res_Num_Freshman">[1]Undergrad!$B$58</definedName>
    <definedName name="UG_Elig_Res_Num_FullTime">[1]Undergrad!$B$55</definedName>
    <definedName name="UG_Elig_Res_Num_Hisp">[1]Undergrad!$B$50</definedName>
    <definedName name="UG_Elig_Res_Num_Indep">[1]Undergrad!$B$42</definedName>
    <definedName name="UG_Elig_Res_Num_Jr">[1]Undergrad!$B$60</definedName>
    <definedName name="UG_Elig_Res_Num_Male">[1]Undergrad!$B$45</definedName>
    <definedName name="UG_Elig_Res_Num_PartTime">[1]Undergrad!$B$56</definedName>
    <definedName name="UG_Elig_Res_Num_Soph">[1]Undergrad!$B$59</definedName>
    <definedName name="UG_Elig_Res_Num_Sr">[1]Undergrad!$B$61</definedName>
    <definedName name="UG_Elig_Res_Num_Total">[1]Undergrad!$B$39</definedName>
    <definedName name="UG_Elig_Res_Num_White">[1]Undergrad!$B$52</definedName>
    <definedName name="UG_InElig_NRes_Num_AmIndian">[1]Undergrad!$N$51</definedName>
    <definedName name="UG_InElig_NRes_Num_Asian">[1]Undergrad!$N$48</definedName>
    <definedName name="UG_InElig_NRes_Num_Black">[1]Undergrad!$N$49</definedName>
    <definedName name="UG_InElig_NRes_Num_ClassOther">[1]Undergrad!$N$62</definedName>
    <definedName name="UG_InElig_NRes_Num_Depend">[1]Undergrad!$N$41</definedName>
    <definedName name="UG_InElig_NRes_Num_DepUnk">[1]Undergrad!$N$43</definedName>
    <definedName name="UG_InElig_NRes_Num_EthUnk">[1]Undergrad!$N$53</definedName>
    <definedName name="UG_InElig_NRes_Num_Female">[1]Undergrad!$N$46</definedName>
    <definedName name="UG_InElig_NRes_Num_Freshman">[1]Undergrad!$N$58</definedName>
    <definedName name="UG_InElig_NRes_Num_FullTime">[1]Undergrad!$N$55</definedName>
    <definedName name="UG_InElig_NRes_Num_Hisp">[1]Undergrad!$N$50</definedName>
    <definedName name="UG_InElig_NRes_Num_Indep">[1]Undergrad!$N$42</definedName>
    <definedName name="UG_InElig_NRes_Num_Jr">[1]Undergrad!$N$60</definedName>
    <definedName name="UG_InElig_NRes_Num_Male">[1]Undergrad!$N$45</definedName>
    <definedName name="UG_InElig_NRes_Num_PartTime">[1]Undergrad!$N$56</definedName>
    <definedName name="UG_InElig_NRes_Num_Soph">[1]Undergrad!$N$59</definedName>
    <definedName name="UG_InElig_NRes_Num_Sr">[1]Undergrad!$N$61</definedName>
    <definedName name="UG_InElig_NRes_Num_Total">[1]Undergrad!$N$39</definedName>
    <definedName name="UG_InElig_NRes_Num_White">[1]Undergrad!$N$52</definedName>
    <definedName name="UG_InElig_Num_FedGrants">[1]Undergrad!$J$70+[1]Undergrad!$N$70</definedName>
    <definedName name="UG_InElig_Num_FedLoans">[1]Undergrad!$J$73+[1]Undergrad!$N$73</definedName>
    <definedName name="UG_InElig_Num_InstPrivSchGrants">[1]Undergrad!$J$72+[1]Undergrad!$N$72</definedName>
    <definedName name="UG_InElig_Num_NonFedLoans">[1]Undergrad!$J$75+[1]Undergrad!$N$75</definedName>
    <definedName name="UG_InElig_Num_StateSchGrants">[1]Undergrad!$J$71+[1]Undergrad!$N$71</definedName>
    <definedName name="UG_InElig_Num_TotRecvgAid">[1]Undergrad!$J$77+[1]Undergrad!$N$77</definedName>
    <definedName name="UG_InElig_Num_WS">[1]Undergrad!$J$76+[1]Undergrad!$N$76</definedName>
    <definedName name="UG_InElig_Res_ClassOther">[1]Undergrad!$J$62</definedName>
    <definedName name="UG_InElig_Res_Num_AmIndian">[1]Undergrad!$J$51</definedName>
    <definedName name="UG_InElig_Res_Num_Asian">[1]Undergrad!$J$48</definedName>
    <definedName name="UG_InElig_Res_Num_Black">[1]Undergrad!$J$49</definedName>
    <definedName name="UG_InElig_Res_Num_Depend">[1]Undergrad!$J$41</definedName>
    <definedName name="UG_InElig_Res_Num_DepUnk">[1]Undergrad!$J$43</definedName>
    <definedName name="UG_InElig_Res_Num_EthUnk">[1]Undergrad!$J$53</definedName>
    <definedName name="UG_InElig_Res_Num_Female">[1]Undergrad!$J$46</definedName>
    <definedName name="UG_InElig_Res_Num_Freshman">[1]Undergrad!$J$58</definedName>
    <definedName name="UG_InElig_Res_Num_FullTime">[1]Undergrad!$J$55</definedName>
    <definedName name="UG_InElig_Res_Num_Hisp">[1]Undergrad!$J$50</definedName>
    <definedName name="UG_InElig_Res_Num_Indep">[1]Undergrad!$J$42</definedName>
    <definedName name="UG_InElig_Res_Num_Jr">[1]Undergrad!$J$60</definedName>
    <definedName name="UG_InElig_Res_Num_Male">[1]Undergrad!$J$45</definedName>
    <definedName name="UG_InElig_Res_Num_PartTime">[1]Undergrad!$J$56</definedName>
    <definedName name="UG_InElig_Res_Num_Soph">[1]Undergrad!$J$59</definedName>
    <definedName name="UG_InElig_Res_Num_Sr">[1]Undergrad!$J$61</definedName>
    <definedName name="UG_InElig_Res_Num_Total">[1]Undergrad!$J$39</definedName>
    <definedName name="UG_InElig_Res_Num_White">[1]Undergrad!$J$52</definedName>
    <definedName name="UG_Num_TotRecvingAid">[1]Undergrad!$B$5</definedName>
    <definedName name="UnCntld_Fed_Fam_Ed_Loans">#REF!</definedName>
    <definedName name="UnCntld_Foundation_Schol">#REF!</definedName>
    <definedName name="UnCntld_Loans_Tot">#REF!</definedName>
    <definedName name="UnCntld_Natl_Achiev_Schol">#REF!</definedName>
    <definedName name="UnCntld_Natl_Merit_Schol">#REF!</definedName>
    <definedName name="UnCntld_NC_Nurs_Schol">#REF!</definedName>
    <definedName name="UnCntld_NC_Teach_Fell_Awds">#REF!</definedName>
    <definedName name="UnCntld_Othr_Loans">#REF!</definedName>
    <definedName name="UnCntld_Othr_State_Schol">#REF!</definedName>
    <definedName name="UnCntld_Schol_Tot">#REF!</definedName>
    <definedName name="UnCntld_Var_Sponsored_Schol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29449" l="1"/>
  <c r="G5" i="29449"/>
  <c r="L5" i="29449"/>
  <c r="P5" i="29449"/>
  <c r="C6" i="29449"/>
  <c r="G6" i="29449"/>
  <c r="L6" i="29449"/>
  <c r="P6" i="29449"/>
  <c r="C7" i="29449"/>
  <c r="G7" i="29449"/>
  <c r="L7" i="29449"/>
  <c r="P7" i="29449"/>
  <c r="C10" i="29449"/>
  <c r="E10" i="29449"/>
  <c r="G10" i="29449"/>
  <c r="I10" i="29449"/>
  <c r="L10" i="29449"/>
  <c r="N10" i="29449"/>
  <c r="N17" i="29449" s="1"/>
  <c r="P10" i="29449"/>
  <c r="R10" i="29449"/>
  <c r="R17" i="29449" s="1"/>
  <c r="C11" i="29449"/>
  <c r="E11" i="29449"/>
  <c r="G11" i="29449"/>
  <c r="I11" i="29449"/>
  <c r="L11" i="29449"/>
  <c r="N11" i="29449"/>
  <c r="P11" i="29449"/>
  <c r="R11" i="29449"/>
  <c r="C12" i="29449"/>
  <c r="E12" i="29449"/>
  <c r="G12" i="29449"/>
  <c r="I12" i="29449"/>
  <c r="L12" i="29449"/>
  <c r="N12" i="29449"/>
  <c r="P12" i="29449"/>
  <c r="R12" i="29449"/>
  <c r="C13" i="29449"/>
  <c r="E13" i="29449"/>
  <c r="G13" i="29449"/>
  <c r="I13" i="29449"/>
  <c r="L13" i="29449"/>
  <c r="N13" i="29449"/>
  <c r="P13" i="29449"/>
  <c r="R13" i="29449"/>
  <c r="C14" i="29449"/>
  <c r="E14" i="29449"/>
  <c r="G14" i="29449"/>
  <c r="I14" i="29449"/>
  <c r="L14" i="29449"/>
  <c r="N14" i="29449"/>
  <c r="P14" i="29449"/>
  <c r="R14" i="29449"/>
  <c r="C15" i="29449"/>
  <c r="E15" i="29449"/>
  <c r="G15" i="29449"/>
  <c r="I15" i="29449"/>
  <c r="L15" i="29449"/>
  <c r="N15" i="29449"/>
  <c r="P15" i="29449"/>
  <c r="R15" i="29449"/>
  <c r="C16" i="29449"/>
  <c r="E16" i="29449"/>
  <c r="G16" i="29449"/>
  <c r="I16" i="29449"/>
  <c r="L16" i="29449"/>
  <c r="N16" i="29449"/>
  <c r="P16" i="29449"/>
  <c r="R16" i="29449"/>
  <c r="C17" i="29449"/>
  <c r="E17" i="29449"/>
  <c r="G17" i="29449"/>
  <c r="I17" i="29449"/>
  <c r="M17" i="29449"/>
  <c r="L17" i="29449" s="1"/>
  <c r="P17" i="29449"/>
  <c r="Q17" i="29449"/>
  <c r="C20" i="29449"/>
  <c r="E20" i="29449"/>
  <c r="G20" i="29449"/>
  <c r="I20" i="29449"/>
  <c r="L20" i="29449"/>
  <c r="N20" i="29449"/>
  <c r="P20" i="29449"/>
  <c r="R20" i="29449"/>
  <c r="C21" i="29449"/>
  <c r="E21" i="29449"/>
  <c r="G21" i="29449"/>
  <c r="I21" i="29449"/>
  <c r="L21" i="29449"/>
  <c r="N21" i="29449"/>
  <c r="P21" i="29449"/>
  <c r="R21" i="29449"/>
  <c r="C22" i="29449"/>
  <c r="E22" i="29449"/>
  <c r="G22" i="29449"/>
  <c r="I22" i="29449"/>
  <c r="L22" i="29449"/>
  <c r="N22" i="29449"/>
  <c r="P22" i="29449"/>
  <c r="R22" i="29449"/>
  <c r="C23" i="29449"/>
  <c r="E23" i="29449"/>
  <c r="G23" i="29449"/>
  <c r="I23" i="29449"/>
  <c r="L23" i="29449"/>
  <c r="N23" i="29449"/>
  <c r="P23" i="29449"/>
  <c r="R23" i="29449"/>
  <c r="C26" i="29449"/>
  <c r="E26" i="29449"/>
  <c r="G26" i="29449"/>
  <c r="I26" i="29449"/>
  <c r="L26" i="29449"/>
  <c r="N26" i="29449"/>
  <c r="P26" i="29449"/>
  <c r="R26" i="29449"/>
  <c r="C27" i="29449"/>
  <c r="E27" i="29449"/>
  <c r="G27" i="29449"/>
  <c r="I27" i="29449"/>
  <c r="L27" i="29449"/>
  <c r="N27" i="29449"/>
  <c r="P27" i="29449"/>
  <c r="R27" i="29449"/>
  <c r="C28" i="29449"/>
  <c r="E28" i="29449"/>
  <c r="G28" i="29449"/>
  <c r="I28" i="29449"/>
  <c r="L28" i="29449"/>
  <c r="N28" i="29449"/>
  <c r="P28" i="29449"/>
  <c r="R28" i="29449"/>
  <c r="C29" i="29449"/>
  <c r="E29" i="29449"/>
  <c r="G29" i="29449"/>
  <c r="I29" i="29449"/>
  <c r="L29" i="29449"/>
  <c r="N29" i="29449"/>
  <c r="P29" i="29449"/>
  <c r="R29" i="29449"/>
  <c r="C33" i="29449"/>
  <c r="G33" i="29449"/>
  <c r="C34" i="29449"/>
  <c r="G34" i="29449"/>
  <c r="K34" i="29449"/>
  <c r="C35" i="29449"/>
  <c r="G35" i="29449"/>
  <c r="K35" i="29449"/>
  <c r="D36" i="29449"/>
  <c r="B38" i="29449" s="1"/>
  <c r="H36" i="29449"/>
  <c r="I33" i="29449" s="1"/>
  <c r="K36" i="29449"/>
  <c r="B37" i="29449"/>
  <c r="C46" i="29449"/>
  <c r="C47" i="29449"/>
  <c r="C48" i="29449"/>
  <c r="E3" i="44556"/>
  <c r="B10" i="44556" s="1"/>
  <c r="B4" i="44556"/>
  <c r="B5" i="44556"/>
  <c r="C6" i="44556"/>
  <c r="B7" i="44556"/>
  <c r="B9" i="44556" s="1"/>
  <c r="D7" i="44556"/>
  <c r="I7" i="44556"/>
  <c r="B8" i="44556"/>
  <c r="C13" i="44556"/>
  <c r="F13" i="44556"/>
  <c r="B14" i="44556"/>
  <c r="F14" i="44556"/>
  <c r="G14" i="44556"/>
  <c r="G13" i="44556" s="1"/>
  <c r="B15" i="44556"/>
  <c r="F15" i="44556"/>
  <c r="G15" i="44556"/>
  <c r="G18" i="44556"/>
  <c r="B19" i="44556"/>
  <c r="G19" i="44556"/>
  <c r="G20" i="44556"/>
  <c r="F19" i="44556" s="1"/>
  <c r="B21" i="44556"/>
  <c r="C21" i="44556"/>
  <c r="B22" i="44556"/>
  <c r="B23" i="44556"/>
  <c r="B24" i="44556"/>
  <c r="C26" i="44556"/>
  <c r="B26" i="44556" s="1"/>
  <c r="B27" i="44556"/>
  <c r="B28" i="44556"/>
  <c r="B29" i="44556"/>
  <c r="F4" i="8"/>
  <c r="F5" i="8"/>
  <c r="F6" i="8"/>
  <c r="D7" i="8"/>
  <c r="E7" i="8"/>
  <c r="F7" i="8"/>
  <c r="B4" i="8" s="1"/>
  <c r="B10" i="8"/>
  <c r="F10" i="8"/>
  <c r="F11" i="8"/>
  <c r="F12" i="8"/>
  <c r="D13" i="8"/>
  <c r="E13" i="8"/>
  <c r="F13" i="8"/>
  <c r="B11" i="8" s="1"/>
  <c r="B16" i="8"/>
  <c r="B23" i="8" s="1"/>
  <c r="F16" i="8"/>
  <c r="B17" i="8"/>
  <c r="F17" i="8"/>
  <c r="B18" i="8"/>
  <c r="F18" i="8"/>
  <c r="B19" i="8"/>
  <c r="F19" i="8"/>
  <c r="B20" i="8"/>
  <c r="F20" i="8"/>
  <c r="B21" i="8"/>
  <c r="F21" i="8"/>
  <c r="F22" i="8"/>
  <c r="D23" i="8"/>
  <c r="E23" i="8"/>
  <c r="F23" i="8"/>
  <c r="B22" i="8" s="1"/>
  <c r="C28" i="8"/>
  <c r="I35" i="29449" l="1"/>
  <c r="F18" i="44556"/>
  <c r="F20" i="44556" s="1"/>
  <c r="I34" i="29449"/>
  <c r="E34" i="29449"/>
  <c r="B18" i="44556"/>
  <c r="C49" i="29449"/>
  <c r="E33" i="29449"/>
  <c r="B6" i="8"/>
  <c r="B5" i="8"/>
  <c r="B12" i="8"/>
  <c r="B13" i="8" s="1"/>
  <c r="B3" i="44556"/>
  <c r="B39" i="29449"/>
  <c r="B40" i="29449" s="1"/>
  <c r="E35" i="29449"/>
  <c r="B46" i="29449" l="1"/>
  <c r="B47" i="29449"/>
  <c r="B48" i="29449"/>
  <c r="B49" i="29449" l="1"/>
</calcChain>
</file>

<file path=xl/sharedStrings.xml><?xml version="1.0" encoding="utf-8"?>
<sst xmlns="http://schemas.openxmlformats.org/spreadsheetml/2006/main" count="237" uniqueCount="68">
  <si>
    <t>Students Not Receiving Aid</t>
  </si>
  <si>
    <t>All Students Receiving Aid</t>
  </si>
  <si>
    <t>Students Receiving Need-Based Aid</t>
  </si>
  <si>
    <t>Students Receiving NonNeed-Based Aid</t>
  </si>
  <si>
    <t>Need-Based Aid</t>
  </si>
  <si>
    <t>NonNeed-Based Aid</t>
  </si>
  <si>
    <t>UG Students Receiving Aid</t>
  </si>
  <si>
    <t>G &amp; P Students Receiving Aid</t>
  </si>
  <si>
    <t>&lt;-UG Not receiving need-based aid</t>
  </si>
  <si>
    <t>Chart 7 Data Per Shirley</t>
  </si>
  <si>
    <t>Grants &amp; Scholarships</t>
  </si>
  <si>
    <t>Total Aid for All Need Eligible Students</t>
  </si>
  <si>
    <t>Residents</t>
  </si>
  <si>
    <t>Non-Residents</t>
  </si>
  <si>
    <t>Number</t>
  </si>
  <si>
    <t>Average</t>
  </si>
  <si>
    <t>Amount</t>
  </si>
  <si>
    <t>Percent</t>
  </si>
  <si>
    <t>Total Academic Year Cost</t>
  </si>
  <si>
    <t>Total Academic Year EFC</t>
  </si>
  <si>
    <t>Total Academic Year  Need</t>
  </si>
  <si>
    <t>Total Federal Grant Aid</t>
  </si>
  <si>
    <t>Total State Scholarships/Grants</t>
  </si>
  <si>
    <t>Total Inst./Priv. Schol./Grants</t>
  </si>
  <si>
    <t>Total Federal Loans (Includes Plus)</t>
  </si>
  <si>
    <t>Total Federal Loans (Excludes Plus)</t>
  </si>
  <si>
    <t>Total Other Student Loans</t>
  </si>
  <si>
    <t>Total Federal Work Study</t>
  </si>
  <si>
    <t>Total Aid Received</t>
  </si>
  <si>
    <t>Total by Source of Aid</t>
  </si>
  <si>
    <t>Total Federal</t>
  </si>
  <si>
    <t>Total State</t>
  </si>
  <si>
    <t>Total Private/Inst</t>
  </si>
  <si>
    <t>Grand Total</t>
  </si>
  <si>
    <t>Total by Type of Aid</t>
  </si>
  <si>
    <t>Total Grants/Schol</t>
  </si>
  <si>
    <t>Total Loans</t>
  </si>
  <si>
    <t>Total Work Study</t>
  </si>
  <si>
    <t>UG</t>
  </si>
  <si>
    <t>Total</t>
  </si>
  <si>
    <t>UG Needy Student Aid</t>
  </si>
  <si>
    <t>GR needy</t>
  </si>
  <si>
    <t>1999-2000 UG Enrollment</t>
  </si>
  <si>
    <t>Students Awarded Aid</t>
  </si>
  <si>
    <t>Students Receiving Aid</t>
  </si>
  <si>
    <t>1999-2000 GR &amp; PR Enrollment</t>
  </si>
  <si>
    <t>Undergraduate</t>
  </si>
  <si>
    <t>Ug</t>
  </si>
  <si>
    <t>Graduate and Professional</t>
  </si>
  <si>
    <t>GR</t>
  </si>
  <si>
    <t>Not Receiving Aid</t>
  </si>
  <si>
    <t>Gr/PR</t>
  </si>
  <si>
    <t>Total Loans (incl. PLUS)</t>
  </si>
  <si>
    <t>Total State Student Loans</t>
  </si>
  <si>
    <t>Total Aid Recived</t>
  </si>
  <si>
    <t>1999-2000 Enrollment</t>
  </si>
  <si>
    <t>Students Received Aid</t>
  </si>
  <si>
    <t>Work-Study</t>
  </si>
  <si>
    <t>Loans</t>
  </si>
  <si>
    <t>Percentages of Enrolled Students Receiving Any Aid in 2000-2001</t>
  </si>
  <si>
    <t>Total Student Population = 24,872</t>
  </si>
  <si>
    <t xml:space="preserve">Total Student Population Receiving Aid = 11,501  (46%) </t>
  </si>
  <si>
    <t>ug</t>
  </si>
  <si>
    <t>grad</t>
  </si>
  <si>
    <t xml:space="preserve">all students </t>
  </si>
  <si>
    <t>total</t>
  </si>
  <si>
    <t>Need-Based Aid Distributed to Students, by Type
2000-2001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</si>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</sst>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.0%"/>
    <numFmt numFmtId="173" formatCode="&quot;$&quot;#,##0"/>
    <numFmt numFmtId="178" formatCode="#,##0.0"/>
  </numFmts>
  <fonts count="18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1" fillId="0" borderId="3" xfId="0" applyFont="1" applyBorder="1"/>
    <xf numFmtId="172" fontId="0" fillId="0" borderId="0" xfId="0" applyNumberFormat="1" applyBorder="1"/>
    <xf numFmtId="3" fontId="0" fillId="0" borderId="0" xfId="0" applyNumberFormat="1" applyBorder="1"/>
    <xf numFmtId="0" fontId="0" fillId="0" borderId="4" xfId="0" applyBorder="1"/>
    <xf numFmtId="0" fontId="0" fillId="0" borderId="5" xfId="0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 applyAlignment="1">
      <alignment horizontal="center"/>
    </xf>
    <xf numFmtId="173" fontId="1" fillId="2" borderId="9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172" fontId="0" fillId="0" borderId="14" xfId="0" applyNumberFormat="1" applyBorder="1"/>
    <xf numFmtId="0" fontId="1" fillId="2" borderId="12" xfId="0" applyFont="1" applyFill="1" applyBorder="1"/>
    <xf numFmtId="3" fontId="1" fillId="0" borderId="15" xfId="0" applyNumberFormat="1" applyFont="1" applyBorder="1"/>
    <xf numFmtId="173" fontId="1" fillId="0" borderId="16" xfId="0" applyNumberFormat="1" applyFont="1" applyBorder="1"/>
    <xf numFmtId="9" fontId="1" fillId="0" borderId="16" xfId="0" applyNumberFormat="1" applyFont="1" applyBorder="1"/>
    <xf numFmtId="172" fontId="1" fillId="0" borderId="17" xfId="0" applyNumberFormat="1" applyFont="1" applyBorder="1"/>
    <xf numFmtId="173" fontId="0" fillId="0" borderId="0" xfId="0" applyNumberFormat="1"/>
    <xf numFmtId="172" fontId="0" fillId="0" borderId="0" xfId="0" applyNumberFormat="1"/>
    <xf numFmtId="0" fontId="1" fillId="0" borderId="18" xfId="0" applyFont="1" applyBorder="1"/>
    <xf numFmtId="3" fontId="4" fillId="0" borderId="10" xfId="0" applyNumberFormat="1" applyFont="1" applyBorder="1" applyAlignment="1">
      <alignment horizontal="right"/>
    </xf>
    <xf numFmtId="3" fontId="0" fillId="0" borderId="0" xfId="0" applyNumberFormat="1"/>
    <xf numFmtId="3" fontId="4" fillId="0" borderId="10" xfId="0" applyNumberFormat="1" applyFont="1" applyBorder="1"/>
    <xf numFmtId="3" fontId="0" fillId="0" borderId="19" xfId="0" applyNumberFormat="1" applyBorder="1"/>
    <xf numFmtId="3" fontId="0" fillId="0" borderId="20" xfId="0" applyNumberFormat="1" applyBorder="1"/>
    <xf numFmtId="0" fontId="1" fillId="0" borderId="0" xfId="0" applyFont="1" applyBorder="1"/>
    <xf numFmtId="0" fontId="1" fillId="2" borderId="18" xfId="0" applyFont="1" applyFill="1" applyBorder="1"/>
    <xf numFmtId="10" fontId="1" fillId="2" borderId="10" xfId="0" applyNumberFormat="1" applyFont="1" applyFill="1" applyBorder="1" applyAlignment="1">
      <alignment horizontal="center"/>
    </xf>
    <xf numFmtId="0" fontId="1" fillId="0" borderId="21" xfId="0" applyFont="1" applyBorder="1"/>
    <xf numFmtId="0" fontId="1" fillId="0" borderId="15" xfId="0" applyFont="1" applyBorder="1"/>
    <xf numFmtId="0" fontId="1" fillId="0" borderId="22" xfId="0" applyFont="1" applyBorder="1"/>
    <xf numFmtId="3" fontId="4" fillId="0" borderId="9" xfId="0" applyNumberFormat="1" applyFont="1" applyBorder="1"/>
    <xf numFmtId="3" fontId="0" fillId="0" borderId="9" xfId="0" applyNumberForma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9" fontId="0" fillId="0" borderId="23" xfId="0" applyNumberFormat="1" applyBorder="1"/>
    <xf numFmtId="9" fontId="0" fillId="0" borderId="24" xfId="0" applyNumberFormat="1" applyBorder="1"/>
    <xf numFmtId="9" fontId="0" fillId="0" borderId="25" xfId="0" applyNumberFormat="1" applyBorder="1"/>
    <xf numFmtId="9" fontId="0" fillId="0" borderId="0" xfId="0" applyNumberFormat="1"/>
    <xf numFmtId="9" fontId="0" fillId="0" borderId="2" xfId="0" applyNumberFormat="1" applyBorder="1"/>
    <xf numFmtId="9" fontId="0" fillId="0" borderId="0" xfId="0" applyNumberFormat="1" applyBorder="1"/>
    <xf numFmtId="9" fontId="0" fillId="0" borderId="5" xfId="0" applyNumberFormat="1" applyBorder="1"/>
    <xf numFmtId="3" fontId="4" fillId="0" borderId="19" xfId="0" applyNumberFormat="1" applyFont="1" applyBorder="1"/>
    <xf numFmtId="0" fontId="1" fillId="0" borderId="26" xfId="0" applyFont="1" applyBorder="1"/>
    <xf numFmtId="0" fontId="4" fillId="0" borderId="18" xfId="0" applyFont="1" applyBorder="1"/>
    <xf numFmtId="0" fontId="4" fillId="0" borderId="3" xfId="0" applyFont="1" applyBorder="1"/>
    <xf numFmtId="0" fontId="4" fillId="0" borderId="4" xfId="0" applyFont="1" applyBorder="1"/>
    <xf numFmtId="0" fontId="1" fillId="0" borderId="3" xfId="0" applyFont="1" applyFill="1" applyBorder="1"/>
    <xf numFmtId="10" fontId="0" fillId="0" borderId="0" xfId="0" applyNumberFormat="1" applyFill="1" applyBorder="1"/>
    <xf numFmtId="3" fontId="0" fillId="0" borderId="0" xfId="0" applyNumberFormat="1" applyFill="1" applyBorder="1"/>
    <xf numFmtId="9" fontId="1" fillId="0" borderId="0" xfId="0" applyNumberFormat="1" applyFont="1"/>
    <xf numFmtId="172" fontId="1" fillId="0" borderId="0" xfId="0" applyNumberFormat="1" applyFont="1"/>
    <xf numFmtId="0" fontId="0" fillId="0" borderId="0" xfId="0" quotePrefix="1"/>
    <xf numFmtId="3" fontId="0" fillId="3" borderId="27" xfId="0" applyNumberFormat="1" applyFill="1" applyBorder="1"/>
    <xf numFmtId="3" fontId="0" fillId="3" borderId="19" xfId="0" applyNumberFormat="1" applyFill="1" applyBorder="1"/>
    <xf numFmtId="3" fontId="0" fillId="3" borderId="20" xfId="0" applyNumberFormat="1" applyFill="1" applyBorder="1"/>
    <xf numFmtId="3" fontId="0" fillId="3" borderId="16" xfId="0" applyNumberFormat="1" applyFill="1" applyBorder="1"/>
    <xf numFmtId="3" fontId="0" fillId="0" borderId="16" xfId="0" applyNumberFormat="1" applyBorder="1"/>
    <xf numFmtId="3" fontId="0" fillId="2" borderId="16" xfId="0" applyNumberFormat="1" applyFill="1" applyBorder="1"/>
    <xf numFmtId="0" fontId="17" fillId="0" borderId="0" xfId="0" applyFont="1"/>
    <xf numFmtId="3" fontId="0" fillId="0" borderId="3" xfId="0" applyNumberFormat="1" applyBorder="1"/>
    <xf numFmtId="3" fontId="0" fillId="0" borderId="24" xfId="0" applyNumberFormat="1" applyBorder="1" applyAlignment="1">
      <alignment horizontal="center"/>
    </xf>
    <xf numFmtId="3" fontId="0" fillId="0" borderId="28" xfId="0" applyNumberFormat="1" applyBorder="1"/>
    <xf numFmtId="3" fontId="0" fillId="0" borderId="29" xfId="0" applyNumberFormat="1" applyBorder="1"/>
    <xf numFmtId="3" fontId="0" fillId="0" borderId="30" xfId="0" applyNumberFormat="1" applyBorder="1" applyAlignment="1">
      <alignment horizontal="center"/>
    </xf>
    <xf numFmtId="178" fontId="0" fillId="0" borderId="24" xfId="0" applyNumberFormat="1" applyBorder="1"/>
    <xf numFmtId="3" fontId="0" fillId="2" borderId="3" xfId="0" applyNumberFormat="1" applyFill="1" applyBorder="1"/>
    <xf numFmtId="3" fontId="0" fillId="2" borderId="0" xfId="0" applyNumberFormat="1" applyFill="1" applyBorder="1"/>
    <xf numFmtId="178" fontId="0" fillId="2" borderId="24" xfId="0" applyNumberFormat="1" applyFill="1" applyBorder="1"/>
    <xf numFmtId="178" fontId="0" fillId="0" borderId="30" xfId="0" applyNumberFormat="1" applyBorder="1"/>
    <xf numFmtId="3" fontId="0" fillId="0" borderId="4" xfId="0" applyNumberFormat="1" applyBorder="1"/>
    <xf numFmtId="3" fontId="0" fillId="0" borderId="5" xfId="0" applyNumberFormat="1" applyBorder="1"/>
    <xf numFmtId="178" fontId="0" fillId="0" borderId="25" xfId="0" applyNumberFormat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top" wrapText="1"/>
    </xf>
    <xf numFmtId="3" fontId="1" fillId="2" borderId="18" xfId="0" applyNumberFormat="1" applyFont="1" applyFill="1" applyBorder="1" applyAlignment="1">
      <alignment horizontal="center"/>
    </xf>
    <xf numFmtId="3" fontId="1" fillId="2" borderId="31" xfId="0" applyNumberFormat="1" applyFont="1" applyFill="1" applyBorder="1" applyAlignment="1">
      <alignment horizontal="center"/>
    </xf>
    <xf numFmtId="3" fontId="1" fillId="2" borderId="32" xfId="0" applyNumberFormat="1" applyFont="1" applyFill="1" applyBorder="1" applyAlignment="1">
      <alignment horizontal="center"/>
    </xf>
    <xf numFmtId="173" fontId="1" fillId="2" borderId="18" xfId="0" applyNumberFormat="1" applyFont="1" applyFill="1" applyBorder="1" applyAlignment="1">
      <alignment horizontal="center"/>
    </xf>
    <xf numFmtId="173" fontId="1" fillId="2" borderId="31" xfId="0" applyNumberFormat="1" applyFont="1" applyFill="1" applyBorder="1" applyAlignment="1">
      <alignment horizontal="center"/>
    </xf>
    <xf numFmtId="173" fontId="1" fillId="2" borderId="3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externalLink" Target="externalLinks/externalLink1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5.xml"/><Relationship Id="rId12" Type="http://schemas.openxmlformats.org/officeDocument/2006/relationships/worksheet" Target="worksheets/sheet5.xml"/><Relationship Id="rId17" Type="http://schemas.openxmlformats.org/officeDocument/2006/relationships/calcChain" Target="calcChain.xml"/><Relationship Id="rId2" Type="http://schemas.openxmlformats.org/officeDocument/2006/relationships/worksheet" Target="worksheets/sheet1.xml"/><Relationship Id="rId16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11" Type="http://schemas.openxmlformats.org/officeDocument/2006/relationships/worksheet" Target="worksheets/sheet4.xml"/><Relationship Id="rId5" Type="http://schemas.openxmlformats.org/officeDocument/2006/relationships/chartsheet" Target="chartsheets/sheet4.xml"/><Relationship Id="rId15" Type="http://schemas.openxmlformats.org/officeDocument/2006/relationships/styles" Target="styles.xml"/><Relationship Id="rId10" Type="http://schemas.openxmlformats.org/officeDocument/2006/relationships/worksheet" Target="worksheets/sheet3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7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Total UNC-CH Enrollment 2000-2001
24,872 Students</a:t>
            </a:r>
          </a:p>
        </c:rich>
      </c:tx>
      <c:layout>
        <c:manualLayout>
          <c:xMode val="edge"/>
          <c:yMode val="edge"/>
          <c:x val="0.2378138847858198"/>
          <c:y val="2.01535508637236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094534711964549"/>
          <c:y val="0.16122840690978887"/>
          <c:w val="0.63072378138847862"/>
          <c:h val="0.81957773512476007"/>
        </c:manualLayout>
      </c:layout>
      <c:pieChart>
        <c:varyColors val="1"/>
        <c:ser>
          <c:idx val="0"/>
          <c:order val="0"/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explosion val="4"/>
          <c:dPt>
            <c:idx val="0"/>
            <c:bubble3D val="0"/>
            <c:spPr>
              <a:solidFill>
                <a:srgbClr val="00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1E3B-4D7D-BED1-A2DA850E7BC6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E3B-4D7D-BED1-A2DA850E7BC6}"/>
              </c:ext>
            </c:extLst>
          </c:dPt>
          <c:dLbls>
            <c:delete val="1"/>
          </c:dLbls>
          <c:val>
            <c:numRef>
              <c:f>('Profile Graphs Data'!$C$3,'Profile Graphs Data'!$C$10)</c:f>
              <c:numCache>
                <c:formatCode>#,##0</c:formatCode>
                <c:ptCount val="2"/>
                <c:pt idx="0">
                  <c:v>15608</c:v>
                </c:pt>
                <c:pt idx="1">
                  <c:v>9264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3B-4D7D-BED1-A2DA850E7B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2115759412289"/>
          <c:y val="0.19469668038832602"/>
          <c:w val="0.77192709411892491"/>
          <c:h val="0.75371214907904993"/>
        </c:manualLayout>
      </c:layout>
      <c:pieChart>
        <c:varyColors val="1"/>
        <c:ser>
          <c:idx val="0"/>
          <c:order val="0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explosion val="5"/>
          <c:dPt>
            <c:idx val="0"/>
            <c:bubble3D val="0"/>
            <c:spPr>
              <a:solidFill>
                <a:srgbClr val="33CC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024C-48B2-9B67-8C7B837F87BF}"/>
              </c:ext>
            </c:extLst>
          </c:dPt>
          <c:dPt>
            <c:idx val="1"/>
            <c:bubble3D val="0"/>
            <c:spPr>
              <a:solidFill>
                <a:srgbClr val="00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24C-48B2-9B67-8C7B837F87BF}"/>
              </c:ext>
            </c:extLst>
          </c:dPt>
          <c:val>
            <c:numRef>
              <c:f>('Profile Graphs Data'!$C$12,'Profile Graphs Data'!$C$13)</c:f>
              <c:numCache>
                <c:formatCode>#,##0</c:formatCode>
                <c:ptCount val="2"/>
                <c:pt idx="0">
                  <c:v>3418</c:v>
                </c:pt>
                <c:pt idx="1">
                  <c:v>5846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4C-48B2-9B67-8C7B837F8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CC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07260494907096"/>
          <c:y val="0.17699698217120546"/>
          <c:w val="0.77091791530337284"/>
          <c:h val="0.7891115455132911"/>
        </c:manualLayout>
      </c:layout>
      <c:pieChart>
        <c:varyColors val="1"/>
        <c:ser>
          <c:idx val="0"/>
          <c:order val="0"/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explosion val="4"/>
          <c:dPt>
            <c:idx val="0"/>
            <c:bubble3D val="0"/>
            <c:spPr>
              <a:solidFill>
                <a:srgbClr val="33CC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53A2-4DAF-B949-91C0C446E2C3}"/>
              </c:ext>
            </c:extLst>
          </c:dPt>
          <c:dPt>
            <c:idx val="1"/>
            <c:bubble3D val="0"/>
            <c:spPr>
              <a:solidFill>
                <a:srgbClr val="00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3A2-4DAF-B949-91C0C446E2C3}"/>
              </c:ext>
            </c:extLst>
          </c:dPt>
          <c:val>
            <c:numRef>
              <c:f>('Profile Graphs Data'!$C$5,'Profile Graphs Data'!$C$6)</c:f>
              <c:numCache>
                <c:formatCode>#,##0</c:formatCode>
                <c:ptCount val="2"/>
                <c:pt idx="0">
                  <c:v>8083</c:v>
                </c:pt>
                <c:pt idx="1">
                  <c:v>7525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A2-4DAF-B949-91C0C446E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CC"/>
        </a:solidFill>
        <a:ln w="25400">
          <a:noFill/>
        </a:ln>
      </c:spPr>
    </c:plotArea>
    <c:plotVisOnly val="1"/>
    <c:dispBlanksAs val="zero"/>
    <c:showDLblsOverMax val="0"/>
  </c:chart>
  <c:spPr>
    <a:solidFill>
      <a:srgbClr val="FFFFCC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All Students Receiving Any Aid 2000-2001
11,501 Students</a:t>
            </a:r>
          </a:p>
        </c:rich>
      </c:tx>
      <c:layout>
        <c:manualLayout>
          <c:xMode val="edge"/>
          <c:yMode val="edge"/>
          <c:x val="0.20955882352941177"/>
          <c:y val="2.00956937799043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720588235294119"/>
          <c:y val="0.1674641148325359"/>
          <c:w val="0.62867647058823528"/>
          <c:h val="0.81818181818181823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5"/>
          <c:dPt>
            <c:idx val="0"/>
            <c:bubble3D val="0"/>
            <c:spPr>
              <a:solidFill>
                <a:srgbClr val="33CC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C4CE-4099-986A-E5CEE00D0C3A}"/>
              </c:ext>
            </c:extLst>
          </c:dPt>
          <c:dPt>
            <c:idx val="1"/>
            <c:bubble3D val="0"/>
            <c:spPr>
              <a:solidFill>
                <a:srgbClr val="00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4CE-4099-986A-E5CEE00D0C3A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80294117647058827"/>
                  <c:y val="0.66507177033492826"/>
                </c:manualLayout>
              </c:layout>
              <c:tx>
                <c:rich>
                  <a:bodyPr/>
                  <a:lstStyle/>
                  <a:p>
                    <a:pPr>
                      <a:defRPr sz="1525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Students Receiving Need-Based Aid
6,993  (61%)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CE-4099-986A-E5CEE00D0C3A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5.1470588235294117E-3"/>
                  <c:y val="0.30047846889952151"/>
                </c:manualLayout>
              </c:layout>
              <c:tx>
                <c:rich>
                  <a:bodyPr/>
                  <a:lstStyle/>
                  <a:p>
                    <a:pPr>
                      <a:defRPr sz="1525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Students Receiving NonNeed-Based Aid
4,508  (39%)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CE-4099-986A-E5CEE00D0C3A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('Profile Graphs Data'!$F$14,'Profile Graphs Data'!$F$15)</c:f>
              <c:numCache>
                <c:formatCode>#,##0</c:formatCode>
                <c:ptCount val="2"/>
                <c:pt idx="0">
                  <c:v>6993</c:v>
                </c:pt>
                <c:pt idx="1">
                  <c:v>4508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CE-4099-986A-E5CEE00D0C3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Total Aid Distributed to All Students, by Source
2000-2001</a:t>
            </a:r>
          </a:p>
        </c:rich>
      </c:tx>
      <c:layout>
        <c:manualLayout>
          <c:xMode val="edge"/>
          <c:yMode val="edge"/>
          <c:x val="0.16814814814814816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9"/>
      <c:rotY val="20"/>
      <c:depthPercent val="500"/>
      <c:rAngAx val="1"/>
    </c:view3D>
    <c:floor>
      <c:thickness val="0"/>
      <c:spPr>
        <a:noFill/>
        <a:ln w="6350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08"/>
          <c:y val="0.14814814814814814"/>
          <c:w val="0.88888888888888884"/>
          <c:h val="0.81154684095860563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'SAO Report Graphs Data'!$B$4:$B$6</c:f>
              <c:numCache>
                <c:formatCode>0%</c:formatCode>
                <c:ptCount val="3"/>
                <c:pt idx="0">
                  <c:v>0.57288750224997387</c:v>
                </c:pt>
                <c:pt idx="1">
                  <c:v>9.3543544610128551E-2</c:v>
                </c:pt>
                <c:pt idx="2">
                  <c:v>0.33356895313989759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C-4460-9875-B38B4DAA5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884784783"/>
        <c:axId val="1"/>
        <c:axId val="0"/>
      </c:bar3DChart>
      <c:catAx>
        <c:axId val="1884784783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8478478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All Students Receiving Need-Based Aid 2000-2001
6,993 Students
</a:t>
            </a:r>
          </a:p>
        </c:rich>
      </c:tx>
      <c:layout>
        <c:manualLayout>
          <c:xMode val="edge"/>
          <c:yMode val="edge"/>
          <c:x val="0.15147058823529411"/>
          <c:y val="2.00956937799043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499999999999999"/>
          <c:y val="0.1598086124401914"/>
          <c:w val="0.64411764705882357"/>
          <c:h val="0.8382775119617225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4"/>
          <c:dPt>
            <c:idx val="0"/>
            <c:bubble3D val="0"/>
            <c:spPr>
              <a:solidFill>
                <a:srgbClr val="33CC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6752-4B28-8244-59CA5BE01185}"/>
              </c:ext>
            </c:extLst>
          </c:dPt>
          <c:dPt>
            <c:idx val="1"/>
            <c:bubble3D val="0"/>
            <c:spPr>
              <a:solidFill>
                <a:srgbClr val="00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752-4B28-8244-59CA5BE01185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81691176470588234"/>
                  <c:y val="0.70526315789473681"/>
                </c:manualLayout>
              </c:layout>
              <c:tx>
                <c:rich>
                  <a:bodyPr/>
                  <a:lstStyle/>
                  <a:p>
                    <a:pPr>
                      <a:defRPr sz="155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Undergraduate
4,344  (62%)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752-4B28-8244-59CA5BE01185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2.5735294117647058E-2"/>
                  <c:y val="0.32631578947368423"/>
                </c:manualLayout>
              </c:layout>
              <c:tx>
                <c:rich>
                  <a:bodyPr/>
                  <a:lstStyle/>
                  <a:p>
                    <a:pPr>
                      <a:defRPr sz="155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Graduate &amp; Professional
2,649  (38%)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52-4B28-8244-59CA5BE01185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('Profile Graphs Data'!$C$23,'Profile Graphs Data'!$C$28)</c:f>
              <c:numCache>
                <c:formatCode>#,##0</c:formatCode>
                <c:ptCount val="2"/>
                <c:pt idx="0">
                  <c:v>4344</c:v>
                </c:pt>
                <c:pt idx="1">
                  <c:v>2649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52-4B28-8244-59CA5BE0118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Undergraduate Students</a:t>
            </a:r>
          </a:p>
        </c:rich>
      </c:tx>
      <c:layout>
        <c:manualLayout>
          <c:xMode val="edge"/>
          <c:yMode val="edge"/>
          <c:x val="0.2566846701919055"/>
          <c:y val="1.47497485142671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8283020451861"/>
          <c:y val="0.17552200731977877"/>
          <c:w val="0.78340754833136472"/>
          <c:h val="0.7787867215533040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4"/>
          <c:dPt>
            <c:idx val="0"/>
            <c:bubble3D val="0"/>
            <c:spPr>
              <a:solidFill>
                <a:srgbClr val="33CC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A503-448B-AFC2-60B75479142A}"/>
              </c:ext>
            </c:extLst>
          </c:dPt>
          <c:dPt>
            <c:idx val="1"/>
            <c:bubble3D val="0"/>
            <c:spPr>
              <a:solidFill>
                <a:srgbClr val="00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503-448B-AFC2-60B75479142A}"/>
              </c:ext>
            </c:extLst>
          </c:dPt>
          <c:dPt>
            <c:idx val="2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503-448B-AFC2-60B75479142A}"/>
              </c:ext>
            </c:extLst>
          </c:dPt>
          <c:dLbls>
            <c:delete val="1"/>
          </c:dLbls>
          <c:val>
            <c:numRef>
              <c:f>'Profile Graphs Data'!$F$39:$F$41</c:f>
              <c:numCache>
                <c:formatCode>0%</c:formatCode>
                <c:ptCount val="3"/>
                <c:pt idx="0">
                  <c:v>0.56499999999999995</c:v>
                </c:pt>
                <c:pt idx="1">
                  <c:v>0.42099999999999999</c:v>
                </c:pt>
                <c:pt idx="2">
                  <c:v>1.4E-2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03-448B-AFC2-60B75479142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23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CC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&amp;L&amp;8Chart 5</c:oddFooter>
    </c:headerFooter>
    <c:pageMargins b="0.5" l="0.75" r="0.75" t="0.5" header="0.3" footer="0.3"/>
    <c:pageSetup orientation="landscape" horizontalDpi="300" verticalDpi="300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Graduate &amp; Professional Students</a:t>
            </a:r>
          </a:p>
        </c:rich>
      </c:tx>
      <c:layout>
        <c:manualLayout>
          <c:xMode val="edge"/>
          <c:yMode val="edge"/>
          <c:x val="0.16444969353495895"/>
          <c:y val="1.179979881141369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780898858624232E-2"/>
          <c:y val="0.16224723365693836"/>
          <c:w val="0.80891470873952775"/>
          <c:h val="0.8053362688789849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5"/>
          <c:dPt>
            <c:idx val="0"/>
            <c:bubble3D val="0"/>
            <c:spPr>
              <a:solidFill>
                <a:srgbClr val="33CC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8BA0-4554-B71E-D30E6FDA7110}"/>
              </c:ext>
            </c:extLst>
          </c:dPt>
          <c:dPt>
            <c:idx val="1"/>
            <c:bubble3D val="0"/>
            <c:spPr>
              <a:solidFill>
                <a:srgbClr val="00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A0-4554-B71E-D30E6FDA7110}"/>
              </c:ext>
            </c:extLst>
          </c:dPt>
          <c:dPt>
            <c:idx val="2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8BA0-4554-B71E-D30E6FDA7110}"/>
              </c:ext>
            </c:extLst>
          </c:dPt>
          <c:dLbls>
            <c:delete val="1"/>
          </c:dLbls>
          <c:val>
            <c:numRef>
              <c:f>[1]ChartData!$F$45:$F$47</c:f>
              <c:numCache>
                <c:formatCode>General</c:formatCode>
                <c:ptCount val="3"/>
                <c:pt idx="0">
                  <c:v>0.26921794571712215</c:v>
                </c:pt>
                <c:pt idx="1">
                  <c:v>0.72088057420274665</c:v>
                </c:pt>
                <c:pt idx="2">
                  <c:v>9.9014800801311698E-3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A0-4554-B71E-D30E6FDA711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23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CC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4" verticalDpi="30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2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Percent of  All Undergraduate Students Receiving Need-Based Aid 2000-2001</a:t>
            </a:r>
          </a:p>
          <a:p>
            <a:pPr>
              <a:defRPr sz="22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4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(includes resident and non-resident students)</a:t>
            </a:r>
          </a:p>
          <a:p>
            <a:pPr>
              <a:defRPr sz="22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4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Total Undergraduate Enrollment = 15,608</a:t>
            </a:r>
          </a:p>
        </c:rich>
      </c:tx>
      <c:layout>
        <c:manualLayout>
          <c:xMode val="edge"/>
          <c:yMode val="edge"/>
          <c:x val="0.18020679468242246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71344165435746"/>
          <c:y val="0.27639155470249521"/>
          <c:w val="0.5553914327917282"/>
          <c:h val="0.72168905950095974"/>
        </c:manualLayout>
      </c:layout>
      <c:pieChart>
        <c:varyColors val="1"/>
        <c:ser>
          <c:idx val="0"/>
          <c:order val="0"/>
          <c:spPr>
            <a:solidFill>
              <a:srgbClr val="33CCCC"/>
            </a:solidFill>
            <a:ln w="12700">
              <a:solidFill>
                <a:srgbClr val="000000"/>
              </a:solidFill>
              <a:prstDash val="solid"/>
            </a:ln>
          </c:spPr>
          <c:explosion val="4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114-49C9-8D0E-AB549F37175F}"/>
              </c:ext>
            </c:extLst>
          </c:dPt>
          <c:dPt>
            <c:idx val="1"/>
            <c:bubble3D val="0"/>
            <c:spPr>
              <a:solidFill>
                <a:srgbClr val="00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14-49C9-8D0E-AB549F37175F}"/>
              </c:ext>
            </c:extLst>
          </c:dPt>
          <c:val>
            <c:numRef>
              <c:f>'Profile Graphs Data'!$C$7:$D$7</c:f>
              <c:numCache>
                <c:formatCode>#,##0</c:formatCode>
                <c:ptCount val="2"/>
                <c:pt idx="0">
                  <c:v>4344</c:v>
                </c:pt>
                <c:pt idx="1">
                  <c:v>11264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14-49C9-8D0E-AB549F371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Typical Financial Aid Package for
Aid-Eligible In-State Freshman
 2000-2001</a:t>
            </a:r>
          </a:p>
        </c:rich>
      </c:tx>
      <c:layout>
        <c:manualLayout>
          <c:xMode val="edge"/>
          <c:yMode val="edge"/>
          <c:x val="0.2326440177252585"/>
          <c:y val="2.01535508637236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605612998522896"/>
          <c:y val="0.25239923224568139"/>
          <c:w val="0.57533234859675042"/>
          <c:h val="0.74760076775431861"/>
        </c:manualLayout>
      </c:layout>
      <c:pieChart>
        <c:varyColors val="1"/>
        <c:ser>
          <c:idx val="0"/>
          <c:order val="0"/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explosion val="5"/>
          <c:dPt>
            <c:idx val="0"/>
            <c:bubble3D val="0"/>
            <c:spPr>
              <a:solidFill>
                <a:srgbClr val="00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5CA5-45D2-9686-3AF4DA06021C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CA5-45D2-9686-3AF4DA06021C}"/>
              </c:ext>
            </c:extLst>
          </c:dPt>
          <c:dPt>
            <c:idx val="2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CA5-45D2-9686-3AF4DA06021C}"/>
              </c:ext>
            </c:extLst>
          </c:dPt>
          <c:val>
            <c:numRef>
              <c:f>'Profile Graphs Data'!$I$4:$I$6</c:f>
              <c:numCache>
                <c:formatCode>0%</c:formatCode>
                <c:ptCount val="3"/>
                <c:pt idx="0">
                  <c:v>0.33</c:v>
                </c:pt>
                <c:pt idx="1">
                  <c:v>0.65</c:v>
                </c:pt>
                <c:pt idx="2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A5-45D2-9686-3AF4DA060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2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Need-Based Aid Distributed to All Students, by Source
2000-2001</a:t>
            </a:r>
          </a:p>
        </c:rich>
      </c:tx>
      <c:layout>
        <c:manualLayout>
          <c:xMode val="edge"/>
          <c:yMode val="edge"/>
          <c:x val="0.11777777777777777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61"/>
      <c:rotY val="20"/>
      <c:depthPercent val="500"/>
      <c:rAngAx val="1"/>
    </c:view3D>
    <c:floor>
      <c:thickness val="0"/>
      <c:spPr>
        <a:noFill/>
        <a:ln w="6350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10074074074074074"/>
          <c:y val="0.12745098039215685"/>
          <c:w val="0.87259259259259259"/>
          <c:h val="0.82897603485838778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'Need Graphs Data'!$B$46:$B$48</c:f>
              <c:numCache>
                <c:formatCode>0.0%</c:formatCode>
                <c:ptCount val="3"/>
                <c:pt idx="0">
                  <c:v>0.6689490904672295</c:v>
                </c:pt>
                <c:pt idx="1">
                  <c:v>8.6790939635341929E-2</c:v>
                </c:pt>
                <c:pt idx="2">
                  <c:v>0.24425996989742857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4-4081-B458-E5C4BCE17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884774383"/>
        <c:axId val="1"/>
        <c:axId val="0"/>
      </c:bar3DChart>
      <c:catAx>
        <c:axId val="1884774383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8477438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17298633538339"/>
          <c:y val="0.11111482501459322"/>
          <c:w val="0.39022454131189316"/>
          <c:h val="0.78044936617392857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5A7-4939-85C5-EC56A08AEFCD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5A7-4939-85C5-EC56A08AEFC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85A7-4939-85C5-EC56A08AEFCD}"/>
              </c:ext>
            </c:extLst>
          </c:dPt>
          <c:val>
            <c:numRef>
              <c:f>'SAO Report Graphs Data'!$B$4:$B$6</c:f>
              <c:numCache>
                <c:formatCode>0%</c:formatCode>
                <c:ptCount val="3"/>
                <c:pt idx="0">
                  <c:v>0.57288750224997387</c:v>
                </c:pt>
                <c:pt idx="1">
                  <c:v>9.3543544610128551E-2</c:v>
                </c:pt>
                <c:pt idx="2">
                  <c:v>0.33356895313989759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A7-4939-85C5-EC56A08AE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2727933376148164"/>
          <c:y val="0.38625629647930021"/>
          <c:w val="5.8202982432960335E-2"/>
          <c:h val="0.2328120143162905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tabSelected="1" zoomScale="64" workbookViewId="0"/>
  </sheetViews>
  <pageMargins left="0.72" right="0.75" top="0.5" bottom="0.64" header="0.3" footer="0.17"/>
  <pageSetup orientation="landscape" horizontalDpi="4294967294" verticalDpi="75" r:id="rId1"/>
  <headerFooter alignWithMargins="0">
    <oddFooter>&amp;L&amp;8Chart 1
Office of Scholarships and Student Aid
October 2001</oddFoot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1" right="0.72" top="0.5" bottom="0.62" header="0.5" footer="0.17"/>
  <pageSetup orientation="landscape" horizontalDpi="300" verticalDpi="300" r:id="rId1"/>
  <headerFooter alignWithMargins="0">
    <oddFooter>&amp;L&amp;8Chart 3
Office of Scholarships and Student Aid
October 2001</oddFooter>
  </headerFooter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5" right="0.75" top="1" bottom="1" header="0.5" footer="0.17"/>
  <pageSetup orientation="landscape" horizontalDpi="300" verticalDpi="300" r:id="rId1"/>
  <headerFooter alignWithMargins="0">
    <oddFooter>&amp;L&amp;8Chart 4
Office of Scholarships and Student Aid
October 2001</oddFooter>
  </headerFooter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1" right="0.72" top="0.5" bottom="0.62" header="0.3" footer="0.17"/>
  <pageSetup orientation="landscape" horizontalDpi="4294967293" verticalDpi="300" r:id="rId1"/>
  <headerFooter alignWithMargins="0">
    <oddFooter>&amp;L&amp;8Chart 5
Office of Scholarships and Student Aid
October 2001</oddFooter>
  </headerFooter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2" right="0.75" top="0.5" bottom="0.64" header="0.3" footer="0.17"/>
  <pageSetup orientation="landscape" horizontalDpi="4294967293" verticalDpi="300" r:id="rId1"/>
  <headerFooter alignWithMargins="0">
    <oddFooter>&amp;L&amp;8Chart 7
Office of Scholarships and Student Aid
October 2001</oddFooter>
  </headerFooter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2" right="0.75" top="0.5" bottom="0.64" header="0.3" footer="0.17"/>
  <pageSetup orientation="landscape" horizontalDpi="4294967293" verticalDpi="300" r:id="rId1"/>
  <headerFooter alignWithMargins="0">
    <oddFooter>&amp;L&amp;8Chart 8
Office of Scholarships and Student Aid
December 2000</oddFooter>
  </headerFooter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5" right="0.75" top="1" bottom="1" header="0.5" footer="0.17"/>
  <pageSetup orientation="landscape" horizontalDpi="4294967293" verticalDpi="300" r:id="rId1"/>
  <headerFooter alignWithMargins="0">
    <oddFooter>&amp;L&amp;8Chart 9
Office of Scholarships and Student Aid
October 2001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97900" cy="6616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8E3089-53AE-4255-8074-FF62396FEFC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0.74875</cdr:x>
      <cdr:y>0.77575</cdr:y>
    </cdr:from>
    <cdr:to>
      <cdr:x>0.94825</cdr:x>
      <cdr:y>0.8515</cdr:y>
    </cdr:to>
    <cdr:sp macro="" textlink="">
      <cdr:nvSpPr>
        <cdr:cNvPr id="15361" name="Text Box 1">
          <a:extLst xmlns:a="http://schemas.openxmlformats.org/drawingml/2006/main">
            <a:ext uri="{FF2B5EF4-FFF2-40B4-BE49-F238E27FC236}">
              <a16:creationId xmlns:a16="http://schemas.microsoft.com/office/drawing/2014/main" id="{AC084FB1-945E-4EEF-9A98-DCC63A3E2F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37678" y="5132905"/>
          <a:ext cx="1715281" cy="5012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41148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Undergraduate</a:t>
          </a:r>
        </a:p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15,608 (63%)</a:t>
          </a:r>
        </a:p>
      </cdr:txBody>
    </cdr:sp>
  </cdr:relSizeAnchor>
  <cdr:relSizeAnchor xmlns:cdr="http://schemas.openxmlformats.org/drawingml/2006/chartDrawing">
    <cdr:from>
      <cdr:x>0.07425</cdr:x>
      <cdr:y>0.28675</cdr:y>
    </cdr:from>
    <cdr:to>
      <cdr:x>0.22125</cdr:x>
      <cdr:y>0.39425</cdr:y>
    </cdr:to>
    <cdr:sp macro="" textlink="">
      <cdr:nvSpPr>
        <cdr:cNvPr id="15362" name="Text Box 2">
          <a:extLst xmlns:a="http://schemas.openxmlformats.org/drawingml/2006/main">
            <a:ext uri="{FF2B5EF4-FFF2-40B4-BE49-F238E27FC236}">
              <a16:creationId xmlns:a16="http://schemas.microsoft.com/office/drawing/2014/main" id="{C9A46BBE-8E3D-4F14-A205-3A3A670B40B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8394" y="1897339"/>
          <a:ext cx="1263891" cy="7112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41148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375" b="1" i="0" u="none" strike="noStrike" baseline="0">
              <a:solidFill>
                <a:srgbClr val="000000"/>
              </a:solidFill>
              <a:latin typeface="Arial"/>
              <a:cs typeface="Arial"/>
            </a:rPr>
            <a:t>Graduate &amp; Professional</a:t>
          </a:r>
        </a:p>
        <a:p xmlns:a="http://schemas.openxmlformats.org/drawingml/2006/main">
          <a:pPr algn="ctr" rtl="0">
            <a:defRPr sz="1000"/>
          </a:pPr>
          <a:r>
            <a:rPr lang="en-GB" sz="1375" b="1" i="0" u="none" strike="noStrike" baseline="0">
              <a:solidFill>
                <a:srgbClr val="000000"/>
              </a:solidFill>
              <a:latin typeface="Arial"/>
              <a:cs typeface="Arial"/>
            </a:rPr>
            <a:t>9,264 (37%)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4</xdr:row>
      <xdr:rowOff>139700</xdr:rowOff>
    </xdr:from>
    <xdr:to>
      <xdr:col>6</xdr:col>
      <xdr:colOff>558800</xdr:colOff>
      <xdr:row>32</xdr:row>
      <xdr:rowOff>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12F23FA6-5617-4B55-AD36-35FBA0ED7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31750</xdr:colOff>
      <xdr:row>4</xdr:row>
      <xdr:rowOff>139700</xdr:rowOff>
    </xdr:from>
    <xdr:to>
      <xdr:col>15</xdr:col>
      <xdr:colOff>12700</xdr:colOff>
      <xdr:row>32</xdr:row>
      <xdr:rowOff>0</xdr:rowOff>
    </xdr:to>
    <xdr:graphicFrame macro="">
      <xdr:nvGraphicFramePr>
        <xdr:cNvPr id="2050" name="Chart 2">
          <a:extLst>
            <a:ext uri="{FF2B5EF4-FFF2-40B4-BE49-F238E27FC236}">
              <a16:creationId xmlns:a16="http://schemas.microsoft.com/office/drawing/2014/main" id="{6712B224-7571-452B-BE01-082E4D5AC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0.0328</cdr:x>
      <cdr:y>0.84987</cdr:y>
    </cdr:from>
    <cdr:to>
      <cdr:x>0.29531</cdr:x>
      <cdr:y>1</cdr:y>
    </cdr:to>
    <cdr:sp macro="" textlink="">
      <cdr:nvSpPr>
        <cdr:cNvPr id="3073" name="Text Box 1">
          <a:extLst xmlns:a="http://schemas.openxmlformats.org/drawingml/2006/main">
            <a:ext uri="{FF2B5EF4-FFF2-40B4-BE49-F238E27FC236}">
              <a16:creationId xmlns:a16="http://schemas.microsoft.com/office/drawing/2014/main" id="{E73C4B7A-01C0-4BE6-8D94-9AC5ED84B3E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8105" y="3667233"/>
          <a:ext cx="1105173" cy="6472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2004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Not</a:t>
          </a:r>
        </a:p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Receiving Aid</a:t>
          </a:r>
        </a:p>
        <a:p xmlns:a="http://schemas.openxmlformats.org/drawingml/2006/main">
          <a:pPr algn="ctr" rtl="0">
            <a:defRPr sz="1000"/>
          </a:pP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5,846 (63%)</a:t>
          </a:r>
          <a:endParaRPr lang="en-GB" sz="115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150" b="1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0.69151</cdr:x>
      <cdr:y>0.18656</cdr:y>
    </cdr:from>
    <cdr:to>
      <cdr:x>0.9811</cdr:x>
      <cdr:y>0.28225</cdr:y>
    </cdr:to>
    <cdr:sp macro="" textlink="">
      <cdr:nvSpPr>
        <cdr:cNvPr id="3074" name="Text Box 2">
          <a:extLst xmlns:a="http://schemas.openxmlformats.org/drawingml/2006/main">
            <a:ext uri="{FF2B5EF4-FFF2-40B4-BE49-F238E27FC236}">
              <a16:creationId xmlns:a16="http://schemas.microsoft.com/office/drawing/2014/main" id="{C80F05AA-BC1D-4318-B5E7-79C7B98A12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11308" y="804399"/>
          <a:ext cx="1219183" cy="4125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2004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Receiving Aid</a:t>
          </a:r>
        </a:p>
        <a:p xmlns:a="http://schemas.openxmlformats.org/drawingml/2006/main">
          <a:pPr algn="ctr" rtl="0">
            <a:defRPr sz="1000"/>
          </a:pP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3,418 (37%)</a:t>
          </a:r>
        </a:p>
        <a:p xmlns:a="http://schemas.openxmlformats.org/drawingml/2006/main">
          <a:pPr algn="ctr" rtl="0">
            <a:defRPr sz="1000"/>
          </a:pP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3,418 (37%)</a:t>
          </a:r>
          <a:endParaRPr lang="en-GB" sz="115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15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15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150" b="1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0.01207</cdr:x>
      <cdr:y>0.01178</cdr:y>
    </cdr:from>
    <cdr:to>
      <cdr:x>0.98037</cdr:x>
      <cdr:y>0.15312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9DD4D27E-0A34-4480-B792-96FD0049929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4076610" cy="6094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2004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125" b="1" i="0" u="none" strike="noStrike" baseline="0">
              <a:solidFill>
                <a:srgbClr val="000000"/>
              </a:solidFill>
              <a:latin typeface="Arial"/>
              <a:cs typeface="Arial"/>
            </a:rPr>
            <a:t>Percent of Enrolled Graduate &amp; Professional Students</a:t>
          </a:r>
        </a:p>
        <a:p xmlns:a="http://schemas.openxmlformats.org/drawingml/2006/main">
          <a:pPr algn="ctr" rtl="0">
            <a:defRPr sz="1000"/>
          </a:pPr>
          <a:r>
            <a:rPr lang="en-GB" sz="1125" b="1" i="0" u="none" strike="noStrike" baseline="0">
              <a:solidFill>
                <a:srgbClr val="000000"/>
              </a:solidFill>
              <a:latin typeface="Arial"/>
              <a:cs typeface="Arial"/>
            </a:rPr>
            <a:t>Receiving Aid</a:t>
          </a:r>
          <a:endParaRPr lang="en-GB" sz="1125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r>
            <a:rPr lang="en-GB" sz="925" b="0" i="0" u="none" strike="noStrike" baseline="0">
              <a:solidFill>
                <a:srgbClr val="000000"/>
              </a:solidFill>
              <a:latin typeface="Arial"/>
              <a:cs typeface="Arial"/>
            </a:rPr>
            <a:t>Total Population of Graduate &amp; Professional Students = 9,264</a:t>
          </a:r>
        </a:p>
      </cdr:txBody>
    </cdr:sp>
  </cdr:relSizeAnchor>
  <cdr:relSizeAnchor xmlns:cdr="http://schemas.openxmlformats.org/drawingml/2006/chartDrawing">
    <cdr:from>
      <cdr:x>0.2575</cdr:x>
      <cdr:y>0.72873</cdr:y>
    </cdr:from>
    <cdr:to>
      <cdr:x>0.64052</cdr:x>
      <cdr:y>0.87886</cdr:y>
    </cdr:to>
    <cdr:sp macro="" textlink="">
      <cdr:nvSpPr>
        <cdr:cNvPr id="3076" name="Text Box 4">
          <a:extLst xmlns:a="http://schemas.openxmlformats.org/drawingml/2006/main">
            <a:ext uri="{FF2B5EF4-FFF2-40B4-BE49-F238E27FC236}">
              <a16:creationId xmlns:a16="http://schemas.microsoft.com/office/drawing/2014/main" id="{1ECFE7BB-9739-42B6-8996-8E19340CD6A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84075" y="3142029"/>
          <a:ext cx="1612567" cy="6472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2004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en-GB" sz="115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15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15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15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150" b="1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0.70858</cdr:x>
      <cdr:y>0.179</cdr:y>
    </cdr:from>
    <cdr:to>
      <cdr:x>0.96602</cdr:x>
      <cdr:y>0.28348</cdr:y>
    </cdr:to>
    <cdr:sp macro="" textlink="">
      <cdr:nvSpPr>
        <cdr:cNvPr id="4097" name="Text Box 1">
          <a:extLst xmlns:a="http://schemas.openxmlformats.org/drawingml/2006/main">
            <a:ext uri="{FF2B5EF4-FFF2-40B4-BE49-F238E27FC236}">
              <a16:creationId xmlns:a16="http://schemas.microsoft.com/office/drawing/2014/main" id="{B03D74CB-0AE8-43A8-9365-A1214DB12DB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27162" y="771771"/>
          <a:ext cx="1136120" cy="4504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6576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Receiving Aid</a:t>
          </a:r>
        </a:p>
        <a:p xmlns:a="http://schemas.openxmlformats.org/drawingml/2006/main">
          <a:pPr algn="ctr" rtl="0">
            <a:defRPr sz="1000"/>
          </a:pPr>
          <a:r>
            <a:rPr lang="en-GB" sz="1125" b="1" i="0" u="none" strike="noStrike" baseline="0">
              <a:solidFill>
                <a:srgbClr val="000000"/>
              </a:solidFill>
              <a:latin typeface="Arial"/>
              <a:cs typeface="Arial"/>
            </a:rPr>
            <a:t>8,083 (52%)</a:t>
          </a: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0.01151</cdr:x>
      <cdr:y>0.01178</cdr:y>
    </cdr:from>
    <cdr:to>
      <cdr:x>0.96113</cdr:x>
      <cdr:y>0.16337</cdr:y>
    </cdr:to>
    <cdr:sp macro="" textlink="">
      <cdr:nvSpPr>
        <cdr:cNvPr id="4098" name="Text Box 2">
          <a:extLst xmlns:a="http://schemas.openxmlformats.org/drawingml/2006/main">
            <a:ext uri="{FF2B5EF4-FFF2-40B4-BE49-F238E27FC236}">
              <a16:creationId xmlns:a16="http://schemas.microsoft.com/office/drawing/2014/main" id="{39C92EF7-21D8-4872-BBA5-6AF7373404B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4190924" cy="6536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6576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Percent of Enrolled Undergraduate Students</a:t>
          </a:r>
        </a:p>
        <a:p xmlns:a="http://schemas.openxmlformats.org/drawingml/2006/main"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Receiving Aid</a:t>
          </a: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r>
            <a:rPr lang="en-GB" sz="950" b="0" i="0" u="none" strike="noStrike" baseline="0">
              <a:solidFill>
                <a:srgbClr val="000000"/>
              </a:solidFill>
              <a:latin typeface="Arial"/>
              <a:cs typeface="Arial"/>
            </a:rPr>
            <a:t>Total Population of Undergraduate Students = 15,608</a:t>
          </a:r>
        </a:p>
      </cdr:txBody>
    </cdr:sp>
  </cdr:relSizeAnchor>
  <cdr:relSizeAnchor xmlns:cdr="http://schemas.openxmlformats.org/drawingml/2006/chartDrawing">
    <cdr:from>
      <cdr:x>0.01151</cdr:x>
      <cdr:y>0.83541</cdr:y>
    </cdr:from>
    <cdr:to>
      <cdr:x>0.27334</cdr:x>
      <cdr:y>0.987</cdr:y>
    </cdr:to>
    <cdr:sp macro="" textlink="">
      <cdr:nvSpPr>
        <cdr:cNvPr id="4099" name="Text Box 3">
          <a:extLst xmlns:a="http://schemas.openxmlformats.org/drawingml/2006/main">
            <a:ext uri="{FF2B5EF4-FFF2-40B4-BE49-F238E27FC236}">
              <a16:creationId xmlns:a16="http://schemas.microsoft.com/office/drawing/2014/main" id="{21CB5106-6219-4343-8916-5FB6E57AAFC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3601977"/>
          <a:ext cx="1155522" cy="6536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6576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Not</a:t>
          </a:r>
        </a:p>
        <a:p xmlns:a="http://schemas.openxmlformats.org/drawingml/2006/main"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Receiving Aid</a:t>
          </a:r>
        </a:p>
        <a:p xmlns:a="http://schemas.openxmlformats.org/drawingml/2006/main">
          <a:pPr algn="ctr" rtl="0">
            <a:defRPr sz="1000"/>
          </a:pPr>
          <a:r>
            <a:rPr lang="en-GB" sz="1125" b="1" i="0" u="none" strike="noStrike" baseline="0">
              <a:solidFill>
                <a:srgbClr val="000000"/>
              </a:solidFill>
              <a:latin typeface="Arial"/>
              <a:cs typeface="Arial"/>
            </a:rPr>
            <a:t>7,525 (48%)</a:t>
          </a: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635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848B22-D397-4EDF-B3D7-DD144A6E28A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4F370-2740-4CA3-8612-E330B3A18F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0.158</cdr:x>
      <cdr:y>0.964</cdr:y>
    </cdr:from>
    <cdr:to>
      <cdr:x>0.25875</cdr:x>
      <cdr:y>1</cdr:y>
    </cdr:to>
    <cdr:sp macro="" textlink="">
      <cdr:nvSpPr>
        <cdr:cNvPr id="82945" name="Text Box 1">
          <a:extLst xmlns:a="http://schemas.openxmlformats.org/drawingml/2006/main">
            <a:ext uri="{FF2B5EF4-FFF2-40B4-BE49-F238E27FC236}">
              <a16:creationId xmlns:a16="http://schemas.microsoft.com/office/drawing/2014/main" id="{B3B38347-1FE6-4275-8A4F-F36AD4D2142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54455" y="5631104"/>
          <a:ext cx="863679" cy="2098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Federal</a:t>
          </a:r>
        </a:p>
      </cdr:txBody>
    </cdr:sp>
  </cdr:relSizeAnchor>
  <cdr:relSizeAnchor xmlns:cdr="http://schemas.openxmlformats.org/drawingml/2006/chartDrawing">
    <cdr:from>
      <cdr:x>0.41325</cdr:x>
      <cdr:y>0.964</cdr:y>
    </cdr:from>
    <cdr:to>
      <cdr:x>0.4865</cdr:x>
      <cdr:y>1</cdr:y>
    </cdr:to>
    <cdr:sp macro="" textlink="">
      <cdr:nvSpPr>
        <cdr:cNvPr id="82946" name="Text Box 2">
          <a:extLst xmlns:a="http://schemas.openxmlformats.org/drawingml/2006/main">
            <a:ext uri="{FF2B5EF4-FFF2-40B4-BE49-F238E27FC236}">
              <a16:creationId xmlns:a16="http://schemas.microsoft.com/office/drawing/2014/main" id="{7799EC57-703A-4860-9424-8D5F07BBCC9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42586" y="5631104"/>
          <a:ext cx="627935" cy="2098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State</a:t>
          </a:r>
        </a:p>
      </cdr:txBody>
    </cdr:sp>
  </cdr:relSizeAnchor>
  <cdr:relSizeAnchor xmlns:cdr="http://schemas.openxmlformats.org/drawingml/2006/chartDrawing">
    <cdr:from>
      <cdr:x>0.58875</cdr:x>
      <cdr:y>0.964</cdr:y>
    </cdr:from>
    <cdr:to>
      <cdr:x>0.80725</cdr:x>
      <cdr:y>1</cdr:y>
    </cdr:to>
    <cdr:sp macro="" textlink="">
      <cdr:nvSpPr>
        <cdr:cNvPr id="82947" name="Text Box 3">
          <a:extLst xmlns:a="http://schemas.openxmlformats.org/drawingml/2006/main">
            <a:ext uri="{FF2B5EF4-FFF2-40B4-BE49-F238E27FC236}">
              <a16:creationId xmlns:a16="http://schemas.microsoft.com/office/drawing/2014/main" id="{D3DFD643-06EB-424E-A786-A68DAFEB539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47059" y="5631104"/>
          <a:ext cx="1873092" cy="2098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Institutional &amp; Private</a:t>
          </a:r>
        </a:p>
      </cdr:txBody>
    </cdr:sp>
  </cdr:relSizeAnchor>
  <cdr:relSizeAnchor xmlns:cdr="http://schemas.openxmlformats.org/drawingml/2006/chartDrawing">
    <cdr:from>
      <cdr:x>0.17325</cdr:x>
      <cdr:y>0.40725</cdr:y>
    </cdr:from>
    <cdr:to>
      <cdr:x>0.2465</cdr:x>
      <cdr:y>0.466</cdr:y>
    </cdr:to>
    <cdr:sp macro="" textlink="">
      <cdr:nvSpPr>
        <cdr:cNvPr id="82948" name="Text Box 4">
          <a:extLst xmlns:a="http://schemas.openxmlformats.org/drawingml/2006/main">
            <a:ext uri="{FF2B5EF4-FFF2-40B4-BE49-F238E27FC236}">
              <a16:creationId xmlns:a16="http://schemas.microsoft.com/office/drawing/2014/main" id="{9D335291-E958-4E49-BAA7-FA6E9E06A99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85186" y="2373982"/>
          <a:ext cx="627935" cy="3424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54864" tIns="4114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57%</a:t>
          </a:r>
        </a:p>
      </cdr:txBody>
    </cdr:sp>
  </cdr:relSizeAnchor>
  <cdr:relSizeAnchor xmlns:cdr="http://schemas.openxmlformats.org/drawingml/2006/chartDrawing">
    <cdr:from>
      <cdr:x>0.41325</cdr:x>
      <cdr:y>0.8875</cdr:y>
    </cdr:from>
    <cdr:to>
      <cdr:x>0.4865</cdr:x>
      <cdr:y>0.941</cdr:y>
    </cdr:to>
    <cdr:sp macro="" textlink="">
      <cdr:nvSpPr>
        <cdr:cNvPr id="82950" name="Text Box 6">
          <a:extLst xmlns:a="http://schemas.openxmlformats.org/drawingml/2006/main">
            <a:ext uri="{FF2B5EF4-FFF2-40B4-BE49-F238E27FC236}">
              <a16:creationId xmlns:a16="http://schemas.microsoft.com/office/drawing/2014/main" id="{B5228D85-4D31-46C5-BE0C-6993F787F52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42586" y="5173504"/>
          <a:ext cx="627935" cy="31186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54864" tIns="4114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10%</a:t>
          </a:r>
        </a:p>
      </cdr:txBody>
    </cdr:sp>
  </cdr:relSizeAnchor>
  <cdr:relSizeAnchor xmlns:cdr="http://schemas.openxmlformats.org/drawingml/2006/chartDrawing">
    <cdr:from>
      <cdr:x>0.6535</cdr:x>
      <cdr:y>0.6545</cdr:y>
    </cdr:from>
    <cdr:to>
      <cdr:x>0.71875</cdr:x>
      <cdr:y>0.7045</cdr:y>
    </cdr:to>
    <cdr:sp macro="" textlink="">
      <cdr:nvSpPr>
        <cdr:cNvPr id="82951" name="Text Box 7">
          <a:extLst xmlns:a="http://schemas.openxmlformats.org/drawingml/2006/main">
            <a:ext uri="{FF2B5EF4-FFF2-40B4-BE49-F238E27FC236}">
              <a16:creationId xmlns:a16="http://schemas.microsoft.com/office/drawing/2014/main" id="{25596710-5347-4570-B359-AE0D9990372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02129" y="3815277"/>
          <a:ext cx="559355" cy="2914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54864" tIns="4114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33%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635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22B37E-4D58-4E36-9116-C12738F5DE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139700</xdr:rowOff>
    </xdr:from>
    <xdr:to>
      <xdr:col>15</xdr:col>
      <xdr:colOff>12700</xdr:colOff>
      <xdr:row>30</xdr:row>
      <xdr:rowOff>0</xdr:rowOff>
    </xdr:to>
    <xdr:graphicFrame macro="">
      <xdr:nvGraphicFramePr>
        <xdr:cNvPr id="6145" name="Chart 1">
          <a:extLst>
            <a:ext uri="{FF2B5EF4-FFF2-40B4-BE49-F238E27FC236}">
              <a16:creationId xmlns:a16="http://schemas.microsoft.com/office/drawing/2014/main" id="{95C321B9-ECFF-40E4-9369-415BBDD61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</xdr:row>
      <xdr:rowOff>139700</xdr:rowOff>
    </xdr:from>
    <xdr:to>
      <xdr:col>7</xdr:col>
      <xdr:colOff>0</xdr:colOff>
      <xdr:row>30</xdr:row>
      <xdr:rowOff>0</xdr:rowOff>
    </xdr:to>
    <xdr:graphicFrame macro="">
      <xdr:nvGraphicFramePr>
        <xdr:cNvPr id="6146" name="Chart 2">
          <a:extLst>
            <a:ext uri="{FF2B5EF4-FFF2-40B4-BE49-F238E27FC236}">
              <a16:creationId xmlns:a16="http://schemas.microsoft.com/office/drawing/2014/main" id="{C48D87AA-208A-46B4-8CDE-5FC36CDAA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0.01185</cdr:x>
      <cdr:y>0.11943</cdr:y>
    </cdr:from>
    <cdr:to>
      <cdr:x>0.30376</cdr:x>
      <cdr:y>0.31667</cdr:y>
    </cdr:to>
    <cdr:sp macro="" textlink="">
      <cdr:nvSpPr>
        <cdr:cNvPr id="7169" name="Text Box 1">
          <a:extLst xmlns:a="http://schemas.openxmlformats.org/drawingml/2006/main">
            <a:ext uri="{FF2B5EF4-FFF2-40B4-BE49-F238E27FC236}">
              <a16:creationId xmlns:a16="http://schemas.microsoft.com/office/drawing/2014/main" id="{3220B735-275C-4D0F-B395-7FCD069ECE0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14958"/>
          <a:ext cx="1251210" cy="8504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2004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Grants &amp; Scholarships  (57%)</a:t>
          </a:r>
        </a:p>
      </cdr:txBody>
    </cdr:sp>
  </cdr:relSizeAnchor>
  <cdr:relSizeAnchor xmlns:cdr="http://schemas.openxmlformats.org/drawingml/2006/chartDrawing">
    <cdr:from>
      <cdr:x>0.75262</cdr:x>
      <cdr:y>0.83931</cdr:y>
    </cdr:from>
    <cdr:to>
      <cdr:x>0.94812</cdr:x>
      <cdr:y>0.96161</cdr:y>
    </cdr:to>
    <cdr:sp macro="" textlink="">
      <cdr:nvSpPr>
        <cdr:cNvPr id="7170" name="Text Box 2">
          <a:extLst xmlns:a="http://schemas.openxmlformats.org/drawingml/2006/main">
            <a:ext uri="{FF2B5EF4-FFF2-40B4-BE49-F238E27FC236}">
              <a16:creationId xmlns:a16="http://schemas.microsoft.com/office/drawing/2014/main" id="{18958899-E42B-406A-89E7-8F4654EBEDF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25903" y="3618817"/>
          <a:ext cx="837976" cy="5273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2004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Loans</a:t>
          </a:r>
        </a:p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(42%)</a:t>
          </a:r>
        </a:p>
      </cdr:txBody>
    </cdr:sp>
  </cdr:relSizeAnchor>
  <cdr:relSizeAnchor xmlns:cdr="http://schemas.openxmlformats.org/drawingml/2006/chartDrawing">
    <cdr:from>
      <cdr:x>0.03187</cdr:x>
      <cdr:y>0.81905</cdr:y>
    </cdr:from>
    <cdr:to>
      <cdr:x>0.26008</cdr:x>
      <cdr:y>0.99432</cdr:y>
    </cdr:to>
    <cdr:sp macro="" textlink="">
      <cdr:nvSpPr>
        <cdr:cNvPr id="7171" name="Text Box 3">
          <a:extLst xmlns:a="http://schemas.openxmlformats.org/drawingml/2006/main">
            <a:ext uri="{FF2B5EF4-FFF2-40B4-BE49-F238E27FC236}">
              <a16:creationId xmlns:a16="http://schemas.microsoft.com/office/drawing/2014/main" id="{60B7A5E9-966B-44B6-9675-DB9004898DD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6585" y="3531459"/>
          <a:ext cx="978162" cy="7557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2004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Work-</a:t>
          </a:r>
        </a:p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Study</a:t>
          </a:r>
        </a:p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(1%)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0.01183</cdr:x>
      <cdr:y>0.12749</cdr:y>
    </cdr:from>
    <cdr:to>
      <cdr:x>0.27813</cdr:x>
      <cdr:y>0.29251</cdr:y>
    </cdr:to>
    <cdr:sp macro="" textlink="">
      <cdr:nvSpPr>
        <cdr:cNvPr id="8193" name="Text Box 1">
          <a:extLst xmlns:a="http://schemas.openxmlformats.org/drawingml/2006/main">
            <a:ext uri="{FF2B5EF4-FFF2-40B4-BE49-F238E27FC236}">
              <a16:creationId xmlns:a16="http://schemas.microsoft.com/office/drawing/2014/main" id="{EEA2462A-EE78-43BB-990A-1443CCD5434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49691"/>
          <a:ext cx="1143095" cy="7114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2004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Grants &amp;</a:t>
          </a:r>
        </a:p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Scholarships</a:t>
          </a:r>
        </a:p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(29%)</a:t>
          </a:r>
        </a:p>
      </cdr:txBody>
    </cdr:sp>
  </cdr:relSizeAnchor>
  <cdr:relSizeAnchor xmlns:cdr="http://schemas.openxmlformats.org/drawingml/2006/chartDrawing">
    <cdr:from>
      <cdr:x>0.75751</cdr:x>
      <cdr:y>0.85689</cdr:y>
    </cdr:from>
    <cdr:to>
      <cdr:x>0.94545</cdr:x>
      <cdr:y>0.96283</cdr:y>
    </cdr:to>
    <cdr:sp macro="" textlink="">
      <cdr:nvSpPr>
        <cdr:cNvPr id="8194" name="Text Box 2">
          <a:extLst xmlns:a="http://schemas.openxmlformats.org/drawingml/2006/main">
            <a:ext uri="{FF2B5EF4-FFF2-40B4-BE49-F238E27FC236}">
              <a16:creationId xmlns:a16="http://schemas.microsoft.com/office/drawing/2014/main" id="{9DEBCCFE-BEF3-4C80-83DE-B8AA9C2AF0F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51676" y="3694598"/>
          <a:ext cx="806768" cy="4567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2004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Loans</a:t>
          </a:r>
        </a:p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(70%)</a:t>
          </a:r>
        </a:p>
      </cdr:txBody>
    </cdr:sp>
  </cdr:relSizeAnchor>
  <cdr:relSizeAnchor xmlns:cdr="http://schemas.openxmlformats.org/drawingml/2006/chartDrawing">
    <cdr:from>
      <cdr:x>0.03356</cdr:x>
      <cdr:y>0.81832</cdr:y>
    </cdr:from>
    <cdr:to>
      <cdr:x>0.21101</cdr:x>
      <cdr:y>0.95673</cdr:y>
    </cdr:to>
    <cdr:sp macro="" textlink="">
      <cdr:nvSpPr>
        <cdr:cNvPr id="8195" name="Text Box 3">
          <a:extLst xmlns:a="http://schemas.openxmlformats.org/drawingml/2006/main">
            <a:ext uri="{FF2B5EF4-FFF2-40B4-BE49-F238E27FC236}">
              <a16:creationId xmlns:a16="http://schemas.microsoft.com/office/drawing/2014/main" id="{FB3EEA43-6475-467C-B1E1-EA0D0D43445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4050" y="3528301"/>
          <a:ext cx="761714" cy="5967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2004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Work-</a:t>
          </a:r>
        </a:p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Study</a:t>
          </a:r>
        </a:p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(1%)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97900" cy="6616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CE8CE5-CDC4-4F31-9F04-292C4D9B2B4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0.741</cdr:x>
      <cdr:y>0.337</cdr:y>
    </cdr:from>
    <cdr:to>
      <cdr:x>0.9345</cdr:x>
      <cdr:y>0.481</cdr:y>
    </cdr:to>
    <cdr:sp macro="" textlink="">
      <cdr:nvSpPr>
        <cdr:cNvPr id="9217" name="Text Box 1">
          <a:extLst xmlns:a="http://schemas.openxmlformats.org/drawingml/2006/main">
            <a:ext uri="{FF2B5EF4-FFF2-40B4-BE49-F238E27FC236}">
              <a16:creationId xmlns:a16="http://schemas.microsoft.com/office/drawing/2014/main" id="{977A38F7-97CA-4C17-B902-99B8E824380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71044" y="2229828"/>
          <a:ext cx="1663694" cy="9528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41148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Undergrads</a:t>
          </a:r>
        </a:p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 Receiving</a:t>
          </a:r>
        </a:p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 Need-Based Aid</a:t>
          </a:r>
        </a:p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(28%)</a:t>
          </a:r>
        </a:p>
      </cdr:txBody>
    </cdr:sp>
  </cdr:relSizeAnchor>
  <cdr:relSizeAnchor xmlns:cdr="http://schemas.openxmlformats.org/drawingml/2006/chartDrawing">
    <cdr:from>
      <cdr:x>0.03075</cdr:x>
      <cdr:y>0.75475</cdr:y>
    </cdr:from>
    <cdr:to>
      <cdr:x>0.20575</cdr:x>
      <cdr:y>0.894</cdr:y>
    </cdr:to>
    <cdr:sp macro="" textlink="">
      <cdr:nvSpPr>
        <cdr:cNvPr id="9218" name="Text Box 2">
          <a:extLst xmlns:a="http://schemas.openxmlformats.org/drawingml/2006/main">
            <a:ext uri="{FF2B5EF4-FFF2-40B4-BE49-F238E27FC236}">
              <a16:creationId xmlns:a16="http://schemas.microsoft.com/office/drawing/2014/main" id="{0C781AE6-ABF3-4823-A758-AE338BD633D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4385" y="4993954"/>
          <a:ext cx="1504633" cy="92137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41148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Undergrads</a:t>
          </a:r>
        </a:p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 Not Eligible for Need-Based Aid</a:t>
          </a:r>
        </a:p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(72%)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97900" cy="6616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7FA87C-F294-4DCA-A4C2-785F186027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0.7445</cdr:x>
      <cdr:y>0.78625</cdr:y>
    </cdr:from>
    <cdr:to>
      <cdr:x>0.904</cdr:x>
      <cdr:y>0.91</cdr:y>
    </cdr:to>
    <cdr:sp macro="" textlink="">
      <cdr:nvSpPr>
        <cdr:cNvPr id="10241" name="Text Box 1">
          <a:extLst xmlns:a="http://schemas.openxmlformats.org/drawingml/2006/main">
            <a:ext uri="{FF2B5EF4-FFF2-40B4-BE49-F238E27FC236}">
              <a16:creationId xmlns:a16="http://schemas.microsoft.com/office/drawing/2014/main" id="{FB04456C-E71B-487C-830A-55496D6CFA0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01137" y="5202380"/>
          <a:ext cx="1371365" cy="818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41148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Grants &amp; Scholarships</a:t>
          </a:r>
        </a:p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(65%)</a:t>
          </a:r>
        </a:p>
      </cdr:txBody>
    </cdr:sp>
  </cdr:relSizeAnchor>
  <cdr:relSizeAnchor xmlns:cdr="http://schemas.openxmlformats.org/drawingml/2006/chartDrawing">
    <cdr:from>
      <cdr:x>0.12575</cdr:x>
      <cdr:y>0.39075</cdr:y>
    </cdr:from>
    <cdr:to>
      <cdr:x>0.252</cdr:x>
      <cdr:y>0.47125</cdr:y>
    </cdr:to>
    <cdr:sp macro="" textlink="">
      <cdr:nvSpPr>
        <cdr:cNvPr id="10242" name="Text Box 2">
          <a:extLst xmlns:a="http://schemas.openxmlformats.org/drawingml/2006/main">
            <a:ext uri="{FF2B5EF4-FFF2-40B4-BE49-F238E27FC236}">
              <a16:creationId xmlns:a16="http://schemas.microsoft.com/office/drawing/2014/main" id="{B716D52D-1F22-4419-B3E0-4293EE60406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81186" y="2585476"/>
          <a:ext cx="1085485" cy="5326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41148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Loans</a:t>
          </a:r>
        </a:p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(33%)</a:t>
          </a:r>
        </a:p>
      </cdr:txBody>
    </cdr:sp>
  </cdr:relSizeAnchor>
  <cdr:relSizeAnchor xmlns:cdr="http://schemas.openxmlformats.org/drawingml/2006/chartDrawing">
    <cdr:from>
      <cdr:x>0.16775</cdr:x>
      <cdr:y>0.902</cdr:y>
    </cdr:from>
    <cdr:to>
      <cdr:x>0.31625</cdr:x>
      <cdr:y>0.98075</cdr:y>
    </cdr:to>
    <cdr:sp macro="" textlink="">
      <cdr:nvSpPr>
        <cdr:cNvPr id="10243" name="Text Box 3">
          <a:extLst xmlns:a="http://schemas.openxmlformats.org/drawingml/2006/main">
            <a:ext uri="{FF2B5EF4-FFF2-40B4-BE49-F238E27FC236}">
              <a16:creationId xmlns:a16="http://schemas.microsoft.com/office/drawing/2014/main" id="{8320802B-C66F-431D-A46A-9B463003429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42298" y="5968263"/>
          <a:ext cx="1276788" cy="52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41148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Work-Study</a:t>
          </a:r>
        </a:p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(2%)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E6FD14-24D7-4F2F-81AE-6FF91713F77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0.17225</cdr:x>
      <cdr:y>0.96175</cdr:y>
    </cdr:from>
    <cdr:to>
      <cdr:x>0.273</cdr:x>
      <cdr:y>0.99775</cdr:y>
    </cdr:to>
    <cdr:sp macro="" textlink="">
      <cdr:nvSpPr>
        <cdr:cNvPr id="5121" name="Text Box 1">
          <a:extLst xmlns:a="http://schemas.openxmlformats.org/drawingml/2006/main">
            <a:ext uri="{FF2B5EF4-FFF2-40B4-BE49-F238E27FC236}">
              <a16:creationId xmlns:a16="http://schemas.microsoft.com/office/drawing/2014/main" id="{1C5BB0A8-9A69-4E8A-A540-29E3BA4DF2D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76613" y="5606329"/>
          <a:ext cx="863680" cy="2098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Federal</a:t>
          </a:r>
        </a:p>
      </cdr:txBody>
    </cdr:sp>
  </cdr:relSizeAnchor>
  <cdr:relSizeAnchor xmlns:cdr="http://schemas.openxmlformats.org/drawingml/2006/chartDrawing">
    <cdr:from>
      <cdr:x>0.42775</cdr:x>
      <cdr:y>0.96175</cdr:y>
    </cdr:from>
    <cdr:to>
      <cdr:x>0.501</cdr:x>
      <cdr:y>0.99775</cdr:y>
    </cdr:to>
    <cdr:sp macro="" textlink="">
      <cdr:nvSpPr>
        <cdr:cNvPr id="5122" name="Text Box 2">
          <a:extLst xmlns:a="http://schemas.openxmlformats.org/drawingml/2006/main">
            <a:ext uri="{FF2B5EF4-FFF2-40B4-BE49-F238E27FC236}">
              <a16:creationId xmlns:a16="http://schemas.microsoft.com/office/drawing/2014/main" id="{89052E23-C882-4DB3-A70A-A46EFDF6B3F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66887" y="5606329"/>
          <a:ext cx="627936" cy="2098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State</a:t>
          </a:r>
        </a:p>
      </cdr:txBody>
    </cdr:sp>
  </cdr:relSizeAnchor>
  <cdr:relSizeAnchor xmlns:cdr="http://schemas.openxmlformats.org/drawingml/2006/chartDrawing">
    <cdr:from>
      <cdr:x>0.59925</cdr:x>
      <cdr:y>0.96175</cdr:y>
    </cdr:from>
    <cdr:to>
      <cdr:x>0.81775</cdr:x>
      <cdr:y>0.99775</cdr:y>
    </cdr:to>
    <cdr:sp macro="" textlink="">
      <cdr:nvSpPr>
        <cdr:cNvPr id="5123" name="Text Box 3">
          <a:extLst xmlns:a="http://schemas.openxmlformats.org/drawingml/2006/main">
            <a:ext uri="{FF2B5EF4-FFF2-40B4-BE49-F238E27FC236}">
              <a16:creationId xmlns:a16="http://schemas.microsoft.com/office/drawing/2014/main" id="{EAE3AD4E-2983-48A9-AF31-8F47F5D65BC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137071" y="5606329"/>
          <a:ext cx="1873091" cy="2098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Institutional &amp; Private</a:t>
          </a:r>
        </a:p>
      </cdr:txBody>
    </cdr:sp>
  </cdr:relSizeAnchor>
  <cdr:relSizeAnchor xmlns:cdr="http://schemas.openxmlformats.org/drawingml/2006/chartDrawing">
    <cdr:from>
      <cdr:x>0.192</cdr:x>
      <cdr:y>0.38175</cdr:y>
    </cdr:from>
    <cdr:to>
      <cdr:x>0.26525</cdr:x>
      <cdr:y>0.4405</cdr:y>
    </cdr:to>
    <cdr:sp macro="" textlink="">
      <cdr:nvSpPr>
        <cdr:cNvPr id="5124" name="Text Box 4">
          <a:extLst xmlns:a="http://schemas.openxmlformats.org/drawingml/2006/main">
            <a:ext uri="{FF2B5EF4-FFF2-40B4-BE49-F238E27FC236}">
              <a16:creationId xmlns:a16="http://schemas.microsoft.com/office/drawing/2014/main" id="{2FC9E7FF-F3C2-4505-A509-F66479E97AB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45920" y="2225335"/>
          <a:ext cx="627936" cy="3424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54864" tIns="4114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67%</a:t>
          </a:r>
        </a:p>
      </cdr:txBody>
    </cdr:sp>
  </cdr:relSizeAnchor>
  <cdr:relSizeAnchor xmlns:cdr="http://schemas.openxmlformats.org/drawingml/2006/chartDrawing">
    <cdr:from>
      <cdr:x>0.42775</cdr:x>
      <cdr:y>0.8935</cdr:y>
    </cdr:from>
    <cdr:to>
      <cdr:x>0.501</cdr:x>
      <cdr:y>0.947</cdr:y>
    </cdr:to>
    <cdr:sp macro="" textlink="">
      <cdr:nvSpPr>
        <cdr:cNvPr id="5126" name="Text Box 6">
          <a:extLst xmlns:a="http://schemas.openxmlformats.org/drawingml/2006/main">
            <a:ext uri="{FF2B5EF4-FFF2-40B4-BE49-F238E27FC236}">
              <a16:creationId xmlns:a16="http://schemas.microsoft.com/office/drawing/2014/main" id="{6FC3654A-487E-4C72-8BC0-8B18E764791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66887" y="5208480"/>
          <a:ext cx="627936" cy="31186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54864" tIns="4114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9%</a:t>
          </a:r>
        </a:p>
      </cdr:txBody>
    </cdr:sp>
  </cdr:relSizeAnchor>
  <cdr:relSizeAnchor xmlns:cdr="http://schemas.openxmlformats.org/drawingml/2006/chartDrawing">
    <cdr:from>
      <cdr:x>0.6625</cdr:x>
      <cdr:y>0.7635</cdr:y>
    </cdr:from>
    <cdr:to>
      <cdr:x>0.72775</cdr:x>
      <cdr:y>0.8135</cdr:y>
    </cdr:to>
    <cdr:sp macro="" textlink="">
      <cdr:nvSpPr>
        <cdr:cNvPr id="5127" name="Text Box 7">
          <a:extLst xmlns:a="http://schemas.openxmlformats.org/drawingml/2006/main">
            <a:ext uri="{FF2B5EF4-FFF2-40B4-BE49-F238E27FC236}">
              <a16:creationId xmlns:a16="http://schemas.microsoft.com/office/drawing/2014/main" id="{4BFF0933-0691-49F6-AB15-BA1F8182554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79281" y="4450671"/>
          <a:ext cx="559356" cy="2914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54864" tIns="4114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24%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279400</xdr:colOff>
      <xdr:row>7</xdr:row>
      <xdr:rowOff>31750</xdr:rowOff>
    </xdr:from>
    <xdr:to>
      <xdr:col>15</xdr:col>
      <xdr:colOff>203200</xdr:colOff>
      <xdr:row>21</xdr:row>
      <xdr:rowOff>152400</xdr:rowOff>
    </xdr:to>
    <xdr:graphicFrame macro="">
      <xdr:nvGraphicFramePr>
        <xdr:cNvPr id="94209" name="Chart 1">
          <a:extLst>
            <a:ext uri="{FF2B5EF4-FFF2-40B4-BE49-F238E27FC236}">
              <a16:creationId xmlns:a16="http://schemas.microsoft.com/office/drawing/2014/main" id="{3D283669-4FDC-45AF-B0BF-49C0DBCEA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Work/Report%20Data/98-99%20Aid%20Profile/98-99%20Good%20Aid%20Profiles+Annual%20Reports+Char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TotalEnrollment"/>
      <sheetName val="Chart2GP-UGRecvgAid"/>
      <sheetName val="Chart3SplitElig_NoNeed"/>
      <sheetName val="Chart4SplitAidEligGP-GU"/>
      <sheetName val="Chart5AidBySource"/>
      <sheetName val="Chart6AidByType"/>
      <sheetName val="Chart7UndergradNeedBased"/>
      <sheetName val="Chart8InStateFreshmanAid"/>
      <sheetName val="CondensedDetailedReport-Corred"/>
      <sheetName val="DetailedReport-Corrected"/>
      <sheetName val="ChartData"/>
      <sheetName val="AllStudents"/>
      <sheetName val="Undergrad"/>
      <sheetName val="GradProf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>
        <row r="3">
          <cell r="S3">
            <v>7661</v>
          </cell>
        </row>
        <row r="4">
          <cell r="S4">
            <v>2818</v>
          </cell>
        </row>
        <row r="5">
          <cell r="R5">
            <v>3800</v>
          </cell>
          <cell r="S5">
            <v>10479</v>
          </cell>
        </row>
        <row r="12">
          <cell r="D12">
            <v>4390</v>
          </cell>
        </row>
        <row r="13">
          <cell r="D13">
            <v>2289</v>
          </cell>
        </row>
        <row r="14">
          <cell r="D14">
            <v>6679</v>
          </cell>
        </row>
        <row r="45">
          <cell r="F45">
            <v>0.26921794571712215</v>
          </cell>
        </row>
        <row r="46">
          <cell r="F46">
            <v>0.72088057420274665</v>
          </cell>
        </row>
        <row r="47">
          <cell r="F47">
            <v>9.9014800801311698E-3</v>
          </cell>
        </row>
      </sheetData>
      <sheetData sheetId="11">
        <row r="2">
          <cell r="B2">
            <v>24238</v>
          </cell>
        </row>
      </sheetData>
      <sheetData sheetId="12">
        <row r="1">
          <cell r="B1">
            <v>15291</v>
          </cell>
        </row>
        <row r="5">
          <cell r="B5">
            <v>7661</v>
          </cell>
        </row>
        <row r="6">
          <cell r="B6">
            <v>4390</v>
          </cell>
        </row>
        <row r="7">
          <cell r="B7">
            <v>3271</v>
          </cell>
        </row>
        <row r="39">
          <cell r="B39">
            <v>3656</v>
          </cell>
          <cell r="F39">
            <v>734</v>
          </cell>
          <cell r="J39">
            <v>2586</v>
          </cell>
          <cell r="N39">
            <v>685</v>
          </cell>
        </row>
        <row r="41">
          <cell r="B41">
            <v>3164</v>
          </cell>
          <cell r="F41">
            <v>683</v>
          </cell>
          <cell r="J41">
            <v>1158</v>
          </cell>
          <cell r="N41">
            <v>225</v>
          </cell>
        </row>
        <row r="42">
          <cell r="B42">
            <v>492</v>
          </cell>
          <cell r="F42">
            <v>51</v>
          </cell>
          <cell r="J42">
            <v>83</v>
          </cell>
          <cell r="N42">
            <v>24</v>
          </cell>
        </row>
        <row r="43">
          <cell r="B43">
            <v>0</v>
          </cell>
          <cell r="F43">
            <v>0</v>
          </cell>
          <cell r="J43">
            <v>1345</v>
          </cell>
          <cell r="N43">
            <v>436</v>
          </cell>
        </row>
        <row r="45">
          <cell r="B45">
            <v>1316</v>
          </cell>
          <cell r="F45">
            <v>285</v>
          </cell>
          <cell r="J45">
            <v>948</v>
          </cell>
          <cell r="N45">
            <v>303</v>
          </cell>
        </row>
        <row r="46">
          <cell r="B46">
            <v>2340</v>
          </cell>
          <cell r="F46">
            <v>449</v>
          </cell>
          <cell r="J46">
            <v>1638</v>
          </cell>
          <cell r="N46">
            <v>382</v>
          </cell>
        </row>
        <row r="48">
          <cell r="B48">
            <v>229</v>
          </cell>
          <cell r="F48">
            <v>31</v>
          </cell>
          <cell r="J48">
            <v>83</v>
          </cell>
          <cell r="N48">
            <v>14</v>
          </cell>
        </row>
        <row r="49">
          <cell r="B49">
            <v>868</v>
          </cell>
          <cell r="F49">
            <v>224</v>
          </cell>
          <cell r="J49">
            <v>244</v>
          </cell>
          <cell r="N49">
            <v>82</v>
          </cell>
        </row>
        <row r="50">
          <cell r="B50">
            <v>56</v>
          </cell>
          <cell r="F50">
            <v>16</v>
          </cell>
          <cell r="J50">
            <v>17</v>
          </cell>
          <cell r="N50">
            <v>6</v>
          </cell>
        </row>
        <row r="51">
          <cell r="B51">
            <v>42</v>
          </cell>
          <cell r="F51">
            <v>4</v>
          </cell>
          <cell r="J51">
            <v>31</v>
          </cell>
          <cell r="N51">
            <v>3</v>
          </cell>
        </row>
        <row r="52">
          <cell r="B52">
            <v>2461</v>
          </cell>
          <cell r="F52">
            <v>459</v>
          </cell>
          <cell r="J52">
            <v>2211</v>
          </cell>
          <cell r="N52">
            <v>580</v>
          </cell>
        </row>
        <row r="53">
          <cell r="B53">
            <v>0</v>
          </cell>
          <cell r="F53">
            <v>0</v>
          </cell>
          <cell r="J53">
            <v>0</v>
          </cell>
          <cell r="N53">
            <v>0</v>
          </cell>
        </row>
        <row r="55">
          <cell r="B55">
            <v>3437</v>
          </cell>
          <cell r="F55">
            <v>702</v>
          </cell>
          <cell r="J55">
            <v>2497</v>
          </cell>
          <cell r="N55">
            <v>666</v>
          </cell>
        </row>
        <row r="56">
          <cell r="B56">
            <v>219</v>
          </cell>
          <cell r="F56">
            <v>32</v>
          </cell>
          <cell r="J56">
            <v>89</v>
          </cell>
          <cell r="N56">
            <v>19</v>
          </cell>
        </row>
        <row r="58">
          <cell r="B58">
            <v>908</v>
          </cell>
          <cell r="F58">
            <v>170</v>
          </cell>
          <cell r="J58">
            <v>833</v>
          </cell>
          <cell r="N58">
            <v>179</v>
          </cell>
        </row>
        <row r="59">
          <cell r="B59">
            <v>808</v>
          </cell>
          <cell r="F59">
            <v>144</v>
          </cell>
          <cell r="J59">
            <v>546</v>
          </cell>
          <cell r="N59">
            <v>132</v>
          </cell>
        </row>
        <row r="60">
          <cell r="B60">
            <v>960</v>
          </cell>
          <cell r="F60">
            <v>231</v>
          </cell>
          <cell r="J60">
            <v>640</v>
          </cell>
          <cell r="N60">
            <v>182</v>
          </cell>
        </row>
        <row r="61">
          <cell r="B61">
            <v>919</v>
          </cell>
          <cell r="F61">
            <v>181</v>
          </cell>
          <cell r="J61">
            <v>559</v>
          </cell>
          <cell r="N61">
            <v>189</v>
          </cell>
        </row>
        <row r="62">
          <cell r="B62">
            <v>61</v>
          </cell>
          <cell r="F62">
            <v>8</v>
          </cell>
          <cell r="J62">
            <v>8</v>
          </cell>
          <cell r="N62">
            <v>3</v>
          </cell>
        </row>
        <row r="70">
          <cell r="B70">
            <v>1807</v>
          </cell>
          <cell r="F70">
            <v>261</v>
          </cell>
          <cell r="J70">
            <v>190</v>
          </cell>
          <cell r="N70">
            <v>101</v>
          </cell>
        </row>
        <row r="71">
          <cell r="B71">
            <v>798</v>
          </cell>
          <cell r="F71">
            <v>44</v>
          </cell>
          <cell r="J71">
            <v>317</v>
          </cell>
          <cell r="N71">
            <v>27</v>
          </cell>
        </row>
        <row r="72">
          <cell r="B72">
            <v>3547</v>
          </cell>
          <cell r="F72">
            <v>722</v>
          </cell>
          <cell r="J72">
            <v>1588</v>
          </cell>
          <cell r="N72">
            <v>506</v>
          </cell>
        </row>
        <row r="73">
          <cell r="B73">
            <v>2680</v>
          </cell>
          <cell r="F73">
            <v>588</v>
          </cell>
          <cell r="J73">
            <v>826</v>
          </cell>
          <cell r="N73">
            <v>156</v>
          </cell>
        </row>
        <row r="75">
          <cell r="B75">
            <v>80</v>
          </cell>
          <cell r="F75">
            <v>43</v>
          </cell>
          <cell r="J75">
            <v>56</v>
          </cell>
          <cell r="N75">
            <v>8</v>
          </cell>
        </row>
        <row r="76">
          <cell r="B76">
            <v>518</v>
          </cell>
          <cell r="F76">
            <v>170</v>
          </cell>
          <cell r="J76">
            <v>2</v>
          </cell>
          <cell r="N76">
            <v>0</v>
          </cell>
        </row>
        <row r="77">
          <cell r="B77">
            <v>3656</v>
          </cell>
          <cell r="F77">
            <v>734</v>
          </cell>
          <cell r="J77">
            <v>2586</v>
          </cell>
          <cell r="N77">
            <v>685</v>
          </cell>
        </row>
        <row r="80">
          <cell r="D80">
            <v>15626262</v>
          </cell>
          <cell r="H80">
            <v>4934193</v>
          </cell>
        </row>
        <row r="81">
          <cell r="D81">
            <v>1562632</v>
          </cell>
          <cell r="H81">
            <v>47144</v>
          </cell>
        </row>
        <row r="82">
          <cell r="D82">
            <v>6951226</v>
          </cell>
          <cell r="H82">
            <v>3803735</v>
          </cell>
        </row>
        <row r="86">
          <cell r="D86">
            <v>12615504</v>
          </cell>
          <cell r="H86">
            <v>4441105</v>
          </cell>
        </row>
        <row r="87">
          <cell r="D87">
            <v>11056770</v>
          </cell>
          <cell r="H87">
            <v>4165323</v>
          </cell>
        </row>
        <row r="88">
          <cell r="D88">
            <v>467846</v>
          </cell>
          <cell r="H88">
            <v>178644</v>
          </cell>
        </row>
        <row r="89">
          <cell r="D89">
            <v>24140120</v>
          </cell>
          <cell r="H89">
            <v>8785072</v>
          </cell>
        </row>
      </sheetData>
      <sheetData sheetId="13">
        <row r="1">
          <cell r="B1">
            <v>8947</v>
          </cell>
        </row>
        <row r="2">
          <cell r="B2">
            <v>6811</v>
          </cell>
        </row>
        <row r="3">
          <cell r="B3">
            <v>2136</v>
          </cell>
        </row>
        <row r="7">
          <cell r="B7">
            <v>2818</v>
          </cell>
        </row>
        <row r="8">
          <cell r="B8">
            <v>2289</v>
          </cell>
        </row>
        <row r="9">
          <cell r="B9">
            <v>529</v>
          </cell>
        </row>
        <row r="41">
          <cell r="B41">
            <v>1057</v>
          </cell>
          <cell r="F41">
            <v>1232</v>
          </cell>
          <cell r="J41">
            <v>254</v>
          </cell>
          <cell r="N41">
            <v>275</v>
          </cell>
        </row>
        <row r="43">
          <cell r="B43">
            <v>53</v>
          </cell>
          <cell r="F43">
            <v>8</v>
          </cell>
          <cell r="J43">
            <v>20</v>
          </cell>
          <cell r="N43">
            <v>22</v>
          </cell>
        </row>
        <row r="44">
          <cell r="B44">
            <v>1004</v>
          </cell>
          <cell r="F44">
            <v>1224</v>
          </cell>
          <cell r="J44">
            <v>81</v>
          </cell>
          <cell r="N44">
            <v>162</v>
          </cell>
        </row>
        <row r="45">
          <cell r="B45">
            <v>0</v>
          </cell>
          <cell r="F45">
            <v>0</v>
          </cell>
          <cell r="J45">
            <v>153</v>
          </cell>
          <cell r="N45">
            <v>91</v>
          </cell>
        </row>
        <row r="47">
          <cell r="B47">
            <v>711</v>
          </cell>
          <cell r="F47">
            <v>727</v>
          </cell>
          <cell r="J47">
            <v>87</v>
          </cell>
          <cell r="N47">
            <v>98</v>
          </cell>
        </row>
        <row r="48">
          <cell r="B48">
            <v>346</v>
          </cell>
          <cell r="F48">
            <v>500</v>
          </cell>
          <cell r="J48">
            <v>167</v>
          </cell>
          <cell r="N48">
            <v>85</v>
          </cell>
        </row>
        <row r="49">
          <cell r="B49">
            <v>0</v>
          </cell>
          <cell r="F49">
            <v>5</v>
          </cell>
          <cell r="J49">
            <v>0</v>
          </cell>
          <cell r="N49">
            <v>92</v>
          </cell>
        </row>
        <row r="51">
          <cell r="B51">
            <v>51</v>
          </cell>
          <cell r="F51">
            <v>52</v>
          </cell>
          <cell r="J51">
            <v>4</v>
          </cell>
          <cell r="N51">
            <v>17</v>
          </cell>
        </row>
        <row r="52">
          <cell r="B52">
            <v>136</v>
          </cell>
          <cell r="F52">
            <v>122</v>
          </cell>
          <cell r="J52">
            <v>23</v>
          </cell>
          <cell r="N52">
            <v>8</v>
          </cell>
        </row>
        <row r="53">
          <cell r="B53">
            <v>16</v>
          </cell>
          <cell r="F53">
            <v>42</v>
          </cell>
          <cell r="J53">
            <v>4</v>
          </cell>
          <cell r="N53">
            <v>22</v>
          </cell>
        </row>
        <row r="54">
          <cell r="B54">
            <v>10</v>
          </cell>
          <cell r="F54">
            <v>3</v>
          </cell>
          <cell r="J54">
            <v>2</v>
          </cell>
          <cell r="N54">
            <v>0</v>
          </cell>
        </row>
        <row r="55">
          <cell r="B55">
            <v>844</v>
          </cell>
          <cell r="F55">
            <v>1008</v>
          </cell>
          <cell r="J55">
            <v>221</v>
          </cell>
          <cell r="N55">
            <v>136</v>
          </cell>
        </row>
        <row r="56">
          <cell r="B56">
            <v>0</v>
          </cell>
          <cell r="F56">
            <v>5</v>
          </cell>
          <cell r="J56">
            <v>0</v>
          </cell>
          <cell r="N56">
            <v>92</v>
          </cell>
        </row>
        <row r="58">
          <cell r="B58">
            <v>878</v>
          </cell>
          <cell r="F58">
            <v>980</v>
          </cell>
          <cell r="J58">
            <v>218</v>
          </cell>
          <cell r="N58">
            <v>139</v>
          </cell>
        </row>
        <row r="59">
          <cell r="B59">
            <v>179</v>
          </cell>
          <cell r="F59">
            <v>252</v>
          </cell>
          <cell r="J59">
            <v>36</v>
          </cell>
          <cell r="N59">
            <v>136</v>
          </cell>
        </row>
        <row r="61">
          <cell r="B61">
            <v>778</v>
          </cell>
          <cell r="F61">
            <v>1123</v>
          </cell>
          <cell r="J61">
            <v>174</v>
          </cell>
          <cell r="N61">
            <v>155</v>
          </cell>
        </row>
        <row r="62">
          <cell r="B62">
            <v>279</v>
          </cell>
          <cell r="F62">
            <v>64</v>
          </cell>
          <cell r="J62">
            <v>80</v>
          </cell>
          <cell r="N62">
            <v>1</v>
          </cell>
        </row>
        <row r="63">
          <cell r="B63">
            <v>0</v>
          </cell>
          <cell r="F63">
            <v>45</v>
          </cell>
          <cell r="J63">
            <v>0</v>
          </cell>
          <cell r="N63">
            <v>119</v>
          </cell>
        </row>
        <row r="70">
          <cell r="B70">
            <v>40</v>
          </cell>
          <cell r="F70">
            <v>15</v>
          </cell>
          <cell r="J70">
            <v>12</v>
          </cell>
          <cell r="N70">
            <v>9</v>
          </cell>
        </row>
        <row r="71">
          <cell r="B71">
            <v>108</v>
          </cell>
          <cell r="F71">
            <v>502</v>
          </cell>
          <cell r="J71">
            <v>42</v>
          </cell>
          <cell r="N71">
            <v>44</v>
          </cell>
        </row>
        <row r="72">
          <cell r="B72">
            <v>1000</v>
          </cell>
          <cell r="F72">
            <v>1213</v>
          </cell>
          <cell r="J72">
            <v>147</v>
          </cell>
          <cell r="N72">
            <v>132</v>
          </cell>
        </row>
        <row r="73">
          <cell r="B73">
            <v>948</v>
          </cell>
          <cell r="F73">
            <v>1088</v>
          </cell>
          <cell r="J73">
            <v>69</v>
          </cell>
          <cell r="N73">
            <v>112</v>
          </cell>
        </row>
        <row r="75">
          <cell r="B75">
            <v>106</v>
          </cell>
          <cell r="F75">
            <v>41</v>
          </cell>
          <cell r="J75">
            <v>33</v>
          </cell>
          <cell r="N75">
            <v>10</v>
          </cell>
        </row>
        <row r="76">
          <cell r="B76">
            <v>20</v>
          </cell>
          <cell r="F76">
            <v>24</v>
          </cell>
          <cell r="J76">
            <v>0</v>
          </cell>
          <cell r="N76">
            <v>0</v>
          </cell>
        </row>
        <row r="77">
          <cell r="B77">
            <v>1057</v>
          </cell>
          <cell r="F77">
            <v>1232</v>
          </cell>
          <cell r="J77">
            <v>254</v>
          </cell>
          <cell r="N77">
            <v>275</v>
          </cell>
        </row>
        <row r="80">
          <cell r="D80">
            <v>10047943</v>
          </cell>
          <cell r="H80">
            <v>12663830</v>
          </cell>
        </row>
        <row r="81">
          <cell r="D81">
            <v>653134</v>
          </cell>
          <cell r="H81">
            <v>3782522</v>
          </cell>
        </row>
        <row r="82">
          <cell r="D82">
            <v>2501023</v>
          </cell>
          <cell r="H82">
            <v>2722971</v>
          </cell>
        </row>
        <row r="86">
          <cell r="D86">
            <v>2341708</v>
          </cell>
          <cell r="H86">
            <v>6373260</v>
          </cell>
        </row>
        <row r="87">
          <cell r="D87">
            <v>10727887</v>
          </cell>
          <cell r="H87">
            <v>12608043</v>
          </cell>
        </row>
        <row r="88">
          <cell r="D88">
            <v>132505</v>
          </cell>
          <cell r="H88">
            <v>188020</v>
          </cell>
        </row>
        <row r="89">
          <cell r="D89">
            <v>13202100</v>
          </cell>
          <cell r="H89">
            <v>19169323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showGridLines="0" zoomScale="75" workbookViewId="0">
      <selection activeCell="J38" sqref="J38"/>
    </sheetView>
  </sheetViews>
  <sheetFormatPr defaultRowHeight="12.5" x14ac:dyDescent="0.25"/>
  <cols>
    <col min="7" max="7" width="9" customWidth="1"/>
    <col min="8" max="8" width="2.26953125" customWidth="1"/>
  </cols>
  <sheetData>
    <row r="1" spans="1:15" ht="23" x14ac:dyDescent="0.5">
      <c r="A1" s="81" t="s">
        <v>59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ht="15.5" x14ac:dyDescent="0.35">
      <c r="B2" s="40"/>
      <c r="C2" s="41"/>
      <c r="D2" s="41"/>
      <c r="E2" s="42" t="s">
        <v>60</v>
      </c>
      <c r="F2" s="41"/>
      <c r="G2" s="41"/>
      <c r="H2" s="41"/>
      <c r="I2" s="41"/>
      <c r="J2" s="41"/>
      <c r="K2" s="41"/>
      <c r="L2" s="41"/>
      <c r="M2" s="41"/>
    </row>
    <row r="3" spans="1:15" ht="15.5" x14ac:dyDescent="0.35">
      <c r="B3" s="40"/>
      <c r="C3" s="41"/>
      <c r="D3" s="41"/>
      <c r="E3" s="42" t="s">
        <v>61</v>
      </c>
      <c r="F3" s="41"/>
      <c r="G3" s="41"/>
      <c r="H3" s="41"/>
      <c r="I3" s="41"/>
      <c r="J3" s="41"/>
      <c r="K3" s="41"/>
      <c r="L3" s="41"/>
      <c r="M3" s="41"/>
    </row>
    <row r="4" spans="1:15" ht="15.5" x14ac:dyDescent="0.35">
      <c r="B4" s="40"/>
      <c r="C4" s="41"/>
      <c r="D4" s="41"/>
      <c r="E4" s="42"/>
      <c r="F4" s="41"/>
      <c r="G4" s="41"/>
      <c r="H4" s="41"/>
      <c r="I4" s="41"/>
      <c r="J4" s="41"/>
      <c r="K4" s="41"/>
      <c r="L4" s="41"/>
      <c r="M4" s="41"/>
    </row>
  </sheetData>
  <mergeCells count="1">
    <mergeCell ref="A1:O1"/>
  </mergeCells>
  <phoneticPr fontId="0" type="noConversion"/>
  <printOptions horizontalCentered="1" verticalCentered="1"/>
  <pageMargins left="0.31" right="0.32" top="0.5" bottom="0.61" header="0.3" footer="0.17"/>
  <pageSetup orientation="landscape" horizontalDpi="4294967293" verticalDpi="300" r:id="rId1"/>
  <headerFooter alignWithMargins="0">
    <oddFooter>&amp;L&amp;8Chart 2
Office of Scholarships and Student Aid
October 2001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showGridLines="0" zoomScale="75" workbookViewId="0">
      <selection activeCell="O32" sqref="O32"/>
    </sheetView>
  </sheetViews>
  <sheetFormatPr defaultRowHeight="12.5" x14ac:dyDescent="0.25"/>
  <cols>
    <col min="7" max="7" width="9" customWidth="1"/>
    <col min="8" max="8" width="2.26953125" customWidth="1"/>
  </cols>
  <sheetData>
    <row r="1" spans="1:15" ht="69.75" customHeight="1" x14ac:dyDescent="0.25">
      <c r="A1" s="82" t="s">
        <v>66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ht="15.5" x14ac:dyDescent="0.35">
      <c r="B2" s="40"/>
      <c r="C2" s="41"/>
      <c r="D2" s="41"/>
      <c r="E2" s="42"/>
      <c r="F2" s="41"/>
      <c r="G2" s="41"/>
      <c r="H2" s="41"/>
      <c r="I2" s="41"/>
      <c r="J2" s="41"/>
      <c r="K2" s="41"/>
      <c r="L2" s="41"/>
      <c r="M2" s="41"/>
    </row>
  </sheetData>
  <mergeCells count="1">
    <mergeCell ref="A1:O1"/>
  </mergeCells>
  <phoneticPr fontId="0" type="noConversion"/>
  <printOptions horizontalCentered="1" verticalCentered="1"/>
  <pageMargins left="0.31" right="0.32" top="0.5" bottom="0.62" header="0.51" footer="0.17"/>
  <pageSetup orientation="landscape" horizontalDpi="4294967293" verticalDpi="300" r:id="rId1"/>
  <headerFooter alignWithMargins="0">
    <oddFooter>&amp;L&amp;8Chart 6
Office of Scholarships and Student Aid
October 2001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B1" zoomScale="75" workbookViewId="0">
      <selection activeCell="I7" sqref="I7"/>
    </sheetView>
  </sheetViews>
  <sheetFormatPr defaultRowHeight="12.5" x14ac:dyDescent="0.25"/>
  <cols>
    <col min="1" max="1" width="44.26953125" bestFit="1" customWidth="1"/>
    <col min="2" max="2" width="6.453125" style="46" bestFit="1" customWidth="1"/>
    <col min="3" max="3" width="7.54296875" bestFit="1" customWidth="1"/>
    <col min="5" max="5" width="32.54296875" bestFit="1" customWidth="1"/>
    <col min="6" max="6" width="7.54296875" bestFit="1" customWidth="1"/>
    <col min="7" max="7" width="13.81640625" bestFit="1" customWidth="1"/>
    <col min="8" max="8" width="26.81640625" bestFit="1" customWidth="1"/>
  </cols>
  <sheetData>
    <row r="1" spans="1:9" x14ac:dyDescent="0.25">
      <c r="C1" s="25"/>
    </row>
    <row r="2" spans="1:9" ht="13" thickBot="1" x14ac:dyDescent="0.3">
      <c r="C2" s="25"/>
    </row>
    <row r="3" spans="1:9" ht="13.5" thickBot="1" x14ac:dyDescent="0.35">
      <c r="A3" s="26" t="s">
        <v>42</v>
      </c>
      <c r="B3" s="46">
        <f>SUM(C3)/E3</f>
        <v>0.62753296880025733</v>
      </c>
      <c r="C3" s="27">
        <v>15608</v>
      </c>
      <c r="E3" s="28">
        <f>SUM(C3)+C10</f>
        <v>24872</v>
      </c>
      <c r="H3" s="40" t="s">
        <v>9</v>
      </c>
    </row>
    <row r="4" spans="1:9" ht="13" thickBot="1" x14ac:dyDescent="0.3">
      <c r="A4" s="52" t="s">
        <v>43</v>
      </c>
      <c r="B4" s="46">
        <f>SUM(C4)/C3</f>
        <v>0.55131983598154788</v>
      </c>
      <c r="C4" s="61">
        <v>8605</v>
      </c>
      <c r="H4" t="s">
        <v>58</v>
      </c>
      <c r="I4" s="46">
        <v>0.33</v>
      </c>
    </row>
    <row r="5" spans="1:9" ht="13" thickBot="1" x14ac:dyDescent="0.3">
      <c r="A5" s="52" t="s">
        <v>44</v>
      </c>
      <c r="B5" s="46">
        <f>SUM(C5)/C3</f>
        <v>0.51787544848795486</v>
      </c>
      <c r="C5" s="62">
        <v>8083</v>
      </c>
      <c r="H5" t="s">
        <v>10</v>
      </c>
      <c r="I5" s="46">
        <v>0.65</v>
      </c>
    </row>
    <row r="6" spans="1:9" ht="13" thickBot="1" x14ac:dyDescent="0.3">
      <c r="A6" s="52" t="s">
        <v>0</v>
      </c>
      <c r="C6" s="63">
        <f>C3-C5</f>
        <v>7525</v>
      </c>
      <c r="H6" t="s">
        <v>57</v>
      </c>
      <c r="I6" s="46">
        <v>0.02</v>
      </c>
    </row>
    <row r="7" spans="1:9" x14ac:dyDescent="0.25">
      <c r="A7" s="53" t="s">
        <v>2</v>
      </c>
      <c r="B7" s="46">
        <f>SUM(C7)/C5</f>
        <v>0.53742422367932696</v>
      </c>
      <c r="C7" s="30">
        <v>4344</v>
      </c>
      <c r="D7" s="28">
        <f>C3-C7</f>
        <v>11264</v>
      </c>
      <c r="E7" s="60" t="s">
        <v>8</v>
      </c>
      <c r="I7" s="46">
        <f>SUM(I4:I6)</f>
        <v>1</v>
      </c>
    </row>
    <row r="8" spans="1:9" ht="13" thickBot="1" x14ac:dyDescent="0.3">
      <c r="A8" s="54" t="s">
        <v>3</v>
      </c>
      <c r="B8" s="46">
        <f>SUM(C8)/C5</f>
        <v>0.46257577632067304</v>
      </c>
      <c r="C8" s="31">
        <v>3739</v>
      </c>
    </row>
    <row r="9" spans="1:9" ht="13" thickBot="1" x14ac:dyDescent="0.3">
      <c r="B9" s="46">
        <f>SUM(B7:B8)</f>
        <v>1</v>
      </c>
    </row>
    <row r="10" spans="1:9" ht="13.5" thickBot="1" x14ac:dyDescent="0.35">
      <c r="A10" s="26" t="s">
        <v>45</v>
      </c>
      <c r="B10" s="46">
        <f>SUM(C10)/E3</f>
        <v>0.37246703119974267</v>
      </c>
      <c r="C10" s="27">
        <v>9264</v>
      </c>
    </row>
    <row r="11" spans="1:9" ht="13" thickBot="1" x14ac:dyDescent="0.3">
      <c r="A11" s="52" t="s">
        <v>43</v>
      </c>
      <c r="C11" s="29">
        <v>3493</v>
      </c>
    </row>
    <row r="12" spans="1:9" ht="13" thickBot="1" x14ac:dyDescent="0.3">
      <c r="A12" s="52" t="s">
        <v>44</v>
      </c>
      <c r="C12" s="27">
        <v>3418</v>
      </c>
    </row>
    <row r="13" spans="1:9" ht="13.5" thickBot="1" x14ac:dyDescent="0.35">
      <c r="A13" s="52" t="s">
        <v>0</v>
      </c>
      <c r="C13" s="50">
        <f>C10-C12</f>
        <v>5846</v>
      </c>
      <c r="E13" s="51" t="s">
        <v>1</v>
      </c>
      <c r="F13" s="28">
        <f>SUM(C5+C12)</f>
        <v>11501</v>
      </c>
      <c r="G13" s="46">
        <f>SUM(G14:G15)</f>
        <v>1</v>
      </c>
    </row>
    <row r="14" spans="1:9" x14ac:dyDescent="0.25">
      <c r="A14" s="53" t="s">
        <v>2</v>
      </c>
      <c r="B14" s="46">
        <f>SUM(C14)/C12</f>
        <v>0.77501462843768287</v>
      </c>
      <c r="C14" s="30">
        <v>2649</v>
      </c>
      <c r="E14" s="53" t="s">
        <v>4</v>
      </c>
      <c r="F14" s="28">
        <f>SUM(C7+C14)</f>
        <v>6993</v>
      </c>
      <c r="G14" s="46">
        <f>SUM(F14)/F13</f>
        <v>0.60803408399269632</v>
      </c>
    </row>
    <row r="15" spans="1:9" ht="13" thickBot="1" x14ac:dyDescent="0.3">
      <c r="A15" s="54" t="s">
        <v>3</v>
      </c>
      <c r="B15" s="46">
        <f>SUM(C15)/C12</f>
        <v>0.22498537156231715</v>
      </c>
      <c r="C15" s="31">
        <v>769</v>
      </c>
      <c r="E15" s="54" t="s">
        <v>5</v>
      </c>
      <c r="F15" s="28">
        <f>C8+C15</f>
        <v>4508</v>
      </c>
      <c r="G15" s="46">
        <f>SUM(F15)/F13</f>
        <v>0.39196591600730374</v>
      </c>
    </row>
    <row r="16" spans="1:9" x14ac:dyDescent="0.25">
      <c r="C16" s="25"/>
      <c r="F16" s="28"/>
    </row>
    <row r="17" spans="1:7" ht="13" thickBot="1" x14ac:dyDescent="0.3">
      <c r="C17" s="25"/>
      <c r="F17" s="46"/>
    </row>
    <row r="18" spans="1:7" ht="13.5" thickBot="1" x14ac:dyDescent="0.35">
      <c r="A18" s="26" t="s">
        <v>46</v>
      </c>
      <c r="B18" s="46">
        <f>C18/E3</f>
        <v>0.62753296880025733</v>
      </c>
      <c r="C18" s="27">
        <v>15608</v>
      </c>
      <c r="E18" t="s">
        <v>47</v>
      </c>
      <c r="F18" s="46">
        <f>SUM(G18)/G20</f>
        <v>0.6211926211926212</v>
      </c>
      <c r="G18" s="28">
        <f>C7</f>
        <v>4344</v>
      </c>
    </row>
    <row r="19" spans="1:7" ht="13.5" thickBot="1" x14ac:dyDescent="0.35">
      <c r="A19" s="26" t="s">
        <v>48</v>
      </c>
      <c r="B19" s="46">
        <f>C19/E3</f>
        <v>0.37246703119974267</v>
      </c>
      <c r="C19" s="27">
        <v>9264</v>
      </c>
      <c r="E19" t="s">
        <v>49</v>
      </c>
      <c r="F19" s="46">
        <f>SUM(G19)/G20</f>
        <v>0.3788073788073788</v>
      </c>
      <c r="G19" s="28">
        <f>C14</f>
        <v>2649</v>
      </c>
    </row>
    <row r="20" spans="1:7" x14ac:dyDescent="0.25">
      <c r="C20" s="25"/>
      <c r="F20" s="46">
        <f>SUM(F18:F19)</f>
        <v>1</v>
      </c>
      <c r="G20">
        <f>SUM(G18:G19)</f>
        <v>6993</v>
      </c>
    </row>
    <row r="21" spans="1:7" ht="13" thickBot="1" x14ac:dyDescent="0.3">
      <c r="A21" t="s">
        <v>50</v>
      </c>
      <c r="B21" s="46">
        <f>SUM(C21)/C3</f>
        <v>0.48212455151204509</v>
      </c>
      <c r="C21" s="28">
        <f>C3-C22</f>
        <v>7525</v>
      </c>
    </row>
    <row r="22" spans="1:7" ht="13.5" thickBot="1" x14ac:dyDescent="0.35">
      <c r="A22" s="26" t="s">
        <v>6</v>
      </c>
      <c r="B22" s="46">
        <f>C22/C3</f>
        <v>0.51787544848795486</v>
      </c>
      <c r="C22" s="29">
        <v>8083</v>
      </c>
    </row>
    <row r="23" spans="1:7" x14ac:dyDescent="0.25">
      <c r="A23" s="53" t="s">
        <v>4</v>
      </c>
      <c r="B23" s="46">
        <f>SUM(C23)/C22</f>
        <v>0.53742422367932696</v>
      </c>
      <c r="C23" s="30">
        <v>4344</v>
      </c>
    </row>
    <row r="24" spans="1:7" ht="13" thickBot="1" x14ac:dyDescent="0.3">
      <c r="A24" s="54" t="s">
        <v>5</v>
      </c>
      <c r="B24" s="46">
        <f>SUM(C24)/C22</f>
        <v>0.46257577632067304</v>
      </c>
      <c r="C24" s="31">
        <v>3739</v>
      </c>
    </row>
    <row r="25" spans="1:7" ht="13" x14ac:dyDescent="0.3">
      <c r="A25" s="32"/>
      <c r="C25" s="7"/>
    </row>
    <row r="26" spans="1:7" ht="13" thickBot="1" x14ac:dyDescent="0.3">
      <c r="A26" t="s">
        <v>50</v>
      </c>
      <c r="B26" s="46">
        <f>SUM(C26)/C10</f>
        <v>0.63104490500863553</v>
      </c>
      <c r="C26" s="28">
        <f>C10-C27</f>
        <v>5846</v>
      </c>
    </row>
    <row r="27" spans="1:7" ht="13.5" thickBot="1" x14ac:dyDescent="0.35">
      <c r="A27" s="26" t="s">
        <v>7</v>
      </c>
      <c r="B27" s="46">
        <f>SUM(C27)/C10</f>
        <v>0.36895509499136442</v>
      </c>
      <c r="C27" s="27">
        <v>3418</v>
      </c>
    </row>
    <row r="28" spans="1:7" x14ac:dyDescent="0.25">
      <c r="A28" s="53" t="s">
        <v>4</v>
      </c>
      <c r="B28" s="46">
        <f>SUM(C28)/C27</f>
        <v>0.77501462843768287</v>
      </c>
      <c r="C28" s="30">
        <v>2649</v>
      </c>
    </row>
    <row r="29" spans="1:7" ht="13" thickBot="1" x14ac:dyDescent="0.3">
      <c r="A29" s="54" t="s">
        <v>5</v>
      </c>
      <c r="B29" s="46">
        <f>SUM(C29)/C27</f>
        <v>0.22498537156231715</v>
      </c>
      <c r="C29" s="31">
        <v>769</v>
      </c>
    </row>
    <row r="30" spans="1:7" x14ac:dyDescent="0.25">
      <c r="C30" s="25"/>
    </row>
    <row r="31" spans="1:7" ht="13" x14ac:dyDescent="0.3">
      <c r="A31" s="40" t="s">
        <v>51</v>
      </c>
      <c r="B31" s="58"/>
      <c r="C31" s="59"/>
      <c r="D31" s="40"/>
      <c r="E31" s="40" t="s">
        <v>38</v>
      </c>
      <c r="F31" s="40"/>
    </row>
    <row r="32" spans="1:7" ht="13" x14ac:dyDescent="0.3">
      <c r="A32" s="40" t="s">
        <v>29</v>
      </c>
      <c r="B32" s="58"/>
      <c r="C32" s="59"/>
      <c r="D32" s="40"/>
      <c r="E32" s="40" t="s">
        <v>29</v>
      </c>
      <c r="F32" s="58"/>
    </row>
    <row r="33" spans="1:6" x14ac:dyDescent="0.25">
      <c r="A33" t="s">
        <v>30</v>
      </c>
      <c r="B33" s="46">
        <v>0.625</v>
      </c>
      <c r="E33" t="s">
        <v>30</v>
      </c>
      <c r="F33" s="46">
        <v>0.52500000000000002</v>
      </c>
    </row>
    <row r="34" spans="1:6" x14ac:dyDescent="0.25">
      <c r="A34" t="s">
        <v>31</v>
      </c>
      <c r="B34" s="46">
        <v>0.11700000000000001</v>
      </c>
      <c r="E34" t="s">
        <v>31</v>
      </c>
      <c r="F34" s="46">
        <v>7.1999999999999995E-2</v>
      </c>
    </row>
    <row r="35" spans="1:6" x14ac:dyDescent="0.25">
      <c r="A35" t="s">
        <v>32</v>
      </c>
      <c r="B35" s="46">
        <v>0.25700000000000001</v>
      </c>
      <c r="E35" t="s">
        <v>32</v>
      </c>
      <c r="F35" s="46">
        <v>0.40300000000000002</v>
      </c>
    </row>
    <row r="36" spans="1:6" x14ac:dyDescent="0.25">
      <c r="A36" t="s">
        <v>33</v>
      </c>
      <c r="B36" s="46">
        <v>1</v>
      </c>
      <c r="E36" t="s">
        <v>33</v>
      </c>
      <c r="F36" s="46">
        <v>1</v>
      </c>
    </row>
    <row r="37" spans="1:6" x14ac:dyDescent="0.25">
      <c r="C37" s="25"/>
    </row>
    <row r="38" spans="1:6" x14ac:dyDescent="0.25">
      <c r="A38" t="s">
        <v>34</v>
      </c>
      <c r="E38" t="s">
        <v>34</v>
      </c>
      <c r="F38" s="46"/>
    </row>
    <row r="39" spans="1:6" x14ac:dyDescent="0.25">
      <c r="A39" t="s">
        <v>35</v>
      </c>
      <c r="B39" s="46">
        <v>0.29299999999999998</v>
      </c>
      <c r="E39" t="s">
        <v>35</v>
      </c>
      <c r="F39" s="46">
        <v>0.56499999999999995</v>
      </c>
    </row>
    <row r="40" spans="1:6" x14ac:dyDescent="0.25">
      <c r="A40" t="s">
        <v>36</v>
      </c>
      <c r="B40" s="46">
        <v>0.70099999999999996</v>
      </c>
      <c r="E40" t="s">
        <v>36</v>
      </c>
      <c r="F40" s="46">
        <v>0.42099999999999999</v>
      </c>
    </row>
    <row r="41" spans="1:6" x14ac:dyDescent="0.25">
      <c r="A41" t="s">
        <v>37</v>
      </c>
      <c r="B41" s="46">
        <v>6.0000000000000001E-3</v>
      </c>
      <c r="C41" s="25"/>
      <c r="E41" t="s">
        <v>37</v>
      </c>
      <c r="F41" s="46">
        <v>1.4E-2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zoomScale="75" workbookViewId="0">
      <selection activeCell="G30" sqref="G30"/>
    </sheetView>
  </sheetViews>
  <sheetFormatPr defaultRowHeight="12.5" x14ac:dyDescent="0.25"/>
  <cols>
    <col min="1" max="1" width="31.7265625" bestFit="1" customWidth="1"/>
    <col min="4" max="4" width="11.1796875" bestFit="1" customWidth="1"/>
    <col min="5" max="5" width="11.26953125" customWidth="1"/>
    <col min="6" max="6" width="11.1796875" bestFit="1" customWidth="1"/>
  </cols>
  <sheetData>
    <row r="1" spans="1:6" x14ac:dyDescent="0.25">
      <c r="A1" t="s">
        <v>64</v>
      </c>
    </row>
    <row r="2" spans="1:6" ht="13" thickBot="1" x14ac:dyDescent="0.3"/>
    <row r="3" spans="1:6" ht="13.5" thickBot="1" x14ac:dyDescent="0.35">
      <c r="A3" s="33" t="s">
        <v>29</v>
      </c>
      <c r="B3" s="34" t="s">
        <v>17</v>
      </c>
      <c r="D3" t="s">
        <v>62</v>
      </c>
      <c r="E3" t="s">
        <v>63</v>
      </c>
      <c r="F3" t="s">
        <v>65</v>
      </c>
    </row>
    <row r="4" spans="1:6" ht="13" x14ac:dyDescent="0.3">
      <c r="A4" s="35" t="s">
        <v>30</v>
      </c>
      <c r="B4" s="44">
        <f>(D4+E4)/$F$7</f>
        <v>0.57288750224997387</v>
      </c>
      <c r="D4" s="64">
        <v>31529652</v>
      </c>
      <c r="E4" s="64">
        <v>34038084</v>
      </c>
      <c r="F4" s="28">
        <f>SUM(D4:E4)</f>
        <v>65567736</v>
      </c>
    </row>
    <row r="5" spans="1:6" ht="13" x14ac:dyDescent="0.3">
      <c r="A5" s="36" t="s">
        <v>31</v>
      </c>
      <c r="B5" s="44">
        <f>(D5+E5)/$F$7</f>
        <v>9.3543544610128551E-2</v>
      </c>
      <c r="D5" s="64">
        <v>4315456</v>
      </c>
      <c r="E5" s="64">
        <v>6390727</v>
      </c>
      <c r="F5" s="28">
        <f>SUM(D5:E5)</f>
        <v>10706183</v>
      </c>
    </row>
    <row r="6" spans="1:6" ht="13" x14ac:dyDescent="0.3">
      <c r="A6" s="36" t="s">
        <v>32</v>
      </c>
      <c r="B6" s="44">
        <f>(D6+E6)/$F$7</f>
        <v>0.33356895313989759</v>
      </c>
      <c r="D6" s="64">
        <v>24166158</v>
      </c>
      <c r="E6" s="64">
        <v>14011252</v>
      </c>
      <c r="F6" s="28">
        <f>SUM(D6:E6)</f>
        <v>38177410</v>
      </c>
    </row>
    <row r="7" spans="1:6" ht="13.5" thickBot="1" x14ac:dyDescent="0.35">
      <c r="A7" s="37" t="s">
        <v>33</v>
      </c>
      <c r="B7" s="45">
        <v>1</v>
      </c>
      <c r="D7" s="28">
        <f>SUM(D4:D6)</f>
        <v>60011266</v>
      </c>
      <c r="E7" s="28">
        <f>SUM(E4:E6)</f>
        <v>54440063</v>
      </c>
      <c r="F7" s="28">
        <f>D7+E7</f>
        <v>114451329</v>
      </c>
    </row>
    <row r="8" spans="1:6" ht="13.5" thickBot="1" x14ac:dyDescent="0.35">
      <c r="A8" s="55"/>
      <c r="B8" s="56"/>
    </row>
    <row r="9" spans="1:6" ht="13.5" thickBot="1" x14ac:dyDescent="0.35">
      <c r="A9" s="33" t="s">
        <v>34</v>
      </c>
      <c r="B9" s="34" t="s">
        <v>17</v>
      </c>
    </row>
    <row r="10" spans="1:6" ht="13" x14ac:dyDescent="0.3">
      <c r="A10" s="35" t="s">
        <v>35</v>
      </c>
      <c r="B10" s="44">
        <f>(D10+E10)/$F$13</f>
        <v>0.43565601584233243</v>
      </c>
      <c r="D10" s="65">
        <v>33899961</v>
      </c>
      <c r="E10" s="65">
        <v>15961449</v>
      </c>
      <c r="F10" s="28">
        <f>SUM(D10:E10)</f>
        <v>49861410</v>
      </c>
    </row>
    <row r="11" spans="1:6" ht="13" x14ac:dyDescent="0.3">
      <c r="A11" s="36" t="s">
        <v>52</v>
      </c>
      <c r="B11" s="44">
        <f>(D11+E11)/$F$13</f>
        <v>0.55406603448003644</v>
      </c>
      <c r="D11" s="65">
        <v>25254070</v>
      </c>
      <c r="E11" s="65">
        <v>38159524</v>
      </c>
      <c r="F11" s="28">
        <f>SUM(D11:E11)</f>
        <v>63413594</v>
      </c>
    </row>
    <row r="12" spans="1:6" ht="13" x14ac:dyDescent="0.3">
      <c r="A12" s="36" t="s">
        <v>37</v>
      </c>
      <c r="B12" s="44">
        <f>(D12+E12)/$F$13</f>
        <v>1.0277949677631092E-2</v>
      </c>
      <c r="D12" s="65">
        <v>857235</v>
      </c>
      <c r="E12" s="65">
        <v>319090</v>
      </c>
      <c r="F12" s="28">
        <f>SUM(D12:E12)</f>
        <v>1176325</v>
      </c>
    </row>
    <row r="13" spans="1:6" ht="13.5" thickBot="1" x14ac:dyDescent="0.35">
      <c r="A13" s="37" t="s">
        <v>33</v>
      </c>
      <c r="B13" s="45">
        <f>SUM(B10:B12)</f>
        <v>1</v>
      </c>
      <c r="D13" s="28">
        <f>SUM(D10:D12)</f>
        <v>60011266</v>
      </c>
      <c r="E13" s="28">
        <f>SUM(E10:E12)</f>
        <v>54440063</v>
      </c>
      <c r="F13" s="28">
        <f>D13+E13</f>
        <v>114451329</v>
      </c>
    </row>
    <row r="14" spans="1:6" x14ac:dyDescent="0.25">
      <c r="B14" s="46"/>
    </row>
    <row r="15" spans="1:6" x14ac:dyDescent="0.25">
      <c r="B15" s="46"/>
    </row>
    <row r="16" spans="1:6" x14ac:dyDescent="0.25">
      <c r="A16" t="s">
        <v>21</v>
      </c>
      <c r="B16" s="44">
        <f>(D16+E16)/$F$23</f>
        <v>5.0919483099530045E-2</v>
      </c>
      <c r="D16" s="65">
        <v>6519138</v>
      </c>
      <c r="E16" s="65">
        <v>278198</v>
      </c>
      <c r="F16" s="28">
        <f t="shared" ref="F16:F22" si="0">SUM(D16:E16)</f>
        <v>6797336</v>
      </c>
    </row>
    <row r="17" spans="1:6" x14ac:dyDescent="0.25">
      <c r="A17" t="s">
        <v>22</v>
      </c>
      <c r="B17" s="44">
        <f t="shared" ref="B17:B22" si="1">(D17+E17)/$F$23</f>
        <v>7.9498883265158138E-2</v>
      </c>
      <c r="D17" s="65">
        <v>4229226</v>
      </c>
      <c r="E17" s="65">
        <v>6383227</v>
      </c>
      <c r="F17" s="28">
        <f t="shared" si="0"/>
        <v>10612453</v>
      </c>
    </row>
    <row r="18" spans="1:6" x14ac:dyDescent="0.25">
      <c r="A18" t="s">
        <v>23</v>
      </c>
      <c r="B18" s="44">
        <f t="shared" si="1"/>
        <v>0.24309814419382156</v>
      </c>
      <c r="D18" s="65">
        <v>23151597</v>
      </c>
      <c r="E18" s="65">
        <v>9300024</v>
      </c>
      <c r="F18" s="28">
        <f t="shared" si="0"/>
        <v>32451621</v>
      </c>
    </row>
    <row r="19" spans="1:6" x14ac:dyDescent="0.25">
      <c r="A19" t="s">
        <v>24</v>
      </c>
      <c r="B19" s="44">
        <f t="shared" si="1"/>
        <v>0.43144263114190118</v>
      </c>
      <c r="D19" s="65">
        <v>24153279</v>
      </c>
      <c r="E19" s="65">
        <v>33440796</v>
      </c>
      <c r="F19" s="28">
        <f t="shared" si="0"/>
        <v>57594075</v>
      </c>
    </row>
    <row r="20" spans="1:6" x14ac:dyDescent="0.25">
      <c r="A20" t="s">
        <v>53</v>
      </c>
      <c r="B20" s="44">
        <f t="shared" si="1"/>
        <v>0.14263433310722715</v>
      </c>
      <c r="D20" s="66">
        <v>19040521</v>
      </c>
      <c r="F20" s="28">
        <f t="shared" si="0"/>
        <v>19040521</v>
      </c>
    </row>
    <row r="21" spans="1:6" x14ac:dyDescent="0.25">
      <c r="A21" t="s">
        <v>26</v>
      </c>
      <c r="B21" s="44">
        <f t="shared" si="1"/>
        <v>4.3594564012709391E-2</v>
      </c>
      <c r="D21" s="65">
        <v>1100791</v>
      </c>
      <c r="E21" s="65">
        <v>4718728</v>
      </c>
      <c r="F21" s="28">
        <f t="shared" si="0"/>
        <v>5819519</v>
      </c>
    </row>
    <row r="22" spans="1:6" x14ac:dyDescent="0.25">
      <c r="A22" t="s">
        <v>27</v>
      </c>
      <c r="B22" s="44">
        <f t="shared" si="1"/>
        <v>8.8119611796525412E-3</v>
      </c>
      <c r="D22" s="65">
        <v>857235</v>
      </c>
      <c r="E22" s="65">
        <v>319090</v>
      </c>
      <c r="F22" s="28">
        <f t="shared" si="0"/>
        <v>1176325</v>
      </c>
    </row>
    <row r="23" spans="1:6" x14ac:dyDescent="0.25">
      <c r="A23" t="s">
        <v>54</v>
      </c>
      <c r="B23" s="46">
        <f>SUM(B16:B22)</f>
        <v>1</v>
      </c>
      <c r="D23" s="28">
        <f>SUM(D16:D22)</f>
        <v>79051787</v>
      </c>
      <c r="E23" s="28">
        <f>SUM(E16:E22)</f>
        <v>54440063</v>
      </c>
      <c r="F23" s="28">
        <f>D23+E23</f>
        <v>133491850</v>
      </c>
    </row>
    <row r="25" spans="1:6" ht="13" thickBot="1" x14ac:dyDescent="0.3"/>
    <row r="26" spans="1:6" ht="13.5" thickBot="1" x14ac:dyDescent="0.35">
      <c r="A26" s="26" t="s">
        <v>55</v>
      </c>
      <c r="B26" s="38">
        <v>24872</v>
      </c>
    </row>
    <row r="27" spans="1:6" ht="13.5" thickBot="1" x14ac:dyDescent="0.35">
      <c r="A27" s="55"/>
      <c r="B27" s="57"/>
    </row>
    <row r="28" spans="1:6" ht="25.5" thickBot="1" x14ac:dyDescent="0.55000000000000004">
      <c r="A28" s="26" t="s">
        <v>43</v>
      </c>
      <c r="B28" s="39">
        <v>12098</v>
      </c>
      <c r="C28" s="46">
        <f>SUM(B28)/B26</f>
        <v>0.48641042135734963</v>
      </c>
      <c r="D28" s="67"/>
    </row>
    <row r="29" spans="1:6" ht="13.5" thickBot="1" x14ac:dyDescent="0.35">
      <c r="A29" s="55"/>
      <c r="B29" s="57"/>
    </row>
    <row r="30" spans="1:6" ht="13.5" thickBot="1" x14ac:dyDescent="0.35">
      <c r="A30" s="26" t="s">
        <v>56</v>
      </c>
      <c r="B30" s="39">
        <v>11501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"/>
  <sheetViews>
    <sheetView topLeftCell="A15" zoomScale="75" workbookViewId="0">
      <selection activeCell="E46" sqref="E46"/>
    </sheetView>
  </sheetViews>
  <sheetFormatPr defaultRowHeight="12.5" x14ac:dyDescent="0.25"/>
  <cols>
    <col min="1" max="1" width="31" bestFit="1" customWidth="1"/>
    <col min="2" max="2" width="11.1796875" bestFit="1" customWidth="1"/>
    <col min="3" max="3" width="13.81640625" style="24" bestFit="1" customWidth="1"/>
    <col min="4" max="4" width="13.81640625" style="24" customWidth="1"/>
    <col min="5" max="5" width="13.81640625" style="46" bestFit="1" customWidth="1"/>
    <col min="7" max="8" width="13.81640625" style="24" customWidth="1"/>
    <col min="9" max="9" width="13.81640625" style="46" bestFit="1" customWidth="1"/>
    <col min="10" max="10" width="39.453125" bestFit="1" customWidth="1"/>
    <col min="11" max="12" width="11.1796875" bestFit="1" customWidth="1"/>
    <col min="13" max="13" width="15.1796875" bestFit="1" customWidth="1"/>
    <col min="16" max="16" width="10.453125" bestFit="1" customWidth="1"/>
    <col min="17" max="17" width="15.1796875" bestFit="1" customWidth="1"/>
  </cols>
  <sheetData>
    <row r="1" spans="1:18" x14ac:dyDescent="0.25">
      <c r="A1" s="1" t="s">
        <v>40</v>
      </c>
      <c r="B1" s="2"/>
      <c r="E1" s="47"/>
      <c r="F1" s="2"/>
      <c r="I1" s="43"/>
      <c r="J1" t="s">
        <v>41</v>
      </c>
    </row>
    <row r="2" spans="1:18" ht="13" thickBot="1" x14ac:dyDescent="0.3">
      <c r="A2" s="3"/>
      <c r="B2" s="4"/>
      <c r="E2" s="48"/>
      <c r="F2" s="4"/>
      <c r="I2" s="44"/>
    </row>
    <row r="3" spans="1:18" ht="13.5" thickBot="1" x14ac:dyDescent="0.35">
      <c r="A3" s="3"/>
      <c r="B3" s="4" t="s">
        <v>12</v>
      </c>
      <c r="E3" s="48"/>
      <c r="F3" s="4" t="s">
        <v>13</v>
      </c>
      <c r="I3" s="44"/>
      <c r="J3" s="10"/>
      <c r="K3" s="83" t="s">
        <v>12</v>
      </c>
      <c r="L3" s="84"/>
      <c r="M3" s="84"/>
      <c r="N3" s="85"/>
      <c r="O3" s="86" t="s">
        <v>13</v>
      </c>
      <c r="P3" s="87"/>
      <c r="Q3" s="87"/>
      <c r="R3" s="88"/>
    </row>
    <row r="4" spans="1:18" ht="13.5" thickBot="1" x14ac:dyDescent="0.35">
      <c r="A4" s="3"/>
      <c r="B4" s="4" t="s">
        <v>14</v>
      </c>
      <c r="C4" s="24" t="s">
        <v>15</v>
      </c>
      <c r="D4" s="24" t="s">
        <v>16</v>
      </c>
      <c r="E4" s="48" t="s">
        <v>17</v>
      </c>
      <c r="F4" s="4" t="s">
        <v>14</v>
      </c>
      <c r="G4" s="24" t="s">
        <v>15</v>
      </c>
      <c r="H4" s="24" t="s">
        <v>16</v>
      </c>
      <c r="I4" s="44" t="s">
        <v>17</v>
      </c>
      <c r="J4" s="11"/>
      <c r="K4" s="12" t="s">
        <v>14</v>
      </c>
      <c r="L4" s="13" t="s">
        <v>15</v>
      </c>
      <c r="M4" s="13" t="s">
        <v>16</v>
      </c>
      <c r="N4" s="14" t="s">
        <v>17</v>
      </c>
      <c r="O4" s="12" t="s">
        <v>14</v>
      </c>
      <c r="P4" s="13" t="s">
        <v>15</v>
      </c>
      <c r="Q4" s="13" t="s">
        <v>16</v>
      </c>
      <c r="R4" s="14" t="s">
        <v>17</v>
      </c>
    </row>
    <row r="5" spans="1:18" ht="13" x14ac:dyDescent="0.3">
      <c r="A5" s="3" t="s">
        <v>18</v>
      </c>
      <c r="B5" s="68">
        <v>3638</v>
      </c>
      <c r="C5" s="7">
        <f>(D5/B5)</f>
        <v>10857.901869158879</v>
      </c>
      <c r="D5" s="7">
        <v>39501047</v>
      </c>
      <c r="E5" s="69" t="s">
        <v>67</v>
      </c>
      <c r="F5" s="68">
        <v>743</v>
      </c>
      <c r="G5" s="7">
        <f>(H5/F5)</f>
        <v>20127.736204576042</v>
      </c>
      <c r="H5" s="7">
        <v>14954908</v>
      </c>
      <c r="I5" s="69" t="s">
        <v>67</v>
      </c>
      <c r="J5" s="15" t="s">
        <v>18</v>
      </c>
      <c r="K5" s="68">
        <v>1720</v>
      </c>
      <c r="L5" s="7">
        <f>(M5/K5)</f>
        <v>16315.114534883722</v>
      </c>
      <c r="M5" s="7">
        <v>28061997</v>
      </c>
      <c r="N5" s="69" t="s">
        <v>67</v>
      </c>
      <c r="O5" s="68">
        <v>967</v>
      </c>
      <c r="P5" s="7">
        <f>(Q5/O5)</f>
        <v>26663.938986556361</v>
      </c>
      <c r="Q5" s="7">
        <v>25784029</v>
      </c>
      <c r="R5" s="69" t="s">
        <v>67</v>
      </c>
    </row>
    <row r="6" spans="1:18" ht="13" x14ac:dyDescent="0.3">
      <c r="A6" s="3" t="s">
        <v>19</v>
      </c>
      <c r="B6" s="68">
        <v>3638</v>
      </c>
      <c r="C6" s="7">
        <f>(D6/B6)</f>
        <v>3866.0951072017592</v>
      </c>
      <c r="D6" s="7">
        <v>14064854</v>
      </c>
      <c r="E6" s="69" t="s">
        <v>67</v>
      </c>
      <c r="F6" s="68">
        <v>743</v>
      </c>
      <c r="G6" s="7">
        <f>(H6/F6)</f>
        <v>8085.1265141318981</v>
      </c>
      <c r="H6" s="7">
        <v>6007249</v>
      </c>
      <c r="I6" s="69" t="s">
        <v>67</v>
      </c>
      <c r="J6" s="16" t="s">
        <v>19</v>
      </c>
      <c r="K6" s="68">
        <v>1720</v>
      </c>
      <c r="L6" s="7">
        <f>(M6/K6)</f>
        <v>3161.1122093023255</v>
      </c>
      <c r="M6" s="7">
        <v>5437113</v>
      </c>
      <c r="N6" s="69" t="s">
        <v>67</v>
      </c>
      <c r="O6" s="68">
        <v>967</v>
      </c>
      <c r="P6" s="7">
        <f>(Q6/O6)</f>
        <v>4016.8531540847985</v>
      </c>
      <c r="Q6" s="7">
        <v>3884297</v>
      </c>
      <c r="R6" s="69" t="s">
        <v>67</v>
      </c>
    </row>
    <row r="7" spans="1:18" ht="13.5" thickBot="1" x14ac:dyDescent="0.35">
      <c r="A7" s="3" t="s">
        <v>20</v>
      </c>
      <c r="B7" s="70">
        <v>3638</v>
      </c>
      <c r="C7" s="71">
        <f>(D7/B7)</f>
        <v>6933.9329301814187</v>
      </c>
      <c r="D7" s="71">
        <v>25225648</v>
      </c>
      <c r="E7" s="72" t="s">
        <v>67</v>
      </c>
      <c r="F7" s="70">
        <v>743</v>
      </c>
      <c r="G7" s="71">
        <f>(H7/F7)</f>
        <v>12015.370121130552</v>
      </c>
      <c r="H7" s="71">
        <v>8927420</v>
      </c>
      <c r="I7" s="72" t="s">
        <v>67</v>
      </c>
      <c r="J7" s="17" t="s">
        <v>20</v>
      </c>
      <c r="K7" s="70">
        <v>1720</v>
      </c>
      <c r="L7" s="71">
        <f>(M7/K7)</f>
        <v>13104.284302325581</v>
      </c>
      <c r="M7" s="71">
        <v>22539369</v>
      </c>
      <c r="N7" s="72" t="s">
        <v>67</v>
      </c>
      <c r="O7" s="70">
        <v>967</v>
      </c>
      <c r="P7" s="71">
        <f>(Q7/O7)</f>
        <v>22580.033092037229</v>
      </c>
      <c r="Q7" s="71">
        <v>21834892</v>
      </c>
      <c r="R7" s="72" t="s">
        <v>67</v>
      </c>
    </row>
    <row r="8" spans="1:18" ht="13.5" thickBot="1" x14ac:dyDescent="0.35">
      <c r="A8" s="3"/>
      <c r="B8" s="4" t="s">
        <v>12</v>
      </c>
      <c r="E8" s="48"/>
      <c r="F8" s="4" t="s">
        <v>13</v>
      </c>
      <c r="I8" s="44"/>
      <c r="J8" s="10"/>
      <c r="K8" s="83" t="s">
        <v>12</v>
      </c>
      <c r="L8" s="84"/>
      <c r="M8" s="84"/>
      <c r="N8" s="85"/>
      <c r="O8" s="86" t="s">
        <v>13</v>
      </c>
      <c r="P8" s="87"/>
      <c r="Q8" s="87"/>
      <c r="R8" s="88"/>
    </row>
    <row r="9" spans="1:18" ht="13.5" thickBot="1" x14ac:dyDescent="0.35">
      <c r="A9" s="3"/>
      <c r="B9" s="4" t="s">
        <v>14</v>
      </c>
      <c r="C9" s="24" t="s">
        <v>15</v>
      </c>
      <c r="D9" s="24" t="s">
        <v>16</v>
      </c>
      <c r="E9" s="48" t="s">
        <v>17</v>
      </c>
      <c r="F9" s="4" t="s">
        <v>14</v>
      </c>
      <c r="G9" s="24" t="s">
        <v>15</v>
      </c>
      <c r="H9" s="24" t="s">
        <v>16</v>
      </c>
      <c r="I9" s="44" t="s">
        <v>17</v>
      </c>
      <c r="J9" s="11"/>
      <c r="K9" s="12" t="s">
        <v>14</v>
      </c>
      <c r="L9" s="13" t="s">
        <v>15</v>
      </c>
      <c r="M9" s="13" t="s">
        <v>16</v>
      </c>
      <c r="N9" s="14" t="s">
        <v>17</v>
      </c>
      <c r="O9" s="12" t="s">
        <v>14</v>
      </c>
      <c r="P9" s="13" t="s">
        <v>15</v>
      </c>
      <c r="Q9" s="13" t="s">
        <v>16</v>
      </c>
      <c r="R9" s="14" t="s">
        <v>17</v>
      </c>
    </row>
    <row r="10" spans="1:18" ht="13" x14ac:dyDescent="0.3">
      <c r="A10" s="3" t="s">
        <v>21</v>
      </c>
      <c r="B10" s="68">
        <v>1711</v>
      </c>
      <c r="C10" s="7">
        <f t="shared" ref="C10:C17" si="0">(D10/B10)</f>
        <v>2593.5908825248393</v>
      </c>
      <c r="D10" s="7">
        <v>4437634</v>
      </c>
      <c r="E10" s="73">
        <f>(D10/D17)*100</f>
        <v>16.30193736843356</v>
      </c>
      <c r="F10" s="68">
        <v>228</v>
      </c>
      <c r="G10" s="7">
        <f t="shared" ref="G10:G17" si="1">(H10/F10)</f>
        <v>4115.8640350877195</v>
      </c>
      <c r="H10" s="7">
        <v>938417</v>
      </c>
      <c r="I10" s="73">
        <f>(H10/H17)*100</f>
        <v>10.009251777185975</v>
      </c>
      <c r="J10" s="15" t="s">
        <v>21</v>
      </c>
      <c r="K10" s="68">
        <v>72</v>
      </c>
      <c r="L10" s="7">
        <f t="shared" ref="L10:L16" si="2">(M10/K10)</f>
        <v>2599.625</v>
      </c>
      <c r="M10" s="7">
        <v>187173</v>
      </c>
      <c r="N10" s="73">
        <f>(M10/M16)*100</f>
        <v>0.80337779818178656</v>
      </c>
      <c r="O10" s="68">
        <v>14</v>
      </c>
      <c r="P10" s="7">
        <f t="shared" ref="P10:P16" si="3">(Q10/O10)</f>
        <v>2825.5714285714284</v>
      </c>
      <c r="Q10" s="7">
        <v>39558</v>
      </c>
      <c r="R10" s="73">
        <f>(Q10/Q16)*100</f>
        <v>0.18703276383011971</v>
      </c>
    </row>
    <row r="11" spans="1:18" ht="13" x14ac:dyDescent="0.3">
      <c r="A11" s="3" t="s">
        <v>22</v>
      </c>
      <c r="B11" s="68">
        <v>1179</v>
      </c>
      <c r="C11" s="7">
        <f t="shared" si="0"/>
        <v>1916.1195928753182</v>
      </c>
      <c r="D11" s="7">
        <v>2259105</v>
      </c>
      <c r="E11" s="73">
        <f>(D11/D17)*100</f>
        <v>8.2989692747791057</v>
      </c>
      <c r="F11" s="68">
        <v>46</v>
      </c>
      <c r="G11" s="7">
        <f t="shared" si="1"/>
        <v>2088.891304347826</v>
      </c>
      <c r="H11" s="7">
        <v>96089</v>
      </c>
      <c r="I11" s="73">
        <f>(H11/H17)*100</f>
        <v>1.0248951095494041</v>
      </c>
      <c r="J11" s="16" t="s">
        <v>22</v>
      </c>
      <c r="K11" s="68">
        <v>369</v>
      </c>
      <c r="L11" s="7">
        <f t="shared" si="2"/>
        <v>3319.4552845528456</v>
      </c>
      <c r="M11" s="7">
        <v>1224879</v>
      </c>
      <c r="N11" s="73">
        <f>(M11/M16)*100</f>
        <v>5.2573853817543581</v>
      </c>
      <c r="O11" s="68">
        <v>363</v>
      </c>
      <c r="P11" s="7">
        <f t="shared" si="3"/>
        <v>9397.9834710743798</v>
      </c>
      <c r="Q11" s="7">
        <v>3411468</v>
      </c>
      <c r="R11" s="73">
        <f>(Q11/Q16)*100</f>
        <v>16.129639738055786</v>
      </c>
    </row>
    <row r="12" spans="1:18" ht="13" x14ac:dyDescent="0.3">
      <c r="A12" s="3" t="s">
        <v>23</v>
      </c>
      <c r="B12" s="68">
        <v>3516</v>
      </c>
      <c r="C12" s="7">
        <f t="shared" si="0"/>
        <v>2206.3418657565417</v>
      </c>
      <c r="D12" s="7">
        <v>7757498</v>
      </c>
      <c r="E12" s="73">
        <f>(D12/D17)*100</f>
        <v>28.497673880213785</v>
      </c>
      <c r="F12" s="68">
        <v>723</v>
      </c>
      <c r="G12" s="7">
        <f t="shared" si="1"/>
        <v>4966.1853388658365</v>
      </c>
      <c r="H12" s="7">
        <v>3590552</v>
      </c>
      <c r="I12" s="73">
        <f>(H12/H17)*100</f>
        <v>38.297195156394928</v>
      </c>
      <c r="J12" s="16" t="s">
        <v>23</v>
      </c>
      <c r="K12" s="68">
        <v>1644</v>
      </c>
      <c r="L12" s="7">
        <f t="shared" si="2"/>
        <v>1653.897201946472</v>
      </c>
      <c r="M12" s="7">
        <v>2719007</v>
      </c>
      <c r="N12" s="73">
        <f>(M12/M16)*100</f>
        <v>11.670432471034095</v>
      </c>
      <c r="O12" s="68">
        <v>914</v>
      </c>
      <c r="P12" s="7">
        <f t="shared" si="3"/>
        <v>3066.987964989059</v>
      </c>
      <c r="Q12" s="7">
        <v>2803227</v>
      </c>
      <c r="R12" s="73">
        <f>(Q12/Q16)*100</f>
        <v>13.253837237808156</v>
      </c>
    </row>
    <row r="13" spans="1:18" ht="13" x14ac:dyDescent="0.3">
      <c r="A13" s="3" t="s">
        <v>24</v>
      </c>
      <c r="B13" s="68">
        <v>2590</v>
      </c>
      <c r="C13" s="7">
        <f t="shared" si="0"/>
        <v>4569.6776061776063</v>
      </c>
      <c r="D13" s="7">
        <v>11835465</v>
      </c>
      <c r="E13" s="73">
        <f>(D13/D17)*100</f>
        <v>43.47835111149039</v>
      </c>
      <c r="F13" s="68">
        <v>609</v>
      </c>
      <c r="G13" s="7">
        <f t="shared" si="1"/>
        <v>6935.0886699507391</v>
      </c>
      <c r="H13" s="7">
        <v>4223469</v>
      </c>
      <c r="I13" s="73">
        <f>(H13/H17)*100</f>
        <v>45.047952662984443</v>
      </c>
      <c r="J13" s="16" t="s">
        <v>24</v>
      </c>
      <c r="K13" s="68">
        <v>1507</v>
      </c>
      <c r="L13" s="7">
        <f t="shared" si="2"/>
        <v>12457.387524883876</v>
      </c>
      <c r="M13" s="7">
        <v>18773283</v>
      </c>
      <c r="N13" s="73">
        <f>(M13/M16)*100</f>
        <v>80.578068210604968</v>
      </c>
      <c r="O13" s="68">
        <v>858</v>
      </c>
      <c r="P13" s="7">
        <f t="shared" si="3"/>
        <v>14690.017482517482</v>
      </c>
      <c r="Q13" s="7">
        <v>12604035</v>
      </c>
      <c r="R13" s="73">
        <f>(Q13/Q16)*100</f>
        <v>59.592686724848654</v>
      </c>
    </row>
    <row r="14" spans="1:18" ht="13" x14ac:dyDescent="0.3">
      <c r="A14" s="3" t="s">
        <v>25</v>
      </c>
      <c r="B14" s="74">
        <v>2561</v>
      </c>
      <c r="C14" s="75">
        <f t="shared" si="0"/>
        <v>4209.0124951190937</v>
      </c>
      <c r="D14" s="75">
        <v>10779281</v>
      </c>
      <c r="E14" s="76">
        <f>(D14/D17)*100</f>
        <v>39.598390434800592</v>
      </c>
      <c r="F14" s="74">
        <v>593</v>
      </c>
      <c r="G14" s="75">
        <f t="shared" si="1"/>
        <v>5639.4047217537945</v>
      </c>
      <c r="H14" s="75">
        <v>3344167</v>
      </c>
      <c r="I14" s="76">
        <f>(H14/H17)*100</f>
        <v>35.669227526735654</v>
      </c>
      <c r="J14" s="19" t="s">
        <v>25</v>
      </c>
      <c r="K14" s="68">
        <v>50</v>
      </c>
      <c r="L14" s="7">
        <f t="shared" si="2"/>
        <v>4511.0600000000004</v>
      </c>
      <c r="M14" s="7">
        <v>225553</v>
      </c>
      <c r="N14" s="73">
        <f>(M14/M16)*100</f>
        <v>0.96811117262263513</v>
      </c>
      <c r="O14" s="68">
        <v>172</v>
      </c>
      <c r="P14" s="7">
        <f t="shared" si="3"/>
        <v>12449.337209302326</v>
      </c>
      <c r="Q14" s="7">
        <v>2141286</v>
      </c>
      <c r="R14" s="73">
        <f>(Q14/Q16)*100</f>
        <v>10.124137689740172</v>
      </c>
    </row>
    <row r="15" spans="1:18" ht="13" x14ac:dyDescent="0.3">
      <c r="A15" s="3" t="s">
        <v>26</v>
      </c>
      <c r="B15" s="68">
        <v>112</v>
      </c>
      <c r="C15" s="7">
        <f t="shared" si="0"/>
        <v>2897.7678571428573</v>
      </c>
      <c r="D15" s="7">
        <v>324550</v>
      </c>
      <c r="E15" s="73">
        <f>(D15/D17)*100</f>
        <v>1.1922555517028022</v>
      </c>
      <c r="F15" s="68">
        <v>47</v>
      </c>
      <c r="G15" s="7">
        <f t="shared" si="1"/>
        <v>5893.510638297872</v>
      </c>
      <c r="H15" s="7">
        <v>276995</v>
      </c>
      <c r="I15" s="73">
        <f>(H15/H17)*100</f>
        <v>2.9544570228604439</v>
      </c>
      <c r="J15" s="16" t="s">
        <v>26</v>
      </c>
      <c r="K15" s="68">
        <v>25</v>
      </c>
      <c r="L15" s="7">
        <f t="shared" si="2"/>
        <v>6734.36</v>
      </c>
      <c r="M15" s="7">
        <v>168359</v>
      </c>
      <c r="N15" s="73">
        <f>(M15/M16)*100</f>
        <v>0.7226249658021584</v>
      </c>
      <c r="O15" s="68">
        <v>19</v>
      </c>
      <c r="P15" s="7">
        <f t="shared" si="3"/>
        <v>7933.2105263157891</v>
      </c>
      <c r="Q15" s="7">
        <v>150731</v>
      </c>
      <c r="R15" s="73">
        <f>(Q15/Q16)*100</f>
        <v>0.71266584571711844</v>
      </c>
    </row>
    <row r="16" spans="1:18" ht="13" x14ac:dyDescent="0.3">
      <c r="A16" s="3" t="s">
        <v>27</v>
      </c>
      <c r="B16" s="68">
        <v>506</v>
      </c>
      <c r="C16" s="7">
        <f t="shared" si="0"/>
        <v>1200.1205533596838</v>
      </c>
      <c r="D16" s="7">
        <v>607261</v>
      </c>
      <c r="E16" s="73">
        <f>(D16/D17)*100</f>
        <v>2.2308128133803584</v>
      </c>
      <c r="F16" s="68">
        <v>160</v>
      </c>
      <c r="G16" s="7">
        <f t="shared" si="1"/>
        <v>1562.3375000000001</v>
      </c>
      <c r="H16" s="7">
        <v>249974</v>
      </c>
      <c r="I16" s="73">
        <f>(H16/H17)*100</f>
        <v>2.6662482710248079</v>
      </c>
      <c r="J16" s="16" t="s">
        <v>27</v>
      </c>
      <c r="K16" s="70">
        <v>1689</v>
      </c>
      <c r="L16" s="71">
        <f t="shared" si="2"/>
        <v>13794.111308466549</v>
      </c>
      <c r="M16" s="71">
        <v>23298254</v>
      </c>
      <c r="N16" s="77">
        <f>(M16/M16)*100</f>
        <v>100</v>
      </c>
      <c r="O16" s="70">
        <v>960</v>
      </c>
      <c r="P16" s="71">
        <f t="shared" si="3"/>
        <v>22031.567708333332</v>
      </c>
      <c r="Q16" s="71">
        <v>21150305</v>
      </c>
      <c r="R16" s="77">
        <f>(Q16/Q16)*100</f>
        <v>100</v>
      </c>
    </row>
    <row r="17" spans="1:18" ht="13.5" thickBot="1" x14ac:dyDescent="0.35">
      <c r="A17" s="3" t="s">
        <v>28</v>
      </c>
      <c r="B17" s="70">
        <v>3607</v>
      </c>
      <c r="C17" s="71">
        <f t="shared" si="0"/>
        <v>7546.8569448294984</v>
      </c>
      <c r="D17" s="71">
        <v>27221513</v>
      </c>
      <c r="E17" s="77">
        <f>(D17/D17)*100</f>
        <v>100</v>
      </c>
      <c r="F17" s="70">
        <v>737</v>
      </c>
      <c r="G17" s="71">
        <f t="shared" si="1"/>
        <v>12721.161465400271</v>
      </c>
      <c r="H17" s="71">
        <v>9375496</v>
      </c>
      <c r="I17" s="77">
        <f>(H17/H17)*100</f>
        <v>100</v>
      </c>
      <c r="J17" s="17" t="s">
        <v>28</v>
      </c>
      <c r="K17" s="20">
        <v>1197</v>
      </c>
      <c r="L17" s="21">
        <f>M17/K17</f>
        <v>38739.310776942359</v>
      </c>
      <c r="M17" s="21">
        <f>SUM(M10+M11+M12+M13+M15+M16)</f>
        <v>46370955</v>
      </c>
      <c r="N17" s="22">
        <f>SUM(N10+N11+N12+N13+N15+N16)</f>
        <v>199.03188882737737</v>
      </c>
      <c r="O17" s="20">
        <v>956</v>
      </c>
      <c r="P17" s="21">
        <f>SUM(Q17)/O17</f>
        <v>42007.661087866109</v>
      </c>
      <c r="Q17" s="21">
        <f>SUM(Q10+Q11+Q12+Q13+Q15+Q16)</f>
        <v>40159324</v>
      </c>
      <c r="R17" s="22">
        <f>SUM(R10+R11+R12+R13+R15+R16)</f>
        <v>189.87586231025983</v>
      </c>
    </row>
    <row r="18" spans="1:18" ht="13.5" thickBot="1" x14ac:dyDescent="0.35">
      <c r="A18" s="3"/>
      <c r="B18" s="4" t="s">
        <v>12</v>
      </c>
      <c r="E18" s="48"/>
      <c r="F18" s="4" t="s">
        <v>13</v>
      </c>
      <c r="I18" s="44"/>
      <c r="J18" s="10"/>
      <c r="K18" s="83" t="s">
        <v>12</v>
      </c>
      <c r="L18" s="84"/>
      <c r="M18" s="84"/>
      <c r="N18" s="85"/>
      <c r="O18" s="86" t="s">
        <v>13</v>
      </c>
      <c r="P18" s="87"/>
      <c r="Q18" s="87"/>
      <c r="R18" s="88"/>
    </row>
    <row r="19" spans="1:18" ht="13.5" thickBot="1" x14ac:dyDescent="0.35">
      <c r="A19" s="3" t="s">
        <v>29</v>
      </c>
      <c r="B19" s="4" t="s">
        <v>14</v>
      </c>
      <c r="C19" s="24" t="s">
        <v>15</v>
      </c>
      <c r="D19" s="24" t="s">
        <v>16</v>
      </c>
      <c r="E19" s="48" t="s">
        <v>17</v>
      </c>
      <c r="F19" s="4" t="s">
        <v>14</v>
      </c>
      <c r="G19" s="24" t="s">
        <v>15</v>
      </c>
      <c r="H19" s="24" t="s">
        <v>16</v>
      </c>
      <c r="I19" s="44" t="s">
        <v>17</v>
      </c>
      <c r="J19" s="11" t="s">
        <v>29</v>
      </c>
      <c r="K19" s="12" t="s">
        <v>14</v>
      </c>
      <c r="L19" s="13" t="s">
        <v>15</v>
      </c>
      <c r="M19" s="13" t="s">
        <v>16</v>
      </c>
      <c r="N19" s="14" t="s">
        <v>17</v>
      </c>
      <c r="O19" s="12" t="s">
        <v>14</v>
      </c>
      <c r="P19" s="13" t="s">
        <v>15</v>
      </c>
      <c r="Q19" s="13" t="s">
        <v>16</v>
      </c>
      <c r="R19" s="14" t="s">
        <v>17</v>
      </c>
    </row>
    <row r="20" spans="1:18" ht="13" x14ac:dyDescent="0.3">
      <c r="A20" s="3" t="s">
        <v>30</v>
      </c>
      <c r="B20" s="68">
        <v>3057</v>
      </c>
      <c r="C20" s="7">
        <f>(D20/B20)</f>
        <v>5521.8711154726852</v>
      </c>
      <c r="D20" s="7">
        <v>16880360</v>
      </c>
      <c r="E20" s="73">
        <f>(D20/D23)*100</f>
        <v>62.011101293304307</v>
      </c>
      <c r="F20" s="68">
        <v>662</v>
      </c>
      <c r="G20" s="7">
        <f>(H20/F20)</f>
        <v>8175.0151057401808</v>
      </c>
      <c r="H20" s="7">
        <v>5411860</v>
      </c>
      <c r="I20" s="73">
        <f>(H20/H23)*100</f>
        <v>57.723452711195222</v>
      </c>
      <c r="J20" s="15" t="s">
        <v>30</v>
      </c>
      <c r="K20" s="68">
        <v>1524</v>
      </c>
      <c r="L20" s="7">
        <f>(M20/K20)</f>
        <v>12551.715879265092</v>
      </c>
      <c r="M20" s="7">
        <v>19128815</v>
      </c>
      <c r="N20" s="73">
        <f>(M20/M23)*100</f>
        <v>82.104070974588922</v>
      </c>
      <c r="O20" s="68">
        <v>860</v>
      </c>
      <c r="P20" s="7">
        <f>(Q20/O20)</f>
        <v>14877.120930232559</v>
      </c>
      <c r="Q20" s="7">
        <v>12794324</v>
      </c>
      <c r="R20" s="73">
        <f>(Q20/Q23)*100</f>
        <v>60.492385334395884</v>
      </c>
    </row>
    <row r="21" spans="1:18" ht="13" x14ac:dyDescent="0.3">
      <c r="A21" s="3" t="s">
        <v>31</v>
      </c>
      <c r="B21" s="68">
        <v>1195</v>
      </c>
      <c r="C21" s="7">
        <f>(D21/B21)</f>
        <v>1921.8284518828452</v>
      </c>
      <c r="D21" s="7">
        <v>2296585</v>
      </c>
      <c r="E21" s="73">
        <f>(D21/D23)*100</f>
        <v>8.4366544945536273</v>
      </c>
      <c r="F21" s="68">
        <v>46</v>
      </c>
      <c r="G21" s="7">
        <f>(H21/F21)</f>
        <v>2088.891304347826</v>
      </c>
      <c r="H21" s="7">
        <v>96089</v>
      </c>
      <c r="I21" s="73">
        <f>(H21/H23)*100</f>
        <v>1.0248951095494041</v>
      </c>
      <c r="J21" s="16" t="s">
        <v>31</v>
      </c>
      <c r="K21" s="68">
        <v>371</v>
      </c>
      <c r="L21" s="7">
        <f>(M21/K21)</f>
        <v>3315.0377358490564</v>
      </c>
      <c r="M21" s="7">
        <v>1229879</v>
      </c>
      <c r="N21" s="73">
        <f>(M21/M23)*100</f>
        <v>5.2788462174032444</v>
      </c>
      <c r="O21" s="68">
        <v>363</v>
      </c>
      <c r="P21" s="7">
        <f>(Q21/O21)</f>
        <v>9397.9834710743798</v>
      </c>
      <c r="Q21" s="7">
        <v>3411468</v>
      </c>
      <c r="R21" s="73">
        <f>(Q21/Q23)*100</f>
        <v>16.129639738055786</v>
      </c>
    </row>
    <row r="22" spans="1:18" ht="13" x14ac:dyDescent="0.3">
      <c r="A22" s="3" t="s">
        <v>32</v>
      </c>
      <c r="B22" s="68">
        <v>3518</v>
      </c>
      <c r="C22" s="7">
        <f>(D22/B22)</f>
        <v>2286.6878908470721</v>
      </c>
      <c r="D22" s="7">
        <v>8044568</v>
      </c>
      <c r="E22" s="73">
        <f>(D22/D23)*100</f>
        <v>29.552244212142064</v>
      </c>
      <c r="F22" s="68">
        <v>724</v>
      </c>
      <c r="G22" s="7">
        <f>(H22/F22)</f>
        <v>5341.9157458563532</v>
      </c>
      <c r="H22" s="7">
        <v>3867547</v>
      </c>
      <c r="I22" s="73">
        <f>(H22/H23)*100</f>
        <v>41.251652179255373</v>
      </c>
      <c r="J22" s="16" t="s">
        <v>32</v>
      </c>
      <c r="K22" s="68">
        <v>1644</v>
      </c>
      <c r="L22" s="7">
        <f>(M22/K22)</f>
        <v>1788.0535279805354</v>
      </c>
      <c r="M22" s="7">
        <v>2939560</v>
      </c>
      <c r="N22" s="73">
        <f>(M22/M23)*100</f>
        <v>12.617082808007845</v>
      </c>
      <c r="O22" s="68">
        <v>920</v>
      </c>
      <c r="P22" s="7">
        <f>(Q22/O22)</f>
        <v>5374.4706521739126</v>
      </c>
      <c r="Q22" s="7">
        <v>4944513</v>
      </c>
      <c r="R22" s="73">
        <f>(Q22/Q23)*100</f>
        <v>23.377974927548326</v>
      </c>
    </row>
    <row r="23" spans="1:18" ht="13.5" thickBot="1" x14ac:dyDescent="0.35">
      <c r="A23" s="3" t="s">
        <v>33</v>
      </c>
      <c r="B23" s="70">
        <v>3607</v>
      </c>
      <c r="C23" s="71">
        <f>(D23/B23)</f>
        <v>7546.8569448294984</v>
      </c>
      <c r="D23" s="71">
        <v>27221513</v>
      </c>
      <c r="E23" s="77">
        <f>(D23/D23)*100</f>
        <v>100</v>
      </c>
      <c r="F23" s="70">
        <v>737</v>
      </c>
      <c r="G23" s="71">
        <f>(H23/F23)</f>
        <v>12721.161465400271</v>
      </c>
      <c r="H23" s="71">
        <v>9375496</v>
      </c>
      <c r="I23" s="77">
        <f>(H23/H23)*100</f>
        <v>100</v>
      </c>
      <c r="J23" s="17" t="s">
        <v>33</v>
      </c>
      <c r="K23" s="70">
        <v>1689</v>
      </c>
      <c r="L23" s="71">
        <f>(M23/K23)</f>
        <v>13794.111308466549</v>
      </c>
      <c r="M23" s="71">
        <v>23298254</v>
      </c>
      <c r="N23" s="77">
        <f>(M23/M23)*100</f>
        <v>100</v>
      </c>
      <c r="O23" s="70">
        <v>960</v>
      </c>
      <c r="P23" s="71">
        <f>(Q23/O23)</f>
        <v>22031.567708333332</v>
      </c>
      <c r="Q23" s="71">
        <v>21150305</v>
      </c>
      <c r="R23" s="77">
        <f>(Q23/Q23)*100</f>
        <v>100</v>
      </c>
    </row>
    <row r="24" spans="1:18" ht="13.5" thickBot="1" x14ac:dyDescent="0.35">
      <c r="A24" s="3"/>
      <c r="B24" s="4" t="s">
        <v>12</v>
      </c>
      <c r="E24" s="48"/>
      <c r="F24" s="4" t="s">
        <v>13</v>
      </c>
      <c r="I24" s="44"/>
      <c r="J24" s="10"/>
      <c r="K24" s="83" t="s">
        <v>12</v>
      </c>
      <c r="L24" s="84"/>
      <c r="M24" s="84"/>
      <c r="N24" s="85"/>
      <c r="O24" s="86" t="s">
        <v>13</v>
      </c>
      <c r="P24" s="87"/>
      <c r="Q24" s="87"/>
      <c r="R24" s="88"/>
    </row>
    <row r="25" spans="1:18" ht="13.5" thickBot="1" x14ac:dyDescent="0.35">
      <c r="A25" s="3" t="s">
        <v>34</v>
      </c>
      <c r="B25" s="4" t="s">
        <v>14</v>
      </c>
      <c r="C25" s="24" t="s">
        <v>15</v>
      </c>
      <c r="D25" s="24" t="s">
        <v>16</v>
      </c>
      <c r="E25" s="48" t="s">
        <v>17</v>
      </c>
      <c r="F25" s="4" t="s">
        <v>14</v>
      </c>
      <c r="G25" s="24" t="s">
        <v>15</v>
      </c>
      <c r="H25" s="24" t="s">
        <v>16</v>
      </c>
      <c r="I25" s="44" t="s">
        <v>17</v>
      </c>
      <c r="J25" s="11" t="s">
        <v>34</v>
      </c>
      <c r="K25" s="12" t="s">
        <v>14</v>
      </c>
      <c r="L25" s="13" t="s">
        <v>15</v>
      </c>
      <c r="M25" s="13" t="s">
        <v>16</v>
      </c>
      <c r="N25" s="14" t="s">
        <v>17</v>
      </c>
      <c r="O25" s="12" t="s">
        <v>14</v>
      </c>
      <c r="P25" s="13" t="s">
        <v>15</v>
      </c>
      <c r="Q25" s="13" t="s">
        <v>16</v>
      </c>
      <c r="R25" s="14" t="s">
        <v>17</v>
      </c>
    </row>
    <row r="26" spans="1:18" ht="13" x14ac:dyDescent="0.3">
      <c r="A26" s="3" t="s">
        <v>35</v>
      </c>
      <c r="B26" s="68">
        <v>3570</v>
      </c>
      <c r="C26" s="7">
        <f>(D26/B26)</f>
        <v>4048.8058823529414</v>
      </c>
      <c r="D26" s="7">
        <v>14454237</v>
      </c>
      <c r="E26" s="73">
        <f>(D26/D29)*100</f>
        <v>53.098580523426456</v>
      </c>
      <c r="F26" s="68">
        <v>729</v>
      </c>
      <c r="G26" s="7">
        <f>(H26/F26)</f>
        <v>6344.3868312757204</v>
      </c>
      <c r="H26" s="7">
        <v>4625058</v>
      </c>
      <c r="I26" s="73">
        <f>(H26/H29)*100</f>
        <v>49.331342043130306</v>
      </c>
      <c r="J26" s="15" t="s">
        <v>35</v>
      </c>
      <c r="K26" s="68">
        <v>1662</v>
      </c>
      <c r="L26" s="7">
        <f>(M26/K26)</f>
        <v>2485.595066185319</v>
      </c>
      <c r="M26" s="7">
        <v>4131059</v>
      </c>
      <c r="N26" s="73">
        <f>(M26/M29)*100</f>
        <v>17.731195650970243</v>
      </c>
      <c r="O26" s="68">
        <v>931</v>
      </c>
      <c r="P26" s="7">
        <f>(Q26/O26)</f>
        <v>6717.779806659506</v>
      </c>
      <c r="Q26" s="7">
        <v>6254253</v>
      </c>
      <c r="R26" s="73">
        <f>(Q26/Q29)*100</f>
        <v>29.57050973969406</v>
      </c>
    </row>
    <row r="27" spans="1:18" ht="13" x14ac:dyDescent="0.3">
      <c r="A27" s="3" t="s">
        <v>36</v>
      </c>
      <c r="B27" s="68">
        <v>2602</v>
      </c>
      <c r="C27" s="7">
        <f>(D27/B27)</f>
        <v>4673.3339738662571</v>
      </c>
      <c r="D27" s="7">
        <v>12160015</v>
      </c>
      <c r="E27" s="73">
        <f>(D27/D29)*100</f>
        <v>44.67060666319319</v>
      </c>
      <c r="F27" s="68">
        <v>614</v>
      </c>
      <c r="G27" s="7">
        <f>(H27/F27)</f>
        <v>7329.7459283387625</v>
      </c>
      <c r="H27" s="7">
        <v>4500464</v>
      </c>
      <c r="I27" s="73">
        <f>(H27/H29)*100</f>
        <v>48.002409685844889</v>
      </c>
      <c r="J27" s="16" t="s">
        <v>36</v>
      </c>
      <c r="K27" s="68">
        <v>1510</v>
      </c>
      <c r="L27" s="7">
        <f>(M27/K27)</f>
        <v>12582.01059602649</v>
      </c>
      <c r="M27" s="7">
        <v>18998836</v>
      </c>
      <c r="N27" s="73">
        <f>(M27/M29)*100</f>
        <v>81.546179383227596</v>
      </c>
      <c r="O27" s="68">
        <v>864</v>
      </c>
      <c r="P27" s="7">
        <f>(Q27/O27)</f>
        <v>17066.34375</v>
      </c>
      <c r="Q27" s="7">
        <v>14745321</v>
      </c>
      <c r="R27" s="73">
        <f>(Q27/Q29)*100</f>
        <v>69.716824414588814</v>
      </c>
    </row>
    <row r="28" spans="1:18" ht="13" x14ac:dyDescent="0.3">
      <c r="A28" s="3" t="s">
        <v>37</v>
      </c>
      <c r="B28" s="68">
        <v>506</v>
      </c>
      <c r="C28" s="7">
        <f>(D28/B28)</f>
        <v>1200.1205533596838</v>
      </c>
      <c r="D28" s="7">
        <v>607261</v>
      </c>
      <c r="E28" s="73">
        <f>(D28/D29)*100</f>
        <v>2.2308128133803584</v>
      </c>
      <c r="F28" s="68">
        <v>160</v>
      </c>
      <c r="G28" s="7">
        <f>(H28/F28)</f>
        <v>1562.3375000000001</v>
      </c>
      <c r="H28" s="7">
        <v>249974</v>
      </c>
      <c r="I28" s="73">
        <f>(H28/H29)*100</f>
        <v>2.6662482710248079</v>
      </c>
      <c r="J28" s="16" t="s">
        <v>37</v>
      </c>
      <c r="K28" s="68">
        <v>25</v>
      </c>
      <c r="L28" s="7">
        <f>(M28/K28)</f>
        <v>6734.36</v>
      </c>
      <c r="M28" s="7">
        <v>168359</v>
      </c>
      <c r="N28" s="73">
        <f>(M28/M29)*100</f>
        <v>0.7226249658021584</v>
      </c>
      <c r="O28" s="68">
        <v>19</v>
      </c>
      <c r="P28" s="7">
        <f>(Q28/O28)</f>
        <v>7933.2105263157891</v>
      </c>
      <c r="Q28" s="7">
        <v>150731</v>
      </c>
      <c r="R28" s="73">
        <f>(Q28/Q29)*100</f>
        <v>0.71266584571711844</v>
      </c>
    </row>
    <row r="29" spans="1:18" ht="13.5" thickBot="1" x14ac:dyDescent="0.35">
      <c r="A29" s="3" t="s">
        <v>33</v>
      </c>
      <c r="B29" s="78">
        <v>3607</v>
      </c>
      <c r="C29" s="79">
        <f>(D29/B29)</f>
        <v>7546.8569448294984</v>
      </c>
      <c r="D29" s="79">
        <v>27221513</v>
      </c>
      <c r="E29" s="80">
        <f>(D29/D29)*100</f>
        <v>100</v>
      </c>
      <c r="F29" s="78">
        <v>737</v>
      </c>
      <c r="G29" s="79">
        <f>(H29/F29)</f>
        <v>12721.161465400271</v>
      </c>
      <c r="H29" s="79">
        <v>9375496</v>
      </c>
      <c r="I29" s="80">
        <f>(H29/H29)*100</f>
        <v>100</v>
      </c>
      <c r="J29" s="17" t="s">
        <v>33</v>
      </c>
      <c r="K29" s="78">
        <v>1689</v>
      </c>
      <c r="L29" s="79">
        <f>(M29/K29)</f>
        <v>13794.111308466549</v>
      </c>
      <c r="M29" s="79">
        <v>23298254</v>
      </c>
      <c r="N29" s="80">
        <f>(M29/M29)*100</f>
        <v>100</v>
      </c>
      <c r="O29" s="70">
        <v>960</v>
      </c>
      <c r="P29" s="71">
        <f>(Q29/O29)</f>
        <v>22031.567708333332</v>
      </c>
      <c r="Q29" s="71">
        <v>21150305</v>
      </c>
      <c r="R29" s="80">
        <f>(Q29/Q29)*100</f>
        <v>100</v>
      </c>
    </row>
    <row r="30" spans="1:18" x14ac:dyDescent="0.25">
      <c r="A30" s="3"/>
      <c r="B30" s="4"/>
      <c r="E30" s="48"/>
      <c r="F30" s="4"/>
      <c r="I30" s="44"/>
    </row>
    <row r="31" spans="1:18" ht="13" x14ac:dyDescent="0.3">
      <c r="A31" s="5" t="s">
        <v>38</v>
      </c>
      <c r="B31" s="4"/>
      <c r="E31" s="48"/>
      <c r="F31" s="4"/>
      <c r="I31" s="44"/>
    </row>
    <row r="32" spans="1:18" ht="13.5" thickBot="1" x14ac:dyDescent="0.35">
      <c r="A32" s="3"/>
      <c r="B32" s="4"/>
      <c r="E32" s="48"/>
      <c r="F32" s="4"/>
      <c r="I32" s="44"/>
      <c r="J32" s="10"/>
    </row>
    <row r="33" spans="1:11" ht="13.5" thickBot="1" x14ac:dyDescent="0.35">
      <c r="A33" s="3" t="s">
        <v>30</v>
      </c>
      <c r="B33" s="68">
        <v>3057</v>
      </c>
      <c r="C33" s="7">
        <f>(D33/B33)</f>
        <v>5521.8711154726852</v>
      </c>
      <c r="D33" s="7">
        <v>16880360</v>
      </c>
      <c r="E33" s="73">
        <f>(D33/D36)*100</f>
        <v>62.011101293304307</v>
      </c>
      <c r="F33" s="68">
        <v>662</v>
      </c>
      <c r="G33" s="7">
        <f>(H33/F33)</f>
        <v>8175.0151057401808</v>
      </c>
      <c r="H33" s="7">
        <v>5411860</v>
      </c>
      <c r="I33" s="73">
        <f>(H33/H36)*100</f>
        <v>57.723452711195222</v>
      </c>
      <c r="J33" s="11" t="s">
        <v>29</v>
      </c>
      <c r="K33" s="14" t="s">
        <v>17</v>
      </c>
    </row>
    <row r="34" spans="1:11" ht="13" x14ac:dyDescent="0.3">
      <c r="A34" s="3" t="s">
        <v>31</v>
      </c>
      <c r="B34" s="68">
        <v>1195</v>
      </c>
      <c r="C34" s="7">
        <f>(D34/B34)</f>
        <v>1921.8284518828452</v>
      </c>
      <c r="D34" s="7">
        <v>2296585</v>
      </c>
      <c r="E34" s="73">
        <f>(D34/D36)*100</f>
        <v>8.4366544945536273</v>
      </c>
      <c r="F34" s="68">
        <v>46</v>
      </c>
      <c r="G34" s="7">
        <f>(H34/F34)</f>
        <v>2088.891304347826</v>
      </c>
      <c r="H34" s="7">
        <v>96089</v>
      </c>
      <c r="I34" s="73">
        <f>(H34/H36)*100</f>
        <v>1.0248951095494041</v>
      </c>
      <c r="J34" s="15" t="s">
        <v>30</v>
      </c>
      <c r="K34" s="18">
        <f>(M20+Q20)/($M$23+$Q$23)</f>
        <v>0.71820413795641835</v>
      </c>
    </row>
    <row r="35" spans="1:11" ht="13" x14ac:dyDescent="0.3">
      <c r="A35" s="3" t="s">
        <v>32</v>
      </c>
      <c r="B35" s="68">
        <v>3518</v>
      </c>
      <c r="C35" s="7">
        <f>(D35/B35)</f>
        <v>2286.6878908470721</v>
      </c>
      <c r="D35" s="7">
        <v>8044568</v>
      </c>
      <c r="E35" s="73">
        <f>(D35/D36)*100</f>
        <v>29.552244212142064</v>
      </c>
      <c r="F35" s="68">
        <v>724</v>
      </c>
      <c r="G35" s="7">
        <f>(H35/F35)</f>
        <v>5341.9157458563532</v>
      </c>
      <c r="H35" s="7">
        <v>3867547</v>
      </c>
      <c r="I35" s="73">
        <f>(H35/H36)*100</f>
        <v>41.251652179255373</v>
      </c>
      <c r="J35" s="16" t="s">
        <v>31</v>
      </c>
      <c r="K35" s="18">
        <f>(M21+Q21)/($M$23+$Q$23)</f>
        <v>0.10442064049815428</v>
      </c>
    </row>
    <row r="36" spans="1:11" ht="13" x14ac:dyDescent="0.3">
      <c r="A36" s="3"/>
      <c r="B36" s="4"/>
      <c r="D36" s="24">
        <f>SUM(D33:D35)</f>
        <v>27221513</v>
      </c>
      <c r="E36" s="48"/>
      <c r="F36" s="4"/>
      <c r="H36" s="24">
        <f>SUM(H33:H35)</f>
        <v>9375496</v>
      </c>
      <c r="I36" s="44"/>
      <c r="J36" s="16" t="s">
        <v>32</v>
      </c>
      <c r="K36" s="18">
        <f>(M22+Q22)/($M$23+$Q$23)</f>
        <v>0.17737522154542737</v>
      </c>
    </row>
    <row r="37" spans="1:11" ht="13.5" thickBot="1" x14ac:dyDescent="0.35">
      <c r="A37" s="3" t="s">
        <v>30</v>
      </c>
      <c r="B37" s="48">
        <f>(D33+H33)/($D$36+$H$36)</f>
        <v>0.60912682782355243</v>
      </c>
      <c r="E37" s="48"/>
      <c r="F37" s="4"/>
      <c r="I37" s="44"/>
      <c r="J37" s="17" t="s">
        <v>33</v>
      </c>
      <c r="K37" s="23">
        <v>1</v>
      </c>
    </row>
    <row r="38" spans="1:11" x14ac:dyDescent="0.25">
      <c r="A38" s="3" t="s">
        <v>31</v>
      </c>
      <c r="B38" s="48">
        <f>(D34+H34)/($D$36+$H$36)</f>
        <v>6.5378949410865791E-2</v>
      </c>
      <c r="E38" s="48"/>
      <c r="F38" s="4"/>
      <c r="I38" s="44"/>
    </row>
    <row r="39" spans="1:11" x14ac:dyDescent="0.25">
      <c r="A39" s="3" t="s">
        <v>32</v>
      </c>
      <c r="B39" s="48">
        <f>(D35+H35)/($D$36+$H$36)</f>
        <v>0.32549422276558176</v>
      </c>
      <c r="E39" s="48"/>
      <c r="F39" s="4"/>
      <c r="I39" s="44"/>
    </row>
    <row r="40" spans="1:11" x14ac:dyDescent="0.25">
      <c r="A40" s="3" t="s">
        <v>39</v>
      </c>
      <c r="B40" s="48">
        <f>SUM(B37:B39)</f>
        <v>1</v>
      </c>
      <c r="E40" s="48"/>
      <c r="F40" s="4"/>
      <c r="I40" s="44"/>
    </row>
    <row r="41" spans="1:11" ht="13" thickBot="1" x14ac:dyDescent="0.3">
      <c r="A41" s="8"/>
      <c r="B41" s="9"/>
      <c r="E41" s="49"/>
      <c r="F41" s="9"/>
      <c r="I41" s="45"/>
    </row>
    <row r="45" spans="1:11" ht="13" x14ac:dyDescent="0.3">
      <c r="A45" s="40" t="s">
        <v>11</v>
      </c>
    </row>
    <row r="46" spans="1:11" x14ac:dyDescent="0.25">
      <c r="A46" s="3" t="s">
        <v>30</v>
      </c>
      <c r="B46" s="6">
        <f>SUM(C46)/C49</f>
        <v>0.6689490904672295</v>
      </c>
      <c r="C46" s="24">
        <f>SUM(D33+H33+M20+Q20)</f>
        <v>54215359</v>
      </c>
      <c r="E46" s="6"/>
    </row>
    <row r="47" spans="1:11" x14ac:dyDescent="0.25">
      <c r="A47" s="3" t="s">
        <v>31</v>
      </c>
      <c r="B47" s="6">
        <f>SUM(C47)/C49</f>
        <v>8.6790939635341929E-2</v>
      </c>
      <c r="C47" s="24">
        <f>SUM(D34+H34+M21+Q21)</f>
        <v>7034021</v>
      </c>
      <c r="E47" s="6"/>
    </row>
    <row r="48" spans="1:11" x14ac:dyDescent="0.25">
      <c r="A48" s="3" t="s">
        <v>32</v>
      </c>
      <c r="B48" s="6">
        <f>SUM(C48)/C49</f>
        <v>0.24425996989742857</v>
      </c>
      <c r="C48" s="24">
        <f>SUM(D35+H35+M22+Q22)</f>
        <v>19796188</v>
      </c>
      <c r="E48" s="6"/>
    </row>
    <row r="49" spans="2:3" x14ac:dyDescent="0.25">
      <c r="B49" s="46">
        <f>SUM(B46:B48)</f>
        <v>1</v>
      </c>
      <c r="C49" s="24">
        <f>SUM(D36+H36+M23+Q23)</f>
        <v>81045568</v>
      </c>
    </row>
  </sheetData>
  <mergeCells count="8">
    <mergeCell ref="K24:N24"/>
    <mergeCell ref="O24:R24"/>
    <mergeCell ref="K3:N3"/>
    <mergeCell ref="O3:R3"/>
    <mergeCell ref="K8:N8"/>
    <mergeCell ref="O8:R8"/>
    <mergeCell ref="K18:N18"/>
    <mergeCell ref="O18:R18"/>
  </mergeCells>
  <phoneticPr fontId="0" type="noConversion"/>
  <pageMargins left="0.75" right="0.75" top="1" bottom="1" header="0.5" footer="0.5"/>
  <pageSetup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Chart2GP-UGRecvgAid</vt:lpstr>
      <vt:lpstr>Chart6AidByType</vt:lpstr>
      <vt:lpstr>Profile Graphs Data</vt:lpstr>
      <vt:lpstr>SAO Report Graphs Data</vt:lpstr>
      <vt:lpstr>Need Graphs Data</vt:lpstr>
      <vt:lpstr>Chart1TotalEnrollment</vt:lpstr>
      <vt:lpstr>Chart3SplitElig_NoNeed</vt:lpstr>
      <vt:lpstr>Chart4TotalAidBySource</vt:lpstr>
      <vt:lpstr>Chart5SplitAidEligGP-GU</vt:lpstr>
      <vt:lpstr>Chart7UndergradNeedBased</vt:lpstr>
      <vt:lpstr>Chart8InStateFreshmanAid</vt:lpstr>
      <vt:lpstr>Chart9NeedAidBySource</vt:lpstr>
      <vt:lpstr>'Chart2GP-UGRecvgAid'!Print_Area</vt:lpstr>
      <vt:lpstr>Chart6AidByType!Print_Area</vt:lpstr>
      <vt:lpstr>'SAO Report Graphs Data'!Print_Area</vt:lpstr>
    </vt:vector>
  </TitlesOfParts>
  <Company>NCS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NCS Client</dc:creator>
  <cp:lastModifiedBy>Carina Negreanu</cp:lastModifiedBy>
  <cp:lastPrinted>2001-10-23T15:17:14Z</cp:lastPrinted>
  <dcterms:created xsi:type="dcterms:W3CDTF">2000-12-07T15:13:52Z</dcterms:created>
  <dcterms:modified xsi:type="dcterms:W3CDTF">2020-01-27T12:01:04Z</dcterms:modified>
</cp:coreProperties>
</file>