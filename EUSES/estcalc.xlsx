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BCFD388-2980-46AB-A1C4-7DB6412549DC}" xr6:coauthVersionLast="45" xr6:coauthVersionMax="45" xr10:uidLastSave="{00000000-0000-0000-0000-000000000000}"/>
  <bookViews>
    <workbookView xWindow="1900" yWindow="1900" windowWidth="28800" windowHeight="15460"/>
  </bookViews>
  <sheets>
    <sheet name="calculator" sheetId="1" r:id="rId1"/>
  </sheets>
  <definedNames>
    <definedName name="_xlnm.Print_Area" localSheetId="0">calculator!$A$1:$J$52</definedName>
  </definedNames>
  <calcPr calcId="0"/>
</workbook>
</file>

<file path=xl/calcChain.xml><?xml version="1.0" encoding="utf-8"?>
<calcChain xmlns="http://schemas.openxmlformats.org/spreadsheetml/2006/main">
  <c r="L10" i="1" l="1"/>
  <c r="L11" i="1"/>
  <c r="L12" i="1"/>
  <c r="L24" i="1"/>
  <c r="L26" i="1"/>
  <c r="L30" i="1"/>
  <c r="L35" i="1"/>
  <c r="L38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L51" i="1"/>
</calcChain>
</file>

<file path=xl/sharedStrings.xml><?xml version="1.0" encoding="utf-8"?>
<sst xmlns="http://schemas.openxmlformats.org/spreadsheetml/2006/main" count="64" uniqueCount="64">
  <si>
    <t>Estimate Preparation Cost/Schedule Calculator</t>
  </si>
  <si>
    <t>Only includes cost and time for the cost estimating function - does not include costs for the project team</t>
  </si>
  <si>
    <t>or engineering to develop the deliverables that define the project scope and form the project estimate basis.</t>
  </si>
  <si>
    <t>Est. Title:</t>
  </si>
  <si>
    <t>Est. ID #:</t>
  </si>
  <si>
    <t>Estimator:</t>
  </si>
  <si>
    <t>General Form of Cost Estimating Relationship: Estimate Preparation  Cost = C + K(project cost)^e</t>
  </si>
  <si>
    <t>BASE PARAMETERS:</t>
  </si>
  <si>
    <t>1) Enter best quess of total project costs for scope to be estimated (in US $):</t>
  </si>
  <si>
    <t>(Note: do not include project costs estimated by others)</t>
  </si>
  <si>
    <t>C =</t>
  </si>
  <si>
    <t>2) Enter Estimate Classification (5,4,3,2, or 1):</t>
  </si>
  <si>
    <t>K =</t>
  </si>
  <si>
    <t>(Refer to AACE International's cost estimate classification Recommended Practices:</t>
  </si>
  <si>
    <t>e =</t>
  </si>
  <si>
    <t>-Level of Project Definition/Completion of Deliverables: Class 5=0-2%, 4=1-5%, 3=10-40%, 2=30-60%, 1=50-100%</t>
  </si>
  <si>
    <t>-Typical names for class: Class 5=ROM, 4=Concept, 3=Budget/Authorization, 2=Definitive/Control, 1=Bid/Tender/Detail</t>
  </si>
  <si>
    <t>3) Enter the number of estimate "sub-parts" that will more or less be</t>
  </si>
  <si>
    <t>estimated as separate projects by separate individuals or sub-groups:</t>
  </si>
  <si>
    <t>(e.g. utilities + services + process1 + process2 +g&amp;a/oh&amp;p = 5)</t>
  </si>
  <si>
    <t>(Note: this subdivides the estimating work into this many parts and estimates prep costs for each part</t>
  </si>
  <si>
    <t>individually. Estimating work may be segregated by process "units, areas, or system", or by trade/discipline, but do not</t>
  </si>
  <si>
    <t>count these as "sub-parts" unless the estimating team organization/procedure treats them as relatively distinct entities</t>
  </si>
  <si>
    <t>with different estimators responsible for that part of the work.</t>
  </si>
  <si>
    <t>ADJUSTMENT FACTORS (productivity, quality, complexity, etc.):</t>
  </si>
  <si>
    <t>factor4 =</t>
  </si>
  <si>
    <t>4) Enter Project/Process Technical Complexity (also state of R&amp;D, QA, etc.)</t>
  </si>
  <si>
    <t>(1=bldgs, 2=repeat chem, 3=chem plant , 4=advanced chem, 5=pilot chem, 6=aero/nuc 7=advanced aero/nuclear)</t>
  </si>
  <si>
    <t>factor5 =</t>
  </si>
  <si>
    <t>5) Rate the quality of project team cooperation and input to the estimate:</t>
  </si>
  <si>
    <t>(Scale of 1 to 7:  1 = best, 4 = average-good practice, 7 = very poor,</t>
  </si>
  <si>
    <t>assumes that improving the quality of input to the project basis improves the efficiency of the estimating process)</t>
  </si>
  <si>
    <t>6) Enter Percentage (whole number) of costs for which a special parametric</t>
  </si>
  <si>
    <t>factor6 =</t>
  </si>
  <si>
    <t>modeling or automated estimated systems will be used:</t>
  </si>
  <si>
    <t>(assumes automated or custom tools improves the efficiency of the estimating process, excludes common software and digitizers,</t>
  </si>
  <si>
    <t>applies mostly to Class 5,4, or 3 R.O.M. or conceptual estimates)</t>
  </si>
  <si>
    <t>Rate the expected "estimating process" complexity level and availability of good reference</t>
  </si>
  <si>
    <t>data or history relative to your normal expectations for this class of estimate and</t>
  </si>
  <si>
    <t>factor7 =</t>
  </si>
  <si>
    <t>type of project:</t>
  </si>
  <si>
    <t>(Scale of 1 to 7:  1 = no complexity/copy job, 4 = standard process-good data, 7 = very complex/little to no data)</t>
  </si>
  <si>
    <t xml:space="preserve">cum factor </t>
  </si>
  <si>
    <t>of above =</t>
  </si>
  <si>
    <t>RESOURCING/SCHEDULE FACTORS:</t>
  </si>
  <si>
    <t>Enter equivalent no.# of full-time estimators involved:</t>
  </si>
  <si>
    <t>(effects the minimum schedule duration only....this value is generally = or &gt; the number of estimate "sub-parts")</t>
  </si>
  <si>
    <t>Estimating Labor Rate in $/hour:</t>
  </si>
  <si>
    <t>(all-in rate including burdens, benefits, overhead, and profit)</t>
  </si>
  <si>
    <t>Range</t>
  </si>
  <si>
    <t>High</t>
  </si>
  <si>
    <t>Low</t>
  </si>
  <si>
    <t>RESULTS:</t>
  </si>
  <si>
    <t>Point Estimate</t>
  </si>
  <si>
    <t>Total Estimated Preparation Costs:</t>
  </si>
  <si>
    <t>Estimate Preparation Costs as % of Total Project Costs:</t>
  </si>
  <si>
    <t>Total Estimating Labor Hours:</t>
  </si>
  <si>
    <t>time scaler</t>
  </si>
  <si>
    <t>Theoretical Minumum Estimating Duration in Working Days @ 6hr/person-day:</t>
  </si>
  <si>
    <t>used in equation</t>
  </si>
  <si>
    <t>Predicted Estimating Duration in Calendar Days including delays, etc.</t>
  </si>
  <si>
    <t>(duration excludes project time to produce the deliverables that define the project scope and form the basis of estimate)</t>
  </si>
  <si>
    <t>Note: this model is provided as an educational example of technology</t>
  </si>
  <si>
    <t>developed and used by cost engineers. Use at your own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</si>
</sst>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&quot;$&quot;* #,##0_);_(&quot;$&quot;* \(#,##0\);_(&quot;$&quot;* &quot;-&quot;??_);_(@_)"/>
    <numFmt numFmtId="177" formatCode="_(* #,##0_);_(* \(#,##0\);_(* &quot;-&quot;??_);_(@_)"/>
    <numFmt numFmtId="181" formatCode="0.0"/>
  </numFmts>
  <fonts count="9" x14ac:knownFonts="1"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b/>
      <sz val="10"/>
      <color indexed="8"/>
      <name val="MS Sans Serif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1" fillId="0" borderId="0" xfId="0" applyFont="1"/>
    <xf numFmtId="0" fontId="6" fillId="0" borderId="0" xfId="0" applyFont="1"/>
    <xf numFmtId="0" fontId="5" fillId="0" borderId="0" xfId="0" applyFont="1" applyBorder="1"/>
    <xf numFmtId="0" fontId="5" fillId="0" borderId="0" xfId="0" applyFont="1"/>
    <xf numFmtId="177" fontId="1" fillId="2" borderId="1" xfId="1" applyNumberFormat="1" applyFont="1" applyFill="1" applyBorder="1"/>
    <xf numFmtId="177" fontId="1" fillId="2" borderId="2" xfId="1" applyNumberFormat="1" applyFont="1" applyFill="1" applyBorder="1"/>
    <xf numFmtId="173" fontId="0" fillId="3" borderId="2" xfId="2" applyNumberFormat="1" applyFont="1" applyFill="1" applyBorder="1" applyAlignment="1" applyProtection="1">
      <alignment horizontal="right"/>
      <protection locked="0"/>
    </xf>
    <xf numFmtId="0" fontId="0" fillId="3" borderId="2" xfId="0" applyFill="1" applyBorder="1" applyAlignment="1" applyProtection="1">
      <alignment horizontal="center"/>
      <protection locked="0"/>
    </xf>
    <xf numFmtId="173" fontId="0" fillId="3" borderId="2" xfId="2" applyNumberFormat="1" applyFont="1" applyFill="1" applyBorder="1" applyProtection="1">
      <protection locked="0"/>
    </xf>
    <xf numFmtId="0" fontId="7" fillId="3" borderId="0" xfId="0" applyFont="1" applyFill="1" applyBorder="1" applyProtection="1">
      <protection locked="0"/>
    </xf>
    <xf numFmtId="0" fontId="5" fillId="3" borderId="0" xfId="0" applyFont="1" applyFill="1" applyBorder="1" applyProtection="1">
      <protection locked="0"/>
    </xf>
    <xf numFmtId="15" fontId="1" fillId="0" borderId="0" xfId="0" applyNumberFormat="1" applyFont="1"/>
    <xf numFmtId="0" fontId="7" fillId="3" borderId="3" xfId="0" applyFont="1" applyFill="1" applyBorder="1" applyProtection="1">
      <protection locked="0"/>
    </xf>
    <xf numFmtId="0" fontId="5" fillId="3" borderId="3" xfId="0" applyFont="1" applyFill="1" applyBorder="1" applyProtection="1">
      <protection locked="0"/>
    </xf>
    <xf numFmtId="0" fontId="0" fillId="0" borderId="0" xfId="0" applyBorder="1" applyAlignment="1">
      <alignment horizontal="center"/>
    </xf>
    <xf numFmtId="1" fontId="0" fillId="3" borderId="2" xfId="3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/>
    <xf numFmtId="0" fontId="2" fillId="0" borderId="4" xfId="0" applyFont="1" applyBorder="1"/>
    <xf numFmtId="10" fontId="1" fillId="2" borderId="1" xfId="3" applyNumberFormat="1" applyFont="1" applyFill="1" applyBorder="1"/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2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0" fontId="0" fillId="0" borderId="0" xfId="0" applyAlignment="1">
      <alignment horizontal="right"/>
    </xf>
    <xf numFmtId="0" fontId="6" fillId="0" borderId="0" xfId="0" quotePrefix="1" applyFont="1"/>
    <xf numFmtId="0" fontId="1" fillId="0" borderId="8" xfId="0" applyFont="1" applyBorder="1"/>
    <xf numFmtId="0" fontId="5" fillId="0" borderId="8" xfId="0" applyFont="1" applyBorder="1"/>
    <xf numFmtId="0" fontId="0" fillId="0" borderId="8" xfId="0" applyBorder="1"/>
    <xf numFmtId="0" fontId="0" fillId="0" borderId="0" xfId="0" applyBorder="1"/>
    <xf numFmtId="173" fontId="1" fillId="2" borderId="2" xfId="2" applyNumberFormat="1" applyFont="1" applyFill="1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Continuous"/>
    </xf>
    <xf numFmtId="181" fontId="0" fillId="2" borderId="2" xfId="0" applyNumberFormat="1" applyFill="1" applyBorder="1"/>
    <xf numFmtId="9" fontId="0" fillId="3" borderId="10" xfId="3" applyFont="1" applyFill="1" applyBorder="1" applyAlignment="1">
      <alignment horizontal="center"/>
    </xf>
    <xf numFmtId="9" fontId="0" fillId="3" borderId="1" xfId="3" applyFont="1" applyFill="1" applyBorder="1" applyAlignment="1">
      <alignment horizontal="center"/>
    </xf>
    <xf numFmtId="0" fontId="8" fillId="0" borderId="0" xfId="0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showGridLines="0" tabSelected="1" workbookViewId="0">
      <selection activeCell="B4" sqref="B4"/>
    </sheetView>
  </sheetViews>
  <sheetFormatPr defaultRowHeight="12.5" x14ac:dyDescent="0.25"/>
  <cols>
    <col min="1" max="2" width="11.54296875" customWidth="1"/>
    <col min="3" max="7" width="9.7265625" customWidth="1"/>
    <col min="8" max="8" width="14.81640625" customWidth="1"/>
    <col min="9" max="9" width="11.26953125" customWidth="1"/>
    <col min="10" max="10" width="9.7265625" customWidth="1"/>
    <col min="11" max="11" width="5" customWidth="1"/>
    <col min="12" max="12" width="9.7265625" customWidth="1"/>
  </cols>
  <sheetData>
    <row r="1" spans="1:12" s="3" customFormat="1" ht="15.5" x14ac:dyDescent="0.35">
      <c r="A1" s="2" t="s">
        <v>0</v>
      </c>
      <c r="B1" s="2"/>
      <c r="C1" s="2"/>
      <c r="D1" s="2"/>
      <c r="E1" s="2"/>
      <c r="F1" s="2"/>
      <c r="G1" s="2"/>
      <c r="H1" s="14"/>
    </row>
    <row r="2" spans="1:12" s="3" customFormat="1" ht="12" customHeight="1" x14ac:dyDescent="0.35">
      <c r="A2" s="6" t="s">
        <v>1</v>
      </c>
      <c r="B2" s="2"/>
      <c r="C2" s="2"/>
      <c r="D2" s="2"/>
      <c r="E2" s="2"/>
      <c r="F2" s="2"/>
      <c r="G2" s="2"/>
      <c r="H2" s="14"/>
    </row>
    <row r="3" spans="1:12" s="3" customFormat="1" ht="12" customHeight="1" x14ac:dyDescent="0.35">
      <c r="A3" s="6" t="s">
        <v>2</v>
      </c>
      <c r="B3" s="2"/>
      <c r="C3" s="2"/>
      <c r="D3" s="2"/>
      <c r="E3" s="2"/>
      <c r="F3" s="2"/>
      <c r="G3" s="2"/>
      <c r="H3" s="14"/>
    </row>
    <row r="4" spans="1:12" s="6" customFormat="1" ht="13" x14ac:dyDescent="0.3">
      <c r="A4" s="5" t="s">
        <v>3</v>
      </c>
      <c r="B4" s="15"/>
      <c r="C4" s="15"/>
      <c r="D4" s="15"/>
      <c r="E4" s="15"/>
      <c r="F4" s="15"/>
      <c r="G4" s="16"/>
      <c r="H4" s="16"/>
      <c r="J4"/>
      <c r="K4"/>
    </row>
    <row r="5" spans="1:12" s="6" customFormat="1" ht="13" x14ac:dyDescent="0.3">
      <c r="A5" s="5" t="s">
        <v>4</v>
      </c>
      <c r="B5" s="15"/>
      <c r="C5" s="15"/>
      <c r="D5" s="15"/>
      <c r="E5" s="15"/>
      <c r="F5" s="15"/>
      <c r="G5" s="16"/>
      <c r="H5" s="16"/>
      <c r="J5"/>
      <c r="K5"/>
    </row>
    <row r="6" spans="1:12" s="6" customFormat="1" ht="13" x14ac:dyDescent="0.3">
      <c r="A6" s="5" t="s">
        <v>5</v>
      </c>
      <c r="B6" s="12"/>
      <c r="C6" s="12"/>
      <c r="D6" s="12"/>
      <c r="E6" s="12"/>
      <c r="F6" s="12"/>
      <c r="G6" s="13"/>
      <c r="H6" s="13"/>
      <c r="J6"/>
      <c r="K6"/>
    </row>
    <row r="7" spans="1:12" s="6" customFormat="1" ht="13" x14ac:dyDescent="0.3">
      <c r="A7" s="20" t="s">
        <v>6</v>
      </c>
      <c r="B7" s="19"/>
      <c r="C7" s="19"/>
      <c r="D7" s="19"/>
      <c r="E7" s="19"/>
      <c r="F7" s="19"/>
      <c r="G7" s="19"/>
      <c r="H7" s="19"/>
      <c r="J7"/>
      <c r="K7"/>
    </row>
    <row r="8" spans="1:12" s="6" customFormat="1" ht="13.5" thickBot="1" x14ac:dyDescent="0.35">
      <c r="A8" s="30" t="s">
        <v>7</v>
      </c>
      <c r="B8" s="31"/>
      <c r="C8" s="31"/>
      <c r="D8" s="5"/>
      <c r="E8" s="5"/>
      <c r="F8" s="5"/>
      <c r="G8" s="5"/>
      <c r="H8" s="19"/>
      <c r="J8"/>
      <c r="K8"/>
    </row>
    <row r="9" spans="1:12" ht="13.5" thickTop="1" x14ac:dyDescent="0.3">
      <c r="A9" s="3" t="s">
        <v>8</v>
      </c>
      <c r="H9" s="11">
        <v>10000000</v>
      </c>
    </row>
    <row r="10" spans="1:12" x14ac:dyDescent="0.25">
      <c r="A10" s="4" t="s">
        <v>9</v>
      </c>
      <c r="K10" s="28" t="s">
        <v>10</v>
      </c>
      <c r="L10" s="25">
        <f>IF($H11=1,640,IF($H11=2,320,IF($H11=3,240,IF($H11=4,160,IF($H11=5,80,0)))))</f>
        <v>640</v>
      </c>
    </row>
    <row r="11" spans="1:12" ht="13" x14ac:dyDescent="0.3">
      <c r="A11" s="3" t="s">
        <v>11</v>
      </c>
      <c r="H11" s="10">
        <v>1</v>
      </c>
      <c r="K11" s="28" t="s">
        <v>12</v>
      </c>
      <c r="L11" s="25">
        <f>IF($H11=1,1.6,IF($H11=2,0.8,IF($H11=3,3,IF($H11=4,15,IF($H11=5,35,0)))))</f>
        <v>1.6</v>
      </c>
    </row>
    <row r="12" spans="1:12" x14ac:dyDescent="0.25">
      <c r="A12" s="4" t="s">
        <v>13</v>
      </c>
      <c r="K12" s="28" t="s">
        <v>14</v>
      </c>
      <c r="L12" s="25">
        <f>IF($H11=1,0.6,IF($H11=2,0.6,IF($H11=3,0.5,IF($H11=4,0.35,IF($H11=5,0.25,0)))))</f>
        <v>0.6</v>
      </c>
    </row>
    <row r="13" spans="1:12" x14ac:dyDescent="0.25">
      <c r="A13" s="29" t="s">
        <v>15</v>
      </c>
      <c r="K13" s="28"/>
      <c r="L13" s="28"/>
    </row>
    <row r="14" spans="1:12" x14ac:dyDescent="0.25">
      <c r="A14" s="29" t="s">
        <v>16</v>
      </c>
      <c r="K14" s="1"/>
    </row>
    <row r="15" spans="1:12" ht="13" x14ac:dyDescent="0.3">
      <c r="A15" s="3" t="s">
        <v>17</v>
      </c>
      <c r="K15" s="1"/>
      <c r="L15" s="1"/>
    </row>
    <row r="16" spans="1:12" ht="13" x14ac:dyDescent="0.3">
      <c r="A16" s="3" t="s">
        <v>18</v>
      </c>
      <c r="H16" s="10">
        <v>5</v>
      </c>
      <c r="K16" s="1"/>
      <c r="L16" s="1"/>
    </row>
    <row r="17" spans="1:12" ht="13" x14ac:dyDescent="0.3">
      <c r="A17" s="3" t="s">
        <v>19</v>
      </c>
      <c r="H17" s="17"/>
      <c r="K17" s="1"/>
      <c r="L17" s="1"/>
    </row>
    <row r="18" spans="1:12" x14ac:dyDescent="0.25">
      <c r="A18" s="4" t="s">
        <v>20</v>
      </c>
      <c r="H18" s="1"/>
      <c r="K18" s="1"/>
      <c r="L18" s="1"/>
    </row>
    <row r="19" spans="1:12" x14ac:dyDescent="0.25">
      <c r="A19" s="4" t="s">
        <v>21</v>
      </c>
      <c r="H19" s="1"/>
      <c r="K19" s="1"/>
      <c r="L19" s="1"/>
    </row>
    <row r="20" spans="1:12" x14ac:dyDescent="0.25">
      <c r="A20" s="4" t="s">
        <v>22</v>
      </c>
      <c r="H20" s="1"/>
      <c r="K20" s="1"/>
      <c r="L20" s="1"/>
    </row>
    <row r="21" spans="1:12" x14ac:dyDescent="0.25">
      <c r="A21" s="4" t="s">
        <v>23</v>
      </c>
      <c r="H21" s="1"/>
      <c r="K21" s="1"/>
    </row>
    <row r="22" spans="1:12" x14ac:dyDescent="0.25">
      <c r="K22" s="1"/>
      <c r="L22" s="1"/>
    </row>
    <row r="23" spans="1:12" ht="13.5" thickBot="1" x14ac:dyDescent="0.35">
      <c r="A23" s="30" t="s">
        <v>24</v>
      </c>
      <c r="B23" s="32"/>
      <c r="C23" s="32"/>
      <c r="D23" s="33"/>
      <c r="E23" s="33"/>
      <c r="F23" s="33"/>
      <c r="H23" s="1"/>
      <c r="K23" s="1"/>
      <c r="L23" s="1" t="s">
        <v>25</v>
      </c>
    </row>
    <row r="24" spans="1:12" ht="13.5" thickTop="1" x14ac:dyDescent="0.3">
      <c r="A24" s="3" t="s">
        <v>26</v>
      </c>
      <c r="H24" s="10">
        <v>3</v>
      </c>
      <c r="K24" s="1"/>
      <c r="L24" s="26">
        <f>IF(H24&lt;3,(H24/3)^0.2,(H24/3)^1.8)</f>
        <v>1</v>
      </c>
    </row>
    <row r="25" spans="1:12" x14ac:dyDescent="0.25">
      <c r="A25" s="4" t="s">
        <v>27</v>
      </c>
      <c r="K25" s="1"/>
      <c r="L25" s="1" t="s">
        <v>28</v>
      </c>
    </row>
    <row r="26" spans="1:12" ht="13" x14ac:dyDescent="0.3">
      <c r="A26" s="3" t="s">
        <v>29</v>
      </c>
      <c r="H26" s="10">
        <v>4</v>
      </c>
      <c r="K26" s="1"/>
      <c r="L26" s="26">
        <f>(H26/4)^0.2</f>
        <v>1</v>
      </c>
    </row>
    <row r="27" spans="1:12" x14ac:dyDescent="0.25">
      <c r="A27" s="4" t="s">
        <v>30</v>
      </c>
      <c r="K27" s="1"/>
      <c r="L27" s="1"/>
    </row>
    <row r="28" spans="1:12" x14ac:dyDescent="0.25">
      <c r="A28" s="4" t="s">
        <v>31</v>
      </c>
      <c r="K28" s="1"/>
      <c r="L28" s="1"/>
    </row>
    <row r="29" spans="1:12" ht="13" x14ac:dyDescent="0.3">
      <c r="A29" s="3" t="s">
        <v>32</v>
      </c>
      <c r="K29" s="1"/>
      <c r="L29" s="1" t="s">
        <v>33</v>
      </c>
    </row>
    <row r="30" spans="1:12" ht="13" x14ac:dyDescent="0.3">
      <c r="A30" s="3" t="s">
        <v>34</v>
      </c>
      <c r="H30" s="18">
        <v>0</v>
      </c>
      <c r="K30" s="1"/>
      <c r="L30" s="26">
        <f>IF(H30=0,1,1-(H30/100)*0.7)</f>
        <v>1</v>
      </c>
    </row>
    <row r="31" spans="1:12" x14ac:dyDescent="0.25">
      <c r="A31" s="4" t="s">
        <v>35</v>
      </c>
      <c r="K31" s="1"/>
      <c r="L31" s="1"/>
    </row>
    <row r="32" spans="1:12" x14ac:dyDescent="0.25">
      <c r="A32" s="4" t="s">
        <v>36</v>
      </c>
      <c r="K32" s="1"/>
      <c r="L32" s="1"/>
    </row>
    <row r="33" spans="1:12" ht="13" x14ac:dyDescent="0.3">
      <c r="A33" s="3" t="s">
        <v>37</v>
      </c>
      <c r="K33" s="1"/>
      <c r="L33" s="1"/>
    </row>
    <row r="34" spans="1:12" ht="13" x14ac:dyDescent="0.3">
      <c r="A34" s="3" t="s">
        <v>38</v>
      </c>
      <c r="H34" s="1"/>
      <c r="K34" s="1"/>
      <c r="L34" s="1" t="s">
        <v>39</v>
      </c>
    </row>
    <row r="35" spans="1:12" ht="13" x14ac:dyDescent="0.3">
      <c r="A35" s="3" t="s">
        <v>40</v>
      </c>
      <c r="H35" s="10">
        <v>4</v>
      </c>
      <c r="K35" s="1"/>
      <c r="L35" s="26">
        <f>(H35/4)^0.5</f>
        <v>1</v>
      </c>
    </row>
    <row r="36" spans="1:12" x14ac:dyDescent="0.25">
      <c r="A36" s="4" t="s">
        <v>41</v>
      </c>
      <c r="K36" s="1"/>
      <c r="L36" s="17" t="s">
        <v>42</v>
      </c>
    </row>
    <row r="37" spans="1:12" ht="13" thickBot="1" x14ac:dyDescent="0.3">
      <c r="L37" s="1" t="s">
        <v>43</v>
      </c>
    </row>
    <row r="38" spans="1:12" ht="14" thickTop="1" thickBot="1" x14ac:dyDescent="0.35">
      <c r="A38" s="30" t="s">
        <v>44</v>
      </c>
      <c r="B38" s="32"/>
      <c r="C38" s="32"/>
      <c r="D38" s="33"/>
      <c r="E38" s="33"/>
      <c r="F38" s="33"/>
      <c r="L38" s="27">
        <f>L24*L26*L30*L35</f>
        <v>1</v>
      </c>
    </row>
    <row r="39" spans="1:12" ht="13.5" thickTop="1" x14ac:dyDescent="0.3">
      <c r="A39" s="3" t="s">
        <v>45</v>
      </c>
      <c r="H39" s="10">
        <v>8</v>
      </c>
    </row>
    <row r="40" spans="1:12" x14ac:dyDescent="0.25">
      <c r="A40" s="4" t="s">
        <v>46</v>
      </c>
    </row>
    <row r="41" spans="1:12" ht="13" x14ac:dyDescent="0.3">
      <c r="A41" s="3" t="s">
        <v>47</v>
      </c>
      <c r="H41" s="9">
        <v>80</v>
      </c>
    </row>
    <row r="42" spans="1:12" x14ac:dyDescent="0.25">
      <c r="A42" s="4" t="s">
        <v>48</v>
      </c>
    </row>
    <row r="43" spans="1:12" x14ac:dyDescent="0.25">
      <c r="A43" s="4"/>
    </row>
    <row r="44" spans="1:12" x14ac:dyDescent="0.25">
      <c r="H44" s="35"/>
      <c r="I44" s="23" t="s">
        <v>49</v>
      </c>
      <c r="J44" s="24"/>
    </row>
    <row r="45" spans="1:12" x14ac:dyDescent="0.25">
      <c r="H45" s="35"/>
      <c r="I45" s="37" t="s">
        <v>50</v>
      </c>
      <c r="J45" s="38" t="s">
        <v>51</v>
      </c>
    </row>
    <row r="46" spans="1:12" ht="13.5" thickBot="1" x14ac:dyDescent="0.35">
      <c r="A46" s="30" t="s">
        <v>52</v>
      </c>
      <c r="B46" s="32"/>
      <c r="C46" s="32"/>
      <c r="H46" s="36" t="s">
        <v>53</v>
      </c>
      <c r="I46" s="40">
        <v>0.5</v>
      </c>
      <c r="J46" s="41">
        <v>-0.3</v>
      </c>
    </row>
    <row r="47" spans="1:12" ht="13.5" thickTop="1" x14ac:dyDescent="0.3">
      <c r="A47" t="s">
        <v>54</v>
      </c>
      <c r="H47" s="34">
        <f>ROUND((L10+(H9/H16)^L12*H16*L11)*L38,-2)</f>
        <v>48900</v>
      </c>
      <c r="I47" s="34">
        <f>H47*(1+I$46)</f>
        <v>73350</v>
      </c>
      <c r="J47" s="34">
        <f>H47*(1+J$46)</f>
        <v>34230</v>
      </c>
    </row>
    <row r="48" spans="1:12" ht="13" x14ac:dyDescent="0.3">
      <c r="A48" t="s">
        <v>55</v>
      </c>
      <c r="H48" s="21">
        <f>H47/$H9</f>
        <v>4.8900000000000002E-3</v>
      </c>
      <c r="I48" s="21">
        <f t="shared" ref="I48:J48" si="0">I47/$H9</f>
        <v>7.3350000000000004E-3</v>
      </c>
      <c r="J48" s="21">
        <f t="shared" si="0"/>
        <v>3.4229999999999998E-3</v>
      </c>
    </row>
    <row r="49" spans="1:12" ht="13" x14ac:dyDescent="0.3">
      <c r="A49" t="s">
        <v>56</v>
      </c>
      <c r="H49" s="7">
        <f>ROUND(H47/H41,0)</f>
        <v>611</v>
      </c>
      <c r="I49" s="8">
        <f t="shared" ref="I49:I51" si="1">H49*(1+I$46)</f>
        <v>916.5</v>
      </c>
      <c r="J49" s="8">
        <f t="shared" ref="J49:J51" si="2">H49*(1+J$46)</f>
        <v>427.7</v>
      </c>
      <c r="L49" s="22" t="s">
        <v>57</v>
      </c>
    </row>
    <row r="50" spans="1:12" ht="13" x14ac:dyDescent="0.3">
      <c r="A50" t="s">
        <v>58</v>
      </c>
      <c r="H50" s="8">
        <f>ROUND(H49/6/H39,0)</f>
        <v>13</v>
      </c>
      <c r="I50" s="8">
        <f t="shared" si="1"/>
        <v>19.5</v>
      </c>
      <c r="J50" s="8">
        <f t="shared" si="2"/>
        <v>9.1</v>
      </c>
      <c r="L50" t="s">
        <v>59</v>
      </c>
    </row>
    <row r="51" spans="1:12" ht="13" x14ac:dyDescent="0.3">
      <c r="A51" t="s">
        <v>60</v>
      </c>
      <c r="H51" s="8">
        <f>ROUND(IF(H9&lt;10000,1,(-109+69.575*(H9^0.05))*5/7/L51+1)*L24^0.5,0)</f>
        <v>43</v>
      </c>
      <c r="I51" s="8">
        <f t="shared" si="1"/>
        <v>64.5</v>
      </c>
      <c r="J51" s="8">
        <f t="shared" si="2"/>
        <v>30.099999999999998</v>
      </c>
      <c r="L51" s="39">
        <f>IF(H11=5,2,IF(H11=4,1.8,IF(H11=3,1.3,IF(H11=2,1,IF(H11=1,0.8,0)))))</f>
        <v>0.8</v>
      </c>
    </row>
    <row r="52" spans="1:12" x14ac:dyDescent="0.25">
      <c r="A52" s="4" t="s">
        <v>61</v>
      </c>
    </row>
    <row r="54" spans="1:12" ht="13" x14ac:dyDescent="0.3">
      <c r="A54" s="42" t="s">
        <v>62</v>
      </c>
    </row>
    <row r="55" spans="1:12" ht="13" x14ac:dyDescent="0.3">
      <c r="A55" s="42" t="s">
        <v>63</v>
      </c>
    </row>
  </sheetData>
  <sheetProtection sheet="1" objects="1" scenarios="1"/>
  <printOptions gridLinesSet="0"/>
  <pageMargins left="0.75" right="0.75" top="1" bottom="1" header="0.5" footer="0.5"/>
  <pageSetup scale="80" orientation="portrait" horizontalDpi="4294967292" verticalDpi="0" r:id="rId1"/>
  <headerFooter alignWithMargins="0">
    <oddFooter>&amp;L&amp;F&amp;R&amp;D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calculator</vt:lpstr>
      <vt:lpstr>calculator!Print_Area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PMD NETWORK</dc:creator>
  <cp:keywords/>
  <dc:description/>
  <cp:lastModifiedBy>Carina Negreanu</cp:lastModifiedBy>
  <dcterms:created xsi:type="dcterms:W3CDTF">2020-01-27T11:31:54Z</dcterms:created>
  <dcterms:modified xsi:type="dcterms:W3CDTF">2020-01-27T11:31:54Z</dcterms:modified>
</cp:coreProperties>
</file>