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6E0B89-5369-477D-B862-B8ADCC4C0794}" xr6:coauthVersionLast="45" xr6:coauthVersionMax="45" xr10:uidLastSave="{00000000-0000-0000-0000-000000000000}"/>
  <bookViews>
    <workbookView xWindow="380" yWindow="380" windowWidth="28800" windowHeight="15460"/>
  </bookViews>
  <sheets>
    <sheet name="Instructions" sheetId="10" r:id="rId1"/>
    <sheet name="Hw1" sheetId="8" r:id="rId2"/>
    <sheet name="Values" sheetId="2" r:id="rId3"/>
    <sheet name="Probabilities" sheetId="3" r:id="rId4"/>
    <sheet name="Correlations" sheetId="1" r:id="rId5"/>
    <sheet name="Simulation Run" sheetId="5" r:id="rId6"/>
    <sheet name="Results" sheetId="7" r:id="rId7"/>
    <sheet name="VBA code backup" sheetId="11" r:id="rId8"/>
  </sheets>
  <definedNames>
    <definedName name="N">Results!$D$5</definedName>
    <definedName name="solver_adj" localSheetId="2" hidden="1">Values!$D$6:$D$24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Values!#REF!</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3" i="1" l="1" a="1"/>
  <c r="C53" i="1" s="1"/>
  <c r="Q53" i="1"/>
  <c r="C54" i="1"/>
  <c r="Q54" i="1"/>
  <c r="C55" i="1"/>
  <c r="Q55" i="1"/>
  <c r="C56" i="1"/>
  <c r="Q56" i="1"/>
  <c r="C57" i="1"/>
  <c r="Q57" i="1"/>
  <c r="C58" i="1"/>
  <c r="Q58" i="1"/>
  <c r="C59" i="1"/>
  <c r="Q59" i="1"/>
  <c r="C60" i="1"/>
  <c r="Q60" i="1"/>
  <c r="C61" i="1"/>
  <c r="Q61" i="1"/>
  <c r="C62" i="1"/>
  <c r="Q62" i="1"/>
  <c r="C63" i="1"/>
  <c r="Q63" i="1"/>
  <c r="C64" i="1"/>
  <c r="Q64" i="1"/>
  <c r="C65" i="1"/>
  <c r="Q65" i="1"/>
  <c r="C66" i="1"/>
  <c r="Q66" i="1"/>
  <c r="C67" i="1"/>
  <c r="Q67" i="1"/>
  <c r="C68" i="1"/>
  <c r="Q68" i="1"/>
  <c r="C69" i="1"/>
  <c r="Q69" i="1"/>
  <c r="C70" i="1"/>
  <c r="Q70" i="1"/>
  <c r="C71" i="1"/>
  <c r="Q71" i="1"/>
  <c r="C72" i="1"/>
  <c r="Q72" i="1"/>
  <c r="K5" i="3"/>
  <c r="M5" i="3"/>
  <c r="N5" i="3"/>
  <c r="P5" i="3" s="1"/>
  <c r="O5" i="3"/>
  <c r="K6" i="3"/>
  <c r="M6" i="3"/>
  <c r="N6" i="3"/>
  <c r="P6" i="3" s="1"/>
  <c r="O6" i="3"/>
  <c r="K7" i="3"/>
  <c r="M7" i="3"/>
  <c r="N7" i="3"/>
  <c r="O7" i="3"/>
  <c r="P7" i="3"/>
  <c r="R7" i="3" s="1"/>
  <c r="K8" i="3"/>
  <c r="M8" i="3"/>
  <c r="B8" i="5" s="1"/>
  <c r="N8" i="3"/>
  <c r="C8" i="5" s="1"/>
  <c r="O8" i="3"/>
  <c r="D8" i="5" s="1"/>
  <c r="O8" i="5" s="1"/>
  <c r="P8" i="3"/>
  <c r="R8" i="3" s="1"/>
  <c r="S8" i="3"/>
  <c r="K9" i="3"/>
  <c r="M9" i="3"/>
  <c r="N9" i="3"/>
  <c r="P9" i="3" s="1"/>
  <c r="O9" i="3"/>
  <c r="K10" i="3"/>
  <c r="M10" i="3"/>
  <c r="N10" i="3"/>
  <c r="O10" i="3"/>
  <c r="P10" i="3"/>
  <c r="V10" i="3" s="1"/>
  <c r="K11" i="3"/>
  <c r="M11" i="3"/>
  <c r="N11" i="3"/>
  <c r="C11" i="5" s="1"/>
  <c r="O11" i="3"/>
  <c r="P11" i="3"/>
  <c r="X11" i="3" s="1"/>
  <c r="S11" i="3"/>
  <c r="U11" i="3"/>
  <c r="V11" i="3"/>
  <c r="W11" i="3"/>
  <c r="Y11" i="3"/>
  <c r="K12" i="3"/>
  <c r="M12" i="3"/>
  <c r="N12" i="3"/>
  <c r="O12" i="3"/>
  <c r="P12" i="3"/>
  <c r="R12" i="3" s="1"/>
  <c r="S12" i="3"/>
  <c r="T12" i="3"/>
  <c r="U12" i="3"/>
  <c r="V12" i="3"/>
  <c r="W12" i="3"/>
  <c r="X12" i="3"/>
  <c r="Y12" i="3"/>
  <c r="M13" i="3"/>
  <c r="N13" i="3"/>
  <c r="O13" i="3"/>
  <c r="P13" i="3"/>
  <c r="R13" i="3" s="1"/>
  <c r="T13" i="3"/>
  <c r="U13" i="3"/>
  <c r="V13" i="3"/>
  <c r="W13" i="3"/>
  <c r="X13" i="3"/>
  <c r="Y13" i="3"/>
  <c r="M14" i="3"/>
  <c r="N14" i="3"/>
  <c r="P14" i="3" s="1"/>
  <c r="O14" i="3"/>
  <c r="M15" i="3"/>
  <c r="B15" i="5" s="1"/>
  <c r="N15" i="3"/>
  <c r="P15" i="3" s="1"/>
  <c r="O15" i="3"/>
  <c r="D15" i="5" s="1"/>
  <c r="O15" i="5" s="1"/>
  <c r="M16" i="3"/>
  <c r="B16" i="5" s="1"/>
  <c r="N16" i="3"/>
  <c r="C16" i="5" s="1"/>
  <c r="O16" i="3"/>
  <c r="D16" i="5" s="1"/>
  <c r="O16" i="5" s="1"/>
  <c r="P16" i="3"/>
  <c r="R16" i="3" s="1"/>
  <c r="S16" i="3"/>
  <c r="M17" i="3"/>
  <c r="N17" i="3"/>
  <c r="O17" i="3"/>
  <c r="P17" i="3"/>
  <c r="U17" i="3" s="1"/>
  <c r="R17" i="3"/>
  <c r="S17" i="3"/>
  <c r="T17" i="3"/>
  <c r="V17" i="3"/>
  <c r="M18" i="3"/>
  <c r="N18" i="3"/>
  <c r="O18" i="3"/>
  <c r="P18" i="3"/>
  <c r="X18" i="3" s="1"/>
  <c r="S18" i="3"/>
  <c r="T18" i="3"/>
  <c r="U18" i="3"/>
  <c r="V18" i="3"/>
  <c r="W18" i="3"/>
  <c r="Y18" i="3"/>
  <c r="M19" i="3"/>
  <c r="N19" i="3"/>
  <c r="P19" i="3" s="1"/>
  <c r="O19" i="3"/>
  <c r="V19" i="3"/>
  <c r="M20" i="3"/>
  <c r="N20" i="3"/>
  <c r="O20" i="3"/>
  <c r="P20" i="3"/>
  <c r="S20" i="3" s="1"/>
  <c r="R20" i="3"/>
  <c r="U20" i="3"/>
  <c r="V20" i="3"/>
  <c r="W20" i="3"/>
  <c r="X20" i="3"/>
  <c r="Y20" i="3"/>
  <c r="M21" i="3"/>
  <c r="B21" i="5" s="1"/>
  <c r="N21" i="3"/>
  <c r="O21" i="3"/>
  <c r="P21" i="3"/>
  <c r="R21" i="3" s="1"/>
  <c r="S21" i="3"/>
  <c r="T21" i="3"/>
  <c r="U21" i="3"/>
  <c r="V21" i="3"/>
  <c r="W21" i="3"/>
  <c r="X21" i="3"/>
  <c r="Y21" i="3"/>
  <c r="M22" i="3"/>
  <c r="B22" i="5" s="1"/>
  <c r="N22" i="3"/>
  <c r="C22" i="5" s="1"/>
  <c r="O22" i="3"/>
  <c r="P22" i="3"/>
  <c r="R22" i="3" s="1"/>
  <c r="M23" i="3"/>
  <c r="B23" i="5" s="1"/>
  <c r="N23" i="3"/>
  <c r="C23" i="5" s="1"/>
  <c r="O23" i="3"/>
  <c r="D23" i="5" s="1"/>
  <c r="O23" i="5" s="1"/>
  <c r="P23" i="3"/>
  <c r="S23" i="3" s="1"/>
  <c r="T23" i="3"/>
  <c r="M24" i="3"/>
  <c r="N24" i="3"/>
  <c r="C24" i="5" s="1"/>
  <c r="O24" i="3"/>
  <c r="P24" i="3"/>
  <c r="V24" i="3" s="1"/>
  <c r="I5" i="7"/>
  <c r="I6" i="7"/>
  <c r="L6" i="7"/>
  <c r="L7" i="7" s="1"/>
  <c r="L8" i="7" s="1"/>
  <c r="L9" i="7" s="1"/>
  <c r="L10" i="7" s="1"/>
  <c r="L11" i="7" s="1"/>
  <c r="L12" i="7" s="1"/>
  <c r="L13" i="7" s="1"/>
  <c r="L14" i="7" s="1"/>
  <c r="L15" i="7" s="1"/>
  <c r="L16" i="7" s="1"/>
  <c r="L17" i="7" s="1"/>
  <c r="L18" i="7" s="1"/>
  <c r="L19" i="7" s="1"/>
  <c r="L20" i="7" s="1"/>
  <c r="L21" i="7" s="1"/>
  <c r="L22" i="7" s="1"/>
  <c r="L23" i="7" s="1"/>
  <c r="I7" i="7"/>
  <c r="I8" i="7" s="1"/>
  <c r="I9" i="7" s="1"/>
  <c r="I10" i="7" s="1"/>
  <c r="I11" i="7" s="1"/>
  <c r="I12" i="7" s="1"/>
  <c r="I13" i="7" s="1"/>
  <c r="I14" i="7" s="1"/>
  <c r="I15" i="7" s="1"/>
  <c r="I16" i="7" s="1"/>
  <c r="I17" i="7" s="1"/>
  <c r="I18" i="7" s="1"/>
  <c r="I19" i="7" s="1"/>
  <c r="I20" i="7" s="1"/>
  <c r="I21" i="7" s="1"/>
  <c r="I22" i="7" s="1"/>
  <c r="I23" i="7" s="1"/>
  <c r="F10" i="7"/>
  <c r="G10" i="7"/>
  <c r="F11" i="7"/>
  <c r="G11" i="7"/>
  <c r="F12" i="7"/>
  <c r="G12" i="7"/>
  <c r="F13" i="7"/>
  <c r="G13" i="7"/>
  <c r="D19" i="7"/>
  <c r="E19" i="7"/>
  <c r="G19" i="7" s="1"/>
  <c r="D20" i="7"/>
  <c r="E20" i="7"/>
  <c r="F20" i="7"/>
  <c r="G20" i="7"/>
  <c r="D21" i="7"/>
  <c r="E21" i="7"/>
  <c r="F21" i="7"/>
  <c r="G21" i="7"/>
  <c r="D22" i="7"/>
  <c r="E22" i="7"/>
  <c r="F22" i="7"/>
  <c r="G22" i="7"/>
  <c r="D23" i="7"/>
  <c r="E23" i="7"/>
  <c r="F23" i="7"/>
  <c r="G23" i="7"/>
  <c r="D24" i="7"/>
  <c r="E24" i="7"/>
  <c r="G24" i="7" s="1"/>
  <c r="I31" i="7"/>
  <c r="L32" i="7"/>
  <c r="L33" i="7"/>
  <c r="L34" i="7" s="1"/>
  <c r="L35" i="7" s="1"/>
  <c r="L36" i="7" s="1"/>
  <c r="L37" i="7" s="1"/>
  <c r="L38" i="7" s="1"/>
  <c r="L39" i="7" s="1"/>
  <c r="L40" i="7" s="1"/>
  <c r="L41" i="7" s="1"/>
  <c r="B5" i="5"/>
  <c r="C5" i="5"/>
  <c r="D5" i="5"/>
  <c r="O5" i="5" s="1"/>
  <c r="E5" i="5"/>
  <c r="G5" i="5"/>
  <c r="K5" i="5"/>
  <c r="N5" i="5"/>
  <c r="AB5" i="5"/>
  <c r="AC5" i="5"/>
  <c r="AD5" i="5"/>
  <c r="AE5" i="5"/>
  <c r="AF5" i="5"/>
  <c r="AG5" i="5"/>
  <c r="AH5" i="5"/>
  <c r="AI5" i="5"/>
  <c r="AJ5" i="5"/>
  <c r="AK5" i="5"/>
  <c r="AL5" i="5"/>
  <c r="AM5" i="5"/>
  <c r="AN5" i="5"/>
  <c r="AO5" i="5"/>
  <c r="AP5" i="5"/>
  <c r="AQ5" i="5"/>
  <c r="AR5" i="5"/>
  <c r="AS5" i="5"/>
  <c r="AT5" i="5"/>
  <c r="AU5" i="5"/>
  <c r="B6" i="5"/>
  <c r="D6" i="5"/>
  <c r="G6" i="5"/>
  <c r="K6" i="5"/>
  <c r="N6" i="5"/>
  <c r="O6" i="5" s="1"/>
  <c r="AB6" i="5"/>
  <c r="AC6" i="5"/>
  <c r="AD6" i="5"/>
  <c r="AE6" i="5"/>
  <c r="AF6" i="5"/>
  <c r="AG6" i="5"/>
  <c r="AH6" i="5"/>
  <c r="AI6" i="5"/>
  <c r="AJ6" i="5"/>
  <c r="AK6" i="5"/>
  <c r="AL6" i="5"/>
  <c r="AM6" i="5"/>
  <c r="AN6" i="5"/>
  <c r="AO6" i="5"/>
  <c r="AP6" i="5"/>
  <c r="AQ6" i="5"/>
  <c r="AR6" i="5"/>
  <c r="AS6" i="5"/>
  <c r="AT6" i="5"/>
  <c r="AU6" i="5"/>
  <c r="B7" i="5"/>
  <c r="C7" i="5"/>
  <c r="D7" i="5"/>
  <c r="O7" i="5" s="1"/>
  <c r="E7" i="5"/>
  <c r="G7" i="5"/>
  <c r="K7" i="5"/>
  <c r="N7" i="5"/>
  <c r="AB7" i="5"/>
  <c r="AC7" i="5"/>
  <c r="AD7" i="5"/>
  <c r="AE7" i="5"/>
  <c r="AF7" i="5"/>
  <c r="AG7" i="5"/>
  <c r="AH7" i="5"/>
  <c r="AI7" i="5"/>
  <c r="AJ7" i="5"/>
  <c r="AK7" i="5"/>
  <c r="AL7" i="5"/>
  <c r="AM7" i="5"/>
  <c r="AN7" i="5"/>
  <c r="AO7" i="5"/>
  <c r="AP7" i="5"/>
  <c r="AQ7" i="5"/>
  <c r="AR7" i="5"/>
  <c r="AS7" i="5"/>
  <c r="AT7" i="5"/>
  <c r="AU7" i="5"/>
  <c r="G8" i="5"/>
  <c r="K8" i="5"/>
  <c r="N8" i="5"/>
  <c r="AB8" i="5"/>
  <c r="AC8" i="5"/>
  <c r="AD8" i="5"/>
  <c r="AE8" i="5"/>
  <c r="AF8" i="5"/>
  <c r="AG8" i="5"/>
  <c r="AH8" i="5"/>
  <c r="AI8" i="5"/>
  <c r="AJ8" i="5"/>
  <c r="AK8" i="5"/>
  <c r="AL8" i="5"/>
  <c r="AM8" i="5"/>
  <c r="AN8" i="5"/>
  <c r="AO8" i="5"/>
  <c r="AP8" i="5"/>
  <c r="AQ8" i="5"/>
  <c r="AR8" i="5"/>
  <c r="AS8" i="5"/>
  <c r="AT8" i="5"/>
  <c r="AU8" i="5"/>
  <c r="B9" i="5"/>
  <c r="D9" i="5"/>
  <c r="O9" i="5" s="1"/>
  <c r="G9" i="5"/>
  <c r="K9" i="5"/>
  <c r="N9" i="5"/>
  <c r="AB9" i="5"/>
  <c r="AC9" i="5"/>
  <c r="AD9" i="5"/>
  <c r="AE9" i="5"/>
  <c r="AF9" i="5"/>
  <c r="AG9" i="5"/>
  <c r="AH9" i="5"/>
  <c r="AI9" i="5"/>
  <c r="AJ9" i="5"/>
  <c r="AK9" i="5"/>
  <c r="AL9" i="5"/>
  <c r="AM9" i="5"/>
  <c r="AN9" i="5"/>
  <c r="AO9" i="5"/>
  <c r="AP9" i="5"/>
  <c r="AQ9" i="5"/>
  <c r="AR9" i="5"/>
  <c r="AS9" i="5"/>
  <c r="AT9" i="5"/>
  <c r="AU9" i="5"/>
  <c r="B10" i="5"/>
  <c r="C10" i="5"/>
  <c r="D10" i="5"/>
  <c r="G10" i="5"/>
  <c r="K10" i="5"/>
  <c r="N10" i="5"/>
  <c r="O10" i="5"/>
  <c r="AB10" i="5"/>
  <c r="AC10" i="5"/>
  <c r="AD10" i="5"/>
  <c r="AE10" i="5"/>
  <c r="AF10" i="5"/>
  <c r="AG10" i="5"/>
  <c r="AH10" i="5"/>
  <c r="AI10" i="5"/>
  <c r="AJ10" i="5"/>
  <c r="AK10" i="5"/>
  <c r="AL10" i="5"/>
  <c r="AM10" i="5"/>
  <c r="AN10" i="5"/>
  <c r="AO10" i="5"/>
  <c r="AP10" i="5"/>
  <c r="AQ10" i="5"/>
  <c r="AR10" i="5"/>
  <c r="AS10" i="5"/>
  <c r="AT10" i="5"/>
  <c r="AU10" i="5"/>
  <c r="B11" i="5"/>
  <c r="D11" i="5"/>
  <c r="O11" i="5" s="1"/>
  <c r="G11" i="5"/>
  <c r="K11" i="5"/>
  <c r="N11" i="5"/>
  <c r="AB11" i="5"/>
  <c r="AC11" i="5"/>
  <c r="AD11" i="5"/>
  <c r="AE11" i="5"/>
  <c r="AF11" i="5"/>
  <c r="AG11" i="5"/>
  <c r="AH11" i="5"/>
  <c r="AI11" i="5"/>
  <c r="AJ11" i="5"/>
  <c r="AK11" i="5"/>
  <c r="AL11" i="5"/>
  <c r="AM11" i="5"/>
  <c r="AN11" i="5"/>
  <c r="AO11" i="5"/>
  <c r="AP11" i="5"/>
  <c r="AQ11" i="5"/>
  <c r="AR11" i="5"/>
  <c r="AS11" i="5"/>
  <c r="AT11" i="5"/>
  <c r="AU11" i="5"/>
  <c r="B12" i="5"/>
  <c r="C12" i="5"/>
  <c r="D12" i="5"/>
  <c r="O12" i="5" s="1"/>
  <c r="E12" i="5"/>
  <c r="G12" i="5"/>
  <c r="K12" i="5"/>
  <c r="N12" i="5"/>
  <c r="R12" i="5"/>
  <c r="S12" i="5"/>
  <c r="T12" i="5"/>
  <c r="U12" i="5"/>
  <c r="V12" i="5"/>
  <c r="W12" i="5"/>
  <c r="X12" i="5"/>
  <c r="Y12" i="5"/>
  <c r="AB12" i="5"/>
  <c r="AC12" i="5"/>
  <c r="AD12" i="5"/>
  <c r="AE12" i="5"/>
  <c r="AF12" i="5"/>
  <c r="AG12" i="5"/>
  <c r="AH12" i="5"/>
  <c r="AI12" i="5"/>
  <c r="AJ12" i="5"/>
  <c r="AK12" i="5"/>
  <c r="AL12" i="5"/>
  <c r="AM12" i="5"/>
  <c r="AN12" i="5"/>
  <c r="AO12" i="5"/>
  <c r="AP12" i="5"/>
  <c r="AQ12" i="5"/>
  <c r="AR12" i="5"/>
  <c r="AS12" i="5"/>
  <c r="AT12" i="5"/>
  <c r="AU12" i="5"/>
  <c r="B13" i="5"/>
  <c r="C13" i="5"/>
  <c r="D13" i="5"/>
  <c r="E13" i="5"/>
  <c r="G13" i="5"/>
  <c r="K13" i="5"/>
  <c r="N13" i="5"/>
  <c r="O13" i="5" s="1"/>
  <c r="AB13" i="5"/>
  <c r="AC13" i="5"/>
  <c r="AD13" i="5"/>
  <c r="AE13" i="5"/>
  <c r="AF13" i="5"/>
  <c r="AG13" i="5"/>
  <c r="AH13" i="5"/>
  <c r="AI13" i="5"/>
  <c r="AJ13" i="5"/>
  <c r="AK13" i="5"/>
  <c r="AL13" i="5"/>
  <c r="AM13" i="5"/>
  <c r="AN13" i="5"/>
  <c r="AO13" i="5"/>
  <c r="AP13" i="5"/>
  <c r="AQ13" i="5"/>
  <c r="AR13" i="5"/>
  <c r="AS13" i="5"/>
  <c r="AT13" i="5"/>
  <c r="AU13" i="5"/>
  <c r="B14" i="5"/>
  <c r="C14" i="5"/>
  <c r="D14" i="5"/>
  <c r="G14" i="5"/>
  <c r="K14" i="5"/>
  <c r="N14" i="5"/>
  <c r="O14" i="5"/>
  <c r="AB14" i="5"/>
  <c r="AC14" i="5"/>
  <c r="AD14" i="5"/>
  <c r="AE14" i="5"/>
  <c r="AF14" i="5"/>
  <c r="AG14" i="5"/>
  <c r="AH14" i="5"/>
  <c r="AI14" i="5"/>
  <c r="AJ14" i="5"/>
  <c r="AK14" i="5"/>
  <c r="AL14" i="5"/>
  <c r="AM14" i="5"/>
  <c r="AN14" i="5"/>
  <c r="AO14" i="5"/>
  <c r="AP14" i="5"/>
  <c r="AQ14" i="5"/>
  <c r="AR14" i="5"/>
  <c r="AS14" i="5"/>
  <c r="AT14" i="5"/>
  <c r="AU14" i="5"/>
  <c r="C15" i="5"/>
  <c r="G15" i="5"/>
  <c r="K15" i="5"/>
  <c r="N15" i="5"/>
  <c r="AB15" i="5"/>
  <c r="AC15" i="5"/>
  <c r="AD15" i="5"/>
  <c r="AE15" i="5"/>
  <c r="AF15" i="5"/>
  <c r="AG15" i="5"/>
  <c r="AH15" i="5"/>
  <c r="AI15" i="5"/>
  <c r="AJ15" i="5"/>
  <c r="AK15" i="5"/>
  <c r="AL15" i="5"/>
  <c r="AM15" i="5"/>
  <c r="AN15" i="5"/>
  <c r="AO15" i="5"/>
  <c r="AP15" i="5"/>
  <c r="AQ15" i="5"/>
  <c r="AR15" i="5"/>
  <c r="AS15" i="5"/>
  <c r="AT15" i="5"/>
  <c r="AU15" i="5"/>
  <c r="G16" i="5"/>
  <c r="K16" i="5"/>
  <c r="N16" i="5"/>
  <c r="AB16" i="5"/>
  <c r="AC16" i="5"/>
  <c r="AD16" i="5"/>
  <c r="AE16" i="5"/>
  <c r="AF16" i="5"/>
  <c r="AG16" i="5"/>
  <c r="AH16" i="5"/>
  <c r="AI16" i="5"/>
  <c r="AJ16" i="5"/>
  <c r="AK16" i="5"/>
  <c r="AL16" i="5"/>
  <c r="AM16" i="5"/>
  <c r="AN16" i="5"/>
  <c r="AO16" i="5"/>
  <c r="AP16" i="5"/>
  <c r="AQ16" i="5"/>
  <c r="AR16" i="5"/>
  <c r="AS16" i="5"/>
  <c r="AT16" i="5"/>
  <c r="AU16" i="5"/>
  <c r="B17" i="5"/>
  <c r="C17" i="5"/>
  <c r="D17" i="5"/>
  <c r="O17" i="5" s="1"/>
  <c r="E17" i="5"/>
  <c r="G17" i="5"/>
  <c r="K17" i="5"/>
  <c r="N17" i="5"/>
  <c r="S17" i="5"/>
  <c r="T17" i="5"/>
  <c r="U17" i="5"/>
  <c r="V17" i="5"/>
  <c r="W17" i="5"/>
  <c r="X17" i="5"/>
  <c r="Y17" i="5"/>
  <c r="AB17" i="5"/>
  <c r="AC17" i="5"/>
  <c r="AD17" i="5"/>
  <c r="AE17" i="5"/>
  <c r="AF17" i="5"/>
  <c r="AG17" i="5"/>
  <c r="AH17" i="5"/>
  <c r="AI17" i="5"/>
  <c r="AJ17" i="5"/>
  <c r="AK17" i="5"/>
  <c r="AL17" i="5"/>
  <c r="AM17" i="5"/>
  <c r="AN17" i="5"/>
  <c r="AO17" i="5"/>
  <c r="AP17" i="5"/>
  <c r="AQ17" i="5"/>
  <c r="AR17" i="5"/>
  <c r="AS17" i="5"/>
  <c r="AT17" i="5"/>
  <c r="AU17" i="5"/>
  <c r="B18" i="5"/>
  <c r="C18" i="5"/>
  <c r="D18" i="5"/>
  <c r="E18" i="5"/>
  <c r="G18" i="5"/>
  <c r="K18" i="5"/>
  <c r="S18" i="5"/>
  <c r="T18" i="5"/>
  <c r="U18" i="5"/>
  <c r="V18" i="5"/>
  <c r="W18" i="5"/>
  <c r="X18" i="5"/>
  <c r="Y18" i="5"/>
  <c r="AB18" i="5"/>
  <c r="AC18" i="5"/>
  <c r="AD18" i="5"/>
  <c r="AE18" i="5"/>
  <c r="AF18" i="5"/>
  <c r="AG18" i="5"/>
  <c r="AH18" i="5"/>
  <c r="AI18" i="5"/>
  <c r="AJ18" i="5"/>
  <c r="AK18" i="5"/>
  <c r="AL18" i="5"/>
  <c r="AM18" i="5"/>
  <c r="AN18" i="5"/>
  <c r="AO18" i="5"/>
  <c r="AP18" i="5"/>
  <c r="AQ18" i="5"/>
  <c r="AR18" i="5"/>
  <c r="AS18" i="5"/>
  <c r="AT18" i="5"/>
  <c r="AU18" i="5"/>
  <c r="B19" i="5"/>
  <c r="C19" i="5"/>
  <c r="D19" i="5"/>
  <c r="G19" i="5"/>
  <c r="K19" i="5"/>
  <c r="N19" i="5"/>
  <c r="O19" i="5" s="1"/>
  <c r="S19" i="5"/>
  <c r="T19" i="5"/>
  <c r="U19" i="5"/>
  <c r="V19" i="5"/>
  <c r="W19" i="5"/>
  <c r="X19" i="5"/>
  <c r="Y19" i="5"/>
  <c r="AB19" i="5"/>
  <c r="AC19" i="5"/>
  <c r="AD19" i="5"/>
  <c r="AE19" i="5"/>
  <c r="AF19" i="5"/>
  <c r="AG19" i="5"/>
  <c r="AH19" i="5"/>
  <c r="AI19" i="5"/>
  <c r="AJ19" i="5"/>
  <c r="AK19" i="5"/>
  <c r="AL19" i="5"/>
  <c r="AM19" i="5"/>
  <c r="AN19" i="5"/>
  <c r="AO19" i="5"/>
  <c r="AP19" i="5"/>
  <c r="AQ19" i="5"/>
  <c r="AR19" i="5"/>
  <c r="AS19" i="5"/>
  <c r="AT19" i="5"/>
  <c r="AU19" i="5"/>
  <c r="B20" i="5"/>
  <c r="C20" i="5"/>
  <c r="D20" i="5"/>
  <c r="E20" i="5"/>
  <c r="G20" i="5"/>
  <c r="K20" i="5"/>
  <c r="N20" i="5"/>
  <c r="O20" i="5"/>
  <c r="S20" i="5"/>
  <c r="T20" i="5"/>
  <c r="U20" i="5"/>
  <c r="V20" i="5"/>
  <c r="W20" i="5"/>
  <c r="X20" i="5"/>
  <c r="Y20" i="5"/>
  <c r="AB20" i="5"/>
  <c r="AC20" i="5"/>
  <c r="AD20" i="5"/>
  <c r="AE20" i="5"/>
  <c r="AF20" i="5"/>
  <c r="AG20" i="5"/>
  <c r="AH20" i="5"/>
  <c r="AI20" i="5"/>
  <c r="AJ20" i="5"/>
  <c r="AK20" i="5"/>
  <c r="AL20" i="5"/>
  <c r="AM20" i="5"/>
  <c r="AN20" i="5"/>
  <c r="AO20" i="5"/>
  <c r="AP20" i="5"/>
  <c r="AQ20" i="5"/>
  <c r="AR20" i="5"/>
  <c r="AS20" i="5"/>
  <c r="AT20" i="5"/>
  <c r="AU20" i="5"/>
  <c r="C21" i="5"/>
  <c r="D21" i="5"/>
  <c r="E21" i="5"/>
  <c r="G21" i="5"/>
  <c r="K21" i="5"/>
  <c r="N21" i="5"/>
  <c r="O21" i="5"/>
  <c r="S21" i="5"/>
  <c r="T21" i="5"/>
  <c r="U21" i="5"/>
  <c r="V21" i="5"/>
  <c r="W21" i="5"/>
  <c r="X21" i="5"/>
  <c r="Y21" i="5"/>
  <c r="AB21" i="5"/>
  <c r="AC21" i="5"/>
  <c r="AD21" i="5"/>
  <c r="AE21" i="5"/>
  <c r="AF21" i="5"/>
  <c r="AG21" i="5"/>
  <c r="AH21" i="5"/>
  <c r="AI21" i="5"/>
  <c r="AJ21" i="5"/>
  <c r="AK21" i="5"/>
  <c r="AL21" i="5"/>
  <c r="AM21" i="5"/>
  <c r="AN21" i="5"/>
  <c r="AO21" i="5"/>
  <c r="AP21" i="5"/>
  <c r="AQ21" i="5"/>
  <c r="AR21" i="5"/>
  <c r="AS21" i="5"/>
  <c r="AT21" i="5"/>
  <c r="AU21" i="5"/>
  <c r="D22" i="5"/>
  <c r="G22" i="5"/>
  <c r="K22" i="5"/>
  <c r="N22" i="5"/>
  <c r="O22" i="5"/>
  <c r="S22" i="5"/>
  <c r="T22" i="5"/>
  <c r="U22" i="5"/>
  <c r="V22" i="5"/>
  <c r="W22" i="5"/>
  <c r="X22" i="5"/>
  <c r="Y22" i="5"/>
  <c r="AB22" i="5"/>
  <c r="AC22" i="5"/>
  <c r="AD22" i="5"/>
  <c r="AE22" i="5"/>
  <c r="AF22" i="5"/>
  <c r="AG22" i="5"/>
  <c r="AH22" i="5"/>
  <c r="AI22" i="5"/>
  <c r="AJ22" i="5"/>
  <c r="AK22" i="5"/>
  <c r="AL22" i="5"/>
  <c r="AM22" i="5"/>
  <c r="AN22" i="5"/>
  <c r="AO22" i="5"/>
  <c r="AP22" i="5"/>
  <c r="AQ22" i="5"/>
  <c r="AR22" i="5"/>
  <c r="AS22" i="5"/>
  <c r="AT22" i="5"/>
  <c r="AU22" i="5"/>
  <c r="G23" i="5"/>
  <c r="K23" i="5"/>
  <c r="N23" i="5"/>
  <c r="S23" i="5"/>
  <c r="T23" i="5"/>
  <c r="U23" i="5"/>
  <c r="V23" i="5"/>
  <c r="W23" i="5"/>
  <c r="X23" i="5"/>
  <c r="Y23" i="5"/>
  <c r="AB23" i="5"/>
  <c r="AC23" i="5"/>
  <c r="AD23" i="5"/>
  <c r="AE23" i="5"/>
  <c r="AF23" i="5"/>
  <c r="AG23" i="5"/>
  <c r="AH23" i="5"/>
  <c r="AI23" i="5"/>
  <c r="AJ23" i="5"/>
  <c r="AK23" i="5"/>
  <c r="AL23" i="5"/>
  <c r="AM23" i="5"/>
  <c r="AN23" i="5"/>
  <c r="AO23" i="5"/>
  <c r="AP23" i="5"/>
  <c r="AQ23" i="5"/>
  <c r="AR23" i="5"/>
  <c r="AS23" i="5"/>
  <c r="AT23" i="5"/>
  <c r="AU23" i="5"/>
  <c r="B24" i="5"/>
  <c r="D24" i="5"/>
  <c r="O24" i="5" s="1"/>
  <c r="G24" i="5"/>
  <c r="K24" i="5"/>
  <c r="N24" i="5"/>
  <c r="AB24" i="5"/>
  <c r="AC24" i="5"/>
  <c r="AD24" i="5"/>
  <c r="AE24" i="5"/>
  <c r="AF24" i="5"/>
  <c r="AG24" i="5"/>
  <c r="AH24" i="5"/>
  <c r="AI24" i="5"/>
  <c r="AJ24" i="5"/>
  <c r="AK24" i="5"/>
  <c r="AL24" i="5"/>
  <c r="AM24" i="5"/>
  <c r="AN24" i="5"/>
  <c r="AO24" i="5"/>
  <c r="AP24" i="5"/>
  <c r="AQ24" i="5"/>
  <c r="AR24" i="5"/>
  <c r="AS24" i="5"/>
  <c r="AT24" i="5"/>
  <c r="AU24" i="5"/>
  <c r="J4" i="2"/>
  <c r="J13" i="2" s="1"/>
  <c r="K4" i="2"/>
  <c r="K14" i="2" s="1"/>
  <c r="L4" i="2"/>
  <c r="L12" i="2" s="1"/>
  <c r="I5" i="2"/>
  <c r="AA5" i="2"/>
  <c r="AB5" i="2" s="1"/>
  <c r="I6" i="2"/>
  <c r="AA6" i="2"/>
  <c r="AB6" i="2" s="1"/>
  <c r="I7" i="2"/>
  <c r="AA7" i="2"/>
  <c r="AB7" i="2" s="1"/>
  <c r="I8" i="2"/>
  <c r="AA8" i="2"/>
  <c r="AB8" i="2"/>
  <c r="AC8" i="2" s="1"/>
  <c r="I9" i="2"/>
  <c r="J9" i="2"/>
  <c r="K9" i="2"/>
  <c r="AA9" i="2"/>
  <c r="AB9" i="2" s="1"/>
  <c r="I10" i="2"/>
  <c r="J10" i="2"/>
  <c r="K10" i="2"/>
  <c r="AA10" i="2"/>
  <c r="AB10" i="2" s="1"/>
  <c r="I11" i="2"/>
  <c r="J11" i="2"/>
  <c r="K11" i="2"/>
  <c r="L11" i="2"/>
  <c r="AA11" i="2"/>
  <c r="AB11" i="2"/>
  <c r="AC11" i="2"/>
  <c r="AA11" i="3" s="1"/>
  <c r="AD11" i="2"/>
  <c r="AE11" i="2"/>
  <c r="Y11" i="2" s="1"/>
  <c r="AF11" i="2"/>
  <c r="I12" i="2"/>
  <c r="J12" i="2"/>
  <c r="K12" i="2"/>
  <c r="AA12" i="2"/>
  <c r="AB12" i="2" s="1"/>
  <c r="AD12" i="2" s="1"/>
  <c r="AC12" i="2"/>
  <c r="AF12" i="2"/>
  <c r="I13" i="2"/>
  <c r="K13" i="2"/>
  <c r="AA13" i="2"/>
  <c r="AB13" i="2" s="1"/>
  <c r="AC13" i="2" s="1"/>
  <c r="I14" i="2"/>
  <c r="AA14" i="2"/>
  <c r="AB14" i="2"/>
  <c r="I15" i="2"/>
  <c r="AA15" i="2"/>
  <c r="AB15" i="2" s="1"/>
  <c r="I16" i="2"/>
  <c r="AA16" i="2"/>
  <c r="AB16" i="2" s="1"/>
  <c r="I17" i="2"/>
  <c r="AA17" i="2"/>
  <c r="AB17" i="2" s="1"/>
  <c r="I18" i="2"/>
  <c r="K18" i="2"/>
  <c r="AA18" i="2"/>
  <c r="AB18" i="2"/>
  <c r="AD18" i="2" s="1"/>
  <c r="AF18" i="2" s="1"/>
  <c r="AC18" i="2"/>
  <c r="AA18" i="3" s="1"/>
  <c r="I19" i="2"/>
  <c r="J19" i="2"/>
  <c r="K19" i="2"/>
  <c r="AA19" i="2"/>
  <c r="AB19" i="2" s="1"/>
  <c r="I20" i="2"/>
  <c r="J20" i="2"/>
  <c r="K20" i="2"/>
  <c r="L20" i="2"/>
  <c r="AA20" i="2"/>
  <c r="AB20" i="2" s="1"/>
  <c r="I21" i="2"/>
  <c r="J21" i="2"/>
  <c r="K21" i="2"/>
  <c r="L21" i="2"/>
  <c r="AA21" i="2"/>
  <c r="AB21" i="2"/>
  <c r="AC21" i="2"/>
  <c r="AA21" i="3" s="1"/>
  <c r="AD21" i="3" s="1"/>
  <c r="AE21" i="3" s="1"/>
  <c r="AD21" i="2"/>
  <c r="AE21" i="2"/>
  <c r="AF21" i="2"/>
  <c r="I22" i="2"/>
  <c r="J22" i="2"/>
  <c r="K22" i="2"/>
  <c r="AA22" i="2"/>
  <c r="AB22" i="2"/>
  <c r="AC22" i="2"/>
  <c r="AA22" i="3" s="1"/>
  <c r="AD22" i="2"/>
  <c r="AE22" i="2"/>
  <c r="AF22" i="2"/>
  <c r="I23" i="2"/>
  <c r="K23" i="2"/>
  <c r="AA23" i="2"/>
  <c r="AB23" i="2"/>
  <c r="AC23" i="2" s="1"/>
  <c r="I24" i="2"/>
  <c r="K24" i="2"/>
  <c r="AA24" i="2"/>
  <c r="AB24" i="2"/>
  <c r="AD24" i="2" s="1"/>
  <c r="R30" i="2"/>
  <c r="S30" i="2"/>
  <c r="T30" i="2"/>
  <c r="U30" i="2"/>
  <c r="V30" i="2"/>
  <c r="W30" i="2"/>
  <c r="X30" i="2"/>
  <c r="R31" i="2"/>
  <c r="S31" i="2"/>
  <c r="T31" i="2"/>
  <c r="U31" i="2"/>
  <c r="V31" i="2"/>
  <c r="W31" i="2"/>
  <c r="X31" i="2"/>
  <c r="R32" i="2"/>
  <c r="S32" i="2"/>
  <c r="T32" i="2"/>
  <c r="U32" i="2"/>
  <c r="V32" i="2"/>
  <c r="W32" i="2"/>
  <c r="X32" i="2"/>
  <c r="R33" i="2"/>
  <c r="S33" i="2"/>
  <c r="T33" i="2"/>
  <c r="U33" i="2"/>
  <c r="V33" i="2"/>
  <c r="W33" i="2"/>
  <c r="X33" i="2"/>
  <c r="Q34" i="2"/>
  <c r="Q35" i="2"/>
  <c r="Q36" i="2" s="1"/>
  <c r="Q45" i="2"/>
  <c r="Q46" i="2" s="1"/>
  <c r="Q47" i="2" s="1"/>
  <c r="R45" i="2"/>
  <c r="S45" i="2"/>
  <c r="T45" i="2"/>
  <c r="U45" i="2"/>
  <c r="U46" i="2" s="1"/>
  <c r="U35" i="2" s="1"/>
  <c r="V45" i="2"/>
  <c r="W45" i="2"/>
  <c r="W46" i="2" s="1"/>
  <c r="W35" i="2" s="1"/>
  <c r="X45" i="2"/>
  <c r="V46" i="2"/>
  <c r="V35" i="2" s="1"/>
  <c r="X46" i="2"/>
  <c r="X35" i="2" s="1"/>
  <c r="U47" i="2"/>
  <c r="U36" i="2" s="1"/>
  <c r="V47" i="2"/>
  <c r="V36" i="2" s="1"/>
  <c r="W47" i="2"/>
  <c r="W36" i="2" s="1"/>
  <c r="X47" i="2"/>
  <c r="X36" i="2" s="1"/>
  <c r="AA23" i="3" l="1"/>
  <c r="AD11" i="3"/>
  <c r="AA8" i="3"/>
  <c r="AE11" i="3"/>
  <c r="AC20" i="2"/>
  <c r="AD20" i="2"/>
  <c r="AF20" i="2" s="1"/>
  <c r="AC6" i="2"/>
  <c r="AD6" i="2"/>
  <c r="AF6" i="2" s="1"/>
  <c r="AD13" i="2"/>
  <c r="AF13" i="2" s="1"/>
  <c r="AC10" i="2"/>
  <c r="AD10" i="2"/>
  <c r="AF10" i="2" s="1"/>
  <c r="R19" i="3"/>
  <c r="S19" i="3"/>
  <c r="E19" i="5"/>
  <c r="T19" i="3"/>
  <c r="U19" i="3"/>
  <c r="W19" i="3"/>
  <c r="X19" i="3"/>
  <c r="Y19" i="3"/>
  <c r="AA13" i="3"/>
  <c r="AD13" i="3" s="1"/>
  <c r="AE13" i="3" s="1"/>
  <c r="AE13" i="2"/>
  <c r="Y13" i="2" s="1"/>
  <c r="AC5" i="2"/>
  <c r="AD5" i="2"/>
  <c r="AF5" i="2" s="1"/>
  <c r="AC15" i="2"/>
  <c r="AD15" i="2"/>
  <c r="AF15" i="2" s="1"/>
  <c r="AC17" i="2"/>
  <c r="AD17" i="2"/>
  <c r="AF17" i="2" s="1"/>
  <c r="J4" i="7" a="1"/>
  <c r="AD18" i="3"/>
  <c r="AE18" i="3" s="1"/>
  <c r="AF24" i="2"/>
  <c r="H5" i="5" a="1"/>
  <c r="Y22" i="2"/>
  <c r="S46" i="2"/>
  <c r="S34" i="2"/>
  <c r="R34" i="2"/>
  <c r="R46" i="2"/>
  <c r="R6" i="3"/>
  <c r="S6" i="3"/>
  <c r="T6" i="3"/>
  <c r="U6" i="3"/>
  <c r="E6" i="5"/>
  <c r="V6" i="3"/>
  <c r="W6" i="3"/>
  <c r="X6" i="3"/>
  <c r="Y6" i="3"/>
  <c r="AC7" i="2"/>
  <c r="AD7" i="2"/>
  <c r="AF7" i="2" s="1"/>
  <c r="AC9" i="2"/>
  <c r="AD9" i="2"/>
  <c r="AF9" i="2" s="1"/>
  <c r="J30" i="7" a="1"/>
  <c r="R15" i="3"/>
  <c r="S15" i="3"/>
  <c r="T15" i="3"/>
  <c r="U15" i="3"/>
  <c r="V15" i="3"/>
  <c r="W15" i="3"/>
  <c r="X15" i="3"/>
  <c r="Y15" i="3"/>
  <c r="E15" i="5"/>
  <c r="Y21" i="2"/>
  <c r="T34" i="2"/>
  <c r="T46" i="2"/>
  <c r="AA12" i="3"/>
  <c r="AD12" i="3" s="1"/>
  <c r="AE12" i="3" s="1"/>
  <c r="AE12" i="2"/>
  <c r="Y12" i="2" s="1"/>
  <c r="X34" i="2"/>
  <c r="W34" i="2"/>
  <c r="AC16" i="2"/>
  <c r="AD16" i="2"/>
  <c r="AF16" i="2" s="1"/>
  <c r="R5" i="3"/>
  <c r="S5" i="3"/>
  <c r="T5" i="3"/>
  <c r="U5" i="3"/>
  <c r="V5" i="3"/>
  <c r="W5" i="3"/>
  <c r="X5" i="3"/>
  <c r="Y5" i="3"/>
  <c r="AD14" i="2"/>
  <c r="AC14" i="2"/>
  <c r="AC24" i="2"/>
  <c r="E14" i="5"/>
  <c r="R14" i="3"/>
  <c r="S14" i="3"/>
  <c r="T14" i="3"/>
  <c r="U14" i="3"/>
  <c r="V14" i="3"/>
  <c r="W14" i="3"/>
  <c r="X14" i="3"/>
  <c r="Y14" i="3"/>
  <c r="T9" i="3"/>
  <c r="E9" i="5"/>
  <c r="U9" i="3"/>
  <c r="V9" i="3"/>
  <c r="W9" i="3"/>
  <c r="X9" i="3"/>
  <c r="Y9" i="3"/>
  <c r="R9" i="3"/>
  <c r="S9" i="3"/>
  <c r="AC19" i="2"/>
  <c r="AD19" i="2"/>
  <c r="AF19" i="2" s="1"/>
  <c r="V34" i="2"/>
  <c r="AD23" i="2"/>
  <c r="AF23" i="2" s="1"/>
  <c r="U34" i="2"/>
  <c r="M4" i="2"/>
  <c r="F24" i="7"/>
  <c r="F19" i="7"/>
  <c r="U24" i="3"/>
  <c r="R23" i="3"/>
  <c r="U10" i="3"/>
  <c r="U72" i="1"/>
  <c r="U71" i="1"/>
  <c r="U70" i="1"/>
  <c r="U69" i="1"/>
  <c r="U68" i="1"/>
  <c r="U67" i="1"/>
  <c r="U66" i="1"/>
  <c r="U65" i="1"/>
  <c r="U64" i="1"/>
  <c r="U63" i="1"/>
  <c r="U62" i="1"/>
  <c r="U61" i="1"/>
  <c r="U60" i="1"/>
  <c r="U59" i="1"/>
  <c r="U58" i="1"/>
  <c r="U57" i="1"/>
  <c r="U56" i="1"/>
  <c r="U55" i="1"/>
  <c r="U54" i="1"/>
  <c r="U53" i="1"/>
  <c r="C9" i="5"/>
  <c r="T24" i="3"/>
  <c r="T10" i="3"/>
  <c r="T72" i="1"/>
  <c r="T71" i="1"/>
  <c r="T70" i="1"/>
  <c r="T69" i="1"/>
  <c r="T68" i="1"/>
  <c r="T67" i="1"/>
  <c r="T66" i="1"/>
  <c r="T65" i="1"/>
  <c r="T64" i="1"/>
  <c r="T63" i="1"/>
  <c r="T62" i="1"/>
  <c r="T61" i="1"/>
  <c r="T60" i="1"/>
  <c r="T59" i="1"/>
  <c r="T58" i="1"/>
  <c r="T57" i="1"/>
  <c r="T56" i="1"/>
  <c r="T55" i="1"/>
  <c r="T54" i="1"/>
  <c r="T53" i="1"/>
  <c r="S24" i="3"/>
  <c r="S10" i="3"/>
  <c r="S72" i="1"/>
  <c r="S71" i="1"/>
  <c r="S70" i="1"/>
  <c r="S69" i="1"/>
  <c r="S68" i="1"/>
  <c r="S67" i="1"/>
  <c r="S66" i="1"/>
  <c r="S65" i="1"/>
  <c r="S64" i="1"/>
  <c r="S63" i="1"/>
  <c r="S62" i="1"/>
  <c r="S61" i="1"/>
  <c r="S60" i="1"/>
  <c r="S59" i="1"/>
  <c r="S58" i="1"/>
  <c r="S57" i="1"/>
  <c r="S56" i="1"/>
  <c r="S55" i="1"/>
  <c r="S54" i="1"/>
  <c r="S53" i="1"/>
  <c r="L10" i="2"/>
  <c r="R24" i="3"/>
  <c r="T11" i="3"/>
  <c r="R10" i="3"/>
  <c r="R72" i="1"/>
  <c r="R71" i="1"/>
  <c r="R70" i="1"/>
  <c r="R69" i="1"/>
  <c r="R68" i="1"/>
  <c r="R67" i="1"/>
  <c r="R66" i="1"/>
  <c r="R65" i="1"/>
  <c r="R64" i="1"/>
  <c r="R63" i="1"/>
  <c r="R62" i="1"/>
  <c r="R61" i="1"/>
  <c r="R60" i="1"/>
  <c r="R59" i="1"/>
  <c r="R58" i="1"/>
  <c r="R57" i="1"/>
  <c r="R56" i="1"/>
  <c r="R55" i="1"/>
  <c r="R54" i="1"/>
  <c r="R53" i="1"/>
  <c r="L9" i="2"/>
  <c r="R18" i="3"/>
  <c r="R11" i="3"/>
  <c r="P72" i="1"/>
  <c r="P71" i="1"/>
  <c r="P70" i="1"/>
  <c r="P69" i="1"/>
  <c r="P68" i="1"/>
  <c r="P67" i="1"/>
  <c r="P66" i="1"/>
  <c r="P65" i="1"/>
  <c r="P64" i="1"/>
  <c r="P63" i="1"/>
  <c r="P62" i="1"/>
  <c r="P61" i="1"/>
  <c r="P60" i="1"/>
  <c r="P59" i="1"/>
  <c r="P58" i="1"/>
  <c r="P57" i="1"/>
  <c r="P56" i="1"/>
  <c r="P55" i="1"/>
  <c r="P54" i="1"/>
  <c r="P53" i="1"/>
  <c r="O72" i="1"/>
  <c r="O71" i="1"/>
  <c r="O70" i="1"/>
  <c r="O69" i="1"/>
  <c r="O68" i="1"/>
  <c r="O67" i="1"/>
  <c r="O66" i="1"/>
  <c r="O65" i="1"/>
  <c r="O64" i="1"/>
  <c r="O63" i="1"/>
  <c r="O62" i="1"/>
  <c r="O61" i="1"/>
  <c r="O60" i="1"/>
  <c r="O59" i="1"/>
  <c r="O58" i="1"/>
  <c r="O57" i="1"/>
  <c r="O56" i="1"/>
  <c r="O55" i="1"/>
  <c r="O54" i="1"/>
  <c r="O53" i="1"/>
  <c r="L19" i="2"/>
  <c r="L8" i="2"/>
  <c r="N72" i="1"/>
  <c r="N71" i="1"/>
  <c r="N70" i="1"/>
  <c r="N69" i="1"/>
  <c r="N68" i="1"/>
  <c r="N67" i="1"/>
  <c r="N66" i="1"/>
  <c r="N65" i="1"/>
  <c r="N64" i="1"/>
  <c r="N63" i="1"/>
  <c r="N62" i="1"/>
  <c r="N61" i="1"/>
  <c r="N60" i="1"/>
  <c r="N59" i="1"/>
  <c r="N58" i="1"/>
  <c r="N57" i="1"/>
  <c r="N56" i="1"/>
  <c r="N55" i="1"/>
  <c r="N54" i="1"/>
  <c r="N53" i="1"/>
  <c r="K8" i="2"/>
  <c r="E10" i="5"/>
  <c r="M72" i="1"/>
  <c r="M71" i="1"/>
  <c r="M70" i="1"/>
  <c r="M69" i="1"/>
  <c r="M68" i="1"/>
  <c r="M67" i="1"/>
  <c r="M66" i="1"/>
  <c r="M65" i="1"/>
  <c r="M64" i="1"/>
  <c r="M63" i="1"/>
  <c r="M62" i="1"/>
  <c r="M61" i="1"/>
  <c r="M60" i="1"/>
  <c r="M59" i="1"/>
  <c r="M58" i="1"/>
  <c r="M57" i="1"/>
  <c r="M56" i="1"/>
  <c r="M55" i="1"/>
  <c r="M54" i="1"/>
  <c r="M53" i="1"/>
  <c r="J18" i="2"/>
  <c r="L17" i="2"/>
  <c r="J8" i="2"/>
  <c r="L7" i="2"/>
  <c r="I32" i="7"/>
  <c r="I33" i="7" s="1"/>
  <c r="I34" i="7" s="1"/>
  <c r="I35" i="7" s="1"/>
  <c r="I36" i="7" s="1"/>
  <c r="I37" i="7" s="1"/>
  <c r="I38" i="7" s="1"/>
  <c r="I39" i="7" s="1"/>
  <c r="I40" i="7" s="1"/>
  <c r="I41" i="7" s="1"/>
  <c r="T20" i="3"/>
  <c r="S13" i="3"/>
  <c r="L72" i="1"/>
  <c r="L71" i="1"/>
  <c r="L70" i="1"/>
  <c r="L69" i="1"/>
  <c r="L68" i="1"/>
  <c r="L67" i="1"/>
  <c r="L66" i="1"/>
  <c r="L65" i="1"/>
  <c r="L64" i="1"/>
  <c r="L63" i="1"/>
  <c r="L62" i="1"/>
  <c r="L61" i="1"/>
  <c r="L60" i="1"/>
  <c r="L59" i="1"/>
  <c r="L58" i="1"/>
  <c r="L57" i="1"/>
  <c r="L56" i="1"/>
  <c r="L55" i="1"/>
  <c r="L54" i="1"/>
  <c r="L53" i="1"/>
  <c r="AE18" i="2"/>
  <c r="Y18" i="2" s="1"/>
  <c r="K17" i="2"/>
  <c r="K7" i="2"/>
  <c r="E8" i="5"/>
  <c r="Y22" i="3"/>
  <c r="AD22" i="3" s="1"/>
  <c r="AE22" i="3" s="1"/>
  <c r="Y7" i="3"/>
  <c r="K72" i="1"/>
  <c r="K71" i="1"/>
  <c r="K70" i="1"/>
  <c r="K69" i="1"/>
  <c r="K68" i="1"/>
  <c r="K67" i="1"/>
  <c r="K66" i="1"/>
  <c r="K65" i="1"/>
  <c r="K64" i="1"/>
  <c r="K63" i="1"/>
  <c r="K62" i="1"/>
  <c r="K61" i="1"/>
  <c r="K60" i="1"/>
  <c r="K59" i="1"/>
  <c r="K58" i="1"/>
  <c r="K57" i="1"/>
  <c r="K56" i="1"/>
  <c r="K55" i="1"/>
  <c r="K54" i="1"/>
  <c r="K53" i="1"/>
  <c r="J17" i="2"/>
  <c r="L16" i="2"/>
  <c r="AD8" i="2"/>
  <c r="AF8" i="2" s="1"/>
  <c r="J7" i="2"/>
  <c r="L6" i="2"/>
  <c r="X22" i="3"/>
  <c r="X7" i="3"/>
  <c r="J72" i="1"/>
  <c r="J71" i="1"/>
  <c r="J70" i="1"/>
  <c r="J69" i="1"/>
  <c r="J68" i="1"/>
  <c r="J67" i="1"/>
  <c r="J66" i="1"/>
  <c r="J65" i="1"/>
  <c r="J64" i="1"/>
  <c r="J63" i="1"/>
  <c r="J62" i="1"/>
  <c r="J61" i="1"/>
  <c r="J60" i="1"/>
  <c r="J59" i="1"/>
  <c r="J58" i="1"/>
  <c r="J57" i="1"/>
  <c r="J56" i="1"/>
  <c r="J55" i="1"/>
  <c r="J54" i="1"/>
  <c r="J53" i="1"/>
  <c r="K16" i="2"/>
  <c r="K6" i="2"/>
  <c r="W22" i="3"/>
  <c r="Y16" i="3"/>
  <c r="Y8" i="3"/>
  <c r="AD8" i="3" s="1"/>
  <c r="AE8" i="3" s="1"/>
  <c r="W7" i="3"/>
  <c r="I72" i="1"/>
  <c r="I71" i="1"/>
  <c r="I70" i="1"/>
  <c r="I69" i="1"/>
  <c r="I68" i="1"/>
  <c r="I67" i="1"/>
  <c r="I66" i="1"/>
  <c r="I65" i="1"/>
  <c r="I64" i="1"/>
  <c r="I63" i="1"/>
  <c r="I62" i="1"/>
  <c r="I61" i="1"/>
  <c r="I60" i="1"/>
  <c r="I59" i="1"/>
  <c r="I58" i="1"/>
  <c r="I57" i="1"/>
  <c r="I56" i="1"/>
  <c r="I55" i="1"/>
  <c r="I54" i="1"/>
  <c r="I53" i="1"/>
  <c r="L15" i="2"/>
  <c r="J6" i="2"/>
  <c r="L5" i="2"/>
  <c r="E22" i="5"/>
  <c r="Y23" i="3"/>
  <c r="AD23" i="3" s="1"/>
  <c r="AE23" i="3" s="1"/>
  <c r="V22" i="3"/>
  <c r="X16" i="3"/>
  <c r="X8" i="3"/>
  <c r="V7" i="3"/>
  <c r="H72" i="1"/>
  <c r="H71" i="1"/>
  <c r="H70" i="1"/>
  <c r="H69" i="1"/>
  <c r="H68" i="1"/>
  <c r="H67" i="1"/>
  <c r="H66" i="1"/>
  <c r="H65" i="1"/>
  <c r="H64" i="1"/>
  <c r="H63" i="1"/>
  <c r="H62" i="1"/>
  <c r="H61" i="1"/>
  <c r="H60" i="1"/>
  <c r="H59" i="1"/>
  <c r="H58" i="1"/>
  <c r="H57" i="1"/>
  <c r="H56" i="1"/>
  <c r="H55" i="1"/>
  <c r="H54" i="1"/>
  <c r="H53" i="1"/>
  <c r="J16" i="2"/>
  <c r="K15" i="2"/>
  <c r="K5" i="2"/>
  <c r="E16" i="5"/>
  <c r="C6" i="5"/>
  <c r="X23" i="3"/>
  <c r="U22" i="3"/>
  <c r="W16" i="3"/>
  <c r="W8" i="3"/>
  <c r="U7" i="3"/>
  <c r="G72" i="1"/>
  <c r="G71" i="1"/>
  <c r="G70" i="1"/>
  <c r="G69" i="1"/>
  <c r="G68" i="1"/>
  <c r="G67" i="1"/>
  <c r="G66" i="1"/>
  <c r="G65" i="1"/>
  <c r="G64" i="1"/>
  <c r="G63" i="1"/>
  <c r="G62" i="1"/>
  <c r="G61" i="1"/>
  <c r="G60" i="1"/>
  <c r="G59" i="1"/>
  <c r="G58" i="1"/>
  <c r="G57" i="1"/>
  <c r="G56" i="1"/>
  <c r="G55" i="1"/>
  <c r="G54" i="1"/>
  <c r="G53" i="1"/>
  <c r="L24" i="2"/>
  <c r="J15" i="2"/>
  <c r="L14" i="2"/>
  <c r="J5" i="2"/>
  <c r="E23" i="5"/>
  <c r="W23" i="3"/>
  <c r="T22" i="3"/>
  <c r="Y17" i="3"/>
  <c r="V16" i="3"/>
  <c r="V8" i="3"/>
  <c r="T7" i="3"/>
  <c r="F72" i="1"/>
  <c r="F71" i="1"/>
  <c r="F70" i="1"/>
  <c r="F69" i="1"/>
  <c r="F68" i="1"/>
  <c r="F67" i="1"/>
  <c r="F66" i="1"/>
  <c r="F65" i="1"/>
  <c r="F64" i="1"/>
  <c r="F63" i="1"/>
  <c r="F62" i="1"/>
  <c r="F61" i="1"/>
  <c r="F60" i="1"/>
  <c r="F59" i="1"/>
  <c r="F58" i="1"/>
  <c r="F57" i="1"/>
  <c r="F56" i="1"/>
  <c r="F55" i="1"/>
  <c r="F54" i="1"/>
  <c r="F53" i="1"/>
  <c r="Y24" i="3"/>
  <c r="V23" i="3"/>
  <c r="S22" i="3"/>
  <c r="X17" i="3"/>
  <c r="U16" i="3"/>
  <c r="Y10" i="3"/>
  <c r="U8" i="3"/>
  <c r="S7" i="3"/>
  <c r="E72" i="1"/>
  <c r="E71" i="1"/>
  <c r="E70" i="1"/>
  <c r="E69" i="1"/>
  <c r="E68" i="1"/>
  <c r="E67" i="1"/>
  <c r="E66" i="1"/>
  <c r="E65" i="1"/>
  <c r="E64" i="1"/>
  <c r="E63" i="1"/>
  <c r="E62" i="1"/>
  <c r="E61" i="1"/>
  <c r="E60" i="1"/>
  <c r="E59" i="1"/>
  <c r="E58" i="1"/>
  <c r="E57" i="1"/>
  <c r="E56" i="1"/>
  <c r="E55" i="1"/>
  <c r="E54" i="1"/>
  <c r="E53" i="1"/>
  <c r="L18" i="2"/>
  <c r="J24" i="2"/>
  <c r="L23" i="2"/>
  <c r="J14" i="2"/>
  <c r="L13" i="2"/>
  <c r="E24" i="5"/>
  <c r="E11" i="5"/>
  <c r="X24" i="3"/>
  <c r="U23" i="3"/>
  <c r="W17" i="3"/>
  <c r="T16" i="3"/>
  <c r="X10" i="3"/>
  <c r="T8" i="3"/>
  <c r="D72" i="1"/>
  <c r="D71" i="1"/>
  <c r="D70" i="1"/>
  <c r="D69" i="1"/>
  <c r="D68" i="1"/>
  <c r="D67" i="1"/>
  <c r="D66" i="1"/>
  <c r="D65" i="1"/>
  <c r="D64" i="1"/>
  <c r="D63" i="1"/>
  <c r="D62" i="1"/>
  <c r="D61" i="1"/>
  <c r="D60" i="1"/>
  <c r="D59" i="1"/>
  <c r="D58" i="1"/>
  <c r="D57" i="1"/>
  <c r="D56" i="1"/>
  <c r="D55" i="1"/>
  <c r="D54" i="1"/>
  <c r="D53" i="1"/>
  <c r="W24" i="3"/>
  <c r="W10" i="3"/>
  <c r="J23" i="2"/>
  <c r="L22" i="2"/>
  <c r="V72" i="1"/>
  <c r="V71" i="1"/>
  <c r="V70" i="1"/>
  <c r="V69" i="1"/>
  <c r="V68" i="1"/>
  <c r="V67" i="1"/>
  <c r="V66" i="1"/>
  <c r="V65" i="1"/>
  <c r="V64" i="1"/>
  <c r="V63" i="1"/>
  <c r="V62" i="1"/>
  <c r="V61" i="1"/>
  <c r="V60" i="1"/>
  <c r="V59" i="1"/>
  <c r="V58" i="1"/>
  <c r="V57" i="1"/>
  <c r="V56" i="1"/>
  <c r="V55" i="1"/>
  <c r="V54" i="1"/>
  <c r="V53" i="1"/>
  <c r="AE6" i="2" l="1"/>
  <c r="Y6" i="2" s="1"/>
  <c r="AA6" i="3"/>
  <c r="AA9" i="3"/>
  <c r="AE9" i="2"/>
  <c r="Y9" i="2" s="1"/>
  <c r="AD7" i="3"/>
  <c r="AE7" i="3" s="1"/>
  <c r="AE20" i="2"/>
  <c r="Y20" i="2" s="1"/>
  <c r="AA20" i="3"/>
  <c r="AD20" i="3" s="1"/>
  <c r="AE20" i="3" s="1"/>
  <c r="T35" i="2"/>
  <c r="T47" i="2"/>
  <c r="T36" i="2" s="1"/>
  <c r="AE7" i="2"/>
  <c r="Y7" i="2" s="1"/>
  <c r="AA7" i="3"/>
  <c r="AE5" i="2"/>
  <c r="Y5" i="2" s="1"/>
  <c r="AA5" i="3"/>
  <c r="AD5" i="3" s="1"/>
  <c r="AE5" i="3" s="1"/>
  <c r="R35" i="2"/>
  <c r="R47" i="2"/>
  <c r="R36" i="2" s="1"/>
  <c r="N18" i="5"/>
  <c r="O18" i="5" s="1"/>
  <c r="O26" i="5" s="1"/>
  <c r="L18" i="5"/>
  <c r="M18" i="5" s="1"/>
  <c r="AD14" i="3"/>
  <c r="AE14" i="3" s="1"/>
  <c r="S47" i="2"/>
  <c r="S36" i="2" s="1"/>
  <c r="S35" i="2"/>
  <c r="AD19" i="3"/>
  <c r="AE19" i="3" s="1"/>
  <c r="AD9" i="3"/>
  <c r="AE9" i="3" s="1"/>
  <c r="AE15" i="2"/>
  <c r="Y15" i="2" s="1"/>
  <c r="AA15" i="3"/>
  <c r="AD15" i="3" s="1"/>
  <c r="AE15" i="3" s="1"/>
  <c r="AE14" i="2"/>
  <c r="Y14" i="2" s="1"/>
  <c r="AA14" i="3"/>
  <c r="N4" i="2"/>
  <c r="M22" i="2"/>
  <c r="M12" i="2"/>
  <c r="M13" i="2"/>
  <c r="M23" i="2"/>
  <c r="M14" i="2"/>
  <c r="M24" i="2"/>
  <c r="M18" i="2"/>
  <c r="M5" i="2"/>
  <c r="M15" i="2"/>
  <c r="M6" i="2"/>
  <c r="M16" i="2"/>
  <c r="M7" i="2"/>
  <c r="M17" i="2"/>
  <c r="M8" i="2"/>
  <c r="M10" i="2"/>
  <c r="M11" i="2"/>
  <c r="M21" i="2"/>
  <c r="M19" i="2"/>
  <c r="M9" i="2"/>
  <c r="M20" i="2"/>
  <c r="H7" i="5"/>
  <c r="H9" i="5"/>
  <c r="H11" i="5"/>
  <c r="H24" i="5"/>
  <c r="H14" i="5"/>
  <c r="H23" i="5"/>
  <c r="H16" i="5"/>
  <c r="H22" i="5"/>
  <c r="H6" i="5"/>
  <c r="H21" i="5"/>
  <c r="H8" i="5"/>
  <c r="H20" i="5"/>
  <c r="H10" i="5"/>
  <c r="H13" i="5"/>
  <c r="H19" i="5"/>
  <c r="H15" i="5"/>
  <c r="H18" i="5"/>
  <c r="H5" i="5"/>
  <c r="H17" i="5"/>
  <c r="H12" i="5"/>
  <c r="AD24" i="3"/>
  <c r="AE24" i="3" s="1"/>
  <c r="J35" i="7"/>
  <c r="J40" i="7"/>
  <c r="J30" i="7"/>
  <c r="J36" i="7"/>
  <c r="J41" i="7"/>
  <c r="J31" i="7"/>
  <c r="J42" i="7"/>
  <c r="J32" i="7"/>
  <c r="J37" i="7"/>
  <c r="J34" i="7"/>
  <c r="J39" i="7"/>
  <c r="J33" i="7"/>
  <c r="J38" i="7"/>
  <c r="AE16" i="2"/>
  <c r="Y16" i="2" s="1"/>
  <c r="AA16" i="3"/>
  <c r="AD16" i="3" s="1"/>
  <c r="AE16" i="3" s="1"/>
  <c r="AF14" i="2"/>
  <c r="AD6" i="3"/>
  <c r="AE6" i="3" s="1"/>
  <c r="AD10" i="3"/>
  <c r="AE10" i="3" s="1"/>
  <c r="J24" i="7"/>
  <c r="M24" i="7" s="1"/>
  <c r="J7" i="7"/>
  <c r="M7" i="7" s="1"/>
  <c r="J11" i="7"/>
  <c r="M11" i="7" s="1"/>
  <c r="J15" i="7"/>
  <c r="M15" i="7" s="1"/>
  <c r="J19" i="7"/>
  <c r="M19" i="7" s="1"/>
  <c r="J8" i="7"/>
  <c r="M8" i="7" s="1"/>
  <c r="J16" i="7"/>
  <c r="M16" i="7" s="1"/>
  <c r="J22" i="7"/>
  <c r="M22" i="7" s="1"/>
  <c r="J12" i="7"/>
  <c r="M12" i="7" s="1"/>
  <c r="J9" i="7"/>
  <c r="M9" i="7" s="1"/>
  <c r="J17" i="7"/>
  <c r="M17" i="7" s="1"/>
  <c r="J20" i="7"/>
  <c r="M20" i="7" s="1"/>
  <c r="J4" i="7"/>
  <c r="J13" i="7"/>
  <c r="M13" i="7" s="1"/>
  <c r="J18" i="7"/>
  <c r="M18" i="7" s="1"/>
  <c r="J23" i="7"/>
  <c r="M23" i="7" s="1"/>
  <c r="J10" i="7"/>
  <c r="M10" i="7" s="1"/>
  <c r="J6" i="7"/>
  <c r="M6" i="7" s="1"/>
  <c r="J14" i="7"/>
  <c r="M14" i="7" s="1"/>
  <c r="J21" i="7"/>
  <c r="M21" i="7" s="1"/>
  <c r="J5" i="7"/>
  <c r="M5" i="7" s="1"/>
  <c r="AE8" i="2"/>
  <c r="Y8" i="2" s="1"/>
  <c r="AE19" i="2"/>
  <c r="Y19" i="2" s="1"/>
  <c r="AA19" i="3"/>
  <c r="AA10" i="3"/>
  <c r="AE10" i="2"/>
  <c r="Y10" i="2" s="1"/>
  <c r="AE23" i="2"/>
  <c r="Y23" i="2" s="1"/>
  <c r="AA24" i="3"/>
  <c r="AE24" i="2"/>
  <c r="Y24" i="2" s="1"/>
  <c r="AA17" i="3"/>
  <c r="AD17" i="3" s="1"/>
  <c r="AE17" i="3" s="1"/>
  <c r="AE17" i="2"/>
  <c r="Y17" i="2" s="1"/>
  <c r="AE27" i="3" l="1"/>
  <c r="O27" i="5" s="1"/>
  <c r="O28" i="5" s="1"/>
  <c r="M39" i="7"/>
  <c r="M34" i="7"/>
  <c r="M35" i="7"/>
  <c r="M40" i="7"/>
  <c r="M30" i="7"/>
  <c r="M31" i="7"/>
  <c r="M36" i="7"/>
  <c r="M41" i="7"/>
  <c r="J44" i="7"/>
  <c r="M32" i="7"/>
  <c r="M37" i="7"/>
  <c r="M33" i="7"/>
  <c r="M38" i="7"/>
  <c r="N11" i="2"/>
  <c r="N21" i="2"/>
  <c r="O4" i="2"/>
  <c r="N12" i="2"/>
  <c r="N22" i="2"/>
  <c r="N13" i="2"/>
  <c r="N23" i="2"/>
  <c r="N14" i="2"/>
  <c r="N24" i="2"/>
  <c r="N5" i="2"/>
  <c r="N15" i="2"/>
  <c r="N17" i="2"/>
  <c r="N6" i="2"/>
  <c r="N16" i="2"/>
  <c r="N18" i="2"/>
  <c r="N7" i="2"/>
  <c r="N8" i="2"/>
  <c r="N9" i="2"/>
  <c r="N19" i="2"/>
  <c r="N20" i="2"/>
  <c r="N10" i="2"/>
  <c r="J26" i="7"/>
  <c r="M4" i="7"/>
  <c r="O11" i="2" l="1"/>
  <c r="O21" i="2"/>
  <c r="P4" i="2"/>
  <c r="O22" i="2"/>
  <c r="O12" i="2"/>
  <c r="O17" i="2"/>
  <c r="O13" i="2"/>
  <c r="O23" i="2"/>
  <c r="O24" i="2"/>
  <c r="O14" i="2"/>
  <c r="O5" i="2"/>
  <c r="O15" i="2"/>
  <c r="O6" i="2"/>
  <c r="O16" i="2"/>
  <c r="O7" i="2"/>
  <c r="O9" i="2"/>
  <c r="O10" i="2"/>
  <c r="O19" i="2"/>
  <c r="O18" i="2"/>
  <c r="O20" i="2"/>
  <c r="O8" i="2"/>
  <c r="T23" i="2" l="1"/>
  <c r="V15" i="2"/>
  <c r="V21" i="2"/>
  <c r="X21" i="2"/>
  <c r="V8" i="2"/>
  <c r="W19" i="2"/>
  <c r="L19" i="5" s="1"/>
  <c r="M19" i="5" s="1"/>
  <c r="U23" i="2"/>
  <c r="L23" i="5" s="1"/>
  <c r="M23" i="5" s="1"/>
  <c r="T14" i="2"/>
  <c r="L14" i="5" s="1"/>
  <c r="M14" i="5" s="1"/>
  <c r="S8" i="2"/>
  <c r="T8" i="2"/>
  <c r="L8" i="5" s="1"/>
  <c r="M8" i="5" s="1"/>
  <c r="S5" i="2"/>
  <c r="U16" i="2"/>
  <c r="S13" i="2"/>
  <c r="X13" i="2"/>
  <c r="R13" i="2"/>
  <c r="W14" i="2"/>
  <c r="V16" i="2"/>
  <c r="W24" i="2"/>
  <c r="U24" i="2"/>
  <c r="V24" i="2"/>
  <c r="X23" i="2"/>
  <c r="S23" i="2"/>
  <c r="V23" i="2"/>
  <c r="U22" i="2"/>
  <c r="L22" i="5" s="1"/>
  <c r="M22" i="5" s="1"/>
  <c r="U14" i="2"/>
  <c r="V14" i="2"/>
  <c r="T15" i="2"/>
  <c r="P10" i="2"/>
  <c r="W10" i="2" s="1"/>
  <c r="P20" i="2"/>
  <c r="S20" i="2" s="1"/>
  <c r="P11" i="2"/>
  <c r="V11" i="2" s="1"/>
  <c r="P21" i="2"/>
  <c r="R21" i="2" s="1"/>
  <c r="P12" i="2"/>
  <c r="V12" i="2" s="1"/>
  <c r="P22" i="2"/>
  <c r="P13" i="2"/>
  <c r="P23" i="2"/>
  <c r="P14" i="2"/>
  <c r="R14" i="2" s="1"/>
  <c r="P24" i="2"/>
  <c r="P16" i="2"/>
  <c r="R16" i="2" s="1"/>
  <c r="P5" i="2"/>
  <c r="P15" i="2"/>
  <c r="W15" i="2" s="1"/>
  <c r="P6" i="2"/>
  <c r="X6" i="2" s="1"/>
  <c r="P17" i="2"/>
  <c r="P7" i="2"/>
  <c r="V7" i="2" s="1"/>
  <c r="P8" i="2"/>
  <c r="W8" i="2" s="1"/>
  <c r="P19" i="2"/>
  <c r="S19" i="2" s="1"/>
  <c r="P9" i="2"/>
  <c r="T9" i="2" s="1"/>
  <c r="P18" i="2"/>
  <c r="S18" i="2" s="1"/>
  <c r="S12" i="2" l="1"/>
  <c r="W21" i="2"/>
  <c r="U21" i="2"/>
  <c r="L21" i="5" s="1"/>
  <c r="M21" i="5" s="1"/>
  <c r="S21" i="2"/>
  <c r="AB21" i="3" s="1"/>
  <c r="AC21" i="3" s="1"/>
  <c r="V9" i="2"/>
  <c r="T21" i="2"/>
  <c r="X9" i="2"/>
  <c r="X11" i="2"/>
  <c r="L11" i="5" s="1"/>
  <c r="M11" i="5" s="1"/>
  <c r="T10" i="2"/>
  <c r="X8" i="2"/>
  <c r="U9" i="2"/>
  <c r="V10" i="2"/>
  <c r="X10" i="2"/>
  <c r="L10" i="5" s="1"/>
  <c r="M10" i="5" s="1"/>
  <c r="U20" i="2"/>
  <c r="W17" i="2"/>
  <c r="L17" i="5" s="1"/>
  <c r="M17" i="5" s="1"/>
  <c r="X17" i="2"/>
  <c r="U17" i="2"/>
  <c r="R17" i="2"/>
  <c r="AB17" i="3" s="1"/>
  <c r="AC17" i="3" s="1"/>
  <c r="S17" i="2"/>
  <c r="R20" i="2"/>
  <c r="T17" i="2"/>
  <c r="U18" i="2"/>
  <c r="T18" i="2"/>
  <c r="R18" i="2"/>
  <c r="S10" i="2"/>
  <c r="W9" i="2"/>
  <c r="L9" i="5" s="1"/>
  <c r="M9" i="5" s="1"/>
  <c r="T11" i="2"/>
  <c r="W12" i="2"/>
  <c r="V20" i="2"/>
  <c r="R7" i="2"/>
  <c r="U7" i="2"/>
  <c r="L7" i="5" s="1"/>
  <c r="M7" i="5" s="1"/>
  <c r="W7" i="2"/>
  <c r="T7" i="2"/>
  <c r="R9" i="2"/>
  <c r="AB9" i="3" s="1"/>
  <c r="AC9" i="3" s="1"/>
  <c r="V18" i="2"/>
  <c r="T20" i="2"/>
  <c r="L20" i="5" s="1"/>
  <c r="M20" i="5" s="1"/>
  <c r="S14" i="2"/>
  <c r="AB14" i="3" s="1"/>
  <c r="AC14" i="3" s="1"/>
  <c r="W11" i="2"/>
  <c r="R11" i="2"/>
  <c r="AB11" i="3" s="1"/>
  <c r="AC11" i="3" s="1"/>
  <c r="U10" i="2"/>
  <c r="R15" i="2"/>
  <c r="U15" i="2"/>
  <c r="S15" i="2"/>
  <c r="L15" i="5" s="1"/>
  <c r="M15" i="5" s="1"/>
  <c r="V17" i="2"/>
  <c r="X20" i="2"/>
  <c r="R19" i="2"/>
  <c r="W20" i="2"/>
  <c r="U8" i="2"/>
  <c r="S16" i="2"/>
  <c r="U19" i="2"/>
  <c r="W18" i="2"/>
  <c r="W6" i="2"/>
  <c r="T6" i="2"/>
  <c r="U6" i="2"/>
  <c r="S6" i="2"/>
  <c r="L6" i="5" s="1"/>
  <c r="M6" i="5" s="1"/>
  <c r="R6" i="2"/>
  <c r="AB6" i="3" s="1"/>
  <c r="AC6" i="3" s="1"/>
  <c r="S24" i="2"/>
  <c r="L24" i="5" s="1"/>
  <c r="M24" i="5" s="1"/>
  <c r="R24" i="2"/>
  <c r="T24" i="2"/>
  <c r="V19" i="2"/>
  <c r="R8" i="2"/>
  <c r="X19" i="2"/>
  <c r="X24" i="2"/>
  <c r="R12" i="2"/>
  <c r="U11" i="2"/>
  <c r="R10" i="2"/>
  <c r="S7" i="2"/>
  <c r="R23" i="2"/>
  <c r="AB23" i="3" s="1"/>
  <c r="AC23" i="3" s="1"/>
  <c r="W23" i="2"/>
  <c r="W16" i="2"/>
  <c r="U13" i="2"/>
  <c r="V13" i="2"/>
  <c r="L13" i="5" s="1"/>
  <c r="M13" i="5" s="1"/>
  <c r="T13" i="2"/>
  <c r="AB13" i="3" s="1"/>
  <c r="AC13" i="3" s="1"/>
  <c r="W13" i="2"/>
  <c r="X16" i="2"/>
  <c r="AB16" i="3" s="1"/>
  <c r="AC16" i="3" s="1"/>
  <c r="S11" i="2"/>
  <c r="V6" i="2"/>
  <c r="T16" i="2"/>
  <c r="L16" i="5" s="1"/>
  <c r="M16" i="5" s="1"/>
  <c r="T12" i="2"/>
  <c r="L12" i="5" s="1"/>
  <c r="M12" i="5" s="1"/>
  <c r="X12" i="2"/>
  <c r="S9" i="2"/>
  <c r="X15" i="2"/>
  <c r="W5" i="2"/>
  <c r="V5" i="2"/>
  <c r="R5" i="2"/>
  <c r="T5" i="2"/>
  <c r="X5" i="2"/>
  <c r="T19" i="2"/>
  <c r="X7" i="2"/>
  <c r="R22" i="2"/>
  <c r="T22" i="2"/>
  <c r="X22" i="2"/>
  <c r="V22" i="2"/>
  <c r="S22" i="2"/>
  <c r="W22" i="2"/>
  <c r="U12" i="2"/>
  <c r="X14" i="2"/>
  <c r="X18" i="2"/>
  <c r="U5" i="2"/>
  <c r="AB22" i="3" l="1"/>
  <c r="AC22" i="3" s="1"/>
  <c r="AB7" i="3"/>
  <c r="AC7" i="3" s="1"/>
  <c r="AB18" i="3"/>
  <c r="AC18" i="3" s="1"/>
  <c r="AB10" i="3"/>
  <c r="AC10" i="3" s="1"/>
  <c r="AB12" i="3"/>
  <c r="AC12" i="3" s="1"/>
  <c r="AB8" i="3"/>
  <c r="AC8" i="3" s="1"/>
  <c r="L5" i="5"/>
  <c r="M5" i="5" s="1"/>
  <c r="M26" i="5" s="1"/>
  <c r="AB5" i="3"/>
  <c r="AC5" i="3" s="1"/>
  <c r="AB19" i="3"/>
  <c r="AC19" i="3" s="1"/>
  <c r="AB15" i="3"/>
  <c r="AC15" i="3" s="1"/>
  <c r="AB24" i="3"/>
  <c r="AC24" i="3" s="1"/>
  <c r="AB20" i="3"/>
  <c r="AC20" i="3" s="1"/>
  <c r="AC27" i="3" l="1"/>
  <c r="M27" i="5" s="1"/>
  <c r="M28" i="5" s="1"/>
</calcChain>
</file>

<file path=xl/sharedStrings.xml><?xml version="1.0" encoding="utf-8"?>
<sst xmlns="http://schemas.openxmlformats.org/spreadsheetml/2006/main" count="289" uniqueCount="144">
  <si>
    <t>AAA</t>
  </si>
  <si>
    <t>AA</t>
  </si>
  <si>
    <t>A</t>
  </si>
  <si>
    <t>BBB</t>
  </si>
  <si>
    <t>BB</t>
  </si>
  <si>
    <t>B</t>
  </si>
  <si>
    <t>CCC</t>
  </si>
  <si>
    <t>Face</t>
  </si>
  <si>
    <t>Maty</t>
  </si>
  <si>
    <t>Seniority</t>
  </si>
  <si>
    <t>Subordinated</t>
  </si>
  <si>
    <t>Junior Sub</t>
  </si>
  <si>
    <t>D</t>
  </si>
  <si>
    <t>1. Transition Matrix (Table 6.9)</t>
  </si>
  <si>
    <t>Year</t>
  </si>
  <si>
    <t>Bond</t>
  </si>
  <si>
    <t>Rating</t>
  </si>
  <si>
    <t>Coupon</t>
  </si>
  <si>
    <t>a</t>
  </si>
  <si>
    <t>b</t>
  </si>
  <si>
    <t>Asset Correlations of Bonds in Portfolio (Table 11.2)</t>
  </si>
  <si>
    <t>Value</t>
  </si>
  <si>
    <t>Choleski Decomposition of Correlation Matrix</t>
  </si>
  <si>
    <t>Firm</t>
  </si>
  <si>
    <t>Proof that the Choleski Matrix is Correct</t>
  </si>
  <si>
    <t>Index</t>
  </si>
  <si>
    <t>Price</t>
  </si>
  <si>
    <t>Freq</t>
  </si>
  <si>
    <t>Expected Portfolio Value =</t>
  </si>
  <si>
    <t>5. One-Year Forward Price Conditional on Transition</t>
  </si>
  <si>
    <t>Default</t>
  </si>
  <si>
    <t>Sen Secured</t>
  </si>
  <si>
    <t>Check</t>
  </si>
  <si>
    <t>2. Cash Flows, dated one year forward</t>
  </si>
  <si>
    <t>3. One-Year Forward Zero Coupon Rates (Table 2.3)</t>
  </si>
  <si>
    <t>4. One-Year Forward Discount Rates</t>
  </si>
  <si>
    <t>SD</t>
  </si>
  <si>
    <t>1. Portfolio</t>
  </si>
  <si>
    <t>Uncorrel</t>
  </si>
  <si>
    <t>Correl</t>
  </si>
  <si>
    <t>2. Portfolio</t>
  </si>
  <si>
    <t>3. Portfolio Transition Probabilities</t>
  </si>
  <si>
    <t>6. Simulated Portfolio</t>
  </si>
  <si>
    <t>Portfolio value, this run =</t>
  </si>
  <si>
    <t>1. Portfolio of Bonds (Table 11.1)</t>
  </si>
  <si>
    <t>Sen Unsec</t>
  </si>
  <si>
    <t>Sen Sub</t>
  </si>
  <si>
    <t>Mean</t>
  </si>
  <si>
    <t>Min</t>
  </si>
  <si>
    <t>Max</t>
  </si>
  <si>
    <t>XS Profit Stats</t>
  </si>
  <si>
    <t>Bins</t>
  </si>
  <si>
    <t>&lt;-15</t>
  </si>
  <si>
    <t>&gt;3</t>
  </si>
  <si>
    <t>&lt;-10</t>
  </si>
  <si>
    <t>Target</t>
  </si>
  <si>
    <t>Targets for Credit Capital</t>
  </si>
  <si>
    <t>= Number of Runs</t>
  </si>
  <si>
    <t>Sim. Profit</t>
  </si>
  <si>
    <t>Values</t>
  </si>
  <si>
    <t>Put in formulas for "a" and "b" in columns AE and AF.</t>
  </si>
  <si>
    <t>They should depend on the mean and SD of the distribution, which are given.</t>
  </si>
  <si>
    <t>"a" and "b" are the parameters of the beta distribution.</t>
  </si>
  <si>
    <t>Probabilities</t>
  </si>
  <si>
    <t>This sheet works fine. It is worth a long look, though.</t>
  </si>
  <si>
    <t>Correlations</t>
  </si>
  <si>
    <t>Compute the lower triangular Choleski matrix.</t>
  </si>
  <si>
    <t>You can use any method you like to do this.</t>
  </si>
  <si>
    <t>This will replace the current numerical constants.</t>
  </si>
  <si>
    <t>Enter the elements in the proper place in the spreadsheet.</t>
  </si>
  <si>
    <t>This will replace the current contents (which is an identity matrix).</t>
  </si>
  <si>
    <t>Sheet</t>
  </si>
  <si>
    <t>Simulation Run</t>
  </si>
  <si>
    <t>and the new rating.</t>
  </si>
  <si>
    <t>Cummulative probabilities,</t>
  </si>
  <si>
    <t>To see if this is working properly, press F9--some of the new ratings should change.</t>
  </si>
  <si>
    <t>Results</t>
  </si>
  <si>
    <t>The charts will reflect this simulation.</t>
  </si>
  <si>
    <t xml:space="preserve">Press the button and the simulation will run 10,000 times. </t>
  </si>
  <si>
    <t>For comparison, I put snapshots of my results further to the right.</t>
  </si>
  <si>
    <t>You can control the number of runs in cell C5, up to 65,536, but 10,000 is enough.</t>
  </si>
  <si>
    <t>If you do this accurately, the elements in rows 53-72 will be zero.</t>
  </si>
  <si>
    <t>Do not move anything, and do not insert columns or rows.</t>
  </si>
  <si>
    <t>(Investment grade is BBB or better.)</t>
  </si>
  <si>
    <t>How much credit capital do they need?</t>
  </si>
  <si>
    <t>Credit Capital =</t>
  </si>
  <si>
    <t>Do they need more capital (in total) than this to be considered BBB?</t>
  </si>
  <si>
    <t>(Hint: Remember, I work at the Federal Reserve)</t>
  </si>
  <si>
    <t>List some reasons that the bank needs capital in excess of credit capital:</t>
  </si>
  <si>
    <t>Yes/No =</t>
  </si>
  <si>
    <t>This spreadsheet gives you a working model of CreditMetrics.</t>
  </si>
  <si>
    <t>Save this spreadsheet now and do your work on a copy.</t>
  </si>
  <si>
    <t>If you need extra cells, use the ones to the right or below.</t>
  </si>
  <si>
    <t>Name</t>
  </si>
  <si>
    <t>E-Mail</t>
  </si>
  <si>
    <t>Warning:</t>
  </si>
  <si>
    <t>Suggestion:</t>
  </si>
  <si>
    <t>Your objective for this homework is to learn how CreditMetrics works.</t>
  </si>
  <si>
    <t>MTM</t>
  </si>
  <si>
    <t>MTM mode</t>
  </si>
  <si>
    <t>Default-only mode</t>
  </si>
  <si>
    <t>4. Expected Values</t>
  </si>
  <si>
    <t>Expected Portfolio Values</t>
  </si>
  <si>
    <t>DM</t>
  </si>
  <si>
    <t>Def</t>
  </si>
  <si>
    <t>Prob</t>
  </si>
  <si>
    <t>For example, Hw1_DonQ_Sancho.xls</t>
  </si>
  <si>
    <t>Then E-mail the entire spreadsheet to me. Please put "Hw1" in the subject.</t>
  </si>
  <si>
    <t>When you are done with Hw1, please save this entire workbook with a name that identifies all authors,</t>
  </si>
  <si>
    <t>Important:</t>
  </si>
  <si>
    <t>Enter here each student who is part of this work:</t>
  </si>
  <si>
    <t>Jon.Frye@chi.frb.org</t>
  </si>
  <si>
    <t>6. Recovery Stats (Table 7.1)</t>
  </si>
  <si>
    <t>7. Beta Distribution Parameters</t>
  </si>
  <si>
    <t>Suppose the bank with this portfolio wants an "investment grade" rating.</t>
  </si>
  <si>
    <t>3. Latent Variables</t>
  </si>
  <si>
    <t>2. Choleski Decomposition of Correlation Matrix</t>
  </si>
  <si>
    <t>4. Cumulative Probabilities (see section 8.4)</t>
  </si>
  <si>
    <t>5. Critical Points of Normal Distribution (see section 8.4)</t>
  </si>
  <si>
    <t>Profit =</t>
  </si>
  <si>
    <t>Enter formulas into two areas of the sheet:</t>
  </si>
  <si>
    <t>Homework #1 is due Saturday May 18 at 6AM.</t>
  </si>
  <si>
    <t>Your grade will be based on your inputs to cells having this format:</t>
  </si>
  <si>
    <t>Homework #1, Due Saturday, May 18 at 6AM</t>
  </si>
  <si>
    <t>This sheet--1</t>
  </si>
  <si>
    <t>This sheet--2</t>
  </si>
  <si>
    <t>This sheet--3</t>
  </si>
  <si>
    <t>Homework 1</t>
  </si>
  <si>
    <t>Sub MonteCarlo()</t>
  </si>
  <si>
    <t xml:space="preserve">    Dim i As Long, N As Long</t>
  </si>
  <si>
    <t xml:space="preserve">    Application.Calculation = xlCalculationManual</t>
  </si>
  <si>
    <t xml:space="preserve">    Worksheets("Results").Range("A:B").Clear</t>
  </si>
  <si>
    <t xml:space="preserve">    N = Worksheets("Results").Range("N")</t>
  </si>
  <si>
    <t xml:space="preserve">    If N &gt; 100 Then Application.ScreenUpdating = False</t>
  </si>
  <si>
    <t xml:space="preserve">    For i = 1 To N</t>
  </si>
  <si>
    <t xml:space="preserve">        Worksheets("Simulation Run").Calculate</t>
  </si>
  <si>
    <t xml:space="preserve">        Worksheets("Simulation Run").Range("M28").Copy</t>
  </si>
  <si>
    <t xml:space="preserve">        Worksheets("Results").Range("A" &amp; i).PasteSpecial xlValues</t>
  </si>
  <si>
    <t xml:space="preserve">        Worksheets("Simulation Run").Range("O28").Copy</t>
  </si>
  <si>
    <t xml:space="preserve">        Worksheets("Results").Range("B" &amp; i).PasteSpecial xlValues</t>
  </si>
  <si>
    <t xml:space="preserve">    Next i</t>
  </si>
  <si>
    <t xml:space="preserve">    Application.Calculation = xlCalculationAutomatic</t>
  </si>
  <si>
    <t xml:space="preserve">    Range("A1").Activate</t>
  </si>
  <si>
    <t>End 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</si>
</sst>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2" formatCode="0.0000"/>
    <numFmt numFmtId="173" formatCode="#,##0.000"/>
    <numFmt numFmtId="175" formatCode="0.000"/>
    <numFmt numFmtId="185" formatCode="0.0%"/>
  </numFmts>
  <fonts count="10" x14ac:knownFonts="1">
    <font>
      <sz val="10"/>
      <name val="Arial"/>
    </font>
    <font>
      <b/>
      <sz val="10"/>
      <name val="Arial"/>
      <family val="2"/>
    </font>
    <font>
      <u/>
      <sz val="10"/>
      <name val="Arial"/>
      <family val="2"/>
    </font>
    <font>
      <sz val="16"/>
      <name val="Arial"/>
      <family val="2"/>
    </font>
    <font>
      <b/>
      <sz val="16"/>
      <color indexed="10"/>
      <name val="Arial"/>
      <family val="2"/>
    </font>
    <font>
      <b/>
      <sz val="16"/>
      <color indexed="17"/>
      <name val="Arial"/>
      <family val="2"/>
    </font>
    <font>
      <u/>
      <sz val="10"/>
      <color indexed="12"/>
      <name val="Arial"/>
      <family val="2"/>
    </font>
    <font>
      <b/>
      <u/>
      <sz val="10"/>
      <name val="Arial"/>
      <family val="2"/>
    </font>
    <font>
      <b/>
      <sz val="16"/>
      <name val="Arial"/>
      <family val="2"/>
    </font>
    <font>
      <b/>
      <u/>
      <sz val="16"/>
      <name val="Arial"/>
      <family val="2"/>
    </font>
  </fonts>
  <fills count="3">
    <fill>
      <patternFill patternType="none"/>
    </fill>
    <fill>
      <patternFill patternType="gray125"/>
    </fill>
    <fill>
      <patternFill patternType="solid">
        <fgColor indexed="44"/>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166">
    <xf numFmtId="0" fontId="0" fillId="0" borderId="0" xfId="0"/>
    <xf numFmtId="0" fontId="0" fillId="0" borderId="0" xfId="0" quotePrefix="1" applyAlignment="1">
      <alignment horizontal="right"/>
    </xf>
    <xf numFmtId="0" fontId="0" fillId="0" borderId="0" xfId="0" applyAlignment="1">
      <alignment horizontal="right"/>
    </xf>
    <xf numFmtId="0" fontId="0" fillId="0" borderId="1" xfId="0" applyBorder="1" applyAlignment="1">
      <alignment horizontal="centerContinuous"/>
    </xf>
    <xf numFmtId="0" fontId="0" fillId="0" borderId="2" xfId="0" applyBorder="1" applyAlignment="1">
      <alignment horizontal="centerContinuous"/>
    </xf>
    <xf numFmtId="0" fontId="0" fillId="0" borderId="3" xfId="0" applyBorder="1" applyAlignment="1">
      <alignment horizontal="centerContinuous"/>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4" fontId="0" fillId="0" borderId="6" xfId="0" quotePrefix="1" applyNumberFormat="1" applyBorder="1" applyAlignment="1">
      <alignment horizontal="right"/>
    </xf>
    <xf numFmtId="172" fontId="0" fillId="0" borderId="7" xfId="0" applyNumberFormat="1" applyBorder="1" applyAlignment="1">
      <alignment horizontal="right"/>
    </xf>
    <xf numFmtId="172" fontId="0" fillId="0" borderId="8" xfId="0" applyNumberFormat="1" applyBorder="1" applyAlignment="1">
      <alignment horizontal="right"/>
    </xf>
    <xf numFmtId="172" fontId="0" fillId="0" borderId="9" xfId="0" applyNumberFormat="1" applyBorder="1" applyAlignment="1">
      <alignment horizontal="right"/>
    </xf>
    <xf numFmtId="172" fontId="0" fillId="0" borderId="6" xfId="0" applyNumberFormat="1" applyBorder="1" applyAlignment="1">
      <alignment horizontal="right"/>
    </xf>
    <xf numFmtId="172" fontId="0" fillId="0" borderId="0" xfId="0" applyNumberFormat="1" applyBorder="1" applyAlignment="1">
      <alignment horizontal="right"/>
    </xf>
    <xf numFmtId="172" fontId="0" fillId="0" borderId="5" xfId="0" applyNumberFormat="1" applyBorder="1" applyAlignment="1">
      <alignment horizontal="right"/>
    </xf>
    <xf numFmtId="4" fontId="0" fillId="0" borderId="10" xfId="0" quotePrefix="1" applyNumberFormat="1" applyBorder="1" applyAlignment="1">
      <alignment horizontal="right"/>
    </xf>
    <xf numFmtId="0" fontId="0" fillId="0" borderId="10" xfId="0" applyBorder="1" applyAlignment="1">
      <alignment horizontal="right"/>
    </xf>
    <xf numFmtId="0" fontId="0" fillId="0" borderId="11" xfId="0" applyBorder="1" applyAlignment="1">
      <alignment horizontal="right"/>
    </xf>
    <xf numFmtId="0" fontId="0" fillId="0" borderId="12" xfId="0" applyBorder="1" applyAlignment="1">
      <alignment horizontal="right"/>
    </xf>
    <xf numFmtId="0" fontId="0" fillId="0" borderId="7" xfId="0" applyBorder="1" applyAlignment="1">
      <alignment horizontal="centerContinuous" vertical="top"/>
    </xf>
    <xf numFmtId="0" fontId="0" fillId="0" borderId="8" xfId="0" applyBorder="1" applyAlignment="1">
      <alignment horizontal="centerContinuous" vertical="top"/>
    </xf>
    <xf numFmtId="0" fontId="0" fillId="0" borderId="9" xfId="0" applyBorder="1" applyAlignment="1">
      <alignment horizontal="centerContinuous" vertical="top"/>
    </xf>
    <xf numFmtId="0" fontId="0" fillId="0" borderId="0" xfId="0" applyBorder="1" applyAlignment="1">
      <alignment horizontal="right"/>
    </xf>
    <xf numFmtId="0" fontId="0" fillId="0" borderId="5" xfId="0" applyBorder="1" applyAlignment="1">
      <alignment horizontal="right"/>
    </xf>
    <xf numFmtId="0" fontId="0" fillId="0" borderId="13" xfId="0" applyBorder="1" applyAlignment="1">
      <alignment horizontal="right"/>
    </xf>
    <xf numFmtId="0" fontId="0" fillId="0" borderId="8" xfId="0" applyBorder="1" applyAlignment="1">
      <alignment horizontal="right"/>
    </xf>
    <xf numFmtId="0" fontId="0" fillId="0" borderId="9" xfId="0" applyBorder="1" applyAlignment="1">
      <alignment horizontal="right"/>
    </xf>
    <xf numFmtId="0" fontId="0" fillId="0" borderId="0" xfId="0" applyBorder="1"/>
    <xf numFmtId="0" fontId="0" fillId="0" borderId="7" xfId="0" applyBorder="1" applyAlignment="1">
      <alignment horizontal="right"/>
    </xf>
    <xf numFmtId="0" fontId="0" fillId="0" borderId="6" xfId="0" applyBorder="1" applyAlignment="1">
      <alignment horizontal="right"/>
    </xf>
    <xf numFmtId="0" fontId="0" fillId="0" borderId="6" xfId="0" applyBorder="1"/>
    <xf numFmtId="0" fontId="0" fillId="0" borderId="5" xfId="0" applyBorder="1"/>
    <xf numFmtId="0" fontId="0" fillId="0" borderId="10" xfId="0" applyBorder="1"/>
    <xf numFmtId="0" fontId="0" fillId="0" borderId="11" xfId="0" applyBorder="1"/>
    <xf numFmtId="0" fontId="0" fillId="0" borderId="12" xfId="0" applyBorder="1"/>
    <xf numFmtId="0" fontId="0" fillId="0" borderId="1" xfId="0" applyBorder="1" applyAlignment="1">
      <alignment horizontal="center"/>
    </xf>
    <xf numFmtId="0" fontId="0" fillId="0" borderId="14" xfId="0" applyBorder="1" applyAlignment="1">
      <alignment horizontal="center"/>
    </xf>
    <xf numFmtId="0" fontId="0" fillId="0" borderId="0" xfId="0" applyNumberFormat="1" applyBorder="1" applyAlignment="1">
      <alignment horizontal="right"/>
    </xf>
    <xf numFmtId="0" fontId="0" fillId="0" borderId="1" xfId="0" applyBorder="1" applyAlignment="1">
      <alignment horizontal="right"/>
    </xf>
    <xf numFmtId="0" fontId="0" fillId="0" borderId="14" xfId="0" applyFill="1" applyBorder="1" applyAlignment="1">
      <alignment horizontal="center"/>
    </xf>
    <xf numFmtId="172" fontId="0" fillId="0" borderId="0" xfId="0" applyNumberFormat="1"/>
    <xf numFmtId="175" fontId="0" fillId="0" borderId="0" xfId="0" applyNumberFormat="1"/>
    <xf numFmtId="0" fontId="0" fillId="0" borderId="12" xfId="0" applyFill="1" applyBorder="1" applyAlignment="1">
      <alignment horizontal="center"/>
    </xf>
    <xf numFmtId="0" fontId="0" fillId="0" borderId="11" xfId="0" applyFill="1" applyBorder="1" applyAlignment="1">
      <alignment horizontal="center"/>
    </xf>
    <xf numFmtId="0" fontId="0" fillId="0" borderId="7" xfId="0" applyNumberFormat="1" applyBorder="1" applyAlignment="1">
      <alignment horizontal="right"/>
    </xf>
    <xf numFmtId="0" fontId="0" fillId="0" borderId="6" xfId="0" applyNumberFormat="1" applyBorder="1" applyAlignment="1">
      <alignment horizontal="right"/>
    </xf>
    <xf numFmtId="0" fontId="0" fillId="0" borderId="10" xfId="0" applyNumberFormat="1" applyBorder="1" applyAlignment="1">
      <alignment horizontal="right"/>
    </xf>
    <xf numFmtId="0" fontId="0" fillId="0" borderId="7" xfId="0" applyBorder="1"/>
    <xf numFmtId="0" fontId="0" fillId="0" borderId="8" xfId="0" applyBorder="1"/>
    <xf numFmtId="172" fontId="0" fillId="0" borderId="8" xfId="0" applyNumberFormat="1" applyBorder="1"/>
    <xf numFmtId="175" fontId="0" fillId="0" borderId="9" xfId="0" applyNumberFormat="1" applyBorder="1"/>
    <xf numFmtId="0" fontId="0" fillId="0" borderId="0" xfId="0" quotePrefix="1" applyBorder="1" applyAlignment="1">
      <alignment horizontal="right"/>
    </xf>
    <xf numFmtId="2" fontId="0" fillId="0" borderId="0" xfId="0" applyNumberFormat="1" applyBorder="1"/>
    <xf numFmtId="172" fontId="0" fillId="0" borderId="0" xfId="0" applyNumberFormat="1" applyBorder="1"/>
    <xf numFmtId="175" fontId="0" fillId="0" borderId="5" xfId="0" applyNumberFormat="1" applyBorder="1"/>
    <xf numFmtId="0" fontId="0" fillId="0" borderId="11" xfId="0" quotePrefix="1" applyBorder="1" applyAlignment="1">
      <alignment horizontal="right"/>
    </xf>
    <xf numFmtId="2" fontId="0" fillId="0" borderId="11" xfId="0" applyNumberFormat="1" applyBorder="1"/>
    <xf numFmtId="172" fontId="0" fillId="0" borderId="11" xfId="0" applyNumberFormat="1" applyBorder="1"/>
    <xf numFmtId="175" fontId="0" fillId="0" borderId="12" xfId="0" applyNumberFormat="1" applyBorder="1"/>
    <xf numFmtId="0" fontId="0" fillId="0" borderId="3" xfId="0" applyBorder="1"/>
    <xf numFmtId="0" fontId="0" fillId="0" borderId="14" xfId="0" applyBorder="1" applyAlignment="1">
      <alignment horizontal="centerContinuous"/>
    </xf>
    <xf numFmtId="172" fontId="0" fillId="0" borderId="5" xfId="0" applyNumberFormat="1" applyBorder="1"/>
    <xf numFmtId="172" fontId="0" fillId="0" borderId="10" xfId="0" applyNumberFormat="1" applyBorder="1" applyAlignment="1">
      <alignment horizontal="right"/>
    </xf>
    <xf numFmtId="172" fontId="0" fillId="0" borderId="11" xfId="0" applyNumberFormat="1" applyBorder="1" applyAlignment="1">
      <alignment horizontal="right"/>
    </xf>
    <xf numFmtId="172" fontId="0" fillId="0" borderId="12" xfId="0" applyNumberFormat="1" applyBorder="1"/>
    <xf numFmtId="172" fontId="0" fillId="0" borderId="6" xfId="0" applyNumberFormat="1" applyBorder="1"/>
    <xf numFmtId="172" fontId="0" fillId="0" borderId="10" xfId="0" applyNumberFormat="1" applyBorder="1"/>
    <xf numFmtId="0" fontId="0" fillId="0" borderId="9" xfId="0" applyBorder="1" applyAlignment="1">
      <alignment horizontal="centerContinuous"/>
    </xf>
    <xf numFmtId="0" fontId="0" fillId="0" borderId="10" xfId="0" applyFill="1" applyBorder="1" applyAlignment="1">
      <alignment horizontal="center"/>
    </xf>
    <xf numFmtId="0" fontId="0" fillId="0" borderId="2" xfId="0" quotePrefix="1" applyBorder="1" applyAlignment="1">
      <alignment horizontal="centerContinuous"/>
    </xf>
    <xf numFmtId="0" fontId="0" fillId="0" borderId="6" xfId="0" quotePrefix="1" applyBorder="1" applyAlignment="1">
      <alignment horizontal="right"/>
    </xf>
    <xf numFmtId="0" fontId="0" fillId="0" borderId="14"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0" fillId="0" borderId="13" xfId="0" applyBorder="1" applyAlignment="1">
      <alignment horizontal="center"/>
    </xf>
    <xf numFmtId="0" fontId="0" fillId="0" borderId="1" xfId="0" applyFill="1" applyBorder="1" applyAlignment="1">
      <alignment horizontal="center"/>
    </xf>
    <xf numFmtId="172" fontId="0" fillId="2" borderId="0" xfId="0" applyNumberFormat="1" applyFill="1" applyBorder="1"/>
    <xf numFmtId="172" fontId="0" fillId="2" borderId="5" xfId="0" applyNumberFormat="1" applyFill="1" applyBorder="1"/>
    <xf numFmtId="172" fontId="0" fillId="2" borderId="11" xfId="0" applyNumberFormat="1" applyFill="1" applyBorder="1"/>
    <xf numFmtId="172" fontId="0" fillId="2" borderId="12" xfId="0" applyNumberFormat="1" applyFill="1" applyBorder="1"/>
    <xf numFmtId="0" fontId="0" fillId="2" borderId="7" xfId="0" applyFill="1" applyBorder="1" applyAlignment="1">
      <alignment horizontal="right"/>
    </xf>
    <xf numFmtId="0" fontId="0" fillId="2" borderId="8" xfId="0" applyFill="1" applyBorder="1" applyAlignment="1">
      <alignment horizontal="right"/>
    </xf>
    <xf numFmtId="0" fontId="0" fillId="2" borderId="9" xfId="0" applyFill="1" applyBorder="1" applyAlignment="1">
      <alignment horizontal="right"/>
    </xf>
    <xf numFmtId="0" fontId="0" fillId="2" borderId="6" xfId="0" applyFill="1" applyBorder="1" applyAlignment="1">
      <alignment horizontal="right"/>
    </xf>
    <xf numFmtId="0" fontId="0" fillId="2" borderId="0" xfId="0" applyFill="1" applyBorder="1" applyAlignment="1">
      <alignment horizontal="right"/>
    </xf>
    <xf numFmtId="0" fontId="0" fillId="2" borderId="5" xfId="0" applyFill="1" applyBorder="1" applyAlignment="1">
      <alignment horizontal="right"/>
    </xf>
    <xf numFmtId="0" fontId="0" fillId="2" borderId="10" xfId="0" applyFill="1" applyBorder="1" applyAlignment="1">
      <alignment horizontal="right"/>
    </xf>
    <xf numFmtId="0" fontId="0" fillId="2" borderId="11" xfId="0" applyFill="1" applyBorder="1" applyAlignment="1">
      <alignment horizontal="right"/>
    </xf>
    <xf numFmtId="0" fontId="0" fillId="2" borderId="12" xfId="0" applyFill="1" applyBorder="1" applyAlignment="1">
      <alignment horizontal="right"/>
    </xf>
    <xf numFmtId="172" fontId="0" fillId="0" borderId="7" xfId="0" applyNumberFormat="1" applyBorder="1"/>
    <xf numFmtId="172" fontId="0" fillId="0" borderId="9" xfId="0" applyNumberFormat="1" applyBorder="1"/>
    <xf numFmtId="0" fontId="0" fillId="0" borderId="13" xfId="0" applyFill="1" applyBorder="1" applyAlignment="1">
      <alignment horizontal="center"/>
    </xf>
    <xf numFmtId="0" fontId="0" fillId="0" borderId="7" xfId="0" applyBorder="1" applyAlignment="1">
      <alignment horizontal="centerContinuous"/>
    </xf>
    <xf numFmtId="0" fontId="0" fillId="0" borderId="7" xfId="0" applyBorder="1" applyAlignment="1">
      <alignment horizontal="center"/>
    </xf>
    <xf numFmtId="2" fontId="0" fillId="0" borderId="5" xfId="0" applyNumberFormat="1" applyBorder="1"/>
    <xf numFmtId="2" fontId="0" fillId="0" borderId="12" xfId="0" applyNumberFormat="1" applyBorder="1"/>
    <xf numFmtId="0" fontId="0" fillId="0" borderId="6" xfId="0" applyBorder="1" applyAlignment="1">
      <alignment horizontal="center"/>
    </xf>
    <xf numFmtId="0" fontId="0" fillId="0" borderId="15" xfId="0" applyBorder="1" applyAlignment="1">
      <alignment horizontal="right"/>
    </xf>
    <xf numFmtId="0" fontId="0" fillId="0" borderId="4" xfId="0" applyBorder="1" applyAlignment="1">
      <alignment horizontal="right"/>
    </xf>
    <xf numFmtId="175" fontId="0" fillId="0" borderId="7" xfId="0" applyNumberFormat="1" applyBorder="1"/>
    <xf numFmtId="175" fontId="0" fillId="0" borderId="6" xfId="0" applyNumberFormat="1" applyBorder="1"/>
    <xf numFmtId="175" fontId="0" fillId="0" borderId="10" xfId="0" applyNumberFormat="1" applyBorder="1"/>
    <xf numFmtId="0" fontId="0" fillId="0" borderId="9" xfId="0" applyBorder="1"/>
    <xf numFmtId="0" fontId="0" fillId="0" borderId="0" xfId="0" quotePrefix="1" applyAlignment="1">
      <alignment horizontal="left"/>
    </xf>
    <xf numFmtId="0" fontId="0" fillId="0" borderId="14" xfId="0" applyFill="1" applyBorder="1" applyAlignment="1">
      <alignment horizontal="right"/>
    </xf>
    <xf numFmtId="0" fontId="0" fillId="0" borderId="15" xfId="0" quotePrefix="1" applyBorder="1" applyAlignment="1">
      <alignment horizontal="right"/>
    </xf>
    <xf numFmtId="172" fontId="0" fillId="0" borderId="12" xfId="0" applyNumberFormat="1" applyBorder="1" applyAlignment="1">
      <alignment horizontal="right"/>
    </xf>
    <xf numFmtId="0" fontId="0" fillId="0" borderId="2" xfId="0" quotePrefix="1" applyBorder="1" applyAlignment="1">
      <alignment horizontal="center"/>
    </xf>
    <xf numFmtId="172" fontId="0" fillId="0" borderId="15" xfId="0" applyNumberFormat="1" applyBorder="1" applyAlignment="1">
      <alignment horizontal="right"/>
    </xf>
    <xf numFmtId="172" fontId="0" fillId="0" borderId="4" xfId="0" applyNumberFormat="1" applyBorder="1" applyAlignment="1">
      <alignment horizontal="right"/>
    </xf>
    <xf numFmtId="172" fontId="0" fillId="2" borderId="8" xfId="0" applyNumberFormat="1" applyFill="1" applyBorder="1" applyAlignment="1">
      <alignment horizontal="right"/>
    </xf>
    <xf numFmtId="172" fontId="0" fillId="2" borderId="9" xfId="0" applyNumberFormat="1" applyFill="1" applyBorder="1" applyAlignment="1">
      <alignment horizontal="right"/>
    </xf>
    <xf numFmtId="172" fontId="0" fillId="2" borderId="0" xfId="0" applyNumberFormat="1" applyFill="1" applyBorder="1" applyAlignment="1">
      <alignment horizontal="right"/>
    </xf>
    <xf numFmtId="172" fontId="0" fillId="2" borderId="5" xfId="0" applyNumberFormat="1" applyFill="1" applyBorder="1" applyAlignment="1">
      <alignment horizontal="right"/>
    </xf>
    <xf numFmtId="0" fontId="0" fillId="2" borderId="6" xfId="0" applyFill="1" applyBorder="1"/>
    <xf numFmtId="0" fontId="0" fillId="2" borderId="10" xfId="0" applyFill="1" applyBorder="1"/>
    <xf numFmtId="10" fontId="0" fillId="0" borderId="0" xfId="0" applyNumberFormat="1"/>
    <xf numFmtId="185" fontId="0" fillId="0" borderId="0" xfId="0" applyNumberFormat="1"/>
    <xf numFmtId="0" fontId="0" fillId="0" borderId="2" xfId="0" quotePrefix="1" applyBorder="1" applyAlignment="1">
      <alignment horizontal="left"/>
    </xf>
    <xf numFmtId="3" fontId="1" fillId="0" borderId="1" xfId="0" applyNumberFormat="1" applyFont="1" applyBorder="1"/>
    <xf numFmtId="0" fontId="0" fillId="0" borderId="8" xfId="0" applyBorder="1" applyAlignment="1">
      <alignment horizontal="center"/>
    </xf>
    <xf numFmtId="0" fontId="0" fillId="0" borderId="9" xfId="0" applyBorder="1" applyAlignment="1">
      <alignment horizontal="center"/>
    </xf>
    <xf numFmtId="0" fontId="3" fillId="0" borderId="0" xfId="0" quotePrefix="1" applyFont="1" applyAlignment="1">
      <alignment horizontal="left"/>
    </xf>
    <xf numFmtId="0" fontId="2" fillId="0" borderId="0" xfId="0" applyFont="1" applyAlignment="1">
      <alignment horizontal="left"/>
    </xf>
    <xf numFmtId="0" fontId="0" fillId="0" borderId="0" xfId="0" applyAlignment="1">
      <alignment horizontal="left"/>
    </xf>
    <xf numFmtId="0" fontId="4" fillId="0" borderId="0" xfId="0" quotePrefix="1" applyFont="1" applyAlignment="1">
      <alignment horizontal="right"/>
    </xf>
    <xf numFmtId="0" fontId="4" fillId="0" borderId="0" xfId="0" applyFont="1"/>
    <xf numFmtId="0" fontId="2" fillId="0" borderId="0" xfId="0" quotePrefix="1" applyFont="1" applyAlignment="1">
      <alignment horizontal="left"/>
    </xf>
    <xf numFmtId="0" fontId="5" fillId="0" borderId="0" xfId="0" quotePrefix="1" applyFont="1" applyAlignment="1">
      <alignment horizontal="right"/>
    </xf>
    <xf numFmtId="0" fontId="5" fillId="0" borderId="0" xfId="0" applyFont="1"/>
    <xf numFmtId="0" fontId="2" fillId="0" borderId="0" xfId="0" applyFont="1" applyAlignment="1">
      <alignment horizontal="center"/>
    </xf>
    <xf numFmtId="0" fontId="0" fillId="0" borderId="0" xfId="0" applyAlignment="1">
      <alignment horizontal="center"/>
    </xf>
    <xf numFmtId="0" fontId="4" fillId="0" borderId="0" xfId="0" quotePrefix="1" applyFont="1" applyAlignment="1">
      <alignment horizontal="left"/>
    </xf>
    <xf numFmtId="172" fontId="0" fillId="2" borderId="11" xfId="0" applyNumberFormat="1" applyFill="1" applyBorder="1" applyAlignment="1">
      <alignment horizontal="right"/>
    </xf>
    <xf numFmtId="172" fontId="0" fillId="2" borderId="12" xfId="0" applyNumberFormat="1" applyFill="1" applyBorder="1" applyAlignment="1">
      <alignment horizontal="right"/>
    </xf>
    <xf numFmtId="3" fontId="0" fillId="0" borderId="0" xfId="0" applyNumberFormat="1"/>
    <xf numFmtId="0" fontId="0" fillId="2" borderId="0" xfId="0" applyFill="1"/>
    <xf numFmtId="0" fontId="5" fillId="0" borderId="0" xfId="0" quotePrefix="1" applyFont="1" applyAlignment="1">
      <alignment horizontal="left"/>
    </xf>
    <xf numFmtId="0" fontId="0" fillId="0" borderId="13" xfId="0" applyBorder="1"/>
    <xf numFmtId="0" fontId="2" fillId="0" borderId="0" xfId="0" applyFont="1" applyAlignment="1">
      <alignment horizontal="centerContinuous"/>
    </xf>
    <xf numFmtId="0" fontId="0" fillId="0" borderId="3" xfId="0" applyFill="1" applyBorder="1" applyAlignment="1">
      <alignment horizontal="center"/>
    </xf>
    <xf numFmtId="0" fontId="0" fillId="0" borderId="15" xfId="0" applyFill="1" applyBorder="1" applyAlignment="1">
      <alignment horizontal="center"/>
    </xf>
    <xf numFmtId="0" fontId="0" fillId="0" borderId="0" xfId="0" quotePrefix="1" applyAlignment="1">
      <alignment horizontal="center"/>
    </xf>
    <xf numFmtId="0" fontId="0" fillId="0" borderId="8" xfId="0" applyBorder="1" applyAlignment="1">
      <alignment horizontal="centerContinuous"/>
    </xf>
    <xf numFmtId="0" fontId="0" fillId="0" borderId="0" xfId="0" applyNumberFormat="1" applyBorder="1"/>
    <xf numFmtId="0" fontId="0" fillId="0" borderId="8" xfId="0" applyNumberFormat="1" applyBorder="1"/>
    <xf numFmtId="0" fontId="0" fillId="0" borderId="11" xfId="0" applyNumberFormat="1" applyBorder="1"/>
    <xf numFmtId="0" fontId="0" fillId="0" borderId="7" xfId="0" quotePrefix="1" applyBorder="1" applyAlignment="1">
      <alignment horizontal="centerContinuous"/>
    </xf>
    <xf numFmtId="0" fontId="0" fillId="0" borderId="14" xfId="0" applyBorder="1"/>
    <xf numFmtId="2" fontId="0" fillId="0" borderId="13" xfId="0" applyNumberFormat="1" applyBorder="1"/>
    <xf numFmtId="2" fontId="0" fillId="0" borderId="15" xfId="0" applyNumberFormat="1" applyBorder="1"/>
    <xf numFmtId="2" fontId="0" fillId="0" borderId="4" xfId="0" applyNumberFormat="1" applyBorder="1"/>
    <xf numFmtId="10" fontId="0" fillId="0" borderId="13" xfId="0" applyNumberFormat="1" applyBorder="1" applyAlignment="1">
      <alignment horizontal="right"/>
    </xf>
    <xf numFmtId="10" fontId="0" fillId="0" borderId="15" xfId="0" applyNumberFormat="1" applyBorder="1" applyAlignment="1">
      <alignment horizontal="right"/>
    </xf>
    <xf numFmtId="10" fontId="0" fillId="0" borderId="4" xfId="0" applyNumberFormat="1" applyBorder="1" applyAlignment="1">
      <alignment horizontal="right"/>
    </xf>
    <xf numFmtId="0" fontId="7" fillId="0" borderId="0" xfId="0" applyFont="1" applyAlignment="1">
      <alignment horizontal="center"/>
    </xf>
    <xf numFmtId="0" fontId="8" fillId="0" borderId="0" xfId="0" applyFont="1" applyAlignment="1">
      <alignment horizontal="right"/>
    </xf>
    <xf numFmtId="0" fontId="9" fillId="0" borderId="0" xfId="0" quotePrefix="1" applyFont="1" applyAlignment="1">
      <alignment horizontal="left"/>
    </xf>
    <xf numFmtId="0" fontId="6" fillId="0" borderId="0" xfId="1" quotePrefix="1" applyAlignment="1" applyProtection="1">
      <alignment horizontal="left"/>
    </xf>
    <xf numFmtId="173" fontId="0" fillId="0" borderId="8" xfId="0" applyNumberFormat="1" applyFill="1" applyBorder="1" applyAlignment="1">
      <alignment horizontal="right"/>
    </xf>
    <xf numFmtId="173" fontId="0" fillId="0" borderId="9" xfId="0" applyNumberFormat="1" applyFill="1" applyBorder="1" applyAlignment="1">
      <alignment horizontal="right"/>
    </xf>
    <xf numFmtId="173" fontId="0" fillId="0" borderId="0" xfId="0" applyNumberFormat="1" applyFill="1" applyBorder="1" applyAlignment="1">
      <alignment horizontal="right"/>
    </xf>
    <xf numFmtId="173" fontId="0" fillId="0" borderId="5" xfId="0" applyNumberFormat="1" applyFill="1" applyBorder="1" applyAlignment="1">
      <alignment horizontal="right"/>
    </xf>
    <xf numFmtId="0" fontId="0" fillId="0" borderId="11" xfId="0" applyNumberFormat="1" applyFill="1" applyBorder="1" applyAlignment="1">
      <alignment horizontal="right"/>
    </xf>
    <xf numFmtId="0" fontId="0" fillId="0" borderId="12" xfId="0" applyNumberFormat="1" applyFill="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0" i="0" u="none" strike="noStrike" baseline="0">
                <a:solidFill>
                  <a:srgbClr val="000000"/>
                </a:solidFill>
                <a:latin typeface="Arial"/>
                <a:ea typeface="Arial"/>
                <a:cs typeface="Arial"/>
              </a:defRPr>
            </a:pPr>
            <a:r>
              <a:rPr lang="en-GB"/>
              <a:t>Distribution of Monte Carlo Results</a:t>
            </a:r>
          </a:p>
        </c:rich>
      </c:tx>
      <c:layout>
        <c:manualLayout>
          <c:xMode val="edge"/>
          <c:yMode val="edge"/>
          <c:x val="0.28000893764060575"/>
          <c:y val="3.9217015083749279E-2"/>
        </c:manualLayout>
      </c:layout>
      <c:overlay val="0"/>
      <c:spPr>
        <a:noFill/>
        <a:ln w="25400">
          <a:noFill/>
        </a:ln>
      </c:spPr>
    </c:title>
    <c:autoTitleDeleted val="0"/>
    <c:plotArea>
      <c:layout>
        <c:manualLayout>
          <c:layoutTarget val="inner"/>
          <c:xMode val="edge"/>
          <c:yMode val="edge"/>
          <c:x val="0.13185606058208418"/>
          <c:y val="0.20834039263241805"/>
          <c:w val="0.83854528415123208"/>
          <c:h val="0.6348254316681915"/>
        </c:manualLayout>
      </c:layout>
      <c:barChart>
        <c:barDir val="col"/>
        <c:grouping val="clustered"/>
        <c:varyColors val="0"/>
        <c:ser>
          <c:idx val="0"/>
          <c:order val="0"/>
          <c:tx>
            <c:strRef>
              <c:f>Results!$M$3</c:f>
              <c:strCache>
                <c:ptCount val="1"/>
              </c:strCache>
            </c:strRef>
          </c:tx>
          <c:spPr>
            <a:solidFill>
              <a:srgbClr val="9999FF"/>
            </a:solidFill>
            <a:ln w="12700">
              <a:solidFill>
                <a:srgbClr val="000000"/>
              </a:solidFill>
              <a:prstDash val="solid"/>
            </a:ln>
          </c:spPr>
          <c:invertIfNegative val="0"/>
          <c:cat>
            <c:strRef>
              <c:f>Results!$L$10:$L$24</c:f>
              <c:strCache>
                <c:ptCount val="15"/>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&gt;3</c:v>
                </c:pt>
              </c:strCache>
            </c:strRef>
          </c:cat>
          <c:val>
            <c:numRef>
              <c:f>Results!$M$10:$M$24</c:f>
              <c:numCache>
                <c:formatCode>0.00%</c:formatCode>
                <c:ptCount val="15"/>
                <c:pt idx="0">
                  <c:v>0</c:v>
                </c:pt>
                <c:pt idx="1">
                  <c:v>0</c:v>
                </c:pt>
                <c:pt idx="2">
                  <c:v>0</c:v>
                </c:pt>
                <c:pt idx="3">
                  <c:v>0</c:v>
                </c:pt>
                <c:pt idx="4">
                  <c:v>0</c:v>
                </c:pt>
                <c:pt idx="5">
                  <c:v>0</c:v>
                </c:pt>
                <c:pt idx="6">
                  <c:v>0</c:v>
                </c:pt>
                <c:pt idx="7">
                  <c:v>0</c:v>
                </c:pt>
                <c:pt idx="8" formatCode="0.0%">
                  <c:v>0</c:v>
                </c:pt>
                <c:pt idx="9" formatCode="0.0%">
                  <c:v>0</c:v>
                </c:pt>
                <c:pt idx="10" formatCode="0.0%">
                  <c:v>0</c:v>
                </c:pt>
                <c:pt idx="11" formatCode="0.0%">
                  <c:v>0</c:v>
                </c:pt>
                <c:pt idx="12">
                  <c:v>0</c:v>
                </c:pt>
                <c:pt idx="13">
                  <c:v>0</c:v>
                </c:pt>
                <c:pt idx="14">
                  <c:v>0</c:v>
                </c:pt>
              </c:numCache>
            </c:numRef>
          </c:val>
          <c:extLst>
            <c:ext xmlns:c16="http://schemas.microsoft.com/office/drawing/2014/chart" uri="{C3380CC4-5D6E-409C-BE32-E72D297353CC}">
              <c16:uniqueId val="{00000000-2D79-4243-9EE8-D606818CAD8C}"/>
            </c:ext>
          </c:extLst>
        </c:ser>
        <c:dLbls>
          <c:showLegendKey val="0"/>
          <c:showVal val="0"/>
          <c:showCatName val="0"/>
          <c:showSerName val="0"/>
          <c:showPercent val="0"/>
          <c:showBubbleSize val="0"/>
        </c:dLbls>
        <c:gapWidth val="150"/>
        <c:axId val="591626079"/>
        <c:axId val="1"/>
      </c:barChart>
      <c:catAx>
        <c:axId val="59162607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91626079"/>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0" i="0" u="none" strike="noStrike" baseline="0">
                <a:solidFill>
                  <a:srgbClr val="000000"/>
                </a:solidFill>
                <a:latin typeface="Arial"/>
                <a:ea typeface="Arial"/>
                <a:cs typeface="Arial"/>
              </a:defRPr>
            </a:pPr>
            <a:r>
              <a:rPr lang="en-GB"/>
              <a:t>Cumulative Distribution of Monte Carlo Results</a:t>
            </a:r>
          </a:p>
        </c:rich>
      </c:tx>
      <c:layout>
        <c:manualLayout>
          <c:xMode val="edge"/>
          <c:yMode val="edge"/>
          <c:x val="0.20827857533532226"/>
          <c:y val="3.8930822140063576E-2"/>
        </c:manualLayout>
      </c:layout>
      <c:overlay val="0"/>
      <c:spPr>
        <a:noFill/>
        <a:ln w="25400">
          <a:noFill/>
        </a:ln>
      </c:spPr>
    </c:title>
    <c:autoTitleDeleted val="0"/>
    <c:plotArea>
      <c:layout>
        <c:manualLayout>
          <c:layoutTarget val="inner"/>
          <c:xMode val="edge"/>
          <c:yMode val="edge"/>
          <c:x val="0.12260370037469324"/>
          <c:y val="0.20681999261908776"/>
          <c:w val="0.84788583150691466"/>
          <c:h val="0.63749221254354105"/>
        </c:manualLayout>
      </c:layout>
      <c:barChart>
        <c:barDir val="col"/>
        <c:grouping val="clustered"/>
        <c:varyColors val="0"/>
        <c:ser>
          <c:idx val="0"/>
          <c:order val="0"/>
          <c:tx>
            <c:strRef>
              <c:f>Results!$M$3</c:f>
              <c:strCache>
                <c:ptCount val="1"/>
              </c:strCache>
            </c:strRef>
          </c:tx>
          <c:spPr>
            <a:solidFill>
              <a:srgbClr val="9999FF"/>
            </a:solidFill>
            <a:ln w="12700">
              <a:solidFill>
                <a:srgbClr val="000000"/>
              </a:solidFill>
              <a:prstDash val="solid"/>
            </a:ln>
          </c:spPr>
          <c:invertIfNegative val="0"/>
          <c:cat>
            <c:strRef>
              <c:f>Results!$L$30:$L$41</c:f>
              <c:strCache>
                <c:ptCount val="12"/>
                <c:pt idx="0">
                  <c:v>&lt;-10</c:v>
                </c:pt>
                <c:pt idx="1">
                  <c:v>-10</c:v>
                </c:pt>
                <c:pt idx="2">
                  <c:v>-9.5</c:v>
                </c:pt>
                <c:pt idx="3">
                  <c:v>-9</c:v>
                </c:pt>
                <c:pt idx="4">
                  <c:v>-8.5</c:v>
                </c:pt>
                <c:pt idx="5">
                  <c:v>-8</c:v>
                </c:pt>
                <c:pt idx="6">
                  <c:v>-7.5</c:v>
                </c:pt>
                <c:pt idx="7">
                  <c:v>-7</c:v>
                </c:pt>
                <c:pt idx="8">
                  <c:v>-6.5</c:v>
                </c:pt>
                <c:pt idx="9">
                  <c:v>-6</c:v>
                </c:pt>
                <c:pt idx="10">
                  <c:v>-5.5</c:v>
                </c:pt>
                <c:pt idx="11">
                  <c:v>-5</c:v>
                </c:pt>
              </c:strCache>
            </c:strRef>
          </c:cat>
          <c:val>
            <c:numRef>
              <c:f>Results!$M$30:$M$41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B0F-4349-8804-D68096105180}"/>
            </c:ext>
          </c:extLst>
        </c:ser>
        <c:dLbls>
          <c:showLegendKey val="0"/>
          <c:showVal val="0"/>
          <c:showCatName val="0"/>
          <c:showSerName val="0"/>
          <c:showPercent val="0"/>
          <c:showBubbleSize val="0"/>
        </c:dLbls>
        <c:gapWidth val="150"/>
        <c:axId val="591625279"/>
        <c:axId val="1"/>
      </c:barChart>
      <c:catAx>
        <c:axId val="59162527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0.01"/>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91625279"/>
        <c:crosses val="autoZero"/>
        <c:crossBetween val="between"/>
        <c:majorUnit val="2E-3"/>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Button" lockText="1"/>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29</xdr:col>
      <xdr:colOff>190500</xdr:colOff>
      <xdr:row>26</xdr:row>
      <xdr:rowOff>152400</xdr:rowOff>
    </xdr:from>
    <xdr:to>
      <xdr:col>31</xdr:col>
      <xdr:colOff>368300</xdr:colOff>
      <xdr:row>32</xdr:row>
      <xdr:rowOff>120650</xdr:rowOff>
    </xdr:to>
    <xdr:sp macro="" textlink="">
      <xdr:nvSpPr>
        <xdr:cNvPr id="1053" name="AutoShape 29">
          <a:extLst>
            <a:ext uri="{FF2B5EF4-FFF2-40B4-BE49-F238E27FC236}">
              <a16:creationId xmlns:a16="http://schemas.microsoft.com/office/drawing/2014/main" id="{013A5A5F-22FF-499D-A209-C75D19E67A29}"/>
            </a:ext>
          </a:extLst>
        </xdr:cNvPr>
        <xdr:cNvSpPr>
          <a:spLocks noChangeArrowheads="1"/>
        </xdr:cNvSpPr>
      </xdr:nvSpPr>
      <xdr:spPr bwMode="auto">
        <a:xfrm>
          <a:off x="12979400" y="4279900"/>
          <a:ext cx="1117600" cy="920750"/>
        </a:xfrm>
        <a:prstGeom prst="wedgeRectCallout">
          <a:avLst>
            <a:gd name="adj1" fmla="val 20537"/>
            <a:gd name="adj2" fmla="val -141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Insert formulas that compute "a" and "b" as functions of mean and SD</a:t>
          </a:r>
        </a:p>
      </xdr:txBody>
    </xdr:sp>
    <xdr:clientData/>
  </xdr:twoCellAnchor>
  <xdr:twoCellAnchor>
    <xdr:from>
      <xdr:col>4</xdr:col>
      <xdr:colOff>19050</xdr:colOff>
      <xdr:row>26</xdr:row>
      <xdr:rowOff>6350</xdr:rowOff>
    </xdr:from>
    <xdr:to>
      <xdr:col>6</xdr:col>
      <xdr:colOff>311150</xdr:colOff>
      <xdr:row>31</xdr:row>
      <xdr:rowOff>76200</xdr:rowOff>
    </xdr:to>
    <xdr:sp macro="" textlink="">
      <xdr:nvSpPr>
        <xdr:cNvPr id="1054" name="AutoShape 30">
          <a:extLst>
            <a:ext uri="{FF2B5EF4-FFF2-40B4-BE49-F238E27FC236}">
              <a16:creationId xmlns:a16="http://schemas.microsoft.com/office/drawing/2014/main" id="{0FC8A2A3-3552-4AE5-B389-03F2392173F4}"/>
            </a:ext>
          </a:extLst>
        </xdr:cNvPr>
        <xdr:cNvSpPr>
          <a:spLocks noChangeArrowheads="1"/>
        </xdr:cNvSpPr>
      </xdr:nvSpPr>
      <xdr:spPr bwMode="auto">
        <a:xfrm>
          <a:off x="1454150" y="4133850"/>
          <a:ext cx="1479550" cy="863600"/>
        </a:xfrm>
        <a:prstGeom prst="wedgeRectCallout">
          <a:avLst>
            <a:gd name="adj1" fmla="val 2704"/>
            <a:gd name="adj2" fmla="val -8804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I invented the seniority assignments, which do not appear in Table 11.1 or elsewhere in the CreditMetrics manual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120650</xdr:colOff>
      <xdr:row>31</xdr:row>
      <xdr:rowOff>38100</xdr:rowOff>
    </xdr:from>
    <xdr:to>
      <xdr:col>20</xdr:col>
      <xdr:colOff>158750</xdr:colOff>
      <xdr:row>34</xdr:row>
      <xdr:rowOff>114300</xdr:rowOff>
    </xdr:to>
    <xdr:sp macro="" textlink="">
      <xdr:nvSpPr>
        <xdr:cNvPr id="2050" name="AutoShape 2">
          <a:extLst>
            <a:ext uri="{FF2B5EF4-FFF2-40B4-BE49-F238E27FC236}">
              <a16:creationId xmlns:a16="http://schemas.microsoft.com/office/drawing/2014/main" id="{39B267F8-CA4A-4A01-A609-766D295DF106}"/>
            </a:ext>
          </a:extLst>
        </xdr:cNvPr>
        <xdr:cNvSpPr>
          <a:spLocks noChangeArrowheads="1"/>
        </xdr:cNvSpPr>
      </xdr:nvSpPr>
      <xdr:spPr bwMode="auto">
        <a:xfrm>
          <a:off x="5524500" y="4959350"/>
          <a:ext cx="1028700" cy="552450"/>
        </a:xfrm>
        <a:prstGeom prst="wedgeRectCallout">
          <a:avLst>
            <a:gd name="adj1" fmla="val 8255"/>
            <a:gd name="adj2" fmla="val 9406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Compute the lower-triangular Choleski matrix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25</xdr:row>
      <xdr:rowOff>25400</xdr:rowOff>
    </xdr:from>
    <xdr:to>
      <xdr:col>7</xdr:col>
      <xdr:colOff>577850</xdr:colOff>
      <xdr:row>34</xdr:row>
      <xdr:rowOff>63500</xdr:rowOff>
    </xdr:to>
    <xdr:sp macro="" textlink="">
      <xdr:nvSpPr>
        <xdr:cNvPr id="6145" name="AutoShape 1">
          <a:extLst>
            <a:ext uri="{FF2B5EF4-FFF2-40B4-BE49-F238E27FC236}">
              <a16:creationId xmlns:a16="http://schemas.microsoft.com/office/drawing/2014/main" id="{2EB5BAC9-9AC7-4F0C-8B8B-0DE141202D68}"/>
            </a:ext>
          </a:extLst>
        </xdr:cNvPr>
        <xdr:cNvSpPr>
          <a:spLocks noChangeArrowheads="1"/>
        </xdr:cNvSpPr>
      </xdr:nvSpPr>
      <xdr:spPr bwMode="auto">
        <a:xfrm>
          <a:off x="107950" y="3994150"/>
          <a:ext cx="3200400" cy="1466850"/>
        </a:xfrm>
        <a:prstGeom prst="wedgeRectCallout">
          <a:avLst>
            <a:gd name="adj1" fmla="val 58125"/>
            <a:gd name="adj2" fmla="val -6528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100"/>
            </a:lnSpc>
            <a:defRPr sz="1000"/>
          </a:pPr>
          <a:r>
            <a:rPr lang="en-GB" sz="1000" b="0" i="0" u="none" strike="noStrike" baseline="0">
              <a:solidFill>
                <a:srgbClr val="000000"/>
              </a:solidFill>
              <a:latin typeface="Arial"/>
              <a:cs typeface="Arial"/>
            </a:rPr>
            <a:t>Put formulas here to compute the rating simulated in this run. They should depend on the correlated variables in column H, and also on (5) Critical Points. In turn, (5) depends on (4) Cumulative Probabilities. The mechanics are discussed in Section 8.4 of the CreditMetrics manual</a:t>
          </a:r>
        </a:p>
        <a:p>
          <a:pPr algn="l" rtl="0">
            <a:lnSpc>
              <a:spcPts val="1100"/>
            </a:lnSpc>
            <a:defRPr sz="1000"/>
          </a:pPr>
          <a:endParaRPr lang="en-GB" sz="1000" b="0" i="0" u="none" strike="noStrike" baseline="0">
            <a:solidFill>
              <a:srgbClr val="000000"/>
            </a:solidFill>
            <a:latin typeface="Arial"/>
            <a:cs typeface="Arial"/>
          </a:endParaRPr>
        </a:p>
        <a:p>
          <a:pPr algn="l" rtl="0">
            <a:lnSpc>
              <a:spcPts val="1100"/>
            </a:lnSpc>
            <a:defRPr sz="1000"/>
          </a:pPr>
          <a:r>
            <a:rPr lang="en-GB" sz="1000" b="0" i="0" u="none" strike="noStrike" baseline="0">
              <a:solidFill>
                <a:srgbClr val="000000"/>
              </a:solidFill>
              <a:latin typeface="Arial"/>
              <a:cs typeface="Arial"/>
            </a:rPr>
            <a:t>If you need more than one cell to compute the simulated rating, use comlumns to the right of AU or rows below 30.</a:t>
          </a:r>
        </a:p>
      </xdr:txBody>
    </xdr:sp>
    <xdr:clientData/>
  </xdr:twoCellAnchor>
  <xdr:twoCellAnchor>
    <xdr:from>
      <xdr:col>23</xdr:col>
      <xdr:colOff>177800</xdr:colOff>
      <xdr:row>0</xdr:row>
      <xdr:rowOff>0</xdr:rowOff>
    </xdr:from>
    <xdr:to>
      <xdr:col>27</xdr:col>
      <xdr:colOff>57150</xdr:colOff>
      <xdr:row>2</xdr:row>
      <xdr:rowOff>57150</xdr:rowOff>
    </xdr:to>
    <xdr:sp macro="" textlink="">
      <xdr:nvSpPr>
        <xdr:cNvPr id="6146" name="AutoShape 2">
          <a:extLst>
            <a:ext uri="{FF2B5EF4-FFF2-40B4-BE49-F238E27FC236}">
              <a16:creationId xmlns:a16="http://schemas.microsoft.com/office/drawing/2014/main" id="{3A198684-CACF-42BF-952D-FF8A7F08C946}"/>
            </a:ext>
          </a:extLst>
        </xdr:cNvPr>
        <xdr:cNvSpPr>
          <a:spLocks noChangeArrowheads="1"/>
        </xdr:cNvSpPr>
      </xdr:nvSpPr>
      <xdr:spPr bwMode="auto">
        <a:xfrm>
          <a:off x="10147300" y="0"/>
          <a:ext cx="1270000" cy="374650"/>
        </a:xfrm>
        <a:prstGeom prst="wedgeRectCallout">
          <a:avLst>
            <a:gd name="adj1" fmla="val -20079"/>
            <a:gd name="adj2" fmla="val 147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Put formulas here to cumulate properly</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82550</xdr:colOff>
          <xdr:row>1</xdr:row>
          <xdr:rowOff>19050</xdr:rowOff>
        </xdr:from>
        <xdr:to>
          <xdr:col>7</xdr:col>
          <xdr:colOff>0</xdr:colOff>
          <xdr:row>3</xdr:row>
          <xdr:rowOff>25400</xdr:rowOff>
        </xdr:to>
        <xdr:sp macro="" textlink="">
          <xdr:nvSpPr>
            <xdr:cNvPr id="5121" name="Button 1" hidden="1">
              <a:extLst>
                <a:ext uri="{63B3BB69-23CF-44E3-9099-C40C66FF867C}">
                  <a14:compatExt spid="_x0000_s5121"/>
                </a:ext>
                <a:ext uri="{FF2B5EF4-FFF2-40B4-BE49-F238E27FC236}">
                  <a16:creationId xmlns:a16="http://schemas.microsoft.com/office/drawing/2014/main" id="{1B7380D2-829F-4CA2-8D10-7916FC5BEDA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GB" sz="1000" b="0" i="0" u="none" strike="noStrike" baseline="0">
                  <a:solidFill>
                    <a:srgbClr val="000000"/>
                  </a:solidFill>
                  <a:latin typeface="Arial"/>
                  <a:cs typeface="Arial"/>
                </a:rPr>
                <a:t>Run Macro "Monte Carlo"</a:t>
              </a:r>
            </a:p>
          </xdr:txBody>
        </xdr:sp>
        <xdr:clientData fPrintsWithSheet="0"/>
      </xdr:twoCellAnchor>
    </mc:Choice>
    <mc:Fallback/>
  </mc:AlternateContent>
  <xdr:twoCellAnchor>
    <xdr:from>
      <xdr:col>13</xdr:col>
      <xdr:colOff>82550</xdr:colOff>
      <xdr:row>6</xdr:row>
      <xdr:rowOff>152400</xdr:rowOff>
    </xdr:from>
    <xdr:to>
      <xdr:col>22</xdr:col>
      <xdr:colOff>139700</xdr:colOff>
      <xdr:row>23</xdr:row>
      <xdr:rowOff>44450</xdr:rowOff>
    </xdr:to>
    <xdr:graphicFrame macro="">
      <xdr:nvGraphicFramePr>
        <xdr:cNvPr id="5122" name="Chart 2">
          <a:extLst>
            <a:ext uri="{FF2B5EF4-FFF2-40B4-BE49-F238E27FC236}">
              <a16:creationId xmlns:a16="http://schemas.microsoft.com/office/drawing/2014/main" id="{C0C9C00C-D976-4C02-B3BB-CC98476D3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158750</xdr:colOff>
      <xdr:row>27</xdr:row>
      <xdr:rowOff>63500</xdr:rowOff>
    </xdr:from>
    <xdr:to>
      <xdr:col>22</xdr:col>
      <xdr:colOff>228600</xdr:colOff>
      <xdr:row>43</xdr:row>
      <xdr:rowOff>133350</xdr:rowOff>
    </xdr:to>
    <xdr:graphicFrame macro="">
      <xdr:nvGraphicFramePr>
        <xdr:cNvPr id="5123" name="Chart 3">
          <a:extLst>
            <a:ext uri="{FF2B5EF4-FFF2-40B4-BE49-F238E27FC236}">
              <a16:creationId xmlns:a16="http://schemas.microsoft.com/office/drawing/2014/main" id="{77A9BEE4-ACE5-47A6-9C88-8C0B28A0C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368300</xdr:colOff>
      <xdr:row>7</xdr:row>
      <xdr:rowOff>44450</xdr:rowOff>
    </xdr:from>
    <xdr:to>
      <xdr:col>31</xdr:col>
      <xdr:colOff>450850</xdr:colOff>
      <xdr:row>23</xdr:row>
      <xdr:rowOff>120650</xdr:rowOff>
    </xdr:to>
    <xdr:pic>
      <xdr:nvPicPr>
        <xdr:cNvPr id="5124" name="Picture 4">
          <a:extLst>
            <a:ext uri="{FF2B5EF4-FFF2-40B4-BE49-F238E27FC236}">
              <a16:creationId xmlns:a16="http://schemas.microsoft.com/office/drawing/2014/main" id="{D7983440-8EE8-417B-A93F-86BF367BDD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06100" y="1162050"/>
          <a:ext cx="4311650" cy="261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12700</xdr:colOff>
      <xdr:row>27</xdr:row>
      <xdr:rowOff>38100</xdr:rowOff>
    </xdr:from>
    <xdr:to>
      <xdr:col>32</xdr:col>
      <xdr:colOff>101600</xdr:colOff>
      <xdr:row>43</xdr:row>
      <xdr:rowOff>120650</xdr:rowOff>
    </xdr:to>
    <xdr:pic>
      <xdr:nvPicPr>
        <xdr:cNvPr id="5125" name="Picture 5">
          <a:extLst>
            <a:ext uri="{FF2B5EF4-FFF2-40B4-BE49-F238E27FC236}">
              <a16:creationId xmlns:a16="http://schemas.microsoft.com/office/drawing/2014/main" id="{25346FD9-71D2-4216-A339-82595CD2449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20400" y="4330700"/>
          <a:ext cx="4318000" cy="262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247650</xdr:colOff>
      <xdr:row>1</xdr:row>
      <xdr:rowOff>120650</xdr:rowOff>
    </xdr:from>
    <xdr:to>
      <xdr:col>18</xdr:col>
      <xdr:colOff>317500</xdr:colOff>
      <xdr:row>4</xdr:row>
      <xdr:rowOff>31750</xdr:rowOff>
    </xdr:to>
    <xdr:sp macro="" textlink="">
      <xdr:nvSpPr>
        <xdr:cNvPr id="5126" name="Text Box 6">
          <a:extLst>
            <a:ext uri="{FF2B5EF4-FFF2-40B4-BE49-F238E27FC236}">
              <a16:creationId xmlns:a16="http://schemas.microsoft.com/office/drawing/2014/main" id="{7CDA06F0-0B27-4ECE-A98F-C6D8ED0D20E5}"/>
            </a:ext>
          </a:extLst>
        </xdr:cNvPr>
        <xdr:cNvSpPr txBox="1">
          <a:spLocks noChangeArrowheads="1"/>
        </xdr:cNvSpPr>
      </xdr:nvSpPr>
      <xdr:spPr bwMode="auto">
        <a:xfrm>
          <a:off x="7296150" y="279400"/>
          <a:ext cx="1479550" cy="387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41148" rIns="0" bIns="0" anchor="t" upright="1"/>
        <a:lstStyle/>
        <a:p>
          <a:pPr algn="l" rtl="0">
            <a:defRPr sz="1000"/>
          </a:pPr>
          <a:r>
            <a:rPr lang="en-GB" sz="1600" b="0" i="0" u="none" strike="noStrike" baseline="0">
              <a:solidFill>
                <a:srgbClr val="000000"/>
              </a:solidFill>
              <a:latin typeface="Arial"/>
              <a:cs typeface="Arial"/>
            </a:rPr>
            <a:t>Live charts</a:t>
          </a:r>
        </a:p>
      </xdr:txBody>
    </xdr:sp>
    <xdr:clientData/>
  </xdr:twoCellAnchor>
  <xdr:twoCellAnchor>
    <xdr:from>
      <xdr:col>24</xdr:col>
      <xdr:colOff>247650</xdr:colOff>
      <xdr:row>1</xdr:row>
      <xdr:rowOff>120650</xdr:rowOff>
    </xdr:from>
    <xdr:to>
      <xdr:col>27</xdr:col>
      <xdr:colOff>317500</xdr:colOff>
      <xdr:row>4</xdr:row>
      <xdr:rowOff>31750</xdr:rowOff>
    </xdr:to>
    <xdr:sp macro="" textlink="">
      <xdr:nvSpPr>
        <xdr:cNvPr id="5127" name="Text Box 7">
          <a:extLst>
            <a:ext uri="{FF2B5EF4-FFF2-40B4-BE49-F238E27FC236}">
              <a16:creationId xmlns:a16="http://schemas.microsoft.com/office/drawing/2014/main" id="{936A43CF-6BA2-4478-9BD6-5416A3FFCBFA}"/>
            </a:ext>
          </a:extLst>
        </xdr:cNvPr>
        <xdr:cNvSpPr txBox="1">
          <a:spLocks noChangeArrowheads="1"/>
        </xdr:cNvSpPr>
      </xdr:nvSpPr>
      <xdr:spPr bwMode="auto">
        <a:xfrm>
          <a:off x="11525250" y="279400"/>
          <a:ext cx="1479550" cy="387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41148" rIns="0" bIns="0" anchor="t" upright="1"/>
        <a:lstStyle/>
        <a:p>
          <a:pPr algn="l" rtl="0">
            <a:defRPr sz="1000"/>
          </a:pPr>
          <a:r>
            <a:rPr lang="en-GB" sz="1600" b="0" i="0" u="none" strike="noStrike" baseline="0">
              <a:solidFill>
                <a:srgbClr val="000000"/>
              </a:solidFill>
              <a:latin typeface="Arial"/>
              <a:cs typeface="Arial"/>
            </a:rPr>
            <a:t>Pictures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on.Frye@Chi.FRB.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3:H23"/>
  <sheetViews>
    <sheetView tabSelected="1" workbookViewId="0"/>
  </sheetViews>
  <sheetFormatPr defaultRowHeight="12.5" x14ac:dyDescent="0.25"/>
  <cols>
    <col min="1" max="1" width="1.7265625" customWidth="1"/>
    <col min="2" max="2" width="18" bestFit="1" customWidth="1"/>
    <col min="3" max="4" width="25.7265625" customWidth="1"/>
  </cols>
  <sheetData>
    <row r="3" spans="2:8" ht="20" x14ac:dyDescent="0.4">
      <c r="B3" s="157" t="s">
        <v>127</v>
      </c>
      <c r="C3" s="123" t="s">
        <v>90</v>
      </c>
    </row>
    <row r="5" spans="2:8" ht="20" x14ac:dyDescent="0.4">
      <c r="B5" s="126" t="s">
        <v>95</v>
      </c>
      <c r="C5" s="133" t="s">
        <v>82</v>
      </c>
      <c r="D5" s="127"/>
      <c r="E5" s="127"/>
      <c r="F5" s="127"/>
      <c r="G5" s="127"/>
      <c r="H5" s="127"/>
    </row>
    <row r="6" spans="2:8" x14ac:dyDescent="0.25">
      <c r="B6" s="2"/>
      <c r="C6" s="104" t="s">
        <v>92</v>
      </c>
    </row>
    <row r="7" spans="2:8" x14ac:dyDescent="0.25">
      <c r="B7" s="2"/>
    </row>
    <row r="8" spans="2:8" ht="20" x14ac:dyDescent="0.4">
      <c r="B8" s="129" t="s">
        <v>96</v>
      </c>
      <c r="C8" s="138" t="s">
        <v>91</v>
      </c>
      <c r="D8" s="130"/>
      <c r="E8" s="130"/>
      <c r="F8" s="130"/>
      <c r="G8" s="130"/>
      <c r="H8" s="130"/>
    </row>
    <row r="11" spans="2:8" ht="20" x14ac:dyDescent="0.4">
      <c r="B11" s="157" t="s">
        <v>109</v>
      </c>
      <c r="C11" s="158" t="s">
        <v>110</v>
      </c>
      <c r="D11" s="140"/>
    </row>
    <row r="13" spans="2:8" ht="13" x14ac:dyDescent="0.3">
      <c r="C13" s="156" t="s">
        <v>93</v>
      </c>
      <c r="D13" s="156" t="s">
        <v>94</v>
      </c>
    </row>
    <row r="20" spans="3:3" x14ac:dyDescent="0.25">
      <c r="C20" s="104" t="s">
        <v>108</v>
      </c>
    </row>
    <row r="21" spans="3:3" x14ac:dyDescent="0.25">
      <c r="C21" s="104" t="s">
        <v>106</v>
      </c>
    </row>
    <row r="22" spans="3:3" x14ac:dyDescent="0.25">
      <c r="C22" s="104" t="s">
        <v>107</v>
      </c>
    </row>
    <row r="23" spans="3:3" x14ac:dyDescent="0.25">
      <c r="C23" s="159" t="s">
        <v>111</v>
      </c>
    </row>
  </sheetData>
  <hyperlinks>
    <hyperlink ref="C23" r:id="rId1" display="Jon.Frye@Chi.FRB.org"/>
  </hyperlinks>
  <pageMargins left="0.75" right="0.75" top="1" bottom="1" header="0.5" footer="0.5"/>
  <pageSetup scale="84" orientation="portrait" horizontalDpi="300" verticalDpi="300" r:id="rId2"/>
  <headerFooter alignWithMargins="0">
    <oddFooter>&amp;C&amp;A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3:I44"/>
  <sheetViews>
    <sheetView workbookViewId="0"/>
  </sheetViews>
  <sheetFormatPr defaultRowHeight="12.5" x14ac:dyDescent="0.25"/>
  <cols>
    <col min="1" max="1" width="1.7265625" customWidth="1"/>
    <col min="2" max="2" width="18" bestFit="1" customWidth="1"/>
  </cols>
  <sheetData>
    <row r="3" spans="2:9" x14ac:dyDescent="0.25">
      <c r="C3" s="104" t="s">
        <v>121</v>
      </c>
    </row>
    <row r="4" spans="2:9" x14ac:dyDescent="0.25">
      <c r="C4" s="104" t="s">
        <v>97</v>
      </c>
    </row>
    <row r="5" spans="2:9" x14ac:dyDescent="0.25">
      <c r="C5" s="104" t="s">
        <v>122</v>
      </c>
      <c r="I5" s="137"/>
    </row>
    <row r="7" spans="2:9" x14ac:dyDescent="0.25">
      <c r="B7" s="131" t="s">
        <v>71</v>
      </c>
      <c r="C7" s="128" t="s">
        <v>123</v>
      </c>
    </row>
    <row r="8" spans="2:9" x14ac:dyDescent="0.25">
      <c r="B8" s="131"/>
      <c r="C8" s="124"/>
    </row>
    <row r="9" spans="2:9" x14ac:dyDescent="0.25">
      <c r="B9" s="132" t="s">
        <v>59</v>
      </c>
      <c r="C9" s="104" t="s">
        <v>60</v>
      </c>
    </row>
    <row r="10" spans="2:9" x14ac:dyDescent="0.25">
      <c r="B10" s="132"/>
      <c r="C10" s="104" t="s">
        <v>68</v>
      </c>
    </row>
    <row r="11" spans="2:9" x14ac:dyDescent="0.25">
      <c r="B11" s="132"/>
      <c r="C11" s="104" t="s">
        <v>62</v>
      </c>
    </row>
    <row r="12" spans="2:9" x14ac:dyDescent="0.25">
      <c r="B12" s="132"/>
      <c r="C12" s="104" t="s">
        <v>61</v>
      </c>
    </row>
    <row r="13" spans="2:9" x14ac:dyDescent="0.25">
      <c r="B13" s="132"/>
      <c r="C13" s="125"/>
    </row>
    <row r="14" spans="2:9" x14ac:dyDescent="0.25">
      <c r="B14" s="132" t="s">
        <v>63</v>
      </c>
      <c r="C14" s="125" t="s">
        <v>64</v>
      </c>
    </row>
    <row r="15" spans="2:9" x14ac:dyDescent="0.25">
      <c r="B15" s="132"/>
      <c r="C15" s="125"/>
    </row>
    <row r="16" spans="2:9" x14ac:dyDescent="0.25">
      <c r="B16" s="132" t="s">
        <v>65</v>
      </c>
      <c r="C16" s="104" t="s">
        <v>66</v>
      </c>
    </row>
    <row r="17" spans="2:4" x14ac:dyDescent="0.25">
      <c r="B17" s="132"/>
      <c r="C17" s="125" t="s">
        <v>67</v>
      </c>
    </row>
    <row r="18" spans="2:4" x14ac:dyDescent="0.25">
      <c r="B18" s="132"/>
      <c r="C18" s="104" t="s">
        <v>69</v>
      </c>
    </row>
    <row r="19" spans="2:4" x14ac:dyDescent="0.25">
      <c r="B19" s="132"/>
      <c r="C19" s="104" t="s">
        <v>70</v>
      </c>
    </row>
    <row r="20" spans="2:4" x14ac:dyDescent="0.25">
      <c r="B20" s="132"/>
      <c r="C20" s="104" t="s">
        <v>81</v>
      </c>
    </row>
    <row r="21" spans="2:4" x14ac:dyDescent="0.25">
      <c r="B21" s="132"/>
      <c r="C21" s="125"/>
    </row>
    <row r="22" spans="2:4" x14ac:dyDescent="0.25">
      <c r="B22" s="132" t="s">
        <v>72</v>
      </c>
      <c r="C22" s="104" t="s">
        <v>120</v>
      </c>
    </row>
    <row r="23" spans="2:4" x14ac:dyDescent="0.25">
      <c r="B23" s="132"/>
      <c r="C23" s="125"/>
      <c r="D23" s="104" t="s">
        <v>74</v>
      </c>
    </row>
    <row r="24" spans="2:4" x14ac:dyDescent="0.25">
      <c r="B24" s="132"/>
      <c r="C24" s="125"/>
      <c r="D24" t="s">
        <v>73</v>
      </c>
    </row>
    <row r="25" spans="2:4" x14ac:dyDescent="0.25">
      <c r="B25" s="132"/>
      <c r="C25" s="125" t="s">
        <v>75</v>
      </c>
    </row>
    <row r="26" spans="2:4" x14ac:dyDescent="0.25">
      <c r="B26" s="132"/>
    </row>
    <row r="27" spans="2:4" x14ac:dyDescent="0.25">
      <c r="B27" s="132" t="s">
        <v>76</v>
      </c>
      <c r="C27" s="104" t="s">
        <v>78</v>
      </c>
    </row>
    <row r="28" spans="2:4" x14ac:dyDescent="0.25">
      <c r="B28" s="132"/>
      <c r="C28" t="s">
        <v>77</v>
      </c>
    </row>
    <row r="29" spans="2:4" x14ac:dyDescent="0.25">
      <c r="B29" s="132"/>
      <c r="C29" t="s">
        <v>79</v>
      </c>
    </row>
    <row r="30" spans="2:4" x14ac:dyDescent="0.25">
      <c r="B30" s="132"/>
      <c r="C30" s="104" t="s">
        <v>80</v>
      </c>
    </row>
    <row r="31" spans="2:4" x14ac:dyDescent="0.25">
      <c r="B31" s="132"/>
    </row>
    <row r="32" spans="2:4" x14ac:dyDescent="0.25">
      <c r="B32" s="132"/>
    </row>
    <row r="33" spans="2:9" x14ac:dyDescent="0.25">
      <c r="B33" s="132"/>
      <c r="C33" s="104" t="s">
        <v>114</v>
      </c>
    </row>
    <row r="34" spans="2:9" x14ac:dyDescent="0.25">
      <c r="B34" s="132"/>
      <c r="C34" t="s">
        <v>83</v>
      </c>
    </row>
    <row r="35" spans="2:9" x14ac:dyDescent="0.25">
      <c r="B35" s="132"/>
      <c r="C35" t="s">
        <v>84</v>
      </c>
    </row>
    <row r="36" spans="2:9" x14ac:dyDescent="0.25">
      <c r="B36" s="132" t="s">
        <v>124</v>
      </c>
      <c r="D36" s="2" t="s">
        <v>85</v>
      </c>
      <c r="E36" s="137"/>
    </row>
    <row r="37" spans="2:9" x14ac:dyDescent="0.25">
      <c r="B37" s="132"/>
    </row>
    <row r="38" spans="2:9" x14ac:dyDescent="0.25">
      <c r="B38" s="132"/>
      <c r="C38" s="104" t="s">
        <v>86</v>
      </c>
    </row>
    <row r="39" spans="2:9" x14ac:dyDescent="0.25">
      <c r="B39" s="143" t="s">
        <v>125</v>
      </c>
      <c r="C39" s="104" t="s">
        <v>87</v>
      </c>
      <c r="H39" t="s">
        <v>89</v>
      </c>
      <c r="I39" s="137"/>
    </row>
    <row r="40" spans="2:9" x14ac:dyDescent="0.25">
      <c r="B40" s="132"/>
    </row>
    <row r="41" spans="2:9" x14ac:dyDescent="0.25">
      <c r="B41" s="132"/>
      <c r="C41" t="s">
        <v>88</v>
      </c>
    </row>
    <row r="42" spans="2:9" x14ac:dyDescent="0.25">
      <c r="B42" s="143" t="s">
        <v>126</v>
      </c>
      <c r="C42" s="137"/>
      <c r="D42" s="137"/>
      <c r="E42" s="137"/>
      <c r="F42" s="137"/>
      <c r="G42" s="137"/>
      <c r="H42" s="137"/>
    </row>
    <row r="43" spans="2:9" x14ac:dyDescent="0.25">
      <c r="B43" s="132"/>
      <c r="C43" s="137"/>
      <c r="D43" s="137"/>
      <c r="E43" s="137"/>
      <c r="F43" s="137"/>
      <c r="G43" s="137"/>
      <c r="H43" s="137"/>
    </row>
    <row r="44" spans="2:9" x14ac:dyDescent="0.25">
      <c r="C44" s="137"/>
      <c r="D44" s="137"/>
      <c r="E44" s="137"/>
      <c r="F44" s="137"/>
      <c r="G44" s="137"/>
      <c r="H44" s="137"/>
    </row>
  </sheetData>
  <pageMargins left="0.75" right="0.75" top="1" bottom="1" header="0.5" footer="0.5"/>
  <pageSetup scale="98" orientation="portrait" horizontalDpi="300" verticalDpi="300" r:id="rId1"/>
  <headerFooter alignWithMargins="0">
    <oddFooter>&amp;C&amp;A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B3:AF47"/>
  <sheetViews>
    <sheetView workbookViewId="0"/>
  </sheetViews>
  <sheetFormatPr defaultColWidth="6.7265625" defaultRowHeight="12.5" x14ac:dyDescent="0.25"/>
  <cols>
    <col min="1" max="1" width="1.7265625" customWidth="1"/>
    <col min="2" max="2" width="5.26953125" customWidth="1"/>
    <col min="3" max="3" width="6.26953125" customWidth="1"/>
    <col min="4" max="4" width="7.26953125" customWidth="1"/>
    <col min="5" max="5" width="5.1796875" customWidth="1"/>
    <col min="6" max="6" width="11.81640625" bestFit="1" customWidth="1"/>
    <col min="7" max="7" width="5.1796875" customWidth="1"/>
    <col min="8" max="8" width="1.7265625" customWidth="1"/>
    <col min="9" max="9" width="6" customWidth="1"/>
    <col min="10" max="14" width="7" customWidth="1"/>
    <col min="15" max="15" width="5" customWidth="1"/>
    <col min="16" max="16" width="7" customWidth="1"/>
    <col min="17" max="17" width="4.81640625" customWidth="1"/>
    <col min="18" max="25" width="6.7265625" customWidth="1"/>
    <col min="26" max="26" width="1.7265625" customWidth="1"/>
    <col min="27" max="27" width="11.81640625" customWidth="1"/>
    <col min="28" max="32" width="6.7265625" customWidth="1"/>
    <col min="33" max="33" width="1.7265625" customWidth="1"/>
  </cols>
  <sheetData>
    <row r="3" spans="2:32" x14ac:dyDescent="0.25">
      <c r="B3" s="3" t="s">
        <v>44</v>
      </c>
      <c r="C3" s="4"/>
      <c r="D3" s="4"/>
      <c r="E3" s="4"/>
      <c r="F3" s="5"/>
      <c r="G3" s="61"/>
      <c r="I3" s="3" t="s">
        <v>33</v>
      </c>
      <c r="J3" s="4"/>
      <c r="K3" s="4"/>
      <c r="L3" s="4"/>
      <c r="M3" s="4"/>
      <c r="N3" s="4"/>
      <c r="O3" s="4"/>
      <c r="P3" s="5"/>
      <c r="R3" s="3" t="s">
        <v>29</v>
      </c>
      <c r="S3" s="4"/>
      <c r="T3" s="4"/>
      <c r="U3" s="4"/>
      <c r="V3" s="4"/>
      <c r="W3" s="4"/>
      <c r="X3" s="4"/>
      <c r="Y3" s="5"/>
      <c r="AA3" s="3" t="s">
        <v>113</v>
      </c>
      <c r="AB3" s="4"/>
      <c r="AC3" s="70"/>
      <c r="AD3" s="4"/>
      <c r="AE3" s="4"/>
      <c r="AF3" s="5"/>
    </row>
    <row r="4" spans="2:32" x14ac:dyDescent="0.25">
      <c r="B4" s="37" t="s">
        <v>15</v>
      </c>
      <c r="C4" s="36" t="s">
        <v>16</v>
      </c>
      <c r="D4" s="37" t="s">
        <v>17</v>
      </c>
      <c r="E4" s="37" t="s">
        <v>8</v>
      </c>
      <c r="F4" s="76" t="s">
        <v>9</v>
      </c>
      <c r="G4" s="40" t="s">
        <v>7</v>
      </c>
      <c r="I4" s="33">
        <v>0</v>
      </c>
      <c r="J4" s="34">
        <f t="shared" ref="J4:P4" si="0">I4+1</f>
        <v>1</v>
      </c>
      <c r="K4" s="34">
        <f t="shared" si="0"/>
        <v>2</v>
      </c>
      <c r="L4" s="34">
        <f t="shared" si="0"/>
        <v>3</v>
      </c>
      <c r="M4" s="34">
        <f t="shared" si="0"/>
        <v>4</v>
      </c>
      <c r="N4" s="34">
        <f t="shared" si="0"/>
        <v>5</v>
      </c>
      <c r="O4" s="34">
        <f t="shared" si="0"/>
        <v>6</v>
      </c>
      <c r="P4" s="35">
        <f t="shared" si="0"/>
        <v>7</v>
      </c>
      <c r="R4" s="39" t="s">
        <v>0</v>
      </c>
      <c r="S4" s="73" t="s">
        <v>1</v>
      </c>
      <c r="T4" s="73" t="s">
        <v>2</v>
      </c>
      <c r="U4" s="73" t="s">
        <v>3</v>
      </c>
      <c r="V4" s="73" t="s">
        <v>4</v>
      </c>
      <c r="W4" s="73" t="s">
        <v>5</v>
      </c>
      <c r="X4" s="73" t="s">
        <v>6</v>
      </c>
      <c r="Y4" s="141" t="s">
        <v>30</v>
      </c>
      <c r="AA4" s="69" t="s">
        <v>9</v>
      </c>
      <c r="AB4" s="44" t="s">
        <v>25</v>
      </c>
      <c r="AC4" s="108" t="s">
        <v>47</v>
      </c>
      <c r="AD4" s="108" t="s">
        <v>36</v>
      </c>
      <c r="AE4" s="44" t="s">
        <v>18</v>
      </c>
      <c r="AF4" s="43" t="s">
        <v>19</v>
      </c>
    </row>
    <row r="5" spans="2:32" x14ac:dyDescent="0.25">
      <c r="B5" s="31">
        <v>1</v>
      </c>
      <c r="C5" s="52" t="s">
        <v>0</v>
      </c>
      <c r="D5" s="53">
        <v>5</v>
      </c>
      <c r="E5" s="23">
        <v>3</v>
      </c>
      <c r="F5" s="52" t="s">
        <v>31</v>
      </c>
      <c r="G5" s="24">
        <v>7</v>
      </c>
      <c r="I5" s="31">
        <f t="shared" ref="I5:P14" si="1">(I$4&lt;$E5)*$D5+100*($E5=I$4+1)</f>
        <v>5</v>
      </c>
      <c r="J5" s="28">
        <f t="shared" si="1"/>
        <v>5</v>
      </c>
      <c r="K5" s="28">
        <f t="shared" si="1"/>
        <v>105</v>
      </c>
      <c r="L5" s="28">
        <f t="shared" si="1"/>
        <v>0</v>
      </c>
      <c r="M5" s="28">
        <f t="shared" si="1"/>
        <v>0</v>
      </c>
      <c r="N5" s="28">
        <f t="shared" si="1"/>
        <v>0</v>
      </c>
      <c r="O5" s="28">
        <f t="shared" si="1"/>
        <v>0</v>
      </c>
      <c r="P5" s="32">
        <f t="shared" si="1"/>
        <v>0</v>
      </c>
      <c r="R5" s="13">
        <f t="shared" ref="R5:X14" si="2">MMULT($I5:$P5,R$29:R$36)/100</f>
        <v>1.0658806197151345</v>
      </c>
      <c r="S5" s="14">
        <f t="shared" si="2"/>
        <v>1.0649291229384761</v>
      </c>
      <c r="T5" s="14">
        <f t="shared" si="2"/>
        <v>1.0630441383916986</v>
      </c>
      <c r="U5" s="14">
        <f t="shared" si="2"/>
        <v>1.0564264269147048</v>
      </c>
      <c r="V5" s="14">
        <f t="shared" si="2"/>
        <v>1.0315146359534231</v>
      </c>
      <c r="W5" s="14">
        <f t="shared" si="2"/>
        <v>1.0139154875794711</v>
      </c>
      <c r="X5" s="14">
        <f t="shared" si="2"/>
        <v>0.88713413136147579</v>
      </c>
      <c r="Y5" s="62">
        <f t="shared" ref="Y5:Y24" ca="1" si="3">BETAINV(RAND(),AE5,AF5)</f>
        <v>0.22601574049888984</v>
      </c>
      <c r="Z5" s="41"/>
      <c r="AA5" s="71" t="str">
        <f>F5</f>
        <v>Sen Secured</v>
      </c>
      <c r="AB5" s="52">
        <f>MATCH(AA5,$AA$29:$AA$33,0)</f>
        <v>1</v>
      </c>
      <c r="AC5" s="54">
        <f t="shared" ref="AC5:AC24" si="4">INDEX(AB$29:AB$33,$AB5)</f>
        <v>0.53800000000000003</v>
      </c>
      <c r="AD5" s="54">
        <f t="shared" ref="AD5:AD24" si="5">INDEX(AC$29:AC$33,$AB5)</f>
        <v>0.26860000000000001</v>
      </c>
      <c r="AE5" s="77">
        <f>AC5+AD5*EXP(1)</f>
        <v>1.2681304991240996</v>
      </c>
      <c r="AF5" s="78">
        <f>AD5+AC5*PI()</f>
        <v>1.9587768476313088</v>
      </c>
    </row>
    <row r="6" spans="2:32" x14ac:dyDescent="0.25">
      <c r="B6" s="31">
        <v>2</v>
      </c>
      <c r="C6" s="52" t="s">
        <v>1</v>
      </c>
      <c r="D6" s="53">
        <v>5.52</v>
      </c>
      <c r="E6" s="23">
        <v>4</v>
      </c>
      <c r="F6" s="23" t="s">
        <v>11</v>
      </c>
      <c r="G6" s="24">
        <v>1</v>
      </c>
      <c r="I6" s="31">
        <f t="shared" si="1"/>
        <v>5.52</v>
      </c>
      <c r="J6" s="28">
        <f t="shared" si="1"/>
        <v>5.52</v>
      </c>
      <c r="K6" s="28">
        <f t="shared" si="1"/>
        <v>5.52</v>
      </c>
      <c r="L6" s="28">
        <f t="shared" si="1"/>
        <v>105.52</v>
      </c>
      <c r="M6" s="28">
        <f t="shared" si="1"/>
        <v>0</v>
      </c>
      <c r="N6" s="28">
        <f t="shared" si="1"/>
        <v>0</v>
      </c>
      <c r="O6" s="28">
        <f t="shared" si="1"/>
        <v>0</v>
      </c>
      <c r="P6" s="32">
        <f t="shared" si="1"/>
        <v>0</v>
      </c>
      <c r="R6" s="13">
        <f t="shared" si="2"/>
        <v>1.0779404071592884</v>
      </c>
      <c r="S6">
        <f t="shared" si="2"/>
        <v>1.0765515082067261</v>
      </c>
      <c r="T6" s="14">
        <f t="shared" si="2"/>
        <v>1.0724900004487439</v>
      </c>
      <c r="U6" s="14">
        <f t="shared" si="2"/>
        <v>1.0636516151353907</v>
      </c>
      <c r="V6" s="14">
        <f t="shared" si="2"/>
        <v>1.0232992485019121</v>
      </c>
      <c r="W6" s="14">
        <f t="shared" si="2"/>
        <v>0.99240084356953684</v>
      </c>
      <c r="X6" s="14">
        <f t="shared" si="2"/>
        <v>0.85657170867657684</v>
      </c>
      <c r="Y6" s="62">
        <f t="shared" ca="1" si="3"/>
        <v>0.20943259671657785</v>
      </c>
      <c r="Z6" s="41"/>
      <c r="AA6" s="30" t="str">
        <f t="shared" ref="AA6:AA24" si="6">F6</f>
        <v>Junior Sub</v>
      </c>
      <c r="AB6" s="52">
        <f t="shared" ref="AB6:AB24" si="7">MATCH(AA6,$AA$29:$AA$33,0)</f>
        <v>5</v>
      </c>
      <c r="AC6" s="54">
        <f t="shared" si="4"/>
        <v>0.1709</v>
      </c>
      <c r="AD6" s="54">
        <f t="shared" si="5"/>
        <v>0.109</v>
      </c>
      <c r="AE6" s="77">
        <f t="shared" ref="AE6:AE24" si="8">AC6+AD6*EXP(1)</f>
        <v>0.46719271930203593</v>
      </c>
      <c r="AF6" s="78">
        <f t="shared" ref="AF6:AF24" si="9">AD6+AC6*PI()</f>
        <v>0.64589818449849556</v>
      </c>
    </row>
    <row r="7" spans="2:32" x14ac:dyDescent="0.25">
      <c r="B7" s="31">
        <v>3</v>
      </c>
      <c r="C7" s="52" t="s">
        <v>2</v>
      </c>
      <c r="D7" s="53">
        <v>5.4</v>
      </c>
      <c r="E7" s="23">
        <v>3</v>
      </c>
      <c r="F7" s="23" t="s">
        <v>11</v>
      </c>
      <c r="G7" s="24">
        <v>1</v>
      </c>
      <c r="I7" s="31">
        <f t="shared" si="1"/>
        <v>5.4</v>
      </c>
      <c r="J7" s="28">
        <f t="shared" si="1"/>
        <v>5.4</v>
      </c>
      <c r="K7" s="28">
        <f t="shared" si="1"/>
        <v>105.4</v>
      </c>
      <c r="L7" s="28">
        <f t="shared" si="1"/>
        <v>0</v>
      </c>
      <c r="M7" s="28">
        <f t="shared" si="1"/>
        <v>0</v>
      </c>
      <c r="N7" s="28">
        <f t="shared" si="1"/>
        <v>0</v>
      </c>
      <c r="O7" s="28">
        <f t="shared" si="1"/>
        <v>0</v>
      </c>
      <c r="P7" s="32">
        <f t="shared" si="1"/>
        <v>0</v>
      </c>
      <c r="R7" s="13">
        <f t="shared" si="2"/>
        <v>1.0774277876578624</v>
      </c>
      <c r="S7" s="14">
        <f t="shared" si="2"/>
        <v>1.0764708923030528</v>
      </c>
      <c r="T7" s="14">
        <f t="shared" si="2"/>
        <v>1.0745762463759783</v>
      </c>
      <c r="U7" s="14">
        <f t="shared" si="2"/>
        <v>1.0679199172780667</v>
      </c>
      <c r="V7" s="14">
        <f t="shared" si="2"/>
        <v>1.0428629518434283</v>
      </c>
      <c r="W7" s="14">
        <f t="shared" si="2"/>
        <v>1.0251797425340632</v>
      </c>
      <c r="X7" s="14">
        <f t="shared" si="2"/>
        <v>0.89763440351853008</v>
      </c>
      <c r="Y7" s="62">
        <f t="shared" ca="1" si="3"/>
        <v>2.9895672088771599E-2</v>
      </c>
      <c r="Z7" s="41"/>
      <c r="AA7" s="30" t="str">
        <f t="shared" si="6"/>
        <v>Junior Sub</v>
      </c>
      <c r="AB7" s="52">
        <f t="shared" si="7"/>
        <v>5</v>
      </c>
      <c r="AC7" s="54">
        <f t="shared" si="4"/>
        <v>0.1709</v>
      </c>
      <c r="AD7" s="54">
        <f t="shared" si="5"/>
        <v>0.109</v>
      </c>
      <c r="AE7" s="77">
        <f t="shared" si="8"/>
        <v>0.46719271930203593</v>
      </c>
      <c r="AF7" s="78">
        <f t="shared" si="9"/>
        <v>0.64589818449849556</v>
      </c>
    </row>
    <row r="8" spans="2:32" x14ac:dyDescent="0.25">
      <c r="B8" s="31">
        <v>4</v>
      </c>
      <c r="C8" s="52" t="s">
        <v>3</v>
      </c>
      <c r="D8" s="53">
        <v>6.2</v>
      </c>
      <c r="E8" s="23">
        <v>4</v>
      </c>
      <c r="F8" s="23" t="s">
        <v>11</v>
      </c>
      <c r="G8" s="24">
        <v>1</v>
      </c>
      <c r="I8" s="31">
        <f t="shared" si="1"/>
        <v>6.2</v>
      </c>
      <c r="J8" s="28">
        <f t="shared" si="1"/>
        <v>6.2</v>
      </c>
      <c r="K8" s="28">
        <f t="shared" si="1"/>
        <v>6.2</v>
      </c>
      <c r="L8" s="28">
        <f t="shared" si="1"/>
        <v>106.2</v>
      </c>
      <c r="M8" s="28">
        <f t="shared" si="1"/>
        <v>0</v>
      </c>
      <c r="N8" s="28">
        <f t="shared" si="1"/>
        <v>0</v>
      </c>
      <c r="O8" s="28">
        <f t="shared" si="1"/>
        <v>0</v>
      </c>
      <c r="P8" s="32">
        <f t="shared" si="1"/>
        <v>0</v>
      </c>
      <c r="R8" s="13">
        <f t="shared" si="2"/>
        <v>1.1034902368326402</v>
      </c>
      <c r="S8" s="14">
        <f t="shared" si="2"/>
        <v>1.1020836899500792</v>
      </c>
      <c r="T8" s="14">
        <f t="shared" si="2"/>
        <v>1.0979804435650504</v>
      </c>
      <c r="U8" s="14">
        <f t="shared" si="2"/>
        <v>1.0890228856060467</v>
      </c>
      <c r="V8" s="14">
        <f t="shared" si="2"/>
        <v>1.0481765910936687</v>
      </c>
      <c r="W8" s="14">
        <f t="shared" si="2"/>
        <v>1.0169436403465264</v>
      </c>
      <c r="X8" s="14">
        <f t="shared" si="2"/>
        <v>0.87900835602873084</v>
      </c>
      <c r="Y8" s="62">
        <f t="shared" ca="1" si="3"/>
        <v>6.2246074016336028E-2</v>
      </c>
      <c r="Z8" s="41"/>
      <c r="AA8" s="30" t="str">
        <f t="shared" si="6"/>
        <v>Junior Sub</v>
      </c>
      <c r="AB8" s="52">
        <f t="shared" si="7"/>
        <v>5</v>
      </c>
      <c r="AC8" s="54">
        <f t="shared" si="4"/>
        <v>0.1709</v>
      </c>
      <c r="AD8" s="54">
        <f t="shared" si="5"/>
        <v>0.109</v>
      </c>
      <c r="AE8" s="77">
        <f t="shared" si="8"/>
        <v>0.46719271930203593</v>
      </c>
      <c r="AF8" s="78">
        <f t="shared" si="9"/>
        <v>0.64589818449849556</v>
      </c>
    </row>
    <row r="9" spans="2:32" x14ac:dyDescent="0.25">
      <c r="B9" s="31">
        <v>5</v>
      </c>
      <c r="C9" s="52" t="s">
        <v>4</v>
      </c>
      <c r="D9" s="53">
        <v>7.54</v>
      </c>
      <c r="E9" s="23">
        <v>3</v>
      </c>
      <c r="F9" s="23" t="s">
        <v>11</v>
      </c>
      <c r="G9" s="24">
        <v>1</v>
      </c>
      <c r="I9" s="31">
        <f t="shared" si="1"/>
        <v>7.54</v>
      </c>
      <c r="J9" s="28">
        <f t="shared" si="1"/>
        <v>7.54</v>
      </c>
      <c r="K9" s="28">
        <f t="shared" si="1"/>
        <v>107.54</v>
      </c>
      <c r="L9" s="28">
        <f t="shared" si="1"/>
        <v>0</v>
      </c>
      <c r="M9" s="28">
        <f t="shared" si="1"/>
        <v>0</v>
      </c>
      <c r="N9" s="28">
        <f t="shared" si="1"/>
        <v>0</v>
      </c>
      <c r="O9" s="28">
        <f t="shared" si="1"/>
        <v>0</v>
      </c>
      <c r="P9" s="32">
        <f t="shared" si="1"/>
        <v>0</v>
      </c>
      <c r="R9" s="13">
        <f t="shared" si="2"/>
        <v>1.1392051361514572</v>
      </c>
      <c r="S9" s="14">
        <f t="shared" si="2"/>
        <v>1.1382193584035383</v>
      </c>
      <c r="T9" s="14">
        <f t="shared" si="2"/>
        <v>1.1362730240918739</v>
      </c>
      <c r="U9" s="14">
        <f t="shared" si="2"/>
        <v>1.1294100907220532</v>
      </c>
      <c r="V9" s="14">
        <f t="shared" si="2"/>
        <v>1.1035764418549552</v>
      </c>
      <c r="W9" s="14">
        <f t="shared" si="2"/>
        <v>1.0854435065411308</v>
      </c>
      <c r="X9" s="14">
        <f t="shared" si="2"/>
        <v>0.95381085955877054</v>
      </c>
      <c r="Y9" s="62">
        <f t="shared" ca="1" si="3"/>
        <v>9.6273767294254237E-4</v>
      </c>
      <c r="Z9" s="41"/>
      <c r="AA9" s="30" t="str">
        <f t="shared" si="6"/>
        <v>Junior Sub</v>
      </c>
      <c r="AB9" s="52">
        <f t="shared" si="7"/>
        <v>5</v>
      </c>
      <c r="AC9" s="54">
        <f t="shared" si="4"/>
        <v>0.1709</v>
      </c>
      <c r="AD9" s="54">
        <f t="shared" si="5"/>
        <v>0.109</v>
      </c>
      <c r="AE9" s="77">
        <f t="shared" si="8"/>
        <v>0.46719271930203593</v>
      </c>
      <c r="AF9" s="78">
        <f t="shared" si="9"/>
        <v>0.64589818449849556</v>
      </c>
    </row>
    <row r="10" spans="2:32" x14ac:dyDescent="0.25">
      <c r="B10" s="31">
        <v>6</v>
      </c>
      <c r="C10" s="52" t="s">
        <v>5</v>
      </c>
      <c r="D10" s="53">
        <v>10.78</v>
      </c>
      <c r="E10" s="23">
        <v>4</v>
      </c>
      <c r="F10" s="23" t="s">
        <v>11</v>
      </c>
      <c r="G10" s="24">
        <v>1</v>
      </c>
      <c r="I10" s="31">
        <f t="shared" si="1"/>
        <v>10.78</v>
      </c>
      <c r="J10" s="28">
        <f t="shared" si="1"/>
        <v>10.78</v>
      </c>
      <c r="K10" s="28">
        <f t="shared" si="1"/>
        <v>10.78</v>
      </c>
      <c r="L10" s="28">
        <f t="shared" si="1"/>
        <v>110.78</v>
      </c>
      <c r="M10" s="28">
        <f t="shared" si="1"/>
        <v>0</v>
      </c>
      <c r="N10" s="28">
        <f t="shared" si="1"/>
        <v>0</v>
      </c>
      <c r="O10" s="28">
        <f t="shared" si="1"/>
        <v>0</v>
      </c>
      <c r="P10" s="32">
        <f t="shared" si="1"/>
        <v>0</v>
      </c>
      <c r="R10" s="13">
        <f t="shared" si="2"/>
        <v>1.2755758543384506</v>
      </c>
      <c r="S10" s="14">
        <f t="shared" si="2"/>
        <v>1.2740504434567803</v>
      </c>
      <c r="T10" s="14">
        <f t="shared" si="2"/>
        <v>1.2696660751425268</v>
      </c>
      <c r="U10" s="14">
        <f t="shared" si="2"/>
        <v>1.2599058543642874</v>
      </c>
      <c r="V10" s="14">
        <f t="shared" si="2"/>
        <v>1.2157328103146177</v>
      </c>
      <c r="W10" s="14">
        <f t="shared" si="2"/>
        <v>1.1822465951091912</v>
      </c>
      <c r="X10" s="14">
        <f t="shared" si="2"/>
        <v>1.0301257749594159</v>
      </c>
      <c r="Y10" s="62">
        <f t="shared" ca="1" si="3"/>
        <v>0.43369060143797677</v>
      </c>
      <c r="Z10" s="41"/>
      <c r="AA10" s="30" t="str">
        <f t="shared" si="6"/>
        <v>Junior Sub</v>
      </c>
      <c r="AB10" s="52">
        <f t="shared" si="7"/>
        <v>5</v>
      </c>
      <c r="AC10" s="54">
        <f t="shared" si="4"/>
        <v>0.1709</v>
      </c>
      <c r="AD10" s="54">
        <f t="shared" si="5"/>
        <v>0.109</v>
      </c>
      <c r="AE10" s="77">
        <f t="shared" si="8"/>
        <v>0.46719271930203593</v>
      </c>
      <c r="AF10" s="78">
        <f t="shared" si="9"/>
        <v>0.64589818449849556</v>
      </c>
    </row>
    <row r="11" spans="2:32" x14ac:dyDescent="0.25">
      <c r="B11" s="31">
        <v>7</v>
      </c>
      <c r="C11" s="52" t="s">
        <v>6</v>
      </c>
      <c r="D11" s="53">
        <v>22.16</v>
      </c>
      <c r="E11" s="23">
        <v>2</v>
      </c>
      <c r="F11" s="23" t="s">
        <v>11</v>
      </c>
      <c r="G11" s="24">
        <v>1</v>
      </c>
      <c r="I11" s="31">
        <f t="shared" si="1"/>
        <v>22.16</v>
      </c>
      <c r="J11" s="28">
        <f t="shared" si="1"/>
        <v>122.16</v>
      </c>
      <c r="K11" s="28">
        <f t="shared" si="1"/>
        <v>0</v>
      </c>
      <c r="L11" s="28">
        <f t="shared" si="1"/>
        <v>0</v>
      </c>
      <c r="M11" s="28">
        <f t="shared" si="1"/>
        <v>0</v>
      </c>
      <c r="N11" s="28">
        <f t="shared" si="1"/>
        <v>0</v>
      </c>
      <c r="O11" s="28">
        <f t="shared" si="1"/>
        <v>0</v>
      </c>
      <c r="P11" s="32">
        <f t="shared" si="1"/>
        <v>0</v>
      </c>
      <c r="R11" s="13">
        <f t="shared" si="2"/>
        <v>1.400750579150579</v>
      </c>
      <c r="S11" s="14">
        <f t="shared" si="2"/>
        <v>1.4001817655571636</v>
      </c>
      <c r="T11" s="14">
        <f t="shared" si="2"/>
        <v>1.3993863478596222</v>
      </c>
      <c r="U11" s="14">
        <f t="shared" si="2"/>
        <v>1.3950870317002884</v>
      </c>
      <c r="V11" s="14">
        <f t="shared" si="2"/>
        <v>1.3789661771672193</v>
      </c>
      <c r="W11" s="14">
        <f t="shared" si="2"/>
        <v>1.373509476661952</v>
      </c>
      <c r="X11" s="14">
        <f t="shared" si="2"/>
        <v>1.2833992177314208</v>
      </c>
      <c r="Y11" s="62">
        <f t="shared" ca="1" si="3"/>
        <v>0.13198974645386014</v>
      </c>
      <c r="Z11" s="41"/>
      <c r="AA11" s="30" t="str">
        <f t="shared" si="6"/>
        <v>Junior Sub</v>
      </c>
      <c r="AB11" s="52">
        <f t="shared" si="7"/>
        <v>5</v>
      </c>
      <c r="AC11" s="54">
        <f t="shared" si="4"/>
        <v>0.1709</v>
      </c>
      <c r="AD11" s="54">
        <f t="shared" si="5"/>
        <v>0.109</v>
      </c>
      <c r="AE11" s="77">
        <f t="shared" si="8"/>
        <v>0.46719271930203593</v>
      </c>
      <c r="AF11" s="78">
        <f t="shared" si="9"/>
        <v>0.64589818449849556</v>
      </c>
    </row>
    <row r="12" spans="2:32" x14ac:dyDescent="0.25">
      <c r="B12" s="31">
        <v>8</v>
      </c>
      <c r="C12" s="52" t="s">
        <v>2</v>
      </c>
      <c r="D12" s="53">
        <v>6.23</v>
      </c>
      <c r="E12" s="23">
        <v>8</v>
      </c>
      <c r="F12" s="52" t="s">
        <v>31</v>
      </c>
      <c r="G12" s="24">
        <v>10</v>
      </c>
      <c r="I12" s="31">
        <f t="shared" si="1"/>
        <v>6.23</v>
      </c>
      <c r="J12" s="28">
        <f t="shared" si="1"/>
        <v>6.23</v>
      </c>
      <c r="K12" s="28">
        <f t="shared" si="1"/>
        <v>6.23</v>
      </c>
      <c r="L12" s="28">
        <f t="shared" si="1"/>
        <v>6.23</v>
      </c>
      <c r="M12" s="28">
        <f t="shared" si="1"/>
        <v>6.23</v>
      </c>
      <c r="N12" s="28">
        <f t="shared" si="1"/>
        <v>6.23</v>
      </c>
      <c r="O12" s="28">
        <f t="shared" si="1"/>
        <v>6.23</v>
      </c>
      <c r="P12" s="32">
        <f t="shared" si="1"/>
        <v>106.23</v>
      </c>
      <c r="R12" s="13">
        <f t="shared" si="2"/>
        <v>1.1287542983221956</v>
      </c>
      <c r="S12" s="14">
        <f t="shared" si="2"/>
        <v>1.125759947166652</v>
      </c>
      <c r="T12" s="14">
        <f t="shared" si="2"/>
        <v>1.116942040768546</v>
      </c>
      <c r="U12" s="14">
        <f t="shared" si="2"/>
        <v>1.0987096587226934</v>
      </c>
      <c r="V12" s="14">
        <f t="shared" si="2"/>
        <v>1.0097038019247961</v>
      </c>
      <c r="W12" s="14">
        <f t="shared" si="2"/>
        <v>0.94866219663715901</v>
      </c>
      <c r="X12" s="14">
        <f t="shared" si="2"/>
        <v>0.74249181164371503</v>
      </c>
      <c r="Y12" s="62">
        <f t="shared" ca="1" si="3"/>
        <v>0.16497923352554458</v>
      </c>
      <c r="Z12" s="41"/>
      <c r="AA12" s="71" t="str">
        <f t="shared" si="6"/>
        <v>Sen Secured</v>
      </c>
      <c r="AB12" s="52">
        <f t="shared" si="7"/>
        <v>1</v>
      </c>
      <c r="AC12" s="54">
        <f t="shared" si="4"/>
        <v>0.53800000000000003</v>
      </c>
      <c r="AD12" s="54">
        <f t="shared" si="5"/>
        <v>0.26860000000000001</v>
      </c>
      <c r="AE12" s="77">
        <f t="shared" si="8"/>
        <v>1.2681304991240996</v>
      </c>
      <c r="AF12" s="78">
        <f t="shared" si="9"/>
        <v>1.9587768476313088</v>
      </c>
    </row>
    <row r="13" spans="2:32" x14ac:dyDescent="0.25">
      <c r="B13" s="31">
        <v>9</v>
      </c>
      <c r="C13" s="52" t="s">
        <v>4</v>
      </c>
      <c r="D13" s="53">
        <v>7.35</v>
      </c>
      <c r="E13" s="23">
        <v>2</v>
      </c>
      <c r="F13" s="23" t="s">
        <v>10</v>
      </c>
      <c r="G13" s="24">
        <v>5</v>
      </c>
      <c r="I13" s="31">
        <f t="shared" si="1"/>
        <v>7.35</v>
      </c>
      <c r="J13" s="28">
        <f t="shared" si="1"/>
        <v>107.35</v>
      </c>
      <c r="K13" s="28">
        <f t="shared" si="1"/>
        <v>0</v>
      </c>
      <c r="L13" s="28">
        <f t="shared" si="1"/>
        <v>0</v>
      </c>
      <c r="M13" s="28">
        <f t="shared" si="1"/>
        <v>0</v>
      </c>
      <c r="N13" s="28">
        <f t="shared" si="1"/>
        <v>0</v>
      </c>
      <c r="O13" s="28">
        <f t="shared" si="1"/>
        <v>0</v>
      </c>
      <c r="P13" s="32">
        <f t="shared" si="1"/>
        <v>0</v>
      </c>
      <c r="R13" s="13">
        <f t="shared" si="2"/>
        <v>1.1096969111969111</v>
      </c>
      <c r="S13" s="14">
        <f t="shared" si="2"/>
        <v>1.1091970574047274</v>
      </c>
      <c r="T13" s="14">
        <f t="shared" si="2"/>
        <v>1.1084980717315851</v>
      </c>
      <c r="U13" s="14">
        <f t="shared" si="2"/>
        <v>1.1047199807877042</v>
      </c>
      <c r="V13" s="14">
        <f t="shared" si="2"/>
        <v>1.0905535291331119</v>
      </c>
      <c r="W13" s="14">
        <f t="shared" si="2"/>
        <v>1.0857583686940122</v>
      </c>
      <c r="X13" s="14">
        <f t="shared" si="2"/>
        <v>1.0065725771403735</v>
      </c>
      <c r="Y13" s="62">
        <f t="shared" ca="1" si="3"/>
        <v>0.90643158969604287</v>
      </c>
      <c r="Z13" s="41"/>
      <c r="AA13" s="30" t="str">
        <f t="shared" si="6"/>
        <v>Subordinated</v>
      </c>
      <c r="AB13" s="52">
        <f t="shared" si="7"/>
        <v>4</v>
      </c>
      <c r="AC13" s="54">
        <f t="shared" si="4"/>
        <v>0.32740000000000002</v>
      </c>
      <c r="AD13" s="54">
        <f t="shared" si="5"/>
        <v>0.20180000000000001</v>
      </c>
      <c r="AE13" s="77">
        <f t="shared" si="8"/>
        <v>0.87594927298303538</v>
      </c>
      <c r="AF13" s="78">
        <f t="shared" si="9"/>
        <v>1.2303574347852984</v>
      </c>
    </row>
    <row r="14" spans="2:32" x14ac:dyDescent="0.25">
      <c r="B14" s="31">
        <v>10</v>
      </c>
      <c r="C14" s="23" t="s">
        <v>2</v>
      </c>
      <c r="D14" s="53">
        <v>5.41</v>
      </c>
      <c r="E14" s="23">
        <v>2</v>
      </c>
      <c r="F14" s="23" t="s">
        <v>10</v>
      </c>
      <c r="G14" s="24">
        <v>3</v>
      </c>
      <c r="I14" s="31">
        <f t="shared" si="1"/>
        <v>5.41</v>
      </c>
      <c r="J14" s="28">
        <f t="shared" si="1"/>
        <v>105.41</v>
      </c>
      <c r="K14" s="28">
        <f t="shared" si="1"/>
        <v>0</v>
      </c>
      <c r="L14" s="28">
        <f t="shared" si="1"/>
        <v>0</v>
      </c>
      <c r="M14" s="28">
        <f t="shared" si="1"/>
        <v>0</v>
      </c>
      <c r="N14" s="28">
        <f t="shared" si="1"/>
        <v>0</v>
      </c>
      <c r="O14" s="28">
        <f t="shared" si="1"/>
        <v>0</v>
      </c>
      <c r="P14" s="32">
        <f t="shared" si="1"/>
        <v>0</v>
      </c>
      <c r="R14" s="13">
        <f t="shared" si="2"/>
        <v>1.0715710424710423</v>
      </c>
      <c r="S14" s="14">
        <f t="shared" si="2"/>
        <v>1.071080221900627</v>
      </c>
      <c r="T14" s="14">
        <f t="shared" si="2"/>
        <v>1.0703938681064404</v>
      </c>
      <c r="U14" s="14">
        <f t="shared" si="2"/>
        <v>1.0666840537944284</v>
      </c>
      <c r="V14" s="14">
        <f t="shared" si="2"/>
        <v>1.0527736144007578</v>
      </c>
      <c r="W14" s="14">
        <f t="shared" si="2"/>
        <v>1.048065110796794</v>
      </c>
      <c r="X14" s="14">
        <f t="shared" si="2"/>
        <v>0.97031034332898725</v>
      </c>
      <c r="Y14" s="62">
        <f t="shared" ca="1" si="3"/>
        <v>0.58395467120173516</v>
      </c>
      <c r="Z14" s="41"/>
      <c r="AA14" s="30" t="str">
        <f t="shared" si="6"/>
        <v>Subordinated</v>
      </c>
      <c r="AB14" s="52">
        <f t="shared" si="7"/>
        <v>4</v>
      </c>
      <c r="AC14" s="54">
        <f t="shared" si="4"/>
        <v>0.32740000000000002</v>
      </c>
      <c r="AD14" s="54">
        <f t="shared" si="5"/>
        <v>0.20180000000000001</v>
      </c>
      <c r="AE14" s="77">
        <f t="shared" si="8"/>
        <v>0.87594927298303538</v>
      </c>
      <c r="AF14" s="78">
        <f t="shared" si="9"/>
        <v>1.2303574347852984</v>
      </c>
    </row>
    <row r="15" spans="2:32" x14ac:dyDescent="0.25">
      <c r="B15" s="31">
        <v>11</v>
      </c>
      <c r="C15" s="23" t="s">
        <v>2</v>
      </c>
      <c r="D15" s="53">
        <v>5.73</v>
      </c>
      <c r="E15" s="23">
        <v>4</v>
      </c>
      <c r="F15" s="23" t="s">
        <v>11</v>
      </c>
      <c r="G15" s="24">
        <v>1</v>
      </c>
      <c r="I15" s="31">
        <f t="shared" ref="I15:P24" si="10">(I$4&lt;$E15)*$D15+100*($E15=I$4+1)</f>
        <v>5.73</v>
      </c>
      <c r="J15" s="28">
        <f t="shared" si="10"/>
        <v>5.73</v>
      </c>
      <c r="K15" s="28">
        <f t="shared" si="10"/>
        <v>5.73</v>
      </c>
      <c r="L15" s="28">
        <f t="shared" si="10"/>
        <v>105.73</v>
      </c>
      <c r="M15" s="28">
        <f t="shared" si="10"/>
        <v>0</v>
      </c>
      <c r="N15" s="28">
        <f t="shared" si="10"/>
        <v>0</v>
      </c>
      <c r="O15" s="28">
        <f t="shared" si="10"/>
        <v>0</v>
      </c>
      <c r="P15" s="32">
        <f t="shared" si="10"/>
        <v>0</v>
      </c>
      <c r="R15" s="13">
        <f t="shared" ref="R15:X24" si="11">MMULT($I15:$P15,R$29:R$36)/100</f>
        <v>1.0858307957348825</v>
      </c>
      <c r="S15" s="14">
        <f t="shared" si="11"/>
        <v>1.0844364466862912</v>
      </c>
      <c r="T15" s="14">
        <f t="shared" si="11"/>
        <v>1.0803620490581916</v>
      </c>
      <c r="U15" s="14">
        <f t="shared" si="11"/>
        <v>1.0714868604277992</v>
      </c>
      <c r="V15" s="14">
        <f t="shared" si="11"/>
        <v>1.0309819572434842</v>
      </c>
      <c r="W15" s="14">
        <f t="shared" si="11"/>
        <v>0.99998023669184266</v>
      </c>
      <c r="X15" s="14">
        <f t="shared" si="11"/>
        <v>0.8635006733000361</v>
      </c>
      <c r="Y15" s="62">
        <f t="shared" ca="1" si="3"/>
        <v>0.65061312213680322</v>
      </c>
      <c r="Z15" s="41"/>
      <c r="AA15" s="30" t="str">
        <f t="shared" si="6"/>
        <v>Junior Sub</v>
      </c>
      <c r="AB15" s="52">
        <f t="shared" si="7"/>
        <v>5</v>
      </c>
      <c r="AC15" s="54">
        <f t="shared" si="4"/>
        <v>0.1709</v>
      </c>
      <c r="AD15" s="54">
        <f t="shared" si="5"/>
        <v>0.109</v>
      </c>
      <c r="AE15" s="77">
        <f t="shared" si="8"/>
        <v>0.46719271930203593</v>
      </c>
      <c r="AF15" s="78">
        <f t="shared" si="9"/>
        <v>0.64589818449849556</v>
      </c>
    </row>
    <row r="16" spans="2:32" x14ac:dyDescent="0.25">
      <c r="B16" s="31">
        <v>12</v>
      </c>
      <c r="C16" s="23" t="s">
        <v>2</v>
      </c>
      <c r="D16" s="53">
        <v>6.02</v>
      </c>
      <c r="E16" s="23">
        <v>5</v>
      </c>
      <c r="F16" s="23" t="s">
        <v>10</v>
      </c>
      <c r="G16" s="24">
        <v>2</v>
      </c>
      <c r="I16" s="31">
        <f t="shared" si="10"/>
        <v>6.02</v>
      </c>
      <c r="J16" s="28">
        <f t="shared" si="10"/>
        <v>6.02</v>
      </c>
      <c r="K16" s="28">
        <f t="shared" si="10"/>
        <v>6.02</v>
      </c>
      <c r="L16" s="28">
        <f t="shared" si="10"/>
        <v>6.02</v>
      </c>
      <c r="M16" s="28">
        <f t="shared" si="10"/>
        <v>106.02</v>
      </c>
      <c r="N16" s="28">
        <f t="shared" si="10"/>
        <v>0</v>
      </c>
      <c r="O16" s="28">
        <f t="shared" si="10"/>
        <v>0</v>
      </c>
      <c r="P16" s="32">
        <f t="shared" si="10"/>
        <v>0</v>
      </c>
      <c r="R16" s="13">
        <f t="shared" si="11"/>
        <v>1.0944443360144391</v>
      </c>
      <c r="S16" s="14">
        <f t="shared" si="11"/>
        <v>1.0926381347011265</v>
      </c>
      <c r="T16" s="14">
        <f t="shared" si="11"/>
        <v>1.0873421897084306</v>
      </c>
      <c r="U16" s="14">
        <f t="shared" si="11"/>
        <v>1.0762163025496683</v>
      </c>
      <c r="V16" s="14">
        <f t="shared" si="11"/>
        <v>1.0209465904492327</v>
      </c>
      <c r="W16" s="14">
        <f t="shared" si="11"/>
        <v>0.98172518726938351</v>
      </c>
      <c r="X16" s="14">
        <f t="shared" si="11"/>
        <v>0.83703824496761936</v>
      </c>
      <c r="Y16" s="62">
        <f t="shared" ca="1" si="3"/>
        <v>0.40164121755800641</v>
      </c>
      <c r="Z16" s="41"/>
      <c r="AA16" s="30" t="str">
        <f t="shared" si="6"/>
        <v>Subordinated</v>
      </c>
      <c r="AB16" s="52">
        <f t="shared" si="7"/>
        <v>4</v>
      </c>
      <c r="AC16" s="54">
        <f t="shared" si="4"/>
        <v>0.32740000000000002</v>
      </c>
      <c r="AD16" s="54">
        <f t="shared" si="5"/>
        <v>0.20180000000000001</v>
      </c>
      <c r="AE16" s="77">
        <f t="shared" si="8"/>
        <v>0.87594927298303538</v>
      </c>
      <c r="AF16" s="78">
        <f t="shared" si="9"/>
        <v>1.2303574347852984</v>
      </c>
    </row>
    <row r="17" spans="2:32" x14ac:dyDescent="0.25">
      <c r="B17" s="31">
        <v>13</v>
      </c>
      <c r="C17" s="23" t="s">
        <v>5</v>
      </c>
      <c r="D17" s="53">
        <v>10.6</v>
      </c>
      <c r="E17" s="23">
        <v>3</v>
      </c>
      <c r="F17" s="23" t="s">
        <v>11</v>
      </c>
      <c r="G17" s="24">
        <v>0.6</v>
      </c>
      <c r="I17" s="31">
        <f t="shared" si="10"/>
        <v>10.6</v>
      </c>
      <c r="J17" s="28">
        <f t="shared" si="10"/>
        <v>10.6</v>
      </c>
      <c r="K17" s="28">
        <f t="shared" si="10"/>
        <v>110.6</v>
      </c>
      <c r="L17" s="28">
        <f t="shared" si="10"/>
        <v>0</v>
      </c>
      <c r="M17" s="28">
        <f t="shared" si="10"/>
        <v>0</v>
      </c>
      <c r="N17" s="28">
        <f t="shared" si="10"/>
        <v>0</v>
      </c>
      <c r="O17" s="28">
        <f t="shared" si="10"/>
        <v>0</v>
      </c>
      <c r="P17" s="32">
        <f t="shared" si="10"/>
        <v>0</v>
      </c>
      <c r="R17" s="13">
        <f t="shared" si="11"/>
        <v>1.2275409709133263</v>
      </c>
      <c r="S17" s="14">
        <f t="shared" si="11"/>
        <v>1.2265138940425495</v>
      </c>
      <c r="T17" s="14">
        <f t="shared" si="11"/>
        <v>1.2244936501716124</v>
      </c>
      <c r="U17" s="14">
        <f t="shared" si="11"/>
        <v>1.2173352920017726</v>
      </c>
      <c r="V17" s="14">
        <f t="shared" si="11"/>
        <v>1.1903910584134938</v>
      </c>
      <c r="W17" s="14">
        <f t="shared" si="11"/>
        <v>1.1716150569437598</v>
      </c>
      <c r="X17" s="14">
        <f t="shared" si="11"/>
        <v>1.0341379415602359</v>
      </c>
      <c r="Y17" s="62">
        <f t="shared" ca="1" si="3"/>
        <v>0.14974242184382894</v>
      </c>
      <c r="Z17" s="41"/>
      <c r="AA17" s="30" t="str">
        <f t="shared" si="6"/>
        <v>Junior Sub</v>
      </c>
      <c r="AB17" s="52">
        <f t="shared" si="7"/>
        <v>5</v>
      </c>
      <c r="AC17" s="54">
        <f t="shared" si="4"/>
        <v>0.1709</v>
      </c>
      <c r="AD17" s="54">
        <f t="shared" si="5"/>
        <v>0.109</v>
      </c>
      <c r="AE17" s="77">
        <f t="shared" si="8"/>
        <v>0.46719271930203593</v>
      </c>
      <c r="AF17" s="78">
        <f t="shared" si="9"/>
        <v>0.64589818449849556</v>
      </c>
    </row>
    <row r="18" spans="2:32" x14ac:dyDescent="0.25">
      <c r="B18" s="31">
        <v>14</v>
      </c>
      <c r="C18" s="23" t="s">
        <v>5</v>
      </c>
      <c r="D18" s="53">
        <v>10.79</v>
      </c>
      <c r="E18" s="23">
        <v>2</v>
      </c>
      <c r="F18" s="23" t="s">
        <v>11</v>
      </c>
      <c r="G18" s="24">
        <v>1</v>
      </c>
      <c r="I18" s="31">
        <f t="shared" si="10"/>
        <v>10.79</v>
      </c>
      <c r="J18" s="28">
        <f t="shared" si="10"/>
        <v>110.78999999999999</v>
      </c>
      <c r="K18" s="28">
        <f t="shared" si="10"/>
        <v>0</v>
      </c>
      <c r="L18" s="28">
        <f t="shared" si="10"/>
        <v>0</v>
      </c>
      <c r="M18" s="28">
        <f t="shared" si="10"/>
        <v>0</v>
      </c>
      <c r="N18" s="28">
        <f t="shared" si="10"/>
        <v>0</v>
      </c>
      <c r="O18" s="28">
        <f t="shared" si="10"/>
        <v>0</v>
      </c>
      <c r="P18" s="32">
        <f t="shared" si="10"/>
        <v>0</v>
      </c>
      <c r="R18" s="13">
        <f t="shared" si="11"/>
        <v>1.1773015444015442</v>
      </c>
      <c r="S18" s="14">
        <f t="shared" si="11"/>
        <v>1.1767856729377713</v>
      </c>
      <c r="T18" s="14">
        <f t="shared" si="11"/>
        <v>1.1760642884689547</v>
      </c>
      <c r="U18" s="14">
        <f t="shared" si="11"/>
        <v>1.1721651296829974</v>
      </c>
      <c r="V18" s="14">
        <f t="shared" si="11"/>
        <v>1.1575447181430598</v>
      </c>
      <c r="W18" s="14">
        <f t="shared" si="11"/>
        <v>1.1525958981612445</v>
      </c>
      <c r="X18" s="14">
        <f t="shared" si="11"/>
        <v>1.0708726205997392</v>
      </c>
      <c r="Y18" s="62">
        <f t="shared" ca="1" si="3"/>
        <v>5.7611940150684167E-2</v>
      </c>
      <c r="Z18" s="41"/>
      <c r="AA18" s="30" t="str">
        <f t="shared" si="6"/>
        <v>Junior Sub</v>
      </c>
      <c r="AB18" s="52">
        <f t="shared" si="7"/>
        <v>5</v>
      </c>
      <c r="AC18" s="54">
        <f t="shared" si="4"/>
        <v>0.1709</v>
      </c>
      <c r="AD18" s="54">
        <f t="shared" si="5"/>
        <v>0.109</v>
      </c>
      <c r="AE18" s="77">
        <f t="shared" si="8"/>
        <v>0.46719271930203593</v>
      </c>
      <c r="AF18" s="78">
        <f t="shared" si="9"/>
        <v>0.64589818449849556</v>
      </c>
    </row>
    <row r="19" spans="2:32" x14ac:dyDescent="0.25">
      <c r="B19" s="31">
        <v>15</v>
      </c>
      <c r="C19" s="23" t="s">
        <v>5</v>
      </c>
      <c r="D19" s="53">
        <v>10.37</v>
      </c>
      <c r="E19" s="23">
        <v>2</v>
      </c>
      <c r="F19" s="23" t="s">
        <v>10</v>
      </c>
      <c r="G19" s="24">
        <v>3</v>
      </c>
      <c r="I19" s="31">
        <f t="shared" si="10"/>
        <v>10.37</v>
      </c>
      <c r="J19" s="28">
        <f t="shared" si="10"/>
        <v>110.37</v>
      </c>
      <c r="K19" s="28">
        <f t="shared" si="10"/>
        <v>0</v>
      </c>
      <c r="L19" s="28">
        <f t="shared" si="10"/>
        <v>0</v>
      </c>
      <c r="M19" s="28">
        <f t="shared" si="10"/>
        <v>0</v>
      </c>
      <c r="N19" s="28">
        <f t="shared" si="10"/>
        <v>0</v>
      </c>
      <c r="O19" s="28">
        <f t="shared" si="10"/>
        <v>0</v>
      </c>
      <c r="P19" s="32">
        <f t="shared" si="10"/>
        <v>0</v>
      </c>
      <c r="R19" s="13">
        <f t="shared" si="11"/>
        <v>1.1690474903474906</v>
      </c>
      <c r="S19" s="14">
        <f t="shared" si="11"/>
        <v>1.1685335745296672</v>
      </c>
      <c r="T19" s="14">
        <f t="shared" si="11"/>
        <v>1.167814924797532</v>
      </c>
      <c r="U19" s="14">
        <f t="shared" si="11"/>
        <v>1.1639305475504325</v>
      </c>
      <c r="V19" s="14">
        <f t="shared" si="11"/>
        <v>1.149365561345334</v>
      </c>
      <c r="W19" s="14">
        <f t="shared" si="11"/>
        <v>1.1444355021216408</v>
      </c>
      <c r="X19" s="14">
        <f t="shared" si="11"/>
        <v>1.0630220338983052</v>
      </c>
      <c r="Y19" s="62">
        <f t="shared" ca="1" si="3"/>
        <v>0.50024695400156594</v>
      </c>
      <c r="Z19" s="41"/>
      <c r="AA19" s="30" t="str">
        <f t="shared" si="6"/>
        <v>Subordinated</v>
      </c>
      <c r="AB19" s="52">
        <f t="shared" si="7"/>
        <v>4</v>
      </c>
      <c r="AC19" s="54">
        <f t="shared" si="4"/>
        <v>0.32740000000000002</v>
      </c>
      <c r="AD19" s="54">
        <f t="shared" si="5"/>
        <v>0.20180000000000001</v>
      </c>
      <c r="AE19" s="77">
        <f t="shared" si="8"/>
        <v>0.87594927298303538</v>
      </c>
      <c r="AF19" s="78">
        <f t="shared" si="9"/>
        <v>1.2303574347852984</v>
      </c>
    </row>
    <row r="20" spans="2:32" x14ac:dyDescent="0.25">
      <c r="B20" s="31">
        <v>16</v>
      </c>
      <c r="C20" s="23" t="s">
        <v>5</v>
      </c>
      <c r="D20" s="53">
        <v>10.55</v>
      </c>
      <c r="E20" s="23">
        <v>4</v>
      </c>
      <c r="F20" s="23" t="s">
        <v>10</v>
      </c>
      <c r="G20" s="24">
        <v>2</v>
      </c>
      <c r="I20" s="31">
        <f t="shared" si="10"/>
        <v>10.55</v>
      </c>
      <c r="J20" s="28">
        <f t="shared" si="10"/>
        <v>10.55</v>
      </c>
      <c r="K20" s="28">
        <f t="shared" si="10"/>
        <v>10.55</v>
      </c>
      <c r="L20" s="28">
        <f t="shared" si="10"/>
        <v>110.55</v>
      </c>
      <c r="M20" s="28">
        <f t="shared" si="10"/>
        <v>0</v>
      </c>
      <c r="N20" s="28">
        <f t="shared" si="10"/>
        <v>0</v>
      </c>
      <c r="O20" s="28">
        <f t="shared" si="10"/>
        <v>0</v>
      </c>
      <c r="P20" s="32">
        <f t="shared" si="10"/>
        <v>0</v>
      </c>
      <c r="R20" s="13">
        <f t="shared" si="11"/>
        <v>1.2669340001842286</v>
      </c>
      <c r="S20" s="14">
        <f t="shared" si="11"/>
        <v>1.265414558455352</v>
      </c>
      <c r="T20" s="14">
        <f t="shared" si="11"/>
        <v>1.2610443076178939</v>
      </c>
      <c r="U20" s="14">
        <f t="shared" si="11"/>
        <v>1.2513243952345068</v>
      </c>
      <c r="V20" s="14">
        <f t="shared" si="11"/>
        <v>1.2073184150262295</v>
      </c>
      <c r="W20" s="14">
        <f t="shared" si="11"/>
        <v>1.1739453550228565</v>
      </c>
      <c r="X20" s="14">
        <f t="shared" si="11"/>
        <v>1.0225369089432461</v>
      </c>
      <c r="Y20" s="62">
        <f t="shared" ca="1" si="3"/>
        <v>0.30127977565958786</v>
      </c>
      <c r="Z20" s="41"/>
      <c r="AA20" s="30" t="str">
        <f t="shared" si="6"/>
        <v>Subordinated</v>
      </c>
      <c r="AB20" s="52">
        <f t="shared" si="7"/>
        <v>4</v>
      </c>
      <c r="AC20" s="54">
        <f t="shared" si="4"/>
        <v>0.32740000000000002</v>
      </c>
      <c r="AD20" s="54">
        <f t="shared" si="5"/>
        <v>0.20180000000000001</v>
      </c>
      <c r="AE20" s="77">
        <f t="shared" si="8"/>
        <v>0.87594927298303538</v>
      </c>
      <c r="AF20" s="78">
        <f t="shared" si="9"/>
        <v>1.2303574347852984</v>
      </c>
    </row>
    <row r="21" spans="2:32" x14ac:dyDescent="0.25">
      <c r="B21" s="31">
        <v>17</v>
      </c>
      <c r="C21" s="23" t="s">
        <v>3</v>
      </c>
      <c r="D21" s="53">
        <v>6.57</v>
      </c>
      <c r="E21" s="23">
        <v>6</v>
      </c>
      <c r="F21" s="23" t="s">
        <v>11</v>
      </c>
      <c r="G21" s="24">
        <v>1</v>
      </c>
      <c r="I21" s="31">
        <f t="shared" si="10"/>
        <v>6.57</v>
      </c>
      <c r="J21" s="28">
        <f t="shared" si="10"/>
        <v>6.57</v>
      </c>
      <c r="K21" s="28">
        <f t="shared" si="10"/>
        <v>6.57</v>
      </c>
      <c r="L21" s="28">
        <f t="shared" si="10"/>
        <v>6.57</v>
      </c>
      <c r="M21" s="28">
        <f t="shared" si="10"/>
        <v>6.57</v>
      </c>
      <c r="N21" s="28">
        <f t="shared" si="10"/>
        <v>106.57</v>
      </c>
      <c r="O21" s="28">
        <f t="shared" si="10"/>
        <v>0</v>
      </c>
      <c r="P21" s="32">
        <f t="shared" si="10"/>
        <v>0</v>
      </c>
      <c r="R21" s="13">
        <f t="shared" si="11"/>
        <v>1.130910307580183</v>
      </c>
      <c r="S21" s="14">
        <f t="shared" si="11"/>
        <v>1.1286658383997625</v>
      </c>
      <c r="T21" s="14">
        <f t="shared" si="11"/>
        <v>1.1220757698310713</v>
      </c>
      <c r="U21" s="14">
        <f t="shared" si="11"/>
        <v>1.10830317331407</v>
      </c>
      <c r="V21" s="14">
        <f t="shared" si="11"/>
        <v>1.0402934007939115</v>
      </c>
      <c r="W21" s="14">
        <f t="shared" si="11"/>
        <v>0.99258527256012286</v>
      </c>
      <c r="X21" s="14">
        <f t="shared" si="11"/>
        <v>0.82163166773142915</v>
      </c>
      <c r="Y21" s="62">
        <f t="shared" ca="1" si="3"/>
        <v>0.83741612766905604</v>
      </c>
      <c r="Z21" s="41"/>
      <c r="AA21" s="30" t="str">
        <f t="shared" si="6"/>
        <v>Junior Sub</v>
      </c>
      <c r="AB21" s="52">
        <f t="shared" si="7"/>
        <v>5</v>
      </c>
      <c r="AC21" s="54">
        <f t="shared" si="4"/>
        <v>0.1709</v>
      </c>
      <c r="AD21" s="54">
        <f t="shared" si="5"/>
        <v>0.109</v>
      </c>
      <c r="AE21" s="77">
        <f t="shared" si="8"/>
        <v>0.46719271930203593</v>
      </c>
      <c r="AF21" s="78">
        <f t="shared" si="9"/>
        <v>0.64589818449849556</v>
      </c>
    </row>
    <row r="22" spans="2:32" x14ac:dyDescent="0.25">
      <c r="B22" s="31">
        <v>18</v>
      </c>
      <c r="C22" s="23" t="s">
        <v>3</v>
      </c>
      <c r="D22" s="53">
        <v>6.48</v>
      </c>
      <c r="E22" s="23">
        <v>5</v>
      </c>
      <c r="F22" s="52" t="s">
        <v>31</v>
      </c>
      <c r="G22" s="24">
        <v>8</v>
      </c>
      <c r="I22" s="31">
        <f t="shared" si="10"/>
        <v>6.48</v>
      </c>
      <c r="J22" s="28">
        <f t="shared" si="10"/>
        <v>6.48</v>
      </c>
      <c r="K22" s="28">
        <f t="shared" si="10"/>
        <v>6.48</v>
      </c>
      <c r="L22" s="28">
        <f t="shared" si="10"/>
        <v>6.48</v>
      </c>
      <c r="M22" s="28">
        <f t="shared" si="10"/>
        <v>106.48</v>
      </c>
      <c r="N22" s="28">
        <f t="shared" si="10"/>
        <v>0</v>
      </c>
      <c r="O22" s="28">
        <f t="shared" si="10"/>
        <v>0</v>
      </c>
      <c r="P22" s="32">
        <f t="shared" si="10"/>
        <v>0</v>
      </c>
      <c r="R22" s="13">
        <f t="shared" si="11"/>
        <v>1.1154952247657222</v>
      </c>
      <c r="S22" s="14">
        <f t="shared" si="11"/>
        <v>1.1136699262710961</v>
      </c>
      <c r="T22" s="14">
        <f t="shared" si="11"/>
        <v>1.1083243714872695</v>
      </c>
      <c r="U22" s="14">
        <f t="shared" si="11"/>
        <v>1.0970741720566384</v>
      </c>
      <c r="V22" s="14">
        <f t="shared" si="11"/>
        <v>1.0412495001764948</v>
      </c>
      <c r="W22" s="14">
        <f t="shared" si="11"/>
        <v>1.001644462909931</v>
      </c>
      <c r="X22" s="14">
        <f t="shared" si="11"/>
        <v>0.85498590386140438</v>
      </c>
      <c r="Y22" s="62">
        <f t="shared" ca="1" si="3"/>
        <v>0.21239710985187679</v>
      </c>
      <c r="Z22" s="41"/>
      <c r="AA22" s="71" t="str">
        <f t="shared" si="6"/>
        <v>Sen Secured</v>
      </c>
      <c r="AB22" s="52">
        <f t="shared" si="7"/>
        <v>1</v>
      </c>
      <c r="AC22" s="54">
        <f t="shared" si="4"/>
        <v>0.53800000000000003</v>
      </c>
      <c r="AD22" s="54">
        <f t="shared" si="5"/>
        <v>0.26860000000000001</v>
      </c>
      <c r="AE22" s="77">
        <f t="shared" si="8"/>
        <v>1.2681304991240996</v>
      </c>
      <c r="AF22" s="78">
        <f t="shared" si="9"/>
        <v>1.9587768476313088</v>
      </c>
    </row>
    <row r="23" spans="2:32" x14ac:dyDescent="0.25">
      <c r="B23" s="31">
        <v>19</v>
      </c>
      <c r="C23" s="23" t="s">
        <v>3</v>
      </c>
      <c r="D23" s="53">
        <v>5.87</v>
      </c>
      <c r="E23" s="23">
        <v>3</v>
      </c>
      <c r="F23" s="23" t="s">
        <v>11</v>
      </c>
      <c r="G23" s="24">
        <v>1</v>
      </c>
      <c r="I23" s="31">
        <f t="shared" si="10"/>
        <v>5.87</v>
      </c>
      <c r="J23" s="28">
        <f t="shared" si="10"/>
        <v>5.87</v>
      </c>
      <c r="K23" s="28">
        <f t="shared" si="10"/>
        <v>105.87</v>
      </c>
      <c r="L23" s="28">
        <f t="shared" si="10"/>
        <v>0</v>
      </c>
      <c r="M23" s="28">
        <f t="shared" si="10"/>
        <v>0</v>
      </c>
      <c r="N23" s="28">
        <f t="shared" si="10"/>
        <v>0</v>
      </c>
      <c r="O23" s="28">
        <f t="shared" si="10"/>
        <v>0</v>
      </c>
      <c r="P23" s="32">
        <f t="shared" si="10"/>
        <v>0</v>
      </c>
      <c r="R23" s="13">
        <f t="shared" si="11"/>
        <v>1.0909957099905678</v>
      </c>
      <c r="S23" s="14">
        <f t="shared" si="11"/>
        <v>1.0900324713064304</v>
      </c>
      <c r="T23" s="14">
        <f t="shared" si="11"/>
        <v>1.0881264732575069</v>
      </c>
      <c r="U23" s="14">
        <f t="shared" si="11"/>
        <v>1.0814247684550171</v>
      </c>
      <c r="V23" s="14">
        <f t="shared" si="11"/>
        <v>1.0561972230141841</v>
      </c>
      <c r="W23" s="14">
        <f t="shared" si="11"/>
        <v>1.0384152421057089</v>
      </c>
      <c r="X23" s="14">
        <f t="shared" si="11"/>
        <v>0.90997222330306893</v>
      </c>
      <c r="Y23" s="62">
        <f t="shared" ca="1" si="3"/>
        <v>0.98016828086128549</v>
      </c>
      <c r="Z23" s="41"/>
      <c r="AA23" s="30" t="str">
        <f t="shared" si="6"/>
        <v>Junior Sub</v>
      </c>
      <c r="AB23" s="52">
        <f t="shared" si="7"/>
        <v>5</v>
      </c>
      <c r="AC23" s="54">
        <f t="shared" si="4"/>
        <v>0.1709</v>
      </c>
      <c r="AD23" s="54">
        <f t="shared" si="5"/>
        <v>0.109</v>
      </c>
      <c r="AE23" s="77">
        <f t="shared" si="8"/>
        <v>0.46719271930203593</v>
      </c>
      <c r="AF23" s="78">
        <f t="shared" si="9"/>
        <v>0.64589818449849556</v>
      </c>
    </row>
    <row r="24" spans="2:32" x14ac:dyDescent="0.25">
      <c r="B24" s="33">
        <v>20</v>
      </c>
      <c r="C24" s="18" t="s">
        <v>1</v>
      </c>
      <c r="D24" s="57">
        <v>5.81</v>
      </c>
      <c r="E24" s="18">
        <v>5</v>
      </c>
      <c r="F24" s="18" t="s">
        <v>10</v>
      </c>
      <c r="G24" s="19">
        <v>5</v>
      </c>
      <c r="I24" s="33">
        <f t="shared" si="10"/>
        <v>5.81</v>
      </c>
      <c r="J24" s="34">
        <f t="shared" si="10"/>
        <v>5.81</v>
      </c>
      <c r="K24" s="34">
        <f t="shared" si="10"/>
        <v>5.81</v>
      </c>
      <c r="L24" s="34">
        <f t="shared" si="10"/>
        <v>5.81</v>
      </c>
      <c r="M24" s="34">
        <f t="shared" si="10"/>
        <v>105.81</v>
      </c>
      <c r="N24" s="34">
        <f t="shared" si="10"/>
        <v>0</v>
      </c>
      <c r="O24" s="34">
        <f t="shared" si="10"/>
        <v>0</v>
      </c>
      <c r="P24" s="35">
        <f t="shared" si="10"/>
        <v>0</v>
      </c>
      <c r="R24" s="63">
        <f t="shared" si="11"/>
        <v>1.0848341476714622</v>
      </c>
      <c r="S24" s="64">
        <f t="shared" si="11"/>
        <v>1.083036664636575</v>
      </c>
      <c r="T24" s="64">
        <f t="shared" si="11"/>
        <v>1.077763367592004</v>
      </c>
      <c r="U24" s="64">
        <f t="shared" si="11"/>
        <v>1.0666942316877905</v>
      </c>
      <c r="V24" s="64">
        <f t="shared" si="11"/>
        <v>1.0116778707911351</v>
      </c>
      <c r="W24" s="64">
        <f t="shared" si="11"/>
        <v>0.97263160491174216</v>
      </c>
      <c r="X24" s="64">
        <f t="shared" si="11"/>
        <v>0.82884474851610923</v>
      </c>
      <c r="Y24" s="65">
        <f t="shared" ca="1" si="3"/>
        <v>0.69380665469795566</v>
      </c>
      <c r="Z24" s="41"/>
      <c r="AA24" s="17" t="str">
        <f t="shared" si="6"/>
        <v>Subordinated</v>
      </c>
      <c r="AB24" s="56">
        <f t="shared" si="7"/>
        <v>4</v>
      </c>
      <c r="AC24" s="58">
        <f t="shared" si="4"/>
        <v>0.32740000000000002</v>
      </c>
      <c r="AD24" s="58">
        <f t="shared" si="5"/>
        <v>0.20180000000000001</v>
      </c>
      <c r="AE24" s="79">
        <f t="shared" si="8"/>
        <v>0.87594927298303538</v>
      </c>
      <c r="AF24" s="80">
        <f t="shared" si="9"/>
        <v>1.2303574347852984</v>
      </c>
    </row>
    <row r="25" spans="2:32" x14ac:dyDescent="0.25">
      <c r="Z25" s="41"/>
      <c r="AA25" s="41"/>
      <c r="AB25" s="41"/>
    </row>
    <row r="27" spans="2:32" x14ac:dyDescent="0.25">
      <c r="Q27" s="20" t="s">
        <v>35</v>
      </c>
      <c r="R27" s="21"/>
      <c r="S27" s="21"/>
      <c r="T27" s="21"/>
      <c r="U27" s="21"/>
      <c r="V27" s="21"/>
      <c r="W27" s="21"/>
      <c r="X27" s="22"/>
      <c r="AA27" s="3" t="s">
        <v>112</v>
      </c>
      <c r="AB27" s="4"/>
      <c r="AC27" s="5"/>
    </row>
    <row r="28" spans="2:32" x14ac:dyDescent="0.25">
      <c r="Q28" s="25" t="s">
        <v>14</v>
      </c>
      <c r="R28" s="39" t="s">
        <v>0</v>
      </c>
      <c r="S28" s="26" t="s">
        <v>1</v>
      </c>
      <c r="T28" s="26" t="s">
        <v>2</v>
      </c>
      <c r="U28" s="26" t="s">
        <v>3</v>
      </c>
      <c r="V28" s="26" t="s">
        <v>4</v>
      </c>
      <c r="W28" s="26" t="s">
        <v>5</v>
      </c>
      <c r="X28" s="27" t="s">
        <v>6</v>
      </c>
      <c r="AA28" s="105" t="s">
        <v>9</v>
      </c>
      <c r="AB28" s="73" t="s">
        <v>47</v>
      </c>
      <c r="AC28" s="74" t="s">
        <v>36</v>
      </c>
    </row>
    <row r="29" spans="2:32" x14ac:dyDescent="0.25">
      <c r="Q29" s="29">
        <v>0</v>
      </c>
      <c r="R29" s="38">
        <v>1</v>
      </c>
      <c r="S29" s="26">
        <v>1</v>
      </c>
      <c r="T29" s="26">
        <v>1</v>
      </c>
      <c r="U29" s="26">
        <v>1</v>
      </c>
      <c r="V29" s="26">
        <v>1</v>
      </c>
      <c r="W29" s="26">
        <v>1</v>
      </c>
      <c r="X29" s="27">
        <v>1</v>
      </c>
      <c r="AA29" s="98" t="s">
        <v>31</v>
      </c>
      <c r="AB29" s="14">
        <v>0.53800000000000003</v>
      </c>
      <c r="AC29" s="15">
        <v>0.26860000000000001</v>
      </c>
    </row>
    <row r="30" spans="2:32" x14ac:dyDescent="0.25">
      <c r="Q30" s="30">
        <v>1</v>
      </c>
      <c r="R30" s="14">
        <f t="shared" ref="R30:X36" si="12">1/(1+R41)^$Q41</f>
        <v>0.96525096525096521</v>
      </c>
      <c r="S30" s="14">
        <f t="shared" si="12"/>
        <v>0.964785335262904</v>
      </c>
      <c r="T30" s="14">
        <f t="shared" si="12"/>
        <v>0.96413420748168155</v>
      </c>
      <c r="U30" s="14">
        <f t="shared" si="12"/>
        <v>0.96061479346781953</v>
      </c>
      <c r="V30" s="14">
        <f t="shared" si="12"/>
        <v>0.94741828517290372</v>
      </c>
      <c r="W30" s="14">
        <f t="shared" si="12"/>
        <v>0.94295143800094294</v>
      </c>
      <c r="X30" s="15">
        <f t="shared" si="12"/>
        <v>0.86918730986527593</v>
      </c>
      <c r="AA30" s="106" t="s">
        <v>45</v>
      </c>
      <c r="AB30" s="14">
        <v>0.51129999999999998</v>
      </c>
      <c r="AC30" s="15">
        <v>0.2545</v>
      </c>
    </row>
    <row r="31" spans="2:32" x14ac:dyDescent="0.25">
      <c r="Q31" s="30">
        <v>2</v>
      </c>
      <c r="R31" s="14">
        <f t="shared" si="12"/>
        <v>0.92154102043103436</v>
      </c>
      <c r="S31" s="14">
        <f t="shared" si="12"/>
        <v>0.92065700588126753</v>
      </c>
      <c r="T31" s="14">
        <f t="shared" si="12"/>
        <v>0.91889278858820445</v>
      </c>
      <c r="U31" s="14">
        <f t="shared" si="12"/>
        <v>0.9127577973726797</v>
      </c>
      <c r="V31" s="14">
        <f t="shared" si="12"/>
        <v>0.8896606873283599</v>
      </c>
      <c r="W31" s="14">
        <f t="shared" si="12"/>
        <v>0.87311230064707046</v>
      </c>
      <c r="X31" s="15">
        <f t="shared" si="12"/>
        <v>0.75588072939829709</v>
      </c>
      <c r="AA31" s="106" t="s">
        <v>46</v>
      </c>
      <c r="AB31" s="14">
        <v>0.38519999999999999</v>
      </c>
      <c r="AC31" s="15">
        <v>0.23810000000000001</v>
      </c>
    </row>
    <row r="32" spans="2:32" x14ac:dyDescent="0.25">
      <c r="Q32" s="30">
        <v>3</v>
      </c>
      <c r="R32" s="14">
        <f t="shared" si="12"/>
        <v>0.87053590745796261</v>
      </c>
      <c r="S32" s="14">
        <f t="shared" si="12"/>
        <v>0.8692902681724487</v>
      </c>
      <c r="T32" s="14">
        <f t="shared" si="12"/>
        <v>0.8655675798575494</v>
      </c>
      <c r="U32" s="14">
        <f t="shared" si="12"/>
        <v>0.85769659602065507</v>
      </c>
      <c r="V32" s="14">
        <f t="shared" si="12"/>
        <v>0.82135376158059359</v>
      </c>
      <c r="W32" s="14">
        <f t="shared" si="12"/>
        <v>0.79317108149750437</v>
      </c>
      <c r="X32" s="15">
        <f t="shared" si="12"/>
        <v>0.67443892428850227</v>
      </c>
      <c r="AA32" s="98" t="s">
        <v>10</v>
      </c>
      <c r="AB32" s="14">
        <v>0.32740000000000002</v>
      </c>
      <c r="AC32" s="15">
        <v>0.20180000000000001</v>
      </c>
    </row>
    <row r="33" spans="17:29" x14ac:dyDescent="0.25">
      <c r="Q33" s="30">
        <v>4</v>
      </c>
      <c r="R33" s="14">
        <f t="shared" si="12"/>
        <v>0.818952270182431</v>
      </c>
      <c r="S33" s="14">
        <f t="shared" si="12"/>
        <v>0.81739599285065634</v>
      </c>
      <c r="T33" s="14">
        <f t="shared" si="12"/>
        <v>0.81274928903753896</v>
      </c>
      <c r="U33" s="14">
        <f t="shared" si="12"/>
        <v>0.80325027117584114</v>
      </c>
      <c r="V33" s="14">
        <f t="shared" si="12"/>
        <v>0.75524329358376252</v>
      </c>
      <c r="W33" s="14">
        <f t="shared" si="12"/>
        <v>0.72104249301699996</v>
      </c>
      <c r="X33" s="15">
        <f t="shared" si="12"/>
        <v>0.60215801335765384</v>
      </c>
      <c r="AA33" s="99" t="s">
        <v>11</v>
      </c>
      <c r="AB33" s="64">
        <v>0.1709</v>
      </c>
      <c r="AC33" s="107">
        <v>0.109</v>
      </c>
    </row>
    <row r="34" spans="17:29" x14ac:dyDescent="0.25">
      <c r="Q34" s="31">
        <f>Q33+1</f>
        <v>5</v>
      </c>
      <c r="R34" s="28">
        <f t="shared" si="12"/>
        <v>0.77906418396349997</v>
      </c>
      <c r="S34" s="28">
        <f t="shared" si="12"/>
        <v>0.77721402762256953</v>
      </c>
      <c r="T34" s="28">
        <f t="shared" si="12"/>
        <v>0.77169510922667961</v>
      </c>
      <c r="U34" s="28">
        <f t="shared" si="12"/>
        <v>0.76043763246789853</v>
      </c>
      <c r="V34" s="28">
        <f t="shared" si="12"/>
        <v>0.70405825821176715</v>
      </c>
      <c r="W34" s="28">
        <f t="shared" si="12"/>
        <v>0.66443281700792478</v>
      </c>
      <c r="X34" s="32">
        <f t="shared" si="12"/>
        <v>0.53044222459271839</v>
      </c>
    </row>
    <row r="35" spans="17:29" x14ac:dyDescent="0.25">
      <c r="Q35" s="31">
        <f>Q34+1</f>
        <v>6</v>
      </c>
      <c r="R35" s="28">
        <f t="shared" si="12"/>
        <v>0.74111889646451667</v>
      </c>
      <c r="S35" s="28">
        <f t="shared" si="12"/>
        <v>0.73900734774419463</v>
      </c>
      <c r="T35" s="28">
        <f t="shared" si="12"/>
        <v>0.73271468783391536</v>
      </c>
      <c r="U35" s="28">
        <f t="shared" si="12"/>
        <v>0.71990687538379095</v>
      </c>
      <c r="V35" s="28">
        <f t="shared" si="12"/>
        <v>0.65634218160880686</v>
      </c>
      <c r="W35" s="28">
        <f t="shared" si="12"/>
        <v>0.61226761611493263</v>
      </c>
      <c r="X35" s="32">
        <f t="shared" si="12"/>
        <v>0.46726763970464974</v>
      </c>
    </row>
    <row r="36" spans="17:29" x14ac:dyDescent="0.25">
      <c r="Q36" s="33">
        <f>Q35+1</f>
        <v>7</v>
      </c>
      <c r="R36" s="34">
        <f t="shared" si="12"/>
        <v>0.70502178126380977</v>
      </c>
      <c r="S36" s="34">
        <f t="shared" si="12"/>
        <v>0.70267885114024398</v>
      </c>
      <c r="T36" s="34">
        <f t="shared" si="12"/>
        <v>0.69570327367443563</v>
      </c>
      <c r="U36" s="34">
        <f t="shared" si="12"/>
        <v>0.68153637733957306</v>
      </c>
      <c r="V36" s="34">
        <f t="shared" si="12"/>
        <v>0.61185996234623563</v>
      </c>
      <c r="W36" s="34">
        <f t="shared" si="12"/>
        <v>0.56419795071409207</v>
      </c>
      <c r="X36" s="35">
        <f t="shared" si="12"/>
        <v>0.41161701876730949</v>
      </c>
    </row>
    <row r="39" spans="17:29" x14ac:dyDescent="0.25">
      <c r="Q39" s="20" t="s">
        <v>34</v>
      </c>
      <c r="R39" s="21"/>
      <c r="S39" s="21"/>
      <c r="T39" s="21"/>
      <c r="U39" s="21"/>
      <c r="V39" s="21"/>
      <c r="W39" s="21"/>
      <c r="X39" s="22"/>
    </row>
    <row r="40" spans="17:29" x14ac:dyDescent="0.25">
      <c r="Q40" s="72" t="s">
        <v>14</v>
      </c>
      <c r="R40" s="73" t="s">
        <v>0</v>
      </c>
      <c r="S40" s="73" t="s">
        <v>1</v>
      </c>
      <c r="T40" s="73" t="s">
        <v>2</v>
      </c>
      <c r="U40" s="73" t="s">
        <v>3</v>
      </c>
      <c r="V40" s="73" t="s">
        <v>4</v>
      </c>
      <c r="W40" s="73" t="s">
        <v>5</v>
      </c>
      <c r="X40" s="74" t="s">
        <v>6</v>
      </c>
    </row>
    <row r="41" spans="17:29" x14ac:dyDescent="0.25">
      <c r="Q41" s="30">
        <v>1</v>
      </c>
      <c r="R41" s="14">
        <v>3.6000000000000004E-2</v>
      </c>
      <c r="S41" s="14">
        <v>3.6499999999999998E-2</v>
      </c>
      <c r="T41" s="14">
        <v>3.7200000000000004E-2</v>
      </c>
      <c r="U41" s="14">
        <v>4.0999999999999995E-2</v>
      </c>
      <c r="V41" s="14">
        <v>5.5500000000000001E-2</v>
      </c>
      <c r="W41" s="14">
        <v>6.0499999999999998E-2</v>
      </c>
      <c r="X41" s="15">
        <v>0.15049999999999999</v>
      </c>
    </row>
    <row r="42" spans="17:29" x14ac:dyDescent="0.25">
      <c r="Q42" s="30">
        <v>2</v>
      </c>
      <c r="R42" s="14">
        <v>4.1700000000000001E-2</v>
      </c>
      <c r="S42" s="14">
        <v>4.2199999999999994E-2</v>
      </c>
      <c r="T42" s="14">
        <v>4.3200000000000002E-2</v>
      </c>
      <c r="U42" s="14">
        <v>4.6699999999999998E-2</v>
      </c>
      <c r="V42" s="14">
        <v>6.0199999999999997E-2</v>
      </c>
      <c r="W42" s="14">
        <v>7.0199999999999999E-2</v>
      </c>
      <c r="X42" s="15">
        <v>0.1502</v>
      </c>
    </row>
    <row r="43" spans="17:29" x14ac:dyDescent="0.25">
      <c r="Q43" s="30">
        <v>3</v>
      </c>
      <c r="R43" s="14">
        <v>4.7300000000000002E-2</v>
      </c>
      <c r="S43" s="14">
        <v>4.7800000000000002E-2</v>
      </c>
      <c r="T43" s="14">
        <v>4.9299999999999997E-2</v>
      </c>
      <c r="U43" s="14">
        <v>5.2499999999999998E-2</v>
      </c>
      <c r="V43" s="14">
        <v>6.7799999999999999E-2</v>
      </c>
      <c r="W43" s="14">
        <v>8.0299999999999996E-2</v>
      </c>
      <c r="X43" s="15">
        <v>0.14029999999999998</v>
      </c>
    </row>
    <row r="44" spans="17:29" x14ac:dyDescent="0.25">
      <c r="Q44" s="30">
        <v>4</v>
      </c>
      <c r="R44" s="14">
        <v>5.1200000000000002E-2</v>
      </c>
      <c r="S44" s="14">
        <v>5.1699999999999996E-2</v>
      </c>
      <c r="T44" s="14">
        <v>5.3200000000000004E-2</v>
      </c>
      <c r="U44" s="14">
        <v>5.6299999999999996E-2</v>
      </c>
      <c r="V44" s="14">
        <v>7.2700000000000001E-2</v>
      </c>
      <c r="W44" s="14">
        <v>8.5199999999999998E-2</v>
      </c>
      <c r="X44" s="15">
        <v>0.13519999999999999</v>
      </c>
    </row>
    <row r="45" spans="17:29" x14ac:dyDescent="0.25">
      <c r="Q45" s="31">
        <f>Q44+1</f>
        <v>5</v>
      </c>
      <c r="R45" s="28">
        <f t="shared" ref="R45:X45" si="13">R44</f>
        <v>5.1200000000000002E-2</v>
      </c>
      <c r="S45" s="28">
        <f t="shared" si="13"/>
        <v>5.1699999999999996E-2</v>
      </c>
      <c r="T45" s="28">
        <f t="shared" si="13"/>
        <v>5.3200000000000004E-2</v>
      </c>
      <c r="U45" s="28">
        <f t="shared" si="13"/>
        <v>5.6299999999999996E-2</v>
      </c>
      <c r="V45" s="28">
        <f t="shared" si="13"/>
        <v>7.2700000000000001E-2</v>
      </c>
      <c r="W45" s="28">
        <f t="shared" si="13"/>
        <v>8.5199999999999998E-2</v>
      </c>
      <c r="X45" s="32">
        <f t="shared" si="13"/>
        <v>0.13519999999999999</v>
      </c>
    </row>
    <row r="46" spans="17:29" x14ac:dyDescent="0.25">
      <c r="Q46" s="31">
        <f>Q45+1</f>
        <v>6</v>
      </c>
      <c r="R46" s="28">
        <f t="shared" ref="R46:X46" si="14">R45</f>
        <v>5.1200000000000002E-2</v>
      </c>
      <c r="S46" s="28">
        <f t="shared" si="14"/>
        <v>5.1699999999999996E-2</v>
      </c>
      <c r="T46" s="28">
        <f t="shared" si="14"/>
        <v>5.3200000000000004E-2</v>
      </c>
      <c r="U46" s="28">
        <f t="shared" si="14"/>
        <v>5.6299999999999996E-2</v>
      </c>
      <c r="V46" s="28">
        <f t="shared" si="14"/>
        <v>7.2700000000000001E-2</v>
      </c>
      <c r="W46" s="28">
        <f t="shared" si="14"/>
        <v>8.5199999999999998E-2</v>
      </c>
      <c r="X46" s="32">
        <f t="shared" si="14"/>
        <v>0.13519999999999999</v>
      </c>
    </row>
    <row r="47" spans="17:29" x14ac:dyDescent="0.25">
      <c r="Q47" s="33">
        <f>Q46+1</f>
        <v>7</v>
      </c>
      <c r="R47" s="34">
        <f t="shared" ref="R47:X47" si="15">R46</f>
        <v>5.1200000000000002E-2</v>
      </c>
      <c r="S47" s="34">
        <f t="shared" si="15"/>
        <v>5.1699999999999996E-2</v>
      </c>
      <c r="T47" s="34">
        <f t="shared" si="15"/>
        <v>5.3200000000000004E-2</v>
      </c>
      <c r="U47" s="34">
        <f t="shared" si="15"/>
        <v>5.6299999999999996E-2</v>
      </c>
      <c r="V47" s="34">
        <f t="shared" si="15"/>
        <v>7.2700000000000001E-2</v>
      </c>
      <c r="W47" s="34">
        <f t="shared" si="15"/>
        <v>8.5199999999999998E-2</v>
      </c>
      <c r="X47" s="35">
        <f t="shared" si="15"/>
        <v>0.13519999999999999</v>
      </c>
    </row>
  </sheetData>
  <pageMargins left="0.25" right="0.25" top="1" bottom="1" header="0.5" footer="0.5"/>
  <pageSetup scale="67" orientation="landscape" horizontalDpi="300" verticalDpi="300" r:id="rId1"/>
  <headerFooter alignWithMargins="0">
    <oddFooter>&amp;C&amp;A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2:AE27"/>
  <sheetViews>
    <sheetView workbookViewId="0"/>
  </sheetViews>
  <sheetFormatPr defaultColWidth="6.7265625" defaultRowHeight="12.5" x14ac:dyDescent="0.25"/>
  <cols>
    <col min="1" max="1" width="1.7265625" customWidth="1"/>
    <col min="2" max="11" width="6.7265625" customWidth="1"/>
    <col min="12" max="12" width="1.7265625" customWidth="1"/>
    <col min="13" max="13" width="5.26953125" customWidth="1"/>
    <col min="14" max="14" width="6.26953125" customWidth="1"/>
    <col min="15" max="15" width="5.1796875" customWidth="1"/>
    <col min="16" max="16" width="6.81640625" customWidth="1"/>
    <col min="17" max="17" width="1.7265625" customWidth="1"/>
    <col min="18" max="25" width="6.7265625" customWidth="1"/>
    <col min="26" max="26" width="1.7265625" customWidth="1"/>
    <col min="27" max="31" width="7.7265625" customWidth="1"/>
  </cols>
  <sheetData>
    <row r="2" spans="2:31" x14ac:dyDescent="0.25">
      <c r="AA2" s="3" t="s">
        <v>101</v>
      </c>
      <c r="AB2" s="4"/>
      <c r="AC2" s="4"/>
      <c r="AD2" s="4"/>
      <c r="AE2" s="5"/>
    </row>
    <row r="3" spans="2:31" x14ac:dyDescent="0.25">
      <c r="B3" s="3" t="s">
        <v>13</v>
      </c>
      <c r="C3" s="4"/>
      <c r="D3" s="4"/>
      <c r="E3" s="4"/>
      <c r="F3" s="4"/>
      <c r="G3" s="4"/>
      <c r="H3" s="4"/>
      <c r="I3" s="4"/>
      <c r="J3" s="5"/>
      <c r="K3" s="5"/>
      <c r="M3" s="3" t="s">
        <v>40</v>
      </c>
      <c r="N3" s="70"/>
      <c r="O3" s="5"/>
      <c r="P3" s="5"/>
      <c r="R3" s="3" t="s">
        <v>41</v>
      </c>
      <c r="S3" s="4"/>
      <c r="T3" s="4"/>
      <c r="U3" s="4"/>
      <c r="V3" s="4"/>
      <c r="W3" s="4"/>
      <c r="X3" s="4"/>
      <c r="Y3" s="5"/>
      <c r="AA3" s="75" t="s">
        <v>30</v>
      </c>
      <c r="AB3" s="3" t="s">
        <v>99</v>
      </c>
      <c r="AC3" s="5"/>
      <c r="AD3" s="3" t="s">
        <v>100</v>
      </c>
      <c r="AE3" s="5"/>
    </row>
    <row r="4" spans="2:31" x14ac:dyDescent="0.25">
      <c r="B4" s="6"/>
      <c r="C4" s="7" t="s">
        <v>0</v>
      </c>
      <c r="D4" s="7" t="s">
        <v>1</v>
      </c>
      <c r="E4" s="7" t="s">
        <v>2</v>
      </c>
      <c r="F4" s="7" t="s">
        <v>3</v>
      </c>
      <c r="G4" s="7" t="s">
        <v>4</v>
      </c>
      <c r="H4" s="7" t="s">
        <v>5</v>
      </c>
      <c r="I4" s="7" t="s">
        <v>6</v>
      </c>
      <c r="J4" s="8" t="s">
        <v>12</v>
      </c>
      <c r="K4" s="37" t="s">
        <v>32</v>
      </c>
      <c r="M4" s="75" t="s">
        <v>15</v>
      </c>
      <c r="N4" s="37" t="s">
        <v>16</v>
      </c>
      <c r="O4" s="40" t="s">
        <v>7</v>
      </c>
      <c r="P4" s="92" t="s">
        <v>25</v>
      </c>
      <c r="R4" s="94" t="s">
        <v>0</v>
      </c>
      <c r="S4" s="121" t="s">
        <v>1</v>
      </c>
      <c r="T4" s="121" t="s">
        <v>2</v>
      </c>
      <c r="U4" s="121" t="s">
        <v>3</v>
      </c>
      <c r="V4" s="121" t="s">
        <v>4</v>
      </c>
      <c r="W4" s="121" t="s">
        <v>5</v>
      </c>
      <c r="X4" s="121" t="s">
        <v>6</v>
      </c>
      <c r="Y4" s="122" t="s">
        <v>12</v>
      </c>
      <c r="AA4" s="142" t="s">
        <v>26</v>
      </c>
      <c r="AB4" s="75" t="s">
        <v>26</v>
      </c>
      <c r="AC4" s="75" t="s">
        <v>21</v>
      </c>
      <c r="AD4" s="75" t="s">
        <v>26</v>
      </c>
      <c r="AE4" s="75" t="s">
        <v>21</v>
      </c>
    </row>
    <row r="5" spans="2:31" x14ac:dyDescent="0.25">
      <c r="B5" s="9" t="s">
        <v>0</v>
      </c>
      <c r="C5" s="10">
        <v>0.5857</v>
      </c>
      <c r="D5" s="11">
        <v>0.39019999999999999</v>
      </c>
      <c r="E5" s="11">
        <v>1.4200000000000001E-2</v>
      </c>
      <c r="F5" s="11">
        <v>6.3E-3</v>
      </c>
      <c r="G5" s="11">
        <v>1.8E-3</v>
      </c>
      <c r="H5" s="11">
        <v>1.4E-3</v>
      </c>
      <c r="I5" s="11">
        <v>2.9999999999999997E-4</v>
      </c>
      <c r="J5" s="12">
        <v>1E-4</v>
      </c>
      <c r="K5" s="109">
        <f>SUM(C5:J5)</f>
        <v>0.99999999999999989</v>
      </c>
      <c r="M5" s="48">
        <f>Values!B5</f>
        <v>1</v>
      </c>
      <c r="N5" s="23" t="str">
        <f>Values!C5</f>
        <v>AAA</v>
      </c>
      <c r="O5" s="23">
        <f>Values!G5</f>
        <v>7</v>
      </c>
      <c r="P5" s="27">
        <f>MATCH(N5,$C$4:$I$4,0)</f>
        <v>1</v>
      </c>
      <c r="R5" s="48">
        <f>INDEX(C$5:C$12,$P5)</f>
        <v>0.5857</v>
      </c>
      <c r="S5" s="49">
        <f t="shared" ref="S5:S24" si="0">INDEX(D$5:D$12,$P5)</f>
        <v>0.39019999999999999</v>
      </c>
      <c r="T5" s="49">
        <f t="shared" ref="T5:T24" si="1">INDEX(E$5:E$12,$P5)</f>
        <v>1.4200000000000001E-2</v>
      </c>
      <c r="U5" s="49">
        <f t="shared" ref="U5:U24" si="2">INDEX(F$5:F$12,$P5)</f>
        <v>6.3E-3</v>
      </c>
      <c r="V5" s="49">
        <f t="shared" ref="V5:V24" si="3">INDEX(G$5:G$12,$P5)</f>
        <v>1.8E-3</v>
      </c>
      <c r="W5" s="49">
        <f t="shared" ref="W5:W24" si="4">INDEX(H$5:H$12,$P5)</f>
        <v>1.4E-3</v>
      </c>
      <c r="X5" s="49">
        <f t="shared" ref="X5:X24" si="5">INDEX(I$5:I$12,$P5)</f>
        <v>2.9999999999999997E-4</v>
      </c>
      <c r="Y5" s="103">
        <f t="shared" ref="Y5:Y24" si="6">INDEX(J$5:J$12,$P5)</f>
        <v>1E-4</v>
      </c>
      <c r="AA5" s="90">
        <f>Values!AC5</f>
        <v>0.53800000000000003</v>
      </c>
      <c r="AB5" s="90">
        <f>SUMPRODUCT(R5:X5,Values!R5:X5)+Y5*AA5</f>
        <v>1.0651684842592084</v>
      </c>
      <c r="AC5" s="91">
        <f>AB5*O5</f>
        <v>7.4561793898144586</v>
      </c>
      <c r="AD5" s="50">
        <f>Y5*AA5+(1-Y5)*1</f>
        <v>0.9999538</v>
      </c>
      <c r="AE5" s="91">
        <f>O5*AD5</f>
        <v>6.9996765999999999</v>
      </c>
    </row>
    <row r="6" spans="2:31" x14ac:dyDescent="0.25">
      <c r="B6" s="9" t="s">
        <v>1</v>
      </c>
      <c r="C6" s="13">
        <v>7.1000000000000004E-3</v>
      </c>
      <c r="D6" s="14">
        <v>0.89459999999999995</v>
      </c>
      <c r="E6" s="14">
        <v>7.4700000000000003E-2</v>
      </c>
      <c r="F6" s="14">
        <v>1.3899999999999999E-2</v>
      </c>
      <c r="G6" s="14">
        <v>7.1999999999999998E-3</v>
      </c>
      <c r="H6" s="14">
        <v>1.8E-3</v>
      </c>
      <c r="I6" s="14">
        <v>5.0000000000000001E-4</v>
      </c>
      <c r="J6" s="15">
        <v>2.0000000000000001E-4</v>
      </c>
      <c r="K6" s="109">
        <f t="shared" ref="K6:K12" si="7">SUM(C6:J6)</f>
        <v>0.99999999999999989</v>
      </c>
      <c r="M6" s="31">
        <f>Values!B6</f>
        <v>2</v>
      </c>
      <c r="N6" s="23" t="str">
        <f>Values!C6</f>
        <v>AA</v>
      </c>
      <c r="O6" s="23">
        <f>Values!G6</f>
        <v>1</v>
      </c>
      <c r="P6" s="24">
        <f t="shared" ref="P6:P24" si="8">MATCH(N6,$C$4:$I$4,0)</f>
        <v>2</v>
      </c>
      <c r="R6" s="31">
        <f t="shared" ref="R6:R24" si="9">INDEX(C$5:C$12,$P6)</f>
        <v>7.1000000000000004E-3</v>
      </c>
      <c r="S6" s="28">
        <f t="shared" si="0"/>
        <v>0.89459999999999995</v>
      </c>
      <c r="T6" s="28">
        <f t="shared" si="1"/>
        <v>7.4700000000000003E-2</v>
      </c>
      <c r="U6" s="28">
        <f t="shared" si="2"/>
        <v>1.3899999999999999E-2</v>
      </c>
      <c r="V6" s="28">
        <f t="shared" si="3"/>
        <v>7.1999999999999998E-3</v>
      </c>
      <c r="W6" s="28">
        <f t="shared" si="4"/>
        <v>1.8E-3</v>
      </c>
      <c r="X6" s="28">
        <f t="shared" si="5"/>
        <v>5.0000000000000001E-4</v>
      </c>
      <c r="Y6" s="32">
        <f t="shared" si="6"/>
        <v>2.0000000000000001E-4</v>
      </c>
      <c r="AA6" s="66">
        <f>Values!AC6</f>
        <v>0.1709</v>
      </c>
      <c r="AB6" s="66">
        <f>SUMPRODUCT(R6:X6,Values!R6:X6)+Y6*AA6</f>
        <v>1.0752526585784483</v>
      </c>
      <c r="AC6" s="62">
        <f t="shared" ref="AC6:AC24" si="10">AB6*O6</f>
        <v>1.0752526585784483</v>
      </c>
      <c r="AD6" s="54">
        <f t="shared" ref="AD6:AD24" si="11">Y6*AA6+(1-Y6)*1</f>
        <v>0.99983418000000002</v>
      </c>
      <c r="AE6" s="62">
        <f t="shared" ref="AE6:AE24" si="12">O6*AD6</f>
        <v>0.99983418000000002</v>
      </c>
    </row>
    <row r="7" spans="2:31" x14ac:dyDescent="0.25">
      <c r="B7" s="9" t="s">
        <v>2</v>
      </c>
      <c r="C7" s="13">
        <v>2.5000000000000001E-3</v>
      </c>
      <c r="D7" s="14">
        <v>3.8300000000000001E-2</v>
      </c>
      <c r="E7" s="14">
        <v>0.91149999999999998</v>
      </c>
      <c r="F7" s="14">
        <v>3.73E-2</v>
      </c>
      <c r="G7" s="14">
        <v>7.7000000000000002E-3</v>
      </c>
      <c r="H7" s="14">
        <v>1.4E-3</v>
      </c>
      <c r="I7" s="14">
        <v>6.9999999999999999E-4</v>
      </c>
      <c r="J7" s="15">
        <v>5.9999999999999995E-4</v>
      </c>
      <c r="K7" s="109">
        <f t="shared" si="7"/>
        <v>1</v>
      </c>
      <c r="M7" s="31">
        <f>Values!B7</f>
        <v>3</v>
      </c>
      <c r="N7" s="23" t="str">
        <f>Values!C7</f>
        <v>A</v>
      </c>
      <c r="O7" s="23">
        <f>Values!G7</f>
        <v>1</v>
      </c>
      <c r="P7" s="24">
        <f t="shared" si="8"/>
        <v>3</v>
      </c>
      <c r="R7" s="31">
        <f t="shared" si="9"/>
        <v>2.5000000000000001E-3</v>
      </c>
      <c r="S7" s="28">
        <f t="shared" si="0"/>
        <v>3.8300000000000001E-2</v>
      </c>
      <c r="T7" s="28">
        <f t="shared" si="1"/>
        <v>0.91149999999999998</v>
      </c>
      <c r="U7" s="28">
        <f t="shared" si="2"/>
        <v>3.73E-2</v>
      </c>
      <c r="V7" s="28">
        <f t="shared" si="3"/>
        <v>7.7000000000000002E-3</v>
      </c>
      <c r="W7" s="28">
        <f t="shared" si="4"/>
        <v>1.4E-3</v>
      </c>
      <c r="X7" s="28">
        <f t="shared" si="5"/>
        <v>6.9999999999999999E-4</v>
      </c>
      <c r="Y7" s="32">
        <f t="shared" si="6"/>
        <v>5.9999999999999995E-4</v>
      </c>
      <c r="AA7" s="66">
        <f>Values!AC7</f>
        <v>0.1709</v>
      </c>
      <c r="AB7" s="66">
        <f>SUMPRODUCT(R7:X7,Values!R7:X7)+Y7*AA7</f>
        <v>1.0734282465817329</v>
      </c>
      <c r="AC7" s="62">
        <f t="shared" si="10"/>
        <v>1.0734282465817329</v>
      </c>
      <c r="AD7" s="54">
        <f t="shared" si="11"/>
        <v>0.99950253999999994</v>
      </c>
      <c r="AE7" s="62">
        <f t="shared" si="12"/>
        <v>0.99950253999999994</v>
      </c>
    </row>
    <row r="8" spans="2:31" x14ac:dyDescent="0.25">
      <c r="B8" s="9" t="s">
        <v>3</v>
      </c>
      <c r="C8" s="13">
        <v>2.07E-2</v>
      </c>
      <c r="D8" s="14">
        <v>2.2599999999999999E-2</v>
      </c>
      <c r="E8" s="14">
        <v>0.1003</v>
      </c>
      <c r="F8" s="14">
        <v>0.80279999999999996</v>
      </c>
      <c r="G8" s="14">
        <v>4.53E-2</v>
      </c>
      <c r="H8" s="14">
        <v>5.0000000000000001E-3</v>
      </c>
      <c r="I8" s="14">
        <v>1.5E-3</v>
      </c>
      <c r="J8" s="15">
        <v>1.8E-3</v>
      </c>
      <c r="K8" s="109">
        <f t="shared" si="7"/>
        <v>0.99999999999999989</v>
      </c>
      <c r="M8" s="31">
        <f>Values!B8</f>
        <v>4</v>
      </c>
      <c r="N8" s="23" t="str">
        <f>Values!C8</f>
        <v>BBB</v>
      </c>
      <c r="O8" s="23">
        <f>Values!G8</f>
        <v>1</v>
      </c>
      <c r="P8" s="24">
        <f t="shared" si="8"/>
        <v>4</v>
      </c>
      <c r="R8" s="31">
        <f t="shared" si="9"/>
        <v>2.07E-2</v>
      </c>
      <c r="S8" s="28">
        <f t="shared" si="0"/>
        <v>2.2599999999999999E-2</v>
      </c>
      <c r="T8" s="28">
        <f t="shared" si="1"/>
        <v>0.1003</v>
      </c>
      <c r="U8" s="28">
        <f t="shared" si="2"/>
        <v>0.80279999999999996</v>
      </c>
      <c r="V8" s="28">
        <f t="shared" si="3"/>
        <v>4.53E-2</v>
      </c>
      <c r="W8" s="28">
        <f t="shared" si="4"/>
        <v>5.0000000000000001E-3</v>
      </c>
      <c r="X8" s="28">
        <f t="shared" si="5"/>
        <v>1.5E-3</v>
      </c>
      <c r="Y8" s="32">
        <f t="shared" si="6"/>
        <v>1.8E-3</v>
      </c>
      <c r="AA8" s="66">
        <f>Values!AC8</f>
        <v>0.1709</v>
      </c>
      <c r="AB8" s="66">
        <f>SUMPRODUCT(R8:X8,Values!R8:X8)+Y8*AA8</f>
        <v>1.0863376006617353</v>
      </c>
      <c r="AC8" s="62">
        <f t="shared" si="10"/>
        <v>1.0863376006617353</v>
      </c>
      <c r="AD8" s="54">
        <f t="shared" si="11"/>
        <v>0.99850761999999993</v>
      </c>
      <c r="AE8" s="62">
        <f t="shared" si="12"/>
        <v>0.99850761999999993</v>
      </c>
    </row>
    <row r="9" spans="2:31" x14ac:dyDescent="0.25">
      <c r="B9" s="9" t="s">
        <v>4</v>
      </c>
      <c r="C9" s="13">
        <v>1.5E-3</v>
      </c>
      <c r="D9" s="14">
        <v>3.5700000000000003E-2</v>
      </c>
      <c r="E9" s="14">
        <v>7.8399999999999997E-2</v>
      </c>
      <c r="F9" s="14">
        <v>0.1038</v>
      </c>
      <c r="G9" s="14">
        <v>0.55910000000000004</v>
      </c>
      <c r="H9" s="14">
        <v>0.1618</v>
      </c>
      <c r="I9" s="14">
        <v>4.9099999999999998E-2</v>
      </c>
      <c r="J9" s="15">
        <v>1.06E-2</v>
      </c>
      <c r="K9" s="109">
        <f t="shared" si="7"/>
        <v>1.0000000000000002</v>
      </c>
      <c r="M9" s="31">
        <f>Values!B9</f>
        <v>5</v>
      </c>
      <c r="N9" s="23" t="str">
        <f>Values!C9</f>
        <v>BB</v>
      </c>
      <c r="O9" s="23">
        <f>Values!G9</f>
        <v>1</v>
      </c>
      <c r="P9" s="24">
        <f t="shared" si="8"/>
        <v>5</v>
      </c>
      <c r="R9" s="31">
        <f t="shared" si="9"/>
        <v>1.5E-3</v>
      </c>
      <c r="S9" s="28">
        <f t="shared" si="0"/>
        <v>3.5700000000000003E-2</v>
      </c>
      <c r="T9" s="28">
        <f t="shared" si="1"/>
        <v>7.8399999999999997E-2</v>
      </c>
      <c r="U9" s="28">
        <f t="shared" si="2"/>
        <v>0.1038</v>
      </c>
      <c r="V9" s="28">
        <f t="shared" si="3"/>
        <v>0.55910000000000004</v>
      </c>
      <c r="W9" s="28">
        <f t="shared" si="4"/>
        <v>0.1618</v>
      </c>
      <c r="X9" s="28">
        <f t="shared" si="5"/>
        <v>4.9099999999999998E-2</v>
      </c>
      <c r="Y9" s="32">
        <f t="shared" si="6"/>
        <v>1.06E-2</v>
      </c>
      <c r="AA9" s="66">
        <f>Values!AC9</f>
        <v>0.1709</v>
      </c>
      <c r="AB9" s="66">
        <f>SUMPRODUCT(R9:X9,Values!R9:X9)+Y9*AA9</f>
        <v>1.0899378125087815</v>
      </c>
      <c r="AC9" s="62">
        <f t="shared" si="10"/>
        <v>1.0899378125087815</v>
      </c>
      <c r="AD9" s="54">
        <f t="shared" si="11"/>
        <v>0.99121153999999989</v>
      </c>
      <c r="AE9" s="62">
        <f t="shared" si="12"/>
        <v>0.99121153999999989</v>
      </c>
    </row>
    <row r="10" spans="2:31" x14ac:dyDescent="0.25">
      <c r="B10" s="9" t="s">
        <v>5</v>
      </c>
      <c r="C10" s="13">
        <v>1.4E-3</v>
      </c>
      <c r="D10" s="14">
        <v>6.1999999999999998E-3</v>
      </c>
      <c r="E10" s="14">
        <v>0.19209999999999999</v>
      </c>
      <c r="F10" s="14">
        <v>2.4400000000000002E-2</v>
      </c>
      <c r="G10" s="14">
        <v>5.4999999999999997E-3</v>
      </c>
      <c r="H10" s="14">
        <v>0.54859999999999998</v>
      </c>
      <c r="I10" s="14">
        <v>0.1724</v>
      </c>
      <c r="J10" s="15">
        <v>4.9399999999999999E-2</v>
      </c>
      <c r="K10" s="109">
        <f t="shared" si="7"/>
        <v>1</v>
      </c>
      <c r="M10" s="31">
        <f>Values!B10</f>
        <v>6</v>
      </c>
      <c r="N10" s="23" t="str">
        <f>Values!C10</f>
        <v>B</v>
      </c>
      <c r="O10" s="23">
        <f>Values!G10</f>
        <v>1</v>
      </c>
      <c r="P10" s="24">
        <f t="shared" si="8"/>
        <v>6</v>
      </c>
      <c r="R10" s="31">
        <f t="shared" si="9"/>
        <v>1.4E-3</v>
      </c>
      <c r="S10" s="28">
        <f t="shared" si="0"/>
        <v>6.1999999999999998E-3</v>
      </c>
      <c r="T10" s="28">
        <f t="shared" si="1"/>
        <v>0.19209999999999999</v>
      </c>
      <c r="U10" s="28">
        <f t="shared" si="2"/>
        <v>2.4400000000000002E-2</v>
      </c>
      <c r="V10" s="28">
        <f t="shared" si="3"/>
        <v>5.4999999999999997E-3</v>
      </c>
      <c r="W10" s="28">
        <f t="shared" si="4"/>
        <v>0.54859999999999998</v>
      </c>
      <c r="X10" s="28">
        <f t="shared" si="5"/>
        <v>0.1724</v>
      </c>
      <c r="Y10" s="32">
        <f t="shared" si="6"/>
        <v>4.9399999999999999E-2</v>
      </c>
      <c r="AA10" s="66">
        <f>Values!AC10</f>
        <v>0.1709</v>
      </c>
      <c r="AB10" s="66">
        <f>SUMPRODUCT(R10:X10,Values!R10:X10)+Y10*AA10</f>
        <v>1.1256326309635099</v>
      </c>
      <c r="AC10" s="62">
        <f t="shared" si="10"/>
        <v>1.1256326309635099</v>
      </c>
      <c r="AD10" s="54">
        <f t="shared" si="11"/>
        <v>0.95904246000000004</v>
      </c>
      <c r="AE10" s="62">
        <f t="shared" si="12"/>
        <v>0.95904246000000004</v>
      </c>
    </row>
    <row r="11" spans="2:31" x14ac:dyDescent="0.25">
      <c r="B11" s="9" t="s">
        <v>6</v>
      </c>
      <c r="C11" s="13">
        <v>4.0000000000000002E-4</v>
      </c>
      <c r="D11" s="14">
        <v>1.4E-3</v>
      </c>
      <c r="E11" s="14">
        <v>5.8500000000000003E-2</v>
      </c>
      <c r="F11" s="14">
        <v>7.7000000000000002E-3</v>
      </c>
      <c r="G11" s="14">
        <v>3.3E-3</v>
      </c>
      <c r="H11" s="14">
        <v>0.41099999999999998</v>
      </c>
      <c r="I11" s="14">
        <v>0.32629999999999998</v>
      </c>
      <c r="J11" s="15">
        <v>0.19139999999999999</v>
      </c>
      <c r="K11" s="109">
        <f t="shared" si="7"/>
        <v>1</v>
      </c>
      <c r="M11" s="31">
        <f>Values!B11</f>
        <v>7</v>
      </c>
      <c r="N11" s="23" t="str">
        <f>Values!C11</f>
        <v>CCC</v>
      </c>
      <c r="O11" s="23">
        <f>Values!G11</f>
        <v>1</v>
      </c>
      <c r="P11" s="24">
        <f t="shared" si="8"/>
        <v>7</v>
      </c>
      <c r="R11" s="31">
        <f t="shared" si="9"/>
        <v>4.0000000000000002E-4</v>
      </c>
      <c r="S11" s="28">
        <f t="shared" si="0"/>
        <v>1.4E-3</v>
      </c>
      <c r="T11" s="28">
        <f t="shared" si="1"/>
        <v>5.8500000000000003E-2</v>
      </c>
      <c r="U11" s="28">
        <f t="shared" si="2"/>
        <v>7.7000000000000002E-3</v>
      </c>
      <c r="V11" s="28">
        <f t="shared" si="3"/>
        <v>3.3E-3</v>
      </c>
      <c r="W11" s="28">
        <f t="shared" si="4"/>
        <v>0.41099999999999998</v>
      </c>
      <c r="X11" s="28">
        <f t="shared" si="5"/>
        <v>0.32629999999999998</v>
      </c>
      <c r="Y11" s="32">
        <f t="shared" si="6"/>
        <v>0.19139999999999999</v>
      </c>
      <c r="AA11" s="66">
        <f>Values!AC11</f>
        <v>0.1709</v>
      </c>
      <c r="AB11" s="66">
        <f>SUMPRODUCT(R11:X11,Values!R11:X11)+Y11*AA11</f>
        <v>1.1156732342357971</v>
      </c>
      <c r="AC11" s="62">
        <f t="shared" si="10"/>
        <v>1.1156732342357971</v>
      </c>
      <c r="AD11" s="54">
        <f t="shared" si="11"/>
        <v>0.84131025999999998</v>
      </c>
      <c r="AE11" s="62">
        <f t="shared" si="12"/>
        <v>0.84131025999999998</v>
      </c>
    </row>
    <row r="12" spans="2:31" x14ac:dyDescent="0.25">
      <c r="B12" s="16" t="s">
        <v>12</v>
      </c>
      <c r="C12" s="17">
        <v>0</v>
      </c>
      <c r="D12" s="18">
        <v>0</v>
      </c>
      <c r="E12" s="18">
        <v>0</v>
      </c>
      <c r="F12" s="18">
        <v>0</v>
      </c>
      <c r="G12" s="18">
        <v>0</v>
      </c>
      <c r="H12" s="18">
        <v>0</v>
      </c>
      <c r="I12" s="18">
        <v>0</v>
      </c>
      <c r="J12" s="19">
        <v>1</v>
      </c>
      <c r="K12" s="110">
        <f t="shared" si="7"/>
        <v>1</v>
      </c>
      <c r="M12" s="31">
        <f>Values!B12</f>
        <v>8</v>
      </c>
      <c r="N12" s="23" t="str">
        <f>Values!C12</f>
        <v>A</v>
      </c>
      <c r="O12" s="23">
        <f>Values!G12</f>
        <v>10</v>
      </c>
      <c r="P12" s="24">
        <f t="shared" si="8"/>
        <v>3</v>
      </c>
      <c r="R12" s="31">
        <f t="shared" si="9"/>
        <v>2.5000000000000001E-3</v>
      </c>
      <c r="S12" s="28">
        <f t="shared" si="0"/>
        <v>3.8300000000000001E-2</v>
      </c>
      <c r="T12" s="28">
        <f t="shared" si="1"/>
        <v>0.91149999999999998</v>
      </c>
      <c r="U12" s="28">
        <f t="shared" si="2"/>
        <v>3.73E-2</v>
      </c>
      <c r="V12" s="28">
        <f t="shared" si="3"/>
        <v>7.7000000000000002E-3</v>
      </c>
      <c r="W12" s="28">
        <f t="shared" si="4"/>
        <v>1.4E-3</v>
      </c>
      <c r="X12" s="28">
        <f t="shared" si="5"/>
        <v>6.9999999999999999E-4</v>
      </c>
      <c r="Y12" s="32">
        <f t="shared" si="6"/>
        <v>5.9999999999999995E-4</v>
      </c>
      <c r="AA12" s="66">
        <f>Values!AC12</f>
        <v>0.53800000000000003</v>
      </c>
      <c r="AB12" s="66">
        <f>SUMPRODUCT(R12:X12,Values!R12:X12)+Y12*AA12</f>
        <v>1.114958422771438</v>
      </c>
      <c r="AC12" s="62">
        <f t="shared" si="10"/>
        <v>11.14958422771438</v>
      </c>
      <c r="AD12" s="54">
        <f t="shared" si="11"/>
        <v>0.99972279999999991</v>
      </c>
      <c r="AE12" s="62">
        <f t="shared" si="12"/>
        <v>9.9972279999999998</v>
      </c>
    </row>
    <row r="13" spans="2:31" x14ac:dyDescent="0.25">
      <c r="M13" s="31">
        <f>Values!B13</f>
        <v>9</v>
      </c>
      <c r="N13" s="23" t="str">
        <f>Values!C13</f>
        <v>BB</v>
      </c>
      <c r="O13" s="23">
        <f>Values!G13</f>
        <v>5</v>
      </c>
      <c r="P13" s="24">
        <f t="shared" si="8"/>
        <v>5</v>
      </c>
      <c r="R13" s="31">
        <f t="shared" si="9"/>
        <v>1.5E-3</v>
      </c>
      <c r="S13" s="28">
        <f t="shared" si="0"/>
        <v>3.5700000000000003E-2</v>
      </c>
      <c r="T13" s="28">
        <f t="shared" si="1"/>
        <v>7.8399999999999997E-2</v>
      </c>
      <c r="U13" s="28">
        <f t="shared" si="2"/>
        <v>0.1038</v>
      </c>
      <c r="V13" s="28">
        <f t="shared" si="3"/>
        <v>0.55910000000000004</v>
      </c>
      <c r="W13" s="28">
        <f t="shared" si="4"/>
        <v>0.1618</v>
      </c>
      <c r="X13" s="28">
        <f t="shared" si="5"/>
        <v>4.9099999999999998E-2</v>
      </c>
      <c r="Y13" s="32">
        <f t="shared" si="6"/>
        <v>1.06E-2</v>
      </c>
      <c r="AA13" s="66">
        <f>Values!AC13</f>
        <v>0.32740000000000002</v>
      </c>
      <c r="AB13" s="66">
        <f>SUMPRODUCT(R13:X13,Values!R13:X13)+Y13*AA13</f>
        <v>1.0811363988762708</v>
      </c>
      <c r="AC13" s="62">
        <f t="shared" si="10"/>
        <v>5.4056819943813537</v>
      </c>
      <c r="AD13" s="54">
        <f t="shared" si="11"/>
        <v>0.99287043999999991</v>
      </c>
      <c r="AE13" s="62">
        <f t="shared" si="12"/>
        <v>4.9643521999999995</v>
      </c>
    </row>
    <row r="14" spans="2:31" x14ac:dyDescent="0.25">
      <c r="M14" s="31">
        <f>Values!B14</f>
        <v>10</v>
      </c>
      <c r="N14" s="23" t="str">
        <f>Values!C14</f>
        <v>A</v>
      </c>
      <c r="O14" s="23">
        <f>Values!G14</f>
        <v>3</v>
      </c>
      <c r="P14" s="24">
        <f t="shared" si="8"/>
        <v>3</v>
      </c>
      <c r="R14" s="31">
        <f t="shared" si="9"/>
        <v>2.5000000000000001E-3</v>
      </c>
      <c r="S14" s="28">
        <f t="shared" si="0"/>
        <v>3.8300000000000001E-2</v>
      </c>
      <c r="T14" s="28">
        <f t="shared" si="1"/>
        <v>0.91149999999999998</v>
      </c>
      <c r="U14" s="28">
        <f t="shared" si="2"/>
        <v>3.73E-2</v>
      </c>
      <c r="V14" s="28">
        <f t="shared" si="3"/>
        <v>7.7000000000000002E-3</v>
      </c>
      <c r="W14" s="28">
        <f t="shared" si="4"/>
        <v>1.4E-3</v>
      </c>
      <c r="X14" s="28">
        <f t="shared" si="5"/>
        <v>6.9999999999999999E-4</v>
      </c>
      <c r="Y14" s="32">
        <f t="shared" si="6"/>
        <v>5.9999999999999995E-4</v>
      </c>
      <c r="AA14" s="66">
        <f>Values!AC14</f>
        <v>0.32740000000000002</v>
      </c>
      <c r="AB14" s="66">
        <f>SUMPRODUCT(R14:X14,Values!R14:X14)+Y14*AA14</f>
        <v>1.0696019313168559</v>
      </c>
      <c r="AC14" s="62">
        <f t="shared" si="10"/>
        <v>3.2088057939505674</v>
      </c>
      <c r="AD14" s="54">
        <f t="shared" si="11"/>
        <v>0.99959643999999992</v>
      </c>
      <c r="AE14" s="62">
        <f t="shared" si="12"/>
        <v>2.9987893199999998</v>
      </c>
    </row>
    <row r="15" spans="2:31" x14ac:dyDescent="0.25">
      <c r="M15" s="31">
        <f>Values!B15</f>
        <v>11</v>
      </c>
      <c r="N15" s="23" t="str">
        <f>Values!C15</f>
        <v>A</v>
      </c>
      <c r="O15" s="23">
        <f>Values!G15</f>
        <v>1</v>
      </c>
      <c r="P15" s="24">
        <f t="shared" si="8"/>
        <v>3</v>
      </c>
      <c r="R15" s="31">
        <f t="shared" si="9"/>
        <v>2.5000000000000001E-3</v>
      </c>
      <c r="S15" s="28">
        <f t="shared" si="0"/>
        <v>3.8300000000000001E-2</v>
      </c>
      <c r="T15" s="28">
        <f t="shared" si="1"/>
        <v>0.91149999999999998</v>
      </c>
      <c r="U15" s="28">
        <f t="shared" si="2"/>
        <v>3.73E-2</v>
      </c>
      <c r="V15" s="28">
        <f t="shared" si="3"/>
        <v>7.7000000000000002E-3</v>
      </c>
      <c r="W15" s="28">
        <f t="shared" si="4"/>
        <v>1.4E-3</v>
      </c>
      <c r="X15" s="28">
        <f t="shared" si="5"/>
        <v>6.9999999999999999E-4</v>
      </c>
      <c r="Y15" s="32">
        <f t="shared" si="6"/>
        <v>5.9999999999999995E-4</v>
      </c>
      <c r="AA15" s="66">
        <f>Values!AC15</f>
        <v>0.1709</v>
      </c>
      <c r="AB15" s="66">
        <f>SUMPRODUCT(R15:X15,Values!R15:X15)+Y15*AA15</f>
        <v>1.0790104843813741</v>
      </c>
      <c r="AC15" s="62">
        <f t="shared" si="10"/>
        <v>1.0790104843813741</v>
      </c>
      <c r="AD15" s="54">
        <f t="shared" si="11"/>
        <v>0.99950253999999994</v>
      </c>
      <c r="AE15" s="62">
        <f t="shared" si="12"/>
        <v>0.99950253999999994</v>
      </c>
    </row>
    <row r="16" spans="2:31" x14ac:dyDescent="0.25">
      <c r="M16" s="31">
        <f>Values!B16</f>
        <v>12</v>
      </c>
      <c r="N16" s="23" t="str">
        <f>Values!C16</f>
        <v>A</v>
      </c>
      <c r="O16" s="23">
        <f>Values!G16</f>
        <v>2</v>
      </c>
      <c r="P16" s="24">
        <f t="shared" si="8"/>
        <v>3</v>
      </c>
      <c r="R16" s="31">
        <f t="shared" si="9"/>
        <v>2.5000000000000001E-3</v>
      </c>
      <c r="S16" s="28">
        <f t="shared" si="0"/>
        <v>3.8300000000000001E-2</v>
      </c>
      <c r="T16" s="28">
        <f t="shared" si="1"/>
        <v>0.91149999999999998</v>
      </c>
      <c r="U16" s="28">
        <f t="shared" si="2"/>
        <v>3.73E-2</v>
      </c>
      <c r="V16" s="28">
        <f t="shared" si="3"/>
        <v>7.7000000000000002E-3</v>
      </c>
      <c r="W16" s="28">
        <f t="shared" si="4"/>
        <v>1.4E-3</v>
      </c>
      <c r="X16" s="28">
        <f t="shared" si="5"/>
        <v>6.9999999999999999E-4</v>
      </c>
      <c r="Y16" s="32">
        <f t="shared" si="6"/>
        <v>5.9999999999999995E-4</v>
      </c>
      <c r="AA16" s="66">
        <f>Values!AC16</f>
        <v>0.32740000000000002</v>
      </c>
      <c r="AB16" s="66">
        <f>SUMPRODUCT(R16:X16,Values!R16:X16)+Y16*AA16</f>
        <v>1.0858574961835399</v>
      </c>
      <c r="AC16" s="62">
        <f t="shared" si="10"/>
        <v>2.1717149923670798</v>
      </c>
      <c r="AD16" s="54">
        <f t="shared" si="11"/>
        <v>0.99959643999999992</v>
      </c>
      <c r="AE16" s="62">
        <f t="shared" si="12"/>
        <v>1.9991928799999998</v>
      </c>
    </row>
    <row r="17" spans="13:31" x14ac:dyDescent="0.25">
      <c r="M17" s="31">
        <f>Values!B17</f>
        <v>13</v>
      </c>
      <c r="N17" s="23" t="str">
        <f>Values!C17</f>
        <v>B</v>
      </c>
      <c r="O17" s="23">
        <f>Values!G17</f>
        <v>0.6</v>
      </c>
      <c r="P17" s="24">
        <f t="shared" si="8"/>
        <v>6</v>
      </c>
      <c r="R17" s="31">
        <f t="shared" si="9"/>
        <v>1.4E-3</v>
      </c>
      <c r="S17" s="28">
        <f t="shared" si="0"/>
        <v>6.1999999999999998E-3</v>
      </c>
      <c r="T17" s="28">
        <f t="shared" si="1"/>
        <v>0.19209999999999999</v>
      </c>
      <c r="U17" s="28">
        <f t="shared" si="2"/>
        <v>2.4400000000000002E-2</v>
      </c>
      <c r="V17" s="28">
        <f t="shared" si="3"/>
        <v>5.4999999999999997E-3</v>
      </c>
      <c r="W17" s="28">
        <f t="shared" si="4"/>
        <v>0.54859999999999998</v>
      </c>
      <c r="X17" s="28">
        <f t="shared" si="5"/>
        <v>0.1724</v>
      </c>
      <c r="Y17" s="32">
        <f t="shared" si="6"/>
        <v>4.9399999999999999E-2</v>
      </c>
      <c r="AA17" s="66">
        <f>Values!AC17</f>
        <v>0.1709</v>
      </c>
      <c r="AB17" s="66">
        <f>SUMPRODUCT(R17:X17,Values!R17:X17)+Y17*AA17</f>
        <v>1.1102741670107579</v>
      </c>
      <c r="AC17" s="62">
        <f t="shared" si="10"/>
        <v>0.66616450020645468</v>
      </c>
      <c r="AD17" s="54">
        <f t="shared" si="11"/>
        <v>0.95904246000000004</v>
      </c>
      <c r="AE17" s="62">
        <f t="shared" si="12"/>
        <v>0.57542547600000005</v>
      </c>
    </row>
    <row r="18" spans="13:31" x14ac:dyDescent="0.25">
      <c r="M18" s="31">
        <f>Values!B18</f>
        <v>14</v>
      </c>
      <c r="N18" s="23" t="str">
        <f>Values!C18</f>
        <v>B</v>
      </c>
      <c r="O18" s="23">
        <f>Values!G18</f>
        <v>1</v>
      </c>
      <c r="P18" s="24">
        <f t="shared" si="8"/>
        <v>6</v>
      </c>
      <c r="R18" s="31">
        <f t="shared" si="9"/>
        <v>1.4E-3</v>
      </c>
      <c r="S18" s="28">
        <f t="shared" si="0"/>
        <v>6.1999999999999998E-3</v>
      </c>
      <c r="T18" s="28">
        <f t="shared" si="1"/>
        <v>0.19209999999999999</v>
      </c>
      <c r="U18" s="28">
        <f t="shared" si="2"/>
        <v>2.4400000000000002E-2</v>
      </c>
      <c r="V18" s="28">
        <f t="shared" si="3"/>
        <v>5.4999999999999997E-3</v>
      </c>
      <c r="W18" s="28">
        <f t="shared" si="4"/>
        <v>0.54859999999999998</v>
      </c>
      <c r="X18" s="28">
        <f t="shared" si="5"/>
        <v>0.1724</v>
      </c>
      <c r="Y18" s="32">
        <f t="shared" si="6"/>
        <v>4.9399999999999999E-2</v>
      </c>
      <c r="AA18" s="66">
        <f>Values!AC18</f>
        <v>0.1709</v>
      </c>
      <c r="AB18" s="66">
        <f>SUMPRODUCT(R18:X18,Values!R18:X18)+Y18*AA18</f>
        <v>1.0952085777859681</v>
      </c>
      <c r="AC18" s="62">
        <f t="shared" si="10"/>
        <v>1.0952085777859681</v>
      </c>
      <c r="AD18" s="54">
        <f t="shared" si="11"/>
        <v>0.95904246000000004</v>
      </c>
      <c r="AE18" s="62">
        <f t="shared" si="12"/>
        <v>0.95904246000000004</v>
      </c>
    </row>
    <row r="19" spans="13:31" x14ac:dyDescent="0.25">
      <c r="M19" s="31">
        <f>Values!B19</f>
        <v>15</v>
      </c>
      <c r="N19" s="23" t="str">
        <f>Values!C19</f>
        <v>B</v>
      </c>
      <c r="O19" s="23">
        <f>Values!G19</f>
        <v>3</v>
      </c>
      <c r="P19" s="24">
        <f t="shared" si="8"/>
        <v>6</v>
      </c>
      <c r="R19" s="31">
        <f t="shared" si="9"/>
        <v>1.4E-3</v>
      </c>
      <c r="S19" s="28">
        <f t="shared" si="0"/>
        <v>6.1999999999999998E-3</v>
      </c>
      <c r="T19" s="28">
        <f t="shared" si="1"/>
        <v>0.19209999999999999</v>
      </c>
      <c r="U19" s="28">
        <f t="shared" si="2"/>
        <v>2.4400000000000002E-2</v>
      </c>
      <c r="V19" s="28">
        <f t="shared" si="3"/>
        <v>5.4999999999999997E-3</v>
      </c>
      <c r="W19" s="28">
        <f t="shared" si="4"/>
        <v>0.54859999999999998</v>
      </c>
      <c r="X19" s="28">
        <f t="shared" si="5"/>
        <v>0.1724</v>
      </c>
      <c r="Y19" s="32">
        <f t="shared" si="6"/>
        <v>4.9399999999999999E-2</v>
      </c>
      <c r="AA19" s="66">
        <f>Values!AC19</f>
        <v>0.32740000000000002</v>
      </c>
      <c r="AB19" s="66">
        <f>SUMPRODUCT(R19:X19,Values!R19:X19)+Y19*AA19</f>
        <v>1.0952161127578059</v>
      </c>
      <c r="AC19" s="62">
        <f t="shared" si="10"/>
        <v>3.2856483382734178</v>
      </c>
      <c r="AD19" s="54">
        <f t="shared" si="11"/>
        <v>0.96677356000000003</v>
      </c>
      <c r="AE19" s="62">
        <f t="shared" si="12"/>
        <v>2.9003206800000001</v>
      </c>
    </row>
    <row r="20" spans="13:31" x14ac:dyDescent="0.25">
      <c r="M20" s="31">
        <f>Values!B20</f>
        <v>16</v>
      </c>
      <c r="N20" s="23" t="str">
        <f>Values!C20</f>
        <v>B</v>
      </c>
      <c r="O20" s="23">
        <f>Values!G20</f>
        <v>2</v>
      </c>
      <c r="P20" s="24">
        <f t="shared" si="8"/>
        <v>6</v>
      </c>
      <c r="R20" s="31">
        <f t="shared" si="9"/>
        <v>1.4E-3</v>
      </c>
      <c r="S20" s="28">
        <f t="shared" si="0"/>
        <v>6.1999999999999998E-3</v>
      </c>
      <c r="T20" s="28">
        <f t="shared" si="1"/>
        <v>0.19209999999999999</v>
      </c>
      <c r="U20" s="28">
        <f t="shared" si="2"/>
        <v>2.4400000000000002E-2</v>
      </c>
      <c r="V20" s="28">
        <f t="shared" si="3"/>
        <v>5.4999999999999997E-3</v>
      </c>
      <c r="W20" s="28">
        <f t="shared" si="4"/>
        <v>0.54859999999999998</v>
      </c>
      <c r="X20" s="28">
        <f t="shared" si="5"/>
        <v>0.1724</v>
      </c>
      <c r="Y20" s="32">
        <f t="shared" si="6"/>
        <v>4.9399999999999999E-2</v>
      </c>
      <c r="AA20" s="66">
        <f>Values!AC20</f>
        <v>0.32740000000000002</v>
      </c>
      <c r="AB20" s="66">
        <f>SUMPRODUCT(R20:X20,Values!R20:X20)+Y20*AA20</f>
        <v>1.1255238007497992</v>
      </c>
      <c r="AC20" s="62">
        <f t="shared" si="10"/>
        <v>2.2510476014995984</v>
      </c>
      <c r="AD20" s="54">
        <f t="shared" si="11"/>
        <v>0.96677356000000003</v>
      </c>
      <c r="AE20" s="62">
        <f t="shared" si="12"/>
        <v>1.9335471200000001</v>
      </c>
    </row>
    <row r="21" spans="13:31" x14ac:dyDescent="0.25">
      <c r="M21" s="31">
        <f>Values!B21</f>
        <v>17</v>
      </c>
      <c r="N21" s="23" t="str">
        <f>Values!C21</f>
        <v>BBB</v>
      </c>
      <c r="O21" s="23">
        <f>Values!G21</f>
        <v>1</v>
      </c>
      <c r="P21" s="24">
        <f t="shared" si="8"/>
        <v>4</v>
      </c>
      <c r="R21" s="31">
        <f t="shared" si="9"/>
        <v>2.07E-2</v>
      </c>
      <c r="S21" s="28">
        <f t="shared" si="0"/>
        <v>2.2599999999999999E-2</v>
      </c>
      <c r="T21" s="28">
        <f t="shared" si="1"/>
        <v>0.1003</v>
      </c>
      <c r="U21" s="28">
        <f t="shared" si="2"/>
        <v>0.80279999999999996</v>
      </c>
      <c r="V21" s="28">
        <f t="shared" si="3"/>
        <v>4.53E-2</v>
      </c>
      <c r="W21" s="28">
        <f t="shared" si="4"/>
        <v>5.0000000000000001E-3</v>
      </c>
      <c r="X21" s="28">
        <f t="shared" si="5"/>
        <v>1.5E-3</v>
      </c>
      <c r="Y21" s="32">
        <f t="shared" si="6"/>
        <v>1.8E-3</v>
      </c>
      <c r="AA21" s="66">
        <f>Values!AC21</f>
        <v>0.1709</v>
      </c>
      <c r="AB21" s="66">
        <f>SUMPRODUCT(R21:X21,Values!R21:X21)+Y21*AA21</f>
        <v>1.1048359634856981</v>
      </c>
      <c r="AC21" s="62">
        <f t="shared" si="10"/>
        <v>1.1048359634856981</v>
      </c>
      <c r="AD21" s="54">
        <f t="shared" si="11"/>
        <v>0.99850761999999993</v>
      </c>
      <c r="AE21" s="62">
        <f t="shared" si="12"/>
        <v>0.99850761999999993</v>
      </c>
    </row>
    <row r="22" spans="13:31" x14ac:dyDescent="0.25">
      <c r="M22" s="31">
        <f>Values!B22</f>
        <v>18</v>
      </c>
      <c r="N22" s="23" t="str">
        <f>Values!C22</f>
        <v>BBB</v>
      </c>
      <c r="O22" s="23">
        <f>Values!G22</f>
        <v>8</v>
      </c>
      <c r="P22" s="24">
        <f t="shared" si="8"/>
        <v>4</v>
      </c>
      <c r="R22" s="31">
        <f t="shared" si="9"/>
        <v>2.07E-2</v>
      </c>
      <c r="S22" s="28">
        <f t="shared" si="0"/>
        <v>2.2599999999999999E-2</v>
      </c>
      <c r="T22" s="28">
        <f t="shared" si="1"/>
        <v>0.1003</v>
      </c>
      <c r="U22" s="28">
        <f t="shared" si="2"/>
        <v>0.80279999999999996</v>
      </c>
      <c r="V22" s="28">
        <f t="shared" si="3"/>
        <v>4.53E-2</v>
      </c>
      <c r="W22" s="28">
        <f t="shared" si="4"/>
        <v>5.0000000000000001E-3</v>
      </c>
      <c r="X22" s="28">
        <f t="shared" si="5"/>
        <v>1.5E-3</v>
      </c>
      <c r="Y22" s="32">
        <f t="shared" si="6"/>
        <v>1.8E-3</v>
      </c>
      <c r="AA22" s="66">
        <f>Values!AC22</f>
        <v>0.53800000000000003</v>
      </c>
      <c r="AB22" s="66">
        <f>SUMPRODUCT(R22:X22,Values!R22:X22)+Y22*AA22</f>
        <v>1.0945834748019565</v>
      </c>
      <c r="AC22" s="62">
        <f t="shared" si="10"/>
        <v>8.756667798415652</v>
      </c>
      <c r="AD22" s="54">
        <f t="shared" si="11"/>
        <v>0.99916839999999996</v>
      </c>
      <c r="AE22" s="62">
        <f t="shared" si="12"/>
        <v>7.9933471999999997</v>
      </c>
    </row>
    <row r="23" spans="13:31" x14ac:dyDescent="0.25">
      <c r="M23" s="31">
        <f>Values!B23</f>
        <v>19</v>
      </c>
      <c r="N23" s="23" t="str">
        <f>Values!C23</f>
        <v>BBB</v>
      </c>
      <c r="O23" s="23">
        <f>Values!G23</f>
        <v>1</v>
      </c>
      <c r="P23" s="24">
        <f t="shared" si="8"/>
        <v>4</v>
      </c>
      <c r="R23" s="31">
        <f t="shared" si="9"/>
        <v>2.07E-2</v>
      </c>
      <c r="S23" s="28">
        <f t="shared" si="0"/>
        <v>2.2599999999999999E-2</v>
      </c>
      <c r="T23" s="28">
        <f t="shared" si="1"/>
        <v>0.1003</v>
      </c>
      <c r="U23" s="28">
        <f t="shared" si="2"/>
        <v>0.80279999999999996</v>
      </c>
      <c r="V23" s="28">
        <f t="shared" si="3"/>
        <v>4.53E-2</v>
      </c>
      <c r="W23" s="28">
        <f t="shared" si="4"/>
        <v>5.0000000000000001E-3</v>
      </c>
      <c r="X23" s="28">
        <f t="shared" si="5"/>
        <v>1.5E-3</v>
      </c>
      <c r="Y23" s="32">
        <f t="shared" si="6"/>
        <v>1.8E-3</v>
      </c>
      <c r="AA23" s="66">
        <f>Values!AC23</f>
        <v>0.1709</v>
      </c>
      <c r="AB23" s="66">
        <f>SUMPRODUCT(R23:X23,Values!R23:X23)+Y23*AA23</f>
        <v>1.0792356231797715</v>
      </c>
      <c r="AC23" s="62">
        <f t="shared" si="10"/>
        <v>1.0792356231797715</v>
      </c>
      <c r="AD23" s="54">
        <f t="shared" si="11"/>
        <v>0.99850761999999993</v>
      </c>
      <c r="AE23" s="62">
        <f t="shared" si="12"/>
        <v>0.99850761999999993</v>
      </c>
    </row>
    <row r="24" spans="13:31" x14ac:dyDescent="0.25">
      <c r="M24" s="33">
        <f>Values!B24</f>
        <v>20</v>
      </c>
      <c r="N24" s="18" t="str">
        <f>Values!C24</f>
        <v>AA</v>
      </c>
      <c r="O24" s="18">
        <f>Values!G24</f>
        <v>5</v>
      </c>
      <c r="P24" s="19">
        <f t="shared" si="8"/>
        <v>2</v>
      </c>
      <c r="R24" s="33">
        <f t="shared" si="9"/>
        <v>7.1000000000000004E-3</v>
      </c>
      <c r="S24" s="34">
        <f t="shared" si="0"/>
        <v>0.89459999999999995</v>
      </c>
      <c r="T24" s="34">
        <f t="shared" si="1"/>
        <v>7.4700000000000003E-2</v>
      </c>
      <c r="U24" s="34">
        <f t="shared" si="2"/>
        <v>1.3899999999999999E-2</v>
      </c>
      <c r="V24" s="34">
        <f t="shared" si="3"/>
        <v>7.1999999999999998E-3</v>
      </c>
      <c r="W24" s="34">
        <f t="shared" si="4"/>
        <v>1.8E-3</v>
      </c>
      <c r="X24" s="34">
        <f t="shared" si="5"/>
        <v>5.0000000000000001E-4</v>
      </c>
      <c r="Y24" s="35">
        <f t="shared" si="6"/>
        <v>2.0000000000000001E-4</v>
      </c>
      <c r="AA24" s="67">
        <f>Values!AC24</f>
        <v>0.32740000000000002</v>
      </c>
      <c r="AB24" s="67">
        <f>SUMPRODUCT(R24:X24,Values!R24:X24)+Y24*AA24</f>
        <v>1.0814376159447256</v>
      </c>
      <c r="AC24" s="65">
        <f t="shared" si="10"/>
        <v>5.4071880797236282</v>
      </c>
      <c r="AD24" s="58">
        <f t="shared" si="11"/>
        <v>0.99986547999999997</v>
      </c>
      <c r="AE24" s="65">
        <f t="shared" si="12"/>
        <v>4.9993274000000003</v>
      </c>
    </row>
    <row r="26" spans="13:31" x14ac:dyDescent="0.25">
      <c r="AD26" s="143" t="s">
        <v>102</v>
      </c>
    </row>
    <row r="27" spans="13:31" x14ac:dyDescent="0.25">
      <c r="AC27" s="41">
        <f>SUM(AC5:AC24)</f>
        <v>60.683235548709405</v>
      </c>
      <c r="AE27" s="41">
        <f>SUM(AE5:AE24)</f>
        <v>55.106175715999996</v>
      </c>
    </row>
  </sheetData>
  <pageMargins left="0.75" right="0.75" top="1" bottom="1" header="0.5" footer="0.5"/>
  <pageSetup scale="65" orientation="landscape" horizontalDpi="300" verticalDpi="300" r:id="rId1"/>
  <headerFooter alignWithMargins="0">
    <oddFooter>&amp;C&amp;A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3:V72"/>
  <sheetViews>
    <sheetView workbookViewId="0"/>
  </sheetViews>
  <sheetFormatPr defaultColWidth="4.7265625" defaultRowHeight="12.5" x14ac:dyDescent="0.25"/>
  <cols>
    <col min="1" max="1" width="1.7265625" style="2" customWidth="1"/>
    <col min="2" max="16384" width="4.7265625" style="2"/>
  </cols>
  <sheetData>
    <row r="3" spans="2:22" x14ac:dyDescent="0.25">
      <c r="B3" s="3" t="s">
        <v>20</v>
      </c>
      <c r="C3" s="4"/>
      <c r="D3" s="4"/>
      <c r="E3" s="4"/>
      <c r="F3" s="4"/>
      <c r="G3" s="4"/>
      <c r="H3" s="4"/>
      <c r="I3" s="4"/>
      <c r="J3" s="4"/>
      <c r="K3" s="4"/>
      <c r="L3" s="4"/>
      <c r="M3" s="4"/>
      <c r="N3" s="4"/>
      <c r="O3" s="4"/>
      <c r="P3" s="4"/>
      <c r="Q3" s="4"/>
      <c r="R3" s="4"/>
      <c r="S3" s="4"/>
      <c r="T3" s="4"/>
      <c r="U3" s="4"/>
      <c r="V3" s="5"/>
    </row>
    <row r="4" spans="2:22" x14ac:dyDescent="0.25">
      <c r="B4" s="30" t="s">
        <v>23</v>
      </c>
      <c r="C4" s="23">
        <v>1</v>
      </c>
      <c r="D4" s="23">
        <v>2</v>
      </c>
      <c r="E4" s="23">
        <v>3</v>
      </c>
      <c r="F4" s="23">
        <v>4</v>
      </c>
      <c r="G4" s="23">
        <v>5</v>
      </c>
      <c r="H4" s="23">
        <v>6</v>
      </c>
      <c r="I4" s="23">
        <v>7</v>
      </c>
      <c r="J4" s="23">
        <v>8</v>
      </c>
      <c r="K4" s="23">
        <v>9</v>
      </c>
      <c r="L4" s="23">
        <v>10</v>
      </c>
      <c r="M4" s="23">
        <v>11</v>
      </c>
      <c r="N4" s="23">
        <v>12</v>
      </c>
      <c r="O4" s="23">
        <v>13</v>
      </c>
      <c r="P4" s="23">
        <v>14</v>
      </c>
      <c r="Q4" s="23">
        <v>15</v>
      </c>
      <c r="R4" s="23">
        <v>16</v>
      </c>
      <c r="S4" s="23">
        <v>17</v>
      </c>
      <c r="T4" s="23">
        <v>18</v>
      </c>
      <c r="U4" s="23">
        <v>19</v>
      </c>
      <c r="V4" s="24">
        <v>20</v>
      </c>
    </row>
    <row r="5" spans="2:22" x14ac:dyDescent="0.25">
      <c r="B5" s="30">
        <v>1</v>
      </c>
      <c r="C5" s="29">
        <v>1</v>
      </c>
      <c r="D5" s="26">
        <v>0.45</v>
      </c>
      <c r="E5" s="26">
        <v>0.45</v>
      </c>
      <c r="F5" s="27">
        <v>0.45</v>
      </c>
      <c r="G5" s="26">
        <v>0.15</v>
      </c>
      <c r="H5" s="26">
        <v>0.15</v>
      </c>
      <c r="I5" s="26">
        <v>0.15</v>
      </c>
      <c r="J5" s="26">
        <v>0.15</v>
      </c>
      <c r="K5" s="26">
        <v>0.15</v>
      </c>
      <c r="L5" s="26">
        <v>0.15</v>
      </c>
      <c r="M5" s="26">
        <v>0.1</v>
      </c>
      <c r="N5" s="26">
        <v>0.1</v>
      </c>
      <c r="O5" s="26">
        <v>0.1</v>
      </c>
      <c r="P5" s="26">
        <v>0.1</v>
      </c>
      <c r="Q5" s="26">
        <v>0.1</v>
      </c>
      <c r="R5" s="26">
        <v>0.1</v>
      </c>
      <c r="S5" s="26">
        <v>0.1</v>
      </c>
      <c r="T5" s="26">
        <v>0.1</v>
      </c>
      <c r="U5" s="26">
        <v>0.1</v>
      </c>
      <c r="V5" s="27">
        <v>0.1</v>
      </c>
    </row>
    <row r="6" spans="2:22" x14ac:dyDescent="0.25">
      <c r="B6" s="30">
        <v>2</v>
      </c>
      <c r="C6" s="30">
        <v>0.45</v>
      </c>
      <c r="D6" s="23">
        <v>1</v>
      </c>
      <c r="E6" s="23">
        <v>0.45</v>
      </c>
      <c r="F6" s="24">
        <v>0.45</v>
      </c>
      <c r="G6" s="23">
        <v>0.15</v>
      </c>
      <c r="H6" s="23">
        <v>0.15</v>
      </c>
      <c r="I6" s="23">
        <v>0.15</v>
      </c>
      <c r="J6" s="23">
        <v>0.15</v>
      </c>
      <c r="K6" s="23">
        <v>0.15</v>
      </c>
      <c r="L6" s="23">
        <v>0.15</v>
      </c>
      <c r="M6" s="23">
        <v>0.1</v>
      </c>
      <c r="N6" s="23">
        <v>0.1</v>
      </c>
      <c r="O6" s="23">
        <v>0.1</v>
      </c>
      <c r="P6" s="23">
        <v>0.1</v>
      </c>
      <c r="Q6" s="23">
        <v>0.1</v>
      </c>
      <c r="R6" s="23">
        <v>0.1</v>
      </c>
      <c r="S6" s="23">
        <v>0.1</v>
      </c>
      <c r="T6" s="23">
        <v>0.1</v>
      </c>
      <c r="U6" s="23">
        <v>0.1</v>
      </c>
      <c r="V6" s="24">
        <v>0.1</v>
      </c>
    </row>
    <row r="7" spans="2:22" x14ac:dyDescent="0.25">
      <c r="B7" s="30">
        <v>3</v>
      </c>
      <c r="C7" s="30">
        <v>0.45</v>
      </c>
      <c r="D7" s="23">
        <v>0.45</v>
      </c>
      <c r="E7" s="23">
        <v>1</v>
      </c>
      <c r="F7" s="24">
        <v>0.45</v>
      </c>
      <c r="G7" s="23">
        <v>0.15</v>
      </c>
      <c r="H7" s="23">
        <v>0.15</v>
      </c>
      <c r="I7" s="23">
        <v>0.15</v>
      </c>
      <c r="J7" s="23">
        <v>0.15</v>
      </c>
      <c r="K7" s="23">
        <v>0.15</v>
      </c>
      <c r="L7" s="23">
        <v>0.15</v>
      </c>
      <c r="M7" s="23">
        <v>0.1</v>
      </c>
      <c r="N7" s="23">
        <v>0.1</v>
      </c>
      <c r="O7" s="23">
        <v>0.1</v>
      </c>
      <c r="P7" s="23">
        <v>0.1</v>
      </c>
      <c r="Q7" s="23">
        <v>0.1</v>
      </c>
      <c r="R7" s="23">
        <v>0.1</v>
      </c>
      <c r="S7" s="23">
        <v>0.1</v>
      </c>
      <c r="T7" s="23">
        <v>0.1</v>
      </c>
      <c r="U7" s="23">
        <v>0.1</v>
      </c>
      <c r="V7" s="24">
        <v>0.1</v>
      </c>
    </row>
    <row r="8" spans="2:22" x14ac:dyDescent="0.25">
      <c r="B8" s="30">
        <v>4</v>
      </c>
      <c r="C8" s="17">
        <v>0.45</v>
      </c>
      <c r="D8" s="18">
        <v>0.45</v>
      </c>
      <c r="E8" s="18">
        <v>0.45</v>
      </c>
      <c r="F8" s="19">
        <v>1</v>
      </c>
      <c r="G8" s="23">
        <v>0.15</v>
      </c>
      <c r="H8" s="23">
        <v>0.15</v>
      </c>
      <c r="I8" s="23">
        <v>0.15</v>
      </c>
      <c r="J8" s="23">
        <v>0.15</v>
      </c>
      <c r="K8" s="23">
        <v>0.15</v>
      </c>
      <c r="L8" s="23">
        <v>0.15</v>
      </c>
      <c r="M8" s="23">
        <v>0.1</v>
      </c>
      <c r="N8" s="23">
        <v>0.1</v>
      </c>
      <c r="O8" s="23">
        <v>0.1</v>
      </c>
      <c r="P8" s="23">
        <v>0.1</v>
      </c>
      <c r="Q8" s="23">
        <v>0.1</v>
      </c>
      <c r="R8" s="23">
        <v>0.1</v>
      </c>
      <c r="S8" s="23">
        <v>0.1</v>
      </c>
      <c r="T8" s="23">
        <v>0.1</v>
      </c>
      <c r="U8" s="23">
        <v>0.1</v>
      </c>
      <c r="V8" s="24">
        <v>0.1</v>
      </c>
    </row>
    <row r="9" spans="2:22" x14ac:dyDescent="0.25">
      <c r="B9" s="30">
        <v>5</v>
      </c>
      <c r="C9" s="30">
        <v>0.15</v>
      </c>
      <c r="D9" s="23">
        <v>0.15</v>
      </c>
      <c r="E9" s="23">
        <v>0.15</v>
      </c>
      <c r="F9" s="23">
        <v>0.15</v>
      </c>
      <c r="G9" s="29">
        <v>1</v>
      </c>
      <c r="H9" s="26">
        <v>0.35</v>
      </c>
      <c r="I9" s="26">
        <v>0.35</v>
      </c>
      <c r="J9" s="26">
        <v>0.35</v>
      </c>
      <c r="K9" s="26">
        <v>0.35</v>
      </c>
      <c r="L9" s="27">
        <v>0.35</v>
      </c>
      <c r="M9" s="23">
        <v>0.2</v>
      </c>
      <c r="N9" s="23">
        <v>0.2</v>
      </c>
      <c r="O9" s="23">
        <v>0.2</v>
      </c>
      <c r="P9" s="23">
        <v>0.2</v>
      </c>
      <c r="Q9" s="23">
        <v>0.2</v>
      </c>
      <c r="R9" s="23">
        <v>0.15</v>
      </c>
      <c r="S9" s="23">
        <v>0.15</v>
      </c>
      <c r="T9" s="23">
        <v>0.15</v>
      </c>
      <c r="U9" s="23">
        <v>0.1</v>
      </c>
      <c r="V9" s="24">
        <v>0.1</v>
      </c>
    </row>
    <row r="10" spans="2:22" x14ac:dyDescent="0.25">
      <c r="B10" s="30">
        <v>6</v>
      </c>
      <c r="C10" s="30">
        <v>0.15</v>
      </c>
      <c r="D10" s="23">
        <v>0.15</v>
      </c>
      <c r="E10" s="23">
        <v>0.15</v>
      </c>
      <c r="F10" s="23">
        <v>0.15</v>
      </c>
      <c r="G10" s="30">
        <v>0.35</v>
      </c>
      <c r="H10" s="23">
        <v>1</v>
      </c>
      <c r="I10" s="23">
        <v>0.35</v>
      </c>
      <c r="J10" s="23">
        <v>0.35</v>
      </c>
      <c r="K10" s="23">
        <v>0.35</v>
      </c>
      <c r="L10" s="24">
        <v>0.35</v>
      </c>
      <c r="M10" s="23">
        <v>0.2</v>
      </c>
      <c r="N10" s="23">
        <v>0.2</v>
      </c>
      <c r="O10" s="23">
        <v>0.2</v>
      </c>
      <c r="P10" s="23">
        <v>0.2</v>
      </c>
      <c r="Q10" s="23">
        <v>0.2</v>
      </c>
      <c r="R10" s="23">
        <v>0.15</v>
      </c>
      <c r="S10" s="23">
        <v>0.15</v>
      </c>
      <c r="T10" s="23">
        <v>0.15</v>
      </c>
      <c r="U10" s="23">
        <v>0.1</v>
      </c>
      <c r="V10" s="24">
        <v>0.1</v>
      </c>
    </row>
    <row r="11" spans="2:22" x14ac:dyDescent="0.25">
      <c r="B11" s="30">
        <v>7</v>
      </c>
      <c r="C11" s="30">
        <v>0.15</v>
      </c>
      <c r="D11" s="23">
        <v>0.15</v>
      </c>
      <c r="E11" s="23">
        <v>0.15</v>
      </c>
      <c r="F11" s="23">
        <v>0.15</v>
      </c>
      <c r="G11" s="30">
        <v>0.35</v>
      </c>
      <c r="H11" s="23">
        <v>0.35</v>
      </c>
      <c r="I11" s="23">
        <v>1</v>
      </c>
      <c r="J11" s="23">
        <v>0.35</v>
      </c>
      <c r="K11" s="23">
        <v>0.35</v>
      </c>
      <c r="L11" s="24">
        <v>0.35</v>
      </c>
      <c r="M11" s="23">
        <v>0.2</v>
      </c>
      <c r="N11" s="23">
        <v>0.2</v>
      </c>
      <c r="O11" s="23">
        <v>0.2</v>
      </c>
      <c r="P11" s="23">
        <v>0.2</v>
      </c>
      <c r="Q11" s="23">
        <v>0.2</v>
      </c>
      <c r="R11" s="23">
        <v>0.15</v>
      </c>
      <c r="S11" s="23">
        <v>0.15</v>
      </c>
      <c r="T11" s="23">
        <v>0.15</v>
      </c>
      <c r="U11" s="23">
        <v>0.1</v>
      </c>
      <c r="V11" s="24">
        <v>0.1</v>
      </c>
    </row>
    <row r="12" spans="2:22" x14ac:dyDescent="0.25">
      <c r="B12" s="30">
        <v>8</v>
      </c>
      <c r="C12" s="30">
        <v>0.15</v>
      </c>
      <c r="D12" s="23">
        <v>0.15</v>
      </c>
      <c r="E12" s="23">
        <v>0.15</v>
      </c>
      <c r="F12" s="23">
        <v>0.15</v>
      </c>
      <c r="G12" s="30">
        <v>0.35</v>
      </c>
      <c r="H12" s="23">
        <v>0.35</v>
      </c>
      <c r="I12" s="23">
        <v>0.35</v>
      </c>
      <c r="J12" s="23">
        <v>1</v>
      </c>
      <c r="K12" s="23">
        <v>0.35</v>
      </c>
      <c r="L12" s="24">
        <v>0.35</v>
      </c>
      <c r="M12" s="23">
        <v>0.2</v>
      </c>
      <c r="N12" s="23">
        <v>0.2</v>
      </c>
      <c r="O12" s="23">
        <v>0.2</v>
      </c>
      <c r="P12" s="23">
        <v>0.2</v>
      </c>
      <c r="Q12" s="23">
        <v>0.2</v>
      </c>
      <c r="R12" s="23">
        <v>0.15</v>
      </c>
      <c r="S12" s="23">
        <v>0.15</v>
      </c>
      <c r="T12" s="23">
        <v>0.15</v>
      </c>
      <c r="U12" s="23">
        <v>0.1</v>
      </c>
      <c r="V12" s="24">
        <v>0.1</v>
      </c>
    </row>
    <row r="13" spans="2:22" x14ac:dyDescent="0.25">
      <c r="B13" s="30">
        <v>9</v>
      </c>
      <c r="C13" s="30">
        <v>0.15</v>
      </c>
      <c r="D13" s="23">
        <v>0.15</v>
      </c>
      <c r="E13" s="23">
        <v>0.15</v>
      </c>
      <c r="F13" s="23">
        <v>0.15</v>
      </c>
      <c r="G13" s="30">
        <v>0.35</v>
      </c>
      <c r="H13" s="23">
        <v>0.35</v>
      </c>
      <c r="I13" s="23">
        <v>0.35</v>
      </c>
      <c r="J13" s="23">
        <v>0.35</v>
      </c>
      <c r="K13" s="23">
        <v>1</v>
      </c>
      <c r="L13" s="24">
        <v>0.35</v>
      </c>
      <c r="M13" s="23">
        <v>0.2</v>
      </c>
      <c r="N13" s="23">
        <v>0.2</v>
      </c>
      <c r="O13" s="23">
        <v>0.2</v>
      </c>
      <c r="P13" s="23">
        <v>0.2</v>
      </c>
      <c r="Q13" s="23">
        <v>0.2</v>
      </c>
      <c r="R13" s="23">
        <v>0.15</v>
      </c>
      <c r="S13" s="23">
        <v>0.15</v>
      </c>
      <c r="T13" s="23">
        <v>0.15</v>
      </c>
      <c r="U13" s="23">
        <v>0.1</v>
      </c>
      <c r="V13" s="24">
        <v>0.1</v>
      </c>
    </row>
    <row r="14" spans="2:22" x14ac:dyDescent="0.25">
      <c r="B14" s="30">
        <v>10</v>
      </c>
      <c r="C14" s="30">
        <v>0.15</v>
      </c>
      <c r="D14" s="23">
        <v>0.15</v>
      </c>
      <c r="E14" s="23">
        <v>0.15</v>
      </c>
      <c r="F14" s="23">
        <v>0.15</v>
      </c>
      <c r="G14" s="17">
        <v>0.35</v>
      </c>
      <c r="H14" s="18">
        <v>0.35</v>
      </c>
      <c r="I14" s="18">
        <v>0.35</v>
      </c>
      <c r="J14" s="18">
        <v>0.35</v>
      </c>
      <c r="K14" s="18">
        <v>0.35</v>
      </c>
      <c r="L14" s="19">
        <v>1</v>
      </c>
      <c r="M14" s="23">
        <v>0.2</v>
      </c>
      <c r="N14" s="23">
        <v>0.2</v>
      </c>
      <c r="O14" s="23">
        <v>0.2</v>
      </c>
      <c r="P14" s="23">
        <v>0.2</v>
      </c>
      <c r="Q14" s="23">
        <v>0.2</v>
      </c>
      <c r="R14" s="23">
        <v>0.15</v>
      </c>
      <c r="S14" s="23">
        <v>0.15</v>
      </c>
      <c r="T14" s="23">
        <v>0.15</v>
      </c>
      <c r="U14" s="23">
        <v>0.1</v>
      </c>
      <c r="V14" s="24">
        <v>0.1</v>
      </c>
    </row>
    <row r="15" spans="2:22" x14ac:dyDescent="0.25">
      <c r="B15" s="30">
        <v>11</v>
      </c>
      <c r="C15" s="30">
        <v>0.1</v>
      </c>
      <c r="D15" s="23">
        <v>0.1</v>
      </c>
      <c r="E15" s="23">
        <v>0.1</v>
      </c>
      <c r="F15" s="23">
        <v>0.1</v>
      </c>
      <c r="G15" s="23">
        <v>0.2</v>
      </c>
      <c r="H15" s="23">
        <v>0.2</v>
      </c>
      <c r="I15" s="23">
        <v>0.2</v>
      </c>
      <c r="J15" s="23">
        <v>0.2</v>
      </c>
      <c r="K15" s="23">
        <v>0.2</v>
      </c>
      <c r="L15" s="23">
        <v>0.2</v>
      </c>
      <c r="M15" s="29">
        <v>1</v>
      </c>
      <c r="N15" s="26">
        <v>0.45</v>
      </c>
      <c r="O15" s="26">
        <v>0.45</v>
      </c>
      <c r="P15" s="26">
        <v>0.45</v>
      </c>
      <c r="Q15" s="27">
        <v>0.45</v>
      </c>
      <c r="R15" s="23">
        <v>0.2</v>
      </c>
      <c r="S15" s="23">
        <v>0.2</v>
      </c>
      <c r="T15" s="23">
        <v>0.2</v>
      </c>
      <c r="U15" s="23">
        <v>0.1</v>
      </c>
      <c r="V15" s="24">
        <v>0.1</v>
      </c>
    </row>
    <row r="16" spans="2:22" x14ac:dyDescent="0.25">
      <c r="B16" s="30">
        <v>12</v>
      </c>
      <c r="C16" s="30">
        <v>0.1</v>
      </c>
      <c r="D16" s="23">
        <v>0.1</v>
      </c>
      <c r="E16" s="23">
        <v>0.1</v>
      </c>
      <c r="F16" s="23">
        <v>0.1</v>
      </c>
      <c r="G16" s="23">
        <v>0.2</v>
      </c>
      <c r="H16" s="23">
        <v>0.2</v>
      </c>
      <c r="I16" s="23">
        <v>0.2</v>
      </c>
      <c r="J16" s="23">
        <v>0.2</v>
      </c>
      <c r="K16" s="23">
        <v>0.2</v>
      </c>
      <c r="L16" s="23">
        <v>0.2</v>
      </c>
      <c r="M16" s="30">
        <v>0.45</v>
      </c>
      <c r="N16" s="23">
        <v>1</v>
      </c>
      <c r="O16" s="23">
        <v>0.45</v>
      </c>
      <c r="P16" s="23">
        <v>0.45</v>
      </c>
      <c r="Q16" s="24">
        <v>0.45</v>
      </c>
      <c r="R16" s="23">
        <v>0.2</v>
      </c>
      <c r="S16" s="23">
        <v>0.2</v>
      </c>
      <c r="T16" s="23">
        <v>0.2</v>
      </c>
      <c r="U16" s="23">
        <v>0.1</v>
      </c>
      <c r="V16" s="24">
        <v>0.1</v>
      </c>
    </row>
    <row r="17" spans="2:22" x14ac:dyDescent="0.25">
      <c r="B17" s="30">
        <v>13</v>
      </c>
      <c r="C17" s="30">
        <v>0.1</v>
      </c>
      <c r="D17" s="23">
        <v>0.1</v>
      </c>
      <c r="E17" s="23">
        <v>0.1</v>
      </c>
      <c r="F17" s="23">
        <v>0.1</v>
      </c>
      <c r="G17" s="23">
        <v>0.2</v>
      </c>
      <c r="H17" s="23">
        <v>0.2</v>
      </c>
      <c r="I17" s="23">
        <v>0.2</v>
      </c>
      <c r="J17" s="23">
        <v>0.2</v>
      </c>
      <c r="K17" s="23">
        <v>0.2</v>
      </c>
      <c r="L17" s="23">
        <v>0.2</v>
      </c>
      <c r="M17" s="30">
        <v>0.45</v>
      </c>
      <c r="N17" s="23">
        <v>0.45</v>
      </c>
      <c r="O17" s="23">
        <v>1</v>
      </c>
      <c r="P17" s="23">
        <v>0.45</v>
      </c>
      <c r="Q17" s="24">
        <v>0.45</v>
      </c>
      <c r="R17" s="23">
        <v>0.2</v>
      </c>
      <c r="S17" s="23">
        <v>0.2</v>
      </c>
      <c r="T17" s="23">
        <v>0.2</v>
      </c>
      <c r="U17" s="23">
        <v>0.1</v>
      </c>
      <c r="V17" s="24">
        <v>0.1</v>
      </c>
    </row>
    <row r="18" spans="2:22" x14ac:dyDescent="0.25">
      <c r="B18" s="30">
        <v>14</v>
      </c>
      <c r="C18" s="30">
        <v>0.1</v>
      </c>
      <c r="D18" s="23">
        <v>0.1</v>
      </c>
      <c r="E18" s="23">
        <v>0.1</v>
      </c>
      <c r="F18" s="23">
        <v>0.1</v>
      </c>
      <c r="G18" s="23">
        <v>0.2</v>
      </c>
      <c r="H18" s="23">
        <v>0.2</v>
      </c>
      <c r="I18" s="23">
        <v>0.2</v>
      </c>
      <c r="J18" s="23">
        <v>0.2</v>
      </c>
      <c r="K18" s="23">
        <v>0.2</v>
      </c>
      <c r="L18" s="23">
        <v>0.2</v>
      </c>
      <c r="M18" s="30">
        <v>0.45</v>
      </c>
      <c r="N18" s="23">
        <v>0.45</v>
      </c>
      <c r="O18" s="23">
        <v>0.45</v>
      </c>
      <c r="P18" s="23">
        <v>1</v>
      </c>
      <c r="Q18" s="24">
        <v>0.45</v>
      </c>
      <c r="R18" s="23">
        <v>0.2</v>
      </c>
      <c r="S18" s="23">
        <v>0.2</v>
      </c>
      <c r="T18" s="23">
        <v>0.2</v>
      </c>
      <c r="U18" s="23">
        <v>0.1</v>
      </c>
      <c r="V18" s="24">
        <v>0.1</v>
      </c>
    </row>
    <row r="19" spans="2:22" x14ac:dyDescent="0.25">
      <c r="B19" s="30">
        <v>15</v>
      </c>
      <c r="C19" s="30">
        <v>0.1</v>
      </c>
      <c r="D19" s="23">
        <v>0.1</v>
      </c>
      <c r="E19" s="23">
        <v>0.1</v>
      </c>
      <c r="F19" s="23">
        <v>0.1</v>
      </c>
      <c r="G19" s="23">
        <v>0.2</v>
      </c>
      <c r="H19" s="23">
        <v>0.2</v>
      </c>
      <c r="I19" s="23">
        <v>0.2</v>
      </c>
      <c r="J19" s="23">
        <v>0.2</v>
      </c>
      <c r="K19" s="23">
        <v>0.2</v>
      </c>
      <c r="L19" s="23">
        <v>0.2</v>
      </c>
      <c r="M19" s="17">
        <v>0.45</v>
      </c>
      <c r="N19" s="18">
        <v>0.45</v>
      </c>
      <c r="O19" s="18">
        <v>0.45</v>
      </c>
      <c r="P19" s="18">
        <v>0.45</v>
      </c>
      <c r="Q19" s="19">
        <v>1</v>
      </c>
      <c r="R19" s="23">
        <v>0.2</v>
      </c>
      <c r="S19" s="23">
        <v>0.2</v>
      </c>
      <c r="T19" s="23">
        <v>0.2</v>
      </c>
      <c r="U19" s="23">
        <v>0.1</v>
      </c>
      <c r="V19" s="24">
        <v>0.1</v>
      </c>
    </row>
    <row r="20" spans="2:22" x14ac:dyDescent="0.25">
      <c r="B20" s="30">
        <v>16</v>
      </c>
      <c r="C20" s="30">
        <v>0.1</v>
      </c>
      <c r="D20" s="23">
        <v>0.1</v>
      </c>
      <c r="E20" s="23">
        <v>0.1</v>
      </c>
      <c r="F20" s="23">
        <v>0.1</v>
      </c>
      <c r="G20" s="23">
        <v>0.15</v>
      </c>
      <c r="H20" s="23">
        <v>0.15</v>
      </c>
      <c r="I20" s="23">
        <v>0.15</v>
      </c>
      <c r="J20" s="23">
        <v>0.15</v>
      </c>
      <c r="K20" s="23">
        <v>0.15</v>
      </c>
      <c r="L20" s="23">
        <v>0.15</v>
      </c>
      <c r="M20" s="23">
        <v>0.2</v>
      </c>
      <c r="N20" s="23">
        <v>0.2</v>
      </c>
      <c r="O20" s="23">
        <v>0.2</v>
      </c>
      <c r="P20" s="23">
        <v>0.2</v>
      </c>
      <c r="Q20" s="23">
        <v>0.2</v>
      </c>
      <c r="R20" s="29">
        <v>1</v>
      </c>
      <c r="S20" s="26">
        <v>0.55000000000000004</v>
      </c>
      <c r="T20" s="27">
        <v>0.55000000000000004</v>
      </c>
      <c r="U20" s="23">
        <v>0.25</v>
      </c>
      <c r="V20" s="24">
        <v>0.25</v>
      </c>
    </row>
    <row r="21" spans="2:22" x14ac:dyDescent="0.25">
      <c r="B21" s="30">
        <v>17</v>
      </c>
      <c r="C21" s="30">
        <v>0.1</v>
      </c>
      <c r="D21" s="23">
        <v>0.1</v>
      </c>
      <c r="E21" s="23">
        <v>0.1</v>
      </c>
      <c r="F21" s="23">
        <v>0.1</v>
      </c>
      <c r="G21" s="23">
        <v>0.15</v>
      </c>
      <c r="H21" s="23">
        <v>0.15</v>
      </c>
      <c r="I21" s="23">
        <v>0.15</v>
      </c>
      <c r="J21" s="23">
        <v>0.15</v>
      </c>
      <c r="K21" s="23">
        <v>0.15</v>
      </c>
      <c r="L21" s="23">
        <v>0.15</v>
      </c>
      <c r="M21" s="23">
        <v>0.2</v>
      </c>
      <c r="N21" s="23">
        <v>0.2</v>
      </c>
      <c r="O21" s="23">
        <v>0.2</v>
      </c>
      <c r="P21" s="23">
        <v>0.2</v>
      </c>
      <c r="Q21" s="23">
        <v>0.2</v>
      </c>
      <c r="R21" s="30">
        <v>0.55000000000000004</v>
      </c>
      <c r="S21" s="23">
        <v>1</v>
      </c>
      <c r="T21" s="24">
        <v>0.55000000000000004</v>
      </c>
      <c r="U21" s="23">
        <v>0.25</v>
      </c>
      <c r="V21" s="24">
        <v>0.25</v>
      </c>
    </row>
    <row r="22" spans="2:22" x14ac:dyDescent="0.25">
      <c r="B22" s="30">
        <v>18</v>
      </c>
      <c r="C22" s="30">
        <v>0.1</v>
      </c>
      <c r="D22" s="23">
        <v>0.1</v>
      </c>
      <c r="E22" s="23">
        <v>0.1</v>
      </c>
      <c r="F22" s="23">
        <v>0.1</v>
      </c>
      <c r="G22" s="23">
        <v>0.15</v>
      </c>
      <c r="H22" s="23">
        <v>0.15</v>
      </c>
      <c r="I22" s="23">
        <v>0.15</v>
      </c>
      <c r="J22" s="23">
        <v>0.15</v>
      </c>
      <c r="K22" s="23">
        <v>0.15</v>
      </c>
      <c r="L22" s="23">
        <v>0.15</v>
      </c>
      <c r="M22" s="23">
        <v>0.2</v>
      </c>
      <c r="N22" s="23">
        <v>0.2</v>
      </c>
      <c r="O22" s="23">
        <v>0.2</v>
      </c>
      <c r="P22" s="23">
        <v>0.2</v>
      </c>
      <c r="Q22" s="23">
        <v>0.2</v>
      </c>
      <c r="R22" s="17">
        <v>0.55000000000000004</v>
      </c>
      <c r="S22" s="18">
        <v>0.55000000000000004</v>
      </c>
      <c r="T22" s="19">
        <v>1</v>
      </c>
      <c r="U22" s="23">
        <v>0.25</v>
      </c>
      <c r="V22" s="24">
        <v>0.25</v>
      </c>
    </row>
    <row r="23" spans="2:22" x14ac:dyDescent="0.25">
      <c r="B23" s="30">
        <v>19</v>
      </c>
      <c r="C23" s="30">
        <v>0.1</v>
      </c>
      <c r="D23" s="23">
        <v>0.1</v>
      </c>
      <c r="E23" s="23">
        <v>0.1</v>
      </c>
      <c r="F23" s="23">
        <v>0.1</v>
      </c>
      <c r="G23" s="23">
        <v>0.1</v>
      </c>
      <c r="H23" s="23">
        <v>0.1</v>
      </c>
      <c r="I23" s="23">
        <v>0.1</v>
      </c>
      <c r="J23" s="23">
        <v>0.1</v>
      </c>
      <c r="K23" s="23">
        <v>0.1</v>
      </c>
      <c r="L23" s="23">
        <v>0.1</v>
      </c>
      <c r="M23" s="23">
        <v>0.1</v>
      </c>
      <c r="N23" s="23">
        <v>0.1</v>
      </c>
      <c r="O23" s="23">
        <v>0.1</v>
      </c>
      <c r="P23" s="23">
        <v>0.1</v>
      </c>
      <c r="Q23" s="23">
        <v>0.1</v>
      </c>
      <c r="R23" s="23">
        <v>0.25</v>
      </c>
      <c r="S23" s="23">
        <v>0.25</v>
      </c>
      <c r="T23" s="23">
        <v>0.25</v>
      </c>
      <c r="U23" s="29">
        <v>1</v>
      </c>
      <c r="V23" s="27">
        <v>0.65</v>
      </c>
    </row>
    <row r="24" spans="2:22" x14ac:dyDescent="0.25">
      <c r="B24" s="17">
        <v>20</v>
      </c>
      <c r="C24" s="17">
        <v>0.1</v>
      </c>
      <c r="D24" s="18">
        <v>0.1</v>
      </c>
      <c r="E24" s="18">
        <v>0.1</v>
      </c>
      <c r="F24" s="18">
        <v>0.1</v>
      </c>
      <c r="G24" s="18">
        <v>0.1</v>
      </c>
      <c r="H24" s="18">
        <v>0.1</v>
      </c>
      <c r="I24" s="18">
        <v>0.1</v>
      </c>
      <c r="J24" s="18">
        <v>0.1</v>
      </c>
      <c r="K24" s="18">
        <v>0.1</v>
      </c>
      <c r="L24" s="18">
        <v>0.1</v>
      </c>
      <c r="M24" s="18">
        <v>0.1</v>
      </c>
      <c r="N24" s="18">
        <v>0.1</v>
      </c>
      <c r="O24" s="18">
        <v>0.1</v>
      </c>
      <c r="P24" s="18">
        <v>0.1</v>
      </c>
      <c r="Q24" s="18">
        <v>0.1</v>
      </c>
      <c r="R24" s="18">
        <v>0.25</v>
      </c>
      <c r="S24" s="18">
        <v>0.25</v>
      </c>
      <c r="T24" s="18">
        <v>0.25</v>
      </c>
      <c r="U24" s="17">
        <v>0.65</v>
      </c>
      <c r="V24" s="19">
        <v>1</v>
      </c>
    </row>
    <row r="27" spans="2:22" x14ac:dyDescent="0.25">
      <c r="B27" s="3" t="s">
        <v>22</v>
      </c>
      <c r="C27" s="4"/>
      <c r="D27" s="4"/>
      <c r="E27" s="4"/>
      <c r="F27" s="4"/>
      <c r="G27" s="4"/>
      <c r="H27" s="4"/>
      <c r="I27" s="4"/>
      <c r="J27" s="4"/>
      <c r="K27" s="4"/>
      <c r="L27" s="4"/>
      <c r="M27" s="4"/>
      <c r="N27" s="4"/>
      <c r="O27" s="4"/>
      <c r="P27" s="4"/>
      <c r="Q27" s="4"/>
      <c r="R27" s="4"/>
      <c r="S27" s="4"/>
      <c r="T27" s="4"/>
      <c r="U27" s="4"/>
      <c r="V27" s="5"/>
    </row>
    <row r="28" spans="2:22" x14ac:dyDescent="0.25">
      <c r="B28" s="30" t="s">
        <v>23</v>
      </c>
      <c r="C28" s="23">
        <v>1</v>
      </c>
      <c r="D28" s="23">
        <v>2</v>
      </c>
      <c r="E28" s="23">
        <v>3</v>
      </c>
      <c r="F28" s="23">
        <v>4</v>
      </c>
      <c r="G28" s="23">
        <v>5</v>
      </c>
      <c r="H28" s="23">
        <v>6</v>
      </c>
      <c r="I28" s="23">
        <v>7</v>
      </c>
      <c r="J28" s="23">
        <v>8</v>
      </c>
      <c r="K28" s="23">
        <v>9</v>
      </c>
      <c r="L28" s="23">
        <v>10</v>
      </c>
      <c r="M28" s="23">
        <v>11</v>
      </c>
      <c r="N28" s="23">
        <v>12</v>
      </c>
      <c r="O28" s="23">
        <v>13</v>
      </c>
      <c r="P28" s="23">
        <v>14</v>
      </c>
      <c r="Q28" s="23">
        <v>15</v>
      </c>
      <c r="R28" s="23">
        <v>16</v>
      </c>
      <c r="S28" s="23">
        <v>17</v>
      </c>
      <c r="T28" s="23">
        <v>18</v>
      </c>
      <c r="U28" s="23">
        <v>19</v>
      </c>
      <c r="V28" s="24">
        <v>20</v>
      </c>
    </row>
    <row r="29" spans="2:22" x14ac:dyDescent="0.25">
      <c r="B29" s="30">
        <v>1</v>
      </c>
      <c r="C29" s="81">
        <v>1</v>
      </c>
      <c r="D29" s="82">
        <v>0</v>
      </c>
      <c r="E29" s="82">
        <v>0</v>
      </c>
      <c r="F29" s="82">
        <v>0</v>
      </c>
      <c r="G29" s="82">
        <v>0</v>
      </c>
      <c r="H29" s="82">
        <v>0</v>
      </c>
      <c r="I29" s="82">
        <v>0</v>
      </c>
      <c r="J29" s="82">
        <v>0</v>
      </c>
      <c r="K29" s="82">
        <v>0</v>
      </c>
      <c r="L29" s="82">
        <v>0</v>
      </c>
      <c r="M29" s="82">
        <v>0</v>
      </c>
      <c r="N29" s="82">
        <v>0</v>
      </c>
      <c r="O29" s="82">
        <v>0</v>
      </c>
      <c r="P29" s="82">
        <v>0</v>
      </c>
      <c r="Q29" s="82">
        <v>0</v>
      </c>
      <c r="R29" s="82">
        <v>0</v>
      </c>
      <c r="S29" s="82">
        <v>0</v>
      </c>
      <c r="T29" s="82">
        <v>0</v>
      </c>
      <c r="U29" s="82">
        <v>0</v>
      </c>
      <c r="V29" s="83">
        <v>0</v>
      </c>
    </row>
    <row r="30" spans="2:22" x14ac:dyDescent="0.25">
      <c r="B30" s="30">
        <v>2</v>
      </c>
      <c r="C30" s="84">
        <v>0</v>
      </c>
      <c r="D30" s="85">
        <v>1</v>
      </c>
      <c r="E30" s="85">
        <v>0</v>
      </c>
      <c r="F30" s="85">
        <v>0</v>
      </c>
      <c r="G30" s="85">
        <v>0</v>
      </c>
      <c r="H30" s="85">
        <v>0</v>
      </c>
      <c r="I30" s="85">
        <v>0</v>
      </c>
      <c r="J30" s="85">
        <v>0</v>
      </c>
      <c r="K30" s="85">
        <v>0</v>
      </c>
      <c r="L30" s="85">
        <v>0</v>
      </c>
      <c r="M30" s="85">
        <v>0</v>
      </c>
      <c r="N30" s="85">
        <v>0</v>
      </c>
      <c r="O30" s="85">
        <v>0</v>
      </c>
      <c r="P30" s="85">
        <v>0</v>
      </c>
      <c r="Q30" s="85">
        <v>0</v>
      </c>
      <c r="R30" s="85">
        <v>0</v>
      </c>
      <c r="S30" s="85">
        <v>0</v>
      </c>
      <c r="T30" s="85">
        <v>0</v>
      </c>
      <c r="U30" s="85">
        <v>0</v>
      </c>
      <c r="V30" s="86">
        <v>0</v>
      </c>
    </row>
    <row r="31" spans="2:22" x14ac:dyDescent="0.25">
      <c r="B31" s="30">
        <v>3</v>
      </c>
      <c r="C31" s="84">
        <v>0</v>
      </c>
      <c r="D31" s="85">
        <v>0</v>
      </c>
      <c r="E31" s="85">
        <v>1</v>
      </c>
      <c r="F31" s="85">
        <v>0</v>
      </c>
      <c r="G31" s="85">
        <v>0</v>
      </c>
      <c r="H31" s="85">
        <v>0</v>
      </c>
      <c r="I31" s="85">
        <v>0</v>
      </c>
      <c r="J31" s="85">
        <v>0</v>
      </c>
      <c r="K31" s="85">
        <v>0</v>
      </c>
      <c r="L31" s="85">
        <v>0</v>
      </c>
      <c r="M31" s="85">
        <v>0</v>
      </c>
      <c r="N31" s="85">
        <v>0</v>
      </c>
      <c r="O31" s="85">
        <v>0</v>
      </c>
      <c r="P31" s="85">
        <v>0</v>
      </c>
      <c r="Q31" s="85">
        <v>0</v>
      </c>
      <c r="R31" s="85">
        <v>0</v>
      </c>
      <c r="S31" s="85">
        <v>0</v>
      </c>
      <c r="T31" s="85">
        <v>0</v>
      </c>
      <c r="U31" s="85">
        <v>0</v>
      </c>
      <c r="V31" s="86">
        <v>0</v>
      </c>
    </row>
    <row r="32" spans="2:22" x14ac:dyDescent="0.25">
      <c r="B32" s="30">
        <v>4</v>
      </c>
      <c r="C32" s="84">
        <v>0</v>
      </c>
      <c r="D32" s="85">
        <v>0</v>
      </c>
      <c r="E32" s="85">
        <v>0</v>
      </c>
      <c r="F32" s="85">
        <v>1</v>
      </c>
      <c r="G32" s="85">
        <v>0</v>
      </c>
      <c r="H32" s="85">
        <v>0</v>
      </c>
      <c r="I32" s="85">
        <v>0</v>
      </c>
      <c r="J32" s="85">
        <v>0</v>
      </c>
      <c r="K32" s="85">
        <v>0</v>
      </c>
      <c r="L32" s="85">
        <v>0</v>
      </c>
      <c r="M32" s="85">
        <v>0</v>
      </c>
      <c r="N32" s="85">
        <v>0</v>
      </c>
      <c r="O32" s="85">
        <v>0</v>
      </c>
      <c r="P32" s="85">
        <v>0</v>
      </c>
      <c r="Q32" s="85">
        <v>0</v>
      </c>
      <c r="R32" s="85">
        <v>0</v>
      </c>
      <c r="S32" s="85">
        <v>0</v>
      </c>
      <c r="T32" s="85">
        <v>0</v>
      </c>
      <c r="U32" s="85">
        <v>0</v>
      </c>
      <c r="V32" s="86">
        <v>0</v>
      </c>
    </row>
    <row r="33" spans="2:22" x14ac:dyDescent="0.25">
      <c r="B33" s="30">
        <v>5</v>
      </c>
      <c r="C33" s="84">
        <v>0</v>
      </c>
      <c r="D33" s="85">
        <v>0</v>
      </c>
      <c r="E33" s="85">
        <v>0</v>
      </c>
      <c r="F33" s="85">
        <v>0</v>
      </c>
      <c r="G33" s="85">
        <v>1</v>
      </c>
      <c r="H33" s="85">
        <v>0</v>
      </c>
      <c r="I33" s="85">
        <v>0</v>
      </c>
      <c r="J33" s="85">
        <v>0</v>
      </c>
      <c r="K33" s="85">
        <v>0</v>
      </c>
      <c r="L33" s="85">
        <v>0</v>
      </c>
      <c r="M33" s="85">
        <v>0</v>
      </c>
      <c r="N33" s="85">
        <v>0</v>
      </c>
      <c r="O33" s="85">
        <v>0</v>
      </c>
      <c r="P33" s="85">
        <v>0</v>
      </c>
      <c r="Q33" s="85">
        <v>0</v>
      </c>
      <c r="R33" s="85">
        <v>0</v>
      </c>
      <c r="S33" s="85">
        <v>0</v>
      </c>
      <c r="T33" s="85">
        <v>0</v>
      </c>
      <c r="U33" s="85">
        <v>0</v>
      </c>
      <c r="V33" s="86">
        <v>0</v>
      </c>
    </row>
    <row r="34" spans="2:22" x14ac:dyDescent="0.25">
      <c r="B34" s="30">
        <v>6</v>
      </c>
      <c r="C34" s="84">
        <v>0</v>
      </c>
      <c r="D34" s="85">
        <v>0</v>
      </c>
      <c r="E34" s="85">
        <v>0</v>
      </c>
      <c r="F34" s="85">
        <v>0</v>
      </c>
      <c r="G34" s="85">
        <v>0</v>
      </c>
      <c r="H34" s="85">
        <v>1</v>
      </c>
      <c r="I34" s="85">
        <v>0</v>
      </c>
      <c r="J34" s="85">
        <v>0</v>
      </c>
      <c r="K34" s="85">
        <v>0</v>
      </c>
      <c r="L34" s="85">
        <v>0</v>
      </c>
      <c r="M34" s="85">
        <v>0</v>
      </c>
      <c r="N34" s="85">
        <v>0</v>
      </c>
      <c r="O34" s="85">
        <v>0</v>
      </c>
      <c r="P34" s="85">
        <v>0</v>
      </c>
      <c r="Q34" s="85">
        <v>0</v>
      </c>
      <c r="R34" s="85">
        <v>0</v>
      </c>
      <c r="S34" s="85">
        <v>0</v>
      </c>
      <c r="T34" s="85">
        <v>0</v>
      </c>
      <c r="U34" s="85">
        <v>0</v>
      </c>
      <c r="V34" s="86">
        <v>0</v>
      </c>
    </row>
    <row r="35" spans="2:22" x14ac:dyDescent="0.25">
      <c r="B35" s="30">
        <v>7</v>
      </c>
      <c r="C35" s="84">
        <v>0</v>
      </c>
      <c r="D35" s="85">
        <v>0</v>
      </c>
      <c r="E35" s="85">
        <v>0</v>
      </c>
      <c r="F35" s="85">
        <v>0</v>
      </c>
      <c r="G35" s="85">
        <v>0</v>
      </c>
      <c r="H35" s="85">
        <v>0</v>
      </c>
      <c r="I35" s="85">
        <v>1</v>
      </c>
      <c r="J35" s="85">
        <v>0</v>
      </c>
      <c r="K35" s="85">
        <v>0</v>
      </c>
      <c r="L35" s="85">
        <v>0</v>
      </c>
      <c r="M35" s="85">
        <v>0</v>
      </c>
      <c r="N35" s="85">
        <v>0</v>
      </c>
      <c r="O35" s="85">
        <v>0</v>
      </c>
      <c r="P35" s="85">
        <v>0</v>
      </c>
      <c r="Q35" s="85">
        <v>0</v>
      </c>
      <c r="R35" s="85">
        <v>0</v>
      </c>
      <c r="S35" s="85">
        <v>0</v>
      </c>
      <c r="T35" s="85">
        <v>0</v>
      </c>
      <c r="U35" s="85">
        <v>0</v>
      </c>
      <c r="V35" s="86">
        <v>0</v>
      </c>
    </row>
    <row r="36" spans="2:22" x14ac:dyDescent="0.25">
      <c r="B36" s="30">
        <v>8</v>
      </c>
      <c r="C36" s="84">
        <v>0</v>
      </c>
      <c r="D36" s="85">
        <v>0</v>
      </c>
      <c r="E36" s="85">
        <v>0</v>
      </c>
      <c r="F36" s="85">
        <v>0</v>
      </c>
      <c r="G36" s="85">
        <v>0</v>
      </c>
      <c r="H36" s="85">
        <v>0</v>
      </c>
      <c r="I36" s="85">
        <v>0</v>
      </c>
      <c r="J36" s="85">
        <v>1</v>
      </c>
      <c r="K36" s="85">
        <v>0</v>
      </c>
      <c r="L36" s="85">
        <v>0</v>
      </c>
      <c r="M36" s="85">
        <v>0</v>
      </c>
      <c r="N36" s="85">
        <v>0</v>
      </c>
      <c r="O36" s="85">
        <v>0</v>
      </c>
      <c r="P36" s="85">
        <v>0</v>
      </c>
      <c r="Q36" s="85">
        <v>0</v>
      </c>
      <c r="R36" s="85">
        <v>0</v>
      </c>
      <c r="S36" s="85">
        <v>0</v>
      </c>
      <c r="T36" s="85">
        <v>0</v>
      </c>
      <c r="U36" s="85">
        <v>0</v>
      </c>
      <c r="V36" s="86">
        <v>0</v>
      </c>
    </row>
    <row r="37" spans="2:22" x14ac:dyDescent="0.25">
      <c r="B37" s="30">
        <v>9</v>
      </c>
      <c r="C37" s="84">
        <v>0</v>
      </c>
      <c r="D37" s="85">
        <v>0</v>
      </c>
      <c r="E37" s="85">
        <v>0</v>
      </c>
      <c r="F37" s="85">
        <v>0</v>
      </c>
      <c r="G37" s="85">
        <v>0</v>
      </c>
      <c r="H37" s="85">
        <v>0</v>
      </c>
      <c r="I37" s="85">
        <v>0</v>
      </c>
      <c r="J37" s="85">
        <v>0</v>
      </c>
      <c r="K37" s="85">
        <v>1</v>
      </c>
      <c r="L37" s="85">
        <v>0</v>
      </c>
      <c r="M37" s="85">
        <v>0</v>
      </c>
      <c r="N37" s="85">
        <v>0</v>
      </c>
      <c r="O37" s="85">
        <v>0</v>
      </c>
      <c r="P37" s="85">
        <v>0</v>
      </c>
      <c r="Q37" s="85">
        <v>0</v>
      </c>
      <c r="R37" s="85">
        <v>0</v>
      </c>
      <c r="S37" s="85">
        <v>0</v>
      </c>
      <c r="T37" s="85">
        <v>0</v>
      </c>
      <c r="U37" s="85">
        <v>0</v>
      </c>
      <c r="V37" s="86">
        <v>0</v>
      </c>
    </row>
    <row r="38" spans="2:22" x14ac:dyDescent="0.25">
      <c r="B38" s="30">
        <v>10</v>
      </c>
      <c r="C38" s="84">
        <v>0</v>
      </c>
      <c r="D38" s="85">
        <v>0</v>
      </c>
      <c r="E38" s="85">
        <v>0</v>
      </c>
      <c r="F38" s="85">
        <v>0</v>
      </c>
      <c r="G38" s="85">
        <v>0</v>
      </c>
      <c r="H38" s="85">
        <v>0</v>
      </c>
      <c r="I38" s="85">
        <v>0</v>
      </c>
      <c r="J38" s="85">
        <v>0</v>
      </c>
      <c r="K38" s="85">
        <v>0</v>
      </c>
      <c r="L38" s="85">
        <v>1</v>
      </c>
      <c r="M38" s="85">
        <v>0</v>
      </c>
      <c r="N38" s="85">
        <v>0</v>
      </c>
      <c r="O38" s="85">
        <v>0</v>
      </c>
      <c r="P38" s="85">
        <v>0</v>
      </c>
      <c r="Q38" s="85">
        <v>0</v>
      </c>
      <c r="R38" s="85">
        <v>0</v>
      </c>
      <c r="S38" s="85">
        <v>0</v>
      </c>
      <c r="T38" s="85">
        <v>0</v>
      </c>
      <c r="U38" s="85">
        <v>0</v>
      </c>
      <c r="V38" s="86">
        <v>0</v>
      </c>
    </row>
    <row r="39" spans="2:22" x14ac:dyDescent="0.25">
      <c r="B39" s="30">
        <v>11</v>
      </c>
      <c r="C39" s="84">
        <v>0</v>
      </c>
      <c r="D39" s="85">
        <v>0</v>
      </c>
      <c r="E39" s="85">
        <v>0</v>
      </c>
      <c r="F39" s="85">
        <v>0</v>
      </c>
      <c r="G39" s="85">
        <v>0</v>
      </c>
      <c r="H39" s="85">
        <v>0</v>
      </c>
      <c r="I39" s="85">
        <v>0</v>
      </c>
      <c r="J39" s="85">
        <v>0</v>
      </c>
      <c r="K39" s="85">
        <v>0</v>
      </c>
      <c r="L39" s="85">
        <v>0</v>
      </c>
      <c r="M39" s="85">
        <v>1</v>
      </c>
      <c r="N39" s="85">
        <v>0</v>
      </c>
      <c r="O39" s="85">
        <v>0</v>
      </c>
      <c r="P39" s="85">
        <v>0</v>
      </c>
      <c r="Q39" s="85">
        <v>0</v>
      </c>
      <c r="R39" s="85">
        <v>0</v>
      </c>
      <c r="S39" s="85">
        <v>0</v>
      </c>
      <c r="T39" s="85">
        <v>0</v>
      </c>
      <c r="U39" s="85">
        <v>0</v>
      </c>
      <c r="V39" s="86">
        <v>0</v>
      </c>
    </row>
    <row r="40" spans="2:22" x14ac:dyDescent="0.25">
      <c r="B40" s="30">
        <v>12</v>
      </c>
      <c r="C40" s="84">
        <v>0</v>
      </c>
      <c r="D40" s="85">
        <v>0</v>
      </c>
      <c r="E40" s="85">
        <v>0</v>
      </c>
      <c r="F40" s="85">
        <v>0</v>
      </c>
      <c r="G40" s="85">
        <v>0</v>
      </c>
      <c r="H40" s="85">
        <v>0</v>
      </c>
      <c r="I40" s="85">
        <v>0</v>
      </c>
      <c r="J40" s="85">
        <v>0</v>
      </c>
      <c r="K40" s="85">
        <v>0</v>
      </c>
      <c r="L40" s="85">
        <v>0</v>
      </c>
      <c r="M40" s="85">
        <v>0</v>
      </c>
      <c r="N40" s="85">
        <v>1</v>
      </c>
      <c r="O40" s="85">
        <v>0</v>
      </c>
      <c r="P40" s="85">
        <v>0</v>
      </c>
      <c r="Q40" s="85">
        <v>0</v>
      </c>
      <c r="R40" s="85">
        <v>0</v>
      </c>
      <c r="S40" s="85">
        <v>0</v>
      </c>
      <c r="T40" s="85">
        <v>0</v>
      </c>
      <c r="U40" s="85">
        <v>0</v>
      </c>
      <c r="V40" s="86">
        <v>0</v>
      </c>
    </row>
    <row r="41" spans="2:22" x14ac:dyDescent="0.25">
      <c r="B41" s="30">
        <v>13</v>
      </c>
      <c r="C41" s="84">
        <v>0</v>
      </c>
      <c r="D41" s="85">
        <v>0</v>
      </c>
      <c r="E41" s="85">
        <v>0</v>
      </c>
      <c r="F41" s="85">
        <v>0</v>
      </c>
      <c r="G41" s="85">
        <v>0</v>
      </c>
      <c r="H41" s="85">
        <v>0</v>
      </c>
      <c r="I41" s="85">
        <v>0</v>
      </c>
      <c r="J41" s="85">
        <v>0</v>
      </c>
      <c r="K41" s="85">
        <v>0</v>
      </c>
      <c r="L41" s="85">
        <v>0</v>
      </c>
      <c r="M41" s="85">
        <v>0</v>
      </c>
      <c r="N41" s="85">
        <v>0</v>
      </c>
      <c r="O41" s="85">
        <v>1</v>
      </c>
      <c r="P41" s="85">
        <v>0</v>
      </c>
      <c r="Q41" s="85">
        <v>0</v>
      </c>
      <c r="R41" s="85">
        <v>0</v>
      </c>
      <c r="S41" s="85">
        <v>0</v>
      </c>
      <c r="T41" s="85">
        <v>0</v>
      </c>
      <c r="U41" s="85">
        <v>0</v>
      </c>
      <c r="V41" s="86">
        <v>0</v>
      </c>
    </row>
    <row r="42" spans="2:22" x14ac:dyDescent="0.25">
      <c r="B42" s="30">
        <v>14</v>
      </c>
      <c r="C42" s="84">
        <v>0</v>
      </c>
      <c r="D42" s="85">
        <v>0</v>
      </c>
      <c r="E42" s="85">
        <v>0</v>
      </c>
      <c r="F42" s="85">
        <v>0</v>
      </c>
      <c r="G42" s="85">
        <v>0</v>
      </c>
      <c r="H42" s="85">
        <v>0</v>
      </c>
      <c r="I42" s="85">
        <v>0</v>
      </c>
      <c r="J42" s="85">
        <v>0</v>
      </c>
      <c r="K42" s="85">
        <v>0</v>
      </c>
      <c r="L42" s="85">
        <v>0</v>
      </c>
      <c r="M42" s="85">
        <v>0</v>
      </c>
      <c r="N42" s="85">
        <v>0</v>
      </c>
      <c r="O42" s="85">
        <v>0</v>
      </c>
      <c r="P42" s="85">
        <v>1</v>
      </c>
      <c r="Q42" s="85">
        <v>0</v>
      </c>
      <c r="R42" s="85">
        <v>0</v>
      </c>
      <c r="S42" s="85">
        <v>0</v>
      </c>
      <c r="T42" s="85">
        <v>0</v>
      </c>
      <c r="U42" s="85">
        <v>0</v>
      </c>
      <c r="V42" s="86">
        <v>0</v>
      </c>
    </row>
    <row r="43" spans="2:22" x14ac:dyDescent="0.25">
      <c r="B43" s="30">
        <v>15</v>
      </c>
      <c r="C43" s="84">
        <v>0</v>
      </c>
      <c r="D43" s="85">
        <v>0</v>
      </c>
      <c r="E43" s="85">
        <v>0</v>
      </c>
      <c r="F43" s="85">
        <v>0</v>
      </c>
      <c r="G43" s="85">
        <v>0</v>
      </c>
      <c r="H43" s="85">
        <v>0</v>
      </c>
      <c r="I43" s="85">
        <v>0</v>
      </c>
      <c r="J43" s="85">
        <v>0</v>
      </c>
      <c r="K43" s="85">
        <v>0</v>
      </c>
      <c r="L43" s="85">
        <v>0</v>
      </c>
      <c r="M43" s="85">
        <v>0</v>
      </c>
      <c r="N43" s="85">
        <v>0</v>
      </c>
      <c r="O43" s="85">
        <v>0</v>
      </c>
      <c r="P43" s="85">
        <v>0</v>
      </c>
      <c r="Q43" s="85">
        <v>1</v>
      </c>
      <c r="R43" s="85">
        <v>0</v>
      </c>
      <c r="S43" s="85">
        <v>0</v>
      </c>
      <c r="T43" s="85">
        <v>0</v>
      </c>
      <c r="U43" s="85">
        <v>0</v>
      </c>
      <c r="V43" s="86">
        <v>0</v>
      </c>
    </row>
    <row r="44" spans="2:22" x14ac:dyDescent="0.25">
      <c r="B44" s="30">
        <v>16</v>
      </c>
      <c r="C44" s="84">
        <v>0</v>
      </c>
      <c r="D44" s="85">
        <v>0</v>
      </c>
      <c r="E44" s="85">
        <v>0</v>
      </c>
      <c r="F44" s="85">
        <v>0</v>
      </c>
      <c r="G44" s="85">
        <v>0</v>
      </c>
      <c r="H44" s="85">
        <v>0</v>
      </c>
      <c r="I44" s="85">
        <v>0</v>
      </c>
      <c r="J44" s="85">
        <v>0</v>
      </c>
      <c r="K44" s="85">
        <v>0</v>
      </c>
      <c r="L44" s="85">
        <v>0</v>
      </c>
      <c r="M44" s="85">
        <v>0</v>
      </c>
      <c r="N44" s="85">
        <v>0</v>
      </c>
      <c r="O44" s="85">
        <v>0</v>
      </c>
      <c r="P44" s="85">
        <v>0</v>
      </c>
      <c r="Q44" s="85">
        <v>0</v>
      </c>
      <c r="R44" s="85">
        <v>1</v>
      </c>
      <c r="S44" s="85">
        <v>0</v>
      </c>
      <c r="T44" s="85">
        <v>0</v>
      </c>
      <c r="U44" s="85">
        <v>0</v>
      </c>
      <c r="V44" s="86">
        <v>0</v>
      </c>
    </row>
    <row r="45" spans="2:22" x14ac:dyDescent="0.25">
      <c r="B45" s="30">
        <v>17</v>
      </c>
      <c r="C45" s="84">
        <v>0</v>
      </c>
      <c r="D45" s="85">
        <v>0</v>
      </c>
      <c r="E45" s="85">
        <v>0</v>
      </c>
      <c r="F45" s="85">
        <v>0</v>
      </c>
      <c r="G45" s="85">
        <v>0</v>
      </c>
      <c r="H45" s="85">
        <v>0</v>
      </c>
      <c r="I45" s="85">
        <v>0</v>
      </c>
      <c r="J45" s="85">
        <v>0</v>
      </c>
      <c r="K45" s="85">
        <v>0</v>
      </c>
      <c r="L45" s="85">
        <v>0</v>
      </c>
      <c r="M45" s="85">
        <v>0</v>
      </c>
      <c r="N45" s="85">
        <v>0</v>
      </c>
      <c r="O45" s="85">
        <v>0</v>
      </c>
      <c r="P45" s="85">
        <v>0</v>
      </c>
      <c r="Q45" s="85">
        <v>0</v>
      </c>
      <c r="R45" s="85">
        <v>0</v>
      </c>
      <c r="S45" s="85">
        <v>1</v>
      </c>
      <c r="T45" s="85">
        <v>0</v>
      </c>
      <c r="U45" s="85">
        <v>0</v>
      </c>
      <c r="V45" s="86">
        <v>0</v>
      </c>
    </row>
    <row r="46" spans="2:22" x14ac:dyDescent="0.25">
      <c r="B46" s="30">
        <v>18</v>
      </c>
      <c r="C46" s="84">
        <v>0</v>
      </c>
      <c r="D46" s="85">
        <v>0</v>
      </c>
      <c r="E46" s="85">
        <v>0</v>
      </c>
      <c r="F46" s="85">
        <v>0</v>
      </c>
      <c r="G46" s="85">
        <v>0</v>
      </c>
      <c r="H46" s="85">
        <v>0</v>
      </c>
      <c r="I46" s="85">
        <v>0</v>
      </c>
      <c r="J46" s="85">
        <v>0</v>
      </c>
      <c r="K46" s="85">
        <v>0</v>
      </c>
      <c r="L46" s="85">
        <v>0</v>
      </c>
      <c r="M46" s="85">
        <v>0</v>
      </c>
      <c r="N46" s="85">
        <v>0</v>
      </c>
      <c r="O46" s="85">
        <v>0</v>
      </c>
      <c r="P46" s="85">
        <v>0</v>
      </c>
      <c r="Q46" s="85">
        <v>0</v>
      </c>
      <c r="R46" s="85">
        <v>0</v>
      </c>
      <c r="S46" s="85">
        <v>0</v>
      </c>
      <c r="T46" s="85">
        <v>1</v>
      </c>
      <c r="U46" s="85">
        <v>0</v>
      </c>
      <c r="V46" s="86">
        <v>0</v>
      </c>
    </row>
    <row r="47" spans="2:22" x14ac:dyDescent="0.25">
      <c r="B47" s="30">
        <v>19</v>
      </c>
      <c r="C47" s="84">
        <v>0</v>
      </c>
      <c r="D47" s="85">
        <v>0</v>
      </c>
      <c r="E47" s="85">
        <v>0</v>
      </c>
      <c r="F47" s="85">
        <v>0</v>
      </c>
      <c r="G47" s="85">
        <v>0</v>
      </c>
      <c r="H47" s="85">
        <v>0</v>
      </c>
      <c r="I47" s="85">
        <v>0</v>
      </c>
      <c r="J47" s="85">
        <v>0</v>
      </c>
      <c r="K47" s="85">
        <v>0</v>
      </c>
      <c r="L47" s="85">
        <v>0</v>
      </c>
      <c r="M47" s="85">
        <v>0</v>
      </c>
      <c r="N47" s="85">
        <v>0</v>
      </c>
      <c r="O47" s="85">
        <v>0</v>
      </c>
      <c r="P47" s="85">
        <v>0</v>
      </c>
      <c r="Q47" s="85">
        <v>0</v>
      </c>
      <c r="R47" s="85">
        <v>0</v>
      </c>
      <c r="S47" s="85">
        <v>0</v>
      </c>
      <c r="T47" s="85">
        <v>0</v>
      </c>
      <c r="U47" s="85">
        <v>1</v>
      </c>
      <c r="V47" s="86">
        <v>0</v>
      </c>
    </row>
    <row r="48" spans="2:22" x14ac:dyDescent="0.25">
      <c r="B48" s="17">
        <v>20</v>
      </c>
      <c r="C48" s="87">
        <v>0</v>
      </c>
      <c r="D48" s="88">
        <v>0</v>
      </c>
      <c r="E48" s="88">
        <v>0</v>
      </c>
      <c r="F48" s="88">
        <v>0</v>
      </c>
      <c r="G48" s="88">
        <v>0</v>
      </c>
      <c r="H48" s="88">
        <v>0</v>
      </c>
      <c r="I48" s="88">
        <v>0</v>
      </c>
      <c r="J48" s="88">
        <v>0</v>
      </c>
      <c r="K48" s="88">
        <v>0</v>
      </c>
      <c r="L48" s="88">
        <v>0</v>
      </c>
      <c r="M48" s="88">
        <v>0</v>
      </c>
      <c r="N48" s="88">
        <v>0</v>
      </c>
      <c r="O48" s="88">
        <v>0</v>
      </c>
      <c r="P48" s="88">
        <v>0</v>
      </c>
      <c r="Q48" s="88">
        <v>0</v>
      </c>
      <c r="R48" s="88">
        <v>0</v>
      </c>
      <c r="S48" s="88">
        <v>0</v>
      </c>
      <c r="T48" s="88">
        <v>0</v>
      </c>
      <c r="U48" s="88">
        <v>0</v>
      </c>
      <c r="V48" s="89">
        <v>1</v>
      </c>
    </row>
    <row r="49" spans="2:22" x14ac:dyDescent="0.25">
      <c r="C49"/>
      <c r="D49"/>
      <c r="E49"/>
      <c r="F49"/>
      <c r="G49"/>
      <c r="H49"/>
      <c r="I49"/>
      <c r="J49"/>
      <c r="K49"/>
      <c r="L49"/>
      <c r="M49"/>
      <c r="N49"/>
      <c r="O49"/>
      <c r="P49"/>
      <c r="Q49"/>
      <c r="R49"/>
      <c r="S49"/>
      <c r="T49"/>
      <c r="U49"/>
      <c r="V49"/>
    </row>
    <row r="50" spans="2:22" x14ac:dyDescent="0.25">
      <c r="C50"/>
      <c r="D50"/>
      <c r="E50"/>
      <c r="F50"/>
      <c r="G50"/>
      <c r="H50"/>
      <c r="I50"/>
      <c r="J50"/>
      <c r="K50"/>
      <c r="L50"/>
      <c r="M50"/>
      <c r="N50"/>
      <c r="O50"/>
      <c r="P50"/>
      <c r="Q50"/>
      <c r="R50"/>
      <c r="S50"/>
      <c r="T50"/>
      <c r="U50"/>
      <c r="V50"/>
    </row>
    <row r="51" spans="2:22" x14ac:dyDescent="0.25">
      <c r="B51" s="3" t="s">
        <v>24</v>
      </c>
      <c r="C51" s="4"/>
      <c r="D51" s="4"/>
      <c r="E51" s="4"/>
      <c r="F51" s="4"/>
      <c r="G51" s="4"/>
      <c r="H51" s="4"/>
      <c r="I51" s="4"/>
      <c r="J51" s="4"/>
      <c r="K51" s="4"/>
      <c r="L51" s="4"/>
      <c r="M51" s="4"/>
      <c r="N51" s="4"/>
      <c r="O51" s="4"/>
      <c r="P51" s="4"/>
      <c r="Q51" s="4"/>
      <c r="R51" s="4"/>
      <c r="S51" s="4"/>
      <c r="T51" s="4"/>
      <c r="U51" s="4"/>
      <c r="V51" s="5"/>
    </row>
    <row r="52" spans="2:22" x14ac:dyDescent="0.25">
      <c r="B52" s="30" t="s">
        <v>23</v>
      </c>
      <c r="C52" s="29">
        <v>1</v>
      </c>
      <c r="D52" s="26">
        <v>2</v>
      </c>
      <c r="E52" s="26">
        <v>3</v>
      </c>
      <c r="F52" s="26">
        <v>4</v>
      </c>
      <c r="G52" s="26">
        <v>5</v>
      </c>
      <c r="H52" s="26">
        <v>6</v>
      </c>
      <c r="I52" s="26">
        <v>7</v>
      </c>
      <c r="J52" s="26">
        <v>8</v>
      </c>
      <c r="K52" s="26">
        <v>9</v>
      </c>
      <c r="L52" s="26">
        <v>10</v>
      </c>
      <c r="M52" s="26">
        <v>11</v>
      </c>
      <c r="N52" s="26">
        <v>12</v>
      </c>
      <c r="O52" s="26">
        <v>13</v>
      </c>
      <c r="P52" s="26">
        <v>14</v>
      </c>
      <c r="Q52" s="26">
        <v>15</v>
      </c>
      <c r="R52" s="26">
        <v>16</v>
      </c>
      <c r="S52" s="26">
        <v>17</v>
      </c>
      <c r="T52" s="26">
        <v>18</v>
      </c>
      <c r="U52" s="26">
        <v>19</v>
      </c>
      <c r="V52" s="27">
        <v>20</v>
      </c>
    </row>
    <row r="53" spans="2:22" x14ac:dyDescent="0.25">
      <c r="B53" s="30">
        <v>1</v>
      </c>
      <c r="C53" s="29">
        <f t="array" ref="C53:V72">MMULT(C29:V48,TRANSPOSE(C29:V48))-C5:V24</f>
        <v>0</v>
      </c>
      <c r="D53" s="26">
        <v>-0.45</v>
      </c>
      <c r="E53" s="26">
        <v>-0.45</v>
      </c>
      <c r="F53" s="26">
        <v>-0.45</v>
      </c>
      <c r="G53" s="26">
        <v>-0.15</v>
      </c>
      <c r="H53" s="26">
        <v>-0.15</v>
      </c>
      <c r="I53" s="26">
        <v>-0.15</v>
      </c>
      <c r="J53" s="26">
        <v>-0.15</v>
      </c>
      <c r="K53" s="26">
        <v>-0.15</v>
      </c>
      <c r="L53" s="26">
        <v>-0.15</v>
      </c>
      <c r="M53" s="26">
        <v>-0.1</v>
      </c>
      <c r="N53" s="26">
        <v>-0.1</v>
      </c>
      <c r="O53" s="26">
        <v>-0.1</v>
      </c>
      <c r="P53" s="26">
        <v>-0.1</v>
      </c>
      <c r="Q53" s="26">
        <v>-0.1</v>
      </c>
      <c r="R53" s="26">
        <v>-0.1</v>
      </c>
      <c r="S53" s="26">
        <v>-0.1</v>
      </c>
      <c r="T53" s="26">
        <v>-0.1</v>
      </c>
      <c r="U53" s="26">
        <v>-0.1</v>
      </c>
      <c r="V53" s="27">
        <v>-0.1</v>
      </c>
    </row>
    <row r="54" spans="2:22" x14ac:dyDescent="0.25">
      <c r="B54" s="30">
        <v>2</v>
      </c>
      <c r="C54" s="30">
        <v>-0.45</v>
      </c>
      <c r="D54" s="23">
        <v>0</v>
      </c>
      <c r="E54" s="23">
        <v>-0.45</v>
      </c>
      <c r="F54" s="23">
        <v>-0.45</v>
      </c>
      <c r="G54" s="23">
        <v>-0.15</v>
      </c>
      <c r="H54" s="23">
        <v>-0.15</v>
      </c>
      <c r="I54" s="23">
        <v>-0.15</v>
      </c>
      <c r="J54" s="23">
        <v>-0.15</v>
      </c>
      <c r="K54" s="23">
        <v>-0.15</v>
      </c>
      <c r="L54" s="23">
        <v>-0.15</v>
      </c>
      <c r="M54" s="23">
        <v>-0.1</v>
      </c>
      <c r="N54" s="23">
        <v>-0.1</v>
      </c>
      <c r="O54" s="23">
        <v>-0.1</v>
      </c>
      <c r="P54" s="23">
        <v>-0.1</v>
      </c>
      <c r="Q54" s="23">
        <v>-0.1</v>
      </c>
      <c r="R54" s="23">
        <v>-0.1</v>
      </c>
      <c r="S54" s="23">
        <v>-0.1</v>
      </c>
      <c r="T54" s="23">
        <v>-0.1</v>
      </c>
      <c r="U54" s="23">
        <v>-0.1</v>
      </c>
      <c r="V54" s="24">
        <v>-0.1</v>
      </c>
    </row>
    <row r="55" spans="2:22" x14ac:dyDescent="0.25">
      <c r="B55" s="30">
        <v>3</v>
      </c>
      <c r="C55" s="30">
        <v>-0.45</v>
      </c>
      <c r="D55" s="23">
        <v>-0.45</v>
      </c>
      <c r="E55" s="23">
        <v>0</v>
      </c>
      <c r="F55" s="23">
        <v>-0.45</v>
      </c>
      <c r="G55" s="23">
        <v>-0.15</v>
      </c>
      <c r="H55" s="23">
        <v>-0.15</v>
      </c>
      <c r="I55" s="23">
        <v>-0.15</v>
      </c>
      <c r="J55" s="23">
        <v>-0.15</v>
      </c>
      <c r="K55" s="23">
        <v>-0.15</v>
      </c>
      <c r="L55" s="23">
        <v>-0.15</v>
      </c>
      <c r="M55" s="23">
        <v>-0.1</v>
      </c>
      <c r="N55" s="23">
        <v>-0.1</v>
      </c>
      <c r="O55" s="23">
        <v>-0.1</v>
      </c>
      <c r="P55" s="23">
        <v>-0.1</v>
      </c>
      <c r="Q55" s="23">
        <v>-0.1</v>
      </c>
      <c r="R55" s="23">
        <v>-0.1</v>
      </c>
      <c r="S55" s="23">
        <v>-0.1</v>
      </c>
      <c r="T55" s="23">
        <v>-0.1</v>
      </c>
      <c r="U55" s="23">
        <v>-0.1</v>
      </c>
      <c r="V55" s="24">
        <v>-0.1</v>
      </c>
    </row>
    <row r="56" spans="2:22" x14ac:dyDescent="0.25">
      <c r="B56" s="30">
        <v>4</v>
      </c>
      <c r="C56" s="30">
        <v>-0.45</v>
      </c>
      <c r="D56" s="23">
        <v>-0.45</v>
      </c>
      <c r="E56" s="23">
        <v>-0.45</v>
      </c>
      <c r="F56" s="23">
        <v>0</v>
      </c>
      <c r="G56" s="23">
        <v>-0.15</v>
      </c>
      <c r="H56" s="23">
        <v>-0.15</v>
      </c>
      <c r="I56" s="23">
        <v>-0.15</v>
      </c>
      <c r="J56" s="23">
        <v>-0.15</v>
      </c>
      <c r="K56" s="23">
        <v>-0.15</v>
      </c>
      <c r="L56" s="23">
        <v>-0.15</v>
      </c>
      <c r="M56" s="23">
        <v>-0.1</v>
      </c>
      <c r="N56" s="23">
        <v>-0.1</v>
      </c>
      <c r="O56" s="23">
        <v>-0.1</v>
      </c>
      <c r="P56" s="23">
        <v>-0.1</v>
      </c>
      <c r="Q56" s="23">
        <v>-0.1</v>
      </c>
      <c r="R56" s="23">
        <v>-0.1</v>
      </c>
      <c r="S56" s="23">
        <v>-0.1</v>
      </c>
      <c r="T56" s="23">
        <v>-0.1</v>
      </c>
      <c r="U56" s="23">
        <v>-0.1</v>
      </c>
      <c r="V56" s="24">
        <v>-0.1</v>
      </c>
    </row>
    <row r="57" spans="2:22" x14ac:dyDescent="0.25">
      <c r="B57" s="30">
        <v>5</v>
      </c>
      <c r="C57" s="30">
        <v>-0.15</v>
      </c>
      <c r="D57" s="23">
        <v>-0.15</v>
      </c>
      <c r="E57" s="23">
        <v>-0.15</v>
      </c>
      <c r="F57" s="23">
        <v>-0.15</v>
      </c>
      <c r="G57" s="23">
        <v>0</v>
      </c>
      <c r="H57" s="23">
        <v>-0.35</v>
      </c>
      <c r="I57" s="23">
        <v>-0.35</v>
      </c>
      <c r="J57" s="23">
        <v>-0.35</v>
      </c>
      <c r="K57" s="23">
        <v>-0.35</v>
      </c>
      <c r="L57" s="23">
        <v>-0.35</v>
      </c>
      <c r="M57" s="23">
        <v>-0.2</v>
      </c>
      <c r="N57" s="23">
        <v>-0.2</v>
      </c>
      <c r="O57" s="23">
        <v>-0.2</v>
      </c>
      <c r="P57" s="23">
        <v>-0.2</v>
      </c>
      <c r="Q57" s="23">
        <v>-0.2</v>
      </c>
      <c r="R57" s="23">
        <v>-0.15</v>
      </c>
      <c r="S57" s="23">
        <v>-0.15</v>
      </c>
      <c r="T57" s="23">
        <v>-0.15</v>
      </c>
      <c r="U57" s="23">
        <v>-0.1</v>
      </c>
      <c r="V57" s="24">
        <v>-0.1</v>
      </c>
    </row>
    <row r="58" spans="2:22" x14ac:dyDescent="0.25">
      <c r="B58" s="30">
        <v>6</v>
      </c>
      <c r="C58" s="30">
        <v>-0.15</v>
      </c>
      <c r="D58" s="23">
        <v>-0.15</v>
      </c>
      <c r="E58" s="23">
        <v>-0.15</v>
      </c>
      <c r="F58" s="23">
        <v>-0.15</v>
      </c>
      <c r="G58" s="23">
        <v>-0.35</v>
      </c>
      <c r="H58" s="23">
        <v>0</v>
      </c>
      <c r="I58" s="23">
        <v>-0.35</v>
      </c>
      <c r="J58" s="23">
        <v>-0.35</v>
      </c>
      <c r="K58" s="23">
        <v>-0.35</v>
      </c>
      <c r="L58" s="23">
        <v>-0.35</v>
      </c>
      <c r="M58" s="23">
        <v>-0.2</v>
      </c>
      <c r="N58" s="23">
        <v>-0.2</v>
      </c>
      <c r="O58" s="23">
        <v>-0.2</v>
      </c>
      <c r="P58" s="23">
        <v>-0.2</v>
      </c>
      <c r="Q58" s="23">
        <v>-0.2</v>
      </c>
      <c r="R58" s="23">
        <v>-0.15</v>
      </c>
      <c r="S58" s="23">
        <v>-0.15</v>
      </c>
      <c r="T58" s="23">
        <v>-0.15</v>
      </c>
      <c r="U58" s="23">
        <v>-0.1</v>
      </c>
      <c r="V58" s="24">
        <v>-0.1</v>
      </c>
    </row>
    <row r="59" spans="2:22" x14ac:dyDescent="0.25">
      <c r="B59" s="30">
        <v>7</v>
      </c>
      <c r="C59" s="30">
        <v>-0.15</v>
      </c>
      <c r="D59" s="23">
        <v>-0.15</v>
      </c>
      <c r="E59" s="23">
        <v>-0.15</v>
      </c>
      <c r="F59" s="23">
        <v>-0.15</v>
      </c>
      <c r="G59" s="23">
        <v>-0.35</v>
      </c>
      <c r="H59" s="23">
        <v>-0.35</v>
      </c>
      <c r="I59" s="23">
        <v>0</v>
      </c>
      <c r="J59" s="23">
        <v>-0.35</v>
      </c>
      <c r="K59" s="23">
        <v>-0.35</v>
      </c>
      <c r="L59" s="23">
        <v>-0.35</v>
      </c>
      <c r="M59" s="23">
        <v>-0.2</v>
      </c>
      <c r="N59" s="23">
        <v>-0.2</v>
      </c>
      <c r="O59" s="23">
        <v>-0.2</v>
      </c>
      <c r="P59" s="23">
        <v>-0.2</v>
      </c>
      <c r="Q59" s="23">
        <v>-0.2</v>
      </c>
      <c r="R59" s="23">
        <v>-0.15</v>
      </c>
      <c r="S59" s="23">
        <v>-0.15</v>
      </c>
      <c r="T59" s="23">
        <v>-0.15</v>
      </c>
      <c r="U59" s="23">
        <v>-0.1</v>
      </c>
      <c r="V59" s="24">
        <v>-0.1</v>
      </c>
    </row>
    <row r="60" spans="2:22" x14ac:dyDescent="0.25">
      <c r="B60" s="30">
        <v>8</v>
      </c>
      <c r="C60" s="30">
        <v>-0.15</v>
      </c>
      <c r="D60" s="23">
        <v>-0.15</v>
      </c>
      <c r="E60" s="23">
        <v>-0.15</v>
      </c>
      <c r="F60" s="23">
        <v>-0.15</v>
      </c>
      <c r="G60" s="23">
        <v>-0.35</v>
      </c>
      <c r="H60" s="23">
        <v>-0.35</v>
      </c>
      <c r="I60" s="23">
        <v>-0.35</v>
      </c>
      <c r="J60" s="23">
        <v>0</v>
      </c>
      <c r="K60" s="23">
        <v>-0.35</v>
      </c>
      <c r="L60" s="23">
        <v>-0.35</v>
      </c>
      <c r="M60" s="23">
        <v>-0.2</v>
      </c>
      <c r="N60" s="23">
        <v>-0.2</v>
      </c>
      <c r="O60" s="23">
        <v>-0.2</v>
      </c>
      <c r="P60" s="23">
        <v>-0.2</v>
      </c>
      <c r="Q60" s="23">
        <v>-0.2</v>
      </c>
      <c r="R60" s="23">
        <v>-0.15</v>
      </c>
      <c r="S60" s="23">
        <v>-0.15</v>
      </c>
      <c r="T60" s="23">
        <v>-0.15</v>
      </c>
      <c r="U60" s="23">
        <v>-0.1</v>
      </c>
      <c r="V60" s="24">
        <v>-0.1</v>
      </c>
    </row>
    <row r="61" spans="2:22" x14ac:dyDescent="0.25">
      <c r="B61" s="30">
        <v>9</v>
      </c>
      <c r="C61" s="30">
        <v>-0.15</v>
      </c>
      <c r="D61" s="23">
        <v>-0.15</v>
      </c>
      <c r="E61" s="23">
        <v>-0.15</v>
      </c>
      <c r="F61" s="23">
        <v>-0.15</v>
      </c>
      <c r="G61" s="23">
        <v>-0.35</v>
      </c>
      <c r="H61" s="23">
        <v>-0.35</v>
      </c>
      <c r="I61" s="23">
        <v>-0.35</v>
      </c>
      <c r="J61" s="23">
        <v>-0.35</v>
      </c>
      <c r="K61" s="23">
        <v>0</v>
      </c>
      <c r="L61" s="23">
        <v>-0.35</v>
      </c>
      <c r="M61" s="23">
        <v>-0.2</v>
      </c>
      <c r="N61" s="23">
        <v>-0.2</v>
      </c>
      <c r="O61" s="23">
        <v>-0.2</v>
      </c>
      <c r="P61" s="23">
        <v>-0.2</v>
      </c>
      <c r="Q61" s="23">
        <v>-0.2</v>
      </c>
      <c r="R61" s="23">
        <v>-0.15</v>
      </c>
      <c r="S61" s="23">
        <v>-0.15</v>
      </c>
      <c r="T61" s="23">
        <v>-0.15</v>
      </c>
      <c r="U61" s="23">
        <v>-0.1</v>
      </c>
      <c r="V61" s="24">
        <v>-0.1</v>
      </c>
    </row>
    <row r="62" spans="2:22" x14ac:dyDescent="0.25">
      <c r="B62" s="30">
        <v>10</v>
      </c>
      <c r="C62" s="30">
        <v>-0.15</v>
      </c>
      <c r="D62" s="23">
        <v>-0.15</v>
      </c>
      <c r="E62" s="23">
        <v>-0.15</v>
      </c>
      <c r="F62" s="23">
        <v>-0.15</v>
      </c>
      <c r="G62" s="23">
        <v>-0.35</v>
      </c>
      <c r="H62" s="23">
        <v>-0.35</v>
      </c>
      <c r="I62" s="23">
        <v>-0.35</v>
      </c>
      <c r="J62" s="23">
        <v>-0.35</v>
      </c>
      <c r="K62" s="23">
        <v>-0.35</v>
      </c>
      <c r="L62" s="23">
        <v>0</v>
      </c>
      <c r="M62" s="23">
        <v>-0.2</v>
      </c>
      <c r="N62" s="23">
        <v>-0.2</v>
      </c>
      <c r="O62" s="23">
        <v>-0.2</v>
      </c>
      <c r="P62" s="23">
        <v>-0.2</v>
      </c>
      <c r="Q62" s="23">
        <v>-0.2</v>
      </c>
      <c r="R62" s="23">
        <v>-0.15</v>
      </c>
      <c r="S62" s="23">
        <v>-0.15</v>
      </c>
      <c r="T62" s="23">
        <v>-0.15</v>
      </c>
      <c r="U62" s="23">
        <v>-0.1</v>
      </c>
      <c r="V62" s="24">
        <v>-0.1</v>
      </c>
    </row>
    <row r="63" spans="2:22" x14ac:dyDescent="0.25">
      <c r="B63" s="30">
        <v>11</v>
      </c>
      <c r="C63" s="30">
        <v>-0.1</v>
      </c>
      <c r="D63" s="23">
        <v>-0.1</v>
      </c>
      <c r="E63" s="23">
        <v>-0.1</v>
      </c>
      <c r="F63" s="23">
        <v>-0.1</v>
      </c>
      <c r="G63" s="23">
        <v>-0.2</v>
      </c>
      <c r="H63" s="23">
        <v>-0.2</v>
      </c>
      <c r="I63" s="23">
        <v>-0.2</v>
      </c>
      <c r="J63" s="23">
        <v>-0.2</v>
      </c>
      <c r="K63" s="23">
        <v>-0.2</v>
      </c>
      <c r="L63" s="23">
        <v>-0.2</v>
      </c>
      <c r="M63" s="23">
        <v>0</v>
      </c>
      <c r="N63" s="23">
        <v>-0.45</v>
      </c>
      <c r="O63" s="23">
        <v>-0.45</v>
      </c>
      <c r="P63" s="23">
        <v>-0.45</v>
      </c>
      <c r="Q63" s="23">
        <v>-0.45</v>
      </c>
      <c r="R63" s="23">
        <v>-0.2</v>
      </c>
      <c r="S63" s="23">
        <v>-0.2</v>
      </c>
      <c r="T63" s="23">
        <v>-0.2</v>
      </c>
      <c r="U63" s="23">
        <v>-0.1</v>
      </c>
      <c r="V63" s="24">
        <v>-0.1</v>
      </c>
    </row>
    <row r="64" spans="2:22" x14ac:dyDescent="0.25">
      <c r="B64" s="30">
        <v>12</v>
      </c>
      <c r="C64" s="30">
        <v>-0.1</v>
      </c>
      <c r="D64" s="23">
        <v>-0.1</v>
      </c>
      <c r="E64" s="23">
        <v>-0.1</v>
      </c>
      <c r="F64" s="23">
        <v>-0.1</v>
      </c>
      <c r="G64" s="23">
        <v>-0.2</v>
      </c>
      <c r="H64" s="23">
        <v>-0.2</v>
      </c>
      <c r="I64" s="23">
        <v>-0.2</v>
      </c>
      <c r="J64" s="23">
        <v>-0.2</v>
      </c>
      <c r="K64" s="23">
        <v>-0.2</v>
      </c>
      <c r="L64" s="23">
        <v>-0.2</v>
      </c>
      <c r="M64" s="23">
        <v>-0.45</v>
      </c>
      <c r="N64" s="23">
        <v>0</v>
      </c>
      <c r="O64" s="23">
        <v>-0.45</v>
      </c>
      <c r="P64" s="23">
        <v>-0.45</v>
      </c>
      <c r="Q64" s="23">
        <v>-0.45</v>
      </c>
      <c r="R64" s="23">
        <v>-0.2</v>
      </c>
      <c r="S64" s="23">
        <v>-0.2</v>
      </c>
      <c r="T64" s="23">
        <v>-0.2</v>
      </c>
      <c r="U64" s="23">
        <v>-0.1</v>
      </c>
      <c r="V64" s="24">
        <v>-0.1</v>
      </c>
    </row>
    <row r="65" spans="2:22" x14ac:dyDescent="0.25">
      <c r="B65" s="30">
        <v>13</v>
      </c>
      <c r="C65" s="30">
        <v>-0.1</v>
      </c>
      <c r="D65" s="23">
        <v>-0.1</v>
      </c>
      <c r="E65" s="23">
        <v>-0.1</v>
      </c>
      <c r="F65" s="23">
        <v>-0.1</v>
      </c>
      <c r="G65" s="23">
        <v>-0.2</v>
      </c>
      <c r="H65" s="23">
        <v>-0.2</v>
      </c>
      <c r="I65" s="23">
        <v>-0.2</v>
      </c>
      <c r="J65" s="23">
        <v>-0.2</v>
      </c>
      <c r="K65" s="23">
        <v>-0.2</v>
      </c>
      <c r="L65" s="23">
        <v>-0.2</v>
      </c>
      <c r="M65" s="23">
        <v>-0.45</v>
      </c>
      <c r="N65" s="23">
        <v>-0.45</v>
      </c>
      <c r="O65" s="23">
        <v>0</v>
      </c>
      <c r="P65" s="23">
        <v>-0.45</v>
      </c>
      <c r="Q65" s="23">
        <v>-0.45</v>
      </c>
      <c r="R65" s="23">
        <v>-0.2</v>
      </c>
      <c r="S65" s="23">
        <v>-0.2</v>
      </c>
      <c r="T65" s="23">
        <v>-0.2</v>
      </c>
      <c r="U65" s="23">
        <v>-0.1</v>
      </c>
      <c r="V65" s="24">
        <v>-0.1</v>
      </c>
    </row>
    <row r="66" spans="2:22" x14ac:dyDescent="0.25">
      <c r="B66" s="30">
        <v>14</v>
      </c>
      <c r="C66" s="30">
        <v>-0.1</v>
      </c>
      <c r="D66" s="23">
        <v>-0.1</v>
      </c>
      <c r="E66" s="23">
        <v>-0.1</v>
      </c>
      <c r="F66" s="23">
        <v>-0.1</v>
      </c>
      <c r="G66" s="23">
        <v>-0.2</v>
      </c>
      <c r="H66" s="23">
        <v>-0.2</v>
      </c>
      <c r="I66" s="23">
        <v>-0.2</v>
      </c>
      <c r="J66" s="23">
        <v>-0.2</v>
      </c>
      <c r="K66" s="23">
        <v>-0.2</v>
      </c>
      <c r="L66" s="23">
        <v>-0.2</v>
      </c>
      <c r="M66" s="23">
        <v>-0.45</v>
      </c>
      <c r="N66" s="23">
        <v>-0.45</v>
      </c>
      <c r="O66" s="23">
        <v>-0.45</v>
      </c>
      <c r="P66" s="23">
        <v>0</v>
      </c>
      <c r="Q66" s="23">
        <v>-0.45</v>
      </c>
      <c r="R66" s="23">
        <v>-0.2</v>
      </c>
      <c r="S66" s="23">
        <v>-0.2</v>
      </c>
      <c r="T66" s="23">
        <v>-0.2</v>
      </c>
      <c r="U66" s="23">
        <v>-0.1</v>
      </c>
      <c r="V66" s="24">
        <v>-0.1</v>
      </c>
    </row>
    <row r="67" spans="2:22" x14ac:dyDescent="0.25">
      <c r="B67" s="30">
        <v>15</v>
      </c>
      <c r="C67" s="30">
        <v>-0.1</v>
      </c>
      <c r="D67" s="23">
        <v>-0.1</v>
      </c>
      <c r="E67" s="23">
        <v>-0.1</v>
      </c>
      <c r="F67" s="23">
        <v>-0.1</v>
      </c>
      <c r="G67" s="23">
        <v>-0.2</v>
      </c>
      <c r="H67" s="23">
        <v>-0.2</v>
      </c>
      <c r="I67" s="23">
        <v>-0.2</v>
      </c>
      <c r="J67" s="23">
        <v>-0.2</v>
      </c>
      <c r="K67" s="23">
        <v>-0.2</v>
      </c>
      <c r="L67" s="23">
        <v>-0.2</v>
      </c>
      <c r="M67" s="23">
        <v>-0.45</v>
      </c>
      <c r="N67" s="23">
        <v>-0.45</v>
      </c>
      <c r="O67" s="23">
        <v>-0.45</v>
      </c>
      <c r="P67" s="23">
        <v>-0.45</v>
      </c>
      <c r="Q67" s="23">
        <v>0</v>
      </c>
      <c r="R67" s="23">
        <v>-0.2</v>
      </c>
      <c r="S67" s="23">
        <v>-0.2</v>
      </c>
      <c r="T67" s="23">
        <v>-0.2</v>
      </c>
      <c r="U67" s="23">
        <v>-0.1</v>
      </c>
      <c r="V67" s="24">
        <v>-0.1</v>
      </c>
    </row>
    <row r="68" spans="2:22" x14ac:dyDescent="0.25">
      <c r="B68" s="30">
        <v>16</v>
      </c>
      <c r="C68" s="30">
        <v>-0.1</v>
      </c>
      <c r="D68" s="23">
        <v>-0.1</v>
      </c>
      <c r="E68" s="23">
        <v>-0.1</v>
      </c>
      <c r="F68" s="23">
        <v>-0.1</v>
      </c>
      <c r="G68" s="23">
        <v>-0.15</v>
      </c>
      <c r="H68" s="23">
        <v>-0.15</v>
      </c>
      <c r="I68" s="23">
        <v>-0.15</v>
      </c>
      <c r="J68" s="23">
        <v>-0.15</v>
      </c>
      <c r="K68" s="23">
        <v>-0.15</v>
      </c>
      <c r="L68" s="23">
        <v>-0.15</v>
      </c>
      <c r="M68" s="23">
        <v>-0.2</v>
      </c>
      <c r="N68" s="23">
        <v>-0.2</v>
      </c>
      <c r="O68" s="23">
        <v>-0.2</v>
      </c>
      <c r="P68" s="23">
        <v>-0.2</v>
      </c>
      <c r="Q68" s="23">
        <v>-0.2</v>
      </c>
      <c r="R68" s="23">
        <v>0</v>
      </c>
      <c r="S68" s="23">
        <v>-0.55000000000000004</v>
      </c>
      <c r="T68" s="23">
        <v>-0.55000000000000004</v>
      </c>
      <c r="U68" s="23">
        <v>-0.25</v>
      </c>
      <c r="V68" s="24">
        <v>-0.25</v>
      </c>
    </row>
    <row r="69" spans="2:22" x14ac:dyDescent="0.25">
      <c r="B69" s="30">
        <v>17</v>
      </c>
      <c r="C69" s="30">
        <v>-0.1</v>
      </c>
      <c r="D69" s="23">
        <v>-0.1</v>
      </c>
      <c r="E69" s="23">
        <v>-0.1</v>
      </c>
      <c r="F69" s="23">
        <v>-0.1</v>
      </c>
      <c r="G69" s="23">
        <v>-0.15</v>
      </c>
      <c r="H69" s="23">
        <v>-0.15</v>
      </c>
      <c r="I69" s="23">
        <v>-0.15</v>
      </c>
      <c r="J69" s="23">
        <v>-0.15</v>
      </c>
      <c r="K69" s="23">
        <v>-0.15</v>
      </c>
      <c r="L69" s="23">
        <v>-0.15</v>
      </c>
      <c r="M69" s="23">
        <v>-0.2</v>
      </c>
      <c r="N69" s="23">
        <v>-0.2</v>
      </c>
      <c r="O69" s="23">
        <v>-0.2</v>
      </c>
      <c r="P69" s="23">
        <v>-0.2</v>
      </c>
      <c r="Q69" s="23">
        <v>-0.2</v>
      </c>
      <c r="R69" s="23">
        <v>-0.55000000000000004</v>
      </c>
      <c r="S69" s="23">
        <v>0</v>
      </c>
      <c r="T69" s="23">
        <v>-0.55000000000000004</v>
      </c>
      <c r="U69" s="23">
        <v>-0.25</v>
      </c>
      <c r="V69" s="24">
        <v>-0.25</v>
      </c>
    </row>
    <row r="70" spans="2:22" x14ac:dyDescent="0.25">
      <c r="B70" s="30">
        <v>18</v>
      </c>
      <c r="C70" s="30">
        <v>-0.1</v>
      </c>
      <c r="D70" s="23">
        <v>-0.1</v>
      </c>
      <c r="E70" s="23">
        <v>-0.1</v>
      </c>
      <c r="F70" s="23">
        <v>-0.1</v>
      </c>
      <c r="G70" s="23">
        <v>-0.15</v>
      </c>
      <c r="H70" s="23">
        <v>-0.15</v>
      </c>
      <c r="I70" s="23">
        <v>-0.15</v>
      </c>
      <c r="J70" s="23">
        <v>-0.15</v>
      </c>
      <c r="K70" s="23">
        <v>-0.15</v>
      </c>
      <c r="L70" s="23">
        <v>-0.15</v>
      </c>
      <c r="M70" s="23">
        <v>-0.2</v>
      </c>
      <c r="N70" s="23">
        <v>-0.2</v>
      </c>
      <c r="O70" s="23">
        <v>-0.2</v>
      </c>
      <c r="P70" s="23">
        <v>-0.2</v>
      </c>
      <c r="Q70" s="23">
        <v>-0.2</v>
      </c>
      <c r="R70" s="23">
        <v>-0.55000000000000004</v>
      </c>
      <c r="S70" s="23">
        <v>-0.55000000000000004</v>
      </c>
      <c r="T70" s="23">
        <v>0</v>
      </c>
      <c r="U70" s="23">
        <v>-0.25</v>
      </c>
      <c r="V70" s="24">
        <v>-0.25</v>
      </c>
    </row>
    <row r="71" spans="2:22" x14ac:dyDescent="0.25">
      <c r="B71" s="30">
        <v>19</v>
      </c>
      <c r="C71" s="30">
        <v>-0.1</v>
      </c>
      <c r="D71" s="23">
        <v>-0.1</v>
      </c>
      <c r="E71" s="23">
        <v>-0.1</v>
      </c>
      <c r="F71" s="23">
        <v>-0.1</v>
      </c>
      <c r="G71" s="23">
        <v>-0.1</v>
      </c>
      <c r="H71" s="23">
        <v>-0.1</v>
      </c>
      <c r="I71" s="23">
        <v>-0.1</v>
      </c>
      <c r="J71" s="23">
        <v>-0.1</v>
      </c>
      <c r="K71" s="23">
        <v>-0.1</v>
      </c>
      <c r="L71" s="23">
        <v>-0.1</v>
      </c>
      <c r="M71" s="23">
        <v>-0.1</v>
      </c>
      <c r="N71" s="23">
        <v>-0.1</v>
      </c>
      <c r="O71" s="23">
        <v>-0.1</v>
      </c>
      <c r="P71" s="23">
        <v>-0.1</v>
      </c>
      <c r="Q71" s="23">
        <v>-0.1</v>
      </c>
      <c r="R71" s="23">
        <v>-0.25</v>
      </c>
      <c r="S71" s="23">
        <v>-0.25</v>
      </c>
      <c r="T71" s="23">
        <v>-0.25</v>
      </c>
      <c r="U71" s="23">
        <v>0</v>
      </c>
      <c r="V71" s="24">
        <v>-0.65</v>
      </c>
    </row>
    <row r="72" spans="2:22" x14ac:dyDescent="0.25">
      <c r="B72" s="17">
        <v>20</v>
      </c>
      <c r="C72" s="17">
        <v>-0.1</v>
      </c>
      <c r="D72" s="18">
        <v>-0.1</v>
      </c>
      <c r="E72" s="18">
        <v>-0.1</v>
      </c>
      <c r="F72" s="18">
        <v>-0.1</v>
      </c>
      <c r="G72" s="18">
        <v>-0.1</v>
      </c>
      <c r="H72" s="18">
        <v>-0.1</v>
      </c>
      <c r="I72" s="18">
        <v>-0.1</v>
      </c>
      <c r="J72" s="18">
        <v>-0.1</v>
      </c>
      <c r="K72" s="18">
        <v>-0.1</v>
      </c>
      <c r="L72" s="18">
        <v>-0.1</v>
      </c>
      <c r="M72" s="18">
        <v>-0.1</v>
      </c>
      <c r="N72" s="18">
        <v>-0.1</v>
      </c>
      <c r="O72" s="18">
        <v>-0.1</v>
      </c>
      <c r="P72" s="18">
        <v>-0.1</v>
      </c>
      <c r="Q72" s="18">
        <v>-0.1</v>
      </c>
      <c r="R72" s="18">
        <v>-0.25</v>
      </c>
      <c r="S72" s="18">
        <v>-0.25</v>
      </c>
      <c r="T72" s="18">
        <v>-0.25</v>
      </c>
      <c r="U72" s="18">
        <v>-0.65</v>
      </c>
      <c r="V72" s="19">
        <v>0</v>
      </c>
    </row>
  </sheetData>
  <pageMargins left="0.75" right="0.75" top="1" bottom="1" header="0.5" footer="0.5"/>
  <pageSetup scale="90" orientation="portrait" horizontalDpi="300" verticalDpi="300" r:id="rId1"/>
  <headerFooter alignWithMargins="0">
    <oddFooter>&amp;C&amp;A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2:AU28"/>
  <sheetViews>
    <sheetView workbookViewId="0"/>
  </sheetViews>
  <sheetFormatPr defaultColWidth="6.7265625" defaultRowHeight="12.5" x14ac:dyDescent="0.25"/>
  <cols>
    <col min="1" max="1" width="1.7265625" customWidth="1"/>
    <col min="2" max="5" width="6.7265625" customWidth="1"/>
    <col min="6" max="6" width="1.7265625" customWidth="1"/>
    <col min="7" max="8" width="8.7265625" customWidth="1"/>
    <col min="9" max="9" width="1.7265625" customWidth="1"/>
    <col min="10" max="11" width="6.7265625" customWidth="1"/>
    <col min="12" max="15" width="7.7265625" customWidth="1"/>
    <col min="16" max="16" width="1.7265625" customWidth="1"/>
    <col min="17" max="25" width="6.7265625" customWidth="1"/>
    <col min="26" max="26" width="1.7265625" customWidth="1"/>
    <col min="27" max="47" width="4.7265625" customWidth="1"/>
  </cols>
  <sheetData>
    <row r="2" spans="2:47" x14ac:dyDescent="0.25">
      <c r="J2" s="93" t="s">
        <v>42</v>
      </c>
      <c r="K2" s="144"/>
      <c r="L2" s="144"/>
      <c r="M2" s="144"/>
      <c r="N2" s="144"/>
      <c r="O2" s="68"/>
    </row>
    <row r="3" spans="2:47" x14ac:dyDescent="0.25">
      <c r="B3" s="3" t="s">
        <v>37</v>
      </c>
      <c r="C3" s="70"/>
      <c r="D3" s="5"/>
      <c r="E3" s="5"/>
      <c r="G3" s="93" t="s">
        <v>115</v>
      </c>
      <c r="H3" s="68"/>
      <c r="J3" s="75" t="s">
        <v>16</v>
      </c>
      <c r="K3" s="139"/>
      <c r="L3" s="3" t="s">
        <v>99</v>
      </c>
      <c r="M3" s="5"/>
      <c r="N3" s="3" t="s">
        <v>100</v>
      </c>
      <c r="O3" s="5"/>
      <c r="Q3" s="3" t="s">
        <v>117</v>
      </c>
      <c r="R3" s="4"/>
      <c r="S3" s="4"/>
      <c r="T3" s="4"/>
      <c r="U3" s="4"/>
      <c r="V3" s="4"/>
      <c r="W3" s="4"/>
      <c r="X3" s="4"/>
      <c r="Y3" s="5"/>
      <c r="AA3" s="3" t="s">
        <v>116</v>
      </c>
      <c r="AB3" s="4"/>
      <c r="AC3" s="4"/>
      <c r="AD3" s="4"/>
      <c r="AE3" s="4"/>
      <c r="AF3" s="4"/>
      <c r="AG3" s="4"/>
      <c r="AH3" s="4"/>
      <c r="AI3" s="4"/>
      <c r="AJ3" s="4"/>
      <c r="AK3" s="4"/>
      <c r="AL3" s="4"/>
      <c r="AM3" s="4"/>
      <c r="AN3" s="4"/>
      <c r="AO3" s="4"/>
      <c r="AP3" s="4"/>
      <c r="AQ3" s="4"/>
      <c r="AR3" s="4"/>
      <c r="AS3" s="4"/>
      <c r="AT3" s="4"/>
      <c r="AU3" s="5"/>
    </row>
    <row r="4" spans="2:47" x14ac:dyDescent="0.25">
      <c r="B4" s="75" t="s">
        <v>15</v>
      </c>
      <c r="C4" s="75" t="s">
        <v>16</v>
      </c>
      <c r="D4" s="92" t="s">
        <v>7</v>
      </c>
      <c r="E4" s="92" t="s">
        <v>25</v>
      </c>
      <c r="G4" s="92" t="s">
        <v>38</v>
      </c>
      <c r="H4" s="40" t="s">
        <v>39</v>
      </c>
      <c r="J4" s="6" t="s">
        <v>25</v>
      </c>
      <c r="K4" s="6" t="s">
        <v>16</v>
      </c>
      <c r="L4" s="37" t="s">
        <v>26</v>
      </c>
      <c r="M4" s="40" t="s">
        <v>21</v>
      </c>
      <c r="N4" s="37" t="s">
        <v>26</v>
      </c>
      <c r="O4" s="40" t="s">
        <v>21</v>
      </c>
      <c r="Q4" s="97"/>
      <c r="R4" s="97" t="s">
        <v>0</v>
      </c>
      <c r="S4" s="7" t="s">
        <v>1</v>
      </c>
      <c r="T4" s="7" t="s">
        <v>2</v>
      </c>
      <c r="U4" s="7" t="s">
        <v>3</v>
      </c>
      <c r="V4" s="7" t="s">
        <v>4</v>
      </c>
      <c r="W4" s="7" t="s">
        <v>5</v>
      </c>
      <c r="X4" s="7" t="s">
        <v>6</v>
      </c>
      <c r="Y4" s="8" t="s">
        <v>12</v>
      </c>
      <c r="AA4" s="30" t="s">
        <v>23</v>
      </c>
      <c r="AB4" s="23">
        <v>1</v>
      </c>
      <c r="AC4" s="23">
        <v>2</v>
      </c>
      <c r="AD4" s="23">
        <v>3</v>
      </c>
      <c r="AE4" s="23">
        <v>4</v>
      </c>
      <c r="AF4" s="23">
        <v>5</v>
      </c>
      <c r="AG4" s="23">
        <v>6</v>
      </c>
      <c r="AH4" s="23">
        <v>7</v>
      </c>
      <c r="AI4" s="23">
        <v>8</v>
      </c>
      <c r="AJ4" s="23">
        <v>9</v>
      </c>
      <c r="AK4" s="23">
        <v>10</v>
      </c>
      <c r="AL4" s="23">
        <v>11</v>
      </c>
      <c r="AM4" s="23">
        <v>12</v>
      </c>
      <c r="AN4" s="23">
        <v>13</v>
      </c>
      <c r="AO4" s="23">
        <v>14</v>
      </c>
      <c r="AP4" s="23">
        <v>15</v>
      </c>
      <c r="AQ4" s="23">
        <v>16</v>
      </c>
      <c r="AR4" s="23">
        <v>17</v>
      </c>
      <c r="AS4" s="23">
        <v>18</v>
      </c>
      <c r="AT4" s="23">
        <v>19</v>
      </c>
      <c r="AU4" s="24">
        <v>20</v>
      </c>
    </row>
    <row r="5" spans="2:47" x14ac:dyDescent="0.25">
      <c r="B5" s="29">
        <f>Probabilities!M5</f>
        <v>1</v>
      </c>
      <c r="C5" s="26" t="str">
        <f>Probabilities!N5</f>
        <v>AAA</v>
      </c>
      <c r="D5" s="26">
        <f>Probabilities!O5</f>
        <v>7</v>
      </c>
      <c r="E5" s="27">
        <f>Probabilities!P5</f>
        <v>1</v>
      </c>
      <c r="G5" s="100">
        <f ca="1">NORMSINV(RAND())</f>
        <v>-1.516285451203647</v>
      </c>
      <c r="H5" s="51">
        <f t="array" aca="1" ref="H5:H24" ca="1">MMULT(AB5:AU24,$G$5:$G$24)</f>
        <v>-1.516285451203647</v>
      </c>
      <c r="J5" s="115">
        <v>1</v>
      </c>
      <c r="K5" s="23" t="str">
        <f>INDEX($Q$5:$Q$12,J5)</f>
        <v>AAA</v>
      </c>
      <c r="L5" s="10">
        <f>INDEX(Values!R5:Y5,J5)</f>
        <v>1.0658806197151345</v>
      </c>
      <c r="M5" s="12">
        <f>L5*D5</f>
        <v>7.4611643380059416</v>
      </c>
      <c r="N5" s="146">
        <f>IF(J5=8,Values!Y5,1)</f>
        <v>1</v>
      </c>
      <c r="O5" s="55">
        <f t="shared" ref="O5:O24" si="0">D5*N5</f>
        <v>7</v>
      </c>
      <c r="Q5" s="9" t="s">
        <v>0</v>
      </c>
      <c r="R5" s="10">
        <v>1</v>
      </c>
      <c r="S5" s="111">
        <v>0.9</v>
      </c>
      <c r="T5" s="111">
        <v>0.8</v>
      </c>
      <c r="U5" s="111">
        <v>0.7</v>
      </c>
      <c r="V5" s="111">
        <v>0.6</v>
      </c>
      <c r="W5" s="111">
        <v>0.5</v>
      </c>
      <c r="X5" s="111">
        <v>0.4</v>
      </c>
      <c r="Y5" s="112">
        <v>0.3</v>
      </c>
      <c r="AA5" s="30">
        <v>1</v>
      </c>
      <c r="AB5" s="29">
        <f>Correlations!C29</f>
        <v>1</v>
      </c>
      <c r="AC5" s="26">
        <f>Correlations!D29</f>
        <v>0</v>
      </c>
      <c r="AD5" s="26">
        <f>Correlations!E29</f>
        <v>0</v>
      </c>
      <c r="AE5" s="26">
        <f>Correlations!F29</f>
        <v>0</v>
      </c>
      <c r="AF5" s="26">
        <f>Correlations!G29</f>
        <v>0</v>
      </c>
      <c r="AG5" s="26">
        <f>Correlations!H29</f>
        <v>0</v>
      </c>
      <c r="AH5" s="26">
        <f>Correlations!I29</f>
        <v>0</v>
      </c>
      <c r="AI5" s="26">
        <f>Correlations!J29</f>
        <v>0</v>
      </c>
      <c r="AJ5" s="26">
        <f>Correlations!K29</f>
        <v>0</v>
      </c>
      <c r="AK5" s="26">
        <f>Correlations!L29</f>
        <v>0</v>
      </c>
      <c r="AL5" s="26">
        <f>Correlations!M29</f>
        <v>0</v>
      </c>
      <c r="AM5" s="26">
        <f>Correlations!N29</f>
        <v>0</v>
      </c>
      <c r="AN5" s="26">
        <f>Correlations!O29</f>
        <v>0</v>
      </c>
      <c r="AO5" s="26">
        <f>Correlations!P29</f>
        <v>0</v>
      </c>
      <c r="AP5" s="26">
        <f>Correlations!Q29</f>
        <v>0</v>
      </c>
      <c r="AQ5" s="26">
        <f>Correlations!R29</f>
        <v>0</v>
      </c>
      <c r="AR5" s="26">
        <f>Correlations!S29</f>
        <v>0</v>
      </c>
      <c r="AS5" s="26">
        <f>Correlations!T29</f>
        <v>0</v>
      </c>
      <c r="AT5" s="26">
        <f>Correlations!U29</f>
        <v>0</v>
      </c>
      <c r="AU5" s="27">
        <f>Correlations!V29</f>
        <v>0</v>
      </c>
    </row>
    <row r="6" spans="2:47" x14ac:dyDescent="0.25">
      <c r="B6" s="30">
        <f>Probabilities!M6</f>
        <v>2</v>
      </c>
      <c r="C6" s="23" t="str">
        <f>Probabilities!N6</f>
        <v>AA</v>
      </c>
      <c r="D6" s="23">
        <f>Probabilities!O6</f>
        <v>1</v>
      </c>
      <c r="E6" s="24">
        <f>Probabilities!P6</f>
        <v>2</v>
      </c>
      <c r="G6" s="101">
        <f t="shared" ref="G6:G24" ca="1" si="1">NORMSINV(RAND())</f>
        <v>0.32677174443714874</v>
      </c>
      <c r="H6" s="55">
        <f ca="1"/>
        <v>0.32677174443714874</v>
      </c>
      <c r="J6" s="115">
        <v>2</v>
      </c>
      <c r="K6" s="23" t="str">
        <f t="shared" ref="K6:K24" si="2">INDEX($Q$5:$Q$12,J6)</f>
        <v>AA</v>
      </c>
      <c r="L6" s="13">
        <f>INDEX(Values!R6:Y6,J6)</f>
        <v>1.0765515082067261</v>
      </c>
      <c r="M6" s="15">
        <f t="shared" ref="M6:M24" si="3">L6*D6</f>
        <v>1.0765515082067261</v>
      </c>
      <c r="N6" s="145">
        <f>IF(J6=8,Values!Y6,1)</f>
        <v>1</v>
      </c>
      <c r="O6" s="55">
        <f t="shared" si="0"/>
        <v>1</v>
      </c>
      <c r="Q6" s="9" t="s">
        <v>1</v>
      </c>
      <c r="R6" s="13">
        <v>1</v>
      </c>
      <c r="S6" s="113">
        <v>0.9</v>
      </c>
      <c r="T6" s="113">
        <v>0.8</v>
      </c>
      <c r="U6" s="113">
        <v>0.7</v>
      </c>
      <c r="V6" s="113">
        <v>0.6</v>
      </c>
      <c r="W6" s="113">
        <v>0.5</v>
      </c>
      <c r="X6" s="113">
        <v>0.4</v>
      </c>
      <c r="Y6" s="114">
        <v>0.3</v>
      </c>
      <c r="AA6" s="30">
        <v>2</v>
      </c>
      <c r="AB6" s="30">
        <f>Correlations!C30</f>
        <v>0</v>
      </c>
      <c r="AC6" s="23">
        <f>Correlations!D30</f>
        <v>1</v>
      </c>
      <c r="AD6" s="23">
        <f>Correlations!E30</f>
        <v>0</v>
      </c>
      <c r="AE6" s="23">
        <f>Correlations!F30</f>
        <v>0</v>
      </c>
      <c r="AF6" s="23">
        <f>Correlations!G30</f>
        <v>0</v>
      </c>
      <c r="AG6" s="23">
        <f>Correlations!H30</f>
        <v>0</v>
      </c>
      <c r="AH6" s="23">
        <f>Correlations!I30</f>
        <v>0</v>
      </c>
      <c r="AI6" s="23">
        <f>Correlations!J30</f>
        <v>0</v>
      </c>
      <c r="AJ6" s="23">
        <f>Correlations!K30</f>
        <v>0</v>
      </c>
      <c r="AK6" s="23">
        <f>Correlations!L30</f>
        <v>0</v>
      </c>
      <c r="AL6" s="23">
        <f>Correlations!M30</f>
        <v>0</v>
      </c>
      <c r="AM6" s="23">
        <f>Correlations!N30</f>
        <v>0</v>
      </c>
      <c r="AN6" s="23">
        <f>Correlations!O30</f>
        <v>0</v>
      </c>
      <c r="AO6" s="23">
        <f>Correlations!P30</f>
        <v>0</v>
      </c>
      <c r="AP6" s="23">
        <f>Correlations!Q30</f>
        <v>0</v>
      </c>
      <c r="AQ6" s="23">
        <f>Correlations!R30</f>
        <v>0</v>
      </c>
      <c r="AR6" s="23">
        <f>Correlations!S30</f>
        <v>0</v>
      </c>
      <c r="AS6" s="23">
        <f>Correlations!T30</f>
        <v>0</v>
      </c>
      <c r="AT6" s="23">
        <f>Correlations!U30</f>
        <v>0</v>
      </c>
      <c r="AU6" s="24">
        <f>Correlations!V30</f>
        <v>0</v>
      </c>
    </row>
    <row r="7" spans="2:47" x14ac:dyDescent="0.25">
      <c r="B7" s="30">
        <f>Probabilities!M7</f>
        <v>3</v>
      </c>
      <c r="C7" s="23" t="str">
        <f>Probabilities!N7</f>
        <v>A</v>
      </c>
      <c r="D7" s="23">
        <f>Probabilities!O7</f>
        <v>1</v>
      </c>
      <c r="E7" s="24">
        <f>Probabilities!P7</f>
        <v>3</v>
      </c>
      <c r="G7" s="101">
        <f t="shared" ca="1" si="1"/>
        <v>0.72187155384435642</v>
      </c>
      <c r="H7" s="55">
        <f ca="1"/>
        <v>0.72187155384435642</v>
      </c>
      <c r="J7" s="115">
        <v>4</v>
      </c>
      <c r="K7" s="23" t="str">
        <f t="shared" si="2"/>
        <v>BBB</v>
      </c>
      <c r="L7" s="13">
        <f>INDEX(Values!R7:Y7,J7)</f>
        <v>1.0679199172780667</v>
      </c>
      <c r="M7" s="15">
        <f t="shared" si="3"/>
        <v>1.0679199172780667</v>
      </c>
      <c r="N7" s="145">
        <f>IF(J7=8,Values!Y7,1)</f>
        <v>1</v>
      </c>
      <c r="O7" s="55">
        <f t="shared" si="0"/>
        <v>1</v>
      </c>
      <c r="Q7" s="9" t="s">
        <v>2</v>
      </c>
      <c r="R7" s="13">
        <v>1</v>
      </c>
      <c r="S7" s="113">
        <v>0.9</v>
      </c>
      <c r="T7" s="113">
        <v>0.8</v>
      </c>
      <c r="U7" s="113">
        <v>0.7</v>
      </c>
      <c r="V7" s="113">
        <v>0.6</v>
      </c>
      <c r="W7" s="113">
        <v>0.5</v>
      </c>
      <c r="X7" s="113">
        <v>0.4</v>
      </c>
      <c r="Y7" s="114">
        <v>0.3</v>
      </c>
      <c r="AA7" s="30">
        <v>3</v>
      </c>
      <c r="AB7" s="30">
        <f>Correlations!C31</f>
        <v>0</v>
      </c>
      <c r="AC7" s="23">
        <f>Correlations!D31</f>
        <v>0</v>
      </c>
      <c r="AD7" s="23">
        <f>Correlations!E31</f>
        <v>1</v>
      </c>
      <c r="AE7" s="23">
        <f>Correlations!F31</f>
        <v>0</v>
      </c>
      <c r="AF7" s="23">
        <f>Correlations!G31</f>
        <v>0</v>
      </c>
      <c r="AG7" s="23">
        <f>Correlations!H31</f>
        <v>0</v>
      </c>
      <c r="AH7" s="23">
        <f>Correlations!I31</f>
        <v>0</v>
      </c>
      <c r="AI7" s="23">
        <f>Correlations!J31</f>
        <v>0</v>
      </c>
      <c r="AJ7" s="23">
        <f>Correlations!K31</f>
        <v>0</v>
      </c>
      <c r="AK7" s="23">
        <f>Correlations!L31</f>
        <v>0</v>
      </c>
      <c r="AL7" s="23">
        <f>Correlations!M31</f>
        <v>0</v>
      </c>
      <c r="AM7" s="23">
        <f>Correlations!N31</f>
        <v>0</v>
      </c>
      <c r="AN7" s="23">
        <f>Correlations!O31</f>
        <v>0</v>
      </c>
      <c r="AO7" s="23">
        <f>Correlations!P31</f>
        <v>0</v>
      </c>
      <c r="AP7" s="23">
        <f>Correlations!Q31</f>
        <v>0</v>
      </c>
      <c r="AQ7" s="23">
        <f>Correlations!R31</f>
        <v>0</v>
      </c>
      <c r="AR7" s="23">
        <f>Correlations!S31</f>
        <v>0</v>
      </c>
      <c r="AS7" s="23">
        <f>Correlations!T31</f>
        <v>0</v>
      </c>
      <c r="AT7" s="23">
        <f>Correlations!U31</f>
        <v>0</v>
      </c>
      <c r="AU7" s="24">
        <f>Correlations!V31</f>
        <v>0</v>
      </c>
    </row>
    <row r="8" spans="2:47" x14ac:dyDescent="0.25">
      <c r="B8" s="30">
        <f>Probabilities!M8</f>
        <v>4</v>
      </c>
      <c r="C8" s="23" t="str">
        <f>Probabilities!N8</f>
        <v>BBB</v>
      </c>
      <c r="D8" s="23">
        <f>Probabilities!O8</f>
        <v>1</v>
      </c>
      <c r="E8" s="24">
        <f>Probabilities!P8</f>
        <v>4</v>
      </c>
      <c r="G8" s="101">
        <f t="shared" ca="1" si="1"/>
        <v>0.67188888349538567</v>
      </c>
      <c r="H8" s="55">
        <f ca="1"/>
        <v>0.67188888349538567</v>
      </c>
      <c r="J8" s="115">
        <v>3</v>
      </c>
      <c r="K8" s="23" t="str">
        <f t="shared" si="2"/>
        <v>A</v>
      </c>
      <c r="L8" s="13">
        <f>INDEX(Values!R8:Y8,J8)</f>
        <v>1.0979804435650504</v>
      </c>
      <c r="M8" s="15">
        <f t="shared" si="3"/>
        <v>1.0979804435650504</v>
      </c>
      <c r="N8" s="145">
        <f>IF(J8=8,Values!Y8,1)</f>
        <v>1</v>
      </c>
      <c r="O8" s="55">
        <f t="shared" si="0"/>
        <v>1</v>
      </c>
      <c r="Q8" s="9" t="s">
        <v>3</v>
      </c>
      <c r="R8" s="13">
        <v>1</v>
      </c>
      <c r="S8" s="113">
        <v>0.9</v>
      </c>
      <c r="T8" s="113">
        <v>0.8</v>
      </c>
      <c r="U8" s="113">
        <v>0.7</v>
      </c>
      <c r="V8" s="113">
        <v>0.6</v>
      </c>
      <c r="W8" s="113">
        <v>0.5</v>
      </c>
      <c r="X8" s="113">
        <v>0.4</v>
      </c>
      <c r="Y8" s="114">
        <v>0.3</v>
      </c>
      <c r="AA8" s="30">
        <v>4</v>
      </c>
      <c r="AB8" s="30">
        <f>Correlations!C32</f>
        <v>0</v>
      </c>
      <c r="AC8" s="23">
        <f>Correlations!D32</f>
        <v>0</v>
      </c>
      <c r="AD8" s="23">
        <f>Correlations!E32</f>
        <v>0</v>
      </c>
      <c r="AE8" s="23">
        <f>Correlations!F32</f>
        <v>1</v>
      </c>
      <c r="AF8" s="23">
        <f>Correlations!G32</f>
        <v>0</v>
      </c>
      <c r="AG8" s="23">
        <f>Correlations!H32</f>
        <v>0</v>
      </c>
      <c r="AH8" s="23">
        <f>Correlations!I32</f>
        <v>0</v>
      </c>
      <c r="AI8" s="23">
        <f>Correlations!J32</f>
        <v>0</v>
      </c>
      <c r="AJ8" s="23">
        <f>Correlations!K32</f>
        <v>0</v>
      </c>
      <c r="AK8" s="23">
        <f>Correlations!L32</f>
        <v>0</v>
      </c>
      <c r="AL8" s="23">
        <f>Correlations!M32</f>
        <v>0</v>
      </c>
      <c r="AM8" s="23">
        <f>Correlations!N32</f>
        <v>0</v>
      </c>
      <c r="AN8" s="23">
        <f>Correlations!O32</f>
        <v>0</v>
      </c>
      <c r="AO8" s="23">
        <f>Correlations!P32</f>
        <v>0</v>
      </c>
      <c r="AP8" s="23">
        <f>Correlations!Q32</f>
        <v>0</v>
      </c>
      <c r="AQ8" s="23">
        <f>Correlations!R32</f>
        <v>0</v>
      </c>
      <c r="AR8" s="23">
        <f>Correlations!S32</f>
        <v>0</v>
      </c>
      <c r="AS8" s="23">
        <f>Correlations!T32</f>
        <v>0</v>
      </c>
      <c r="AT8" s="23">
        <f>Correlations!U32</f>
        <v>0</v>
      </c>
      <c r="AU8" s="24">
        <f>Correlations!V32</f>
        <v>0</v>
      </c>
    </row>
    <row r="9" spans="2:47" x14ac:dyDescent="0.25">
      <c r="B9" s="30">
        <f>Probabilities!M9</f>
        <v>5</v>
      </c>
      <c r="C9" s="23" t="str">
        <f>Probabilities!N9</f>
        <v>BB</v>
      </c>
      <c r="D9" s="23">
        <f>Probabilities!O9</f>
        <v>1</v>
      </c>
      <c r="E9" s="24">
        <f>Probabilities!P9</f>
        <v>5</v>
      </c>
      <c r="G9" s="101">
        <f t="shared" ca="1" si="1"/>
        <v>1.7610779601377391</v>
      </c>
      <c r="H9" s="55">
        <f ca="1"/>
        <v>1.7610779601377391</v>
      </c>
      <c r="J9" s="115">
        <v>6</v>
      </c>
      <c r="K9" s="23" t="str">
        <f t="shared" si="2"/>
        <v>B</v>
      </c>
      <c r="L9" s="13">
        <f>INDEX(Values!R9:Y9,J9)</f>
        <v>1.0854435065411308</v>
      </c>
      <c r="M9" s="15">
        <f t="shared" si="3"/>
        <v>1.0854435065411308</v>
      </c>
      <c r="N9" s="145">
        <f>IF(J9=8,Values!Y9,1)</f>
        <v>1</v>
      </c>
      <c r="O9" s="55">
        <f t="shared" si="0"/>
        <v>1</v>
      </c>
      <c r="Q9" s="9" t="s">
        <v>4</v>
      </c>
      <c r="R9" s="13">
        <v>1</v>
      </c>
      <c r="S9" s="113">
        <v>0.9</v>
      </c>
      <c r="T9" s="113">
        <v>0.8</v>
      </c>
      <c r="U9" s="113">
        <v>0.7</v>
      </c>
      <c r="V9" s="113">
        <v>0.6</v>
      </c>
      <c r="W9" s="113">
        <v>0.5</v>
      </c>
      <c r="X9" s="113">
        <v>0.4</v>
      </c>
      <c r="Y9" s="114">
        <v>0.3</v>
      </c>
      <c r="AA9" s="30">
        <v>5</v>
      </c>
      <c r="AB9" s="30">
        <f>Correlations!C33</f>
        <v>0</v>
      </c>
      <c r="AC9" s="23">
        <f>Correlations!D33</f>
        <v>0</v>
      </c>
      <c r="AD9" s="23">
        <f>Correlations!E33</f>
        <v>0</v>
      </c>
      <c r="AE9" s="23">
        <f>Correlations!F33</f>
        <v>0</v>
      </c>
      <c r="AF9" s="23">
        <f>Correlations!G33</f>
        <v>1</v>
      </c>
      <c r="AG9" s="23">
        <f>Correlations!H33</f>
        <v>0</v>
      </c>
      <c r="AH9" s="23">
        <f>Correlations!I33</f>
        <v>0</v>
      </c>
      <c r="AI9" s="23">
        <f>Correlations!J33</f>
        <v>0</v>
      </c>
      <c r="AJ9" s="23">
        <f>Correlations!K33</f>
        <v>0</v>
      </c>
      <c r="AK9" s="23">
        <f>Correlations!L33</f>
        <v>0</v>
      </c>
      <c r="AL9" s="23">
        <f>Correlations!M33</f>
        <v>0</v>
      </c>
      <c r="AM9" s="23">
        <f>Correlations!N33</f>
        <v>0</v>
      </c>
      <c r="AN9" s="23">
        <f>Correlations!O33</f>
        <v>0</v>
      </c>
      <c r="AO9" s="23">
        <f>Correlations!P33</f>
        <v>0</v>
      </c>
      <c r="AP9" s="23">
        <f>Correlations!Q33</f>
        <v>0</v>
      </c>
      <c r="AQ9" s="23">
        <f>Correlations!R33</f>
        <v>0</v>
      </c>
      <c r="AR9" s="23">
        <f>Correlations!S33</f>
        <v>0</v>
      </c>
      <c r="AS9" s="23">
        <f>Correlations!T33</f>
        <v>0</v>
      </c>
      <c r="AT9" s="23">
        <f>Correlations!U33</f>
        <v>0</v>
      </c>
      <c r="AU9" s="24">
        <f>Correlations!V33</f>
        <v>0</v>
      </c>
    </row>
    <row r="10" spans="2:47" x14ac:dyDescent="0.25">
      <c r="B10" s="30">
        <f>Probabilities!M10</f>
        <v>6</v>
      </c>
      <c r="C10" s="23" t="str">
        <f>Probabilities!N10</f>
        <v>B</v>
      </c>
      <c r="D10" s="23">
        <f>Probabilities!O10</f>
        <v>1</v>
      </c>
      <c r="E10" s="24">
        <f>Probabilities!P10</f>
        <v>6</v>
      </c>
      <c r="G10" s="101">
        <f t="shared" ca="1" si="1"/>
        <v>0.47239993483891041</v>
      </c>
      <c r="H10" s="55">
        <f ca="1"/>
        <v>0.47239993483891041</v>
      </c>
      <c r="J10" s="115">
        <v>7</v>
      </c>
      <c r="K10" s="23" t="str">
        <f t="shared" si="2"/>
        <v>CCC</v>
      </c>
      <c r="L10" s="13">
        <f>INDEX(Values!R10:Y10,J10)</f>
        <v>1.0301257749594159</v>
      </c>
      <c r="M10" s="15">
        <f t="shared" si="3"/>
        <v>1.0301257749594159</v>
      </c>
      <c r="N10" s="145">
        <f>IF(J10=8,Values!Y10,1)</f>
        <v>1</v>
      </c>
      <c r="O10" s="55">
        <f t="shared" si="0"/>
        <v>1</v>
      </c>
      <c r="Q10" s="9" t="s">
        <v>5</v>
      </c>
      <c r="R10" s="13">
        <v>1</v>
      </c>
      <c r="S10" s="113">
        <v>0.9</v>
      </c>
      <c r="T10" s="113">
        <v>0.8</v>
      </c>
      <c r="U10" s="113">
        <v>0.7</v>
      </c>
      <c r="V10" s="113">
        <v>0.6</v>
      </c>
      <c r="W10" s="113">
        <v>0.5</v>
      </c>
      <c r="X10" s="113">
        <v>0.4</v>
      </c>
      <c r="Y10" s="114">
        <v>0.3</v>
      </c>
      <c r="AA10" s="30">
        <v>6</v>
      </c>
      <c r="AB10" s="30">
        <f>Correlations!C34</f>
        <v>0</v>
      </c>
      <c r="AC10" s="23">
        <f>Correlations!D34</f>
        <v>0</v>
      </c>
      <c r="AD10" s="23">
        <f>Correlations!E34</f>
        <v>0</v>
      </c>
      <c r="AE10" s="23">
        <f>Correlations!F34</f>
        <v>0</v>
      </c>
      <c r="AF10" s="23">
        <f>Correlations!G34</f>
        <v>0</v>
      </c>
      <c r="AG10" s="23">
        <f>Correlations!H34</f>
        <v>1</v>
      </c>
      <c r="AH10" s="23">
        <f>Correlations!I34</f>
        <v>0</v>
      </c>
      <c r="AI10" s="23">
        <f>Correlations!J34</f>
        <v>0</v>
      </c>
      <c r="AJ10" s="23">
        <f>Correlations!K34</f>
        <v>0</v>
      </c>
      <c r="AK10" s="23">
        <f>Correlations!L34</f>
        <v>0</v>
      </c>
      <c r="AL10" s="23">
        <f>Correlations!M34</f>
        <v>0</v>
      </c>
      <c r="AM10" s="23">
        <f>Correlations!N34</f>
        <v>0</v>
      </c>
      <c r="AN10" s="23">
        <f>Correlations!O34</f>
        <v>0</v>
      </c>
      <c r="AO10" s="23">
        <f>Correlations!P34</f>
        <v>0</v>
      </c>
      <c r="AP10" s="23">
        <f>Correlations!Q34</f>
        <v>0</v>
      </c>
      <c r="AQ10" s="23">
        <f>Correlations!R34</f>
        <v>0</v>
      </c>
      <c r="AR10" s="23">
        <f>Correlations!S34</f>
        <v>0</v>
      </c>
      <c r="AS10" s="23">
        <f>Correlations!T34</f>
        <v>0</v>
      </c>
      <c r="AT10" s="23">
        <f>Correlations!U34</f>
        <v>0</v>
      </c>
      <c r="AU10" s="24">
        <f>Correlations!V34</f>
        <v>0</v>
      </c>
    </row>
    <row r="11" spans="2:47" x14ac:dyDescent="0.25">
      <c r="B11" s="30">
        <f>Probabilities!M11</f>
        <v>7</v>
      </c>
      <c r="C11" s="23" t="str">
        <f>Probabilities!N11</f>
        <v>CCC</v>
      </c>
      <c r="D11" s="23">
        <f>Probabilities!O11</f>
        <v>1</v>
      </c>
      <c r="E11" s="24">
        <f>Probabilities!P11</f>
        <v>7</v>
      </c>
      <c r="G11" s="101">
        <f t="shared" ca="1" si="1"/>
        <v>-0.38019766203762734</v>
      </c>
      <c r="H11" s="55">
        <f ca="1"/>
        <v>-0.38019766203762734</v>
      </c>
      <c r="J11" s="115">
        <v>7</v>
      </c>
      <c r="K11" s="23" t="str">
        <f t="shared" si="2"/>
        <v>CCC</v>
      </c>
      <c r="L11" s="13">
        <f>INDEX(Values!R11:Y11,J11)</f>
        <v>1.2833992177314208</v>
      </c>
      <c r="M11" s="15">
        <f t="shared" si="3"/>
        <v>1.2833992177314208</v>
      </c>
      <c r="N11" s="145">
        <f>IF(J11=8,Values!Y11,1)</f>
        <v>1</v>
      </c>
      <c r="O11" s="55">
        <f t="shared" si="0"/>
        <v>1</v>
      </c>
      <c r="Q11" s="9" t="s">
        <v>6</v>
      </c>
      <c r="R11" s="13">
        <v>1</v>
      </c>
      <c r="S11" s="113">
        <v>0.9</v>
      </c>
      <c r="T11" s="113">
        <v>0.8</v>
      </c>
      <c r="U11" s="113">
        <v>0.7</v>
      </c>
      <c r="V11" s="113">
        <v>0.6</v>
      </c>
      <c r="W11" s="113">
        <v>0.5</v>
      </c>
      <c r="X11" s="113">
        <v>0.4</v>
      </c>
      <c r="Y11" s="114">
        <v>0.3</v>
      </c>
      <c r="AA11" s="30">
        <v>7</v>
      </c>
      <c r="AB11" s="30">
        <f>Correlations!C35</f>
        <v>0</v>
      </c>
      <c r="AC11" s="23">
        <f>Correlations!D35</f>
        <v>0</v>
      </c>
      <c r="AD11" s="23">
        <f>Correlations!E35</f>
        <v>0</v>
      </c>
      <c r="AE11" s="23">
        <f>Correlations!F35</f>
        <v>0</v>
      </c>
      <c r="AF11" s="23">
        <f>Correlations!G35</f>
        <v>0</v>
      </c>
      <c r="AG11" s="23">
        <f>Correlations!H35</f>
        <v>0</v>
      </c>
      <c r="AH11" s="23">
        <f>Correlations!I35</f>
        <v>1</v>
      </c>
      <c r="AI11" s="23">
        <f>Correlations!J35</f>
        <v>0</v>
      </c>
      <c r="AJ11" s="23">
        <f>Correlations!K35</f>
        <v>0</v>
      </c>
      <c r="AK11" s="23">
        <f>Correlations!L35</f>
        <v>0</v>
      </c>
      <c r="AL11" s="23">
        <f>Correlations!M35</f>
        <v>0</v>
      </c>
      <c r="AM11" s="23">
        <f>Correlations!N35</f>
        <v>0</v>
      </c>
      <c r="AN11" s="23">
        <f>Correlations!O35</f>
        <v>0</v>
      </c>
      <c r="AO11" s="23">
        <f>Correlations!P35</f>
        <v>0</v>
      </c>
      <c r="AP11" s="23">
        <f>Correlations!Q35</f>
        <v>0</v>
      </c>
      <c r="AQ11" s="23">
        <f>Correlations!R35</f>
        <v>0</v>
      </c>
      <c r="AR11" s="23">
        <f>Correlations!S35</f>
        <v>0</v>
      </c>
      <c r="AS11" s="23">
        <f>Correlations!T35</f>
        <v>0</v>
      </c>
      <c r="AT11" s="23">
        <f>Correlations!U35</f>
        <v>0</v>
      </c>
      <c r="AU11" s="24">
        <f>Correlations!V35</f>
        <v>0</v>
      </c>
    </row>
    <row r="12" spans="2:47" x14ac:dyDescent="0.25">
      <c r="B12" s="30">
        <f>Probabilities!M12</f>
        <v>8</v>
      </c>
      <c r="C12" s="23" t="str">
        <f>Probabilities!N12</f>
        <v>A</v>
      </c>
      <c r="D12" s="23">
        <f>Probabilities!O12</f>
        <v>10</v>
      </c>
      <c r="E12" s="24">
        <f>Probabilities!P12</f>
        <v>3</v>
      </c>
      <c r="G12" s="101">
        <f t="shared" ca="1" si="1"/>
        <v>0.49050952249554292</v>
      </c>
      <c r="H12" s="55">
        <f ca="1"/>
        <v>0.49050952249554292</v>
      </c>
      <c r="J12" s="115">
        <v>3</v>
      </c>
      <c r="K12" s="23" t="str">
        <f t="shared" si="2"/>
        <v>A</v>
      </c>
      <c r="L12" s="13">
        <f>INDEX(Values!R12:Y12,J12)</f>
        <v>1.116942040768546</v>
      </c>
      <c r="M12" s="15">
        <f t="shared" si="3"/>
        <v>11.169420407685459</v>
      </c>
      <c r="N12" s="145">
        <f>IF(J12=8,Values!Y12,1)</f>
        <v>1</v>
      </c>
      <c r="O12" s="55">
        <f t="shared" si="0"/>
        <v>10</v>
      </c>
      <c r="Q12" s="16" t="s">
        <v>12</v>
      </c>
      <c r="R12" s="63">
        <f>SUM(Probabilities!C12:$J12)</f>
        <v>1</v>
      </c>
      <c r="S12" s="134">
        <f>SUM(Probabilities!D12:$J12)</f>
        <v>1</v>
      </c>
      <c r="T12" s="134">
        <f>SUM(Probabilities!E12:$J12)</f>
        <v>1</v>
      </c>
      <c r="U12" s="134">
        <f>SUM(Probabilities!F12:$J12)</f>
        <v>1</v>
      </c>
      <c r="V12" s="134">
        <f>SUM(Probabilities!G12:$J12)</f>
        <v>1</v>
      </c>
      <c r="W12" s="134">
        <f>SUM(Probabilities!H12:$J12)</f>
        <v>1</v>
      </c>
      <c r="X12" s="134">
        <f>SUM(Probabilities!I12:$J12)</f>
        <v>1</v>
      </c>
      <c r="Y12" s="135">
        <f>SUM(Probabilities!J12:$J12)</f>
        <v>1</v>
      </c>
      <c r="AA12" s="30">
        <v>8</v>
      </c>
      <c r="AB12" s="30">
        <f>Correlations!C36</f>
        <v>0</v>
      </c>
      <c r="AC12" s="23">
        <f>Correlations!D36</f>
        <v>0</v>
      </c>
      <c r="AD12" s="23">
        <f>Correlations!E36</f>
        <v>0</v>
      </c>
      <c r="AE12" s="23">
        <f>Correlations!F36</f>
        <v>0</v>
      </c>
      <c r="AF12" s="23">
        <f>Correlations!G36</f>
        <v>0</v>
      </c>
      <c r="AG12" s="23">
        <f>Correlations!H36</f>
        <v>0</v>
      </c>
      <c r="AH12" s="23">
        <f>Correlations!I36</f>
        <v>0</v>
      </c>
      <c r="AI12" s="23">
        <f>Correlations!J36</f>
        <v>1</v>
      </c>
      <c r="AJ12" s="23">
        <f>Correlations!K36</f>
        <v>0</v>
      </c>
      <c r="AK12" s="23">
        <f>Correlations!L36</f>
        <v>0</v>
      </c>
      <c r="AL12" s="23">
        <f>Correlations!M36</f>
        <v>0</v>
      </c>
      <c r="AM12" s="23">
        <f>Correlations!N36</f>
        <v>0</v>
      </c>
      <c r="AN12" s="23">
        <f>Correlations!O36</f>
        <v>0</v>
      </c>
      <c r="AO12" s="23">
        <f>Correlations!P36</f>
        <v>0</v>
      </c>
      <c r="AP12" s="23">
        <f>Correlations!Q36</f>
        <v>0</v>
      </c>
      <c r="AQ12" s="23">
        <f>Correlations!R36</f>
        <v>0</v>
      </c>
      <c r="AR12" s="23">
        <f>Correlations!S36</f>
        <v>0</v>
      </c>
      <c r="AS12" s="23">
        <f>Correlations!T36</f>
        <v>0</v>
      </c>
      <c r="AT12" s="23">
        <f>Correlations!U36</f>
        <v>0</v>
      </c>
      <c r="AU12" s="24">
        <f>Correlations!V36</f>
        <v>0</v>
      </c>
    </row>
    <row r="13" spans="2:47" x14ac:dyDescent="0.25">
      <c r="B13" s="30">
        <f>Probabilities!M13</f>
        <v>9</v>
      </c>
      <c r="C13" s="23" t="str">
        <f>Probabilities!N13</f>
        <v>BB</v>
      </c>
      <c r="D13" s="23">
        <f>Probabilities!O13</f>
        <v>5</v>
      </c>
      <c r="E13" s="24">
        <f>Probabilities!P13</f>
        <v>5</v>
      </c>
      <c r="G13" s="101">
        <f t="shared" ca="1" si="1"/>
        <v>0.64925410214048085</v>
      </c>
      <c r="H13" s="55">
        <f ca="1"/>
        <v>0.64925410214048085</v>
      </c>
      <c r="J13" s="115">
        <v>5</v>
      </c>
      <c r="K13" s="23" t="str">
        <f t="shared" si="2"/>
        <v>BB</v>
      </c>
      <c r="L13" s="13">
        <f>INDEX(Values!R13:Y13,J13)</f>
        <v>1.0905535291331119</v>
      </c>
      <c r="M13" s="15">
        <f t="shared" si="3"/>
        <v>5.4527676456655598</v>
      </c>
      <c r="N13" s="145">
        <f>IF(J13=8,Values!Y13,1)</f>
        <v>1</v>
      </c>
      <c r="O13" s="55">
        <f t="shared" si="0"/>
        <v>5</v>
      </c>
      <c r="AA13" s="30">
        <v>9</v>
      </c>
      <c r="AB13" s="30">
        <f>Correlations!C37</f>
        <v>0</v>
      </c>
      <c r="AC13" s="23">
        <f>Correlations!D37</f>
        <v>0</v>
      </c>
      <c r="AD13" s="23">
        <f>Correlations!E37</f>
        <v>0</v>
      </c>
      <c r="AE13" s="23">
        <f>Correlations!F37</f>
        <v>0</v>
      </c>
      <c r="AF13" s="23">
        <f>Correlations!G37</f>
        <v>0</v>
      </c>
      <c r="AG13" s="23">
        <f>Correlations!H37</f>
        <v>0</v>
      </c>
      <c r="AH13" s="23">
        <f>Correlations!I37</f>
        <v>0</v>
      </c>
      <c r="AI13" s="23">
        <f>Correlations!J37</f>
        <v>0</v>
      </c>
      <c r="AJ13" s="23">
        <f>Correlations!K37</f>
        <v>1</v>
      </c>
      <c r="AK13" s="23">
        <f>Correlations!L37</f>
        <v>0</v>
      </c>
      <c r="AL13" s="23">
        <f>Correlations!M37</f>
        <v>0</v>
      </c>
      <c r="AM13" s="23">
        <f>Correlations!N37</f>
        <v>0</v>
      </c>
      <c r="AN13" s="23">
        <f>Correlations!O37</f>
        <v>0</v>
      </c>
      <c r="AO13" s="23">
        <f>Correlations!P37</f>
        <v>0</v>
      </c>
      <c r="AP13" s="23">
        <f>Correlations!Q37</f>
        <v>0</v>
      </c>
      <c r="AQ13" s="23">
        <f>Correlations!R37</f>
        <v>0</v>
      </c>
      <c r="AR13" s="23">
        <f>Correlations!S37</f>
        <v>0</v>
      </c>
      <c r="AS13" s="23">
        <f>Correlations!T37</f>
        <v>0</v>
      </c>
      <c r="AT13" s="23">
        <f>Correlations!U37</f>
        <v>0</v>
      </c>
      <c r="AU13" s="24">
        <f>Correlations!V37</f>
        <v>0</v>
      </c>
    </row>
    <row r="14" spans="2:47" x14ac:dyDescent="0.25">
      <c r="B14" s="30">
        <f>Probabilities!M14</f>
        <v>10</v>
      </c>
      <c r="C14" s="23" t="str">
        <f>Probabilities!N14</f>
        <v>A</v>
      </c>
      <c r="D14" s="23">
        <f>Probabilities!O14</f>
        <v>3</v>
      </c>
      <c r="E14" s="24">
        <f>Probabilities!P14</f>
        <v>3</v>
      </c>
      <c r="G14" s="101">
        <f t="shared" ca="1" si="1"/>
        <v>-1.4321346345790005</v>
      </c>
      <c r="H14" s="55">
        <f ca="1"/>
        <v>-1.4321346345790005</v>
      </c>
      <c r="J14" s="115">
        <v>3</v>
      </c>
      <c r="K14" s="23" t="str">
        <f t="shared" si="2"/>
        <v>A</v>
      </c>
      <c r="L14" s="13">
        <f>INDEX(Values!R14:Y14,J14)</f>
        <v>1.0703938681064404</v>
      </c>
      <c r="M14" s="15">
        <f t="shared" si="3"/>
        <v>3.2111816043193215</v>
      </c>
      <c r="N14" s="145">
        <f>IF(J14=8,Values!Y14,1)</f>
        <v>1</v>
      </c>
      <c r="O14" s="55">
        <f t="shared" si="0"/>
        <v>3</v>
      </c>
      <c r="AA14" s="30">
        <v>10</v>
      </c>
      <c r="AB14" s="30">
        <f>Correlations!C38</f>
        <v>0</v>
      </c>
      <c r="AC14" s="23">
        <f>Correlations!D38</f>
        <v>0</v>
      </c>
      <c r="AD14" s="23">
        <f>Correlations!E38</f>
        <v>0</v>
      </c>
      <c r="AE14" s="23">
        <f>Correlations!F38</f>
        <v>0</v>
      </c>
      <c r="AF14" s="23">
        <f>Correlations!G38</f>
        <v>0</v>
      </c>
      <c r="AG14" s="23">
        <f>Correlations!H38</f>
        <v>0</v>
      </c>
      <c r="AH14" s="23">
        <f>Correlations!I38</f>
        <v>0</v>
      </c>
      <c r="AI14" s="23">
        <f>Correlations!J38</f>
        <v>0</v>
      </c>
      <c r="AJ14" s="23">
        <f>Correlations!K38</f>
        <v>0</v>
      </c>
      <c r="AK14" s="23">
        <f>Correlations!L38</f>
        <v>1</v>
      </c>
      <c r="AL14" s="23">
        <f>Correlations!M38</f>
        <v>0</v>
      </c>
      <c r="AM14" s="23">
        <f>Correlations!N38</f>
        <v>0</v>
      </c>
      <c r="AN14" s="23">
        <f>Correlations!O38</f>
        <v>0</v>
      </c>
      <c r="AO14" s="23">
        <f>Correlations!P38</f>
        <v>0</v>
      </c>
      <c r="AP14" s="23">
        <f>Correlations!Q38</f>
        <v>0</v>
      </c>
      <c r="AQ14" s="23">
        <f>Correlations!R38</f>
        <v>0</v>
      </c>
      <c r="AR14" s="23">
        <f>Correlations!S38</f>
        <v>0</v>
      </c>
      <c r="AS14" s="23">
        <f>Correlations!T38</f>
        <v>0</v>
      </c>
      <c r="AT14" s="23">
        <f>Correlations!U38</f>
        <v>0</v>
      </c>
      <c r="AU14" s="24">
        <f>Correlations!V38</f>
        <v>0</v>
      </c>
    </row>
    <row r="15" spans="2:47" x14ac:dyDescent="0.25">
      <c r="B15" s="30">
        <f>Probabilities!M15</f>
        <v>11</v>
      </c>
      <c r="C15" s="23" t="str">
        <f>Probabilities!N15</f>
        <v>A</v>
      </c>
      <c r="D15" s="23">
        <f>Probabilities!O15</f>
        <v>1</v>
      </c>
      <c r="E15" s="24">
        <f>Probabilities!P15</f>
        <v>3</v>
      </c>
      <c r="G15" s="101">
        <f t="shared" ca="1" si="1"/>
        <v>0.99040204213511052</v>
      </c>
      <c r="H15" s="55">
        <f ca="1"/>
        <v>0.99040204213511052</v>
      </c>
      <c r="J15" s="115">
        <v>2</v>
      </c>
      <c r="K15" s="23" t="str">
        <f t="shared" si="2"/>
        <v>AA</v>
      </c>
      <c r="L15" s="13">
        <f>INDEX(Values!R15:Y15,J15)</f>
        <v>1.0844364466862912</v>
      </c>
      <c r="M15" s="15">
        <f t="shared" si="3"/>
        <v>1.0844364466862912</v>
      </c>
      <c r="N15" s="145">
        <f>IF(J15=8,Values!Y15,1)</f>
        <v>1</v>
      </c>
      <c r="O15" s="55">
        <f t="shared" si="0"/>
        <v>1</v>
      </c>
      <c r="Q15" s="3" t="s">
        <v>118</v>
      </c>
      <c r="R15" s="4"/>
      <c r="S15" s="4"/>
      <c r="T15" s="4"/>
      <c r="U15" s="4"/>
      <c r="V15" s="4"/>
      <c r="W15" s="4"/>
      <c r="X15" s="4"/>
      <c r="Y15" s="5"/>
      <c r="AA15" s="30">
        <v>11</v>
      </c>
      <c r="AB15" s="30">
        <f>Correlations!C39</f>
        <v>0</v>
      </c>
      <c r="AC15" s="23">
        <f>Correlations!D39</f>
        <v>0</v>
      </c>
      <c r="AD15" s="23">
        <f>Correlations!E39</f>
        <v>0</v>
      </c>
      <c r="AE15" s="23">
        <f>Correlations!F39</f>
        <v>0</v>
      </c>
      <c r="AF15" s="23">
        <f>Correlations!G39</f>
        <v>0</v>
      </c>
      <c r="AG15" s="23">
        <f>Correlations!H39</f>
        <v>0</v>
      </c>
      <c r="AH15" s="23">
        <f>Correlations!I39</f>
        <v>0</v>
      </c>
      <c r="AI15" s="23">
        <f>Correlations!J39</f>
        <v>0</v>
      </c>
      <c r="AJ15" s="23">
        <f>Correlations!K39</f>
        <v>0</v>
      </c>
      <c r="AK15" s="23">
        <f>Correlations!L39</f>
        <v>0</v>
      </c>
      <c r="AL15" s="23">
        <f>Correlations!M39</f>
        <v>1</v>
      </c>
      <c r="AM15" s="23">
        <f>Correlations!N39</f>
        <v>0</v>
      </c>
      <c r="AN15" s="23">
        <f>Correlations!O39</f>
        <v>0</v>
      </c>
      <c r="AO15" s="23">
        <f>Correlations!P39</f>
        <v>0</v>
      </c>
      <c r="AP15" s="23">
        <f>Correlations!Q39</f>
        <v>0</v>
      </c>
      <c r="AQ15" s="23">
        <f>Correlations!R39</f>
        <v>0</v>
      </c>
      <c r="AR15" s="23">
        <f>Correlations!S39</f>
        <v>0</v>
      </c>
      <c r="AS15" s="23">
        <f>Correlations!T39</f>
        <v>0</v>
      </c>
      <c r="AT15" s="23">
        <f>Correlations!U39</f>
        <v>0</v>
      </c>
      <c r="AU15" s="24">
        <f>Correlations!V39</f>
        <v>0</v>
      </c>
    </row>
    <row r="16" spans="2:47" x14ac:dyDescent="0.25">
      <c r="B16" s="30">
        <f>Probabilities!M16</f>
        <v>12</v>
      </c>
      <c r="C16" s="23" t="str">
        <f>Probabilities!N16</f>
        <v>A</v>
      </c>
      <c r="D16" s="23">
        <f>Probabilities!O16</f>
        <v>2</v>
      </c>
      <c r="E16" s="24">
        <f>Probabilities!P16</f>
        <v>3</v>
      </c>
      <c r="G16" s="101">
        <f t="shared" ca="1" si="1"/>
        <v>-0.45784445249653422</v>
      </c>
      <c r="H16" s="55">
        <f ca="1"/>
        <v>-0.45784445249653422</v>
      </c>
      <c r="J16" s="115">
        <v>3</v>
      </c>
      <c r="K16" s="23" t="str">
        <f t="shared" si="2"/>
        <v>A</v>
      </c>
      <c r="L16" s="13">
        <f>INDEX(Values!R16:Y16,J16)</f>
        <v>1.0873421897084306</v>
      </c>
      <c r="M16" s="15">
        <f t="shared" si="3"/>
        <v>2.1746843794168611</v>
      </c>
      <c r="N16" s="145">
        <f>IF(J16=8,Values!Y16,1)</f>
        <v>1</v>
      </c>
      <c r="O16" s="55">
        <f t="shared" si="0"/>
        <v>2</v>
      </c>
      <c r="Q16" s="6"/>
      <c r="R16" s="7" t="s">
        <v>0</v>
      </c>
      <c r="S16" s="7" t="s">
        <v>1</v>
      </c>
      <c r="T16" s="7" t="s">
        <v>2</v>
      </c>
      <c r="U16" s="7" t="s">
        <v>3</v>
      </c>
      <c r="V16" s="7" t="s">
        <v>4</v>
      </c>
      <c r="W16" s="7" t="s">
        <v>5</v>
      </c>
      <c r="X16" s="7" t="s">
        <v>6</v>
      </c>
      <c r="Y16" s="8" t="s">
        <v>12</v>
      </c>
      <c r="AA16" s="30">
        <v>12</v>
      </c>
      <c r="AB16" s="30">
        <f>Correlations!C40</f>
        <v>0</v>
      </c>
      <c r="AC16" s="23">
        <f>Correlations!D40</f>
        <v>0</v>
      </c>
      <c r="AD16" s="23">
        <f>Correlations!E40</f>
        <v>0</v>
      </c>
      <c r="AE16" s="23">
        <f>Correlations!F40</f>
        <v>0</v>
      </c>
      <c r="AF16" s="23">
        <f>Correlations!G40</f>
        <v>0</v>
      </c>
      <c r="AG16" s="23">
        <f>Correlations!H40</f>
        <v>0</v>
      </c>
      <c r="AH16" s="23">
        <f>Correlations!I40</f>
        <v>0</v>
      </c>
      <c r="AI16" s="23">
        <f>Correlations!J40</f>
        <v>0</v>
      </c>
      <c r="AJ16" s="23">
        <f>Correlations!K40</f>
        <v>0</v>
      </c>
      <c r="AK16" s="23">
        <f>Correlations!L40</f>
        <v>0</v>
      </c>
      <c r="AL16" s="23">
        <f>Correlations!M40</f>
        <v>0</v>
      </c>
      <c r="AM16" s="23">
        <f>Correlations!N40</f>
        <v>1</v>
      </c>
      <c r="AN16" s="23">
        <f>Correlations!O40</f>
        <v>0</v>
      </c>
      <c r="AO16" s="23">
        <f>Correlations!P40</f>
        <v>0</v>
      </c>
      <c r="AP16" s="23">
        <f>Correlations!Q40</f>
        <v>0</v>
      </c>
      <c r="AQ16" s="23">
        <f>Correlations!R40</f>
        <v>0</v>
      </c>
      <c r="AR16" s="23">
        <f>Correlations!S40</f>
        <v>0</v>
      </c>
      <c r="AS16" s="23">
        <f>Correlations!T40</f>
        <v>0</v>
      </c>
      <c r="AT16" s="23">
        <f>Correlations!U40</f>
        <v>0</v>
      </c>
      <c r="AU16" s="24">
        <f>Correlations!V40</f>
        <v>0</v>
      </c>
    </row>
    <row r="17" spans="2:47" x14ac:dyDescent="0.25">
      <c r="B17" s="30">
        <f>Probabilities!M17</f>
        <v>13</v>
      </c>
      <c r="C17" s="23" t="str">
        <f>Probabilities!N17</f>
        <v>B</v>
      </c>
      <c r="D17" s="23">
        <f>Probabilities!O17</f>
        <v>0.6</v>
      </c>
      <c r="E17" s="24">
        <f>Probabilities!P17</f>
        <v>6</v>
      </c>
      <c r="G17" s="101">
        <f t="shared" ca="1" si="1"/>
        <v>0.71069109435221134</v>
      </c>
      <c r="H17" s="55">
        <f ca="1"/>
        <v>0.71069109435221134</v>
      </c>
      <c r="J17" s="115">
        <v>6</v>
      </c>
      <c r="K17" s="23" t="str">
        <f t="shared" si="2"/>
        <v>B</v>
      </c>
      <c r="L17" s="13">
        <f>INDEX(Values!R17:Y17,J17)</f>
        <v>1.1716150569437598</v>
      </c>
      <c r="M17" s="15">
        <f t="shared" si="3"/>
        <v>0.70296903416625589</v>
      </c>
      <c r="N17" s="145">
        <f>IF(J17=8,Values!Y17,1)</f>
        <v>1</v>
      </c>
      <c r="O17" s="55">
        <f t="shared" si="0"/>
        <v>0.6</v>
      </c>
      <c r="Q17" s="9" t="s">
        <v>0</v>
      </c>
      <c r="R17" s="45">
        <v>100</v>
      </c>
      <c r="S17" s="160">
        <f t="shared" ref="S17:Y23" si="4">NORMSINV(S5)</f>
        <v>1.2815515655446006</v>
      </c>
      <c r="T17" s="160">
        <f t="shared" si="4"/>
        <v>0.84162123357291474</v>
      </c>
      <c r="U17" s="160">
        <f t="shared" si="4"/>
        <v>0.52440051270804078</v>
      </c>
      <c r="V17" s="160">
        <f t="shared" si="4"/>
        <v>0.25334710313579978</v>
      </c>
      <c r="W17" s="160">
        <f t="shared" si="4"/>
        <v>0</v>
      </c>
      <c r="X17" s="160">
        <f t="shared" si="4"/>
        <v>-0.25334710313579978</v>
      </c>
      <c r="Y17" s="161">
        <f t="shared" si="4"/>
        <v>-0.52440051270804089</v>
      </c>
      <c r="AA17" s="30">
        <v>13</v>
      </c>
      <c r="AB17" s="30">
        <f>Correlations!C41</f>
        <v>0</v>
      </c>
      <c r="AC17" s="23">
        <f>Correlations!D41</f>
        <v>0</v>
      </c>
      <c r="AD17" s="23">
        <f>Correlations!E41</f>
        <v>0</v>
      </c>
      <c r="AE17" s="23">
        <f>Correlations!F41</f>
        <v>0</v>
      </c>
      <c r="AF17" s="23">
        <f>Correlations!G41</f>
        <v>0</v>
      </c>
      <c r="AG17" s="23">
        <f>Correlations!H41</f>
        <v>0</v>
      </c>
      <c r="AH17" s="23">
        <f>Correlations!I41</f>
        <v>0</v>
      </c>
      <c r="AI17" s="23">
        <f>Correlations!J41</f>
        <v>0</v>
      </c>
      <c r="AJ17" s="23">
        <f>Correlations!K41</f>
        <v>0</v>
      </c>
      <c r="AK17" s="23">
        <f>Correlations!L41</f>
        <v>0</v>
      </c>
      <c r="AL17" s="23">
        <f>Correlations!M41</f>
        <v>0</v>
      </c>
      <c r="AM17" s="23">
        <f>Correlations!N41</f>
        <v>0</v>
      </c>
      <c r="AN17" s="23">
        <f>Correlations!O41</f>
        <v>1</v>
      </c>
      <c r="AO17" s="23">
        <f>Correlations!P41</f>
        <v>0</v>
      </c>
      <c r="AP17" s="23">
        <f>Correlations!Q41</f>
        <v>0</v>
      </c>
      <c r="AQ17" s="23">
        <f>Correlations!R41</f>
        <v>0</v>
      </c>
      <c r="AR17" s="23">
        <f>Correlations!S41</f>
        <v>0</v>
      </c>
      <c r="AS17" s="23">
        <f>Correlations!T41</f>
        <v>0</v>
      </c>
      <c r="AT17" s="23">
        <f>Correlations!U41</f>
        <v>0</v>
      </c>
      <c r="AU17" s="24">
        <f>Correlations!V41</f>
        <v>0</v>
      </c>
    </row>
    <row r="18" spans="2:47" x14ac:dyDescent="0.25">
      <c r="B18" s="30">
        <f>Probabilities!M18</f>
        <v>14</v>
      </c>
      <c r="C18" s="23" t="str">
        <f>Probabilities!N18</f>
        <v>B</v>
      </c>
      <c r="D18" s="23">
        <f>Probabilities!O18</f>
        <v>1</v>
      </c>
      <c r="E18" s="24">
        <f>Probabilities!P18</f>
        <v>6</v>
      </c>
      <c r="G18" s="101">
        <f t="shared" ca="1" si="1"/>
        <v>0.52919635937202869</v>
      </c>
      <c r="H18" s="55">
        <f ca="1"/>
        <v>0.52919635937202869</v>
      </c>
      <c r="J18" s="115">
        <v>8</v>
      </c>
      <c r="K18" s="23" t="str">
        <f t="shared" si="2"/>
        <v>D</v>
      </c>
      <c r="L18" s="13">
        <f ca="1">INDEX(Values!R18:Y18,J18)</f>
        <v>5.7611940150684167E-2</v>
      </c>
      <c r="M18" s="15">
        <f t="shared" ca="1" si="3"/>
        <v>5.7611940150684167E-2</v>
      </c>
      <c r="N18" s="145">
        <f ca="1">IF(J18=8,Values!Y18,1)</f>
        <v>5.7611940150684167E-2</v>
      </c>
      <c r="O18" s="55">
        <f t="shared" ca="1" si="0"/>
        <v>5.7611940150684167E-2</v>
      </c>
      <c r="Q18" s="9" t="s">
        <v>1</v>
      </c>
      <c r="R18" s="46">
        <v>100</v>
      </c>
      <c r="S18" s="162">
        <f t="shared" si="4"/>
        <v>1.2815515655446006</v>
      </c>
      <c r="T18" s="162">
        <f t="shared" si="4"/>
        <v>0.84162123357291474</v>
      </c>
      <c r="U18" s="162">
        <f t="shared" si="4"/>
        <v>0.52440051270804078</v>
      </c>
      <c r="V18" s="162">
        <f t="shared" si="4"/>
        <v>0.25334710313579978</v>
      </c>
      <c r="W18" s="162">
        <f t="shared" si="4"/>
        <v>0</v>
      </c>
      <c r="X18" s="162">
        <f t="shared" si="4"/>
        <v>-0.25334710313579978</v>
      </c>
      <c r="Y18" s="163">
        <f t="shared" si="4"/>
        <v>-0.52440051270804089</v>
      </c>
      <c r="AA18" s="30">
        <v>14</v>
      </c>
      <c r="AB18" s="30">
        <f>Correlations!C42</f>
        <v>0</v>
      </c>
      <c r="AC18" s="23">
        <f>Correlations!D42</f>
        <v>0</v>
      </c>
      <c r="AD18" s="23">
        <f>Correlations!E42</f>
        <v>0</v>
      </c>
      <c r="AE18" s="23">
        <f>Correlations!F42</f>
        <v>0</v>
      </c>
      <c r="AF18" s="23">
        <f>Correlations!G42</f>
        <v>0</v>
      </c>
      <c r="AG18" s="23">
        <f>Correlations!H42</f>
        <v>0</v>
      </c>
      <c r="AH18" s="23">
        <f>Correlations!I42</f>
        <v>0</v>
      </c>
      <c r="AI18" s="23">
        <f>Correlations!J42</f>
        <v>0</v>
      </c>
      <c r="AJ18" s="23">
        <f>Correlations!K42</f>
        <v>0</v>
      </c>
      <c r="AK18" s="23">
        <f>Correlations!L42</f>
        <v>0</v>
      </c>
      <c r="AL18" s="23">
        <f>Correlations!M42</f>
        <v>0</v>
      </c>
      <c r="AM18" s="23">
        <f>Correlations!N42</f>
        <v>0</v>
      </c>
      <c r="AN18" s="23">
        <f>Correlations!O42</f>
        <v>0</v>
      </c>
      <c r="AO18" s="23">
        <f>Correlations!P42</f>
        <v>1</v>
      </c>
      <c r="AP18" s="23">
        <f>Correlations!Q42</f>
        <v>0</v>
      </c>
      <c r="AQ18" s="23">
        <f>Correlations!R42</f>
        <v>0</v>
      </c>
      <c r="AR18" s="23">
        <f>Correlations!S42</f>
        <v>0</v>
      </c>
      <c r="AS18" s="23">
        <f>Correlations!T42</f>
        <v>0</v>
      </c>
      <c r="AT18" s="23">
        <f>Correlations!U42</f>
        <v>0</v>
      </c>
      <c r="AU18" s="24">
        <f>Correlations!V42</f>
        <v>0</v>
      </c>
    </row>
    <row r="19" spans="2:47" x14ac:dyDescent="0.25">
      <c r="B19" s="30">
        <f>Probabilities!M19</f>
        <v>15</v>
      </c>
      <c r="C19" s="23" t="str">
        <f>Probabilities!N19</f>
        <v>B</v>
      </c>
      <c r="D19" s="23">
        <f>Probabilities!O19</f>
        <v>3</v>
      </c>
      <c r="E19" s="24">
        <f>Probabilities!P19</f>
        <v>6</v>
      </c>
      <c r="G19" s="101">
        <f t="shared" ca="1" si="1"/>
        <v>0.95702665470856874</v>
      </c>
      <c r="H19" s="55">
        <f ca="1"/>
        <v>0.95702665470856874</v>
      </c>
      <c r="J19" s="115">
        <v>6</v>
      </c>
      <c r="K19" s="23" t="str">
        <f t="shared" si="2"/>
        <v>B</v>
      </c>
      <c r="L19" s="13">
        <f>INDEX(Values!R19:Y19,J19)</f>
        <v>1.1444355021216408</v>
      </c>
      <c r="M19" s="15">
        <f t="shared" si="3"/>
        <v>3.4333065063649224</v>
      </c>
      <c r="N19" s="145">
        <f>IF(J19=8,Values!Y19,1)</f>
        <v>1</v>
      </c>
      <c r="O19" s="55">
        <f t="shared" si="0"/>
        <v>3</v>
      </c>
      <c r="Q19" s="9" t="s">
        <v>2</v>
      </c>
      <c r="R19" s="46">
        <v>100</v>
      </c>
      <c r="S19" s="162">
        <f t="shared" si="4"/>
        <v>1.2815515655446006</v>
      </c>
      <c r="T19" s="162">
        <f t="shared" si="4"/>
        <v>0.84162123357291474</v>
      </c>
      <c r="U19" s="162">
        <f t="shared" si="4"/>
        <v>0.52440051270804078</v>
      </c>
      <c r="V19" s="162">
        <f t="shared" si="4"/>
        <v>0.25334710313579978</v>
      </c>
      <c r="W19" s="162">
        <f t="shared" si="4"/>
        <v>0</v>
      </c>
      <c r="X19" s="162">
        <f t="shared" si="4"/>
        <v>-0.25334710313579978</v>
      </c>
      <c r="Y19" s="163">
        <f t="shared" si="4"/>
        <v>-0.52440051270804089</v>
      </c>
      <c r="AA19" s="30">
        <v>15</v>
      </c>
      <c r="AB19" s="30">
        <f>Correlations!C43</f>
        <v>0</v>
      </c>
      <c r="AC19" s="23">
        <f>Correlations!D43</f>
        <v>0</v>
      </c>
      <c r="AD19" s="23">
        <f>Correlations!E43</f>
        <v>0</v>
      </c>
      <c r="AE19" s="23">
        <f>Correlations!F43</f>
        <v>0</v>
      </c>
      <c r="AF19" s="23">
        <f>Correlations!G43</f>
        <v>0</v>
      </c>
      <c r="AG19" s="23">
        <f>Correlations!H43</f>
        <v>0</v>
      </c>
      <c r="AH19" s="23">
        <f>Correlations!I43</f>
        <v>0</v>
      </c>
      <c r="AI19" s="23">
        <f>Correlations!J43</f>
        <v>0</v>
      </c>
      <c r="AJ19" s="23">
        <f>Correlations!K43</f>
        <v>0</v>
      </c>
      <c r="AK19" s="23">
        <f>Correlations!L43</f>
        <v>0</v>
      </c>
      <c r="AL19" s="23">
        <f>Correlations!M43</f>
        <v>0</v>
      </c>
      <c r="AM19" s="23">
        <f>Correlations!N43</f>
        <v>0</v>
      </c>
      <c r="AN19" s="23">
        <f>Correlations!O43</f>
        <v>0</v>
      </c>
      <c r="AO19" s="23">
        <f>Correlations!P43</f>
        <v>0</v>
      </c>
      <c r="AP19" s="23">
        <f>Correlations!Q43</f>
        <v>1</v>
      </c>
      <c r="AQ19" s="23">
        <f>Correlations!R43</f>
        <v>0</v>
      </c>
      <c r="AR19" s="23">
        <f>Correlations!S43</f>
        <v>0</v>
      </c>
      <c r="AS19" s="23">
        <f>Correlations!T43</f>
        <v>0</v>
      </c>
      <c r="AT19" s="23">
        <f>Correlations!U43</f>
        <v>0</v>
      </c>
      <c r="AU19" s="24">
        <f>Correlations!V43</f>
        <v>0</v>
      </c>
    </row>
    <row r="20" spans="2:47" x14ac:dyDescent="0.25">
      <c r="B20" s="30">
        <f>Probabilities!M20</f>
        <v>16</v>
      </c>
      <c r="C20" s="23" t="str">
        <f>Probabilities!N20</f>
        <v>B</v>
      </c>
      <c r="D20" s="23">
        <f>Probabilities!O20</f>
        <v>2</v>
      </c>
      <c r="E20" s="24">
        <f>Probabilities!P20</f>
        <v>6</v>
      </c>
      <c r="G20" s="101">
        <f t="shared" ca="1" si="1"/>
        <v>-1.6713872130627141</v>
      </c>
      <c r="H20" s="55">
        <f ca="1"/>
        <v>-1.6713872130627141</v>
      </c>
      <c r="J20" s="115">
        <v>3</v>
      </c>
      <c r="K20" s="23" t="str">
        <f t="shared" si="2"/>
        <v>A</v>
      </c>
      <c r="L20" s="13">
        <f>INDEX(Values!R20:Y20,J20)</f>
        <v>1.2610443076178939</v>
      </c>
      <c r="M20" s="15">
        <f t="shared" si="3"/>
        <v>2.5220886152357878</v>
      </c>
      <c r="N20" s="145">
        <f>IF(J20=8,Values!Y20,1)</f>
        <v>1</v>
      </c>
      <c r="O20" s="55">
        <f t="shared" si="0"/>
        <v>2</v>
      </c>
      <c r="Q20" s="9" t="s">
        <v>3</v>
      </c>
      <c r="R20" s="46">
        <v>100</v>
      </c>
      <c r="S20" s="162">
        <f t="shared" si="4"/>
        <v>1.2815515655446006</v>
      </c>
      <c r="T20" s="162">
        <f t="shared" si="4"/>
        <v>0.84162123357291474</v>
      </c>
      <c r="U20" s="162">
        <f t="shared" si="4"/>
        <v>0.52440051270804078</v>
      </c>
      <c r="V20" s="162">
        <f t="shared" si="4"/>
        <v>0.25334710313579978</v>
      </c>
      <c r="W20" s="162">
        <f t="shared" si="4"/>
        <v>0</v>
      </c>
      <c r="X20" s="162">
        <f t="shared" si="4"/>
        <v>-0.25334710313579978</v>
      </c>
      <c r="Y20" s="163">
        <f t="shared" si="4"/>
        <v>-0.52440051270804089</v>
      </c>
      <c r="AA20" s="30">
        <v>16</v>
      </c>
      <c r="AB20" s="30">
        <f>Correlations!C44</f>
        <v>0</v>
      </c>
      <c r="AC20" s="23">
        <f>Correlations!D44</f>
        <v>0</v>
      </c>
      <c r="AD20" s="23">
        <f>Correlations!E44</f>
        <v>0</v>
      </c>
      <c r="AE20" s="23">
        <f>Correlations!F44</f>
        <v>0</v>
      </c>
      <c r="AF20" s="23">
        <f>Correlations!G44</f>
        <v>0</v>
      </c>
      <c r="AG20" s="23">
        <f>Correlations!H44</f>
        <v>0</v>
      </c>
      <c r="AH20" s="23">
        <f>Correlations!I44</f>
        <v>0</v>
      </c>
      <c r="AI20" s="23">
        <f>Correlations!J44</f>
        <v>0</v>
      </c>
      <c r="AJ20" s="23">
        <f>Correlations!K44</f>
        <v>0</v>
      </c>
      <c r="AK20" s="23">
        <f>Correlations!L44</f>
        <v>0</v>
      </c>
      <c r="AL20" s="23">
        <f>Correlations!M44</f>
        <v>0</v>
      </c>
      <c r="AM20" s="23">
        <f>Correlations!N44</f>
        <v>0</v>
      </c>
      <c r="AN20" s="23">
        <f>Correlations!O44</f>
        <v>0</v>
      </c>
      <c r="AO20" s="23">
        <f>Correlations!P44</f>
        <v>0</v>
      </c>
      <c r="AP20" s="23">
        <f>Correlations!Q44</f>
        <v>0</v>
      </c>
      <c r="AQ20" s="23">
        <f>Correlations!R44</f>
        <v>1</v>
      </c>
      <c r="AR20" s="23">
        <f>Correlations!S44</f>
        <v>0</v>
      </c>
      <c r="AS20" s="23">
        <f>Correlations!T44</f>
        <v>0</v>
      </c>
      <c r="AT20" s="23">
        <f>Correlations!U44</f>
        <v>0</v>
      </c>
      <c r="AU20" s="24">
        <f>Correlations!V44</f>
        <v>0</v>
      </c>
    </row>
    <row r="21" spans="2:47" x14ac:dyDescent="0.25">
      <c r="B21" s="30">
        <f>Probabilities!M21</f>
        <v>17</v>
      </c>
      <c r="C21" s="23" t="str">
        <f>Probabilities!N21</f>
        <v>BBB</v>
      </c>
      <c r="D21" s="23">
        <f>Probabilities!O21</f>
        <v>1</v>
      </c>
      <c r="E21" s="24">
        <f>Probabilities!P21</f>
        <v>4</v>
      </c>
      <c r="G21" s="101">
        <f t="shared" ca="1" si="1"/>
        <v>0.50537074049075881</v>
      </c>
      <c r="H21" s="55">
        <f ca="1"/>
        <v>0.50537074049075881</v>
      </c>
      <c r="J21" s="115">
        <v>4</v>
      </c>
      <c r="K21" s="23" t="str">
        <f t="shared" si="2"/>
        <v>BBB</v>
      </c>
      <c r="L21" s="13">
        <f>INDEX(Values!R21:Y21,J21)</f>
        <v>1.10830317331407</v>
      </c>
      <c r="M21" s="15">
        <f t="shared" si="3"/>
        <v>1.10830317331407</v>
      </c>
      <c r="N21" s="145">
        <f>IF(J21=8,Values!Y21,1)</f>
        <v>1</v>
      </c>
      <c r="O21" s="55">
        <f t="shared" si="0"/>
        <v>1</v>
      </c>
      <c r="Q21" s="9" t="s">
        <v>4</v>
      </c>
      <c r="R21" s="46">
        <v>100</v>
      </c>
      <c r="S21" s="162">
        <f t="shared" si="4"/>
        <v>1.2815515655446006</v>
      </c>
      <c r="T21" s="162">
        <f t="shared" si="4"/>
        <v>0.84162123357291474</v>
      </c>
      <c r="U21" s="162">
        <f t="shared" si="4"/>
        <v>0.52440051270804078</v>
      </c>
      <c r="V21" s="162">
        <f t="shared" si="4"/>
        <v>0.25334710313579978</v>
      </c>
      <c r="W21" s="162">
        <f t="shared" si="4"/>
        <v>0</v>
      </c>
      <c r="X21" s="162">
        <f t="shared" si="4"/>
        <v>-0.25334710313579978</v>
      </c>
      <c r="Y21" s="163">
        <f t="shared" si="4"/>
        <v>-0.52440051270804089</v>
      </c>
      <c r="AA21" s="30">
        <v>17</v>
      </c>
      <c r="AB21" s="30">
        <f>Correlations!C45</f>
        <v>0</v>
      </c>
      <c r="AC21" s="23">
        <f>Correlations!D45</f>
        <v>0</v>
      </c>
      <c r="AD21" s="23">
        <f>Correlations!E45</f>
        <v>0</v>
      </c>
      <c r="AE21" s="23">
        <f>Correlations!F45</f>
        <v>0</v>
      </c>
      <c r="AF21" s="23">
        <f>Correlations!G45</f>
        <v>0</v>
      </c>
      <c r="AG21" s="23">
        <f>Correlations!H45</f>
        <v>0</v>
      </c>
      <c r="AH21" s="23">
        <f>Correlations!I45</f>
        <v>0</v>
      </c>
      <c r="AI21" s="23">
        <f>Correlations!J45</f>
        <v>0</v>
      </c>
      <c r="AJ21" s="23">
        <f>Correlations!K45</f>
        <v>0</v>
      </c>
      <c r="AK21" s="23">
        <f>Correlations!L45</f>
        <v>0</v>
      </c>
      <c r="AL21" s="23">
        <f>Correlations!M45</f>
        <v>0</v>
      </c>
      <c r="AM21" s="23">
        <f>Correlations!N45</f>
        <v>0</v>
      </c>
      <c r="AN21" s="23">
        <f>Correlations!O45</f>
        <v>0</v>
      </c>
      <c r="AO21" s="23">
        <f>Correlations!P45</f>
        <v>0</v>
      </c>
      <c r="AP21" s="23">
        <f>Correlations!Q45</f>
        <v>0</v>
      </c>
      <c r="AQ21" s="23">
        <f>Correlations!R45</f>
        <v>0</v>
      </c>
      <c r="AR21" s="23">
        <f>Correlations!S45</f>
        <v>1</v>
      </c>
      <c r="AS21" s="23">
        <f>Correlations!T45</f>
        <v>0</v>
      </c>
      <c r="AT21" s="23">
        <f>Correlations!U45</f>
        <v>0</v>
      </c>
      <c r="AU21" s="24">
        <f>Correlations!V45</f>
        <v>0</v>
      </c>
    </row>
    <row r="22" spans="2:47" x14ac:dyDescent="0.25">
      <c r="B22" s="30">
        <f>Probabilities!M22</f>
        <v>18</v>
      </c>
      <c r="C22" s="23" t="str">
        <f>Probabilities!N22</f>
        <v>BBB</v>
      </c>
      <c r="D22" s="23">
        <f>Probabilities!O22</f>
        <v>8</v>
      </c>
      <c r="E22" s="24">
        <f>Probabilities!P22</f>
        <v>4</v>
      </c>
      <c r="G22" s="101">
        <f t="shared" ca="1" si="1"/>
        <v>0.21068103296820173</v>
      </c>
      <c r="H22" s="55">
        <f ca="1"/>
        <v>0.21068103296820173</v>
      </c>
      <c r="J22" s="115">
        <v>4</v>
      </c>
      <c r="K22" s="23" t="str">
        <f t="shared" si="2"/>
        <v>BBB</v>
      </c>
      <c r="L22" s="13">
        <f>INDEX(Values!R22:Y22,J22)</f>
        <v>1.0970741720566384</v>
      </c>
      <c r="M22" s="15">
        <f t="shared" si="3"/>
        <v>8.776593376453107</v>
      </c>
      <c r="N22" s="145">
        <f>IF(J22=8,Values!Y22,1)</f>
        <v>1</v>
      </c>
      <c r="O22" s="55">
        <f t="shared" si="0"/>
        <v>8</v>
      </c>
      <c r="Q22" s="9" t="s">
        <v>5</v>
      </c>
      <c r="R22" s="46">
        <v>100</v>
      </c>
      <c r="S22" s="162">
        <f t="shared" si="4"/>
        <v>1.2815515655446006</v>
      </c>
      <c r="T22" s="162">
        <f t="shared" si="4"/>
        <v>0.84162123357291474</v>
      </c>
      <c r="U22" s="162">
        <f t="shared" si="4"/>
        <v>0.52440051270804078</v>
      </c>
      <c r="V22" s="162">
        <f t="shared" si="4"/>
        <v>0.25334710313579978</v>
      </c>
      <c r="W22" s="162">
        <f t="shared" si="4"/>
        <v>0</v>
      </c>
      <c r="X22" s="162">
        <f t="shared" si="4"/>
        <v>-0.25334710313579978</v>
      </c>
      <c r="Y22" s="163">
        <f t="shared" si="4"/>
        <v>-0.52440051270804089</v>
      </c>
      <c r="AA22" s="30">
        <v>18</v>
      </c>
      <c r="AB22" s="30">
        <f>Correlations!C46</f>
        <v>0</v>
      </c>
      <c r="AC22" s="23">
        <f>Correlations!D46</f>
        <v>0</v>
      </c>
      <c r="AD22" s="23">
        <f>Correlations!E46</f>
        <v>0</v>
      </c>
      <c r="AE22" s="23">
        <f>Correlations!F46</f>
        <v>0</v>
      </c>
      <c r="AF22" s="23">
        <f>Correlations!G46</f>
        <v>0</v>
      </c>
      <c r="AG22" s="23">
        <f>Correlations!H46</f>
        <v>0</v>
      </c>
      <c r="AH22" s="23">
        <f>Correlations!I46</f>
        <v>0</v>
      </c>
      <c r="AI22" s="23">
        <f>Correlations!J46</f>
        <v>0</v>
      </c>
      <c r="AJ22" s="23">
        <f>Correlations!K46</f>
        <v>0</v>
      </c>
      <c r="AK22" s="23">
        <f>Correlations!L46</f>
        <v>0</v>
      </c>
      <c r="AL22" s="23">
        <f>Correlations!M46</f>
        <v>0</v>
      </c>
      <c r="AM22" s="23">
        <f>Correlations!N46</f>
        <v>0</v>
      </c>
      <c r="AN22" s="23">
        <f>Correlations!O46</f>
        <v>0</v>
      </c>
      <c r="AO22" s="23">
        <f>Correlations!P46</f>
        <v>0</v>
      </c>
      <c r="AP22" s="23">
        <f>Correlations!Q46</f>
        <v>0</v>
      </c>
      <c r="AQ22" s="23">
        <f>Correlations!R46</f>
        <v>0</v>
      </c>
      <c r="AR22" s="23">
        <f>Correlations!S46</f>
        <v>0</v>
      </c>
      <c r="AS22" s="23">
        <f>Correlations!T46</f>
        <v>1</v>
      </c>
      <c r="AT22" s="23">
        <f>Correlations!U46</f>
        <v>0</v>
      </c>
      <c r="AU22" s="24">
        <f>Correlations!V46</f>
        <v>0</v>
      </c>
    </row>
    <row r="23" spans="2:47" x14ac:dyDescent="0.25">
      <c r="B23" s="30">
        <f>Probabilities!M23</f>
        <v>19</v>
      </c>
      <c r="C23" s="23" t="str">
        <f>Probabilities!N23</f>
        <v>BBB</v>
      </c>
      <c r="D23" s="23">
        <f>Probabilities!O23</f>
        <v>1</v>
      </c>
      <c r="E23" s="24">
        <f>Probabilities!P23</f>
        <v>4</v>
      </c>
      <c r="G23" s="101">
        <f t="shared" ca="1" si="1"/>
        <v>0.68952289730940075</v>
      </c>
      <c r="H23" s="55">
        <f ca="1"/>
        <v>0.68952289730940075</v>
      </c>
      <c r="J23" s="115">
        <v>4</v>
      </c>
      <c r="K23" s="23" t="str">
        <f t="shared" si="2"/>
        <v>BBB</v>
      </c>
      <c r="L23" s="13">
        <f>INDEX(Values!R23:Y23,J23)</f>
        <v>1.0814247684550171</v>
      </c>
      <c r="M23" s="15">
        <f t="shared" si="3"/>
        <v>1.0814247684550171</v>
      </c>
      <c r="N23" s="145">
        <f>IF(J23=8,Values!Y23,1)</f>
        <v>1</v>
      </c>
      <c r="O23" s="55">
        <f t="shared" si="0"/>
        <v>1</v>
      </c>
      <c r="Q23" s="9" t="s">
        <v>6</v>
      </c>
      <c r="R23" s="46">
        <v>100</v>
      </c>
      <c r="S23" s="162">
        <f t="shared" si="4"/>
        <v>1.2815515655446006</v>
      </c>
      <c r="T23" s="162">
        <f t="shared" si="4"/>
        <v>0.84162123357291474</v>
      </c>
      <c r="U23" s="162">
        <f t="shared" si="4"/>
        <v>0.52440051270804078</v>
      </c>
      <c r="V23" s="162">
        <f t="shared" si="4"/>
        <v>0.25334710313579978</v>
      </c>
      <c r="W23" s="162">
        <f t="shared" si="4"/>
        <v>0</v>
      </c>
      <c r="X23" s="162">
        <f t="shared" si="4"/>
        <v>-0.25334710313579978</v>
      </c>
      <c r="Y23" s="163">
        <f t="shared" si="4"/>
        <v>-0.52440051270804089</v>
      </c>
      <c r="AA23" s="30">
        <v>19</v>
      </c>
      <c r="AB23" s="30">
        <f>Correlations!C47</f>
        <v>0</v>
      </c>
      <c r="AC23" s="23">
        <f>Correlations!D47</f>
        <v>0</v>
      </c>
      <c r="AD23" s="23">
        <f>Correlations!E47</f>
        <v>0</v>
      </c>
      <c r="AE23" s="23">
        <f>Correlations!F47</f>
        <v>0</v>
      </c>
      <c r="AF23" s="23">
        <f>Correlations!G47</f>
        <v>0</v>
      </c>
      <c r="AG23" s="23">
        <f>Correlations!H47</f>
        <v>0</v>
      </c>
      <c r="AH23" s="23">
        <f>Correlations!I47</f>
        <v>0</v>
      </c>
      <c r="AI23" s="23">
        <f>Correlations!J47</f>
        <v>0</v>
      </c>
      <c r="AJ23" s="23">
        <f>Correlations!K47</f>
        <v>0</v>
      </c>
      <c r="AK23" s="23">
        <f>Correlations!L47</f>
        <v>0</v>
      </c>
      <c r="AL23" s="23">
        <f>Correlations!M47</f>
        <v>0</v>
      </c>
      <c r="AM23" s="23">
        <f>Correlations!N47</f>
        <v>0</v>
      </c>
      <c r="AN23" s="23">
        <f>Correlations!O47</f>
        <v>0</v>
      </c>
      <c r="AO23" s="23">
        <f>Correlations!P47</f>
        <v>0</v>
      </c>
      <c r="AP23" s="23">
        <f>Correlations!Q47</f>
        <v>0</v>
      </c>
      <c r="AQ23" s="23">
        <f>Correlations!R47</f>
        <v>0</v>
      </c>
      <c r="AR23" s="23">
        <f>Correlations!S47</f>
        <v>0</v>
      </c>
      <c r="AS23" s="23">
        <f>Correlations!T47</f>
        <v>0</v>
      </c>
      <c r="AT23" s="23">
        <f>Correlations!U47</f>
        <v>1</v>
      </c>
      <c r="AU23" s="24">
        <f>Correlations!V47</f>
        <v>0</v>
      </c>
    </row>
    <row r="24" spans="2:47" x14ac:dyDescent="0.25">
      <c r="B24" s="17">
        <f>Probabilities!M24</f>
        <v>20</v>
      </c>
      <c r="C24" s="18" t="str">
        <f>Probabilities!N24</f>
        <v>AA</v>
      </c>
      <c r="D24" s="18">
        <f>Probabilities!O24</f>
        <v>5</v>
      </c>
      <c r="E24" s="19">
        <f>Probabilities!P24</f>
        <v>2</v>
      </c>
      <c r="G24" s="102">
        <f t="shared" ca="1" si="1"/>
        <v>-0.26143352346041882</v>
      </c>
      <c r="H24" s="59">
        <f ca="1"/>
        <v>-0.26143352346041882</v>
      </c>
      <c r="J24" s="116">
        <v>2</v>
      </c>
      <c r="K24" s="18" t="str">
        <f t="shared" si="2"/>
        <v>AA</v>
      </c>
      <c r="L24" s="63">
        <f>INDEX(Values!R24:Y24,J24)</f>
        <v>1.083036664636575</v>
      </c>
      <c r="M24" s="107">
        <f t="shared" si="3"/>
        <v>5.415183323182875</v>
      </c>
      <c r="N24" s="147">
        <f>IF(J24=8,Values!Y24,1)</f>
        <v>1</v>
      </c>
      <c r="O24" s="59">
        <f t="shared" si="0"/>
        <v>5</v>
      </c>
      <c r="Q24" s="16" t="s">
        <v>12</v>
      </c>
      <c r="R24" s="47">
        <v>100</v>
      </c>
      <c r="S24" s="164">
        <v>100</v>
      </c>
      <c r="T24" s="164">
        <v>100</v>
      </c>
      <c r="U24" s="164">
        <v>100</v>
      </c>
      <c r="V24" s="164">
        <v>100</v>
      </c>
      <c r="W24" s="164">
        <v>100</v>
      </c>
      <c r="X24" s="164">
        <v>100</v>
      </c>
      <c r="Y24" s="165">
        <v>100</v>
      </c>
      <c r="AA24" s="17">
        <v>20</v>
      </c>
      <c r="AB24" s="17">
        <f>Correlations!C48</f>
        <v>0</v>
      </c>
      <c r="AC24" s="18">
        <f>Correlations!D48</f>
        <v>0</v>
      </c>
      <c r="AD24" s="18">
        <f>Correlations!E48</f>
        <v>0</v>
      </c>
      <c r="AE24" s="18">
        <f>Correlations!F48</f>
        <v>0</v>
      </c>
      <c r="AF24" s="18">
        <f>Correlations!G48</f>
        <v>0</v>
      </c>
      <c r="AG24" s="18">
        <f>Correlations!H48</f>
        <v>0</v>
      </c>
      <c r="AH24" s="18">
        <f>Correlations!I48</f>
        <v>0</v>
      </c>
      <c r="AI24" s="18">
        <f>Correlations!J48</f>
        <v>0</v>
      </c>
      <c r="AJ24" s="18">
        <f>Correlations!K48</f>
        <v>0</v>
      </c>
      <c r="AK24" s="18">
        <f>Correlations!L48</f>
        <v>0</v>
      </c>
      <c r="AL24" s="18">
        <f>Correlations!M48</f>
        <v>0</v>
      </c>
      <c r="AM24" s="18">
        <f>Correlations!N48</f>
        <v>0</v>
      </c>
      <c r="AN24" s="18">
        <f>Correlations!O48</f>
        <v>0</v>
      </c>
      <c r="AO24" s="18">
        <f>Correlations!P48</f>
        <v>0</v>
      </c>
      <c r="AP24" s="18">
        <f>Correlations!Q48</f>
        <v>0</v>
      </c>
      <c r="AQ24" s="18">
        <f>Correlations!R48</f>
        <v>0</v>
      </c>
      <c r="AR24" s="18">
        <f>Correlations!S48</f>
        <v>0</v>
      </c>
      <c r="AS24" s="18">
        <f>Correlations!T48</f>
        <v>0</v>
      </c>
      <c r="AT24" s="18">
        <f>Correlations!U48</f>
        <v>0</v>
      </c>
      <c r="AU24" s="19">
        <f>Correlations!V48</f>
        <v>1</v>
      </c>
    </row>
    <row r="26" spans="2:47" x14ac:dyDescent="0.25">
      <c r="L26" s="1" t="s">
        <v>43</v>
      </c>
      <c r="M26" s="42">
        <f ca="1">SUM(M5:M24)</f>
        <v>60.292555927383965</v>
      </c>
      <c r="N26" s="42"/>
      <c r="O26" s="42">
        <f ca="1">SUM(O5:O24)</f>
        <v>54.657611940150687</v>
      </c>
    </row>
    <row r="27" spans="2:47" x14ac:dyDescent="0.25">
      <c r="L27" s="1" t="s">
        <v>28</v>
      </c>
      <c r="M27" s="42">
        <f>Probabilities!AC27</f>
        <v>60.683235548709405</v>
      </c>
      <c r="N27" s="42"/>
      <c r="O27" s="42">
        <f>Probabilities!AE27</f>
        <v>55.106175715999996</v>
      </c>
    </row>
    <row r="28" spans="2:47" x14ac:dyDescent="0.25">
      <c r="L28" s="2" t="s">
        <v>119</v>
      </c>
      <c r="M28" s="42">
        <f ca="1">M26-M27</f>
        <v>-0.39067962132543954</v>
      </c>
      <c r="N28" s="42"/>
      <c r="O28" s="42">
        <f ca="1">O26-O27</f>
        <v>-0.4485637758493084</v>
      </c>
    </row>
  </sheetData>
  <pageMargins left="0.25" right="0.25" top="1" bottom="1" header="0.5" footer="0.5"/>
  <pageSetup scale="61" orientation="landscape" horizontalDpi="300" verticalDpi="300" r:id="rId1"/>
  <headerFooter alignWithMargins="0">
    <oddFooter>&amp;C&amp;A</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D3:M44"/>
  <sheetViews>
    <sheetView workbookViewId="0">
      <selection activeCell="B9" sqref="B9"/>
    </sheetView>
  </sheetViews>
  <sheetFormatPr defaultColWidth="6.7265625" defaultRowHeight="12.5" x14ac:dyDescent="0.25"/>
  <sheetData>
    <row r="3" spans="4:13" x14ac:dyDescent="0.25">
      <c r="I3" s="2" t="s">
        <v>51</v>
      </c>
      <c r="J3" s="2" t="s">
        <v>27</v>
      </c>
    </row>
    <row r="4" spans="4:13" x14ac:dyDescent="0.25">
      <c r="I4">
        <v>-15.5</v>
      </c>
      <c r="J4">
        <f t="array" ref="J4:J24">FREQUENCY(A:A,I4:I23)</f>
        <v>0</v>
      </c>
      <c r="L4" s="1" t="s">
        <v>52</v>
      </c>
      <c r="M4" s="117">
        <f>J4/N</f>
        <v>0</v>
      </c>
    </row>
    <row r="5" spans="4:13" ht="13" x14ac:dyDescent="0.3">
      <c r="D5" s="120">
        <v>10000</v>
      </c>
      <c r="E5" s="119" t="s">
        <v>57</v>
      </c>
      <c r="F5" s="119"/>
      <c r="G5" s="60"/>
      <c r="I5">
        <f t="shared" ref="I5:I23" si="0">I4+1</f>
        <v>-14.5</v>
      </c>
      <c r="J5">
        <v>0</v>
      </c>
      <c r="L5">
        <v>-15</v>
      </c>
      <c r="M5" s="117">
        <f t="shared" ref="M5:M24" si="1">J5/N</f>
        <v>0</v>
      </c>
    </row>
    <row r="6" spans="4:13" x14ac:dyDescent="0.25">
      <c r="I6">
        <f t="shared" si="0"/>
        <v>-13.5</v>
      </c>
      <c r="J6">
        <v>0</v>
      </c>
      <c r="L6">
        <f>L5+1</f>
        <v>-14</v>
      </c>
      <c r="M6" s="117">
        <f t="shared" si="1"/>
        <v>0</v>
      </c>
    </row>
    <row r="7" spans="4:13" x14ac:dyDescent="0.25">
      <c r="I7">
        <f t="shared" si="0"/>
        <v>-12.5</v>
      </c>
      <c r="J7">
        <v>0</v>
      </c>
      <c r="L7">
        <f t="shared" ref="L7:L23" si="2">L6+1</f>
        <v>-13</v>
      </c>
      <c r="M7" s="117">
        <f t="shared" si="1"/>
        <v>0</v>
      </c>
    </row>
    <row r="8" spans="4:13" x14ac:dyDescent="0.25">
      <c r="E8" s="3" t="s">
        <v>50</v>
      </c>
      <c r="F8" s="4"/>
      <c r="G8" s="5"/>
      <c r="I8">
        <f t="shared" si="0"/>
        <v>-11.5</v>
      </c>
      <c r="J8">
        <v>0</v>
      </c>
      <c r="L8">
        <f t="shared" si="2"/>
        <v>-12</v>
      </c>
      <c r="M8" s="117">
        <f t="shared" si="1"/>
        <v>0</v>
      </c>
    </row>
    <row r="9" spans="4:13" x14ac:dyDescent="0.25">
      <c r="E9" s="149"/>
      <c r="F9" s="37" t="s">
        <v>98</v>
      </c>
      <c r="G9" s="37" t="s">
        <v>103</v>
      </c>
      <c r="I9">
        <f t="shared" si="0"/>
        <v>-10.5</v>
      </c>
      <c r="J9">
        <v>0</v>
      </c>
      <c r="L9">
        <f t="shared" si="2"/>
        <v>-11</v>
      </c>
      <c r="M9" s="117">
        <f t="shared" si="1"/>
        <v>0</v>
      </c>
    </row>
    <row r="10" spans="4:13" x14ac:dyDescent="0.25">
      <c r="E10" s="30" t="s">
        <v>47</v>
      </c>
      <c r="F10" s="150" t="e">
        <f>AVERAGE(A:A)</f>
        <v>#DIV/0!</v>
      </c>
      <c r="G10" s="95" t="e">
        <f>AVERAGE(B:B)</f>
        <v>#DIV/0!</v>
      </c>
      <c r="I10">
        <f t="shared" si="0"/>
        <v>-9.5</v>
      </c>
      <c r="J10">
        <v>0</v>
      </c>
      <c r="L10">
        <f t="shared" si="2"/>
        <v>-10</v>
      </c>
      <c r="M10" s="117">
        <f t="shared" si="1"/>
        <v>0</v>
      </c>
    </row>
    <row r="11" spans="4:13" x14ac:dyDescent="0.25">
      <c r="E11" s="30" t="s">
        <v>36</v>
      </c>
      <c r="F11" s="151" t="e">
        <f>STDEV(A:A)</f>
        <v>#DIV/0!</v>
      </c>
      <c r="G11" s="95" t="e">
        <f>STDEV(B:B)</f>
        <v>#DIV/0!</v>
      </c>
      <c r="I11">
        <f t="shared" si="0"/>
        <v>-8.5</v>
      </c>
      <c r="J11">
        <v>0</v>
      </c>
      <c r="L11">
        <f t="shared" si="2"/>
        <v>-9</v>
      </c>
      <c r="M11" s="117">
        <f t="shared" si="1"/>
        <v>0</v>
      </c>
    </row>
    <row r="12" spans="4:13" x14ac:dyDescent="0.25">
      <c r="E12" s="30" t="s">
        <v>48</v>
      </c>
      <c r="F12" s="151">
        <f>MIN(A:A)</f>
        <v>0</v>
      </c>
      <c r="G12" s="95">
        <f>MIN(B:B)</f>
        <v>0</v>
      </c>
      <c r="I12">
        <f t="shared" si="0"/>
        <v>-7.5</v>
      </c>
      <c r="J12">
        <v>0</v>
      </c>
      <c r="L12">
        <f t="shared" si="2"/>
        <v>-8</v>
      </c>
      <c r="M12" s="117">
        <f t="shared" si="1"/>
        <v>0</v>
      </c>
    </row>
    <row r="13" spans="4:13" x14ac:dyDescent="0.25">
      <c r="E13" s="17" t="s">
        <v>49</v>
      </c>
      <c r="F13" s="152">
        <f>MAX(A:A)</f>
        <v>0</v>
      </c>
      <c r="G13" s="96">
        <f>MAX(B:B)</f>
        <v>0</v>
      </c>
      <c r="I13">
        <f t="shared" si="0"/>
        <v>-6.5</v>
      </c>
      <c r="J13">
        <v>0</v>
      </c>
      <c r="L13">
        <f t="shared" si="2"/>
        <v>-7</v>
      </c>
      <c r="M13" s="117">
        <f t="shared" si="1"/>
        <v>0</v>
      </c>
    </row>
    <row r="14" spans="4:13" x14ac:dyDescent="0.25">
      <c r="I14">
        <f t="shared" si="0"/>
        <v>-5.5</v>
      </c>
      <c r="J14">
        <v>0</v>
      </c>
      <c r="L14">
        <f t="shared" si="2"/>
        <v>-6</v>
      </c>
      <c r="M14" s="117">
        <f t="shared" si="1"/>
        <v>0</v>
      </c>
    </row>
    <row r="15" spans="4:13" x14ac:dyDescent="0.25">
      <c r="I15">
        <f t="shared" si="0"/>
        <v>-4.5</v>
      </c>
      <c r="J15">
        <v>0</v>
      </c>
      <c r="L15">
        <f t="shared" si="2"/>
        <v>-5</v>
      </c>
      <c r="M15" s="117">
        <f t="shared" si="1"/>
        <v>0</v>
      </c>
    </row>
    <row r="16" spans="4:13" x14ac:dyDescent="0.25">
      <c r="D16" s="148" t="s">
        <v>56</v>
      </c>
      <c r="E16" s="144"/>
      <c r="F16" s="4"/>
      <c r="G16" s="5"/>
      <c r="I16">
        <f t="shared" si="0"/>
        <v>-3.5</v>
      </c>
      <c r="J16">
        <v>0</v>
      </c>
      <c r="L16">
        <f t="shared" si="2"/>
        <v>-4</v>
      </c>
      <c r="M16" s="117">
        <f t="shared" si="1"/>
        <v>0</v>
      </c>
    </row>
    <row r="17" spans="4:13" x14ac:dyDescent="0.25">
      <c r="D17" s="75" t="s">
        <v>55</v>
      </c>
      <c r="E17" s="92" t="s">
        <v>104</v>
      </c>
      <c r="F17" s="4" t="s">
        <v>58</v>
      </c>
      <c r="G17" s="5"/>
      <c r="I17">
        <f t="shared" si="0"/>
        <v>-2.5</v>
      </c>
      <c r="J17">
        <v>0</v>
      </c>
      <c r="L17">
        <f t="shared" si="2"/>
        <v>-3</v>
      </c>
      <c r="M17" s="117">
        <f t="shared" si="1"/>
        <v>0</v>
      </c>
    </row>
    <row r="18" spans="4:13" x14ac:dyDescent="0.25">
      <c r="D18" s="6" t="s">
        <v>16</v>
      </c>
      <c r="E18" s="6" t="s">
        <v>105</v>
      </c>
      <c r="F18" s="37" t="s">
        <v>98</v>
      </c>
      <c r="G18" s="37" t="s">
        <v>103</v>
      </c>
      <c r="I18">
        <f t="shared" si="0"/>
        <v>-1.5</v>
      </c>
      <c r="J18">
        <v>0</v>
      </c>
      <c r="L18">
        <f t="shared" si="2"/>
        <v>-2</v>
      </c>
      <c r="M18" s="118">
        <f t="shared" si="1"/>
        <v>0</v>
      </c>
    </row>
    <row r="19" spans="4:13" x14ac:dyDescent="0.25">
      <c r="D19" s="9" t="str">
        <f>Probabilities!B5</f>
        <v>AAA</v>
      </c>
      <c r="E19" s="153">
        <f>Probabilities!J5</f>
        <v>1E-4</v>
      </c>
      <c r="F19" s="95" t="e">
        <f t="shared" ref="F19:F24" si="3">-SMALL(A:A,E19*N)</f>
        <v>#NUM!</v>
      </c>
      <c r="G19" s="95" t="e">
        <f t="shared" ref="G19:G24" si="4">-SMALL(B:B,E19*N)</f>
        <v>#NUM!</v>
      </c>
      <c r="I19">
        <f t="shared" si="0"/>
        <v>-0.5</v>
      </c>
      <c r="J19">
        <v>0</v>
      </c>
      <c r="L19">
        <f t="shared" si="2"/>
        <v>-1</v>
      </c>
      <c r="M19" s="118">
        <f t="shared" si="1"/>
        <v>0</v>
      </c>
    </row>
    <row r="20" spans="4:13" x14ac:dyDescent="0.25">
      <c r="D20" s="9" t="str">
        <f>Probabilities!B6</f>
        <v>AA</v>
      </c>
      <c r="E20" s="154">
        <f>Probabilities!J6</f>
        <v>2.0000000000000001E-4</v>
      </c>
      <c r="F20" s="95" t="e">
        <f t="shared" si="3"/>
        <v>#NUM!</v>
      </c>
      <c r="G20" s="95" t="e">
        <f t="shared" si="4"/>
        <v>#NUM!</v>
      </c>
      <c r="I20">
        <f t="shared" si="0"/>
        <v>0.5</v>
      </c>
      <c r="J20">
        <v>0</v>
      </c>
      <c r="L20">
        <f t="shared" si="2"/>
        <v>0</v>
      </c>
      <c r="M20" s="118">
        <f t="shared" si="1"/>
        <v>0</v>
      </c>
    </row>
    <row r="21" spans="4:13" x14ac:dyDescent="0.25">
      <c r="D21" s="9" t="str">
        <f>Probabilities!B7</f>
        <v>A</v>
      </c>
      <c r="E21" s="154">
        <f>Probabilities!J7</f>
        <v>5.9999999999999995E-4</v>
      </c>
      <c r="F21" s="95" t="e">
        <f t="shared" si="3"/>
        <v>#NUM!</v>
      </c>
      <c r="G21" s="95" t="e">
        <f t="shared" si="4"/>
        <v>#NUM!</v>
      </c>
      <c r="I21">
        <f t="shared" si="0"/>
        <v>1.5</v>
      </c>
      <c r="J21">
        <v>0</v>
      </c>
      <c r="L21">
        <f t="shared" si="2"/>
        <v>1</v>
      </c>
      <c r="M21" s="118">
        <f t="shared" si="1"/>
        <v>0</v>
      </c>
    </row>
    <row r="22" spans="4:13" x14ac:dyDescent="0.25">
      <c r="D22" s="9" t="str">
        <f>Probabilities!B8</f>
        <v>BBB</v>
      </c>
      <c r="E22" s="154">
        <f>Probabilities!J8</f>
        <v>1.8E-3</v>
      </c>
      <c r="F22" s="95" t="e">
        <f t="shared" si="3"/>
        <v>#NUM!</v>
      </c>
      <c r="G22" s="95" t="e">
        <f t="shared" si="4"/>
        <v>#NUM!</v>
      </c>
      <c r="I22">
        <f t="shared" si="0"/>
        <v>2.5</v>
      </c>
      <c r="J22">
        <v>0</v>
      </c>
      <c r="L22">
        <f t="shared" si="2"/>
        <v>2</v>
      </c>
      <c r="M22" s="117">
        <f t="shared" si="1"/>
        <v>0</v>
      </c>
    </row>
    <row r="23" spans="4:13" x14ac:dyDescent="0.25">
      <c r="D23" s="9" t="str">
        <f>Probabilities!B9</f>
        <v>BB</v>
      </c>
      <c r="E23" s="154">
        <f>Probabilities!J9</f>
        <v>1.06E-2</v>
      </c>
      <c r="F23" s="95" t="e">
        <f t="shared" si="3"/>
        <v>#NUM!</v>
      </c>
      <c r="G23" s="95" t="e">
        <f t="shared" si="4"/>
        <v>#NUM!</v>
      </c>
      <c r="I23">
        <f t="shared" si="0"/>
        <v>3.5</v>
      </c>
      <c r="J23">
        <v>0</v>
      </c>
      <c r="L23">
        <f t="shared" si="2"/>
        <v>3</v>
      </c>
      <c r="M23" s="117">
        <f t="shared" si="1"/>
        <v>0</v>
      </c>
    </row>
    <row r="24" spans="4:13" x14ac:dyDescent="0.25">
      <c r="D24" s="16" t="str">
        <f>Probabilities!B10</f>
        <v>B</v>
      </c>
      <c r="E24" s="155">
        <f>Probabilities!J10</f>
        <v>4.9399999999999999E-2</v>
      </c>
      <c r="F24" s="96" t="e">
        <f t="shared" si="3"/>
        <v>#NUM!</v>
      </c>
      <c r="G24" s="96" t="e">
        <f t="shared" si="4"/>
        <v>#NUM!</v>
      </c>
      <c r="J24">
        <v>0</v>
      </c>
      <c r="L24" s="1" t="s">
        <v>53</v>
      </c>
      <c r="M24" s="117">
        <f t="shared" si="1"/>
        <v>0</v>
      </c>
    </row>
    <row r="26" spans="4:13" x14ac:dyDescent="0.25">
      <c r="J26" s="136">
        <f>SUM(J4:J24)</f>
        <v>0</v>
      </c>
    </row>
    <row r="29" spans="4:13" x14ac:dyDescent="0.25">
      <c r="I29" s="2" t="s">
        <v>51</v>
      </c>
      <c r="J29" s="2" t="s">
        <v>27</v>
      </c>
    </row>
    <row r="30" spans="4:13" x14ac:dyDescent="0.25">
      <c r="I30">
        <v>-10.25</v>
      </c>
      <c r="J30">
        <f t="array" ref="J30:J42">FREQUENCY(A:A,I30:I41)</f>
        <v>0</v>
      </c>
      <c r="L30" s="1" t="s">
        <v>54</v>
      </c>
      <c r="M30">
        <f>SUM(J$30:J30)/N</f>
        <v>0</v>
      </c>
    </row>
    <row r="31" spans="4:13" x14ac:dyDescent="0.25">
      <c r="I31">
        <f>I30+0.5</f>
        <v>-9.75</v>
      </c>
      <c r="J31">
        <v>0</v>
      </c>
      <c r="L31">
        <v>-10</v>
      </c>
      <c r="M31">
        <f>SUM(J$30:J31)/N</f>
        <v>0</v>
      </c>
    </row>
    <row r="32" spans="4:13" x14ac:dyDescent="0.25">
      <c r="I32">
        <f t="shared" ref="I32:I41" si="5">I31+0.5</f>
        <v>-9.25</v>
      </c>
      <c r="J32">
        <v>0</v>
      </c>
      <c r="L32">
        <f>L31+0.5</f>
        <v>-9.5</v>
      </c>
      <c r="M32">
        <f>SUM(J$30:J32)/N</f>
        <v>0</v>
      </c>
    </row>
    <row r="33" spans="9:13" x14ac:dyDescent="0.25">
      <c r="I33">
        <f t="shared" si="5"/>
        <v>-8.75</v>
      </c>
      <c r="J33">
        <v>0</v>
      </c>
      <c r="L33">
        <f t="shared" ref="L33:L41" si="6">L32+0.5</f>
        <v>-9</v>
      </c>
      <c r="M33">
        <f>SUM(J$30:J33)/N</f>
        <v>0</v>
      </c>
    </row>
    <row r="34" spans="9:13" x14ac:dyDescent="0.25">
      <c r="I34">
        <f t="shared" si="5"/>
        <v>-8.25</v>
      </c>
      <c r="J34">
        <v>0</v>
      </c>
      <c r="L34">
        <f t="shared" si="6"/>
        <v>-8.5</v>
      </c>
      <c r="M34">
        <f>SUM(J$30:J34)/N</f>
        <v>0</v>
      </c>
    </row>
    <row r="35" spans="9:13" x14ac:dyDescent="0.25">
      <c r="I35">
        <f t="shared" si="5"/>
        <v>-7.75</v>
      </c>
      <c r="J35">
        <v>0</v>
      </c>
      <c r="L35">
        <f t="shared" si="6"/>
        <v>-8</v>
      </c>
      <c r="M35">
        <f>SUM(J$30:J35)/N</f>
        <v>0</v>
      </c>
    </row>
    <row r="36" spans="9:13" x14ac:dyDescent="0.25">
      <c r="I36">
        <f t="shared" si="5"/>
        <v>-7.25</v>
      </c>
      <c r="J36">
        <v>0</v>
      </c>
      <c r="L36">
        <f t="shared" si="6"/>
        <v>-7.5</v>
      </c>
      <c r="M36">
        <f>SUM(J$30:J36)/N</f>
        <v>0</v>
      </c>
    </row>
    <row r="37" spans="9:13" x14ac:dyDescent="0.25">
      <c r="I37">
        <f t="shared" si="5"/>
        <v>-6.75</v>
      </c>
      <c r="J37">
        <v>0</v>
      </c>
      <c r="L37">
        <f t="shared" si="6"/>
        <v>-7</v>
      </c>
      <c r="M37">
        <f>SUM(J$30:J37)/N</f>
        <v>0</v>
      </c>
    </row>
    <row r="38" spans="9:13" x14ac:dyDescent="0.25">
      <c r="I38">
        <f t="shared" si="5"/>
        <v>-6.25</v>
      </c>
      <c r="J38">
        <v>0</v>
      </c>
      <c r="L38">
        <f t="shared" si="6"/>
        <v>-6.5</v>
      </c>
      <c r="M38">
        <f>SUM(J$30:J38)/N</f>
        <v>0</v>
      </c>
    </row>
    <row r="39" spans="9:13" x14ac:dyDescent="0.25">
      <c r="I39">
        <f t="shared" si="5"/>
        <v>-5.75</v>
      </c>
      <c r="J39">
        <v>0</v>
      </c>
      <c r="L39">
        <f t="shared" si="6"/>
        <v>-6</v>
      </c>
      <c r="M39">
        <f>SUM(J$30:J39)/N</f>
        <v>0</v>
      </c>
    </row>
    <row r="40" spans="9:13" x14ac:dyDescent="0.25">
      <c r="I40">
        <f t="shared" si="5"/>
        <v>-5.25</v>
      </c>
      <c r="J40">
        <v>0</v>
      </c>
      <c r="L40">
        <f t="shared" si="6"/>
        <v>-5.5</v>
      </c>
      <c r="M40">
        <f>SUM(J$30:J40)/N</f>
        <v>0</v>
      </c>
    </row>
    <row r="41" spans="9:13" x14ac:dyDescent="0.25">
      <c r="I41">
        <f t="shared" si="5"/>
        <v>-4.75</v>
      </c>
      <c r="J41">
        <v>0</v>
      </c>
      <c r="L41">
        <f t="shared" si="6"/>
        <v>-5</v>
      </c>
      <c r="M41">
        <f>SUM(J$30:J41)/N</f>
        <v>0</v>
      </c>
    </row>
    <row r="42" spans="9:13" x14ac:dyDescent="0.25">
      <c r="J42">
        <v>0</v>
      </c>
    </row>
    <row r="44" spans="9:13" x14ac:dyDescent="0.25">
      <c r="J44" s="136">
        <f>SUM(J30:J42)</f>
        <v>0</v>
      </c>
    </row>
  </sheetData>
  <sheetCalcPr fullCalcOnLoad="1"/>
  <pageMargins left="0.75" right="0.75" top="1" bottom="1" header="0.5" footer="0.5"/>
  <pageSetup scale="57" orientation="landscape" horizontalDpi="300" verticalDpi="300" r:id="rId1"/>
  <headerFooter alignWithMargins="0">
    <oddFooter>&amp;C&amp;A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MonteCarlo">
                <anchor moveWithCells="1" sizeWithCells="1">
                  <from>
                    <xdr:col>3</xdr:col>
                    <xdr:colOff>82550</xdr:colOff>
                    <xdr:row>1</xdr:row>
                    <xdr:rowOff>19050</xdr:rowOff>
                  </from>
                  <to>
                    <xdr:col>7</xdr:col>
                    <xdr:colOff>0</xdr:colOff>
                    <xdr:row>3</xdr:row>
                    <xdr:rowOff>25400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16"/>
  <sheetViews>
    <sheetView workbookViewId="0"/>
  </sheetViews>
  <sheetFormatPr defaultRowHeight="12.5" x14ac:dyDescent="0.25"/>
  <sheetData>
    <row r="1" spans="1:1" x14ac:dyDescent="0.25">
      <c r="A1" t="s">
        <v>128</v>
      </c>
    </row>
    <row r="2" spans="1:1" x14ac:dyDescent="0.25">
      <c r="A2" t="s">
        <v>129</v>
      </c>
    </row>
    <row r="3" spans="1:1" x14ac:dyDescent="0.25">
      <c r="A3" t="s">
        <v>130</v>
      </c>
    </row>
    <row r="4" spans="1:1" x14ac:dyDescent="0.25">
      <c r="A4" t="s">
        <v>131</v>
      </c>
    </row>
    <row r="5" spans="1:1" x14ac:dyDescent="0.25">
      <c r="A5" t="s">
        <v>132</v>
      </c>
    </row>
    <row r="6" spans="1:1" x14ac:dyDescent="0.25">
      <c r="A6" t="s">
        <v>133</v>
      </c>
    </row>
    <row r="7" spans="1:1" x14ac:dyDescent="0.25">
      <c r="A7" t="s">
        <v>134</v>
      </c>
    </row>
    <row r="8" spans="1:1" x14ac:dyDescent="0.25">
      <c r="A8" t="s">
        <v>135</v>
      </c>
    </row>
    <row r="9" spans="1:1" x14ac:dyDescent="0.25">
      <c r="A9" t="s">
        <v>136</v>
      </c>
    </row>
    <row r="10" spans="1:1" x14ac:dyDescent="0.25">
      <c r="A10" t="s">
        <v>137</v>
      </c>
    </row>
    <row r="11" spans="1:1" x14ac:dyDescent="0.25">
      <c r="A11" t="s">
        <v>138</v>
      </c>
    </row>
    <row r="12" spans="1:1" x14ac:dyDescent="0.25">
      <c r="A12" t="s">
        <v>139</v>
      </c>
    </row>
    <row r="13" spans="1:1" x14ac:dyDescent="0.25">
      <c r="A13" t="s">
        <v>140</v>
      </c>
    </row>
    <row r="14" spans="1:1" x14ac:dyDescent="0.25">
      <c r="A14" t="s">
        <v>141</v>
      </c>
    </row>
    <row r="15" spans="1:1" x14ac:dyDescent="0.25">
      <c r="A15" t="s">
        <v>142</v>
      </c>
    </row>
    <row r="16" spans="1:1" x14ac:dyDescent="0.25">
      <c r="A16" t="s">
        <v>143</v>
      </c>
    </row>
  </sheetData>
  <pageMargins left="0.75" right="0.75" top="1" bottom="1" header="0.5" footer="0.5"/>
  <pageSetup orientation="portrait" horizontalDpi="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Instructions</vt:lpstr>
      <vt:lpstr>Hw1</vt:lpstr>
      <vt:lpstr>Values</vt:lpstr>
      <vt:lpstr>Probabilities</vt:lpstr>
      <vt:lpstr>Correlations</vt:lpstr>
      <vt:lpstr>Simulation Run</vt:lpstr>
      <vt:lpstr>Results</vt:lpstr>
      <vt:lpstr>VBA code backup</vt:lpstr>
      <vt:lpstr>N</vt:lpstr>
    </vt:vector>
  </TitlesOfParts>
  <Company>Ilze Arajs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Ilze Arajs</dc:creator>
  <cp:lastModifiedBy>Carina Negreanu</cp:lastModifiedBy>
  <cp:lastPrinted>2002-05-08T21:35:01Z</cp:lastPrinted>
  <dcterms:created xsi:type="dcterms:W3CDTF">2000-12-06T11:13:55Z</dcterms:created>
  <dcterms:modified xsi:type="dcterms:W3CDTF">2020-01-27T11:43:24Z</dcterms:modified>
</cp:coreProperties>
</file>