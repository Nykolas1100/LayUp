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D8B02D-7927-4C19-AF9A-852611712812}" xr6:coauthVersionLast="45" xr6:coauthVersionMax="45" xr10:uidLastSave="{00000000-0000-0000-0000-000000000000}"/>
  <bookViews>
    <workbookView xWindow="3420" yWindow="3420" windowWidth="28800" windowHeight="15460"/>
  </bookViews>
  <sheets>
    <sheet name="Mid West" sheetId="1" r:id="rId1"/>
    <sheet name="Ed T" sheetId="2" r:id="rId2"/>
    <sheet name="Eq R" sheetId="3" r:id="rId3"/>
  </sheets>
  <definedNames>
    <definedName name="_xlnm.Print_Area" localSheetId="1">'Ed T'!$B$1:$M$30</definedName>
    <definedName name="_xlnm.Print_Area" localSheetId="2">'Eq R'!$B$1:$M$20</definedName>
    <definedName name="_xlnm.Print_Area" localSheetId="0">'Mid West'!$B$1:$M$48</definedName>
    <definedName name="_xlnm.Print_Titles" localSheetId="1">'Ed T'!$1:$1</definedName>
    <definedName name="_xlnm.Print_Titles" localSheetId="2">'Eq R'!$1:$1</definedName>
    <definedName name="_xlnm.Print_Titles" localSheetId="0">'Mid West'!$1:$1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0" i="2" l="1"/>
  <c r="E20" i="3"/>
  <c r="E48" i="1"/>
</calcChain>
</file>

<file path=xl/sharedStrings.xml><?xml version="1.0" encoding="utf-8"?>
<sst xmlns="http://schemas.openxmlformats.org/spreadsheetml/2006/main" count="1054" uniqueCount="332">
  <si>
    <t>ID</t>
  </si>
  <si>
    <t>Organisation</t>
  </si>
  <si>
    <t>Purpose of Grant</t>
  </si>
  <si>
    <t>Address 1</t>
  </si>
  <si>
    <t>Address 2</t>
  </si>
  <si>
    <t>Address 3</t>
  </si>
  <si>
    <t>County</t>
  </si>
  <si>
    <t>Phone</t>
  </si>
  <si>
    <t>Amount Recommended</t>
  </si>
  <si>
    <t>Thomondgate Senior Citizens</t>
  </si>
  <si>
    <t>to purhcase chairs and kitchen equipment. (no grant for refurbishment of premises)</t>
  </si>
  <si>
    <t>MRS</t>
  </si>
  <si>
    <t>Philomena</t>
  </si>
  <si>
    <t>Quigley</t>
  </si>
  <si>
    <t>c/o Cill Léala</t>
  </si>
  <si>
    <t>New Road</t>
  </si>
  <si>
    <t>Thomondgate</t>
  </si>
  <si>
    <t/>
  </si>
  <si>
    <t>Co Limerick</t>
  </si>
  <si>
    <t>061 453104</t>
  </si>
  <si>
    <t>Rehabcare Nenagh/Ormond Resource</t>
  </si>
  <si>
    <t>MS</t>
  </si>
  <si>
    <t>Sinéad</t>
  </si>
  <si>
    <t>Ni Dhomhnaill</t>
  </si>
  <si>
    <t>1 William St</t>
  </si>
  <si>
    <t>Nenagh</t>
  </si>
  <si>
    <t>Co Tipperary</t>
  </si>
  <si>
    <t>067 43459</t>
  </si>
  <si>
    <t>Congress Information &amp; Opportunity Centre</t>
  </si>
  <si>
    <t>Towards cost of computers, printers and associated IT equipment</t>
  </si>
  <si>
    <t>MR</t>
  </si>
  <si>
    <t>Peadar</t>
  </si>
  <si>
    <t>McNamara</t>
  </si>
  <si>
    <t>Inch</t>
  </si>
  <si>
    <t>Co Clare</t>
  </si>
  <si>
    <t>065 6841009</t>
  </si>
  <si>
    <t>St Munchins Action Centre</t>
  </si>
  <si>
    <t>To provide computer and literacy training to the unemployed and youth of the area.</t>
  </si>
  <si>
    <t>John</t>
  </si>
  <si>
    <t>Cronin</t>
  </si>
  <si>
    <t>48 Bellfield Crescent</t>
  </si>
  <si>
    <t>Limerick</t>
  </si>
  <si>
    <t>061 325208</t>
  </si>
  <si>
    <t>Women's Project Team</t>
  </si>
  <si>
    <t>Towards cost of running a series of courses as part of the adult education project</t>
  </si>
  <si>
    <t>Sal</t>
  </si>
  <si>
    <t>Slattery</t>
  </si>
  <si>
    <t>Kilbitter</t>
  </si>
  <si>
    <t>Coolbawn</t>
  </si>
  <si>
    <t>Rathkeale Parents Club</t>
  </si>
  <si>
    <t>Funding required for a list of courses, - including,first aid, literacy, homework clubs, self awarness</t>
  </si>
  <si>
    <t>Ide</t>
  </si>
  <si>
    <t>Meade</t>
  </si>
  <si>
    <t>St Annes Primary School</t>
  </si>
  <si>
    <t>Rathkeale</t>
  </si>
  <si>
    <t>Tipperary Centre for Independent Living</t>
  </si>
  <si>
    <t>Towards cost of refurbishing  office</t>
  </si>
  <si>
    <t>Jim</t>
  </si>
  <si>
    <t>Casey</t>
  </si>
  <si>
    <t>Unit 3c, Shannon Development</t>
  </si>
  <si>
    <t>Stradavoher</t>
  </si>
  <si>
    <t>Thurles</t>
  </si>
  <si>
    <t>Ennis Traveller Women's Group</t>
  </si>
  <si>
    <t>To provide training in health and personal development</t>
  </si>
  <si>
    <t>Maureen</t>
  </si>
  <si>
    <t>Hald</t>
  </si>
  <si>
    <t>Community Outreach Workers</t>
  </si>
  <si>
    <t>Care Adult Education Group</t>
  </si>
  <si>
    <t>Towards  computer training courses.</t>
  </si>
  <si>
    <t>Peg</t>
  </si>
  <si>
    <t>Higgins</t>
  </si>
  <si>
    <t>212 Ballinacurre Gardens</t>
  </si>
  <si>
    <t>061 229009</t>
  </si>
  <si>
    <t>Towards personal development through Art and Craft.</t>
  </si>
  <si>
    <t>O'Malley Park Family Resource Centre</t>
  </si>
  <si>
    <t>To provide a brochure/information booklet for the public</t>
  </si>
  <si>
    <t>Mary</t>
  </si>
  <si>
    <t>Fitzpatrick</t>
  </si>
  <si>
    <t>267/268 Avondale Court</t>
  </si>
  <si>
    <t>O'Malley Park</t>
  </si>
  <si>
    <t>Southill</t>
  </si>
  <si>
    <t>Clare Youth Service</t>
  </si>
  <si>
    <t>Towards management skills, social analysis, media and leadership skills</t>
  </si>
  <si>
    <t>Elizabeth</t>
  </si>
  <si>
    <t>Dack</t>
  </si>
  <si>
    <t>Carmody Street</t>
  </si>
  <si>
    <t>Ennis</t>
  </si>
  <si>
    <t>Cloughleigh Residents Development Group</t>
  </si>
  <si>
    <t>Towards refurbishment of local Community Centre</t>
  </si>
  <si>
    <t>Noel</t>
  </si>
  <si>
    <t>Fawl</t>
  </si>
  <si>
    <t>35 Gordon Drive</t>
  </si>
  <si>
    <t>Men Overcoming Violence (MOVE) Limerick</t>
  </si>
  <si>
    <t>Jane</t>
  </si>
  <si>
    <t>O'Shea</t>
  </si>
  <si>
    <t>MOVE c/o Accord</t>
  </si>
  <si>
    <t>66 O'Connell Street</t>
  </si>
  <si>
    <t>Paddy</t>
  </si>
  <si>
    <t>Mason</t>
  </si>
  <si>
    <t>6 Island Road</t>
  </si>
  <si>
    <t>Assumpta Park</t>
  </si>
  <si>
    <t>061 440718</t>
  </si>
  <si>
    <t>OOLA ICA</t>
  </si>
  <si>
    <t>Towards the cost of self development courses</t>
  </si>
  <si>
    <t>Beary</t>
  </si>
  <si>
    <t>Church View</t>
  </si>
  <si>
    <t>OOLA</t>
  </si>
  <si>
    <t>062 47683</t>
  </si>
  <si>
    <t>Ceim ar Ceim - Moyross Probation Project</t>
  </si>
  <si>
    <t>Towards the cost of computers and software packages to include numeracy and literacy also Tutors and the co-ordination of the new outreach project.</t>
  </si>
  <si>
    <t>Elaine</t>
  </si>
  <si>
    <t>Unit 5, Shannon Development Units,</t>
  </si>
  <si>
    <t>Knockalisheen Road</t>
  </si>
  <si>
    <t>Moyross</t>
  </si>
  <si>
    <t>061 322122</t>
  </si>
  <si>
    <t>Shannon Family Resource Centre Ltd</t>
  </si>
  <si>
    <t>Towards purchase of office equipment and some kitchen equipment</t>
  </si>
  <si>
    <t>Sabrina</t>
  </si>
  <si>
    <t>Andreucetti</t>
  </si>
  <si>
    <t>North Office</t>
  </si>
  <si>
    <t>Lincora Apartments</t>
  </si>
  <si>
    <t>Shannon Town Centre</t>
  </si>
  <si>
    <t>Kilfinane Development Association</t>
  </si>
  <si>
    <t>To replace all the windows and door</t>
  </si>
  <si>
    <t>Anne</t>
  </si>
  <si>
    <t>Delaney</t>
  </si>
  <si>
    <t>West End</t>
  </si>
  <si>
    <t>Kilfinane</t>
  </si>
  <si>
    <t>Querrin ICA</t>
  </si>
  <si>
    <t>Towards computer training</t>
  </si>
  <si>
    <t>Shirley</t>
  </si>
  <si>
    <t>Liddane</t>
  </si>
  <si>
    <t>Querrin</t>
  </si>
  <si>
    <t>Kilkee</t>
  </si>
  <si>
    <t>Murroe Community Council</t>
  </si>
  <si>
    <t>To provide courses for elderly and disabled people in the area on diet, health, security, welfare and computer skills</t>
  </si>
  <si>
    <t>Mr</t>
  </si>
  <si>
    <t>Kevin</t>
  </si>
  <si>
    <t>Cusack</t>
  </si>
  <si>
    <t>Farnane</t>
  </si>
  <si>
    <t>Murroe</t>
  </si>
  <si>
    <t>Queen of Peace Communty Development Working Group</t>
  </si>
  <si>
    <t>Angela</t>
  </si>
  <si>
    <t>O Flynn</t>
  </si>
  <si>
    <t>22 Elm Place</t>
  </si>
  <si>
    <t>Rathbane</t>
  </si>
  <si>
    <t>061 415514</t>
  </si>
  <si>
    <t>Time on Your Hands Mens Group</t>
  </si>
  <si>
    <t>Molloy</t>
  </si>
  <si>
    <t>Drumakeenan</t>
  </si>
  <si>
    <t>Roscrea</t>
  </si>
  <si>
    <t>Chapel Lane Development Group</t>
  </si>
  <si>
    <t>Towards a needs analysis and capacity building and training for the new community group.</t>
  </si>
  <si>
    <t>Denis</t>
  </si>
  <si>
    <t>Carter</t>
  </si>
  <si>
    <t>Chapel Lane</t>
  </si>
  <si>
    <t>Ennis Rapid Community Assembly</t>
  </si>
  <si>
    <t>Computer Courses to target groups from disadvantaged area.</t>
  </si>
  <si>
    <t>Leonard</t>
  </si>
  <si>
    <t>Cleary</t>
  </si>
  <si>
    <t>An Fainne Corca Baiscinn Womens Group</t>
  </si>
  <si>
    <t>Towards computer courses and further education and training programmes</t>
  </si>
  <si>
    <t>Ms</t>
  </si>
  <si>
    <t>Theresa</t>
  </si>
  <si>
    <t>Hartigan</t>
  </si>
  <si>
    <t>Carrigaholt Co Op</t>
  </si>
  <si>
    <t>The Square</t>
  </si>
  <si>
    <t>Carrigaholt</t>
  </si>
  <si>
    <t>Watergate Muintir Community Council</t>
  </si>
  <si>
    <t>Towards courses in community leadership and computers</t>
  </si>
  <si>
    <t>Agnes</t>
  </si>
  <si>
    <t>Douglas</t>
  </si>
  <si>
    <t>16 Mungret Court</t>
  </si>
  <si>
    <t>Watergate Flats</t>
  </si>
  <si>
    <t>Limerick City</t>
  </si>
  <si>
    <t>085 7225504</t>
  </si>
  <si>
    <t>Bedford Row Family Project</t>
  </si>
  <si>
    <t>Towards the refurbishment of hall and purchase of computers and office equipment</t>
  </si>
  <si>
    <t>Peggy</t>
  </si>
  <si>
    <t>Collins</t>
  </si>
  <si>
    <t>Lower Redford Row</t>
  </si>
  <si>
    <t>The Blue Box Creative Learning Centre</t>
  </si>
  <si>
    <t>Mary Carmel</t>
  </si>
  <si>
    <t>O Donoghue</t>
  </si>
  <si>
    <t>House N0. 8</t>
  </si>
  <si>
    <t>Limerick Enterprise Development Park</t>
  </si>
  <si>
    <t>Roxboro</t>
  </si>
  <si>
    <t>061 315070</t>
  </si>
  <si>
    <t>St Munchins Family Resource Centre</t>
  </si>
  <si>
    <t>Personal development courses for women</t>
  </si>
  <si>
    <t>Sinead</t>
  </si>
  <si>
    <t>Daly</t>
  </si>
  <si>
    <t>26 Clonconnane Road</t>
  </si>
  <si>
    <t>Ballynanty</t>
  </si>
  <si>
    <t>Towards the cost of management skills</t>
  </si>
  <si>
    <t>Ruth</t>
  </si>
  <si>
    <t>Bourke</t>
  </si>
  <si>
    <t>Southill House</t>
  </si>
  <si>
    <t>Roxboro Road</t>
  </si>
  <si>
    <t>Community Prospect Team Kilrush</t>
  </si>
  <si>
    <t>Towards the provision of courses to include self-awareness, self-development, basic computer skills, arts and cooking.</t>
  </si>
  <si>
    <t>Geraldine</t>
  </si>
  <si>
    <t>O'Gorman</t>
  </si>
  <si>
    <t>Community Project Team Kilrush</t>
  </si>
  <si>
    <t>35 Sycamore Drive</t>
  </si>
  <si>
    <t>Kilrush</t>
  </si>
  <si>
    <t>Galbally Community Council Ltd</t>
  </si>
  <si>
    <t>Towards cost of computer training courses for Lone Parents and Disabled People</t>
  </si>
  <si>
    <t>Carol</t>
  </si>
  <si>
    <t>Obrien</t>
  </si>
  <si>
    <t>Ardrohan</t>
  </si>
  <si>
    <t>Galbally</t>
  </si>
  <si>
    <t>Caherconlish/Caherline Community Council Ltd</t>
  </si>
  <si>
    <t>Towards the cost of courses in leadership, conflict management, parenting skills, stress management and facilittion skills</t>
  </si>
  <si>
    <t>Noeline</t>
  </si>
  <si>
    <t>Ryan</t>
  </si>
  <si>
    <t>St Lukes</t>
  </si>
  <si>
    <t>Knockanea</t>
  </si>
  <si>
    <t>Caherconlish</t>
  </si>
  <si>
    <t>West Clare Early Years Care and Education Services Ltd</t>
  </si>
  <si>
    <t>Towards training management committee on policies and procedures</t>
  </si>
  <si>
    <t>Pat</t>
  </si>
  <si>
    <t>Kiernan</t>
  </si>
  <si>
    <t>Glebe House</t>
  </si>
  <si>
    <t>Grace Street</t>
  </si>
  <si>
    <t>Knockainey Ladies Club</t>
  </si>
  <si>
    <t>Towards classes in cookery, craft skills and computers</t>
  </si>
  <si>
    <t>Dolores</t>
  </si>
  <si>
    <t>Barry</t>
  </si>
  <si>
    <t>Gortacloona House</t>
  </si>
  <si>
    <t>Knockainey</t>
  </si>
  <si>
    <t>North Tipperary Disability Support Services</t>
  </si>
  <si>
    <t>Towards cost of a photocopier and fax</t>
  </si>
  <si>
    <t>Patricia</t>
  </si>
  <si>
    <t>Carroll</t>
  </si>
  <si>
    <t>Old Church</t>
  </si>
  <si>
    <t>Mill Street</t>
  </si>
  <si>
    <t>Borriskane</t>
  </si>
  <si>
    <t>067 27901</t>
  </si>
  <si>
    <t>ICA Ardagh Guild</t>
  </si>
  <si>
    <t>Towards self-help second chance education and personal development courses</t>
  </si>
  <si>
    <t>Joan</t>
  </si>
  <si>
    <t>Riordan</t>
  </si>
  <si>
    <t>Ballyine</t>
  </si>
  <si>
    <t>Newcastle West</t>
  </si>
  <si>
    <t>Crinniu na mBan</t>
  </si>
  <si>
    <t>Towards personal development and computer courses</t>
  </si>
  <si>
    <t>McDonagh</t>
  </si>
  <si>
    <t>Moyasta</t>
  </si>
  <si>
    <t>Cari Foundations</t>
  </si>
  <si>
    <t>Towards cost of courses in management training, core skills, leadership, and essential marketing management</t>
  </si>
  <si>
    <t>Nora</t>
  </si>
  <si>
    <t>O'Connor</t>
  </si>
  <si>
    <t>18A John Street</t>
  </si>
  <si>
    <t>061 310708</t>
  </si>
  <si>
    <t>Southill Women's Resource Group</t>
  </si>
  <si>
    <t>Towards cost of confidence building courses for women</t>
  </si>
  <si>
    <t>SR</t>
  </si>
  <si>
    <t>Carthage</t>
  </si>
  <si>
    <t>Kiely</t>
  </si>
  <si>
    <t>Good Shepherd Sisters</t>
  </si>
  <si>
    <t>33 Salvia Court</t>
  </si>
  <si>
    <t>Keyes Pk,  Southill</t>
  </si>
  <si>
    <t>North Tipperary Community Services</t>
  </si>
  <si>
    <t>Towards refurbishment of premises</t>
  </si>
  <si>
    <t>Loreto House</t>
  </si>
  <si>
    <t>Kenyon St</t>
  </si>
  <si>
    <t>MOVE(Men Overcoming Violence) North Tipperary</t>
  </si>
  <si>
    <t>Gerry</t>
  </si>
  <si>
    <t>Mitchell</t>
  </si>
  <si>
    <t>Irish Refugee Council</t>
  </si>
  <si>
    <t>Towards  purchase of office equipment.</t>
  </si>
  <si>
    <t>Aine</t>
  </si>
  <si>
    <t>Brady</t>
  </si>
  <si>
    <t>1 Bank Place</t>
  </si>
  <si>
    <t>065 6822026</t>
  </si>
  <si>
    <t xml:space="preserve"> First Name</t>
  </si>
  <si>
    <t xml:space="preserve"> Surname</t>
  </si>
  <si>
    <t xml:space="preserve"> Title</t>
  </si>
  <si>
    <t>Ennis West Partners, Orchard Lane</t>
  </si>
  <si>
    <t>Total Recommended</t>
  </si>
  <si>
    <t>soundproofing rooms and to purchase floor covering</t>
  </si>
  <si>
    <t>Irish Wheelchair Association</t>
  </si>
  <si>
    <t>Towards cost of refurbishing the kitchen and toilet</t>
  </si>
  <si>
    <t>Frank</t>
  </si>
  <si>
    <t>Farrell</t>
  </si>
  <si>
    <t>Hannon House</t>
  </si>
  <si>
    <t>Abbey Street</t>
  </si>
  <si>
    <t>0505 23229</t>
  </si>
  <si>
    <t>Towards the cost of a printer and overhead projector</t>
  </si>
  <si>
    <t>to purchase security shutters</t>
  </si>
  <si>
    <t>Funding towards furnishing premises.</t>
  </si>
  <si>
    <t>For materials/equipment for training course</t>
  </si>
  <si>
    <t>Towards computer training and purchase of equipment for same</t>
  </si>
  <si>
    <t>Grant</t>
  </si>
  <si>
    <t>Eq/ R</t>
  </si>
  <si>
    <t>Ed/ T&amp;R</t>
  </si>
  <si>
    <t>For 2nd chance education opportunities for people with learning disabilities to  experience learning through the medium of music</t>
  </si>
  <si>
    <t>069/64779</t>
  </si>
  <si>
    <t>086/6840235</t>
  </si>
  <si>
    <t>065/6823339</t>
  </si>
  <si>
    <t>061/440250</t>
  </si>
  <si>
    <t>065/6845350</t>
  </si>
  <si>
    <t>065/6841436</t>
  </si>
  <si>
    <t>065/6848689</t>
  </si>
  <si>
    <t>Kings Island Community Centre</t>
  </si>
  <si>
    <t>061 - 707600</t>
  </si>
  <si>
    <t>087 - 6435123</t>
  </si>
  <si>
    <t>065 - 9057032</t>
  </si>
  <si>
    <t>061 - 386508</t>
  </si>
  <si>
    <t>N/A</t>
  </si>
  <si>
    <t>065-6846222</t>
  </si>
  <si>
    <t>087 - 7557202</t>
  </si>
  <si>
    <t>061 - 315332</t>
  </si>
  <si>
    <t>Towards the cost of establishing a facility for the existing music therapist working with disadvantaged for personal development through music.</t>
  </si>
  <si>
    <t>061 - 326623</t>
  </si>
  <si>
    <t>Southill Integrated Development Programme - Adult Education Group</t>
  </si>
  <si>
    <t>061 - 415340</t>
  </si>
  <si>
    <t>065-9052587</t>
  </si>
  <si>
    <t>062/37169</t>
  </si>
  <si>
    <t>061 - 351331</t>
  </si>
  <si>
    <t>065 - 9051376</t>
  </si>
  <si>
    <t>061 - 383294</t>
  </si>
  <si>
    <t>069-62684</t>
  </si>
  <si>
    <t>087-2432927</t>
  </si>
  <si>
    <t>061-414918</t>
  </si>
  <si>
    <t>067-31800</t>
  </si>
  <si>
    <t>Heritage Centre Point, Ennis</t>
  </si>
  <si>
    <t>Unit 7, Quin Road Business Park</t>
  </si>
  <si>
    <t>Caherconlish/ Caherline Community Council Ltd</t>
  </si>
  <si>
    <t>Towards the cost of courses in leadership, conflict management, parenting skills, stress management and facilitation skills</t>
  </si>
  <si>
    <t>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</si>
</sst>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\€#,##0.00;\-\€#,##0.00"/>
  </numFmts>
  <fonts count="3" x14ac:knownFonts="1">
    <font>
      <sz val="10"/>
      <name val="Arial"/>
    </font>
    <font>
      <sz val="10"/>
      <color indexed="8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left" wrapText="1"/>
    </xf>
    <xf numFmtId="180" fontId="1" fillId="0" borderId="1" xfId="1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180" fontId="2" fillId="0" borderId="2" xfId="0" applyNumberFormat="1" applyFont="1" applyFill="1" applyBorder="1" applyAlignment="1">
      <alignment wrapText="1"/>
    </xf>
    <xf numFmtId="0" fontId="1" fillId="3" borderId="1" xfId="1" applyFont="1" applyFill="1" applyBorder="1" applyAlignment="1">
      <alignment horizontal="center" wrapText="1"/>
    </xf>
    <xf numFmtId="0" fontId="1" fillId="4" borderId="1" xfId="1" applyFont="1" applyFill="1" applyBorder="1" applyAlignment="1">
      <alignment horizontal="center" wrapText="1"/>
    </xf>
  </cellXfs>
  <cellStyles count="2">
    <cellStyle name="Normal" xfId="0" builtinId="0"/>
    <cellStyle name="Normal_Ed 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topLeftCell="E40" workbookViewId="0">
      <selection activeCell="F40" sqref="F1:F65536"/>
    </sheetView>
  </sheetViews>
  <sheetFormatPr defaultColWidth="5.453125" defaultRowHeight="12.5" x14ac:dyDescent="0.25"/>
  <cols>
    <col min="1" max="1" width="4.7265625" style="5" customWidth="1"/>
    <col min="2" max="2" width="19.54296875" style="5" customWidth="1"/>
    <col min="3" max="3" width="5.7265625" style="5" bestFit="1" customWidth="1"/>
    <col min="4" max="4" width="28.26953125" style="5" customWidth="1"/>
    <col min="5" max="5" width="13.54296875" style="5" bestFit="1" customWidth="1"/>
    <col min="6" max="6" width="5.1796875" style="5" bestFit="1" customWidth="1"/>
    <col min="7" max="7" width="9.7265625" style="5" bestFit="1" customWidth="1"/>
    <col min="8" max="8" width="10.453125" style="5" bestFit="1" customWidth="1"/>
    <col min="9" max="9" width="14.453125" style="5" bestFit="1" customWidth="1"/>
    <col min="10" max="10" width="10.54296875" style="5" customWidth="1"/>
    <col min="11" max="11" width="12.7265625" style="5" bestFit="1" customWidth="1"/>
    <col min="12" max="12" width="8.54296875" style="5" bestFit="1" customWidth="1"/>
    <col min="13" max="13" width="8" style="5" bestFit="1" customWidth="1"/>
    <col min="14" max="14" width="5.453125" customWidth="1"/>
    <col min="15" max="16384" width="5.453125" style="5"/>
  </cols>
  <sheetData>
    <row r="1" spans="1:14" ht="25" x14ac:dyDescent="0.25">
      <c r="A1" s="1" t="s">
        <v>0</v>
      </c>
      <c r="B1" s="1" t="s">
        <v>1</v>
      </c>
      <c r="C1" s="1" t="s">
        <v>294</v>
      </c>
      <c r="D1" s="1" t="s">
        <v>2</v>
      </c>
      <c r="E1" s="1" t="s">
        <v>8</v>
      </c>
      <c r="F1" s="1" t="s">
        <v>278</v>
      </c>
      <c r="G1" s="1" t="s">
        <v>276</v>
      </c>
      <c r="H1" s="1" t="s">
        <v>277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5"/>
    </row>
    <row r="2" spans="1:14" ht="37.5" x14ac:dyDescent="0.25">
      <c r="A2" s="2">
        <v>1221</v>
      </c>
      <c r="B2" s="3" t="s">
        <v>160</v>
      </c>
      <c r="C2" s="3" t="s">
        <v>296</v>
      </c>
      <c r="D2" s="3" t="s">
        <v>161</v>
      </c>
      <c r="E2" s="4">
        <v>4000</v>
      </c>
      <c r="F2" s="3" t="s">
        <v>162</v>
      </c>
      <c r="G2" s="3" t="s">
        <v>163</v>
      </c>
      <c r="H2" s="3" t="s">
        <v>164</v>
      </c>
      <c r="I2" s="3" t="s">
        <v>165</v>
      </c>
      <c r="J2" s="3" t="s">
        <v>166</v>
      </c>
      <c r="K2" s="3" t="s">
        <v>167</v>
      </c>
      <c r="L2" s="3" t="s">
        <v>34</v>
      </c>
      <c r="M2" s="3" t="s">
        <v>312</v>
      </c>
      <c r="N2" s="5"/>
    </row>
    <row r="3" spans="1:14" ht="37.5" x14ac:dyDescent="0.25">
      <c r="A3" s="2">
        <v>1327</v>
      </c>
      <c r="B3" s="3" t="s">
        <v>176</v>
      </c>
      <c r="C3" s="3" t="s">
        <v>295</v>
      </c>
      <c r="D3" s="3" t="s">
        <v>177</v>
      </c>
      <c r="E3" s="4">
        <v>10000</v>
      </c>
      <c r="F3" s="3" t="s">
        <v>162</v>
      </c>
      <c r="G3" s="3" t="s">
        <v>178</v>
      </c>
      <c r="H3" s="3" t="s">
        <v>179</v>
      </c>
      <c r="I3" s="3" t="s">
        <v>176</v>
      </c>
      <c r="J3" s="3" t="s">
        <v>180</v>
      </c>
      <c r="K3" s="3" t="s">
        <v>41</v>
      </c>
      <c r="L3" s="3" t="s">
        <v>18</v>
      </c>
      <c r="M3" s="3" t="s">
        <v>313</v>
      </c>
      <c r="N3" s="5"/>
    </row>
    <row r="4" spans="1:14" ht="50" x14ac:dyDescent="0.25">
      <c r="A4" s="2">
        <v>1745</v>
      </c>
      <c r="B4" s="3" t="s">
        <v>329</v>
      </c>
      <c r="C4" s="3" t="s">
        <v>296</v>
      </c>
      <c r="D4" s="3" t="s">
        <v>213</v>
      </c>
      <c r="E4" s="4">
        <v>2500</v>
      </c>
      <c r="F4" s="3" t="s">
        <v>162</v>
      </c>
      <c r="G4" s="3" t="s">
        <v>214</v>
      </c>
      <c r="H4" s="3" t="s">
        <v>215</v>
      </c>
      <c r="I4" s="3" t="s">
        <v>216</v>
      </c>
      <c r="J4" s="3" t="s">
        <v>217</v>
      </c>
      <c r="K4" s="3" t="s">
        <v>218</v>
      </c>
      <c r="L4" s="3" t="s">
        <v>18</v>
      </c>
      <c r="M4" s="3" t="s">
        <v>320</v>
      </c>
      <c r="N4" s="5"/>
    </row>
    <row r="5" spans="1:14" ht="25" x14ac:dyDescent="0.25">
      <c r="A5" s="2">
        <v>151</v>
      </c>
      <c r="B5" s="3" t="s">
        <v>67</v>
      </c>
      <c r="C5" s="3" t="s">
        <v>296</v>
      </c>
      <c r="D5" s="3" t="s">
        <v>68</v>
      </c>
      <c r="E5" s="4">
        <v>1400</v>
      </c>
      <c r="F5" s="3" t="s">
        <v>162</v>
      </c>
      <c r="G5" s="3" t="s">
        <v>69</v>
      </c>
      <c r="H5" s="3" t="s">
        <v>70</v>
      </c>
      <c r="I5" s="3" t="s">
        <v>71</v>
      </c>
      <c r="J5" s="3" t="s">
        <v>41</v>
      </c>
      <c r="K5" s="3" t="s">
        <v>17</v>
      </c>
      <c r="L5" s="3" t="s">
        <v>18</v>
      </c>
      <c r="M5" s="3" t="s">
        <v>72</v>
      </c>
      <c r="N5" s="5"/>
    </row>
    <row r="6" spans="1:14" ht="25" x14ac:dyDescent="0.25">
      <c r="A6" s="2">
        <v>153</v>
      </c>
      <c r="B6" s="3" t="s">
        <v>67</v>
      </c>
      <c r="C6" s="3" t="s">
        <v>296</v>
      </c>
      <c r="D6" s="3" t="s">
        <v>73</v>
      </c>
      <c r="E6" s="4">
        <v>700</v>
      </c>
      <c r="F6" s="3" t="s">
        <v>162</v>
      </c>
      <c r="G6" s="3" t="s">
        <v>69</v>
      </c>
      <c r="H6" s="3" t="s">
        <v>70</v>
      </c>
      <c r="I6" s="3" t="s">
        <v>71</v>
      </c>
      <c r="J6" s="3" t="s">
        <v>41</v>
      </c>
      <c r="K6" s="3" t="s">
        <v>17</v>
      </c>
      <c r="L6" s="3" t="s">
        <v>18</v>
      </c>
      <c r="M6" s="3" t="s">
        <v>72</v>
      </c>
      <c r="N6" s="5"/>
    </row>
    <row r="7" spans="1:14" ht="50" x14ac:dyDescent="0.25">
      <c r="A7" s="2">
        <v>2125</v>
      </c>
      <c r="B7" s="3" t="s">
        <v>249</v>
      </c>
      <c r="C7" s="3" t="s">
        <v>296</v>
      </c>
      <c r="D7" s="3" t="s">
        <v>250</v>
      </c>
      <c r="E7" s="4">
        <v>4000</v>
      </c>
      <c r="F7" s="3" t="s">
        <v>162</v>
      </c>
      <c r="G7" s="3" t="s">
        <v>251</v>
      </c>
      <c r="H7" s="3" t="s">
        <v>252</v>
      </c>
      <c r="I7" s="3" t="s">
        <v>253</v>
      </c>
      <c r="J7" s="3" t="s">
        <v>41</v>
      </c>
      <c r="K7" s="3" t="s">
        <v>17</v>
      </c>
      <c r="L7" s="3" t="s">
        <v>18</v>
      </c>
      <c r="M7" s="3" t="s">
        <v>254</v>
      </c>
      <c r="N7" s="5"/>
    </row>
    <row r="8" spans="1:14" ht="62.5" x14ac:dyDescent="0.25">
      <c r="A8" s="2">
        <v>751</v>
      </c>
      <c r="B8" s="3" t="s">
        <v>108</v>
      </c>
      <c r="C8" s="3" t="s">
        <v>295</v>
      </c>
      <c r="D8" s="3" t="s">
        <v>109</v>
      </c>
      <c r="E8" s="4">
        <v>10000</v>
      </c>
      <c r="F8" s="3" t="s">
        <v>162</v>
      </c>
      <c r="G8" s="3" t="s">
        <v>110</v>
      </c>
      <c r="H8" s="3" t="s">
        <v>46</v>
      </c>
      <c r="I8" s="3" t="s">
        <v>111</v>
      </c>
      <c r="J8" s="3" t="s">
        <v>112</v>
      </c>
      <c r="K8" s="3" t="s">
        <v>113</v>
      </c>
      <c r="L8" s="3" t="s">
        <v>18</v>
      </c>
      <c r="M8" s="3" t="s">
        <v>114</v>
      </c>
      <c r="N8" s="5"/>
    </row>
    <row r="9" spans="1:14" ht="37.5" x14ac:dyDescent="0.25">
      <c r="A9" s="2">
        <v>1074</v>
      </c>
      <c r="B9" s="3" t="s">
        <v>151</v>
      </c>
      <c r="C9" s="3" t="s">
        <v>296</v>
      </c>
      <c r="D9" s="3" t="s">
        <v>152</v>
      </c>
      <c r="E9" s="4">
        <v>4000</v>
      </c>
      <c r="F9" s="3" t="s">
        <v>136</v>
      </c>
      <c r="G9" s="3" t="s">
        <v>153</v>
      </c>
      <c r="H9" s="3" t="s">
        <v>154</v>
      </c>
      <c r="I9" s="3" t="s">
        <v>151</v>
      </c>
      <c r="J9" s="3" t="s">
        <v>155</v>
      </c>
      <c r="K9" s="3" t="s">
        <v>150</v>
      </c>
      <c r="L9" s="3" t="s">
        <v>26</v>
      </c>
      <c r="M9" s="3" t="s">
        <v>310</v>
      </c>
      <c r="N9" s="5"/>
    </row>
    <row r="10" spans="1:14" ht="37.5" x14ac:dyDescent="0.25">
      <c r="A10" s="2">
        <v>254</v>
      </c>
      <c r="B10" s="3" t="s">
        <v>81</v>
      </c>
      <c r="C10" s="3" t="s">
        <v>296</v>
      </c>
      <c r="D10" s="3" t="s">
        <v>82</v>
      </c>
      <c r="E10" s="4">
        <v>3600</v>
      </c>
      <c r="F10" s="3" t="s">
        <v>162</v>
      </c>
      <c r="G10" s="3" t="s">
        <v>83</v>
      </c>
      <c r="H10" s="3" t="s">
        <v>84</v>
      </c>
      <c r="I10" s="3" t="s">
        <v>81</v>
      </c>
      <c r="J10" s="3" t="s">
        <v>85</v>
      </c>
      <c r="K10" s="3" t="s">
        <v>86</v>
      </c>
      <c r="L10" s="3" t="s">
        <v>34</v>
      </c>
      <c r="M10" s="3" t="s">
        <v>302</v>
      </c>
      <c r="N10" s="5"/>
    </row>
    <row r="11" spans="1:14" ht="25" x14ac:dyDescent="0.25">
      <c r="A11" s="2">
        <v>304</v>
      </c>
      <c r="B11" s="3" t="s">
        <v>87</v>
      </c>
      <c r="C11" s="3" t="s">
        <v>295</v>
      </c>
      <c r="D11" s="3" t="s">
        <v>88</v>
      </c>
      <c r="E11" s="4">
        <v>14400</v>
      </c>
      <c r="F11" s="3" t="s">
        <v>136</v>
      </c>
      <c r="G11" s="3" t="s">
        <v>89</v>
      </c>
      <c r="H11" s="3" t="s">
        <v>90</v>
      </c>
      <c r="I11" s="3" t="s">
        <v>91</v>
      </c>
      <c r="J11" s="3" t="s">
        <v>86</v>
      </c>
      <c r="K11" s="3" t="s">
        <v>17</v>
      </c>
      <c r="L11" s="3" t="s">
        <v>34</v>
      </c>
      <c r="M11" s="3" t="s">
        <v>303</v>
      </c>
      <c r="N11" s="5"/>
    </row>
    <row r="12" spans="1:14" ht="50" x14ac:dyDescent="0.25">
      <c r="A12" s="2">
        <v>1498</v>
      </c>
      <c r="B12" s="3" t="s">
        <v>199</v>
      </c>
      <c r="C12" s="3" t="s">
        <v>296</v>
      </c>
      <c r="D12" s="3" t="s">
        <v>200</v>
      </c>
      <c r="E12" s="4">
        <v>4000</v>
      </c>
      <c r="F12" s="3" t="s">
        <v>162</v>
      </c>
      <c r="G12" s="3" t="s">
        <v>201</v>
      </c>
      <c r="H12" s="3" t="s">
        <v>202</v>
      </c>
      <c r="I12" s="3" t="s">
        <v>203</v>
      </c>
      <c r="J12" s="3" t="s">
        <v>204</v>
      </c>
      <c r="K12" s="3" t="s">
        <v>205</v>
      </c>
      <c r="L12" s="3" t="s">
        <v>34</v>
      </c>
      <c r="M12" s="3" t="s">
        <v>318</v>
      </c>
      <c r="N12" s="5"/>
    </row>
    <row r="13" spans="1:14" ht="37.5" x14ac:dyDescent="0.25">
      <c r="A13" s="2">
        <v>35</v>
      </c>
      <c r="B13" s="3" t="s">
        <v>28</v>
      </c>
      <c r="C13" s="3" t="s">
        <v>295</v>
      </c>
      <c r="D13" s="3" t="s">
        <v>29</v>
      </c>
      <c r="E13" s="4">
        <v>10000</v>
      </c>
      <c r="F13" s="3" t="s">
        <v>136</v>
      </c>
      <c r="G13" s="3" t="s">
        <v>31</v>
      </c>
      <c r="H13" s="3" t="s">
        <v>32</v>
      </c>
      <c r="I13" s="3" t="s">
        <v>33</v>
      </c>
      <c r="J13" s="3" t="s">
        <v>17</v>
      </c>
      <c r="K13" s="3" t="s">
        <v>17</v>
      </c>
      <c r="L13" s="3" t="s">
        <v>34</v>
      </c>
      <c r="M13" s="3" t="s">
        <v>35</v>
      </c>
      <c r="N13" s="5"/>
    </row>
    <row r="14" spans="1:14" ht="25" x14ac:dyDescent="0.25">
      <c r="A14" s="2">
        <v>2101</v>
      </c>
      <c r="B14" s="3" t="s">
        <v>245</v>
      </c>
      <c r="C14" s="3" t="s">
        <v>296</v>
      </c>
      <c r="D14" s="3" t="s">
        <v>246</v>
      </c>
      <c r="E14" s="4">
        <v>2000</v>
      </c>
      <c r="F14" s="3" t="s">
        <v>162</v>
      </c>
      <c r="G14" s="3" t="s">
        <v>124</v>
      </c>
      <c r="H14" s="3" t="s">
        <v>247</v>
      </c>
      <c r="I14" s="3" t="s">
        <v>248</v>
      </c>
      <c r="J14" s="3" t="s">
        <v>205</v>
      </c>
      <c r="K14" s="3" t="s">
        <v>17</v>
      </c>
      <c r="L14" s="3" t="s">
        <v>34</v>
      </c>
      <c r="M14" s="3" t="s">
        <v>324</v>
      </c>
      <c r="N14" s="5"/>
    </row>
    <row r="15" spans="1:14" ht="50" x14ac:dyDescent="0.25">
      <c r="A15" s="2">
        <v>1187</v>
      </c>
      <c r="B15" s="3" t="s">
        <v>156</v>
      </c>
      <c r="C15" s="3" t="s">
        <v>296</v>
      </c>
      <c r="D15" s="3" t="s">
        <v>157</v>
      </c>
      <c r="E15" s="4">
        <v>4500</v>
      </c>
      <c r="F15" s="3" t="s">
        <v>136</v>
      </c>
      <c r="G15" s="3" t="s">
        <v>158</v>
      </c>
      <c r="H15" s="3" t="s">
        <v>159</v>
      </c>
      <c r="I15" s="3" t="s">
        <v>156</v>
      </c>
      <c r="J15" s="3" t="s">
        <v>328</v>
      </c>
      <c r="K15" s="3" t="s">
        <v>86</v>
      </c>
      <c r="L15" s="3" t="s">
        <v>34</v>
      </c>
      <c r="M15" s="3" t="s">
        <v>311</v>
      </c>
      <c r="N15" s="5"/>
    </row>
    <row r="16" spans="1:14" ht="50" x14ac:dyDescent="0.25">
      <c r="A16" s="2">
        <v>137</v>
      </c>
      <c r="B16" s="3" t="s">
        <v>62</v>
      </c>
      <c r="C16" s="3" t="s">
        <v>296</v>
      </c>
      <c r="D16" s="3" t="s">
        <v>63</v>
      </c>
      <c r="E16" s="4">
        <v>1980</v>
      </c>
      <c r="F16" s="3" t="s">
        <v>162</v>
      </c>
      <c r="G16" s="3" t="s">
        <v>64</v>
      </c>
      <c r="H16" s="3" t="s">
        <v>65</v>
      </c>
      <c r="I16" s="3" t="s">
        <v>66</v>
      </c>
      <c r="J16" s="3" t="s">
        <v>279</v>
      </c>
      <c r="K16" s="3" t="s">
        <v>327</v>
      </c>
      <c r="L16" s="3" t="s">
        <v>34</v>
      </c>
      <c r="M16" s="3" t="s">
        <v>300</v>
      </c>
      <c r="N16" s="5"/>
    </row>
    <row r="17" spans="1:14" ht="37.5" x14ac:dyDescent="0.25">
      <c r="A17" s="2">
        <v>1597</v>
      </c>
      <c r="B17" s="3" t="s">
        <v>206</v>
      </c>
      <c r="C17" s="3" t="s">
        <v>296</v>
      </c>
      <c r="D17" s="3" t="s">
        <v>207</v>
      </c>
      <c r="E17" s="4">
        <v>4000</v>
      </c>
      <c r="F17" s="3" t="s">
        <v>162</v>
      </c>
      <c r="G17" s="3" t="s">
        <v>208</v>
      </c>
      <c r="H17" s="3" t="s">
        <v>209</v>
      </c>
      <c r="I17" s="3" t="s">
        <v>210</v>
      </c>
      <c r="J17" s="3" t="s">
        <v>211</v>
      </c>
      <c r="K17" s="3" t="s">
        <v>17</v>
      </c>
      <c r="L17" s="3" t="s">
        <v>18</v>
      </c>
      <c r="M17" s="3" t="s">
        <v>319</v>
      </c>
      <c r="N17" s="5"/>
    </row>
    <row r="18" spans="1:14" ht="37.5" x14ac:dyDescent="0.25">
      <c r="A18" s="2">
        <v>2084</v>
      </c>
      <c r="B18" s="3" t="s">
        <v>239</v>
      </c>
      <c r="C18" s="3" t="s">
        <v>296</v>
      </c>
      <c r="D18" s="3" t="s">
        <v>240</v>
      </c>
      <c r="E18" s="4">
        <v>680</v>
      </c>
      <c r="F18" s="3" t="s">
        <v>162</v>
      </c>
      <c r="G18" s="3" t="s">
        <v>241</v>
      </c>
      <c r="H18" s="3" t="s">
        <v>242</v>
      </c>
      <c r="I18" s="3" t="s">
        <v>239</v>
      </c>
      <c r="J18" s="3" t="s">
        <v>243</v>
      </c>
      <c r="K18" s="3" t="s">
        <v>244</v>
      </c>
      <c r="L18" s="3" t="s">
        <v>18</v>
      </c>
      <c r="M18" s="3" t="s">
        <v>323</v>
      </c>
      <c r="N18" s="5"/>
    </row>
    <row r="19" spans="1:14" ht="25" x14ac:dyDescent="0.25">
      <c r="A19" s="2">
        <v>2349</v>
      </c>
      <c r="B19" s="3" t="s">
        <v>270</v>
      </c>
      <c r="C19" s="3" t="s">
        <v>295</v>
      </c>
      <c r="D19" s="3" t="s">
        <v>271</v>
      </c>
      <c r="E19" s="4">
        <v>4000</v>
      </c>
      <c r="F19" s="3" t="s">
        <v>162</v>
      </c>
      <c r="G19" s="3" t="s">
        <v>272</v>
      </c>
      <c r="H19" s="3" t="s">
        <v>273</v>
      </c>
      <c r="I19" s="3" t="s">
        <v>274</v>
      </c>
      <c r="J19" s="3" t="s">
        <v>86</v>
      </c>
      <c r="K19" s="3" t="s">
        <v>17</v>
      </c>
      <c r="L19" s="3" t="s">
        <v>34</v>
      </c>
      <c r="M19" s="3" t="s">
        <v>275</v>
      </c>
      <c r="N19" s="5"/>
    </row>
    <row r="20" spans="1:14" ht="25" x14ac:dyDescent="0.25">
      <c r="A20" s="2">
        <v>204</v>
      </c>
      <c r="B20" s="3" t="s">
        <v>282</v>
      </c>
      <c r="C20" s="3" t="s">
        <v>295</v>
      </c>
      <c r="D20" s="3" t="s">
        <v>283</v>
      </c>
      <c r="E20" s="4">
        <v>2000</v>
      </c>
      <c r="F20" s="3" t="s">
        <v>136</v>
      </c>
      <c r="G20" s="3" t="s">
        <v>284</v>
      </c>
      <c r="H20" s="3" t="s">
        <v>285</v>
      </c>
      <c r="I20" s="3" t="s">
        <v>286</v>
      </c>
      <c r="J20" s="3" t="s">
        <v>287</v>
      </c>
      <c r="K20" s="3" t="s">
        <v>150</v>
      </c>
      <c r="L20" s="3" t="s">
        <v>26</v>
      </c>
      <c r="M20" s="3" t="s">
        <v>288</v>
      </c>
      <c r="N20" s="5"/>
    </row>
    <row r="21" spans="1:14" ht="25" x14ac:dyDescent="0.25">
      <c r="A21" s="2">
        <v>868</v>
      </c>
      <c r="B21" s="3" t="s">
        <v>122</v>
      </c>
      <c r="C21" s="3" t="s">
        <v>295</v>
      </c>
      <c r="D21" s="3" t="s">
        <v>123</v>
      </c>
      <c r="E21" s="4">
        <v>2500</v>
      </c>
      <c r="F21" s="3" t="s">
        <v>162</v>
      </c>
      <c r="G21" s="3" t="s">
        <v>124</v>
      </c>
      <c r="H21" s="3" t="s">
        <v>125</v>
      </c>
      <c r="I21" s="3" t="s">
        <v>126</v>
      </c>
      <c r="J21" s="3" t="s">
        <v>127</v>
      </c>
      <c r="K21" s="3" t="s">
        <v>17</v>
      </c>
      <c r="L21" s="3" t="s">
        <v>18</v>
      </c>
      <c r="M21" s="3" t="s">
        <v>307</v>
      </c>
      <c r="N21" s="5"/>
    </row>
    <row r="22" spans="1:14" ht="25" x14ac:dyDescent="0.25">
      <c r="A22" s="2">
        <v>667</v>
      </c>
      <c r="B22" s="3" t="s">
        <v>305</v>
      </c>
      <c r="C22" s="3" t="s">
        <v>296</v>
      </c>
      <c r="D22" s="3" t="s">
        <v>290</v>
      </c>
      <c r="E22" s="4">
        <v>9000</v>
      </c>
      <c r="F22" s="3" t="s">
        <v>136</v>
      </c>
      <c r="G22" s="3" t="s">
        <v>97</v>
      </c>
      <c r="H22" s="3" t="s">
        <v>98</v>
      </c>
      <c r="I22" s="3" t="s">
        <v>99</v>
      </c>
      <c r="J22" s="3" t="s">
        <v>100</v>
      </c>
      <c r="K22" s="3" t="s">
        <v>41</v>
      </c>
      <c r="L22" s="3" t="s">
        <v>18</v>
      </c>
      <c r="M22" s="3" t="s">
        <v>101</v>
      </c>
      <c r="N22" s="5"/>
    </row>
    <row r="23" spans="1:14" ht="25" x14ac:dyDescent="0.25">
      <c r="A23" s="2">
        <v>1890</v>
      </c>
      <c r="B23" s="3" t="s">
        <v>225</v>
      </c>
      <c r="C23" s="3" t="s">
        <v>296</v>
      </c>
      <c r="D23" s="3" t="s">
        <v>226</v>
      </c>
      <c r="E23" s="4">
        <v>720</v>
      </c>
      <c r="F23" s="3" t="s">
        <v>162</v>
      </c>
      <c r="G23" s="3" t="s">
        <v>227</v>
      </c>
      <c r="H23" s="3" t="s">
        <v>228</v>
      </c>
      <c r="I23" s="3" t="s">
        <v>229</v>
      </c>
      <c r="J23" s="3" t="s">
        <v>230</v>
      </c>
      <c r="K23" s="3" t="s">
        <v>17</v>
      </c>
      <c r="L23" s="3" t="s">
        <v>18</v>
      </c>
      <c r="M23" s="3" t="s">
        <v>322</v>
      </c>
      <c r="N23" s="5"/>
    </row>
    <row r="24" spans="1:14" ht="37.5" x14ac:dyDescent="0.25">
      <c r="A24" s="2">
        <v>508</v>
      </c>
      <c r="B24" s="3" t="s">
        <v>92</v>
      </c>
      <c r="C24" s="3" t="s">
        <v>295</v>
      </c>
      <c r="D24" s="3" t="s">
        <v>289</v>
      </c>
      <c r="E24" s="4">
        <v>2065</v>
      </c>
      <c r="F24" s="3" t="s">
        <v>162</v>
      </c>
      <c r="G24" s="3" t="s">
        <v>93</v>
      </c>
      <c r="H24" s="3" t="s">
        <v>94</v>
      </c>
      <c r="I24" s="3" t="s">
        <v>95</v>
      </c>
      <c r="J24" s="3" t="s">
        <v>96</v>
      </c>
      <c r="K24" s="3" t="s">
        <v>41</v>
      </c>
      <c r="L24" s="3" t="s">
        <v>18</v>
      </c>
      <c r="M24" s="3" t="s">
        <v>304</v>
      </c>
      <c r="N24" s="5"/>
    </row>
    <row r="25" spans="1:14" ht="37.5" x14ac:dyDescent="0.25">
      <c r="A25" s="2">
        <v>2264</v>
      </c>
      <c r="B25" s="3" t="s">
        <v>267</v>
      </c>
      <c r="C25" s="3" t="s">
        <v>296</v>
      </c>
      <c r="D25" s="3" t="s">
        <v>293</v>
      </c>
      <c r="E25" s="4">
        <v>2500</v>
      </c>
      <c r="F25" s="3" t="s">
        <v>136</v>
      </c>
      <c r="G25" s="3" t="s">
        <v>268</v>
      </c>
      <c r="H25" s="3" t="s">
        <v>269</v>
      </c>
      <c r="I25" s="3" t="s">
        <v>265</v>
      </c>
      <c r="J25" s="3" t="s">
        <v>266</v>
      </c>
      <c r="K25" s="3" t="s">
        <v>25</v>
      </c>
      <c r="L25" s="3" t="s">
        <v>26</v>
      </c>
      <c r="M25" s="3" t="s">
        <v>326</v>
      </c>
      <c r="N25" s="5"/>
    </row>
    <row r="26" spans="1:14" ht="50" x14ac:dyDescent="0.25">
      <c r="A26" s="2">
        <v>904</v>
      </c>
      <c r="B26" s="3" t="s">
        <v>134</v>
      </c>
      <c r="C26" s="3" t="s">
        <v>296</v>
      </c>
      <c r="D26" s="3" t="s">
        <v>135</v>
      </c>
      <c r="E26" s="4">
        <v>2500</v>
      </c>
      <c r="F26" s="3" t="s">
        <v>136</v>
      </c>
      <c r="G26" s="3" t="s">
        <v>137</v>
      </c>
      <c r="H26" s="3" t="s">
        <v>138</v>
      </c>
      <c r="I26" s="3" t="s">
        <v>139</v>
      </c>
      <c r="J26" s="3" t="s">
        <v>140</v>
      </c>
      <c r="K26" s="3" t="s">
        <v>17</v>
      </c>
      <c r="L26" s="3" t="s">
        <v>18</v>
      </c>
      <c r="M26" s="3" t="s">
        <v>309</v>
      </c>
      <c r="N26" s="5"/>
    </row>
    <row r="27" spans="1:14" ht="25" x14ac:dyDescent="0.25">
      <c r="A27" s="2">
        <v>2255</v>
      </c>
      <c r="B27" s="3" t="s">
        <v>263</v>
      </c>
      <c r="C27" s="3" t="s">
        <v>295</v>
      </c>
      <c r="D27" s="3" t="s">
        <v>264</v>
      </c>
      <c r="E27" s="4">
        <v>2250</v>
      </c>
      <c r="F27" s="3" t="s">
        <v>162</v>
      </c>
      <c r="G27" s="3" t="s">
        <v>201</v>
      </c>
      <c r="H27" s="3" t="s">
        <v>39</v>
      </c>
      <c r="I27" s="3" t="s">
        <v>265</v>
      </c>
      <c r="J27" s="3" t="s">
        <v>266</v>
      </c>
      <c r="K27" s="3" t="s">
        <v>25</v>
      </c>
      <c r="L27" s="3" t="s">
        <v>26</v>
      </c>
      <c r="M27" s="3" t="s">
        <v>326</v>
      </c>
      <c r="N27" s="5"/>
    </row>
    <row r="28" spans="1:14" ht="37.5" x14ac:dyDescent="0.25">
      <c r="A28" s="2">
        <v>1941</v>
      </c>
      <c r="B28" s="3" t="s">
        <v>231</v>
      </c>
      <c r="C28" s="3" t="s">
        <v>295</v>
      </c>
      <c r="D28" s="3" t="s">
        <v>232</v>
      </c>
      <c r="E28" s="4">
        <v>326</v>
      </c>
      <c r="F28" s="3" t="s">
        <v>162</v>
      </c>
      <c r="G28" s="3" t="s">
        <v>233</v>
      </c>
      <c r="H28" s="3" t="s">
        <v>234</v>
      </c>
      <c r="I28" s="3" t="s">
        <v>235</v>
      </c>
      <c r="J28" s="3" t="s">
        <v>236</v>
      </c>
      <c r="K28" s="3" t="s">
        <v>237</v>
      </c>
      <c r="L28" s="3" t="s">
        <v>26</v>
      </c>
      <c r="M28" s="3" t="s">
        <v>238</v>
      </c>
      <c r="N28" s="5"/>
    </row>
    <row r="29" spans="1:14" ht="37.5" x14ac:dyDescent="0.25">
      <c r="A29" s="2">
        <v>184</v>
      </c>
      <c r="B29" s="3" t="s">
        <v>74</v>
      </c>
      <c r="C29" s="3" t="s">
        <v>296</v>
      </c>
      <c r="D29" s="3" t="s">
        <v>75</v>
      </c>
      <c r="E29" s="4">
        <v>2250</v>
      </c>
      <c r="F29" s="3" t="s">
        <v>162</v>
      </c>
      <c r="G29" s="3" t="s">
        <v>76</v>
      </c>
      <c r="H29" s="3" t="s">
        <v>77</v>
      </c>
      <c r="I29" s="3" t="s">
        <v>78</v>
      </c>
      <c r="J29" s="3" t="s">
        <v>79</v>
      </c>
      <c r="K29" s="3" t="s">
        <v>80</v>
      </c>
      <c r="L29" s="3" t="s">
        <v>18</v>
      </c>
      <c r="M29" s="3" t="s">
        <v>301</v>
      </c>
      <c r="N29" s="5"/>
    </row>
    <row r="30" spans="1:14" ht="25" x14ac:dyDescent="0.25">
      <c r="A30" s="2">
        <v>185</v>
      </c>
      <c r="B30" s="3" t="s">
        <v>74</v>
      </c>
      <c r="C30" s="3" t="s">
        <v>295</v>
      </c>
      <c r="D30" s="3" t="s">
        <v>281</v>
      </c>
      <c r="E30" s="4">
        <v>4500</v>
      </c>
      <c r="F30" s="3" t="s">
        <v>162</v>
      </c>
      <c r="G30" s="3" t="s">
        <v>76</v>
      </c>
      <c r="H30" s="3" t="s">
        <v>77</v>
      </c>
      <c r="I30" s="3" t="s">
        <v>78</v>
      </c>
      <c r="J30" s="3" t="s">
        <v>79</v>
      </c>
      <c r="K30" s="3" t="s">
        <v>80</v>
      </c>
      <c r="L30" s="3" t="s">
        <v>18</v>
      </c>
      <c r="M30" s="3" t="s">
        <v>301</v>
      </c>
      <c r="N30" s="5"/>
    </row>
    <row r="31" spans="1:14" ht="25" x14ac:dyDescent="0.25">
      <c r="A31" s="2">
        <v>745</v>
      </c>
      <c r="B31" s="3" t="s">
        <v>102</v>
      </c>
      <c r="C31" s="3" t="s">
        <v>296</v>
      </c>
      <c r="D31" s="3" t="s">
        <v>103</v>
      </c>
      <c r="E31" s="4">
        <v>750</v>
      </c>
      <c r="F31" s="3" t="s">
        <v>162</v>
      </c>
      <c r="G31" s="3" t="s">
        <v>76</v>
      </c>
      <c r="H31" s="3" t="s">
        <v>104</v>
      </c>
      <c r="I31" s="3" t="s">
        <v>105</v>
      </c>
      <c r="J31" s="3" t="s">
        <v>106</v>
      </c>
      <c r="K31" s="3" t="s">
        <v>17</v>
      </c>
      <c r="L31" s="3" t="s">
        <v>18</v>
      </c>
      <c r="M31" s="3" t="s">
        <v>107</v>
      </c>
      <c r="N31" s="5"/>
    </row>
    <row r="32" spans="1:14" ht="50" x14ac:dyDescent="0.25">
      <c r="A32" s="2">
        <v>976</v>
      </c>
      <c r="B32" s="3" t="s">
        <v>141</v>
      </c>
      <c r="C32" s="3" t="s">
        <v>295</v>
      </c>
      <c r="D32" s="3" t="s">
        <v>291</v>
      </c>
      <c r="E32" s="4">
        <v>6000</v>
      </c>
      <c r="F32" s="3" t="s">
        <v>162</v>
      </c>
      <c r="G32" s="3" t="s">
        <v>142</v>
      </c>
      <c r="H32" s="3" t="s">
        <v>143</v>
      </c>
      <c r="I32" s="3" t="s">
        <v>144</v>
      </c>
      <c r="J32" s="3" t="s">
        <v>145</v>
      </c>
      <c r="K32" s="3" t="s">
        <v>41</v>
      </c>
      <c r="L32" s="3" t="s">
        <v>18</v>
      </c>
      <c r="M32" s="3" t="s">
        <v>146</v>
      </c>
      <c r="N32" s="5"/>
    </row>
    <row r="33" spans="1:14" ht="25" x14ac:dyDescent="0.25">
      <c r="A33" s="2">
        <v>887</v>
      </c>
      <c r="B33" s="3" t="s">
        <v>128</v>
      </c>
      <c r="C33" s="3" t="s">
        <v>296</v>
      </c>
      <c r="D33" s="3" t="s">
        <v>129</v>
      </c>
      <c r="E33" s="4">
        <v>1000</v>
      </c>
      <c r="F33" s="3" t="s">
        <v>162</v>
      </c>
      <c r="G33" s="3" t="s">
        <v>130</v>
      </c>
      <c r="H33" s="3" t="s">
        <v>131</v>
      </c>
      <c r="I33" s="3" t="s">
        <v>132</v>
      </c>
      <c r="J33" s="3" t="s">
        <v>133</v>
      </c>
      <c r="K33" s="3" t="s">
        <v>17</v>
      </c>
      <c r="L33" s="3" t="s">
        <v>34</v>
      </c>
      <c r="M33" s="3" t="s">
        <v>308</v>
      </c>
      <c r="N33" s="5"/>
    </row>
    <row r="34" spans="1:14" ht="50" x14ac:dyDescent="0.25">
      <c r="A34" s="2">
        <v>100</v>
      </c>
      <c r="B34" s="3" t="s">
        <v>49</v>
      </c>
      <c r="C34" s="3" t="s">
        <v>296</v>
      </c>
      <c r="D34" s="3" t="s">
        <v>50</v>
      </c>
      <c r="E34" s="4">
        <v>1350</v>
      </c>
      <c r="F34" s="3" t="s">
        <v>162</v>
      </c>
      <c r="G34" s="3" t="s">
        <v>51</v>
      </c>
      <c r="H34" s="3" t="s">
        <v>52</v>
      </c>
      <c r="I34" s="3" t="s">
        <v>53</v>
      </c>
      <c r="J34" s="3" t="s">
        <v>54</v>
      </c>
      <c r="K34" s="3" t="s">
        <v>17</v>
      </c>
      <c r="L34" s="3" t="s">
        <v>18</v>
      </c>
      <c r="M34" s="3" t="s">
        <v>298</v>
      </c>
      <c r="N34" s="5"/>
    </row>
    <row r="35" spans="1:14" ht="62.5" x14ac:dyDescent="0.25">
      <c r="A35" s="2">
        <v>26</v>
      </c>
      <c r="B35" s="3" t="s">
        <v>20</v>
      </c>
      <c r="C35" s="3" t="s">
        <v>296</v>
      </c>
      <c r="D35" s="3" t="s">
        <v>297</v>
      </c>
      <c r="E35" s="4">
        <v>1700</v>
      </c>
      <c r="F35" s="3" t="s">
        <v>162</v>
      </c>
      <c r="G35" s="3" t="s">
        <v>22</v>
      </c>
      <c r="H35" s="3" t="s">
        <v>23</v>
      </c>
      <c r="I35" s="3" t="s">
        <v>24</v>
      </c>
      <c r="J35" s="3" t="s">
        <v>25</v>
      </c>
      <c r="K35" s="3" t="s">
        <v>17</v>
      </c>
      <c r="L35" s="3" t="s">
        <v>26</v>
      </c>
      <c r="M35" s="3" t="s">
        <v>27</v>
      </c>
      <c r="N35" s="5"/>
    </row>
    <row r="36" spans="1:14" ht="37.5" x14ac:dyDescent="0.25">
      <c r="A36" s="2">
        <v>812</v>
      </c>
      <c r="B36" s="3" t="s">
        <v>115</v>
      </c>
      <c r="C36" s="3" t="s">
        <v>295</v>
      </c>
      <c r="D36" s="3" t="s">
        <v>116</v>
      </c>
      <c r="E36" s="4">
        <v>10000</v>
      </c>
      <c r="F36" s="3" t="s">
        <v>162</v>
      </c>
      <c r="G36" s="3" t="s">
        <v>117</v>
      </c>
      <c r="H36" s="3" t="s">
        <v>118</v>
      </c>
      <c r="I36" s="3" t="s">
        <v>119</v>
      </c>
      <c r="J36" s="3" t="s">
        <v>120</v>
      </c>
      <c r="K36" s="3" t="s">
        <v>121</v>
      </c>
      <c r="L36" s="3" t="s">
        <v>34</v>
      </c>
      <c r="M36" s="3" t="s">
        <v>306</v>
      </c>
      <c r="N36" s="5"/>
    </row>
    <row r="37" spans="1:14" ht="50" x14ac:dyDescent="0.25">
      <c r="A37" s="2">
        <v>1406</v>
      </c>
      <c r="B37" s="3" t="s">
        <v>316</v>
      </c>
      <c r="C37" s="3" t="s">
        <v>296</v>
      </c>
      <c r="D37" s="3" t="s">
        <v>194</v>
      </c>
      <c r="E37" s="4">
        <v>2461</v>
      </c>
      <c r="F37" s="3" t="s">
        <v>162</v>
      </c>
      <c r="G37" s="3" t="s">
        <v>195</v>
      </c>
      <c r="H37" s="3" t="s">
        <v>196</v>
      </c>
      <c r="I37" s="3" t="s">
        <v>197</v>
      </c>
      <c r="J37" s="3" t="s">
        <v>198</v>
      </c>
      <c r="K37" s="3" t="s">
        <v>41</v>
      </c>
      <c r="L37" s="3" t="s">
        <v>18</v>
      </c>
      <c r="M37" s="3" t="s">
        <v>317</v>
      </c>
      <c r="N37" s="5"/>
    </row>
    <row r="38" spans="1:14" ht="25" x14ac:dyDescent="0.25">
      <c r="A38" s="2">
        <v>2159</v>
      </c>
      <c r="B38" s="3" t="s">
        <v>255</v>
      </c>
      <c r="C38" s="3" t="s">
        <v>296</v>
      </c>
      <c r="D38" s="3" t="s">
        <v>256</v>
      </c>
      <c r="E38" s="4">
        <v>2500</v>
      </c>
      <c r="F38" s="3" t="s">
        <v>257</v>
      </c>
      <c r="G38" s="3" t="s">
        <v>258</v>
      </c>
      <c r="H38" s="3" t="s">
        <v>259</v>
      </c>
      <c r="I38" s="3" t="s">
        <v>260</v>
      </c>
      <c r="J38" s="3" t="s">
        <v>261</v>
      </c>
      <c r="K38" s="3" t="s">
        <v>262</v>
      </c>
      <c r="L38" s="3" t="s">
        <v>18</v>
      </c>
      <c r="M38" s="3" t="s">
        <v>325</v>
      </c>
      <c r="N38" s="5"/>
    </row>
    <row r="39" spans="1:14" ht="37.5" x14ac:dyDescent="0.25">
      <c r="A39" s="2">
        <v>66</v>
      </c>
      <c r="B39" s="3" t="s">
        <v>36</v>
      </c>
      <c r="C39" s="3" t="s">
        <v>296</v>
      </c>
      <c r="D39" s="3" t="s">
        <v>37</v>
      </c>
      <c r="E39" s="4">
        <v>2430</v>
      </c>
      <c r="F39" s="3" t="s">
        <v>136</v>
      </c>
      <c r="G39" s="3" t="s">
        <v>38</v>
      </c>
      <c r="H39" s="3" t="s">
        <v>39</v>
      </c>
      <c r="I39" s="3" t="s">
        <v>40</v>
      </c>
      <c r="J39" s="3" t="s">
        <v>16</v>
      </c>
      <c r="K39" s="3" t="s">
        <v>41</v>
      </c>
      <c r="L39" s="3" t="s">
        <v>18</v>
      </c>
      <c r="M39" s="3" t="s">
        <v>42</v>
      </c>
      <c r="N39" s="5"/>
    </row>
    <row r="40" spans="1:14" ht="25" x14ac:dyDescent="0.25">
      <c r="A40" s="2">
        <v>1360</v>
      </c>
      <c r="B40" s="3" t="s">
        <v>188</v>
      </c>
      <c r="C40" s="3" t="s">
        <v>296</v>
      </c>
      <c r="D40" s="3" t="s">
        <v>189</v>
      </c>
      <c r="E40" s="4">
        <v>4000</v>
      </c>
      <c r="F40" s="3" t="s">
        <v>162</v>
      </c>
      <c r="G40" s="3" t="s">
        <v>190</v>
      </c>
      <c r="H40" s="3" t="s">
        <v>191</v>
      </c>
      <c r="I40" s="3" t="s">
        <v>192</v>
      </c>
      <c r="J40" s="3" t="s">
        <v>193</v>
      </c>
      <c r="K40" s="3" t="s">
        <v>17</v>
      </c>
      <c r="L40" s="3" t="s">
        <v>18</v>
      </c>
      <c r="M40" s="3" t="s">
        <v>315</v>
      </c>
      <c r="N40" s="5"/>
    </row>
    <row r="41" spans="1:14" ht="62.5" x14ac:dyDescent="0.25">
      <c r="A41" s="2">
        <v>1353</v>
      </c>
      <c r="B41" s="3" t="s">
        <v>181</v>
      </c>
      <c r="C41" s="3" t="s">
        <v>295</v>
      </c>
      <c r="D41" s="3" t="s">
        <v>314</v>
      </c>
      <c r="E41" s="4">
        <v>5000</v>
      </c>
      <c r="F41" s="3" t="s">
        <v>162</v>
      </c>
      <c r="G41" s="3" t="s">
        <v>182</v>
      </c>
      <c r="H41" s="3" t="s">
        <v>183</v>
      </c>
      <c r="I41" s="3" t="s">
        <v>184</v>
      </c>
      <c r="J41" s="3" t="s">
        <v>185</v>
      </c>
      <c r="K41" s="3" t="s">
        <v>186</v>
      </c>
      <c r="L41" s="3" t="s">
        <v>18</v>
      </c>
      <c r="M41" s="3" t="s">
        <v>187</v>
      </c>
      <c r="N41" s="5"/>
    </row>
    <row r="42" spans="1:14" ht="37.5" x14ac:dyDescent="0.25">
      <c r="A42" s="2">
        <v>10</v>
      </c>
      <c r="B42" s="3" t="s">
        <v>9</v>
      </c>
      <c r="C42" s="3" t="s">
        <v>295</v>
      </c>
      <c r="D42" s="3" t="s">
        <v>10</v>
      </c>
      <c r="E42" s="4">
        <v>3800</v>
      </c>
      <c r="F42" s="3" t="s">
        <v>331</v>
      </c>
      <c r="G42" s="3" t="s">
        <v>12</v>
      </c>
      <c r="H42" s="3" t="s">
        <v>13</v>
      </c>
      <c r="I42" s="3" t="s">
        <v>14</v>
      </c>
      <c r="J42" s="3" t="s">
        <v>15</v>
      </c>
      <c r="K42" s="3" t="s">
        <v>16</v>
      </c>
      <c r="L42" s="3" t="s">
        <v>18</v>
      </c>
      <c r="M42" s="3" t="s">
        <v>19</v>
      </c>
      <c r="N42" s="5"/>
    </row>
    <row r="43" spans="1:14" ht="25" x14ac:dyDescent="0.25">
      <c r="A43" s="2">
        <v>1029</v>
      </c>
      <c r="B43" s="3" t="s">
        <v>147</v>
      </c>
      <c r="C43" s="3" t="s">
        <v>295</v>
      </c>
      <c r="D43" s="3" t="s">
        <v>292</v>
      </c>
      <c r="E43" s="4">
        <v>3223</v>
      </c>
      <c r="F43" s="3" t="s">
        <v>136</v>
      </c>
      <c r="G43" s="3" t="s">
        <v>38</v>
      </c>
      <c r="H43" s="3" t="s">
        <v>148</v>
      </c>
      <c r="I43" s="3" t="s">
        <v>149</v>
      </c>
      <c r="J43" s="3" t="s">
        <v>150</v>
      </c>
      <c r="K43" s="3" t="s">
        <v>17</v>
      </c>
      <c r="L43" s="3" t="s">
        <v>26</v>
      </c>
      <c r="M43" s="3" t="s">
        <v>17</v>
      </c>
      <c r="N43" s="5"/>
    </row>
    <row r="44" spans="1:14" ht="37.5" x14ac:dyDescent="0.25">
      <c r="A44" s="2">
        <v>122</v>
      </c>
      <c r="B44" s="3" t="s">
        <v>55</v>
      </c>
      <c r="C44" s="3" t="s">
        <v>295</v>
      </c>
      <c r="D44" s="3" t="s">
        <v>56</v>
      </c>
      <c r="E44" s="4">
        <v>7550</v>
      </c>
      <c r="F44" s="3" t="s">
        <v>136</v>
      </c>
      <c r="G44" s="3" t="s">
        <v>57</v>
      </c>
      <c r="H44" s="3" t="s">
        <v>58</v>
      </c>
      <c r="I44" s="3" t="s">
        <v>59</v>
      </c>
      <c r="J44" s="3" t="s">
        <v>60</v>
      </c>
      <c r="K44" s="3" t="s">
        <v>61</v>
      </c>
      <c r="L44" s="3" t="s">
        <v>26</v>
      </c>
      <c r="M44" s="3" t="s">
        <v>299</v>
      </c>
      <c r="N44" s="5"/>
    </row>
    <row r="45" spans="1:14" ht="25" x14ac:dyDescent="0.25">
      <c r="A45" s="2">
        <v>1300</v>
      </c>
      <c r="B45" s="3" t="s">
        <v>168</v>
      </c>
      <c r="C45" s="3" t="s">
        <v>296</v>
      </c>
      <c r="D45" s="3" t="s">
        <v>169</v>
      </c>
      <c r="E45" s="4">
        <v>3000</v>
      </c>
      <c r="F45" s="3" t="s">
        <v>162</v>
      </c>
      <c r="G45" s="3" t="s">
        <v>170</v>
      </c>
      <c r="H45" s="3" t="s">
        <v>171</v>
      </c>
      <c r="I45" s="3" t="s">
        <v>172</v>
      </c>
      <c r="J45" s="3" t="s">
        <v>173</v>
      </c>
      <c r="K45" s="3" t="s">
        <v>174</v>
      </c>
      <c r="L45" s="3" t="s">
        <v>18</v>
      </c>
      <c r="M45" s="3" t="s">
        <v>175</v>
      </c>
      <c r="N45" s="5"/>
    </row>
    <row r="46" spans="1:14" ht="37.5" x14ac:dyDescent="0.25">
      <c r="A46" s="2">
        <v>1865</v>
      </c>
      <c r="B46" s="3" t="s">
        <v>219</v>
      </c>
      <c r="C46" s="3" t="s">
        <v>296</v>
      </c>
      <c r="D46" s="3" t="s">
        <v>220</v>
      </c>
      <c r="E46" s="4">
        <v>1065</v>
      </c>
      <c r="F46" s="3" t="s">
        <v>17</v>
      </c>
      <c r="G46" s="3" t="s">
        <v>221</v>
      </c>
      <c r="H46" s="3" t="s">
        <v>222</v>
      </c>
      <c r="I46" s="3" t="s">
        <v>223</v>
      </c>
      <c r="J46" s="3" t="s">
        <v>224</v>
      </c>
      <c r="K46" s="3" t="s">
        <v>205</v>
      </c>
      <c r="L46" s="3" t="s">
        <v>34</v>
      </c>
      <c r="M46" s="3" t="s">
        <v>321</v>
      </c>
      <c r="N46" s="5"/>
    </row>
    <row r="47" spans="1:14" ht="37.5" x14ac:dyDescent="0.25">
      <c r="A47" s="2">
        <v>98</v>
      </c>
      <c r="B47" s="3" t="s">
        <v>43</v>
      </c>
      <c r="C47" s="3" t="s">
        <v>296</v>
      </c>
      <c r="D47" s="3" t="s">
        <v>44</v>
      </c>
      <c r="E47" s="4">
        <v>4500</v>
      </c>
      <c r="F47" s="3" t="s">
        <v>162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25</v>
      </c>
      <c r="L47" s="3" t="s">
        <v>26</v>
      </c>
      <c r="M47" s="3" t="s">
        <v>17</v>
      </c>
      <c r="N47" s="5"/>
    </row>
    <row r="48" spans="1:14" ht="13" x14ac:dyDescent="0.3">
      <c r="D48" s="6" t="s">
        <v>280</v>
      </c>
      <c r="E48" s="7">
        <f>SUM(E2:E47)</f>
        <v>176700</v>
      </c>
    </row>
  </sheetData>
  <phoneticPr fontId="0" type="noConversion"/>
  <pageMargins left="0.2" right="0.16" top="0.38" bottom="0.35" header="0.17" footer="0.17"/>
  <pageSetup paperSize="9" orientation="landscape" r:id="rId1"/>
  <headerFooter alignWithMargins="0">
    <oddHeader>&amp;L&amp;"Times New Roman,Bold Italic"&amp;11All Mid West Region Recommended</oddHeader>
    <oddFooter>&amp;L&amp;P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B25" workbookViewId="0">
      <selection activeCell="B2" sqref="B2"/>
    </sheetView>
  </sheetViews>
  <sheetFormatPr defaultColWidth="5.453125" defaultRowHeight="12.5" x14ac:dyDescent="0.25"/>
  <cols>
    <col min="1" max="1" width="5" style="5" hidden="1" customWidth="1"/>
    <col min="2" max="2" width="19.54296875" style="5" customWidth="1"/>
    <col min="3" max="3" width="5.7265625" style="5" bestFit="1" customWidth="1"/>
    <col min="4" max="4" width="28.26953125" style="5" customWidth="1"/>
    <col min="5" max="5" width="13.54296875" style="5" bestFit="1" customWidth="1"/>
    <col min="6" max="6" width="5.1796875" style="5" bestFit="1" customWidth="1"/>
    <col min="7" max="7" width="9.7265625" style="5" bestFit="1" customWidth="1"/>
    <col min="8" max="8" width="10.453125" style="5" bestFit="1" customWidth="1"/>
    <col min="9" max="9" width="14.453125" style="5" bestFit="1" customWidth="1"/>
    <col min="10" max="10" width="10.54296875" style="5" customWidth="1"/>
    <col min="11" max="11" width="12.7265625" style="5" bestFit="1" customWidth="1"/>
    <col min="12" max="12" width="8.54296875" style="5" bestFit="1" customWidth="1"/>
    <col min="13" max="13" width="8" style="5" bestFit="1" customWidth="1"/>
    <col min="14" max="14" width="5.453125" customWidth="1"/>
    <col min="15" max="16384" width="5.453125" style="5"/>
  </cols>
  <sheetData>
    <row r="1" spans="1:14" ht="25" x14ac:dyDescent="0.25">
      <c r="A1" s="8" t="s">
        <v>0</v>
      </c>
      <c r="B1" s="8" t="s">
        <v>1</v>
      </c>
      <c r="C1" s="8" t="s">
        <v>294</v>
      </c>
      <c r="D1" s="8" t="s">
        <v>2</v>
      </c>
      <c r="E1" s="8" t="s">
        <v>8</v>
      </c>
      <c r="F1" s="8" t="s">
        <v>278</v>
      </c>
      <c r="G1" s="8" t="s">
        <v>276</v>
      </c>
      <c r="H1" s="8" t="s">
        <v>277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5"/>
    </row>
    <row r="2" spans="1:14" ht="37.5" x14ac:dyDescent="0.25">
      <c r="A2" s="2">
        <v>1221</v>
      </c>
      <c r="B2" s="3" t="s">
        <v>160</v>
      </c>
      <c r="C2" s="3" t="s">
        <v>296</v>
      </c>
      <c r="D2" s="3" t="s">
        <v>161</v>
      </c>
      <c r="E2" s="4">
        <v>4000</v>
      </c>
      <c r="F2" s="3" t="s">
        <v>162</v>
      </c>
      <c r="G2" s="3" t="s">
        <v>163</v>
      </c>
      <c r="H2" s="3" t="s">
        <v>164</v>
      </c>
      <c r="I2" s="3" t="s">
        <v>165</v>
      </c>
      <c r="J2" s="3" t="s">
        <v>166</v>
      </c>
      <c r="K2" s="3" t="s">
        <v>167</v>
      </c>
      <c r="L2" s="3" t="s">
        <v>34</v>
      </c>
      <c r="M2" s="3" t="s">
        <v>312</v>
      </c>
      <c r="N2" s="5"/>
    </row>
    <row r="3" spans="1:14" ht="50" x14ac:dyDescent="0.25">
      <c r="A3" s="2">
        <v>1745</v>
      </c>
      <c r="B3" s="3" t="s">
        <v>212</v>
      </c>
      <c r="C3" s="3" t="s">
        <v>296</v>
      </c>
      <c r="D3" s="3" t="s">
        <v>330</v>
      </c>
      <c r="E3" s="4">
        <v>2500</v>
      </c>
      <c r="F3" s="3" t="s">
        <v>21</v>
      </c>
      <c r="G3" s="3" t="s">
        <v>214</v>
      </c>
      <c r="H3" s="3" t="s">
        <v>215</v>
      </c>
      <c r="I3" s="3" t="s">
        <v>216</v>
      </c>
      <c r="J3" s="3" t="s">
        <v>217</v>
      </c>
      <c r="K3" s="3" t="s">
        <v>218</v>
      </c>
      <c r="L3" s="3" t="s">
        <v>18</v>
      </c>
      <c r="M3" s="3" t="s">
        <v>320</v>
      </c>
      <c r="N3" s="5"/>
    </row>
    <row r="4" spans="1:14" ht="25" x14ac:dyDescent="0.25">
      <c r="A4" s="2">
        <v>151</v>
      </c>
      <c r="B4" s="3" t="s">
        <v>67</v>
      </c>
      <c r="C4" s="3" t="s">
        <v>296</v>
      </c>
      <c r="D4" s="3" t="s">
        <v>68</v>
      </c>
      <c r="E4" s="4">
        <v>1400</v>
      </c>
      <c r="F4" s="3" t="s">
        <v>21</v>
      </c>
      <c r="G4" s="3" t="s">
        <v>69</v>
      </c>
      <c r="H4" s="3" t="s">
        <v>70</v>
      </c>
      <c r="I4" s="3" t="s">
        <v>71</v>
      </c>
      <c r="J4" s="3" t="s">
        <v>41</v>
      </c>
      <c r="K4" s="3" t="s">
        <v>17</v>
      </c>
      <c r="L4" s="3" t="s">
        <v>18</v>
      </c>
      <c r="M4" s="3" t="s">
        <v>72</v>
      </c>
      <c r="N4" s="5"/>
    </row>
    <row r="5" spans="1:14" ht="25" x14ac:dyDescent="0.25">
      <c r="A5" s="2">
        <v>153</v>
      </c>
      <c r="B5" s="3" t="s">
        <v>67</v>
      </c>
      <c r="C5" s="3" t="s">
        <v>296</v>
      </c>
      <c r="D5" s="3" t="s">
        <v>73</v>
      </c>
      <c r="E5" s="4">
        <v>700</v>
      </c>
      <c r="F5" s="3" t="s">
        <v>21</v>
      </c>
      <c r="G5" s="3" t="s">
        <v>69</v>
      </c>
      <c r="H5" s="3" t="s">
        <v>70</v>
      </c>
      <c r="I5" s="3" t="s">
        <v>71</v>
      </c>
      <c r="J5" s="3" t="s">
        <v>41</v>
      </c>
      <c r="K5" s="3" t="s">
        <v>17</v>
      </c>
      <c r="L5" s="3" t="s">
        <v>18</v>
      </c>
      <c r="M5" s="3" t="s">
        <v>72</v>
      </c>
      <c r="N5" s="5"/>
    </row>
    <row r="6" spans="1:14" ht="50" x14ac:dyDescent="0.25">
      <c r="A6" s="2">
        <v>2125</v>
      </c>
      <c r="B6" s="3" t="s">
        <v>249</v>
      </c>
      <c r="C6" s="3" t="s">
        <v>296</v>
      </c>
      <c r="D6" s="3" t="s">
        <v>250</v>
      </c>
      <c r="E6" s="4">
        <v>4000</v>
      </c>
      <c r="F6" s="3" t="s">
        <v>21</v>
      </c>
      <c r="G6" s="3" t="s">
        <v>251</v>
      </c>
      <c r="H6" s="3" t="s">
        <v>252</v>
      </c>
      <c r="I6" s="3" t="s">
        <v>253</v>
      </c>
      <c r="J6" s="3" t="s">
        <v>41</v>
      </c>
      <c r="K6" s="3" t="s">
        <v>17</v>
      </c>
      <c r="L6" s="3" t="s">
        <v>18</v>
      </c>
      <c r="M6" s="3" t="s">
        <v>254</v>
      </c>
      <c r="N6" s="5"/>
    </row>
    <row r="7" spans="1:14" ht="37.5" x14ac:dyDescent="0.25">
      <c r="A7" s="2">
        <v>1074</v>
      </c>
      <c r="B7" s="3" t="s">
        <v>151</v>
      </c>
      <c r="C7" s="3" t="s">
        <v>296</v>
      </c>
      <c r="D7" s="3" t="s">
        <v>152</v>
      </c>
      <c r="E7" s="4">
        <v>4000</v>
      </c>
      <c r="F7" s="3" t="s">
        <v>30</v>
      </c>
      <c r="G7" s="3" t="s">
        <v>153</v>
      </c>
      <c r="H7" s="3" t="s">
        <v>154</v>
      </c>
      <c r="I7" s="3" t="s">
        <v>151</v>
      </c>
      <c r="J7" s="3" t="s">
        <v>155</v>
      </c>
      <c r="K7" s="3" t="s">
        <v>150</v>
      </c>
      <c r="L7" s="3" t="s">
        <v>26</v>
      </c>
      <c r="M7" s="3" t="s">
        <v>310</v>
      </c>
      <c r="N7" s="5"/>
    </row>
    <row r="8" spans="1:14" ht="37.5" x14ac:dyDescent="0.25">
      <c r="A8" s="2">
        <v>254</v>
      </c>
      <c r="B8" s="3" t="s">
        <v>81</v>
      </c>
      <c r="C8" s="3" t="s">
        <v>296</v>
      </c>
      <c r="D8" s="3" t="s">
        <v>82</v>
      </c>
      <c r="E8" s="4">
        <v>3600</v>
      </c>
      <c r="F8" s="3" t="s">
        <v>21</v>
      </c>
      <c r="G8" s="3" t="s">
        <v>83</v>
      </c>
      <c r="H8" s="3" t="s">
        <v>84</v>
      </c>
      <c r="I8" s="3" t="s">
        <v>81</v>
      </c>
      <c r="J8" s="3" t="s">
        <v>85</v>
      </c>
      <c r="K8" s="3" t="s">
        <v>86</v>
      </c>
      <c r="L8" s="3" t="s">
        <v>34</v>
      </c>
      <c r="M8" s="3" t="s">
        <v>302</v>
      </c>
      <c r="N8" s="5"/>
    </row>
    <row r="9" spans="1:14" ht="50" x14ac:dyDescent="0.25">
      <c r="A9" s="2">
        <v>1498</v>
      </c>
      <c r="B9" s="3" t="s">
        <v>199</v>
      </c>
      <c r="C9" s="3" t="s">
        <v>296</v>
      </c>
      <c r="D9" s="3" t="s">
        <v>200</v>
      </c>
      <c r="E9" s="4">
        <v>4000</v>
      </c>
      <c r="F9" s="3" t="s">
        <v>21</v>
      </c>
      <c r="G9" s="3" t="s">
        <v>201</v>
      </c>
      <c r="H9" s="3" t="s">
        <v>202</v>
      </c>
      <c r="I9" s="3" t="s">
        <v>203</v>
      </c>
      <c r="J9" s="3" t="s">
        <v>204</v>
      </c>
      <c r="K9" s="3" t="s">
        <v>205</v>
      </c>
      <c r="L9" s="3" t="s">
        <v>34</v>
      </c>
      <c r="M9" s="3" t="s">
        <v>318</v>
      </c>
      <c r="N9" s="5"/>
    </row>
    <row r="10" spans="1:14" ht="25" x14ac:dyDescent="0.25">
      <c r="A10" s="2">
        <v>2101</v>
      </c>
      <c r="B10" s="3" t="s">
        <v>245</v>
      </c>
      <c r="C10" s="3" t="s">
        <v>296</v>
      </c>
      <c r="D10" s="3" t="s">
        <v>246</v>
      </c>
      <c r="E10" s="4">
        <v>2000</v>
      </c>
      <c r="F10" s="3" t="s">
        <v>21</v>
      </c>
      <c r="G10" s="3" t="s">
        <v>124</v>
      </c>
      <c r="H10" s="3" t="s">
        <v>247</v>
      </c>
      <c r="I10" s="3" t="s">
        <v>248</v>
      </c>
      <c r="J10" s="3" t="s">
        <v>205</v>
      </c>
      <c r="K10" s="3" t="s">
        <v>17</v>
      </c>
      <c r="L10" s="3" t="s">
        <v>34</v>
      </c>
      <c r="M10" s="3" t="s">
        <v>324</v>
      </c>
      <c r="N10" s="5"/>
    </row>
    <row r="11" spans="1:14" ht="50" x14ac:dyDescent="0.25">
      <c r="A11" s="2">
        <v>1187</v>
      </c>
      <c r="B11" s="3" t="s">
        <v>156</v>
      </c>
      <c r="C11" s="3" t="s">
        <v>296</v>
      </c>
      <c r="D11" s="3" t="s">
        <v>157</v>
      </c>
      <c r="E11" s="4">
        <v>4500</v>
      </c>
      <c r="F11" s="3" t="s">
        <v>30</v>
      </c>
      <c r="G11" s="3" t="s">
        <v>158</v>
      </c>
      <c r="H11" s="3" t="s">
        <v>159</v>
      </c>
      <c r="I11" s="3" t="s">
        <v>156</v>
      </c>
      <c r="J11" s="3" t="s">
        <v>328</v>
      </c>
      <c r="K11" s="3" t="s">
        <v>86</v>
      </c>
      <c r="L11" s="3" t="s">
        <v>34</v>
      </c>
      <c r="M11" s="3" t="s">
        <v>311</v>
      </c>
      <c r="N11" s="5"/>
    </row>
    <row r="12" spans="1:14" ht="50" x14ac:dyDescent="0.25">
      <c r="A12" s="2">
        <v>137</v>
      </c>
      <c r="B12" s="3" t="s">
        <v>62</v>
      </c>
      <c r="C12" s="3" t="s">
        <v>296</v>
      </c>
      <c r="D12" s="3" t="s">
        <v>63</v>
      </c>
      <c r="E12" s="4">
        <v>1980</v>
      </c>
      <c r="F12" s="3" t="s">
        <v>21</v>
      </c>
      <c r="G12" s="3" t="s">
        <v>64</v>
      </c>
      <c r="H12" s="3" t="s">
        <v>65</v>
      </c>
      <c r="I12" s="3" t="s">
        <v>66</v>
      </c>
      <c r="J12" s="3" t="s">
        <v>279</v>
      </c>
      <c r="K12" s="3" t="s">
        <v>327</v>
      </c>
      <c r="L12" s="3" t="s">
        <v>34</v>
      </c>
      <c r="M12" s="3" t="s">
        <v>300</v>
      </c>
      <c r="N12" s="5"/>
    </row>
    <row r="13" spans="1:14" ht="37.5" x14ac:dyDescent="0.25">
      <c r="A13" s="2">
        <v>1597</v>
      </c>
      <c r="B13" s="3" t="s">
        <v>206</v>
      </c>
      <c r="C13" s="3" t="s">
        <v>296</v>
      </c>
      <c r="D13" s="3" t="s">
        <v>207</v>
      </c>
      <c r="E13" s="4">
        <v>4000</v>
      </c>
      <c r="F13" s="3" t="s">
        <v>21</v>
      </c>
      <c r="G13" s="3" t="s">
        <v>208</v>
      </c>
      <c r="H13" s="3" t="s">
        <v>209</v>
      </c>
      <c r="I13" s="3" t="s">
        <v>210</v>
      </c>
      <c r="J13" s="3" t="s">
        <v>211</v>
      </c>
      <c r="K13" s="3" t="s">
        <v>17</v>
      </c>
      <c r="L13" s="3" t="s">
        <v>18</v>
      </c>
      <c r="M13" s="3" t="s">
        <v>319</v>
      </c>
      <c r="N13" s="5"/>
    </row>
    <row r="14" spans="1:14" ht="37.5" x14ac:dyDescent="0.25">
      <c r="A14" s="2">
        <v>2084</v>
      </c>
      <c r="B14" s="3" t="s">
        <v>239</v>
      </c>
      <c r="C14" s="3" t="s">
        <v>296</v>
      </c>
      <c r="D14" s="3" t="s">
        <v>240</v>
      </c>
      <c r="E14" s="4">
        <v>680</v>
      </c>
      <c r="F14" s="3" t="s">
        <v>21</v>
      </c>
      <c r="G14" s="3" t="s">
        <v>241</v>
      </c>
      <c r="H14" s="3" t="s">
        <v>242</v>
      </c>
      <c r="I14" s="3" t="s">
        <v>239</v>
      </c>
      <c r="J14" s="3" t="s">
        <v>243</v>
      </c>
      <c r="K14" s="3" t="s">
        <v>244</v>
      </c>
      <c r="L14" s="3" t="s">
        <v>18</v>
      </c>
      <c r="M14" s="3" t="s">
        <v>323</v>
      </c>
      <c r="N14" s="5"/>
    </row>
    <row r="15" spans="1:14" ht="25" x14ac:dyDescent="0.25">
      <c r="A15" s="2">
        <v>1890</v>
      </c>
      <c r="B15" s="3" t="s">
        <v>225</v>
      </c>
      <c r="C15" s="3" t="s">
        <v>296</v>
      </c>
      <c r="D15" s="3" t="s">
        <v>226</v>
      </c>
      <c r="E15" s="4">
        <v>720</v>
      </c>
      <c r="F15" s="3" t="s">
        <v>21</v>
      </c>
      <c r="G15" s="3" t="s">
        <v>227</v>
      </c>
      <c r="H15" s="3" t="s">
        <v>228</v>
      </c>
      <c r="I15" s="3" t="s">
        <v>229</v>
      </c>
      <c r="J15" s="3" t="s">
        <v>230</v>
      </c>
      <c r="K15" s="3" t="s">
        <v>17</v>
      </c>
      <c r="L15" s="3" t="s">
        <v>18</v>
      </c>
      <c r="M15" s="3" t="s">
        <v>322</v>
      </c>
      <c r="N15" s="5"/>
    </row>
    <row r="16" spans="1:14" ht="37.5" x14ac:dyDescent="0.25">
      <c r="A16" s="2">
        <v>2264</v>
      </c>
      <c r="B16" s="3" t="s">
        <v>267</v>
      </c>
      <c r="C16" s="3" t="s">
        <v>296</v>
      </c>
      <c r="D16" s="3" t="s">
        <v>293</v>
      </c>
      <c r="E16" s="4">
        <v>2500</v>
      </c>
      <c r="F16" s="3" t="s">
        <v>30</v>
      </c>
      <c r="G16" s="3" t="s">
        <v>268</v>
      </c>
      <c r="H16" s="3" t="s">
        <v>269</v>
      </c>
      <c r="I16" s="3" t="s">
        <v>265</v>
      </c>
      <c r="J16" s="3" t="s">
        <v>266</v>
      </c>
      <c r="K16" s="3" t="s">
        <v>25</v>
      </c>
      <c r="L16" s="3" t="s">
        <v>26</v>
      </c>
      <c r="M16" s="3" t="s">
        <v>326</v>
      </c>
      <c r="N16" s="5"/>
    </row>
    <row r="17" spans="1:14" ht="50" x14ac:dyDescent="0.25">
      <c r="A17" s="2">
        <v>904</v>
      </c>
      <c r="B17" s="3" t="s">
        <v>134</v>
      </c>
      <c r="C17" s="3" t="s">
        <v>296</v>
      </c>
      <c r="D17" s="3" t="s">
        <v>135</v>
      </c>
      <c r="E17" s="4">
        <v>2500</v>
      </c>
      <c r="F17" s="3" t="s">
        <v>136</v>
      </c>
      <c r="G17" s="3" t="s">
        <v>137</v>
      </c>
      <c r="H17" s="3" t="s">
        <v>138</v>
      </c>
      <c r="I17" s="3" t="s">
        <v>139</v>
      </c>
      <c r="J17" s="3" t="s">
        <v>140</v>
      </c>
      <c r="K17" s="3" t="s">
        <v>17</v>
      </c>
      <c r="L17" s="3" t="s">
        <v>18</v>
      </c>
      <c r="M17" s="3" t="s">
        <v>309</v>
      </c>
      <c r="N17" s="5"/>
    </row>
    <row r="18" spans="1:14" ht="37.5" x14ac:dyDescent="0.25">
      <c r="A18" s="2">
        <v>184</v>
      </c>
      <c r="B18" s="3" t="s">
        <v>74</v>
      </c>
      <c r="C18" s="3" t="s">
        <v>296</v>
      </c>
      <c r="D18" s="3" t="s">
        <v>75</v>
      </c>
      <c r="E18" s="4">
        <v>2250</v>
      </c>
      <c r="F18" s="3" t="s">
        <v>21</v>
      </c>
      <c r="G18" s="3" t="s">
        <v>76</v>
      </c>
      <c r="H18" s="3" t="s">
        <v>77</v>
      </c>
      <c r="I18" s="3" t="s">
        <v>78</v>
      </c>
      <c r="J18" s="3" t="s">
        <v>79</v>
      </c>
      <c r="K18" s="3" t="s">
        <v>80</v>
      </c>
      <c r="L18" s="3" t="s">
        <v>18</v>
      </c>
      <c r="M18" s="3" t="s">
        <v>301</v>
      </c>
      <c r="N18" s="5"/>
    </row>
    <row r="19" spans="1:14" ht="25" x14ac:dyDescent="0.25">
      <c r="A19" s="2">
        <v>745</v>
      </c>
      <c r="B19" s="3" t="s">
        <v>102</v>
      </c>
      <c r="C19" s="3" t="s">
        <v>296</v>
      </c>
      <c r="D19" s="3" t="s">
        <v>103</v>
      </c>
      <c r="E19" s="4">
        <v>750</v>
      </c>
      <c r="F19" s="3" t="s">
        <v>21</v>
      </c>
      <c r="G19" s="3" t="s">
        <v>76</v>
      </c>
      <c r="H19" s="3" t="s">
        <v>104</v>
      </c>
      <c r="I19" s="3" t="s">
        <v>105</v>
      </c>
      <c r="J19" s="3" t="s">
        <v>106</v>
      </c>
      <c r="K19" s="3" t="s">
        <v>17</v>
      </c>
      <c r="L19" s="3" t="s">
        <v>18</v>
      </c>
      <c r="M19" s="3" t="s">
        <v>107</v>
      </c>
      <c r="N19" s="5"/>
    </row>
    <row r="20" spans="1:14" ht="25" x14ac:dyDescent="0.25">
      <c r="A20" s="2">
        <v>887</v>
      </c>
      <c r="B20" s="3" t="s">
        <v>128</v>
      </c>
      <c r="C20" s="3" t="s">
        <v>296</v>
      </c>
      <c r="D20" s="3" t="s">
        <v>129</v>
      </c>
      <c r="E20" s="4">
        <v>1000</v>
      </c>
      <c r="F20" s="3" t="s">
        <v>21</v>
      </c>
      <c r="G20" s="3" t="s">
        <v>130</v>
      </c>
      <c r="H20" s="3" t="s">
        <v>131</v>
      </c>
      <c r="I20" s="3" t="s">
        <v>132</v>
      </c>
      <c r="J20" s="3" t="s">
        <v>133</v>
      </c>
      <c r="K20" s="3" t="s">
        <v>17</v>
      </c>
      <c r="L20" s="3" t="s">
        <v>34</v>
      </c>
      <c r="M20" s="3" t="s">
        <v>308</v>
      </c>
      <c r="N20" s="5"/>
    </row>
    <row r="21" spans="1:14" ht="50" x14ac:dyDescent="0.25">
      <c r="A21" s="2">
        <v>100</v>
      </c>
      <c r="B21" s="3" t="s">
        <v>49</v>
      </c>
      <c r="C21" s="3" t="s">
        <v>296</v>
      </c>
      <c r="D21" s="3" t="s">
        <v>50</v>
      </c>
      <c r="E21" s="4">
        <v>1350</v>
      </c>
      <c r="F21" s="3" t="s">
        <v>21</v>
      </c>
      <c r="G21" s="3" t="s">
        <v>51</v>
      </c>
      <c r="H21" s="3" t="s">
        <v>52</v>
      </c>
      <c r="I21" s="3" t="s">
        <v>53</v>
      </c>
      <c r="J21" s="3" t="s">
        <v>54</v>
      </c>
      <c r="K21" s="3" t="s">
        <v>17</v>
      </c>
      <c r="L21" s="3" t="s">
        <v>18</v>
      </c>
      <c r="M21" s="3" t="s">
        <v>298</v>
      </c>
      <c r="N21" s="5"/>
    </row>
    <row r="22" spans="1:14" ht="62.5" x14ac:dyDescent="0.25">
      <c r="A22" s="2">
        <v>26</v>
      </c>
      <c r="B22" s="3" t="s">
        <v>20</v>
      </c>
      <c r="C22" s="3" t="s">
        <v>296</v>
      </c>
      <c r="D22" s="3" t="s">
        <v>297</v>
      </c>
      <c r="E22" s="4">
        <v>1700</v>
      </c>
      <c r="F22" s="3" t="s">
        <v>21</v>
      </c>
      <c r="G22" s="3" t="s">
        <v>22</v>
      </c>
      <c r="H22" s="3" t="s">
        <v>23</v>
      </c>
      <c r="I22" s="3" t="s">
        <v>24</v>
      </c>
      <c r="J22" s="3" t="s">
        <v>25</v>
      </c>
      <c r="K22" s="3" t="s">
        <v>17</v>
      </c>
      <c r="L22" s="3" t="s">
        <v>26</v>
      </c>
      <c r="M22" s="3" t="s">
        <v>27</v>
      </c>
      <c r="N22" s="5"/>
    </row>
    <row r="23" spans="1:14" ht="50" x14ac:dyDescent="0.25">
      <c r="A23" s="2">
        <v>1406</v>
      </c>
      <c r="B23" s="3" t="s">
        <v>316</v>
      </c>
      <c r="C23" s="3" t="s">
        <v>296</v>
      </c>
      <c r="D23" s="3" t="s">
        <v>194</v>
      </c>
      <c r="E23" s="4">
        <v>2461</v>
      </c>
      <c r="F23" s="3" t="s">
        <v>21</v>
      </c>
      <c r="G23" s="3" t="s">
        <v>195</v>
      </c>
      <c r="H23" s="3" t="s">
        <v>196</v>
      </c>
      <c r="I23" s="3" t="s">
        <v>197</v>
      </c>
      <c r="J23" s="3" t="s">
        <v>198</v>
      </c>
      <c r="K23" s="3" t="s">
        <v>41</v>
      </c>
      <c r="L23" s="3" t="s">
        <v>18</v>
      </c>
      <c r="M23" s="3" t="s">
        <v>317</v>
      </c>
      <c r="N23" s="5"/>
    </row>
    <row r="24" spans="1:14" ht="25" x14ac:dyDescent="0.25">
      <c r="A24" s="2">
        <v>2159</v>
      </c>
      <c r="B24" s="3" t="s">
        <v>255</v>
      </c>
      <c r="C24" s="3" t="s">
        <v>296</v>
      </c>
      <c r="D24" s="3" t="s">
        <v>256</v>
      </c>
      <c r="E24" s="4">
        <v>2500</v>
      </c>
      <c r="F24" s="3" t="s">
        <v>257</v>
      </c>
      <c r="G24" s="3" t="s">
        <v>258</v>
      </c>
      <c r="H24" s="3" t="s">
        <v>259</v>
      </c>
      <c r="I24" s="3" t="s">
        <v>260</v>
      </c>
      <c r="J24" s="3" t="s">
        <v>261</v>
      </c>
      <c r="K24" s="3" t="s">
        <v>262</v>
      </c>
      <c r="L24" s="3" t="s">
        <v>18</v>
      </c>
      <c r="M24" s="3" t="s">
        <v>325</v>
      </c>
      <c r="N24" s="5"/>
    </row>
    <row r="25" spans="1:14" ht="37.5" x14ac:dyDescent="0.25">
      <c r="A25" s="2">
        <v>66</v>
      </c>
      <c r="B25" s="3" t="s">
        <v>36</v>
      </c>
      <c r="C25" s="3" t="s">
        <v>296</v>
      </c>
      <c r="D25" s="3" t="s">
        <v>37</v>
      </c>
      <c r="E25" s="4">
        <v>2430</v>
      </c>
      <c r="F25" s="3" t="s">
        <v>30</v>
      </c>
      <c r="G25" s="3" t="s">
        <v>38</v>
      </c>
      <c r="H25" s="3" t="s">
        <v>39</v>
      </c>
      <c r="I25" s="3" t="s">
        <v>40</v>
      </c>
      <c r="J25" s="3" t="s">
        <v>16</v>
      </c>
      <c r="K25" s="3" t="s">
        <v>41</v>
      </c>
      <c r="L25" s="3" t="s">
        <v>18</v>
      </c>
      <c r="M25" s="3" t="s">
        <v>42</v>
      </c>
      <c r="N25" s="5"/>
    </row>
    <row r="26" spans="1:14" ht="25" x14ac:dyDescent="0.25">
      <c r="A26" s="2">
        <v>1360</v>
      </c>
      <c r="B26" s="3" t="s">
        <v>188</v>
      </c>
      <c r="C26" s="3" t="s">
        <v>296</v>
      </c>
      <c r="D26" s="3" t="s">
        <v>189</v>
      </c>
      <c r="E26" s="4">
        <v>4000</v>
      </c>
      <c r="F26" s="3" t="s">
        <v>21</v>
      </c>
      <c r="G26" s="3" t="s">
        <v>190</v>
      </c>
      <c r="H26" s="3" t="s">
        <v>191</v>
      </c>
      <c r="I26" s="3" t="s">
        <v>192</v>
      </c>
      <c r="J26" s="3" t="s">
        <v>193</v>
      </c>
      <c r="K26" s="3" t="s">
        <v>17</v>
      </c>
      <c r="L26" s="3" t="s">
        <v>18</v>
      </c>
      <c r="M26" s="3" t="s">
        <v>315</v>
      </c>
      <c r="N26" s="5"/>
    </row>
    <row r="27" spans="1:14" ht="25" x14ac:dyDescent="0.25">
      <c r="A27" s="2">
        <v>1300</v>
      </c>
      <c r="B27" s="3" t="s">
        <v>168</v>
      </c>
      <c r="C27" s="3" t="s">
        <v>296</v>
      </c>
      <c r="D27" s="3" t="s">
        <v>169</v>
      </c>
      <c r="E27" s="4">
        <v>3000</v>
      </c>
      <c r="F27" s="3" t="s">
        <v>21</v>
      </c>
      <c r="G27" s="3" t="s">
        <v>170</v>
      </c>
      <c r="H27" s="3" t="s">
        <v>171</v>
      </c>
      <c r="I27" s="3" t="s">
        <v>172</v>
      </c>
      <c r="J27" s="3" t="s">
        <v>173</v>
      </c>
      <c r="K27" s="3" t="s">
        <v>174</v>
      </c>
      <c r="L27" s="3" t="s">
        <v>18</v>
      </c>
      <c r="M27" s="3" t="s">
        <v>175</v>
      </c>
      <c r="N27" s="5"/>
    </row>
    <row r="28" spans="1:14" ht="37.5" x14ac:dyDescent="0.25">
      <c r="A28" s="2">
        <v>1865</v>
      </c>
      <c r="B28" s="3" t="s">
        <v>219</v>
      </c>
      <c r="C28" s="3" t="s">
        <v>296</v>
      </c>
      <c r="D28" s="3" t="s">
        <v>220</v>
      </c>
      <c r="E28" s="4">
        <v>1065</v>
      </c>
      <c r="F28" s="3" t="s">
        <v>17</v>
      </c>
      <c r="G28" s="3" t="s">
        <v>221</v>
      </c>
      <c r="H28" s="3" t="s">
        <v>222</v>
      </c>
      <c r="I28" s="3" t="s">
        <v>223</v>
      </c>
      <c r="J28" s="3" t="s">
        <v>224</v>
      </c>
      <c r="K28" s="3" t="s">
        <v>205</v>
      </c>
      <c r="L28" s="3" t="s">
        <v>34</v>
      </c>
      <c r="M28" s="3" t="s">
        <v>321</v>
      </c>
      <c r="N28" s="5"/>
    </row>
    <row r="29" spans="1:14" ht="37.5" x14ac:dyDescent="0.25">
      <c r="A29" s="2">
        <v>98</v>
      </c>
      <c r="B29" s="3" t="s">
        <v>43</v>
      </c>
      <c r="C29" s="3" t="s">
        <v>296</v>
      </c>
      <c r="D29" s="3" t="s">
        <v>44</v>
      </c>
      <c r="E29" s="4">
        <v>4500</v>
      </c>
      <c r="F29" s="3" t="s">
        <v>21</v>
      </c>
      <c r="G29" s="3" t="s">
        <v>45</v>
      </c>
      <c r="H29" s="3" t="s">
        <v>46</v>
      </c>
      <c r="I29" s="3" t="s">
        <v>47</v>
      </c>
      <c r="J29" s="3" t="s">
        <v>48</v>
      </c>
      <c r="K29" s="3" t="s">
        <v>25</v>
      </c>
      <c r="L29" s="3" t="s">
        <v>26</v>
      </c>
      <c r="M29" s="3" t="s">
        <v>17</v>
      </c>
      <c r="N29" s="5"/>
    </row>
    <row r="30" spans="1:14" ht="13" x14ac:dyDescent="0.3">
      <c r="D30" s="6" t="s">
        <v>280</v>
      </c>
      <c r="E30" s="7">
        <f>SUM(E2:E29)</f>
        <v>70086</v>
      </c>
    </row>
  </sheetData>
  <phoneticPr fontId="0" type="noConversion"/>
  <pageMargins left="0.25" right="0.16" top="0.42" bottom="0.38" header="0.2" footer="0.17"/>
  <pageSetup paperSize="9" orientation="landscape" r:id="rId1"/>
  <headerFooter alignWithMargins="0">
    <oddHeader>&amp;L&amp;"Times New Roman,Bold Italic"&amp;11Mid West Region - Recommended to Minister - Grants for Education, Training &amp; Research</oddHeader>
    <oddFooter>&amp;L&amp;P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B15" workbookViewId="0">
      <selection activeCell="E18" sqref="E18"/>
    </sheetView>
  </sheetViews>
  <sheetFormatPr defaultColWidth="5.453125" defaultRowHeight="12.5" x14ac:dyDescent="0.25"/>
  <cols>
    <col min="1" max="1" width="5" style="5" hidden="1" customWidth="1"/>
    <col min="2" max="2" width="19.54296875" style="5" customWidth="1"/>
    <col min="3" max="3" width="5.7265625" style="5" bestFit="1" customWidth="1"/>
    <col min="4" max="4" width="28.26953125" style="5" customWidth="1"/>
    <col min="5" max="5" width="13.54296875" style="5" bestFit="1" customWidth="1"/>
    <col min="6" max="6" width="5.1796875" style="5" bestFit="1" customWidth="1"/>
    <col min="7" max="7" width="9.7265625" style="5" bestFit="1" customWidth="1"/>
    <col min="8" max="8" width="10.453125" style="5" bestFit="1" customWidth="1"/>
    <col min="9" max="9" width="14.453125" style="5" bestFit="1" customWidth="1"/>
    <col min="10" max="10" width="10.54296875" style="5" customWidth="1"/>
    <col min="11" max="11" width="12.7265625" style="5" bestFit="1" customWidth="1"/>
    <col min="12" max="12" width="8.54296875" style="5" bestFit="1" customWidth="1"/>
    <col min="13" max="13" width="8" style="5" bestFit="1" customWidth="1"/>
    <col min="14" max="14" width="5.453125" customWidth="1"/>
    <col min="15" max="16384" width="5.453125" style="5"/>
  </cols>
  <sheetData>
    <row r="1" spans="1:14" ht="25" x14ac:dyDescent="0.25">
      <c r="A1" s="9" t="s">
        <v>0</v>
      </c>
      <c r="B1" s="9" t="s">
        <v>1</v>
      </c>
      <c r="C1" s="9" t="s">
        <v>294</v>
      </c>
      <c r="D1" s="9" t="s">
        <v>2</v>
      </c>
      <c r="E1" s="9" t="s">
        <v>8</v>
      </c>
      <c r="F1" s="9" t="s">
        <v>278</v>
      </c>
      <c r="G1" s="9" t="s">
        <v>276</v>
      </c>
      <c r="H1" s="9" t="s">
        <v>277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5"/>
    </row>
    <row r="2" spans="1:14" ht="37.5" x14ac:dyDescent="0.25">
      <c r="A2" s="2">
        <v>1327</v>
      </c>
      <c r="B2" s="3" t="s">
        <v>176</v>
      </c>
      <c r="C2" s="3" t="s">
        <v>295</v>
      </c>
      <c r="D2" s="3" t="s">
        <v>177</v>
      </c>
      <c r="E2" s="4">
        <v>10000</v>
      </c>
      <c r="F2" s="3" t="s">
        <v>21</v>
      </c>
      <c r="G2" s="3" t="s">
        <v>178</v>
      </c>
      <c r="H2" s="3" t="s">
        <v>179</v>
      </c>
      <c r="I2" s="3" t="s">
        <v>176</v>
      </c>
      <c r="J2" s="3" t="s">
        <v>180</v>
      </c>
      <c r="K2" s="3" t="s">
        <v>41</v>
      </c>
      <c r="L2" s="3" t="s">
        <v>18</v>
      </c>
      <c r="M2" s="3" t="s">
        <v>313</v>
      </c>
      <c r="N2" s="5"/>
    </row>
    <row r="3" spans="1:14" ht="62.5" x14ac:dyDescent="0.25">
      <c r="A3" s="2">
        <v>751</v>
      </c>
      <c r="B3" s="3" t="s">
        <v>108</v>
      </c>
      <c r="C3" s="3" t="s">
        <v>295</v>
      </c>
      <c r="D3" s="3" t="s">
        <v>109</v>
      </c>
      <c r="E3" s="4">
        <v>10000</v>
      </c>
      <c r="F3" s="3" t="s">
        <v>21</v>
      </c>
      <c r="G3" s="3" t="s">
        <v>110</v>
      </c>
      <c r="H3" s="3" t="s">
        <v>46</v>
      </c>
      <c r="I3" s="3" t="s">
        <v>111</v>
      </c>
      <c r="J3" s="3" t="s">
        <v>112</v>
      </c>
      <c r="K3" s="3" t="s">
        <v>113</v>
      </c>
      <c r="L3" s="3" t="s">
        <v>18</v>
      </c>
      <c r="M3" s="3" t="s">
        <v>114</v>
      </c>
      <c r="N3" s="5"/>
    </row>
    <row r="4" spans="1:14" ht="25" x14ac:dyDescent="0.25">
      <c r="A4" s="2">
        <v>304</v>
      </c>
      <c r="B4" s="3" t="s">
        <v>87</v>
      </c>
      <c r="C4" s="3" t="s">
        <v>295</v>
      </c>
      <c r="D4" s="3" t="s">
        <v>88</v>
      </c>
      <c r="E4" s="4">
        <v>14400</v>
      </c>
      <c r="F4" s="3" t="s">
        <v>30</v>
      </c>
      <c r="G4" s="3" t="s">
        <v>89</v>
      </c>
      <c r="H4" s="3" t="s">
        <v>90</v>
      </c>
      <c r="I4" s="3" t="s">
        <v>91</v>
      </c>
      <c r="J4" s="3" t="s">
        <v>86</v>
      </c>
      <c r="K4" s="3" t="s">
        <v>17</v>
      </c>
      <c r="L4" s="3" t="s">
        <v>34</v>
      </c>
      <c r="M4" s="3" t="s">
        <v>303</v>
      </c>
      <c r="N4" s="5"/>
    </row>
    <row r="5" spans="1:14" ht="37.5" x14ac:dyDescent="0.25">
      <c r="A5" s="2">
        <v>35</v>
      </c>
      <c r="B5" s="3" t="s">
        <v>28</v>
      </c>
      <c r="C5" s="3" t="s">
        <v>295</v>
      </c>
      <c r="D5" s="3" t="s">
        <v>29</v>
      </c>
      <c r="E5" s="4">
        <v>10000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17</v>
      </c>
      <c r="K5" s="3" t="s">
        <v>17</v>
      </c>
      <c r="L5" s="3" t="s">
        <v>34</v>
      </c>
      <c r="M5" s="3" t="s">
        <v>35</v>
      </c>
      <c r="N5" s="5"/>
    </row>
    <row r="6" spans="1:14" ht="25" x14ac:dyDescent="0.25">
      <c r="A6" s="2">
        <v>2349</v>
      </c>
      <c r="B6" s="3" t="s">
        <v>270</v>
      </c>
      <c r="C6" s="3" t="s">
        <v>295</v>
      </c>
      <c r="D6" s="3" t="s">
        <v>271</v>
      </c>
      <c r="E6" s="4">
        <v>4000</v>
      </c>
      <c r="F6" s="3" t="s">
        <v>21</v>
      </c>
      <c r="G6" s="3" t="s">
        <v>272</v>
      </c>
      <c r="H6" s="3" t="s">
        <v>273</v>
      </c>
      <c r="I6" s="3" t="s">
        <v>274</v>
      </c>
      <c r="J6" s="3" t="s">
        <v>86</v>
      </c>
      <c r="K6" s="3" t="s">
        <v>17</v>
      </c>
      <c r="L6" s="3" t="s">
        <v>34</v>
      </c>
      <c r="M6" s="3" t="s">
        <v>275</v>
      </c>
      <c r="N6" s="5"/>
    </row>
    <row r="7" spans="1:14" ht="25" x14ac:dyDescent="0.25">
      <c r="A7" s="2">
        <v>204</v>
      </c>
      <c r="B7" s="3" t="s">
        <v>282</v>
      </c>
      <c r="C7" s="3" t="s">
        <v>295</v>
      </c>
      <c r="D7" s="3" t="s">
        <v>283</v>
      </c>
      <c r="E7" s="4">
        <v>2000</v>
      </c>
      <c r="F7" s="3" t="s">
        <v>30</v>
      </c>
      <c r="G7" s="3" t="s">
        <v>284</v>
      </c>
      <c r="H7" s="3" t="s">
        <v>285</v>
      </c>
      <c r="I7" s="3" t="s">
        <v>286</v>
      </c>
      <c r="J7" s="3" t="s">
        <v>287</v>
      </c>
      <c r="K7" s="3" t="s">
        <v>150</v>
      </c>
      <c r="L7" s="3" t="s">
        <v>26</v>
      </c>
      <c r="M7" s="3" t="s">
        <v>288</v>
      </c>
      <c r="N7" s="5"/>
    </row>
    <row r="8" spans="1:14" ht="25" x14ac:dyDescent="0.25">
      <c r="A8" s="2">
        <v>868</v>
      </c>
      <c r="B8" s="3" t="s">
        <v>122</v>
      </c>
      <c r="C8" s="3" t="s">
        <v>295</v>
      </c>
      <c r="D8" s="3" t="s">
        <v>123</v>
      </c>
      <c r="E8" s="4">
        <v>2500</v>
      </c>
      <c r="F8" s="3" t="s">
        <v>21</v>
      </c>
      <c r="G8" s="3" t="s">
        <v>124</v>
      </c>
      <c r="H8" s="3" t="s">
        <v>125</v>
      </c>
      <c r="I8" s="3" t="s">
        <v>126</v>
      </c>
      <c r="J8" s="3" t="s">
        <v>127</v>
      </c>
      <c r="K8" s="3" t="s">
        <v>17</v>
      </c>
      <c r="L8" s="3" t="s">
        <v>18</v>
      </c>
      <c r="M8" s="3" t="s">
        <v>307</v>
      </c>
      <c r="N8" s="5"/>
    </row>
    <row r="9" spans="1:14" ht="25" x14ac:dyDescent="0.25">
      <c r="A9" s="2">
        <v>667</v>
      </c>
      <c r="B9" s="3" t="s">
        <v>305</v>
      </c>
      <c r="C9" s="3" t="s">
        <v>296</v>
      </c>
      <c r="D9" s="3" t="s">
        <v>290</v>
      </c>
      <c r="E9" s="4">
        <v>9000</v>
      </c>
      <c r="F9" s="3" t="s">
        <v>30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41</v>
      </c>
      <c r="L9" s="3" t="s">
        <v>18</v>
      </c>
      <c r="M9" s="3" t="s">
        <v>101</v>
      </c>
      <c r="N9" s="5"/>
    </row>
    <row r="10" spans="1:14" ht="37.5" x14ac:dyDescent="0.25">
      <c r="A10" s="2">
        <v>508</v>
      </c>
      <c r="B10" s="3" t="s">
        <v>92</v>
      </c>
      <c r="C10" s="3" t="s">
        <v>295</v>
      </c>
      <c r="D10" s="3" t="s">
        <v>289</v>
      </c>
      <c r="E10" s="4">
        <v>2065</v>
      </c>
      <c r="F10" s="3" t="s">
        <v>21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41</v>
      </c>
      <c r="L10" s="3" t="s">
        <v>18</v>
      </c>
      <c r="M10" s="3" t="s">
        <v>304</v>
      </c>
      <c r="N10" s="5"/>
    </row>
    <row r="11" spans="1:14" ht="25" x14ac:dyDescent="0.25">
      <c r="A11" s="2">
        <v>2255</v>
      </c>
      <c r="B11" s="3" t="s">
        <v>263</v>
      </c>
      <c r="C11" s="3" t="s">
        <v>295</v>
      </c>
      <c r="D11" s="3" t="s">
        <v>264</v>
      </c>
      <c r="E11" s="4">
        <v>2250</v>
      </c>
      <c r="F11" s="3" t="s">
        <v>21</v>
      </c>
      <c r="G11" s="3" t="s">
        <v>201</v>
      </c>
      <c r="H11" s="3" t="s">
        <v>39</v>
      </c>
      <c r="I11" s="3" t="s">
        <v>265</v>
      </c>
      <c r="J11" s="3" t="s">
        <v>266</v>
      </c>
      <c r="K11" s="3" t="s">
        <v>25</v>
      </c>
      <c r="L11" s="3" t="s">
        <v>26</v>
      </c>
      <c r="M11" s="3" t="s">
        <v>326</v>
      </c>
      <c r="N11" s="5"/>
    </row>
    <row r="12" spans="1:14" ht="37.5" x14ac:dyDescent="0.25">
      <c r="A12" s="2">
        <v>1941</v>
      </c>
      <c r="B12" s="3" t="s">
        <v>231</v>
      </c>
      <c r="C12" s="3" t="s">
        <v>295</v>
      </c>
      <c r="D12" s="3" t="s">
        <v>232</v>
      </c>
      <c r="E12" s="4">
        <v>326</v>
      </c>
      <c r="F12" s="3" t="s">
        <v>21</v>
      </c>
      <c r="G12" s="3" t="s">
        <v>233</v>
      </c>
      <c r="H12" s="3" t="s">
        <v>234</v>
      </c>
      <c r="I12" s="3" t="s">
        <v>235</v>
      </c>
      <c r="J12" s="3" t="s">
        <v>236</v>
      </c>
      <c r="K12" s="3" t="s">
        <v>237</v>
      </c>
      <c r="L12" s="3" t="s">
        <v>26</v>
      </c>
      <c r="M12" s="3" t="s">
        <v>238</v>
      </c>
      <c r="N12" s="5"/>
    </row>
    <row r="13" spans="1:14" ht="25" x14ac:dyDescent="0.25">
      <c r="A13" s="2">
        <v>185</v>
      </c>
      <c r="B13" s="3" t="s">
        <v>74</v>
      </c>
      <c r="C13" s="3" t="s">
        <v>295</v>
      </c>
      <c r="D13" s="3" t="s">
        <v>281</v>
      </c>
      <c r="E13" s="4">
        <v>4500</v>
      </c>
      <c r="F13" s="3" t="s">
        <v>21</v>
      </c>
      <c r="G13" s="3" t="s">
        <v>76</v>
      </c>
      <c r="H13" s="3" t="s">
        <v>77</v>
      </c>
      <c r="I13" s="3" t="s">
        <v>78</v>
      </c>
      <c r="J13" s="3" t="s">
        <v>79</v>
      </c>
      <c r="K13" s="3" t="s">
        <v>80</v>
      </c>
      <c r="L13" s="3" t="s">
        <v>18</v>
      </c>
      <c r="M13" s="3" t="s">
        <v>301</v>
      </c>
      <c r="N13" s="5"/>
    </row>
    <row r="14" spans="1:14" ht="50" x14ac:dyDescent="0.25">
      <c r="A14" s="2">
        <v>976</v>
      </c>
      <c r="B14" s="3" t="s">
        <v>141</v>
      </c>
      <c r="C14" s="3" t="s">
        <v>295</v>
      </c>
      <c r="D14" s="3" t="s">
        <v>291</v>
      </c>
      <c r="E14" s="4">
        <v>6000</v>
      </c>
      <c r="F14" s="3" t="s">
        <v>21</v>
      </c>
      <c r="G14" s="3" t="s">
        <v>142</v>
      </c>
      <c r="H14" s="3" t="s">
        <v>143</v>
      </c>
      <c r="I14" s="3" t="s">
        <v>144</v>
      </c>
      <c r="J14" s="3" t="s">
        <v>145</v>
      </c>
      <c r="K14" s="3" t="s">
        <v>41</v>
      </c>
      <c r="L14" s="3" t="s">
        <v>18</v>
      </c>
      <c r="M14" s="3" t="s">
        <v>146</v>
      </c>
      <c r="N14" s="5"/>
    </row>
    <row r="15" spans="1:14" ht="37.5" x14ac:dyDescent="0.25">
      <c r="A15" s="2">
        <v>812</v>
      </c>
      <c r="B15" s="3" t="s">
        <v>115</v>
      </c>
      <c r="C15" s="3" t="s">
        <v>295</v>
      </c>
      <c r="D15" s="3" t="s">
        <v>116</v>
      </c>
      <c r="E15" s="4">
        <v>10000</v>
      </c>
      <c r="F15" s="3" t="s">
        <v>21</v>
      </c>
      <c r="G15" s="3" t="s">
        <v>117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34</v>
      </c>
      <c r="M15" s="3" t="s">
        <v>306</v>
      </c>
      <c r="N15" s="5"/>
    </row>
    <row r="16" spans="1:14" ht="62.5" x14ac:dyDescent="0.25">
      <c r="A16" s="2">
        <v>1353</v>
      </c>
      <c r="B16" s="3" t="s">
        <v>181</v>
      </c>
      <c r="C16" s="3" t="s">
        <v>295</v>
      </c>
      <c r="D16" s="3" t="s">
        <v>314</v>
      </c>
      <c r="E16" s="4">
        <v>5000</v>
      </c>
      <c r="F16" s="3" t="s">
        <v>21</v>
      </c>
      <c r="G16" s="3" t="s">
        <v>182</v>
      </c>
      <c r="H16" s="3" t="s">
        <v>183</v>
      </c>
      <c r="I16" s="3" t="s">
        <v>184</v>
      </c>
      <c r="J16" s="3" t="s">
        <v>185</v>
      </c>
      <c r="K16" s="3" t="s">
        <v>186</v>
      </c>
      <c r="L16" s="3" t="s">
        <v>18</v>
      </c>
      <c r="M16" s="3" t="s">
        <v>187</v>
      </c>
      <c r="N16" s="5"/>
    </row>
    <row r="17" spans="1:14" ht="37.5" x14ac:dyDescent="0.25">
      <c r="A17" s="2">
        <v>10</v>
      </c>
      <c r="B17" s="3" t="s">
        <v>9</v>
      </c>
      <c r="C17" s="3" t="s">
        <v>295</v>
      </c>
      <c r="D17" s="3" t="s">
        <v>10</v>
      </c>
      <c r="E17" s="4">
        <v>3800</v>
      </c>
      <c r="F17" s="3" t="s">
        <v>11</v>
      </c>
      <c r="G17" s="3" t="s">
        <v>12</v>
      </c>
      <c r="H17" s="3" t="s">
        <v>13</v>
      </c>
      <c r="I17" s="3" t="s">
        <v>14</v>
      </c>
      <c r="J17" s="3" t="s">
        <v>15</v>
      </c>
      <c r="K17" s="3" t="s">
        <v>16</v>
      </c>
      <c r="L17" s="3" t="s">
        <v>18</v>
      </c>
      <c r="M17" s="3" t="s">
        <v>19</v>
      </c>
      <c r="N17" s="5"/>
    </row>
    <row r="18" spans="1:14" ht="25" x14ac:dyDescent="0.25">
      <c r="A18" s="2">
        <v>1029</v>
      </c>
      <c r="B18" s="3" t="s">
        <v>147</v>
      </c>
      <c r="C18" s="3" t="s">
        <v>295</v>
      </c>
      <c r="D18" s="3" t="s">
        <v>292</v>
      </c>
      <c r="E18" s="4">
        <v>3223</v>
      </c>
      <c r="F18" s="3" t="s">
        <v>30</v>
      </c>
      <c r="G18" s="3" t="s">
        <v>38</v>
      </c>
      <c r="H18" s="3" t="s">
        <v>148</v>
      </c>
      <c r="I18" s="3" t="s">
        <v>149</v>
      </c>
      <c r="J18" s="3" t="s">
        <v>150</v>
      </c>
      <c r="K18" s="3" t="s">
        <v>17</v>
      </c>
      <c r="L18" s="3" t="s">
        <v>26</v>
      </c>
      <c r="M18" s="3" t="s">
        <v>17</v>
      </c>
      <c r="N18" s="5"/>
    </row>
    <row r="19" spans="1:14" ht="37.5" x14ac:dyDescent="0.25">
      <c r="A19" s="2">
        <v>122</v>
      </c>
      <c r="B19" s="3" t="s">
        <v>55</v>
      </c>
      <c r="C19" s="3" t="s">
        <v>295</v>
      </c>
      <c r="D19" s="3" t="s">
        <v>56</v>
      </c>
      <c r="E19" s="4">
        <v>7550</v>
      </c>
      <c r="F19" s="3" t="s">
        <v>30</v>
      </c>
      <c r="G19" s="3" t="s">
        <v>57</v>
      </c>
      <c r="H19" s="3" t="s">
        <v>58</v>
      </c>
      <c r="I19" s="3" t="s">
        <v>59</v>
      </c>
      <c r="J19" s="3" t="s">
        <v>60</v>
      </c>
      <c r="K19" s="3" t="s">
        <v>61</v>
      </c>
      <c r="L19" s="3" t="s">
        <v>26</v>
      </c>
      <c r="M19" s="3" t="s">
        <v>299</v>
      </c>
      <c r="N19" s="5"/>
    </row>
    <row r="20" spans="1:14" ht="13" x14ac:dyDescent="0.3">
      <c r="D20" s="6" t="s">
        <v>280</v>
      </c>
      <c r="E20" s="7">
        <f>SUM(E2:E19)</f>
        <v>106614</v>
      </c>
    </row>
  </sheetData>
  <phoneticPr fontId="0" type="noConversion"/>
  <pageMargins left="0.18" right="0.16" top="0.47" bottom="0.38" header="0.2" footer="0.17"/>
  <pageSetup paperSize="9" orientation="landscape" r:id="rId1"/>
  <headerFooter alignWithMargins="0">
    <oddHeader>&amp;L&amp;"Times New Roman,Bold Italic"&amp;11Mid West Region - Recommended to Minister - Grants for Equipment / Refubishment</oddHead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Mid West</vt:lpstr>
      <vt:lpstr>Ed T</vt:lpstr>
      <vt:lpstr>Eq R</vt:lpstr>
      <vt:lpstr>'Ed T'!Print_Area</vt:lpstr>
      <vt:lpstr>'Eq R'!Print_Area</vt:lpstr>
      <vt:lpstr>'Mid West'!Print_Area</vt:lpstr>
      <vt:lpstr>'Ed T'!Print_Titles</vt:lpstr>
      <vt:lpstr>'Eq R'!Print_Titles</vt:lpstr>
      <vt:lpstr>'Mid West'!Print_Titles</vt:lpstr>
    </vt:vector>
  </TitlesOfParts>
  <Company>CRGA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CRGA</dc:creator>
  <cp:lastModifiedBy>Carina Negreanu</cp:lastModifiedBy>
  <cp:lastPrinted>2003-12-04T18:12:36Z</cp:lastPrinted>
  <dcterms:created xsi:type="dcterms:W3CDTF">2003-11-14T15:29:43Z</dcterms:created>
  <dcterms:modified xsi:type="dcterms:W3CDTF">2020-01-27T11:26:47Z</dcterms:modified>
</cp:coreProperties>
</file>