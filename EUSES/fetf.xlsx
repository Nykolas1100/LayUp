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D5428A-8962-4CAF-8D9E-9032B8B63DB8}" xr6:coauthVersionLast="45" xr6:coauthVersionMax="45" xr10:uidLastSave="{00000000-0000-0000-0000-000000000000}"/>
  <bookViews>
    <workbookView xWindow="1900" yWindow="1900" windowWidth="28800" windowHeight="15460"/>
  </bookViews>
  <sheets>
    <sheet name="Explanation" sheetId="1" r:id="rId1"/>
    <sheet name="Report" sheetId="2" r:id="rId2"/>
    <sheet name="Data" sheetId="3" r:id="rId3"/>
  </sheets>
  <definedNames>
    <definedName name="_xlnm.Print_Area" localSheetId="2">Data!$A$1:$A$204</definedName>
    <definedName name="_xlnm.Print_Area" localSheetId="0">Explanation!$A$1:$H$38</definedName>
    <definedName name="_xlnm.Print_Area" localSheetId="1">Report!$A$1:$G$250</definedName>
    <definedName name="_xlnm.Print_Titles" localSheetId="2">Data!$1:$6</definedName>
    <definedName name="_xlnm.Print_Titles" localSheetId="1">Report!$1:$7</definedName>
  </definedNames>
  <calcPr calcId="0" calcMode="autoNoTable" fullCalcOnLoad="1" iterate="1" iterateCount="1" iterateDelta="0"/>
</workbook>
</file>

<file path=xl/calcChain.xml><?xml version="1.0" encoding="utf-8"?>
<calcChain xmlns="http://schemas.openxmlformats.org/spreadsheetml/2006/main">
  <c r="D230" i="3" l="1"/>
  <c r="A1" i="1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C77" i="2"/>
  <c r="D77" i="2"/>
  <c r="E77" i="2"/>
  <c r="F77" i="2"/>
  <c r="G77" i="2"/>
  <c r="C78" i="2"/>
  <c r="D78" i="2"/>
  <c r="E78" i="2"/>
  <c r="F78" i="2"/>
  <c r="G78" i="2"/>
  <c r="C81" i="2"/>
  <c r="D81" i="2"/>
  <c r="E81" i="2"/>
  <c r="F81" i="2"/>
  <c r="G81" i="2"/>
  <c r="C82" i="2"/>
  <c r="D82" i="2"/>
  <c r="E82" i="2"/>
  <c r="F82" i="2"/>
  <c r="G82" i="2"/>
  <c r="C83" i="2"/>
  <c r="D83" i="2"/>
  <c r="E83" i="2"/>
  <c r="F83" i="2"/>
  <c r="G83" i="2"/>
  <c r="C84" i="2"/>
  <c r="D84" i="2"/>
  <c r="E84" i="2"/>
  <c r="F84" i="2"/>
  <c r="G84" i="2"/>
  <c r="C85" i="2"/>
  <c r="D85" i="2"/>
  <c r="E85" i="2"/>
  <c r="F85" i="2"/>
  <c r="G85" i="2"/>
  <c r="C86" i="2"/>
  <c r="D86" i="2"/>
  <c r="E86" i="2"/>
  <c r="F86" i="2"/>
  <c r="G86" i="2"/>
  <c r="C87" i="2"/>
  <c r="D87" i="2"/>
  <c r="E87" i="2"/>
  <c r="F87" i="2"/>
  <c r="G87" i="2"/>
  <c r="C88" i="2"/>
  <c r="D88" i="2"/>
  <c r="E88" i="2"/>
  <c r="F88" i="2"/>
  <c r="G88" i="2"/>
  <c r="C89" i="2"/>
  <c r="D89" i="2"/>
  <c r="E89" i="2"/>
  <c r="F89" i="2"/>
  <c r="G89" i="2"/>
  <c r="C90" i="2"/>
  <c r="D90" i="2"/>
  <c r="E90" i="2"/>
  <c r="F90" i="2"/>
  <c r="G90" i="2"/>
  <c r="C91" i="2"/>
  <c r="D91" i="2"/>
  <c r="E91" i="2"/>
  <c r="F91" i="2"/>
  <c r="G91" i="2"/>
  <c r="C94" i="2"/>
  <c r="D94" i="2"/>
  <c r="E94" i="2"/>
  <c r="F94" i="2"/>
  <c r="G94" i="2"/>
  <c r="C95" i="2"/>
  <c r="D95" i="2"/>
  <c r="E95" i="2"/>
  <c r="F95" i="2"/>
  <c r="G95" i="2"/>
  <c r="C96" i="2"/>
  <c r="D96" i="2"/>
  <c r="E96" i="2"/>
  <c r="F96" i="2"/>
  <c r="G96" i="2"/>
  <c r="C97" i="2"/>
  <c r="D97" i="2"/>
  <c r="E97" i="2"/>
  <c r="F97" i="2"/>
  <c r="G97" i="2"/>
  <c r="C98" i="2"/>
  <c r="D98" i="2"/>
  <c r="E98" i="2"/>
  <c r="F98" i="2"/>
  <c r="G98" i="2"/>
  <c r="C99" i="2"/>
  <c r="D99" i="2"/>
  <c r="E99" i="2"/>
  <c r="F99" i="2"/>
  <c r="G99" i="2"/>
  <c r="C100" i="2"/>
  <c r="D100" i="2"/>
  <c r="E100" i="2"/>
  <c r="F100" i="2"/>
  <c r="G100" i="2"/>
  <c r="C101" i="2"/>
  <c r="D101" i="2"/>
  <c r="E101" i="2"/>
  <c r="F101" i="2"/>
  <c r="G101" i="2"/>
  <c r="C102" i="2"/>
  <c r="D102" i="2"/>
  <c r="E102" i="2"/>
  <c r="F102" i="2"/>
  <c r="G102" i="2"/>
  <c r="C103" i="2"/>
  <c r="D103" i="2"/>
  <c r="E103" i="2"/>
  <c r="F103" i="2"/>
  <c r="G103" i="2"/>
  <c r="C104" i="2"/>
  <c r="D104" i="2"/>
  <c r="E104" i="2"/>
  <c r="F104" i="2"/>
  <c r="G104" i="2"/>
  <c r="C105" i="2"/>
  <c r="D105" i="2"/>
  <c r="E105" i="2"/>
  <c r="F105" i="2"/>
  <c r="G105" i="2"/>
  <c r="C106" i="2"/>
  <c r="D106" i="2"/>
  <c r="E106" i="2"/>
  <c r="F106" i="2"/>
  <c r="G106" i="2"/>
  <c r="C107" i="2"/>
  <c r="D107" i="2"/>
  <c r="E107" i="2"/>
  <c r="F107" i="2"/>
  <c r="G107" i="2"/>
  <c r="C108" i="2"/>
  <c r="D108" i="2"/>
  <c r="E108" i="2"/>
  <c r="F108" i="2"/>
  <c r="G108" i="2"/>
  <c r="C109" i="2"/>
  <c r="D109" i="2"/>
  <c r="E109" i="2"/>
  <c r="F109" i="2"/>
  <c r="G109" i="2"/>
  <c r="C110" i="2"/>
  <c r="D110" i="2"/>
  <c r="E110" i="2"/>
  <c r="F110" i="2"/>
  <c r="G110" i="2"/>
  <c r="C111" i="2"/>
  <c r="D111" i="2"/>
  <c r="E111" i="2"/>
  <c r="F111" i="2"/>
  <c r="G111" i="2"/>
  <c r="C112" i="2"/>
  <c r="D112" i="2"/>
  <c r="E112" i="2"/>
  <c r="F112" i="2"/>
  <c r="G112" i="2"/>
  <c r="C115" i="2"/>
  <c r="D115" i="2"/>
  <c r="E115" i="2"/>
  <c r="F115" i="2"/>
  <c r="G115" i="2"/>
  <c r="C116" i="2"/>
  <c r="D116" i="2"/>
  <c r="E116" i="2"/>
  <c r="F116" i="2"/>
  <c r="G116" i="2"/>
  <c r="C117" i="2"/>
  <c r="D117" i="2"/>
  <c r="E117" i="2"/>
  <c r="F117" i="2"/>
  <c r="G117" i="2"/>
  <c r="C118" i="2"/>
  <c r="D118" i="2"/>
  <c r="E118" i="2"/>
  <c r="F118" i="2"/>
  <c r="G118" i="2"/>
  <c r="C119" i="2"/>
  <c r="D119" i="2"/>
  <c r="E119" i="2"/>
  <c r="F119" i="2"/>
  <c r="G119" i="2"/>
  <c r="C120" i="2"/>
  <c r="D120" i="2"/>
  <c r="E120" i="2"/>
  <c r="F120" i="2"/>
  <c r="G120" i="2"/>
  <c r="C121" i="2"/>
  <c r="D121" i="2"/>
  <c r="E121" i="2"/>
  <c r="F121" i="2"/>
  <c r="G121" i="2"/>
  <c r="C122" i="2"/>
  <c r="D122" i="2"/>
  <c r="E122" i="2"/>
  <c r="F122" i="2"/>
  <c r="G122" i="2"/>
  <c r="C123" i="2"/>
  <c r="D123" i="2"/>
  <c r="E123" i="2"/>
  <c r="F123" i="2"/>
  <c r="G123" i="2"/>
  <c r="C124" i="2"/>
  <c r="D124" i="2"/>
  <c r="E124" i="2"/>
  <c r="F124" i="2"/>
  <c r="G124" i="2"/>
  <c r="C125" i="2"/>
  <c r="D125" i="2"/>
  <c r="E125" i="2"/>
  <c r="F125" i="2"/>
  <c r="G125" i="2"/>
  <c r="C126" i="2"/>
  <c r="D126" i="2"/>
  <c r="E126" i="2"/>
  <c r="F126" i="2"/>
  <c r="G126" i="2"/>
  <c r="C127" i="2"/>
  <c r="D127" i="2"/>
  <c r="E127" i="2"/>
  <c r="F127" i="2"/>
  <c r="G127" i="2"/>
  <c r="C130" i="2"/>
  <c r="D130" i="2"/>
  <c r="E130" i="2"/>
  <c r="F130" i="2"/>
  <c r="G130" i="2"/>
  <c r="C131" i="2"/>
  <c r="D131" i="2"/>
  <c r="E131" i="2"/>
  <c r="F131" i="2"/>
  <c r="G131" i="2"/>
  <c r="C132" i="2"/>
  <c r="D132" i="2"/>
  <c r="E132" i="2"/>
  <c r="F132" i="2"/>
  <c r="G132" i="2"/>
  <c r="C133" i="2"/>
  <c r="D133" i="2"/>
  <c r="E133" i="2"/>
  <c r="F133" i="2"/>
  <c r="G133" i="2"/>
  <c r="C134" i="2"/>
  <c r="D134" i="2"/>
  <c r="E134" i="2"/>
  <c r="F134" i="2"/>
  <c r="G134" i="2"/>
  <c r="C135" i="2"/>
  <c r="D135" i="2"/>
  <c r="E135" i="2"/>
  <c r="F135" i="2"/>
  <c r="G135" i="2"/>
  <c r="C136" i="2"/>
  <c r="D136" i="2"/>
  <c r="E136" i="2"/>
  <c r="F136" i="2"/>
  <c r="G136" i="2"/>
  <c r="C137" i="2"/>
  <c r="D137" i="2"/>
  <c r="E137" i="2"/>
  <c r="F137" i="2"/>
  <c r="G137" i="2"/>
  <c r="C140" i="2"/>
  <c r="D140" i="2"/>
  <c r="E140" i="2"/>
  <c r="F140" i="2"/>
  <c r="G140" i="2"/>
  <c r="C141" i="2"/>
  <c r="D141" i="2"/>
  <c r="E141" i="2"/>
  <c r="F141" i="2"/>
  <c r="G141" i="2"/>
  <c r="C142" i="2"/>
  <c r="D142" i="2"/>
  <c r="E142" i="2"/>
  <c r="F142" i="2"/>
  <c r="G142" i="2"/>
  <c r="C143" i="2"/>
  <c r="D143" i="2"/>
  <c r="E143" i="2"/>
  <c r="F143" i="2"/>
  <c r="G143" i="2"/>
  <c r="C144" i="2"/>
  <c r="D144" i="2"/>
  <c r="E144" i="2"/>
  <c r="F144" i="2"/>
  <c r="G144" i="2"/>
  <c r="C145" i="2"/>
  <c r="D145" i="2"/>
  <c r="E145" i="2"/>
  <c r="F145" i="2"/>
  <c r="G145" i="2"/>
  <c r="C146" i="2"/>
  <c r="D146" i="2"/>
  <c r="E146" i="2"/>
  <c r="F146" i="2"/>
  <c r="G146" i="2"/>
  <c r="C147" i="2"/>
  <c r="D147" i="2"/>
  <c r="E147" i="2"/>
  <c r="F147" i="2"/>
  <c r="G147" i="2"/>
  <c r="C148" i="2"/>
  <c r="D148" i="2"/>
  <c r="E148" i="2"/>
  <c r="F148" i="2"/>
  <c r="G148" i="2"/>
  <c r="C149" i="2"/>
  <c r="D149" i="2"/>
  <c r="E149" i="2"/>
  <c r="F149" i="2"/>
  <c r="G149" i="2"/>
  <c r="C150" i="2"/>
  <c r="D150" i="2"/>
  <c r="E150" i="2"/>
  <c r="F150" i="2"/>
  <c r="G150" i="2"/>
  <c r="C151" i="2"/>
  <c r="D151" i="2"/>
  <c r="E151" i="2"/>
  <c r="F151" i="2"/>
  <c r="G151" i="2"/>
  <c r="C152" i="2"/>
  <c r="D152" i="2"/>
  <c r="E152" i="2"/>
  <c r="F152" i="2"/>
  <c r="G152" i="2"/>
  <c r="C155" i="2"/>
  <c r="D155" i="2"/>
  <c r="E155" i="2"/>
  <c r="F155" i="2"/>
  <c r="G155" i="2"/>
  <c r="C156" i="2"/>
  <c r="D156" i="2"/>
  <c r="E156" i="2"/>
  <c r="F156" i="2"/>
  <c r="G156" i="2"/>
  <c r="C157" i="2"/>
  <c r="D157" i="2"/>
  <c r="E157" i="2"/>
  <c r="F157" i="2"/>
  <c r="G157" i="2"/>
  <c r="C158" i="2"/>
  <c r="D158" i="2"/>
  <c r="E158" i="2"/>
  <c r="F158" i="2"/>
  <c r="G158" i="2"/>
  <c r="C159" i="2"/>
  <c r="D159" i="2"/>
  <c r="E159" i="2"/>
  <c r="F159" i="2"/>
  <c r="G159" i="2"/>
  <c r="C160" i="2"/>
  <c r="D160" i="2"/>
  <c r="E160" i="2"/>
  <c r="F160" i="2"/>
  <c r="G160" i="2"/>
  <c r="C161" i="2"/>
  <c r="D161" i="2"/>
  <c r="E161" i="2"/>
  <c r="F161" i="2"/>
  <c r="G161" i="2"/>
  <c r="C162" i="2"/>
  <c r="D162" i="2"/>
  <c r="E162" i="2"/>
  <c r="F162" i="2"/>
  <c r="G162" i="2"/>
  <c r="C163" i="2"/>
  <c r="D163" i="2"/>
  <c r="E163" i="2"/>
  <c r="F163" i="2"/>
  <c r="G163" i="2"/>
  <c r="C164" i="2"/>
  <c r="D164" i="2"/>
  <c r="E164" i="2"/>
  <c r="F164" i="2"/>
  <c r="G164" i="2"/>
  <c r="C165" i="2"/>
  <c r="D165" i="2"/>
  <c r="E165" i="2"/>
  <c r="F165" i="2"/>
  <c r="G165" i="2"/>
  <c r="C166" i="2"/>
  <c r="D166" i="2"/>
  <c r="E166" i="2"/>
  <c r="F166" i="2"/>
  <c r="G166" i="2"/>
  <c r="C169" i="2"/>
  <c r="D169" i="2"/>
  <c r="E169" i="2"/>
  <c r="F169" i="2"/>
  <c r="G169" i="2"/>
  <c r="C170" i="2"/>
  <c r="D170" i="2"/>
  <c r="E170" i="2"/>
  <c r="F170" i="2"/>
  <c r="G170" i="2"/>
  <c r="C171" i="2"/>
  <c r="D171" i="2"/>
  <c r="E171" i="2"/>
  <c r="F171" i="2"/>
  <c r="G171" i="2"/>
  <c r="C172" i="2"/>
  <c r="D172" i="2"/>
  <c r="E172" i="2"/>
  <c r="F172" i="2"/>
  <c r="G172" i="2"/>
  <c r="C173" i="2"/>
  <c r="D173" i="2"/>
  <c r="E173" i="2"/>
  <c r="F173" i="2"/>
  <c r="G173" i="2"/>
  <c r="C174" i="2"/>
  <c r="D174" i="2"/>
  <c r="E174" i="2"/>
  <c r="F174" i="2"/>
  <c r="G174" i="2"/>
  <c r="C175" i="2"/>
  <c r="D175" i="2"/>
  <c r="E175" i="2"/>
  <c r="F175" i="2"/>
  <c r="G175" i="2"/>
  <c r="C176" i="2"/>
  <c r="D176" i="2"/>
  <c r="E176" i="2"/>
  <c r="F176" i="2"/>
  <c r="G176" i="2"/>
  <c r="C179" i="2"/>
  <c r="D179" i="2"/>
  <c r="E179" i="2"/>
  <c r="F179" i="2"/>
  <c r="G179" i="2"/>
  <c r="C180" i="2"/>
  <c r="D180" i="2"/>
  <c r="E180" i="2"/>
  <c r="F180" i="2"/>
  <c r="G180" i="2"/>
  <c r="C181" i="2"/>
  <c r="D181" i="2"/>
  <c r="E181" i="2"/>
  <c r="F181" i="2"/>
  <c r="G181" i="2"/>
  <c r="C182" i="2"/>
  <c r="D182" i="2"/>
  <c r="E182" i="2"/>
  <c r="F182" i="2"/>
  <c r="G182" i="2"/>
  <c r="C183" i="2"/>
  <c r="D183" i="2"/>
  <c r="E183" i="2"/>
  <c r="F183" i="2"/>
  <c r="G183" i="2"/>
  <c r="C186" i="2"/>
  <c r="D186" i="2"/>
  <c r="E186" i="2"/>
  <c r="F186" i="2"/>
  <c r="G186" i="2"/>
  <c r="C187" i="2"/>
  <c r="D187" i="2"/>
  <c r="E187" i="2"/>
  <c r="F187" i="2"/>
  <c r="G187" i="2"/>
  <c r="C188" i="2"/>
  <c r="D188" i="2"/>
  <c r="E188" i="2"/>
  <c r="F188" i="2"/>
  <c r="G188" i="2"/>
  <c r="C189" i="2"/>
  <c r="D189" i="2"/>
  <c r="E189" i="2"/>
  <c r="F189" i="2"/>
  <c r="G189" i="2"/>
  <c r="C192" i="2"/>
  <c r="D192" i="2"/>
  <c r="E192" i="2"/>
  <c r="F192" i="2"/>
  <c r="G192" i="2"/>
  <c r="C193" i="2"/>
  <c r="D193" i="2"/>
  <c r="E193" i="2"/>
  <c r="F193" i="2"/>
  <c r="G193" i="2"/>
  <c r="C194" i="2"/>
  <c r="D194" i="2"/>
  <c r="E194" i="2"/>
  <c r="F194" i="2"/>
  <c r="G194" i="2"/>
  <c r="C195" i="2"/>
  <c r="D195" i="2"/>
  <c r="E195" i="2"/>
  <c r="F195" i="2"/>
  <c r="G195" i="2"/>
  <c r="C196" i="2"/>
  <c r="D196" i="2"/>
  <c r="E196" i="2"/>
  <c r="F196" i="2"/>
  <c r="G196" i="2"/>
  <c r="C197" i="2"/>
  <c r="D197" i="2"/>
  <c r="E197" i="2"/>
  <c r="F197" i="2"/>
  <c r="G197" i="2"/>
  <c r="C198" i="2"/>
  <c r="D198" i="2"/>
  <c r="E198" i="2"/>
  <c r="F198" i="2"/>
  <c r="G198" i="2"/>
  <c r="C199" i="2"/>
  <c r="D199" i="2"/>
  <c r="E199" i="2"/>
  <c r="F199" i="2"/>
  <c r="G199" i="2"/>
  <c r="C200" i="2"/>
  <c r="D200" i="2"/>
  <c r="E200" i="2"/>
  <c r="F200" i="2"/>
  <c r="G200" i="2"/>
  <c r="C201" i="2"/>
  <c r="D201" i="2"/>
  <c r="E201" i="2"/>
  <c r="F201" i="2"/>
  <c r="G201" i="2"/>
  <c r="C202" i="2"/>
  <c r="D202" i="2"/>
  <c r="E202" i="2"/>
  <c r="F202" i="2"/>
  <c r="G202" i="2"/>
  <c r="C203" i="2"/>
  <c r="D203" i="2"/>
  <c r="E203" i="2"/>
  <c r="F203" i="2"/>
  <c r="G203" i="2"/>
  <c r="C204" i="2"/>
  <c r="D204" i="2"/>
  <c r="E204" i="2"/>
  <c r="F204" i="2"/>
  <c r="G204" i="2"/>
  <c r="C205" i="2"/>
  <c r="D205" i="2"/>
  <c r="E205" i="2"/>
  <c r="F205" i="2"/>
  <c r="G205" i="2"/>
  <c r="C211" i="2"/>
  <c r="D211" i="2"/>
  <c r="E211" i="2"/>
  <c r="C212" i="2"/>
  <c r="D212" i="2"/>
  <c r="E212" i="2"/>
  <c r="C213" i="2"/>
  <c r="D213" i="2"/>
  <c r="E213" i="2"/>
  <c r="C214" i="2"/>
  <c r="D214" i="2"/>
  <c r="E214" i="2"/>
  <c r="C215" i="2"/>
  <c r="D215" i="2"/>
  <c r="E215" i="2"/>
  <c r="C216" i="2"/>
  <c r="D216" i="2"/>
  <c r="E216" i="2"/>
  <c r="C217" i="2"/>
  <c r="D217" i="2"/>
  <c r="E217" i="2"/>
  <c r="C218" i="2"/>
  <c r="D218" i="2"/>
  <c r="E218" i="2"/>
  <c r="E221" i="2"/>
  <c r="F221" i="2"/>
  <c r="C224" i="2"/>
  <c r="C225" i="2"/>
  <c r="C226" i="2"/>
  <c r="C227" i="2"/>
  <c r="C228" i="2"/>
  <c r="C229" i="2"/>
  <c r="C230" i="2"/>
  <c r="C231" i="2"/>
  <c r="C232" i="2"/>
  <c r="D235" i="2"/>
  <c r="D236" i="2"/>
  <c r="D237" i="2"/>
  <c r="D238" i="2"/>
  <c r="D239" i="2"/>
  <c r="D240" i="2"/>
  <c r="E242" i="2"/>
  <c r="F242" i="2"/>
  <c r="E244" i="2"/>
  <c r="F244" i="2"/>
  <c r="E246" i="2"/>
  <c r="F246" i="2"/>
  <c r="E248" i="2"/>
  <c r="F248" i="2"/>
  <c r="E250" i="2"/>
  <c r="F250" i="2"/>
</calcChain>
</file>

<file path=xl/sharedStrings.xml><?xml version="1.0" encoding="utf-8"?>
<sst xmlns="http://schemas.openxmlformats.org/spreadsheetml/2006/main" count="624" uniqueCount="411">
  <si>
    <t>Explanation of Data/Report</t>
  </si>
  <si>
    <t>Specific Skills</t>
  </si>
  <si>
    <t>Importance</t>
  </si>
  <si>
    <t>Average Value of Survey Categories:</t>
  </si>
  <si>
    <t>Critical</t>
  </si>
  <si>
    <t>Important</t>
  </si>
  <si>
    <t>Somewhat</t>
  </si>
  <si>
    <t>Low</t>
  </si>
  <si>
    <t>Not Important</t>
  </si>
  <si>
    <t>Where Should Be Taught</t>
  </si>
  <si>
    <t>% of Total Respondents (338)</t>
  </si>
  <si>
    <t>Did not show responses that were:</t>
  </si>
  <si>
    <t>Blank</t>
  </si>
  <si>
    <t>Not Familiar</t>
  </si>
  <si>
    <t>Data Error</t>
  </si>
  <si>
    <t>May not sum to 100% due to exclusion of Blank, Not Familiar, and Data Error.</t>
  </si>
  <si>
    <t>Use It</t>
  </si>
  <si>
    <t>Responses to "Have I used this?"</t>
  </si>
  <si>
    <t>Excluded responses that were:</t>
  </si>
  <si>
    <t>Recalculated as % of "I use it" / ("I use it" + "I do not use it")</t>
  </si>
  <si>
    <t>General Questions</t>
  </si>
  <si>
    <t>May not sum to 100% due to exclusion of No Opinion, Blank, and Data Error.</t>
  </si>
  <si>
    <t>Question #4 - respondents were allowed to reply more than once.</t>
  </si>
  <si>
    <t>Percentages are to total number of replies (653).</t>
  </si>
  <si>
    <t>Does not sum to 100% due to those that were left blank.</t>
  </si>
  <si>
    <t>Summary of Data from CAS Professional Skills Survey 2002</t>
  </si>
  <si>
    <t>Item #</t>
  </si>
  <si>
    <t>Topic</t>
  </si>
  <si>
    <t>Basic Ed</t>
  </si>
  <si>
    <t>Continuing Ed</t>
  </si>
  <si>
    <t>Non-CAS</t>
  </si>
  <si>
    <t>Basic Mathematics</t>
  </si>
  <si>
    <t>1A</t>
  </si>
  <si>
    <t>Basic Calculus - One Variable</t>
  </si>
  <si>
    <t>1B</t>
  </si>
  <si>
    <t>Basic Calculus - Many Variables</t>
  </si>
  <si>
    <t>1C</t>
  </si>
  <si>
    <t>Basic Differential Equations</t>
  </si>
  <si>
    <t>1D</t>
  </si>
  <si>
    <t>Linear Algebra</t>
  </si>
  <si>
    <t>1E</t>
  </si>
  <si>
    <t>Algebraic Manipulation of Equations</t>
  </si>
  <si>
    <t>Probability</t>
  </si>
  <si>
    <t>2A</t>
  </si>
  <si>
    <t>Bayes Theorem</t>
  </si>
  <si>
    <t>2B</t>
  </si>
  <si>
    <t>Discrete Distributions</t>
  </si>
  <si>
    <t>2C</t>
  </si>
  <si>
    <t>Continuous Univariate Distributions</t>
  </si>
  <si>
    <t>2D</t>
  </si>
  <si>
    <t>Multi-variate Distributions</t>
  </si>
  <si>
    <t>Microeconomics</t>
  </si>
  <si>
    <t>3A</t>
  </si>
  <si>
    <t>Supply, Demand, Market Equilibrium</t>
  </si>
  <si>
    <t>3B</t>
  </si>
  <si>
    <t>Comparative Advantage &amp; Trade Gains</t>
  </si>
  <si>
    <t>3C</t>
  </si>
  <si>
    <t>Consumer Behavior</t>
  </si>
  <si>
    <t>3D</t>
  </si>
  <si>
    <t>Behavior of Firms</t>
  </si>
  <si>
    <t>3E</t>
  </si>
  <si>
    <t>Types of Markets</t>
  </si>
  <si>
    <t>3F</t>
  </si>
  <si>
    <t>Utility Theory</t>
  </si>
  <si>
    <t>3G</t>
  </si>
  <si>
    <t>Game Theory</t>
  </si>
  <si>
    <t>Macroeconomics</t>
  </si>
  <si>
    <t>4A</t>
  </si>
  <si>
    <t>National Income Accounting</t>
  </si>
  <si>
    <t>4B</t>
  </si>
  <si>
    <t>Aggregate Supply and Demand</t>
  </si>
  <si>
    <t>4C</t>
  </si>
  <si>
    <t>Inflation, Interest Rates, Federal Reserve</t>
  </si>
  <si>
    <t>4D</t>
  </si>
  <si>
    <t>Money Supply</t>
  </si>
  <si>
    <t>4E</t>
  </si>
  <si>
    <t>Keynesian Economics</t>
  </si>
  <si>
    <t>4F</t>
  </si>
  <si>
    <t>The Multiplier Effects</t>
  </si>
  <si>
    <t>Interest Theory</t>
  </si>
  <si>
    <t>5A</t>
  </si>
  <si>
    <t>Present Value, Future Value - Discrete</t>
  </si>
  <si>
    <t>5B</t>
  </si>
  <si>
    <t>Present Value, Future Value - Continuous</t>
  </si>
  <si>
    <t>5C</t>
  </si>
  <si>
    <t>Bond Yields, Sinking Funds, Annuities</t>
  </si>
  <si>
    <t>5D</t>
  </si>
  <si>
    <t>Amortization &amp; Depreciation</t>
  </si>
  <si>
    <t>Basic Finance</t>
  </si>
  <si>
    <t>6A</t>
  </si>
  <si>
    <t>NPV, Internal Rate of Return, etc.</t>
  </si>
  <si>
    <t>6B</t>
  </si>
  <si>
    <t>Risk vs. Return</t>
  </si>
  <si>
    <t>6C</t>
  </si>
  <si>
    <t>Capital Budgeting</t>
  </si>
  <si>
    <t>6D</t>
  </si>
  <si>
    <t>Efficient Markets</t>
  </si>
  <si>
    <t>6E</t>
  </si>
  <si>
    <t>Types of Securities</t>
  </si>
  <si>
    <t>6F</t>
  </si>
  <si>
    <t>Option Pricing</t>
  </si>
  <si>
    <t>6G</t>
  </si>
  <si>
    <t>Corporate Financing</t>
  </si>
  <si>
    <t>6H</t>
  </si>
  <si>
    <t>Financial Performance Ratios</t>
  </si>
  <si>
    <t>Advanced Finance</t>
  </si>
  <si>
    <t>7A</t>
  </si>
  <si>
    <t>Optimal Portfolio Construction</t>
  </si>
  <si>
    <t>7B</t>
  </si>
  <si>
    <t>Security Risk</t>
  </si>
  <si>
    <t>7C</t>
  </si>
  <si>
    <t>Derivatives and Options</t>
  </si>
  <si>
    <t>7D</t>
  </si>
  <si>
    <t>Asset-backed Securities</t>
  </si>
  <si>
    <t>7E</t>
  </si>
  <si>
    <t>Hedging Strategies</t>
  </si>
  <si>
    <t>7F</t>
  </si>
  <si>
    <t>Models for Valuing Stocks</t>
  </si>
  <si>
    <t>7G</t>
  </si>
  <si>
    <t>Models for Valuing Bonds</t>
  </si>
  <si>
    <t>7H</t>
  </si>
  <si>
    <t>Types of Fixed Income Securities</t>
  </si>
  <si>
    <t>7I</t>
  </si>
  <si>
    <t>International Securities</t>
  </si>
  <si>
    <t>7J</t>
  </si>
  <si>
    <t>Decision Trees</t>
  </si>
  <si>
    <t>Actuarial Models</t>
  </si>
  <si>
    <t>8A</t>
  </si>
  <si>
    <t>Deterministic vs. Stochastic Models</t>
  </si>
  <si>
    <t>8B</t>
  </si>
  <si>
    <t xml:space="preserve">Evaluation of Various Cash Flow Principles </t>
  </si>
  <si>
    <t>8C</t>
  </si>
  <si>
    <t>Life Contingencies</t>
  </si>
  <si>
    <t>8D</t>
  </si>
  <si>
    <t>Pension Math</t>
  </si>
  <si>
    <t>8E</t>
  </si>
  <si>
    <t>Frequency Distributions</t>
  </si>
  <si>
    <t>8F</t>
  </si>
  <si>
    <t>Severity Distributions</t>
  </si>
  <si>
    <t>8G</t>
  </si>
  <si>
    <t>Deductibles, Policy Limits, Coinsurance</t>
  </si>
  <si>
    <t>8H</t>
  </si>
  <si>
    <t>Contingent Cash Flows</t>
  </si>
  <si>
    <t>8I</t>
  </si>
  <si>
    <t>Discrete Markov Chains</t>
  </si>
  <si>
    <t>8J</t>
  </si>
  <si>
    <t>Brownian Motion</t>
  </si>
  <si>
    <t>8K</t>
  </si>
  <si>
    <t>Aggregate Loss Distributions</t>
  </si>
  <si>
    <t>8L</t>
  </si>
  <si>
    <t>Simulation</t>
  </si>
  <si>
    <t>Actuarial Modeling</t>
  </si>
  <si>
    <t>9A</t>
  </si>
  <si>
    <t>Parameter Estimation</t>
  </si>
  <si>
    <t>9B</t>
  </si>
  <si>
    <t>Censored, Truncated, Shifted Data</t>
  </si>
  <si>
    <t>9C</t>
  </si>
  <si>
    <t>Goodness of Fit Measures</t>
  </si>
  <si>
    <t>9D</t>
  </si>
  <si>
    <t>Regression Analysis</t>
  </si>
  <si>
    <t>9E</t>
  </si>
  <si>
    <t>Time Series and Forecasts</t>
  </si>
  <si>
    <t>9F</t>
  </si>
  <si>
    <t>Classical Credibility</t>
  </si>
  <si>
    <t>9G</t>
  </si>
  <si>
    <t>Bayesian Credibility</t>
  </si>
  <si>
    <t>9H</t>
  </si>
  <si>
    <t>Buhlmann Straub Credibility</t>
  </si>
  <si>
    <t>9I</t>
  </si>
  <si>
    <t>Model Validation through Simulation</t>
  </si>
  <si>
    <t>9J</t>
  </si>
  <si>
    <t>Analysis of Variance</t>
  </si>
  <si>
    <t>9K</t>
  </si>
  <si>
    <t>Hypothesis Testing</t>
  </si>
  <si>
    <t>Intro to P/C Insurance and Ratemaking</t>
  </si>
  <si>
    <t>10A</t>
  </si>
  <si>
    <t>Basic Coverages and Contract Language</t>
  </si>
  <si>
    <t>10B</t>
  </si>
  <si>
    <t>Insurance Company Operations</t>
  </si>
  <si>
    <t>10C</t>
  </si>
  <si>
    <t>Insurance Data Capture</t>
  </si>
  <si>
    <t>10D</t>
  </si>
  <si>
    <t>Ratemaking Techniques</t>
  </si>
  <si>
    <t>10E</t>
  </si>
  <si>
    <t>Loss Development</t>
  </si>
  <si>
    <t>10F</t>
  </si>
  <si>
    <t>Exposure Trending, Frequency, Severity</t>
  </si>
  <si>
    <t>10G</t>
  </si>
  <si>
    <t>Trend Determination</t>
  </si>
  <si>
    <t>10H</t>
  </si>
  <si>
    <t>Class and Territory Relativities</t>
  </si>
  <si>
    <t>10I</t>
  </si>
  <si>
    <t>Credibility, Complement, Off-Balance</t>
  </si>
  <si>
    <t>10J</t>
  </si>
  <si>
    <t>Underwriting Expenses</t>
  </si>
  <si>
    <t>10K</t>
  </si>
  <si>
    <t>Profit, Contingency, Risk Load</t>
  </si>
  <si>
    <t>10L</t>
  </si>
  <si>
    <t>Surplus Allocation</t>
  </si>
  <si>
    <t>10M</t>
  </si>
  <si>
    <t>Deductibles, Coinsurance, Insurance to Value</t>
  </si>
  <si>
    <t>10N</t>
  </si>
  <si>
    <t>Basic Ratemaking Data</t>
  </si>
  <si>
    <t>10O</t>
  </si>
  <si>
    <t>Premiums and Losses On Level</t>
  </si>
  <si>
    <t>10P</t>
  </si>
  <si>
    <t>Catastrophe Ratemaking Techniques</t>
  </si>
  <si>
    <t>10Q</t>
  </si>
  <si>
    <t>Other Ratemaking Loads</t>
  </si>
  <si>
    <t>10R</t>
  </si>
  <si>
    <t>Basic Experience and Retro Rating</t>
  </si>
  <si>
    <t>10S</t>
  </si>
  <si>
    <t>Supply and Demand Issues</t>
  </si>
  <si>
    <t>Loss Reserving Techniques</t>
  </si>
  <si>
    <t>11A</t>
  </si>
  <si>
    <t>Constituents of Reserves</t>
  </si>
  <si>
    <t>11B</t>
  </si>
  <si>
    <t>Basic Reserving Techniques</t>
  </si>
  <si>
    <t>11C</t>
  </si>
  <si>
    <t>Changes in Loss Climates</t>
  </si>
  <si>
    <t>11D</t>
  </si>
  <si>
    <t>Data Capture, Data Problems</t>
  </si>
  <si>
    <t>11E</t>
  </si>
  <si>
    <t>Loss Triggers</t>
  </si>
  <si>
    <t>11F</t>
  </si>
  <si>
    <t>Excess Loss Development</t>
  </si>
  <si>
    <t>11G</t>
  </si>
  <si>
    <t>Special Situations</t>
  </si>
  <si>
    <t>11H</t>
  </si>
  <si>
    <t>Reserve Variability; Confidence Intervals</t>
  </si>
  <si>
    <t>11I</t>
  </si>
  <si>
    <t>Stochastic Models for Reserves</t>
  </si>
  <si>
    <t>11J</t>
  </si>
  <si>
    <t>Reserve Run-off Testing</t>
  </si>
  <si>
    <t>11K</t>
  </si>
  <si>
    <t>ULAE Reserving</t>
  </si>
  <si>
    <t>11L</t>
  </si>
  <si>
    <t>Reserve Definitions and Terminology</t>
  </si>
  <si>
    <t>11M</t>
  </si>
  <si>
    <t>Reserve Discounting</t>
  </si>
  <si>
    <t>Basic and Statutory Accounting</t>
  </si>
  <si>
    <t>12A</t>
  </si>
  <si>
    <t>Balance Sheet; Income Statement; Cash Flow</t>
  </si>
  <si>
    <t>12B</t>
  </si>
  <si>
    <t>Basic Double-Entry Bookkeeping</t>
  </si>
  <si>
    <t>12C</t>
  </si>
  <si>
    <t>US or Canadian Statutory Annual Statement</t>
  </si>
  <si>
    <t>12D</t>
  </si>
  <si>
    <t>Statutory Accounting Rules and Regulations</t>
  </si>
  <si>
    <t>12E</t>
  </si>
  <si>
    <t>Statutory vs. GAAP Accounting</t>
  </si>
  <si>
    <t>12F</t>
  </si>
  <si>
    <t>Accident Yr vs. Underwriting Yr vs. Calendar Yr</t>
  </si>
  <si>
    <t>12G</t>
  </si>
  <si>
    <t>Solvency Measures</t>
  </si>
  <si>
    <t>12H</t>
  </si>
  <si>
    <t>Analysis of Expenses</t>
  </si>
  <si>
    <t>Law, Taxation, and Regulation</t>
  </si>
  <si>
    <t>13A</t>
  </si>
  <si>
    <t>Tort Law; Determination of Liability</t>
  </si>
  <si>
    <t>13B</t>
  </si>
  <si>
    <t>Contract Law</t>
  </si>
  <si>
    <t>13C</t>
  </si>
  <si>
    <t>Anti-Trust Law and Insurance Industry</t>
  </si>
  <si>
    <t>13D</t>
  </si>
  <si>
    <t>State Regulation of Rates, Rules, Forms</t>
  </si>
  <si>
    <t>13E</t>
  </si>
  <si>
    <t>State Regulation of Solvency and Capital</t>
  </si>
  <si>
    <t>13F</t>
  </si>
  <si>
    <t>Deregulation of Commercial Lines</t>
  </si>
  <si>
    <t>13G</t>
  </si>
  <si>
    <t>Solvency, Guaranty Funds, Risk-Based Capital</t>
  </si>
  <si>
    <t>13H</t>
  </si>
  <si>
    <t>Residual Markets, Insurance Availability</t>
  </si>
  <si>
    <t>13I</t>
  </si>
  <si>
    <t>Government Reinsurance Programs</t>
  </si>
  <si>
    <t>13J</t>
  </si>
  <si>
    <t>Federal Income Taxes</t>
  </si>
  <si>
    <t>13K</t>
  </si>
  <si>
    <t>Government Insurance Programs</t>
  </si>
  <si>
    <t>13L</t>
  </si>
  <si>
    <t>NAIC Statements of Actuarial Opinion</t>
  </si>
  <si>
    <t>13M</t>
  </si>
  <si>
    <t>Regulation, Judicial Decisions, Common Law</t>
  </si>
  <si>
    <t>Advanced Ratemaking</t>
  </si>
  <si>
    <t>14A</t>
  </si>
  <si>
    <t>Class Relativities</t>
  </si>
  <si>
    <t>14B</t>
  </si>
  <si>
    <t>Fairness of Class Plans</t>
  </si>
  <si>
    <t>14C</t>
  </si>
  <si>
    <t>Increased Limits, Deductible Ratemaking</t>
  </si>
  <si>
    <t>14D</t>
  </si>
  <si>
    <t>Risk Loads for Class/Increased Limits Ratemaking</t>
  </si>
  <si>
    <t>14E</t>
  </si>
  <si>
    <t>Individual Risk Rating</t>
  </si>
  <si>
    <t>14F</t>
  </si>
  <si>
    <t>Retrospective Rating Plans</t>
  </si>
  <si>
    <t>14G</t>
  </si>
  <si>
    <t>Composite Rating Plans</t>
  </si>
  <si>
    <t>14H</t>
  </si>
  <si>
    <t>Catastrophe Models</t>
  </si>
  <si>
    <t>14I</t>
  </si>
  <si>
    <t>Profit Provisions</t>
  </si>
  <si>
    <t>14J</t>
  </si>
  <si>
    <t>Total Rate of Return from Insurance Operations</t>
  </si>
  <si>
    <t>14K</t>
  </si>
  <si>
    <t>Risk Load Determination</t>
  </si>
  <si>
    <t>14L</t>
  </si>
  <si>
    <t>Pricing New or Non-traditional Products</t>
  </si>
  <si>
    <t>Reinsurance</t>
  </si>
  <si>
    <t>15A</t>
  </si>
  <si>
    <t>Types and Uses for Reinsurance</t>
  </si>
  <si>
    <t>15B</t>
  </si>
  <si>
    <t>Reinsurance Contracts</t>
  </si>
  <si>
    <t>15C</t>
  </si>
  <si>
    <t>Exposure Rating Techniques</t>
  </si>
  <si>
    <t>15D</t>
  </si>
  <si>
    <t>Experience Rating Techniques</t>
  </si>
  <si>
    <t>15E</t>
  </si>
  <si>
    <t>Aggregate Limits and Deductibles</t>
  </si>
  <si>
    <t>15F</t>
  </si>
  <si>
    <t>Finite Reinsurance</t>
  </si>
  <si>
    <t>15G</t>
  </si>
  <si>
    <t>Catastrophe Reinsurance</t>
  </si>
  <si>
    <t>15H</t>
  </si>
  <si>
    <t>Reinsurance Reserving Considerations</t>
  </si>
  <si>
    <t>Analysis of Insurance Operations</t>
  </si>
  <si>
    <t>16A</t>
  </si>
  <si>
    <t>Purposes and Uses of DFA</t>
  </si>
  <si>
    <t>16B</t>
  </si>
  <si>
    <t>DFA Modeling</t>
  </si>
  <si>
    <t>16C</t>
  </si>
  <si>
    <t>Asset/Liability Management</t>
  </si>
  <si>
    <t>16D</t>
  </si>
  <si>
    <t>Valuation of Insurance Entity or Book</t>
  </si>
  <si>
    <t>16E</t>
  </si>
  <si>
    <t>Techniques for Valuing Insurance Operations</t>
  </si>
  <si>
    <t>Enterprise Risk Management</t>
  </si>
  <si>
    <t>17A</t>
  </si>
  <si>
    <t>Quantify Risk</t>
  </si>
  <si>
    <t>17B</t>
  </si>
  <si>
    <t>Aggregate Risk</t>
  </si>
  <si>
    <t>17C</t>
  </si>
  <si>
    <t>Assess Risk</t>
  </si>
  <si>
    <t>17D</t>
  </si>
  <si>
    <t>Treat Risk</t>
  </si>
  <si>
    <t>Miscellaneous / General Business Skills</t>
  </si>
  <si>
    <t>18A</t>
  </si>
  <si>
    <t>Public Speaking; Presentation Skills</t>
  </si>
  <si>
    <t>18B</t>
  </si>
  <si>
    <t>Written Communication Skills</t>
  </si>
  <si>
    <t>18C</t>
  </si>
  <si>
    <t>Spreadsheet Construction</t>
  </si>
  <si>
    <t>18D</t>
  </si>
  <si>
    <t>Database Construction; Querying</t>
  </si>
  <si>
    <t>18E</t>
  </si>
  <si>
    <t>Computer Programming</t>
  </si>
  <si>
    <t>18F</t>
  </si>
  <si>
    <t>Project/Resource Management</t>
  </si>
  <si>
    <t>18G</t>
  </si>
  <si>
    <t>People Management</t>
  </si>
  <si>
    <t>18H</t>
  </si>
  <si>
    <t>Organization Skills</t>
  </si>
  <si>
    <t>18I</t>
  </si>
  <si>
    <t>Ethics; Professionalism</t>
  </si>
  <si>
    <t>18J</t>
  </si>
  <si>
    <t>American Academy of Actuaries; ABCD</t>
  </si>
  <si>
    <t>18K</t>
  </si>
  <si>
    <t>Working with Non-actuaries</t>
  </si>
  <si>
    <t>18L</t>
  </si>
  <si>
    <t>Expert Testimony</t>
  </si>
  <si>
    <t>18M</t>
  </si>
  <si>
    <t>Marketing; Client Prospecting</t>
  </si>
  <si>
    <t>18N</t>
  </si>
  <si>
    <t>Negotiating Skills</t>
  </si>
  <si>
    <t>Basic Subjects</t>
  </si>
  <si>
    <t>Keep on Syllabus</t>
  </si>
  <si>
    <t>University Course Credit</t>
  </si>
  <si>
    <t>Background Reading</t>
  </si>
  <si>
    <t>Calculus</t>
  </si>
  <si>
    <t>Economics</t>
  </si>
  <si>
    <t>Regression</t>
  </si>
  <si>
    <t>Forecasting</t>
  </si>
  <si>
    <t>Time Series</t>
  </si>
  <si>
    <t>Finance</t>
  </si>
  <si>
    <t xml:space="preserve">Yes </t>
  </si>
  <si>
    <t xml:space="preserve">No </t>
  </si>
  <si>
    <t>Would credit for university courses negatively affect the FCAS designation?</t>
  </si>
  <si>
    <t>How many years should travel time take (based on first full-time casualty employment)?</t>
  </si>
  <si>
    <t>&lt;4</t>
  </si>
  <si>
    <t>&gt;10</t>
  </si>
  <si>
    <t>Preferred methods to reduce travel time:</t>
  </si>
  <si>
    <t>Reduce exams</t>
  </si>
  <si>
    <t>Reduce topics</t>
  </si>
  <si>
    <t>Reduce study time needed per exam</t>
  </si>
  <si>
    <t>Reduce breadth/depth of material</t>
  </si>
  <si>
    <t>More lenient pass marks</t>
  </si>
  <si>
    <t>Alternative learning methods (seminars, on-line courses, etc.)</t>
  </si>
  <si>
    <t>Should we reduce amount of life contingencies on our exams?</t>
  </si>
  <si>
    <t>Should CAS exams test emerging areas of practice?</t>
  </si>
  <si>
    <t>Should we give exam credit for non-actuarial designations (CPCU, CFA)?</t>
  </si>
  <si>
    <t>Should we introduce basic ratemaking, reserving, policy forms earlier?</t>
  </si>
  <si>
    <t>Any duties not covered that the CAS should address?</t>
  </si>
  <si>
    <t>Total Taking Survey</t>
  </si>
  <si>
    <t>Don't Use It</t>
  </si>
  <si>
    <t>Credit for University Courses</t>
  </si>
  <si>
    <t>Yes</t>
  </si>
  <si>
    <t>No</t>
  </si>
  <si>
    <t>How long should travel time be (based on first full-time casualty employment)?</t>
  </si>
  <si>
    <t>Methods to reduce travel time:</t>
  </si>
  <si>
    <t>(Total replies, including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</si>
</sst>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%"/>
  </numFmts>
  <fonts count="7" x14ac:knownFonts="1">
    <font>
      <sz val="10"/>
      <name val="Arial"/>
    </font>
    <font>
      <sz val="10"/>
      <name val="Arial"/>
    </font>
    <font>
      <u/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172" fontId="0" fillId="0" borderId="0" xfId="0" applyNumberFormat="1" applyAlignment="1">
      <alignment horizontal="center"/>
    </xf>
    <xf numFmtId="173" fontId="0" fillId="0" borderId="0" xfId="1" applyNumberFormat="1" applyFont="1"/>
    <xf numFmtId="0" fontId="4" fillId="0" borderId="0" xfId="0" applyFont="1"/>
    <xf numFmtId="0" fontId="4" fillId="0" borderId="0" xfId="0" quotePrefix="1" applyFont="1" applyAlignment="1">
      <alignment horizontal="left"/>
    </xf>
    <xf numFmtId="9" fontId="0" fillId="0" borderId="0" xfId="1" applyNumberFormat="1" applyFo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72" fontId="0" fillId="0" borderId="0" xfId="0" applyNumberFormat="1" applyAlignment="1">
      <alignment horizontal="center" wrapText="1"/>
    </xf>
    <xf numFmtId="173" fontId="0" fillId="0" borderId="0" xfId="1" applyNumberFormat="1" applyFont="1" applyAlignment="1">
      <alignment horizontal="center" wrapText="1"/>
    </xf>
    <xf numFmtId="0" fontId="6" fillId="0" borderId="0" xfId="0" applyFont="1" applyAlignment="1">
      <alignment horizontal="left"/>
    </xf>
    <xf numFmtId="173" fontId="0" fillId="0" borderId="0" xfId="1" applyNumberFormat="1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/>
    <xf numFmtId="173" fontId="0" fillId="0" borderId="0" xfId="1" applyNumberFormat="1" applyFont="1" applyAlignment="1">
      <alignment horizontal="right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showGridLines="0" tabSelected="1" workbookViewId="0">
      <selection activeCell="A3" sqref="A3"/>
    </sheetView>
  </sheetViews>
  <sheetFormatPr defaultRowHeight="12.5" x14ac:dyDescent="0.25"/>
  <cols>
    <col min="1" max="1" width="4.26953125" customWidth="1"/>
  </cols>
  <sheetData>
    <row r="1" spans="1:2" x14ac:dyDescent="0.25">
      <c r="A1" t="str">
        <f>Report!A1</f>
        <v>Summary of Data from CAS Professional Skills Survey 2002</v>
      </c>
    </row>
    <row r="2" spans="1:2" x14ac:dyDescent="0.25">
      <c r="A2" s="5" t="s">
        <v>0</v>
      </c>
    </row>
    <row r="4" spans="1:2" x14ac:dyDescent="0.25">
      <c r="A4" s="20" t="s">
        <v>1</v>
      </c>
    </row>
    <row r="6" spans="1:2" ht="13" x14ac:dyDescent="0.3">
      <c r="A6" s="10" t="s">
        <v>2</v>
      </c>
    </row>
    <row r="7" spans="1:2" x14ac:dyDescent="0.25">
      <c r="A7" t="s">
        <v>3</v>
      </c>
    </row>
    <row r="8" spans="1:2" x14ac:dyDescent="0.25">
      <c r="A8" s="3">
        <v>4</v>
      </c>
      <c r="B8" t="s">
        <v>4</v>
      </c>
    </row>
    <row r="9" spans="1:2" x14ac:dyDescent="0.25">
      <c r="A9" s="3">
        <v>3</v>
      </c>
      <c r="B9" t="s">
        <v>5</v>
      </c>
    </row>
    <row r="10" spans="1:2" x14ac:dyDescent="0.25">
      <c r="A10" s="3">
        <v>2</v>
      </c>
      <c r="B10" t="s">
        <v>6</v>
      </c>
    </row>
    <row r="11" spans="1:2" x14ac:dyDescent="0.25">
      <c r="A11" s="3">
        <v>1</v>
      </c>
      <c r="B11" t="s">
        <v>7</v>
      </c>
    </row>
    <row r="12" spans="1:2" x14ac:dyDescent="0.25">
      <c r="A12" s="3">
        <v>0</v>
      </c>
      <c r="B12" t="s">
        <v>8</v>
      </c>
    </row>
    <row r="14" spans="1:2" ht="13" x14ac:dyDescent="0.3">
      <c r="A14" s="9" t="s">
        <v>9</v>
      </c>
    </row>
    <row r="15" spans="1:2" x14ac:dyDescent="0.25">
      <c r="A15" t="s">
        <v>10</v>
      </c>
    </row>
    <row r="16" spans="1:2" x14ac:dyDescent="0.25">
      <c r="A16" s="5" t="s">
        <v>11</v>
      </c>
    </row>
    <row r="17" spans="1:2" x14ac:dyDescent="0.25">
      <c r="B17" t="s">
        <v>12</v>
      </c>
    </row>
    <row r="18" spans="1:2" x14ac:dyDescent="0.25">
      <c r="B18" t="s">
        <v>13</v>
      </c>
    </row>
    <row r="19" spans="1:2" x14ac:dyDescent="0.25">
      <c r="B19" t="s">
        <v>14</v>
      </c>
    </row>
    <row r="20" spans="1:2" x14ac:dyDescent="0.25">
      <c r="A20" s="5" t="s">
        <v>15</v>
      </c>
    </row>
    <row r="22" spans="1:2" ht="13" x14ac:dyDescent="0.3">
      <c r="A22" s="9" t="s">
        <v>16</v>
      </c>
    </row>
    <row r="23" spans="1:2" x14ac:dyDescent="0.25">
      <c r="A23" t="s">
        <v>17</v>
      </c>
    </row>
    <row r="24" spans="1:2" x14ac:dyDescent="0.25">
      <c r="A24" t="s">
        <v>18</v>
      </c>
    </row>
    <row r="25" spans="1:2" x14ac:dyDescent="0.25">
      <c r="B25" t="s">
        <v>12</v>
      </c>
    </row>
    <row r="26" spans="1:2" x14ac:dyDescent="0.25">
      <c r="B26" t="s">
        <v>13</v>
      </c>
    </row>
    <row r="27" spans="1:2" x14ac:dyDescent="0.25">
      <c r="B27" t="s">
        <v>14</v>
      </c>
    </row>
    <row r="28" spans="1:2" x14ac:dyDescent="0.25">
      <c r="A28" s="5" t="s">
        <v>19</v>
      </c>
    </row>
    <row r="31" spans="1:2" x14ac:dyDescent="0.25">
      <c r="A31" s="20" t="s">
        <v>20</v>
      </c>
    </row>
    <row r="33" spans="1:2" x14ac:dyDescent="0.25">
      <c r="A33" s="5" t="s">
        <v>21</v>
      </c>
    </row>
    <row r="35" spans="1:2" x14ac:dyDescent="0.25">
      <c r="A35" t="s">
        <v>22</v>
      </c>
    </row>
    <row r="36" spans="1:2" x14ac:dyDescent="0.25">
      <c r="B36" s="5" t="s">
        <v>23</v>
      </c>
    </row>
    <row r="37" spans="1:2" x14ac:dyDescent="0.25">
      <c r="B37" t="s">
        <v>24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2.5" x14ac:dyDescent="0.25"/>
  <cols>
    <col min="1" max="1" width="5.1796875" customWidth="1"/>
    <col min="2" max="2" width="42.54296875" customWidth="1"/>
    <col min="3" max="3" width="10.1796875" customWidth="1"/>
    <col min="4" max="4" width="10.453125" customWidth="1"/>
    <col min="5" max="5" width="12.54296875" customWidth="1"/>
    <col min="6" max="6" width="9.81640625" customWidth="1"/>
    <col min="7" max="7" width="8" customWidth="1"/>
  </cols>
  <sheetData>
    <row r="1" spans="1:7" ht="15.5" x14ac:dyDescent="0.35">
      <c r="A1" s="12" t="s">
        <v>25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D5" s="2" t="s">
        <v>9</v>
      </c>
      <c r="E5" s="2"/>
      <c r="F5" s="2"/>
    </row>
    <row r="6" spans="1:7" x14ac:dyDescent="0.25">
      <c r="A6" s="4" t="s">
        <v>26</v>
      </c>
      <c r="B6" s="4" t="s">
        <v>27</v>
      </c>
      <c r="C6" s="4" t="s">
        <v>2</v>
      </c>
      <c r="D6" s="4" t="s">
        <v>28</v>
      </c>
      <c r="E6" s="4" t="s">
        <v>29</v>
      </c>
      <c r="F6" s="4" t="s">
        <v>30</v>
      </c>
      <c r="G6" s="4" t="s">
        <v>16</v>
      </c>
    </row>
    <row r="8" spans="1:7" ht="13" x14ac:dyDescent="0.3">
      <c r="B8" s="9" t="s">
        <v>31</v>
      </c>
    </row>
    <row r="9" spans="1:7" x14ac:dyDescent="0.25">
      <c r="A9" s="3" t="s">
        <v>32</v>
      </c>
      <c r="B9" t="s">
        <v>33</v>
      </c>
      <c r="C9" s="7">
        <f>(4*Data!B8+3*Data!C8+2*Data!D8+1*Data!E8)/(SUM(Data!B8:F8))</f>
        <v>2.8867924528301887</v>
      </c>
      <c r="D9" s="11">
        <f>Data!H8/Data!$J$3</f>
        <v>0.48816568047337278</v>
      </c>
      <c r="E9" s="11">
        <f>Data!I8/Data!$J$3</f>
        <v>2.9585798816568047E-3</v>
      </c>
      <c r="F9" s="11">
        <f>Data!J8/Data!$J$3</f>
        <v>0.43195266272189348</v>
      </c>
      <c r="G9" s="11">
        <f>Data!L8/(Data!L8+Data!M8)</f>
        <v>0.79804560260586321</v>
      </c>
    </row>
    <row r="10" spans="1:7" x14ac:dyDescent="0.25">
      <c r="A10" s="3" t="s">
        <v>34</v>
      </c>
      <c r="B10" s="5" t="s">
        <v>35</v>
      </c>
      <c r="C10" s="7">
        <f>(4*Data!B9+3*Data!C9+2*Data!D9+1*Data!E9)/(SUM(Data!B9:F9))</f>
        <v>2.5</v>
      </c>
      <c r="D10" s="11">
        <f>Data!H9/Data!$J$3</f>
        <v>0.46745562130177515</v>
      </c>
      <c r="E10" s="11">
        <f>Data!I9/Data!$J$3</f>
        <v>2.0710059171597635E-2</v>
      </c>
      <c r="F10" s="11">
        <f>Data!J9/Data!$J$3</f>
        <v>0.43786982248520712</v>
      </c>
      <c r="G10" s="11">
        <f>Data!L9/(Data!L9+Data!M9)</f>
        <v>0.5540983606557377</v>
      </c>
    </row>
    <row r="11" spans="1:7" x14ac:dyDescent="0.25">
      <c r="A11" s="3" t="s">
        <v>36</v>
      </c>
      <c r="B11" t="s">
        <v>37</v>
      </c>
      <c r="C11" s="7">
        <f>(4*Data!B10+3*Data!C10+2*Data!D10+1*Data!E10)/(SUM(Data!B10:F10))</f>
        <v>1.8360128617363345</v>
      </c>
      <c r="D11" s="11">
        <f>Data!H10/Data!$J$3</f>
        <v>0.29585798816568049</v>
      </c>
      <c r="E11" s="11">
        <f>Data!I10/Data!$J$3</f>
        <v>4.7337278106508875E-2</v>
      </c>
      <c r="F11" s="11">
        <f>Data!J10/Data!$J$3</f>
        <v>0.55325443786982254</v>
      </c>
      <c r="G11" s="11">
        <f>Data!L10/(Data!L10+Data!M10)</f>
        <v>0.27666666666666667</v>
      </c>
    </row>
    <row r="12" spans="1:7" x14ac:dyDescent="0.25">
      <c r="A12" s="3" t="s">
        <v>38</v>
      </c>
      <c r="B12" t="s">
        <v>39</v>
      </c>
      <c r="C12" s="7">
        <f>(4*Data!B11+3*Data!C11+2*Data!D11+1*Data!E11)/(SUM(Data!B11:F11))</f>
        <v>2.5047619047619047</v>
      </c>
      <c r="D12" s="11">
        <f>Data!H11/Data!$J$3</f>
        <v>0.4349112426035503</v>
      </c>
      <c r="E12" s="11">
        <f>Data!I11/Data!$J$3</f>
        <v>1.7751479289940829E-2</v>
      </c>
      <c r="F12" s="11">
        <f>Data!J11/Data!$J$3</f>
        <v>0.45562130177514792</v>
      </c>
      <c r="G12" s="11">
        <f>Data!L11/(Data!L11+Data!M11)</f>
        <v>0.63815789473684215</v>
      </c>
    </row>
    <row r="13" spans="1:7" x14ac:dyDescent="0.25">
      <c r="A13" s="3" t="s">
        <v>40</v>
      </c>
      <c r="B13" t="s">
        <v>41</v>
      </c>
      <c r="C13" s="7">
        <f>(4*Data!B12+3*Data!C12+2*Data!D12+1*Data!E12)/(SUM(Data!B12:F12))</f>
        <v>3.5394321766561516</v>
      </c>
      <c r="D13" s="11">
        <f>Data!H12/Data!$J$3</f>
        <v>0.47041420118343197</v>
      </c>
      <c r="E13" s="11">
        <f>Data!I12/Data!$J$3</f>
        <v>2.9585798816568047E-3</v>
      </c>
      <c r="F13" s="11">
        <f>Data!J12/Data!$J$3</f>
        <v>0.44674556213017752</v>
      </c>
      <c r="G13" s="11">
        <f>Data!L12/(Data!L12+Data!M12)</f>
        <v>0.9668874172185431</v>
      </c>
    </row>
    <row r="14" spans="1:7" x14ac:dyDescent="0.25">
      <c r="A14" s="3"/>
      <c r="C14" s="7"/>
      <c r="D14" s="11"/>
      <c r="E14" s="11"/>
      <c r="F14" s="11"/>
      <c r="G14" s="11"/>
    </row>
    <row r="15" spans="1:7" ht="13" x14ac:dyDescent="0.3">
      <c r="A15" s="3"/>
      <c r="B15" s="9" t="s">
        <v>42</v>
      </c>
      <c r="C15" s="7"/>
      <c r="D15" s="11"/>
      <c r="E15" s="11"/>
      <c r="F15" s="11"/>
      <c r="G15" s="11"/>
    </row>
    <row r="16" spans="1:7" x14ac:dyDescent="0.25">
      <c r="A16" s="3" t="s">
        <v>43</v>
      </c>
      <c r="B16" t="s">
        <v>44</v>
      </c>
      <c r="C16" s="7">
        <f>(4*Data!B15+3*Data!C15+2*Data!D15+1*Data!E15)/(SUM(Data!B15:F15))</f>
        <v>3.1682539682539681</v>
      </c>
      <c r="D16" s="11">
        <f>Data!H15/Data!$J$3</f>
        <v>0.79289940828402372</v>
      </c>
      <c r="E16" s="11">
        <f>Data!I15/Data!$J$3</f>
        <v>1.1834319526627219E-2</v>
      </c>
      <c r="F16" s="11">
        <f>Data!J15/Data!$J$3</f>
        <v>0.11538461538461539</v>
      </c>
      <c r="G16" s="11">
        <f>Data!L15/(Data!L15+Data!M15)</f>
        <v>0.82178217821782173</v>
      </c>
    </row>
    <row r="17" spans="1:7" x14ac:dyDescent="0.25">
      <c r="A17" s="3" t="s">
        <v>45</v>
      </c>
      <c r="B17" t="s">
        <v>46</v>
      </c>
      <c r="C17" s="7">
        <f>(4*Data!B16+3*Data!C16+2*Data!D16+1*Data!E16)/(SUM(Data!B16:F16))</f>
        <v>3.5362776025236595</v>
      </c>
      <c r="D17" s="11">
        <f>Data!H16/Data!$J$3</f>
        <v>0.83136094674556216</v>
      </c>
      <c r="E17" s="11">
        <f>Data!I16/Data!$J$3</f>
        <v>2.9585798816568047E-3</v>
      </c>
      <c r="F17" s="11">
        <f>Data!J16/Data!$J$3</f>
        <v>8.8757396449704137E-2</v>
      </c>
      <c r="G17" s="11">
        <f>Data!L16/(Data!L16+Data!M16)</f>
        <v>0.96052631578947367</v>
      </c>
    </row>
    <row r="18" spans="1:7" x14ac:dyDescent="0.25">
      <c r="A18" s="3" t="s">
        <v>47</v>
      </c>
      <c r="B18" s="5" t="s">
        <v>48</v>
      </c>
      <c r="C18" s="7">
        <f>(4*Data!B17+3*Data!C17+2*Data!D17+1*Data!E17)/(SUM(Data!B17:F17))</f>
        <v>3.4416403785488958</v>
      </c>
      <c r="D18" s="11">
        <f>Data!H17/Data!$J$3</f>
        <v>0.83431952662721898</v>
      </c>
      <c r="E18" s="11">
        <f>Data!I17/Data!$J$3</f>
        <v>5.9171597633136093E-3</v>
      </c>
      <c r="F18" s="11">
        <f>Data!J17/Data!$J$3</f>
        <v>7.9881656804733733E-2</v>
      </c>
      <c r="G18" s="11">
        <f>Data!L17/(Data!L17+Data!M17)</f>
        <v>0.92434210526315785</v>
      </c>
    </row>
    <row r="19" spans="1:7" x14ac:dyDescent="0.25">
      <c r="A19" s="3" t="s">
        <v>49</v>
      </c>
      <c r="B19" t="s">
        <v>50</v>
      </c>
      <c r="C19" s="7">
        <f>(4*Data!B18+3*Data!C18+2*Data!D18+1*Data!E18)/(SUM(Data!B18:F18))</f>
        <v>3.2397476340694005</v>
      </c>
      <c r="D19" s="11">
        <f>Data!H18/Data!$J$3</f>
        <v>0.80473372781065089</v>
      </c>
      <c r="E19" s="11">
        <f>Data!I18/Data!$J$3</f>
        <v>3.2544378698224852E-2</v>
      </c>
      <c r="F19" s="11">
        <f>Data!J18/Data!$J$3</f>
        <v>8.2840236686390539E-2</v>
      </c>
      <c r="G19" s="11">
        <f>Data!L18/(Data!L18+Data!M18)</f>
        <v>0.77887788778877887</v>
      </c>
    </row>
    <row r="20" spans="1:7" x14ac:dyDescent="0.25">
      <c r="A20" s="3"/>
      <c r="C20" s="7"/>
      <c r="D20" s="11"/>
      <c r="E20" s="11"/>
      <c r="F20" s="11"/>
      <c r="G20" s="11"/>
    </row>
    <row r="21" spans="1:7" ht="13" x14ac:dyDescent="0.3">
      <c r="A21" s="3"/>
      <c r="B21" s="9" t="s">
        <v>51</v>
      </c>
      <c r="C21" s="7"/>
      <c r="D21" s="11"/>
      <c r="E21" s="11"/>
      <c r="F21" s="11"/>
      <c r="G21" s="11"/>
    </row>
    <row r="22" spans="1:7" x14ac:dyDescent="0.25">
      <c r="A22" s="3" t="s">
        <v>52</v>
      </c>
      <c r="B22" t="s">
        <v>53</v>
      </c>
      <c r="C22" s="7">
        <f>(4*Data!B21+3*Data!C21+2*Data!D21+1*Data!E21)/(SUM(Data!B21:F21))</f>
        <v>2.990506329113924</v>
      </c>
      <c r="D22" s="11">
        <f>Data!H21/Data!$J$3</f>
        <v>0.65680473372781067</v>
      </c>
      <c r="E22" s="11">
        <f>Data!I21/Data!$J$3</f>
        <v>6.2130177514792898E-2</v>
      </c>
      <c r="F22" s="11">
        <f>Data!J21/Data!$J$3</f>
        <v>0.20118343195266272</v>
      </c>
      <c r="G22" s="11">
        <f>Data!L21/(Data!L21+Data!M21)</f>
        <v>0.6902356902356902</v>
      </c>
    </row>
    <row r="23" spans="1:7" x14ac:dyDescent="0.25">
      <c r="A23" s="3" t="s">
        <v>54</v>
      </c>
      <c r="B23" t="s">
        <v>55</v>
      </c>
      <c r="C23" s="7">
        <f>(4*Data!B22+3*Data!C22+2*Data!D22+1*Data!E22)/(SUM(Data!B22:F22))</f>
        <v>2.5</v>
      </c>
      <c r="D23" s="11">
        <f>Data!H22/Data!$J$3</f>
        <v>0.48224852071005919</v>
      </c>
      <c r="E23" s="11">
        <f>Data!I22/Data!$J$3</f>
        <v>0.11242603550295859</v>
      </c>
      <c r="F23" s="11">
        <f>Data!J22/Data!$J$3</f>
        <v>0.21893491124260356</v>
      </c>
      <c r="G23" s="11">
        <f>Data!L22/(Data!L22+Data!M22)</f>
        <v>0.45864661654135336</v>
      </c>
    </row>
    <row r="24" spans="1:7" x14ac:dyDescent="0.25">
      <c r="A24" s="3" t="s">
        <v>56</v>
      </c>
      <c r="B24" t="s">
        <v>57</v>
      </c>
      <c r="C24" s="7">
        <f>(4*Data!B23+3*Data!C23+2*Data!D23+1*Data!E23)/(SUM(Data!B23:F23))</f>
        <v>2.7240259740259742</v>
      </c>
      <c r="D24" s="11">
        <f>Data!H23/Data!$J$3</f>
        <v>0.56804733727810652</v>
      </c>
      <c r="E24" s="11">
        <f>Data!I23/Data!$J$3</f>
        <v>0.10059171597633136</v>
      </c>
      <c r="F24" s="11">
        <f>Data!J23/Data!$J$3</f>
        <v>0.21893491124260356</v>
      </c>
      <c r="G24" s="11">
        <f>Data!L23/(Data!L23+Data!M23)</f>
        <v>0.58419243986254299</v>
      </c>
    </row>
    <row r="25" spans="1:7" x14ac:dyDescent="0.25">
      <c r="A25" s="3" t="s">
        <v>58</v>
      </c>
      <c r="B25" t="s">
        <v>59</v>
      </c>
      <c r="C25" s="7">
        <f>(4*Data!B24+3*Data!C24+2*Data!D24+1*Data!E24)/(SUM(Data!B24:F24))</f>
        <v>2.9775641025641026</v>
      </c>
      <c r="D25" s="11">
        <f>Data!H24/Data!$J$3</f>
        <v>0.66272189349112431</v>
      </c>
      <c r="E25" s="11">
        <f>Data!I24/Data!$J$3</f>
        <v>6.8047337278106509E-2</v>
      </c>
      <c r="F25" s="11">
        <f>Data!J24/Data!$J$3</f>
        <v>0.17455621301775148</v>
      </c>
      <c r="G25" s="11">
        <f>Data!L24/(Data!L24+Data!M24)</f>
        <v>0.67006802721088432</v>
      </c>
    </row>
    <row r="26" spans="1:7" x14ac:dyDescent="0.25">
      <c r="A26" s="3" t="s">
        <v>60</v>
      </c>
      <c r="B26" t="s">
        <v>61</v>
      </c>
      <c r="C26" s="7">
        <f>(4*Data!B25+3*Data!C25+2*Data!D25+1*Data!E25)/(SUM(Data!B25:F25))</f>
        <v>2.680511182108626</v>
      </c>
      <c r="D26" s="11">
        <f>Data!H25/Data!$J$3</f>
        <v>0.59763313609467461</v>
      </c>
      <c r="E26" s="11">
        <f>Data!I25/Data!$J$3</f>
        <v>7.3964497041420121E-2</v>
      </c>
      <c r="F26" s="11">
        <f>Data!J25/Data!$J$3</f>
        <v>0.23372781065088757</v>
      </c>
      <c r="G26" s="11">
        <f>Data!L25/(Data!L25+Data!M25)</f>
        <v>0.53378378378378377</v>
      </c>
    </row>
    <row r="27" spans="1:7" x14ac:dyDescent="0.25">
      <c r="A27" s="3" t="s">
        <v>62</v>
      </c>
      <c r="B27" t="s">
        <v>63</v>
      </c>
      <c r="C27" s="7">
        <f>(4*Data!B26+3*Data!C26+2*Data!D26+1*Data!E26)/(SUM(Data!B26:F26))</f>
        <v>2.9041533546325877</v>
      </c>
      <c r="D27" s="11">
        <f>Data!H26/Data!$J$3</f>
        <v>0.65680473372781067</v>
      </c>
      <c r="E27" s="11">
        <f>Data!I26/Data!$J$3</f>
        <v>7.3964497041420121E-2</v>
      </c>
      <c r="F27" s="11">
        <f>Data!J26/Data!$J$3</f>
        <v>0.17455621301775148</v>
      </c>
      <c r="G27" s="11">
        <f>Data!L26/(Data!L26+Data!M26)</f>
        <v>0.62289562289562295</v>
      </c>
    </row>
    <row r="28" spans="1:7" x14ac:dyDescent="0.25">
      <c r="A28" s="3" t="s">
        <v>64</v>
      </c>
      <c r="B28" t="s">
        <v>65</v>
      </c>
      <c r="C28" s="7">
        <f>(4*Data!B27+3*Data!C27+2*Data!D27+1*Data!E27)/(SUM(Data!B27:F27))</f>
        <v>2.386206896551724</v>
      </c>
      <c r="D28" s="11">
        <f>Data!H27/Data!$J$3</f>
        <v>0.42899408284023671</v>
      </c>
      <c r="E28" s="11">
        <f>Data!I27/Data!$J$3</f>
        <v>0.17455621301775148</v>
      </c>
      <c r="F28" s="11">
        <f>Data!J27/Data!$J$3</f>
        <v>0.23076923076923078</v>
      </c>
      <c r="G28" s="11">
        <f>Data!L27/(Data!L27+Data!M27)</f>
        <v>0.35869565217391303</v>
      </c>
    </row>
    <row r="29" spans="1:7" x14ac:dyDescent="0.25">
      <c r="A29" s="3"/>
      <c r="C29" s="7"/>
      <c r="D29" s="11"/>
      <c r="E29" s="11"/>
      <c r="F29" s="11"/>
      <c r="G29" s="11"/>
    </row>
    <row r="30" spans="1:7" ht="13" x14ac:dyDescent="0.3">
      <c r="A30" s="3"/>
      <c r="B30" s="9" t="s">
        <v>66</v>
      </c>
      <c r="C30" s="7"/>
      <c r="D30" s="11"/>
      <c r="E30" s="11"/>
      <c r="F30" s="11"/>
      <c r="G30" s="11"/>
    </row>
    <row r="31" spans="1:7" x14ac:dyDescent="0.25">
      <c r="A31" s="3" t="s">
        <v>67</v>
      </c>
      <c r="B31" t="s">
        <v>68</v>
      </c>
      <c r="C31" s="7">
        <f>(4*Data!B30+3*Data!C30+2*Data!D30+1*Data!E30)/(SUM(Data!B30:F30))</f>
        <v>2.2727272727272729</v>
      </c>
      <c r="D31" s="11">
        <f>Data!H30/Data!$J$3</f>
        <v>0.47041420118343197</v>
      </c>
      <c r="E31" s="11">
        <f>Data!I30/Data!$J$3</f>
        <v>8.5798816568047331E-2</v>
      </c>
      <c r="F31" s="11">
        <f>Data!J30/Data!$J$3</f>
        <v>0.34023668639053256</v>
      </c>
      <c r="G31" s="11">
        <f>Data!L30/(Data!L30+Data!M30)</f>
        <v>0.34576271186440677</v>
      </c>
    </row>
    <row r="32" spans="1:7" x14ac:dyDescent="0.25">
      <c r="A32" s="3" t="s">
        <v>69</v>
      </c>
      <c r="B32" t="s">
        <v>70</v>
      </c>
      <c r="C32" s="7">
        <f>(4*Data!B31+3*Data!C31+2*Data!D31+1*Data!E31)/(SUM(Data!B31:F31))</f>
        <v>2.4512987012987013</v>
      </c>
      <c r="D32" s="11">
        <f>Data!H31/Data!$J$3</f>
        <v>0.52071005917159763</v>
      </c>
      <c r="E32" s="11">
        <f>Data!I31/Data!$J$3</f>
        <v>8.2840236686390539E-2</v>
      </c>
      <c r="F32" s="11">
        <f>Data!J31/Data!$J$3</f>
        <v>0.28994082840236685</v>
      </c>
      <c r="G32" s="11">
        <f>Data!L31/(Data!L31+Data!M31)</f>
        <v>0.3595890410958904</v>
      </c>
    </row>
    <row r="33" spans="1:7" x14ac:dyDescent="0.25">
      <c r="A33" s="3" t="s">
        <v>71</v>
      </c>
      <c r="B33" t="s">
        <v>72</v>
      </c>
      <c r="C33" s="7">
        <f>(4*Data!B32+3*Data!C32+2*Data!D32+1*Data!E32)/(SUM(Data!B32:F32))</f>
        <v>3.1785714285714284</v>
      </c>
      <c r="D33" s="11">
        <f>Data!H32/Data!$J$3</f>
        <v>0.68047337278106512</v>
      </c>
      <c r="E33" s="11">
        <f>Data!I32/Data!$J$3</f>
        <v>4.7337278106508875E-2</v>
      </c>
      <c r="F33" s="11">
        <f>Data!J32/Data!$J$3</f>
        <v>0.16863905325443787</v>
      </c>
      <c r="G33" s="11">
        <f>Data!L32/(Data!L32+Data!M32)</f>
        <v>0.82491582491582494</v>
      </c>
    </row>
    <row r="34" spans="1:7" x14ac:dyDescent="0.25">
      <c r="A34" s="3" t="s">
        <v>73</v>
      </c>
      <c r="B34" t="s">
        <v>74</v>
      </c>
      <c r="C34" s="7">
        <f>(4*Data!B33+3*Data!C33+2*Data!D33+1*Data!E33)/(SUM(Data!B33:F33))</f>
        <v>2.3036303630363038</v>
      </c>
      <c r="D34" s="11">
        <f>Data!H33/Data!$J$3</f>
        <v>0.4437869822485207</v>
      </c>
      <c r="E34" s="11">
        <f>Data!I33/Data!$J$3</f>
        <v>0.11834319526627218</v>
      </c>
      <c r="F34" s="11">
        <f>Data!J33/Data!$J$3</f>
        <v>0.31952662721893493</v>
      </c>
      <c r="G34" s="11">
        <f>Data!L33/(Data!L33+Data!M33)</f>
        <v>0.23529411764705882</v>
      </c>
    </row>
    <row r="35" spans="1:7" x14ac:dyDescent="0.25">
      <c r="A35" s="3" t="s">
        <v>75</v>
      </c>
      <c r="B35" t="s">
        <v>76</v>
      </c>
      <c r="C35" s="7">
        <f>(4*Data!B34+3*Data!C34+2*Data!D34+1*Data!E34)/(SUM(Data!B34:F34))</f>
        <v>2.063758389261745</v>
      </c>
      <c r="D35" s="11">
        <f>Data!H34/Data!$J$3</f>
        <v>0.38165680473372782</v>
      </c>
      <c r="E35" s="11">
        <f>Data!I34/Data!$J$3</f>
        <v>0.13905325443786981</v>
      </c>
      <c r="F35" s="11">
        <f>Data!J34/Data!$J$3</f>
        <v>0.34911242603550297</v>
      </c>
      <c r="G35" s="11">
        <f>Data!L34/(Data!L34+Data!M34)</f>
        <v>0.14436619718309859</v>
      </c>
    </row>
    <row r="36" spans="1:7" x14ac:dyDescent="0.25">
      <c r="A36" s="3" t="s">
        <v>77</v>
      </c>
      <c r="B36" t="s">
        <v>78</v>
      </c>
      <c r="C36" s="7">
        <f>(4*Data!B35+3*Data!C35+2*Data!D35+1*Data!E35)/(SUM(Data!B35:F35))</f>
        <v>2.1653543307086616</v>
      </c>
      <c r="D36" s="11">
        <f>Data!H35/Data!$J$3</f>
        <v>0.37278106508875741</v>
      </c>
      <c r="E36" s="11">
        <f>Data!I35/Data!$J$3</f>
        <v>9.7633136094674555E-2</v>
      </c>
      <c r="F36" s="11">
        <f>Data!J35/Data!$J$3</f>
        <v>0.29289940828402367</v>
      </c>
      <c r="G36" s="11">
        <f>Data!L35/(Data!L35+Data!M35)</f>
        <v>0.19685039370078741</v>
      </c>
    </row>
    <row r="37" spans="1:7" x14ac:dyDescent="0.25">
      <c r="A37" s="3"/>
      <c r="C37" s="7"/>
      <c r="D37" s="11"/>
      <c r="E37" s="11"/>
      <c r="F37" s="11"/>
      <c r="G37" s="11"/>
    </row>
    <row r="38" spans="1:7" ht="13" x14ac:dyDescent="0.3">
      <c r="A38" s="3"/>
      <c r="B38" s="9" t="s">
        <v>79</v>
      </c>
      <c r="C38" s="7"/>
      <c r="D38" s="11"/>
      <c r="E38" s="11"/>
      <c r="F38" s="11"/>
      <c r="G38" s="11"/>
    </row>
    <row r="39" spans="1:7" x14ac:dyDescent="0.25">
      <c r="A39" s="3" t="s">
        <v>80</v>
      </c>
      <c r="B39" t="s">
        <v>81</v>
      </c>
      <c r="C39" s="7">
        <f>(4*Data!B38+3*Data!C38+2*Data!D38+1*Data!E38)/(SUM(Data!B38:F38))</f>
        <v>3.8673139158576051</v>
      </c>
      <c r="D39" s="11">
        <f>Data!H38/Data!$J$3</f>
        <v>0.87869822485207105</v>
      </c>
      <c r="E39" s="11">
        <f>Data!I38/Data!$J$3</f>
        <v>5.9171597633136093E-3</v>
      </c>
      <c r="F39" s="11">
        <f>Data!J38/Data!$J$3</f>
        <v>1.7751479289940829E-2</v>
      </c>
      <c r="G39" s="11">
        <f>Data!L38/(Data!L38+Data!M38)</f>
        <v>0.98996655518394649</v>
      </c>
    </row>
    <row r="40" spans="1:7" x14ac:dyDescent="0.25">
      <c r="A40" s="3" t="s">
        <v>82</v>
      </c>
      <c r="B40" s="5" t="s">
        <v>83</v>
      </c>
      <c r="C40" s="7">
        <f>(4*Data!B39+3*Data!C39+2*Data!D39+1*Data!E39)/(SUM(Data!B39:F39))</f>
        <v>3.6096774193548389</v>
      </c>
      <c r="D40" s="11">
        <f>Data!H39/Data!$J$3</f>
        <v>0.85798816568047342</v>
      </c>
      <c r="E40" s="11">
        <f>Data!I39/Data!$J$3</f>
        <v>2.0710059171597635E-2</v>
      </c>
      <c r="F40" s="11">
        <f>Data!J39/Data!$J$3</f>
        <v>2.3668639053254437E-2</v>
      </c>
      <c r="G40" s="11">
        <f>Data!L39/(Data!L39+Data!M39)</f>
        <v>0.80808080808080807</v>
      </c>
    </row>
    <row r="41" spans="1:7" x14ac:dyDescent="0.25">
      <c r="A41" s="3" t="s">
        <v>84</v>
      </c>
      <c r="B41" t="s">
        <v>85</v>
      </c>
      <c r="C41" s="7">
        <f>(4*Data!B40+3*Data!C40+2*Data!D40+1*Data!E40)/(SUM(Data!B40:F40))</f>
        <v>3.0844155844155843</v>
      </c>
      <c r="D41" s="11">
        <f>Data!H40/Data!$J$3</f>
        <v>0.76627218934911245</v>
      </c>
      <c r="E41" s="11">
        <f>Data!I40/Data!$J$3</f>
        <v>5.3254437869822487E-2</v>
      </c>
      <c r="F41" s="11">
        <f>Data!J40/Data!$J$3</f>
        <v>7.1005917159763315E-2</v>
      </c>
      <c r="G41" s="11">
        <f>Data!L40/(Data!L40+Data!M40)</f>
        <v>0.60204081632653061</v>
      </c>
    </row>
    <row r="42" spans="1:7" x14ac:dyDescent="0.25">
      <c r="A42" s="3" t="s">
        <v>86</v>
      </c>
      <c r="B42" t="s">
        <v>87</v>
      </c>
      <c r="C42" s="7">
        <f>(4*Data!B41+3*Data!C41+2*Data!D41+1*Data!E41)/(SUM(Data!B41:F41))</f>
        <v>2.8762214983713354</v>
      </c>
      <c r="D42" s="11">
        <f>Data!H41/Data!$J$3</f>
        <v>0.70710059171597628</v>
      </c>
      <c r="E42" s="11">
        <f>Data!I41/Data!$J$3</f>
        <v>7.1005917159763315E-2</v>
      </c>
      <c r="F42" s="11">
        <f>Data!J41/Data!$J$3</f>
        <v>0.10650887573964497</v>
      </c>
      <c r="G42" s="11">
        <f>Data!L41/(Data!L41+Data!M41)</f>
        <v>0.5714285714285714</v>
      </c>
    </row>
    <row r="43" spans="1:7" x14ac:dyDescent="0.25">
      <c r="A43" s="3"/>
      <c r="C43" s="7"/>
      <c r="D43" s="11"/>
      <c r="E43" s="11"/>
      <c r="F43" s="11"/>
      <c r="G43" s="11"/>
    </row>
    <row r="44" spans="1:7" ht="13" x14ac:dyDescent="0.3">
      <c r="A44" s="3"/>
      <c r="B44" s="9" t="s">
        <v>88</v>
      </c>
      <c r="C44" s="7"/>
      <c r="D44" s="11"/>
      <c r="E44" s="11"/>
      <c r="F44" s="11"/>
      <c r="G44" s="11"/>
    </row>
    <row r="45" spans="1:7" x14ac:dyDescent="0.25">
      <c r="A45" s="3" t="s">
        <v>89</v>
      </c>
      <c r="B45" s="5" t="s">
        <v>90</v>
      </c>
      <c r="C45" s="7">
        <f>(4*Data!B44+3*Data!C44+2*Data!D44+1*Data!E44)/(SUM(Data!B44:F44))</f>
        <v>3.7096774193548385</v>
      </c>
      <c r="D45" s="11">
        <f>Data!H44/Data!$J$3</f>
        <v>0.85207100591715978</v>
      </c>
      <c r="E45" s="11">
        <f>Data!I44/Data!$J$3</f>
        <v>1.4792899408284023E-2</v>
      </c>
      <c r="F45" s="11">
        <f>Data!J44/Data!$J$3</f>
        <v>2.6627218934911243E-2</v>
      </c>
      <c r="G45" s="11">
        <f>Data!L44/(Data!L44+Data!M44)</f>
        <v>0.92929292929292928</v>
      </c>
    </row>
    <row r="46" spans="1:7" x14ac:dyDescent="0.25">
      <c r="A46" s="3" t="s">
        <v>91</v>
      </c>
      <c r="B46" t="s">
        <v>92</v>
      </c>
      <c r="C46" s="7">
        <f>(4*Data!B45+3*Data!C45+2*Data!D45+1*Data!E45)/(SUM(Data!B45:F45))</f>
        <v>3.3300970873786406</v>
      </c>
      <c r="D46" s="11">
        <f>Data!H45/Data!$J$3</f>
        <v>0.79881656804733725</v>
      </c>
      <c r="E46" s="11">
        <f>Data!I45/Data!$J$3</f>
        <v>6.2130177514792898E-2</v>
      </c>
      <c r="F46" s="11">
        <f>Data!J45/Data!$J$3</f>
        <v>3.5502958579881658E-2</v>
      </c>
      <c r="G46" s="11">
        <f>Data!L45/(Data!L45+Data!M45)</f>
        <v>0.67918088737201365</v>
      </c>
    </row>
    <row r="47" spans="1:7" x14ac:dyDescent="0.25">
      <c r="A47" s="3" t="s">
        <v>93</v>
      </c>
      <c r="B47" t="s">
        <v>94</v>
      </c>
      <c r="C47" s="7">
        <f>(4*Data!B46+3*Data!C46+2*Data!D46+1*Data!E46)/(SUM(Data!B46:F46))</f>
        <v>3.0488599348534202</v>
      </c>
      <c r="D47" s="11">
        <f>Data!H46/Data!$J$3</f>
        <v>0.69230769230769229</v>
      </c>
      <c r="E47" s="11">
        <f>Data!I46/Data!$J$3</f>
        <v>0.1242603550295858</v>
      </c>
      <c r="F47" s="11">
        <f>Data!J46/Data!$J$3</f>
        <v>7.3964497041420121E-2</v>
      </c>
      <c r="G47" s="11">
        <f>Data!L46/(Data!L46+Data!M46)</f>
        <v>0.58843537414965985</v>
      </c>
    </row>
    <row r="48" spans="1:7" x14ac:dyDescent="0.25">
      <c r="A48" s="3" t="s">
        <v>95</v>
      </c>
      <c r="B48" t="s">
        <v>96</v>
      </c>
      <c r="C48" s="7">
        <f>(4*Data!B47+3*Data!C47+2*Data!D47+1*Data!E47)/(SUM(Data!B47:F47))</f>
        <v>2.7176079734219267</v>
      </c>
      <c r="D48" s="11">
        <f>Data!H47/Data!$J$3</f>
        <v>0.63313609467455623</v>
      </c>
      <c r="E48" s="11">
        <f>Data!I47/Data!$J$3</f>
        <v>0.13609467455621302</v>
      </c>
      <c r="F48" s="11">
        <f>Data!J47/Data!$J$3</f>
        <v>0.10650887573964497</v>
      </c>
      <c r="G48" s="11">
        <f>Data!L47/(Data!L47+Data!M47)</f>
        <v>0.32068965517241377</v>
      </c>
    </row>
    <row r="49" spans="1:7" x14ac:dyDescent="0.25">
      <c r="A49" s="3" t="s">
        <v>97</v>
      </c>
      <c r="B49" t="s">
        <v>98</v>
      </c>
      <c r="C49" s="7">
        <f>(4*Data!B48+3*Data!C48+2*Data!D48+1*Data!E48)/(SUM(Data!B48:F48))</f>
        <v>3.0459016393442622</v>
      </c>
      <c r="D49" s="11">
        <f>Data!H48/Data!$J$3</f>
        <v>0.70710059171597628</v>
      </c>
      <c r="E49" s="11">
        <f>Data!I48/Data!$J$3</f>
        <v>0.11242603550295859</v>
      </c>
      <c r="F49" s="11">
        <f>Data!J48/Data!$J$3</f>
        <v>7.6923076923076927E-2</v>
      </c>
      <c r="G49" s="11">
        <f>Data!L48/(Data!L48+Data!M48)</f>
        <v>0.5898305084745763</v>
      </c>
    </row>
    <row r="50" spans="1:7" x14ac:dyDescent="0.25">
      <c r="A50" s="3" t="s">
        <v>99</v>
      </c>
      <c r="B50" t="s">
        <v>100</v>
      </c>
      <c r="C50" s="7">
        <f>(4*Data!B49+3*Data!C49+2*Data!D49+1*Data!E49)/(SUM(Data!B49:F49))</f>
        <v>2.5766666666666667</v>
      </c>
      <c r="D50" s="11">
        <f>Data!H49/Data!$J$3</f>
        <v>0.57988165680473369</v>
      </c>
      <c r="E50" s="11">
        <f>Data!I49/Data!$J$3</f>
        <v>0.19822485207100593</v>
      </c>
      <c r="F50" s="11">
        <f>Data!J49/Data!$J$3</f>
        <v>8.8757396449704137E-2</v>
      </c>
      <c r="G50" s="11">
        <f>Data!L49/(Data!L49+Data!M49)</f>
        <v>0.3125</v>
      </c>
    </row>
    <row r="51" spans="1:7" x14ac:dyDescent="0.25">
      <c r="A51" s="3" t="s">
        <v>101</v>
      </c>
      <c r="B51" t="s">
        <v>102</v>
      </c>
      <c r="C51" s="7">
        <f>(4*Data!B50+3*Data!C50+2*Data!D50+1*Data!E50)/(SUM(Data!B50:F50))</f>
        <v>2.9240924092409242</v>
      </c>
      <c r="D51" s="11">
        <f>Data!H50/Data!$J$3</f>
        <v>0.6775147928994083</v>
      </c>
      <c r="E51" s="11">
        <f>Data!I50/Data!$J$3</f>
        <v>0.12721893491124261</v>
      </c>
      <c r="F51" s="11">
        <f>Data!J50/Data!$J$3</f>
        <v>8.2840236686390539E-2</v>
      </c>
      <c r="G51" s="11">
        <f>Data!L50/(Data!L50+Data!M50)</f>
        <v>0.38831615120274915</v>
      </c>
    </row>
    <row r="52" spans="1:7" x14ac:dyDescent="0.25">
      <c r="A52" s="3" t="s">
        <v>103</v>
      </c>
      <c r="B52" t="s">
        <v>104</v>
      </c>
      <c r="C52" s="7">
        <f>(4*Data!B51+3*Data!C51+2*Data!D51+1*Data!E51)/(SUM(Data!B51:F51))</f>
        <v>3.3039215686274508</v>
      </c>
      <c r="D52" s="11">
        <f>Data!H51/Data!$J$3</f>
        <v>0.73076923076923073</v>
      </c>
      <c r="E52" s="11">
        <f>Data!I51/Data!$J$3</f>
        <v>7.9881656804733733E-2</v>
      </c>
      <c r="F52" s="11">
        <f>Data!J51/Data!$J$3</f>
        <v>5.9171597633136092E-2</v>
      </c>
      <c r="G52" s="11">
        <f>Data!L51/(Data!L51+Data!M51)</f>
        <v>0.75257731958762886</v>
      </c>
    </row>
    <row r="53" spans="1:7" x14ac:dyDescent="0.25">
      <c r="A53" s="3"/>
      <c r="C53" s="7"/>
      <c r="D53" s="11"/>
      <c r="E53" s="11"/>
      <c r="F53" s="11"/>
      <c r="G53" s="11"/>
    </row>
    <row r="54" spans="1:7" ht="13" x14ac:dyDescent="0.3">
      <c r="A54" s="3"/>
      <c r="B54" s="9" t="s">
        <v>105</v>
      </c>
      <c r="C54" s="7"/>
      <c r="D54" s="11"/>
      <c r="E54" s="11"/>
      <c r="F54" s="11"/>
      <c r="G54" s="11"/>
    </row>
    <row r="55" spans="1:7" x14ac:dyDescent="0.25">
      <c r="A55" s="3" t="s">
        <v>106</v>
      </c>
      <c r="B55" t="s">
        <v>107</v>
      </c>
      <c r="C55" s="7">
        <f>(4*Data!B54+3*Data!C54+2*Data!D54+1*Data!E54)/(SUM(Data!B54:F54))</f>
        <v>2.6666666666666665</v>
      </c>
      <c r="D55" s="11">
        <f>Data!H54/Data!$J$3</f>
        <v>0.52958579881656809</v>
      </c>
      <c r="E55" s="11">
        <f>Data!I54/Data!$J$3</f>
        <v>0.24852071005917159</v>
      </c>
      <c r="F55" s="11">
        <f>Data!J54/Data!$J$3</f>
        <v>7.6923076923076927E-2</v>
      </c>
      <c r="G55" s="11">
        <f>Data!L54/(Data!L54+Data!M54)</f>
        <v>0.40845070422535212</v>
      </c>
    </row>
    <row r="56" spans="1:7" x14ac:dyDescent="0.25">
      <c r="A56" s="3" t="s">
        <v>108</v>
      </c>
      <c r="B56" t="s">
        <v>109</v>
      </c>
      <c r="C56" s="7">
        <f>(4*Data!B55+3*Data!C55+2*Data!D55+1*Data!E55)/(SUM(Data!B55:F55))</f>
        <v>2.7123287671232879</v>
      </c>
      <c r="D56" s="11">
        <f>Data!H55/Data!$J$3</f>
        <v>0.53550295857988162</v>
      </c>
      <c r="E56" s="11">
        <f>Data!I55/Data!$J$3</f>
        <v>0.24260355029585798</v>
      </c>
      <c r="F56" s="11">
        <f>Data!J55/Data!$J$3</f>
        <v>6.8047337278106509E-2</v>
      </c>
      <c r="G56" s="11">
        <f>Data!L55/(Data!L55+Data!M55)</f>
        <v>0.38732394366197181</v>
      </c>
    </row>
    <row r="57" spans="1:7" x14ac:dyDescent="0.25">
      <c r="A57" s="3" t="s">
        <v>110</v>
      </c>
      <c r="B57" s="5" t="s">
        <v>111</v>
      </c>
      <c r="C57" s="7">
        <f>(4*Data!B56+3*Data!C56+2*Data!D56+1*Data!E56)/(SUM(Data!B56:F56))</f>
        <v>2.2302405498281788</v>
      </c>
      <c r="D57" s="11">
        <f>Data!H56/Data!$J$3</f>
        <v>0.36390532544378701</v>
      </c>
      <c r="E57" s="11">
        <f>Data!I56/Data!$J$3</f>
        <v>0.38165680473372782</v>
      </c>
      <c r="F57" s="11">
        <f>Data!J56/Data!$J$3</f>
        <v>0.10355029585798817</v>
      </c>
      <c r="G57" s="11">
        <f>Data!L56/(Data!L56+Data!M56)</f>
        <v>0.19642857142857142</v>
      </c>
    </row>
    <row r="58" spans="1:7" x14ac:dyDescent="0.25">
      <c r="A58" s="3" t="s">
        <v>112</v>
      </c>
      <c r="B58" t="s">
        <v>113</v>
      </c>
      <c r="C58" s="7">
        <f>(4*Data!B57+3*Data!C57+2*Data!D57+1*Data!E57)/(SUM(Data!B57:F57))</f>
        <v>2.2871972318339102</v>
      </c>
      <c r="D58" s="11">
        <f>Data!H57/Data!$J$3</f>
        <v>0.35798816568047337</v>
      </c>
      <c r="E58" s="11">
        <f>Data!I57/Data!$J$3</f>
        <v>0.36390532544378701</v>
      </c>
      <c r="F58" s="11">
        <f>Data!J57/Data!$J$3</f>
        <v>0.10650887573964497</v>
      </c>
      <c r="G58" s="11">
        <f>Data!L57/(Data!L57+Data!M57)</f>
        <v>0.22142857142857142</v>
      </c>
    </row>
    <row r="59" spans="1:7" x14ac:dyDescent="0.25">
      <c r="A59" s="3" t="s">
        <v>114</v>
      </c>
      <c r="B59" t="s">
        <v>115</v>
      </c>
      <c r="C59" s="7">
        <f>(4*Data!B58+3*Data!C58+2*Data!D58+1*Data!E58)/(SUM(Data!B58:F58))</f>
        <v>2.2096219931271479</v>
      </c>
      <c r="D59" s="11">
        <f>Data!H58/Data!$J$3</f>
        <v>0.35207100591715978</v>
      </c>
      <c r="E59" s="11">
        <f>Data!I58/Data!$J$3</f>
        <v>0.35502958579881655</v>
      </c>
      <c r="F59" s="11">
        <f>Data!J58/Data!$J$3</f>
        <v>0.13313609467455623</v>
      </c>
      <c r="G59" s="11">
        <f>Data!L58/(Data!L58+Data!M58)</f>
        <v>0.176056338028169</v>
      </c>
    </row>
    <row r="60" spans="1:7" x14ac:dyDescent="0.25">
      <c r="A60" s="3" t="s">
        <v>116</v>
      </c>
      <c r="B60" t="s">
        <v>117</v>
      </c>
      <c r="C60" s="7">
        <f>(4*Data!B59+3*Data!C59+2*Data!D59+1*Data!E59)/(SUM(Data!B59:F59))</f>
        <v>2.1972789115646258</v>
      </c>
      <c r="D60" s="11">
        <f>Data!H59/Data!$J$3</f>
        <v>0.36982248520710059</v>
      </c>
      <c r="E60" s="11">
        <f>Data!I59/Data!$J$3</f>
        <v>0.31952662721893493</v>
      </c>
      <c r="F60" s="11">
        <f>Data!J59/Data!$J$3</f>
        <v>0.15976331360946747</v>
      </c>
      <c r="G60" s="11">
        <f>Data!L59/(Data!L59+Data!M59)</f>
        <v>0.16607773851590105</v>
      </c>
    </row>
    <row r="61" spans="1:7" x14ac:dyDescent="0.25">
      <c r="A61" s="3" t="s">
        <v>118</v>
      </c>
      <c r="B61" s="5" t="s">
        <v>119</v>
      </c>
      <c r="C61" s="7">
        <f>(4*Data!B60+3*Data!C60+2*Data!D60+1*Data!E60)/(SUM(Data!B60:F60))</f>
        <v>2.3356164383561642</v>
      </c>
      <c r="D61" s="11">
        <f>Data!H60/Data!$J$3</f>
        <v>0.39349112426035504</v>
      </c>
      <c r="E61" s="11">
        <f>Data!I60/Data!$J$3</f>
        <v>0.29881656804733731</v>
      </c>
      <c r="F61" s="11">
        <f>Data!J60/Data!$J$3</f>
        <v>0.14792899408284024</v>
      </c>
      <c r="G61" s="11">
        <f>Data!L60/(Data!L60+Data!M60)</f>
        <v>0.21276595744680851</v>
      </c>
    </row>
    <row r="62" spans="1:7" x14ac:dyDescent="0.25">
      <c r="A62" s="3" t="s">
        <v>120</v>
      </c>
      <c r="B62" t="s">
        <v>121</v>
      </c>
      <c r="C62" s="7">
        <f>(4*Data!B61+3*Data!C61+2*Data!D61+1*Data!E61)/(SUM(Data!B61:F61))</f>
        <v>2.5408163265306123</v>
      </c>
      <c r="D62" s="11">
        <f>Data!H61/Data!$J$3</f>
        <v>0.49408284023668642</v>
      </c>
      <c r="E62" s="11">
        <f>Data!I61/Data!$J$3</f>
        <v>0.2455621301775148</v>
      </c>
      <c r="F62" s="11">
        <f>Data!J61/Data!$J$3</f>
        <v>0.10946745562130178</v>
      </c>
      <c r="G62" s="11">
        <f>Data!L61/(Data!L61+Data!M61)</f>
        <v>0.38297872340425532</v>
      </c>
    </row>
    <row r="63" spans="1:7" x14ac:dyDescent="0.25">
      <c r="A63" s="3" t="s">
        <v>122</v>
      </c>
      <c r="B63" t="s">
        <v>123</v>
      </c>
      <c r="C63" s="7">
        <f>(4*Data!B62+3*Data!C62+2*Data!D62+1*Data!E62)/(SUM(Data!B62:F62))</f>
        <v>2.0034129692832763</v>
      </c>
      <c r="D63" s="11">
        <f>Data!H62/Data!$J$3</f>
        <v>0.27810650887573962</v>
      </c>
      <c r="E63" s="11">
        <f>Data!I62/Data!$J$3</f>
        <v>0.36390532544378701</v>
      </c>
      <c r="F63" s="11">
        <f>Data!J62/Data!$J$3</f>
        <v>0.19230769230769232</v>
      </c>
      <c r="G63" s="11">
        <f>Data!L62/(Data!L62+Data!M62)</f>
        <v>0.1357142857142857</v>
      </c>
    </row>
    <row r="64" spans="1:7" x14ac:dyDescent="0.25">
      <c r="A64" s="3" t="s">
        <v>124</v>
      </c>
      <c r="B64" t="s">
        <v>125</v>
      </c>
      <c r="C64" s="7">
        <f>(4*Data!B63+3*Data!C63+2*Data!D63+1*Data!E63)/(SUM(Data!B63:F63))</f>
        <v>2.4169611307420493</v>
      </c>
      <c r="D64" s="11">
        <f>Data!H63/Data!$J$3</f>
        <v>0.42307692307692307</v>
      </c>
      <c r="E64" s="11">
        <f>Data!I63/Data!$J$3</f>
        <v>0.26331360946745563</v>
      </c>
      <c r="F64" s="11">
        <f>Data!J63/Data!$J$3</f>
        <v>0.13017751479289941</v>
      </c>
      <c r="G64" s="11">
        <f>Data!L63/(Data!L63+Data!M63)</f>
        <v>0.29963898916967507</v>
      </c>
    </row>
    <row r="65" spans="1:7" x14ac:dyDescent="0.25">
      <c r="A65" s="3"/>
      <c r="C65" s="7"/>
      <c r="D65" s="11"/>
      <c r="E65" s="11"/>
      <c r="F65" s="11"/>
      <c r="G65" s="11"/>
    </row>
    <row r="66" spans="1:7" ht="13" x14ac:dyDescent="0.3">
      <c r="A66" s="3"/>
      <c r="B66" s="9" t="s">
        <v>126</v>
      </c>
      <c r="C66" s="7"/>
      <c r="D66" s="11"/>
      <c r="E66" s="11"/>
      <c r="F66" s="11"/>
      <c r="G66" s="11"/>
    </row>
    <row r="67" spans="1:7" x14ac:dyDescent="0.25">
      <c r="A67" s="3" t="s">
        <v>127</v>
      </c>
      <c r="B67" s="5" t="s">
        <v>128</v>
      </c>
      <c r="C67" s="7">
        <f>(4*Data!B66+3*Data!C66+2*Data!D66+1*Data!E66)/(SUM(Data!B66:F66))</f>
        <v>3.3216783216783217</v>
      </c>
      <c r="D67" s="11">
        <f>Data!H66/Data!$J$3</f>
        <v>0.75443786982248517</v>
      </c>
      <c r="E67" s="11">
        <f>Data!I66/Data!$J$3</f>
        <v>5.6213017751479293E-2</v>
      </c>
      <c r="F67" s="11">
        <f>Data!J66/Data!$J$3</f>
        <v>8.8757396449704144E-3</v>
      </c>
      <c r="G67" s="11">
        <f>Data!L66/(Data!L66+Data!M66)</f>
        <v>0.76029962546816476</v>
      </c>
    </row>
    <row r="68" spans="1:7" x14ac:dyDescent="0.25">
      <c r="A68" s="3" t="s">
        <v>129</v>
      </c>
      <c r="B68" s="5" t="s">
        <v>130</v>
      </c>
      <c r="C68" s="7">
        <f>(4*Data!B67+3*Data!C67+2*Data!D67+1*Data!E67)/(SUM(Data!B67:F67))</f>
        <v>3.1283018867924528</v>
      </c>
      <c r="D68" s="11">
        <f>Data!H67/Data!$J$3</f>
        <v>0.6775147928994083</v>
      </c>
      <c r="E68" s="11">
        <f>Data!I67/Data!$J$3</f>
        <v>7.6923076923076927E-2</v>
      </c>
      <c r="F68" s="11">
        <f>Data!J67/Data!$J$3</f>
        <v>2.0710059171597635E-2</v>
      </c>
      <c r="G68" s="11">
        <f>Data!L67/(Data!L67+Data!M67)</f>
        <v>0.60956175298804782</v>
      </c>
    </row>
    <row r="69" spans="1:7" x14ac:dyDescent="0.25">
      <c r="A69" s="3" t="s">
        <v>131</v>
      </c>
      <c r="B69" t="s">
        <v>132</v>
      </c>
      <c r="C69" s="7">
        <f>(4*Data!B68+3*Data!C68+2*Data!D68+1*Data!E68)/(SUM(Data!B68:F68))</f>
        <v>1.9557823129251701</v>
      </c>
      <c r="D69" s="11">
        <f>Data!H68/Data!$J$3</f>
        <v>0.53254437869822491</v>
      </c>
      <c r="E69" s="11">
        <f>Data!I68/Data!$J$3</f>
        <v>0.14201183431952663</v>
      </c>
      <c r="F69" s="11">
        <f>Data!J68/Data!$J$3</f>
        <v>0.18047337278106509</v>
      </c>
      <c r="G69" s="11">
        <f>Data!L68/(Data!L68+Data!M68)</f>
        <v>0.46762589928057552</v>
      </c>
    </row>
    <row r="70" spans="1:7" x14ac:dyDescent="0.25">
      <c r="A70" s="3" t="s">
        <v>133</v>
      </c>
      <c r="B70" t="s">
        <v>134</v>
      </c>
      <c r="C70" s="7">
        <f>(4*Data!B69+3*Data!C69+2*Data!D69+1*Data!E69)/(SUM(Data!B69:F69))</f>
        <v>1.5120274914089347</v>
      </c>
      <c r="D70" s="11">
        <f>Data!H69/Data!$J$3</f>
        <v>0.3224852071005917</v>
      </c>
      <c r="E70" s="11">
        <f>Data!I69/Data!$J$3</f>
        <v>0.23964497041420119</v>
      </c>
      <c r="F70" s="11">
        <f>Data!J69/Data!$J$3</f>
        <v>0.26331360946745563</v>
      </c>
      <c r="G70" s="11">
        <f>Data!L69/(Data!L69+Data!M69)</f>
        <v>0.22743682310469315</v>
      </c>
    </row>
    <row r="71" spans="1:7" x14ac:dyDescent="0.25">
      <c r="A71" s="3" t="s">
        <v>135</v>
      </c>
      <c r="B71" t="s">
        <v>136</v>
      </c>
      <c r="C71" s="7">
        <f>(4*Data!B70+3*Data!C70+2*Data!D70+1*Data!E70)/(SUM(Data!B70:F70))</f>
        <v>3.6428571428571428</v>
      </c>
      <c r="D71" s="11">
        <f>Data!H70/Data!$J$3</f>
        <v>0.82544378698224852</v>
      </c>
      <c r="E71" s="11">
        <f>Data!I70/Data!$J$3</f>
        <v>8.8757396449704144E-3</v>
      </c>
      <c r="F71" s="11">
        <f>Data!J70/Data!$J$3</f>
        <v>1.7751479289940829E-2</v>
      </c>
      <c r="G71" s="11">
        <f>Data!L70/(Data!L70+Data!M70)</f>
        <v>0.92170818505338081</v>
      </c>
    </row>
    <row r="72" spans="1:7" x14ac:dyDescent="0.25">
      <c r="A72" s="3" t="s">
        <v>137</v>
      </c>
      <c r="B72" t="s">
        <v>138</v>
      </c>
      <c r="C72" s="7">
        <f>(4*Data!B71+3*Data!C71+2*Data!D71+1*Data!E71)/(SUM(Data!B71:F71))</f>
        <v>3.6564625850340136</v>
      </c>
      <c r="D72" s="11">
        <f>Data!H71/Data!$J$3</f>
        <v>0.83431952662721898</v>
      </c>
      <c r="E72" s="11">
        <f>Data!I71/Data!$J$3</f>
        <v>1.4792899408284023E-2</v>
      </c>
      <c r="F72" s="11">
        <f>Data!J71/Data!$J$3</f>
        <v>8.8757396449704144E-3</v>
      </c>
      <c r="G72" s="11">
        <f>Data!L71/(Data!L71+Data!M71)</f>
        <v>0.92553191489361697</v>
      </c>
    </row>
    <row r="73" spans="1:7" x14ac:dyDescent="0.25">
      <c r="A73" s="3" t="s">
        <v>139</v>
      </c>
      <c r="B73" t="s">
        <v>140</v>
      </c>
      <c r="C73" s="7">
        <f>(4*Data!B72+3*Data!C72+2*Data!D72+1*Data!E72)/(SUM(Data!B72:F72))</f>
        <v>3.7593220338983051</v>
      </c>
      <c r="D73" s="11">
        <f>Data!H72/Data!$J$3</f>
        <v>0.84615384615384615</v>
      </c>
      <c r="E73" s="11">
        <f>Data!I72/Data!$J$3</f>
        <v>8.8757396449704144E-3</v>
      </c>
      <c r="F73" s="11">
        <f>Data!J72/Data!$J$3</f>
        <v>0</v>
      </c>
      <c r="G73" s="11">
        <f>Data!L72/(Data!L72+Data!M72)</f>
        <v>0.91459074733096091</v>
      </c>
    </row>
    <row r="74" spans="1:7" x14ac:dyDescent="0.25">
      <c r="A74" s="3" t="s">
        <v>141</v>
      </c>
      <c r="B74" t="s">
        <v>142</v>
      </c>
      <c r="C74" s="7">
        <f>(4*Data!B73+3*Data!C73+2*Data!D73+1*Data!E73)/(SUM(Data!B73:F73))</f>
        <v>3.5</v>
      </c>
      <c r="D74" s="11">
        <f>Data!H73/Data!$J$3</f>
        <v>0.78106508875739644</v>
      </c>
      <c r="E74" s="11">
        <f>Data!I73/Data!$J$3</f>
        <v>5.3254437869822487E-2</v>
      </c>
      <c r="F74" s="11">
        <f>Data!J73/Data!$J$3</f>
        <v>0</v>
      </c>
      <c r="G74" s="11">
        <f>Data!L73/(Data!L73+Data!M73)</f>
        <v>0.71111111111111114</v>
      </c>
    </row>
    <row r="75" spans="1:7" x14ac:dyDescent="0.25">
      <c r="A75" s="3" t="s">
        <v>143</v>
      </c>
      <c r="B75" t="s">
        <v>144</v>
      </c>
      <c r="C75" s="7">
        <f>(4*Data!B74+3*Data!C74+2*Data!D74+1*Data!E74)/(SUM(Data!B74:F74))</f>
        <v>2.1875</v>
      </c>
      <c r="D75" s="11">
        <f>Data!H74/Data!$J$3</f>
        <v>0.21597633136094674</v>
      </c>
      <c r="E75" s="11">
        <f>Data!I74/Data!$J$3</f>
        <v>0.21597633136094674</v>
      </c>
      <c r="F75" s="11">
        <f>Data!J74/Data!$J$3</f>
        <v>9.4674556213017749E-2</v>
      </c>
      <c r="G75" s="11">
        <f>Data!L74/(Data!L74+Data!M74)</f>
        <v>0.14054054054054055</v>
      </c>
    </row>
    <row r="76" spans="1:7" x14ac:dyDescent="0.25">
      <c r="A76" s="3" t="s">
        <v>145</v>
      </c>
      <c r="B76" t="s">
        <v>146</v>
      </c>
      <c r="C76" s="7">
        <f>(4*Data!B75+3*Data!C75+2*Data!D75+1*Data!E75)/(SUM(Data!B75:F75))</f>
        <v>1.9388888888888889</v>
      </c>
      <c r="D76" s="11">
        <f>Data!H75/Data!$J$3</f>
        <v>0.19526627218934911</v>
      </c>
      <c r="E76" s="11">
        <f>Data!I75/Data!$J$3</f>
        <v>0.1893491124260355</v>
      </c>
      <c r="F76" s="11">
        <f>Data!J75/Data!$J$3</f>
        <v>0.15088757396449703</v>
      </c>
      <c r="G76" s="11">
        <f>Data!L75/(Data!L75+Data!M75)</f>
        <v>0.14207650273224043</v>
      </c>
    </row>
    <row r="77" spans="1:7" x14ac:dyDescent="0.25">
      <c r="A77" s="3" t="s">
        <v>147</v>
      </c>
      <c r="B77" t="s">
        <v>148</v>
      </c>
      <c r="C77" s="7">
        <f>(4*Data!B76+3*Data!C76+2*Data!D76+1*Data!E76)/(SUM(Data!B76:F76))</f>
        <v>2.8687258687258685</v>
      </c>
      <c r="D77" s="11">
        <f>Data!H76/Data!$J$3</f>
        <v>0.52071005917159763</v>
      </c>
      <c r="E77" s="11">
        <f>Data!I76/Data!$J$3</f>
        <v>0.18343195266272189</v>
      </c>
      <c r="F77" s="11">
        <f>Data!J76/Data!$J$3</f>
        <v>3.8461538461538464E-2</v>
      </c>
      <c r="G77" s="11">
        <f>Data!L76/(Data!L76+Data!M76)</f>
        <v>0.51587301587301593</v>
      </c>
    </row>
    <row r="78" spans="1:7" x14ac:dyDescent="0.25">
      <c r="A78" s="3" t="s">
        <v>149</v>
      </c>
      <c r="B78" t="s">
        <v>150</v>
      </c>
      <c r="C78" s="7">
        <f>(4*Data!B77+3*Data!C77+2*Data!D77+1*Data!E77)/(SUM(Data!B77:F77))</f>
        <v>3.3087719298245615</v>
      </c>
      <c r="D78" s="11">
        <f>Data!H77/Data!$J$3</f>
        <v>0.65088757396449703</v>
      </c>
      <c r="E78" s="11">
        <f>Data!I77/Data!$J$3</f>
        <v>0.11834319526627218</v>
      </c>
      <c r="F78" s="11">
        <f>Data!J77/Data!$J$3</f>
        <v>4.142011834319527E-2</v>
      </c>
      <c r="G78" s="11">
        <f>Data!L77/(Data!L77+Data!M77)</f>
        <v>0.78731343283582089</v>
      </c>
    </row>
    <row r="79" spans="1:7" x14ac:dyDescent="0.25">
      <c r="A79" s="3"/>
      <c r="C79" s="7"/>
      <c r="D79" s="11"/>
      <c r="E79" s="11"/>
      <c r="F79" s="11"/>
      <c r="G79" s="11"/>
    </row>
    <row r="80" spans="1:7" ht="13" x14ac:dyDescent="0.3">
      <c r="A80" s="3"/>
      <c r="B80" s="9" t="s">
        <v>151</v>
      </c>
      <c r="C80" s="7"/>
      <c r="D80" s="11"/>
      <c r="E80" s="11"/>
      <c r="F80" s="11"/>
      <c r="G80" s="11"/>
    </row>
    <row r="81" spans="1:7" x14ac:dyDescent="0.25">
      <c r="A81" s="3" t="s">
        <v>152</v>
      </c>
      <c r="B81" t="s">
        <v>153</v>
      </c>
      <c r="C81" s="7">
        <f>(4*Data!B80+3*Data!C80+2*Data!D80+1*Data!E80)/(SUM(Data!B80:F80))</f>
        <v>3.3114186851211072</v>
      </c>
      <c r="D81" s="11">
        <f>Data!H80/Data!$J$3</f>
        <v>0.78106508875739644</v>
      </c>
      <c r="E81" s="11">
        <f>Data!I80/Data!$J$3</f>
        <v>4.7337278106508875E-2</v>
      </c>
      <c r="F81" s="11">
        <f>Data!J80/Data!$J$3</f>
        <v>1.1834319526627219E-2</v>
      </c>
      <c r="G81" s="11">
        <f>Data!L80/(Data!L80+Data!M80)</f>
        <v>0.7321428571428571</v>
      </c>
    </row>
    <row r="82" spans="1:7" x14ac:dyDescent="0.25">
      <c r="A82" s="3" t="s">
        <v>154</v>
      </c>
      <c r="B82" t="s">
        <v>155</v>
      </c>
      <c r="C82" s="7">
        <f>(4*Data!B81+3*Data!C81+2*Data!D81+1*Data!E81)/(SUM(Data!B81:F81))</f>
        <v>3.3923611111111112</v>
      </c>
      <c r="D82" s="11">
        <f>Data!H81/Data!$J$3</f>
        <v>0.78106508875739644</v>
      </c>
      <c r="E82" s="11">
        <f>Data!I81/Data!$J$3</f>
        <v>4.7337278106508875E-2</v>
      </c>
      <c r="F82" s="11">
        <f>Data!J81/Data!$J$3</f>
        <v>8.8757396449704144E-3</v>
      </c>
      <c r="G82" s="11">
        <f>Data!L81/(Data!L81+Data!M81)</f>
        <v>0.76086956521739135</v>
      </c>
    </row>
    <row r="83" spans="1:7" x14ac:dyDescent="0.25">
      <c r="A83" s="3" t="s">
        <v>156</v>
      </c>
      <c r="B83" t="s">
        <v>157</v>
      </c>
      <c r="C83" s="7">
        <f>(4*Data!B82+3*Data!C82+2*Data!D82+1*Data!E82)/(SUM(Data!B82:F82))</f>
        <v>3.3680555555555554</v>
      </c>
      <c r="D83" s="11">
        <f>Data!H82/Data!$J$3</f>
        <v>0.79881656804733725</v>
      </c>
      <c r="E83" s="11">
        <f>Data!I82/Data!$J$3</f>
        <v>2.6627218934911243E-2</v>
      </c>
      <c r="F83" s="11">
        <f>Data!J82/Data!$J$3</f>
        <v>1.4792899408284023E-2</v>
      </c>
      <c r="G83" s="11">
        <f>Data!L82/(Data!L82+Data!M82)</f>
        <v>0.81654676258992809</v>
      </c>
    </row>
    <row r="84" spans="1:7" x14ac:dyDescent="0.25">
      <c r="A84" s="3" t="s">
        <v>158</v>
      </c>
      <c r="B84" t="s">
        <v>159</v>
      </c>
      <c r="C84" s="7">
        <f>(4*Data!B83+3*Data!C83+2*Data!D83+1*Data!E83)/(SUM(Data!B83:F83))</f>
        <v>3.5422535211267605</v>
      </c>
      <c r="D84" s="11">
        <f>Data!H83/Data!$J$3</f>
        <v>0.78402366863905326</v>
      </c>
      <c r="E84" s="11">
        <f>Data!I83/Data!$J$3</f>
        <v>2.3668639053254437E-2</v>
      </c>
      <c r="F84" s="11">
        <f>Data!J83/Data!$J$3</f>
        <v>1.4792899408284023E-2</v>
      </c>
      <c r="G84" s="11">
        <f>Data!L83/(Data!L83+Data!M83)</f>
        <v>0.90942028985507251</v>
      </c>
    </row>
    <row r="85" spans="1:7" x14ac:dyDescent="0.25">
      <c r="A85" s="3" t="s">
        <v>160</v>
      </c>
      <c r="B85" t="s">
        <v>161</v>
      </c>
      <c r="C85" s="7">
        <f>(4*Data!B84+3*Data!C84+2*Data!D84+1*Data!E84)/(SUM(Data!B84:F84))</f>
        <v>3.1188811188811187</v>
      </c>
      <c r="D85" s="11">
        <f>Data!H84/Data!$J$3</f>
        <v>0.73668639053254437</v>
      </c>
      <c r="E85" s="11">
        <f>Data!I84/Data!$J$3</f>
        <v>8.5798816568047331E-2</v>
      </c>
      <c r="F85" s="11">
        <f>Data!J84/Data!$J$3</f>
        <v>1.4792899408284023E-2</v>
      </c>
      <c r="G85" s="11">
        <f>Data!L84/(Data!L84+Data!M84)</f>
        <v>0.65467625899280579</v>
      </c>
    </row>
    <row r="86" spans="1:7" x14ac:dyDescent="0.25">
      <c r="A86" s="3" t="s">
        <v>162</v>
      </c>
      <c r="B86" t="s">
        <v>163</v>
      </c>
      <c r="C86" s="7">
        <f>(4*Data!B85+3*Data!C85+2*Data!D85+1*Data!E85)/(SUM(Data!B85:F85))</f>
        <v>3.5277777777777777</v>
      </c>
      <c r="D86" s="11">
        <f>Data!H85/Data!$J$3</f>
        <v>0.81065088757396453</v>
      </c>
      <c r="E86" s="11">
        <f>Data!I85/Data!$J$3</f>
        <v>1.7751479289940829E-2</v>
      </c>
      <c r="F86" s="11">
        <f>Data!J85/Data!$J$3</f>
        <v>5.9171597633136093E-3</v>
      </c>
      <c r="G86" s="11">
        <f>Data!L85/(Data!L85+Data!M85)</f>
        <v>0.95357142857142863</v>
      </c>
    </row>
    <row r="87" spans="1:7" x14ac:dyDescent="0.25">
      <c r="A87" s="3" t="s">
        <v>164</v>
      </c>
      <c r="B87" t="s">
        <v>165</v>
      </c>
      <c r="C87" s="7">
        <f>(4*Data!B86+3*Data!C86+2*Data!D86+1*Data!E86)/(SUM(Data!B86:F86))</f>
        <v>3.494773519163763</v>
      </c>
      <c r="D87" s="11">
        <f>Data!H86/Data!$J$3</f>
        <v>0.81656804733727806</v>
      </c>
      <c r="E87" s="11">
        <f>Data!I86/Data!$J$3</f>
        <v>1.1834319526627219E-2</v>
      </c>
      <c r="F87" s="11">
        <f>Data!J86/Data!$J$3</f>
        <v>5.9171597633136093E-3</v>
      </c>
      <c r="G87" s="11">
        <f>Data!L86/(Data!L86+Data!M86)</f>
        <v>0.79569892473118276</v>
      </c>
    </row>
    <row r="88" spans="1:7" x14ac:dyDescent="0.25">
      <c r="A88" s="3" t="s">
        <v>166</v>
      </c>
      <c r="B88" t="s">
        <v>167</v>
      </c>
      <c r="C88" s="7">
        <f>(4*Data!B87+3*Data!C87+2*Data!D87+1*Data!E87)/(SUM(Data!B87:F87))</f>
        <v>3.0875576036866361</v>
      </c>
      <c r="D88" s="11">
        <f>Data!H87/Data!$J$3</f>
        <v>0.55325443786982254</v>
      </c>
      <c r="E88" s="11">
        <f>Data!I87/Data!$J$3</f>
        <v>6.2130177514792898E-2</v>
      </c>
      <c r="F88" s="11">
        <f>Data!J87/Data!$J$3</f>
        <v>2.3668639053254437E-2</v>
      </c>
      <c r="G88" s="11">
        <f>Data!L87/(Data!L87+Data!M87)</f>
        <v>0.44954128440366975</v>
      </c>
    </row>
    <row r="89" spans="1:7" x14ac:dyDescent="0.25">
      <c r="A89" s="3" t="s">
        <v>168</v>
      </c>
      <c r="B89" t="s">
        <v>169</v>
      </c>
      <c r="C89" s="7">
        <f>(4*Data!B88+3*Data!C88+2*Data!D88+1*Data!E88)/(SUM(Data!B88:F88))</f>
        <v>3.3472222222222223</v>
      </c>
      <c r="D89" s="11">
        <f>Data!H88/Data!$J$3</f>
        <v>0.72189349112426038</v>
      </c>
      <c r="E89" s="11">
        <f>Data!I88/Data!$J$3</f>
        <v>9.7633136094674555E-2</v>
      </c>
      <c r="F89" s="11">
        <f>Data!J88/Data!$J$3</f>
        <v>1.1834319526627219E-2</v>
      </c>
      <c r="G89" s="11">
        <f>Data!L88/(Data!L88+Data!M88)</f>
        <v>0.6964285714285714</v>
      </c>
    </row>
    <row r="90" spans="1:7" x14ac:dyDescent="0.25">
      <c r="A90" s="3" t="s">
        <v>170</v>
      </c>
      <c r="B90" t="s">
        <v>171</v>
      </c>
      <c r="C90" s="7">
        <f>(4*Data!B89+3*Data!C89+2*Data!D89+1*Data!E89)/(SUM(Data!B89:F89))</f>
        <v>2.8701754385964913</v>
      </c>
      <c r="D90" s="11">
        <f>Data!H89/Data!$J$3</f>
        <v>0.68934911242603547</v>
      </c>
      <c r="E90" s="11">
        <f>Data!I89/Data!$J$3</f>
        <v>6.5088757396449703E-2</v>
      </c>
      <c r="F90" s="11">
        <f>Data!J89/Data!$J$3</f>
        <v>7.3964497041420121E-2</v>
      </c>
      <c r="G90" s="11">
        <f>Data!L89/(Data!L89+Data!M89)</f>
        <v>0.54151624548736466</v>
      </c>
    </row>
    <row r="91" spans="1:7" x14ac:dyDescent="0.25">
      <c r="A91" s="3" t="s">
        <v>172</v>
      </c>
      <c r="B91" t="s">
        <v>173</v>
      </c>
      <c r="C91" s="7">
        <f>(4*Data!B90+3*Data!C90+2*Data!D90+1*Data!E90)/(SUM(Data!B90:F90))</f>
        <v>2.8701754385964913</v>
      </c>
      <c r="D91" s="11">
        <f>Data!H90/Data!$J$3</f>
        <v>0.68934911242603547</v>
      </c>
      <c r="E91" s="11">
        <f>Data!I90/Data!$J$3</f>
        <v>6.5088757396449703E-2</v>
      </c>
      <c r="F91" s="11">
        <f>Data!J90/Data!$J$3</f>
        <v>7.3964497041420121E-2</v>
      </c>
      <c r="G91" s="11">
        <f>Data!L90/(Data!L90+Data!M90)</f>
        <v>0.54151624548736466</v>
      </c>
    </row>
    <row r="92" spans="1:7" x14ac:dyDescent="0.25">
      <c r="A92" s="3"/>
      <c r="C92" s="7"/>
      <c r="D92" s="11"/>
      <c r="E92" s="11"/>
      <c r="F92" s="11"/>
      <c r="G92" s="11"/>
    </row>
    <row r="93" spans="1:7" ht="13" x14ac:dyDescent="0.3">
      <c r="A93" s="3"/>
      <c r="B93" s="9" t="s">
        <v>174</v>
      </c>
      <c r="C93" s="7"/>
      <c r="D93" s="11"/>
      <c r="E93" s="11"/>
      <c r="F93" s="11"/>
      <c r="G93" s="11"/>
    </row>
    <row r="94" spans="1:7" x14ac:dyDescent="0.25">
      <c r="A94" s="3" t="s">
        <v>175</v>
      </c>
      <c r="B94" t="s">
        <v>176</v>
      </c>
      <c r="C94" s="7">
        <f>(4*Data!B93+3*Data!C93+2*Data!D93+1*Data!E93)/(SUM(Data!B93:F93))</f>
        <v>3.6575342465753424</v>
      </c>
      <c r="D94" s="11">
        <f>Data!H93/Data!$J$3</f>
        <v>0.81360946745562135</v>
      </c>
      <c r="E94" s="11">
        <f>Data!I93/Data!$J$3</f>
        <v>1.1834319526627219E-2</v>
      </c>
      <c r="F94" s="11">
        <f>Data!J93/Data!$J$3</f>
        <v>2.6627218934911243E-2</v>
      </c>
      <c r="G94" s="11">
        <f>Data!L93/(Data!L93+Data!M93)</f>
        <v>0.98936170212765961</v>
      </c>
    </row>
    <row r="95" spans="1:7" x14ac:dyDescent="0.25">
      <c r="A95" s="3" t="s">
        <v>177</v>
      </c>
      <c r="B95" t="s">
        <v>178</v>
      </c>
      <c r="C95" s="7">
        <f>(4*Data!B94+3*Data!C94+2*Data!D94+1*Data!E94)/(SUM(Data!B94:F94))</f>
        <v>3.6095890410958904</v>
      </c>
      <c r="D95" s="11">
        <f>Data!H94/Data!$J$3</f>
        <v>0.78106508875739644</v>
      </c>
      <c r="E95" s="11">
        <f>Data!I94/Data!$J$3</f>
        <v>1.7751479289940829E-2</v>
      </c>
      <c r="F95" s="11">
        <f>Data!J94/Data!$J$3</f>
        <v>5.0295857988165681E-2</v>
      </c>
      <c r="G95" s="11">
        <f>Data!L94/(Data!L94+Data!M94)</f>
        <v>0.98566308243727596</v>
      </c>
    </row>
    <row r="96" spans="1:7" x14ac:dyDescent="0.25">
      <c r="A96" s="3" t="s">
        <v>179</v>
      </c>
      <c r="B96" s="5" t="s">
        <v>180</v>
      </c>
      <c r="C96" s="7">
        <f>(4*Data!B95+3*Data!C95+2*Data!D95+1*Data!E95)/(SUM(Data!B95:F95))</f>
        <v>3.0862068965517242</v>
      </c>
      <c r="D96" s="11">
        <f>Data!H95/Data!$J$3</f>
        <v>0.68639053254437865</v>
      </c>
      <c r="E96" s="11">
        <f>Data!I95/Data!$J$3</f>
        <v>8.8757396449704137E-2</v>
      </c>
      <c r="F96" s="11">
        <f>Data!J95/Data!$J$3</f>
        <v>7.6923076923076927E-2</v>
      </c>
      <c r="G96" s="11">
        <f>Data!L95/(Data!L95+Data!M95)</f>
        <v>0.87588652482269502</v>
      </c>
    </row>
    <row r="97" spans="1:7" x14ac:dyDescent="0.25">
      <c r="A97" s="3" t="s">
        <v>181</v>
      </c>
      <c r="B97" t="s">
        <v>182</v>
      </c>
      <c r="C97" s="7">
        <f>(4*Data!B96+3*Data!C96+2*Data!D96+1*Data!E96)/(SUM(Data!B96:F96))</f>
        <v>3.9310344827586206</v>
      </c>
      <c r="D97" s="11">
        <f>Data!H96/Data!$J$3</f>
        <v>0.84615384615384615</v>
      </c>
      <c r="E97" s="11">
        <f>Data!I96/Data!$J$3</f>
        <v>2.9585798816568047E-3</v>
      </c>
      <c r="F97" s="11">
        <f>Data!J96/Data!$J$3</f>
        <v>0</v>
      </c>
      <c r="G97" s="11">
        <f>Data!L96/(Data!L96+Data!M96)</f>
        <v>0.99293286219081267</v>
      </c>
    </row>
    <row r="98" spans="1:7" x14ac:dyDescent="0.25">
      <c r="A98" s="3" t="s">
        <v>183</v>
      </c>
      <c r="B98" t="s">
        <v>184</v>
      </c>
      <c r="C98" s="7">
        <f>(4*Data!B97+3*Data!C97+2*Data!D97+1*Data!E97)/(SUM(Data!B97:F97))</f>
        <v>3.9385665529010239</v>
      </c>
      <c r="D98" s="11">
        <f>Data!H97/Data!$J$3</f>
        <v>0.84911242603550297</v>
      </c>
      <c r="E98" s="11">
        <f>Data!I97/Data!$J$3</f>
        <v>8.8757396449704144E-3</v>
      </c>
      <c r="F98" s="11">
        <f>Data!J97/Data!$J$3</f>
        <v>0</v>
      </c>
      <c r="G98" s="11">
        <f>Data!L97/(Data!L97+Data!M97)</f>
        <v>0.98939929328621912</v>
      </c>
    </row>
    <row r="99" spans="1:7" x14ac:dyDescent="0.25">
      <c r="A99" s="3" t="s">
        <v>185</v>
      </c>
      <c r="B99" s="5" t="s">
        <v>186</v>
      </c>
      <c r="C99" s="7">
        <f>(4*Data!B98+3*Data!C98+2*Data!D98+1*Data!E98)/(SUM(Data!B98:F98))</f>
        <v>3.9522184300341299</v>
      </c>
      <c r="D99" s="11">
        <f>Data!H98/Data!$J$3</f>
        <v>0.85207100591715978</v>
      </c>
      <c r="E99" s="11">
        <f>Data!I98/Data!$J$3</f>
        <v>5.9171597633136093E-3</v>
      </c>
      <c r="F99" s="11">
        <f>Data!J98/Data!$J$3</f>
        <v>0</v>
      </c>
      <c r="G99" s="11">
        <f>Data!L98/(Data!L98+Data!M98)</f>
        <v>0.99644128113879005</v>
      </c>
    </row>
    <row r="100" spans="1:7" x14ac:dyDescent="0.25">
      <c r="A100" s="3" t="s">
        <v>187</v>
      </c>
      <c r="B100" t="s">
        <v>188</v>
      </c>
      <c r="C100" s="7">
        <f>(4*Data!B99+3*Data!C99+2*Data!D99+1*Data!E99)/(SUM(Data!B99:F99))</f>
        <v>3.8219178082191783</v>
      </c>
      <c r="D100" s="11">
        <f>Data!H99/Data!$J$3</f>
        <v>0.83431952662721898</v>
      </c>
      <c r="E100" s="11">
        <f>Data!I99/Data!$J$3</f>
        <v>2.0710059171597635E-2</v>
      </c>
      <c r="F100" s="11">
        <f>Data!J99/Data!$J$3</f>
        <v>2.9585798816568047E-3</v>
      </c>
      <c r="G100" s="11">
        <f>Data!L99/(Data!L99+Data!M99)</f>
        <v>0.98939929328621912</v>
      </c>
    </row>
    <row r="101" spans="1:7" x14ac:dyDescent="0.25">
      <c r="A101" s="3" t="s">
        <v>189</v>
      </c>
      <c r="B101" t="s">
        <v>190</v>
      </c>
      <c r="C101" s="7">
        <f>(4*Data!B100+3*Data!C100+2*Data!D100+1*Data!E100)/(SUM(Data!B100:F100))</f>
        <v>3.7671232876712328</v>
      </c>
      <c r="D101" s="11">
        <f>Data!H100/Data!$J$3</f>
        <v>0.83727810650887569</v>
      </c>
      <c r="E101" s="11">
        <f>Data!I100/Data!$J$3</f>
        <v>1.4792899408284023E-2</v>
      </c>
      <c r="F101" s="11">
        <f>Data!J100/Data!$J$3</f>
        <v>5.9171597633136093E-3</v>
      </c>
      <c r="G101" s="11">
        <f>Data!L100/(Data!L100+Data!M100)</f>
        <v>0.93617021276595747</v>
      </c>
    </row>
    <row r="102" spans="1:7" x14ac:dyDescent="0.25">
      <c r="A102" s="3" t="s">
        <v>191</v>
      </c>
      <c r="B102" t="s">
        <v>192</v>
      </c>
      <c r="C102" s="7">
        <f>(4*Data!B101+3*Data!C101+2*Data!D101+1*Data!E101)/(SUM(Data!B101:F101))</f>
        <v>3.8253424657534247</v>
      </c>
      <c r="D102" s="11">
        <f>Data!H101/Data!$J$3</f>
        <v>0.84023668639053251</v>
      </c>
      <c r="E102" s="11">
        <f>Data!I101/Data!$J$3</f>
        <v>8.8757396449704144E-3</v>
      </c>
      <c r="F102" s="11">
        <f>Data!J101/Data!$J$3</f>
        <v>8.8757396449704144E-3</v>
      </c>
      <c r="G102" s="11">
        <f>Data!L101/(Data!L101+Data!M101)</f>
        <v>0.97163120567375882</v>
      </c>
    </row>
    <row r="103" spans="1:7" x14ac:dyDescent="0.25">
      <c r="A103" s="3" t="s">
        <v>193</v>
      </c>
      <c r="B103" t="s">
        <v>194</v>
      </c>
      <c r="C103" s="7">
        <f>(4*Data!B102+3*Data!C102+2*Data!D102+1*Data!E102)/(SUM(Data!B102:F102))</f>
        <v>3.6952054794520546</v>
      </c>
      <c r="D103" s="11">
        <f>Data!H102/Data!$J$3</f>
        <v>0.82544378698224852</v>
      </c>
      <c r="E103" s="11">
        <f>Data!I102/Data!$J$3</f>
        <v>1.4792899408284023E-2</v>
      </c>
      <c r="F103" s="11">
        <f>Data!J102/Data!$J$3</f>
        <v>1.7751479289940829E-2</v>
      </c>
      <c r="G103" s="11">
        <f>Data!L102/(Data!L102+Data!M102)</f>
        <v>0.97879858657243812</v>
      </c>
    </row>
    <row r="104" spans="1:7" x14ac:dyDescent="0.25">
      <c r="A104" s="3" t="s">
        <v>195</v>
      </c>
      <c r="B104" s="5" t="s">
        <v>196</v>
      </c>
      <c r="C104" s="7">
        <f>(4*Data!B103+3*Data!C103+2*Data!D103+1*Data!E103)/(SUM(Data!B103:F103))</f>
        <v>3.8482758620689657</v>
      </c>
      <c r="D104" s="11">
        <f>Data!H103/Data!$J$3</f>
        <v>0.84911242603550297</v>
      </c>
      <c r="E104" s="11">
        <f>Data!I103/Data!$J$3</f>
        <v>5.9171597633136093E-3</v>
      </c>
      <c r="F104" s="11">
        <f>Data!J103/Data!$J$3</f>
        <v>0</v>
      </c>
      <c r="G104" s="11">
        <f>Data!L103/(Data!L103+Data!M103)</f>
        <v>0.97517730496453903</v>
      </c>
    </row>
    <row r="105" spans="1:7" x14ac:dyDescent="0.25">
      <c r="A105" s="3" t="s">
        <v>197</v>
      </c>
      <c r="B105" t="s">
        <v>198</v>
      </c>
      <c r="C105" s="7">
        <f>(4*Data!B104+3*Data!C104+2*Data!D104+1*Data!E104)/(SUM(Data!B104:F104))</f>
        <v>3.3195876288659796</v>
      </c>
      <c r="D105" s="11">
        <f>Data!H104/Data!$J$3</f>
        <v>0.72189349112426038</v>
      </c>
      <c r="E105" s="11">
        <f>Data!I104/Data!$J$3</f>
        <v>0.10946745562130178</v>
      </c>
      <c r="F105" s="11">
        <f>Data!J104/Data!$J$3</f>
        <v>1.7751479289940829E-2</v>
      </c>
      <c r="G105" s="11">
        <f>Data!L104/(Data!L104+Data!M104)</f>
        <v>0.82078853046594979</v>
      </c>
    </row>
    <row r="106" spans="1:7" x14ac:dyDescent="0.25">
      <c r="A106" s="3" t="s">
        <v>199</v>
      </c>
      <c r="B106" s="5" t="s">
        <v>200</v>
      </c>
      <c r="C106" s="7">
        <f>(4*Data!B105+3*Data!C105+2*Data!D105+1*Data!E105)/(SUM(Data!B105:F105))</f>
        <v>3.806896551724138</v>
      </c>
      <c r="D106" s="11">
        <f>Data!H105/Data!$J$3</f>
        <v>0.83431952662721898</v>
      </c>
      <c r="E106" s="11">
        <f>Data!I105/Data!$J$3</f>
        <v>5.9171597633136093E-3</v>
      </c>
      <c r="F106" s="11">
        <f>Data!J105/Data!$J$3</f>
        <v>2.9585798816568047E-3</v>
      </c>
      <c r="G106" s="11">
        <f>Data!L105/(Data!L105+Data!M105)</f>
        <v>0.96071428571428574</v>
      </c>
    </row>
    <row r="107" spans="1:7" x14ac:dyDescent="0.25">
      <c r="A107" s="3" t="s">
        <v>201</v>
      </c>
      <c r="B107" t="s">
        <v>202</v>
      </c>
      <c r="C107" s="7">
        <f>(4*Data!B106+3*Data!C106+2*Data!D106+1*Data!E106)/(SUM(Data!B106:F106))</f>
        <v>3.9349315068493151</v>
      </c>
      <c r="D107" s="11">
        <f>Data!H106/Data!$J$3</f>
        <v>0.83431952662721898</v>
      </c>
      <c r="E107" s="11">
        <f>Data!I106/Data!$J$3</f>
        <v>5.9171597633136093E-3</v>
      </c>
      <c r="F107" s="11">
        <f>Data!J106/Data!$J$3</f>
        <v>5.9171597633136093E-3</v>
      </c>
      <c r="G107" s="11">
        <f>Data!L106/(Data!L106+Data!M106)</f>
        <v>0.9928057553956835</v>
      </c>
    </row>
    <row r="108" spans="1:7" x14ac:dyDescent="0.25">
      <c r="A108" s="3" t="s">
        <v>203</v>
      </c>
      <c r="B108" t="s">
        <v>204</v>
      </c>
      <c r="C108" s="7">
        <f>(4*Data!B107+3*Data!C107+2*Data!D107+1*Data!E107)/(SUM(Data!B107:F107))</f>
        <v>3.9169550173010381</v>
      </c>
      <c r="D108" s="11">
        <f>Data!H107/Data!$J$3</f>
        <v>0.83136094674556216</v>
      </c>
      <c r="E108" s="11">
        <f>Data!I107/Data!$J$3</f>
        <v>8.8757396449704144E-3</v>
      </c>
      <c r="F108" s="11">
        <f>Data!J107/Data!$J$3</f>
        <v>5.9171597633136093E-3</v>
      </c>
      <c r="G108" s="11">
        <f>Data!L107/(Data!L107+Data!M107)</f>
        <v>0.99640287769784175</v>
      </c>
    </row>
    <row r="109" spans="1:7" x14ac:dyDescent="0.25">
      <c r="A109" s="3" t="s">
        <v>205</v>
      </c>
      <c r="B109" t="s">
        <v>206</v>
      </c>
      <c r="C109" s="7">
        <f>(4*Data!B108+3*Data!C108+2*Data!D108+1*Data!E108)/(SUM(Data!B108:F108))</f>
        <v>3.7448275862068967</v>
      </c>
      <c r="D109" s="11">
        <f>Data!H108/Data!$J$3</f>
        <v>0.82544378698224852</v>
      </c>
      <c r="E109" s="11">
        <f>Data!I108/Data!$J$3</f>
        <v>2.3668639053254437E-2</v>
      </c>
      <c r="F109" s="11">
        <f>Data!J108/Data!$J$3</f>
        <v>0</v>
      </c>
      <c r="G109" s="11">
        <f>Data!L108/(Data!L108+Data!M108)</f>
        <v>0.89928057553956831</v>
      </c>
    </row>
    <row r="110" spans="1:7" x14ac:dyDescent="0.25">
      <c r="A110" s="3" t="s">
        <v>207</v>
      </c>
      <c r="B110" t="s">
        <v>208</v>
      </c>
      <c r="C110" s="7">
        <f>(4*Data!B109+3*Data!C109+2*Data!D109+1*Data!E109)/(SUM(Data!B109:F109))</f>
        <v>3.5498281786941579</v>
      </c>
      <c r="D110" s="11">
        <f>Data!H109/Data!$J$3</f>
        <v>0.7899408284023669</v>
      </c>
      <c r="E110" s="11">
        <f>Data!I109/Data!$J$3</f>
        <v>5.0295857988165681E-2</v>
      </c>
      <c r="F110" s="11">
        <f>Data!J109/Data!$J$3</f>
        <v>1.1834319526627219E-2</v>
      </c>
      <c r="G110" s="11">
        <f>Data!L109/(Data!L109+Data!M109)</f>
        <v>0.92114695340501795</v>
      </c>
    </row>
    <row r="111" spans="1:7" x14ac:dyDescent="0.25">
      <c r="A111" s="3" t="s">
        <v>209</v>
      </c>
      <c r="B111" t="s">
        <v>210</v>
      </c>
      <c r="C111" s="7">
        <f>(4*Data!B110+3*Data!C110+2*Data!D110+1*Data!E110)/(SUM(Data!B110:F110))</f>
        <v>3.6666666666666665</v>
      </c>
      <c r="D111" s="11">
        <f>Data!H110/Data!$J$3</f>
        <v>0.83431952662721898</v>
      </c>
      <c r="E111" s="11">
        <f>Data!I110/Data!$J$3</f>
        <v>1.1834319526627219E-2</v>
      </c>
      <c r="F111" s="11">
        <f>Data!J110/Data!$J$3</f>
        <v>2.9585798816568047E-3</v>
      </c>
      <c r="G111" s="11">
        <f>Data!L110/(Data!L110+Data!M110)</f>
        <v>0.87769784172661869</v>
      </c>
    </row>
    <row r="112" spans="1:7" x14ac:dyDescent="0.25">
      <c r="A112" s="3" t="s">
        <v>211</v>
      </c>
      <c r="B112" t="s">
        <v>212</v>
      </c>
      <c r="C112" s="7">
        <f>(4*Data!B111+3*Data!C111+2*Data!D111+1*Data!E111)/(SUM(Data!B111:F111))</f>
        <v>3.1958041958041958</v>
      </c>
      <c r="D112" s="11">
        <f>Data!H111/Data!$J$3</f>
        <v>0.65976331360946749</v>
      </c>
      <c r="E112" s="11">
        <f>Data!I111/Data!$J$3</f>
        <v>0.13313609467455623</v>
      </c>
      <c r="F112" s="11">
        <f>Data!J111/Data!$J$3</f>
        <v>4.4378698224852069E-2</v>
      </c>
      <c r="G112" s="11">
        <f>Data!L111/(Data!L111+Data!M111)</f>
        <v>0.74087591240875916</v>
      </c>
    </row>
    <row r="113" spans="1:7" x14ac:dyDescent="0.25">
      <c r="A113" s="3"/>
      <c r="C113" s="7"/>
      <c r="D113" s="11"/>
      <c r="E113" s="11"/>
      <c r="F113" s="11"/>
      <c r="G113" s="11"/>
    </row>
    <row r="114" spans="1:7" ht="13" x14ac:dyDescent="0.3">
      <c r="A114" s="3"/>
      <c r="B114" s="10" t="s">
        <v>213</v>
      </c>
      <c r="C114" s="7"/>
      <c r="D114" s="11"/>
      <c r="E114" s="11"/>
      <c r="F114" s="11"/>
      <c r="G114" s="11"/>
    </row>
    <row r="115" spans="1:7" x14ac:dyDescent="0.25">
      <c r="A115" s="3" t="s">
        <v>214</v>
      </c>
      <c r="B115" t="s">
        <v>215</v>
      </c>
      <c r="C115" s="7">
        <f>(4*Data!B114+3*Data!C114+2*Data!D114+1*Data!E114)/(SUM(Data!B114:F114))</f>
        <v>3.9310344827586206</v>
      </c>
      <c r="D115" s="11">
        <f>Data!H114/Data!$J$3</f>
        <v>0.84023668639053251</v>
      </c>
      <c r="E115" s="11">
        <f>Data!I114/Data!$J$3</f>
        <v>2.9585798816568047E-3</v>
      </c>
      <c r="F115" s="11">
        <f>Data!J114/Data!$J$3</f>
        <v>2.9585798816568047E-3</v>
      </c>
      <c r="G115" s="11">
        <f>Data!L114/(Data!L114+Data!M114)</f>
        <v>0.98220640569395012</v>
      </c>
    </row>
    <row r="116" spans="1:7" x14ac:dyDescent="0.25">
      <c r="A116" s="3" t="s">
        <v>216</v>
      </c>
      <c r="B116" t="s">
        <v>217</v>
      </c>
      <c r="C116" s="7">
        <f>(4*Data!B115+3*Data!C115+2*Data!D115+1*Data!E115)/(SUM(Data!B115:F115))</f>
        <v>3.965156794425087</v>
      </c>
      <c r="D116" s="11">
        <f>Data!H115/Data!$J$3</f>
        <v>0.84319526627218933</v>
      </c>
      <c r="E116" s="11">
        <f>Data!I115/Data!$J$3</f>
        <v>2.9585798816568047E-3</v>
      </c>
      <c r="F116" s="11">
        <f>Data!J115/Data!$J$3</f>
        <v>0</v>
      </c>
      <c r="G116" s="11">
        <f>Data!L115/(Data!L115+Data!M115)</f>
        <v>0.97857142857142854</v>
      </c>
    </row>
    <row r="117" spans="1:7" x14ac:dyDescent="0.25">
      <c r="A117" s="3" t="s">
        <v>218</v>
      </c>
      <c r="B117" t="s">
        <v>219</v>
      </c>
      <c r="C117" s="7">
        <f>(4*Data!B116+3*Data!C116+2*Data!D116+1*Data!E116)/(SUM(Data!B116:F116))</f>
        <v>3.8013937282229966</v>
      </c>
      <c r="D117" s="11">
        <f>Data!H116/Data!$J$3</f>
        <v>0.84023668639053251</v>
      </c>
      <c r="E117" s="11">
        <f>Data!I116/Data!$J$3</f>
        <v>5.9171597633136093E-3</v>
      </c>
      <c r="F117" s="11">
        <f>Data!J116/Data!$J$3</f>
        <v>2.9585798816568047E-3</v>
      </c>
      <c r="G117" s="11">
        <f>Data!L116/(Data!L116+Data!M116)</f>
        <v>0.9</v>
      </c>
    </row>
    <row r="118" spans="1:7" x14ac:dyDescent="0.25">
      <c r="A118" s="3" t="s">
        <v>220</v>
      </c>
      <c r="B118" t="s">
        <v>221</v>
      </c>
      <c r="C118" s="7">
        <f>(4*Data!B117+3*Data!C117+2*Data!D117+1*Data!E117)/(SUM(Data!B117:F117))</f>
        <v>3.6413793103448278</v>
      </c>
      <c r="D118" s="11">
        <f>Data!H117/Data!$J$3</f>
        <v>0.74556213017751483</v>
      </c>
      <c r="E118" s="11">
        <f>Data!I117/Data!$J$3</f>
        <v>7.3964497041420121E-2</v>
      </c>
      <c r="F118" s="11">
        <f>Data!J117/Data!$J$3</f>
        <v>2.9585798816568046E-2</v>
      </c>
      <c r="G118" s="11">
        <f>Data!L117/(Data!L117+Data!M117)</f>
        <v>0.9537366548042705</v>
      </c>
    </row>
    <row r="119" spans="1:7" x14ac:dyDescent="0.25">
      <c r="A119" s="3" t="s">
        <v>222</v>
      </c>
      <c r="B119" t="s">
        <v>223</v>
      </c>
      <c r="C119" s="7">
        <f>(4*Data!B118+3*Data!C118+2*Data!D118+1*Data!E118)/(SUM(Data!B118:F118))</f>
        <v>3.7474048442906573</v>
      </c>
      <c r="D119" s="11">
        <f>Data!H118/Data!$J$3</f>
        <v>0.83136094674556216</v>
      </c>
      <c r="E119" s="11">
        <f>Data!I118/Data!$J$3</f>
        <v>1.7751479289940829E-2</v>
      </c>
      <c r="F119" s="11">
        <f>Data!J118/Data!$J$3</f>
        <v>2.9585798816568047E-3</v>
      </c>
      <c r="G119" s="11">
        <f>Data!L118/(Data!L118+Data!M118)</f>
        <v>0.8571428571428571</v>
      </c>
    </row>
    <row r="120" spans="1:7" x14ac:dyDescent="0.25">
      <c r="A120" s="3" t="s">
        <v>224</v>
      </c>
      <c r="B120" t="s">
        <v>225</v>
      </c>
      <c r="C120" s="7">
        <f>(4*Data!B119+3*Data!C119+2*Data!D119+1*Data!E119)/(SUM(Data!B119:F119))</f>
        <v>3.7777777777777777</v>
      </c>
      <c r="D120" s="11">
        <f>Data!H119/Data!$J$3</f>
        <v>0.82840236686390534</v>
      </c>
      <c r="E120" s="11">
        <f>Data!I119/Data!$J$3</f>
        <v>1.4792899408284023E-2</v>
      </c>
      <c r="F120" s="11">
        <f>Data!J119/Data!$J$3</f>
        <v>0</v>
      </c>
      <c r="G120" s="11">
        <f>Data!L119/(Data!L119+Data!M119)</f>
        <v>0.9107142857142857</v>
      </c>
    </row>
    <row r="121" spans="1:7" x14ac:dyDescent="0.25">
      <c r="A121" s="3" t="s">
        <v>226</v>
      </c>
      <c r="B121" t="s">
        <v>227</v>
      </c>
      <c r="C121" s="7">
        <f>(4*Data!B120+3*Data!C120+2*Data!D120+1*Data!E120)/(SUM(Data!B120:F120))</f>
        <v>3.613793103448276</v>
      </c>
      <c r="D121" s="11">
        <f>Data!H120/Data!$J$3</f>
        <v>0.73668639053254437</v>
      </c>
      <c r="E121" s="11">
        <f>Data!I120/Data!$J$3</f>
        <v>0.10059171597633136</v>
      </c>
      <c r="F121" s="11">
        <f>Data!J120/Data!$J$3</f>
        <v>5.9171597633136093E-3</v>
      </c>
      <c r="G121" s="11">
        <f>Data!L120/(Data!L120+Data!M120)</f>
        <v>0.86524822695035464</v>
      </c>
    </row>
    <row r="122" spans="1:7" x14ac:dyDescent="0.25">
      <c r="A122" s="3" t="s">
        <v>228</v>
      </c>
      <c r="B122" t="s">
        <v>229</v>
      </c>
      <c r="C122" s="7">
        <f>(4*Data!B121+3*Data!C121+2*Data!D121+1*Data!E121)/(SUM(Data!B121:F121))</f>
        <v>3.6413793103448278</v>
      </c>
      <c r="D122" s="11">
        <f>Data!H121/Data!$J$3</f>
        <v>0.79585798816568043</v>
      </c>
      <c r="E122" s="11">
        <f>Data!I121/Data!$J$3</f>
        <v>5.3254437869822487E-2</v>
      </c>
      <c r="F122" s="11">
        <f>Data!J121/Data!$J$3</f>
        <v>0</v>
      </c>
      <c r="G122" s="11">
        <f>Data!L121/(Data!L121+Data!M121)</f>
        <v>0.73665480427046259</v>
      </c>
    </row>
    <row r="123" spans="1:7" x14ac:dyDescent="0.25">
      <c r="A123" s="3" t="s">
        <v>230</v>
      </c>
      <c r="B123" s="5" t="s">
        <v>231</v>
      </c>
      <c r="C123" s="7">
        <f>(4*Data!B122+3*Data!C122+2*Data!D122+1*Data!E122)/(SUM(Data!B122:F122))</f>
        <v>3.2867132867132867</v>
      </c>
      <c r="D123" s="11">
        <f>Data!H122/Data!$J$3</f>
        <v>0.68047337278106512</v>
      </c>
      <c r="E123" s="11">
        <f>Data!I122/Data!$J$3</f>
        <v>0.14792899408284024</v>
      </c>
      <c r="F123" s="11">
        <f>Data!J122/Data!$J$3</f>
        <v>0</v>
      </c>
      <c r="G123" s="11">
        <f>Data!L122/(Data!L122+Data!M122)</f>
        <v>0.58844765342960292</v>
      </c>
    </row>
    <row r="124" spans="1:7" x14ac:dyDescent="0.25">
      <c r="A124" s="3" t="s">
        <v>232</v>
      </c>
      <c r="B124" t="s">
        <v>233</v>
      </c>
      <c r="C124" s="7">
        <f>(4*Data!B123+3*Data!C123+2*Data!D123+1*Data!E123)/(SUM(Data!B123:F123))</f>
        <v>3.6035087719298247</v>
      </c>
      <c r="D124" s="11">
        <f>Data!H123/Data!$J$3</f>
        <v>0.77218934911242598</v>
      </c>
      <c r="E124" s="11">
        <f>Data!I123/Data!$J$3</f>
        <v>5.0295857988165681E-2</v>
      </c>
      <c r="F124" s="11">
        <f>Data!J123/Data!$J$3</f>
        <v>8.8757396449704144E-3</v>
      </c>
      <c r="G124" s="11">
        <f>Data!L123/(Data!L123+Data!M123)</f>
        <v>0.79136690647482011</v>
      </c>
    </row>
    <row r="125" spans="1:7" x14ac:dyDescent="0.25">
      <c r="A125" s="3" t="s">
        <v>234</v>
      </c>
      <c r="B125" t="s">
        <v>235</v>
      </c>
      <c r="C125" s="7">
        <f>(4*Data!B124+3*Data!C124+2*Data!D124+1*Data!E124)/(SUM(Data!B124:F124))</f>
        <v>3.6505190311418687</v>
      </c>
      <c r="D125" s="11">
        <f>Data!H124/Data!$J$3</f>
        <v>0.81065088757396453</v>
      </c>
      <c r="E125" s="11">
        <f>Data!I124/Data!$J$3</f>
        <v>2.6627218934911243E-2</v>
      </c>
      <c r="F125" s="11">
        <f>Data!J124/Data!$J$3</f>
        <v>8.8757396449704144E-3</v>
      </c>
      <c r="G125" s="11">
        <f>Data!L124/(Data!L124+Data!M124)</f>
        <v>0.86120996441281139</v>
      </c>
    </row>
    <row r="126" spans="1:7" x14ac:dyDescent="0.25">
      <c r="A126" s="3" t="s">
        <v>236</v>
      </c>
      <c r="B126" t="s">
        <v>237</v>
      </c>
      <c r="C126" s="7">
        <f>(4*Data!B125+3*Data!C125+2*Data!D125+1*Data!E125)/(SUM(Data!B125:F125))</f>
        <v>3.7716262975778547</v>
      </c>
      <c r="D126" s="11">
        <f>Data!H125/Data!$J$3</f>
        <v>0.81360946745562135</v>
      </c>
      <c r="E126" s="11">
        <f>Data!I125/Data!$J$3</f>
        <v>1.4792899408284023E-2</v>
      </c>
      <c r="F126" s="11">
        <f>Data!J125/Data!$J$3</f>
        <v>1.1834319526627219E-2</v>
      </c>
      <c r="G126" s="11">
        <f>Data!L125/(Data!L125+Data!M125)</f>
        <v>0.97132616487455192</v>
      </c>
    </row>
    <row r="127" spans="1:7" x14ac:dyDescent="0.25">
      <c r="A127" s="3" t="s">
        <v>238</v>
      </c>
      <c r="B127" t="s">
        <v>239</v>
      </c>
      <c r="C127" s="7">
        <f>(4*Data!B126+3*Data!C126+2*Data!D126+1*Data!E126)/(SUM(Data!B126:F126))</f>
        <v>3.6083916083916083</v>
      </c>
      <c r="D127" s="11">
        <f>Data!H126/Data!$J$3</f>
        <v>0.78106508875739644</v>
      </c>
      <c r="E127" s="11">
        <f>Data!I126/Data!$J$3</f>
        <v>3.5502958579881658E-2</v>
      </c>
      <c r="F127" s="11">
        <f>Data!J126/Data!$J$3</f>
        <v>1.4792899408284023E-2</v>
      </c>
      <c r="G127" s="11">
        <f>Data!L126/(Data!L126+Data!M126)</f>
        <v>0.86594202898550721</v>
      </c>
    </row>
    <row r="128" spans="1:7" x14ac:dyDescent="0.25">
      <c r="A128" s="3"/>
      <c r="C128" s="7"/>
      <c r="D128" s="11"/>
      <c r="E128" s="11"/>
      <c r="F128" s="11"/>
      <c r="G128" s="11"/>
    </row>
    <row r="129" spans="1:7" ht="13" x14ac:dyDescent="0.3">
      <c r="A129" s="3"/>
      <c r="B129" s="9" t="s">
        <v>240</v>
      </c>
      <c r="C129" s="7"/>
      <c r="D129" s="11"/>
      <c r="E129" s="11"/>
      <c r="F129" s="11"/>
      <c r="G129" s="11"/>
    </row>
    <row r="130" spans="1:7" x14ac:dyDescent="0.25">
      <c r="A130" s="3" t="s">
        <v>241</v>
      </c>
      <c r="B130" t="s">
        <v>242</v>
      </c>
      <c r="C130" s="7">
        <f>(4*Data!B129+3*Data!C129+2*Data!D129+1*Data!E129)/(SUM(Data!B129:F129))</f>
        <v>3.7377622377622379</v>
      </c>
      <c r="D130" s="11">
        <f>Data!H129/Data!$J$3</f>
        <v>0.77810650887573962</v>
      </c>
      <c r="E130" s="11">
        <f>Data!I129/Data!$J$3</f>
        <v>2.9585798816568047E-3</v>
      </c>
      <c r="F130" s="11">
        <f>Data!J129/Data!$J$3</f>
        <v>6.2130177514792898E-2</v>
      </c>
      <c r="G130" s="11">
        <f>Data!L129/(Data!L129+Data!M129)</f>
        <v>0.96028880866425992</v>
      </c>
    </row>
    <row r="131" spans="1:7" x14ac:dyDescent="0.25">
      <c r="A131" s="3" t="s">
        <v>243</v>
      </c>
      <c r="B131" s="5" t="s">
        <v>244</v>
      </c>
      <c r="C131" s="7">
        <f>(4*Data!B130+3*Data!C130+2*Data!D130+1*Data!E130)/(SUM(Data!B130:F130))</f>
        <v>3.0809859154929575</v>
      </c>
      <c r="D131" s="11">
        <f>Data!H130/Data!$J$3</f>
        <v>0.59171597633136097</v>
      </c>
      <c r="E131" s="11">
        <f>Data!I130/Data!$J$3</f>
        <v>5.9171597633136092E-2</v>
      </c>
      <c r="F131" s="11">
        <f>Data!J130/Data!$J$3</f>
        <v>0.18639053254437871</v>
      </c>
      <c r="G131" s="11">
        <f>Data!L130/(Data!L130+Data!M130)</f>
        <v>0.78623188405797106</v>
      </c>
    </row>
    <row r="132" spans="1:7" x14ac:dyDescent="0.25">
      <c r="A132" s="3" t="s">
        <v>245</v>
      </c>
      <c r="B132" t="s">
        <v>246</v>
      </c>
      <c r="C132" s="7">
        <f>(4*Data!B131+3*Data!C131+2*Data!D131+1*Data!E131)/(SUM(Data!B131:F131))</f>
        <v>3.4195804195804196</v>
      </c>
      <c r="D132" s="11">
        <f>Data!H131/Data!$J$3</f>
        <v>0.76331360946745563</v>
      </c>
      <c r="E132" s="11">
        <f>Data!I131/Data!$J$3</f>
        <v>4.4378698224852069E-2</v>
      </c>
      <c r="F132" s="11">
        <f>Data!J131/Data!$J$3</f>
        <v>2.9585798816568046E-2</v>
      </c>
      <c r="G132" s="11">
        <f>Data!L131/(Data!L131+Data!M131)</f>
        <v>0.9460431654676259</v>
      </c>
    </row>
    <row r="133" spans="1:7" x14ac:dyDescent="0.25">
      <c r="A133" s="3" t="s">
        <v>247</v>
      </c>
      <c r="B133" s="5" t="s">
        <v>248</v>
      </c>
      <c r="C133" s="7">
        <f>(4*Data!B132+3*Data!C132+2*Data!D132+1*Data!E132)/(SUM(Data!B132:F132))</f>
        <v>3.3776223776223775</v>
      </c>
      <c r="D133" s="11">
        <f>Data!H132/Data!$J$3</f>
        <v>0.76627218934911245</v>
      </c>
      <c r="E133" s="11">
        <f>Data!I132/Data!$J$3</f>
        <v>3.5502958579881658E-2</v>
      </c>
      <c r="F133" s="11">
        <f>Data!J132/Data!$J$3</f>
        <v>3.8461538461538464E-2</v>
      </c>
      <c r="G133" s="11">
        <f>Data!L132/(Data!L132+Data!M132)</f>
        <v>0.9388489208633094</v>
      </c>
    </row>
    <row r="134" spans="1:7" x14ac:dyDescent="0.25">
      <c r="A134" s="3" t="s">
        <v>249</v>
      </c>
      <c r="B134" t="s">
        <v>250</v>
      </c>
      <c r="C134" s="7">
        <f>(4*Data!B133+3*Data!C133+2*Data!D133+1*Data!E133)/(SUM(Data!B133:F133))</f>
        <v>3.4335664335664338</v>
      </c>
      <c r="D134" s="11">
        <f>Data!H133/Data!$J$3</f>
        <v>0.78402366863905326</v>
      </c>
      <c r="E134" s="11">
        <f>Data!I133/Data!$J$3</f>
        <v>3.5502958579881658E-2</v>
      </c>
      <c r="F134" s="11">
        <f>Data!J133/Data!$J$3</f>
        <v>2.3668639053254437E-2</v>
      </c>
      <c r="G134" s="11">
        <f>Data!L133/(Data!L133+Data!M133)</f>
        <v>0.90613718411552346</v>
      </c>
    </row>
    <row r="135" spans="1:7" x14ac:dyDescent="0.25">
      <c r="A135" s="3" t="s">
        <v>251</v>
      </c>
      <c r="B135" t="s">
        <v>252</v>
      </c>
      <c r="C135" s="7">
        <f>(4*Data!B134+3*Data!C134+2*Data!D134+1*Data!E134)/(SUM(Data!B134:F134))</f>
        <v>3.7762237762237763</v>
      </c>
      <c r="D135" s="11">
        <f>Data!H134/Data!$J$3</f>
        <v>0.8224852071005917</v>
      </c>
      <c r="E135" s="11">
        <f>Data!I134/Data!$J$3</f>
        <v>1.4792899408284023E-2</v>
      </c>
      <c r="F135" s="11">
        <f>Data!J134/Data!$J$3</f>
        <v>2.9585798816568047E-3</v>
      </c>
      <c r="G135" s="11">
        <f>Data!L134/(Data!L134+Data!M134)</f>
        <v>0.97833935018050544</v>
      </c>
    </row>
    <row r="136" spans="1:7" x14ac:dyDescent="0.25">
      <c r="A136" s="3" t="s">
        <v>253</v>
      </c>
      <c r="B136" t="s">
        <v>254</v>
      </c>
      <c r="C136" s="7">
        <f>(4*Data!B135+3*Data!C135+2*Data!D135+1*Data!E135)/(SUM(Data!B135:F135))</f>
        <v>3.3041958041958042</v>
      </c>
      <c r="D136" s="11">
        <f>Data!H135/Data!$J$3</f>
        <v>0.75147928994082835</v>
      </c>
      <c r="E136" s="11">
        <f>Data!I135/Data!$J$3</f>
        <v>7.6923076923076927E-2</v>
      </c>
      <c r="F136" s="11">
        <f>Data!J135/Data!$J$3</f>
        <v>1.4792899408284023E-2</v>
      </c>
      <c r="G136" s="11">
        <f>Data!L135/(Data!L135+Data!M135)</f>
        <v>0.89928057553956831</v>
      </c>
    </row>
    <row r="137" spans="1:7" x14ac:dyDescent="0.25">
      <c r="A137" s="3" t="s">
        <v>255</v>
      </c>
      <c r="B137" t="s">
        <v>256</v>
      </c>
      <c r="C137" s="7">
        <f>(4*Data!B136+3*Data!C136+2*Data!D136+1*Data!E136)/(SUM(Data!B136:F136))</f>
        <v>3.2544169611307421</v>
      </c>
      <c r="D137" s="11">
        <f>Data!H136/Data!$J$3</f>
        <v>0.71597633136094674</v>
      </c>
      <c r="E137" s="11">
        <f>Data!I136/Data!$J$3</f>
        <v>8.8757396449704137E-2</v>
      </c>
      <c r="F137" s="11">
        <f>Data!J136/Data!$J$3</f>
        <v>2.3668639053254437E-2</v>
      </c>
      <c r="G137" s="11">
        <f>Data!L136/(Data!L136+Data!M136)</f>
        <v>0.8623188405797102</v>
      </c>
    </row>
    <row r="138" spans="1:7" x14ac:dyDescent="0.25">
      <c r="A138" s="3"/>
      <c r="C138" s="7"/>
      <c r="D138" s="11"/>
      <c r="E138" s="11"/>
      <c r="F138" s="11"/>
      <c r="G138" s="11"/>
    </row>
    <row r="139" spans="1:7" ht="13" x14ac:dyDescent="0.3">
      <c r="A139" s="3"/>
      <c r="B139" s="9" t="s">
        <v>257</v>
      </c>
      <c r="C139" s="7"/>
      <c r="D139" s="11"/>
      <c r="E139" s="11"/>
      <c r="F139" s="11"/>
      <c r="G139" s="11"/>
    </row>
    <row r="140" spans="1:7" x14ac:dyDescent="0.25">
      <c r="A140" s="3" t="s">
        <v>258</v>
      </c>
      <c r="B140" t="s">
        <v>259</v>
      </c>
      <c r="C140" s="7">
        <f>(4*Data!B139+3*Data!C139+2*Data!D139+1*Data!E139)/(SUM(Data!B139:F139))</f>
        <v>2.9685314685314683</v>
      </c>
      <c r="D140" s="11">
        <f>Data!H139/Data!$J$3</f>
        <v>0.66568047337278102</v>
      </c>
      <c r="E140" s="11">
        <f>Data!I139/Data!$J$3</f>
        <v>9.4674556213017749E-2</v>
      </c>
      <c r="F140" s="11">
        <f>Data!J139/Data!$J$3</f>
        <v>7.3964497041420121E-2</v>
      </c>
      <c r="G140" s="11">
        <f>Data!L139/(Data!L139+Data!M139)</f>
        <v>0.71897810218978098</v>
      </c>
    </row>
    <row r="141" spans="1:7" x14ac:dyDescent="0.25">
      <c r="A141" s="3" t="s">
        <v>260</v>
      </c>
      <c r="B141" s="5" t="s">
        <v>261</v>
      </c>
      <c r="C141" s="7">
        <f>(4*Data!B140+3*Data!C140+2*Data!D140+1*Data!E140)/(SUM(Data!B140:F140))</f>
        <v>2.7964912280701753</v>
      </c>
      <c r="D141" s="11">
        <f>Data!H140/Data!$J$3</f>
        <v>0.60355029585798814</v>
      </c>
      <c r="E141" s="11">
        <f>Data!I140/Data!$J$3</f>
        <v>0.11834319526627218</v>
      </c>
      <c r="F141" s="11">
        <f>Data!J140/Data!$J$3</f>
        <v>0.10946745562130178</v>
      </c>
      <c r="G141" s="11">
        <f>Data!L140/(Data!L140+Data!M140)</f>
        <v>0.63003663003663002</v>
      </c>
    </row>
    <row r="142" spans="1:7" x14ac:dyDescent="0.25">
      <c r="A142" s="3" t="s">
        <v>262</v>
      </c>
      <c r="B142" t="s">
        <v>263</v>
      </c>
      <c r="C142" s="7">
        <f>(4*Data!B141+3*Data!C141+2*Data!D141+1*Data!E141)/(SUM(Data!B141:F141))</f>
        <v>2.8491228070175438</v>
      </c>
      <c r="D142" s="11">
        <f>Data!H141/Data!$J$3</f>
        <v>0.60946745562130178</v>
      </c>
      <c r="E142" s="11">
        <f>Data!I141/Data!$J$3</f>
        <v>0.14497041420118342</v>
      </c>
      <c r="F142" s="11">
        <f>Data!J141/Data!$J$3</f>
        <v>6.5088757396449703E-2</v>
      </c>
      <c r="G142" s="11">
        <f>Data!L141/(Data!L141+Data!M141)</f>
        <v>0.56776556776556775</v>
      </c>
    </row>
    <row r="143" spans="1:7" x14ac:dyDescent="0.25">
      <c r="A143" s="3" t="s">
        <v>264</v>
      </c>
      <c r="B143" t="s">
        <v>265</v>
      </c>
      <c r="C143" s="7">
        <f>(4*Data!B142+3*Data!C142+2*Data!D142+1*Data!E142)/(SUM(Data!B142:F142))</f>
        <v>3.13986013986014</v>
      </c>
      <c r="D143" s="11">
        <f>Data!H142/Data!$J$3</f>
        <v>0.66568047337278102</v>
      </c>
      <c r="E143" s="11">
        <f>Data!I142/Data!$J$3</f>
        <v>0.11538461538461539</v>
      </c>
      <c r="F143" s="11">
        <f>Data!J142/Data!$J$3</f>
        <v>4.4378698224852069E-2</v>
      </c>
      <c r="G143" s="11">
        <f>Data!L142/(Data!L142+Data!M142)</f>
        <v>0.80882352941176472</v>
      </c>
    </row>
    <row r="144" spans="1:7" x14ac:dyDescent="0.25">
      <c r="A144" s="3" t="s">
        <v>266</v>
      </c>
      <c r="B144" t="s">
        <v>267</v>
      </c>
      <c r="C144" s="7">
        <f>(4*Data!B143+3*Data!C143+2*Data!D143+1*Data!E143)/(SUM(Data!B143:F143))</f>
        <v>3.174825174825175</v>
      </c>
      <c r="D144" s="11">
        <f>Data!H143/Data!$J$3</f>
        <v>0.66863905325443784</v>
      </c>
      <c r="E144" s="11">
        <f>Data!I143/Data!$J$3</f>
        <v>0.1242603550295858</v>
      </c>
      <c r="F144" s="11">
        <f>Data!J143/Data!$J$3</f>
        <v>3.8461538461538464E-2</v>
      </c>
      <c r="G144" s="11">
        <f>Data!L143/(Data!L143+Data!M143)</f>
        <v>0.67399267399267404</v>
      </c>
    </row>
    <row r="145" spans="1:7" x14ac:dyDescent="0.25">
      <c r="A145" s="3" t="s">
        <v>268</v>
      </c>
      <c r="B145" t="s">
        <v>269</v>
      </c>
      <c r="C145" s="7">
        <f>(4*Data!B144+3*Data!C144+2*Data!D144+1*Data!E144)/(SUM(Data!B144:F144))</f>
        <v>2.5357142857142856</v>
      </c>
      <c r="D145" s="11">
        <f>Data!H144/Data!$J$3</f>
        <v>0.40828402366863903</v>
      </c>
      <c r="E145" s="11">
        <f>Data!I144/Data!$J$3</f>
        <v>0.31656804733727811</v>
      </c>
      <c r="F145" s="11">
        <f>Data!J144/Data!$J$3</f>
        <v>8.2840236686390539E-2</v>
      </c>
      <c r="G145" s="11">
        <f>Data!L144/(Data!L144+Data!M144)</f>
        <v>0.44609665427509293</v>
      </c>
    </row>
    <row r="146" spans="1:7" x14ac:dyDescent="0.25">
      <c r="A146" s="3" t="s">
        <v>270</v>
      </c>
      <c r="B146" t="s">
        <v>271</v>
      </c>
      <c r="C146" s="7">
        <f>(4*Data!B145+3*Data!C145+2*Data!D145+1*Data!E145)/(SUM(Data!B145:F145))</f>
        <v>3.1468531468531467</v>
      </c>
      <c r="D146" s="11">
        <f>Data!H145/Data!$J$3</f>
        <v>0.67159763313609466</v>
      </c>
      <c r="E146" s="11">
        <f>Data!I145/Data!$J$3</f>
        <v>0.13313609467455623</v>
      </c>
      <c r="F146" s="11">
        <f>Data!J145/Data!$J$3</f>
        <v>2.3668639053254437E-2</v>
      </c>
      <c r="G146" s="11">
        <f>Data!L145/(Data!L145+Data!M145)</f>
        <v>0.75276752767527677</v>
      </c>
    </row>
    <row r="147" spans="1:7" x14ac:dyDescent="0.25">
      <c r="A147" s="3" t="s">
        <v>272</v>
      </c>
      <c r="B147" s="5" t="s">
        <v>273</v>
      </c>
      <c r="C147" s="7">
        <f>(4*Data!B146+3*Data!C146+2*Data!D146+1*Data!E146)/(SUM(Data!B146:F146))</f>
        <v>3.1201413427561837</v>
      </c>
      <c r="D147" s="11">
        <f>Data!H146/Data!$J$3</f>
        <v>0.67159763313609466</v>
      </c>
      <c r="E147" s="11">
        <f>Data!I146/Data!$J$3</f>
        <v>0.12721893491124261</v>
      </c>
      <c r="F147" s="11">
        <f>Data!J146/Data!$J$3</f>
        <v>2.0710059171597635E-2</v>
      </c>
      <c r="G147" s="11">
        <f>Data!L146/(Data!L146+Data!M146)</f>
        <v>0.81751824817518248</v>
      </c>
    </row>
    <row r="148" spans="1:7" x14ac:dyDescent="0.25">
      <c r="A148" s="3" t="s">
        <v>274</v>
      </c>
      <c r="B148" t="s">
        <v>275</v>
      </c>
      <c r="C148" s="7">
        <f>(4*Data!B147+3*Data!C147+2*Data!D147+1*Data!E147)/(SUM(Data!B147:F147))</f>
        <v>2.7421602787456445</v>
      </c>
      <c r="D148" s="11">
        <f>Data!H147/Data!$J$3</f>
        <v>0.55917159763313606</v>
      </c>
      <c r="E148" s="11">
        <f>Data!I147/Data!$J$3</f>
        <v>0.22485207100591717</v>
      </c>
      <c r="F148" s="11">
        <f>Data!J147/Data!$J$3</f>
        <v>3.8461538461538464E-2</v>
      </c>
      <c r="G148" s="11">
        <f>Data!L147/(Data!L147+Data!M147)</f>
        <v>0.58394160583941601</v>
      </c>
    </row>
    <row r="149" spans="1:7" x14ac:dyDescent="0.25">
      <c r="A149" s="3" t="s">
        <v>276</v>
      </c>
      <c r="B149" t="s">
        <v>277</v>
      </c>
      <c r="C149" s="7">
        <f>(4*Data!B148+3*Data!C148+2*Data!D148+1*Data!E148)/(SUM(Data!B148:F148))</f>
        <v>2.9512195121951219</v>
      </c>
      <c r="D149" s="11">
        <f>Data!H148/Data!$J$3</f>
        <v>0.60946745562130178</v>
      </c>
      <c r="E149" s="11">
        <f>Data!I148/Data!$J$3</f>
        <v>0.11834319526627218</v>
      </c>
      <c r="F149" s="11">
        <f>Data!J148/Data!$J$3</f>
        <v>8.8757396449704137E-2</v>
      </c>
      <c r="G149" s="11">
        <f>Data!L148/(Data!L148+Data!M148)</f>
        <v>0.70909090909090911</v>
      </c>
    </row>
    <row r="150" spans="1:7" x14ac:dyDescent="0.25">
      <c r="A150" s="3" t="s">
        <v>278</v>
      </c>
      <c r="B150" s="5" t="s">
        <v>279</v>
      </c>
      <c r="C150" s="7">
        <f>(4*Data!B149+3*Data!C149+2*Data!D149+1*Data!E149)/(SUM(Data!B149:F149))</f>
        <v>2.1468531468531467</v>
      </c>
      <c r="D150" s="11">
        <f>Data!H149/Data!$J$3</f>
        <v>0.38461538461538464</v>
      </c>
      <c r="E150" s="11">
        <f>Data!I149/Data!$J$3</f>
        <v>0.27218934911242604</v>
      </c>
      <c r="F150" s="11">
        <f>Data!J149/Data!$J$3</f>
        <v>0.15680473372781065</v>
      </c>
      <c r="G150" s="11">
        <f>Data!L149/(Data!L149+Data!M149)</f>
        <v>0.31985294117647056</v>
      </c>
    </row>
    <row r="151" spans="1:7" x14ac:dyDescent="0.25">
      <c r="A151" s="3" t="s">
        <v>280</v>
      </c>
      <c r="B151" t="s">
        <v>281</v>
      </c>
      <c r="C151" s="7">
        <f>(4*Data!B150+3*Data!C150+2*Data!D150+1*Data!E150)/(SUM(Data!B150:F150))</f>
        <v>3.5783972125435541</v>
      </c>
      <c r="D151" s="11">
        <f>Data!H150/Data!$J$3</f>
        <v>0.73076923076923073</v>
      </c>
      <c r="E151" s="11">
        <f>Data!I150/Data!$J$3</f>
        <v>8.5798816568047331E-2</v>
      </c>
      <c r="F151" s="11">
        <f>Data!J150/Data!$J$3</f>
        <v>1.1834319526627219E-2</v>
      </c>
      <c r="G151" s="11">
        <f>Data!L150/(Data!L150+Data!M150)</f>
        <v>0.71062271062271065</v>
      </c>
    </row>
    <row r="152" spans="1:7" x14ac:dyDescent="0.25">
      <c r="A152" s="3" t="s">
        <v>282</v>
      </c>
      <c r="B152" t="s">
        <v>283</v>
      </c>
      <c r="C152" s="7">
        <f>(4*Data!B151+3*Data!C151+2*Data!D151+1*Data!E151)/(SUM(Data!B151:F151))</f>
        <v>2.6702127659574466</v>
      </c>
      <c r="D152" s="11">
        <f>Data!H151/Data!$J$3</f>
        <v>0.48520710059171596</v>
      </c>
      <c r="E152" s="11">
        <f>Data!I151/Data!$J$3</f>
        <v>0.18047337278106509</v>
      </c>
      <c r="F152" s="11">
        <f>Data!J151/Data!$J$3</f>
        <v>0.14201183431952663</v>
      </c>
      <c r="G152" s="11">
        <f>Data!L151/(Data!L151+Data!M151)</f>
        <v>0.59022556390977443</v>
      </c>
    </row>
    <row r="153" spans="1:7" x14ac:dyDescent="0.25">
      <c r="A153" s="3"/>
      <c r="C153" s="7"/>
      <c r="D153" s="11"/>
      <c r="E153" s="11"/>
      <c r="F153" s="11"/>
      <c r="G153" s="11"/>
    </row>
    <row r="154" spans="1:7" ht="13" x14ac:dyDescent="0.3">
      <c r="A154" s="3"/>
      <c r="B154" s="9" t="s">
        <v>284</v>
      </c>
      <c r="C154" s="7"/>
      <c r="D154" s="11"/>
      <c r="E154" s="11"/>
      <c r="F154" s="11"/>
      <c r="G154" s="11"/>
    </row>
    <row r="155" spans="1:7" x14ac:dyDescent="0.25">
      <c r="A155" s="3" t="s">
        <v>285</v>
      </c>
      <c r="B155" t="s">
        <v>286</v>
      </c>
      <c r="C155" s="7">
        <f>(4*Data!B154+3*Data!C154+2*Data!D154+1*Data!E154)/(SUM(Data!B154:F154))</f>
        <v>3.3498233215547701</v>
      </c>
      <c r="D155" s="11">
        <f>Data!H154/Data!$J$3</f>
        <v>0.75147928994082835</v>
      </c>
      <c r="E155" s="11">
        <f>Data!I154/Data!$J$3</f>
        <v>7.9881656804733733E-2</v>
      </c>
      <c r="F155" s="11">
        <f>Data!J154/Data!$J$3</f>
        <v>0</v>
      </c>
      <c r="G155" s="11">
        <f>Data!L154/(Data!L154+Data!M154)</f>
        <v>0.67032967032967028</v>
      </c>
    </row>
    <row r="156" spans="1:7" x14ac:dyDescent="0.25">
      <c r="A156" s="3" t="s">
        <v>287</v>
      </c>
      <c r="B156" t="s">
        <v>288</v>
      </c>
      <c r="C156" s="7">
        <f>(4*Data!B155+3*Data!C155+2*Data!D155+1*Data!E155)/(SUM(Data!B155:F155))</f>
        <v>3.2597864768683276</v>
      </c>
      <c r="D156" s="11">
        <f>Data!H155/Data!$J$3</f>
        <v>0.75147928994082835</v>
      </c>
      <c r="E156" s="11">
        <f>Data!I155/Data!$J$3</f>
        <v>7.3964497041420121E-2</v>
      </c>
      <c r="F156" s="11">
        <f>Data!J155/Data!$J$3</f>
        <v>0</v>
      </c>
      <c r="G156" s="11">
        <f>Data!L155/(Data!L155+Data!M155)</f>
        <v>0.65555555555555556</v>
      </c>
    </row>
    <row r="157" spans="1:7" x14ac:dyDescent="0.25">
      <c r="A157" s="3" t="s">
        <v>289</v>
      </c>
      <c r="B157" t="s">
        <v>290</v>
      </c>
      <c r="C157" s="7">
        <f>(4*Data!B156+3*Data!C156+2*Data!D156+1*Data!E156)/(SUM(Data!B156:F156))</f>
        <v>3.6713780918727914</v>
      </c>
      <c r="D157" s="11">
        <f>Data!H156/Data!$J$3</f>
        <v>0.80473372781065089</v>
      </c>
      <c r="E157" s="11">
        <f>Data!I156/Data!$J$3</f>
        <v>2.6627218934911243E-2</v>
      </c>
      <c r="F157" s="11">
        <f>Data!J156/Data!$J$3</f>
        <v>0</v>
      </c>
      <c r="G157" s="11">
        <f>Data!L156/(Data!L156+Data!M156)</f>
        <v>0.93065693430656937</v>
      </c>
    </row>
    <row r="158" spans="1:7" x14ac:dyDescent="0.25">
      <c r="A158" s="3" t="s">
        <v>291</v>
      </c>
      <c r="B158" t="s">
        <v>292</v>
      </c>
      <c r="C158" s="7">
        <f>(4*Data!B157+3*Data!C157+2*Data!D157+1*Data!E157)/(SUM(Data!B157:F157))</f>
        <v>3.4234875444839856</v>
      </c>
      <c r="D158" s="11">
        <f>Data!H157/Data!$J$3</f>
        <v>0.76331360946745563</v>
      </c>
      <c r="E158" s="11">
        <f>Data!I157/Data!$J$3</f>
        <v>5.9171597633136092E-2</v>
      </c>
      <c r="F158" s="11">
        <f>Data!J157/Data!$J$3</f>
        <v>2.9585798816568047E-3</v>
      </c>
      <c r="G158" s="11">
        <f>Data!L157/(Data!L157+Data!M157)</f>
        <v>0.75182481751824815</v>
      </c>
    </row>
    <row r="159" spans="1:7" x14ac:dyDescent="0.25">
      <c r="A159" s="3" t="s">
        <v>293</v>
      </c>
      <c r="B159" t="s">
        <v>294</v>
      </c>
      <c r="C159" s="7">
        <f>(4*Data!B158+3*Data!C158+2*Data!D158+1*Data!E158)/(SUM(Data!B158:F158))</f>
        <v>3.4734982332155475</v>
      </c>
      <c r="D159" s="11">
        <f>Data!H158/Data!$J$3</f>
        <v>0.76923076923076927</v>
      </c>
      <c r="E159" s="11">
        <f>Data!I158/Data!$J$3</f>
        <v>5.0295857988165681E-2</v>
      </c>
      <c r="F159" s="11">
        <f>Data!J158/Data!$J$3</f>
        <v>5.9171597633136093E-3</v>
      </c>
      <c r="G159" s="11">
        <f>Data!L158/(Data!L158+Data!M158)</f>
        <v>0.7289377289377289</v>
      </c>
    </row>
    <row r="160" spans="1:7" x14ac:dyDescent="0.25">
      <c r="A160" s="3" t="s">
        <v>295</v>
      </c>
      <c r="B160" t="s">
        <v>296</v>
      </c>
      <c r="C160" s="7">
        <f>(4*Data!B159+3*Data!C159+2*Data!D159+1*Data!E159)/(SUM(Data!B159:F159))</f>
        <v>3.3309859154929575</v>
      </c>
      <c r="D160" s="11">
        <f>Data!H159/Data!$J$3</f>
        <v>0.73668639053254437</v>
      </c>
      <c r="E160" s="11">
        <f>Data!I159/Data!$J$3</f>
        <v>7.6923076923076927E-2</v>
      </c>
      <c r="F160" s="11">
        <f>Data!J159/Data!$J$3</f>
        <v>2.9585798816568047E-3</v>
      </c>
      <c r="G160" s="11">
        <f>Data!L159/(Data!L159+Data!M159)</f>
        <v>0.7007299270072993</v>
      </c>
    </row>
    <row r="161" spans="1:7" x14ac:dyDescent="0.25">
      <c r="A161" s="3" t="s">
        <v>297</v>
      </c>
      <c r="B161" t="s">
        <v>298</v>
      </c>
      <c r="C161" s="7">
        <f>(4*Data!B160+3*Data!C160+2*Data!D160+1*Data!E160)/(SUM(Data!B160:F160))</f>
        <v>3.007518796992481</v>
      </c>
      <c r="D161" s="11">
        <f>Data!H160/Data!$J$3</f>
        <v>0.62130177514792895</v>
      </c>
      <c r="E161" s="11">
        <f>Data!I160/Data!$J$3</f>
        <v>0.14201183431952663</v>
      </c>
      <c r="F161" s="11">
        <f>Data!J160/Data!$J$3</f>
        <v>5.9171597633136093E-3</v>
      </c>
      <c r="G161" s="11">
        <f>Data!L160/(Data!L160+Data!M160)</f>
        <v>0.46332046332046334</v>
      </c>
    </row>
    <row r="162" spans="1:7" x14ac:dyDescent="0.25">
      <c r="A162" s="3" t="s">
        <v>299</v>
      </c>
      <c r="B162" t="s">
        <v>300</v>
      </c>
      <c r="C162" s="7">
        <f>(4*Data!B161+3*Data!C161+2*Data!D161+1*Data!E161)/(SUM(Data!B161:F161))</f>
        <v>3.4049295774647885</v>
      </c>
      <c r="D162" s="11">
        <f>Data!H161/Data!$J$3</f>
        <v>0.70710059171597628</v>
      </c>
      <c r="E162" s="11">
        <f>Data!I161/Data!$J$3</f>
        <v>0.12130177514792899</v>
      </c>
      <c r="F162" s="11">
        <f>Data!J161/Data!$J$3</f>
        <v>0</v>
      </c>
      <c r="G162" s="11">
        <f>Data!L161/(Data!L161+Data!M161)</f>
        <v>0.72262773722627738</v>
      </c>
    </row>
    <row r="163" spans="1:7" x14ac:dyDescent="0.25">
      <c r="A163" s="3" t="s">
        <v>301</v>
      </c>
      <c r="B163" t="s">
        <v>302</v>
      </c>
      <c r="C163" s="7">
        <f>(4*Data!B162+3*Data!C162+2*Data!D162+1*Data!E162)/(SUM(Data!B162:F162))</f>
        <v>3.5316901408450705</v>
      </c>
      <c r="D163" s="11">
        <f>Data!H162/Data!$J$3</f>
        <v>0.77218934911242598</v>
      </c>
      <c r="E163" s="11">
        <f>Data!I162/Data!$J$3</f>
        <v>5.6213017751479293E-2</v>
      </c>
      <c r="F163" s="11">
        <f>Data!J162/Data!$J$3</f>
        <v>0</v>
      </c>
      <c r="G163" s="11">
        <f>Data!L162/(Data!L162+Data!M162)</f>
        <v>0.8529411764705882</v>
      </c>
    </row>
    <row r="164" spans="1:7" x14ac:dyDescent="0.25">
      <c r="A164" s="3" t="s">
        <v>303</v>
      </c>
      <c r="B164" t="s">
        <v>304</v>
      </c>
      <c r="C164" s="7">
        <f>(4*Data!B163+3*Data!C163+2*Data!D163+1*Data!E163)/(SUM(Data!B163:F163))</f>
        <v>3.5229681978798588</v>
      </c>
      <c r="D164" s="11">
        <f>Data!H163/Data!$J$3</f>
        <v>0.76035502958579881</v>
      </c>
      <c r="E164" s="11">
        <f>Data!I163/Data!$J$3</f>
        <v>6.2130177514792898E-2</v>
      </c>
      <c r="F164" s="11">
        <f>Data!J163/Data!$J$3</f>
        <v>0</v>
      </c>
      <c r="G164" s="11">
        <f>Data!L163/(Data!L163+Data!M163)</f>
        <v>0.79487179487179482</v>
      </c>
    </row>
    <row r="165" spans="1:7" x14ac:dyDescent="0.25">
      <c r="A165" s="3" t="s">
        <v>305</v>
      </c>
      <c r="B165" t="s">
        <v>306</v>
      </c>
      <c r="C165" s="7">
        <f>(4*Data!B164+3*Data!C164+2*Data!D164+1*Data!E164)/(SUM(Data!B164:F164))</f>
        <v>3.3922261484098941</v>
      </c>
      <c r="D165" s="11">
        <f>Data!H164/Data!$J$3</f>
        <v>0.74260355029585801</v>
      </c>
      <c r="E165" s="11">
        <f>Data!I164/Data!$J$3</f>
        <v>8.2840236686390539E-2</v>
      </c>
      <c r="F165" s="11">
        <f>Data!J164/Data!$J$3</f>
        <v>2.9585798816568047E-3</v>
      </c>
      <c r="G165" s="11">
        <f>Data!L164/(Data!L164+Data!M164)</f>
        <v>0.74264705882352944</v>
      </c>
    </row>
    <row r="166" spans="1:7" x14ac:dyDescent="0.25">
      <c r="A166" s="3" t="s">
        <v>307</v>
      </c>
      <c r="B166" t="s">
        <v>308</v>
      </c>
      <c r="C166" s="7">
        <f>(4*Data!B165+3*Data!C165+2*Data!D165+1*Data!E165)/(SUM(Data!B165:F165))</f>
        <v>3.2607142857142857</v>
      </c>
      <c r="D166" s="11">
        <f>Data!H165/Data!$J$3</f>
        <v>0.55621301775147924</v>
      </c>
      <c r="E166" s="11">
        <f>Data!I165/Data!$J$3</f>
        <v>0.26035502958579881</v>
      </c>
      <c r="F166" s="11">
        <f>Data!J165/Data!$J$3</f>
        <v>1.1834319526627219E-2</v>
      </c>
      <c r="G166" s="11">
        <f>Data!L165/(Data!L165+Data!M165)</f>
        <v>0.75824175824175821</v>
      </c>
    </row>
    <row r="167" spans="1:7" x14ac:dyDescent="0.25">
      <c r="A167" s="3"/>
      <c r="C167" s="7"/>
      <c r="D167" s="11"/>
      <c r="E167" s="11"/>
      <c r="F167" s="11"/>
      <c r="G167" s="11"/>
    </row>
    <row r="168" spans="1:7" ht="13" x14ac:dyDescent="0.3">
      <c r="A168" s="3"/>
      <c r="B168" s="9" t="s">
        <v>309</v>
      </c>
      <c r="C168" s="7"/>
      <c r="D168" s="11"/>
      <c r="E168" s="11"/>
      <c r="F168" s="11"/>
      <c r="G168" s="11"/>
    </row>
    <row r="169" spans="1:7" x14ac:dyDescent="0.25">
      <c r="A169" s="3" t="s">
        <v>310</v>
      </c>
      <c r="B169" t="s">
        <v>311</v>
      </c>
      <c r="C169" s="7">
        <f>(4*Data!B168+3*Data!C168+2*Data!D168+1*Data!E168)/(SUM(Data!B168:F168))</f>
        <v>3.686619718309859</v>
      </c>
      <c r="D169" s="11">
        <f>Data!H168/Data!$J$3</f>
        <v>0.81065088757396453</v>
      </c>
      <c r="E169" s="11">
        <f>Data!I168/Data!$J$3</f>
        <v>2.0710059171597635E-2</v>
      </c>
      <c r="F169" s="11">
        <f>Data!J168/Data!$J$3</f>
        <v>2.9585798816568047E-3</v>
      </c>
      <c r="G169" s="11">
        <f>Data!L168/(Data!L168+Data!M168)</f>
        <v>0.8978102189781022</v>
      </c>
    </row>
    <row r="170" spans="1:7" x14ac:dyDescent="0.25">
      <c r="A170" s="3" t="s">
        <v>312</v>
      </c>
      <c r="B170" t="s">
        <v>313</v>
      </c>
      <c r="C170" s="7">
        <f>(4*Data!B169+3*Data!C169+2*Data!D169+1*Data!E169)/(SUM(Data!B169:F169))</f>
        <v>3.2170818505338077</v>
      </c>
      <c r="D170" s="11">
        <f>Data!H169/Data!$J$3</f>
        <v>0.69822485207100593</v>
      </c>
      <c r="E170" s="11">
        <f>Data!I169/Data!$J$3</f>
        <v>9.4674556213017749E-2</v>
      </c>
      <c r="F170" s="11">
        <f>Data!J169/Data!$J$3</f>
        <v>3.5502958579881658E-2</v>
      </c>
      <c r="G170" s="11">
        <f>Data!L169/(Data!L169+Data!M169)</f>
        <v>0.76014760147601479</v>
      </c>
    </row>
    <row r="171" spans="1:7" x14ac:dyDescent="0.25">
      <c r="A171" s="3" t="s">
        <v>314</v>
      </c>
      <c r="B171" s="5" t="s">
        <v>315</v>
      </c>
      <c r="C171" s="7">
        <f>(4*Data!B170+3*Data!C170+2*Data!D170+1*Data!E170)/(SUM(Data!B170:F170))</f>
        <v>3.4092526690391458</v>
      </c>
      <c r="D171" s="11">
        <f>Data!H170/Data!$J$3</f>
        <v>0.74556213017751483</v>
      </c>
      <c r="E171" s="11">
        <f>Data!I170/Data!$J$3</f>
        <v>7.3964497041420121E-2</v>
      </c>
      <c r="F171" s="11">
        <f>Data!J170/Data!$J$3</f>
        <v>0</v>
      </c>
      <c r="G171" s="11">
        <f>Data!L170/(Data!L170+Data!M170)</f>
        <v>0.63805970149253732</v>
      </c>
    </row>
    <row r="172" spans="1:7" x14ac:dyDescent="0.25">
      <c r="A172" s="3" t="s">
        <v>316</v>
      </c>
      <c r="B172" t="s">
        <v>317</v>
      </c>
      <c r="C172" s="7">
        <f>(4*Data!B171+3*Data!C171+2*Data!D171+1*Data!E171)/(SUM(Data!B171:F171))</f>
        <v>3.4219858156028371</v>
      </c>
      <c r="D172" s="11">
        <f>Data!H171/Data!$J$3</f>
        <v>0.75147928994082835</v>
      </c>
      <c r="E172" s="11">
        <f>Data!I171/Data!$J$3</f>
        <v>6.5088757396449703E-2</v>
      </c>
      <c r="F172" s="11">
        <f>Data!J171/Data!$J$3</f>
        <v>0</v>
      </c>
      <c r="G172" s="11">
        <f>Data!L171/(Data!L171+Data!M171)</f>
        <v>0.64944649446494462</v>
      </c>
    </row>
    <row r="173" spans="1:7" x14ac:dyDescent="0.25">
      <c r="A173" s="3" t="s">
        <v>318</v>
      </c>
      <c r="B173" t="s">
        <v>319</v>
      </c>
      <c r="C173" s="7">
        <f>(4*Data!B172+3*Data!C172+2*Data!D172+1*Data!E172)/(SUM(Data!B172:F172))</f>
        <v>3.3614035087719296</v>
      </c>
      <c r="D173" s="11">
        <f>Data!H172/Data!$J$3</f>
        <v>0.73668639053254437</v>
      </c>
      <c r="E173" s="11">
        <f>Data!I172/Data!$J$3</f>
        <v>8.8757396449704137E-2</v>
      </c>
      <c r="F173" s="11">
        <f>Data!J172/Data!$J$3</f>
        <v>0</v>
      </c>
      <c r="G173" s="11">
        <f>Data!L172/(Data!L172+Data!M172)</f>
        <v>0.61313868613138689</v>
      </c>
    </row>
    <row r="174" spans="1:7" x14ac:dyDescent="0.25">
      <c r="A174" s="3" t="s">
        <v>320</v>
      </c>
      <c r="B174" t="s">
        <v>321</v>
      </c>
      <c r="C174" s="7">
        <f>(4*Data!B173+3*Data!C173+2*Data!D173+1*Data!E173)/(SUM(Data!B173:F173))</f>
        <v>3.0252707581227436</v>
      </c>
      <c r="D174" s="11">
        <f>Data!H173/Data!$J$3</f>
        <v>0.57692307692307687</v>
      </c>
      <c r="E174" s="11">
        <f>Data!I173/Data!$J$3</f>
        <v>0.22781065088757396</v>
      </c>
      <c r="F174" s="11">
        <f>Data!J173/Data!$J$3</f>
        <v>5.9171597633136093E-3</v>
      </c>
      <c r="G174" s="11">
        <f>Data!L173/(Data!L173+Data!M173)</f>
        <v>0.53558052434456926</v>
      </c>
    </row>
    <row r="175" spans="1:7" x14ac:dyDescent="0.25">
      <c r="A175" s="3" t="s">
        <v>322</v>
      </c>
      <c r="B175" t="s">
        <v>323</v>
      </c>
      <c r="C175" s="7">
        <f>(4*Data!B174+3*Data!C174+2*Data!D174+1*Data!E174)/(SUM(Data!B174:F174))</f>
        <v>3.352112676056338</v>
      </c>
      <c r="D175" s="11">
        <f>Data!H174/Data!$J$3</f>
        <v>0.67159763313609466</v>
      </c>
      <c r="E175" s="11">
        <f>Data!I174/Data!$J$3</f>
        <v>0.13905325443786981</v>
      </c>
      <c r="F175" s="11">
        <f>Data!J174/Data!$J$3</f>
        <v>2.9585798816568047E-3</v>
      </c>
      <c r="G175" s="11">
        <f>Data!L174/(Data!L174+Data!M174)</f>
        <v>0.66911764705882348</v>
      </c>
    </row>
    <row r="176" spans="1:7" x14ac:dyDescent="0.25">
      <c r="A176" s="3" t="s">
        <v>324</v>
      </c>
      <c r="B176" s="5" t="s">
        <v>325</v>
      </c>
      <c r="C176" s="7">
        <f>(4*Data!B175+3*Data!C175+2*Data!D175+1*Data!E175)/(SUM(Data!B175:F175))</f>
        <v>3.4014084507042255</v>
      </c>
      <c r="D176" s="11">
        <f>Data!H175/Data!$J$3</f>
        <v>0.71893491124260356</v>
      </c>
      <c r="E176" s="11">
        <f>Data!I175/Data!$J$3</f>
        <v>9.4674556213017749E-2</v>
      </c>
      <c r="F176" s="11">
        <f>Data!J175/Data!$J$3</f>
        <v>2.9585798816568047E-3</v>
      </c>
      <c r="G176" s="11">
        <f>Data!L175/(Data!L175+Data!M175)</f>
        <v>0.63736263736263732</v>
      </c>
    </row>
    <row r="177" spans="1:7" x14ac:dyDescent="0.25">
      <c r="A177" s="3"/>
      <c r="C177" s="7"/>
      <c r="D177" s="11"/>
      <c r="E177" s="11"/>
      <c r="F177" s="11"/>
      <c r="G177" s="11"/>
    </row>
    <row r="178" spans="1:7" ht="13" x14ac:dyDescent="0.3">
      <c r="A178" s="3"/>
      <c r="B178" s="9" t="s">
        <v>326</v>
      </c>
      <c r="C178" s="7"/>
      <c r="D178" s="11"/>
      <c r="E178" s="11"/>
      <c r="F178" s="11"/>
      <c r="G178" s="11"/>
    </row>
    <row r="179" spans="1:7" x14ac:dyDescent="0.25">
      <c r="A179" s="3" t="s">
        <v>327</v>
      </c>
      <c r="B179" t="s">
        <v>328</v>
      </c>
      <c r="C179" s="7">
        <f>(4*Data!B178+3*Data!C178+2*Data!D178+1*Data!E178)/(SUM(Data!B178:F178))</f>
        <v>2.8424908424908426</v>
      </c>
      <c r="D179" s="11">
        <f>Data!H178/Data!$J$3</f>
        <v>0.4437869822485207</v>
      </c>
      <c r="E179" s="11">
        <f>Data!I178/Data!$J$3</f>
        <v>0.33431952662721892</v>
      </c>
      <c r="F179" s="11">
        <f>Data!J178/Data!$J$3</f>
        <v>1.4792899408284023E-2</v>
      </c>
      <c r="G179" s="11">
        <f>Data!L178/(Data!L178+Data!M178)</f>
        <v>0.49236641221374045</v>
      </c>
    </row>
    <row r="180" spans="1:7" x14ac:dyDescent="0.25">
      <c r="A180" s="3" t="s">
        <v>329</v>
      </c>
      <c r="B180" t="s">
        <v>330</v>
      </c>
      <c r="C180" s="7">
        <f>(4*Data!B179+3*Data!C179+2*Data!D179+1*Data!E179)/(SUM(Data!B179:F179))</f>
        <v>2.7095588235294117</v>
      </c>
      <c r="D180" s="11">
        <f>Data!H179/Data!$J$3</f>
        <v>0.34615384615384615</v>
      </c>
      <c r="E180" s="11">
        <f>Data!I179/Data!$J$3</f>
        <v>0.42899408284023671</v>
      </c>
      <c r="F180" s="11">
        <f>Data!J179/Data!$J$3</f>
        <v>1.7751479289940829E-2</v>
      </c>
      <c r="G180" s="11">
        <f>Data!L179/(Data!L179+Data!M179)</f>
        <v>0.42471042471042469</v>
      </c>
    </row>
    <row r="181" spans="1:7" x14ac:dyDescent="0.25">
      <c r="A181" s="3" t="s">
        <v>331</v>
      </c>
      <c r="B181" t="s">
        <v>332</v>
      </c>
      <c r="C181" s="7">
        <f>(4*Data!B180+3*Data!C180+2*Data!D180+1*Data!E180)/(SUM(Data!B180:F180))</f>
        <v>2.8864468864468864</v>
      </c>
      <c r="D181" s="11">
        <f>Data!H180/Data!$J$3</f>
        <v>0.49704142011834318</v>
      </c>
      <c r="E181" s="11">
        <f>Data!I180/Data!$J$3</f>
        <v>0.28994082840236685</v>
      </c>
      <c r="F181" s="11">
        <f>Data!J180/Data!$J$3</f>
        <v>1.4792899408284023E-2</v>
      </c>
      <c r="G181" s="11">
        <f>Data!L180/(Data!L180+Data!M180)</f>
        <v>0.43939393939393939</v>
      </c>
    </row>
    <row r="182" spans="1:7" x14ac:dyDescent="0.25">
      <c r="A182" s="3" t="s">
        <v>333</v>
      </c>
      <c r="B182" t="s">
        <v>334</v>
      </c>
      <c r="C182" s="7">
        <f>(4*Data!B181+3*Data!C181+2*Data!D181+1*Data!E181)/(SUM(Data!B181:F181))</f>
        <v>3.051094890510949</v>
      </c>
      <c r="D182" s="11">
        <f>Data!H181/Data!$J$3</f>
        <v>0.49408284023668642</v>
      </c>
      <c r="E182" s="11">
        <f>Data!I181/Data!$J$3</f>
        <v>0.30177514792899407</v>
      </c>
      <c r="F182" s="11">
        <f>Data!J181/Data!$J$3</f>
        <v>1.1834319526627219E-2</v>
      </c>
      <c r="G182" s="11">
        <f>Data!L181/(Data!L181+Data!M181)</f>
        <v>0.48120300751879697</v>
      </c>
    </row>
    <row r="183" spans="1:7" x14ac:dyDescent="0.25">
      <c r="A183" s="3" t="s">
        <v>335</v>
      </c>
      <c r="B183" t="s">
        <v>336</v>
      </c>
      <c r="C183" s="7">
        <f>(4*Data!B182+3*Data!C182+2*Data!D182+1*Data!E182)/(SUM(Data!B182:F182))</f>
        <v>3.0729927007299271</v>
      </c>
      <c r="D183" s="11">
        <f>Data!H182/Data!$J$3</f>
        <v>0.52366863905325445</v>
      </c>
      <c r="E183" s="11">
        <f>Data!I182/Data!$J$3</f>
        <v>0.26923076923076922</v>
      </c>
      <c r="F183" s="11">
        <f>Data!J182/Data!$J$3</f>
        <v>8.8757396449704144E-3</v>
      </c>
      <c r="G183" s="11">
        <f>Data!L182/(Data!L182+Data!M182)</f>
        <v>0.47924528301886793</v>
      </c>
    </row>
    <row r="184" spans="1:7" x14ac:dyDescent="0.25">
      <c r="A184" s="3"/>
      <c r="C184" s="7"/>
      <c r="D184" s="11"/>
      <c r="E184" s="11"/>
      <c r="F184" s="11"/>
      <c r="G184" s="11"/>
    </row>
    <row r="185" spans="1:7" ht="13" x14ac:dyDescent="0.3">
      <c r="A185" s="3"/>
      <c r="B185" s="9" t="s">
        <v>337</v>
      </c>
      <c r="C185" s="7"/>
      <c r="D185" s="11"/>
      <c r="E185" s="11"/>
      <c r="F185" s="11"/>
      <c r="G185" s="11"/>
    </row>
    <row r="186" spans="1:7" x14ac:dyDescent="0.25">
      <c r="A186" s="3" t="s">
        <v>338</v>
      </c>
      <c r="B186" t="s">
        <v>339</v>
      </c>
      <c r="C186" s="7">
        <f>(4*Data!B185+3*Data!C185+2*Data!D185+1*Data!E185)/(SUM(Data!B185:F185))</f>
        <v>2.8818897637795278</v>
      </c>
      <c r="D186" s="11">
        <f>Data!H185/Data!$J$3</f>
        <v>0.33727810650887574</v>
      </c>
      <c r="E186" s="11">
        <f>Data!I185/Data!$J$3</f>
        <v>0.3875739644970414</v>
      </c>
      <c r="F186" s="11">
        <f>Data!J185/Data!$J$3</f>
        <v>2.0710059171597635E-2</v>
      </c>
      <c r="G186" s="11">
        <f>Data!L185/(Data!L185+Data!M185)</f>
        <v>0.41702127659574467</v>
      </c>
    </row>
    <row r="187" spans="1:7" x14ac:dyDescent="0.25">
      <c r="A187" s="3" t="s">
        <v>340</v>
      </c>
      <c r="B187" t="s">
        <v>341</v>
      </c>
      <c r="C187" s="7">
        <f>(4*Data!B186+3*Data!C186+2*Data!D186+1*Data!E186)/(SUM(Data!B186:F186))</f>
        <v>2.8888888888888888</v>
      </c>
      <c r="D187" s="11">
        <f>Data!H186/Data!$J$3</f>
        <v>0.33727810650887574</v>
      </c>
      <c r="E187" s="11">
        <f>Data!I186/Data!$J$3</f>
        <v>0.38165680473372782</v>
      </c>
      <c r="F187" s="11">
        <f>Data!J186/Data!$J$3</f>
        <v>2.3668639053254437E-2</v>
      </c>
      <c r="G187" s="11">
        <f>Data!L186/(Data!L186+Data!M186)</f>
        <v>0.33755274261603374</v>
      </c>
    </row>
    <row r="188" spans="1:7" x14ac:dyDescent="0.25">
      <c r="A188" s="3" t="s">
        <v>342</v>
      </c>
      <c r="B188" t="s">
        <v>343</v>
      </c>
      <c r="C188" s="7">
        <f>(4*Data!B187+3*Data!C187+2*Data!D187+1*Data!E187)/(SUM(Data!B187:F187))</f>
        <v>2.7834645669291338</v>
      </c>
      <c r="D188" s="11">
        <f>Data!H187/Data!$J$3</f>
        <v>0.29881656804733731</v>
      </c>
      <c r="E188" s="11">
        <f>Data!I187/Data!$J$3</f>
        <v>0.42603550295857989</v>
      </c>
      <c r="F188" s="11">
        <f>Data!J187/Data!$J$3</f>
        <v>1.7751479289940829E-2</v>
      </c>
      <c r="G188" s="11">
        <f>Data!L187/(Data!L187+Data!M187)</f>
        <v>0.29957805907172996</v>
      </c>
    </row>
    <row r="189" spans="1:7" x14ac:dyDescent="0.25">
      <c r="A189" s="3" t="s">
        <v>344</v>
      </c>
      <c r="B189" t="s">
        <v>345</v>
      </c>
      <c r="C189" s="7">
        <f>(4*Data!B188+3*Data!C188+2*Data!D188+1*Data!E188)/(SUM(Data!B188:F188))</f>
        <v>2.7813765182186234</v>
      </c>
      <c r="D189" s="11">
        <f>Data!H188/Data!$J$3</f>
        <v>0.26923076923076922</v>
      </c>
      <c r="E189" s="11">
        <f>Data!I188/Data!$J$3</f>
        <v>0.44082840236686388</v>
      </c>
      <c r="F189" s="11">
        <f>Data!J188/Data!$J$3</f>
        <v>2.3668639053254437E-2</v>
      </c>
      <c r="G189" s="11">
        <f>Data!L188/(Data!L188+Data!M188)</f>
        <v>0.29361702127659572</v>
      </c>
    </row>
    <row r="190" spans="1:7" x14ac:dyDescent="0.25">
      <c r="A190" s="3"/>
      <c r="C190" s="7"/>
      <c r="D190" s="11"/>
      <c r="E190" s="11"/>
      <c r="F190" s="11"/>
      <c r="G190" s="11"/>
    </row>
    <row r="191" spans="1:7" ht="13" x14ac:dyDescent="0.3">
      <c r="A191" s="3"/>
      <c r="B191" s="10" t="s">
        <v>346</v>
      </c>
      <c r="C191" s="7"/>
      <c r="D191" s="11"/>
      <c r="E191" s="11"/>
      <c r="F191" s="11"/>
      <c r="G191" s="11"/>
    </row>
    <row r="192" spans="1:7" x14ac:dyDescent="0.25">
      <c r="A192" s="3" t="s">
        <v>347</v>
      </c>
      <c r="B192" t="s">
        <v>348</v>
      </c>
      <c r="C192" s="7">
        <f>(4*Data!B191+3*Data!C191+2*Data!D191+1*Data!E191)/(SUM(Data!B191:F191))</f>
        <v>3.4</v>
      </c>
      <c r="D192" s="11">
        <f>Data!H191/Data!$J$3</f>
        <v>4.7337278106508875E-2</v>
      </c>
      <c r="E192" s="11">
        <f>Data!I191/Data!$J$3</f>
        <v>0.32544378698224852</v>
      </c>
      <c r="F192" s="11">
        <f>Data!J191/Data!$J$3</f>
        <v>0.46449704142011833</v>
      </c>
      <c r="G192" s="11">
        <f>Data!L191/(Data!L191+Data!M191)</f>
        <v>0.96958174904942962</v>
      </c>
    </row>
    <row r="193" spans="1:7" x14ac:dyDescent="0.25">
      <c r="A193" s="3" t="s">
        <v>349</v>
      </c>
      <c r="B193" t="s">
        <v>350</v>
      </c>
      <c r="C193" s="7">
        <f>(4*Data!B192+3*Data!C192+2*Data!D192+1*Data!E192)/(SUM(Data!B192:F192))</f>
        <v>3.6491228070175437</v>
      </c>
      <c r="D193" s="11">
        <f>Data!H192/Data!$J$3</f>
        <v>7.3964497041420121E-2</v>
      </c>
      <c r="E193" s="11">
        <f>Data!I192/Data!$J$3</f>
        <v>0.26627218934911245</v>
      </c>
      <c r="F193" s="11">
        <f>Data!J192/Data!$J$3</f>
        <v>0.49408284023668642</v>
      </c>
      <c r="G193" s="11">
        <f>Data!L192/(Data!L192+Data!M192)</f>
        <v>0.98467432950191569</v>
      </c>
    </row>
    <row r="194" spans="1:7" x14ac:dyDescent="0.25">
      <c r="A194" s="3" t="s">
        <v>351</v>
      </c>
      <c r="B194" t="s">
        <v>352</v>
      </c>
      <c r="C194" s="7">
        <f>(4*Data!B193+3*Data!C193+2*Data!D193+1*Data!E193)/(SUM(Data!B193:F193))</f>
        <v>3.642105263157895</v>
      </c>
      <c r="D194" s="11">
        <f>Data!H193/Data!$J$3</f>
        <v>7.6923076923076927E-2</v>
      </c>
      <c r="E194" s="11">
        <f>Data!I193/Data!$J$3</f>
        <v>0.12721893491124261</v>
      </c>
      <c r="F194" s="11">
        <f>Data!J193/Data!$J$3</f>
        <v>0.63313609467455623</v>
      </c>
      <c r="G194" s="11">
        <f>Data!L193/(Data!L193+Data!M193)</f>
        <v>0.99230769230769234</v>
      </c>
    </row>
    <row r="195" spans="1:7" x14ac:dyDescent="0.25">
      <c r="A195" s="3" t="s">
        <v>353</v>
      </c>
      <c r="B195" t="s">
        <v>354</v>
      </c>
      <c r="C195" s="7">
        <f>(4*Data!B194+3*Data!C194+2*Data!D194+1*Data!E194)/(SUM(Data!B194:F194))</f>
        <v>3.288732394366197</v>
      </c>
      <c r="D195" s="11">
        <f>Data!H194/Data!$J$3</f>
        <v>7.9881656804733733E-2</v>
      </c>
      <c r="E195" s="11">
        <f>Data!I194/Data!$J$3</f>
        <v>0.17751479289940827</v>
      </c>
      <c r="F195" s="11">
        <f>Data!J194/Data!$J$3</f>
        <v>0.57692307692307687</v>
      </c>
      <c r="G195" s="11">
        <f>Data!L194/(Data!L194+Data!M194)</f>
        <v>0.94594594594594594</v>
      </c>
    </row>
    <row r="196" spans="1:7" x14ac:dyDescent="0.25">
      <c r="A196" s="3" t="s">
        <v>355</v>
      </c>
      <c r="B196" t="s">
        <v>356</v>
      </c>
      <c r="C196" s="7">
        <f>(4*Data!B195+3*Data!C195+2*Data!D195+1*Data!E195)/(SUM(Data!B195:F195))</f>
        <v>2.7208480565371023</v>
      </c>
      <c r="D196" s="11">
        <f>Data!H195/Data!$J$3</f>
        <v>3.2544378698224852E-2</v>
      </c>
      <c r="E196" s="11">
        <f>Data!I195/Data!$J$3</f>
        <v>0.14201183431952663</v>
      </c>
      <c r="F196" s="11">
        <f>Data!J195/Data!$J$3</f>
        <v>0.65976331360946749</v>
      </c>
      <c r="G196" s="11">
        <f>Data!L195/(Data!L195+Data!M195)</f>
        <v>0.88505747126436785</v>
      </c>
    </row>
    <row r="197" spans="1:7" x14ac:dyDescent="0.25">
      <c r="A197" s="3" t="s">
        <v>357</v>
      </c>
      <c r="B197" s="5" t="s">
        <v>358</v>
      </c>
      <c r="C197" s="7">
        <f>(4*Data!B196+3*Data!C196+2*Data!D196+1*Data!E196)/(SUM(Data!B196:F196))</f>
        <v>2.9748201438848922</v>
      </c>
      <c r="D197" s="11">
        <f>Data!H196/Data!$J$3</f>
        <v>3.8461538461538464E-2</v>
      </c>
      <c r="E197" s="11">
        <f>Data!I196/Data!$J$3</f>
        <v>0.21005917159763313</v>
      </c>
      <c r="F197" s="11">
        <f>Data!J196/Data!$J$3</f>
        <v>0.57692307692307687</v>
      </c>
      <c r="G197" s="11">
        <f>Data!L196/(Data!L196+Data!M196)</f>
        <v>0.89883268482490275</v>
      </c>
    </row>
    <row r="198" spans="1:7" x14ac:dyDescent="0.25">
      <c r="A198" s="3" t="s">
        <v>359</v>
      </c>
      <c r="B198" t="s">
        <v>360</v>
      </c>
      <c r="C198" s="7">
        <f>(4*Data!B197+3*Data!C197+2*Data!D197+1*Data!E197)/(SUM(Data!B197:F197))</f>
        <v>3.0996441281138791</v>
      </c>
      <c r="D198" s="11">
        <f>Data!H197/Data!$J$3</f>
        <v>3.5502958579881658E-2</v>
      </c>
      <c r="E198" s="11">
        <f>Data!I197/Data!$J$3</f>
        <v>0.20414201183431951</v>
      </c>
      <c r="F198" s="11">
        <f>Data!J197/Data!$J$3</f>
        <v>0.58875739644970415</v>
      </c>
      <c r="G198" s="11">
        <f>Data!L197/(Data!L197+Data!M197)</f>
        <v>0.93076923076923079</v>
      </c>
    </row>
    <row r="199" spans="1:7" x14ac:dyDescent="0.25">
      <c r="A199" s="3" t="s">
        <v>361</v>
      </c>
      <c r="B199" t="s">
        <v>362</v>
      </c>
      <c r="C199" s="7">
        <f>(4*Data!B198+3*Data!C198+2*Data!D198+1*Data!E198)/(SUM(Data!B198:F198))</f>
        <v>3.2446808510638299</v>
      </c>
      <c r="D199" s="11">
        <f>Data!H198/Data!$J$3</f>
        <v>3.5502958579881658E-2</v>
      </c>
      <c r="E199" s="11">
        <f>Data!I198/Data!$J$3</f>
        <v>0.17159763313609466</v>
      </c>
      <c r="F199" s="11">
        <f>Data!J198/Data!$J$3</f>
        <v>0.61538461538461542</v>
      </c>
      <c r="G199" s="11">
        <f>Data!L198/(Data!L198+Data!M198)</f>
        <v>0.97307692307692306</v>
      </c>
    </row>
    <row r="200" spans="1:7" x14ac:dyDescent="0.25">
      <c r="A200" s="3" t="s">
        <v>363</v>
      </c>
      <c r="B200" t="s">
        <v>364</v>
      </c>
      <c r="C200" s="7">
        <f>(4*Data!B199+3*Data!C199+2*Data!D199+1*Data!E199)/(SUM(Data!B199:F199))</f>
        <v>3.7137809187279154</v>
      </c>
      <c r="D200" s="11">
        <f>Data!H199/Data!$J$3</f>
        <v>0.47337278106508873</v>
      </c>
      <c r="E200" s="11">
        <f>Data!I199/Data!$J$3</f>
        <v>0.28106508875739644</v>
      </c>
      <c r="F200" s="11">
        <f>Data!J199/Data!$J$3</f>
        <v>7.6923076923076927E-2</v>
      </c>
      <c r="G200" s="11">
        <f>Data!L199/(Data!L199+Data!M199)</f>
        <v>0.97683397683397688</v>
      </c>
    </row>
    <row r="201" spans="1:7" x14ac:dyDescent="0.25">
      <c r="A201" s="3" t="s">
        <v>365</v>
      </c>
      <c r="B201" t="s">
        <v>366</v>
      </c>
      <c r="C201" s="7">
        <f>(4*Data!B200+3*Data!C200+2*Data!D200+1*Data!E200)/(SUM(Data!B200:F200))</f>
        <v>3.0247349823321557</v>
      </c>
      <c r="D201" s="11">
        <f>Data!H200/Data!$J$3</f>
        <v>0.33136094674556216</v>
      </c>
      <c r="E201" s="11">
        <f>Data!I200/Data!$J$3</f>
        <v>0.41420118343195267</v>
      </c>
      <c r="F201" s="11">
        <f>Data!J200/Data!$J$3</f>
        <v>8.2840236686390539E-2</v>
      </c>
      <c r="G201" s="11">
        <f>Data!L200/(Data!L200+Data!M200)</f>
        <v>0.65758754863813229</v>
      </c>
    </row>
    <row r="202" spans="1:7" x14ac:dyDescent="0.25">
      <c r="A202" s="3" t="s">
        <v>367</v>
      </c>
      <c r="B202" t="s">
        <v>368</v>
      </c>
      <c r="C202" s="7">
        <f>(4*Data!B201+3*Data!C201+2*Data!D201+1*Data!E201)/(SUM(Data!B201:F201))</f>
        <v>3.306338028169014</v>
      </c>
      <c r="D202" s="11">
        <f>Data!H201/Data!$J$3</f>
        <v>8.2840236686390539E-2</v>
      </c>
      <c r="E202" s="11">
        <f>Data!I201/Data!$J$3</f>
        <v>0.38165680473372782</v>
      </c>
      <c r="F202" s="11">
        <f>Data!J201/Data!$J$3</f>
        <v>0.35798816568047337</v>
      </c>
      <c r="G202" s="11">
        <f>Data!L201/(Data!L201+Data!M201)</f>
        <v>0.97701149425287359</v>
      </c>
    </row>
    <row r="203" spans="1:7" x14ac:dyDescent="0.25">
      <c r="A203" s="3" t="s">
        <v>369</v>
      </c>
      <c r="B203" t="s">
        <v>370</v>
      </c>
      <c r="C203" s="7">
        <f>(4*Data!B202+3*Data!C202+2*Data!D202+1*Data!E202)/(SUM(Data!B202:F202))</f>
        <v>2.6501766784452299</v>
      </c>
      <c r="D203" s="11">
        <f>Data!H202/Data!$J$3</f>
        <v>0.10355029585798817</v>
      </c>
      <c r="E203" s="11">
        <f>Data!I202/Data!$J$3</f>
        <v>0.63017751479289941</v>
      </c>
      <c r="F203" s="11">
        <f>Data!J202/Data!$J$3</f>
        <v>9.1715976331360943E-2</v>
      </c>
      <c r="G203" s="11">
        <f>Data!L202/(Data!L202+Data!M202)</f>
        <v>0.41538461538461541</v>
      </c>
    </row>
    <row r="204" spans="1:7" x14ac:dyDescent="0.25">
      <c r="A204" s="3" t="s">
        <v>371</v>
      </c>
      <c r="B204" s="5" t="s">
        <v>372</v>
      </c>
      <c r="C204" s="7">
        <f>(4*Data!B203+3*Data!C203+2*Data!D203+1*Data!E203)/(SUM(Data!B203:F203))</f>
        <v>2</v>
      </c>
      <c r="D204" s="11">
        <f>Data!H203/Data!$J$3</f>
        <v>1.7751479289940829E-2</v>
      </c>
      <c r="E204" s="11">
        <f>Data!I203/Data!$J$3</f>
        <v>0.27514792899408286</v>
      </c>
      <c r="F204" s="11">
        <f>Data!J203/Data!$J$3</f>
        <v>0.52662721893491127</v>
      </c>
      <c r="G204" s="11">
        <f>Data!L203/(Data!L203+Data!M203)</f>
        <v>0.46303501945525294</v>
      </c>
    </row>
    <row r="205" spans="1:7" x14ac:dyDescent="0.25">
      <c r="A205" s="3" t="s">
        <v>373</v>
      </c>
      <c r="B205" t="s">
        <v>374</v>
      </c>
      <c r="C205" s="7">
        <f>(4*Data!B204+3*Data!C204+2*Data!D204+1*Data!E204)/(SUM(Data!B204:F204))</f>
        <v>2.8892857142857142</v>
      </c>
      <c r="D205" s="11">
        <f>Data!H204/Data!$J$3</f>
        <v>3.5502958579881658E-2</v>
      </c>
      <c r="E205" s="11">
        <f>Data!I204/Data!$J$3</f>
        <v>0.3224852071005917</v>
      </c>
      <c r="F205" s="11">
        <f>Data!J204/Data!$J$3</f>
        <v>0.46745562130177515</v>
      </c>
      <c r="G205" s="11">
        <f>Data!L204/(Data!L204+Data!M204)</f>
        <v>0.82170542635658916</v>
      </c>
    </row>
    <row r="206" spans="1:7" x14ac:dyDescent="0.25">
      <c r="A206" s="3"/>
      <c r="C206" s="7"/>
      <c r="D206" s="8"/>
      <c r="E206" s="8"/>
      <c r="F206" s="8"/>
      <c r="G206" s="8"/>
    </row>
    <row r="207" spans="1:7" x14ac:dyDescent="0.25">
      <c r="A207" s="3"/>
      <c r="C207" s="7"/>
      <c r="D207" s="8"/>
      <c r="E207" s="8"/>
      <c r="F207" s="8"/>
      <c r="G207" s="8"/>
    </row>
    <row r="208" spans="1:7" x14ac:dyDescent="0.25">
      <c r="A208" s="2" t="s">
        <v>20</v>
      </c>
      <c r="B208" s="2"/>
      <c r="C208" s="2"/>
      <c r="D208" s="2"/>
      <c r="E208" s="2"/>
      <c r="F208" s="2"/>
      <c r="G208" s="2"/>
    </row>
    <row r="209" spans="1:8" x14ac:dyDescent="0.25">
      <c r="A209" s="3"/>
      <c r="C209" s="7"/>
      <c r="D209" s="8"/>
      <c r="E209" s="8"/>
      <c r="F209" s="8"/>
      <c r="G209" s="8"/>
    </row>
    <row r="210" spans="1:8" ht="37.5" x14ac:dyDescent="0.25">
      <c r="A210" s="3">
        <v>1</v>
      </c>
      <c r="B210" s="17" t="s">
        <v>375</v>
      </c>
      <c r="C210" s="15" t="s">
        <v>376</v>
      </c>
      <c r="D210" s="16" t="s">
        <v>377</v>
      </c>
      <c r="E210" s="16" t="s">
        <v>378</v>
      </c>
      <c r="F210" s="8"/>
      <c r="G210" s="18"/>
      <c r="H210" s="3"/>
    </row>
    <row r="211" spans="1:8" x14ac:dyDescent="0.25">
      <c r="A211" s="3"/>
      <c r="B211" t="s">
        <v>379</v>
      </c>
      <c r="C211" s="11">
        <f>Data!C209/Data!$J$3</f>
        <v>0.32544378698224852</v>
      </c>
      <c r="D211" s="11">
        <f>Data!D209/Data!$J$3</f>
        <v>0.33136094674556216</v>
      </c>
      <c r="E211" s="11">
        <f>Data!E209/Data!$J$3</f>
        <v>0.19822485207100593</v>
      </c>
      <c r="F211" s="8"/>
      <c r="G211" s="8"/>
    </row>
    <row r="212" spans="1:8" x14ac:dyDescent="0.25">
      <c r="A212" s="3"/>
      <c r="B212" t="s">
        <v>42</v>
      </c>
      <c r="C212" s="11">
        <f>Data!C210/Data!$J$3</f>
        <v>0.6449704142011834</v>
      </c>
      <c r="D212" s="11">
        <f>Data!D210/Data!$J$3</f>
        <v>0.17455621301775148</v>
      </c>
      <c r="E212" s="11">
        <f>Data!E210/Data!$J$3</f>
        <v>3.5502958579881658E-2</v>
      </c>
      <c r="F212" s="8"/>
      <c r="G212" s="8"/>
    </row>
    <row r="213" spans="1:8" x14ac:dyDescent="0.25">
      <c r="B213" t="s">
        <v>380</v>
      </c>
      <c r="C213" s="11">
        <f>Data!C211/Data!$J$3</f>
        <v>0.47337278106508873</v>
      </c>
      <c r="D213" s="11">
        <f>Data!D211/Data!$J$3</f>
        <v>0.28402366863905326</v>
      </c>
      <c r="E213" s="11">
        <f>Data!E211/Data!$J$3</f>
        <v>9.7633136094674555E-2</v>
      </c>
    </row>
    <row r="214" spans="1:8" x14ac:dyDescent="0.25">
      <c r="B214" t="s">
        <v>381</v>
      </c>
      <c r="C214" s="11">
        <f>Data!C212/Data!$J$3</f>
        <v>0.7248520710059172</v>
      </c>
      <c r="D214" s="11">
        <f>Data!D212/Data!$J$3</f>
        <v>9.1715976331360943E-2</v>
      </c>
      <c r="E214" s="11">
        <f>Data!E212/Data!$J$3</f>
        <v>3.8461538461538464E-2</v>
      </c>
    </row>
    <row r="215" spans="1:8" x14ac:dyDescent="0.25">
      <c r="B215" t="s">
        <v>382</v>
      </c>
      <c r="C215" s="11">
        <f>Data!C213/Data!$J$3</f>
        <v>0.67455621301775148</v>
      </c>
      <c r="D215" s="11">
        <f>Data!D213/Data!$J$3</f>
        <v>9.1715976331360943E-2</v>
      </c>
      <c r="E215" s="11">
        <f>Data!E213/Data!$J$3</f>
        <v>8.5798816568047331E-2</v>
      </c>
    </row>
    <row r="216" spans="1:8" x14ac:dyDescent="0.25">
      <c r="B216" t="s">
        <v>383</v>
      </c>
      <c r="C216" s="11">
        <f>Data!C214/Data!$J$3</f>
        <v>0.57692307692307687</v>
      </c>
      <c r="D216" s="11">
        <f>Data!D214/Data!$J$3</f>
        <v>0.1242603550295858</v>
      </c>
      <c r="E216" s="11">
        <f>Data!E214/Data!$J$3</f>
        <v>0.13905325443786981</v>
      </c>
    </row>
    <row r="217" spans="1:8" x14ac:dyDescent="0.25">
      <c r="B217" t="s">
        <v>79</v>
      </c>
      <c r="C217" s="11">
        <f>Data!C215/Data!$J$3</f>
        <v>0.73668639053254437</v>
      </c>
      <c r="D217" s="11">
        <f>Data!D215/Data!$J$3</f>
        <v>8.5798816568047331E-2</v>
      </c>
      <c r="E217" s="11">
        <f>Data!E215/Data!$J$3</f>
        <v>2.9585798816568046E-2</v>
      </c>
    </row>
    <row r="218" spans="1:8" x14ac:dyDescent="0.25">
      <c r="B218" t="s">
        <v>384</v>
      </c>
      <c r="C218" s="11">
        <f>Data!C216/Data!$J$3</f>
        <v>0.64201183431952658</v>
      </c>
      <c r="D218" s="11">
        <f>Data!D216/Data!$J$3</f>
        <v>0.16568047337278108</v>
      </c>
      <c r="E218" s="11">
        <f>Data!E216/Data!$J$3</f>
        <v>4.4378698224852069E-2</v>
      </c>
    </row>
    <row r="220" spans="1:8" x14ac:dyDescent="0.25">
      <c r="E220" s="21" t="s">
        <v>385</v>
      </c>
      <c r="F220" s="19" t="s">
        <v>386</v>
      </c>
    </row>
    <row r="221" spans="1:8" x14ac:dyDescent="0.25">
      <c r="A221" s="3">
        <v>2</v>
      </c>
      <c r="B221" t="s">
        <v>387</v>
      </c>
      <c r="E221" s="11">
        <f>Data!H219/Data!$J$3</f>
        <v>0.38165680473372782</v>
      </c>
      <c r="F221" s="11">
        <f>Data!I219/Data!$J$3</f>
        <v>0.41715976331360949</v>
      </c>
      <c r="H221" s="11"/>
    </row>
    <row r="223" spans="1:8" x14ac:dyDescent="0.25">
      <c r="A223" s="3">
        <v>3</v>
      </c>
      <c r="B223" t="s">
        <v>388</v>
      </c>
    </row>
    <row r="224" spans="1:8" x14ac:dyDescent="0.25">
      <c r="B224" s="19" t="s">
        <v>389</v>
      </c>
      <c r="C224" s="11">
        <f>Data!D222/Data!$J$3</f>
        <v>1.7751479289940829E-2</v>
      </c>
    </row>
    <row r="225" spans="1:4" x14ac:dyDescent="0.25">
      <c r="B225" s="19">
        <v>4</v>
      </c>
      <c r="C225" s="11">
        <f>Data!D223/Data!$J$3</f>
        <v>2.0710059171597635E-2</v>
      </c>
    </row>
    <row r="226" spans="1:4" x14ac:dyDescent="0.25">
      <c r="B226" s="19">
        <v>5</v>
      </c>
      <c r="C226" s="11">
        <f>Data!D224/Data!$J$3</f>
        <v>0.17751479289940827</v>
      </c>
    </row>
    <row r="227" spans="1:4" x14ac:dyDescent="0.25">
      <c r="B227" s="19">
        <v>6</v>
      </c>
      <c r="C227" s="11">
        <f>Data!D225/Data!$J$3</f>
        <v>0.13905325443786981</v>
      </c>
    </row>
    <row r="228" spans="1:4" x14ac:dyDescent="0.25">
      <c r="B228" s="19">
        <v>7</v>
      </c>
      <c r="C228" s="11">
        <f>Data!D226/Data!$J$3</f>
        <v>0.20414201183431951</v>
      </c>
    </row>
    <row r="229" spans="1:4" x14ac:dyDescent="0.25">
      <c r="B229" s="19">
        <v>8</v>
      </c>
      <c r="C229" s="11">
        <f>Data!D227/Data!$J$3</f>
        <v>0.14201183431952663</v>
      </c>
    </row>
    <row r="230" spans="1:4" x14ac:dyDescent="0.25">
      <c r="B230" s="19">
        <v>9</v>
      </c>
      <c r="C230" s="11">
        <f>Data!D228/Data!$J$3</f>
        <v>8.8757396449704144E-3</v>
      </c>
    </row>
    <row r="231" spans="1:4" x14ac:dyDescent="0.25">
      <c r="B231" s="19">
        <v>10</v>
      </c>
      <c r="C231" s="11">
        <f>Data!D229/Data!$J$3</f>
        <v>6.5088757396449703E-2</v>
      </c>
    </row>
    <row r="232" spans="1:4" x14ac:dyDescent="0.25">
      <c r="B232" s="19" t="s">
        <v>390</v>
      </c>
      <c r="C232" s="11">
        <f>Data!D230/Data!$J$3</f>
        <v>1.7751479289940829E-2</v>
      </c>
    </row>
    <row r="234" spans="1:4" x14ac:dyDescent="0.25">
      <c r="A234" s="3">
        <v>4</v>
      </c>
      <c r="B234" s="20" t="s">
        <v>391</v>
      </c>
    </row>
    <row r="235" spans="1:4" x14ac:dyDescent="0.25">
      <c r="B235" t="s">
        <v>392</v>
      </c>
      <c r="D235" s="11">
        <f>Data!E233/Data!$E$239</f>
        <v>0.10107197549770292</v>
      </c>
    </row>
    <row r="236" spans="1:4" x14ac:dyDescent="0.25">
      <c r="B236" t="s">
        <v>393</v>
      </c>
      <c r="D236" s="11">
        <f>Data!E234/Data!$E$239</f>
        <v>0.16845329249617153</v>
      </c>
    </row>
    <row r="237" spans="1:4" x14ac:dyDescent="0.25">
      <c r="B237" t="s">
        <v>394</v>
      </c>
      <c r="D237" s="11">
        <f>Data!E235/Data!$E$239</f>
        <v>0.12710566615620214</v>
      </c>
    </row>
    <row r="238" spans="1:4" x14ac:dyDescent="0.25">
      <c r="B238" t="s">
        <v>395</v>
      </c>
      <c r="D238" s="11">
        <f>Data!E236/Data!$E$239</f>
        <v>0.18223583460949463</v>
      </c>
    </row>
    <row r="239" spans="1:4" x14ac:dyDescent="0.25">
      <c r="B239" t="s">
        <v>396</v>
      </c>
      <c r="D239" s="11">
        <f>Data!E237/Data!$E$239</f>
        <v>0.11332312404287902</v>
      </c>
    </row>
    <row r="240" spans="1:4" x14ac:dyDescent="0.25">
      <c r="B240" t="s">
        <v>397</v>
      </c>
      <c r="D240" s="11">
        <f>Data!E238/Data!$E$239</f>
        <v>0.15160796324655437</v>
      </c>
    </row>
    <row r="241" spans="1:6" x14ac:dyDescent="0.25">
      <c r="D241" s="11"/>
      <c r="E241" s="21" t="s">
        <v>385</v>
      </c>
      <c r="F241" s="19" t="s">
        <v>386</v>
      </c>
    </row>
    <row r="242" spans="1:6" x14ac:dyDescent="0.25">
      <c r="A242" s="3">
        <v>5</v>
      </c>
      <c r="B242" t="s">
        <v>398</v>
      </c>
      <c r="E242" s="11">
        <f>Data!H242/Data!$J$3</f>
        <v>0.50295857988165682</v>
      </c>
      <c r="F242" s="11">
        <f>Data!I242/Data!$J$3</f>
        <v>0.18047337278106509</v>
      </c>
    </row>
    <row r="244" spans="1:6" x14ac:dyDescent="0.25">
      <c r="A244" s="3">
        <v>6</v>
      </c>
      <c r="B244" t="s">
        <v>399</v>
      </c>
      <c r="D244" s="18"/>
      <c r="E244" s="11">
        <f>Data!H245/Data!$J$3</f>
        <v>0.29289940828402367</v>
      </c>
      <c r="F244" s="11">
        <f>Data!I245/Data!$J$3</f>
        <v>0.42603550295857989</v>
      </c>
    </row>
    <row r="246" spans="1:6" x14ac:dyDescent="0.25">
      <c r="A246" s="3">
        <v>7</v>
      </c>
      <c r="B246" t="s">
        <v>400</v>
      </c>
      <c r="E246" s="11">
        <f>Data!H247/Data!$J$3</f>
        <v>0.32544378698224852</v>
      </c>
      <c r="F246" s="11">
        <f>Data!I247/Data!$J$3</f>
        <v>0.46153846153846156</v>
      </c>
    </row>
    <row r="248" spans="1:6" x14ac:dyDescent="0.25">
      <c r="A248" s="3">
        <v>8</v>
      </c>
      <c r="B248" t="s">
        <v>401</v>
      </c>
      <c r="E248" s="11">
        <f>Data!H249/Data!$J$3</f>
        <v>0.60059171597633132</v>
      </c>
      <c r="F248" s="11">
        <f>Data!I249/Data!$J$3</f>
        <v>0.17751479289940827</v>
      </c>
    </row>
    <row r="250" spans="1:6" x14ac:dyDescent="0.25">
      <c r="A250" s="3">
        <v>9</v>
      </c>
      <c r="B250" t="s">
        <v>402</v>
      </c>
      <c r="E250" s="11">
        <f>Data!H251/Data!$J$3</f>
        <v>0.12721893491124261</v>
      </c>
      <c r="F250" s="11">
        <f>Data!I251/Data!$J$3</f>
        <v>0.4437869822485207</v>
      </c>
    </row>
  </sheetData>
  <printOptions horizontalCentered="1"/>
  <pageMargins left="0.25" right="0.25" top="0.7" bottom="0.5" header="0.5" footer="0.25"/>
  <pageSetup orientation="portrait" r:id="rId1"/>
  <headerFooter alignWithMargins="0"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workbookViewId="0"/>
  </sheetViews>
  <sheetFormatPr defaultRowHeight="12.5" x14ac:dyDescent="0.25"/>
  <cols>
    <col min="2" max="2" width="14.453125" customWidth="1"/>
    <col min="5" max="5" width="10.81640625" customWidth="1"/>
    <col min="6" max="6" width="12.1796875" customWidth="1"/>
    <col min="7" max="7" width="4.26953125" customWidth="1"/>
    <col min="9" max="9" width="12.54296875" customWidth="1"/>
    <col min="11" max="11" width="3.453125" customWidth="1"/>
    <col min="13" max="13" width="10.54296875" customWidth="1"/>
  </cols>
  <sheetData>
    <row r="1" spans="1:13" ht="15.5" x14ac:dyDescent="0.35">
      <c r="A1" s="13" t="s">
        <v>25</v>
      </c>
    </row>
    <row r="3" spans="1:13" x14ac:dyDescent="0.25">
      <c r="H3" t="s">
        <v>403</v>
      </c>
      <c r="J3">
        <v>338</v>
      </c>
    </row>
    <row r="5" spans="1:13" x14ac:dyDescent="0.25">
      <c r="A5" s="14" t="s">
        <v>26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/>
      <c r="H5" s="3" t="s">
        <v>28</v>
      </c>
      <c r="I5" s="3" t="s">
        <v>29</v>
      </c>
      <c r="J5" s="3" t="s">
        <v>30</v>
      </c>
      <c r="K5" s="3"/>
      <c r="L5" s="3" t="s">
        <v>16</v>
      </c>
      <c r="M5" s="6" t="s">
        <v>404</v>
      </c>
    </row>
    <row r="8" spans="1:13" x14ac:dyDescent="0.25">
      <c r="A8" s="3" t="s">
        <v>32</v>
      </c>
      <c r="B8">
        <v>107</v>
      </c>
      <c r="C8">
        <v>112</v>
      </c>
      <c r="D8">
        <v>62</v>
      </c>
      <c r="E8">
        <v>30</v>
      </c>
      <c r="F8">
        <v>7</v>
      </c>
      <c r="H8">
        <v>165</v>
      </c>
      <c r="I8">
        <v>1</v>
      </c>
      <c r="J8">
        <v>146</v>
      </c>
      <c r="L8">
        <v>245</v>
      </c>
      <c r="M8">
        <v>62</v>
      </c>
    </row>
    <row r="9" spans="1:13" x14ac:dyDescent="0.25">
      <c r="A9" s="3" t="s">
        <v>34</v>
      </c>
      <c r="B9">
        <v>67</v>
      </c>
      <c r="C9">
        <v>105</v>
      </c>
      <c r="D9">
        <v>79</v>
      </c>
      <c r="E9">
        <v>54</v>
      </c>
      <c r="F9">
        <v>13</v>
      </c>
      <c r="H9">
        <v>158</v>
      </c>
      <c r="I9">
        <v>7</v>
      </c>
      <c r="J9">
        <v>148</v>
      </c>
      <c r="L9">
        <v>169</v>
      </c>
      <c r="M9">
        <v>136</v>
      </c>
    </row>
    <row r="10" spans="1:13" x14ac:dyDescent="0.25">
      <c r="A10" s="3" t="s">
        <v>36</v>
      </c>
      <c r="B10">
        <v>27</v>
      </c>
      <c r="C10">
        <v>67</v>
      </c>
      <c r="D10">
        <v>81</v>
      </c>
      <c r="E10">
        <v>100</v>
      </c>
      <c r="F10">
        <v>36</v>
      </c>
      <c r="H10">
        <v>100</v>
      </c>
      <c r="I10">
        <v>16</v>
      </c>
      <c r="J10">
        <v>187</v>
      </c>
      <c r="L10">
        <v>83</v>
      </c>
      <c r="M10">
        <v>217</v>
      </c>
    </row>
    <row r="11" spans="1:13" x14ac:dyDescent="0.25">
      <c r="A11" s="3" t="s">
        <v>38</v>
      </c>
      <c r="B11">
        <v>75</v>
      </c>
      <c r="C11">
        <v>103</v>
      </c>
      <c r="D11">
        <v>66</v>
      </c>
      <c r="E11">
        <v>48</v>
      </c>
      <c r="F11">
        <v>23</v>
      </c>
      <c r="H11">
        <v>147</v>
      </c>
      <c r="I11">
        <v>6</v>
      </c>
      <c r="J11">
        <v>154</v>
      </c>
      <c r="L11">
        <v>194</v>
      </c>
      <c r="M11">
        <v>110</v>
      </c>
    </row>
    <row r="12" spans="1:13" x14ac:dyDescent="0.25">
      <c r="A12" s="3" t="s">
        <v>40</v>
      </c>
      <c r="B12">
        <v>213</v>
      </c>
      <c r="C12">
        <v>71</v>
      </c>
      <c r="D12">
        <v>24</v>
      </c>
      <c r="E12">
        <v>9</v>
      </c>
      <c r="F12">
        <v>0</v>
      </c>
      <c r="H12">
        <v>159</v>
      </c>
      <c r="I12">
        <v>1</v>
      </c>
      <c r="J12">
        <v>151</v>
      </c>
      <c r="L12">
        <v>292</v>
      </c>
      <c r="M12">
        <v>10</v>
      </c>
    </row>
    <row r="13" spans="1:13" x14ac:dyDescent="0.25">
      <c r="A13" s="3"/>
    </row>
    <row r="14" spans="1:13" x14ac:dyDescent="0.25">
      <c r="A14" s="3"/>
    </row>
    <row r="15" spans="1:13" x14ac:dyDescent="0.25">
      <c r="A15" s="3" t="s">
        <v>43</v>
      </c>
      <c r="B15">
        <v>135</v>
      </c>
      <c r="C15">
        <v>116</v>
      </c>
      <c r="D15">
        <v>48</v>
      </c>
      <c r="E15">
        <v>14</v>
      </c>
      <c r="F15">
        <v>2</v>
      </c>
      <c r="H15">
        <v>268</v>
      </c>
      <c r="I15">
        <v>4</v>
      </c>
      <c r="J15">
        <v>39</v>
      </c>
      <c r="L15">
        <v>249</v>
      </c>
      <c r="M15">
        <v>54</v>
      </c>
    </row>
    <row r="16" spans="1:13" x14ac:dyDescent="0.25">
      <c r="A16" s="3" t="s">
        <v>45</v>
      </c>
      <c r="B16">
        <v>197</v>
      </c>
      <c r="C16">
        <v>94</v>
      </c>
      <c r="D16">
        <v>25</v>
      </c>
      <c r="E16">
        <v>1</v>
      </c>
      <c r="F16">
        <v>0</v>
      </c>
      <c r="H16">
        <v>281</v>
      </c>
      <c r="I16">
        <v>1</v>
      </c>
      <c r="J16">
        <v>30</v>
      </c>
      <c r="L16">
        <v>292</v>
      </c>
      <c r="M16">
        <v>12</v>
      </c>
    </row>
    <row r="17" spans="1:13" x14ac:dyDescent="0.25">
      <c r="A17" s="3" t="s">
        <v>47</v>
      </c>
      <c r="B17">
        <v>175</v>
      </c>
      <c r="C17">
        <v>109</v>
      </c>
      <c r="D17">
        <v>31</v>
      </c>
      <c r="E17">
        <v>2</v>
      </c>
      <c r="F17">
        <v>0</v>
      </c>
      <c r="H17">
        <v>282</v>
      </c>
      <c r="I17">
        <v>2</v>
      </c>
      <c r="J17">
        <v>27</v>
      </c>
      <c r="L17">
        <v>281</v>
      </c>
      <c r="M17">
        <v>23</v>
      </c>
    </row>
    <row r="18" spans="1:13" x14ac:dyDescent="0.25">
      <c r="A18" s="3" t="s">
        <v>49</v>
      </c>
      <c r="B18">
        <v>146</v>
      </c>
      <c r="C18">
        <v>112</v>
      </c>
      <c r="D18">
        <v>48</v>
      </c>
      <c r="E18">
        <v>11</v>
      </c>
      <c r="F18">
        <v>0</v>
      </c>
      <c r="H18">
        <v>272</v>
      </c>
      <c r="I18">
        <v>11</v>
      </c>
      <c r="J18">
        <v>28</v>
      </c>
      <c r="L18">
        <v>236</v>
      </c>
      <c r="M18">
        <v>67</v>
      </c>
    </row>
    <row r="19" spans="1:13" x14ac:dyDescent="0.25">
      <c r="A19" s="3"/>
    </row>
    <row r="20" spans="1:13" x14ac:dyDescent="0.25">
      <c r="A20" s="3"/>
    </row>
    <row r="21" spans="1:13" x14ac:dyDescent="0.25">
      <c r="A21" s="3" t="s">
        <v>52</v>
      </c>
      <c r="B21">
        <v>94</v>
      </c>
      <c r="C21">
        <v>141</v>
      </c>
      <c r="D21">
        <v>66</v>
      </c>
      <c r="E21">
        <v>14</v>
      </c>
      <c r="F21">
        <v>1</v>
      </c>
      <c r="H21">
        <v>222</v>
      </c>
      <c r="I21">
        <v>21</v>
      </c>
      <c r="J21">
        <v>68</v>
      </c>
      <c r="L21">
        <v>205</v>
      </c>
      <c r="M21">
        <v>92</v>
      </c>
    </row>
    <row r="22" spans="1:13" x14ac:dyDescent="0.25">
      <c r="A22" s="3" t="s">
        <v>54</v>
      </c>
      <c r="B22">
        <v>39</v>
      </c>
      <c r="C22">
        <v>107</v>
      </c>
      <c r="D22">
        <v>96</v>
      </c>
      <c r="E22">
        <v>26</v>
      </c>
      <c r="F22">
        <v>10</v>
      </c>
      <c r="H22">
        <v>163</v>
      </c>
      <c r="I22">
        <v>38</v>
      </c>
      <c r="J22">
        <v>74</v>
      </c>
      <c r="L22">
        <v>122</v>
      </c>
      <c r="M22">
        <v>144</v>
      </c>
    </row>
    <row r="23" spans="1:13" x14ac:dyDescent="0.25">
      <c r="A23" s="3" t="s">
        <v>56</v>
      </c>
      <c r="B23">
        <v>63</v>
      </c>
      <c r="C23">
        <v>132</v>
      </c>
      <c r="D23">
        <v>84</v>
      </c>
      <c r="E23">
        <v>23</v>
      </c>
      <c r="F23">
        <v>6</v>
      </c>
      <c r="H23">
        <v>192</v>
      </c>
      <c r="I23">
        <v>34</v>
      </c>
      <c r="J23">
        <v>74</v>
      </c>
      <c r="L23">
        <v>170</v>
      </c>
      <c r="M23">
        <v>121</v>
      </c>
    </row>
    <row r="24" spans="1:13" x14ac:dyDescent="0.25">
      <c r="A24" s="3" t="s">
        <v>58</v>
      </c>
      <c r="B24">
        <v>93</v>
      </c>
      <c r="C24">
        <v>138</v>
      </c>
      <c r="D24">
        <v>65</v>
      </c>
      <c r="E24">
        <v>13</v>
      </c>
      <c r="F24">
        <v>3</v>
      </c>
      <c r="H24">
        <v>224</v>
      </c>
      <c r="I24">
        <v>23</v>
      </c>
      <c r="J24">
        <v>59</v>
      </c>
      <c r="L24">
        <v>197</v>
      </c>
      <c r="M24">
        <v>97</v>
      </c>
    </row>
    <row r="25" spans="1:13" x14ac:dyDescent="0.25">
      <c r="A25" s="3" t="s">
        <v>60</v>
      </c>
      <c r="B25">
        <v>55</v>
      </c>
      <c r="C25">
        <v>139</v>
      </c>
      <c r="D25">
        <v>89</v>
      </c>
      <c r="E25">
        <v>24</v>
      </c>
      <c r="F25">
        <v>6</v>
      </c>
      <c r="H25">
        <v>202</v>
      </c>
      <c r="I25">
        <v>25</v>
      </c>
      <c r="J25">
        <v>79</v>
      </c>
      <c r="L25">
        <v>158</v>
      </c>
      <c r="M25">
        <v>138</v>
      </c>
    </row>
    <row r="26" spans="1:13" x14ac:dyDescent="0.25">
      <c r="A26" s="3" t="s">
        <v>62</v>
      </c>
      <c r="B26">
        <v>72</v>
      </c>
      <c r="C26">
        <v>162</v>
      </c>
      <c r="D26">
        <v>60</v>
      </c>
      <c r="E26">
        <v>15</v>
      </c>
      <c r="F26">
        <v>4</v>
      </c>
      <c r="H26">
        <v>222</v>
      </c>
      <c r="I26">
        <v>25</v>
      </c>
      <c r="J26">
        <v>59</v>
      </c>
      <c r="L26">
        <v>185</v>
      </c>
      <c r="M26">
        <v>112</v>
      </c>
    </row>
    <row r="27" spans="1:13" x14ac:dyDescent="0.25">
      <c r="A27" s="3" t="s">
        <v>64</v>
      </c>
      <c r="B27">
        <v>35</v>
      </c>
      <c r="C27">
        <v>98</v>
      </c>
      <c r="D27">
        <v>110</v>
      </c>
      <c r="E27">
        <v>38</v>
      </c>
      <c r="F27">
        <v>9</v>
      </c>
      <c r="H27">
        <v>145</v>
      </c>
      <c r="I27">
        <v>59</v>
      </c>
      <c r="J27">
        <v>78</v>
      </c>
      <c r="L27">
        <v>99</v>
      </c>
      <c r="M27">
        <v>177</v>
      </c>
    </row>
    <row r="28" spans="1:13" x14ac:dyDescent="0.25">
      <c r="A28" s="3"/>
    </row>
    <row r="29" spans="1:13" x14ac:dyDescent="0.25">
      <c r="A29" s="3"/>
    </row>
    <row r="30" spans="1:13" x14ac:dyDescent="0.25">
      <c r="A30" s="3" t="s">
        <v>67</v>
      </c>
      <c r="B30">
        <v>31</v>
      </c>
      <c r="C30">
        <v>110</v>
      </c>
      <c r="D30">
        <v>94</v>
      </c>
      <c r="E30">
        <v>58</v>
      </c>
      <c r="F30">
        <v>15</v>
      </c>
      <c r="H30">
        <v>159</v>
      </c>
      <c r="I30">
        <v>29</v>
      </c>
      <c r="J30">
        <v>115</v>
      </c>
      <c r="L30">
        <v>102</v>
      </c>
      <c r="M30">
        <v>193</v>
      </c>
    </row>
    <row r="31" spans="1:13" x14ac:dyDescent="0.25">
      <c r="A31" s="3" t="s">
        <v>69</v>
      </c>
      <c r="B31">
        <v>33</v>
      </c>
      <c r="C31">
        <v>128</v>
      </c>
      <c r="D31">
        <v>99</v>
      </c>
      <c r="E31">
        <v>41</v>
      </c>
      <c r="F31">
        <v>7</v>
      </c>
      <c r="H31">
        <v>176</v>
      </c>
      <c r="I31">
        <v>28</v>
      </c>
      <c r="J31">
        <v>98</v>
      </c>
      <c r="L31">
        <v>105</v>
      </c>
      <c r="M31">
        <v>187</v>
      </c>
    </row>
    <row r="32" spans="1:13" x14ac:dyDescent="0.25">
      <c r="A32" s="3" t="s">
        <v>71</v>
      </c>
      <c r="B32">
        <v>121</v>
      </c>
      <c r="C32">
        <v>134</v>
      </c>
      <c r="D32">
        <v>41</v>
      </c>
      <c r="E32">
        <v>11</v>
      </c>
      <c r="F32">
        <v>1</v>
      </c>
      <c r="H32">
        <v>230</v>
      </c>
      <c r="I32">
        <v>16</v>
      </c>
      <c r="J32">
        <v>57</v>
      </c>
      <c r="L32">
        <v>245</v>
      </c>
      <c r="M32">
        <v>52</v>
      </c>
    </row>
    <row r="33" spans="1:13" x14ac:dyDescent="0.25">
      <c r="A33" s="3" t="s">
        <v>73</v>
      </c>
      <c r="B33">
        <v>31</v>
      </c>
      <c r="C33">
        <v>106</v>
      </c>
      <c r="D33">
        <v>106</v>
      </c>
      <c r="E33">
        <v>44</v>
      </c>
      <c r="F33">
        <v>16</v>
      </c>
      <c r="H33">
        <v>150</v>
      </c>
      <c r="I33">
        <v>40</v>
      </c>
      <c r="J33">
        <v>108</v>
      </c>
      <c r="L33">
        <v>68</v>
      </c>
      <c r="M33">
        <v>221</v>
      </c>
    </row>
    <row r="34" spans="1:13" x14ac:dyDescent="0.25">
      <c r="A34" s="3" t="s">
        <v>75</v>
      </c>
      <c r="B34">
        <v>16</v>
      </c>
      <c r="C34">
        <v>87</v>
      </c>
      <c r="D34">
        <v>117</v>
      </c>
      <c r="E34">
        <v>56</v>
      </c>
      <c r="F34">
        <v>22</v>
      </c>
      <c r="H34">
        <v>129</v>
      </c>
      <c r="I34">
        <v>47</v>
      </c>
      <c r="J34">
        <v>118</v>
      </c>
      <c r="L34">
        <v>41</v>
      </c>
      <c r="M34">
        <v>243</v>
      </c>
    </row>
    <row r="35" spans="1:13" x14ac:dyDescent="0.25">
      <c r="A35" s="3" t="s">
        <v>77</v>
      </c>
      <c r="B35">
        <v>17</v>
      </c>
      <c r="C35">
        <v>89</v>
      </c>
      <c r="D35">
        <v>82</v>
      </c>
      <c r="E35">
        <v>51</v>
      </c>
      <c r="F35">
        <v>15</v>
      </c>
      <c r="H35">
        <v>126</v>
      </c>
      <c r="I35">
        <v>33</v>
      </c>
      <c r="J35">
        <v>99</v>
      </c>
      <c r="L35">
        <v>50</v>
      </c>
      <c r="M35">
        <v>204</v>
      </c>
    </row>
    <row r="36" spans="1:13" x14ac:dyDescent="0.25">
      <c r="A36" s="3"/>
    </row>
    <row r="37" spans="1:13" x14ac:dyDescent="0.25">
      <c r="A37" s="3"/>
    </row>
    <row r="38" spans="1:13" x14ac:dyDescent="0.25">
      <c r="A38" s="3" t="s">
        <v>80</v>
      </c>
      <c r="B38">
        <v>272</v>
      </c>
      <c r="C38">
        <v>33</v>
      </c>
      <c r="D38">
        <v>4</v>
      </c>
      <c r="E38">
        <v>0</v>
      </c>
      <c r="F38">
        <v>0</v>
      </c>
      <c r="H38">
        <v>297</v>
      </c>
      <c r="I38">
        <v>2</v>
      </c>
      <c r="J38">
        <v>6</v>
      </c>
      <c r="L38">
        <v>296</v>
      </c>
      <c r="M38">
        <v>3</v>
      </c>
    </row>
    <row r="39" spans="1:13" x14ac:dyDescent="0.25">
      <c r="A39" s="3" t="s">
        <v>82</v>
      </c>
      <c r="B39">
        <v>219</v>
      </c>
      <c r="C39">
        <v>66</v>
      </c>
      <c r="D39">
        <v>20</v>
      </c>
      <c r="E39">
        <v>5</v>
      </c>
      <c r="F39">
        <v>0</v>
      </c>
      <c r="H39">
        <v>290</v>
      </c>
      <c r="I39">
        <v>7</v>
      </c>
      <c r="J39">
        <v>8</v>
      </c>
      <c r="L39">
        <v>240</v>
      </c>
      <c r="M39">
        <v>57</v>
      </c>
    </row>
    <row r="40" spans="1:13" x14ac:dyDescent="0.25">
      <c r="A40" s="3" t="s">
        <v>84</v>
      </c>
      <c r="B40">
        <v>122</v>
      </c>
      <c r="C40">
        <v>110</v>
      </c>
      <c r="D40">
        <v>58</v>
      </c>
      <c r="E40">
        <v>16</v>
      </c>
      <c r="F40">
        <v>2</v>
      </c>
      <c r="H40">
        <v>259</v>
      </c>
      <c r="I40">
        <v>18</v>
      </c>
      <c r="J40">
        <v>24</v>
      </c>
      <c r="L40">
        <v>177</v>
      </c>
      <c r="M40">
        <v>117</v>
      </c>
    </row>
    <row r="41" spans="1:13" x14ac:dyDescent="0.25">
      <c r="A41" s="3" t="s">
        <v>86</v>
      </c>
      <c r="B41">
        <v>95</v>
      </c>
      <c r="C41">
        <v>106</v>
      </c>
      <c r="D41">
        <v>85</v>
      </c>
      <c r="E41">
        <v>15</v>
      </c>
      <c r="F41">
        <v>6</v>
      </c>
      <c r="H41">
        <v>239</v>
      </c>
      <c r="I41">
        <v>24</v>
      </c>
      <c r="J41">
        <v>36</v>
      </c>
      <c r="L41">
        <v>168</v>
      </c>
      <c r="M41">
        <v>126</v>
      </c>
    </row>
    <row r="42" spans="1:13" x14ac:dyDescent="0.25">
      <c r="A42" s="3"/>
    </row>
    <row r="43" spans="1:13" x14ac:dyDescent="0.25">
      <c r="A43" s="3"/>
    </row>
    <row r="44" spans="1:13" x14ac:dyDescent="0.25">
      <c r="A44" s="3" t="s">
        <v>89</v>
      </c>
      <c r="B44">
        <v>229</v>
      </c>
      <c r="C44">
        <v>74</v>
      </c>
      <c r="D44">
        <v>5</v>
      </c>
      <c r="E44">
        <v>2</v>
      </c>
      <c r="F44">
        <v>0</v>
      </c>
      <c r="H44">
        <v>288</v>
      </c>
      <c r="I44">
        <v>5</v>
      </c>
      <c r="J44">
        <v>9</v>
      </c>
      <c r="L44">
        <v>276</v>
      </c>
      <c r="M44">
        <v>21</v>
      </c>
    </row>
    <row r="45" spans="1:13" x14ac:dyDescent="0.25">
      <c r="A45" s="3" t="s">
        <v>91</v>
      </c>
      <c r="B45">
        <v>145</v>
      </c>
      <c r="C45">
        <v>127</v>
      </c>
      <c r="D45">
        <v>32</v>
      </c>
      <c r="E45">
        <v>4</v>
      </c>
      <c r="F45">
        <v>1</v>
      </c>
      <c r="H45">
        <v>270</v>
      </c>
      <c r="I45">
        <v>21</v>
      </c>
      <c r="J45">
        <v>12</v>
      </c>
      <c r="L45">
        <v>199</v>
      </c>
      <c r="M45">
        <v>94</v>
      </c>
    </row>
    <row r="46" spans="1:13" x14ac:dyDescent="0.25">
      <c r="A46" s="3" t="s">
        <v>93</v>
      </c>
      <c r="B46">
        <v>97</v>
      </c>
      <c r="C46">
        <v>141</v>
      </c>
      <c r="D46">
        <v>56</v>
      </c>
      <c r="E46">
        <v>13</v>
      </c>
      <c r="F46">
        <v>0</v>
      </c>
      <c r="H46">
        <v>234</v>
      </c>
      <c r="I46">
        <v>42</v>
      </c>
      <c r="J46">
        <v>25</v>
      </c>
      <c r="L46">
        <v>173</v>
      </c>
      <c r="M46">
        <v>121</v>
      </c>
    </row>
    <row r="47" spans="1:13" x14ac:dyDescent="0.25">
      <c r="A47" s="3" t="s">
        <v>95</v>
      </c>
      <c r="B47">
        <v>53</v>
      </c>
      <c r="C47">
        <v>134</v>
      </c>
      <c r="D47">
        <v>93</v>
      </c>
      <c r="E47">
        <v>18</v>
      </c>
      <c r="F47">
        <v>3</v>
      </c>
      <c r="H47">
        <v>214</v>
      </c>
      <c r="I47">
        <v>46</v>
      </c>
      <c r="J47">
        <v>36</v>
      </c>
      <c r="L47">
        <v>93</v>
      </c>
      <c r="M47">
        <v>197</v>
      </c>
    </row>
    <row r="48" spans="1:13" x14ac:dyDescent="0.25">
      <c r="A48" s="3" t="s">
        <v>97</v>
      </c>
      <c r="B48">
        <v>92</v>
      </c>
      <c r="C48">
        <v>147</v>
      </c>
      <c r="D48">
        <v>54</v>
      </c>
      <c r="E48">
        <v>12</v>
      </c>
      <c r="F48">
        <v>0</v>
      </c>
      <c r="H48">
        <v>239</v>
      </c>
      <c r="I48">
        <v>38</v>
      </c>
      <c r="J48">
        <v>26</v>
      </c>
      <c r="L48">
        <v>174</v>
      </c>
      <c r="M48">
        <v>121</v>
      </c>
    </row>
    <row r="49" spans="1:13" x14ac:dyDescent="0.25">
      <c r="A49" s="3" t="s">
        <v>99</v>
      </c>
      <c r="B49">
        <v>52</v>
      </c>
      <c r="C49">
        <v>116</v>
      </c>
      <c r="D49">
        <v>94</v>
      </c>
      <c r="E49">
        <v>29</v>
      </c>
      <c r="F49">
        <v>9</v>
      </c>
      <c r="H49">
        <v>196</v>
      </c>
      <c r="I49">
        <v>67</v>
      </c>
      <c r="J49">
        <v>30</v>
      </c>
      <c r="L49">
        <v>90</v>
      </c>
      <c r="M49">
        <v>198</v>
      </c>
    </row>
    <row r="50" spans="1:13" x14ac:dyDescent="0.25">
      <c r="A50" s="3" t="s">
        <v>101</v>
      </c>
      <c r="B50">
        <v>78</v>
      </c>
      <c r="C50">
        <v>143</v>
      </c>
      <c r="D50">
        <v>65</v>
      </c>
      <c r="E50">
        <v>15</v>
      </c>
      <c r="F50">
        <v>2</v>
      </c>
      <c r="H50">
        <v>229</v>
      </c>
      <c r="I50">
        <v>43</v>
      </c>
      <c r="J50">
        <v>28</v>
      </c>
      <c r="L50">
        <v>113</v>
      </c>
      <c r="M50">
        <v>178</v>
      </c>
    </row>
    <row r="51" spans="1:13" x14ac:dyDescent="0.25">
      <c r="A51" s="3" t="s">
        <v>103</v>
      </c>
      <c r="B51">
        <v>148</v>
      </c>
      <c r="C51">
        <v>113</v>
      </c>
      <c r="D51">
        <v>36</v>
      </c>
      <c r="E51">
        <v>8</v>
      </c>
      <c r="F51">
        <v>1</v>
      </c>
      <c r="H51">
        <v>247</v>
      </c>
      <c r="I51">
        <v>27</v>
      </c>
      <c r="J51">
        <v>20</v>
      </c>
      <c r="L51">
        <v>219</v>
      </c>
      <c r="M51">
        <v>72</v>
      </c>
    </row>
    <row r="52" spans="1:13" x14ac:dyDescent="0.25">
      <c r="A52" s="3"/>
    </row>
    <row r="53" spans="1:13" x14ac:dyDescent="0.25">
      <c r="A53" s="3"/>
    </row>
    <row r="54" spans="1:13" x14ac:dyDescent="0.25">
      <c r="A54" s="3" t="s">
        <v>106</v>
      </c>
      <c r="B54">
        <v>49</v>
      </c>
      <c r="C54">
        <v>134</v>
      </c>
      <c r="D54">
        <v>80</v>
      </c>
      <c r="E54">
        <v>26</v>
      </c>
      <c r="F54">
        <v>5</v>
      </c>
      <c r="H54">
        <v>179</v>
      </c>
      <c r="I54">
        <v>84</v>
      </c>
      <c r="J54">
        <v>26</v>
      </c>
      <c r="L54">
        <v>116</v>
      </c>
      <c r="M54">
        <v>168</v>
      </c>
    </row>
    <row r="55" spans="1:13" x14ac:dyDescent="0.25">
      <c r="A55" s="3" t="s">
        <v>108</v>
      </c>
      <c r="B55">
        <v>51</v>
      </c>
      <c r="C55">
        <v>135</v>
      </c>
      <c r="D55">
        <v>80</v>
      </c>
      <c r="E55">
        <v>23</v>
      </c>
      <c r="F55">
        <v>3</v>
      </c>
      <c r="H55">
        <v>181</v>
      </c>
      <c r="I55">
        <v>82</v>
      </c>
      <c r="J55">
        <v>23</v>
      </c>
      <c r="L55">
        <v>110</v>
      </c>
      <c r="M55">
        <v>174</v>
      </c>
    </row>
    <row r="56" spans="1:13" x14ac:dyDescent="0.25">
      <c r="A56" s="3" t="s">
        <v>110</v>
      </c>
      <c r="B56">
        <v>20</v>
      </c>
      <c r="C56">
        <v>95</v>
      </c>
      <c r="D56">
        <v>118</v>
      </c>
      <c r="E56">
        <v>48</v>
      </c>
      <c r="F56">
        <v>10</v>
      </c>
      <c r="H56">
        <v>123</v>
      </c>
      <c r="I56">
        <v>129</v>
      </c>
      <c r="J56">
        <v>35</v>
      </c>
      <c r="L56">
        <v>55</v>
      </c>
      <c r="M56">
        <v>225</v>
      </c>
    </row>
    <row r="57" spans="1:13" x14ac:dyDescent="0.25">
      <c r="A57" s="3" t="s">
        <v>112</v>
      </c>
      <c r="B57">
        <v>27</v>
      </c>
      <c r="C57">
        <v>94</v>
      </c>
      <c r="D57">
        <v>111</v>
      </c>
      <c r="E57">
        <v>49</v>
      </c>
      <c r="F57">
        <v>8</v>
      </c>
      <c r="H57">
        <v>121</v>
      </c>
      <c r="I57">
        <v>123</v>
      </c>
      <c r="J57">
        <v>36</v>
      </c>
      <c r="L57">
        <v>62</v>
      </c>
      <c r="M57">
        <v>218</v>
      </c>
    </row>
    <row r="58" spans="1:13" x14ac:dyDescent="0.25">
      <c r="A58" s="3" t="s">
        <v>114</v>
      </c>
      <c r="B58">
        <v>24</v>
      </c>
      <c r="C58">
        <v>87</v>
      </c>
      <c r="D58">
        <v>114</v>
      </c>
      <c r="E58">
        <v>58</v>
      </c>
      <c r="F58">
        <v>8</v>
      </c>
      <c r="H58">
        <v>119</v>
      </c>
      <c r="I58">
        <v>120</v>
      </c>
      <c r="J58">
        <v>45</v>
      </c>
      <c r="L58">
        <v>50</v>
      </c>
      <c r="M58">
        <v>234</v>
      </c>
    </row>
    <row r="59" spans="1:13" x14ac:dyDescent="0.25">
      <c r="A59" s="3" t="s">
        <v>116</v>
      </c>
      <c r="B59">
        <v>27</v>
      </c>
      <c r="C59">
        <v>78</v>
      </c>
      <c r="D59">
        <v>125</v>
      </c>
      <c r="E59">
        <v>54</v>
      </c>
      <c r="F59">
        <v>10</v>
      </c>
      <c r="H59">
        <v>125</v>
      </c>
      <c r="I59">
        <v>108</v>
      </c>
      <c r="J59">
        <v>54</v>
      </c>
      <c r="L59">
        <v>47</v>
      </c>
      <c r="M59">
        <v>236</v>
      </c>
    </row>
    <row r="60" spans="1:13" x14ac:dyDescent="0.25">
      <c r="A60" s="3" t="s">
        <v>118</v>
      </c>
      <c r="B60">
        <v>34</v>
      </c>
      <c r="C60">
        <v>91</v>
      </c>
      <c r="D60">
        <v>117</v>
      </c>
      <c r="E60">
        <v>39</v>
      </c>
      <c r="F60">
        <v>11</v>
      </c>
      <c r="H60">
        <v>133</v>
      </c>
      <c r="I60">
        <v>101</v>
      </c>
      <c r="J60">
        <v>50</v>
      </c>
      <c r="L60">
        <v>60</v>
      </c>
      <c r="M60">
        <v>222</v>
      </c>
    </row>
    <row r="61" spans="1:13" x14ac:dyDescent="0.25">
      <c r="A61" s="3" t="s">
        <v>120</v>
      </c>
      <c r="B61">
        <v>45</v>
      </c>
      <c r="C61">
        <v>113</v>
      </c>
      <c r="D61">
        <v>96</v>
      </c>
      <c r="E61">
        <v>36</v>
      </c>
      <c r="F61">
        <v>4</v>
      </c>
      <c r="H61">
        <v>167</v>
      </c>
      <c r="I61">
        <v>83</v>
      </c>
      <c r="J61">
        <v>37</v>
      </c>
      <c r="L61">
        <v>108</v>
      </c>
      <c r="M61">
        <v>174</v>
      </c>
    </row>
    <row r="62" spans="1:13" x14ac:dyDescent="0.25">
      <c r="A62" s="3" t="s">
        <v>122</v>
      </c>
      <c r="B62">
        <v>20</v>
      </c>
      <c r="C62">
        <v>62</v>
      </c>
      <c r="D62">
        <v>130</v>
      </c>
      <c r="E62">
        <v>61</v>
      </c>
      <c r="F62">
        <v>20</v>
      </c>
      <c r="H62">
        <v>94</v>
      </c>
      <c r="I62">
        <v>123</v>
      </c>
      <c r="J62">
        <v>65</v>
      </c>
      <c r="L62">
        <v>38</v>
      </c>
      <c r="M62">
        <v>242</v>
      </c>
    </row>
    <row r="63" spans="1:13" x14ac:dyDescent="0.25">
      <c r="A63" s="3" t="s">
        <v>124</v>
      </c>
      <c r="B63">
        <v>40</v>
      </c>
      <c r="C63">
        <v>97</v>
      </c>
      <c r="D63">
        <v>101</v>
      </c>
      <c r="E63">
        <v>31</v>
      </c>
      <c r="F63">
        <v>14</v>
      </c>
      <c r="H63">
        <v>143</v>
      </c>
      <c r="I63">
        <v>89</v>
      </c>
      <c r="J63">
        <v>44</v>
      </c>
      <c r="L63">
        <v>83</v>
      </c>
      <c r="M63">
        <v>194</v>
      </c>
    </row>
    <row r="64" spans="1:13" x14ac:dyDescent="0.25">
      <c r="A64" s="3"/>
    </row>
    <row r="65" spans="1:13" x14ac:dyDescent="0.25">
      <c r="A65" s="3"/>
    </row>
    <row r="66" spans="1:13" x14ac:dyDescent="0.25">
      <c r="A66" s="3" t="s">
        <v>127</v>
      </c>
      <c r="B66">
        <v>134</v>
      </c>
      <c r="C66">
        <v>114</v>
      </c>
      <c r="D66">
        <v>34</v>
      </c>
      <c r="E66">
        <v>4</v>
      </c>
      <c r="F66">
        <v>0</v>
      </c>
      <c r="H66">
        <v>255</v>
      </c>
      <c r="I66">
        <v>19</v>
      </c>
      <c r="J66">
        <v>3</v>
      </c>
      <c r="L66">
        <v>203</v>
      </c>
      <c r="M66">
        <v>64</v>
      </c>
    </row>
    <row r="67" spans="1:13" x14ac:dyDescent="0.25">
      <c r="A67" s="3" t="s">
        <v>129</v>
      </c>
      <c r="B67">
        <v>101</v>
      </c>
      <c r="C67">
        <v>112</v>
      </c>
      <c r="D67">
        <v>38</v>
      </c>
      <c r="E67">
        <v>13</v>
      </c>
      <c r="F67">
        <v>1</v>
      </c>
      <c r="H67">
        <v>229</v>
      </c>
      <c r="I67">
        <v>26</v>
      </c>
      <c r="J67">
        <v>7</v>
      </c>
      <c r="L67">
        <v>153</v>
      </c>
      <c r="M67">
        <v>98</v>
      </c>
    </row>
    <row r="68" spans="1:13" x14ac:dyDescent="0.25">
      <c r="A68" s="3" t="s">
        <v>131</v>
      </c>
      <c r="B68">
        <v>31</v>
      </c>
      <c r="C68">
        <v>59</v>
      </c>
      <c r="D68">
        <v>95</v>
      </c>
      <c r="E68">
        <v>84</v>
      </c>
      <c r="F68">
        <v>25</v>
      </c>
      <c r="H68">
        <v>180</v>
      </c>
      <c r="I68">
        <v>48</v>
      </c>
      <c r="J68">
        <v>61</v>
      </c>
      <c r="L68">
        <v>130</v>
      </c>
      <c r="M68">
        <v>148</v>
      </c>
    </row>
    <row r="69" spans="1:13" x14ac:dyDescent="0.25">
      <c r="A69" s="3" t="s">
        <v>133</v>
      </c>
      <c r="B69">
        <v>14</v>
      </c>
      <c r="C69">
        <v>31</v>
      </c>
      <c r="D69">
        <v>92</v>
      </c>
      <c r="E69">
        <v>107</v>
      </c>
      <c r="F69">
        <v>47</v>
      </c>
      <c r="H69">
        <v>109</v>
      </c>
      <c r="I69">
        <v>81</v>
      </c>
      <c r="J69">
        <v>89</v>
      </c>
      <c r="L69">
        <v>63</v>
      </c>
      <c r="M69">
        <v>214</v>
      </c>
    </row>
    <row r="70" spans="1:13" x14ac:dyDescent="0.25">
      <c r="A70" s="3" t="s">
        <v>135</v>
      </c>
      <c r="B70">
        <v>209</v>
      </c>
      <c r="C70">
        <v>67</v>
      </c>
      <c r="D70">
        <v>16</v>
      </c>
      <c r="E70">
        <v>2</v>
      </c>
      <c r="F70">
        <v>0</v>
      </c>
      <c r="H70">
        <v>279</v>
      </c>
      <c r="I70">
        <v>3</v>
      </c>
      <c r="J70">
        <v>6</v>
      </c>
      <c r="L70">
        <v>259</v>
      </c>
      <c r="M70">
        <v>22</v>
      </c>
    </row>
    <row r="71" spans="1:13" x14ac:dyDescent="0.25">
      <c r="A71" s="3" t="s">
        <v>137</v>
      </c>
      <c r="B71">
        <v>211</v>
      </c>
      <c r="C71">
        <v>67</v>
      </c>
      <c r="D71">
        <v>14</v>
      </c>
      <c r="E71">
        <v>2</v>
      </c>
      <c r="F71">
        <v>0</v>
      </c>
      <c r="H71">
        <v>282</v>
      </c>
      <c r="I71">
        <v>5</v>
      </c>
      <c r="J71">
        <v>3</v>
      </c>
      <c r="L71">
        <v>261</v>
      </c>
      <c r="M71">
        <v>21</v>
      </c>
    </row>
    <row r="72" spans="1:13" x14ac:dyDescent="0.25">
      <c r="A72" s="3" t="s">
        <v>139</v>
      </c>
      <c r="B72">
        <v>230</v>
      </c>
      <c r="C72">
        <v>59</v>
      </c>
      <c r="D72">
        <v>6</v>
      </c>
      <c r="E72">
        <v>0</v>
      </c>
      <c r="F72">
        <v>0</v>
      </c>
      <c r="H72">
        <v>286</v>
      </c>
      <c r="I72">
        <v>3</v>
      </c>
      <c r="J72">
        <v>0</v>
      </c>
      <c r="L72">
        <v>257</v>
      </c>
      <c r="M72">
        <v>24</v>
      </c>
    </row>
    <row r="73" spans="1:13" x14ac:dyDescent="0.25">
      <c r="A73" s="3" t="s">
        <v>141</v>
      </c>
      <c r="B73">
        <v>168</v>
      </c>
      <c r="C73">
        <v>90</v>
      </c>
      <c r="D73">
        <v>26</v>
      </c>
      <c r="E73">
        <v>0</v>
      </c>
      <c r="F73">
        <v>0</v>
      </c>
      <c r="H73">
        <v>264</v>
      </c>
      <c r="I73">
        <v>18</v>
      </c>
      <c r="J73">
        <v>0</v>
      </c>
      <c r="L73">
        <v>192</v>
      </c>
      <c r="M73">
        <v>78</v>
      </c>
    </row>
    <row r="74" spans="1:13" x14ac:dyDescent="0.25">
      <c r="A74" s="3" t="s">
        <v>143</v>
      </c>
      <c r="B74">
        <v>18</v>
      </c>
      <c r="C74">
        <v>52</v>
      </c>
      <c r="D74">
        <v>60</v>
      </c>
      <c r="E74">
        <v>37</v>
      </c>
      <c r="F74">
        <v>9</v>
      </c>
      <c r="H74">
        <v>73</v>
      </c>
      <c r="I74">
        <v>73</v>
      </c>
      <c r="J74">
        <v>32</v>
      </c>
      <c r="L74">
        <v>26</v>
      </c>
      <c r="M74">
        <v>159</v>
      </c>
    </row>
    <row r="75" spans="1:13" x14ac:dyDescent="0.25">
      <c r="A75" s="3" t="s">
        <v>145</v>
      </c>
      <c r="B75">
        <v>18</v>
      </c>
      <c r="C75">
        <v>44</v>
      </c>
      <c r="D75">
        <v>48</v>
      </c>
      <c r="E75">
        <v>49</v>
      </c>
      <c r="F75">
        <v>21</v>
      </c>
      <c r="H75">
        <v>66</v>
      </c>
      <c r="I75">
        <v>64</v>
      </c>
      <c r="J75">
        <v>51</v>
      </c>
      <c r="L75">
        <v>26</v>
      </c>
      <c r="M75">
        <v>157</v>
      </c>
    </row>
    <row r="76" spans="1:13" x14ac:dyDescent="0.25">
      <c r="A76" s="3" t="s">
        <v>147</v>
      </c>
      <c r="B76">
        <v>89</v>
      </c>
      <c r="C76">
        <v>79</v>
      </c>
      <c r="D76">
        <v>64</v>
      </c>
      <c r="E76">
        <v>22</v>
      </c>
      <c r="F76">
        <v>5</v>
      </c>
      <c r="H76">
        <v>176</v>
      </c>
      <c r="I76">
        <v>62</v>
      </c>
      <c r="J76">
        <v>13</v>
      </c>
      <c r="L76">
        <v>130</v>
      </c>
      <c r="M76">
        <v>122</v>
      </c>
    </row>
    <row r="77" spans="1:13" x14ac:dyDescent="0.25">
      <c r="A77" s="3" t="s">
        <v>149</v>
      </c>
      <c r="B77">
        <v>150</v>
      </c>
      <c r="C77">
        <v>85</v>
      </c>
      <c r="D77">
        <v>40</v>
      </c>
      <c r="E77">
        <v>8</v>
      </c>
      <c r="F77">
        <v>2</v>
      </c>
      <c r="H77">
        <v>220</v>
      </c>
      <c r="I77">
        <v>40</v>
      </c>
      <c r="J77">
        <v>14</v>
      </c>
      <c r="L77">
        <v>211</v>
      </c>
      <c r="M77">
        <v>57</v>
      </c>
    </row>
    <row r="78" spans="1:13" x14ac:dyDescent="0.25">
      <c r="A78" s="3"/>
    </row>
    <row r="79" spans="1:13" x14ac:dyDescent="0.25">
      <c r="A79" s="3"/>
    </row>
    <row r="80" spans="1:13" x14ac:dyDescent="0.25">
      <c r="A80" s="3" t="s">
        <v>152</v>
      </c>
      <c r="B80">
        <v>143</v>
      </c>
      <c r="C80">
        <v>98</v>
      </c>
      <c r="D80">
        <v>43</v>
      </c>
      <c r="E80">
        <v>5</v>
      </c>
      <c r="F80">
        <v>0</v>
      </c>
      <c r="H80">
        <v>264</v>
      </c>
      <c r="I80">
        <v>16</v>
      </c>
      <c r="J80">
        <v>4</v>
      </c>
      <c r="L80">
        <v>205</v>
      </c>
      <c r="M80">
        <v>75</v>
      </c>
    </row>
    <row r="81" spans="1:13" x14ac:dyDescent="0.25">
      <c r="A81" s="3" t="s">
        <v>154</v>
      </c>
      <c r="B81">
        <v>156</v>
      </c>
      <c r="C81">
        <v>94</v>
      </c>
      <c r="D81">
        <v>33</v>
      </c>
      <c r="E81">
        <v>5</v>
      </c>
      <c r="F81">
        <v>0</v>
      </c>
      <c r="H81">
        <v>264</v>
      </c>
      <c r="I81">
        <v>16</v>
      </c>
      <c r="J81">
        <v>3</v>
      </c>
      <c r="L81">
        <v>210</v>
      </c>
      <c r="M81">
        <v>66</v>
      </c>
    </row>
    <row r="82" spans="1:13" x14ac:dyDescent="0.25">
      <c r="A82" s="3" t="s">
        <v>156</v>
      </c>
      <c r="B82">
        <v>147</v>
      </c>
      <c r="C82">
        <v>103</v>
      </c>
      <c r="D82">
        <v>35</v>
      </c>
      <c r="E82">
        <v>3</v>
      </c>
      <c r="F82">
        <v>0</v>
      </c>
      <c r="H82">
        <v>270</v>
      </c>
      <c r="I82">
        <v>9</v>
      </c>
      <c r="J82">
        <v>5</v>
      </c>
      <c r="L82">
        <v>227</v>
      </c>
      <c r="M82">
        <v>51</v>
      </c>
    </row>
    <row r="83" spans="1:13" x14ac:dyDescent="0.25">
      <c r="A83" s="3" t="s">
        <v>158</v>
      </c>
      <c r="B83">
        <v>182</v>
      </c>
      <c r="C83">
        <v>77</v>
      </c>
      <c r="D83">
        <v>22</v>
      </c>
      <c r="E83">
        <v>3</v>
      </c>
      <c r="F83">
        <v>0</v>
      </c>
      <c r="H83">
        <v>265</v>
      </c>
      <c r="I83">
        <v>8</v>
      </c>
      <c r="J83">
        <v>5</v>
      </c>
      <c r="L83">
        <v>251</v>
      </c>
      <c r="M83">
        <v>25</v>
      </c>
    </row>
    <row r="84" spans="1:13" x14ac:dyDescent="0.25">
      <c r="A84" s="3" t="s">
        <v>160</v>
      </c>
      <c r="B84">
        <v>119</v>
      </c>
      <c r="C84">
        <v>97</v>
      </c>
      <c r="D84">
        <v>56</v>
      </c>
      <c r="E84">
        <v>13</v>
      </c>
      <c r="F84">
        <v>1</v>
      </c>
      <c r="H84">
        <v>249</v>
      </c>
      <c r="I84">
        <v>29</v>
      </c>
      <c r="J84">
        <v>5</v>
      </c>
      <c r="L84">
        <v>182</v>
      </c>
      <c r="M84">
        <v>96</v>
      </c>
    </row>
    <row r="85" spans="1:13" x14ac:dyDescent="0.25">
      <c r="A85" s="3" t="s">
        <v>162</v>
      </c>
      <c r="B85">
        <v>183</v>
      </c>
      <c r="C85">
        <v>79</v>
      </c>
      <c r="D85">
        <v>22</v>
      </c>
      <c r="E85">
        <v>3</v>
      </c>
      <c r="F85">
        <v>1</v>
      </c>
      <c r="H85">
        <v>274</v>
      </c>
      <c r="I85">
        <v>6</v>
      </c>
      <c r="J85">
        <v>2</v>
      </c>
      <c r="L85">
        <v>267</v>
      </c>
      <c r="M85">
        <v>13</v>
      </c>
    </row>
    <row r="86" spans="1:13" x14ac:dyDescent="0.25">
      <c r="A86" s="3" t="s">
        <v>164</v>
      </c>
      <c r="B86">
        <v>174</v>
      </c>
      <c r="C86">
        <v>88</v>
      </c>
      <c r="D86">
        <v>19</v>
      </c>
      <c r="E86">
        <v>5</v>
      </c>
      <c r="F86">
        <v>1</v>
      </c>
      <c r="H86">
        <v>276</v>
      </c>
      <c r="I86">
        <v>4</v>
      </c>
      <c r="J86">
        <v>2</v>
      </c>
      <c r="L86">
        <v>222</v>
      </c>
      <c r="M86">
        <v>57</v>
      </c>
    </row>
    <row r="87" spans="1:13" x14ac:dyDescent="0.25">
      <c r="A87" s="3" t="s">
        <v>166</v>
      </c>
      <c r="B87">
        <v>89</v>
      </c>
      <c r="C87">
        <v>76</v>
      </c>
      <c r="D87">
        <v>37</v>
      </c>
      <c r="E87">
        <v>12</v>
      </c>
      <c r="F87">
        <v>3</v>
      </c>
      <c r="H87">
        <v>187</v>
      </c>
      <c r="I87">
        <v>21</v>
      </c>
      <c r="J87">
        <v>8</v>
      </c>
      <c r="L87">
        <v>98</v>
      </c>
      <c r="M87">
        <v>120</v>
      </c>
    </row>
    <row r="88" spans="1:13" x14ac:dyDescent="0.25">
      <c r="A88" s="3" t="s">
        <v>168</v>
      </c>
      <c r="B88">
        <v>140</v>
      </c>
      <c r="C88">
        <v>110</v>
      </c>
      <c r="D88">
        <v>36</v>
      </c>
      <c r="E88">
        <v>2</v>
      </c>
      <c r="F88">
        <v>0</v>
      </c>
      <c r="H88">
        <v>244</v>
      </c>
      <c r="I88">
        <v>33</v>
      </c>
      <c r="J88">
        <v>4</v>
      </c>
      <c r="L88">
        <v>195</v>
      </c>
      <c r="M88">
        <v>85</v>
      </c>
    </row>
    <row r="89" spans="1:13" x14ac:dyDescent="0.25">
      <c r="A89" s="3" t="s">
        <v>170</v>
      </c>
      <c r="B89">
        <v>81</v>
      </c>
      <c r="C89">
        <v>112</v>
      </c>
      <c r="D89">
        <v>69</v>
      </c>
      <c r="E89">
        <v>20</v>
      </c>
      <c r="F89">
        <v>3</v>
      </c>
      <c r="H89">
        <v>233</v>
      </c>
      <c r="I89">
        <v>22</v>
      </c>
      <c r="J89">
        <v>25</v>
      </c>
      <c r="L89">
        <v>150</v>
      </c>
      <c r="M89">
        <v>127</v>
      </c>
    </row>
    <row r="90" spans="1:13" x14ac:dyDescent="0.25">
      <c r="A90" s="3" t="s">
        <v>172</v>
      </c>
      <c r="B90">
        <v>81</v>
      </c>
      <c r="C90">
        <v>112</v>
      </c>
      <c r="D90">
        <v>69</v>
      </c>
      <c r="E90">
        <v>20</v>
      </c>
      <c r="F90">
        <v>3</v>
      </c>
      <c r="H90">
        <v>233</v>
      </c>
      <c r="I90">
        <v>22</v>
      </c>
      <c r="J90">
        <v>25</v>
      </c>
      <c r="L90">
        <v>150</v>
      </c>
      <c r="M90">
        <v>127</v>
      </c>
    </row>
    <row r="91" spans="1:13" x14ac:dyDescent="0.25">
      <c r="A91" s="3"/>
    </row>
    <row r="92" spans="1:13" x14ac:dyDescent="0.25">
      <c r="A92" s="3"/>
    </row>
    <row r="93" spans="1:13" x14ac:dyDescent="0.25">
      <c r="A93" s="3" t="s">
        <v>175</v>
      </c>
      <c r="B93">
        <v>210</v>
      </c>
      <c r="C93">
        <v>68</v>
      </c>
      <c r="D93">
        <v>10</v>
      </c>
      <c r="E93">
        <v>4</v>
      </c>
      <c r="F93">
        <v>0</v>
      </c>
      <c r="H93">
        <v>275</v>
      </c>
      <c r="I93">
        <v>4</v>
      </c>
      <c r="J93">
        <v>9</v>
      </c>
      <c r="L93">
        <v>279</v>
      </c>
      <c r="M93">
        <v>3</v>
      </c>
    </row>
    <row r="94" spans="1:13" x14ac:dyDescent="0.25">
      <c r="A94" s="3" t="s">
        <v>177</v>
      </c>
      <c r="B94">
        <v>200</v>
      </c>
      <c r="C94">
        <v>73</v>
      </c>
      <c r="D94">
        <v>17</v>
      </c>
      <c r="E94">
        <v>1</v>
      </c>
      <c r="F94">
        <v>1</v>
      </c>
      <c r="H94">
        <v>264</v>
      </c>
      <c r="I94">
        <v>6</v>
      </c>
      <c r="J94">
        <v>17</v>
      </c>
      <c r="L94">
        <v>275</v>
      </c>
      <c r="M94">
        <v>4</v>
      </c>
    </row>
    <row r="95" spans="1:13" x14ac:dyDescent="0.25">
      <c r="A95" s="3" t="s">
        <v>179</v>
      </c>
      <c r="B95">
        <v>128</v>
      </c>
      <c r="C95">
        <v>78</v>
      </c>
      <c r="D95">
        <v>67</v>
      </c>
      <c r="E95">
        <v>15</v>
      </c>
      <c r="F95">
        <v>2</v>
      </c>
      <c r="H95">
        <v>232</v>
      </c>
      <c r="I95">
        <v>30</v>
      </c>
      <c r="J95">
        <v>26</v>
      </c>
      <c r="L95">
        <v>247</v>
      </c>
      <c r="M95">
        <v>35</v>
      </c>
    </row>
    <row r="96" spans="1:13" x14ac:dyDescent="0.25">
      <c r="A96" s="3" t="s">
        <v>181</v>
      </c>
      <c r="B96">
        <v>274</v>
      </c>
      <c r="C96">
        <v>13</v>
      </c>
      <c r="D96">
        <v>2</v>
      </c>
      <c r="E96">
        <v>1</v>
      </c>
      <c r="F96">
        <v>0</v>
      </c>
      <c r="H96">
        <v>286</v>
      </c>
      <c r="I96">
        <v>1</v>
      </c>
      <c r="J96">
        <v>0</v>
      </c>
      <c r="L96">
        <v>281</v>
      </c>
      <c r="M96">
        <v>2</v>
      </c>
    </row>
    <row r="97" spans="1:13" x14ac:dyDescent="0.25">
      <c r="A97" s="3" t="s">
        <v>183</v>
      </c>
      <c r="B97">
        <v>279</v>
      </c>
      <c r="C97">
        <v>11</v>
      </c>
      <c r="D97">
        <v>2</v>
      </c>
      <c r="E97">
        <v>1</v>
      </c>
      <c r="F97">
        <v>0</v>
      </c>
      <c r="H97">
        <v>287</v>
      </c>
      <c r="I97">
        <v>3</v>
      </c>
      <c r="J97">
        <v>0</v>
      </c>
      <c r="L97">
        <v>280</v>
      </c>
      <c r="M97">
        <v>3</v>
      </c>
    </row>
    <row r="98" spans="1:13" x14ac:dyDescent="0.25">
      <c r="A98" s="3" t="s">
        <v>185</v>
      </c>
      <c r="B98">
        <v>279</v>
      </c>
      <c r="C98">
        <v>14</v>
      </c>
      <c r="D98">
        <v>0</v>
      </c>
      <c r="E98">
        <v>0</v>
      </c>
      <c r="F98">
        <v>0</v>
      </c>
      <c r="H98">
        <v>288</v>
      </c>
      <c r="I98">
        <v>2</v>
      </c>
      <c r="J98">
        <v>0</v>
      </c>
      <c r="L98">
        <v>280</v>
      </c>
      <c r="M98">
        <v>1</v>
      </c>
    </row>
    <row r="99" spans="1:13" x14ac:dyDescent="0.25">
      <c r="A99" s="3" t="s">
        <v>187</v>
      </c>
      <c r="B99">
        <v>244</v>
      </c>
      <c r="C99">
        <v>44</v>
      </c>
      <c r="D99">
        <v>4</v>
      </c>
      <c r="E99">
        <v>0</v>
      </c>
      <c r="F99">
        <v>0</v>
      </c>
      <c r="H99">
        <v>282</v>
      </c>
      <c r="I99">
        <v>7</v>
      </c>
      <c r="J99">
        <v>1</v>
      </c>
      <c r="L99">
        <v>280</v>
      </c>
      <c r="M99">
        <v>3</v>
      </c>
    </row>
    <row r="100" spans="1:13" x14ac:dyDescent="0.25">
      <c r="A100" s="3" t="s">
        <v>189</v>
      </c>
      <c r="B100">
        <v>236</v>
      </c>
      <c r="C100">
        <v>48</v>
      </c>
      <c r="D100">
        <v>5</v>
      </c>
      <c r="E100">
        <v>2</v>
      </c>
      <c r="F100">
        <v>1</v>
      </c>
      <c r="H100">
        <v>283</v>
      </c>
      <c r="I100">
        <v>5</v>
      </c>
      <c r="J100">
        <v>2</v>
      </c>
      <c r="L100">
        <v>264</v>
      </c>
      <c r="M100">
        <v>18</v>
      </c>
    </row>
    <row r="101" spans="1:13" x14ac:dyDescent="0.25">
      <c r="A101" s="3" t="s">
        <v>191</v>
      </c>
      <c r="B101">
        <v>251</v>
      </c>
      <c r="C101">
        <v>34</v>
      </c>
      <c r="D101">
        <v>5</v>
      </c>
      <c r="E101">
        <v>1</v>
      </c>
      <c r="F101">
        <v>1</v>
      </c>
      <c r="H101">
        <v>284</v>
      </c>
      <c r="I101">
        <v>3</v>
      </c>
      <c r="J101">
        <v>3</v>
      </c>
      <c r="L101">
        <v>274</v>
      </c>
      <c r="M101">
        <v>8</v>
      </c>
    </row>
    <row r="102" spans="1:13" x14ac:dyDescent="0.25">
      <c r="A102" s="3" t="s">
        <v>193</v>
      </c>
      <c r="B102">
        <v>220</v>
      </c>
      <c r="C102">
        <v>58</v>
      </c>
      <c r="D102">
        <v>12</v>
      </c>
      <c r="E102">
        <v>1</v>
      </c>
      <c r="F102">
        <v>1</v>
      </c>
      <c r="H102">
        <v>279</v>
      </c>
      <c r="I102">
        <v>5</v>
      </c>
      <c r="J102">
        <v>6</v>
      </c>
      <c r="L102">
        <v>277</v>
      </c>
      <c r="M102">
        <v>6</v>
      </c>
    </row>
    <row r="103" spans="1:13" x14ac:dyDescent="0.25">
      <c r="A103" s="3" t="s">
        <v>195</v>
      </c>
      <c r="B103">
        <v>252</v>
      </c>
      <c r="C103">
        <v>34</v>
      </c>
      <c r="D103">
        <v>3</v>
      </c>
      <c r="E103">
        <v>0</v>
      </c>
      <c r="F103">
        <v>1</v>
      </c>
      <c r="H103">
        <v>287</v>
      </c>
      <c r="I103">
        <v>2</v>
      </c>
      <c r="J103">
        <v>0</v>
      </c>
      <c r="L103">
        <v>275</v>
      </c>
      <c r="M103">
        <v>7</v>
      </c>
    </row>
    <row r="104" spans="1:13" x14ac:dyDescent="0.25">
      <c r="A104" s="3" t="s">
        <v>197</v>
      </c>
      <c r="B104">
        <v>144</v>
      </c>
      <c r="C104">
        <v>108</v>
      </c>
      <c r="D104">
        <v>30</v>
      </c>
      <c r="E104">
        <v>6</v>
      </c>
      <c r="F104">
        <v>3</v>
      </c>
      <c r="H104">
        <v>244</v>
      </c>
      <c r="I104">
        <v>37</v>
      </c>
      <c r="J104">
        <v>6</v>
      </c>
      <c r="L104">
        <v>229</v>
      </c>
      <c r="M104">
        <v>50</v>
      </c>
    </row>
    <row r="105" spans="1:13" x14ac:dyDescent="0.25">
      <c r="A105" s="3" t="s">
        <v>199</v>
      </c>
      <c r="B105">
        <v>239</v>
      </c>
      <c r="C105">
        <v>47</v>
      </c>
      <c r="D105">
        <v>3</v>
      </c>
      <c r="E105">
        <v>1</v>
      </c>
      <c r="F105">
        <v>0</v>
      </c>
      <c r="H105">
        <v>282</v>
      </c>
      <c r="I105">
        <v>2</v>
      </c>
      <c r="J105">
        <v>1</v>
      </c>
      <c r="L105">
        <v>269</v>
      </c>
      <c r="M105">
        <v>11</v>
      </c>
    </row>
    <row r="106" spans="1:13" x14ac:dyDescent="0.25">
      <c r="A106" s="3" t="s">
        <v>201</v>
      </c>
      <c r="B106">
        <v>274</v>
      </c>
      <c r="C106">
        <v>17</v>
      </c>
      <c r="D106">
        <v>1</v>
      </c>
      <c r="E106">
        <v>0</v>
      </c>
      <c r="F106">
        <v>0</v>
      </c>
      <c r="H106">
        <v>282</v>
      </c>
      <c r="I106">
        <v>2</v>
      </c>
      <c r="J106">
        <v>2</v>
      </c>
      <c r="L106">
        <v>276</v>
      </c>
      <c r="M106">
        <v>2</v>
      </c>
    </row>
    <row r="107" spans="1:13" x14ac:dyDescent="0.25">
      <c r="A107" s="3" t="s">
        <v>203</v>
      </c>
      <c r="B107">
        <v>269</v>
      </c>
      <c r="C107">
        <v>18</v>
      </c>
      <c r="D107">
        <v>1</v>
      </c>
      <c r="E107">
        <v>0</v>
      </c>
      <c r="F107">
        <v>1</v>
      </c>
      <c r="H107">
        <v>281</v>
      </c>
      <c r="I107">
        <v>3</v>
      </c>
      <c r="J107">
        <v>2</v>
      </c>
      <c r="L107">
        <v>277</v>
      </c>
      <c r="M107">
        <v>1</v>
      </c>
    </row>
    <row r="108" spans="1:13" x14ac:dyDescent="0.25">
      <c r="A108" s="3" t="s">
        <v>205</v>
      </c>
      <c r="B108">
        <v>220</v>
      </c>
      <c r="C108">
        <v>66</v>
      </c>
      <c r="D108">
        <v>4</v>
      </c>
      <c r="E108">
        <v>0</v>
      </c>
      <c r="F108">
        <v>0</v>
      </c>
      <c r="H108">
        <v>279</v>
      </c>
      <c r="I108">
        <v>8</v>
      </c>
      <c r="J108">
        <v>0</v>
      </c>
      <c r="L108">
        <v>250</v>
      </c>
      <c r="M108">
        <v>28</v>
      </c>
    </row>
    <row r="109" spans="1:13" x14ac:dyDescent="0.25">
      <c r="A109" s="3" t="s">
        <v>207</v>
      </c>
      <c r="B109">
        <v>184</v>
      </c>
      <c r="C109">
        <v>86</v>
      </c>
      <c r="D109">
        <v>18</v>
      </c>
      <c r="E109">
        <v>3</v>
      </c>
      <c r="F109">
        <v>0</v>
      </c>
      <c r="H109">
        <v>267</v>
      </c>
      <c r="I109">
        <v>17</v>
      </c>
      <c r="J109">
        <v>4</v>
      </c>
      <c r="L109">
        <v>257</v>
      </c>
      <c r="M109">
        <v>22</v>
      </c>
    </row>
    <row r="110" spans="1:13" x14ac:dyDescent="0.25">
      <c r="A110" s="3" t="s">
        <v>209</v>
      </c>
      <c r="B110">
        <v>204</v>
      </c>
      <c r="C110">
        <v>77</v>
      </c>
      <c r="D110">
        <v>10</v>
      </c>
      <c r="E110">
        <v>0</v>
      </c>
      <c r="F110">
        <v>0</v>
      </c>
      <c r="H110">
        <v>282</v>
      </c>
      <c r="I110">
        <v>4</v>
      </c>
      <c r="J110">
        <v>1</v>
      </c>
      <c r="L110">
        <v>244</v>
      </c>
      <c r="M110">
        <v>34</v>
      </c>
    </row>
    <row r="111" spans="1:13" x14ac:dyDescent="0.25">
      <c r="A111" s="3" t="s">
        <v>211</v>
      </c>
      <c r="B111">
        <v>124</v>
      </c>
      <c r="C111">
        <v>102</v>
      </c>
      <c r="D111">
        <v>52</v>
      </c>
      <c r="E111">
        <v>8</v>
      </c>
      <c r="F111">
        <v>0</v>
      </c>
      <c r="H111">
        <v>223</v>
      </c>
      <c r="I111">
        <v>45</v>
      </c>
      <c r="J111">
        <v>15</v>
      </c>
      <c r="L111">
        <v>203</v>
      </c>
      <c r="M111">
        <v>71</v>
      </c>
    </row>
    <row r="112" spans="1:13" x14ac:dyDescent="0.25">
      <c r="A112" s="3"/>
    </row>
    <row r="113" spans="1:13" x14ac:dyDescent="0.25">
      <c r="A113" s="3"/>
    </row>
    <row r="114" spans="1:13" x14ac:dyDescent="0.25">
      <c r="A114" s="3" t="s">
        <v>214</v>
      </c>
      <c r="B114">
        <v>272</v>
      </c>
      <c r="C114">
        <v>16</v>
      </c>
      <c r="D114">
        <v>2</v>
      </c>
      <c r="E114">
        <v>0</v>
      </c>
      <c r="F114">
        <v>0</v>
      </c>
      <c r="H114">
        <v>284</v>
      </c>
      <c r="I114">
        <v>1</v>
      </c>
      <c r="J114">
        <v>1</v>
      </c>
      <c r="L114">
        <v>276</v>
      </c>
      <c r="M114">
        <v>5</v>
      </c>
    </row>
    <row r="115" spans="1:13" x14ac:dyDescent="0.25">
      <c r="A115" s="3" t="s">
        <v>216</v>
      </c>
      <c r="B115">
        <v>277</v>
      </c>
      <c r="C115">
        <v>10</v>
      </c>
      <c r="D115">
        <v>0</v>
      </c>
      <c r="E115">
        <v>0</v>
      </c>
      <c r="F115">
        <v>0</v>
      </c>
      <c r="H115">
        <v>285</v>
      </c>
      <c r="I115">
        <v>1</v>
      </c>
      <c r="J115">
        <v>0</v>
      </c>
      <c r="L115">
        <v>274</v>
      </c>
      <c r="M115">
        <v>6</v>
      </c>
    </row>
    <row r="116" spans="1:13" x14ac:dyDescent="0.25">
      <c r="A116" s="3" t="s">
        <v>218</v>
      </c>
      <c r="B116">
        <v>236</v>
      </c>
      <c r="C116">
        <v>47</v>
      </c>
      <c r="D116">
        <v>3</v>
      </c>
      <c r="E116">
        <v>0</v>
      </c>
      <c r="F116">
        <v>1</v>
      </c>
      <c r="H116">
        <v>284</v>
      </c>
      <c r="I116">
        <v>2</v>
      </c>
      <c r="J116">
        <v>1</v>
      </c>
      <c r="L116">
        <v>252</v>
      </c>
      <c r="M116">
        <v>28</v>
      </c>
    </row>
    <row r="117" spans="1:13" x14ac:dyDescent="0.25">
      <c r="A117" s="3" t="s">
        <v>220</v>
      </c>
      <c r="B117">
        <v>207</v>
      </c>
      <c r="C117">
        <v>65</v>
      </c>
      <c r="D117">
        <v>15</v>
      </c>
      <c r="E117">
        <v>3</v>
      </c>
      <c r="F117">
        <v>0</v>
      </c>
      <c r="H117">
        <v>252</v>
      </c>
      <c r="I117">
        <v>25</v>
      </c>
      <c r="J117">
        <v>10</v>
      </c>
      <c r="L117">
        <v>268</v>
      </c>
      <c r="M117">
        <v>13</v>
      </c>
    </row>
    <row r="118" spans="1:13" x14ac:dyDescent="0.25">
      <c r="A118" s="3" t="s">
        <v>222</v>
      </c>
      <c r="B118">
        <v>223</v>
      </c>
      <c r="C118">
        <v>59</v>
      </c>
      <c r="D118">
        <v>7</v>
      </c>
      <c r="E118">
        <v>0</v>
      </c>
      <c r="F118">
        <v>0</v>
      </c>
      <c r="H118">
        <v>281</v>
      </c>
      <c r="I118">
        <v>6</v>
      </c>
      <c r="J118">
        <v>1</v>
      </c>
      <c r="L118">
        <v>240</v>
      </c>
      <c r="M118">
        <v>40</v>
      </c>
    </row>
    <row r="119" spans="1:13" x14ac:dyDescent="0.25">
      <c r="A119" s="3" t="s">
        <v>224</v>
      </c>
      <c r="B119">
        <v>230</v>
      </c>
      <c r="C119">
        <v>52</v>
      </c>
      <c r="D119">
        <v>6</v>
      </c>
      <c r="E119">
        <v>0</v>
      </c>
      <c r="F119">
        <v>0</v>
      </c>
      <c r="H119">
        <v>280</v>
      </c>
      <c r="I119">
        <v>5</v>
      </c>
      <c r="J119">
        <v>0</v>
      </c>
      <c r="L119">
        <v>255</v>
      </c>
      <c r="M119">
        <v>25</v>
      </c>
    </row>
    <row r="120" spans="1:13" x14ac:dyDescent="0.25">
      <c r="A120" s="3" t="s">
        <v>226</v>
      </c>
      <c r="B120">
        <v>193</v>
      </c>
      <c r="C120">
        <v>82</v>
      </c>
      <c r="D120">
        <v>15</v>
      </c>
      <c r="E120">
        <v>0</v>
      </c>
      <c r="F120">
        <v>0</v>
      </c>
      <c r="H120">
        <v>249</v>
      </c>
      <c r="I120">
        <v>34</v>
      </c>
      <c r="J120">
        <v>2</v>
      </c>
      <c r="L120">
        <v>244</v>
      </c>
      <c r="M120">
        <v>38</v>
      </c>
    </row>
    <row r="121" spans="1:13" x14ac:dyDescent="0.25">
      <c r="A121" s="3" t="s">
        <v>228</v>
      </c>
      <c r="B121">
        <v>197</v>
      </c>
      <c r="C121">
        <v>83</v>
      </c>
      <c r="D121">
        <v>9</v>
      </c>
      <c r="E121">
        <v>1</v>
      </c>
      <c r="F121">
        <v>0</v>
      </c>
      <c r="H121">
        <v>269</v>
      </c>
      <c r="I121">
        <v>18</v>
      </c>
      <c r="J121">
        <v>0</v>
      </c>
      <c r="L121">
        <v>207</v>
      </c>
      <c r="M121">
        <v>74</v>
      </c>
    </row>
    <row r="122" spans="1:13" x14ac:dyDescent="0.25">
      <c r="A122" s="3" t="s">
        <v>230</v>
      </c>
      <c r="B122">
        <v>134</v>
      </c>
      <c r="C122">
        <v>104</v>
      </c>
      <c r="D122">
        <v>44</v>
      </c>
      <c r="E122">
        <v>4</v>
      </c>
      <c r="F122">
        <v>0</v>
      </c>
      <c r="H122">
        <v>230</v>
      </c>
      <c r="I122">
        <v>50</v>
      </c>
      <c r="J122">
        <v>0</v>
      </c>
      <c r="L122">
        <v>163</v>
      </c>
      <c r="M122">
        <v>114</v>
      </c>
    </row>
    <row r="123" spans="1:13" x14ac:dyDescent="0.25">
      <c r="A123" s="3" t="s">
        <v>232</v>
      </c>
      <c r="B123">
        <v>191</v>
      </c>
      <c r="C123">
        <v>77</v>
      </c>
      <c r="D123">
        <v>15</v>
      </c>
      <c r="E123">
        <v>2</v>
      </c>
      <c r="F123">
        <v>0</v>
      </c>
      <c r="H123">
        <v>261</v>
      </c>
      <c r="I123">
        <v>17</v>
      </c>
      <c r="J123">
        <v>3</v>
      </c>
      <c r="L123">
        <v>220</v>
      </c>
      <c r="M123">
        <v>58</v>
      </c>
    </row>
    <row r="124" spans="1:13" x14ac:dyDescent="0.25">
      <c r="A124" s="3" t="s">
        <v>234</v>
      </c>
      <c r="B124">
        <v>206</v>
      </c>
      <c r="C124">
        <v>65</v>
      </c>
      <c r="D124">
        <v>18</v>
      </c>
      <c r="E124">
        <v>0</v>
      </c>
      <c r="F124">
        <v>0</v>
      </c>
      <c r="H124">
        <v>274</v>
      </c>
      <c r="I124">
        <v>9</v>
      </c>
      <c r="J124">
        <v>3</v>
      </c>
      <c r="L124">
        <v>242</v>
      </c>
      <c r="M124">
        <v>39</v>
      </c>
    </row>
    <row r="125" spans="1:13" x14ac:dyDescent="0.25">
      <c r="A125" s="3" t="s">
        <v>236</v>
      </c>
      <c r="B125">
        <v>236</v>
      </c>
      <c r="C125">
        <v>43</v>
      </c>
      <c r="D125">
        <v>8</v>
      </c>
      <c r="E125">
        <v>1</v>
      </c>
      <c r="F125">
        <v>1</v>
      </c>
      <c r="H125">
        <v>275</v>
      </c>
      <c r="I125">
        <v>5</v>
      </c>
      <c r="J125">
        <v>4</v>
      </c>
      <c r="L125">
        <v>271</v>
      </c>
      <c r="M125">
        <v>8</v>
      </c>
    </row>
    <row r="126" spans="1:13" x14ac:dyDescent="0.25">
      <c r="A126" s="3" t="s">
        <v>238</v>
      </c>
      <c r="B126">
        <v>193</v>
      </c>
      <c r="C126">
        <v>76</v>
      </c>
      <c r="D126">
        <v>16</v>
      </c>
      <c r="E126">
        <v>0</v>
      </c>
      <c r="F126">
        <v>1</v>
      </c>
      <c r="H126">
        <v>264</v>
      </c>
      <c r="I126">
        <v>12</v>
      </c>
      <c r="J126">
        <v>5</v>
      </c>
      <c r="L126">
        <v>239</v>
      </c>
      <c r="M126">
        <v>37</v>
      </c>
    </row>
    <row r="127" spans="1:13" x14ac:dyDescent="0.25">
      <c r="A127" s="3"/>
    </row>
    <row r="128" spans="1:13" x14ac:dyDescent="0.25">
      <c r="A128" s="3"/>
    </row>
    <row r="129" spans="1:13" x14ac:dyDescent="0.25">
      <c r="A129" s="3" t="s">
        <v>241</v>
      </c>
      <c r="B129">
        <v>216</v>
      </c>
      <c r="C129">
        <v>65</v>
      </c>
      <c r="D129">
        <v>5</v>
      </c>
      <c r="E129">
        <v>0</v>
      </c>
      <c r="F129">
        <v>0</v>
      </c>
      <c r="H129">
        <v>263</v>
      </c>
      <c r="I129">
        <v>1</v>
      </c>
      <c r="J129">
        <v>21</v>
      </c>
      <c r="L129">
        <v>266</v>
      </c>
      <c r="M129">
        <v>11</v>
      </c>
    </row>
    <row r="130" spans="1:13" x14ac:dyDescent="0.25">
      <c r="A130" s="3" t="s">
        <v>243</v>
      </c>
      <c r="B130">
        <v>114</v>
      </c>
      <c r="C130">
        <v>99</v>
      </c>
      <c r="D130">
        <v>57</v>
      </c>
      <c r="E130">
        <v>8</v>
      </c>
      <c r="F130">
        <v>6</v>
      </c>
      <c r="H130">
        <v>200</v>
      </c>
      <c r="I130">
        <v>20</v>
      </c>
      <c r="J130">
        <v>63</v>
      </c>
      <c r="L130">
        <v>217</v>
      </c>
      <c r="M130">
        <v>59</v>
      </c>
    </row>
    <row r="131" spans="1:13" x14ac:dyDescent="0.25">
      <c r="A131" s="3" t="s">
        <v>245</v>
      </c>
      <c r="B131">
        <v>160</v>
      </c>
      <c r="C131">
        <v>93</v>
      </c>
      <c r="D131">
        <v>27</v>
      </c>
      <c r="E131">
        <v>5</v>
      </c>
      <c r="F131">
        <v>1</v>
      </c>
      <c r="H131">
        <v>258</v>
      </c>
      <c r="I131">
        <v>15</v>
      </c>
      <c r="J131">
        <v>10</v>
      </c>
      <c r="L131">
        <v>263</v>
      </c>
      <c r="M131">
        <v>15</v>
      </c>
    </row>
    <row r="132" spans="1:13" x14ac:dyDescent="0.25">
      <c r="A132" s="3" t="s">
        <v>247</v>
      </c>
      <c r="B132">
        <v>148</v>
      </c>
      <c r="C132">
        <v>103</v>
      </c>
      <c r="D132">
        <v>31</v>
      </c>
      <c r="E132">
        <v>3</v>
      </c>
      <c r="F132">
        <v>1</v>
      </c>
      <c r="H132">
        <v>259</v>
      </c>
      <c r="I132">
        <v>12</v>
      </c>
      <c r="J132">
        <v>13</v>
      </c>
      <c r="L132">
        <v>261</v>
      </c>
      <c r="M132">
        <v>17</v>
      </c>
    </row>
    <row r="133" spans="1:13" x14ac:dyDescent="0.25">
      <c r="A133" s="3" t="s">
        <v>249</v>
      </c>
      <c r="B133">
        <v>159</v>
      </c>
      <c r="C133">
        <v>93</v>
      </c>
      <c r="D133">
        <v>33</v>
      </c>
      <c r="E133">
        <v>1</v>
      </c>
      <c r="F133">
        <v>0</v>
      </c>
      <c r="H133">
        <v>265</v>
      </c>
      <c r="I133">
        <v>12</v>
      </c>
      <c r="J133">
        <v>8</v>
      </c>
      <c r="L133">
        <v>251</v>
      </c>
      <c r="M133">
        <v>26</v>
      </c>
    </row>
    <row r="134" spans="1:13" x14ac:dyDescent="0.25">
      <c r="A134" s="3" t="s">
        <v>251</v>
      </c>
      <c r="B134">
        <v>231</v>
      </c>
      <c r="C134">
        <v>47</v>
      </c>
      <c r="D134">
        <v>7</v>
      </c>
      <c r="E134">
        <v>1</v>
      </c>
      <c r="F134">
        <v>0</v>
      </c>
      <c r="H134">
        <v>278</v>
      </c>
      <c r="I134">
        <v>5</v>
      </c>
      <c r="J134">
        <v>1</v>
      </c>
      <c r="L134">
        <v>271</v>
      </c>
      <c r="M134">
        <v>6</v>
      </c>
    </row>
    <row r="135" spans="1:13" x14ac:dyDescent="0.25">
      <c r="A135" s="3" t="s">
        <v>253</v>
      </c>
      <c r="B135">
        <v>136</v>
      </c>
      <c r="C135">
        <v>108</v>
      </c>
      <c r="D135">
        <v>35</v>
      </c>
      <c r="E135">
        <v>7</v>
      </c>
      <c r="F135">
        <v>0</v>
      </c>
      <c r="H135">
        <v>254</v>
      </c>
      <c r="I135">
        <v>26</v>
      </c>
      <c r="J135">
        <v>5</v>
      </c>
      <c r="L135">
        <v>250</v>
      </c>
      <c r="M135">
        <v>28</v>
      </c>
    </row>
    <row r="136" spans="1:13" x14ac:dyDescent="0.25">
      <c r="A136" s="3" t="s">
        <v>255</v>
      </c>
      <c r="B136">
        <v>130</v>
      </c>
      <c r="C136">
        <v>107</v>
      </c>
      <c r="D136">
        <v>35</v>
      </c>
      <c r="E136">
        <v>10</v>
      </c>
      <c r="F136">
        <v>1</v>
      </c>
      <c r="H136">
        <v>242</v>
      </c>
      <c r="I136">
        <v>30</v>
      </c>
      <c r="J136">
        <v>8</v>
      </c>
      <c r="L136">
        <v>238</v>
      </c>
      <c r="M136">
        <v>38</v>
      </c>
    </row>
    <row r="137" spans="1:13" x14ac:dyDescent="0.25">
      <c r="A137" s="3"/>
    </row>
    <row r="138" spans="1:13" x14ac:dyDescent="0.25">
      <c r="A138" s="3"/>
    </row>
    <row r="139" spans="1:13" x14ac:dyDescent="0.25">
      <c r="A139" s="3" t="s">
        <v>258</v>
      </c>
      <c r="B139">
        <v>77</v>
      </c>
      <c r="C139">
        <v>136</v>
      </c>
      <c r="D139">
        <v>62</v>
      </c>
      <c r="E139">
        <v>9</v>
      </c>
      <c r="F139">
        <v>2</v>
      </c>
      <c r="H139">
        <v>225</v>
      </c>
      <c r="I139">
        <v>32</v>
      </c>
      <c r="J139">
        <v>25</v>
      </c>
      <c r="L139">
        <v>197</v>
      </c>
      <c r="M139">
        <v>77</v>
      </c>
    </row>
    <row r="140" spans="1:13" x14ac:dyDescent="0.25">
      <c r="A140" s="3" t="s">
        <v>260</v>
      </c>
      <c r="B140">
        <v>64</v>
      </c>
      <c r="C140">
        <v>123</v>
      </c>
      <c r="D140">
        <v>79</v>
      </c>
      <c r="E140">
        <v>14</v>
      </c>
      <c r="F140">
        <v>5</v>
      </c>
      <c r="H140">
        <v>204</v>
      </c>
      <c r="I140">
        <v>40</v>
      </c>
      <c r="J140">
        <v>37</v>
      </c>
      <c r="L140">
        <v>172</v>
      </c>
      <c r="M140">
        <v>101</v>
      </c>
    </row>
    <row r="141" spans="1:13" x14ac:dyDescent="0.25">
      <c r="A141" s="3" t="s">
        <v>262</v>
      </c>
      <c r="B141">
        <v>79</v>
      </c>
      <c r="C141">
        <v>113</v>
      </c>
      <c r="D141">
        <v>68</v>
      </c>
      <c r="E141">
        <v>21</v>
      </c>
      <c r="F141">
        <v>4</v>
      </c>
      <c r="H141">
        <v>206</v>
      </c>
      <c r="I141">
        <v>49</v>
      </c>
      <c r="J141">
        <v>22</v>
      </c>
      <c r="L141">
        <v>155</v>
      </c>
      <c r="M141">
        <v>118</v>
      </c>
    </row>
    <row r="142" spans="1:13" x14ac:dyDescent="0.25">
      <c r="A142" s="3" t="s">
        <v>264</v>
      </c>
      <c r="B142">
        <v>116</v>
      </c>
      <c r="C142">
        <v>108</v>
      </c>
      <c r="D142">
        <v>50</v>
      </c>
      <c r="E142">
        <v>10</v>
      </c>
      <c r="F142">
        <v>2</v>
      </c>
      <c r="H142">
        <v>225</v>
      </c>
      <c r="I142">
        <v>39</v>
      </c>
      <c r="J142">
        <v>15</v>
      </c>
      <c r="L142">
        <v>220</v>
      </c>
      <c r="M142">
        <v>52</v>
      </c>
    </row>
    <row r="143" spans="1:13" x14ac:dyDescent="0.25">
      <c r="A143" s="3" t="s">
        <v>266</v>
      </c>
      <c r="B143">
        <v>111</v>
      </c>
      <c r="C143">
        <v>124</v>
      </c>
      <c r="D143">
        <v>42</v>
      </c>
      <c r="E143">
        <v>8</v>
      </c>
      <c r="F143">
        <v>1</v>
      </c>
      <c r="H143">
        <v>226</v>
      </c>
      <c r="I143">
        <v>42</v>
      </c>
      <c r="J143">
        <v>13</v>
      </c>
      <c r="L143">
        <v>184</v>
      </c>
      <c r="M143">
        <v>89</v>
      </c>
    </row>
    <row r="144" spans="1:13" x14ac:dyDescent="0.25">
      <c r="A144" s="3" t="s">
        <v>268</v>
      </c>
      <c r="B144">
        <v>42</v>
      </c>
      <c r="C144">
        <v>106</v>
      </c>
      <c r="D144">
        <v>97</v>
      </c>
      <c r="E144">
        <v>30</v>
      </c>
      <c r="F144">
        <v>5</v>
      </c>
      <c r="H144">
        <v>138</v>
      </c>
      <c r="I144">
        <v>107</v>
      </c>
      <c r="J144">
        <v>28</v>
      </c>
      <c r="L144">
        <v>120</v>
      </c>
      <c r="M144">
        <v>149</v>
      </c>
    </row>
    <row r="145" spans="1:13" x14ac:dyDescent="0.25">
      <c r="A145" s="3" t="s">
        <v>270</v>
      </c>
      <c r="B145">
        <v>105</v>
      </c>
      <c r="C145">
        <v>124</v>
      </c>
      <c r="D145">
        <v>51</v>
      </c>
      <c r="E145">
        <v>6</v>
      </c>
      <c r="F145">
        <v>0</v>
      </c>
      <c r="H145">
        <v>227</v>
      </c>
      <c r="I145">
        <v>45</v>
      </c>
      <c r="J145">
        <v>8</v>
      </c>
      <c r="L145">
        <v>204</v>
      </c>
      <c r="M145">
        <v>67</v>
      </c>
    </row>
    <row r="146" spans="1:13" x14ac:dyDescent="0.25">
      <c r="A146" s="3" t="s">
        <v>272</v>
      </c>
      <c r="B146">
        <v>95</v>
      </c>
      <c r="C146">
        <v>134</v>
      </c>
      <c r="D146">
        <v>47</v>
      </c>
      <c r="E146">
        <v>7</v>
      </c>
      <c r="F146">
        <v>0</v>
      </c>
      <c r="H146">
        <v>227</v>
      </c>
      <c r="I146">
        <v>43</v>
      </c>
      <c r="J146">
        <v>7</v>
      </c>
      <c r="L146">
        <v>224</v>
      </c>
      <c r="M146">
        <v>50</v>
      </c>
    </row>
    <row r="147" spans="1:13" x14ac:dyDescent="0.25">
      <c r="A147" s="3" t="s">
        <v>274</v>
      </c>
      <c r="B147">
        <v>67</v>
      </c>
      <c r="C147">
        <v>102</v>
      </c>
      <c r="D147">
        <v>98</v>
      </c>
      <c r="E147">
        <v>17</v>
      </c>
      <c r="F147">
        <v>3</v>
      </c>
      <c r="H147">
        <v>189</v>
      </c>
      <c r="I147">
        <v>76</v>
      </c>
      <c r="J147">
        <v>13</v>
      </c>
      <c r="L147">
        <v>160</v>
      </c>
      <c r="M147">
        <v>114</v>
      </c>
    </row>
    <row r="148" spans="1:13" x14ac:dyDescent="0.25">
      <c r="A148" s="3" t="s">
        <v>276</v>
      </c>
      <c r="B148">
        <v>88</v>
      </c>
      <c r="C148">
        <v>117</v>
      </c>
      <c r="D148">
        <v>66</v>
      </c>
      <c r="E148">
        <v>12</v>
      </c>
      <c r="F148">
        <v>4</v>
      </c>
      <c r="H148">
        <v>206</v>
      </c>
      <c r="I148">
        <v>40</v>
      </c>
      <c r="J148">
        <v>30</v>
      </c>
      <c r="L148">
        <v>195</v>
      </c>
      <c r="M148">
        <v>80</v>
      </c>
    </row>
    <row r="149" spans="1:13" x14ac:dyDescent="0.25">
      <c r="A149" s="3" t="s">
        <v>278</v>
      </c>
      <c r="B149">
        <v>37</v>
      </c>
      <c r="C149">
        <v>57</v>
      </c>
      <c r="D149">
        <v>113</v>
      </c>
      <c r="E149">
        <v>69</v>
      </c>
      <c r="F149">
        <v>10</v>
      </c>
      <c r="H149">
        <v>130</v>
      </c>
      <c r="I149">
        <v>92</v>
      </c>
      <c r="J149">
        <v>53</v>
      </c>
      <c r="L149">
        <v>87</v>
      </c>
      <c r="M149">
        <v>185</v>
      </c>
    </row>
    <row r="150" spans="1:13" x14ac:dyDescent="0.25">
      <c r="A150" s="3" t="s">
        <v>280</v>
      </c>
      <c r="B150">
        <v>194</v>
      </c>
      <c r="C150">
        <v>71</v>
      </c>
      <c r="D150">
        <v>17</v>
      </c>
      <c r="E150">
        <v>4</v>
      </c>
      <c r="F150">
        <v>1</v>
      </c>
      <c r="H150">
        <v>247</v>
      </c>
      <c r="I150">
        <v>29</v>
      </c>
      <c r="J150">
        <v>4</v>
      </c>
      <c r="L150">
        <v>194</v>
      </c>
      <c r="M150">
        <v>79</v>
      </c>
    </row>
    <row r="151" spans="1:13" x14ac:dyDescent="0.25">
      <c r="A151" s="3" t="s">
        <v>282</v>
      </c>
      <c r="B151">
        <v>63</v>
      </c>
      <c r="C151">
        <v>103</v>
      </c>
      <c r="D151">
        <v>82</v>
      </c>
      <c r="E151">
        <v>28</v>
      </c>
      <c r="F151">
        <v>6</v>
      </c>
      <c r="H151">
        <v>164</v>
      </c>
      <c r="I151">
        <v>61</v>
      </c>
      <c r="J151">
        <v>48</v>
      </c>
      <c r="L151">
        <v>157</v>
      </c>
      <c r="M151">
        <v>109</v>
      </c>
    </row>
    <row r="152" spans="1:13" x14ac:dyDescent="0.25">
      <c r="A152" s="3"/>
    </row>
    <row r="153" spans="1:13" x14ac:dyDescent="0.25">
      <c r="A153" s="3"/>
    </row>
    <row r="154" spans="1:13" x14ac:dyDescent="0.25">
      <c r="A154" s="3" t="s">
        <v>285</v>
      </c>
      <c r="B154">
        <v>131</v>
      </c>
      <c r="C154">
        <v>124</v>
      </c>
      <c r="D154">
        <v>25</v>
      </c>
      <c r="E154">
        <v>2</v>
      </c>
      <c r="F154">
        <v>1</v>
      </c>
      <c r="H154">
        <v>254</v>
      </c>
      <c r="I154">
        <v>27</v>
      </c>
      <c r="J154">
        <v>0</v>
      </c>
      <c r="L154">
        <v>183</v>
      </c>
      <c r="M154">
        <v>90</v>
      </c>
    </row>
    <row r="155" spans="1:13" x14ac:dyDescent="0.25">
      <c r="A155" s="3" t="s">
        <v>287</v>
      </c>
      <c r="B155">
        <v>124</v>
      </c>
      <c r="C155">
        <v>110</v>
      </c>
      <c r="D155">
        <v>43</v>
      </c>
      <c r="E155">
        <v>4</v>
      </c>
      <c r="F155">
        <v>0</v>
      </c>
      <c r="H155">
        <v>254</v>
      </c>
      <c r="I155">
        <v>25</v>
      </c>
      <c r="J155">
        <v>0</v>
      </c>
      <c r="L155">
        <v>177</v>
      </c>
      <c r="M155">
        <v>93</v>
      </c>
    </row>
    <row r="156" spans="1:13" x14ac:dyDescent="0.25">
      <c r="A156" s="3" t="s">
        <v>289</v>
      </c>
      <c r="B156">
        <v>198</v>
      </c>
      <c r="C156">
        <v>77</v>
      </c>
      <c r="D156">
        <v>8</v>
      </c>
      <c r="E156">
        <v>0</v>
      </c>
      <c r="F156">
        <v>0</v>
      </c>
      <c r="H156">
        <v>272</v>
      </c>
      <c r="I156">
        <v>9</v>
      </c>
      <c r="J156">
        <v>0</v>
      </c>
      <c r="L156">
        <v>255</v>
      </c>
      <c r="M156">
        <v>19</v>
      </c>
    </row>
    <row r="157" spans="1:13" x14ac:dyDescent="0.25">
      <c r="A157" s="3" t="s">
        <v>291</v>
      </c>
      <c r="B157">
        <v>149</v>
      </c>
      <c r="C157">
        <v>103</v>
      </c>
      <c r="D157">
        <v>28</v>
      </c>
      <c r="E157">
        <v>1</v>
      </c>
      <c r="F157">
        <v>0</v>
      </c>
      <c r="H157">
        <v>258</v>
      </c>
      <c r="I157">
        <v>20</v>
      </c>
      <c r="J157">
        <v>1</v>
      </c>
      <c r="L157">
        <v>206</v>
      </c>
      <c r="M157">
        <v>68</v>
      </c>
    </row>
    <row r="158" spans="1:13" x14ac:dyDescent="0.25">
      <c r="A158" s="3" t="s">
        <v>293</v>
      </c>
      <c r="B158">
        <v>165</v>
      </c>
      <c r="C158">
        <v>89</v>
      </c>
      <c r="D158">
        <v>28</v>
      </c>
      <c r="E158">
        <v>0</v>
      </c>
      <c r="F158">
        <v>1</v>
      </c>
      <c r="H158">
        <v>260</v>
      </c>
      <c r="I158">
        <v>17</v>
      </c>
      <c r="J158">
        <v>2</v>
      </c>
      <c r="L158">
        <v>199</v>
      </c>
      <c r="M158">
        <v>74</v>
      </c>
    </row>
    <row r="159" spans="1:13" x14ac:dyDescent="0.25">
      <c r="A159" s="3" t="s">
        <v>295</v>
      </c>
      <c r="B159">
        <v>146</v>
      </c>
      <c r="C159">
        <v>96</v>
      </c>
      <c r="D159">
        <v>32</v>
      </c>
      <c r="E159">
        <v>10</v>
      </c>
      <c r="F159">
        <v>0</v>
      </c>
      <c r="H159">
        <v>249</v>
      </c>
      <c r="I159">
        <v>26</v>
      </c>
      <c r="J159">
        <v>1</v>
      </c>
      <c r="L159">
        <v>192</v>
      </c>
      <c r="M159">
        <v>82</v>
      </c>
    </row>
    <row r="160" spans="1:13" x14ac:dyDescent="0.25">
      <c r="A160" s="3" t="s">
        <v>297</v>
      </c>
      <c r="B160">
        <v>96</v>
      </c>
      <c r="C160">
        <v>96</v>
      </c>
      <c r="D160">
        <v>55</v>
      </c>
      <c r="E160">
        <v>18</v>
      </c>
      <c r="F160">
        <v>1</v>
      </c>
      <c r="H160">
        <v>210</v>
      </c>
      <c r="I160">
        <v>48</v>
      </c>
      <c r="J160">
        <v>2</v>
      </c>
      <c r="L160">
        <v>120</v>
      </c>
      <c r="M160">
        <v>139</v>
      </c>
    </row>
    <row r="161" spans="1:13" x14ac:dyDescent="0.25">
      <c r="A161" s="3" t="s">
        <v>299</v>
      </c>
      <c r="B161">
        <v>146</v>
      </c>
      <c r="C161">
        <v>110</v>
      </c>
      <c r="D161">
        <v>25</v>
      </c>
      <c r="E161">
        <v>3</v>
      </c>
      <c r="F161">
        <v>0</v>
      </c>
      <c r="H161">
        <v>239</v>
      </c>
      <c r="I161">
        <v>41</v>
      </c>
      <c r="J161">
        <v>0</v>
      </c>
      <c r="L161">
        <v>198</v>
      </c>
      <c r="M161">
        <v>76</v>
      </c>
    </row>
    <row r="162" spans="1:13" x14ac:dyDescent="0.25">
      <c r="A162" s="3" t="s">
        <v>301</v>
      </c>
      <c r="B162">
        <v>173</v>
      </c>
      <c r="C162">
        <v>91</v>
      </c>
      <c r="D162">
        <v>18</v>
      </c>
      <c r="E162">
        <v>2</v>
      </c>
      <c r="F162">
        <v>0</v>
      </c>
      <c r="H162">
        <v>261</v>
      </c>
      <c r="I162">
        <v>19</v>
      </c>
      <c r="J162">
        <v>0</v>
      </c>
      <c r="L162">
        <v>232</v>
      </c>
      <c r="M162">
        <v>40</v>
      </c>
    </row>
    <row r="163" spans="1:13" x14ac:dyDescent="0.25">
      <c r="A163" s="3" t="s">
        <v>303</v>
      </c>
      <c r="B163">
        <v>173</v>
      </c>
      <c r="C163">
        <v>85</v>
      </c>
      <c r="D163">
        <v>25</v>
      </c>
      <c r="E163">
        <v>0</v>
      </c>
      <c r="F163">
        <v>0</v>
      </c>
      <c r="H163">
        <v>257</v>
      </c>
      <c r="I163">
        <v>21</v>
      </c>
      <c r="J163">
        <v>0</v>
      </c>
      <c r="L163">
        <v>217</v>
      </c>
      <c r="M163">
        <v>56</v>
      </c>
    </row>
    <row r="164" spans="1:13" x14ac:dyDescent="0.25">
      <c r="A164" s="3" t="s">
        <v>305</v>
      </c>
      <c r="B164">
        <v>146</v>
      </c>
      <c r="C164">
        <v>105</v>
      </c>
      <c r="D164">
        <v>30</v>
      </c>
      <c r="E164">
        <v>1</v>
      </c>
      <c r="F164">
        <v>1</v>
      </c>
      <c r="H164">
        <v>251</v>
      </c>
      <c r="I164">
        <v>28</v>
      </c>
      <c r="J164">
        <v>1</v>
      </c>
      <c r="L164">
        <v>202</v>
      </c>
      <c r="M164">
        <v>70</v>
      </c>
    </row>
    <row r="165" spans="1:13" x14ac:dyDescent="0.25">
      <c r="A165" s="3" t="s">
        <v>307</v>
      </c>
      <c r="B165">
        <v>123</v>
      </c>
      <c r="C165">
        <v>111</v>
      </c>
      <c r="D165">
        <v>43</v>
      </c>
      <c r="E165">
        <v>2</v>
      </c>
      <c r="F165">
        <v>1</v>
      </c>
      <c r="H165">
        <v>188</v>
      </c>
      <c r="I165">
        <v>88</v>
      </c>
      <c r="J165">
        <v>4</v>
      </c>
      <c r="L165">
        <v>207</v>
      </c>
      <c r="M165">
        <v>66</v>
      </c>
    </row>
    <row r="166" spans="1:13" x14ac:dyDescent="0.25">
      <c r="A166" s="3"/>
    </row>
    <row r="167" spans="1:13" x14ac:dyDescent="0.25">
      <c r="A167" s="3"/>
    </row>
    <row r="168" spans="1:13" x14ac:dyDescent="0.25">
      <c r="A168" s="3" t="s">
        <v>310</v>
      </c>
      <c r="B168">
        <v>199</v>
      </c>
      <c r="C168">
        <v>81</v>
      </c>
      <c r="D168">
        <v>4</v>
      </c>
      <c r="E168">
        <v>0</v>
      </c>
      <c r="F168">
        <v>0</v>
      </c>
      <c r="H168">
        <v>274</v>
      </c>
      <c r="I168">
        <v>7</v>
      </c>
      <c r="J168">
        <v>1</v>
      </c>
      <c r="L168">
        <v>246</v>
      </c>
      <c r="M168">
        <v>28</v>
      </c>
    </row>
    <row r="169" spans="1:13" x14ac:dyDescent="0.25">
      <c r="A169" s="3" t="s">
        <v>312</v>
      </c>
      <c r="B169">
        <v>111</v>
      </c>
      <c r="C169">
        <v>125</v>
      </c>
      <c r="D169">
        <v>41</v>
      </c>
      <c r="E169">
        <v>3</v>
      </c>
      <c r="F169">
        <v>1</v>
      </c>
      <c r="H169">
        <v>236</v>
      </c>
      <c r="I169">
        <v>32</v>
      </c>
      <c r="J169">
        <v>12</v>
      </c>
      <c r="L169">
        <v>206</v>
      </c>
      <c r="M169">
        <v>65</v>
      </c>
    </row>
    <row r="170" spans="1:13" x14ac:dyDescent="0.25">
      <c r="A170" s="3" t="s">
        <v>314</v>
      </c>
      <c r="B170">
        <v>142</v>
      </c>
      <c r="C170">
        <v>114</v>
      </c>
      <c r="D170">
        <v>23</v>
      </c>
      <c r="E170">
        <v>2</v>
      </c>
      <c r="F170">
        <v>0</v>
      </c>
      <c r="H170">
        <v>252</v>
      </c>
      <c r="I170">
        <v>25</v>
      </c>
      <c r="J170">
        <v>0</v>
      </c>
      <c r="L170">
        <v>171</v>
      </c>
      <c r="M170">
        <v>97</v>
      </c>
    </row>
    <row r="171" spans="1:13" x14ac:dyDescent="0.25">
      <c r="A171" s="3" t="s">
        <v>316</v>
      </c>
      <c r="B171">
        <v>144</v>
      </c>
      <c r="C171">
        <v>114</v>
      </c>
      <c r="D171">
        <v>23</v>
      </c>
      <c r="E171">
        <v>1</v>
      </c>
      <c r="F171">
        <v>0</v>
      </c>
      <c r="H171">
        <v>254</v>
      </c>
      <c r="I171">
        <v>22</v>
      </c>
      <c r="J171">
        <v>0</v>
      </c>
      <c r="L171">
        <v>176</v>
      </c>
      <c r="M171">
        <v>95</v>
      </c>
    </row>
    <row r="172" spans="1:13" x14ac:dyDescent="0.25">
      <c r="A172" s="3" t="s">
        <v>318</v>
      </c>
      <c r="B172">
        <v>137</v>
      </c>
      <c r="C172">
        <v>118</v>
      </c>
      <c r="D172">
        <v>27</v>
      </c>
      <c r="E172">
        <v>2</v>
      </c>
      <c r="F172">
        <v>1</v>
      </c>
      <c r="H172">
        <v>249</v>
      </c>
      <c r="I172">
        <v>30</v>
      </c>
      <c r="J172">
        <v>0</v>
      </c>
      <c r="L172">
        <v>168</v>
      </c>
      <c r="M172">
        <v>106</v>
      </c>
    </row>
    <row r="173" spans="1:13" x14ac:dyDescent="0.25">
      <c r="A173" s="3" t="s">
        <v>320</v>
      </c>
      <c r="B173">
        <v>95</v>
      </c>
      <c r="C173">
        <v>109</v>
      </c>
      <c r="D173">
        <v>58</v>
      </c>
      <c r="E173">
        <v>15</v>
      </c>
      <c r="F173">
        <v>0</v>
      </c>
      <c r="H173">
        <v>195</v>
      </c>
      <c r="I173">
        <v>77</v>
      </c>
      <c r="J173">
        <v>2</v>
      </c>
      <c r="L173">
        <v>143</v>
      </c>
      <c r="M173">
        <v>124</v>
      </c>
    </row>
    <row r="174" spans="1:13" x14ac:dyDescent="0.25">
      <c r="A174" s="3" t="s">
        <v>322</v>
      </c>
      <c r="B174">
        <v>132</v>
      </c>
      <c r="C174">
        <v>121</v>
      </c>
      <c r="D174">
        <v>30</v>
      </c>
      <c r="E174">
        <v>1</v>
      </c>
      <c r="F174">
        <v>0</v>
      </c>
      <c r="H174">
        <v>227</v>
      </c>
      <c r="I174">
        <v>47</v>
      </c>
      <c r="J174">
        <v>1</v>
      </c>
      <c r="L174">
        <v>182</v>
      </c>
      <c r="M174">
        <v>90</v>
      </c>
    </row>
    <row r="175" spans="1:13" x14ac:dyDescent="0.25">
      <c r="A175" s="3" t="s">
        <v>324</v>
      </c>
      <c r="B175">
        <v>143</v>
      </c>
      <c r="C175">
        <v>113</v>
      </c>
      <c r="D175">
        <v>27</v>
      </c>
      <c r="E175">
        <v>1</v>
      </c>
      <c r="F175">
        <v>0</v>
      </c>
      <c r="H175">
        <v>243</v>
      </c>
      <c r="I175">
        <v>32</v>
      </c>
      <c r="J175">
        <v>1</v>
      </c>
      <c r="L175">
        <v>174</v>
      </c>
      <c r="M175">
        <v>99</v>
      </c>
    </row>
    <row r="176" spans="1:13" x14ac:dyDescent="0.25">
      <c r="A176" s="3"/>
    </row>
    <row r="177" spans="1:13" x14ac:dyDescent="0.25">
      <c r="A177" s="3"/>
    </row>
    <row r="178" spans="1:13" x14ac:dyDescent="0.25">
      <c r="A178" s="3" t="s">
        <v>327</v>
      </c>
      <c r="B178">
        <v>67</v>
      </c>
      <c r="C178">
        <v>123</v>
      </c>
      <c r="D178">
        <v>60</v>
      </c>
      <c r="E178">
        <v>19</v>
      </c>
      <c r="F178">
        <v>4</v>
      </c>
      <c r="H178">
        <v>150</v>
      </c>
      <c r="I178">
        <v>113</v>
      </c>
      <c r="J178">
        <v>5</v>
      </c>
      <c r="L178">
        <v>129</v>
      </c>
      <c r="M178">
        <v>133</v>
      </c>
    </row>
    <row r="179" spans="1:13" x14ac:dyDescent="0.25">
      <c r="A179" s="3" t="s">
        <v>329</v>
      </c>
      <c r="B179">
        <v>53</v>
      </c>
      <c r="C179">
        <v>117</v>
      </c>
      <c r="D179">
        <v>76</v>
      </c>
      <c r="E179">
        <v>22</v>
      </c>
      <c r="F179">
        <v>4</v>
      </c>
      <c r="H179">
        <v>117</v>
      </c>
      <c r="I179">
        <v>145</v>
      </c>
      <c r="J179">
        <v>6</v>
      </c>
      <c r="L179">
        <v>110</v>
      </c>
      <c r="M179">
        <v>149</v>
      </c>
    </row>
    <row r="180" spans="1:13" x14ac:dyDescent="0.25">
      <c r="A180" s="3" t="s">
        <v>331</v>
      </c>
      <c r="B180">
        <v>58</v>
      </c>
      <c r="C180">
        <v>140</v>
      </c>
      <c r="D180">
        <v>63</v>
      </c>
      <c r="E180">
        <v>10</v>
      </c>
      <c r="F180">
        <v>2</v>
      </c>
      <c r="H180">
        <v>168</v>
      </c>
      <c r="I180">
        <v>98</v>
      </c>
      <c r="J180">
        <v>5</v>
      </c>
      <c r="L180">
        <v>116</v>
      </c>
      <c r="M180">
        <v>148</v>
      </c>
    </row>
    <row r="181" spans="1:13" x14ac:dyDescent="0.25">
      <c r="A181" s="3" t="s">
        <v>333</v>
      </c>
      <c r="B181">
        <v>84</v>
      </c>
      <c r="C181">
        <v>130</v>
      </c>
      <c r="D181">
        <v>51</v>
      </c>
      <c r="E181">
        <v>8</v>
      </c>
      <c r="F181">
        <v>1</v>
      </c>
      <c r="H181">
        <v>167</v>
      </c>
      <c r="I181">
        <v>102</v>
      </c>
      <c r="J181">
        <v>4</v>
      </c>
      <c r="L181">
        <v>128</v>
      </c>
      <c r="M181">
        <v>138</v>
      </c>
    </row>
    <row r="182" spans="1:13" x14ac:dyDescent="0.25">
      <c r="A182" s="3" t="s">
        <v>335</v>
      </c>
      <c r="B182">
        <v>92</v>
      </c>
      <c r="C182">
        <v>121</v>
      </c>
      <c r="D182">
        <v>50</v>
      </c>
      <c r="E182">
        <v>11</v>
      </c>
      <c r="F182">
        <v>0</v>
      </c>
      <c r="H182">
        <v>177</v>
      </c>
      <c r="I182">
        <v>91</v>
      </c>
      <c r="J182">
        <v>3</v>
      </c>
      <c r="L182">
        <v>127</v>
      </c>
      <c r="M182">
        <v>138</v>
      </c>
    </row>
    <row r="183" spans="1:13" x14ac:dyDescent="0.25">
      <c r="A183" s="3"/>
    </row>
    <row r="184" spans="1:13" x14ac:dyDescent="0.25">
      <c r="A184" s="3"/>
    </row>
    <row r="185" spans="1:13" x14ac:dyDescent="0.25">
      <c r="A185" s="3" t="s">
        <v>338</v>
      </c>
      <c r="B185">
        <v>69</v>
      </c>
      <c r="C185">
        <v>106</v>
      </c>
      <c r="D185">
        <v>60</v>
      </c>
      <c r="E185">
        <v>18</v>
      </c>
      <c r="F185">
        <v>1</v>
      </c>
      <c r="H185">
        <v>114</v>
      </c>
      <c r="I185">
        <v>131</v>
      </c>
      <c r="J185">
        <v>7</v>
      </c>
      <c r="L185">
        <v>98</v>
      </c>
      <c r="M185">
        <v>137</v>
      </c>
    </row>
    <row r="186" spans="1:13" x14ac:dyDescent="0.25">
      <c r="A186" s="3" t="s">
        <v>340</v>
      </c>
      <c r="B186">
        <v>66</v>
      </c>
      <c r="C186">
        <v>111</v>
      </c>
      <c r="D186">
        <v>57</v>
      </c>
      <c r="E186">
        <v>17</v>
      </c>
      <c r="F186">
        <v>1</v>
      </c>
      <c r="H186">
        <v>114</v>
      </c>
      <c r="I186">
        <v>129</v>
      </c>
      <c r="J186">
        <v>8</v>
      </c>
      <c r="L186">
        <v>80</v>
      </c>
      <c r="M186">
        <v>157</v>
      </c>
    </row>
    <row r="187" spans="1:13" x14ac:dyDescent="0.25">
      <c r="A187" s="3" t="s">
        <v>342</v>
      </c>
      <c r="B187">
        <v>55</v>
      </c>
      <c r="C187">
        <v>107</v>
      </c>
      <c r="D187">
        <v>74</v>
      </c>
      <c r="E187">
        <v>18</v>
      </c>
      <c r="F187">
        <v>0</v>
      </c>
      <c r="H187">
        <v>101</v>
      </c>
      <c r="I187">
        <v>144</v>
      </c>
      <c r="J187">
        <v>6</v>
      </c>
      <c r="L187">
        <v>71</v>
      </c>
      <c r="M187">
        <v>166</v>
      </c>
    </row>
    <row r="188" spans="1:13" x14ac:dyDescent="0.25">
      <c r="A188" s="3" t="s">
        <v>344</v>
      </c>
      <c r="B188">
        <v>54</v>
      </c>
      <c r="C188">
        <v>106</v>
      </c>
      <c r="D188">
        <v>68</v>
      </c>
      <c r="E188">
        <v>17</v>
      </c>
      <c r="F188">
        <v>2</v>
      </c>
      <c r="H188">
        <v>91</v>
      </c>
      <c r="I188">
        <v>149</v>
      </c>
      <c r="J188">
        <v>8</v>
      </c>
      <c r="L188">
        <v>69</v>
      </c>
      <c r="M188">
        <v>166</v>
      </c>
    </row>
    <row r="189" spans="1:13" x14ac:dyDescent="0.25">
      <c r="A189" s="3"/>
    </row>
    <row r="190" spans="1:13" x14ac:dyDescent="0.25">
      <c r="A190" s="3"/>
    </row>
    <row r="191" spans="1:13" x14ac:dyDescent="0.25">
      <c r="A191" s="3" t="s">
        <v>347</v>
      </c>
      <c r="B191">
        <v>144</v>
      </c>
      <c r="C191">
        <v>117</v>
      </c>
      <c r="D191">
        <v>18</v>
      </c>
      <c r="E191">
        <v>6</v>
      </c>
      <c r="F191">
        <v>0</v>
      </c>
      <c r="H191">
        <v>16</v>
      </c>
      <c r="I191">
        <v>110</v>
      </c>
      <c r="J191">
        <v>157</v>
      </c>
      <c r="L191">
        <v>255</v>
      </c>
      <c r="M191">
        <v>8</v>
      </c>
    </row>
    <row r="192" spans="1:13" x14ac:dyDescent="0.25">
      <c r="A192" s="3" t="s">
        <v>349</v>
      </c>
      <c r="B192">
        <v>192</v>
      </c>
      <c r="C192">
        <v>88</v>
      </c>
      <c r="D192">
        <v>3</v>
      </c>
      <c r="E192">
        <v>2</v>
      </c>
      <c r="F192">
        <v>0</v>
      </c>
      <c r="H192">
        <v>25</v>
      </c>
      <c r="I192">
        <v>90</v>
      </c>
      <c r="J192">
        <v>167</v>
      </c>
      <c r="L192">
        <v>257</v>
      </c>
      <c r="M192">
        <v>4</v>
      </c>
    </row>
    <row r="193" spans="1:13" x14ac:dyDescent="0.25">
      <c r="A193" s="3" t="s">
        <v>351</v>
      </c>
      <c r="B193">
        <v>195</v>
      </c>
      <c r="C193">
        <v>81</v>
      </c>
      <c r="D193">
        <v>6</v>
      </c>
      <c r="E193">
        <v>3</v>
      </c>
      <c r="F193">
        <v>0</v>
      </c>
      <c r="H193">
        <v>26</v>
      </c>
      <c r="I193">
        <v>43</v>
      </c>
      <c r="J193">
        <v>214</v>
      </c>
      <c r="L193">
        <v>258</v>
      </c>
      <c r="M193">
        <v>2</v>
      </c>
    </row>
    <row r="194" spans="1:13" x14ac:dyDescent="0.25">
      <c r="A194" s="3" t="s">
        <v>353</v>
      </c>
      <c r="B194">
        <v>126</v>
      </c>
      <c r="C194">
        <v>124</v>
      </c>
      <c r="D194">
        <v>25</v>
      </c>
      <c r="E194">
        <v>8</v>
      </c>
      <c r="F194">
        <v>1</v>
      </c>
      <c r="H194">
        <v>27</v>
      </c>
      <c r="I194">
        <v>60</v>
      </c>
      <c r="J194">
        <v>195</v>
      </c>
      <c r="L194">
        <v>245</v>
      </c>
      <c r="M194">
        <v>14</v>
      </c>
    </row>
    <row r="195" spans="1:13" x14ac:dyDescent="0.25">
      <c r="A195" s="3" t="s">
        <v>355</v>
      </c>
      <c r="B195">
        <v>59</v>
      </c>
      <c r="C195">
        <v>120</v>
      </c>
      <c r="D195">
        <v>76</v>
      </c>
      <c r="E195">
        <v>22</v>
      </c>
      <c r="F195">
        <v>6</v>
      </c>
      <c r="H195">
        <v>11</v>
      </c>
      <c r="I195">
        <v>48</v>
      </c>
      <c r="J195">
        <v>223</v>
      </c>
      <c r="L195">
        <v>231</v>
      </c>
      <c r="M195">
        <v>30</v>
      </c>
    </row>
    <row r="196" spans="1:13" x14ac:dyDescent="0.25">
      <c r="A196" s="3" t="s">
        <v>357</v>
      </c>
      <c r="B196">
        <v>76</v>
      </c>
      <c r="C196">
        <v>133</v>
      </c>
      <c r="D196">
        <v>57</v>
      </c>
      <c r="E196">
        <v>10</v>
      </c>
      <c r="F196">
        <v>2</v>
      </c>
      <c r="H196">
        <v>13</v>
      </c>
      <c r="I196">
        <v>71</v>
      </c>
      <c r="J196">
        <v>195</v>
      </c>
      <c r="L196">
        <v>231</v>
      </c>
      <c r="M196">
        <v>26</v>
      </c>
    </row>
    <row r="197" spans="1:13" x14ac:dyDescent="0.25">
      <c r="A197" s="3" t="s">
        <v>359</v>
      </c>
      <c r="B197">
        <v>87</v>
      </c>
      <c r="C197">
        <v>145</v>
      </c>
      <c r="D197">
        <v>40</v>
      </c>
      <c r="E197">
        <v>8</v>
      </c>
      <c r="F197">
        <v>1</v>
      </c>
      <c r="H197">
        <v>12</v>
      </c>
      <c r="I197">
        <v>69</v>
      </c>
      <c r="J197">
        <v>199</v>
      </c>
      <c r="L197">
        <v>242</v>
      </c>
      <c r="M197">
        <v>18</v>
      </c>
    </row>
    <row r="198" spans="1:13" x14ac:dyDescent="0.25">
      <c r="A198" s="3" t="s">
        <v>361</v>
      </c>
      <c r="B198">
        <v>112</v>
      </c>
      <c r="C198">
        <v>134</v>
      </c>
      <c r="D198">
        <v>31</v>
      </c>
      <c r="E198">
        <v>3</v>
      </c>
      <c r="F198">
        <v>2</v>
      </c>
      <c r="H198">
        <v>12</v>
      </c>
      <c r="I198">
        <v>58</v>
      </c>
      <c r="J198">
        <v>208</v>
      </c>
      <c r="L198">
        <v>253</v>
      </c>
      <c r="M198">
        <v>7</v>
      </c>
    </row>
    <row r="199" spans="1:13" x14ac:dyDescent="0.25">
      <c r="A199" s="3" t="s">
        <v>363</v>
      </c>
      <c r="B199">
        <v>211</v>
      </c>
      <c r="C199">
        <v>64</v>
      </c>
      <c r="D199">
        <v>7</v>
      </c>
      <c r="E199">
        <v>1</v>
      </c>
      <c r="F199">
        <v>0</v>
      </c>
      <c r="H199">
        <v>160</v>
      </c>
      <c r="I199">
        <v>95</v>
      </c>
      <c r="J199">
        <v>26</v>
      </c>
      <c r="L199">
        <v>253</v>
      </c>
      <c r="M199">
        <v>6</v>
      </c>
    </row>
    <row r="200" spans="1:13" x14ac:dyDescent="0.25">
      <c r="A200" s="3" t="s">
        <v>365</v>
      </c>
      <c r="B200">
        <v>103</v>
      </c>
      <c r="C200">
        <v>110</v>
      </c>
      <c r="D200">
        <v>49</v>
      </c>
      <c r="E200">
        <v>16</v>
      </c>
      <c r="F200">
        <v>5</v>
      </c>
      <c r="H200">
        <v>112</v>
      </c>
      <c r="I200">
        <v>140</v>
      </c>
      <c r="J200">
        <v>28</v>
      </c>
      <c r="L200">
        <v>169</v>
      </c>
      <c r="M200">
        <v>88</v>
      </c>
    </row>
    <row r="201" spans="1:13" x14ac:dyDescent="0.25">
      <c r="A201" s="3" t="s">
        <v>367</v>
      </c>
      <c r="B201">
        <v>137</v>
      </c>
      <c r="C201">
        <v>109</v>
      </c>
      <c r="D201">
        <v>28</v>
      </c>
      <c r="E201">
        <v>8</v>
      </c>
      <c r="F201">
        <v>2</v>
      </c>
      <c r="H201">
        <v>28</v>
      </c>
      <c r="I201">
        <v>129</v>
      </c>
      <c r="J201">
        <v>121</v>
      </c>
      <c r="L201">
        <v>255</v>
      </c>
      <c r="M201">
        <v>6</v>
      </c>
    </row>
    <row r="202" spans="1:13" x14ac:dyDescent="0.25">
      <c r="A202" s="3" t="s">
        <v>369</v>
      </c>
      <c r="B202">
        <v>44</v>
      </c>
      <c r="C202">
        <v>126</v>
      </c>
      <c r="D202">
        <v>86</v>
      </c>
      <c r="E202">
        <v>24</v>
      </c>
      <c r="F202">
        <v>3</v>
      </c>
      <c r="H202">
        <v>35</v>
      </c>
      <c r="I202">
        <v>213</v>
      </c>
      <c r="J202">
        <v>31</v>
      </c>
      <c r="L202">
        <v>108</v>
      </c>
      <c r="M202">
        <v>152</v>
      </c>
    </row>
    <row r="203" spans="1:13" x14ac:dyDescent="0.25">
      <c r="A203" s="3" t="s">
        <v>371</v>
      </c>
      <c r="B203">
        <v>0</v>
      </c>
      <c r="C203">
        <v>1</v>
      </c>
      <c r="D203">
        <v>1</v>
      </c>
      <c r="E203">
        <v>1</v>
      </c>
      <c r="F203">
        <v>0</v>
      </c>
      <c r="H203">
        <v>6</v>
      </c>
      <c r="I203">
        <v>93</v>
      </c>
      <c r="J203">
        <v>178</v>
      </c>
      <c r="L203">
        <v>119</v>
      </c>
      <c r="M203">
        <v>138</v>
      </c>
    </row>
    <row r="204" spans="1:13" x14ac:dyDescent="0.25">
      <c r="A204" s="3" t="s">
        <v>373</v>
      </c>
      <c r="B204">
        <v>78</v>
      </c>
      <c r="C204">
        <v>117</v>
      </c>
      <c r="D204">
        <v>65</v>
      </c>
      <c r="E204">
        <v>16</v>
      </c>
      <c r="F204">
        <v>4</v>
      </c>
      <c r="H204">
        <v>12</v>
      </c>
      <c r="I204">
        <v>109</v>
      </c>
      <c r="J204">
        <v>158</v>
      </c>
      <c r="L204">
        <v>212</v>
      </c>
      <c r="M204">
        <v>46</v>
      </c>
    </row>
    <row r="205" spans="1:13" x14ac:dyDescent="0.25">
      <c r="A205" s="3"/>
    </row>
    <row r="206" spans="1:13" x14ac:dyDescent="0.25">
      <c r="A206" s="3"/>
    </row>
    <row r="207" spans="1:13" x14ac:dyDescent="0.25">
      <c r="A207" s="3"/>
    </row>
    <row r="208" spans="1:13" ht="50" x14ac:dyDescent="0.25">
      <c r="A208" s="3">
        <v>1</v>
      </c>
      <c r="B208" s="17" t="s">
        <v>375</v>
      </c>
      <c r="C208" s="15" t="s">
        <v>376</v>
      </c>
      <c r="D208" s="16" t="s">
        <v>405</v>
      </c>
      <c r="E208" s="16" t="s">
        <v>378</v>
      </c>
    </row>
    <row r="209" spans="1:9" x14ac:dyDescent="0.25">
      <c r="A209" s="3"/>
      <c r="B209" t="s">
        <v>379</v>
      </c>
      <c r="C209">
        <v>110</v>
      </c>
      <c r="D209">
        <v>112</v>
      </c>
      <c r="E209">
        <v>67</v>
      </c>
    </row>
    <row r="210" spans="1:9" x14ac:dyDescent="0.25">
      <c r="A210" s="3"/>
      <c r="B210" t="s">
        <v>42</v>
      </c>
      <c r="C210">
        <v>218</v>
      </c>
      <c r="D210">
        <v>59</v>
      </c>
      <c r="E210">
        <v>12</v>
      </c>
    </row>
    <row r="211" spans="1:9" x14ac:dyDescent="0.25">
      <c r="A211" s="3"/>
      <c r="B211" t="s">
        <v>380</v>
      </c>
      <c r="C211">
        <v>160</v>
      </c>
      <c r="D211">
        <v>96</v>
      </c>
      <c r="E211">
        <v>33</v>
      </c>
    </row>
    <row r="212" spans="1:9" x14ac:dyDescent="0.25">
      <c r="A212" s="3"/>
      <c r="B212" t="s">
        <v>381</v>
      </c>
      <c r="C212">
        <v>245</v>
      </c>
      <c r="D212">
        <v>31</v>
      </c>
      <c r="E212">
        <v>13</v>
      </c>
    </row>
    <row r="213" spans="1:9" x14ac:dyDescent="0.25">
      <c r="B213" t="s">
        <v>382</v>
      </c>
      <c r="C213">
        <v>228</v>
      </c>
      <c r="D213">
        <v>31</v>
      </c>
      <c r="E213">
        <v>29</v>
      </c>
    </row>
    <row r="214" spans="1:9" x14ac:dyDescent="0.25">
      <c r="B214" t="s">
        <v>383</v>
      </c>
      <c r="C214">
        <v>195</v>
      </c>
      <c r="D214">
        <v>42</v>
      </c>
      <c r="E214">
        <v>47</v>
      </c>
    </row>
    <row r="215" spans="1:9" x14ac:dyDescent="0.25">
      <c r="B215" t="s">
        <v>79</v>
      </c>
      <c r="C215">
        <v>249</v>
      </c>
      <c r="D215">
        <v>29</v>
      </c>
      <c r="E215">
        <v>10</v>
      </c>
    </row>
    <row r="216" spans="1:9" x14ac:dyDescent="0.25">
      <c r="B216" t="s">
        <v>384</v>
      </c>
      <c r="C216">
        <v>217</v>
      </c>
      <c r="D216">
        <v>56</v>
      </c>
      <c r="E216">
        <v>15</v>
      </c>
    </row>
    <row r="218" spans="1:9" x14ac:dyDescent="0.25">
      <c r="A218" s="3">
        <v>2</v>
      </c>
      <c r="B218" t="s">
        <v>387</v>
      </c>
      <c r="H218" s="18" t="s">
        <v>406</v>
      </c>
      <c r="I218" s="3" t="s">
        <v>407</v>
      </c>
    </row>
    <row r="219" spans="1:9" x14ac:dyDescent="0.25">
      <c r="A219" s="3"/>
      <c r="H219">
        <v>129</v>
      </c>
      <c r="I219">
        <v>141</v>
      </c>
    </row>
    <row r="221" spans="1:9" x14ac:dyDescent="0.25">
      <c r="A221" s="3">
        <v>3</v>
      </c>
      <c r="B221" t="s">
        <v>408</v>
      </c>
    </row>
    <row r="222" spans="1:9" x14ac:dyDescent="0.25">
      <c r="C222" s="3" t="s">
        <v>389</v>
      </c>
      <c r="D222">
        <v>6</v>
      </c>
    </row>
    <row r="223" spans="1:9" x14ac:dyDescent="0.25">
      <c r="C223" s="3">
        <v>4</v>
      </c>
      <c r="D223">
        <v>7</v>
      </c>
    </row>
    <row r="224" spans="1:9" x14ac:dyDescent="0.25">
      <c r="C224" s="3">
        <v>5</v>
      </c>
      <c r="D224">
        <v>60</v>
      </c>
    </row>
    <row r="225" spans="1:5" x14ac:dyDescent="0.25">
      <c r="C225" s="3">
        <v>6</v>
      </c>
      <c r="D225">
        <v>47</v>
      </c>
    </row>
    <row r="226" spans="1:5" x14ac:dyDescent="0.25">
      <c r="C226" s="3">
        <v>7</v>
      </c>
      <c r="D226">
        <v>69</v>
      </c>
    </row>
    <row r="227" spans="1:5" x14ac:dyDescent="0.25">
      <c r="C227" s="3">
        <v>8</v>
      </c>
      <c r="D227">
        <v>48</v>
      </c>
    </row>
    <row r="228" spans="1:5" x14ac:dyDescent="0.25">
      <c r="C228" s="3">
        <v>9</v>
      </c>
      <c r="D228">
        <v>3</v>
      </c>
    </row>
    <row r="229" spans="1:5" x14ac:dyDescent="0.25">
      <c r="C229" s="3">
        <v>10</v>
      </c>
      <c r="D229">
        <v>22</v>
      </c>
    </row>
    <row r="230" spans="1:5" x14ac:dyDescent="0.25">
      <c r="C230" s="3" t="s">
        <v>390</v>
      </c>
      <c r="D230">
        <f>4+2</f>
        <v>6</v>
      </c>
    </row>
    <row r="232" spans="1:5" x14ac:dyDescent="0.25">
      <c r="A232" s="3">
        <v>4</v>
      </c>
      <c r="B232" s="20" t="s">
        <v>409</v>
      </c>
    </row>
    <row r="233" spans="1:5" x14ac:dyDescent="0.25">
      <c r="B233" t="s">
        <v>392</v>
      </c>
      <c r="E233">
        <v>66</v>
      </c>
    </row>
    <row r="234" spans="1:5" x14ac:dyDescent="0.25">
      <c r="B234" t="s">
        <v>393</v>
      </c>
      <c r="E234">
        <v>110</v>
      </c>
    </row>
    <row r="235" spans="1:5" x14ac:dyDescent="0.25">
      <c r="B235" t="s">
        <v>394</v>
      </c>
      <c r="E235">
        <v>83</v>
      </c>
    </row>
    <row r="236" spans="1:5" x14ac:dyDescent="0.25">
      <c r="B236" t="s">
        <v>395</v>
      </c>
      <c r="E236">
        <v>119</v>
      </c>
    </row>
    <row r="237" spans="1:5" x14ac:dyDescent="0.25">
      <c r="B237" t="s">
        <v>396</v>
      </c>
      <c r="E237">
        <v>74</v>
      </c>
    </row>
    <row r="238" spans="1:5" x14ac:dyDescent="0.25">
      <c r="B238" s="22" t="s">
        <v>397</v>
      </c>
      <c r="C238" s="22"/>
      <c r="D238" s="22"/>
      <c r="E238" s="22">
        <v>99</v>
      </c>
    </row>
    <row r="239" spans="1:5" x14ac:dyDescent="0.25">
      <c r="B239" s="5" t="s">
        <v>410</v>
      </c>
      <c r="E239">
        <v>653</v>
      </c>
    </row>
    <row r="241" spans="1:9" x14ac:dyDescent="0.25">
      <c r="H241" s="18" t="s">
        <v>406</v>
      </c>
      <c r="I241" s="3" t="s">
        <v>407</v>
      </c>
    </row>
    <row r="242" spans="1:9" x14ac:dyDescent="0.25">
      <c r="A242" s="3">
        <v>5</v>
      </c>
      <c r="B242" t="s">
        <v>398</v>
      </c>
      <c r="H242">
        <v>170</v>
      </c>
      <c r="I242">
        <v>61</v>
      </c>
    </row>
    <row r="245" spans="1:9" x14ac:dyDescent="0.25">
      <c r="A245" s="3">
        <v>6</v>
      </c>
      <c r="B245" t="s">
        <v>399</v>
      </c>
      <c r="H245">
        <v>99</v>
      </c>
      <c r="I245">
        <v>144</v>
      </c>
    </row>
    <row r="247" spans="1:9" x14ac:dyDescent="0.25">
      <c r="A247" s="3">
        <v>7</v>
      </c>
      <c r="B247" t="s">
        <v>400</v>
      </c>
      <c r="H247">
        <v>110</v>
      </c>
      <c r="I247">
        <v>156</v>
      </c>
    </row>
    <row r="249" spans="1:9" x14ac:dyDescent="0.25">
      <c r="A249" s="3">
        <v>8</v>
      </c>
      <c r="B249" t="s">
        <v>401</v>
      </c>
      <c r="H249">
        <v>203</v>
      </c>
      <c r="I249">
        <v>60</v>
      </c>
    </row>
    <row r="251" spans="1:9" x14ac:dyDescent="0.25">
      <c r="A251" s="3">
        <v>9</v>
      </c>
      <c r="B251" t="s">
        <v>402</v>
      </c>
      <c r="H251">
        <v>43</v>
      </c>
      <c r="I251">
        <v>150</v>
      </c>
    </row>
  </sheetData>
  <printOptions horizontalCentered="1"/>
  <pageMargins left="0.25" right="0.25" top="0.75" bottom="0.7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Explanation</vt:lpstr>
      <vt:lpstr>Report</vt:lpstr>
      <vt:lpstr>Data</vt:lpstr>
      <vt:lpstr>Data!Print_Area</vt:lpstr>
      <vt:lpstr>Explanation!Print_Area</vt:lpstr>
      <vt:lpstr>Report!Print_Area</vt:lpstr>
      <vt:lpstr>Data!Print_Titles</vt:lpstr>
      <vt:lpstr>Report!Print_Titles</vt:lpstr>
    </vt:vector>
  </TitlesOfParts>
  <Company>Liberty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Swanson</dc:creator>
  <cp:lastModifiedBy>Carina Negreanu</cp:lastModifiedBy>
  <cp:lastPrinted>2002-11-15T18:17:38Z</cp:lastPrinted>
  <dcterms:created xsi:type="dcterms:W3CDTF">2002-11-04T12:40:53Z</dcterms:created>
  <dcterms:modified xsi:type="dcterms:W3CDTF">2020-01-27T11:33:41Z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-1024060586</vt:i4>
  </property>
  <property fmtid="{D5CDD505-2E9C-101B-9397-08002B2CF9AE}" pid="3" name="_EmailSubject">
    <vt:lpwstr>Final Survey Materials</vt:lpwstr>
  </property>
  <property fmtid="{D5CDD505-2E9C-101B-9397-08002B2CF9AE}" pid="4" name="_AuthorEmail">
    <vt:lpwstr>Jeanne.Swanson@LibertyMutual.com</vt:lpwstr>
  </property>
  <property fmtid="{D5CDD505-2E9C-101B-9397-08002B2CF9AE}" pid="5" name="_AuthorEmailDisplayName">
    <vt:lpwstr>Swanson, Jeanne</vt:lpwstr>
  </property>
  <property fmtid="{D5CDD505-2E9C-101B-9397-08002B2CF9AE}" pid="6" name="_PreviousAdHocReviewCycleID">
    <vt:i4>1950165725</vt:i4>
  </property>
  <property fmtid="{D5CDD505-2E9C-101B-9397-08002B2CF9AE}" pid="7" name="_ReviewingToolsShownOnce">
    <vt:lpwstr/>
  </property>
</Properties>
</file>