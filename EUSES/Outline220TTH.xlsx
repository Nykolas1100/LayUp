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F9A8F4-13C0-47E2-A6AA-CFEF11295702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A8" i="1" s="1"/>
  <c r="C9" i="1"/>
  <c r="B9" i="1" s="1"/>
  <c r="B10" i="1"/>
  <c r="C11" i="1"/>
  <c r="B11" i="1" s="1"/>
  <c r="B12" i="1"/>
  <c r="C13" i="1"/>
  <c r="B13" i="1" s="1"/>
  <c r="B14" i="1"/>
  <c r="D14" i="1"/>
  <c r="C15" i="1"/>
  <c r="B15" i="1" s="1"/>
  <c r="D15" i="1"/>
  <c r="B16" i="1"/>
  <c r="D16" i="1"/>
  <c r="C17" i="1"/>
  <c r="B17" i="1" s="1"/>
  <c r="D17" i="1"/>
  <c r="D18" i="1" s="1"/>
  <c r="D19" i="1" s="1"/>
  <c r="D20" i="1" s="1"/>
  <c r="D21" i="1" s="1"/>
  <c r="B18" i="1"/>
  <c r="C19" i="1"/>
  <c r="B19" i="1" s="1"/>
  <c r="B20" i="1"/>
  <c r="B21" i="1"/>
  <c r="B22" i="1"/>
  <c r="C23" i="1"/>
  <c r="B23" i="1" s="1"/>
  <c r="D23" i="1"/>
  <c r="B24" i="1"/>
  <c r="D24" i="1"/>
  <c r="C25" i="1"/>
  <c r="B25" i="1" s="1"/>
  <c r="D25" i="1"/>
  <c r="B26" i="1"/>
  <c r="D26" i="1"/>
  <c r="B27" i="1"/>
  <c r="D27" i="1"/>
  <c r="B28" i="1"/>
  <c r="L30" i="1"/>
  <c r="L33" i="1"/>
</calcChain>
</file>

<file path=xl/sharedStrings.xml><?xml version="1.0" encoding="utf-8"?>
<sst xmlns="http://schemas.openxmlformats.org/spreadsheetml/2006/main" count="86" uniqueCount="71">
  <si>
    <t>Wk</t>
  </si>
  <si>
    <t>Day</t>
  </si>
  <si>
    <t>DATE</t>
  </si>
  <si>
    <t>#</t>
  </si>
  <si>
    <t>TOPIC</t>
  </si>
  <si>
    <t>READ</t>
  </si>
  <si>
    <t xml:space="preserve">Exercises </t>
  </si>
  <si>
    <t>Problems</t>
  </si>
  <si>
    <t>OTHER</t>
  </si>
  <si>
    <t>POINTS</t>
  </si>
  <si>
    <t>TEXT ASSIGNMENTS</t>
  </si>
  <si>
    <t>ASSIGNMENTS FOR POINTS</t>
  </si>
  <si>
    <t>TOTAL POSSIBLE</t>
  </si>
  <si>
    <t>Assgnm't</t>
  </si>
  <si>
    <t>Chapter 10</t>
  </si>
  <si>
    <t>Chapter 11</t>
  </si>
  <si>
    <t>Chapter 13</t>
  </si>
  <si>
    <t xml:space="preserve">Chapter 12 </t>
  </si>
  <si>
    <t>Cash Flows</t>
  </si>
  <si>
    <t>Chapter 14</t>
  </si>
  <si>
    <t xml:space="preserve">      Chapter 9</t>
  </si>
  <si>
    <t>Intro, Syllabus, Icebreakers, Review         Current Liabilities</t>
  </si>
  <si>
    <t xml:space="preserve">Time Value of $$$$ </t>
  </si>
  <si>
    <t>Long-Term Assets</t>
  </si>
  <si>
    <t>Chapters 9 &amp; 10</t>
  </si>
  <si>
    <t>Long-Term Liabilities</t>
  </si>
  <si>
    <t>Chapters 11 &amp; 12</t>
  </si>
  <si>
    <t>Contributed Capital</t>
  </si>
  <si>
    <t>Corp. Income Statement &amp; Stockholders' Equity</t>
  </si>
  <si>
    <t>Chapters 13 &amp; 14</t>
  </si>
  <si>
    <t>Chapter 15</t>
  </si>
  <si>
    <t xml:space="preserve">Chapters 1-8 Chapter 9 </t>
  </si>
  <si>
    <t>9:2,5,6,7,9</t>
  </si>
  <si>
    <t>Skill Dev.</t>
  </si>
  <si>
    <t>11:1</t>
  </si>
  <si>
    <t>12:5</t>
  </si>
  <si>
    <t>15:1,3,6,8</t>
  </si>
  <si>
    <t>10:1,4</t>
  </si>
  <si>
    <t>12:1-4,6-7</t>
  </si>
  <si>
    <t>Chapter 16 &amp; 15</t>
  </si>
  <si>
    <t>http://facweb.bcc.ctc.edu/jpaquett/</t>
  </si>
  <si>
    <t>BELLEVUE COMMUNITY COLLEGE: ACCTG. 220 : FUNDAMENTALS OF ACCOUNTING  220 220 220 220</t>
  </si>
  <si>
    <t>FINAL EXAM: see schedule online</t>
  </si>
  <si>
    <t>10:1,3,6</t>
  </si>
  <si>
    <t>10:11,15</t>
  </si>
  <si>
    <t xml:space="preserve">Exam: Ch 9 &amp; 10                    </t>
  </si>
  <si>
    <t>EXAM (100)</t>
  </si>
  <si>
    <t>Financial Analysis/Presentations</t>
  </si>
  <si>
    <t>11:1,2,3,7, 10,11,14</t>
  </si>
  <si>
    <t>PARTICIPATION/HOMEWORK</t>
  </si>
  <si>
    <t>16:2,3</t>
  </si>
  <si>
    <t xml:space="preserve">EXAM 11 &amp; 12                     </t>
  </si>
  <si>
    <t xml:space="preserve">EXAM 13 &amp; 14          </t>
  </si>
  <si>
    <t>Long Term Investmt/Fin. Analy.</t>
  </si>
  <si>
    <t>COMP. LAB; L Building, 1st Floor,   ROOM A133 Bring Text/diskette.</t>
  </si>
  <si>
    <t>Retirement lab</t>
  </si>
  <si>
    <t>Retirement Proj. Part IV</t>
  </si>
  <si>
    <t>Retirement Proj. Part II, ratios</t>
  </si>
  <si>
    <t>Proj. Part III, analysis</t>
  </si>
  <si>
    <t xml:space="preserve">Retirement Proj.Part V </t>
  </si>
  <si>
    <t>Research &amp; Excel Lab/Retirement Part I draft (10)</t>
  </si>
  <si>
    <t>QUIZ15/writing</t>
  </si>
  <si>
    <t>9: 5</t>
  </si>
  <si>
    <t>13: 2, 3, 5,6, 9, 10</t>
  </si>
  <si>
    <t>14:2-8</t>
  </si>
  <si>
    <t>14:1</t>
  </si>
  <si>
    <t>16: 1,2, 3,4</t>
  </si>
  <si>
    <t>15: 2</t>
  </si>
  <si>
    <t>password, handouts/contract QUIZ/WRITING</t>
  </si>
  <si>
    <t>SPRING 2004:  COURSE OUTLINE</t>
  </si>
  <si>
    <t>TUES/THURS 11.30-1.40, ROOM 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</si>
</sst>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1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1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i/>
      <sz val="10"/>
      <color indexed="10"/>
      <name val="Arial"/>
      <family val="2"/>
    </font>
    <font>
      <u/>
      <sz val="9"/>
      <color indexed="12"/>
      <name val="Arial"/>
      <family val="2"/>
    </font>
    <font>
      <b/>
      <sz val="11"/>
      <color indexed="1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44">
    <xf numFmtId="0" fontId="0" fillId="0" borderId="0" xfId="0"/>
    <xf numFmtId="171" fontId="2" fillId="0" borderId="0" xfId="1" applyFont="1" applyBorder="1"/>
    <xf numFmtId="171" fontId="3" fillId="0" borderId="0" xfId="1" applyFont="1" applyBorder="1"/>
    <xf numFmtId="173" fontId="2" fillId="0" borderId="0" xfId="1" applyNumberFormat="1" applyFont="1" applyBorder="1"/>
    <xf numFmtId="49" fontId="4" fillId="0" borderId="0" xfId="1" applyNumberFormat="1" applyFont="1" applyBorder="1"/>
    <xf numFmtId="49" fontId="5" fillId="0" borderId="0" xfId="1" applyNumberFormat="1" applyFont="1" applyBorder="1"/>
    <xf numFmtId="171" fontId="1" fillId="0" borderId="0" xfId="1" applyFont="1" applyBorder="1"/>
    <xf numFmtId="0" fontId="2" fillId="0" borderId="0" xfId="1" applyNumberFormat="1" applyFont="1" applyBorder="1"/>
    <xf numFmtId="0" fontId="3" fillId="0" borderId="0" xfId="1" applyNumberFormat="1" applyFont="1" applyBorder="1"/>
    <xf numFmtId="49" fontId="5" fillId="0" borderId="0" xfId="1" applyNumberFormat="1" applyFont="1" applyBorder="1" applyAlignment="1">
      <alignment horizontal="centerContinuous" wrapText="1"/>
    </xf>
    <xf numFmtId="0" fontId="3" fillId="0" borderId="0" xfId="1" applyNumberFormat="1" applyFont="1" applyBorder="1" applyAlignment="1">
      <alignment horizontal="centerContinuous" wrapText="1"/>
    </xf>
    <xf numFmtId="171" fontId="3" fillId="0" borderId="0" xfId="1" applyFont="1" applyBorder="1" applyAlignment="1">
      <alignment horizontal="centerContinuous" wrapText="1"/>
    </xf>
    <xf numFmtId="49" fontId="1" fillId="0" borderId="1" xfId="1" applyNumberFormat="1" applyFont="1" applyBorder="1"/>
    <xf numFmtId="0" fontId="1" fillId="0" borderId="1" xfId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73" fontId="3" fillId="0" borderId="0" xfId="1" applyNumberFormat="1" applyFont="1" applyBorder="1"/>
    <xf numFmtId="173" fontId="1" fillId="0" borderId="0" xfId="1" applyNumberFormat="1" applyFont="1" applyBorder="1"/>
    <xf numFmtId="14" fontId="3" fillId="0" borderId="2" xfId="1" applyNumberFormat="1" applyFont="1" applyBorder="1" applyAlignment="1">
      <alignment wrapText="1"/>
    </xf>
    <xf numFmtId="171" fontId="1" fillId="0" borderId="3" xfId="1" applyFont="1" applyBorder="1"/>
    <xf numFmtId="49" fontId="1" fillId="0" borderId="4" xfId="1" applyNumberFormat="1" applyFont="1" applyBorder="1"/>
    <xf numFmtId="0" fontId="1" fillId="0" borderId="4" xfId="1" applyNumberFormat="1" applyFont="1" applyBorder="1" applyAlignment="1">
      <alignment horizontal="center"/>
    </xf>
    <xf numFmtId="173" fontId="1" fillId="0" borderId="5" xfId="1" applyNumberFormat="1" applyFont="1" applyBorder="1"/>
    <xf numFmtId="173" fontId="1" fillId="0" borderId="2" xfId="1" applyNumberFormat="1" applyFont="1" applyBorder="1"/>
    <xf numFmtId="16" fontId="5" fillId="0" borderId="2" xfId="1" applyNumberFormat="1" applyFont="1" applyBorder="1"/>
    <xf numFmtId="0" fontId="2" fillId="0" borderId="2" xfId="1" applyNumberFormat="1" applyFont="1" applyBorder="1"/>
    <xf numFmtId="14" fontId="3" fillId="0" borderId="2" xfId="1" applyNumberFormat="1" applyFont="1" applyFill="1" applyBorder="1" applyAlignment="1">
      <alignment wrapText="1"/>
    </xf>
    <xf numFmtId="173" fontId="1" fillId="0" borderId="2" xfId="1" applyNumberFormat="1" applyFont="1" applyFill="1" applyBorder="1"/>
    <xf numFmtId="16" fontId="5" fillId="0" borderId="2" xfId="1" applyNumberFormat="1" applyFont="1" applyFill="1" applyBorder="1"/>
    <xf numFmtId="0" fontId="2" fillId="0" borderId="2" xfId="1" applyNumberFormat="1" applyFont="1" applyFill="1" applyBorder="1"/>
    <xf numFmtId="171" fontId="7" fillId="0" borderId="0" xfId="1" applyFont="1" applyBorder="1"/>
    <xf numFmtId="173" fontId="7" fillId="0" borderId="0" xfId="1" applyNumberFormat="1" applyFont="1" applyBorder="1" applyAlignment="1"/>
    <xf numFmtId="171" fontId="7" fillId="0" borderId="2" xfId="1" applyFont="1" applyBorder="1"/>
    <xf numFmtId="173" fontId="7" fillId="0" borderId="2" xfId="1" applyNumberFormat="1" applyFont="1" applyBorder="1" applyAlignment="1"/>
    <xf numFmtId="171" fontId="7" fillId="2" borderId="6" xfId="1" applyFont="1" applyFill="1" applyBorder="1"/>
    <xf numFmtId="16" fontId="5" fillId="2" borderId="2" xfId="1" applyNumberFormat="1" applyFont="1" applyFill="1" applyBorder="1"/>
    <xf numFmtId="173" fontId="1" fillId="2" borderId="2" xfId="1" applyNumberFormat="1" applyFont="1" applyFill="1" applyBorder="1"/>
    <xf numFmtId="0" fontId="2" fillId="2" borderId="2" xfId="1" applyNumberFormat="1" applyFont="1" applyFill="1" applyBorder="1"/>
    <xf numFmtId="14" fontId="3" fillId="2" borderId="2" xfId="1" applyNumberFormat="1" applyFont="1" applyFill="1" applyBorder="1" applyAlignment="1">
      <alignment wrapText="1"/>
    </xf>
    <xf numFmtId="173" fontId="7" fillId="2" borderId="2" xfId="1" applyNumberFormat="1" applyFont="1" applyFill="1" applyBorder="1" applyAlignment="1">
      <alignment horizontal="left"/>
    </xf>
    <xf numFmtId="171" fontId="1" fillId="0" borderId="5" xfId="1" applyFont="1" applyBorder="1" applyAlignment="1">
      <alignment wrapText="1"/>
    </xf>
    <xf numFmtId="171" fontId="2" fillId="0" borderId="5" xfId="1" applyFont="1" applyBorder="1" applyAlignment="1">
      <alignment wrapText="1"/>
    </xf>
    <xf numFmtId="173" fontId="7" fillId="0" borderId="7" xfId="1" applyNumberFormat="1" applyFont="1" applyBorder="1" applyAlignment="1"/>
    <xf numFmtId="171" fontId="7" fillId="0" borderId="4" xfId="1" applyFont="1" applyBorder="1"/>
    <xf numFmtId="171" fontId="2" fillId="0" borderId="0" xfId="1" applyFont="1" applyFill="1" applyBorder="1"/>
    <xf numFmtId="171" fontId="2" fillId="0" borderId="0" xfId="1" applyFont="1" applyBorder="1" applyAlignment="1">
      <alignment horizontal="right"/>
    </xf>
    <xf numFmtId="171" fontId="3" fillId="0" borderId="0" xfId="1" applyFont="1" applyBorder="1" applyAlignment="1">
      <alignment horizontal="right"/>
    </xf>
    <xf numFmtId="171" fontId="3" fillId="0" borderId="0" xfId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73" fontId="1" fillId="0" borderId="2" xfId="1" applyNumberFormat="1" applyFont="1" applyBorder="1" applyAlignment="1">
      <alignment horizontal="right" wrapText="1"/>
    </xf>
    <xf numFmtId="173" fontId="1" fillId="0" borderId="2" xfId="1" applyNumberFormat="1" applyFont="1" applyFill="1" applyBorder="1" applyAlignment="1">
      <alignment horizontal="right" wrapText="1"/>
    </xf>
    <xf numFmtId="173" fontId="1" fillId="0" borderId="5" xfId="1" applyNumberFormat="1" applyFont="1" applyBorder="1" applyAlignment="1">
      <alignment horizontal="right" wrapText="1"/>
    </xf>
    <xf numFmtId="173" fontId="1" fillId="0" borderId="0" xfId="1" applyNumberFormat="1" applyFont="1" applyBorder="1" applyAlignment="1">
      <alignment horizontal="right"/>
    </xf>
    <xf numFmtId="171" fontId="2" fillId="3" borderId="0" xfId="1" applyFont="1" applyFill="1" applyBorder="1"/>
    <xf numFmtId="14" fontId="5" fillId="0" borderId="2" xfId="1" applyNumberFormat="1" applyFont="1" applyFill="1" applyBorder="1" applyAlignment="1">
      <alignment wrapText="1"/>
    </xf>
    <xf numFmtId="171" fontId="1" fillId="0" borderId="1" xfId="1" applyFont="1" applyFill="1" applyBorder="1" applyAlignment="1">
      <alignment horizontal="right" wrapText="1"/>
    </xf>
    <xf numFmtId="171" fontId="7" fillId="0" borderId="2" xfId="1" applyFont="1" applyBorder="1" applyAlignment="1"/>
    <xf numFmtId="171" fontId="1" fillId="4" borderId="7" xfId="1" applyFont="1" applyFill="1" applyBorder="1" applyAlignment="1">
      <alignment horizontal="center" wrapText="1"/>
    </xf>
    <xf numFmtId="171" fontId="7" fillId="0" borderId="2" xfId="1" applyFont="1" applyBorder="1" applyAlignment="1">
      <alignment wrapText="1"/>
    </xf>
    <xf numFmtId="171" fontId="7" fillId="0" borderId="2" xfId="1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14" fontId="1" fillId="5" borderId="8" xfId="1" applyNumberFormat="1" applyFont="1" applyFill="1" applyBorder="1" applyAlignment="1">
      <alignment wrapText="1"/>
    </xf>
    <xf numFmtId="171" fontId="7" fillId="5" borderId="2" xfId="1" applyFont="1" applyFill="1" applyBorder="1"/>
    <xf numFmtId="173" fontId="7" fillId="5" borderId="6" xfId="1" applyNumberFormat="1" applyFont="1" applyFill="1" applyBorder="1" applyAlignment="1"/>
    <xf numFmtId="14" fontId="1" fillId="2" borderId="3" xfId="1" applyNumberFormat="1" applyFont="1" applyFill="1" applyBorder="1" applyAlignment="1">
      <alignment horizontal="left" vertical="top"/>
    </xf>
    <xf numFmtId="14" fontId="1" fillId="2" borderId="4" xfId="1" applyNumberFormat="1" applyFont="1" applyFill="1" applyBorder="1" applyAlignment="1">
      <alignment horizontal="left" vertical="top"/>
    </xf>
    <xf numFmtId="0" fontId="1" fillId="0" borderId="6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173" fontId="1" fillId="0" borderId="2" xfId="0" applyNumberFormat="1" applyFont="1" applyBorder="1"/>
    <xf numFmtId="173" fontId="1" fillId="6" borderId="0" xfId="1" applyNumberFormat="1" applyFont="1" applyFill="1" applyBorder="1"/>
    <xf numFmtId="0" fontId="1" fillId="0" borderId="1" xfId="0" applyFont="1" applyFill="1" applyBorder="1" applyAlignment="1">
      <alignment horizontal="right" wrapText="1"/>
    </xf>
    <xf numFmtId="0" fontId="1" fillId="0" borderId="2" xfId="0" applyFont="1" applyFill="1" applyBorder="1" applyAlignment="1">
      <alignment horizontal="right" wrapText="1"/>
    </xf>
    <xf numFmtId="0" fontId="1" fillId="0" borderId="4" xfId="0" applyFont="1" applyFill="1" applyBorder="1" applyAlignment="1">
      <alignment horizontal="right" wrapText="1"/>
    </xf>
    <xf numFmtId="171" fontId="9" fillId="6" borderId="2" xfId="1" applyFont="1" applyFill="1" applyBorder="1" applyAlignment="1">
      <alignment wrapText="1"/>
    </xf>
    <xf numFmtId="0" fontId="9" fillId="6" borderId="2" xfId="0" applyFont="1" applyFill="1" applyBorder="1" applyAlignment="1">
      <alignment horizontal="right" wrapText="1"/>
    </xf>
    <xf numFmtId="173" fontId="9" fillId="6" borderId="2" xfId="1" applyNumberFormat="1" applyFont="1" applyFill="1" applyBorder="1" applyAlignment="1">
      <alignment horizontal="right" wrapText="1"/>
    </xf>
    <xf numFmtId="14" fontId="8" fillId="6" borderId="2" xfId="1" applyNumberFormat="1" applyFont="1" applyFill="1" applyBorder="1" applyAlignment="1">
      <alignment wrapText="1"/>
    </xf>
    <xf numFmtId="14" fontId="9" fillId="6" borderId="2" xfId="1" applyNumberFormat="1" applyFont="1" applyFill="1" applyBorder="1" applyAlignment="1">
      <alignment wrapText="1"/>
    </xf>
    <xf numFmtId="171" fontId="10" fillId="0" borderId="2" xfId="1" applyFont="1" applyBorder="1" applyAlignment="1">
      <alignment wrapText="1"/>
    </xf>
    <xf numFmtId="173" fontId="11" fillId="0" borderId="2" xfId="1" applyNumberFormat="1" applyFont="1" applyFill="1" applyBorder="1" applyAlignment="1">
      <alignment horizontal="left"/>
    </xf>
    <xf numFmtId="49" fontId="3" fillId="0" borderId="2" xfId="1" applyNumberFormat="1" applyFont="1" applyFill="1" applyBorder="1" applyAlignment="1">
      <alignment wrapText="1"/>
    </xf>
    <xf numFmtId="14" fontId="1" fillId="2" borderId="8" xfId="1" applyNumberFormat="1" applyFont="1" applyFill="1" applyBorder="1" applyAlignment="1">
      <alignment horizontal="left" vertical="top"/>
    </xf>
    <xf numFmtId="49" fontId="3" fillId="0" borderId="2" xfId="1" applyNumberFormat="1" applyFont="1" applyBorder="1" applyAlignment="1">
      <alignment wrapText="1"/>
    </xf>
    <xf numFmtId="49" fontId="8" fillId="6" borderId="2" xfId="1" applyNumberFormat="1" applyFont="1" applyFill="1" applyBorder="1" applyAlignment="1">
      <alignment wrapText="1"/>
    </xf>
    <xf numFmtId="49" fontId="5" fillId="0" borderId="2" xfId="1" applyNumberFormat="1" applyFont="1" applyFill="1" applyBorder="1" applyAlignment="1">
      <alignment wrapText="1"/>
    </xf>
    <xf numFmtId="49" fontId="5" fillId="0" borderId="2" xfId="1" quotePrefix="1" applyNumberFormat="1" applyFont="1" applyBorder="1" applyAlignment="1">
      <alignment wrapText="1"/>
    </xf>
    <xf numFmtId="49" fontId="9" fillId="6" borderId="2" xfId="1" applyNumberFormat="1" applyFont="1" applyFill="1" applyBorder="1" applyAlignment="1">
      <alignment wrapText="1"/>
    </xf>
    <xf numFmtId="49" fontId="2" fillId="0" borderId="2" xfId="1" applyNumberFormat="1" applyFont="1" applyBorder="1" applyAlignment="1">
      <alignment wrapText="1"/>
    </xf>
    <xf numFmtId="49" fontId="3" fillId="0" borderId="5" xfId="1" applyNumberFormat="1" applyFont="1" applyBorder="1" applyAlignment="1">
      <alignment wrapText="1"/>
    </xf>
    <xf numFmtId="49" fontId="2" fillId="0" borderId="0" xfId="1" applyNumberFormat="1" applyFont="1" applyBorder="1"/>
    <xf numFmtId="49" fontId="5" fillId="0" borderId="2" xfId="1" applyNumberFormat="1" applyFont="1" applyFill="1" applyBorder="1" applyAlignment="1"/>
    <xf numFmtId="173" fontId="1" fillId="6" borderId="2" xfId="1" applyNumberFormat="1" applyFont="1" applyFill="1" applyBorder="1"/>
    <xf numFmtId="173" fontId="12" fillId="0" borderId="2" xfId="1" applyNumberFormat="1" applyFont="1" applyBorder="1" applyAlignment="1"/>
    <xf numFmtId="49" fontId="8" fillId="6" borderId="2" xfId="1" applyNumberFormat="1" applyFont="1" applyFill="1" applyBorder="1" applyAlignment="1"/>
    <xf numFmtId="173" fontId="9" fillId="0" borderId="2" xfId="1" applyNumberFormat="1" applyFont="1" applyFill="1" applyBorder="1" applyAlignment="1">
      <alignment horizontal="left"/>
    </xf>
    <xf numFmtId="16" fontId="5" fillId="6" borderId="2" xfId="1" applyNumberFormat="1" applyFont="1" applyFill="1" applyBorder="1"/>
    <xf numFmtId="0" fontId="2" fillId="6" borderId="2" xfId="1" applyNumberFormat="1" applyFont="1" applyFill="1" applyBorder="1"/>
    <xf numFmtId="171" fontId="2" fillId="0" borderId="2" xfId="1" applyFont="1" applyBorder="1"/>
    <xf numFmtId="0" fontId="5" fillId="6" borderId="2" xfId="1" applyNumberFormat="1" applyFont="1" applyFill="1" applyBorder="1"/>
    <xf numFmtId="171" fontId="14" fillId="5" borderId="0" xfId="2" applyNumberFormat="1" applyFill="1" applyBorder="1" applyAlignment="1" applyProtection="1"/>
    <xf numFmtId="171" fontId="7" fillId="5" borderId="0" xfId="1" applyFont="1" applyFill="1" applyBorder="1"/>
    <xf numFmtId="0" fontId="3" fillId="5" borderId="0" xfId="1" applyNumberFormat="1" applyFont="1" applyFill="1" applyBorder="1" applyAlignment="1">
      <alignment horizontal="centerContinuous"/>
    </xf>
    <xf numFmtId="171" fontId="3" fillId="5" borderId="0" xfId="1" applyFont="1" applyFill="1" applyBorder="1" applyAlignment="1">
      <alignment horizontal="centerContinuous"/>
    </xf>
    <xf numFmtId="171" fontId="3" fillId="5" borderId="0" xfId="1" applyFont="1" applyFill="1" applyBorder="1" applyAlignment="1">
      <alignment horizontal="right"/>
    </xf>
    <xf numFmtId="171" fontId="3" fillId="5" borderId="0" xfId="1" applyFont="1" applyFill="1" applyBorder="1"/>
    <xf numFmtId="173" fontId="6" fillId="5" borderId="9" xfId="1" applyNumberFormat="1" applyFont="1" applyFill="1" applyBorder="1"/>
    <xf numFmtId="0" fontId="0" fillId="5" borderId="10" xfId="0" applyFill="1" applyBorder="1"/>
    <xf numFmtId="0" fontId="2" fillId="5" borderId="10" xfId="1" applyNumberFormat="1" applyFont="1" applyFill="1" applyBorder="1"/>
    <xf numFmtId="171" fontId="2" fillId="5" borderId="10" xfId="1" applyFont="1" applyFill="1" applyBorder="1"/>
    <xf numFmtId="173" fontId="6" fillId="5" borderId="10" xfId="1" applyNumberFormat="1" applyFont="1" applyFill="1" applyBorder="1" applyAlignment="1">
      <alignment horizontal="left"/>
    </xf>
    <xf numFmtId="171" fontId="2" fillId="5" borderId="10" xfId="1" applyFont="1" applyFill="1" applyBorder="1" applyAlignment="1">
      <alignment horizontal="right"/>
    </xf>
    <xf numFmtId="171" fontId="14" fillId="5" borderId="10" xfId="2" applyNumberFormat="1" applyFill="1" applyBorder="1" applyAlignment="1" applyProtection="1"/>
    <xf numFmtId="171" fontId="7" fillId="5" borderId="10" xfId="1" applyFont="1" applyFill="1" applyBorder="1"/>
    <xf numFmtId="173" fontId="7" fillId="5" borderId="11" xfId="1" applyNumberFormat="1" applyFont="1" applyFill="1" applyBorder="1" applyAlignment="1"/>
    <xf numFmtId="173" fontId="13" fillId="5" borderId="12" xfId="1" applyNumberFormat="1" applyFont="1" applyFill="1" applyBorder="1" applyAlignment="1">
      <alignment horizontal="left"/>
    </xf>
    <xf numFmtId="0" fontId="0" fillId="5" borderId="0" xfId="0" applyFill="1" applyBorder="1"/>
    <xf numFmtId="173" fontId="7" fillId="5" borderId="1" xfId="1" applyNumberFormat="1" applyFont="1" applyFill="1" applyBorder="1" applyAlignment="1"/>
    <xf numFmtId="173" fontId="6" fillId="5" borderId="13" xfId="1" applyNumberFormat="1" applyFont="1" applyFill="1" applyBorder="1"/>
    <xf numFmtId="0" fontId="0" fillId="5" borderId="14" xfId="0" applyFill="1" applyBorder="1"/>
    <xf numFmtId="0" fontId="3" fillId="5" borderId="14" xfId="1" applyNumberFormat="1" applyFont="1" applyFill="1" applyBorder="1"/>
    <xf numFmtId="171" fontId="3" fillId="5" borderId="14" xfId="1" applyFont="1" applyFill="1" applyBorder="1"/>
    <xf numFmtId="171" fontId="3" fillId="5" borderId="14" xfId="1" applyFont="1" applyFill="1" applyBorder="1" applyAlignment="1">
      <alignment horizontal="right"/>
    </xf>
    <xf numFmtId="171" fontId="3" fillId="5" borderId="14" xfId="1" applyFont="1" applyFill="1" applyBorder="1" applyAlignment="1">
      <alignment horizontal="center"/>
    </xf>
    <xf numFmtId="171" fontId="7" fillId="5" borderId="14" xfId="1" applyFont="1" applyFill="1" applyBorder="1"/>
    <xf numFmtId="173" fontId="7" fillId="5" borderId="8" xfId="1" applyNumberFormat="1" applyFont="1" applyFill="1" applyBorder="1" applyAlignment="1"/>
    <xf numFmtId="171" fontId="14" fillId="6" borderId="2" xfId="2" applyNumberFormat="1" applyFill="1" applyBorder="1" applyAlignment="1" applyProtection="1">
      <alignment wrapText="1"/>
    </xf>
    <xf numFmtId="171" fontId="3" fillId="0" borderId="0" xfId="1" applyFont="1" applyFill="1" applyBorder="1"/>
    <xf numFmtId="173" fontId="11" fillId="0" borderId="2" xfId="1" applyNumberFormat="1" applyFont="1" applyFill="1" applyBorder="1" applyAlignment="1"/>
    <xf numFmtId="171" fontId="7" fillId="2" borderId="2" xfId="1" applyFont="1" applyFill="1" applyBorder="1" applyAlignment="1">
      <alignment wrapText="1"/>
    </xf>
    <xf numFmtId="20" fontId="5" fillId="0" borderId="2" xfId="1" applyNumberFormat="1" applyFont="1" applyFill="1" applyBorder="1" applyAlignment="1">
      <alignment wrapText="1"/>
    </xf>
    <xf numFmtId="171" fontId="15" fillId="0" borderId="2" xfId="1" applyFont="1" applyBorder="1" applyAlignment="1">
      <alignment wrapText="1"/>
    </xf>
    <xf numFmtId="173" fontId="15" fillId="0" borderId="2" xfId="1" applyNumberFormat="1" applyFont="1" applyBorder="1" applyAlignment="1">
      <alignment wrapText="1"/>
    </xf>
    <xf numFmtId="173" fontId="9" fillId="6" borderId="2" xfId="1" applyNumberFormat="1" applyFont="1" applyFill="1" applyBorder="1" applyAlignment="1">
      <alignment horizontal="left"/>
    </xf>
    <xf numFmtId="0" fontId="5" fillId="2" borderId="2" xfId="1" applyNumberFormat="1" applyFont="1" applyFill="1" applyBorder="1"/>
    <xf numFmtId="0" fontId="5" fillId="0" borderId="2" xfId="1" applyNumberFormat="1" applyFont="1" applyFill="1" applyBorder="1"/>
    <xf numFmtId="173" fontId="9" fillId="0" borderId="2" xfId="1" applyNumberFormat="1" applyFont="1" applyFill="1" applyBorder="1" applyAlignment="1">
      <alignment horizontal="right" wrapText="1"/>
    </xf>
    <xf numFmtId="49" fontId="8" fillId="0" borderId="2" xfId="1" applyNumberFormat="1" applyFont="1" applyFill="1" applyBorder="1" applyAlignment="1">
      <alignment wrapText="1"/>
    </xf>
    <xf numFmtId="14" fontId="9" fillId="0" borderId="2" xfId="1" applyNumberFormat="1" applyFont="1" applyFill="1" applyBorder="1" applyAlignment="1">
      <alignment wrapText="1"/>
    </xf>
    <xf numFmtId="173" fontId="12" fillId="0" borderId="2" xfId="1" applyNumberFormat="1" applyFont="1" applyFill="1" applyBorder="1" applyAlignment="1">
      <alignment horizontal="left"/>
    </xf>
    <xf numFmtId="171" fontId="11" fillId="0" borderId="2" xfId="1" applyFont="1" applyFill="1" applyBorder="1" applyAlignment="1">
      <alignment wrapText="1"/>
    </xf>
    <xf numFmtId="171" fontId="7" fillId="2" borderId="15" xfId="1" applyFont="1" applyFill="1" applyBorder="1" applyAlignment="1">
      <alignment horizontal="center"/>
    </xf>
    <xf numFmtId="171" fontId="7" fillId="2" borderId="0" xfId="1" applyFont="1" applyFill="1" applyBorder="1" applyAlignment="1">
      <alignment horizontal="center"/>
    </xf>
    <xf numFmtId="171" fontId="7" fillId="2" borderId="16" xfId="1" applyFont="1" applyFill="1" applyBorder="1" applyAlignment="1">
      <alignment horizontal="center"/>
    </xf>
    <xf numFmtId="171" fontId="7" fillId="2" borderId="17" xfId="1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cc.ctc.edu/bccweb/howtoenroll/exams.stm" TargetMode="External"/><Relationship Id="rId1" Type="http://schemas.openxmlformats.org/officeDocument/2006/relationships/hyperlink" Target="http://facweb.bcc.ctc.edu/jpaquet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19" zoomScale="90" workbookViewId="0">
      <selection activeCell="L22" sqref="L22"/>
    </sheetView>
  </sheetViews>
  <sheetFormatPr defaultColWidth="9.1796875" defaultRowHeight="13" x14ac:dyDescent="0.3"/>
  <cols>
    <col min="1" max="1" width="4.453125" style="1" customWidth="1"/>
    <col min="2" max="2" width="6.81640625" style="3" customWidth="1"/>
    <col min="3" max="3" width="8.7265625" style="5" customWidth="1"/>
    <col min="4" max="4" width="3" style="7" customWidth="1"/>
    <col min="5" max="5" width="30.26953125" style="1" customWidth="1"/>
    <col min="6" max="6" width="9.7265625" style="44" customWidth="1"/>
    <col min="7" max="7" width="1.7265625" style="44" customWidth="1"/>
    <col min="8" max="8" width="11.453125" style="1" customWidth="1"/>
    <col min="9" max="10" width="11.7265625" style="1" customWidth="1"/>
    <col min="11" max="11" width="17.7265625" style="29" customWidth="1"/>
    <col min="12" max="12" width="8.26953125" style="30" customWidth="1"/>
    <col min="13" max="13" width="2.453125" style="43" customWidth="1"/>
    <col min="14" max="16384" width="9.1796875" style="1"/>
  </cols>
  <sheetData>
    <row r="1" spans="1:13" ht="15.5" x14ac:dyDescent="0.35">
      <c r="A1" s="105" t="s">
        <v>41</v>
      </c>
      <c r="B1" s="106"/>
      <c r="C1" s="106"/>
      <c r="D1" s="107"/>
      <c r="E1" s="108"/>
      <c r="F1" s="109"/>
      <c r="G1" s="110"/>
      <c r="H1" s="111"/>
      <c r="I1" s="108"/>
      <c r="J1" s="108"/>
      <c r="K1" s="112"/>
      <c r="L1" s="113"/>
    </row>
    <row r="2" spans="1:13" s="2" customFormat="1" ht="14.25" customHeight="1" x14ac:dyDescent="0.3">
      <c r="A2" s="114" t="s">
        <v>70</v>
      </c>
      <c r="B2" s="115"/>
      <c r="C2" s="115"/>
      <c r="D2" s="101"/>
      <c r="E2" s="102"/>
      <c r="F2" s="99" t="s">
        <v>40</v>
      </c>
      <c r="G2" s="103"/>
      <c r="H2" s="104"/>
      <c r="I2" s="104"/>
      <c r="J2" s="104"/>
      <c r="K2" s="100"/>
      <c r="L2" s="116"/>
      <c r="M2" s="126"/>
    </row>
    <row r="3" spans="1:13" s="2" customFormat="1" ht="15.5" x14ac:dyDescent="0.35">
      <c r="A3" s="117" t="s">
        <v>69</v>
      </c>
      <c r="B3" s="118"/>
      <c r="C3" s="118"/>
      <c r="D3" s="119"/>
      <c r="E3" s="120"/>
      <c r="F3" s="121"/>
      <c r="G3" s="121"/>
      <c r="H3" s="120"/>
      <c r="I3" s="122"/>
      <c r="J3" s="122"/>
      <c r="K3" s="123"/>
      <c r="L3" s="124"/>
      <c r="M3" s="126"/>
    </row>
    <row r="4" spans="1:13" s="2" customFormat="1" ht="16" thickBot="1" x14ac:dyDescent="0.4">
      <c r="B4" s="15"/>
      <c r="C4" s="4"/>
      <c r="D4" s="8"/>
      <c r="F4" s="45"/>
      <c r="G4" s="45"/>
      <c r="H4" s="140" t="s">
        <v>11</v>
      </c>
      <c r="I4" s="141"/>
      <c r="J4" s="141"/>
      <c r="K4" s="142"/>
      <c r="L4" s="143"/>
      <c r="M4" s="126"/>
    </row>
    <row r="5" spans="1:13" s="2" customFormat="1" ht="13.5" thickBot="1" x14ac:dyDescent="0.35">
      <c r="B5" s="15"/>
      <c r="C5" s="9"/>
      <c r="D5" s="10"/>
      <c r="E5" s="11"/>
      <c r="F5" s="46"/>
      <c r="G5" s="46"/>
      <c r="H5" s="64" t="s">
        <v>10</v>
      </c>
      <c r="I5" s="65"/>
      <c r="J5" s="81"/>
      <c r="K5" s="33" t="s">
        <v>8</v>
      </c>
      <c r="L5" s="63" t="s">
        <v>9</v>
      </c>
      <c r="M5" s="126"/>
    </row>
    <row r="6" spans="1:13" s="2" customFormat="1" ht="13.5" thickBot="1" x14ac:dyDescent="0.35">
      <c r="A6" s="18" t="s">
        <v>0</v>
      </c>
      <c r="B6" s="21" t="s">
        <v>1</v>
      </c>
      <c r="C6" s="19" t="s">
        <v>2</v>
      </c>
      <c r="D6" s="20" t="s">
        <v>3</v>
      </c>
      <c r="E6" s="39" t="s">
        <v>4</v>
      </c>
      <c r="F6" s="56" t="s">
        <v>5</v>
      </c>
      <c r="G6" s="54"/>
      <c r="H6" s="61" t="s">
        <v>6</v>
      </c>
      <c r="I6" s="61" t="s">
        <v>7</v>
      </c>
      <c r="J6" s="61" t="s">
        <v>33</v>
      </c>
      <c r="K6" s="62" t="s">
        <v>13</v>
      </c>
      <c r="L6" s="32"/>
      <c r="M6" s="126"/>
    </row>
    <row r="7" spans="1:13" x14ac:dyDescent="0.3">
      <c r="C7" s="12"/>
      <c r="D7" s="13"/>
      <c r="E7" s="14"/>
      <c r="F7" s="47"/>
      <c r="G7" s="47"/>
      <c r="H7" s="14"/>
      <c r="I7" s="14"/>
      <c r="J7" s="14"/>
      <c r="K7" s="31"/>
      <c r="L7" s="32"/>
    </row>
    <row r="8" spans="1:13" ht="39" x14ac:dyDescent="0.3">
      <c r="A8" s="22">
        <f>IF(B8="Tues",1,"")</f>
        <v>1</v>
      </c>
      <c r="B8" s="22" t="str">
        <f t="shared" ref="B8:B20" si="0">IF(WEEKDAY(C8)=3,"Tues",(IF(WEEKDAY(C8)=5,"Thur","oops!")))</f>
        <v>Tues</v>
      </c>
      <c r="C8" s="23">
        <v>38076</v>
      </c>
      <c r="D8" s="24">
        <v>1</v>
      </c>
      <c r="E8" s="57" t="s">
        <v>21</v>
      </c>
      <c r="F8" s="66" t="s">
        <v>31</v>
      </c>
      <c r="G8" s="47"/>
      <c r="H8" s="17"/>
      <c r="I8" s="17"/>
      <c r="J8" s="17"/>
      <c r="K8" s="55"/>
      <c r="L8" s="32"/>
    </row>
    <row r="9" spans="1:13" ht="39" x14ac:dyDescent="0.3">
      <c r="A9" s="26"/>
      <c r="B9" s="22" t="str">
        <f t="shared" si="0"/>
        <v>Thur</v>
      </c>
      <c r="C9" s="23">
        <f>+C8+2</f>
        <v>38078</v>
      </c>
      <c r="D9" s="24">
        <v>2</v>
      </c>
      <c r="E9" s="58" t="s">
        <v>22</v>
      </c>
      <c r="F9" s="70" t="s">
        <v>20</v>
      </c>
      <c r="G9" s="70"/>
      <c r="H9" s="25"/>
      <c r="I9" s="80"/>
      <c r="J9" s="80"/>
      <c r="K9" s="139" t="s">
        <v>68</v>
      </c>
      <c r="L9" s="127">
        <v>15</v>
      </c>
    </row>
    <row r="10" spans="1:13" ht="33.75" customHeight="1" x14ac:dyDescent="0.3">
      <c r="A10" s="26">
        <v>2</v>
      </c>
      <c r="B10" s="22" t="str">
        <f t="shared" si="0"/>
        <v>Tues</v>
      </c>
      <c r="C10" s="23">
        <v>38083</v>
      </c>
      <c r="D10" s="24">
        <v>3</v>
      </c>
      <c r="E10" s="58" t="s">
        <v>23</v>
      </c>
      <c r="F10" s="71" t="s">
        <v>24</v>
      </c>
      <c r="G10" s="72"/>
      <c r="H10" s="25" t="s">
        <v>32</v>
      </c>
      <c r="I10" s="80" t="s">
        <v>62</v>
      </c>
      <c r="J10" s="80"/>
      <c r="K10" s="78"/>
      <c r="L10" s="79"/>
    </row>
    <row r="11" spans="1:13" ht="26" x14ac:dyDescent="0.3">
      <c r="A11" s="26"/>
      <c r="B11" s="22" t="str">
        <f t="shared" si="0"/>
        <v>Thur</v>
      </c>
      <c r="C11" s="23">
        <f>+C10+2</f>
        <v>38085</v>
      </c>
      <c r="D11" s="24">
        <v>4</v>
      </c>
      <c r="E11" s="57" t="s">
        <v>23</v>
      </c>
      <c r="F11" s="67" t="s">
        <v>14</v>
      </c>
      <c r="H11" s="25" t="s">
        <v>43</v>
      </c>
      <c r="I11" s="97"/>
      <c r="J11" s="17"/>
      <c r="K11" s="78"/>
      <c r="L11" s="79"/>
    </row>
    <row r="12" spans="1:13" ht="26" x14ac:dyDescent="0.3">
      <c r="A12" s="26">
        <v>3</v>
      </c>
      <c r="B12" s="26" t="str">
        <f>IF(WEEKDAY(C12)=3,"Tues",(IF(WEEKDAY(C12)=5,"Thur","oops!")))</f>
        <v>Tues</v>
      </c>
      <c r="C12" s="27">
        <v>38090</v>
      </c>
      <c r="D12" s="28">
        <v>5</v>
      </c>
      <c r="E12" s="58" t="s">
        <v>25</v>
      </c>
      <c r="F12" s="49" t="s">
        <v>15</v>
      </c>
      <c r="G12" s="49"/>
      <c r="H12" s="129" t="s">
        <v>44</v>
      </c>
      <c r="I12" s="97" t="s">
        <v>37</v>
      </c>
      <c r="J12" s="17"/>
      <c r="K12" s="97"/>
      <c r="L12" s="97"/>
    </row>
    <row r="13" spans="1:13" ht="34.5" customHeight="1" x14ac:dyDescent="0.3">
      <c r="A13" s="91"/>
      <c r="B13" s="91" t="str">
        <f>IF(WEEKDAY(C13)=3,"Tues",(IF(WEEKDAY(C13)=5,"Thur","oops!")))</f>
        <v>Thur</v>
      </c>
      <c r="C13" s="95">
        <f>+C12+2</f>
        <v>38092</v>
      </c>
      <c r="D13" s="96">
        <v>6</v>
      </c>
      <c r="E13" s="73" t="s">
        <v>45</v>
      </c>
      <c r="F13" s="74"/>
      <c r="G13" s="75"/>
      <c r="H13" s="76"/>
      <c r="I13" s="76"/>
      <c r="J13" s="76"/>
      <c r="K13" s="77" t="s">
        <v>46</v>
      </c>
      <c r="L13" s="132">
        <v>100</v>
      </c>
    </row>
    <row r="14" spans="1:13" ht="39.75" customHeight="1" x14ac:dyDescent="0.3">
      <c r="A14" s="35">
        <v>4</v>
      </c>
      <c r="B14" s="35" t="str">
        <f t="shared" si="0"/>
        <v>Tues</v>
      </c>
      <c r="C14" s="34">
        <v>38097</v>
      </c>
      <c r="D14" s="133">
        <f t="shared" ref="D14:D21" si="1">1+D13</f>
        <v>7</v>
      </c>
      <c r="E14" s="128" t="s">
        <v>54</v>
      </c>
      <c r="F14" s="59"/>
      <c r="G14" s="60"/>
      <c r="H14" s="37"/>
      <c r="I14" s="37"/>
      <c r="J14" s="37"/>
      <c r="K14" s="128" t="s">
        <v>60</v>
      </c>
      <c r="L14" s="38">
        <v>35</v>
      </c>
    </row>
    <row r="15" spans="1:13" s="43" customFormat="1" ht="26" x14ac:dyDescent="0.3">
      <c r="A15" s="26"/>
      <c r="B15" s="22" t="str">
        <f t="shared" si="0"/>
        <v>Thur</v>
      </c>
      <c r="C15" s="23">
        <f>+C14+2</f>
        <v>38099</v>
      </c>
      <c r="D15" s="28">
        <f t="shared" si="1"/>
        <v>8</v>
      </c>
      <c r="E15" s="58" t="s">
        <v>25</v>
      </c>
      <c r="F15" s="49" t="s">
        <v>26</v>
      </c>
      <c r="G15" s="49"/>
      <c r="H15" s="53"/>
      <c r="I15" s="82"/>
      <c r="J15" s="17"/>
      <c r="K15" s="130"/>
      <c r="L15" s="92"/>
    </row>
    <row r="16" spans="1:13" ht="26" x14ac:dyDescent="0.3">
      <c r="A16" s="22">
        <v>5</v>
      </c>
      <c r="B16" s="22" t="str">
        <f t="shared" si="0"/>
        <v>Tues</v>
      </c>
      <c r="C16" s="23">
        <v>38104</v>
      </c>
      <c r="D16" s="28">
        <f t="shared" si="1"/>
        <v>9</v>
      </c>
      <c r="E16" s="58" t="s">
        <v>27</v>
      </c>
      <c r="F16" s="48" t="s">
        <v>17</v>
      </c>
      <c r="G16" s="48"/>
      <c r="H16" s="53" t="s">
        <v>48</v>
      </c>
      <c r="I16" s="82" t="s">
        <v>34</v>
      </c>
      <c r="J16" s="17"/>
      <c r="K16" s="31"/>
      <c r="L16" s="32"/>
    </row>
    <row r="17" spans="1:13" ht="43.5" customHeight="1" x14ac:dyDescent="0.3">
      <c r="A17" s="22"/>
      <c r="B17" s="22" t="str">
        <f t="shared" si="0"/>
        <v>Thur</v>
      </c>
      <c r="C17" s="23">
        <f>+C16+2</f>
        <v>38106</v>
      </c>
      <c r="D17" s="28">
        <f t="shared" si="1"/>
        <v>10</v>
      </c>
      <c r="E17" s="58" t="s">
        <v>27</v>
      </c>
      <c r="F17" s="48" t="s">
        <v>17</v>
      </c>
      <c r="G17" s="48"/>
      <c r="H17" s="17" t="s">
        <v>38</v>
      </c>
      <c r="I17" s="82" t="s">
        <v>35</v>
      </c>
      <c r="J17" s="82"/>
      <c r="K17" s="130"/>
      <c r="L17" s="92"/>
    </row>
    <row r="18" spans="1:13" ht="33" customHeight="1" x14ac:dyDescent="0.3">
      <c r="A18" s="26">
        <v>6</v>
      </c>
      <c r="B18" s="26" t="str">
        <f t="shared" si="0"/>
        <v>Tues</v>
      </c>
      <c r="C18" s="27">
        <v>38111</v>
      </c>
      <c r="D18" s="28">
        <f t="shared" si="1"/>
        <v>11</v>
      </c>
      <c r="E18" s="58" t="s">
        <v>27</v>
      </c>
      <c r="F18" s="71" t="s">
        <v>17</v>
      </c>
      <c r="G18" s="72"/>
      <c r="H18" s="25"/>
      <c r="I18" s="25"/>
      <c r="J18" s="25"/>
      <c r="K18" s="130" t="s">
        <v>57</v>
      </c>
      <c r="L18" s="92">
        <v>45</v>
      </c>
    </row>
    <row r="19" spans="1:13" ht="28.5" customHeight="1" x14ac:dyDescent="0.3">
      <c r="A19" s="26"/>
      <c r="B19" s="26" t="str">
        <f t="shared" si="0"/>
        <v>Thur</v>
      </c>
      <c r="C19" s="27">
        <f>+C18+2</f>
        <v>38113</v>
      </c>
      <c r="D19" s="134">
        <f t="shared" si="1"/>
        <v>12</v>
      </c>
      <c r="E19" s="58" t="s">
        <v>28</v>
      </c>
      <c r="F19" s="49" t="s">
        <v>16</v>
      </c>
      <c r="G19" s="135"/>
      <c r="H19" s="136"/>
      <c r="I19" s="136"/>
      <c r="J19" s="136"/>
      <c r="K19" s="137"/>
      <c r="L19" s="94"/>
    </row>
    <row r="20" spans="1:13" ht="28.5" customHeight="1" x14ac:dyDescent="0.3">
      <c r="A20" s="91">
        <v>7</v>
      </c>
      <c r="B20" s="91" t="str">
        <f t="shared" si="0"/>
        <v>Tues</v>
      </c>
      <c r="C20" s="95">
        <v>38118</v>
      </c>
      <c r="D20" s="96">
        <f t="shared" si="1"/>
        <v>13</v>
      </c>
      <c r="E20" s="73" t="s">
        <v>51</v>
      </c>
      <c r="F20" s="74"/>
      <c r="G20" s="75"/>
      <c r="H20" s="83"/>
      <c r="I20" s="83"/>
      <c r="J20" s="83"/>
      <c r="K20" s="77" t="s">
        <v>46</v>
      </c>
      <c r="L20" s="132">
        <v>100</v>
      </c>
    </row>
    <row r="21" spans="1:13" s="43" customFormat="1" ht="41.25" customHeight="1" x14ac:dyDescent="0.3">
      <c r="A21" s="22"/>
      <c r="B21" s="22" t="str">
        <f t="shared" ref="B21:B28" si="2">IF(WEEKDAY(C21)=3,"Tues",(IF(WEEKDAY(C21)=5,"Thur","oops!")))</f>
        <v>Thur</v>
      </c>
      <c r="C21" s="23">
        <v>38120</v>
      </c>
      <c r="D21" s="28">
        <f t="shared" si="1"/>
        <v>14</v>
      </c>
      <c r="E21" s="58" t="s">
        <v>18</v>
      </c>
      <c r="F21" s="49" t="s">
        <v>29</v>
      </c>
      <c r="G21" s="49"/>
      <c r="H21" s="80" t="s">
        <v>63</v>
      </c>
      <c r="I21" s="84"/>
      <c r="J21" s="84"/>
      <c r="K21" s="130" t="s">
        <v>58</v>
      </c>
      <c r="L21" s="92">
        <v>30</v>
      </c>
    </row>
    <row r="22" spans="1:13" ht="39" x14ac:dyDescent="0.3">
      <c r="A22" s="35">
        <v>8</v>
      </c>
      <c r="B22" s="35" t="str">
        <f t="shared" si="2"/>
        <v>Tues</v>
      </c>
      <c r="C22" s="34">
        <v>38125</v>
      </c>
      <c r="D22" s="36">
        <v>15</v>
      </c>
      <c r="E22" s="128" t="s">
        <v>54</v>
      </c>
      <c r="F22" s="59" t="s">
        <v>17</v>
      </c>
      <c r="G22" s="60"/>
      <c r="H22" s="37"/>
      <c r="I22" s="37"/>
      <c r="J22" s="37"/>
      <c r="K22" s="128" t="s">
        <v>55</v>
      </c>
      <c r="L22" s="38">
        <v>30</v>
      </c>
    </row>
    <row r="23" spans="1:13" ht="45.75" customHeight="1" x14ac:dyDescent="0.3">
      <c r="A23" s="22"/>
      <c r="B23" s="22" t="str">
        <f t="shared" si="2"/>
        <v>Thur</v>
      </c>
      <c r="C23" s="27">
        <f>+C22+2</f>
        <v>38127</v>
      </c>
      <c r="D23" s="28">
        <f>1+D22</f>
        <v>16</v>
      </c>
      <c r="E23" s="58" t="s">
        <v>18</v>
      </c>
      <c r="F23" s="49" t="s">
        <v>19</v>
      </c>
      <c r="G23" s="58"/>
      <c r="H23" s="84"/>
      <c r="I23" s="84"/>
      <c r="J23" s="85"/>
      <c r="K23" s="130" t="s">
        <v>56</v>
      </c>
      <c r="L23" s="92">
        <v>20</v>
      </c>
    </row>
    <row r="24" spans="1:13" s="52" customFormat="1" ht="30.75" customHeight="1" x14ac:dyDescent="0.3">
      <c r="A24" s="91">
        <v>10</v>
      </c>
      <c r="B24" s="22" t="str">
        <f>IF(WEEKDAY(C24)=3,"Tues",(IF(WEEKDAY(C24)=5,"Thur","oops!")))</f>
        <v>Tues</v>
      </c>
      <c r="C24" s="27">
        <v>38132</v>
      </c>
      <c r="D24" s="28">
        <f>1+D23</f>
        <v>17</v>
      </c>
      <c r="E24" s="58" t="s">
        <v>18</v>
      </c>
      <c r="F24" s="49" t="s">
        <v>19</v>
      </c>
      <c r="G24" s="58"/>
      <c r="H24" s="84" t="s">
        <v>64</v>
      </c>
      <c r="I24" s="84" t="s">
        <v>65</v>
      </c>
      <c r="J24" s="85"/>
      <c r="K24" s="130"/>
      <c r="L24" s="131"/>
      <c r="M24" s="43"/>
    </row>
    <row r="25" spans="1:13" s="52" customFormat="1" ht="21.75" customHeight="1" x14ac:dyDescent="0.3">
      <c r="A25" s="91"/>
      <c r="B25" s="91" t="str">
        <f>IF(WEEKDAY(C25)=3,"Tues",(IF(WEEKDAY(C25)=5,"Thur","oops!")))</f>
        <v>Thur</v>
      </c>
      <c r="C25" s="95">
        <f>+C24+2</f>
        <v>38134</v>
      </c>
      <c r="D25" s="98">
        <f>1+D24</f>
        <v>18</v>
      </c>
      <c r="E25" s="73" t="s">
        <v>52</v>
      </c>
      <c r="F25" s="75"/>
      <c r="G25" s="75"/>
      <c r="H25" s="93"/>
      <c r="I25" s="86"/>
      <c r="J25" s="86"/>
      <c r="K25" s="77" t="s">
        <v>46</v>
      </c>
      <c r="L25" s="132">
        <v>100</v>
      </c>
      <c r="M25" s="43"/>
    </row>
    <row r="26" spans="1:13" ht="28" x14ac:dyDescent="0.3">
      <c r="A26" s="22">
        <v>11</v>
      </c>
      <c r="B26" s="22" t="str">
        <f t="shared" si="2"/>
        <v>Tues</v>
      </c>
      <c r="C26" s="23">
        <v>38139</v>
      </c>
      <c r="D26" s="28">
        <f>1+D25</f>
        <v>19</v>
      </c>
      <c r="E26" s="57" t="s">
        <v>53</v>
      </c>
      <c r="F26" s="48" t="s">
        <v>39</v>
      </c>
      <c r="G26" s="49"/>
      <c r="H26" s="80" t="s">
        <v>66</v>
      </c>
      <c r="I26" s="87" t="s">
        <v>50</v>
      </c>
      <c r="J26" s="80"/>
      <c r="K26" s="130" t="s">
        <v>59</v>
      </c>
      <c r="L26" s="138">
        <v>45</v>
      </c>
    </row>
    <row r="27" spans="1:13" ht="26" x14ac:dyDescent="0.3">
      <c r="A27" s="22">
        <v>12</v>
      </c>
      <c r="B27" s="22" t="str">
        <f t="shared" si="2"/>
        <v>Tues</v>
      </c>
      <c r="C27" s="23">
        <v>38146</v>
      </c>
      <c r="D27" s="28" t="e">
        <f>1+#REF!</f>
        <v>#REF!</v>
      </c>
      <c r="E27" s="57" t="s">
        <v>47</v>
      </c>
      <c r="F27" s="48" t="s">
        <v>30</v>
      </c>
      <c r="G27" s="49"/>
      <c r="H27" s="90" t="s">
        <v>36</v>
      </c>
      <c r="I27" s="84" t="s">
        <v>67</v>
      </c>
      <c r="J27" s="80"/>
      <c r="K27" s="78" t="s">
        <v>61</v>
      </c>
      <c r="L27" s="79">
        <v>10</v>
      </c>
    </row>
    <row r="28" spans="1:13" ht="25.5" customHeight="1" x14ac:dyDescent="0.3">
      <c r="A28" s="91">
        <v>13</v>
      </c>
      <c r="B28" s="22" t="str">
        <f t="shared" si="2"/>
        <v>Thur</v>
      </c>
      <c r="C28" s="95">
        <v>38148</v>
      </c>
      <c r="D28" s="96"/>
      <c r="E28" s="125" t="s">
        <v>42</v>
      </c>
      <c r="F28" s="75"/>
      <c r="G28" s="75"/>
      <c r="H28" s="86"/>
      <c r="I28" s="86"/>
      <c r="J28" s="86"/>
      <c r="K28" s="77" t="s">
        <v>46</v>
      </c>
      <c r="L28" s="94">
        <v>100</v>
      </c>
    </row>
    <row r="29" spans="1:13" ht="18.75" customHeight="1" thickBot="1" x14ac:dyDescent="0.35">
      <c r="A29" s="69"/>
      <c r="B29" s="22"/>
      <c r="C29" s="68"/>
      <c r="D29" s="23"/>
      <c r="E29" s="40"/>
      <c r="F29" s="50"/>
      <c r="G29" s="50"/>
      <c r="H29" s="88"/>
      <c r="I29" s="88"/>
      <c r="J29" s="42" t="s">
        <v>49</v>
      </c>
      <c r="K29" s="42"/>
      <c r="L29" s="32">
        <v>70</v>
      </c>
    </row>
    <row r="30" spans="1:13" ht="18.75" customHeight="1" thickBot="1" x14ac:dyDescent="0.35">
      <c r="A30" s="16"/>
      <c r="B30" s="3" t="s">
        <v>12</v>
      </c>
      <c r="F30" s="51"/>
      <c r="G30" s="51"/>
      <c r="H30" s="89"/>
      <c r="I30" s="89"/>
      <c r="J30" s="89"/>
      <c r="L30" s="41">
        <f>SUM(L7:L29)</f>
        <v>700</v>
      </c>
    </row>
    <row r="31" spans="1:13" ht="18.75" customHeight="1" x14ac:dyDescent="0.3">
      <c r="A31" s="16"/>
      <c r="F31" s="51"/>
      <c r="G31" s="51"/>
      <c r="H31" s="89"/>
      <c r="I31" s="89"/>
      <c r="J31" s="89"/>
    </row>
    <row r="32" spans="1:13" x14ac:dyDescent="0.3">
      <c r="A32" s="6"/>
      <c r="B32" s="3" t="s">
        <v>12</v>
      </c>
      <c r="F32" s="51"/>
      <c r="G32" s="51"/>
      <c r="H32" s="89"/>
      <c r="I32" s="89"/>
      <c r="J32" s="89"/>
      <c r="L32" s="30">
        <v>700</v>
      </c>
    </row>
    <row r="33" spans="8:12" x14ac:dyDescent="0.3">
      <c r="H33" s="89"/>
      <c r="I33" s="89"/>
      <c r="J33" s="89"/>
      <c r="L33" s="30">
        <f>+L32-L30</f>
        <v>0</v>
      </c>
    </row>
    <row r="34" spans="8:12" x14ac:dyDescent="0.3">
      <c r="H34" s="89"/>
      <c r="I34" s="89"/>
      <c r="J34" s="89"/>
    </row>
    <row r="35" spans="8:12" x14ac:dyDescent="0.3">
      <c r="H35" s="89"/>
      <c r="I35" s="89"/>
      <c r="J35" s="89"/>
    </row>
    <row r="36" spans="8:12" x14ac:dyDescent="0.3">
      <c r="H36" s="89"/>
      <c r="I36" s="89"/>
      <c r="J36" s="89"/>
    </row>
    <row r="37" spans="8:12" x14ac:dyDescent="0.3">
      <c r="H37" s="89"/>
      <c r="I37" s="89"/>
      <c r="J37" s="89"/>
    </row>
    <row r="38" spans="8:12" x14ac:dyDescent="0.3">
      <c r="H38" s="89"/>
      <c r="I38" s="89"/>
      <c r="J38" s="89"/>
    </row>
  </sheetData>
  <mergeCells count="1">
    <mergeCell ref="H4:L4"/>
  </mergeCells>
  <phoneticPr fontId="0" type="noConversion"/>
  <hyperlinks>
    <hyperlink ref="F2" r:id="rId1"/>
    <hyperlink ref="E28" r:id="rId2"/>
  </hyperlinks>
  <printOptions gridLines="1" gridLinesSet="0"/>
  <pageMargins left="0.31" right="0.37" top="0.45" bottom="0.64" header="0.37" footer="0.5"/>
  <pageSetup scale="78" fitToHeight="2" orientation="portrait" horizontalDpi="4294967293" verticalDpi="300" r:id="rId3"/>
  <headerFooter alignWithMargins="0">
    <oddFooter xml:space="preserve">&amp;L&amp;6&amp;F&amp;C&amp;6&amp;D  &amp;T&amp;R&amp;6PREP. BY  PAQUETTE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workbookViewId="0">
      <selection activeCell="A18" sqref="A18"/>
    </sheetView>
  </sheetViews>
  <sheetFormatPr defaultRowHeight="12.5" x14ac:dyDescent="0.25"/>
  <cols>
    <col min="1" max="1" width="34.81640625" customWidth="1"/>
    <col min="2" max="2" width="7.1796875" customWidth="1"/>
    <col min="3" max="3" width="7" customWidth="1"/>
    <col min="4" max="4" width="11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</sheetData>
  <phoneticPr fontId="0" type="noConversion"/>
  <printOptions gridLines="1" gridLinesSet="0"/>
  <pageMargins left="0.75" right="0.75" top="1" bottom="1" header="0.5" footer="0.5"/>
  <pageSetup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&amp; Martin Paquette</dc:creator>
  <cp:lastModifiedBy>Carina Negreanu</cp:lastModifiedBy>
  <cp:lastPrinted>2004-03-16T22:34:02Z</cp:lastPrinted>
  <dcterms:created xsi:type="dcterms:W3CDTF">2000-03-21T07:29:16Z</dcterms:created>
  <dcterms:modified xsi:type="dcterms:W3CDTF">2020-01-27T11:56:56Z</dcterms:modified>
</cp:coreProperties>
</file>