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072609-A925-4780-ACEA-07E0B571F669}" xr6:coauthVersionLast="45" xr6:coauthVersionMax="45" xr10:uidLastSave="{00000000-0000-0000-0000-000000000000}"/>
  <bookViews>
    <workbookView xWindow="380" yWindow="380" windowWidth="28800" windowHeight="15460"/>
  </bookViews>
  <sheets>
    <sheet name="Optimization" sheetId="1" r:id="rId1"/>
    <sheet name="Answer Report" sheetId="9" r:id="rId2"/>
  </sheets>
  <definedNames>
    <definedName name="_xlnm.Print_Area" localSheetId="0">Optimization!$A$1:$Q$51</definedName>
    <definedName name="solver_adj" localSheetId="0" hidden="1">Optimization!$B$7:$B$11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10000</definedName>
    <definedName name="solver_lhs1" localSheetId="0" hidden="1">Optimization!$A$44</definedName>
    <definedName name="solver_lhs10" localSheetId="0" hidden="1">Optimization!$A$48</definedName>
    <definedName name="solver_lhs2" localSheetId="0" hidden="1">Optimization!$A$45</definedName>
    <definedName name="solver_lhs3" localSheetId="0" hidden="1">Optimization!$A$46</definedName>
    <definedName name="solver_lhs4" localSheetId="0" hidden="1">Optimization!$A$47</definedName>
    <definedName name="solver_lhs5" localSheetId="0" hidden="1">Optimization!$B$7:$B$11</definedName>
    <definedName name="solver_lhs6" localSheetId="0" hidden="1">Optimization!$A$49</definedName>
    <definedName name="solver_lhs7" localSheetId="0" hidden="1">Optimization!$A$50</definedName>
    <definedName name="solver_lhs8" localSheetId="0" hidden="1">Optimization!$A$51</definedName>
    <definedName name="solver_lhs9" localSheetId="0" hidden="1">Optimization!$B$11</definedName>
    <definedName name="solver_lin" localSheetId="0" hidden="1">2</definedName>
    <definedName name="solver_neg" localSheetId="0" hidden="1">1</definedName>
    <definedName name="solver_num" localSheetId="0" hidden="1">10</definedName>
    <definedName name="solver_nwt" localSheetId="0" hidden="1">1</definedName>
    <definedName name="solver_opt" localSheetId="0" hidden="1">Optimization!$B$39</definedName>
    <definedName name="solver_pre" localSheetId="0" hidden="1">0.01</definedName>
    <definedName name="solver_rel1" localSheetId="0" hidden="1">1</definedName>
    <definedName name="solver_rel10" localSheetId="0" hidden="1">1</definedName>
    <definedName name="solver_rel2" localSheetId="0" hidden="1">2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4</definedName>
    <definedName name="solver_rhs1" localSheetId="0" hidden="1">Optimization!$C$44</definedName>
    <definedName name="solver_rhs10" localSheetId="0" hidden="1">Optimization!$C$48</definedName>
    <definedName name="solver_rhs2" localSheetId="0" hidden="1">Optimization!$C$45</definedName>
    <definedName name="solver_rhs3" localSheetId="0" hidden="1">Optimization!$C$46</definedName>
    <definedName name="solver_rhs4" localSheetId="0" hidden="1">Optimization!$C$47</definedName>
    <definedName name="solver_rhs5" localSheetId="0" hidden="1">0.001</definedName>
    <definedName name="solver_rhs6" localSheetId="0" hidden="1">Optimization!$C$49</definedName>
    <definedName name="solver_rhs7" localSheetId="0" hidden="1">Optimization!$C$50</definedName>
    <definedName name="solver_rhs8" localSheetId="0" hidden="1">Optimization!$C$51</definedName>
    <definedName name="solver_rhs9" localSheetId="0" hidden="1">integer</definedName>
    <definedName name="solver_scl" localSheetId="0" hidden="1">1</definedName>
    <definedName name="solver_sho" localSheetId="0" hidden="1">2</definedName>
    <definedName name="solver_tim" localSheetId="0" hidden="1">100</definedName>
    <definedName name="solver_tol" localSheetId="0" hidden="1">0.01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 s="1"/>
  <c r="A44" i="1" s="1"/>
  <c r="B25" i="1"/>
  <c r="B26" i="1"/>
  <c r="A46" i="1" s="1"/>
  <c r="B27" i="1"/>
  <c r="B28" i="1" s="1"/>
  <c r="B34" i="1" s="1"/>
  <c r="B29" i="1"/>
  <c r="A47" i="1" s="1"/>
  <c r="B35" i="1"/>
  <c r="A51" i="1" s="1"/>
  <c r="C44" i="1"/>
  <c r="A45" i="1"/>
  <c r="C45" i="1"/>
  <c r="C46" i="1"/>
  <c r="C47" i="1"/>
  <c r="C48" i="1"/>
  <c r="A49" i="1"/>
  <c r="C49" i="1"/>
  <c r="A50" i="1"/>
  <c r="C50" i="1"/>
  <c r="C51" i="1"/>
  <c r="B30" i="1" l="1"/>
  <c r="B31" i="1" s="1"/>
  <c r="B32" i="1" l="1"/>
  <c r="A48" i="1" s="1"/>
  <c r="B33" i="1"/>
  <c r="B39" i="1" s="1"/>
</calcChain>
</file>

<file path=xl/sharedStrings.xml><?xml version="1.0" encoding="utf-8"?>
<sst xmlns="http://schemas.openxmlformats.org/spreadsheetml/2006/main" count="156" uniqueCount="99">
  <si>
    <t>h (m)</t>
  </si>
  <si>
    <t>w (m)</t>
  </si>
  <si>
    <t>A_c (m^2)</t>
  </si>
  <si>
    <t>Secondary variable (not optimization variables)</t>
  </si>
  <si>
    <t>Input variables (optimization variables)</t>
  </si>
  <si>
    <t>d (m)</t>
  </si>
  <si>
    <t>g (m)</t>
  </si>
  <si>
    <t>N (turns)</t>
  </si>
  <si>
    <t>Constants</t>
  </si>
  <si>
    <t>rho_core (Kg/m^3)</t>
  </si>
  <si>
    <t>Constraints</t>
  </si>
  <si>
    <t>R_g (A^2/(N*m))</t>
  </si>
  <si>
    <t>Phi_max (T*m^2)</t>
  </si>
  <si>
    <t>I_max (A)</t>
  </si>
  <si>
    <t>mu_o (N/A^2)</t>
  </si>
  <si>
    <t>B_max (T)</t>
  </si>
  <si>
    <t>&lt;</t>
  </si>
  <si>
    <t>&lt;=</t>
  </si>
  <si>
    <t>B_max can't exceed B_sat</t>
  </si>
  <si>
    <t>B_sat (T)</t>
  </si>
  <si>
    <t>L_obj (H)</t>
  </si>
  <si>
    <t>L (H)</t>
  </si>
  <si>
    <t>=</t>
  </si>
  <si>
    <t>L must meet requirement (L_obj)</t>
  </si>
  <si>
    <t>Vol_g_min (m^3)</t>
  </si>
  <si>
    <t>Vol_g (m^3)</t>
  </si>
  <si>
    <t>Inductor with Air Gap - Design Optimization</t>
  </si>
  <si>
    <t>&gt;=</t>
  </si>
  <si>
    <t>Vol_g must be big enough to satisfy energy storage requirements while having B_max not exceed B_sat</t>
  </si>
  <si>
    <t>wire_size (AWG)</t>
  </si>
  <si>
    <t>wire_diameter (mm)</t>
  </si>
  <si>
    <t>Ohm/Km</t>
  </si>
  <si>
    <t>Kg/Km</t>
  </si>
  <si>
    <t>A_w (m^2)</t>
  </si>
  <si>
    <t>K_w</t>
  </si>
  <si>
    <t>A_w must be feasible</t>
  </si>
  <si>
    <t>l_wire (m)</t>
  </si>
  <si>
    <t>t (m)</t>
  </si>
  <si>
    <t>R (Ohm)</t>
  </si>
  <si>
    <t>R_obj (Ohm)</t>
  </si>
  <si>
    <t>Wire weight (Kg)</t>
  </si>
  <si>
    <t>Core weight (Kg)</t>
  </si>
  <si>
    <t>Vol_c (m^3)</t>
  </si>
  <si>
    <t>Objective function (minimize)</t>
  </si>
  <si>
    <t>Total weight</t>
  </si>
  <si>
    <t>l_c (m)</t>
  </si>
  <si>
    <t>No fringing: d &lt; l_c/10</t>
  </si>
  <si>
    <t>No fringing: g &lt; d/10</t>
  </si>
  <si>
    <t>Max I density</t>
  </si>
  <si>
    <t>I density (A/m^2)</t>
  </si>
  <si>
    <t>Respect max. current density constraints</t>
  </si>
  <si>
    <t>Worksheet: [inductor_design.xls]Optimization</t>
  </si>
  <si>
    <t>Target Cell (Min)</t>
  </si>
  <si>
    <t>Cell</t>
  </si>
  <si>
    <t>Name</t>
  </si>
  <si>
    <t>Original Value</t>
  </si>
  <si>
    <t>Final Value</t>
  </si>
  <si>
    <t>Adjustable Cells</t>
  </si>
  <si>
    <t>Cell Value</t>
  </si>
  <si>
    <t>Formula</t>
  </si>
  <si>
    <t>Status</t>
  </si>
  <si>
    <t>Slack</t>
  </si>
  <si>
    <t>$B$39</t>
  </si>
  <si>
    <t>$B$7</t>
  </si>
  <si>
    <t>$B$8</t>
  </si>
  <si>
    <t>$B$9</t>
  </si>
  <si>
    <t>$B$10</t>
  </si>
  <si>
    <t>$B$11</t>
  </si>
  <si>
    <t>$A$44</t>
  </si>
  <si>
    <t>$A$44&lt;=$C$44</t>
  </si>
  <si>
    <t>Binding</t>
  </si>
  <si>
    <t>$A$45</t>
  </si>
  <si>
    <t>$A$45=$C$45</t>
  </si>
  <si>
    <t>$A$46</t>
  </si>
  <si>
    <t>$A$46&gt;=$C$46</t>
  </si>
  <si>
    <t>$A$47</t>
  </si>
  <si>
    <t>$A$47&lt;=$C$47</t>
  </si>
  <si>
    <t>Not Binding</t>
  </si>
  <si>
    <t>$A$48</t>
  </si>
  <si>
    <t>$A$49</t>
  </si>
  <si>
    <t>$A$49&lt;=$C$49</t>
  </si>
  <si>
    <t>$A$50</t>
  </si>
  <si>
    <t>$A$50&lt;=$C$50</t>
  </si>
  <si>
    <t>$A$51</t>
  </si>
  <si>
    <t>$A$51&lt;=$C$51</t>
  </si>
  <si>
    <t>$B$11=integer</t>
  </si>
  <si>
    <t>&lt;--- best solution</t>
  </si>
  <si>
    <t>Optimized weight</t>
  </si>
  <si>
    <t>Wire size (AWG)</t>
  </si>
  <si>
    <t>$B$7&gt;=0.001</t>
  </si>
  <si>
    <t>$B$8&gt;=0.001</t>
  </si>
  <si>
    <t>$B$9&gt;=0.001</t>
  </si>
  <si>
    <t>$B$10&gt;=0.001</t>
  </si>
  <si>
    <t>$B$11&gt;=0.001</t>
  </si>
  <si>
    <t>6.334 - Spring 2004</t>
  </si>
  <si>
    <t>Solutions</t>
  </si>
  <si>
    <t>R must meet requirement (R_obj). NOTE: If the value is too small we can simply add an external resistor to match the required value.</t>
  </si>
  <si>
    <t>Report Created: 3/6/2004 10:49:50 PM</t>
  </si>
  <si>
    <t>$A$48&lt;=$C$48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</si>
</sst>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0" fillId="0" borderId="0" xfId="0" applyNumberFormat="1"/>
    <xf numFmtId="11" fontId="0" fillId="0" borderId="0" xfId="0" applyNumberFormat="1" applyAlignment="1">
      <alignment horizontal="center"/>
    </xf>
    <xf numFmtId="11" fontId="4" fillId="0" borderId="0" xfId="0" applyNumberFormat="1" applyFont="1" applyAlignment="1">
      <alignment horizontal="center"/>
    </xf>
    <xf numFmtId="11" fontId="2" fillId="0" borderId="0" xfId="0" applyNumberFormat="1" applyFont="1"/>
    <xf numFmtId="0" fontId="0" fillId="0" borderId="1" xfId="0" applyFill="1" applyBorder="1" applyAlignment="1"/>
    <xf numFmtId="0" fontId="0" fillId="0" borderId="2" xfId="0" applyFill="1" applyBorder="1" applyAlignment="1"/>
    <xf numFmtId="11" fontId="0" fillId="0" borderId="1" xfId="0" applyNumberFormat="1" applyFill="1" applyBorder="1" applyAlignment="1"/>
    <xf numFmtId="11" fontId="0" fillId="0" borderId="2" xfId="0" applyNumberFormat="1" applyFill="1" applyBorder="1" applyAlignment="1"/>
    <xf numFmtId="0" fontId="0" fillId="0" borderId="1" xfId="0" applyNumberFormat="1" applyFill="1" applyBorder="1" applyAlignme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NumberFormat="1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/>
  </sheetViews>
  <sheetFormatPr defaultRowHeight="12.5" x14ac:dyDescent="0.25"/>
  <cols>
    <col min="1" max="1" width="20.54296875" customWidth="1"/>
    <col min="4" max="4" width="2.26953125" customWidth="1"/>
    <col min="7" max="7" width="16.1796875" bestFit="1" customWidth="1"/>
    <col min="11" max="12" width="15.26953125" style="14" customWidth="1"/>
  </cols>
  <sheetData>
    <row r="1" spans="1:8" ht="15.5" x14ac:dyDescent="0.35">
      <c r="A1" s="8" t="s">
        <v>26</v>
      </c>
    </row>
    <row r="2" spans="1:8" ht="15.5" x14ac:dyDescent="0.35">
      <c r="A2" s="2" t="s">
        <v>94</v>
      </c>
    </row>
    <row r="3" spans="1:8" ht="15.5" x14ac:dyDescent="0.35">
      <c r="A3" s="2" t="s">
        <v>95</v>
      </c>
    </row>
    <row r="5" spans="1:8" ht="14.5" x14ac:dyDescent="0.35">
      <c r="A5" s="3" t="s">
        <v>4</v>
      </c>
      <c r="G5" s="3" t="s">
        <v>8</v>
      </c>
    </row>
    <row r="6" spans="1:8" ht="14.5" x14ac:dyDescent="0.35">
      <c r="A6" s="3"/>
    </row>
    <row r="7" spans="1:8" x14ac:dyDescent="0.25">
      <c r="A7" t="s">
        <v>0</v>
      </c>
      <c r="B7" s="4">
        <v>0.67150348166008023</v>
      </c>
      <c r="G7" t="s">
        <v>9</v>
      </c>
      <c r="H7" s="4">
        <v>8190</v>
      </c>
    </row>
    <row r="8" spans="1:8" x14ac:dyDescent="0.25">
      <c r="A8" t="s">
        <v>1</v>
      </c>
      <c r="B8" s="4">
        <v>0.24189311126445254</v>
      </c>
      <c r="G8" t="s">
        <v>14</v>
      </c>
      <c r="H8" s="4">
        <v>1.26E-6</v>
      </c>
    </row>
    <row r="9" spans="1:8" x14ac:dyDescent="0.25">
      <c r="A9" t="s">
        <v>2</v>
      </c>
      <c r="B9" s="4">
        <v>3.2714423054539962E-2</v>
      </c>
      <c r="G9" t="s">
        <v>13</v>
      </c>
      <c r="H9">
        <v>1.39</v>
      </c>
    </row>
    <row r="10" spans="1:8" x14ac:dyDescent="0.25">
      <c r="A10" t="s">
        <v>6</v>
      </c>
      <c r="B10" s="4">
        <v>1.8087061245516151E-2</v>
      </c>
      <c r="G10" t="s">
        <v>19</v>
      </c>
      <c r="H10">
        <v>1.2</v>
      </c>
    </row>
    <row r="11" spans="1:8" x14ac:dyDescent="0.25">
      <c r="A11" t="s">
        <v>7</v>
      </c>
      <c r="B11" s="5">
        <v>12392</v>
      </c>
      <c r="G11" t="s">
        <v>20</v>
      </c>
      <c r="H11">
        <v>350</v>
      </c>
    </row>
    <row r="12" spans="1:8" x14ac:dyDescent="0.25">
      <c r="B12" s="5"/>
      <c r="G12" t="s">
        <v>34</v>
      </c>
      <c r="H12">
        <v>0.5</v>
      </c>
    </row>
    <row r="13" spans="1:8" x14ac:dyDescent="0.25">
      <c r="A13" t="s">
        <v>29</v>
      </c>
      <c r="B13" s="5">
        <v>15</v>
      </c>
      <c r="G13" t="s">
        <v>24</v>
      </c>
      <c r="H13" s="4">
        <v>5.9170000000000002E-4</v>
      </c>
    </row>
    <row r="14" spans="1:8" x14ac:dyDescent="0.25">
      <c r="A14" t="s">
        <v>30</v>
      </c>
      <c r="B14" s="4">
        <v>1.45</v>
      </c>
      <c r="G14" t="s">
        <v>39</v>
      </c>
      <c r="H14" s="4">
        <v>133</v>
      </c>
    </row>
    <row r="15" spans="1:8" x14ac:dyDescent="0.25">
      <c r="A15" t="s">
        <v>31</v>
      </c>
      <c r="B15" s="4">
        <v>12.7</v>
      </c>
      <c r="G15" t="s">
        <v>48</v>
      </c>
      <c r="H15" s="4">
        <v>20000000</v>
      </c>
    </row>
    <row r="16" spans="1:8" x14ac:dyDescent="0.25">
      <c r="A16" t="s">
        <v>32</v>
      </c>
      <c r="B16" s="4">
        <v>14.7</v>
      </c>
      <c r="H16" s="4"/>
    </row>
    <row r="17" spans="1:13" x14ac:dyDescent="0.25">
      <c r="B17" s="4"/>
      <c r="H17" s="4"/>
    </row>
    <row r="18" spans="1:13" x14ac:dyDescent="0.25">
      <c r="B18" s="4"/>
    </row>
    <row r="19" spans="1:13" ht="14.5" x14ac:dyDescent="0.35">
      <c r="A19" s="3" t="s">
        <v>3</v>
      </c>
      <c r="B19" s="4"/>
    </row>
    <row r="20" spans="1:13" ht="14.5" x14ac:dyDescent="0.35">
      <c r="A20" s="3"/>
      <c r="B20" s="4"/>
    </row>
    <row r="21" spans="1:13" x14ac:dyDescent="0.25">
      <c r="A21" t="s">
        <v>5</v>
      </c>
      <c r="B21" s="4">
        <f>SQRT(B9)</f>
        <v>0.18087128864067942</v>
      </c>
    </row>
    <row r="22" spans="1:13" x14ac:dyDescent="0.25">
      <c r="A22" t="s">
        <v>11</v>
      </c>
      <c r="B22" s="4">
        <f>B10/(H8*B9)</f>
        <v>438791.49231465074</v>
      </c>
      <c r="K22" s="15" t="s">
        <v>88</v>
      </c>
      <c r="L22" s="15" t="s">
        <v>87</v>
      </c>
    </row>
    <row r="23" spans="1:13" x14ac:dyDescent="0.25">
      <c r="A23" t="s">
        <v>12</v>
      </c>
      <c r="B23" s="4">
        <f>B11*H9*H8*B9/B10</f>
        <v>3.925527340819155E-2</v>
      </c>
      <c r="K23" s="14">
        <v>21</v>
      </c>
      <c r="L23" s="6">
        <v>20000</v>
      </c>
    </row>
    <row r="24" spans="1:13" x14ac:dyDescent="0.25">
      <c r="A24" t="s">
        <v>15</v>
      </c>
      <c r="B24" s="4">
        <f>B23/B9</f>
        <v>1.1999378177248301</v>
      </c>
      <c r="K24" s="14">
        <v>20</v>
      </c>
      <c r="L24" s="6">
        <v>9880</v>
      </c>
    </row>
    <row r="25" spans="1:13" x14ac:dyDescent="0.25">
      <c r="A25" t="s">
        <v>21</v>
      </c>
      <c r="B25" s="4">
        <f>B11^2/B22</f>
        <v>349.96499861461137</v>
      </c>
      <c r="K25" s="14">
        <v>19</v>
      </c>
      <c r="L25" s="6">
        <v>4948.2930370338363</v>
      </c>
    </row>
    <row r="26" spans="1:13" x14ac:dyDescent="0.25">
      <c r="A26" t="s">
        <v>25</v>
      </c>
      <c r="B26" s="4">
        <f>B10*B9</f>
        <v>5.9170777339918987E-4</v>
      </c>
      <c r="K26" s="14">
        <v>18</v>
      </c>
      <c r="L26" s="6">
        <v>2520</v>
      </c>
    </row>
    <row r="27" spans="1:13" x14ac:dyDescent="0.25">
      <c r="A27" t="s">
        <v>45</v>
      </c>
      <c r="B27" s="4">
        <f>2*(B7+B8)-B10</f>
        <v>1.8087061246035494</v>
      </c>
      <c r="K27" s="14">
        <v>17</v>
      </c>
      <c r="L27" s="6">
        <v>1300</v>
      </c>
    </row>
    <row r="28" spans="1:13" x14ac:dyDescent="0.25">
      <c r="A28" t="s">
        <v>42</v>
      </c>
      <c r="B28" s="4">
        <f>B27*B9</f>
        <v>5.9170777341617985E-2</v>
      </c>
      <c r="K28" s="14">
        <v>16</v>
      </c>
      <c r="L28" s="6">
        <v>771</v>
      </c>
    </row>
    <row r="29" spans="1:13" x14ac:dyDescent="0.25">
      <c r="A29" t="s">
        <v>33</v>
      </c>
      <c r="B29" s="4">
        <f>B11*(B14/2000)^2*H12*PI()</f>
        <v>1.0231452560413263E-2</v>
      </c>
      <c r="K29" s="14">
        <v>15</v>
      </c>
      <c r="L29" s="6">
        <v>624</v>
      </c>
      <c r="M29" t="s">
        <v>86</v>
      </c>
    </row>
    <row r="30" spans="1:13" x14ac:dyDescent="0.25">
      <c r="A30" t="s">
        <v>37</v>
      </c>
      <c r="B30" s="4">
        <f>B29/(2*(B7-B21))</f>
        <v>1.0426805156677403E-2</v>
      </c>
      <c r="K30" s="14">
        <v>14</v>
      </c>
      <c r="L30" s="6">
        <v>662</v>
      </c>
    </row>
    <row r="31" spans="1:13" x14ac:dyDescent="0.25">
      <c r="A31" t="s">
        <v>36</v>
      </c>
      <c r="B31" s="4">
        <f>4*B11*(B30+B21)</f>
        <v>9482.2639133473822</v>
      </c>
      <c r="K31" s="14">
        <v>13</v>
      </c>
      <c r="L31" s="6">
        <v>712</v>
      </c>
    </row>
    <row r="32" spans="1:13" x14ac:dyDescent="0.25">
      <c r="A32" t="s">
        <v>38</v>
      </c>
      <c r="B32" s="4">
        <f>B31*B15/1000</f>
        <v>120.42475169951175</v>
      </c>
      <c r="K32" s="14">
        <v>12</v>
      </c>
      <c r="L32" s="6">
        <v>778</v>
      </c>
    </row>
    <row r="33" spans="1:16" x14ac:dyDescent="0.25">
      <c r="A33" t="s">
        <v>40</v>
      </c>
      <c r="B33" s="4">
        <f>B31*B16/1000</f>
        <v>139.38927952620651</v>
      </c>
      <c r="K33" s="14">
        <v>11</v>
      </c>
      <c r="L33" s="6">
        <v>866</v>
      </c>
    </row>
    <row r="34" spans="1:16" x14ac:dyDescent="0.25">
      <c r="A34" t="s">
        <v>41</v>
      </c>
      <c r="B34" s="4">
        <f>B28*H7</f>
        <v>484.60866642785129</v>
      </c>
    </row>
    <row r="35" spans="1:16" x14ac:dyDescent="0.25">
      <c r="A35" t="s">
        <v>49</v>
      </c>
      <c r="B35" s="4">
        <f>H9/((B14/2000)^2*PI())</f>
        <v>841761.22101397207</v>
      </c>
    </row>
    <row r="36" spans="1:16" x14ac:dyDescent="0.25">
      <c r="B36" s="4"/>
    </row>
    <row r="37" spans="1:16" ht="14.5" x14ac:dyDescent="0.35">
      <c r="A37" s="3" t="s">
        <v>43</v>
      </c>
      <c r="B37" s="4"/>
    </row>
    <row r="38" spans="1:16" x14ac:dyDescent="0.25">
      <c r="B38" s="4"/>
    </row>
    <row r="39" spans="1:16" x14ac:dyDescent="0.25">
      <c r="A39" t="s">
        <v>44</v>
      </c>
      <c r="B39" s="4">
        <f>B33+B34</f>
        <v>623.99794595405774</v>
      </c>
    </row>
    <row r="40" spans="1:16" x14ac:dyDescent="0.25">
      <c r="B40" s="4"/>
    </row>
    <row r="41" spans="1:16" x14ac:dyDescent="0.25">
      <c r="B41" s="4"/>
    </row>
    <row r="42" spans="1:16" ht="14.5" x14ac:dyDescent="0.35">
      <c r="A42" s="3" t="s">
        <v>10</v>
      </c>
      <c r="B42" s="4"/>
    </row>
    <row r="43" spans="1:16" x14ac:dyDescent="0.25">
      <c r="B43" s="4"/>
      <c r="P43" s="19"/>
    </row>
    <row r="44" spans="1:16" ht="14" x14ac:dyDescent="0.3">
      <c r="A44" s="4">
        <f>B24</f>
        <v>1.1999378177248301</v>
      </c>
      <c r="B44" s="7" t="s">
        <v>17</v>
      </c>
      <c r="C44">
        <f>H10</f>
        <v>1.2</v>
      </c>
      <c r="E44" t="s">
        <v>18</v>
      </c>
      <c r="P44" s="18" t="s">
        <v>70</v>
      </c>
    </row>
    <row r="45" spans="1:16" ht="14" x14ac:dyDescent="0.3">
      <c r="A45" s="4">
        <f>B25</f>
        <v>349.96499861461137</v>
      </c>
      <c r="B45" s="7" t="s">
        <v>22</v>
      </c>
      <c r="C45">
        <f>H11</f>
        <v>350</v>
      </c>
      <c r="E45" t="s">
        <v>23</v>
      </c>
      <c r="P45" s="18" t="s">
        <v>70</v>
      </c>
    </row>
    <row r="46" spans="1:16" ht="14" x14ac:dyDescent="0.3">
      <c r="A46" s="4">
        <f>B26</f>
        <v>5.9170777339918987E-4</v>
      </c>
      <c r="B46" s="7" t="s">
        <v>27</v>
      </c>
      <c r="C46" s="4">
        <f>H13</f>
        <v>5.9170000000000002E-4</v>
      </c>
      <c r="E46" t="s">
        <v>28</v>
      </c>
      <c r="P46" s="18" t="s">
        <v>70</v>
      </c>
    </row>
    <row r="47" spans="1:16" ht="14" x14ac:dyDescent="0.3">
      <c r="A47" s="4">
        <f>B29</f>
        <v>1.0231452560413263E-2</v>
      </c>
      <c r="B47" s="7" t="s">
        <v>17</v>
      </c>
      <c r="C47" s="4">
        <f>(B8-B21)*(B7-B21)</f>
        <v>2.9939270655942693E-2</v>
      </c>
      <c r="E47" t="s">
        <v>35</v>
      </c>
      <c r="P47" s="18" t="s">
        <v>77</v>
      </c>
    </row>
    <row r="48" spans="1:16" ht="14" x14ac:dyDescent="0.3">
      <c r="A48" s="4">
        <f>B32</f>
        <v>120.42475169951175</v>
      </c>
      <c r="B48" s="7" t="s">
        <v>17</v>
      </c>
      <c r="C48" s="4">
        <f>H14</f>
        <v>133</v>
      </c>
      <c r="E48" t="s">
        <v>96</v>
      </c>
      <c r="P48" s="18" t="s">
        <v>77</v>
      </c>
    </row>
    <row r="49" spans="1:16" ht="14" x14ac:dyDescent="0.3">
      <c r="A49" s="4">
        <f>B10</f>
        <v>1.8087061245516151E-2</v>
      </c>
      <c r="B49" s="7" t="s">
        <v>16</v>
      </c>
      <c r="C49" s="4">
        <f>B21/10</f>
        <v>1.8087128864067943E-2</v>
      </c>
      <c r="E49" t="s">
        <v>47</v>
      </c>
      <c r="P49" s="18" t="s">
        <v>70</v>
      </c>
    </row>
    <row r="50" spans="1:16" ht="14" x14ac:dyDescent="0.3">
      <c r="A50" s="4">
        <f>B21</f>
        <v>0.18087128864067942</v>
      </c>
      <c r="B50" s="7" t="s">
        <v>16</v>
      </c>
      <c r="C50" s="4">
        <f>B27/10</f>
        <v>0.18087061246035493</v>
      </c>
      <c r="E50" t="s">
        <v>46</v>
      </c>
      <c r="P50" s="18" t="s">
        <v>70</v>
      </c>
    </row>
    <row r="51" spans="1:16" ht="14" x14ac:dyDescent="0.3">
      <c r="A51" s="4">
        <f>B35</f>
        <v>841761.22101397207</v>
      </c>
      <c r="B51" s="7" t="s">
        <v>16</v>
      </c>
      <c r="C51" s="4">
        <f>H15</f>
        <v>20000000</v>
      </c>
      <c r="E51" t="s">
        <v>50</v>
      </c>
      <c r="P51" s="18" t="s">
        <v>77</v>
      </c>
    </row>
    <row r="52" spans="1:16" ht="14" x14ac:dyDescent="0.3">
      <c r="B52" s="7"/>
      <c r="P52" s="19"/>
    </row>
    <row r="53" spans="1:16" ht="14" x14ac:dyDescent="0.3">
      <c r="B53" s="7"/>
      <c r="P53" s="19"/>
    </row>
    <row r="54" spans="1:16" ht="14" x14ac:dyDescent="0.3">
      <c r="B54" s="7"/>
    </row>
    <row r="55" spans="1:16" ht="14" x14ac:dyDescent="0.3">
      <c r="B55" s="7"/>
    </row>
    <row r="56" spans="1:16" ht="14" x14ac:dyDescent="0.3">
      <c r="B56" s="7"/>
    </row>
    <row r="57" spans="1:16" ht="14" x14ac:dyDescent="0.3">
      <c r="B57" s="7"/>
    </row>
    <row r="58" spans="1:16" ht="14" x14ac:dyDescent="0.3">
      <c r="B58" s="7"/>
    </row>
    <row r="59" spans="1:16" ht="14" x14ac:dyDescent="0.3">
      <c r="B59" s="7"/>
    </row>
    <row r="60" spans="1:16" ht="14" x14ac:dyDescent="0.3">
      <c r="B60" s="7"/>
    </row>
    <row r="61" spans="1:16" x14ac:dyDescent="0.25">
      <c r="B61" s="4"/>
    </row>
    <row r="62" spans="1:16" x14ac:dyDescent="0.25">
      <c r="B62" s="4"/>
    </row>
    <row r="63" spans="1:16" x14ac:dyDescent="0.25">
      <c r="B63" s="4"/>
    </row>
    <row r="64" spans="1:16" x14ac:dyDescent="0.25">
      <c r="B64" s="4"/>
    </row>
    <row r="65" spans="2:2" x14ac:dyDescent="0.25">
      <c r="B65" s="4"/>
    </row>
  </sheetData>
  <phoneticPr fontId="0" type="noConversion"/>
  <pageMargins left="0.75" right="0.75" top="1" bottom="1" header="0.5" footer="0.5"/>
  <pageSetup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/>
  </sheetViews>
  <sheetFormatPr defaultRowHeight="12.5" x14ac:dyDescent="0.25"/>
  <cols>
    <col min="1" max="1" width="2.26953125" customWidth="1"/>
    <col min="2" max="2" width="6.26953125" bestFit="1" customWidth="1"/>
    <col min="3" max="3" width="10.81640625" bestFit="1" customWidth="1"/>
    <col min="4" max="4" width="14.26953125" bestFit="1" customWidth="1"/>
    <col min="5" max="5" width="14" bestFit="1" customWidth="1"/>
    <col min="6" max="6" width="10.54296875" bestFit="1" customWidth="1"/>
    <col min="7" max="7" width="12" bestFit="1" customWidth="1"/>
  </cols>
  <sheetData>
    <row r="1" spans="1:5" ht="13" x14ac:dyDescent="0.3">
      <c r="A1" s="1"/>
    </row>
    <row r="2" spans="1:5" ht="13" x14ac:dyDescent="0.3">
      <c r="A2" s="1" t="s">
        <v>51</v>
      </c>
    </row>
    <row r="3" spans="1:5" ht="13" x14ac:dyDescent="0.3">
      <c r="A3" s="1" t="s">
        <v>97</v>
      </c>
    </row>
    <row r="6" spans="1:5" ht="13" thickBot="1" x14ac:dyDescent="0.3">
      <c r="A6" t="s">
        <v>52</v>
      </c>
    </row>
    <row r="7" spans="1:5" ht="13.5" thickBot="1" x14ac:dyDescent="0.35">
      <c r="B7" s="17" t="s">
        <v>53</v>
      </c>
      <c r="C7" s="17" t="s">
        <v>54</v>
      </c>
      <c r="D7" s="17" t="s">
        <v>55</v>
      </c>
      <c r="E7" s="17" t="s">
        <v>56</v>
      </c>
    </row>
    <row r="8" spans="1:5" ht="13" thickBot="1" x14ac:dyDescent="0.3">
      <c r="B8" s="9" t="s">
        <v>62</v>
      </c>
      <c r="C8" s="9" t="s">
        <v>44</v>
      </c>
      <c r="D8" s="11">
        <v>623.99794595405774</v>
      </c>
      <c r="E8" s="11">
        <v>623.99794595405774</v>
      </c>
    </row>
    <row r="11" spans="1:5" ht="13" thickBot="1" x14ac:dyDescent="0.3">
      <c r="A11" t="s">
        <v>57</v>
      </c>
    </row>
    <row r="12" spans="1:5" ht="13.5" thickBot="1" x14ac:dyDescent="0.35">
      <c r="B12" s="17" t="s">
        <v>53</v>
      </c>
      <c r="C12" s="17" t="s">
        <v>54</v>
      </c>
      <c r="D12" s="17" t="s">
        <v>55</v>
      </c>
      <c r="E12" s="17" t="s">
        <v>56</v>
      </c>
    </row>
    <row r="13" spans="1:5" x14ac:dyDescent="0.25">
      <c r="B13" s="10" t="s">
        <v>63</v>
      </c>
      <c r="C13" s="10" t="s">
        <v>0</v>
      </c>
      <c r="D13" s="12">
        <v>0.67150348166008023</v>
      </c>
      <c r="E13" s="12">
        <v>0.67150348166008023</v>
      </c>
    </row>
    <row r="14" spans="1:5" x14ac:dyDescent="0.25">
      <c r="B14" s="10" t="s">
        <v>64</v>
      </c>
      <c r="C14" s="10" t="s">
        <v>1</v>
      </c>
      <c r="D14" s="12">
        <v>0.24189311126445254</v>
      </c>
      <c r="E14" s="12">
        <v>0.24189311126445254</v>
      </c>
    </row>
    <row r="15" spans="1:5" x14ac:dyDescent="0.25">
      <c r="B15" s="10" t="s">
        <v>65</v>
      </c>
      <c r="C15" s="10" t="s">
        <v>2</v>
      </c>
      <c r="D15" s="12">
        <v>3.2714423054539962E-2</v>
      </c>
      <c r="E15" s="12">
        <v>3.2714423054539962E-2</v>
      </c>
    </row>
    <row r="16" spans="1:5" x14ac:dyDescent="0.25">
      <c r="B16" s="10" t="s">
        <v>66</v>
      </c>
      <c r="C16" s="10" t="s">
        <v>6</v>
      </c>
      <c r="D16" s="12">
        <v>1.8087061245516151E-2</v>
      </c>
      <c r="E16" s="12">
        <v>1.8087061245516151E-2</v>
      </c>
    </row>
    <row r="17" spans="1:7" ht="13" thickBot="1" x14ac:dyDescent="0.3">
      <c r="B17" s="9" t="s">
        <v>67</v>
      </c>
      <c r="C17" s="9" t="s">
        <v>7</v>
      </c>
      <c r="D17" s="13">
        <v>12392</v>
      </c>
      <c r="E17" s="13">
        <v>12392</v>
      </c>
    </row>
    <row r="20" spans="1:7" ht="13" thickBot="1" x14ac:dyDescent="0.3">
      <c r="A20" t="s">
        <v>10</v>
      </c>
    </row>
    <row r="21" spans="1:7" ht="13.5" thickBot="1" x14ac:dyDescent="0.35">
      <c r="B21" s="17" t="s">
        <v>53</v>
      </c>
      <c r="C21" s="17" t="s">
        <v>54</v>
      </c>
      <c r="D21" s="17" t="s">
        <v>58</v>
      </c>
      <c r="E21" s="17" t="s">
        <v>59</v>
      </c>
      <c r="F21" s="17" t="s">
        <v>60</v>
      </c>
      <c r="G21" s="17" t="s">
        <v>61</v>
      </c>
    </row>
    <row r="22" spans="1:7" x14ac:dyDescent="0.25">
      <c r="B22" s="10" t="s">
        <v>68</v>
      </c>
      <c r="C22" s="10" t="s">
        <v>10</v>
      </c>
      <c r="D22" s="12">
        <v>1.1999378177248301</v>
      </c>
      <c r="E22" s="10" t="s">
        <v>69</v>
      </c>
      <c r="F22" s="10" t="s">
        <v>70</v>
      </c>
      <c r="G22" s="10">
        <v>0</v>
      </c>
    </row>
    <row r="23" spans="1:7" x14ac:dyDescent="0.25">
      <c r="B23" s="10" t="s">
        <v>71</v>
      </c>
      <c r="C23" s="10" t="s">
        <v>10</v>
      </c>
      <c r="D23" s="12">
        <v>349.96499861461137</v>
      </c>
      <c r="E23" s="10" t="s">
        <v>72</v>
      </c>
      <c r="F23" s="10" t="s">
        <v>70</v>
      </c>
      <c r="G23" s="10">
        <v>0</v>
      </c>
    </row>
    <row r="24" spans="1:7" x14ac:dyDescent="0.25">
      <c r="B24" s="10" t="s">
        <v>73</v>
      </c>
      <c r="C24" s="10" t="s">
        <v>10</v>
      </c>
      <c r="D24" s="12">
        <v>5.9170777339918987E-4</v>
      </c>
      <c r="E24" s="10" t="s">
        <v>74</v>
      </c>
      <c r="F24" s="10" t="s">
        <v>70</v>
      </c>
      <c r="G24" s="12">
        <v>0</v>
      </c>
    </row>
    <row r="25" spans="1:7" x14ac:dyDescent="0.25">
      <c r="B25" s="10" t="s">
        <v>75</v>
      </c>
      <c r="C25" s="10" t="s">
        <v>10</v>
      </c>
      <c r="D25" s="12">
        <v>1.0231452560413263E-2</v>
      </c>
      <c r="E25" s="10" t="s">
        <v>76</v>
      </c>
      <c r="F25" s="10" t="s">
        <v>77</v>
      </c>
      <c r="G25" s="10">
        <v>1.970781809552943E-2</v>
      </c>
    </row>
    <row r="26" spans="1:7" x14ac:dyDescent="0.25">
      <c r="B26" s="10" t="s">
        <v>79</v>
      </c>
      <c r="C26" s="10" t="s">
        <v>10</v>
      </c>
      <c r="D26" s="12">
        <v>1.8087061245516151E-2</v>
      </c>
      <c r="E26" s="10" t="s">
        <v>80</v>
      </c>
      <c r="F26" s="10" t="s">
        <v>70</v>
      </c>
      <c r="G26" s="10">
        <v>0</v>
      </c>
    </row>
    <row r="27" spans="1:7" x14ac:dyDescent="0.25">
      <c r="B27" s="10" t="s">
        <v>81</v>
      </c>
      <c r="C27" s="10" t="s">
        <v>10</v>
      </c>
      <c r="D27" s="12">
        <v>0.18087128864067942</v>
      </c>
      <c r="E27" s="10" t="s">
        <v>82</v>
      </c>
      <c r="F27" s="10" t="s">
        <v>70</v>
      </c>
      <c r="G27" s="10">
        <v>0</v>
      </c>
    </row>
    <row r="28" spans="1:7" x14ac:dyDescent="0.25">
      <c r="B28" s="10" t="s">
        <v>83</v>
      </c>
      <c r="C28" s="10" t="s">
        <v>10</v>
      </c>
      <c r="D28" s="12">
        <v>841761.22101397207</v>
      </c>
      <c r="E28" s="10" t="s">
        <v>84</v>
      </c>
      <c r="F28" s="10" t="s">
        <v>77</v>
      </c>
      <c r="G28" s="10">
        <v>19158238.778986029</v>
      </c>
    </row>
    <row r="29" spans="1:7" x14ac:dyDescent="0.25">
      <c r="B29" s="10" t="s">
        <v>78</v>
      </c>
      <c r="C29" s="10" t="s">
        <v>10</v>
      </c>
      <c r="D29" s="12">
        <v>120.42475169951175</v>
      </c>
      <c r="E29" s="10" t="s">
        <v>98</v>
      </c>
      <c r="F29" s="10" t="s">
        <v>77</v>
      </c>
      <c r="G29" s="10">
        <v>12.575248300488255</v>
      </c>
    </row>
    <row r="30" spans="1:7" x14ac:dyDescent="0.25">
      <c r="B30" s="10" t="s">
        <v>63</v>
      </c>
      <c r="C30" s="10" t="s">
        <v>0</v>
      </c>
      <c r="D30" s="12">
        <v>0.67150348166008023</v>
      </c>
      <c r="E30" s="10" t="s">
        <v>89</v>
      </c>
      <c r="F30" s="10" t="s">
        <v>77</v>
      </c>
      <c r="G30" s="12">
        <v>0.67050348166008022</v>
      </c>
    </row>
    <row r="31" spans="1:7" x14ac:dyDescent="0.25">
      <c r="B31" s="10" t="s">
        <v>64</v>
      </c>
      <c r="C31" s="10" t="s">
        <v>1</v>
      </c>
      <c r="D31" s="12">
        <v>0.24189311126445254</v>
      </c>
      <c r="E31" s="10" t="s">
        <v>90</v>
      </c>
      <c r="F31" s="10" t="s">
        <v>77</v>
      </c>
      <c r="G31" s="12">
        <v>0.24089311126445254</v>
      </c>
    </row>
    <row r="32" spans="1:7" x14ac:dyDescent="0.25">
      <c r="B32" s="10" t="s">
        <v>65</v>
      </c>
      <c r="C32" s="10" t="s">
        <v>2</v>
      </c>
      <c r="D32" s="12">
        <v>3.2714423054539962E-2</v>
      </c>
      <c r="E32" s="10" t="s">
        <v>91</v>
      </c>
      <c r="F32" s="10" t="s">
        <v>77</v>
      </c>
      <c r="G32" s="12">
        <v>3.1714423054539961E-2</v>
      </c>
    </row>
    <row r="33" spans="2:7" x14ac:dyDescent="0.25">
      <c r="B33" s="10" t="s">
        <v>66</v>
      </c>
      <c r="C33" s="10" t="s">
        <v>6</v>
      </c>
      <c r="D33" s="12">
        <v>1.8087061245516151E-2</v>
      </c>
      <c r="E33" s="10" t="s">
        <v>92</v>
      </c>
      <c r="F33" s="10" t="s">
        <v>77</v>
      </c>
      <c r="G33" s="12">
        <v>1.708706124551615E-2</v>
      </c>
    </row>
    <row r="34" spans="2:7" x14ac:dyDescent="0.25">
      <c r="B34" s="10" t="s">
        <v>67</v>
      </c>
      <c r="C34" s="10" t="s">
        <v>7</v>
      </c>
      <c r="D34" s="16">
        <v>12392</v>
      </c>
      <c r="E34" s="10" t="s">
        <v>93</v>
      </c>
      <c r="F34" s="10" t="s">
        <v>77</v>
      </c>
      <c r="G34" s="16">
        <v>12391.999</v>
      </c>
    </row>
    <row r="35" spans="2:7" ht="13" thickBot="1" x14ac:dyDescent="0.3">
      <c r="B35" s="9" t="s">
        <v>67</v>
      </c>
      <c r="C35" s="9" t="s">
        <v>7</v>
      </c>
      <c r="D35" s="13">
        <v>12392</v>
      </c>
      <c r="E35" s="9" t="s">
        <v>85</v>
      </c>
      <c r="F35" s="9" t="s">
        <v>70</v>
      </c>
      <c r="G35" s="13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Optimization</vt:lpstr>
      <vt:lpstr>Answer Report</vt:lpstr>
      <vt:lpstr>Optimization!Print_Area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Inductor Design Optimization - Problem Set </dc:title>
  <dc:subject>6.334 - Spring 2004</dc:subject>
  <dc:creator>Claudio M. E. Brasca</dc:creator>
  <dc:description>Do not distribute or modify without the prior written agreement of the Massachusetts Institute of Technology.</dc:description>
  <cp:lastModifiedBy>Carina Negreanu</cp:lastModifiedBy>
  <cp:lastPrinted>2004-03-07T03:53:23Z</cp:lastPrinted>
  <dcterms:created xsi:type="dcterms:W3CDTF">2003-03-07T01:19:27Z</dcterms:created>
  <dcterms:modified xsi:type="dcterms:W3CDTF">2020-01-27T11:44:44Z</dcterms:modified>
</cp:coreProperties>
</file>