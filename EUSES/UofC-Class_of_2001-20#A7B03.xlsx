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3D75F9-AB21-445B-A294-60335F692141}" xr6:coauthVersionLast="45" xr6:coauthVersionMax="45" xr10:uidLastSave="{00000000-0000-0000-0000-000000000000}"/>
  <bookViews>
    <workbookView xWindow="4180" yWindow="4180" windowWidth="28800" windowHeight="15460" tabRatio="943"/>
  </bookViews>
  <sheets>
    <sheet name="Profile of Class" sheetId="9" r:id="rId1"/>
    <sheet name="Hires by Function" sheetId="7" r:id="rId2"/>
    <sheet name="Top Five Functions" sheetId="8" r:id="rId3"/>
    <sheet name="Hires by Industry" sheetId="5" r:id="rId4"/>
    <sheet name="Top Five Industries" sheetId="6" r:id="rId5"/>
    <sheet name="Hires by Location" sheetId="4" r:id="rId6"/>
    <sheet name="Job Source" sheetId="10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7" l="1"/>
  <c r="C12" i="7"/>
  <c r="B24" i="7"/>
  <c r="C24" i="7"/>
  <c r="B14" i="5"/>
  <c r="C14" i="5"/>
  <c r="B32" i="5"/>
  <c r="C32" i="5"/>
  <c r="B22" i="9"/>
  <c r="B23" i="9"/>
  <c r="B24" i="9"/>
  <c r="B27" i="9"/>
  <c r="B28" i="9"/>
  <c r="B29" i="9"/>
  <c r="B16" i="8"/>
  <c r="C16" i="8"/>
  <c r="B18" i="6"/>
  <c r="C18" i="6"/>
</calcChain>
</file>

<file path=xl/sharedStrings.xml><?xml version="1.0" encoding="utf-8"?>
<sst xmlns="http://schemas.openxmlformats.org/spreadsheetml/2006/main" count="267" uniqueCount="169">
  <si>
    <t>University of Chicago Graduate School of Business</t>
  </si>
  <si>
    <t>New Hires by Location:  Intern</t>
  </si>
  <si>
    <t>Region</t>
  </si>
  <si>
    <t>Percent</t>
  </si>
  <si>
    <t>Number</t>
  </si>
  <si>
    <t>Median</t>
  </si>
  <si>
    <t>Monthly</t>
  </si>
  <si>
    <t>United States</t>
  </si>
  <si>
    <t>Northeast</t>
  </si>
  <si>
    <t>Midwest</t>
  </si>
  <si>
    <t>West</t>
  </si>
  <si>
    <t>Southwest</t>
  </si>
  <si>
    <t>Mid-Atlantic</t>
  </si>
  <si>
    <t>South</t>
  </si>
  <si>
    <t>International</t>
  </si>
  <si>
    <t>Asia</t>
  </si>
  <si>
    <t>Central/South America/Mexico</t>
  </si>
  <si>
    <t>Other</t>
  </si>
  <si>
    <t>TOTAL</t>
  </si>
  <si>
    <t>New Hires by Industry:  Intern</t>
  </si>
  <si>
    <t>Industry</t>
  </si>
  <si>
    <t>Minimum</t>
  </si>
  <si>
    <t>Maximum</t>
  </si>
  <si>
    <t>Accounting</t>
  </si>
  <si>
    <t>Auto and Other Transportation Equipment</t>
  </si>
  <si>
    <t>Consulting</t>
  </si>
  <si>
    <t>Entertainment/Leisure</t>
  </si>
  <si>
    <t>Financial Services - Investment Banking/Brokerage</t>
  </si>
  <si>
    <t>Financial Services - Investment Management</t>
  </si>
  <si>
    <t>Food/Beverage/Tobacco</t>
  </si>
  <si>
    <t>Household/Personal Products</t>
  </si>
  <si>
    <t>Petroleum/Energy</t>
  </si>
  <si>
    <t>Pharmaceutical/Biotechnology/Healthcare Products</t>
  </si>
  <si>
    <t>Retail</t>
  </si>
  <si>
    <t>Widely Diversified Manufacturing</t>
  </si>
  <si>
    <t>Total</t>
  </si>
  <si>
    <t>Top Five Industries:  Intern</t>
  </si>
  <si>
    <t>All Others</t>
  </si>
  <si>
    <t>New Hires by Function:  Intern</t>
  </si>
  <si>
    <t>Function</t>
  </si>
  <si>
    <t xml:space="preserve"> Minimum</t>
  </si>
  <si>
    <t xml:space="preserve"> Maximum</t>
  </si>
  <si>
    <t>Finance</t>
  </si>
  <si>
    <t>Finance:  Investment Banking</t>
  </si>
  <si>
    <t>Finance:  Investment Management/Research</t>
  </si>
  <si>
    <t>Finance:  Sales and Trading</t>
  </si>
  <si>
    <t>General Management</t>
  </si>
  <si>
    <t>Marketing</t>
  </si>
  <si>
    <t>Marketing:  Brand/Product Management</t>
  </si>
  <si>
    <t>Operations/Production</t>
  </si>
  <si>
    <t>Strategic Planning</t>
  </si>
  <si>
    <t>Top Five Functions:  Intern</t>
  </si>
  <si>
    <t>Healthcare</t>
  </si>
  <si>
    <t>Food Service/Lodging</t>
  </si>
  <si>
    <t>Media</t>
  </si>
  <si>
    <t>Technology</t>
  </si>
  <si>
    <r>
      <t>Number of Hires</t>
    </r>
    <r>
      <rPr>
        <b/>
        <vertAlign val="superscript"/>
        <sz val="10"/>
        <rFont val="Arial"/>
        <family val="2"/>
      </rPr>
      <t>(1)</t>
    </r>
  </si>
  <si>
    <r>
      <t>Technology</t>
    </r>
    <r>
      <rPr>
        <vertAlign val="superscript"/>
        <sz val="10"/>
        <rFont val="Arial"/>
        <family val="2"/>
      </rPr>
      <t>(2)</t>
    </r>
  </si>
  <si>
    <r>
      <t>of Hires</t>
    </r>
    <r>
      <rPr>
        <b/>
        <vertAlign val="superscript"/>
        <sz val="10"/>
        <rFont val="Arial"/>
        <family val="2"/>
      </rPr>
      <t>(2)</t>
    </r>
  </si>
  <si>
    <r>
      <t>Consulting</t>
    </r>
    <r>
      <rPr>
        <vertAlign val="superscript"/>
        <sz val="10"/>
        <rFont val="Arial"/>
        <family val="2"/>
      </rPr>
      <t>(3)</t>
    </r>
  </si>
  <si>
    <t>Financial Services</t>
  </si>
  <si>
    <t>Canada</t>
  </si>
  <si>
    <t>Employment Profile</t>
  </si>
  <si>
    <t>of Class</t>
  </si>
  <si>
    <t>of Students</t>
  </si>
  <si>
    <t>Seeking Employment</t>
  </si>
  <si>
    <t>Not Seeking Employment</t>
  </si>
  <si>
    <t>Number of First-Year Students</t>
  </si>
  <si>
    <t>Mean Age</t>
  </si>
  <si>
    <t>Female</t>
  </si>
  <si>
    <t>Married</t>
  </si>
  <si>
    <t>School Facilitated</t>
  </si>
  <si>
    <r>
      <t>of Hires</t>
    </r>
    <r>
      <rPr>
        <b/>
        <vertAlign val="superscript"/>
        <sz val="10"/>
        <rFont val="Arial"/>
        <family val="2"/>
      </rPr>
      <t>(1)</t>
    </r>
  </si>
  <si>
    <t>Sponsored Student</t>
  </si>
  <si>
    <r>
      <t>Other Reasons</t>
    </r>
    <r>
      <rPr>
        <vertAlign val="superscript"/>
        <sz val="10"/>
        <rFont val="Arial"/>
        <family val="2"/>
      </rPr>
      <t>(1)</t>
    </r>
  </si>
  <si>
    <t>Class Profile for First-Year Campus M.B.A., Joint Degree, and I.M.B.A. Students</t>
  </si>
  <si>
    <t>New Hires by Job Source:  Intern</t>
  </si>
  <si>
    <t>Chicago</t>
  </si>
  <si>
    <t>New York</t>
  </si>
  <si>
    <t>Boston</t>
  </si>
  <si>
    <t>Los Angeles</t>
  </si>
  <si>
    <t>Dallas</t>
  </si>
  <si>
    <t>Tokyo</t>
  </si>
  <si>
    <t>Hong Kong</t>
  </si>
  <si>
    <t>London</t>
  </si>
  <si>
    <t>Business Development</t>
  </si>
  <si>
    <t>Finance:  Commercial Banking/Lending</t>
  </si>
  <si>
    <t>Finance:  Company Finance (Analysis/Treasury)</t>
  </si>
  <si>
    <t>Finance:  Private Client Services</t>
  </si>
  <si>
    <t>Finance:  Venture Capital/Private Equity</t>
  </si>
  <si>
    <t>Marketing:  Advertising/Communications</t>
  </si>
  <si>
    <t>Marketing:  Research</t>
  </si>
  <si>
    <t>Finance:  Real Estate</t>
  </si>
  <si>
    <t>Education</t>
  </si>
  <si>
    <t>Financial Services - Insurance</t>
  </si>
  <si>
    <t>Financial Services - Commercial Banking</t>
  </si>
  <si>
    <t>Financial Services - Diversified Financial Service</t>
  </si>
  <si>
    <t>Computer-Related Services</t>
  </si>
  <si>
    <t>E-Commerce and Internet</t>
  </si>
  <si>
    <t>Software/Printing/Publishing</t>
  </si>
  <si>
    <t>Telecommunications</t>
  </si>
  <si>
    <t>Real Estate</t>
  </si>
  <si>
    <t>Healthcare Services</t>
  </si>
  <si>
    <t>Continuing Education</t>
  </si>
  <si>
    <t>Self Employed/Founding Business</t>
  </si>
  <si>
    <t>Not Responding to Survey</t>
  </si>
  <si>
    <r>
      <t>Demographic Profile</t>
    </r>
    <r>
      <rPr>
        <b/>
        <vertAlign val="superscript"/>
        <sz val="10"/>
        <rFont val="Arial"/>
        <family val="2"/>
      </rPr>
      <t>(3)</t>
    </r>
  </si>
  <si>
    <t>of Hires</t>
  </si>
  <si>
    <t>Letter campaign</t>
  </si>
  <si>
    <t>Personal/family contact</t>
  </si>
  <si>
    <t>Prior business contact</t>
  </si>
  <si>
    <t>Interview on Campus - Invite Schedule</t>
  </si>
  <si>
    <t>Interview on Campus - Open Schedule</t>
  </si>
  <si>
    <t>Resume Referral Service/Correspondence Opportunity</t>
  </si>
  <si>
    <t>Employer Presentation</t>
  </si>
  <si>
    <t>Alumni Contact</t>
  </si>
  <si>
    <t xml:space="preserve">School-Sponsored Career Fair </t>
  </si>
  <si>
    <t>Percent of Hires</t>
  </si>
  <si>
    <t>Method of Hire</t>
  </si>
  <si>
    <r>
      <t xml:space="preserve">(2)  </t>
    </r>
    <r>
      <rPr>
        <sz val="10"/>
        <rFont val="Arial"/>
      </rPr>
      <t>Represents percent of students who are seeking employment.</t>
    </r>
  </si>
  <si>
    <r>
      <t xml:space="preserve">(3)  </t>
    </r>
    <r>
      <rPr>
        <sz val="10"/>
        <rFont val="Arial"/>
      </rPr>
      <t>Demographic information is based on Campus M.B.A. and I.M.B.A. students matriculating</t>
    </r>
  </si>
  <si>
    <t>Mean Years of Work Experience</t>
  </si>
  <si>
    <t>Other GSB Source (e.g. faculty/staff/student groups)</t>
  </si>
  <si>
    <t>Foreign Nationals</t>
  </si>
  <si>
    <r>
      <t>Job Offers</t>
    </r>
    <r>
      <rPr>
        <b/>
        <vertAlign val="superscript"/>
        <sz val="10"/>
        <rFont val="Arial"/>
        <family val="2"/>
      </rPr>
      <t>(2)</t>
    </r>
  </si>
  <si>
    <r>
      <t>Job Acceptances</t>
    </r>
    <r>
      <rPr>
        <b/>
        <vertAlign val="superscript"/>
        <sz val="10"/>
        <rFont val="Arial"/>
        <family val="2"/>
      </rPr>
      <t>(2)</t>
    </r>
  </si>
  <si>
    <t>Top Five Functions</t>
  </si>
  <si>
    <t>Top Five Industries</t>
  </si>
  <si>
    <r>
      <t>(2)</t>
    </r>
    <r>
      <rPr>
        <sz val="10"/>
        <rFont val="Arial"/>
      </rPr>
      <t xml:space="preserve">  Approximately half of the accepted offers generated by students' direct contact with</t>
    </r>
  </si>
  <si>
    <r>
      <t xml:space="preserve">Direct Contact with Company </t>
    </r>
    <r>
      <rPr>
        <b/>
        <vertAlign val="superscript"/>
        <sz val="10"/>
        <rFont val="Arial"/>
        <family val="2"/>
      </rPr>
      <t>(2)</t>
    </r>
  </si>
  <si>
    <r>
      <t xml:space="preserve">(1)  </t>
    </r>
    <r>
      <rPr>
        <sz val="10"/>
        <rFont val="Arial"/>
      </rPr>
      <t xml:space="preserve">Includes students who are postponing their internship search or for other reasons are not seeking </t>
    </r>
  </si>
  <si>
    <r>
      <t xml:space="preserve"> </t>
    </r>
    <r>
      <rPr>
        <sz val="10"/>
        <rFont val="Arial"/>
        <family val="2"/>
      </rPr>
      <t xml:space="preserve">   employment.</t>
    </r>
  </si>
  <si>
    <t xml:space="preserve">     companies were with firms where the school has an established recruiting relationship.</t>
  </si>
  <si>
    <t xml:space="preserve">   Other Source/Not Reported</t>
  </si>
  <si>
    <r>
      <t>Salary Statistics:  2001-2002</t>
    </r>
    <r>
      <rPr>
        <b/>
        <vertAlign val="superscript"/>
        <sz val="10"/>
        <rFont val="Arial"/>
        <family val="2"/>
      </rPr>
      <t>(1)</t>
    </r>
  </si>
  <si>
    <t>September 30, 2002</t>
  </si>
  <si>
    <t xml:space="preserve">    in September 2001.  </t>
  </si>
  <si>
    <t>Seoul</t>
  </si>
  <si>
    <t>Shanghai</t>
  </si>
  <si>
    <r>
      <t xml:space="preserve">(2)  </t>
    </r>
    <r>
      <rPr>
        <sz val="10"/>
        <rFont val="Arial"/>
        <family val="2"/>
      </rPr>
      <t>Fifteen</t>
    </r>
    <r>
      <rPr>
        <sz val="10"/>
        <rFont val="Arial"/>
      </rPr>
      <t xml:space="preserve"> students in the Class of 2003 reported having 2 internships.</t>
    </r>
  </si>
  <si>
    <r>
      <t xml:space="preserve">(1)  </t>
    </r>
    <r>
      <rPr>
        <sz val="10"/>
        <rFont val="Arial"/>
        <family val="2"/>
      </rPr>
      <t>Fifteen</t>
    </r>
    <r>
      <rPr>
        <sz val="10"/>
        <rFont val="Arial"/>
      </rPr>
      <t xml:space="preserve"> students in the Class of 2003 reported having 2 internships.</t>
    </r>
  </si>
  <si>
    <t>Salary Statistics:  2001-2002</t>
  </si>
  <si>
    <r>
      <t>Salary</t>
    </r>
    <r>
      <rPr>
        <b/>
        <vertAlign val="superscript"/>
        <sz val="10"/>
        <rFont val="Arial"/>
        <family val="2"/>
      </rPr>
      <t>(2)</t>
    </r>
  </si>
  <si>
    <t>Marketing:  Sales</t>
  </si>
  <si>
    <t>Risk Management</t>
  </si>
  <si>
    <t xml:space="preserve">    was $5,000.</t>
  </si>
  <si>
    <t>Electronic Equipment</t>
  </si>
  <si>
    <t>Financial Services - Venture Capital/Private Equity</t>
  </si>
  <si>
    <t xml:space="preserve">    bonus was $5,000.  </t>
  </si>
  <si>
    <r>
      <t>Salary</t>
    </r>
    <r>
      <rPr>
        <b/>
        <vertAlign val="superscript"/>
        <sz val="10"/>
        <rFont val="Arial"/>
        <family val="2"/>
      </rPr>
      <t>(1)</t>
    </r>
  </si>
  <si>
    <t>Profile of the Class of 2003</t>
  </si>
  <si>
    <t>Bay Area</t>
  </si>
  <si>
    <r>
      <t xml:space="preserve">(2)  </t>
    </r>
    <r>
      <rPr>
        <sz val="10"/>
        <rFont val="Arial"/>
        <family val="2"/>
      </rPr>
      <t>Includes Computer-Related Services, E-Commerce and Internet, Electronic Equipment, Software/Printing/Publishing, and Telecommunications.</t>
    </r>
  </si>
  <si>
    <t>Information Systems</t>
  </si>
  <si>
    <r>
      <t xml:space="preserve">(3)  </t>
    </r>
    <r>
      <rPr>
        <sz val="10"/>
        <rFont val="Arial"/>
        <family val="2"/>
      </rPr>
      <t xml:space="preserve">Bonus information: 27% of accepted offers reported in the consulting function received a sign-on bonus, for which the median bonus </t>
    </r>
  </si>
  <si>
    <t>Non-Profit</t>
  </si>
  <si>
    <t>Government</t>
  </si>
  <si>
    <r>
      <t xml:space="preserve">(3)  </t>
    </r>
    <r>
      <rPr>
        <sz val="10"/>
        <rFont val="Arial"/>
        <family val="2"/>
      </rPr>
      <t xml:space="preserve">Bonus information: 29% of accepted offers reported in the consulting industry received a sign-on bonus, for which the median </t>
    </r>
  </si>
  <si>
    <r>
      <t xml:space="preserve">(1)  </t>
    </r>
    <r>
      <rPr>
        <sz val="10"/>
        <rFont val="Arial"/>
      </rPr>
      <t>Compensation information is self-reported. Eighty-two percent of students reporting accepted intern offers included salary information.</t>
    </r>
  </si>
  <si>
    <t xml:space="preserve">    Insufficient data indicates less than 1% reporting for all accepted offers.</t>
  </si>
  <si>
    <t xml:space="preserve">    included salary information.  Insufficient data indicates less than 1% reporting for all accepted offers.</t>
  </si>
  <si>
    <r>
      <t xml:space="preserve">(1)  </t>
    </r>
    <r>
      <rPr>
        <sz val="10"/>
        <rFont val="Arial"/>
      </rPr>
      <t>Compensation information is self-reported. Eighty-two percent of students reporting accepted intern offers</t>
    </r>
  </si>
  <si>
    <t>U.S. Citizens/Permanent Residents</t>
  </si>
  <si>
    <t>Non-Profit Administration</t>
  </si>
  <si>
    <t>Eastern Europe</t>
  </si>
  <si>
    <t>Western Europe</t>
  </si>
  <si>
    <r>
      <t>Insufficient</t>
    </r>
    <r>
      <rPr>
        <vertAlign val="superscript"/>
        <sz val="10"/>
        <rFont val="Arial"/>
        <family val="2"/>
      </rPr>
      <t>(1)</t>
    </r>
  </si>
  <si>
    <r>
      <t>Not Reported</t>
    </r>
    <r>
      <rPr>
        <vertAlign val="superscript"/>
        <sz val="10"/>
        <rFont val="Arial"/>
        <family val="2"/>
      </rPr>
      <t>(3)</t>
    </r>
  </si>
  <si>
    <r>
      <t>(3)</t>
    </r>
    <r>
      <rPr>
        <sz val="10"/>
        <rFont val="Arial"/>
      </rPr>
      <t xml:space="preserve">  No compensation information reported for this location.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</si>
</sst>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_);\(&quot;$&quot;#,##0\)"/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2" formatCode="0.0%"/>
    <numFmt numFmtId="176" formatCode="&quot;$&quot;#,##0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5" fillId="0" borderId="0" xfId="0" applyFont="1" applyFill="1" applyBorder="1" applyAlignment="1">
      <alignment horizontal="left"/>
    </xf>
    <xf numFmtId="0" fontId="0" fillId="0" borderId="0" xfId="0" applyAlignment="1">
      <alignment horizontal="left" indent="1"/>
    </xf>
    <xf numFmtId="0" fontId="5" fillId="0" borderId="0" xfId="0" applyFont="1"/>
    <xf numFmtId="0" fontId="6" fillId="0" borderId="0" xfId="0" applyFont="1"/>
    <xf numFmtId="0" fontId="6" fillId="0" borderId="0" xfId="0" applyFont="1" applyFill="1" applyBorder="1" applyAlignment="1"/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4" xfId="0" applyFont="1" applyBorder="1"/>
    <xf numFmtId="170" fontId="1" fillId="0" borderId="0" xfId="1"/>
    <xf numFmtId="170" fontId="2" fillId="0" borderId="0" xfId="1" applyFont="1"/>
    <xf numFmtId="170" fontId="1" fillId="0" borderId="0" xfId="1" applyFill="1" applyBorder="1" applyAlignment="1"/>
    <xf numFmtId="170" fontId="0" fillId="0" borderId="0" xfId="1" applyFont="1"/>
    <xf numFmtId="0" fontId="2" fillId="0" borderId="4" xfId="0" applyFont="1" applyFill="1" applyBorder="1" applyAlignment="1"/>
    <xf numFmtId="172" fontId="2" fillId="0" borderId="3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8" fontId="2" fillId="0" borderId="0" xfId="1" applyNumberFormat="1" applyFont="1"/>
    <xf numFmtId="168" fontId="1" fillId="0" borderId="0" xfId="1" applyNumberFormat="1"/>
    <xf numFmtId="168" fontId="2" fillId="0" borderId="1" xfId="1" applyNumberFormat="1" applyFont="1" applyBorder="1" applyAlignment="1">
      <alignment horizontal="center"/>
    </xf>
    <xf numFmtId="168" fontId="2" fillId="0" borderId="0" xfId="1" applyNumberFormat="1" applyFont="1" applyBorder="1" applyAlignment="1">
      <alignment horizontal="center"/>
    </xf>
    <xf numFmtId="168" fontId="2" fillId="0" borderId="2" xfId="1" applyNumberFormat="1" applyFont="1" applyBorder="1" applyAlignment="1">
      <alignment horizontal="center"/>
    </xf>
    <xf numFmtId="0" fontId="5" fillId="0" borderId="0" xfId="0" applyFont="1" applyAlignment="1">
      <alignment horizontal="left" indent="1"/>
    </xf>
    <xf numFmtId="9" fontId="2" fillId="0" borderId="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0" fontId="2" fillId="0" borderId="1" xfId="1" applyFont="1" applyBorder="1" applyAlignment="1">
      <alignment horizontal="center"/>
    </xf>
    <xf numFmtId="170" fontId="2" fillId="0" borderId="0" xfId="1" applyFont="1" applyBorder="1" applyAlignment="1">
      <alignment horizontal="center"/>
    </xf>
    <xf numFmtId="9" fontId="2" fillId="0" borderId="2" xfId="2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1" fillId="0" borderId="0" xfId="1" applyNumberFormat="1" applyAlignment="1">
      <alignment horizontal="center"/>
    </xf>
    <xf numFmtId="164" fontId="7" fillId="0" borderId="0" xfId="1" applyNumberFormat="1" applyFont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17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5" fontId="2" fillId="0" borderId="1" xfId="0" applyNumberFormat="1" applyFont="1" applyBorder="1"/>
    <xf numFmtId="172" fontId="2" fillId="0" borderId="1" xfId="2" applyNumberFormat="1" applyFont="1" applyBorder="1" applyAlignment="1">
      <alignment horizontal="center"/>
    </xf>
    <xf numFmtId="15" fontId="2" fillId="0" borderId="2" xfId="0" applyNumberFormat="1" applyFont="1" applyBorder="1"/>
    <xf numFmtId="172" fontId="2" fillId="0" borderId="2" xfId="2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5" xfId="0" applyBorder="1"/>
    <xf numFmtId="172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7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72" fontId="2" fillId="0" borderId="0" xfId="2" applyNumberFormat="1" applyFont="1" applyAlignment="1">
      <alignment horizontal="center"/>
    </xf>
    <xf numFmtId="172" fontId="4" fillId="0" borderId="0" xfId="2" applyNumberFormat="1" applyFont="1" applyFill="1" applyBorder="1" applyAlignment="1">
      <alignment horizontal="center"/>
    </xf>
    <xf numFmtId="172" fontId="5" fillId="0" borderId="0" xfId="2" applyNumberFormat="1" applyFont="1" applyFill="1" applyBorder="1" applyAlignment="1">
      <alignment horizontal="center"/>
    </xf>
    <xf numFmtId="172" fontId="2" fillId="0" borderId="0" xfId="2" applyNumberFormat="1" applyFont="1" applyFill="1" applyBorder="1" applyAlignment="1">
      <alignment horizontal="center"/>
    </xf>
    <xf numFmtId="172" fontId="7" fillId="0" borderId="0" xfId="2" applyNumberFormat="1" applyFont="1" applyFill="1" applyBorder="1" applyAlignment="1">
      <alignment horizontal="center"/>
    </xf>
    <xf numFmtId="172" fontId="1" fillId="0" borderId="0" xfId="2" applyNumberFormat="1" applyAlignment="1">
      <alignment horizontal="center"/>
    </xf>
    <xf numFmtId="172" fontId="0" fillId="0" borderId="0" xfId="2" applyNumberFormat="1" applyFont="1" applyAlignment="1">
      <alignment horizontal="center"/>
    </xf>
    <xf numFmtId="172" fontId="5" fillId="0" borderId="0" xfId="2" applyNumberFormat="1" applyFont="1" applyAlignment="1">
      <alignment horizontal="center"/>
    </xf>
    <xf numFmtId="172" fontId="2" fillId="0" borderId="4" xfId="2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2" fillId="0" borderId="0" xfId="2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4" xfId="0" applyNumberFormat="1" applyFont="1" applyBorder="1" applyAlignment="1">
      <alignment horizontal="center"/>
    </xf>
    <xf numFmtId="164" fontId="1" fillId="0" borderId="0" xfId="1" applyNumberFormat="1" applyFont="1" applyAlignment="1">
      <alignment horizontal="center"/>
    </xf>
    <xf numFmtId="176" fontId="2" fillId="0" borderId="4" xfId="1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0" fillId="0" borderId="0" xfId="1" applyNumberFormat="1" applyFont="1" applyAlignment="1">
      <alignment horizontal="center"/>
    </xf>
    <xf numFmtId="172" fontId="1" fillId="0" borderId="0" xfId="2" applyNumberFormat="1" applyFill="1" applyBorder="1" applyAlignment="1">
      <alignment horizontal="center"/>
    </xf>
    <xf numFmtId="9" fontId="1" fillId="0" borderId="0" xfId="2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72" fontId="2" fillId="0" borderId="0" xfId="0" applyNumberFormat="1" applyFont="1" applyAlignment="1">
      <alignment horizontal="center"/>
    </xf>
    <xf numFmtId="172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2" fontId="0" fillId="0" borderId="0" xfId="0" applyNumberFormat="1" applyFill="1" applyBorder="1" applyAlignment="1">
      <alignment horizontal="center"/>
    </xf>
    <xf numFmtId="9" fontId="2" fillId="0" borderId="0" xfId="2" applyFont="1" applyAlignment="1">
      <alignment horizontal="center"/>
    </xf>
    <xf numFmtId="168" fontId="2" fillId="0" borderId="0" xfId="1" applyNumberFormat="1" applyFont="1" applyAlignment="1">
      <alignment horizontal="center"/>
    </xf>
    <xf numFmtId="168" fontId="1" fillId="0" borderId="0" xfId="1" applyNumberFormat="1" applyAlignment="1">
      <alignment horizontal="center"/>
    </xf>
    <xf numFmtId="1" fontId="2" fillId="0" borderId="4" xfId="2" applyNumberFormat="1" applyFont="1" applyBorder="1" applyAlignment="1">
      <alignment horizontal="center"/>
    </xf>
    <xf numFmtId="9" fontId="6" fillId="0" borderId="0" xfId="2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/>
    </xf>
    <xf numFmtId="168" fontId="1" fillId="0" borderId="0" xfId="1" applyNumberFormat="1" applyFill="1" applyBorder="1" applyAlignment="1">
      <alignment horizontal="center"/>
    </xf>
    <xf numFmtId="9" fontId="6" fillId="0" borderId="0" xfId="2" applyFont="1" applyAlignment="1">
      <alignment horizontal="center"/>
    </xf>
    <xf numFmtId="168" fontId="6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168" fontId="0" fillId="0" borderId="0" xfId="1" applyNumberFormat="1" applyFont="1" applyAlignment="1">
      <alignment horizontal="center"/>
    </xf>
    <xf numFmtId="170" fontId="1" fillId="0" borderId="0" xfId="1" applyAlignment="1">
      <alignment horizontal="center"/>
    </xf>
    <xf numFmtId="9" fontId="1" fillId="0" borderId="0" xfId="2" applyAlignment="1">
      <alignment horizontal="center"/>
    </xf>
    <xf numFmtId="170" fontId="2" fillId="0" borderId="0" xfId="1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70" fontId="0" fillId="0" borderId="0" xfId="1" applyFont="1" applyAlignment="1">
      <alignment horizontal="center"/>
    </xf>
    <xf numFmtId="0" fontId="2" fillId="0" borderId="2" xfId="1" applyNumberFormat="1" applyFont="1" applyBorder="1" applyAlignment="1">
      <alignment horizontal="center"/>
    </xf>
    <xf numFmtId="176" fontId="0" fillId="0" borderId="0" xfId="0" applyNumberForma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4" xfId="0" applyFont="1" applyFill="1" applyBorder="1" applyAlignment="1">
      <alignment horizontal="center"/>
    </xf>
    <xf numFmtId="172" fontId="2" fillId="0" borderId="4" xfId="2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72" fontId="2" fillId="0" borderId="3" xfId="2" applyNumberFormat="1" applyFont="1" applyBorder="1" applyAlignment="1">
      <alignment horizontal="center"/>
    </xf>
    <xf numFmtId="0" fontId="5" fillId="0" borderId="0" xfId="0" applyFont="1" applyFill="1" applyBorder="1" applyAlignment="1"/>
    <xf numFmtId="164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Top Five Functions:  Intern
</a:t>
            </a:r>
          </a:p>
        </c:rich>
      </c:tx>
      <c:layout>
        <c:manualLayout>
          <c:xMode val="edge"/>
          <c:yMode val="edge"/>
          <c:x val="0.32232398368666632"/>
          <c:y val="3.4799736846665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4546827489003371"/>
          <c:y val="0.48719631585331158"/>
          <c:w val="0.10909427140164091"/>
          <c:h val="0.24176659282946289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670-44BE-9E97-3C1C8F800FA5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70-44BE-9E97-3C1C8F800FA5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670-44BE-9E97-3C1C8F800FA5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70-44BE-9E97-3C1C8F800FA5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670-44BE-9E97-3C1C8F800FA5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70-44BE-9E97-3C1C8F800FA5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1985689690022148"/>
                  <c:y val="0.21429311637156939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70-44BE-9E97-3C1C8F800FA5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7347333884549907"/>
                  <c:y val="0.48353318565892578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Finance:  Investment Management/
Research
13.1%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70-44BE-9E97-3C1C8F800FA5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9505966219076856"/>
                  <c:y val="0.83153055412557686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Consulting
11.9%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70-44BE-9E97-3C1C8F800FA5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142979613276393"/>
                  <c:y val="0.6978263020304951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70-44BE-9E97-3C1C8F800FA5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4.545594641735038E-2"/>
                  <c:y val="0.41576527706278843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70-44BE-9E97-3C1C8F800FA5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1074721490772638"/>
                  <c:y val="0.17033555403893977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70-44BE-9E97-3C1C8F800FA5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Five Functions'!$A$7:$A$12</c:f>
              <c:strCache>
                <c:ptCount val="6"/>
                <c:pt idx="0">
                  <c:v>Finance:  Investment Banking</c:v>
                </c:pt>
                <c:pt idx="1">
                  <c:v>Finance:  Investment Management/Research</c:v>
                </c:pt>
                <c:pt idx="2">
                  <c:v>Consulting</c:v>
                </c:pt>
                <c:pt idx="3">
                  <c:v>Finance:  Company Finance (Analysis/Treasury)</c:v>
                </c:pt>
                <c:pt idx="4">
                  <c:v>Finance:  Sales and Trading</c:v>
                </c:pt>
                <c:pt idx="5">
                  <c:v>All Others</c:v>
                </c:pt>
              </c:strCache>
            </c:strRef>
          </c:cat>
          <c:val>
            <c:numRef>
              <c:f>'Top Five Functions'!$B$7:$B$12</c:f>
              <c:numCache>
                <c:formatCode>0.0%</c:formatCode>
                <c:ptCount val="6"/>
                <c:pt idx="0">
                  <c:v>0.18179999999999999</c:v>
                </c:pt>
                <c:pt idx="1">
                  <c:v>0.1313</c:v>
                </c:pt>
                <c:pt idx="2">
                  <c:v>0.1192</c:v>
                </c:pt>
                <c:pt idx="3">
                  <c:v>9.2899999999999996E-2</c:v>
                </c:pt>
                <c:pt idx="4">
                  <c:v>8.6900000000000005E-2</c:v>
                </c:pt>
                <c:pt idx="5">
                  <c:v>0.38787878787878788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70-44BE-9E97-3C1C8F800FA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Top Five Industries:  Intern
</a:t>
            </a:r>
          </a:p>
        </c:rich>
      </c:tx>
      <c:layout>
        <c:manualLayout>
          <c:xMode val="edge"/>
          <c:yMode val="edge"/>
          <c:x val="0.33307838789272759"/>
          <c:y val="3.4991956130561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4782309568352369"/>
          <c:y val="0.48436234012303658"/>
          <c:w val="0.10518264880822976"/>
          <c:h val="0.2431020110123225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324-4346-8743-0FC8BB24BC6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24-4346-8743-0FC8BB24BC6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324-4346-8743-0FC8BB24BC6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24-4346-8743-0FC8BB24BC6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324-4346-8743-0FC8BB24BC6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24-4346-8743-0FC8BB24BC64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4584060064017477"/>
                  <c:y val="0.1362844607190293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24-4346-8743-0FC8BB24BC64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78329199832189289"/>
                  <c:y val="0.4696288849101685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24-4346-8743-0FC8BB24BC64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3029905460083135"/>
                  <c:y val="0.71641425972570805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24-4346-8743-0FC8BB24BC64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19602220914261001"/>
                  <c:y val="0.79560658149487373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Technology</a:t>
                    </a:r>
                    <a:r>
                      <a:rPr lang="en-GB" sz="1200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(2)</a:t>
                    </a:r>
                    <a:endParaRPr lang="en-GB" sz="1200" b="0" i="0" u="none" strike="noStrike" baseline="0">
                      <a:solidFill>
                        <a:srgbClr val="000000"/>
                      </a:solidFill>
                      <a:latin typeface="Arial"/>
                      <a:cs typeface="Arial"/>
                    </a:endParaRPr>
                  </a:p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7.7%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24-4346-8743-0FC8BB24BC64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5.8169192143945253E-2"/>
                  <c:y val="0.43832029258282396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Pharmaceutical/
Biotechnology/
Healthcare Products
5.9%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24-4346-8743-0FC8BB24BC64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9245883837285864E-2"/>
                  <c:y val="0.19705996347210994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24-4346-8743-0FC8BB24BC64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Five Industries'!$A$7:$A$12</c:f>
              <c:strCache>
                <c:ptCount val="6"/>
                <c:pt idx="0">
                  <c:v>Financial Services - Investment Banking/Brokerage</c:v>
                </c:pt>
                <c:pt idx="1">
                  <c:v>Consulting</c:v>
                </c:pt>
                <c:pt idx="2">
                  <c:v>Financial Services - Investment Management</c:v>
                </c:pt>
                <c:pt idx="3">
                  <c:v>Technology(2)</c:v>
                </c:pt>
                <c:pt idx="4">
                  <c:v>Pharmaceutical/Biotechnology/Healthcare Products</c:v>
                </c:pt>
                <c:pt idx="5">
                  <c:v>All Others</c:v>
                </c:pt>
              </c:strCache>
            </c:strRef>
          </c:cat>
          <c:val>
            <c:numRef>
              <c:f>'Top Five Industries'!$B$7:$B$12</c:f>
              <c:numCache>
                <c:formatCode>0.0%</c:formatCode>
                <c:ptCount val="6"/>
                <c:pt idx="0">
                  <c:v>0.31919999999999998</c:v>
                </c:pt>
                <c:pt idx="1">
                  <c:v>0.1172</c:v>
                </c:pt>
                <c:pt idx="2">
                  <c:v>9.2899999999999996E-2</c:v>
                </c:pt>
                <c:pt idx="3">
                  <c:v>7.6799999999999993E-2</c:v>
                </c:pt>
                <c:pt idx="4">
                  <c:v>5.8599999999999999E-2</c:v>
                </c:pt>
                <c:pt idx="5">
                  <c:v>0.33535353535353535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24-4346-8743-0FC8BB24BC6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6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17</xdr:row>
      <xdr:rowOff>0</xdr:rowOff>
    </xdr:from>
    <xdr:to>
      <xdr:col>7</xdr:col>
      <xdr:colOff>0</xdr:colOff>
      <xdr:row>38</xdr:row>
      <xdr:rowOff>133350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D2C1F6A7-28EA-484F-93AF-B622A4E34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19</xdr:row>
      <xdr:rowOff>19050</xdr:rowOff>
    </xdr:from>
    <xdr:to>
      <xdr:col>6</xdr:col>
      <xdr:colOff>590550</xdr:colOff>
      <xdr:row>40</xdr:row>
      <xdr:rowOff>133350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BD81A743-AC84-4A39-A0BA-EADB7FA93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B24" sqref="B24"/>
    </sheetView>
  </sheetViews>
  <sheetFormatPr defaultRowHeight="12.5" x14ac:dyDescent="0.25"/>
  <cols>
    <col min="1" max="1" width="44.7265625" customWidth="1"/>
    <col min="2" max="2" width="18.7265625" style="48" customWidth="1"/>
    <col min="3" max="3" width="24.54296875" style="49" customWidth="1"/>
  </cols>
  <sheetData>
    <row r="1" spans="1:3" ht="13" x14ac:dyDescent="0.3">
      <c r="A1" s="1" t="s">
        <v>0</v>
      </c>
    </row>
    <row r="2" spans="1:3" ht="13" x14ac:dyDescent="0.3">
      <c r="A2" s="1" t="s">
        <v>141</v>
      </c>
    </row>
    <row r="4" spans="1:3" ht="13" x14ac:dyDescent="0.3">
      <c r="A4" s="1" t="s">
        <v>150</v>
      </c>
    </row>
    <row r="5" spans="1:3" ht="13" x14ac:dyDescent="0.3">
      <c r="A5" s="79" t="s">
        <v>135</v>
      </c>
    </row>
    <row r="6" spans="1:3" s="60" customFormat="1" ht="13" x14ac:dyDescent="0.3">
      <c r="A6" s="60" t="s">
        <v>75</v>
      </c>
      <c r="B6" s="58"/>
      <c r="C6" s="59"/>
    </row>
    <row r="7" spans="1:3" ht="13" x14ac:dyDescent="0.3">
      <c r="A7" s="50" t="s">
        <v>62</v>
      </c>
      <c r="B7" s="51" t="s">
        <v>3</v>
      </c>
      <c r="C7" s="36" t="s">
        <v>4</v>
      </c>
    </row>
    <row r="8" spans="1:3" ht="13.5" thickBot="1" x14ac:dyDescent="0.35">
      <c r="A8" s="52"/>
      <c r="B8" s="53" t="s">
        <v>63</v>
      </c>
      <c r="C8" s="40" t="s">
        <v>64</v>
      </c>
    </row>
    <row r="9" spans="1:3" x14ac:dyDescent="0.25">
      <c r="A9" t="s">
        <v>65</v>
      </c>
      <c r="B9" s="48">
        <v>0.89617486338797814</v>
      </c>
      <c r="C9" s="49">
        <v>492</v>
      </c>
    </row>
    <row r="11" spans="1:3" x14ac:dyDescent="0.25">
      <c r="A11" t="s">
        <v>66</v>
      </c>
      <c r="B11" s="48">
        <v>6.5573770491803282E-2</v>
      </c>
      <c r="C11" s="49">
        <v>36</v>
      </c>
    </row>
    <row r="12" spans="1:3" x14ac:dyDescent="0.25">
      <c r="A12" s="6" t="s">
        <v>103</v>
      </c>
      <c r="B12" s="48">
        <v>3.6429872495446269E-2</v>
      </c>
      <c r="C12" s="49">
        <v>20</v>
      </c>
    </row>
    <row r="13" spans="1:3" x14ac:dyDescent="0.25">
      <c r="A13" s="6" t="s">
        <v>73</v>
      </c>
      <c r="B13" s="48">
        <v>1.092896174863388E-2</v>
      </c>
      <c r="C13" s="49">
        <v>6</v>
      </c>
    </row>
    <row r="14" spans="1:3" x14ac:dyDescent="0.25">
      <c r="A14" s="6" t="s">
        <v>104</v>
      </c>
      <c r="B14" s="48">
        <v>5.4644808743169399E-3</v>
      </c>
      <c r="C14" s="49">
        <v>3</v>
      </c>
    </row>
    <row r="15" spans="1:3" ht="14.5" x14ac:dyDescent="0.25">
      <c r="A15" s="6" t="s">
        <v>74</v>
      </c>
      <c r="B15" s="48">
        <v>1.2750455373406194E-2</v>
      </c>
      <c r="C15" s="49">
        <v>7</v>
      </c>
    </row>
    <row r="17" spans="1:3" x14ac:dyDescent="0.25">
      <c r="A17" t="s">
        <v>105</v>
      </c>
      <c r="B17" s="48">
        <v>3.825136612021858E-2</v>
      </c>
      <c r="C17" s="49">
        <v>21</v>
      </c>
    </row>
    <row r="19" spans="1:3" x14ac:dyDescent="0.25">
      <c r="A19" t="s">
        <v>67</v>
      </c>
      <c r="B19" s="48">
        <v>1</v>
      </c>
      <c r="C19" s="49">
        <v>549</v>
      </c>
    </row>
    <row r="21" spans="1:3" ht="15" x14ac:dyDescent="0.3">
      <c r="A21" s="1" t="s">
        <v>124</v>
      </c>
    </row>
    <row r="22" spans="1:3" x14ac:dyDescent="0.25">
      <c r="A22" t="s">
        <v>162</v>
      </c>
      <c r="B22" s="48">
        <f>315/321</f>
        <v>0.98130841121495327</v>
      </c>
      <c r="C22" s="48"/>
    </row>
    <row r="23" spans="1:3" x14ac:dyDescent="0.25">
      <c r="A23" t="s">
        <v>123</v>
      </c>
      <c r="B23" s="48">
        <f>164/171</f>
        <v>0.95906432748538006</v>
      </c>
      <c r="C23" s="48"/>
    </row>
    <row r="24" spans="1:3" x14ac:dyDescent="0.25">
      <c r="A24" t="s">
        <v>35</v>
      </c>
      <c r="B24" s="48">
        <f>479/492</f>
        <v>0.97357723577235777</v>
      </c>
    </row>
    <row r="26" spans="1:3" ht="15" x14ac:dyDescent="0.3">
      <c r="A26" s="1" t="s">
        <v>125</v>
      </c>
    </row>
    <row r="27" spans="1:3" x14ac:dyDescent="0.25">
      <c r="A27" t="s">
        <v>162</v>
      </c>
      <c r="B27" s="48">
        <f>314/321</f>
        <v>0.97819314641744548</v>
      </c>
    </row>
    <row r="28" spans="1:3" x14ac:dyDescent="0.25">
      <c r="A28" t="s">
        <v>123</v>
      </c>
      <c r="B28" s="48">
        <f>164/171</f>
        <v>0.95906432748538006</v>
      </c>
      <c r="C28" s="48"/>
    </row>
    <row r="29" spans="1:3" x14ac:dyDescent="0.25">
      <c r="A29" t="s">
        <v>35</v>
      </c>
      <c r="B29" s="48">
        <f>480/492</f>
        <v>0.97560975609756095</v>
      </c>
      <c r="C29" s="48"/>
    </row>
    <row r="30" spans="1:3" ht="13" x14ac:dyDescent="0.3">
      <c r="A30" s="1"/>
    </row>
    <row r="31" spans="1:3" ht="15" x14ac:dyDescent="0.3">
      <c r="A31" s="1" t="s">
        <v>106</v>
      </c>
    </row>
    <row r="32" spans="1:3" x14ac:dyDescent="0.25">
      <c r="A32" t="s">
        <v>68</v>
      </c>
      <c r="B32" s="54">
        <v>28</v>
      </c>
    </row>
    <row r="33" spans="1:3" x14ac:dyDescent="0.25">
      <c r="A33" t="s">
        <v>121</v>
      </c>
      <c r="B33" s="54">
        <v>4.9000000000000004</v>
      </c>
    </row>
    <row r="34" spans="1:3" x14ac:dyDescent="0.25">
      <c r="A34" t="s">
        <v>69</v>
      </c>
      <c r="B34" s="48">
        <v>0.22</v>
      </c>
    </row>
    <row r="35" spans="1:3" x14ac:dyDescent="0.25">
      <c r="A35" t="s">
        <v>14</v>
      </c>
      <c r="B35" s="48">
        <v>0.37</v>
      </c>
    </row>
    <row r="36" spans="1:3" x14ac:dyDescent="0.25">
      <c r="A36" s="55" t="s">
        <v>70</v>
      </c>
      <c r="B36" s="56">
        <v>0.35699999999999998</v>
      </c>
      <c r="C36" s="57"/>
    </row>
    <row r="38" spans="1:3" ht="14.5" x14ac:dyDescent="0.25">
      <c r="A38" s="8" t="s">
        <v>130</v>
      </c>
    </row>
    <row r="39" spans="1:3" ht="14.5" x14ac:dyDescent="0.25">
      <c r="A39" s="8" t="s">
        <v>131</v>
      </c>
    </row>
    <row r="40" spans="1:3" ht="14.5" x14ac:dyDescent="0.25">
      <c r="A40" s="8" t="s">
        <v>119</v>
      </c>
    </row>
    <row r="41" spans="1:3" ht="14.5" x14ac:dyDescent="0.25">
      <c r="A41" s="8" t="s">
        <v>120</v>
      </c>
    </row>
    <row r="42" spans="1:3" x14ac:dyDescent="0.25">
      <c r="A42" t="s">
        <v>136</v>
      </c>
    </row>
  </sheetData>
  <phoneticPr fontId="0" type="noConversion"/>
  <printOptions horizontalCentered="1"/>
  <pageMargins left="0.75" right="0.75" top="1" bottom="1" header="0.5" footer="0.5"/>
  <pageSetup orientation="portrait" horizontalDpi="1200" verticalDpi="1200" r:id="rId1"/>
  <headerFooter alignWithMargins="0">
    <oddFooter>&amp;L&amp;F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A3" sqref="A3"/>
    </sheetView>
  </sheetViews>
  <sheetFormatPr defaultRowHeight="12.5" x14ac:dyDescent="0.25"/>
  <cols>
    <col min="1" max="1" width="45" customWidth="1"/>
    <col min="2" max="2" width="9.1796875" style="98" customWidth="1"/>
    <col min="3" max="3" width="12" style="99" customWidth="1"/>
    <col min="4" max="5" width="17.453125" style="99" bestFit="1" customWidth="1"/>
    <col min="6" max="6" width="12.453125" style="99" bestFit="1" customWidth="1"/>
    <col min="7" max="7" width="10.26953125" style="20" bestFit="1" customWidth="1"/>
    <col min="8" max="8" width="11.26953125" bestFit="1" customWidth="1"/>
    <col min="9" max="9" width="10.26953125" bestFit="1" customWidth="1"/>
  </cols>
  <sheetData>
    <row r="1" spans="1:7" ht="13" x14ac:dyDescent="0.3">
      <c r="A1" s="1" t="s">
        <v>0</v>
      </c>
      <c r="B1" s="89"/>
      <c r="C1" s="90"/>
      <c r="D1" s="90"/>
      <c r="E1" s="91"/>
      <c r="F1" s="91"/>
      <c r="G1" s="17"/>
    </row>
    <row r="2" spans="1:7" ht="15" x14ac:dyDescent="0.3">
      <c r="A2" s="1" t="s">
        <v>134</v>
      </c>
      <c r="B2" s="89"/>
      <c r="C2" s="90"/>
      <c r="D2" s="90"/>
      <c r="E2" s="90"/>
      <c r="F2" s="91"/>
      <c r="G2" s="17"/>
    </row>
    <row r="3" spans="1:7" ht="13" x14ac:dyDescent="0.3">
      <c r="B3" s="89"/>
      <c r="C3" s="90"/>
      <c r="D3" s="90"/>
      <c r="E3" s="90"/>
      <c r="F3" s="91"/>
      <c r="G3" s="17"/>
    </row>
    <row r="4" spans="1:7" ht="13" x14ac:dyDescent="0.3">
      <c r="A4" s="1" t="s">
        <v>38</v>
      </c>
      <c r="B4" s="89"/>
      <c r="C4" s="90"/>
      <c r="D4" s="90"/>
      <c r="E4" s="90"/>
      <c r="F4" s="91"/>
      <c r="G4" s="17"/>
    </row>
    <row r="5" spans="1:7" ht="13" x14ac:dyDescent="0.3">
      <c r="A5" s="79" t="s">
        <v>135</v>
      </c>
      <c r="B5" s="89"/>
      <c r="C5" s="90"/>
      <c r="D5" s="90"/>
      <c r="E5" s="90"/>
      <c r="F5" s="90"/>
      <c r="G5" s="18"/>
    </row>
    <row r="6" spans="1:7" ht="13" x14ac:dyDescent="0.3">
      <c r="A6" s="14" t="s">
        <v>39</v>
      </c>
      <c r="B6" s="35" t="s">
        <v>3</v>
      </c>
      <c r="C6" s="31" t="s">
        <v>4</v>
      </c>
      <c r="D6" s="31" t="s">
        <v>40</v>
      </c>
      <c r="E6" s="31" t="s">
        <v>41</v>
      </c>
      <c r="F6" s="31" t="s">
        <v>5</v>
      </c>
      <c r="G6"/>
    </row>
    <row r="7" spans="1:7" ht="15" x14ac:dyDescent="0.3">
      <c r="A7" s="15"/>
      <c r="B7" s="15" t="s">
        <v>107</v>
      </c>
      <c r="C7" s="15" t="s">
        <v>58</v>
      </c>
      <c r="D7" s="32" t="s">
        <v>6</v>
      </c>
      <c r="E7" s="32" t="s">
        <v>6</v>
      </c>
      <c r="F7" s="32" t="s">
        <v>6</v>
      </c>
      <c r="G7"/>
    </row>
    <row r="8" spans="1:7" ht="15.5" thickBot="1" x14ac:dyDescent="0.35">
      <c r="A8" s="4"/>
      <c r="B8" s="39"/>
      <c r="C8" s="33"/>
      <c r="D8" s="106" t="s">
        <v>149</v>
      </c>
      <c r="E8" s="106" t="s">
        <v>149</v>
      </c>
      <c r="F8" s="106" t="s">
        <v>149</v>
      </c>
      <c r="G8"/>
    </row>
    <row r="9" spans="1:7" x14ac:dyDescent="0.25">
      <c r="A9" t="s">
        <v>23</v>
      </c>
      <c r="B9" s="48">
        <v>1.01E-2</v>
      </c>
      <c r="C9" s="49">
        <v>5</v>
      </c>
      <c r="D9" s="43">
        <v>3000</v>
      </c>
      <c r="E9" s="43">
        <v>6000</v>
      </c>
      <c r="F9" s="43">
        <v>4625</v>
      </c>
      <c r="G9"/>
    </row>
    <row r="10" spans="1:7" x14ac:dyDescent="0.25">
      <c r="A10" t="s">
        <v>85</v>
      </c>
      <c r="B10" s="48">
        <v>3.6400000000000002E-2</v>
      </c>
      <c r="C10" s="49">
        <v>18</v>
      </c>
      <c r="D10" s="43">
        <v>1200</v>
      </c>
      <c r="E10" s="43">
        <v>8333</v>
      </c>
      <c r="F10" s="43">
        <v>5250</v>
      </c>
      <c r="G10"/>
    </row>
    <row r="11" spans="1:7" ht="14.5" x14ac:dyDescent="0.25">
      <c r="A11" t="s">
        <v>59</v>
      </c>
      <c r="B11" s="48">
        <v>0.1192</v>
      </c>
      <c r="C11" s="49">
        <v>59</v>
      </c>
      <c r="D11" s="43">
        <v>1000</v>
      </c>
      <c r="E11" s="43">
        <v>10000</v>
      </c>
      <c r="F11" s="43">
        <v>8000</v>
      </c>
      <c r="G11"/>
    </row>
    <row r="12" spans="1:7" s="1" customFormat="1" ht="13" x14ac:dyDescent="0.3">
      <c r="A12" s="1" t="s">
        <v>42</v>
      </c>
      <c r="B12" s="85">
        <f>SUM(B13:B20)</f>
        <v>0.57969999999999999</v>
      </c>
      <c r="C12" s="70">
        <f>SUM(C13:C20)</f>
        <v>287</v>
      </c>
      <c r="D12" s="42">
        <v>800</v>
      </c>
      <c r="E12" s="42">
        <v>12000</v>
      </c>
      <c r="F12" s="42">
        <v>6670</v>
      </c>
    </row>
    <row r="13" spans="1:7" ht="14.5" x14ac:dyDescent="0.25">
      <c r="A13" s="6" t="s">
        <v>86</v>
      </c>
      <c r="B13" s="48">
        <v>6.1000000000000004E-3</v>
      </c>
      <c r="C13" s="49">
        <v>3</v>
      </c>
      <c r="D13" s="77" t="s">
        <v>166</v>
      </c>
      <c r="E13" s="44"/>
      <c r="F13" s="44"/>
      <c r="G13"/>
    </row>
    <row r="14" spans="1:7" x14ac:dyDescent="0.25">
      <c r="A14" s="6" t="s">
        <v>87</v>
      </c>
      <c r="B14" s="48">
        <v>9.2899999999999996E-2</v>
      </c>
      <c r="C14" s="49">
        <v>46</v>
      </c>
      <c r="D14" s="43">
        <v>1500</v>
      </c>
      <c r="E14" s="43">
        <v>7540</v>
      </c>
      <c r="F14" s="43">
        <v>5792.5</v>
      </c>
      <c r="G14"/>
    </row>
    <row r="15" spans="1:7" x14ac:dyDescent="0.25">
      <c r="A15" s="6" t="s">
        <v>43</v>
      </c>
      <c r="B15" s="48">
        <v>0.18179999999999999</v>
      </c>
      <c r="C15" s="49">
        <v>90</v>
      </c>
      <c r="D15" s="43">
        <v>1000</v>
      </c>
      <c r="E15" s="43">
        <v>8333</v>
      </c>
      <c r="F15" s="43">
        <v>7083</v>
      </c>
      <c r="G15"/>
    </row>
    <row r="16" spans="1:7" x14ac:dyDescent="0.25">
      <c r="A16" s="6" t="s">
        <v>44</v>
      </c>
      <c r="B16" s="48">
        <v>0.1313</v>
      </c>
      <c r="C16" s="49">
        <v>65</v>
      </c>
      <c r="D16" s="43">
        <v>833.33333333333337</v>
      </c>
      <c r="E16" s="43">
        <v>8500</v>
      </c>
      <c r="F16" s="43">
        <v>6975</v>
      </c>
      <c r="G16"/>
    </row>
    <row r="17" spans="1:7" ht="14.5" x14ac:dyDescent="0.25">
      <c r="A17" s="6" t="s">
        <v>88</v>
      </c>
      <c r="B17" s="48">
        <v>1.41E-2</v>
      </c>
      <c r="C17" s="49">
        <v>7</v>
      </c>
      <c r="D17" s="77" t="s">
        <v>166</v>
      </c>
      <c r="E17" s="44"/>
      <c r="F17" s="44"/>
      <c r="G17"/>
    </row>
    <row r="18" spans="1:7" ht="14.5" x14ac:dyDescent="0.25">
      <c r="A18" s="6" t="s">
        <v>92</v>
      </c>
      <c r="B18" s="48">
        <v>4.0000000000000001E-3</v>
      </c>
      <c r="C18" s="49">
        <v>2</v>
      </c>
      <c r="D18" s="77" t="s">
        <v>166</v>
      </c>
      <c r="E18" s="44"/>
      <c r="F18" s="44"/>
      <c r="G18"/>
    </row>
    <row r="19" spans="1:7" x14ac:dyDescent="0.25">
      <c r="A19" s="6" t="s">
        <v>45</v>
      </c>
      <c r="B19" s="48">
        <v>8.6900000000000005E-2</v>
      </c>
      <c r="C19" s="49">
        <v>43</v>
      </c>
      <c r="D19" s="43">
        <v>1000</v>
      </c>
      <c r="E19" s="43">
        <v>7500</v>
      </c>
      <c r="F19" s="43">
        <v>7000</v>
      </c>
      <c r="G19"/>
    </row>
    <row r="20" spans="1:7" x14ac:dyDescent="0.25">
      <c r="A20" s="6" t="s">
        <v>89</v>
      </c>
      <c r="B20" s="48">
        <v>6.2600000000000003E-2</v>
      </c>
      <c r="C20" s="49">
        <v>31</v>
      </c>
      <c r="D20" s="43">
        <v>800</v>
      </c>
      <c r="E20" s="43">
        <v>12000</v>
      </c>
      <c r="F20" s="43">
        <v>5000</v>
      </c>
      <c r="G20"/>
    </row>
    <row r="21" spans="1:7" ht="14.5" x14ac:dyDescent="0.25">
      <c r="A21" t="s">
        <v>46</v>
      </c>
      <c r="B21" s="48">
        <v>6.1000000000000004E-3</v>
      </c>
      <c r="C21" s="49">
        <v>3</v>
      </c>
      <c r="D21" s="77" t="s">
        <v>166</v>
      </c>
      <c r="E21" s="44"/>
      <c r="F21" s="44"/>
      <c r="G21"/>
    </row>
    <row r="22" spans="1:7" ht="14.5" x14ac:dyDescent="0.25">
      <c r="A22" t="s">
        <v>52</v>
      </c>
      <c r="B22" s="48">
        <v>2E-3</v>
      </c>
      <c r="C22" s="49">
        <v>1</v>
      </c>
      <c r="D22" s="77" t="s">
        <v>166</v>
      </c>
      <c r="E22" s="44"/>
      <c r="F22" s="44"/>
      <c r="G22"/>
    </row>
    <row r="23" spans="1:7" ht="14.5" x14ac:dyDescent="0.25">
      <c r="A23" t="s">
        <v>153</v>
      </c>
      <c r="B23" s="48">
        <v>8.0808080808080808E-3</v>
      </c>
      <c r="C23" s="49">
        <v>4</v>
      </c>
      <c r="D23" s="77" t="s">
        <v>166</v>
      </c>
      <c r="E23" s="44"/>
      <c r="F23" s="44"/>
      <c r="G23"/>
    </row>
    <row r="24" spans="1:7" s="1" customFormat="1" ht="13" x14ac:dyDescent="0.3">
      <c r="A24" s="1" t="s">
        <v>47</v>
      </c>
      <c r="B24" s="85">
        <f>SUM(B25:B28)</f>
        <v>0.11929999999999999</v>
      </c>
      <c r="C24" s="70">
        <f>SUM(C25:C28)</f>
        <v>59</v>
      </c>
      <c r="D24" s="42">
        <v>1500</v>
      </c>
      <c r="E24" s="42">
        <v>10000</v>
      </c>
      <c r="F24" s="42">
        <v>5300</v>
      </c>
    </row>
    <row r="25" spans="1:7" ht="14.5" x14ac:dyDescent="0.25">
      <c r="A25" s="6" t="s">
        <v>90</v>
      </c>
      <c r="B25" s="48">
        <v>8.0999999999999996E-3</v>
      </c>
      <c r="C25" s="49">
        <v>4</v>
      </c>
      <c r="D25" s="77" t="s">
        <v>166</v>
      </c>
      <c r="E25" s="44"/>
      <c r="F25" s="44"/>
      <c r="G25"/>
    </row>
    <row r="26" spans="1:7" x14ac:dyDescent="0.25">
      <c r="A26" s="6" t="s">
        <v>48</v>
      </c>
      <c r="B26" s="48">
        <v>6.6699999999999995E-2</v>
      </c>
      <c r="C26" s="49">
        <v>33</v>
      </c>
      <c r="D26" s="43">
        <v>1500</v>
      </c>
      <c r="E26" s="43">
        <v>10000</v>
      </c>
      <c r="F26" s="43">
        <v>5750</v>
      </c>
      <c r="G26"/>
    </row>
    <row r="27" spans="1:7" x14ac:dyDescent="0.25">
      <c r="A27" s="6" t="s">
        <v>91</v>
      </c>
      <c r="B27" s="48">
        <v>3.8399999999999997E-2</v>
      </c>
      <c r="C27" s="49">
        <v>19</v>
      </c>
      <c r="D27" s="43">
        <v>2200</v>
      </c>
      <c r="E27" s="43">
        <v>7000</v>
      </c>
      <c r="F27" s="43">
        <v>4107.5</v>
      </c>
      <c r="G27"/>
    </row>
    <row r="28" spans="1:7" ht="14.5" x14ac:dyDescent="0.25">
      <c r="A28" s="6" t="s">
        <v>143</v>
      </c>
      <c r="B28" s="48">
        <v>6.1000000000000004E-3</v>
      </c>
      <c r="C28" s="49">
        <v>3</v>
      </c>
      <c r="D28" s="77" t="s">
        <v>166</v>
      </c>
      <c r="E28" s="44"/>
      <c r="F28" s="44"/>
      <c r="G28"/>
    </row>
    <row r="29" spans="1:7" ht="14.5" x14ac:dyDescent="0.25">
      <c r="A29" t="s">
        <v>163</v>
      </c>
      <c r="B29" s="48">
        <v>2E-3</v>
      </c>
      <c r="C29" s="49">
        <v>1</v>
      </c>
      <c r="D29" s="77" t="s">
        <v>166</v>
      </c>
      <c r="E29" s="44"/>
      <c r="F29" s="44"/>
      <c r="G29"/>
    </row>
    <row r="30" spans="1:7" ht="14.5" x14ac:dyDescent="0.25">
      <c r="A30" t="s">
        <v>49</v>
      </c>
      <c r="B30" s="48">
        <v>6.1000000000000004E-3</v>
      </c>
      <c r="C30" s="49">
        <v>3</v>
      </c>
      <c r="D30" s="77" t="s">
        <v>166</v>
      </c>
      <c r="E30" s="44"/>
      <c r="F30" s="44"/>
      <c r="G30"/>
    </row>
    <row r="31" spans="1:7" ht="14.5" x14ac:dyDescent="0.25">
      <c r="A31" t="s">
        <v>144</v>
      </c>
      <c r="B31" s="48">
        <v>4.0000000000000001E-3</v>
      </c>
      <c r="C31" s="49">
        <v>2</v>
      </c>
      <c r="D31" s="77" t="s">
        <v>166</v>
      </c>
      <c r="E31" s="44"/>
      <c r="F31" s="44"/>
      <c r="G31"/>
    </row>
    <row r="32" spans="1:7" x14ac:dyDescent="0.25">
      <c r="A32" t="s">
        <v>50</v>
      </c>
      <c r="B32" s="48">
        <v>6.8699999999999997E-2</v>
      </c>
      <c r="C32" s="49">
        <v>34</v>
      </c>
      <c r="D32" s="43">
        <v>1500</v>
      </c>
      <c r="E32" s="43">
        <v>8000</v>
      </c>
      <c r="F32" s="43">
        <v>6000</v>
      </c>
      <c r="G32"/>
    </row>
    <row r="33" spans="1:7" ht="14.5" x14ac:dyDescent="0.25">
      <c r="A33" t="s">
        <v>17</v>
      </c>
      <c r="B33" s="48">
        <v>3.8383838383838381E-2</v>
      </c>
      <c r="C33" s="49">
        <v>19</v>
      </c>
      <c r="D33" s="77" t="s">
        <v>166</v>
      </c>
      <c r="E33" s="115"/>
      <c r="F33" s="115"/>
      <c r="G33"/>
    </row>
    <row r="34" spans="1:7" ht="13.5" thickBot="1" x14ac:dyDescent="0.35">
      <c r="A34" s="21" t="s">
        <v>35</v>
      </c>
      <c r="B34" s="69">
        <v>1</v>
      </c>
      <c r="C34" s="92">
        <v>495</v>
      </c>
      <c r="D34" s="47">
        <v>800</v>
      </c>
      <c r="E34" s="47">
        <v>12000</v>
      </c>
      <c r="F34" s="47">
        <v>6250</v>
      </c>
      <c r="G34"/>
    </row>
    <row r="35" spans="1:7" ht="14.5" x14ac:dyDescent="0.25">
      <c r="A35" s="9" t="s">
        <v>158</v>
      </c>
      <c r="B35" s="93"/>
      <c r="C35" s="94"/>
      <c r="D35" s="94"/>
      <c r="E35" s="95"/>
      <c r="F35" s="95"/>
      <c r="G35" s="19"/>
    </row>
    <row r="36" spans="1:7" ht="14.5" x14ac:dyDescent="0.25">
      <c r="A36" s="114" t="s">
        <v>159</v>
      </c>
      <c r="B36" s="93"/>
      <c r="C36" s="94"/>
      <c r="D36" s="94"/>
      <c r="E36" s="95"/>
      <c r="F36" s="95"/>
      <c r="G36" s="19"/>
    </row>
    <row r="37" spans="1:7" ht="14.5" x14ac:dyDescent="0.25">
      <c r="A37" s="8" t="s">
        <v>139</v>
      </c>
      <c r="B37" s="96"/>
      <c r="C37" s="97"/>
      <c r="D37" s="97"/>
      <c r="E37" s="91"/>
      <c r="F37" s="91"/>
      <c r="G37" s="17"/>
    </row>
    <row r="38" spans="1:7" ht="14.5" x14ac:dyDescent="0.25">
      <c r="A38" s="8" t="s">
        <v>154</v>
      </c>
    </row>
    <row r="39" spans="1:7" x14ac:dyDescent="0.25">
      <c r="A39" t="s">
        <v>145</v>
      </c>
    </row>
    <row r="40" spans="1:7" x14ac:dyDescent="0.25">
      <c r="B40" s="49"/>
      <c r="C40" s="49"/>
      <c r="D40" s="49"/>
      <c r="E40" s="49"/>
      <c r="F40" s="49"/>
      <c r="G40"/>
    </row>
  </sheetData>
  <phoneticPr fontId="0" type="noConversion"/>
  <printOptions horizontalCentered="1"/>
  <pageMargins left="0.75" right="0.75" top="0.5" bottom="0.5" header="0.5" footer="0.25"/>
  <pageSetup scale="95" orientation="landscape" horizontalDpi="4294967292" verticalDpi="1200" r:id="rId1"/>
  <headerFooter alignWithMargins="0">
    <oddFooter>&amp;L&amp;F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3" sqref="A3"/>
    </sheetView>
  </sheetViews>
  <sheetFormatPr defaultRowHeight="12.5" x14ac:dyDescent="0.25"/>
  <cols>
    <col min="1" max="1" width="42.1796875" customWidth="1"/>
    <col min="2" max="2" width="15.54296875" style="66" bestFit="1" customWidth="1"/>
    <col min="3" max="3" width="17.453125" style="49" bestFit="1" customWidth="1"/>
  </cols>
  <sheetData>
    <row r="1" spans="1:3" ht="13" x14ac:dyDescent="0.3">
      <c r="A1" s="1" t="s">
        <v>0</v>
      </c>
      <c r="B1" s="61"/>
      <c r="C1" s="70"/>
    </row>
    <row r="2" spans="1:3" ht="15" x14ac:dyDescent="0.3">
      <c r="A2" s="1" t="s">
        <v>134</v>
      </c>
      <c r="B2" s="61"/>
      <c r="C2" s="70"/>
    </row>
    <row r="4" spans="1:3" ht="13" x14ac:dyDescent="0.3">
      <c r="A4" s="1" t="s">
        <v>51</v>
      </c>
      <c r="B4" s="61"/>
      <c r="C4" s="70"/>
    </row>
    <row r="5" spans="1:3" ht="13.5" thickBot="1" x14ac:dyDescent="0.35">
      <c r="A5" s="111" t="s">
        <v>135</v>
      </c>
      <c r="B5" s="53"/>
      <c r="C5" s="40"/>
    </row>
    <row r="6" spans="1:3" ht="15" x14ac:dyDescent="0.3">
      <c r="A6" s="112" t="s">
        <v>39</v>
      </c>
      <c r="B6" s="113" t="s">
        <v>117</v>
      </c>
      <c r="C6" s="11" t="s">
        <v>56</v>
      </c>
    </row>
    <row r="7" spans="1:3" x14ac:dyDescent="0.25">
      <c r="A7" t="s">
        <v>43</v>
      </c>
      <c r="B7" s="67">
        <v>0.18179999999999999</v>
      </c>
      <c r="C7" s="80">
        <v>90</v>
      </c>
    </row>
    <row r="8" spans="1:3" x14ac:dyDescent="0.25">
      <c r="A8" t="s">
        <v>44</v>
      </c>
      <c r="B8" s="67">
        <v>0.1313</v>
      </c>
      <c r="C8" s="80">
        <v>65</v>
      </c>
    </row>
    <row r="9" spans="1:3" x14ac:dyDescent="0.25">
      <c r="A9" t="s">
        <v>25</v>
      </c>
      <c r="B9" s="67">
        <v>0.1192</v>
      </c>
      <c r="C9" s="80">
        <v>59</v>
      </c>
    </row>
    <row r="10" spans="1:3" x14ac:dyDescent="0.25">
      <c r="A10" t="s">
        <v>87</v>
      </c>
      <c r="B10" s="67">
        <v>9.2899999999999996E-2</v>
      </c>
      <c r="C10" s="80">
        <v>46</v>
      </c>
    </row>
    <row r="11" spans="1:3" x14ac:dyDescent="0.25">
      <c r="A11" t="s">
        <v>45</v>
      </c>
      <c r="B11" s="67">
        <v>8.6900000000000005E-2</v>
      </c>
      <c r="C11" s="80">
        <v>43</v>
      </c>
    </row>
    <row r="12" spans="1:3" x14ac:dyDescent="0.25">
      <c r="A12" t="s">
        <v>37</v>
      </c>
      <c r="B12" s="67">
        <v>0.38787878787878788</v>
      </c>
      <c r="C12" s="80">
        <v>192</v>
      </c>
    </row>
    <row r="13" spans="1:3" ht="13.5" thickBot="1" x14ac:dyDescent="0.35">
      <c r="A13" s="21" t="s">
        <v>35</v>
      </c>
      <c r="B13" s="110">
        <v>0.9999787878787878</v>
      </c>
      <c r="C13" s="109">
        <v>495</v>
      </c>
    </row>
    <row r="14" spans="1:3" ht="14.5" x14ac:dyDescent="0.25">
      <c r="A14" s="8" t="s">
        <v>140</v>
      </c>
      <c r="B14" s="81"/>
      <c r="C14" s="82"/>
    </row>
    <row r="15" spans="1:3" x14ac:dyDescent="0.25">
      <c r="B15" s="81"/>
      <c r="C15" s="83"/>
    </row>
    <row r="16" spans="1:3" ht="13" x14ac:dyDescent="0.3">
      <c r="A16" s="13" t="s">
        <v>126</v>
      </c>
      <c r="B16" s="64">
        <f>SUM(B7:B11)</f>
        <v>0.61209999999999998</v>
      </c>
      <c r="C16" s="84">
        <f>SUM(C7:C11)</f>
        <v>303</v>
      </c>
    </row>
  </sheetData>
  <phoneticPr fontId="0" type="noConversion"/>
  <printOptions horizontalCentered="1"/>
  <pageMargins left="0.75" right="0.75" top="1" bottom="0.5" header="0.5" footer="0.25"/>
  <pageSetup scale="90" orientation="landscape" horizontalDpi="4294967292" verticalDpi="1200" r:id="rId1"/>
  <headerFooter alignWithMargins="0">
    <oddFooter>&amp;L&amp;F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A3" sqref="A3"/>
    </sheetView>
  </sheetViews>
  <sheetFormatPr defaultRowHeight="12.5" x14ac:dyDescent="0.25"/>
  <cols>
    <col min="1" max="1" width="46.54296875" customWidth="1"/>
    <col min="2" max="2" width="8.26953125" style="98" bestFit="1" customWidth="1"/>
    <col min="3" max="3" width="10.1796875" style="49" customWidth="1"/>
    <col min="4" max="4" width="17.26953125" style="105" bestFit="1" customWidth="1"/>
    <col min="5" max="5" width="12.26953125" style="105" bestFit="1" customWidth="1"/>
    <col min="6" max="6" width="13.453125" style="105" bestFit="1" customWidth="1"/>
  </cols>
  <sheetData>
    <row r="1" spans="1:7" ht="13" x14ac:dyDescent="0.3">
      <c r="A1" s="1" t="s">
        <v>0</v>
      </c>
      <c r="B1" s="89"/>
      <c r="C1" s="70"/>
      <c r="D1" s="100"/>
      <c r="E1" s="100"/>
      <c r="F1" s="100"/>
    </row>
    <row r="2" spans="1:7" ht="15" x14ac:dyDescent="0.3">
      <c r="A2" s="1" t="s">
        <v>134</v>
      </c>
      <c r="B2" s="89"/>
      <c r="C2" s="70"/>
      <c r="D2" s="100"/>
      <c r="E2" s="100"/>
      <c r="F2" s="100"/>
    </row>
    <row r="3" spans="1:7" x14ac:dyDescent="0.25">
      <c r="B3" s="101"/>
      <c r="D3" s="100"/>
      <c r="E3" s="100"/>
      <c r="F3" s="100"/>
    </row>
    <row r="4" spans="1:7" ht="13" x14ac:dyDescent="0.3">
      <c r="A4" s="1" t="s">
        <v>19</v>
      </c>
      <c r="B4" s="89"/>
      <c r="C4" s="70"/>
      <c r="D4" s="102"/>
      <c r="E4" s="102"/>
      <c r="F4" s="102"/>
      <c r="G4" s="1"/>
    </row>
    <row r="5" spans="1:7" ht="13" x14ac:dyDescent="0.3">
      <c r="A5" s="79" t="s">
        <v>135</v>
      </c>
      <c r="B5" s="89"/>
      <c r="C5" s="70"/>
      <c r="D5" s="102"/>
      <c r="E5" s="102"/>
      <c r="F5" s="102"/>
      <c r="G5" s="1"/>
    </row>
    <row r="6" spans="1:7" ht="13" x14ac:dyDescent="0.3">
      <c r="A6" s="2" t="s">
        <v>20</v>
      </c>
      <c r="B6" s="35" t="s">
        <v>3</v>
      </c>
      <c r="C6" s="36" t="s">
        <v>4</v>
      </c>
      <c r="D6" s="37" t="s">
        <v>21</v>
      </c>
      <c r="E6" s="37" t="s">
        <v>22</v>
      </c>
      <c r="F6" s="37" t="s">
        <v>5</v>
      </c>
      <c r="G6" s="1"/>
    </row>
    <row r="7" spans="1:7" ht="15" x14ac:dyDescent="0.3">
      <c r="A7" s="3"/>
      <c r="B7" s="15" t="s">
        <v>107</v>
      </c>
      <c r="C7" s="15" t="s">
        <v>58</v>
      </c>
      <c r="D7" s="38" t="s">
        <v>6</v>
      </c>
      <c r="E7" s="38" t="s">
        <v>6</v>
      </c>
      <c r="F7" s="38" t="s">
        <v>6</v>
      </c>
      <c r="G7" s="1"/>
    </row>
    <row r="8" spans="1:7" ht="15.5" thickBot="1" x14ac:dyDescent="0.35">
      <c r="A8" s="4"/>
      <c r="B8" s="39"/>
      <c r="C8" s="40"/>
      <c r="D8" s="106" t="s">
        <v>149</v>
      </c>
      <c r="E8" s="106" t="s">
        <v>149</v>
      </c>
      <c r="F8" s="106" t="s">
        <v>149</v>
      </c>
    </row>
    <row r="9" spans="1:7" ht="14.5" x14ac:dyDescent="0.25">
      <c r="A9" t="s">
        <v>23</v>
      </c>
      <c r="B9" s="48">
        <v>4.0000000000000001E-3</v>
      </c>
      <c r="C9" s="49">
        <v>2</v>
      </c>
      <c r="D9" s="77" t="s">
        <v>166</v>
      </c>
      <c r="E9" s="44"/>
      <c r="F9" s="44"/>
    </row>
    <row r="10" spans="1:7" x14ac:dyDescent="0.25">
      <c r="A10" t="s">
        <v>24</v>
      </c>
      <c r="B10" s="48">
        <v>1.21E-2</v>
      </c>
      <c r="C10" s="49">
        <v>6</v>
      </c>
      <c r="D10" s="107">
        <v>2679</v>
      </c>
      <c r="E10" s="107">
        <v>6000</v>
      </c>
      <c r="F10" s="107">
        <v>5697.5</v>
      </c>
    </row>
    <row r="11" spans="1:7" ht="14.5" x14ac:dyDescent="0.25">
      <c r="A11" t="s">
        <v>59</v>
      </c>
      <c r="B11" s="48">
        <v>0.1172</v>
      </c>
      <c r="C11" s="49">
        <v>58</v>
      </c>
      <c r="D11" s="107">
        <v>1000</v>
      </c>
      <c r="E11" s="107">
        <v>10000</v>
      </c>
      <c r="F11" s="107">
        <v>8000</v>
      </c>
    </row>
    <row r="12" spans="1:7" x14ac:dyDescent="0.25">
      <c r="A12" t="s">
        <v>93</v>
      </c>
      <c r="B12" s="48">
        <v>4.4400000000000002E-2</v>
      </c>
      <c r="C12" s="49">
        <v>22</v>
      </c>
      <c r="D12" s="107">
        <v>2500</v>
      </c>
      <c r="E12" s="107">
        <v>5000</v>
      </c>
      <c r="F12" s="107">
        <v>3000</v>
      </c>
    </row>
    <row r="13" spans="1:7" s="1" customFormat="1" ht="15" x14ac:dyDescent="0.3">
      <c r="A13" t="s">
        <v>26</v>
      </c>
      <c r="B13" s="48">
        <v>6.1000000000000004E-3</v>
      </c>
      <c r="C13" s="49">
        <v>3</v>
      </c>
      <c r="D13" s="77" t="s">
        <v>166</v>
      </c>
      <c r="E13" s="44"/>
      <c r="F13" s="44"/>
    </row>
    <row r="14" spans="1:7" ht="13" x14ac:dyDescent="0.3">
      <c r="A14" s="1" t="s">
        <v>60</v>
      </c>
      <c r="B14" s="85">
        <f>SUM(B15:B20)</f>
        <v>0.49689999999999995</v>
      </c>
      <c r="C14" s="70">
        <f>SUM(C15:C20)</f>
        <v>246</v>
      </c>
      <c r="D14" s="108">
        <v>800</v>
      </c>
      <c r="E14" s="108">
        <v>12000</v>
      </c>
      <c r="F14" s="108">
        <v>7000</v>
      </c>
    </row>
    <row r="15" spans="1:7" x14ac:dyDescent="0.25">
      <c r="A15" s="6" t="s">
        <v>95</v>
      </c>
      <c r="B15" s="48">
        <v>1.41E-2</v>
      </c>
      <c r="C15" s="49">
        <v>7</v>
      </c>
      <c r="D15" s="107">
        <v>900</v>
      </c>
      <c r="E15" s="107">
        <v>6000</v>
      </c>
      <c r="F15" s="107">
        <v>5585</v>
      </c>
    </row>
    <row r="16" spans="1:7" x14ac:dyDescent="0.25">
      <c r="A16" s="6" t="s">
        <v>96</v>
      </c>
      <c r="B16" s="48">
        <v>1.6199999999999999E-2</v>
      </c>
      <c r="C16" s="49">
        <v>8</v>
      </c>
      <c r="D16" s="107">
        <v>1500</v>
      </c>
      <c r="E16" s="107">
        <v>7500</v>
      </c>
      <c r="F16" s="107">
        <v>5539</v>
      </c>
    </row>
    <row r="17" spans="1:6" x14ac:dyDescent="0.25">
      <c r="A17" s="6" t="s">
        <v>94</v>
      </c>
      <c r="B17" s="48">
        <v>1.21E-2</v>
      </c>
      <c r="C17" s="49">
        <v>6</v>
      </c>
      <c r="D17" s="107">
        <v>5600</v>
      </c>
      <c r="E17" s="107">
        <v>6200</v>
      </c>
      <c r="F17" s="107">
        <v>5950</v>
      </c>
    </row>
    <row r="18" spans="1:6" x14ac:dyDescent="0.25">
      <c r="A18" s="6" t="s">
        <v>27</v>
      </c>
      <c r="B18" s="48">
        <v>0.31919999999999998</v>
      </c>
      <c r="C18" s="49">
        <v>158</v>
      </c>
      <c r="D18" s="107">
        <v>1000</v>
      </c>
      <c r="E18" s="107">
        <v>8333</v>
      </c>
      <c r="F18" s="107">
        <v>7083</v>
      </c>
    </row>
    <row r="19" spans="1:6" x14ac:dyDescent="0.25">
      <c r="A19" s="6" t="s">
        <v>28</v>
      </c>
      <c r="B19" s="48">
        <v>9.2899999999999996E-2</v>
      </c>
      <c r="C19" s="49">
        <v>46</v>
      </c>
      <c r="D19" s="107">
        <v>800</v>
      </c>
      <c r="E19" s="107">
        <v>8500</v>
      </c>
      <c r="F19" s="107">
        <v>6583</v>
      </c>
    </row>
    <row r="20" spans="1:6" x14ac:dyDescent="0.25">
      <c r="A20" s="6" t="s">
        <v>147</v>
      </c>
      <c r="B20" s="48">
        <v>4.24E-2</v>
      </c>
      <c r="C20" s="49">
        <v>21</v>
      </c>
      <c r="D20" s="107">
        <v>2166</v>
      </c>
      <c r="E20" s="107">
        <v>12000</v>
      </c>
      <c r="F20" s="107">
        <v>5000</v>
      </c>
    </row>
    <row r="21" spans="1:6" ht="14.5" x14ac:dyDescent="0.25">
      <c r="A21" t="s">
        <v>53</v>
      </c>
      <c r="B21" s="48">
        <v>4.0000000000000001E-3</v>
      </c>
      <c r="C21" s="49">
        <v>2</v>
      </c>
      <c r="D21" s="77" t="s">
        <v>166</v>
      </c>
      <c r="E21" s="44"/>
      <c r="F21" s="44"/>
    </row>
    <row r="22" spans="1:6" x14ac:dyDescent="0.25">
      <c r="A22" t="s">
        <v>29</v>
      </c>
      <c r="B22" s="48">
        <v>3.8399999999999997E-2</v>
      </c>
      <c r="C22" s="49">
        <v>19</v>
      </c>
      <c r="D22" s="107">
        <v>2500</v>
      </c>
      <c r="E22" s="107">
        <v>7500</v>
      </c>
      <c r="F22" s="107">
        <v>5500</v>
      </c>
    </row>
    <row r="23" spans="1:6" x14ac:dyDescent="0.25">
      <c r="A23" t="s">
        <v>156</v>
      </c>
      <c r="B23" s="48">
        <v>1.0101010101010102E-2</v>
      </c>
      <c r="C23" s="49">
        <v>5</v>
      </c>
      <c r="D23" s="77">
        <v>3333</v>
      </c>
      <c r="E23" s="44">
        <v>1666</v>
      </c>
      <c r="F23" s="44">
        <v>2613</v>
      </c>
    </row>
    <row r="24" spans="1:6" x14ac:dyDescent="0.25">
      <c r="A24" t="s">
        <v>102</v>
      </c>
      <c r="B24" s="48">
        <v>1.21E-2</v>
      </c>
      <c r="C24" s="49">
        <v>6</v>
      </c>
      <c r="D24" s="107">
        <v>5835</v>
      </c>
      <c r="E24" s="107">
        <v>7500</v>
      </c>
      <c r="F24" s="107">
        <v>7500</v>
      </c>
    </row>
    <row r="25" spans="1:6" ht="14.5" x14ac:dyDescent="0.25">
      <c r="A25" t="s">
        <v>30</v>
      </c>
      <c r="B25" s="48">
        <v>8.0999999999999996E-3</v>
      </c>
      <c r="C25" s="49">
        <v>4</v>
      </c>
      <c r="D25" s="77" t="s">
        <v>166</v>
      </c>
      <c r="E25" s="44"/>
      <c r="F25" s="44"/>
    </row>
    <row r="26" spans="1:6" ht="14.5" x14ac:dyDescent="0.25">
      <c r="A26" t="s">
        <v>54</v>
      </c>
      <c r="B26" s="48">
        <v>4.0000000000000001E-3</v>
      </c>
      <c r="C26" s="49">
        <v>2</v>
      </c>
      <c r="D26" s="77" t="s">
        <v>166</v>
      </c>
      <c r="E26" s="44"/>
      <c r="F26" s="44"/>
    </row>
    <row r="27" spans="1:6" ht="14.5" x14ac:dyDescent="0.25">
      <c r="A27" t="s">
        <v>155</v>
      </c>
      <c r="B27" s="48">
        <v>6.1000000000000004E-3</v>
      </c>
      <c r="C27" s="49">
        <v>3</v>
      </c>
      <c r="D27" s="77" t="s">
        <v>166</v>
      </c>
      <c r="E27" s="44"/>
      <c r="F27" s="44"/>
    </row>
    <row r="28" spans="1:6" s="1" customFormat="1" ht="13" x14ac:dyDescent="0.3">
      <c r="A28" t="s">
        <v>31</v>
      </c>
      <c r="B28" s="48">
        <v>2.2200000000000001E-2</v>
      </c>
      <c r="C28" s="49">
        <v>11</v>
      </c>
      <c r="D28" s="107">
        <v>5000</v>
      </c>
      <c r="E28" s="107">
        <v>6500</v>
      </c>
      <c r="F28" s="107">
        <v>5500</v>
      </c>
    </row>
    <row r="29" spans="1:6" x14ac:dyDescent="0.25">
      <c r="A29" t="s">
        <v>32</v>
      </c>
      <c r="B29" s="48">
        <v>5.8599999999999999E-2</v>
      </c>
      <c r="C29" s="49">
        <v>29</v>
      </c>
      <c r="D29" s="107">
        <v>5400</v>
      </c>
      <c r="E29" s="107">
        <v>7700</v>
      </c>
      <c r="F29" s="107">
        <v>6100</v>
      </c>
    </row>
    <row r="30" spans="1:6" ht="14.5" x14ac:dyDescent="0.25">
      <c r="A30" t="s">
        <v>101</v>
      </c>
      <c r="B30" s="48">
        <v>4.0000000000000001E-3</v>
      </c>
      <c r="C30" s="49">
        <v>2</v>
      </c>
      <c r="D30" s="77" t="s">
        <v>166</v>
      </c>
      <c r="E30" s="44"/>
      <c r="F30" s="44"/>
    </row>
    <row r="31" spans="1:6" ht="14.5" x14ac:dyDescent="0.25">
      <c r="A31" t="s">
        <v>33</v>
      </c>
      <c r="B31" s="48">
        <v>6.1000000000000004E-3</v>
      </c>
      <c r="C31" s="49">
        <v>3</v>
      </c>
      <c r="D31" s="77" t="s">
        <v>166</v>
      </c>
      <c r="E31" s="44"/>
      <c r="F31" s="44"/>
    </row>
    <row r="32" spans="1:6" ht="13" x14ac:dyDescent="0.3">
      <c r="A32" s="1" t="s">
        <v>55</v>
      </c>
      <c r="B32" s="85">
        <f>SUM(B33:B37)</f>
        <v>7.6800000000000007E-2</v>
      </c>
      <c r="C32" s="70">
        <f>SUM(C33:C37)</f>
        <v>38</v>
      </c>
      <c r="D32" s="108">
        <v>1000</v>
      </c>
      <c r="E32" s="108">
        <v>10000</v>
      </c>
      <c r="F32" s="108">
        <v>5542</v>
      </c>
    </row>
    <row r="33" spans="1:6" ht="14.5" x14ac:dyDescent="0.25">
      <c r="A33" s="6" t="s">
        <v>97</v>
      </c>
      <c r="B33" s="48">
        <v>6.1000000000000004E-3</v>
      </c>
      <c r="C33" s="49">
        <v>3</v>
      </c>
      <c r="D33" s="77" t="s">
        <v>166</v>
      </c>
      <c r="E33" s="44"/>
      <c r="F33" s="44"/>
    </row>
    <row r="34" spans="1:6" ht="14.5" x14ac:dyDescent="0.25">
      <c r="A34" s="6" t="s">
        <v>98</v>
      </c>
      <c r="B34" s="48">
        <v>4.0000000000000001E-3</v>
      </c>
      <c r="C34" s="49">
        <v>2</v>
      </c>
      <c r="D34" s="77" t="s">
        <v>166</v>
      </c>
      <c r="E34" s="44"/>
      <c r="F34" s="44"/>
    </row>
    <row r="35" spans="1:6" x14ac:dyDescent="0.25">
      <c r="A35" s="6" t="s">
        <v>146</v>
      </c>
      <c r="B35" s="48">
        <v>4.0399999999999998E-2</v>
      </c>
      <c r="C35" s="49">
        <v>20</v>
      </c>
      <c r="D35" s="107">
        <v>1500</v>
      </c>
      <c r="E35" s="107">
        <v>10000</v>
      </c>
      <c r="F35" s="107">
        <v>5542</v>
      </c>
    </row>
    <row r="36" spans="1:6" x14ac:dyDescent="0.25">
      <c r="A36" s="6" t="s">
        <v>99</v>
      </c>
      <c r="B36" s="48">
        <v>1.6199999999999999E-2</v>
      </c>
      <c r="C36" s="49">
        <v>8</v>
      </c>
      <c r="D36" s="107">
        <v>1000</v>
      </c>
      <c r="E36" s="107">
        <v>7000</v>
      </c>
      <c r="F36" s="107">
        <v>5917.5</v>
      </c>
    </row>
    <row r="37" spans="1:6" x14ac:dyDescent="0.25">
      <c r="A37" s="6" t="s">
        <v>100</v>
      </c>
      <c r="B37" s="48">
        <v>1.01E-2</v>
      </c>
      <c r="C37" s="49">
        <v>5</v>
      </c>
      <c r="D37" s="107">
        <v>2166</v>
      </c>
      <c r="E37" s="107">
        <v>6200</v>
      </c>
      <c r="F37" s="107">
        <v>4000</v>
      </c>
    </row>
    <row r="38" spans="1:6" x14ac:dyDescent="0.25">
      <c r="A38" t="s">
        <v>34</v>
      </c>
      <c r="B38" s="48">
        <v>2.2200000000000001E-2</v>
      </c>
      <c r="C38" s="49">
        <v>11</v>
      </c>
      <c r="D38" s="107">
        <v>4333</v>
      </c>
      <c r="E38" s="107">
        <v>7000</v>
      </c>
      <c r="F38" s="107">
        <v>5500</v>
      </c>
    </row>
    <row r="39" spans="1:6" ht="14.5" x14ac:dyDescent="0.25">
      <c r="A39" t="s">
        <v>17</v>
      </c>
      <c r="B39" s="48">
        <v>4.6464646464646465E-2</v>
      </c>
      <c r="C39" s="49">
        <v>23</v>
      </c>
      <c r="D39" s="77" t="s">
        <v>166</v>
      </c>
      <c r="E39" s="115"/>
      <c r="F39" s="115"/>
    </row>
    <row r="40" spans="1:6" ht="13.5" thickBot="1" x14ac:dyDescent="0.35">
      <c r="A40" s="21" t="s">
        <v>35</v>
      </c>
      <c r="B40" s="69">
        <v>0.99969999999999992</v>
      </c>
      <c r="C40" s="92">
        <v>495</v>
      </c>
      <c r="D40" s="78">
        <v>800</v>
      </c>
      <c r="E40" s="78">
        <v>12000</v>
      </c>
      <c r="F40" s="78">
        <v>6250</v>
      </c>
    </row>
    <row r="41" spans="1:6" ht="14.5" x14ac:dyDescent="0.25">
      <c r="A41" s="9" t="s">
        <v>158</v>
      </c>
      <c r="B41" s="93"/>
      <c r="C41" s="103"/>
      <c r="D41" s="100"/>
      <c r="E41" s="100"/>
      <c r="F41" s="100"/>
    </row>
    <row r="42" spans="1:6" ht="14.5" x14ac:dyDescent="0.25">
      <c r="A42" s="114" t="s">
        <v>159</v>
      </c>
      <c r="B42" s="93"/>
      <c r="C42" s="103"/>
      <c r="D42" s="100"/>
      <c r="E42" s="100"/>
      <c r="F42" s="100"/>
    </row>
    <row r="43" spans="1:6" ht="14.5" x14ac:dyDescent="0.25">
      <c r="A43" s="8" t="s">
        <v>139</v>
      </c>
      <c r="B43" s="96"/>
      <c r="C43" s="104"/>
      <c r="D43" s="100"/>
      <c r="E43" s="100"/>
      <c r="F43" s="100"/>
    </row>
    <row r="44" spans="1:6" ht="14.5" x14ac:dyDescent="0.25">
      <c r="A44" s="8" t="s">
        <v>157</v>
      </c>
      <c r="B44" s="101"/>
      <c r="D44" s="100"/>
      <c r="E44" s="100"/>
      <c r="F44" s="100"/>
    </row>
    <row r="45" spans="1:6" x14ac:dyDescent="0.25">
      <c r="A45" t="s">
        <v>148</v>
      </c>
      <c r="B45" s="101"/>
      <c r="D45" s="100"/>
      <c r="E45" s="100"/>
      <c r="F45" s="100"/>
    </row>
  </sheetData>
  <phoneticPr fontId="0" type="noConversion"/>
  <printOptions horizontalCentered="1"/>
  <pageMargins left="0.75" right="0.75" top="0.3" bottom="0.3" header="0.5" footer="0.25"/>
  <pageSetup scale="95" orientation="landscape" horizontalDpi="4294967292" verticalDpi="1200" r:id="rId1"/>
  <headerFooter alignWithMargins="0">
    <oddFooter>&amp;L&amp;F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A3" sqref="A3"/>
    </sheetView>
  </sheetViews>
  <sheetFormatPr defaultRowHeight="12.5" x14ac:dyDescent="0.25"/>
  <cols>
    <col min="1" max="1" width="46.7265625" bestFit="1" customWidth="1"/>
    <col min="2" max="2" width="15.54296875" style="48" bestFit="1" customWidth="1"/>
    <col min="3" max="3" width="17.453125" style="49" bestFit="1" customWidth="1"/>
  </cols>
  <sheetData>
    <row r="1" spans="1:8" ht="13" x14ac:dyDescent="0.3">
      <c r="A1" s="1" t="s">
        <v>0</v>
      </c>
    </row>
    <row r="2" spans="1:8" ht="15" x14ac:dyDescent="0.3">
      <c r="A2" s="1" t="s">
        <v>134</v>
      </c>
    </row>
    <row r="4" spans="1:8" ht="13" x14ac:dyDescent="0.3">
      <c r="A4" s="1" t="s">
        <v>36</v>
      </c>
      <c r="B4" s="85"/>
      <c r="C4" s="70"/>
      <c r="D4" s="1"/>
      <c r="E4" s="1"/>
      <c r="F4" s="1"/>
      <c r="G4" s="1"/>
      <c r="H4" s="1"/>
    </row>
    <row r="5" spans="1:8" ht="13.5" thickBot="1" x14ac:dyDescent="0.35">
      <c r="A5" s="79" t="s">
        <v>135</v>
      </c>
      <c r="B5" s="85"/>
      <c r="C5" s="70"/>
      <c r="D5" s="1"/>
      <c r="E5" s="1"/>
      <c r="F5" s="1"/>
      <c r="G5" s="1"/>
      <c r="H5" s="1"/>
    </row>
    <row r="6" spans="1:8" ht="15" x14ac:dyDescent="0.3">
      <c r="A6" s="10" t="s">
        <v>20</v>
      </c>
      <c r="B6" s="22" t="s">
        <v>117</v>
      </c>
      <c r="C6" s="11" t="s">
        <v>56</v>
      </c>
      <c r="D6" s="1"/>
      <c r="E6" s="1"/>
      <c r="F6" s="1"/>
      <c r="G6" s="1"/>
      <c r="H6" s="1"/>
    </row>
    <row r="7" spans="1:8" x14ac:dyDescent="0.25">
      <c r="A7" t="s">
        <v>27</v>
      </c>
      <c r="B7" s="67">
        <v>0.31919999999999998</v>
      </c>
      <c r="C7" s="49">
        <v>158</v>
      </c>
    </row>
    <row r="8" spans="1:8" x14ac:dyDescent="0.25">
      <c r="A8" t="s">
        <v>25</v>
      </c>
      <c r="B8" s="67">
        <v>0.1172</v>
      </c>
      <c r="C8" s="49">
        <v>58</v>
      </c>
    </row>
    <row r="9" spans="1:8" x14ac:dyDescent="0.25">
      <c r="A9" s="7" t="s">
        <v>28</v>
      </c>
      <c r="B9" s="67">
        <v>9.2899999999999996E-2</v>
      </c>
      <c r="C9" s="49">
        <v>46</v>
      </c>
    </row>
    <row r="10" spans="1:8" ht="14.5" x14ac:dyDescent="0.25">
      <c r="A10" t="s">
        <v>57</v>
      </c>
      <c r="B10" s="67">
        <v>7.6799999999999993E-2</v>
      </c>
      <c r="C10" s="49">
        <v>38</v>
      </c>
    </row>
    <row r="11" spans="1:8" x14ac:dyDescent="0.25">
      <c r="A11" t="s">
        <v>32</v>
      </c>
      <c r="B11" s="67">
        <v>5.8599999999999999E-2</v>
      </c>
      <c r="C11" s="49">
        <v>29</v>
      </c>
    </row>
    <row r="12" spans="1:8" x14ac:dyDescent="0.25">
      <c r="A12" t="s">
        <v>37</v>
      </c>
      <c r="B12" s="67">
        <v>0.33535353535353535</v>
      </c>
      <c r="C12" s="49">
        <v>166</v>
      </c>
    </row>
    <row r="13" spans="1:8" ht="13.5" thickBot="1" x14ac:dyDescent="0.35">
      <c r="A13" s="21" t="s">
        <v>35</v>
      </c>
      <c r="B13" s="110">
        <v>1.0000535353535354</v>
      </c>
      <c r="C13" s="109">
        <v>495</v>
      </c>
    </row>
    <row r="14" spans="1:8" ht="13" x14ac:dyDescent="0.3">
      <c r="A14" s="13"/>
      <c r="B14" s="64"/>
      <c r="C14" s="84"/>
    </row>
    <row r="15" spans="1:8" ht="15" x14ac:dyDescent="0.3">
      <c r="A15" s="8" t="s">
        <v>140</v>
      </c>
      <c r="B15" s="64"/>
      <c r="C15" s="84"/>
    </row>
    <row r="16" spans="1:8" ht="14.5" x14ac:dyDescent="0.25">
      <c r="A16" s="12" t="s">
        <v>152</v>
      </c>
      <c r="B16" s="88"/>
      <c r="C16" s="83"/>
    </row>
    <row r="17" spans="1:3" x14ac:dyDescent="0.25">
      <c r="B17" s="88"/>
      <c r="C17" s="83"/>
    </row>
    <row r="18" spans="1:3" ht="13" x14ac:dyDescent="0.3">
      <c r="A18" s="13" t="s">
        <v>127</v>
      </c>
      <c r="B18" s="64">
        <f>SUM(B7:B11)</f>
        <v>0.66469999999999996</v>
      </c>
      <c r="C18" s="84">
        <f>SUM(C7:C11)</f>
        <v>329</v>
      </c>
    </row>
  </sheetData>
  <phoneticPr fontId="0" type="noConversion"/>
  <printOptions horizontalCentered="1"/>
  <pageMargins left="0.5" right="0.5" top="1" bottom="0.5" header="0.5" footer="0.25"/>
  <pageSetup scale="90" orientation="landscape" horizontalDpi="4294967292" verticalDpi="1200" r:id="rId1"/>
  <headerFooter alignWithMargins="0">
    <oddFooter>&amp;L&amp;F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selection activeCell="A3" sqref="A3"/>
    </sheetView>
  </sheetViews>
  <sheetFormatPr defaultRowHeight="12.5" x14ac:dyDescent="0.25"/>
  <cols>
    <col min="1" max="1" width="41.54296875" customWidth="1"/>
    <col min="2" max="2" width="15.7265625" style="66" customWidth="1"/>
    <col min="3" max="3" width="15.7265625" style="24" customWidth="1"/>
    <col min="4" max="4" width="16.453125" style="30" customWidth="1"/>
  </cols>
  <sheetData>
    <row r="1" spans="1:4" ht="13" x14ac:dyDescent="0.3">
      <c r="A1" s="1" t="s">
        <v>0</v>
      </c>
      <c r="B1" s="61"/>
      <c r="C1" s="23"/>
    </row>
    <row r="2" spans="1:4" ht="13" x14ac:dyDescent="0.3">
      <c r="A2" s="1" t="s">
        <v>141</v>
      </c>
      <c r="B2" s="61"/>
      <c r="C2" s="23"/>
    </row>
    <row r="3" spans="1:4" ht="13" x14ac:dyDescent="0.3">
      <c r="B3" s="61"/>
      <c r="C3" s="23"/>
    </row>
    <row r="4" spans="1:4" ht="13" x14ac:dyDescent="0.3">
      <c r="A4" s="1" t="s">
        <v>1</v>
      </c>
      <c r="B4" s="61"/>
      <c r="C4" s="23"/>
      <c r="D4" s="29"/>
    </row>
    <row r="5" spans="1:4" ht="13" x14ac:dyDescent="0.3">
      <c r="A5" s="79" t="s">
        <v>135</v>
      </c>
      <c r="B5" s="61"/>
      <c r="C5" s="23"/>
      <c r="D5" s="29"/>
    </row>
    <row r="6" spans="1:4" ht="13" x14ac:dyDescent="0.3">
      <c r="A6" s="1"/>
      <c r="B6" s="61"/>
      <c r="C6" s="23"/>
      <c r="D6" s="29"/>
    </row>
    <row r="7" spans="1:4" ht="13" x14ac:dyDescent="0.3">
      <c r="A7" s="2" t="s">
        <v>2</v>
      </c>
      <c r="B7" s="51" t="s">
        <v>3</v>
      </c>
      <c r="C7" s="26" t="s">
        <v>4</v>
      </c>
      <c r="D7" s="31" t="s">
        <v>5</v>
      </c>
    </row>
    <row r="8" spans="1:4" ht="15" x14ac:dyDescent="0.3">
      <c r="A8" s="3"/>
      <c r="B8" s="15" t="s">
        <v>107</v>
      </c>
      <c r="C8" s="27" t="s">
        <v>72</v>
      </c>
      <c r="D8" s="32" t="s">
        <v>6</v>
      </c>
    </row>
    <row r="9" spans="1:4" ht="15.5" thickBot="1" x14ac:dyDescent="0.35">
      <c r="A9" s="4"/>
      <c r="B9" s="53"/>
      <c r="C9" s="28"/>
      <c r="D9" s="106" t="s">
        <v>142</v>
      </c>
    </row>
    <row r="10" spans="1:4" s="1" customFormat="1" ht="13" x14ac:dyDescent="0.3">
      <c r="A10" s="25" t="s">
        <v>7</v>
      </c>
      <c r="B10" s="61">
        <v>0.77373737373737372</v>
      </c>
      <c r="C10" s="70">
        <v>383</v>
      </c>
      <c r="D10" s="42">
        <v>6250</v>
      </c>
    </row>
    <row r="11" spans="1:4" s="1" customFormat="1" ht="13" x14ac:dyDescent="0.3">
      <c r="A11" s="25"/>
      <c r="B11" s="61"/>
      <c r="C11" s="70"/>
      <c r="D11" s="42"/>
    </row>
    <row r="12" spans="1:4" x14ac:dyDescent="0.25">
      <c r="A12" t="s">
        <v>9</v>
      </c>
      <c r="B12" s="67">
        <v>0.38383838383838381</v>
      </c>
      <c r="C12" s="49">
        <v>190</v>
      </c>
      <c r="D12" s="43">
        <v>5510</v>
      </c>
    </row>
    <row r="13" spans="1:4" x14ac:dyDescent="0.25">
      <c r="A13" s="6" t="s">
        <v>77</v>
      </c>
      <c r="B13" s="67">
        <v>0.24848484848484848</v>
      </c>
      <c r="C13" s="71">
        <v>123</v>
      </c>
      <c r="D13" s="43">
        <v>5000</v>
      </c>
    </row>
    <row r="14" spans="1:4" x14ac:dyDescent="0.25">
      <c r="B14" s="67"/>
      <c r="C14" s="71"/>
      <c r="D14" s="43"/>
    </row>
    <row r="15" spans="1:4" x14ac:dyDescent="0.25">
      <c r="A15" s="5" t="s">
        <v>8</v>
      </c>
      <c r="B15" s="67">
        <v>0.24242424242424243</v>
      </c>
      <c r="C15" s="49">
        <v>120</v>
      </c>
      <c r="D15" s="43">
        <v>7083</v>
      </c>
    </row>
    <row r="16" spans="1:4" x14ac:dyDescent="0.25">
      <c r="A16" s="6" t="s">
        <v>78</v>
      </c>
      <c r="B16" s="67">
        <v>0.19191919191919191</v>
      </c>
      <c r="C16" s="71">
        <v>95</v>
      </c>
      <c r="D16" s="43">
        <v>7083</v>
      </c>
    </row>
    <row r="17" spans="1:4" x14ac:dyDescent="0.25">
      <c r="A17" s="6" t="s">
        <v>79</v>
      </c>
      <c r="B17" s="67">
        <v>2.2222222222222223E-2</v>
      </c>
      <c r="C17" s="71">
        <v>11</v>
      </c>
      <c r="D17" s="43">
        <v>8000</v>
      </c>
    </row>
    <row r="18" spans="1:4" x14ac:dyDescent="0.25">
      <c r="A18" s="6"/>
      <c r="B18" s="63"/>
      <c r="C18" s="71"/>
      <c r="D18" s="41"/>
    </row>
    <row r="19" spans="1:4" x14ac:dyDescent="0.25">
      <c r="A19" t="s">
        <v>10</v>
      </c>
      <c r="B19" s="67">
        <v>6.6666666666666666E-2</v>
      </c>
      <c r="C19" s="49">
        <v>33</v>
      </c>
      <c r="D19" s="43">
        <v>6200</v>
      </c>
    </row>
    <row r="20" spans="1:4" x14ac:dyDescent="0.25">
      <c r="A20" s="6" t="s">
        <v>151</v>
      </c>
      <c r="B20" s="67">
        <v>3.6363636363636362E-2</v>
      </c>
      <c r="C20" s="71">
        <v>18</v>
      </c>
      <c r="D20" s="43">
        <v>6000</v>
      </c>
    </row>
    <row r="21" spans="1:4" x14ac:dyDescent="0.25">
      <c r="A21" s="6" t="s">
        <v>80</v>
      </c>
      <c r="B21" s="67">
        <v>1.0101010101010102E-2</v>
      </c>
      <c r="C21" s="71">
        <v>5</v>
      </c>
      <c r="D21" s="43">
        <v>7085</v>
      </c>
    </row>
    <row r="22" spans="1:4" x14ac:dyDescent="0.25">
      <c r="A22" s="6"/>
      <c r="B22" s="67"/>
      <c r="C22" s="71"/>
      <c r="D22" s="43"/>
    </row>
    <row r="23" spans="1:4" x14ac:dyDescent="0.25">
      <c r="A23" s="7" t="s">
        <v>13</v>
      </c>
      <c r="B23" s="67">
        <v>3.0303030303030304E-2</v>
      </c>
      <c r="C23" s="73">
        <v>15</v>
      </c>
      <c r="D23" s="44">
        <v>5850</v>
      </c>
    </row>
    <row r="24" spans="1:4" s="7" customFormat="1" x14ac:dyDescent="0.25">
      <c r="B24" s="67"/>
      <c r="C24" s="73"/>
      <c r="D24" s="44"/>
    </row>
    <row r="25" spans="1:4" s="7" customFormat="1" x14ac:dyDescent="0.25">
      <c r="A25" s="7" t="s">
        <v>12</v>
      </c>
      <c r="B25" s="67">
        <v>2.6262626262626262E-2</v>
      </c>
      <c r="C25" s="73">
        <v>13</v>
      </c>
      <c r="D25" s="44">
        <v>5500</v>
      </c>
    </row>
    <row r="26" spans="1:4" s="7" customFormat="1" x14ac:dyDescent="0.25">
      <c r="A26"/>
      <c r="B26" s="67"/>
      <c r="C26" s="71"/>
      <c r="D26" s="43"/>
    </row>
    <row r="27" spans="1:4" x14ac:dyDescent="0.25">
      <c r="A27" t="s">
        <v>11</v>
      </c>
      <c r="B27" s="67">
        <v>2.4242424242424242E-2</v>
      </c>
      <c r="C27" s="49">
        <v>12</v>
      </c>
      <c r="D27" s="43">
        <v>5500</v>
      </c>
    </row>
    <row r="28" spans="1:4" s="7" customFormat="1" x14ac:dyDescent="0.25">
      <c r="A28" s="6" t="s">
        <v>81</v>
      </c>
      <c r="B28" s="67">
        <v>1.0101010101010102E-2</v>
      </c>
      <c r="C28" s="71">
        <v>5</v>
      </c>
      <c r="D28" s="43">
        <v>5500</v>
      </c>
    </row>
    <row r="29" spans="1:4" s="7" customFormat="1" ht="13" x14ac:dyDescent="0.3">
      <c r="A29"/>
      <c r="B29" s="62"/>
      <c r="C29" s="71"/>
      <c r="D29" s="45"/>
    </row>
    <row r="30" spans="1:4" s="7" customFormat="1" ht="13" x14ac:dyDescent="0.3">
      <c r="A30" s="1" t="s">
        <v>14</v>
      </c>
      <c r="B30" s="61">
        <v>0.22626262626262628</v>
      </c>
      <c r="C30" s="74">
        <v>112</v>
      </c>
      <c r="D30" s="42">
        <v>6480</v>
      </c>
    </row>
    <row r="31" spans="1:4" s="7" customFormat="1" ht="13" x14ac:dyDescent="0.3">
      <c r="B31" s="65"/>
      <c r="C31" s="75"/>
      <c r="D31" s="46"/>
    </row>
    <row r="32" spans="1:4" s="7" customFormat="1" x14ac:dyDescent="0.25">
      <c r="A32" s="7" t="s">
        <v>15</v>
      </c>
      <c r="B32" s="67">
        <v>0.11515151515151516</v>
      </c>
      <c r="C32" s="73">
        <v>57</v>
      </c>
      <c r="D32" s="44">
        <v>6583.5</v>
      </c>
    </row>
    <row r="33" spans="1:4" s="7" customFormat="1" x14ac:dyDescent="0.25">
      <c r="A33" s="34" t="s">
        <v>137</v>
      </c>
      <c r="B33" s="67">
        <v>3.0303030303030304E-2</v>
      </c>
      <c r="C33" s="72">
        <v>15</v>
      </c>
      <c r="D33" s="44">
        <v>3500</v>
      </c>
    </row>
    <row r="34" spans="1:4" x14ac:dyDescent="0.25">
      <c r="A34" s="34" t="s">
        <v>83</v>
      </c>
      <c r="B34" s="67">
        <v>2.6262626262626262E-2</v>
      </c>
      <c r="C34" s="72">
        <v>13</v>
      </c>
      <c r="D34" s="44">
        <v>7083</v>
      </c>
    </row>
    <row r="35" spans="1:4" x14ac:dyDescent="0.25">
      <c r="A35" s="34" t="s">
        <v>82</v>
      </c>
      <c r="B35" s="67">
        <v>1.8181818181818181E-2</v>
      </c>
      <c r="C35" s="72">
        <v>9</v>
      </c>
      <c r="D35" s="44">
        <v>6500</v>
      </c>
    </row>
    <row r="36" spans="1:4" ht="14.5" x14ac:dyDescent="0.25">
      <c r="A36" s="34" t="s">
        <v>138</v>
      </c>
      <c r="B36" s="67">
        <v>1.0101010101010102E-2</v>
      </c>
      <c r="C36" s="72">
        <v>5</v>
      </c>
      <c r="D36" s="44" t="s">
        <v>167</v>
      </c>
    </row>
    <row r="37" spans="1:4" s="7" customFormat="1" ht="13" x14ac:dyDescent="0.3">
      <c r="A37"/>
      <c r="B37" s="62"/>
      <c r="C37" s="71"/>
      <c r="D37" s="45"/>
    </row>
    <row r="38" spans="1:4" s="7" customFormat="1" x14ac:dyDescent="0.25">
      <c r="A38" s="7" t="s">
        <v>165</v>
      </c>
      <c r="B38" s="67">
        <v>8.6999999999999994E-2</v>
      </c>
      <c r="C38" s="73">
        <v>43</v>
      </c>
      <c r="D38" s="44">
        <v>6490</v>
      </c>
    </row>
    <row r="39" spans="1:4" s="7" customFormat="1" x14ac:dyDescent="0.25">
      <c r="A39" s="34" t="s">
        <v>84</v>
      </c>
      <c r="B39" s="67">
        <v>5.8585858585858588E-2</v>
      </c>
      <c r="C39" s="72">
        <v>29</v>
      </c>
      <c r="D39" s="44">
        <v>6600</v>
      </c>
    </row>
    <row r="40" spans="1:4" x14ac:dyDescent="0.25">
      <c r="A40" s="7"/>
      <c r="B40" s="68"/>
      <c r="C40" s="72"/>
      <c r="D40" s="44"/>
    </row>
    <row r="41" spans="1:4" x14ac:dyDescent="0.25">
      <c r="A41" t="s">
        <v>16</v>
      </c>
      <c r="B41" s="67">
        <v>1.2121212121212121E-2</v>
      </c>
      <c r="C41" s="49">
        <v>6</v>
      </c>
      <c r="D41" s="43">
        <v>5250</v>
      </c>
    </row>
    <row r="42" spans="1:4" x14ac:dyDescent="0.25">
      <c r="B42" s="67"/>
      <c r="C42" s="49"/>
      <c r="D42" s="43"/>
    </row>
    <row r="43" spans="1:4" ht="14.5" x14ac:dyDescent="0.25">
      <c r="A43" t="s">
        <v>164</v>
      </c>
      <c r="B43" s="67">
        <v>8.0000000000000002E-3</v>
      </c>
      <c r="C43" s="49">
        <v>4</v>
      </c>
      <c r="D43" s="77" t="s">
        <v>166</v>
      </c>
    </row>
    <row r="44" spans="1:4" x14ac:dyDescent="0.25">
      <c r="B44" s="67"/>
      <c r="C44" s="49"/>
      <c r="D44" s="43"/>
    </row>
    <row r="45" spans="1:4" ht="14.5" x14ac:dyDescent="0.25">
      <c r="A45" t="s">
        <v>61</v>
      </c>
      <c r="B45" s="67">
        <v>4.0404040404040404E-3</v>
      </c>
      <c r="C45" s="49">
        <v>2</v>
      </c>
      <c r="D45" s="77" t="s">
        <v>166</v>
      </c>
    </row>
    <row r="46" spans="1:4" x14ac:dyDescent="0.25">
      <c r="B46" s="63"/>
      <c r="C46" s="71"/>
      <c r="D46" s="45"/>
    </row>
    <row r="47" spans="1:4" ht="13.5" thickBot="1" x14ac:dyDescent="0.35">
      <c r="A47" s="16" t="s">
        <v>18</v>
      </c>
      <c r="B47" s="69">
        <v>1</v>
      </c>
      <c r="C47" s="76">
        <v>495</v>
      </c>
      <c r="D47" s="47">
        <v>6250</v>
      </c>
    </row>
    <row r="49" spans="1:1" ht="14.5" x14ac:dyDescent="0.25">
      <c r="A49" s="9" t="s">
        <v>161</v>
      </c>
    </row>
    <row r="50" spans="1:1" x14ac:dyDescent="0.25">
      <c r="A50" s="114" t="s">
        <v>160</v>
      </c>
    </row>
    <row r="51" spans="1:1" ht="14.5" x14ac:dyDescent="0.25">
      <c r="A51" s="8" t="s">
        <v>139</v>
      </c>
    </row>
    <row r="52" spans="1:1" ht="14.5" x14ac:dyDescent="0.25">
      <c r="A52" s="8" t="s">
        <v>168</v>
      </c>
    </row>
  </sheetData>
  <phoneticPr fontId="0" type="noConversion"/>
  <printOptions horizontalCentered="1"/>
  <pageMargins left="0.75" right="0.75" top="0.5" bottom="0.5" header="0.5" footer="0.25"/>
  <pageSetup orientation="portrait" horizontalDpi="4294967292" verticalDpi="1200" r:id="rId1"/>
  <headerFooter alignWithMargins="0">
    <oddFooter>&amp;L&amp;F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A3" sqref="A3"/>
    </sheetView>
  </sheetViews>
  <sheetFormatPr defaultRowHeight="12.5" x14ac:dyDescent="0.25"/>
  <cols>
    <col min="1" max="1" width="52.7265625" bestFit="1" customWidth="1"/>
    <col min="2" max="3" width="9.453125" style="49" bestFit="1" customWidth="1"/>
  </cols>
  <sheetData>
    <row r="1" spans="1:3" ht="13" x14ac:dyDescent="0.3">
      <c r="A1" s="1" t="s">
        <v>0</v>
      </c>
      <c r="B1" s="70"/>
    </row>
    <row r="2" spans="1:3" ht="13" x14ac:dyDescent="0.3">
      <c r="A2" s="1" t="s">
        <v>141</v>
      </c>
      <c r="B2" s="70"/>
    </row>
    <row r="3" spans="1:3" ht="13" x14ac:dyDescent="0.3">
      <c r="B3" s="70"/>
    </row>
    <row r="4" spans="1:3" ht="13" x14ac:dyDescent="0.3">
      <c r="A4" s="1" t="s">
        <v>76</v>
      </c>
      <c r="B4" s="70"/>
    </row>
    <row r="5" spans="1:3" ht="13" x14ac:dyDescent="0.3">
      <c r="A5" s="79" t="s">
        <v>135</v>
      </c>
      <c r="B5" s="70"/>
    </row>
    <row r="7" spans="1:3" ht="13" x14ac:dyDescent="0.3">
      <c r="A7" s="2" t="s">
        <v>118</v>
      </c>
      <c r="B7" s="36" t="s">
        <v>3</v>
      </c>
      <c r="C7" s="36" t="s">
        <v>4</v>
      </c>
    </row>
    <row r="8" spans="1:3" ht="15.5" thickBot="1" x14ac:dyDescent="0.35">
      <c r="A8" s="4"/>
      <c r="B8" s="40" t="s">
        <v>72</v>
      </c>
      <c r="C8" s="40" t="s">
        <v>72</v>
      </c>
    </row>
    <row r="9" spans="1:3" s="1" customFormat="1" ht="13" x14ac:dyDescent="0.3">
      <c r="A9" s="1" t="s">
        <v>71</v>
      </c>
      <c r="B9" s="85">
        <v>0.72525252525252526</v>
      </c>
      <c r="C9" s="70">
        <v>359</v>
      </c>
    </row>
    <row r="10" spans="1:3" x14ac:dyDescent="0.25">
      <c r="A10" s="6" t="s">
        <v>111</v>
      </c>
      <c r="B10" s="48">
        <v>0.33131313131313134</v>
      </c>
      <c r="C10" s="49">
        <v>164</v>
      </c>
    </row>
    <row r="11" spans="1:3" x14ac:dyDescent="0.25">
      <c r="A11" s="6" t="s">
        <v>122</v>
      </c>
      <c r="B11" s="48">
        <v>0.1191919191919192</v>
      </c>
      <c r="C11" s="49">
        <v>59</v>
      </c>
    </row>
    <row r="12" spans="1:3" x14ac:dyDescent="0.25">
      <c r="A12" s="6" t="s">
        <v>112</v>
      </c>
      <c r="B12" s="48">
        <v>9.8989898989898989E-2</v>
      </c>
      <c r="C12" s="49">
        <v>49</v>
      </c>
    </row>
    <row r="13" spans="1:3" x14ac:dyDescent="0.25">
      <c r="A13" s="6" t="s">
        <v>115</v>
      </c>
      <c r="B13" s="48">
        <v>6.8686868686868685E-2</v>
      </c>
      <c r="C13" s="49">
        <v>34</v>
      </c>
    </row>
    <row r="14" spans="1:3" x14ac:dyDescent="0.25">
      <c r="A14" s="6" t="s">
        <v>113</v>
      </c>
      <c r="B14" s="48">
        <v>5.2525252525252523E-2</v>
      </c>
      <c r="C14" s="49">
        <v>26</v>
      </c>
    </row>
    <row r="15" spans="1:3" x14ac:dyDescent="0.25">
      <c r="A15" s="6" t="s">
        <v>114</v>
      </c>
      <c r="B15" s="48">
        <v>3.6363636363636362E-2</v>
      </c>
      <c r="C15" s="49">
        <v>18</v>
      </c>
    </row>
    <row r="16" spans="1:3" x14ac:dyDescent="0.25">
      <c r="A16" s="6" t="s">
        <v>116</v>
      </c>
      <c r="B16" s="48">
        <v>1.8181818181818181E-2</v>
      </c>
      <c r="C16" s="49">
        <v>9</v>
      </c>
    </row>
    <row r="17" spans="1:5" x14ac:dyDescent="0.25">
      <c r="B17" s="48"/>
    </row>
    <row r="18" spans="1:5" s="1" customFormat="1" ht="15" x14ac:dyDescent="0.3">
      <c r="A18" s="1" t="s">
        <v>129</v>
      </c>
      <c r="B18" s="85">
        <v>0.27474747474747474</v>
      </c>
      <c r="C18" s="70">
        <v>136</v>
      </c>
      <c r="E18" s="7"/>
    </row>
    <row r="19" spans="1:5" x14ac:dyDescent="0.25">
      <c r="A19" s="6" t="s">
        <v>109</v>
      </c>
      <c r="B19" s="48">
        <v>9.494949494949495E-2</v>
      </c>
      <c r="C19" s="49">
        <v>47</v>
      </c>
    </row>
    <row r="20" spans="1:5" s="7" customFormat="1" x14ac:dyDescent="0.25">
      <c r="A20" s="7" t="s">
        <v>133</v>
      </c>
      <c r="B20" s="48">
        <v>7.8787878787878782E-2</v>
      </c>
      <c r="C20" s="73">
        <v>39</v>
      </c>
    </row>
    <row r="21" spans="1:5" x14ac:dyDescent="0.25">
      <c r="A21" s="6" t="s">
        <v>110</v>
      </c>
      <c r="B21" s="48">
        <v>7.8787878787878782E-2</v>
      </c>
      <c r="C21" s="49">
        <v>39</v>
      </c>
    </row>
    <row r="22" spans="1:5" x14ac:dyDescent="0.25">
      <c r="A22" s="6" t="s">
        <v>108</v>
      </c>
      <c r="B22" s="48">
        <v>2.2222222222222223E-2</v>
      </c>
      <c r="C22" s="49">
        <v>11</v>
      </c>
    </row>
    <row r="23" spans="1:5" x14ac:dyDescent="0.25">
      <c r="B23" s="48"/>
    </row>
    <row r="24" spans="1:5" s="1" customFormat="1" ht="13.5" thickBot="1" x14ac:dyDescent="0.35">
      <c r="A24" s="16" t="s">
        <v>35</v>
      </c>
      <c r="B24" s="86">
        <v>1</v>
      </c>
      <c r="C24" s="87">
        <v>495</v>
      </c>
    </row>
    <row r="26" spans="1:5" ht="14.5" x14ac:dyDescent="0.25">
      <c r="A26" s="8" t="s">
        <v>140</v>
      </c>
    </row>
    <row r="27" spans="1:5" ht="14.5" x14ac:dyDescent="0.25">
      <c r="A27" s="8" t="s">
        <v>128</v>
      </c>
    </row>
    <row r="28" spans="1:5" x14ac:dyDescent="0.25">
      <c r="A28" t="s">
        <v>132</v>
      </c>
    </row>
  </sheetData>
  <phoneticPr fontId="0" type="noConversion"/>
  <printOptions horizontalCentered="1"/>
  <pageMargins left="0.75" right="0.75" top="1" bottom="1" header="0.5" footer="0.5"/>
  <pageSetup orientation="portrait" horizontalDpi="1200" verticalDpi="1200" r:id="rId1"/>
  <headerFooter alignWithMargins="0">
    <oddFooter>&amp;L&amp;F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Profile of Class</vt:lpstr>
      <vt:lpstr>Hires by Function</vt:lpstr>
      <vt:lpstr>Top Five Functions</vt:lpstr>
      <vt:lpstr>Hires by Industry</vt:lpstr>
      <vt:lpstr>Top Five Industries</vt:lpstr>
      <vt:lpstr>Hires by Location</vt:lpstr>
      <vt:lpstr>Job Source</vt:lpstr>
    </vt:vector>
  </TitlesOfParts>
  <Company>University of Chicago 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M. Steven</dc:creator>
  <cp:lastModifiedBy>Carina Negreanu</cp:lastModifiedBy>
  <cp:lastPrinted>2002-12-19T22:05:22Z</cp:lastPrinted>
  <dcterms:created xsi:type="dcterms:W3CDTF">1999-12-02T19:35:48Z</dcterms:created>
  <dcterms:modified xsi:type="dcterms:W3CDTF">2020-01-27T12:48:33Z</dcterms:modified>
</cp:coreProperties>
</file>