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CBD551-02C6-4375-B34D-B902BAE92971}" xr6:coauthVersionLast="45" xr6:coauthVersionMax="45" xr10:uidLastSave="{00000000-0000-0000-0000-000000000000}"/>
  <bookViews>
    <workbookView xWindow="2280" yWindow="2280" windowWidth="28800" windowHeight="15460" tabRatio="466"/>
  </bookViews>
  <sheets>
    <sheet name="Instructions" sheetId="3" r:id="rId1"/>
    <sheet name="course list" sheetId="1" r:id="rId2"/>
    <sheet name="Print" sheetId="2" r:id="rId3"/>
  </sheets>
  <definedNames>
    <definedName name="_xlnm._FilterDatabase" localSheetId="1" hidden="1">'course list'!$E$1:$L$157</definedName>
    <definedName name="_xlnm._FilterDatabase" localSheetId="2" hidden="1">Print!$E$1:$L$146</definedName>
    <definedName name="_xlnm.Criteria" localSheetId="1">'course list'!$X$1:$AE$1</definedName>
    <definedName name="_xlnm.Criteria" localSheetId="2">Print!$AR$1:$AY$6</definedName>
    <definedName name="_xlnm.Extract" localSheetId="1">'course list'!$X$2:$AE$2</definedName>
    <definedName name="_xlnm.Print_Area" localSheetId="2">Print!$A$1:$D$55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" i="1" l="1"/>
  <c r="AS2" i="1"/>
  <c r="AY2" i="1"/>
  <c r="BD2" i="1"/>
  <c r="M3" i="1"/>
  <c r="AW3" i="1"/>
  <c r="M4" i="1"/>
  <c r="AX4" i="1"/>
  <c r="M5" i="1"/>
  <c r="AY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BA28" i="1"/>
  <c r="BA26" i="1" s="1"/>
  <c r="D48" i="2" s="1"/>
  <c r="M29" i="1"/>
  <c r="BA29" i="1"/>
  <c r="M30" i="1"/>
  <c r="BA30" i="1"/>
  <c r="M31" i="1"/>
  <c r="BA31" i="1"/>
  <c r="M32" i="1"/>
  <c r="BA32" i="1"/>
  <c r="M33" i="1"/>
  <c r="BA33" i="1"/>
  <c r="M34" i="1"/>
  <c r="M35" i="1"/>
  <c r="BA35" i="1"/>
  <c r="M36" i="1"/>
  <c r="BA36" i="1"/>
  <c r="M37" i="1"/>
  <c r="BA37" i="1"/>
  <c r="M38" i="1"/>
  <c r="BA38" i="1"/>
  <c r="M39" i="1"/>
  <c r="M40" i="1"/>
  <c r="BA40" i="1"/>
  <c r="M41" i="1"/>
  <c r="BA41" i="1"/>
  <c r="M42" i="1"/>
  <c r="BA42" i="1"/>
  <c r="M43" i="1"/>
  <c r="BA43" i="1"/>
  <c r="M44" i="1"/>
  <c r="BA44" i="1"/>
  <c r="M45" i="1"/>
  <c r="BA45" i="1"/>
  <c r="M46" i="1"/>
  <c r="BA46" i="1"/>
  <c r="M47" i="1"/>
  <c r="BA47" i="1"/>
  <c r="M48" i="1"/>
  <c r="BA48" i="1"/>
  <c r="M49" i="1"/>
  <c r="BA49" i="1"/>
  <c r="M50" i="1"/>
  <c r="BA50" i="1"/>
  <c r="M51" i="1"/>
  <c r="BA51" i="1"/>
  <c r="M52" i="1"/>
  <c r="BA52" i="1"/>
  <c r="M53" i="1"/>
  <c r="BA53" i="1"/>
  <c r="M54" i="1"/>
  <c r="BA54" i="1"/>
  <c r="M55" i="1"/>
  <c r="BA55" i="1"/>
  <c r="M56" i="1"/>
  <c r="BA56" i="1"/>
  <c r="M57" i="1"/>
  <c r="BA57" i="1"/>
  <c r="M58" i="1"/>
  <c r="BA58" i="1"/>
  <c r="M59" i="1"/>
  <c r="BA59" i="1"/>
  <c r="M60" i="1"/>
  <c r="BA60" i="1"/>
  <c r="M61" i="1"/>
  <c r="BA61" i="1"/>
  <c r="M62" i="1"/>
  <c r="M63" i="1"/>
  <c r="BA63" i="1"/>
  <c r="M64" i="1"/>
  <c r="BA64" i="1"/>
  <c r="M65" i="1"/>
  <c r="BA65" i="1"/>
  <c r="M66" i="1"/>
  <c r="BA66" i="1"/>
  <c r="M67" i="1"/>
  <c r="BA67" i="1"/>
  <c r="M68" i="1"/>
  <c r="BA68" i="1"/>
  <c r="M69" i="1"/>
  <c r="BA69" i="1"/>
  <c r="M70" i="1"/>
  <c r="BA70" i="1"/>
  <c r="M71" i="1"/>
  <c r="BA71" i="1"/>
  <c r="M72" i="1"/>
  <c r="BA72" i="1"/>
  <c r="M73" i="1"/>
  <c r="BA73" i="1"/>
  <c r="M74" i="1"/>
  <c r="BA74" i="1"/>
  <c r="M75" i="1"/>
  <c r="BA75" i="1"/>
  <c r="M76" i="1"/>
  <c r="BA76" i="1"/>
  <c r="M77" i="1"/>
  <c r="BA77" i="1"/>
  <c r="M78" i="1"/>
  <c r="BA78" i="1"/>
  <c r="M79" i="1"/>
  <c r="BA79" i="1"/>
  <c r="M80" i="1"/>
  <c r="BA80" i="1"/>
  <c r="M81" i="1"/>
  <c r="M82" i="1"/>
  <c r="BA82" i="1"/>
  <c r="M83" i="1"/>
  <c r="BA83" i="1"/>
  <c r="M84" i="1"/>
  <c r="BA84" i="1"/>
  <c r="M85" i="1"/>
  <c r="BA85" i="1"/>
  <c r="M86" i="1"/>
  <c r="BA86" i="1"/>
  <c r="M87" i="1"/>
  <c r="BA87" i="1"/>
  <c r="M88" i="1"/>
  <c r="BA88" i="1"/>
  <c r="M89" i="1"/>
  <c r="BA89" i="1"/>
  <c r="M90" i="1"/>
  <c r="BA90" i="1"/>
  <c r="M91" i="1"/>
  <c r="BA91" i="1"/>
  <c r="M92" i="1"/>
  <c r="BA92" i="1"/>
  <c r="M93" i="1"/>
  <c r="BA93" i="1"/>
  <c r="M94" i="1"/>
  <c r="BA94" i="1"/>
  <c r="M95" i="1"/>
  <c r="BA95" i="1"/>
  <c r="M96" i="1"/>
  <c r="BA96" i="1"/>
  <c r="M97" i="1"/>
  <c r="BA97" i="1"/>
  <c r="M98" i="1"/>
  <c r="BA98" i="1"/>
  <c r="M99" i="1"/>
  <c r="BA99" i="1"/>
  <c r="M100" i="1"/>
  <c r="BA100" i="1"/>
  <c r="M101" i="1"/>
  <c r="BA101" i="1"/>
  <c r="M102" i="1"/>
  <c r="BA102" i="1"/>
  <c r="M103" i="1"/>
  <c r="BA103" i="1"/>
  <c r="M104" i="1"/>
  <c r="BA104" i="1"/>
  <c r="M105" i="1"/>
  <c r="M106" i="1"/>
  <c r="BA106" i="1"/>
  <c r="M107" i="1"/>
  <c r="BA107" i="1"/>
  <c r="M108" i="1"/>
  <c r="BA108" i="1"/>
  <c r="M109" i="1"/>
  <c r="BA109" i="1"/>
  <c r="M110" i="1"/>
  <c r="BA110" i="1"/>
  <c r="M111" i="1"/>
  <c r="BA111" i="1"/>
  <c r="M112" i="1"/>
  <c r="BA112" i="1"/>
  <c r="M113" i="1"/>
  <c r="BA113" i="1"/>
  <c r="M114" i="1"/>
  <c r="BA114" i="1"/>
  <c r="M115" i="1"/>
  <c r="BA115" i="1"/>
  <c r="M116" i="1"/>
  <c r="BA116" i="1"/>
  <c r="M117" i="1"/>
  <c r="BA117" i="1"/>
  <c r="M118" i="1"/>
  <c r="BA118" i="1"/>
  <c r="M119" i="1"/>
  <c r="BA119" i="1"/>
  <c r="M120" i="1"/>
  <c r="BA120" i="1"/>
  <c r="M121" i="1"/>
  <c r="BA121" i="1"/>
  <c r="M122" i="1"/>
  <c r="BA122" i="1"/>
  <c r="M123" i="1"/>
  <c r="BA123" i="1"/>
  <c r="M124" i="1"/>
  <c r="BA124" i="1"/>
  <c r="M125" i="1"/>
  <c r="BA125" i="1"/>
  <c r="M126" i="1"/>
  <c r="BA126" i="1"/>
  <c r="M127" i="1"/>
  <c r="BA127" i="1"/>
  <c r="M128" i="1"/>
  <c r="BA128" i="1"/>
  <c r="M129" i="1"/>
  <c r="BA129" i="1"/>
  <c r="M130" i="1"/>
  <c r="BA130" i="1"/>
  <c r="M131" i="1"/>
  <c r="BA131" i="1"/>
  <c r="M132" i="1"/>
  <c r="BA132" i="1"/>
  <c r="M133" i="1"/>
  <c r="BA133" i="1"/>
  <c r="M134" i="1"/>
  <c r="BA134" i="1"/>
  <c r="M135" i="1"/>
  <c r="BA135" i="1"/>
  <c r="M136" i="1"/>
  <c r="BA136" i="1"/>
  <c r="M137" i="1"/>
  <c r="BA137" i="1"/>
  <c r="M138" i="1"/>
  <c r="BA138" i="1"/>
  <c r="M139" i="1"/>
  <c r="BA139" i="1"/>
  <c r="M140" i="1"/>
  <c r="BA140" i="1"/>
  <c r="M141" i="1"/>
  <c r="BA141" i="1"/>
  <c r="M142" i="1"/>
  <c r="BA142" i="1"/>
  <c r="M143" i="1"/>
  <c r="BA143" i="1"/>
  <c r="M144" i="1"/>
  <c r="BA144" i="1"/>
  <c r="M148" i="1"/>
  <c r="M149" i="1"/>
  <c r="M150" i="1"/>
  <c r="M151" i="1"/>
  <c r="M152" i="1"/>
  <c r="M153" i="1"/>
  <c r="M154" i="1"/>
  <c r="M155" i="1"/>
  <c r="M156" i="1"/>
  <c r="M157" i="1"/>
  <c r="A3" i="2"/>
  <c r="B3" i="2"/>
  <c r="C3" i="2"/>
  <c r="D3" i="2"/>
  <c r="B4" i="2"/>
  <c r="C5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20" i="2"/>
  <c r="C20" i="2"/>
  <c r="D20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1" i="2"/>
  <c r="C31" i="2"/>
  <c r="B32" i="2"/>
  <c r="C32" i="2"/>
  <c r="B35" i="2"/>
  <c r="C35" i="2"/>
  <c r="D35" i="2"/>
  <c r="B36" i="2"/>
  <c r="C36" i="2"/>
  <c r="D36" i="2"/>
  <c r="B37" i="2"/>
  <c r="C37" i="2"/>
  <c r="D37" i="2"/>
  <c r="B38" i="2"/>
  <c r="C38" i="2"/>
  <c r="D38" i="2"/>
  <c r="D47" i="2" s="1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</calcChain>
</file>

<file path=xl/sharedStrings.xml><?xml version="1.0" encoding="utf-8"?>
<sst xmlns="http://schemas.openxmlformats.org/spreadsheetml/2006/main" count="634" uniqueCount="295">
  <si>
    <t>TOTAL UNITS (minimum of 45):</t>
  </si>
  <si>
    <t>TOTAL MSandE Grad Course Units (minimum of 27):</t>
  </si>
  <si>
    <t>&gt;2</t>
  </si>
  <si>
    <t>DECISION ANALYSIS SEMINAR</t>
  </si>
  <si>
    <t xml:space="preserve"> 455</t>
  </si>
  <si>
    <t>DECISION MAKING IN ORGANIZATIONS I: HOW TO AVOID TRAPS, CLARIFY FRAMES, AND IMPROVE PROCESS</t>
  </si>
  <si>
    <t xml:space="preserve"> 277</t>
  </si>
  <si>
    <t xml:space="preserve"> 278</t>
  </si>
  <si>
    <t>STARTUP GLOBALIZATION</t>
  </si>
  <si>
    <t>INNOVATION STRATEGY</t>
  </si>
  <si>
    <t xml:space="preserve"> 280</t>
  </si>
  <si>
    <t>ORGANIZATIONAL BEHAVIOR &amp; MGMT</t>
  </si>
  <si>
    <t xml:space="preserve"> 281</t>
  </si>
  <si>
    <t>ECONOMIC ANALYSIS OF MARKET ORGANIZATIONS</t>
  </si>
  <si>
    <t xml:space="preserve"> 348</t>
  </si>
  <si>
    <t>MANAGEMENT OF TECHNOLOGY VENTURES</t>
  </si>
  <si>
    <t>140B</t>
  </si>
  <si>
    <t>140C</t>
  </si>
  <si>
    <t>Course Description</t>
  </si>
  <si>
    <t>Name:</t>
  </si>
  <si>
    <t>Phone:</t>
  </si>
  <si>
    <t>Email:</t>
  </si>
  <si>
    <t>Area of Concentration</t>
  </si>
  <si>
    <t>Errors</t>
  </si>
  <si>
    <t>Description</t>
  </si>
  <si>
    <t>Student ID:</t>
  </si>
  <si>
    <t>TRANSPORTATION SYSTEMS AND URBAN DEVELOPMENT</t>
  </si>
  <si>
    <t xml:space="preserve"> 197</t>
  </si>
  <si>
    <t>ETHICS AND PUBLIC POLICY</t>
  </si>
  <si>
    <t xml:space="preserve"> 201</t>
  </si>
  <si>
    <t>DYNAMIC SYSTEMS</t>
  </si>
  <si>
    <t xml:space="preserve"> 206</t>
  </si>
  <si>
    <t xml:space="preserve"> 247G</t>
  </si>
  <si>
    <t>INTERNATIONAL FINANCE</t>
  </si>
  <si>
    <t>DECISION MAKING IN ORGANIZATIONS IV: PROFESSIONAL DECISION CONSULTING</t>
  </si>
  <si>
    <t>INTERDISCIPLINARY SEMINAR ON CONFLICT AND DISPUTE</t>
  </si>
  <si>
    <t xml:space="preserve"> 464</t>
  </si>
  <si>
    <t>GLOBAL PROJECT COORDINATION</t>
  </si>
  <si>
    <t xml:space="preserve"> 472</t>
  </si>
  <si>
    <t>ENTREPRENEURIAL THOUGHT LEADER</t>
  </si>
  <si>
    <t xml:space="preserve"> 473</t>
  </si>
  <si>
    <t>STRATEGY MODELING PROJECTS</t>
  </si>
  <si>
    <t xml:space="preserve"> 474</t>
  </si>
  <si>
    <t>BUSINESS &amp; ENVIRONM ISSUES</t>
  </si>
  <si>
    <t>TOPICS IN INTERNATIONAL TECHNOLOGY MANAGEMENT</t>
  </si>
  <si>
    <t>Calc for MSandE Grad Units</t>
  </si>
  <si>
    <t>DECISION MAKING IN ORGANIZATIONS II: HOW TO STRUCTURE, MODEL, AND ANALYZE</t>
  </si>
  <si>
    <t xml:space="preserve"> 457</t>
  </si>
  <si>
    <t>DECISION MAKING IN ORGANIZATIONS III: DECISION ANALYSIS PROJECTS</t>
  </si>
  <si>
    <t xml:space="preserve"> 458</t>
  </si>
  <si>
    <t>LINEAR &amp;NONLINEAR OPTIMIZATION</t>
  </si>
  <si>
    <t xml:space="preserve"> 212</t>
  </si>
  <si>
    <t xml:space="preserve"> 130</t>
  </si>
  <si>
    <t>INFORMATION SYSTEMS</t>
  </si>
  <si>
    <t xml:space="preserve"> 131</t>
  </si>
  <si>
    <t>INFORMATION SCIENCE</t>
  </si>
  <si>
    <t xml:space="preserve"> 140</t>
  </si>
  <si>
    <t>INDUSTRIAL ACCOUNTNG</t>
  </si>
  <si>
    <t xml:space="preserve"> 152</t>
  </si>
  <si>
    <t>INTRO TO DECISION ANALYSIS</t>
  </si>
  <si>
    <t xml:space="preserve"> 160</t>
  </si>
  <si>
    <t>PRODUCTION &amp; OPERATING SYSTEMS</t>
  </si>
  <si>
    <t xml:space="preserve"> 164</t>
  </si>
  <si>
    <t>DOCTORAL RESEARCH SEMINAR IN WORK, TECH, AND ORGS</t>
  </si>
  <si>
    <t xml:space="preserve"> 383</t>
  </si>
  <si>
    <t>ETHNOGRAPHIC RESEARCH</t>
  </si>
  <si>
    <t>GEOGRAPHICALLY DISTRIBUTED WORK</t>
  </si>
  <si>
    <t xml:space="preserve"> 408</t>
  </si>
  <si>
    <t>DIRECTED READING &amp; RESEARCH</t>
  </si>
  <si>
    <t xml:space="preserve"> 411</t>
  </si>
  <si>
    <t>MATHEMATICAL PROGRAMMING SEM</t>
  </si>
  <si>
    <t xml:space="preserve"> 412</t>
  </si>
  <si>
    <t>AFFILIATE PROJECT COURSE</t>
  </si>
  <si>
    <t>NEURO-DYNAMIC PROGRAMMING AND REINFORCEMENT LEARNING</t>
  </si>
  <si>
    <t xml:space="preserve"> 341</t>
  </si>
  <si>
    <t>ADVANCED ECONOMIC ANALYSIS</t>
  </si>
  <si>
    <t xml:space="preserve"> 342</t>
  </si>
  <si>
    <t>SUPPLY CHAIN MANAGEMENT</t>
  </si>
  <si>
    <t xml:space="preserve"> 264</t>
  </si>
  <si>
    <t>Core</t>
  </si>
  <si>
    <t>Concentration</t>
  </si>
  <si>
    <t>Elective</t>
  </si>
  <si>
    <t>Units</t>
  </si>
  <si>
    <t>Concen</t>
  </si>
  <si>
    <t>Project</t>
  </si>
  <si>
    <t>MGMT &amp; ORG OF RES &amp; DEVELOPMNT</t>
  </si>
  <si>
    <t>TECHNOLOGY &amp; WORK</t>
  </si>
  <si>
    <t xml:space="preserve"> 290</t>
  </si>
  <si>
    <t>PUB POLCY ANALYSIS</t>
  </si>
  <si>
    <t xml:space="preserve"> 292</t>
  </si>
  <si>
    <t>HEALTH POLICY MODELING</t>
  </si>
  <si>
    <t xml:space="preserve"> 293</t>
  </si>
  <si>
    <t>TECH, POLICY, AND MGMT IN NEWLY-INDUSTRIALIZING COUNTRIES</t>
  </si>
  <si>
    <t xml:space="preserve"> 299</t>
  </si>
  <si>
    <t>MGMT OF NEW PRODUCT DEVELOPMNT</t>
  </si>
  <si>
    <t xml:space="preserve"> 267</t>
  </si>
  <si>
    <t>Area of Concentration:</t>
  </si>
  <si>
    <t xml:space="preserve">(one project or two </t>
  </si>
  <si>
    <t>integrated project courses)</t>
  </si>
  <si>
    <t>Core Requirements</t>
  </si>
  <si>
    <t xml:space="preserve"> 268</t>
  </si>
  <si>
    <t>MANUFACTURING STRATEGY</t>
  </si>
  <si>
    <t xml:space="preserve"> 269</t>
  </si>
  <si>
    <t>STRATEGY IN TECHNOLOGY-BASED COMPANIES</t>
  </si>
  <si>
    <t xml:space="preserve"> 271</t>
  </si>
  <si>
    <t>GLOBAL ENTREPRENEURIAL MKTG</t>
  </si>
  <si>
    <t xml:space="preserve"> 272</t>
  </si>
  <si>
    <t>ENTREPRENEURIAL FINANCE</t>
  </si>
  <si>
    <t xml:space="preserve"> 273</t>
  </si>
  <si>
    <t>TECHNOLOGY VENTURE FORMATION</t>
  </si>
  <si>
    <t xml:space="preserve"> 274</t>
  </si>
  <si>
    <t>BLDG DYNAMIC ENTREPRENEUR ORGS</t>
  </si>
  <si>
    <t xml:space="preserve"> 276</t>
  </si>
  <si>
    <t>MANAGING TO IPO</t>
  </si>
  <si>
    <t>15 units of engineering science</t>
  </si>
  <si>
    <t>One Course in probability</t>
  </si>
  <si>
    <t>Course</t>
  </si>
  <si>
    <t>Title</t>
  </si>
  <si>
    <t>INTEGER PROGR/COMBIN OPTIMIZ</t>
  </si>
  <si>
    <t xml:space="preserve"> 321</t>
  </si>
  <si>
    <t>STOCHASTIC SYSTEMS</t>
  </si>
  <si>
    <t>STOCHASTIC CALCULUS AND CONTROL</t>
  </si>
  <si>
    <t>STOCHASTIC SIMULATION</t>
  </si>
  <si>
    <t xml:space="preserve"> 334</t>
  </si>
  <si>
    <t>NETWORK ARCHICT &amp; PERF ENGR</t>
  </si>
  <si>
    <t xml:space="preserve"> 335</t>
  </si>
  <si>
    <t>QUEUING SYSTEMS AND NETWORKS</t>
  </si>
  <si>
    <t>INFLUENCE DIAGRAMS &amp; PROB NTWK</t>
  </si>
  <si>
    <t xml:space="preserve"> 361</t>
  </si>
  <si>
    <t>SUPPLY-CHAIN OPTIMIZATION</t>
  </si>
  <si>
    <t xml:space="preserve"> 362</t>
  </si>
  <si>
    <t>ADV MODELS IN PROD/OPERATIONS</t>
  </si>
  <si>
    <t>ENERGY POLICY ANALYSIS</t>
  </si>
  <si>
    <t xml:space="preserve"> 245G</t>
  </si>
  <si>
    <t>INTRODUCTION TO FINANCE</t>
  </si>
  <si>
    <t>GROWTH AND DEVELOPMENT</t>
  </si>
  <si>
    <t xml:space="preserve"> 250A</t>
  </si>
  <si>
    <t>ADVANCED MODELS IN MGMT SCIENCE</t>
  </si>
  <si>
    <t xml:space="preserve"> 364</t>
  </si>
  <si>
    <t>Subject</t>
  </si>
  <si>
    <t>Catalog Nbr</t>
  </si>
  <si>
    <t>ENGR</t>
  </si>
  <si>
    <t>140A</t>
  </si>
  <si>
    <t>MS&amp;E Master's Program Proposal</t>
  </si>
  <si>
    <t>Student Name</t>
  </si>
  <si>
    <t>Phone</t>
  </si>
  <si>
    <t>MS&amp;E</t>
  </si>
  <si>
    <t xml:space="preserve"> 101</t>
  </si>
  <si>
    <t>UNDERGRADUATE DIRECTED STUDY</t>
  </si>
  <si>
    <t xml:space="preserve"> 107</t>
  </si>
  <si>
    <t>MEDICAL MODELING WORKSHOP</t>
  </si>
  <si>
    <t>REENGINEERING THE MANUFACTURING FUNCTION</t>
  </si>
  <si>
    <t xml:space="preserve"> 266</t>
  </si>
  <si>
    <t>Date: ____________________</t>
  </si>
  <si>
    <t>Optional Academic Advisor Approval</t>
  </si>
  <si>
    <t>Required MS&amp;E Student Services Approval</t>
  </si>
  <si>
    <t>Student ID</t>
  </si>
  <si>
    <t>INNOVATION AND STRATEGIC CHANGE</t>
  </si>
  <si>
    <t>STRATEGY AND ORGS DOCTORAL RESEARCH SEMINAR</t>
  </si>
  <si>
    <t>DOCTORAL RESEARCH SEMINAR IN ORGANIZATIONS</t>
  </si>
  <si>
    <t>VECTOR SPACE OPTIMIZATION</t>
  </si>
  <si>
    <t>SEMIDEFINITE PROGRAMMING</t>
  </si>
  <si>
    <t xml:space="preserve"> 315</t>
  </si>
  <si>
    <t>LINEARLY CONSTRAINED OPTIMIZ</t>
  </si>
  <si>
    <t>LINEAR COMPLEMENTARITY</t>
  </si>
  <si>
    <t>LARGE-SCALE NUMERICAL OPTIMIZATION</t>
  </si>
  <si>
    <t xml:space="preserve"> 319</t>
  </si>
  <si>
    <t>INVESTMENT SCIENCE FRONTIERS</t>
  </si>
  <si>
    <t xml:space="preserve"> 350</t>
  </si>
  <si>
    <t>PHD SEMINAR IN RISK ANALYSIS</t>
  </si>
  <si>
    <t xml:space="preserve"> 351</t>
  </si>
  <si>
    <t>DYNAMIC PROG &amp; STOCH CONTROL</t>
  </si>
  <si>
    <t xml:space="preserve"> 352</t>
  </si>
  <si>
    <t>DECISION ANALYSIS II</t>
  </si>
  <si>
    <t xml:space="preserve"> 353</t>
  </si>
  <si>
    <t>DECISION ANALYSIS III</t>
  </si>
  <si>
    <t xml:space="preserve"> 355</t>
  </si>
  <si>
    <t>ADVANCED INVESTMENT SCIENCE</t>
  </si>
  <si>
    <t xml:space="preserve"> 345</t>
  </si>
  <si>
    <t>ADV TOPICS IN FINANCIAL ENGR</t>
  </si>
  <si>
    <t xml:space="preserve"> 220</t>
  </si>
  <si>
    <t xml:space="preserve"> 221</t>
  </si>
  <si>
    <t>STOCHASTIC MODELING</t>
  </si>
  <si>
    <t xml:space="preserve"> 223</t>
  </si>
  <si>
    <t>SIMULATION</t>
  </si>
  <si>
    <t>INTRODUCTION TO COMPUTER NETWORKS</t>
  </si>
  <si>
    <t xml:space="preserve"> 232</t>
  </si>
  <si>
    <t>INFO TECH &amp; SUPPLY CHAIN MGMT</t>
  </si>
  <si>
    <t xml:space="preserve"> 234</t>
  </si>
  <si>
    <t>ORGANIZATIONS AND INFO SYSTEMS</t>
  </si>
  <si>
    <t xml:space="preserve"> 236</t>
  </si>
  <si>
    <t>PRICING TELECOMM PROD &amp; SERV</t>
  </si>
  <si>
    <t>(minimum of five courses)</t>
  </si>
  <si>
    <t>(three approved courses)</t>
  </si>
  <si>
    <t>IP</t>
  </si>
  <si>
    <t>P</t>
  </si>
  <si>
    <t xml:space="preserve"> 247S</t>
  </si>
  <si>
    <t>INTERNATIONAL INVESTMENTS</t>
  </si>
  <si>
    <t xml:space="preserve"> 248</t>
  </si>
  <si>
    <t>ECONOMICS OF NATURAL RESOURCES</t>
  </si>
  <si>
    <t xml:space="preserve"> 249</t>
  </si>
  <si>
    <t>ART OF MATHEMATICAL MODELING</t>
  </si>
  <si>
    <t xml:space="preserve"> 207</t>
  </si>
  <si>
    <t xml:space="preserve"> 208</t>
  </si>
  <si>
    <t>PRACTICAL TRAINING</t>
  </si>
  <si>
    <t xml:space="preserve"> 211</t>
  </si>
  <si>
    <t xml:space="preserve"> 446</t>
  </si>
  <si>
    <t>POLICY &amp; ECONOMICS RESEARCH</t>
  </si>
  <si>
    <t>DECISION SYSTEMS I: PROFESSIONAL SECRETS AND TRICKS OF THE TRADE</t>
  </si>
  <si>
    <t xml:space="preserve"> 452</t>
  </si>
  <si>
    <t>DECISION SYSTEMS II: BUSINESS, CONSUMER, AND MEDICAL APPLICATIONS</t>
  </si>
  <si>
    <t xml:space="preserve"> 454</t>
  </si>
  <si>
    <t>E-Mail</t>
  </si>
  <si>
    <t>Date Prepared</t>
  </si>
  <si>
    <t>Backround Requirements</t>
  </si>
  <si>
    <t>Institution</t>
  </si>
  <si>
    <t>One Year of Calculus</t>
  </si>
  <si>
    <t>One Course in computer programming</t>
  </si>
  <si>
    <t>INTERACTIVE MANAGEMENT SCIENCE</t>
  </si>
  <si>
    <t xml:space="preserve"> 108</t>
  </si>
  <si>
    <t>SENIOR PROJECT</t>
  </si>
  <si>
    <t xml:space="preserve"> 120</t>
  </si>
  <si>
    <t>PROBABILISTIC ANALYSIS</t>
  </si>
  <si>
    <t xml:space="preserve"> 121</t>
  </si>
  <si>
    <t>INTRO TO STOCHASTIC MODELING</t>
  </si>
  <si>
    <t>Project Courses</t>
  </si>
  <si>
    <t>Electives</t>
  </si>
  <si>
    <t>Signature: __________________________________________</t>
  </si>
  <si>
    <t>VOLUNTARY SOCIAL SYSTEMS</t>
  </si>
  <si>
    <t>OPTIMAL DYNAMIC SYSTEMS</t>
  </si>
  <si>
    <t xml:space="preserve"> 310</t>
  </si>
  <si>
    <t>LINEAR PROGRAMMING</t>
  </si>
  <si>
    <t xml:space="preserve"> 311</t>
  </si>
  <si>
    <t>OPTIMIZATION</t>
  </si>
  <si>
    <t>OPTIMIZATIONS ALGORITHIMS</t>
  </si>
  <si>
    <t xml:space="preserve"> 313</t>
  </si>
  <si>
    <t>ADVANCED MODELS PROD &amp; DIS</t>
  </si>
  <si>
    <t xml:space="preserve"> 237</t>
  </si>
  <si>
    <t>WORLDWIDE TELECOMMUNICATIONS</t>
  </si>
  <si>
    <t xml:space="preserve"> 240</t>
  </si>
  <si>
    <t xml:space="preserve"> 241</t>
  </si>
  <si>
    <t>ECONOMIC ANALYSIS</t>
  </si>
  <si>
    <t xml:space="preserve"> 242</t>
  </si>
  <si>
    <t>INVESTMENT SCIENCE</t>
  </si>
  <si>
    <t>242S</t>
  </si>
  <si>
    <t>ENGINEERING RISK ANALYSIS</t>
  </si>
  <si>
    <t xml:space="preserve"> 250B</t>
  </si>
  <si>
    <t>ENGR RISK ANALYSIS PROJECT</t>
  </si>
  <si>
    <t xml:space="preserve"> 251</t>
  </si>
  <si>
    <t>STOCHASTIC DECISION MODELS</t>
  </si>
  <si>
    <t xml:space="preserve"> 252</t>
  </si>
  <si>
    <t>DECISION ANALYSIS I</t>
  </si>
  <si>
    <t xml:space="preserve"> 254</t>
  </si>
  <si>
    <t>THE ETHICAL ANALYST</t>
  </si>
  <si>
    <t xml:space="preserve"> 260</t>
  </si>
  <si>
    <t xml:space="preserve"> 261</t>
  </si>
  <si>
    <t>INVENTORY CONTROL</t>
  </si>
  <si>
    <t xml:space="preserve"> 262</t>
  </si>
  <si>
    <t>CONTEXTUAL AND ORGANIZATIONAL ISSUES IN HUMAN-COMPUTER INTERACTION</t>
  </si>
  <si>
    <t xml:space="preserve"> 444</t>
  </si>
  <si>
    <t>INVESTMENT PRACTICE</t>
  </si>
  <si>
    <t>MANUFACTURING SYSTEMS DESIGN</t>
  </si>
  <si>
    <t xml:space="preserve"> 169</t>
  </si>
  <si>
    <t>QUALITY ASSURANCE AND CONTROL</t>
  </si>
  <si>
    <t xml:space="preserve"> 180</t>
  </si>
  <si>
    <t>ORGANIZATIONS: THEORY &amp; MGMT</t>
  </si>
  <si>
    <t xml:space="preserve"> 181</t>
  </si>
  <si>
    <t>ISSUES IN TECHNOLOGY &amp; WORK</t>
  </si>
  <si>
    <t>WORK, TECHNOLOGY, AND SOCIETY</t>
  </si>
  <si>
    <t xml:space="preserve"> 193</t>
  </si>
  <si>
    <t>TECHNOLOGY IN NAT'L SECURITY</t>
  </si>
  <si>
    <t>INNOVATIONS IN MANUFACTURING</t>
  </si>
  <si>
    <t>INTRO TO HIGH TECH ENTREPRENEURSHIP</t>
  </si>
  <si>
    <t>NETWORK AND INTEGER OPTIMIZATION</t>
  </si>
  <si>
    <t>INTRO TO DECISION MAKING IN ORGS</t>
  </si>
  <si>
    <t>TECHNOLOGY AND NAT'L SECURITY</t>
  </si>
  <si>
    <t>NETWORK &amp; INTEGER OPTIMIZATION</t>
  </si>
  <si>
    <t>COMBINATORIAL OPTIMIZATION</t>
  </si>
  <si>
    <t>INTERNET-ENABLED SUPPLY CHAINS</t>
  </si>
  <si>
    <t>NEGOTIATION</t>
  </si>
  <si>
    <t>TRANSPORTATION SYS AND URBAN DEV</t>
  </si>
  <si>
    <t>REENGINEERING THE MFG FUNCTION</t>
  </si>
  <si>
    <t>STRATEGY IN TECH-BASED COMPANIES</t>
  </si>
  <si>
    <t>CREATIVITY &amp; INNOVATION IN ORGS</t>
  </si>
  <si>
    <t>TECH, POL, &amp; MGMT IN NEWLY-IND COUNTRIES</t>
  </si>
  <si>
    <t>ECONOMIC ANALYSIS OF MARKET ORGS</t>
  </si>
  <si>
    <t>APPROXIMATE DYNAMIC PROGRAMMING</t>
  </si>
  <si>
    <t>APPLIED INFORMATION ECONOMICS</t>
  </si>
  <si>
    <t>OPT OF UNCERT AND APPS IN FINANCE</t>
  </si>
  <si>
    <t>STRATEGY AND ORGS DOCTORAL RES SEM</t>
  </si>
  <si>
    <t>DOCTORAL RES SEM IN ORGANIZATIONS</t>
  </si>
  <si>
    <t>DOCTORAL RES SEM IN WORK, TECH, &amp; ORGS</t>
  </si>
  <si>
    <t>CONTEXTUAL AND ORG ISSUES IN HCI</t>
  </si>
  <si>
    <t>I/D SEMINAR ON CONFLICT AND DISPUTE</t>
  </si>
  <si>
    <t>TOPICS IN INTL TECHNOLOGY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</si>
</sst>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[&lt;=9999999]###\-####;\(###\)\ ###\-####"/>
  </numFmts>
  <fonts count="18">
    <font>
      <sz val="10"/>
      <name val="Arial"/>
    </font>
    <font>
      <sz val="10"/>
      <name val="Arial"/>
    </font>
    <font>
      <sz val="14"/>
      <name val="Arial"/>
      <family val="2"/>
    </font>
    <font>
      <sz val="10"/>
      <name val="Geneva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8"/>
      <name val="Geneva"/>
    </font>
    <font>
      <b/>
      <sz val="9"/>
      <name val="Geneva"/>
    </font>
    <font>
      <sz val="12"/>
      <name val="Arial"/>
      <family val="2"/>
    </font>
    <font>
      <sz val="9"/>
      <name val="Geneva"/>
    </font>
    <font>
      <sz val="10"/>
      <name val="Arial"/>
      <family val="2"/>
    </font>
    <font>
      <b/>
      <sz val="12"/>
      <name val="Arial"/>
      <family val="2"/>
    </font>
    <font>
      <sz val="12"/>
      <color indexed="72"/>
      <name val="Lucida Grande"/>
    </font>
    <font>
      <i/>
      <sz val="10"/>
      <name val="Arial"/>
      <family val="2"/>
    </font>
    <font>
      <b/>
      <sz val="10"/>
      <name val="Geneva"/>
    </font>
    <font>
      <sz val="12"/>
      <color indexed="10"/>
      <name val="Arial"/>
      <family val="2"/>
    </font>
    <font>
      <sz val="10"/>
      <color indexed="10"/>
      <name val="Arial"/>
      <family val="2"/>
    </font>
    <font>
      <sz val="18"/>
      <color indexed="43"/>
      <name val="Geneva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2" borderId="1" xfId="0" applyNumberFormat="1" applyFill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NumberFormat="1"/>
    <xf numFmtId="0" fontId="0" fillId="0" borderId="7" xfId="0" applyBorder="1" applyAlignment="1">
      <alignment horizontal="left"/>
    </xf>
    <xf numFmtId="14" fontId="0" fillId="0" borderId="6" xfId="0" applyNumberFormat="1" applyBorder="1" applyAlignment="1">
      <alignment horizontal="right"/>
    </xf>
    <xf numFmtId="0" fontId="1" fillId="0" borderId="3" xfId="0" applyFont="1" applyBorder="1"/>
    <xf numFmtId="0" fontId="1" fillId="0" borderId="0" xfId="0" applyFont="1"/>
    <xf numFmtId="0" fontId="10" fillId="0" borderId="0" xfId="0" applyFont="1"/>
    <xf numFmtId="0" fontId="9" fillId="0" borderId="0" xfId="0" applyFont="1" applyBorder="1" applyAlignment="1">
      <alignment horizontal="left"/>
    </xf>
    <xf numFmtId="0" fontId="11" fillId="0" borderId="8" xfId="0" applyFont="1" applyBorder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8" fillId="0" borderId="0" xfId="0" applyFont="1"/>
    <xf numFmtId="0" fontId="8" fillId="0" borderId="8" xfId="0" applyFont="1" applyBorder="1"/>
    <xf numFmtId="0" fontId="11" fillId="0" borderId="8" xfId="0" applyFont="1" applyBorder="1" applyProtection="1">
      <protection locked="0"/>
    </xf>
    <xf numFmtId="0" fontId="8" fillId="0" borderId="0" xfId="0" applyFont="1" applyAlignment="1" applyProtection="1">
      <alignment horizontal="right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0" fontId="11" fillId="0" borderId="8" xfId="0" applyFont="1" applyBorder="1" applyAlignment="1" applyProtection="1">
      <alignment horizontal="center" textRotation="45"/>
      <protection locked="0"/>
    </xf>
    <xf numFmtId="0" fontId="11" fillId="0" borderId="8" xfId="0" applyFont="1" applyBorder="1" applyAlignment="1" applyProtection="1">
      <protection locked="0"/>
    </xf>
    <xf numFmtId="0" fontId="11" fillId="0" borderId="9" xfId="0" applyFont="1" applyBorder="1"/>
    <xf numFmtId="0" fontId="8" fillId="0" borderId="10" xfId="0" applyFont="1" applyBorder="1"/>
    <xf numFmtId="0" fontId="8" fillId="0" borderId="10" xfId="0" applyFont="1" applyBorder="1" applyProtection="1">
      <protection locked="0"/>
    </xf>
    <xf numFmtId="0" fontId="8" fillId="0" borderId="10" xfId="0" applyFont="1" applyBorder="1" applyAlignment="1" applyProtection="1">
      <alignment horizontal="right"/>
      <protection locked="0"/>
    </xf>
    <xf numFmtId="0" fontId="8" fillId="0" borderId="10" xfId="0" applyFont="1" applyBorder="1" applyAlignment="1" applyProtection="1">
      <alignment horizontal="center"/>
      <protection locked="0"/>
    </xf>
    <xf numFmtId="0" fontId="8" fillId="0" borderId="10" xfId="0" applyFont="1" applyBorder="1" applyAlignment="1">
      <alignment horizontal="center"/>
    </xf>
    <xf numFmtId="0" fontId="0" fillId="0" borderId="0" xfId="0" applyBorder="1" applyAlignment="1"/>
    <xf numFmtId="0" fontId="0" fillId="0" borderId="1" xfId="0" applyBorder="1" applyAlignment="1"/>
    <xf numFmtId="49" fontId="13" fillId="2" borderId="5" xfId="0" applyNumberFormat="1" applyFont="1" applyFill="1" applyBorder="1" applyAlignment="1">
      <alignment horizontal="center"/>
    </xf>
    <xf numFmtId="0" fontId="9" fillId="0" borderId="3" xfId="0" applyFont="1" applyBorder="1"/>
    <xf numFmtId="0" fontId="10" fillId="0" borderId="3" xfId="0" applyFont="1" applyBorder="1"/>
    <xf numFmtId="0" fontId="7" fillId="0" borderId="11" xfId="0" applyFont="1" applyBorder="1" applyAlignment="1">
      <alignment horizontal="left"/>
    </xf>
    <xf numFmtId="0" fontId="0" fillId="0" borderId="6" xfId="0" applyBorder="1"/>
    <xf numFmtId="0" fontId="14" fillId="0" borderId="12" xfId="0" applyFont="1" applyBorder="1"/>
    <xf numFmtId="0" fontId="14" fillId="0" borderId="2" xfId="0" applyFont="1" applyBorder="1"/>
    <xf numFmtId="0" fontId="14" fillId="0" borderId="2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0" fillId="0" borderId="4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14" fillId="0" borderId="14" xfId="0" applyFont="1" applyBorder="1"/>
    <xf numFmtId="0" fontId="14" fillId="0" borderId="11" xfId="0" applyFont="1" applyBorder="1" applyAlignment="1">
      <alignment horizontal="left"/>
    </xf>
    <xf numFmtId="0" fontId="14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187" fontId="0" fillId="0" borderId="1" xfId="0" applyNumberFormat="1" applyBorder="1"/>
    <xf numFmtId="0" fontId="14" fillId="0" borderId="8" xfId="0" applyFont="1" applyBorder="1" applyAlignment="1">
      <alignment horizontal="left"/>
    </xf>
    <xf numFmtId="0" fontId="15" fillId="0" borderId="0" xfId="0" applyFont="1"/>
    <xf numFmtId="0" fontId="15" fillId="0" borderId="10" xfId="0" applyFont="1" applyBorder="1"/>
    <xf numFmtId="0" fontId="16" fillId="0" borderId="0" xfId="0" applyFont="1"/>
    <xf numFmtId="0" fontId="4" fillId="0" borderId="0" xfId="0" applyFont="1" applyAlignment="1">
      <alignment horizontal="center"/>
    </xf>
    <xf numFmtId="14" fontId="0" fillId="0" borderId="6" xfId="0" applyNumberFormat="1" applyBorder="1" applyAlignment="1">
      <alignment horizontal="center"/>
    </xf>
    <xf numFmtId="0" fontId="2" fillId="0" borderId="0" xfId="0" applyFont="1" applyBorder="1"/>
    <xf numFmtId="0" fontId="10" fillId="0" borderId="0" xfId="0" applyFont="1" applyBorder="1"/>
    <xf numFmtId="0" fontId="2" fillId="0" borderId="0" xfId="0" applyFont="1" applyBorder="1" applyAlignment="1">
      <alignment horizontal="right"/>
    </xf>
    <xf numFmtId="0" fontId="2" fillId="3" borderId="0" xfId="0" applyFont="1" applyFill="1" applyBorder="1"/>
    <xf numFmtId="187" fontId="2" fillId="3" borderId="0" xfId="0" applyNumberFormat="1" applyFont="1" applyFill="1" applyBorder="1"/>
    <xf numFmtId="0" fontId="5" fillId="3" borderId="0" xfId="1" applyFont="1" applyFill="1" applyBorder="1" applyAlignment="1" applyProtection="1"/>
    <xf numFmtId="0" fontId="8" fillId="3" borderId="0" xfId="0" applyFont="1" applyFill="1" applyAlignment="1" applyProtection="1">
      <alignment horizontal="center"/>
      <protection locked="0"/>
    </xf>
    <xf numFmtId="0" fontId="8" fillId="3" borderId="10" xfId="0" applyFont="1" applyFill="1" applyBorder="1" applyAlignment="1" applyProtection="1">
      <alignment horizontal="center"/>
      <protection locked="0"/>
    </xf>
    <xf numFmtId="0" fontId="8" fillId="3" borderId="0" xfId="0" applyFont="1" applyFill="1" applyProtection="1">
      <protection locked="0"/>
    </xf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8" fillId="3" borderId="10" xfId="0" applyFont="1" applyFill="1" applyBorder="1" applyProtection="1">
      <protection locked="0"/>
    </xf>
    <xf numFmtId="0" fontId="8" fillId="3" borderId="10" xfId="0" applyFont="1" applyFill="1" applyBorder="1"/>
    <xf numFmtId="0" fontId="8" fillId="3" borderId="10" xfId="0" applyFont="1" applyFill="1" applyBorder="1" applyAlignment="1">
      <alignment horizontal="center"/>
    </xf>
    <xf numFmtId="0" fontId="11" fillId="0" borderId="0" xfId="0" applyFont="1"/>
    <xf numFmtId="0" fontId="8" fillId="0" borderId="0" xfId="0" applyFont="1" applyBorder="1" applyAlignment="1">
      <alignment horizontal="center"/>
    </xf>
    <xf numFmtId="0" fontId="8" fillId="0" borderId="0" xfId="0" applyFont="1" applyBorder="1"/>
    <xf numFmtId="0" fontId="1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CheckBox" fmlaLink="#REF!" lockText="1" noThreeD="1"/>
</file>

<file path=xl/ctrlProps/ctrlProp3.xml><?xml version="1.0" encoding="utf-8"?>
<formControlPr xmlns="http://schemas.microsoft.com/office/spreadsheetml/2009/9/main" objectType="CheckBox" fmlaLink="#REF!" lockText="1" noThreeD="1"/>
</file>

<file path=xl/ctrlProps/ctrlProp4.xml><?xml version="1.0" encoding="utf-8"?>
<formControlPr xmlns="http://schemas.microsoft.com/office/spreadsheetml/2009/9/main" objectType="CheckBox" fmlaLink="$J$3" lockText="1" noThreeD="1"/>
</file>

<file path=xl/ctrlProps/ctrlProp5.xml><?xml version="1.0" encoding="utf-8"?>
<formControlPr xmlns="http://schemas.microsoft.com/office/spreadsheetml/2009/9/main" objectType="CheckBox" fmlaLink="$J$4" lockText="1" noThreeD="1"/>
</file>

<file path=xl/ctrlProps/ctrlProp6.xml><?xml version="1.0" encoding="utf-8"?>
<formControlPr xmlns="http://schemas.microsoft.com/office/spreadsheetml/2009/9/main" objectType="CheckBox" fmlaLink="$J$5" lockText="1" noThreeD="1"/>
</file>

<file path=xl/ctrlProps/ctrlProp7.xml><?xml version="1.0" encoding="utf-8"?>
<formControlPr xmlns="http://schemas.microsoft.com/office/spreadsheetml/2009/9/main" objectType="CheckBox" fmlaLink="$J$8" lockText="1" noThreeD="1"/>
</file>

<file path=xl/ctrlProps/ctrlProp8.xml><?xml version="1.0" encoding="utf-8"?>
<formControlPr xmlns="http://schemas.microsoft.com/office/spreadsheetml/2009/9/main" objectType="CheckBox" fmlaLink="$J$10" lockText="1" noThreeD="1"/>
</file>

<file path=xl/ctrlProps/ctrlProp9.xml><?xml version="1.0" encoding="utf-8"?>
<formControlPr xmlns="http://schemas.microsoft.com/office/spreadsheetml/2009/9/main" objectType="CheckBox" fmlaLink="$J$11" lockText="1" noThreeD="1"/>
</file>

<file path=xl/ctrlProps/ctrlProp10.xml><?xml version="1.0" encoding="utf-8"?>
<formControlPr xmlns="http://schemas.microsoft.com/office/spreadsheetml/2009/9/main" objectType="CheckBox" fmlaLink="$J$12" lockText="1" noThreeD="1"/>
</file>

<file path=xl/ctrlProps/ctrlProp11.xml><?xml version="1.0" encoding="utf-8"?>
<formControlPr xmlns="http://schemas.microsoft.com/office/spreadsheetml/2009/9/main" objectType="CheckBox" fmlaLink="$J$2" lockText="1" noThreeD="1"/>
</file>

<file path=xl/ctrlProps/ctrlProp12.xml><?xml version="1.0" encoding="utf-8"?>
<formControlPr xmlns="http://schemas.microsoft.com/office/spreadsheetml/2009/9/main" objectType="CheckBox" fmlaLink="$J$13" lockText="1" noThreeD="1"/>
</file>

<file path=xl/ctrlProps/ctrlProp13.xml><?xml version="1.0" encoding="utf-8"?>
<formControlPr xmlns="http://schemas.microsoft.com/office/spreadsheetml/2009/9/main" objectType="CheckBox" fmlaLink="$J$15" lockText="1" noThreeD="1"/>
</file>

<file path=xl/ctrlProps/ctrlProp14.xml><?xml version="1.0" encoding="utf-8"?>
<formControlPr xmlns="http://schemas.microsoft.com/office/spreadsheetml/2009/9/main" objectType="CheckBox" fmlaLink="$J$17" lockText="1" noThreeD="1"/>
</file>

<file path=xl/ctrlProps/ctrlProp15.xml><?xml version="1.0" encoding="utf-8"?>
<formControlPr xmlns="http://schemas.microsoft.com/office/spreadsheetml/2009/9/main" objectType="CheckBox" fmlaLink="$J$19" lockText="1" noThreeD="1"/>
</file>

<file path=xl/ctrlProps/ctrlProp16.xml><?xml version="1.0" encoding="utf-8"?>
<formControlPr xmlns="http://schemas.microsoft.com/office/spreadsheetml/2009/9/main" objectType="CheckBox" fmlaLink="$J$20" lockText="1" noThreeD="1"/>
</file>

<file path=xl/ctrlProps/ctrlProp17.xml><?xml version="1.0" encoding="utf-8"?>
<formControlPr xmlns="http://schemas.microsoft.com/office/spreadsheetml/2009/9/main" objectType="CheckBox" fmlaLink="$J$21" lockText="1" noThreeD="1"/>
</file>

<file path=xl/ctrlProps/ctrlProp18.xml><?xml version="1.0" encoding="utf-8"?>
<formControlPr xmlns="http://schemas.microsoft.com/office/spreadsheetml/2009/9/main" objectType="CheckBox" fmlaLink="$J$22" lockText="1" noThreeD="1"/>
</file>

<file path=xl/ctrlProps/ctrlProp19.xml><?xml version="1.0" encoding="utf-8"?>
<formControlPr xmlns="http://schemas.microsoft.com/office/spreadsheetml/2009/9/main" objectType="CheckBox" fmlaLink="$J$23" lockText="1" noThreeD="1"/>
</file>

<file path=xl/ctrlProps/ctrlProp20.xml><?xml version="1.0" encoding="utf-8"?>
<formControlPr xmlns="http://schemas.microsoft.com/office/spreadsheetml/2009/9/main" objectType="CheckBox" fmlaLink="$J$24" lockText="1" noThreeD="1"/>
</file>

<file path=xl/ctrlProps/ctrlProp21.xml><?xml version="1.0" encoding="utf-8"?>
<formControlPr xmlns="http://schemas.microsoft.com/office/spreadsheetml/2009/9/main" objectType="CheckBox" fmlaLink="$J$25" lockText="1" noThreeD="1"/>
</file>

<file path=xl/ctrlProps/ctrlProp22.xml><?xml version="1.0" encoding="utf-8"?>
<formControlPr xmlns="http://schemas.microsoft.com/office/spreadsheetml/2009/9/main" objectType="CheckBox" fmlaLink="$J$26" lockText="1" noThreeD="1"/>
</file>

<file path=xl/ctrlProps/ctrlProp23.xml><?xml version="1.0" encoding="utf-8"?>
<formControlPr xmlns="http://schemas.microsoft.com/office/spreadsheetml/2009/9/main" objectType="CheckBox" fmlaLink="#REF!" lockText="1" noThreeD="1"/>
</file>

<file path=xl/ctrlProps/ctrlProp24.xml><?xml version="1.0" encoding="utf-8"?>
<formControlPr xmlns="http://schemas.microsoft.com/office/spreadsheetml/2009/9/main" objectType="CheckBox" fmlaLink="$J$28" lockText="1" noThreeD="1"/>
</file>

<file path=xl/ctrlProps/ctrlProp25.xml><?xml version="1.0" encoding="utf-8"?>
<formControlPr xmlns="http://schemas.microsoft.com/office/spreadsheetml/2009/9/main" objectType="CheckBox" fmlaLink="$J$27" lockText="1" noThreeD="1"/>
</file>

<file path=xl/ctrlProps/ctrlProp26.xml><?xml version="1.0" encoding="utf-8"?>
<formControlPr xmlns="http://schemas.microsoft.com/office/spreadsheetml/2009/9/main" objectType="CheckBox" fmlaLink="$J$32" lockText="1" noThreeD="1"/>
</file>

<file path=xl/ctrlProps/ctrlProp27.xml><?xml version="1.0" encoding="utf-8"?>
<formControlPr xmlns="http://schemas.microsoft.com/office/spreadsheetml/2009/9/main" objectType="CheckBox" fmlaLink="$J$30" lockText="1" noThreeD="1"/>
</file>

<file path=xl/ctrlProps/ctrlProp28.xml><?xml version="1.0" encoding="utf-8"?>
<formControlPr xmlns="http://schemas.microsoft.com/office/spreadsheetml/2009/9/main" objectType="CheckBox" fmlaLink="$J$36" lockText="1" noThreeD="1"/>
</file>

<file path=xl/ctrlProps/ctrlProp29.xml><?xml version="1.0" encoding="utf-8"?>
<formControlPr xmlns="http://schemas.microsoft.com/office/spreadsheetml/2009/9/main" objectType="CheckBox" fmlaLink="$J$40" lockText="1" noThreeD="1"/>
</file>

<file path=xl/ctrlProps/ctrlProp30.xml><?xml version="1.0" encoding="utf-8"?>
<formControlPr xmlns="http://schemas.microsoft.com/office/spreadsheetml/2009/9/main" objectType="CheckBox" fmlaLink="$J$43" lockText="1" noThreeD="1"/>
</file>

<file path=xl/ctrlProps/ctrlProp31.xml><?xml version="1.0" encoding="utf-8"?>
<formControlPr xmlns="http://schemas.microsoft.com/office/spreadsheetml/2009/9/main" objectType="CheckBox" fmlaLink="$J$46" lockText="1" noThreeD="1"/>
</file>

<file path=xl/ctrlProps/ctrlProp32.xml><?xml version="1.0" encoding="utf-8"?>
<formControlPr xmlns="http://schemas.microsoft.com/office/spreadsheetml/2009/9/main" objectType="CheckBox" fmlaLink="$J$44" lockText="1" noThreeD="1"/>
</file>

<file path=xl/ctrlProps/ctrlProp33.xml><?xml version="1.0" encoding="utf-8"?>
<formControlPr xmlns="http://schemas.microsoft.com/office/spreadsheetml/2009/9/main" objectType="CheckBox" fmlaLink="$J$37" lockText="1" noThreeD="1"/>
</file>

<file path=xl/ctrlProps/ctrlProp34.xml><?xml version="1.0" encoding="utf-8"?>
<formControlPr xmlns="http://schemas.microsoft.com/office/spreadsheetml/2009/9/main" objectType="CheckBox" fmlaLink="$J$33" lockText="1" noThreeD="1"/>
</file>

<file path=xl/ctrlProps/ctrlProp35.xml><?xml version="1.0" encoding="utf-8"?>
<formControlPr xmlns="http://schemas.microsoft.com/office/spreadsheetml/2009/9/main" objectType="CheckBox" fmlaLink="$J$29" lockText="1" noThreeD="1"/>
</file>

<file path=xl/ctrlProps/ctrlProp36.xml><?xml version="1.0" encoding="utf-8"?>
<formControlPr xmlns="http://schemas.microsoft.com/office/spreadsheetml/2009/9/main" objectType="CheckBox" fmlaLink="$J$31" lockText="1" noThreeD="1"/>
</file>

<file path=xl/ctrlProps/ctrlProp37.xml><?xml version="1.0" encoding="utf-8"?>
<formControlPr xmlns="http://schemas.microsoft.com/office/spreadsheetml/2009/9/main" objectType="CheckBox" fmlaLink="$J$35" lockText="1" noThreeD="1"/>
</file>

<file path=xl/ctrlProps/ctrlProp38.xml><?xml version="1.0" encoding="utf-8"?>
<formControlPr xmlns="http://schemas.microsoft.com/office/spreadsheetml/2009/9/main" objectType="CheckBox" fmlaLink="$J$38" lockText="1" noThreeD="1"/>
</file>

<file path=xl/ctrlProps/ctrlProp39.xml><?xml version="1.0" encoding="utf-8"?>
<formControlPr xmlns="http://schemas.microsoft.com/office/spreadsheetml/2009/9/main" objectType="CheckBox" fmlaLink="$J$42" lockText="1" noThreeD="1"/>
</file>

<file path=xl/ctrlProps/ctrlProp40.xml><?xml version="1.0" encoding="utf-8"?>
<formControlPr xmlns="http://schemas.microsoft.com/office/spreadsheetml/2009/9/main" objectType="CheckBox" fmlaLink="$J$41" lockText="1" noThreeD="1"/>
</file>

<file path=xl/ctrlProps/ctrlProp41.xml><?xml version="1.0" encoding="utf-8"?>
<formControlPr xmlns="http://schemas.microsoft.com/office/spreadsheetml/2009/9/main" objectType="CheckBox" fmlaLink="$J$45" lockText="1" noThreeD="1"/>
</file>

<file path=xl/ctrlProps/ctrlProp42.xml><?xml version="1.0" encoding="utf-8"?>
<formControlPr xmlns="http://schemas.microsoft.com/office/spreadsheetml/2009/9/main" objectType="CheckBox" fmlaLink="$J$48" lockText="1" noThreeD="1"/>
</file>

<file path=xl/ctrlProps/ctrlProp43.xml><?xml version="1.0" encoding="utf-8"?>
<formControlPr xmlns="http://schemas.microsoft.com/office/spreadsheetml/2009/9/main" objectType="CheckBox" fmlaLink="$J$50" lockText="1" noThreeD="1"/>
</file>

<file path=xl/ctrlProps/ctrlProp44.xml><?xml version="1.0" encoding="utf-8"?>
<formControlPr xmlns="http://schemas.microsoft.com/office/spreadsheetml/2009/9/main" objectType="CheckBox" fmlaLink="$J$52" lockText="1" noThreeD="1"/>
</file>

<file path=xl/ctrlProps/ctrlProp45.xml><?xml version="1.0" encoding="utf-8"?>
<formControlPr xmlns="http://schemas.microsoft.com/office/spreadsheetml/2009/9/main" objectType="CheckBox" fmlaLink="$J$54" lockText="1" noThreeD="1"/>
</file>

<file path=xl/ctrlProps/ctrlProp46.xml><?xml version="1.0" encoding="utf-8"?>
<formControlPr xmlns="http://schemas.microsoft.com/office/spreadsheetml/2009/9/main" objectType="CheckBox" fmlaLink="$J$47" lockText="1" noThreeD="1"/>
</file>

<file path=xl/ctrlProps/ctrlProp47.xml><?xml version="1.0" encoding="utf-8"?>
<formControlPr xmlns="http://schemas.microsoft.com/office/spreadsheetml/2009/9/main" objectType="CheckBox" fmlaLink="$J$49" lockText="1" noThreeD="1"/>
</file>

<file path=xl/ctrlProps/ctrlProp48.xml><?xml version="1.0" encoding="utf-8"?>
<formControlPr xmlns="http://schemas.microsoft.com/office/spreadsheetml/2009/9/main" objectType="CheckBox" fmlaLink="$J$51" lockText="1" noThreeD="1"/>
</file>

<file path=xl/ctrlProps/ctrlProp49.xml><?xml version="1.0" encoding="utf-8"?>
<formControlPr xmlns="http://schemas.microsoft.com/office/spreadsheetml/2009/9/main" objectType="CheckBox" fmlaLink="$J$53" lockText="1" noThreeD="1"/>
</file>

<file path=xl/ctrlProps/ctrlProp50.xml><?xml version="1.0" encoding="utf-8"?>
<formControlPr xmlns="http://schemas.microsoft.com/office/spreadsheetml/2009/9/main" objectType="CheckBox" fmlaLink="$J$67" lockText="1" noThreeD="1"/>
</file>

<file path=xl/ctrlProps/ctrlProp51.xml><?xml version="1.0" encoding="utf-8"?>
<formControlPr xmlns="http://schemas.microsoft.com/office/spreadsheetml/2009/9/main" objectType="CheckBox" fmlaLink="$J$63" lockText="1" noThreeD="1"/>
</file>

<file path=xl/ctrlProps/ctrlProp52.xml><?xml version="1.0" encoding="utf-8"?>
<formControlPr xmlns="http://schemas.microsoft.com/office/spreadsheetml/2009/9/main" objectType="CheckBox" fmlaLink="$J$58" lockText="1" noThreeD="1"/>
</file>

<file path=xl/ctrlProps/ctrlProp53.xml><?xml version="1.0" encoding="utf-8"?>
<formControlPr xmlns="http://schemas.microsoft.com/office/spreadsheetml/2009/9/main" objectType="CheckBox" fmlaLink="$J$56" lockText="1" noThreeD="1"/>
</file>

<file path=xl/ctrlProps/ctrlProp54.xml><?xml version="1.0" encoding="utf-8"?>
<formControlPr xmlns="http://schemas.microsoft.com/office/spreadsheetml/2009/9/main" objectType="CheckBox" fmlaLink="$J$61" lockText="1" noThreeD="1"/>
</file>

<file path=xl/ctrlProps/ctrlProp55.xml><?xml version="1.0" encoding="utf-8"?>
<formControlPr xmlns="http://schemas.microsoft.com/office/spreadsheetml/2009/9/main" objectType="CheckBox" fmlaLink="$J$55" lockText="1" noThreeD="1"/>
</file>

<file path=xl/ctrlProps/ctrlProp56.xml><?xml version="1.0" encoding="utf-8"?>
<formControlPr xmlns="http://schemas.microsoft.com/office/spreadsheetml/2009/9/main" objectType="CheckBox" fmlaLink="$J$59" lockText="1" noThreeD="1"/>
</file>

<file path=xl/ctrlProps/ctrlProp57.xml><?xml version="1.0" encoding="utf-8"?>
<formControlPr xmlns="http://schemas.microsoft.com/office/spreadsheetml/2009/9/main" objectType="CheckBox" fmlaLink="$J$57" lockText="1" noThreeD="1"/>
</file>

<file path=xl/ctrlProps/ctrlProp58.xml><?xml version="1.0" encoding="utf-8"?>
<formControlPr xmlns="http://schemas.microsoft.com/office/spreadsheetml/2009/9/main" objectType="CheckBox" fmlaLink="$J$60" lockText="1" noThreeD="1"/>
</file>

<file path=xl/ctrlProps/ctrlProp59.xml><?xml version="1.0" encoding="utf-8"?>
<formControlPr xmlns="http://schemas.microsoft.com/office/spreadsheetml/2009/9/main" objectType="CheckBox" fmlaLink="$J$64" lockText="1" noThreeD="1"/>
</file>

<file path=xl/ctrlProps/ctrlProp60.xml><?xml version="1.0" encoding="utf-8"?>
<formControlPr xmlns="http://schemas.microsoft.com/office/spreadsheetml/2009/9/main" objectType="CheckBox" fmlaLink="$J$66" lockText="1" noThreeD="1"/>
</file>

<file path=xl/ctrlProps/ctrlProp61.xml><?xml version="1.0" encoding="utf-8"?>
<formControlPr xmlns="http://schemas.microsoft.com/office/spreadsheetml/2009/9/main" objectType="CheckBox" fmlaLink="$J$72" lockText="1" noThreeD="1"/>
</file>

<file path=xl/ctrlProps/ctrlProp62.xml><?xml version="1.0" encoding="utf-8"?>
<formControlPr xmlns="http://schemas.microsoft.com/office/spreadsheetml/2009/9/main" objectType="CheckBox" fmlaLink="$J$65" lockText="1" noThreeD="1"/>
</file>

<file path=xl/ctrlProps/ctrlProp63.xml><?xml version="1.0" encoding="utf-8"?>
<formControlPr xmlns="http://schemas.microsoft.com/office/spreadsheetml/2009/9/main" objectType="CheckBox" fmlaLink="$J$69" lockText="1" noThreeD="1"/>
</file>

<file path=xl/ctrlProps/ctrlProp64.xml><?xml version="1.0" encoding="utf-8"?>
<formControlPr xmlns="http://schemas.microsoft.com/office/spreadsheetml/2009/9/main" objectType="CheckBox" fmlaLink="$J$68" lockText="1" noThreeD="1"/>
</file>

<file path=xl/ctrlProps/ctrlProp65.xml><?xml version="1.0" encoding="utf-8"?>
<formControlPr xmlns="http://schemas.microsoft.com/office/spreadsheetml/2009/9/main" objectType="CheckBox" fmlaLink="$J$70" lockText="1" noThreeD="1"/>
</file>

<file path=xl/ctrlProps/ctrlProp66.xml><?xml version="1.0" encoding="utf-8"?>
<formControlPr xmlns="http://schemas.microsoft.com/office/spreadsheetml/2009/9/main" objectType="CheckBox" fmlaLink="$J$71" lockText="1" noThreeD="1"/>
</file>

<file path=xl/ctrlProps/ctrlProp67.xml><?xml version="1.0" encoding="utf-8"?>
<formControlPr xmlns="http://schemas.microsoft.com/office/spreadsheetml/2009/9/main" objectType="CheckBox" fmlaLink="$J$74" lockText="1" noThreeD="1"/>
</file>

<file path=xl/ctrlProps/ctrlProp68.xml><?xml version="1.0" encoding="utf-8"?>
<formControlPr xmlns="http://schemas.microsoft.com/office/spreadsheetml/2009/9/main" objectType="CheckBox" fmlaLink="$J$73" lockText="1" noThreeD="1"/>
</file>

<file path=xl/ctrlProps/ctrlProp69.xml><?xml version="1.0" encoding="utf-8"?>
<formControlPr xmlns="http://schemas.microsoft.com/office/spreadsheetml/2009/9/main" objectType="CheckBox" fmlaLink="#REF!" lockText="1" noThreeD="1"/>
</file>

<file path=xl/ctrlProps/ctrlProp70.xml><?xml version="1.0" encoding="utf-8"?>
<formControlPr xmlns="http://schemas.microsoft.com/office/spreadsheetml/2009/9/main" objectType="CheckBox" fmlaLink="$J$76" lockText="1" noThreeD="1"/>
</file>

<file path=xl/ctrlProps/ctrlProp71.xml><?xml version="1.0" encoding="utf-8"?>
<formControlPr xmlns="http://schemas.microsoft.com/office/spreadsheetml/2009/9/main" objectType="CheckBox" fmlaLink="$J$80" lockText="1" noThreeD="1"/>
</file>

<file path=xl/ctrlProps/ctrlProp72.xml><?xml version="1.0" encoding="utf-8"?>
<formControlPr xmlns="http://schemas.microsoft.com/office/spreadsheetml/2009/9/main" objectType="CheckBox" fmlaLink="$J$75" lockText="1" noThreeD="1"/>
</file>

<file path=xl/ctrlProps/ctrlProp73.xml><?xml version="1.0" encoding="utf-8"?>
<formControlPr xmlns="http://schemas.microsoft.com/office/spreadsheetml/2009/9/main" objectType="CheckBox" fmlaLink="$J$78" lockText="1" noThreeD="1"/>
</file>

<file path=xl/ctrlProps/ctrlProp74.xml><?xml version="1.0" encoding="utf-8"?>
<formControlPr xmlns="http://schemas.microsoft.com/office/spreadsheetml/2009/9/main" objectType="CheckBox" fmlaLink="$J$83" lockText="1" noThreeD="1"/>
</file>

<file path=xl/ctrlProps/ctrlProp75.xml><?xml version="1.0" encoding="utf-8"?>
<formControlPr xmlns="http://schemas.microsoft.com/office/spreadsheetml/2009/9/main" objectType="CheckBox" fmlaLink="$J$77" lockText="1" noThreeD="1"/>
</file>

<file path=xl/ctrlProps/ctrlProp76.xml><?xml version="1.0" encoding="utf-8"?>
<formControlPr xmlns="http://schemas.microsoft.com/office/spreadsheetml/2009/9/main" objectType="CheckBox" fmlaLink="$J$79" lockText="1" noThreeD="1"/>
</file>

<file path=xl/ctrlProps/ctrlProp77.xml><?xml version="1.0" encoding="utf-8"?>
<formControlPr xmlns="http://schemas.microsoft.com/office/spreadsheetml/2009/9/main" objectType="CheckBox" fmlaLink="$J$82" lockText="1" noThreeD="1"/>
</file>

<file path=xl/ctrlProps/ctrlProp78.xml><?xml version="1.0" encoding="utf-8"?>
<formControlPr xmlns="http://schemas.microsoft.com/office/spreadsheetml/2009/9/main" objectType="CheckBox" fmlaLink="$J$91" lockText="1" noThreeD="1"/>
</file>

<file path=xl/ctrlProps/ctrlProp79.xml><?xml version="1.0" encoding="utf-8"?>
<formControlPr xmlns="http://schemas.microsoft.com/office/spreadsheetml/2009/9/main" objectType="CheckBox" fmlaLink="$J$87" lockText="1" noThreeD="1"/>
</file>

<file path=xl/ctrlProps/ctrlProp80.xml><?xml version="1.0" encoding="utf-8"?>
<formControlPr xmlns="http://schemas.microsoft.com/office/spreadsheetml/2009/9/main" objectType="CheckBox" fmlaLink="$J$84" lockText="1" noThreeD="1"/>
</file>

<file path=xl/ctrlProps/ctrlProp81.xml><?xml version="1.0" encoding="utf-8"?>
<formControlPr xmlns="http://schemas.microsoft.com/office/spreadsheetml/2009/9/main" objectType="CheckBox" fmlaLink="$J$89" lockText="1" noThreeD="1"/>
</file>

<file path=xl/ctrlProps/ctrlProp82.xml><?xml version="1.0" encoding="utf-8"?>
<formControlPr xmlns="http://schemas.microsoft.com/office/spreadsheetml/2009/9/main" objectType="CheckBox" fmlaLink="$J$85" lockText="1" noThreeD="1"/>
</file>

<file path=xl/ctrlProps/ctrlProp83.xml><?xml version="1.0" encoding="utf-8"?>
<formControlPr xmlns="http://schemas.microsoft.com/office/spreadsheetml/2009/9/main" objectType="CheckBox" fmlaLink="$J$88" lockText="1" noThreeD="1"/>
</file>

<file path=xl/ctrlProps/ctrlProp84.xml><?xml version="1.0" encoding="utf-8"?>
<formControlPr xmlns="http://schemas.microsoft.com/office/spreadsheetml/2009/9/main" objectType="CheckBox" fmlaLink="$J$86" lockText="1" noThreeD="1"/>
</file>

<file path=xl/ctrlProps/ctrlProp85.xml><?xml version="1.0" encoding="utf-8"?>
<formControlPr xmlns="http://schemas.microsoft.com/office/spreadsheetml/2009/9/main" objectType="CheckBox" fmlaLink="$J$94" lockText="1" noThreeD="1"/>
</file>

<file path=xl/ctrlProps/ctrlProp86.xml><?xml version="1.0" encoding="utf-8"?>
<formControlPr xmlns="http://schemas.microsoft.com/office/spreadsheetml/2009/9/main" objectType="CheckBox" fmlaLink="$J$90" lockText="1" noThreeD="1"/>
</file>

<file path=xl/ctrlProps/ctrlProp87.xml><?xml version="1.0" encoding="utf-8"?>
<formControlPr xmlns="http://schemas.microsoft.com/office/spreadsheetml/2009/9/main" objectType="CheckBox" fmlaLink="#REF!" lockText="1" noThreeD="1"/>
</file>

<file path=xl/ctrlProps/ctrlProp88.xml><?xml version="1.0" encoding="utf-8"?>
<formControlPr xmlns="http://schemas.microsoft.com/office/spreadsheetml/2009/9/main" objectType="CheckBox" fmlaLink="$J$92" lockText="1" noThreeD="1"/>
</file>

<file path=xl/ctrlProps/ctrlProp89.xml><?xml version="1.0" encoding="utf-8"?>
<formControlPr xmlns="http://schemas.microsoft.com/office/spreadsheetml/2009/9/main" objectType="CheckBox" fmlaLink="$J$99" lockText="1" noThreeD="1"/>
</file>

<file path=xl/ctrlProps/ctrlProp90.xml><?xml version="1.0" encoding="utf-8"?>
<formControlPr xmlns="http://schemas.microsoft.com/office/spreadsheetml/2009/9/main" objectType="CheckBox" fmlaLink="$J$93" lockText="1" noThreeD="1"/>
</file>

<file path=xl/ctrlProps/ctrlProp91.xml><?xml version="1.0" encoding="utf-8"?>
<formControlPr xmlns="http://schemas.microsoft.com/office/spreadsheetml/2009/9/main" objectType="CheckBox" fmlaLink="$J$96" lockText="1" noThreeD="1"/>
</file>

<file path=xl/ctrlProps/ctrlProp92.xml><?xml version="1.0" encoding="utf-8"?>
<formControlPr xmlns="http://schemas.microsoft.com/office/spreadsheetml/2009/9/main" objectType="CheckBox" fmlaLink="$J$101" lockText="1" noThreeD="1"/>
</file>

<file path=xl/ctrlProps/ctrlProp93.xml><?xml version="1.0" encoding="utf-8"?>
<formControlPr xmlns="http://schemas.microsoft.com/office/spreadsheetml/2009/9/main" objectType="CheckBox" fmlaLink="$J$98" lockText="1" noThreeD="1"/>
</file>

<file path=xl/ctrlProps/ctrlProp94.xml><?xml version="1.0" encoding="utf-8"?>
<formControlPr xmlns="http://schemas.microsoft.com/office/spreadsheetml/2009/9/main" objectType="CheckBox" fmlaLink="$J$95" lockText="1" noThreeD="1"/>
</file>

<file path=xl/ctrlProps/ctrlProp95.xml><?xml version="1.0" encoding="utf-8"?>
<formControlPr xmlns="http://schemas.microsoft.com/office/spreadsheetml/2009/9/main" objectType="CheckBox" fmlaLink="$J$97" lockText="1" noThreeD="1"/>
</file>

<file path=xl/ctrlProps/ctrlProp96.xml><?xml version="1.0" encoding="utf-8"?>
<formControlPr xmlns="http://schemas.microsoft.com/office/spreadsheetml/2009/9/main" objectType="CheckBox" fmlaLink="$J$100" lockText="1" noThreeD="1"/>
</file>

<file path=xl/ctrlProps/ctrlProp97.xml><?xml version="1.0" encoding="utf-8"?>
<formControlPr xmlns="http://schemas.microsoft.com/office/spreadsheetml/2009/9/main" objectType="CheckBox" fmlaLink="$J$123" lockText="1" noThreeD="1"/>
</file>

<file path=xl/ctrlProps/ctrlProp98.xml><?xml version="1.0" encoding="utf-8"?>
<formControlPr xmlns="http://schemas.microsoft.com/office/spreadsheetml/2009/9/main" objectType="CheckBox" fmlaLink="$J$119" lockText="1" noThreeD="1"/>
</file>

<file path=xl/ctrlProps/ctrlProp99.xml><?xml version="1.0" encoding="utf-8"?>
<formControlPr xmlns="http://schemas.microsoft.com/office/spreadsheetml/2009/9/main" objectType="CheckBox" fmlaLink="$J$114" lockText="1" noThreeD="1"/>
</file>

<file path=xl/ctrlProps/ctrlProp100.xml><?xml version="1.0" encoding="utf-8"?>
<formControlPr xmlns="http://schemas.microsoft.com/office/spreadsheetml/2009/9/main" objectType="CheckBox" fmlaLink="$J$110" lockText="1" noThreeD="1"/>
</file>

<file path=xl/ctrlProps/ctrlProp101.xml><?xml version="1.0" encoding="utf-8"?>
<formControlPr xmlns="http://schemas.microsoft.com/office/spreadsheetml/2009/9/main" objectType="CheckBox" fmlaLink="$J$107" lockText="1" noThreeD="1"/>
</file>

<file path=xl/ctrlProps/ctrlProp102.xml><?xml version="1.0" encoding="utf-8"?>
<formControlPr xmlns="http://schemas.microsoft.com/office/spreadsheetml/2009/9/main" objectType="CheckBox" fmlaLink="$J$102" lockText="1" noThreeD="1"/>
</file>

<file path=xl/ctrlProps/ctrlProp103.xml><?xml version="1.0" encoding="utf-8"?>
<formControlPr xmlns="http://schemas.microsoft.com/office/spreadsheetml/2009/9/main" objectType="CheckBox" fmlaLink="$J$104" lockText="1" noThreeD="1"/>
</file>

<file path=xl/ctrlProps/ctrlProp104.xml><?xml version="1.0" encoding="utf-8"?>
<formControlPr xmlns="http://schemas.microsoft.com/office/spreadsheetml/2009/9/main" objectType="CheckBox" fmlaLink="#REF!" lockText="1" noThreeD="1"/>
</file>

<file path=xl/ctrlProps/ctrlProp105.xml><?xml version="1.0" encoding="utf-8"?>
<formControlPr xmlns="http://schemas.microsoft.com/office/spreadsheetml/2009/9/main" objectType="CheckBox" fmlaLink="$J$111" lockText="1" noThreeD="1"/>
</file>

<file path=xl/ctrlProps/ctrlProp106.xml><?xml version="1.0" encoding="utf-8"?>
<formControlPr xmlns="http://schemas.microsoft.com/office/spreadsheetml/2009/9/main" objectType="CheckBox" fmlaLink="$J$103" lockText="1" noThreeD="1"/>
</file>

<file path=xl/ctrlProps/ctrlProp107.xml><?xml version="1.0" encoding="utf-8"?>
<formControlPr xmlns="http://schemas.microsoft.com/office/spreadsheetml/2009/9/main" objectType="CheckBox" fmlaLink="$J$109" lockText="1" noThreeD="1"/>
</file>

<file path=xl/ctrlProps/ctrlProp108.xml><?xml version="1.0" encoding="utf-8"?>
<formControlPr xmlns="http://schemas.microsoft.com/office/spreadsheetml/2009/9/main" objectType="CheckBox" fmlaLink="$J$120" lockText="1" noThreeD="1"/>
</file>

<file path=xl/ctrlProps/ctrlProp109.xml><?xml version="1.0" encoding="utf-8"?>
<formControlPr xmlns="http://schemas.microsoft.com/office/spreadsheetml/2009/9/main" objectType="CheckBox" fmlaLink="$J$117" lockText="1" noThreeD="1"/>
</file>

<file path=xl/ctrlProps/ctrlProp110.xml><?xml version="1.0" encoding="utf-8"?>
<formControlPr xmlns="http://schemas.microsoft.com/office/spreadsheetml/2009/9/main" objectType="CheckBox" fmlaLink="$J$112" lockText="1" noThreeD="1"/>
</file>

<file path=xl/ctrlProps/ctrlProp111.xml><?xml version="1.0" encoding="utf-8"?>
<formControlPr xmlns="http://schemas.microsoft.com/office/spreadsheetml/2009/9/main" objectType="CheckBox" fmlaLink="$J$106" lockText="1" noThreeD="1"/>
</file>

<file path=xl/ctrlProps/ctrlProp112.xml><?xml version="1.0" encoding="utf-8"?>
<formControlPr xmlns="http://schemas.microsoft.com/office/spreadsheetml/2009/9/main" objectType="CheckBox" fmlaLink="$J$113" lockText="1" noThreeD="1"/>
</file>

<file path=xl/ctrlProps/ctrlProp113.xml><?xml version="1.0" encoding="utf-8"?>
<formControlPr xmlns="http://schemas.microsoft.com/office/spreadsheetml/2009/9/main" objectType="CheckBox" fmlaLink="$J$108" lockText="1" noThreeD="1"/>
</file>

<file path=xl/ctrlProps/ctrlProp114.xml><?xml version="1.0" encoding="utf-8"?>
<formControlPr xmlns="http://schemas.microsoft.com/office/spreadsheetml/2009/9/main" objectType="CheckBox" fmlaLink="$J$121" lockText="1" noThreeD="1"/>
</file>

<file path=xl/ctrlProps/ctrlProp115.xml><?xml version="1.0" encoding="utf-8"?>
<formControlPr xmlns="http://schemas.microsoft.com/office/spreadsheetml/2009/9/main" objectType="CheckBox" fmlaLink="$J$116" lockText="1" noThreeD="1"/>
</file>

<file path=xl/ctrlProps/ctrlProp116.xml><?xml version="1.0" encoding="utf-8"?>
<formControlPr xmlns="http://schemas.microsoft.com/office/spreadsheetml/2009/9/main" objectType="CheckBox" fmlaLink="$J$115" lockText="1" noThreeD="1"/>
</file>

<file path=xl/ctrlProps/ctrlProp117.xml><?xml version="1.0" encoding="utf-8"?>
<formControlPr xmlns="http://schemas.microsoft.com/office/spreadsheetml/2009/9/main" objectType="CheckBox" fmlaLink="$J$118" lockText="1" noThreeD="1"/>
</file>

<file path=xl/ctrlProps/ctrlProp118.xml><?xml version="1.0" encoding="utf-8"?>
<formControlPr xmlns="http://schemas.microsoft.com/office/spreadsheetml/2009/9/main" objectType="CheckBox" fmlaLink="#REF!" lockText="1" noThreeD="1"/>
</file>

<file path=xl/ctrlProps/ctrlProp119.xml><?xml version="1.0" encoding="utf-8"?>
<formControlPr xmlns="http://schemas.microsoft.com/office/spreadsheetml/2009/9/main" objectType="CheckBox" fmlaLink="$J$127" lockText="1" noThreeD="1"/>
</file>

<file path=xl/ctrlProps/ctrlProp120.xml><?xml version="1.0" encoding="utf-8"?>
<formControlPr xmlns="http://schemas.microsoft.com/office/spreadsheetml/2009/9/main" objectType="CheckBox" fmlaLink="$J$125" lockText="1" noThreeD="1"/>
</file>

<file path=xl/ctrlProps/ctrlProp121.xml><?xml version="1.0" encoding="utf-8"?>
<formControlPr xmlns="http://schemas.microsoft.com/office/spreadsheetml/2009/9/main" objectType="CheckBox" fmlaLink="$J$122" lockText="1" noThreeD="1"/>
</file>

<file path=xl/ctrlProps/ctrlProp122.xml><?xml version="1.0" encoding="utf-8"?>
<formControlPr xmlns="http://schemas.microsoft.com/office/spreadsheetml/2009/9/main" objectType="CheckBox" fmlaLink="$J$124" lockText="1" noThreeD="1"/>
</file>

<file path=xl/ctrlProps/ctrlProp123.xml><?xml version="1.0" encoding="utf-8"?>
<formControlPr xmlns="http://schemas.microsoft.com/office/spreadsheetml/2009/9/main" objectType="CheckBox" fmlaLink="$J$126" lockText="1" noThreeD="1"/>
</file>

<file path=xl/ctrlProps/ctrlProp124.xml><?xml version="1.0" encoding="utf-8"?>
<formControlPr xmlns="http://schemas.microsoft.com/office/spreadsheetml/2009/9/main" objectType="CheckBox" fmlaLink="$J$144" lockText="1" noThreeD="1"/>
</file>

<file path=xl/ctrlProps/ctrlProp125.xml><?xml version="1.0" encoding="utf-8"?>
<formControlPr xmlns="http://schemas.microsoft.com/office/spreadsheetml/2009/9/main" objectType="CheckBox" fmlaLink="$J$141" lockText="1" noThreeD="1"/>
</file>

<file path=xl/ctrlProps/ctrlProp126.xml><?xml version="1.0" encoding="utf-8"?>
<formControlPr xmlns="http://schemas.microsoft.com/office/spreadsheetml/2009/9/main" objectType="CheckBox" fmlaLink="$J$139" lockText="1" noThreeD="1"/>
</file>

<file path=xl/ctrlProps/ctrlProp127.xml><?xml version="1.0" encoding="utf-8"?>
<formControlPr xmlns="http://schemas.microsoft.com/office/spreadsheetml/2009/9/main" objectType="CheckBox" fmlaLink="$J$136" lockText="1" noThreeD="1"/>
</file>

<file path=xl/ctrlProps/ctrlProp128.xml><?xml version="1.0" encoding="utf-8"?>
<formControlPr xmlns="http://schemas.microsoft.com/office/spreadsheetml/2009/9/main" objectType="CheckBox" fmlaLink="$J$133" lockText="1" noThreeD="1"/>
</file>

<file path=xl/ctrlProps/ctrlProp129.xml><?xml version="1.0" encoding="utf-8"?>
<formControlPr xmlns="http://schemas.microsoft.com/office/spreadsheetml/2009/9/main" objectType="CheckBox" fmlaLink="$J$131" lockText="1" noThreeD="1"/>
</file>

<file path=xl/ctrlProps/ctrlProp130.xml><?xml version="1.0" encoding="utf-8"?>
<formControlPr xmlns="http://schemas.microsoft.com/office/spreadsheetml/2009/9/main" objectType="CheckBox" fmlaLink="$J$129" lockText="1" noThreeD="1"/>
</file>

<file path=xl/ctrlProps/ctrlProp131.xml><?xml version="1.0" encoding="utf-8"?>
<formControlPr xmlns="http://schemas.microsoft.com/office/spreadsheetml/2009/9/main" objectType="CheckBox" fmlaLink="$J$138" lockText="1" noThreeD="1"/>
</file>

<file path=xl/ctrlProps/ctrlProp132.xml><?xml version="1.0" encoding="utf-8"?>
<formControlPr xmlns="http://schemas.microsoft.com/office/spreadsheetml/2009/9/main" objectType="CheckBox" fmlaLink="$J$134" lockText="1" noThreeD="1"/>
</file>

<file path=xl/ctrlProps/ctrlProp133.xml><?xml version="1.0" encoding="utf-8"?>
<formControlPr xmlns="http://schemas.microsoft.com/office/spreadsheetml/2009/9/main" objectType="CheckBox" fmlaLink="$J$130" lockText="1" noThreeD="1"/>
</file>

<file path=xl/ctrlProps/ctrlProp134.xml><?xml version="1.0" encoding="utf-8"?>
<formControlPr xmlns="http://schemas.microsoft.com/office/spreadsheetml/2009/9/main" objectType="CheckBox" fmlaLink="$J$128" lockText="1" noThreeD="1"/>
</file>

<file path=xl/ctrlProps/ctrlProp135.xml><?xml version="1.0" encoding="utf-8"?>
<formControlPr xmlns="http://schemas.microsoft.com/office/spreadsheetml/2009/9/main" objectType="CheckBox" fmlaLink="$J$140" lockText="1" noThreeD="1"/>
</file>

<file path=xl/ctrlProps/ctrlProp136.xml><?xml version="1.0" encoding="utf-8"?>
<formControlPr xmlns="http://schemas.microsoft.com/office/spreadsheetml/2009/9/main" objectType="CheckBox" fmlaLink="$J$137" lockText="1" noThreeD="1"/>
</file>

<file path=xl/ctrlProps/ctrlProp137.xml><?xml version="1.0" encoding="utf-8"?>
<formControlPr xmlns="http://schemas.microsoft.com/office/spreadsheetml/2009/9/main" objectType="CheckBox" fmlaLink="$J$132" lockText="1" noThreeD="1"/>
</file>

<file path=xl/ctrlProps/ctrlProp138.xml><?xml version="1.0" encoding="utf-8"?>
<formControlPr xmlns="http://schemas.microsoft.com/office/spreadsheetml/2009/9/main" objectType="CheckBox" fmlaLink="$J$135" lockText="1" noThreeD="1"/>
</file>

<file path=xl/ctrlProps/ctrlProp139.xml><?xml version="1.0" encoding="utf-8"?>
<formControlPr xmlns="http://schemas.microsoft.com/office/spreadsheetml/2009/9/main" objectType="CheckBox" fmlaLink="$J$143" lockText="1" noThreeD="1"/>
</file>

<file path=xl/ctrlProps/ctrlProp140.xml><?xml version="1.0" encoding="utf-8"?>
<formControlPr xmlns="http://schemas.microsoft.com/office/spreadsheetml/2009/9/main" objectType="CheckBox" fmlaLink="$J$142" lockText="1" noThreeD="1"/>
</file>

<file path=xl/ctrlProps/ctrlProp141.xml><?xml version="1.0" encoding="utf-8"?>
<formControlPr xmlns="http://schemas.microsoft.com/office/spreadsheetml/2009/9/main" objectType="CheckBox" fmlaLink="#REF!" lockText="1" noThreeD="1"/>
</file>

<file path=xl/ctrlProps/ctrlProp142.xml><?xml version="1.0" encoding="utf-8"?>
<formControlPr xmlns="http://schemas.microsoft.com/office/spreadsheetml/2009/9/main" objectType="CheckBox" fmlaLink="$K$2" lockText="1" noThreeD="1"/>
</file>

<file path=xl/ctrlProps/ctrlProp143.xml><?xml version="1.0" encoding="utf-8"?>
<formControlPr xmlns="http://schemas.microsoft.com/office/spreadsheetml/2009/9/main" objectType="CheckBox" fmlaLink="$K$5" lockText="1" noThreeD="1"/>
</file>

<file path=xl/ctrlProps/ctrlProp144.xml><?xml version="1.0" encoding="utf-8"?>
<formControlPr xmlns="http://schemas.microsoft.com/office/spreadsheetml/2009/9/main" objectType="CheckBox" fmlaLink="$K$3" lockText="1" noThreeD="1"/>
</file>

<file path=xl/ctrlProps/ctrlProp145.xml><?xml version="1.0" encoding="utf-8"?>
<formControlPr xmlns="http://schemas.microsoft.com/office/spreadsheetml/2009/9/main" objectType="CheckBox" fmlaLink="$K$8" lockText="1" noThreeD="1"/>
</file>

<file path=xl/ctrlProps/ctrlProp146.xml><?xml version="1.0" encoding="utf-8"?>
<formControlPr xmlns="http://schemas.microsoft.com/office/spreadsheetml/2009/9/main" objectType="CheckBox" fmlaLink="$K$13" lockText="1" noThreeD="1"/>
</file>

<file path=xl/ctrlProps/ctrlProp147.xml><?xml version="1.0" encoding="utf-8"?>
<formControlPr xmlns="http://schemas.microsoft.com/office/spreadsheetml/2009/9/main" objectType="CheckBox" fmlaLink="$K$19" lockText="1" noThreeD="1"/>
</file>

<file path=xl/ctrlProps/ctrlProp148.xml><?xml version="1.0" encoding="utf-8"?>
<formControlPr xmlns="http://schemas.microsoft.com/office/spreadsheetml/2009/9/main" objectType="CheckBox" fmlaLink="$K$17" lockText="1" noThreeD="1"/>
</file>

<file path=xl/ctrlProps/ctrlProp149.xml><?xml version="1.0" encoding="utf-8"?>
<formControlPr xmlns="http://schemas.microsoft.com/office/spreadsheetml/2009/9/main" objectType="CheckBox" fmlaLink="$K$12" lockText="1" noThreeD="1"/>
</file>

<file path=xl/ctrlProps/ctrlProp150.xml><?xml version="1.0" encoding="utf-8"?>
<formControlPr xmlns="http://schemas.microsoft.com/office/spreadsheetml/2009/9/main" objectType="CheckBox" fmlaLink="$K$4" lockText="1" noThreeD="1"/>
</file>

<file path=xl/ctrlProps/ctrlProp151.xml><?xml version="1.0" encoding="utf-8"?>
<formControlPr xmlns="http://schemas.microsoft.com/office/spreadsheetml/2009/9/main" objectType="CheckBox" fmlaLink="#REF!" lockText="1" noThreeD="1"/>
</file>

<file path=xl/ctrlProps/ctrlProp152.xml><?xml version="1.0" encoding="utf-8"?>
<formControlPr xmlns="http://schemas.microsoft.com/office/spreadsheetml/2009/9/main" objectType="CheckBox" fmlaLink="$K$10" lockText="1" noThreeD="1"/>
</file>

<file path=xl/ctrlProps/ctrlProp153.xml><?xml version="1.0" encoding="utf-8"?>
<formControlPr xmlns="http://schemas.microsoft.com/office/spreadsheetml/2009/9/main" objectType="CheckBox" fmlaLink="$K$11" lockText="1" noThreeD="1"/>
</file>

<file path=xl/ctrlProps/ctrlProp154.xml><?xml version="1.0" encoding="utf-8"?>
<formControlPr xmlns="http://schemas.microsoft.com/office/spreadsheetml/2009/9/main" objectType="CheckBox" fmlaLink="$K$23" lockText="1" noThreeD="1"/>
</file>

<file path=xl/ctrlProps/ctrlProp155.xml><?xml version="1.0" encoding="utf-8"?>
<formControlPr xmlns="http://schemas.microsoft.com/office/spreadsheetml/2009/9/main" objectType="CheckBox" fmlaLink="$K$20" lockText="1" noThreeD="1"/>
</file>

<file path=xl/ctrlProps/ctrlProp156.xml><?xml version="1.0" encoding="utf-8"?>
<formControlPr xmlns="http://schemas.microsoft.com/office/spreadsheetml/2009/9/main" objectType="CheckBox" fmlaLink="$K$15" lockText="1" noThreeD="1"/>
</file>

<file path=xl/ctrlProps/ctrlProp157.xml><?xml version="1.0" encoding="utf-8"?>
<formControlPr xmlns="http://schemas.microsoft.com/office/spreadsheetml/2009/9/main" objectType="CheckBox" fmlaLink="$K$21" lockText="1" noThreeD="1"/>
</file>

<file path=xl/ctrlProps/ctrlProp158.xml><?xml version="1.0" encoding="utf-8"?>
<formControlPr xmlns="http://schemas.microsoft.com/office/spreadsheetml/2009/9/main" objectType="CheckBox" fmlaLink="#REF!" lockText="1" noThreeD="1"/>
</file>

<file path=xl/ctrlProps/ctrlProp159.xml><?xml version="1.0" encoding="utf-8"?>
<formControlPr xmlns="http://schemas.microsoft.com/office/spreadsheetml/2009/9/main" objectType="CheckBox" fmlaLink="$K$25" lockText="1" noThreeD="1"/>
</file>

<file path=xl/ctrlProps/ctrlProp160.xml><?xml version="1.0" encoding="utf-8"?>
<formControlPr xmlns="http://schemas.microsoft.com/office/spreadsheetml/2009/9/main" objectType="CheckBox" fmlaLink="$K$22" lockText="1" noThreeD="1"/>
</file>

<file path=xl/ctrlProps/ctrlProp161.xml><?xml version="1.0" encoding="utf-8"?>
<formControlPr xmlns="http://schemas.microsoft.com/office/spreadsheetml/2009/9/main" objectType="CheckBox" fmlaLink="$K$24" lockText="1" noThreeD="1"/>
</file>

<file path=xl/ctrlProps/ctrlProp162.xml><?xml version="1.0" encoding="utf-8"?>
<formControlPr xmlns="http://schemas.microsoft.com/office/spreadsheetml/2009/9/main" objectType="CheckBox" fmlaLink="$K$28" lockText="1" noThreeD="1"/>
</file>

<file path=xl/ctrlProps/ctrlProp163.xml><?xml version="1.0" encoding="utf-8"?>
<formControlPr xmlns="http://schemas.microsoft.com/office/spreadsheetml/2009/9/main" objectType="CheckBox" fmlaLink="$K$27" lockText="1" noThreeD="1"/>
</file>

<file path=xl/ctrlProps/ctrlProp164.xml><?xml version="1.0" encoding="utf-8"?>
<formControlPr xmlns="http://schemas.microsoft.com/office/spreadsheetml/2009/9/main" objectType="CheckBox" fmlaLink="$K$32" lockText="1" noThreeD="1"/>
</file>

<file path=xl/ctrlProps/ctrlProp165.xml><?xml version="1.0" encoding="utf-8"?>
<formControlPr xmlns="http://schemas.microsoft.com/office/spreadsheetml/2009/9/main" objectType="CheckBox" fmlaLink="$K$30" lockText="1" noThreeD="1"/>
</file>

<file path=xl/ctrlProps/ctrlProp166.xml><?xml version="1.0" encoding="utf-8"?>
<formControlPr xmlns="http://schemas.microsoft.com/office/spreadsheetml/2009/9/main" objectType="CheckBox" fmlaLink="$K$26" lockText="1" noThreeD="1"/>
</file>

<file path=xl/ctrlProps/ctrlProp167.xml><?xml version="1.0" encoding="utf-8"?>
<formControlPr xmlns="http://schemas.microsoft.com/office/spreadsheetml/2009/9/main" objectType="CheckBox" fmlaLink="$K$29" lockText="1" noThreeD="1"/>
</file>

<file path=xl/ctrlProps/ctrlProp168.xml><?xml version="1.0" encoding="utf-8"?>
<formControlPr xmlns="http://schemas.microsoft.com/office/spreadsheetml/2009/9/main" objectType="CheckBox" fmlaLink="$K$31" lockText="1" noThreeD="1"/>
</file>

<file path=xl/ctrlProps/ctrlProp169.xml><?xml version="1.0" encoding="utf-8"?>
<formControlPr xmlns="http://schemas.microsoft.com/office/spreadsheetml/2009/9/main" objectType="CheckBox" fmlaLink="$K$36" lockText="1" noThreeD="1"/>
</file>

<file path=xl/ctrlProps/ctrlProp170.xml><?xml version="1.0" encoding="utf-8"?>
<formControlPr xmlns="http://schemas.microsoft.com/office/spreadsheetml/2009/9/main" objectType="CheckBox" fmlaLink="$K$33" lockText="1" noThreeD="1"/>
</file>

<file path=xl/ctrlProps/ctrlProp171.xml><?xml version="1.0" encoding="utf-8"?>
<formControlPr xmlns="http://schemas.microsoft.com/office/spreadsheetml/2009/9/main" objectType="CheckBox" fmlaLink="$K$35" lockText="1" noThreeD="1"/>
</file>

<file path=xl/ctrlProps/ctrlProp172.xml><?xml version="1.0" encoding="utf-8"?>
<formControlPr xmlns="http://schemas.microsoft.com/office/spreadsheetml/2009/9/main" objectType="CheckBox" fmlaLink="$K$41" lockText="1" noThreeD="1"/>
</file>

<file path=xl/ctrlProps/ctrlProp173.xml><?xml version="1.0" encoding="utf-8"?>
<formControlPr xmlns="http://schemas.microsoft.com/office/spreadsheetml/2009/9/main" objectType="CheckBox" fmlaLink="$K$38" lockText="1" noThreeD="1"/>
</file>

<file path=xl/ctrlProps/ctrlProp174.xml><?xml version="1.0" encoding="utf-8"?>
<formControlPr xmlns="http://schemas.microsoft.com/office/spreadsheetml/2009/9/main" objectType="CheckBox" fmlaLink="$K$44" lockText="1" noThreeD="1"/>
</file>

<file path=xl/ctrlProps/ctrlProp175.xml><?xml version="1.0" encoding="utf-8"?>
<formControlPr xmlns="http://schemas.microsoft.com/office/spreadsheetml/2009/9/main" objectType="CheckBox" fmlaLink="$K$37" lockText="1" noThreeD="1"/>
</file>

<file path=xl/ctrlProps/ctrlProp176.xml><?xml version="1.0" encoding="utf-8"?>
<formControlPr xmlns="http://schemas.microsoft.com/office/spreadsheetml/2009/9/main" objectType="CheckBox" fmlaLink="$K$43" lockText="1" noThreeD="1"/>
</file>

<file path=xl/ctrlProps/ctrlProp177.xml><?xml version="1.0" encoding="utf-8"?>
<formControlPr xmlns="http://schemas.microsoft.com/office/spreadsheetml/2009/9/main" objectType="CheckBox" fmlaLink="$K$40" lockText="1" noThreeD="1"/>
</file>

<file path=xl/ctrlProps/ctrlProp178.xml><?xml version="1.0" encoding="utf-8"?>
<formControlPr xmlns="http://schemas.microsoft.com/office/spreadsheetml/2009/9/main" objectType="CheckBox" fmlaLink="$K$42" lockText="1" noThreeD="1"/>
</file>

<file path=xl/ctrlProps/ctrlProp179.xml><?xml version="1.0" encoding="utf-8"?>
<formControlPr xmlns="http://schemas.microsoft.com/office/spreadsheetml/2009/9/main" objectType="CheckBox" fmlaLink="$K$47" lockText="1" noThreeD="1"/>
</file>

<file path=xl/ctrlProps/ctrlProp180.xml><?xml version="1.0" encoding="utf-8"?>
<formControlPr xmlns="http://schemas.microsoft.com/office/spreadsheetml/2009/9/main" objectType="CheckBox" fmlaLink="$K$45" lockText="1" noThreeD="1"/>
</file>

<file path=xl/ctrlProps/ctrlProp181.xml><?xml version="1.0" encoding="utf-8"?>
<formControlPr xmlns="http://schemas.microsoft.com/office/spreadsheetml/2009/9/main" objectType="CheckBox" fmlaLink="$K$46" lockText="1" noThreeD="1"/>
</file>

<file path=xl/ctrlProps/ctrlProp182.xml><?xml version="1.0" encoding="utf-8"?>
<formControlPr xmlns="http://schemas.microsoft.com/office/spreadsheetml/2009/9/main" objectType="CheckBox" fmlaLink="$K$48" lockText="1" noThreeD="1"/>
</file>

<file path=xl/ctrlProps/ctrlProp183.xml><?xml version="1.0" encoding="utf-8"?>
<formControlPr xmlns="http://schemas.microsoft.com/office/spreadsheetml/2009/9/main" objectType="CheckBox" fmlaLink="$K$50" lockText="1" noThreeD="1"/>
</file>

<file path=xl/ctrlProps/ctrlProp184.xml><?xml version="1.0" encoding="utf-8"?>
<formControlPr xmlns="http://schemas.microsoft.com/office/spreadsheetml/2009/9/main" objectType="CheckBox" fmlaLink="$K$49" lockText="1" noThreeD="1"/>
</file>

<file path=xl/ctrlProps/ctrlProp185.xml><?xml version="1.0" encoding="utf-8"?>
<formControlPr xmlns="http://schemas.microsoft.com/office/spreadsheetml/2009/9/main" objectType="CheckBox" fmlaLink="$K$52" lockText="1" noThreeD="1"/>
</file>

<file path=xl/ctrlProps/ctrlProp186.xml><?xml version="1.0" encoding="utf-8"?>
<formControlPr xmlns="http://schemas.microsoft.com/office/spreadsheetml/2009/9/main" objectType="CheckBox" fmlaLink="$K$51" lockText="1" noThreeD="1"/>
</file>

<file path=xl/ctrlProps/ctrlProp187.xml><?xml version="1.0" encoding="utf-8"?>
<formControlPr xmlns="http://schemas.microsoft.com/office/spreadsheetml/2009/9/main" objectType="CheckBox" fmlaLink="$K$53" lockText="1" noThreeD="1"/>
</file>

<file path=xl/ctrlProps/ctrlProp188.xml><?xml version="1.0" encoding="utf-8"?>
<formControlPr xmlns="http://schemas.microsoft.com/office/spreadsheetml/2009/9/main" objectType="CheckBox" fmlaLink="$K$59" lockText="1" noThreeD="1"/>
</file>

<file path=xl/ctrlProps/ctrlProp189.xml><?xml version="1.0" encoding="utf-8"?>
<formControlPr xmlns="http://schemas.microsoft.com/office/spreadsheetml/2009/9/main" objectType="CheckBox" fmlaLink="$K$67" lockText="1" noThreeD="1"/>
</file>

<file path=xl/ctrlProps/ctrlProp190.xml><?xml version="1.0" encoding="utf-8"?>
<formControlPr xmlns="http://schemas.microsoft.com/office/spreadsheetml/2009/9/main" objectType="CheckBox" fmlaLink="$K$73" lockText="1" noThreeD="1"/>
</file>

<file path=xl/ctrlProps/ctrlProp191.xml><?xml version="1.0" encoding="utf-8"?>
<formControlPr xmlns="http://schemas.microsoft.com/office/spreadsheetml/2009/9/main" objectType="CheckBox" fmlaLink="$K$77" lockText="1" noThreeD="1"/>
</file>

<file path=xl/ctrlProps/ctrlProp192.xml><?xml version="1.0" encoding="utf-8"?>
<formControlPr xmlns="http://schemas.microsoft.com/office/spreadsheetml/2009/9/main" objectType="CheckBox" fmlaLink="$K$74" lockText="1" noThreeD="1"/>
</file>

<file path=xl/ctrlProps/ctrlProp193.xml><?xml version="1.0" encoding="utf-8"?>
<formControlPr xmlns="http://schemas.microsoft.com/office/spreadsheetml/2009/9/main" objectType="CheckBox" fmlaLink="$K$80" lockText="1" noThreeD="1"/>
</file>

<file path=xl/ctrlProps/ctrlProp194.xml><?xml version="1.0" encoding="utf-8"?>
<formControlPr xmlns="http://schemas.microsoft.com/office/spreadsheetml/2009/9/main" objectType="CheckBox" fmlaLink="$K$75" lockText="1" noThreeD="1"/>
</file>

<file path=xl/ctrlProps/ctrlProp195.xml><?xml version="1.0" encoding="utf-8"?>
<formControlPr xmlns="http://schemas.microsoft.com/office/spreadsheetml/2009/9/main" objectType="CheckBox" fmlaLink="$K$65" lockText="1" noThreeD="1"/>
</file>

<file path=xl/ctrlProps/ctrlProp196.xml><?xml version="1.0" encoding="utf-8"?>
<formControlPr xmlns="http://schemas.microsoft.com/office/spreadsheetml/2009/9/main" objectType="CheckBox" fmlaLink="$K$69" lockText="1" noThreeD="1"/>
</file>

<file path=xl/ctrlProps/ctrlProp197.xml><?xml version="1.0" encoding="utf-8"?>
<formControlPr xmlns="http://schemas.microsoft.com/office/spreadsheetml/2009/9/main" objectType="CheckBox" fmlaLink="$K$63" lockText="1" noThreeD="1"/>
</file>

<file path=xl/ctrlProps/ctrlProp198.xml><?xml version="1.0" encoding="utf-8"?>
<formControlPr xmlns="http://schemas.microsoft.com/office/spreadsheetml/2009/9/main" objectType="CheckBox" fmlaLink="$K$58" lockText="1" noThreeD="1"/>
</file>

<file path=xl/ctrlProps/ctrlProp199.xml><?xml version="1.0" encoding="utf-8"?>
<formControlPr xmlns="http://schemas.microsoft.com/office/spreadsheetml/2009/9/main" objectType="CheckBox" fmlaLink="$K$61" lockText="1" noThreeD="1"/>
</file>

<file path=xl/ctrlProps/ctrlProp200.xml><?xml version="1.0" encoding="utf-8"?>
<formControlPr xmlns="http://schemas.microsoft.com/office/spreadsheetml/2009/9/main" objectType="CheckBox" fmlaLink="$K$56" lockText="1" noThreeD="1"/>
</file>

<file path=xl/ctrlProps/ctrlProp201.xml><?xml version="1.0" encoding="utf-8"?>
<formControlPr xmlns="http://schemas.microsoft.com/office/spreadsheetml/2009/9/main" objectType="CheckBox" fmlaLink="$K$71" lockText="1" noThreeD="1"/>
</file>

<file path=xl/ctrlProps/ctrlProp202.xml><?xml version="1.0" encoding="utf-8"?>
<formControlPr xmlns="http://schemas.microsoft.com/office/spreadsheetml/2009/9/main" objectType="CheckBox" fmlaLink="$K$66" lockText="1" noThreeD="1"/>
</file>

<file path=xl/ctrlProps/ctrlProp203.xml><?xml version="1.0" encoding="utf-8"?>
<formControlPr xmlns="http://schemas.microsoft.com/office/spreadsheetml/2009/9/main" objectType="CheckBox" fmlaLink="$K$60" lockText="1" noThreeD="1"/>
</file>

<file path=xl/ctrlProps/ctrlProp204.xml><?xml version="1.0" encoding="utf-8"?>
<formControlPr xmlns="http://schemas.microsoft.com/office/spreadsheetml/2009/9/main" objectType="CheckBox" fmlaLink="$K$55" lockText="1" noThreeD="1"/>
</file>

<file path=xl/ctrlProps/ctrlProp205.xml><?xml version="1.0" encoding="utf-8"?>
<formControlPr xmlns="http://schemas.microsoft.com/office/spreadsheetml/2009/9/main" objectType="CheckBox" fmlaLink="$K$64" lockText="1" noThreeD="1"/>
</file>

<file path=xl/ctrlProps/ctrlProp206.xml><?xml version="1.0" encoding="utf-8"?>
<formControlPr xmlns="http://schemas.microsoft.com/office/spreadsheetml/2009/9/main" objectType="CheckBox" fmlaLink="$K$54" lockText="1" noThreeD="1"/>
</file>

<file path=xl/ctrlProps/ctrlProp207.xml><?xml version="1.0" encoding="utf-8"?>
<formControlPr xmlns="http://schemas.microsoft.com/office/spreadsheetml/2009/9/main" objectType="CheckBox" fmlaLink="$K$57" lockText="1" noThreeD="1"/>
</file>

<file path=xl/ctrlProps/ctrlProp208.xml><?xml version="1.0" encoding="utf-8"?>
<formControlPr xmlns="http://schemas.microsoft.com/office/spreadsheetml/2009/9/main" objectType="CheckBox" fmlaLink="#REF!" lockText="1" noThreeD="1"/>
</file>

<file path=xl/ctrlProps/ctrlProp209.xml><?xml version="1.0" encoding="utf-8"?>
<formControlPr xmlns="http://schemas.microsoft.com/office/spreadsheetml/2009/9/main" objectType="CheckBox" fmlaLink="$K$70" lockText="1" noThreeD="1"/>
</file>

<file path=xl/ctrlProps/ctrlProp210.xml><?xml version="1.0" encoding="utf-8"?>
<formControlPr xmlns="http://schemas.microsoft.com/office/spreadsheetml/2009/9/main" objectType="CheckBox" fmlaLink="$K$68" lockText="1" noThreeD="1"/>
</file>

<file path=xl/ctrlProps/ctrlProp211.xml><?xml version="1.0" encoding="utf-8"?>
<formControlPr xmlns="http://schemas.microsoft.com/office/spreadsheetml/2009/9/main" objectType="CheckBox" fmlaLink="$K$72" lockText="1" noThreeD="1"/>
</file>

<file path=xl/ctrlProps/ctrlProp212.xml><?xml version="1.0" encoding="utf-8"?>
<formControlPr xmlns="http://schemas.microsoft.com/office/spreadsheetml/2009/9/main" objectType="CheckBox" fmlaLink="$K$76" lockText="1" noThreeD="1"/>
</file>

<file path=xl/ctrlProps/ctrlProp213.xml><?xml version="1.0" encoding="utf-8"?>
<formControlPr xmlns="http://schemas.microsoft.com/office/spreadsheetml/2009/9/main" objectType="CheckBox" fmlaLink="$K$79" lockText="1" noThreeD="1"/>
</file>

<file path=xl/ctrlProps/ctrlProp214.xml><?xml version="1.0" encoding="utf-8"?>
<formControlPr xmlns="http://schemas.microsoft.com/office/spreadsheetml/2009/9/main" objectType="CheckBox" fmlaLink="#REF!" lockText="1" noThreeD="1"/>
</file>

<file path=xl/ctrlProps/ctrlProp215.xml><?xml version="1.0" encoding="utf-8"?>
<formControlPr xmlns="http://schemas.microsoft.com/office/spreadsheetml/2009/9/main" objectType="CheckBox" fmlaLink="$K$86" lockText="1" noThreeD="1"/>
</file>

<file path=xl/ctrlProps/ctrlProp216.xml><?xml version="1.0" encoding="utf-8"?>
<formControlPr xmlns="http://schemas.microsoft.com/office/spreadsheetml/2009/9/main" objectType="CheckBox" fmlaLink="$K$84" lockText="1" noThreeD="1"/>
</file>

<file path=xl/ctrlProps/ctrlProp217.xml><?xml version="1.0" encoding="utf-8"?>
<formControlPr xmlns="http://schemas.microsoft.com/office/spreadsheetml/2009/9/main" objectType="CheckBox" fmlaLink="$K$82" lockText="1" noThreeD="1"/>
</file>

<file path=xl/ctrlProps/ctrlProp218.xml><?xml version="1.0" encoding="utf-8"?>
<formControlPr xmlns="http://schemas.microsoft.com/office/spreadsheetml/2009/9/main" objectType="CheckBox" fmlaLink="$K$78" lockText="1" noThreeD="1"/>
</file>

<file path=xl/ctrlProps/ctrlProp219.xml><?xml version="1.0" encoding="utf-8"?>
<formControlPr xmlns="http://schemas.microsoft.com/office/spreadsheetml/2009/9/main" objectType="CheckBox" fmlaLink="$K$83" lockText="1" noThreeD="1"/>
</file>

<file path=xl/ctrlProps/ctrlProp220.xml><?xml version="1.0" encoding="utf-8"?>
<formControlPr xmlns="http://schemas.microsoft.com/office/spreadsheetml/2009/9/main" objectType="CheckBox" fmlaLink="$K$85" lockText="1" noThreeD="1"/>
</file>

<file path=xl/ctrlProps/ctrlProp221.xml><?xml version="1.0" encoding="utf-8"?>
<formControlPr xmlns="http://schemas.microsoft.com/office/spreadsheetml/2009/9/main" objectType="CheckBox" fmlaLink="$K$87" lockText="1" noThreeD="1"/>
</file>

<file path=xl/ctrlProps/ctrlProp222.xml><?xml version="1.0" encoding="utf-8"?>
<formControlPr xmlns="http://schemas.microsoft.com/office/spreadsheetml/2009/9/main" objectType="CheckBox" fmlaLink="$K$90" lockText="1" noThreeD="1"/>
</file>

<file path=xl/ctrlProps/ctrlProp223.xml><?xml version="1.0" encoding="utf-8"?>
<formControlPr xmlns="http://schemas.microsoft.com/office/spreadsheetml/2009/9/main" objectType="CheckBox" fmlaLink="$K$88" lockText="1" noThreeD="1"/>
</file>

<file path=xl/ctrlProps/ctrlProp224.xml><?xml version="1.0" encoding="utf-8"?>
<formControlPr xmlns="http://schemas.microsoft.com/office/spreadsheetml/2009/9/main" objectType="CheckBox" fmlaLink="$K$94" lockText="1" noThreeD="1"/>
</file>

<file path=xl/ctrlProps/ctrlProp225.xml><?xml version="1.0" encoding="utf-8"?>
<formControlPr xmlns="http://schemas.microsoft.com/office/spreadsheetml/2009/9/main" objectType="CheckBox" fmlaLink="$K$89" lockText="1" noThreeD="1"/>
</file>

<file path=xl/ctrlProps/ctrlProp226.xml><?xml version="1.0" encoding="utf-8"?>
<formControlPr xmlns="http://schemas.microsoft.com/office/spreadsheetml/2009/9/main" objectType="CheckBox" fmlaLink="$K$92" lockText="1" noThreeD="1"/>
</file>

<file path=xl/ctrlProps/ctrlProp227.xml><?xml version="1.0" encoding="utf-8"?>
<formControlPr xmlns="http://schemas.microsoft.com/office/spreadsheetml/2009/9/main" objectType="CheckBox" fmlaLink="$K$91" lockText="1" noThreeD="1"/>
</file>

<file path=xl/ctrlProps/ctrlProp228.xml><?xml version="1.0" encoding="utf-8"?>
<formControlPr xmlns="http://schemas.microsoft.com/office/spreadsheetml/2009/9/main" objectType="CheckBox" fmlaLink="$K$93" lockText="1" noThreeD="1"/>
</file>

<file path=xl/ctrlProps/ctrlProp229.xml><?xml version="1.0" encoding="utf-8"?>
<formControlPr xmlns="http://schemas.microsoft.com/office/spreadsheetml/2009/9/main" objectType="CheckBox" fmlaLink="$K$120" lockText="1" noThreeD="1"/>
</file>

<file path=xl/ctrlProps/ctrlProp230.xml><?xml version="1.0" encoding="utf-8"?>
<formControlPr xmlns="http://schemas.microsoft.com/office/spreadsheetml/2009/9/main" objectType="CheckBox" fmlaLink="$K$95" lockText="1" noThreeD="1"/>
</file>

<file path=xl/ctrlProps/ctrlProp231.xml><?xml version="1.0" encoding="utf-8"?>
<formControlPr xmlns="http://schemas.microsoft.com/office/spreadsheetml/2009/9/main" objectType="CheckBox" fmlaLink="$K$97" lockText="1" noThreeD="1"/>
</file>

<file path=xl/ctrlProps/ctrlProp232.xml><?xml version="1.0" encoding="utf-8"?>
<formControlPr xmlns="http://schemas.microsoft.com/office/spreadsheetml/2009/9/main" objectType="CheckBox" fmlaLink="#REF!" lockText="1" noThreeD="1"/>
</file>

<file path=xl/ctrlProps/ctrlProp233.xml><?xml version="1.0" encoding="utf-8"?>
<formControlPr xmlns="http://schemas.microsoft.com/office/spreadsheetml/2009/9/main" objectType="CheckBox" fmlaLink="$K$103" lockText="1" noThreeD="1"/>
</file>

<file path=xl/ctrlProps/ctrlProp234.xml><?xml version="1.0" encoding="utf-8"?>
<formControlPr xmlns="http://schemas.microsoft.com/office/spreadsheetml/2009/9/main" objectType="CheckBox" fmlaLink="$K$107" lockText="1" noThreeD="1"/>
</file>

<file path=xl/ctrlProps/ctrlProp235.xml><?xml version="1.0" encoding="utf-8"?>
<formControlPr xmlns="http://schemas.microsoft.com/office/spreadsheetml/2009/9/main" objectType="CheckBox" fmlaLink="$K$111" lockText="1" noThreeD="1"/>
</file>

<file path=xl/ctrlProps/ctrlProp236.xml><?xml version="1.0" encoding="utf-8"?>
<formControlPr xmlns="http://schemas.microsoft.com/office/spreadsheetml/2009/9/main" objectType="CheckBox" fmlaLink="$K$114" lockText="1" noThreeD="1"/>
</file>

<file path=xl/ctrlProps/ctrlProp237.xml><?xml version="1.0" encoding="utf-8"?>
<formControlPr xmlns="http://schemas.microsoft.com/office/spreadsheetml/2009/9/main" objectType="CheckBox" fmlaLink="$K$118" lockText="1" noThreeD="1"/>
</file>

<file path=xl/ctrlProps/ctrlProp238.xml><?xml version="1.0" encoding="utf-8"?>
<formControlPr xmlns="http://schemas.microsoft.com/office/spreadsheetml/2009/9/main" objectType="CheckBox" fmlaLink="$K$116" lockText="1" noThreeD="1"/>
</file>

<file path=xl/ctrlProps/ctrlProp239.xml><?xml version="1.0" encoding="utf-8"?>
<formControlPr xmlns="http://schemas.microsoft.com/office/spreadsheetml/2009/9/main" objectType="CheckBox" fmlaLink="$K$113" lockText="1" noThreeD="1"/>
</file>

<file path=xl/ctrlProps/ctrlProp240.xml><?xml version="1.0" encoding="utf-8"?>
<formControlPr xmlns="http://schemas.microsoft.com/office/spreadsheetml/2009/9/main" objectType="CheckBox" fmlaLink="$K$109" lockText="1" noThreeD="1"/>
</file>

<file path=xl/ctrlProps/ctrlProp241.xml><?xml version="1.0" encoding="utf-8"?>
<formControlPr xmlns="http://schemas.microsoft.com/office/spreadsheetml/2009/9/main" objectType="CheckBox" fmlaLink="$K$104" lockText="1" noThreeD="1"/>
</file>

<file path=xl/ctrlProps/ctrlProp242.xml><?xml version="1.0" encoding="utf-8"?>
<formControlPr xmlns="http://schemas.microsoft.com/office/spreadsheetml/2009/9/main" objectType="CheckBox" fmlaLink="$K$101" lockText="1" noThreeD="1"/>
</file>

<file path=xl/ctrlProps/ctrlProp243.xml><?xml version="1.0" encoding="utf-8"?>
<formControlPr xmlns="http://schemas.microsoft.com/office/spreadsheetml/2009/9/main" objectType="CheckBox" fmlaLink="$K$96" lockText="1" noThreeD="1"/>
</file>

<file path=xl/ctrlProps/ctrlProp244.xml><?xml version="1.0" encoding="utf-8"?>
<formControlPr xmlns="http://schemas.microsoft.com/office/spreadsheetml/2009/9/main" objectType="CheckBox" fmlaLink="$K$98" lockText="1" noThreeD="1"/>
</file>

<file path=xl/ctrlProps/ctrlProp245.xml><?xml version="1.0" encoding="utf-8"?>
<formControlPr xmlns="http://schemas.microsoft.com/office/spreadsheetml/2009/9/main" objectType="CheckBox" fmlaLink="$K$99" lockText="1" noThreeD="1"/>
</file>

<file path=xl/ctrlProps/ctrlProp246.xml><?xml version="1.0" encoding="utf-8"?>
<formControlPr xmlns="http://schemas.microsoft.com/office/spreadsheetml/2009/9/main" objectType="CheckBox" fmlaLink="$K$100" lockText="1" noThreeD="1"/>
</file>

<file path=xl/ctrlProps/ctrlProp247.xml><?xml version="1.0" encoding="utf-8"?>
<formControlPr xmlns="http://schemas.microsoft.com/office/spreadsheetml/2009/9/main" objectType="CheckBox" fmlaLink="$K$102" lockText="1" noThreeD="1"/>
</file>

<file path=xl/ctrlProps/ctrlProp248.xml><?xml version="1.0" encoding="utf-8"?>
<formControlPr xmlns="http://schemas.microsoft.com/office/spreadsheetml/2009/9/main" objectType="CheckBox" fmlaLink="$K$106" lockText="1" noThreeD="1"/>
</file>

<file path=xl/ctrlProps/ctrlProp249.xml><?xml version="1.0" encoding="utf-8"?>
<formControlPr xmlns="http://schemas.microsoft.com/office/spreadsheetml/2009/9/main" objectType="CheckBox" fmlaLink="$K$108" lockText="1" noThreeD="1"/>
</file>

<file path=xl/ctrlProps/ctrlProp250.xml><?xml version="1.0" encoding="utf-8"?>
<formControlPr xmlns="http://schemas.microsoft.com/office/spreadsheetml/2009/9/main" objectType="CheckBox" fmlaLink="$K$110" lockText="1" noThreeD="1"/>
</file>

<file path=xl/ctrlProps/ctrlProp251.xml><?xml version="1.0" encoding="utf-8"?>
<formControlPr xmlns="http://schemas.microsoft.com/office/spreadsheetml/2009/9/main" objectType="CheckBox" fmlaLink="$K$112" lockText="1" noThreeD="1"/>
</file>

<file path=xl/ctrlProps/ctrlProp252.xml><?xml version="1.0" encoding="utf-8"?>
<formControlPr xmlns="http://schemas.microsoft.com/office/spreadsheetml/2009/9/main" objectType="CheckBox" fmlaLink="$K$115" lockText="1" noThreeD="1"/>
</file>

<file path=xl/ctrlProps/ctrlProp253.xml><?xml version="1.0" encoding="utf-8"?>
<formControlPr xmlns="http://schemas.microsoft.com/office/spreadsheetml/2009/9/main" objectType="CheckBox" fmlaLink="$K$117" lockText="1" noThreeD="1"/>
</file>

<file path=xl/ctrlProps/ctrlProp254.xml><?xml version="1.0" encoding="utf-8"?>
<formControlPr xmlns="http://schemas.microsoft.com/office/spreadsheetml/2009/9/main" objectType="CheckBox" fmlaLink="$K$119" lockText="1" noThreeD="1"/>
</file>

<file path=xl/ctrlProps/ctrlProp255.xml><?xml version="1.0" encoding="utf-8"?>
<formControlPr xmlns="http://schemas.microsoft.com/office/spreadsheetml/2009/9/main" objectType="CheckBox" fmlaLink="#REF!" lockText="1" noThreeD="1"/>
</file>

<file path=xl/ctrlProps/ctrlProp256.xml><?xml version="1.0" encoding="utf-8"?>
<formControlPr xmlns="http://schemas.microsoft.com/office/spreadsheetml/2009/9/main" objectType="CheckBox" fmlaLink="$K$122" lockText="1" noThreeD="1"/>
</file>

<file path=xl/ctrlProps/ctrlProp257.xml><?xml version="1.0" encoding="utf-8"?>
<formControlPr xmlns="http://schemas.microsoft.com/office/spreadsheetml/2009/9/main" objectType="CheckBox" fmlaLink="$K$126" lockText="1" noThreeD="1"/>
</file>

<file path=xl/ctrlProps/ctrlProp258.xml><?xml version="1.0" encoding="utf-8"?>
<formControlPr xmlns="http://schemas.microsoft.com/office/spreadsheetml/2009/9/main" objectType="CheckBox" fmlaLink="$K$125" lockText="1" noThreeD="1"/>
</file>

<file path=xl/ctrlProps/ctrlProp259.xml><?xml version="1.0" encoding="utf-8"?>
<formControlPr xmlns="http://schemas.microsoft.com/office/spreadsheetml/2009/9/main" objectType="CheckBox" fmlaLink="$K$121" lockText="1" noThreeD="1"/>
</file>

<file path=xl/ctrlProps/ctrlProp260.xml><?xml version="1.0" encoding="utf-8"?>
<formControlPr xmlns="http://schemas.microsoft.com/office/spreadsheetml/2009/9/main" objectType="CheckBox" fmlaLink="$K$123" lockText="1" noThreeD="1"/>
</file>

<file path=xl/ctrlProps/ctrlProp261.xml><?xml version="1.0" encoding="utf-8"?>
<formControlPr xmlns="http://schemas.microsoft.com/office/spreadsheetml/2009/9/main" objectType="CheckBox" fmlaLink="$K$124" lockText="1" noThreeD="1"/>
</file>

<file path=xl/ctrlProps/ctrlProp262.xml><?xml version="1.0" encoding="utf-8"?>
<formControlPr xmlns="http://schemas.microsoft.com/office/spreadsheetml/2009/9/main" objectType="CheckBox" fmlaLink="$K$129" lockText="1" noThreeD="1"/>
</file>

<file path=xl/ctrlProps/ctrlProp263.xml><?xml version="1.0" encoding="utf-8"?>
<formControlPr xmlns="http://schemas.microsoft.com/office/spreadsheetml/2009/9/main" objectType="CheckBox" fmlaLink="$K$128" lockText="1" noThreeD="1"/>
</file>

<file path=xl/ctrlProps/ctrlProp264.xml><?xml version="1.0" encoding="utf-8"?>
<formControlPr xmlns="http://schemas.microsoft.com/office/spreadsheetml/2009/9/main" objectType="CheckBox" fmlaLink="$K$127" lockText="1" noThreeD="1"/>
</file>

<file path=xl/ctrlProps/ctrlProp265.xml><?xml version="1.0" encoding="utf-8"?>
<formControlPr xmlns="http://schemas.microsoft.com/office/spreadsheetml/2009/9/main" objectType="CheckBox" fmlaLink="$K$133" lockText="1" noThreeD="1"/>
</file>

<file path=xl/ctrlProps/ctrlProp266.xml><?xml version="1.0" encoding="utf-8"?>
<formControlPr xmlns="http://schemas.microsoft.com/office/spreadsheetml/2009/9/main" objectType="CheckBox" fmlaLink="$K$131" lockText="1" noThreeD="1"/>
</file>

<file path=xl/ctrlProps/ctrlProp267.xml><?xml version="1.0" encoding="utf-8"?>
<formControlPr xmlns="http://schemas.microsoft.com/office/spreadsheetml/2009/9/main" objectType="CheckBox" fmlaLink="$K$130" lockText="1" noThreeD="1"/>
</file>

<file path=xl/ctrlProps/ctrlProp268.xml><?xml version="1.0" encoding="utf-8"?>
<formControlPr xmlns="http://schemas.microsoft.com/office/spreadsheetml/2009/9/main" objectType="CheckBox" fmlaLink="$K$132" lockText="1" noThreeD="1"/>
</file>

<file path=xl/ctrlProps/ctrlProp269.xml><?xml version="1.0" encoding="utf-8"?>
<formControlPr xmlns="http://schemas.microsoft.com/office/spreadsheetml/2009/9/main" objectType="CheckBox" fmlaLink="$K$136" lockText="1" noThreeD="1"/>
</file>

<file path=xl/ctrlProps/ctrlProp270.xml><?xml version="1.0" encoding="utf-8"?>
<formControlPr xmlns="http://schemas.microsoft.com/office/spreadsheetml/2009/9/main" objectType="CheckBox" fmlaLink="$K$141" lockText="1" noThreeD="1"/>
</file>

<file path=xl/ctrlProps/ctrlProp271.xml><?xml version="1.0" encoding="utf-8"?>
<formControlPr xmlns="http://schemas.microsoft.com/office/spreadsheetml/2009/9/main" objectType="CheckBox" fmlaLink="$K$144" lockText="1" noThreeD="1"/>
</file>

<file path=xl/ctrlProps/ctrlProp272.xml><?xml version="1.0" encoding="utf-8"?>
<formControlPr xmlns="http://schemas.microsoft.com/office/spreadsheetml/2009/9/main" objectType="CheckBox" fmlaLink="$K$138" lockText="1" noThreeD="1"/>
</file>

<file path=xl/ctrlProps/ctrlProp273.xml><?xml version="1.0" encoding="utf-8"?>
<formControlPr xmlns="http://schemas.microsoft.com/office/spreadsheetml/2009/9/main" objectType="CheckBox" fmlaLink="$K$134" lockText="1" noThreeD="1"/>
</file>

<file path=xl/ctrlProps/ctrlProp274.xml><?xml version="1.0" encoding="utf-8"?>
<formControlPr xmlns="http://schemas.microsoft.com/office/spreadsheetml/2009/9/main" objectType="CheckBox" fmlaLink="$K$135" lockText="1" noThreeD="1"/>
</file>

<file path=xl/ctrlProps/ctrlProp275.xml><?xml version="1.0" encoding="utf-8"?>
<formControlPr xmlns="http://schemas.microsoft.com/office/spreadsheetml/2009/9/main" objectType="CheckBox" fmlaLink="$K$139" lockText="1" noThreeD="1"/>
</file>

<file path=xl/ctrlProps/ctrlProp276.xml><?xml version="1.0" encoding="utf-8"?>
<formControlPr xmlns="http://schemas.microsoft.com/office/spreadsheetml/2009/9/main" objectType="CheckBox" fmlaLink="$K$142" lockText="1" noThreeD="1"/>
</file>

<file path=xl/ctrlProps/ctrlProp277.xml><?xml version="1.0" encoding="utf-8"?>
<formControlPr xmlns="http://schemas.microsoft.com/office/spreadsheetml/2009/9/main" objectType="CheckBox" fmlaLink="$K$143" lockText="1" noThreeD="1"/>
</file>

<file path=xl/ctrlProps/ctrlProp278.xml><?xml version="1.0" encoding="utf-8"?>
<formControlPr xmlns="http://schemas.microsoft.com/office/spreadsheetml/2009/9/main" objectType="CheckBox" fmlaLink="$K$140" lockText="1" noThreeD="1"/>
</file>

<file path=xl/ctrlProps/ctrlProp279.xml><?xml version="1.0" encoding="utf-8"?>
<formControlPr xmlns="http://schemas.microsoft.com/office/spreadsheetml/2009/9/main" objectType="CheckBox" fmlaLink="$K$137" lockText="1" noThreeD="1"/>
</file>

<file path=xl/ctrlProps/ctrlProp280.xml><?xml version="1.0" encoding="utf-8"?>
<formControlPr xmlns="http://schemas.microsoft.com/office/spreadsheetml/2009/9/main" objectType="CheckBox" fmlaLink="#REF!" lockText="1" noThreeD="1"/>
</file>

<file path=xl/ctrlProps/ctrlProp281.xml><?xml version="1.0" encoding="utf-8"?>
<formControlPr xmlns="http://schemas.microsoft.com/office/spreadsheetml/2009/9/main" objectType="CheckBox" fmlaLink="#REF!" lockText="1" noThreeD="1"/>
</file>

<file path=xl/ctrlProps/ctrlProp282.xml><?xml version="1.0" encoding="utf-8"?>
<formControlPr xmlns="http://schemas.microsoft.com/office/spreadsheetml/2009/9/main" objectType="CheckBox" fmlaLink="$L$3" lockText="1" noThreeD="1"/>
</file>

<file path=xl/ctrlProps/ctrlProp283.xml><?xml version="1.0" encoding="utf-8"?>
<formControlPr xmlns="http://schemas.microsoft.com/office/spreadsheetml/2009/9/main" objectType="CheckBox" fmlaLink="$L$4" lockText="1" noThreeD="1"/>
</file>

<file path=xl/ctrlProps/ctrlProp284.xml><?xml version="1.0" encoding="utf-8"?>
<formControlPr xmlns="http://schemas.microsoft.com/office/spreadsheetml/2009/9/main" objectType="CheckBox" fmlaLink="$L$2" lockText="1" noThreeD="1"/>
</file>

<file path=xl/ctrlProps/ctrlProp285.xml><?xml version="1.0" encoding="utf-8"?>
<formControlPr xmlns="http://schemas.microsoft.com/office/spreadsheetml/2009/9/main" objectType="CheckBox" fmlaLink="$L$5" lockText="1" noThreeD="1"/>
</file>

<file path=xl/ctrlProps/ctrlProp286.xml><?xml version="1.0" encoding="utf-8"?>
<formControlPr xmlns="http://schemas.microsoft.com/office/spreadsheetml/2009/9/main" objectType="CheckBox" fmlaLink="$L$11" lockText="1" noThreeD="1"/>
</file>

<file path=xl/ctrlProps/ctrlProp287.xml><?xml version="1.0" encoding="utf-8"?>
<formControlPr xmlns="http://schemas.microsoft.com/office/spreadsheetml/2009/9/main" objectType="CheckBox" fmlaLink="$L$8" lockText="1" noThreeD="1"/>
</file>

<file path=xl/ctrlProps/ctrlProp288.xml><?xml version="1.0" encoding="utf-8"?>
<formControlPr xmlns="http://schemas.microsoft.com/office/spreadsheetml/2009/9/main" objectType="CheckBox" fmlaLink="$L$19" lockText="1" noThreeD="1"/>
</file>

<file path=xl/ctrlProps/ctrlProp289.xml><?xml version="1.0" encoding="utf-8"?>
<formControlPr xmlns="http://schemas.microsoft.com/office/spreadsheetml/2009/9/main" objectType="CheckBox" fmlaLink="$L$10" lockText="1" noThreeD="1"/>
</file>

<file path=xl/ctrlProps/ctrlProp290.xml><?xml version="1.0" encoding="utf-8"?>
<formControlPr xmlns="http://schemas.microsoft.com/office/spreadsheetml/2009/9/main" objectType="CheckBox" fmlaLink="$L$23" lockText="1" noThreeD="1"/>
</file>

<file path=xl/ctrlProps/ctrlProp291.xml><?xml version="1.0" encoding="utf-8"?>
<formControlPr xmlns="http://schemas.microsoft.com/office/spreadsheetml/2009/9/main" objectType="CheckBox" fmlaLink="$L$15" lockText="1" noThreeD="1"/>
</file>

<file path=xl/ctrlProps/ctrlProp292.xml><?xml version="1.0" encoding="utf-8"?>
<formControlPr xmlns="http://schemas.microsoft.com/office/spreadsheetml/2009/9/main" objectType="CheckBox" fmlaLink="$L$13" lockText="1" noThreeD="1"/>
</file>

<file path=xl/ctrlProps/ctrlProp293.xml><?xml version="1.0" encoding="utf-8"?>
<formControlPr xmlns="http://schemas.microsoft.com/office/spreadsheetml/2009/9/main" objectType="CheckBox" fmlaLink="$L$20" lockText="1" noThreeD="1"/>
</file>

<file path=xl/ctrlProps/ctrlProp294.xml><?xml version="1.0" encoding="utf-8"?>
<formControlPr xmlns="http://schemas.microsoft.com/office/spreadsheetml/2009/9/main" objectType="CheckBox" fmlaLink="$L$17" lockText="1" noThreeD="1"/>
</file>

<file path=xl/ctrlProps/ctrlProp295.xml><?xml version="1.0" encoding="utf-8"?>
<formControlPr xmlns="http://schemas.microsoft.com/office/spreadsheetml/2009/9/main" objectType="CheckBox" fmlaLink="$L$12" lockText="1" noThreeD="1"/>
</file>

<file path=xl/ctrlProps/ctrlProp296.xml><?xml version="1.0" encoding="utf-8"?>
<formControlPr xmlns="http://schemas.microsoft.com/office/spreadsheetml/2009/9/main" objectType="CheckBox" fmlaLink="$L$21" lockText="1" noThreeD="1"/>
</file>

<file path=xl/ctrlProps/ctrlProp297.xml><?xml version="1.0" encoding="utf-8"?>
<formControlPr xmlns="http://schemas.microsoft.com/office/spreadsheetml/2009/9/main" objectType="CheckBox" fmlaLink="$L$25" lockText="1" noThreeD="1"/>
</file>

<file path=xl/ctrlProps/ctrlProp298.xml><?xml version="1.0" encoding="utf-8"?>
<formControlPr xmlns="http://schemas.microsoft.com/office/spreadsheetml/2009/9/main" objectType="CheckBox" fmlaLink="$L$22" lockText="1" noThreeD="1"/>
</file>

<file path=xl/ctrlProps/ctrlProp299.xml><?xml version="1.0" encoding="utf-8"?>
<formControlPr xmlns="http://schemas.microsoft.com/office/spreadsheetml/2009/9/main" objectType="CheckBox" fmlaLink="$L$24" lockText="1" noThreeD="1"/>
</file>

<file path=xl/ctrlProps/ctrlProp300.xml><?xml version="1.0" encoding="utf-8"?>
<formControlPr xmlns="http://schemas.microsoft.com/office/spreadsheetml/2009/9/main" objectType="CheckBox" fmlaLink="$L$27" lockText="1" noThreeD="1"/>
</file>

<file path=xl/ctrlProps/ctrlProp301.xml><?xml version="1.0" encoding="utf-8"?>
<formControlPr xmlns="http://schemas.microsoft.com/office/spreadsheetml/2009/9/main" objectType="CheckBox" fmlaLink="#REF!" lockText="1" noThreeD="1"/>
</file>

<file path=xl/ctrlProps/ctrlProp302.xml><?xml version="1.0" encoding="utf-8"?>
<formControlPr xmlns="http://schemas.microsoft.com/office/spreadsheetml/2009/9/main" objectType="CheckBox" fmlaLink="$L$31" lockText="1" noThreeD="1"/>
</file>

<file path=xl/ctrlProps/ctrlProp303.xml><?xml version="1.0" encoding="utf-8"?>
<formControlPr xmlns="http://schemas.microsoft.com/office/spreadsheetml/2009/9/main" objectType="CheckBox" fmlaLink="$L$26" lockText="1" noThreeD="1"/>
</file>

<file path=xl/ctrlProps/ctrlProp304.xml><?xml version="1.0" encoding="utf-8"?>
<formControlPr xmlns="http://schemas.microsoft.com/office/spreadsheetml/2009/9/main" objectType="CheckBox" fmlaLink="$L$29" lockText="1" noThreeD="1"/>
</file>

<file path=xl/ctrlProps/ctrlProp305.xml><?xml version="1.0" encoding="utf-8"?>
<formControlPr xmlns="http://schemas.microsoft.com/office/spreadsheetml/2009/9/main" objectType="CheckBox" fmlaLink="$L$36" lockText="1" noThreeD="1"/>
</file>

<file path=xl/ctrlProps/ctrlProp306.xml><?xml version="1.0" encoding="utf-8"?>
<formControlPr xmlns="http://schemas.microsoft.com/office/spreadsheetml/2009/9/main" objectType="CheckBox" fmlaLink="$L$30" lockText="1" noThreeD="1"/>
</file>

<file path=xl/ctrlProps/ctrlProp307.xml><?xml version="1.0" encoding="utf-8"?>
<formControlPr xmlns="http://schemas.microsoft.com/office/spreadsheetml/2009/9/main" objectType="CheckBox" fmlaLink="$L$32" lockText="1" noThreeD="1"/>
</file>

<file path=xl/ctrlProps/ctrlProp308.xml><?xml version="1.0" encoding="utf-8"?>
<formControlPr xmlns="http://schemas.microsoft.com/office/spreadsheetml/2009/9/main" objectType="CheckBox" fmlaLink="$L$28" lockText="1" noThreeD="1"/>
</file>

<file path=xl/ctrlProps/ctrlProp309.xml><?xml version="1.0" encoding="utf-8"?>
<formControlPr xmlns="http://schemas.microsoft.com/office/spreadsheetml/2009/9/main" objectType="CheckBox" fmlaLink="$L$33" lockText="1" noThreeD="1"/>
</file>

<file path=xl/ctrlProps/ctrlProp310.xml><?xml version="1.0" encoding="utf-8"?>
<formControlPr xmlns="http://schemas.microsoft.com/office/spreadsheetml/2009/9/main" objectType="CheckBox" fmlaLink="$L$48" lockText="1" noThreeD="1"/>
</file>

<file path=xl/ctrlProps/ctrlProp311.xml><?xml version="1.0" encoding="utf-8"?>
<formControlPr xmlns="http://schemas.microsoft.com/office/spreadsheetml/2009/9/main" objectType="CheckBox" fmlaLink="$L$43" lockText="1" noThreeD="1"/>
</file>

<file path=xl/ctrlProps/ctrlProp312.xml><?xml version="1.0" encoding="utf-8"?>
<formControlPr xmlns="http://schemas.microsoft.com/office/spreadsheetml/2009/9/main" objectType="CheckBox" fmlaLink="$L$40" lockText="1" noThreeD="1"/>
</file>

<file path=xl/ctrlProps/ctrlProp313.xml><?xml version="1.0" encoding="utf-8"?>
<formControlPr xmlns="http://schemas.microsoft.com/office/spreadsheetml/2009/9/main" objectType="CheckBox" fmlaLink="$L$35" lockText="1" noThreeD="1"/>
</file>

<file path=xl/ctrlProps/ctrlProp314.xml><?xml version="1.0" encoding="utf-8"?>
<formControlPr xmlns="http://schemas.microsoft.com/office/spreadsheetml/2009/9/main" objectType="CheckBox" fmlaLink="$L$38" lockText="1" noThreeD="1"/>
</file>

<file path=xl/ctrlProps/ctrlProp315.xml><?xml version="1.0" encoding="utf-8"?>
<formControlPr xmlns="http://schemas.microsoft.com/office/spreadsheetml/2009/9/main" objectType="CheckBox" fmlaLink="$L$45" lockText="1" noThreeD="1"/>
</file>

<file path=xl/ctrlProps/ctrlProp316.xml><?xml version="1.0" encoding="utf-8"?>
<formControlPr xmlns="http://schemas.microsoft.com/office/spreadsheetml/2009/9/main" objectType="CheckBox" fmlaLink="$L$37" lockText="1" noThreeD="1"/>
</file>

<file path=xl/ctrlProps/ctrlProp317.xml><?xml version="1.0" encoding="utf-8"?>
<formControlPr xmlns="http://schemas.microsoft.com/office/spreadsheetml/2009/9/main" objectType="CheckBox" fmlaLink="$L$42" lockText="1" noThreeD="1"/>
</file>

<file path=xl/ctrlProps/ctrlProp318.xml><?xml version="1.0" encoding="utf-8"?>
<formControlPr xmlns="http://schemas.microsoft.com/office/spreadsheetml/2009/9/main" objectType="CheckBox" fmlaLink="$L$44" lockText="1" noThreeD="1"/>
</file>

<file path=xl/ctrlProps/ctrlProp319.xml><?xml version="1.0" encoding="utf-8"?>
<formControlPr xmlns="http://schemas.microsoft.com/office/spreadsheetml/2009/9/main" objectType="CheckBox" fmlaLink="$L$41" lockText="1" noThreeD="1"/>
</file>

<file path=xl/ctrlProps/ctrlProp320.xml><?xml version="1.0" encoding="utf-8"?>
<formControlPr xmlns="http://schemas.microsoft.com/office/spreadsheetml/2009/9/main" objectType="CheckBox" fmlaLink="$L$47" lockText="1" noThreeD="1"/>
</file>

<file path=xl/ctrlProps/ctrlProp321.xml><?xml version="1.0" encoding="utf-8"?>
<formControlPr xmlns="http://schemas.microsoft.com/office/spreadsheetml/2009/9/main" objectType="CheckBox" fmlaLink="$L$50" lockText="1" noThreeD="1"/>
</file>

<file path=xl/ctrlProps/ctrlProp322.xml><?xml version="1.0" encoding="utf-8"?>
<formControlPr xmlns="http://schemas.microsoft.com/office/spreadsheetml/2009/9/main" objectType="CheckBox" fmlaLink="$L$46" lockText="1" noThreeD="1"/>
</file>

<file path=xl/ctrlProps/ctrlProp323.xml><?xml version="1.0" encoding="utf-8"?>
<formControlPr xmlns="http://schemas.microsoft.com/office/spreadsheetml/2009/9/main" objectType="CheckBox" fmlaLink="$L$49" lockText="1" noThreeD="1"/>
</file>

<file path=xl/ctrlProps/ctrlProp324.xml><?xml version="1.0" encoding="utf-8"?>
<formControlPr xmlns="http://schemas.microsoft.com/office/spreadsheetml/2009/9/main" objectType="CheckBox" fmlaLink="$L$52" lockText="1" noThreeD="1"/>
</file>

<file path=xl/ctrlProps/ctrlProp325.xml><?xml version="1.0" encoding="utf-8"?>
<formControlPr xmlns="http://schemas.microsoft.com/office/spreadsheetml/2009/9/main" objectType="CheckBox" fmlaLink="$L$51" lockText="1" noThreeD="1"/>
</file>

<file path=xl/ctrlProps/ctrlProp326.xml><?xml version="1.0" encoding="utf-8"?>
<formControlPr xmlns="http://schemas.microsoft.com/office/spreadsheetml/2009/9/main" objectType="CheckBox" fmlaLink="$L$56" lockText="1" noThreeD="1"/>
</file>

<file path=xl/ctrlProps/ctrlProp327.xml><?xml version="1.0" encoding="utf-8"?>
<formControlPr xmlns="http://schemas.microsoft.com/office/spreadsheetml/2009/9/main" objectType="CheckBox" fmlaLink="$L$53" lockText="1" noThreeD="1"/>
</file>

<file path=xl/ctrlProps/ctrlProp328.xml><?xml version="1.0" encoding="utf-8"?>
<formControlPr xmlns="http://schemas.microsoft.com/office/spreadsheetml/2009/9/main" objectType="CheckBox" fmlaLink="$L$55" lockText="1" noThreeD="1"/>
</file>

<file path=xl/ctrlProps/ctrlProp329.xml><?xml version="1.0" encoding="utf-8"?>
<formControlPr xmlns="http://schemas.microsoft.com/office/spreadsheetml/2009/9/main" objectType="CheckBox" fmlaLink="$L$54" lockText="1" noThreeD="1"/>
</file>

<file path=xl/ctrlProps/ctrlProp330.xml><?xml version="1.0" encoding="utf-8"?>
<formControlPr xmlns="http://schemas.microsoft.com/office/spreadsheetml/2009/9/main" objectType="CheckBox" fmlaLink="#REF!" lockText="1" noThreeD="1"/>
</file>

<file path=xl/ctrlProps/ctrlProp331.xml><?xml version="1.0" encoding="utf-8"?>
<formControlPr xmlns="http://schemas.microsoft.com/office/spreadsheetml/2009/9/main" objectType="CheckBox" fmlaLink="$L$67" lockText="1" noThreeD="1"/>
</file>

<file path=xl/ctrlProps/ctrlProp332.xml><?xml version="1.0" encoding="utf-8"?>
<formControlPr xmlns="http://schemas.microsoft.com/office/spreadsheetml/2009/9/main" objectType="CheckBox" fmlaLink="$L$63" lockText="1" noThreeD="1"/>
</file>

<file path=xl/ctrlProps/ctrlProp333.xml><?xml version="1.0" encoding="utf-8"?>
<formControlPr xmlns="http://schemas.microsoft.com/office/spreadsheetml/2009/9/main" objectType="CheckBox" fmlaLink="$L$60" lockText="1" noThreeD="1"/>
</file>

<file path=xl/ctrlProps/ctrlProp334.xml><?xml version="1.0" encoding="utf-8"?>
<formControlPr xmlns="http://schemas.microsoft.com/office/spreadsheetml/2009/9/main" objectType="CheckBox" fmlaLink="$L$70" lockText="1" noThreeD="1"/>
</file>

<file path=xl/ctrlProps/ctrlProp335.xml><?xml version="1.0" encoding="utf-8"?>
<formControlPr xmlns="http://schemas.microsoft.com/office/spreadsheetml/2009/9/main" objectType="CheckBox" fmlaLink="$L$65" lockText="1" noThreeD="1"/>
</file>

<file path=xl/ctrlProps/ctrlProp336.xml><?xml version="1.0" encoding="utf-8"?>
<formControlPr xmlns="http://schemas.microsoft.com/office/spreadsheetml/2009/9/main" objectType="CheckBox" fmlaLink="$L$58" lockText="1" noThreeD="1"/>
</file>

<file path=xl/ctrlProps/ctrlProp337.xml><?xml version="1.0" encoding="utf-8"?>
<formControlPr xmlns="http://schemas.microsoft.com/office/spreadsheetml/2009/9/main" objectType="CheckBox" fmlaLink="$L$66" lockText="1" noThreeD="1"/>
</file>

<file path=xl/ctrlProps/ctrlProp338.xml><?xml version="1.0" encoding="utf-8"?>
<formControlPr xmlns="http://schemas.microsoft.com/office/spreadsheetml/2009/9/main" objectType="CheckBox" fmlaLink="$L$64" lockText="1" noThreeD="1"/>
</file>

<file path=xl/ctrlProps/ctrlProp339.xml><?xml version="1.0" encoding="utf-8"?>
<formControlPr xmlns="http://schemas.microsoft.com/office/spreadsheetml/2009/9/main" objectType="CheckBox" fmlaLink="$L$61" lockText="1" noThreeD="1"/>
</file>

<file path=xl/ctrlProps/ctrlProp340.xml><?xml version="1.0" encoding="utf-8"?>
<formControlPr xmlns="http://schemas.microsoft.com/office/spreadsheetml/2009/9/main" objectType="CheckBox" fmlaLink="$L$59" lockText="1" noThreeD="1"/>
</file>

<file path=xl/ctrlProps/ctrlProp341.xml><?xml version="1.0" encoding="utf-8"?>
<formControlPr xmlns="http://schemas.microsoft.com/office/spreadsheetml/2009/9/main" objectType="CheckBox" fmlaLink="$L$57" lockText="1" noThreeD="1"/>
</file>

<file path=xl/ctrlProps/ctrlProp342.xml><?xml version="1.0" encoding="utf-8"?>
<formControlPr xmlns="http://schemas.microsoft.com/office/spreadsheetml/2009/9/main" objectType="CheckBox" fmlaLink="$L$68" lockText="1" noThreeD="1"/>
</file>

<file path=xl/ctrlProps/ctrlProp343.xml><?xml version="1.0" encoding="utf-8"?>
<formControlPr xmlns="http://schemas.microsoft.com/office/spreadsheetml/2009/9/main" objectType="CheckBox" fmlaLink="$L$72" lockText="1" noThreeD="1"/>
</file>

<file path=xl/ctrlProps/ctrlProp344.xml><?xml version="1.0" encoding="utf-8"?>
<formControlPr xmlns="http://schemas.microsoft.com/office/spreadsheetml/2009/9/main" objectType="CheckBox" fmlaLink="$L$69" lockText="1" noThreeD="1"/>
</file>

<file path=xl/ctrlProps/ctrlProp345.xml><?xml version="1.0" encoding="utf-8"?>
<formControlPr xmlns="http://schemas.microsoft.com/office/spreadsheetml/2009/9/main" objectType="CheckBox" fmlaLink="$L$71" lockText="1" noThreeD="1"/>
</file>

<file path=xl/ctrlProps/ctrlProp346.xml><?xml version="1.0" encoding="utf-8"?>
<formControlPr xmlns="http://schemas.microsoft.com/office/spreadsheetml/2009/9/main" objectType="CheckBox" fmlaLink="$L$73" lockText="1" noThreeD="1"/>
</file>

<file path=xl/ctrlProps/ctrlProp347.xml><?xml version="1.0" encoding="utf-8"?>
<formControlPr xmlns="http://schemas.microsoft.com/office/spreadsheetml/2009/9/main" objectType="CheckBox" fmlaLink="$L$77" lockText="1" noThreeD="1"/>
</file>

<file path=xl/ctrlProps/ctrlProp348.xml><?xml version="1.0" encoding="utf-8"?>
<formControlPr xmlns="http://schemas.microsoft.com/office/spreadsheetml/2009/9/main" objectType="CheckBox" fmlaLink="$L$75" lockText="1" noThreeD="1"/>
</file>

<file path=xl/ctrlProps/ctrlProp349.xml><?xml version="1.0" encoding="utf-8"?>
<formControlPr xmlns="http://schemas.microsoft.com/office/spreadsheetml/2009/9/main" objectType="CheckBox" fmlaLink="$L$80" lockText="1" noThreeD="1"/>
</file>

<file path=xl/ctrlProps/ctrlProp350.xml><?xml version="1.0" encoding="utf-8"?>
<formControlPr xmlns="http://schemas.microsoft.com/office/spreadsheetml/2009/9/main" objectType="CheckBox" fmlaLink="$L$76" lockText="1" noThreeD="1"/>
</file>

<file path=xl/ctrlProps/ctrlProp351.xml><?xml version="1.0" encoding="utf-8"?>
<formControlPr xmlns="http://schemas.microsoft.com/office/spreadsheetml/2009/9/main" objectType="CheckBox" fmlaLink="$L$74" lockText="1" noThreeD="1"/>
</file>

<file path=xl/ctrlProps/ctrlProp352.xml><?xml version="1.0" encoding="utf-8"?>
<formControlPr xmlns="http://schemas.microsoft.com/office/spreadsheetml/2009/9/main" objectType="CheckBox" fmlaLink="$L$78" lockText="1" noThreeD="1"/>
</file>

<file path=xl/ctrlProps/ctrlProp353.xml><?xml version="1.0" encoding="utf-8"?>
<formControlPr xmlns="http://schemas.microsoft.com/office/spreadsheetml/2009/9/main" objectType="CheckBox" fmlaLink="$L$79" lockText="1" noThreeD="1"/>
</file>

<file path=xl/ctrlProps/ctrlProp354.xml><?xml version="1.0" encoding="utf-8"?>
<formControlPr xmlns="http://schemas.microsoft.com/office/spreadsheetml/2009/9/main" objectType="CheckBox" fmlaLink="$L$84" lockText="1" noThreeD="1"/>
</file>

<file path=xl/ctrlProps/ctrlProp355.xml><?xml version="1.0" encoding="utf-8"?>
<formControlPr xmlns="http://schemas.microsoft.com/office/spreadsheetml/2009/9/main" objectType="CheckBox" fmlaLink="$L$86" lockText="1" noThreeD="1"/>
</file>

<file path=xl/ctrlProps/ctrlProp356.xml><?xml version="1.0" encoding="utf-8"?>
<formControlPr xmlns="http://schemas.microsoft.com/office/spreadsheetml/2009/9/main" objectType="CheckBox" fmlaLink="$L$83" lockText="1" noThreeD="1"/>
</file>

<file path=xl/ctrlProps/ctrlProp357.xml><?xml version="1.0" encoding="utf-8"?>
<formControlPr xmlns="http://schemas.microsoft.com/office/spreadsheetml/2009/9/main" objectType="CheckBox" fmlaLink="$L$85" lockText="1" noThreeD="1"/>
</file>

<file path=xl/ctrlProps/ctrlProp358.xml><?xml version="1.0" encoding="utf-8"?>
<formControlPr xmlns="http://schemas.microsoft.com/office/spreadsheetml/2009/9/main" objectType="CheckBox" fmlaLink="$L$82" lockText="1" noThreeD="1"/>
</file>

<file path=xl/ctrlProps/ctrlProp359.xml><?xml version="1.0" encoding="utf-8"?>
<formControlPr xmlns="http://schemas.microsoft.com/office/spreadsheetml/2009/9/main" objectType="CheckBox" fmlaLink="$L$125" lockText="1" noThreeD="1"/>
</file>

<file path=xl/ctrlProps/ctrlProp360.xml><?xml version="1.0" encoding="utf-8"?>
<formControlPr xmlns="http://schemas.microsoft.com/office/spreadsheetml/2009/9/main" objectType="CheckBox" fmlaLink="$L$119" lockText="1" noThreeD="1"/>
</file>

<file path=xl/ctrlProps/ctrlProp361.xml><?xml version="1.0" encoding="utf-8"?>
<formControlPr xmlns="http://schemas.microsoft.com/office/spreadsheetml/2009/9/main" objectType="CheckBox" fmlaLink="$L$111" lockText="1" noThreeD="1"/>
</file>

<file path=xl/ctrlProps/ctrlProp362.xml><?xml version="1.0" encoding="utf-8"?>
<formControlPr xmlns="http://schemas.microsoft.com/office/spreadsheetml/2009/9/main" objectType="CheckBox" fmlaLink="$L$104" lockText="1" noThreeD="1"/>
</file>

<file path=xl/ctrlProps/ctrlProp363.xml><?xml version="1.0" encoding="utf-8"?>
<formControlPr xmlns="http://schemas.microsoft.com/office/spreadsheetml/2009/9/main" objectType="CheckBox" fmlaLink="$L$98" lockText="1" noThreeD="1"/>
</file>

<file path=xl/ctrlProps/ctrlProp364.xml><?xml version="1.0" encoding="utf-8"?>
<formControlPr xmlns="http://schemas.microsoft.com/office/spreadsheetml/2009/9/main" objectType="CheckBox" fmlaLink="$L$95" lockText="1" noThreeD="1"/>
</file>

<file path=xl/ctrlProps/ctrlProp365.xml><?xml version="1.0" encoding="utf-8"?>
<formControlPr xmlns="http://schemas.microsoft.com/office/spreadsheetml/2009/9/main" objectType="CheckBox" fmlaLink="$L$91" lockText="1" noThreeD="1"/>
</file>

<file path=xl/ctrlProps/ctrlProp366.xml><?xml version="1.0" encoding="utf-8"?>
<formControlPr xmlns="http://schemas.microsoft.com/office/spreadsheetml/2009/9/main" objectType="CheckBox" fmlaLink="$L$89" lockText="1" noThreeD="1"/>
</file>

<file path=xl/ctrlProps/ctrlProp367.xml><?xml version="1.0" encoding="utf-8"?>
<formControlPr xmlns="http://schemas.microsoft.com/office/spreadsheetml/2009/9/main" objectType="CheckBox" fmlaLink="#REF!" lockText="1" noThreeD="1"/>
</file>

<file path=xl/ctrlProps/ctrlProp368.xml><?xml version="1.0" encoding="utf-8"?>
<formControlPr xmlns="http://schemas.microsoft.com/office/spreadsheetml/2009/9/main" objectType="CheckBox" fmlaLink="$L$99" lockText="1" noThreeD="1"/>
</file>

<file path=xl/ctrlProps/ctrlProp369.xml><?xml version="1.0" encoding="utf-8"?>
<formControlPr xmlns="http://schemas.microsoft.com/office/spreadsheetml/2009/9/main" objectType="CheckBox" fmlaLink="$L$96" lockText="1" noThreeD="1"/>
</file>

<file path=xl/ctrlProps/ctrlProp370.xml><?xml version="1.0" encoding="utf-8"?>
<formControlPr xmlns="http://schemas.microsoft.com/office/spreadsheetml/2009/9/main" objectType="CheckBox" fmlaLink="$L$93" lockText="1" noThreeD="1"/>
</file>

<file path=xl/ctrlProps/ctrlProp371.xml><?xml version="1.0" encoding="utf-8"?>
<formControlPr xmlns="http://schemas.microsoft.com/office/spreadsheetml/2009/9/main" objectType="CheckBox" fmlaLink="$L$90" lockText="1" noThreeD="1"/>
</file>

<file path=xl/ctrlProps/ctrlProp372.xml><?xml version="1.0" encoding="utf-8"?>
<formControlPr xmlns="http://schemas.microsoft.com/office/spreadsheetml/2009/9/main" objectType="CheckBox" fmlaLink="$L$88" lockText="1" noThreeD="1"/>
</file>

<file path=xl/ctrlProps/ctrlProp373.xml><?xml version="1.0" encoding="utf-8"?>
<formControlPr xmlns="http://schemas.microsoft.com/office/spreadsheetml/2009/9/main" objectType="CheckBox" fmlaLink="$L$87" lockText="1" noThreeD="1"/>
</file>

<file path=xl/ctrlProps/ctrlProp374.xml><?xml version="1.0" encoding="utf-8"?>
<formControlPr xmlns="http://schemas.microsoft.com/office/spreadsheetml/2009/9/main" objectType="CheckBox" fmlaLink="$L$94" lockText="1" noThreeD="1"/>
</file>

<file path=xl/ctrlProps/ctrlProp375.xml><?xml version="1.0" encoding="utf-8"?>
<formControlPr xmlns="http://schemas.microsoft.com/office/spreadsheetml/2009/9/main" objectType="CheckBox" fmlaLink="$L$92" lockText="1" noThreeD="1"/>
</file>

<file path=xl/ctrlProps/ctrlProp376.xml><?xml version="1.0" encoding="utf-8"?>
<formControlPr xmlns="http://schemas.microsoft.com/office/spreadsheetml/2009/9/main" objectType="CheckBox" fmlaLink="$L$100" lockText="1" noThreeD="1"/>
</file>

<file path=xl/ctrlProps/ctrlProp377.xml><?xml version="1.0" encoding="utf-8"?>
<formControlPr xmlns="http://schemas.microsoft.com/office/spreadsheetml/2009/9/main" objectType="CheckBox" fmlaLink="$L$97" lockText="1" noThreeD="1"/>
</file>

<file path=xl/ctrlProps/ctrlProp378.xml><?xml version="1.0" encoding="utf-8"?>
<formControlPr xmlns="http://schemas.microsoft.com/office/spreadsheetml/2009/9/main" objectType="CheckBox" fmlaLink="$L$103" lockText="1" noThreeD="1"/>
</file>

<file path=xl/ctrlProps/ctrlProp379.xml><?xml version="1.0" encoding="utf-8"?>
<formControlPr xmlns="http://schemas.microsoft.com/office/spreadsheetml/2009/9/main" objectType="CheckBox" fmlaLink="#REF!" lockText="1" noThreeD="1"/>
</file>

<file path=xl/ctrlProps/ctrlProp380.xml><?xml version="1.0" encoding="utf-8"?>
<formControlPr xmlns="http://schemas.microsoft.com/office/spreadsheetml/2009/9/main" objectType="CheckBox" fmlaLink="$L$102" lockText="1" noThreeD="1"/>
</file>

<file path=xl/ctrlProps/ctrlProp381.xml><?xml version="1.0" encoding="utf-8"?>
<formControlPr xmlns="http://schemas.microsoft.com/office/spreadsheetml/2009/9/main" objectType="CheckBox" fmlaLink="$L$108" lockText="1" noThreeD="1"/>
</file>

<file path=xl/ctrlProps/ctrlProp382.xml><?xml version="1.0" encoding="utf-8"?>
<formControlPr xmlns="http://schemas.microsoft.com/office/spreadsheetml/2009/9/main" objectType="CheckBox" fmlaLink="$L$114" lockText="1" noThreeD="1"/>
</file>

<file path=xl/ctrlProps/ctrlProp383.xml><?xml version="1.0" encoding="utf-8"?>
<formControlPr xmlns="http://schemas.microsoft.com/office/spreadsheetml/2009/9/main" objectType="CheckBox" fmlaLink="$L$116" lockText="1" noThreeD="1"/>
</file>

<file path=xl/ctrlProps/ctrlProp384.xml><?xml version="1.0" encoding="utf-8"?>
<formControlPr xmlns="http://schemas.microsoft.com/office/spreadsheetml/2009/9/main" objectType="CheckBox" fmlaLink="$L$120" lockText="1" noThreeD="1"/>
</file>

<file path=xl/ctrlProps/ctrlProp385.xml><?xml version="1.0" encoding="utf-8"?>
<formControlPr xmlns="http://schemas.microsoft.com/office/spreadsheetml/2009/9/main" objectType="CheckBox" fmlaLink="$L$122" lockText="1" noThreeD="1"/>
</file>

<file path=xl/ctrlProps/ctrlProp386.xml><?xml version="1.0" encoding="utf-8"?>
<formControlPr xmlns="http://schemas.microsoft.com/office/spreadsheetml/2009/9/main" objectType="CheckBox" fmlaLink="#REF!" lockText="1" noThreeD="1"/>
</file>

<file path=xl/ctrlProps/ctrlProp387.xml><?xml version="1.0" encoding="utf-8"?>
<formControlPr xmlns="http://schemas.microsoft.com/office/spreadsheetml/2009/9/main" objectType="CheckBox" fmlaLink="$L$121" lockText="1" noThreeD="1"/>
</file>

<file path=xl/ctrlProps/ctrlProp388.xml><?xml version="1.0" encoding="utf-8"?>
<formControlPr xmlns="http://schemas.microsoft.com/office/spreadsheetml/2009/9/main" objectType="CheckBox" fmlaLink="$L$117" lockText="1" noThreeD="1"/>
</file>

<file path=xl/ctrlProps/ctrlProp389.xml><?xml version="1.0" encoding="utf-8"?>
<formControlPr xmlns="http://schemas.microsoft.com/office/spreadsheetml/2009/9/main" objectType="CheckBox" fmlaLink="$L$115" lockText="1" noThreeD="1"/>
</file>

<file path=xl/ctrlProps/ctrlProp390.xml><?xml version="1.0" encoding="utf-8"?>
<formControlPr xmlns="http://schemas.microsoft.com/office/spreadsheetml/2009/9/main" objectType="CheckBox" fmlaLink="$L$113" lockText="1" noThreeD="1"/>
</file>

<file path=xl/ctrlProps/ctrlProp391.xml><?xml version="1.0" encoding="utf-8"?>
<formControlPr xmlns="http://schemas.microsoft.com/office/spreadsheetml/2009/9/main" objectType="CheckBox" fmlaLink="$L$112" lockText="1" noThreeD="1"/>
</file>

<file path=xl/ctrlProps/ctrlProp392.xml><?xml version="1.0" encoding="utf-8"?>
<formControlPr xmlns="http://schemas.microsoft.com/office/spreadsheetml/2009/9/main" objectType="CheckBox" fmlaLink="$L$109" lockText="1" noThreeD="1"/>
</file>

<file path=xl/ctrlProps/ctrlProp393.xml><?xml version="1.0" encoding="utf-8"?>
<formControlPr xmlns="http://schemas.microsoft.com/office/spreadsheetml/2009/9/main" objectType="CheckBox" fmlaLink="$L$110" lockText="1" noThreeD="1"/>
</file>

<file path=xl/ctrlProps/ctrlProp394.xml><?xml version="1.0" encoding="utf-8"?>
<formControlPr xmlns="http://schemas.microsoft.com/office/spreadsheetml/2009/9/main" objectType="CheckBox" fmlaLink="$L$107" lockText="1" noThreeD="1"/>
</file>

<file path=xl/ctrlProps/ctrlProp395.xml><?xml version="1.0" encoding="utf-8"?>
<formControlPr xmlns="http://schemas.microsoft.com/office/spreadsheetml/2009/9/main" objectType="CheckBox" fmlaLink="$L$106" lockText="1" noThreeD="1"/>
</file>

<file path=xl/ctrlProps/ctrlProp396.xml><?xml version="1.0" encoding="utf-8"?>
<formControlPr xmlns="http://schemas.microsoft.com/office/spreadsheetml/2009/9/main" objectType="CheckBox" fmlaLink="$L$101" lockText="1" noThreeD="1"/>
</file>

<file path=xl/ctrlProps/ctrlProp397.xml><?xml version="1.0" encoding="utf-8"?>
<formControlPr xmlns="http://schemas.microsoft.com/office/spreadsheetml/2009/9/main" objectType="CheckBox" fmlaLink="$L$118" lockText="1" noThreeD="1"/>
</file>

<file path=xl/ctrlProps/ctrlProp398.xml><?xml version="1.0" encoding="utf-8"?>
<formControlPr xmlns="http://schemas.microsoft.com/office/spreadsheetml/2009/9/main" objectType="CheckBox" fmlaLink="$L$123" lockText="1" noThreeD="1"/>
</file>

<file path=xl/ctrlProps/ctrlProp399.xml><?xml version="1.0" encoding="utf-8"?>
<formControlPr xmlns="http://schemas.microsoft.com/office/spreadsheetml/2009/9/main" objectType="CheckBox" fmlaLink="$L$128" lockText="1" noThreeD="1"/>
</file>

<file path=xl/ctrlProps/ctrlProp400.xml><?xml version="1.0" encoding="utf-8"?>
<formControlPr xmlns="http://schemas.microsoft.com/office/spreadsheetml/2009/9/main" objectType="CheckBox" fmlaLink="$L$124" lockText="1" noThreeD="1"/>
</file>

<file path=xl/ctrlProps/ctrlProp401.xml><?xml version="1.0" encoding="utf-8"?>
<formControlPr xmlns="http://schemas.microsoft.com/office/spreadsheetml/2009/9/main" objectType="CheckBox" fmlaLink="$L$127" lockText="1" noThreeD="1"/>
</file>

<file path=xl/ctrlProps/ctrlProp402.xml><?xml version="1.0" encoding="utf-8"?>
<formControlPr xmlns="http://schemas.microsoft.com/office/spreadsheetml/2009/9/main" objectType="CheckBox" fmlaLink="$L$131" lockText="1" noThreeD="1"/>
</file>

<file path=xl/ctrlProps/ctrlProp403.xml><?xml version="1.0" encoding="utf-8"?>
<formControlPr xmlns="http://schemas.microsoft.com/office/spreadsheetml/2009/9/main" objectType="CheckBox" fmlaLink="$L$126" lockText="1" noThreeD="1"/>
</file>

<file path=xl/ctrlProps/ctrlProp404.xml><?xml version="1.0" encoding="utf-8"?>
<formControlPr xmlns="http://schemas.microsoft.com/office/spreadsheetml/2009/9/main" objectType="CheckBox" fmlaLink="$L$130" lockText="1" noThreeD="1"/>
</file>

<file path=xl/ctrlProps/ctrlProp405.xml><?xml version="1.0" encoding="utf-8"?>
<formControlPr xmlns="http://schemas.microsoft.com/office/spreadsheetml/2009/9/main" objectType="CheckBox" fmlaLink="$L$129" lockText="1" noThreeD="1"/>
</file>

<file path=xl/ctrlProps/ctrlProp406.xml><?xml version="1.0" encoding="utf-8"?>
<formControlPr xmlns="http://schemas.microsoft.com/office/spreadsheetml/2009/9/main" objectType="CheckBox" fmlaLink="$L$144" lockText="1" noThreeD="1"/>
</file>

<file path=xl/ctrlProps/ctrlProp407.xml><?xml version="1.0" encoding="utf-8"?>
<formControlPr xmlns="http://schemas.microsoft.com/office/spreadsheetml/2009/9/main" objectType="CheckBox" fmlaLink="$L$141" lockText="1" noThreeD="1"/>
</file>

<file path=xl/ctrlProps/ctrlProp408.xml><?xml version="1.0" encoding="utf-8"?>
<formControlPr xmlns="http://schemas.microsoft.com/office/spreadsheetml/2009/9/main" objectType="CheckBox" fmlaLink="$L$139" lockText="1" noThreeD="1"/>
</file>

<file path=xl/ctrlProps/ctrlProp409.xml><?xml version="1.0" encoding="utf-8"?>
<formControlPr xmlns="http://schemas.microsoft.com/office/spreadsheetml/2009/9/main" objectType="CheckBox" fmlaLink="$L$135" lockText="1" noThreeD="1"/>
</file>

<file path=xl/ctrlProps/ctrlProp410.xml><?xml version="1.0" encoding="utf-8"?>
<formControlPr xmlns="http://schemas.microsoft.com/office/spreadsheetml/2009/9/main" objectType="CheckBox" fmlaLink="$L$133" lockText="1" noThreeD="1"/>
</file>

<file path=xl/ctrlProps/ctrlProp411.xml><?xml version="1.0" encoding="utf-8"?>
<formControlPr xmlns="http://schemas.microsoft.com/office/spreadsheetml/2009/9/main" objectType="CheckBox" fmlaLink="$L$137" lockText="1" noThreeD="1"/>
</file>

<file path=xl/ctrlProps/ctrlProp412.xml><?xml version="1.0" encoding="utf-8"?>
<formControlPr xmlns="http://schemas.microsoft.com/office/spreadsheetml/2009/9/main" objectType="CheckBox" fmlaLink="$L$143" lockText="1" noThreeD="1"/>
</file>

<file path=xl/ctrlProps/ctrlProp413.xml><?xml version="1.0" encoding="utf-8"?>
<formControlPr xmlns="http://schemas.microsoft.com/office/spreadsheetml/2009/9/main" objectType="CheckBox" fmlaLink="$L$140" lockText="1" noThreeD="1"/>
</file>

<file path=xl/ctrlProps/ctrlProp414.xml><?xml version="1.0" encoding="utf-8"?>
<formControlPr xmlns="http://schemas.microsoft.com/office/spreadsheetml/2009/9/main" objectType="CheckBox" fmlaLink="$L$138" lockText="1" noThreeD="1"/>
</file>

<file path=xl/ctrlProps/ctrlProp415.xml><?xml version="1.0" encoding="utf-8"?>
<formControlPr xmlns="http://schemas.microsoft.com/office/spreadsheetml/2009/9/main" objectType="CheckBox" fmlaLink="$L$136" lockText="1" noThreeD="1"/>
</file>

<file path=xl/ctrlProps/ctrlProp416.xml><?xml version="1.0" encoding="utf-8"?>
<formControlPr xmlns="http://schemas.microsoft.com/office/spreadsheetml/2009/9/main" objectType="CheckBox" fmlaLink="$L$134" lockText="1" noThreeD="1"/>
</file>

<file path=xl/ctrlProps/ctrlProp417.xml><?xml version="1.0" encoding="utf-8"?>
<formControlPr xmlns="http://schemas.microsoft.com/office/spreadsheetml/2009/9/main" objectType="CheckBox" fmlaLink="$L$132" lockText="1" noThreeD="1"/>
</file>

<file path=xl/ctrlProps/ctrlProp418.xml><?xml version="1.0" encoding="utf-8"?>
<formControlPr xmlns="http://schemas.microsoft.com/office/spreadsheetml/2009/9/main" objectType="CheckBox" fmlaLink="$L$142" lockText="1" noThreeD="1"/>
</file>

<file path=xl/ctrlProps/ctrlProp419.xml><?xml version="1.0" encoding="utf-8"?>
<formControlPr xmlns="http://schemas.microsoft.com/office/spreadsheetml/2009/9/main" objectType="CheckBox" fmlaLink="$J$6" lockText="1" noThreeD="1"/>
</file>

<file path=xl/ctrlProps/ctrlProp420.xml><?xml version="1.0" encoding="utf-8"?>
<formControlPr xmlns="http://schemas.microsoft.com/office/spreadsheetml/2009/9/main" objectType="CheckBox" fmlaLink="$J$7" lockText="1" noThreeD="1"/>
</file>

<file path=xl/ctrlProps/ctrlProp421.xml><?xml version="1.0" encoding="utf-8"?>
<formControlPr xmlns="http://schemas.microsoft.com/office/spreadsheetml/2009/9/main" objectType="CheckBox" fmlaLink="$K$7" lockText="1" noThreeD="1"/>
</file>

<file path=xl/ctrlProps/ctrlProp422.xml><?xml version="1.0" encoding="utf-8"?>
<formControlPr xmlns="http://schemas.microsoft.com/office/spreadsheetml/2009/9/main" objectType="CheckBox" fmlaLink="$K$6" lockText="1" noThreeD="1"/>
</file>

<file path=xl/ctrlProps/ctrlProp423.xml><?xml version="1.0" encoding="utf-8"?>
<formControlPr xmlns="http://schemas.microsoft.com/office/spreadsheetml/2009/9/main" objectType="CheckBox" fmlaLink="$L$6" lockText="1" noThreeD="1"/>
</file>

<file path=xl/ctrlProps/ctrlProp424.xml><?xml version="1.0" encoding="utf-8"?>
<formControlPr xmlns="http://schemas.microsoft.com/office/spreadsheetml/2009/9/main" objectType="CheckBox" fmlaLink="$L$7" lockText="1" noThreeD="1"/>
</file>

<file path=xl/ctrlProps/ctrlProp425.xml><?xml version="1.0" encoding="utf-8"?>
<formControlPr xmlns="http://schemas.microsoft.com/office/spreadsheetml/2009/9/main" objectType="CheckBox" fmlaLink="$K$148" lockText="1" noThreeD="1"/>
</file>

<file path=xl/ctrlProps/ctrlProp426.xml><?xml version="1.0" encoding="utf-8"?>
<formControlPr xmlns="http://schemas.microsoft.com/office/spreadsheetml/2009/9/main" objectType="CheckBox" fmlaLink="$K$149" lockText="1" noThreeD="1"/>
</file>

<file path=xl/ctrlProps/ctrlProp427.xml><?xml version="1.0" encoding="utf-8"?>
<formControlPr xmlns="http://schemas.microsoft.com/office/spreadsheetml/2009/9/main" objectType="CheckBox" fmlaLink="$K$150" lockText="1" noThreeD="1"/>
</file>

<file path=xl/ctrlProps/ctrlProp428.xml><?xml version="1.0" encoding="utf-8"?>
<formControlPr xmlns="http://schemas.microsoft.com/office/spreadsheetml/2009/9/main" objectType="CheckBox" fmlaLink="$K$151" lockText="1" noThreeD="1"/>
</file>

<file path=xl/ctrlProps/ctrlProp429.xml><?xml version="1.0" encoding="utf-8"?>
<formControlPr xmlns="http://schemas.microsoft.com/office/spreadsheetml/2009/9/main" objectType="CheckBox" fmlaLink="$K$152" lockText="1" noThreeD="1"/>
</file>

<file path=xl/ctrlProps/ctrlProp430.xml><?xml version="1.0" encoding="utf-8"?>
<formControlPr xmlns="http://schemas.microsoft.com/office/spreadsheetml/2009/9/main" objectType="CheckBox" fmlaLink="$K$153" lockText="1" noThreeD="1"/>
</file>

<file path=xl/ctrlProps/ctrlProp431.xml><?xml version="1.0" encoding="utf-8"?>
<formControlPr xmlns="http://schemas.microsoft.com/office/spreadsheetml/2009/9/main" objectType="CheckBox" fmlaLink="$K$154" lockText="1" noThreeD="1"/>
</file>

<file path=xl/ctrlProps/ctrlProp432.xml><?xml version="1.0" encoding="utf-8"?>
<formControlPr xmlns="http://schemas.microsoft.com/office/spreadsheetml/2009/9/main" objectType="CheckBox" fmlaLink="$L$148" lockText="1" noThreeD="1"/>
</file>

<file path=xl/ctrlProps/ctrlProp433.xml><?xml version="1.0" encoding="utf-8"?>
<formControlPr xmlns="http://schemas.microsoft.com/office/spreadsheetml/2009/9/main" objectType="CheckBox" fmlaLink="$L$149" lockText="1" noThreeD="1"/>
</file>

<file path=xl/ctrlProps/ctrlProp434.xml><?xml version="1.0" encoding="utf-8"?>
<formControlPr xmlns="http://schemas.microsoft.com/office/spreadsheetml/2009/9/main" objectType="CheckBox" fmlaLink="$L$150" lockText="1" noThreeD="1"/>
</file>

<file path=xl/ctrlProps/ctrlProp435.xml><?xml version="1.0" encoding="utf-8"?>
<formControlPr xmlns="http://schemas.microsoft.com/office/spreadsheetml/2009/9/main" objectType="CheckBox" fmlaLink="$L$151" lockText="1" noThreeD="1"/>
</file>

<file path=xl/ctrlProps/ctrlProp436.xml><?xml version="1.0" encoding="utf-8"?>
<formControlPr xmlns="http://schemas.microsoft.com/office/spreadsheetml/2009/9/main" objectType="CheckBox" fmlaLink="$L$153" lockText="1" noThreeD="1"/>
</file>

<file path=xl/ctrlProps/ctrlProp437.xml><?xml version="1.0" encoding="utf-8"?>
<formControlPr xmlns="http://schemas.microsoft.com/office/spreadsheetml/2009/9/main" objectType="CheckBox" fmlaLink="$L$154" lockText="1" noThreeD="1"/>
</file>

<file path=xl/ctrlProps/ctrlProp438.xml><?xml version="1.0" encoding="utf-8"?>
<formControlPr xmlns="http://schemas.microsoft.com/office/spreadsheetml/2009/9/main" objectType="CheckBox" fmlaLink="$L$152" lockText="1" noThreeD="1"/>
</file>

<file path=xl/ctrlProps/ctrlProp439.xml><?xml version="1.0" encoding="utf-8"?>
<formControlPr xmlns="http://schemas.microsoft.com/office/spreadsheetml/2009/9/main" objectType="CheckBox" fmlaLink="$K$155" lockText="1" noThreeD="1"/>
</file>

<file path=xl/ctrlProps/ctrlProp440.xml><?xml version="1.0" encoding="utf-8"?>
<formControlPr xmlns="http://schemas.microsoft.com/office/spreadsheetml/2009/9/main" objectType="CheckBox" fmlaLink="$K$156" lockText="1" noThreeD="1"/>
</file>

<file path=xl/ctrlProps/ctrlProp441.xml><?xml version="1.0" encoding="utf-8"?>
<formControlPr xmlns="http://schemas.microsoft.com/office/spreadsheetml/2009/9/main" objectType="CheckBox" fmlaLink="$K$157" lockText="1" noThreeD="1"/>
</file>

<file path=xl/ctrlProps/ctrlProp442.xml><?xml version="1.0" encoding="utf-8"?>
<formControlPr xmlns="http://schemas.microsoft.com/office/spreadsheetml/2009/9/main" objectType="CheckBox" fmlaLink="$L$155" lockText="1" noThreeD="1"/>
</file>

<file path=xl/ctrlProps/ctrlProp443.xml><?xml version="1.0" encoding="utf-8"?>
<formControlPr xmlns="http://schemas.microsoft.com/office/spreadsheetml/2009/9/main" objectType="CheckBox" fmlaLink="$L$156" lockText="1" noThreeD="1"/>
</file>

<file path=xl/ctrlProps/ctrlProp444.xml><?xml version="1.0" encoding="utf-8"?>
<formControlPr xmlns="http://schemas.microsoft.com/office/spreadsheetml/2009/9/main" objectType="CheckBox" fmlaLink="$L$157" lockText="1" noThreeD="1"/>
</file>

<file path=xl/ctrlProps/ctrlProp445.xml><?xml version="1.0" encoding="utf-8"?>
<formControlPr xmlns="http://schemas.microsoft.com/office/spreadsheetml/2009/9/main" objectType="Button" lockText="1"/>
</file>

<file path=xl/ctrlProps/ctrlProp446.xml><?xml version="1.0" encoding="utf-8"?>
<formControlPr xmlns="http://schemas.microsoft.com/office/spreadsheetml/2009/9/main" objectType="CheckBox" fmlaLink="$J$8" lockText="1" noThreeD="1"/>
</file>

<file path=xl/ctrlProps/ctrlProp447.xml><?xml version="1.0" encoding="utf-8"?>
<formControlPr xmlns="http://schemas.microsoft.com/office/spreadsheetml/2009/9/main" objectType="CheckBox" fmlaLink="$K$8" lockText="1" noThreeD="1"/>
</file>

<file path=xl/ctrlProps/ctrlProp448.xml><?xml version="1.0" encoding="utf-8"?>
<formControlPr xmlns="http://schemas.microsoft.com/office/spreadsheetml/2009/9/main" objectType="CheckBox" fmlaLink="$L$8" lockText="1" noThreeD="1"/>
</file>

<file path=xl/ctrlProps/ctrlProp449.xml><?xml version="1.0" encoding="utf-8"?>
<formControlPr xmlns="http://schemas.microsoft.com/office/spreadsheetml/2009/9/main" objectType="CheckBox" fmlaLink="$J$13" lockText="1" noThreeD="1"/>
</file>

<file path=xl/ctrlProps/ctrlProp450.xml><?xml version="1.0" encoding="utf-8"?>
<formControlPr xmlns="http://schemas.microsoft.com/office/spreadsheetml/2009/9/main" objectType="CheckBox" fmlaLink="$K$13" lockText="1" noThreeD="1"/>
</file>

<file path=xl/ctrlProps/ctrlProp451.xml><?xml version="1.0" encoding="utf-8"?>
<formControlPr xmlns="http://schemas.microsoft.com/office/spreadsheetml/2009/9/main" objectType="CheckBox" fmlaLink="$L$13" lockText="1" noThreeD="1"/>
</file>

<file path=xl/ctrlProps/ctrlProp452.xml><?xml version="1.0" encoding="utf-8"?>
<formControlPr xmlns="http://schemas.microsoft.com/office/spreadsheetml/2009/9/main" objectType="CheckBox" fmlaLink="$J$15" lockText="1" noThreeD="1"/>
</file>

<file path=xl/ctrlProps/ctrlProp453.xml><?xml version="1.0" encoding="utf-8"?>
<formControlPr xmlns="http://schemas.microsoft.com/office/spreadsheetml/2009/9/main" objectType="CheckBox" fmlaLink="$K$15" lockText="1" noThreeD="1"/>
</file>

<file path=xl/ctrlProps/ctrlProp454.xml><?xml version="1.0" encoding="utf-8"?>
<formControlPr xmlns="http://schemas.microsoft.com/office/spreadsheetml/2009/9/main" objectType="CheckBox" fmlaLink="$L$15" lockText="1" noThreeD="1"/>
</file>

<file path=xl/ctrlProps/ctrlProp455.xml><?xml version="1.0" encoding="utf-8"?>
<formControlPr xmlns="http://schemas.microsoft.com/office/spreadsheetml/2009/9/main" objectType="CheckBox" fmlaLink="$J$17" lockText="1" noThreeD="1"/>
</file>

<file path=xl/ctrlProps/ctrlProp456.xml><?xml version="1.0" encoding="utf-8"?>
<formControlPr xmlns="http://schemas.microsoft.com/office/spreadsheetml/2009/9/main" objectType="CheckBox" fmlaLink="$K$17" lockText="1" noThreeD="1"/>
</file>

<file path=xl/ctrlProps/ctrlProp457.xml><?xml version="1.0" encoding="utf-8"?>
<formControlPr xmlns="http://schemas.microsoft.com/office/spreadsheetml/2009/9/main" objectType="CheckBox" fmlaLink="$L$17" lockText="1" noThreeD="1"/>
</file>

<file path=xl/ctrlProps/ctrlProp458.xml><?xml version="1.0" encoding="utf-8"?>
<formControlPr xmlns="http://schemas.microsoft.com/office/spreadsheetml/2009/9/main" objectType="CheckBox" fmlaLink="$J$33" lockText="1" noThreeD="1"/>
</file>

<file path=xl/ctrlProps/ctrlProp459.xml><?xml version="1.0" encoding="utf-8"?>
<formControlPr xmlns="http://schemas.microsoft.com/office/spreadsheetml/2009/9/main" objectType="CheckBox" fmlaLink="$K$33" lockText="1" noThreeD="1"/>
</file>

<file path=xl/ctrlProps/ctrlProp460.xml><?xml version="1.0" encoding="utf-8"?>
<formControlPr xmlns="http://schemas.microsoft.com/office/spreadsheetml/2009/9/main" objectType="CheckBox" fmlaLink="$L$33" lockText="1" noThreeD="1"/>
</file>

<file path=xl/ctrlProps/ctrlProp461.xml><?xml version="1.0" encoding="utf-8"?>
<formControlPr xmlns="http://schemas.microsoft.com/office/spreadsheetml/2009/9/main" objectType="CheckBox" fmlaLink="$J$38" lockText="1" noThreeD="1"/>
</file>

<file path=xl/ctrlProps/ctrlProp462.xml><?xml version="1.0" encoding="utf-8"?>
<formControlPr xmlns="http://schemas.microsoft.com/office/spreadsheetml/2009/9/main" objectType="CheckBox" fmlaLink="$K$38" lockText="1" noThreeD="1"/>
</file>

<file path=xl/ctrlProps/ctrlProp463.xml><?xml version="1.0" encoding="utf-8"?>
<formControlPr xmlns="http://schemas.microsoft.com/office/spreadsheetml/2009/9/main" objectType="CheckBox" fmlaLink="$L$38" lockText="1" noThreeD="1"/>
</file>

<file path=xl/ctrlProps/ctrlProp464.xml><?xml version="1.0" encoding="utf-8"?>
<formControlPr xmlns="http://schemas.microsoft.com/office/spreadsheetml/2009/9/main" objectType="CheckBox" fmlaLink="$J$61" lockText="1" noThreeD="1"/>
</file>

<file path=xl/ctrlProps/ctrlProp465.xml><?xml version="1.0" encoding="utf-8"?>
<formControlPr xmlns="http://schemas.microsoft.com/office/spreadsheetml/2009/9/main" objectType="CheckBox" fmlaLink="$K$61" lockText="1" noThreeD="1"/>
</file>

<file path=xl/ctrlProps/ctrlProp466.xml><?xml version="1.0" encoding="utf-8"?>
<formControlPr xmlns="http://schemas.microsoft.com/office/spreadsheetml/2009/9/main" objectType="CheckBox" fmlaLink="$L$61" lockText="1" noThreeD="1"/>
</file>

<file path=xl/ctrlProps/ctrlProp467.xml><?xml version="1.0" encoding="utf-8"?>
<formControlPr xmlns="http://schemas.microsoft.com/office/spreadsheetml/2009/9/main" objectType="CheckBox" fmlaLink="$J$80" lockText="1" noThreeD="1"/>
</file>

<file path=xl/ctrlProps/ctrlProp468.xml><?xml version="1.0" encoding="utf-8"?>
<formControlPr xmlns="http://schemas.microsoft.com/office/spreadsheetml/2009/9/main" objectType="CheckBox" fmlaLink="$K$80" lockText="1" noThreeD="1"/>
</file>

<file path=xl/ctrlProps/ctrlProp469.xml><?xml version="1.0" encoding="utf-8"?>
<formControlPr xmlns="http://schemas.microsoft.com/office/spreadsheetml/2009/9/main" objectType="CheckBox" fmlaLink="$L$80" lockText="1" noThreeD="1"/>
</file>

<file path=xl/ctrlProps/ctrlProp470.xml><?xml version="1.0" encoding="utf-8"?>
<formControlPr xmlns="http://schemas.microsoft.com/office/spreadsheetml/2009/9/main" objectType="CheckBox" fmlaLink="$J$104" lockText="1" noThreeD="1"/>
</file>

<file path=xl/ctrlProps/ctrlProp471.xml><?xml version="1.0" encoding="utf-8"?>
<formControlPr xmlns="http://schemas.microsoft.com/office/spreadsheetml/2009/9/main" objectType="CheckBox" fmlaLink="$K$104" lockText="1" noThreeD="1"/>
</file>

<file path=xl/ctrlProps/ctrlProp472.xml><?xml version="1.0" encoding="utf-8"?>
<formControlPr xmlns="http://schemas.microsoft.com/office/spreadsheetml/2009/9/main" objectType="CheckBox" fmlaLink="$L$104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3</xdr:row>
      <xdr:rowOff>127000</xdr:rowOff>
    </xdr:from>
    <xdr:to>
      <xdr:col>7</xdr:col>
      <xdr:colOff>139700</xdr:colOff>
      <xdr:row>15</xdr:row>
      <xdr:rowOff>38100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48ED605F-AE40-4A00-BA25-6BB60453C179}"/>
            </a:ext>
          </a:extLst>
        </xdr:cNvPr>
        <xdr:cNvSpPr txBox="1">
          <a:spLocks noChangeArrowheads="1"/>
        </xdr:cNvSpPr>
      </xdr:nvSpPr>
      <xdr:spPr bwMode="auto">
        <a:xfrm>
          <a:off x="336550" y="793750"/>
          <a:ext cx="5784850" cy="257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Instructions:</a:t>
          </a:r>
        </a:p>
        <a:p>
          <a:pPr algn="l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Fill out the form below:</a:t>
          </a:r>
        </a:p>
        <a:p>
          <a:pPr algn="l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After Reading these instructions. Click on Continue....</a:t>
          </a:r>
        </a:p>
        <a:p>
          <a:pPr algn="l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•Please click on the checkbox next to the courses you are taking Indicating whether you are using the course to fulfill Core, Concentration or Elective requirements.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•Enter the number of Units for which you are taking the course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•Scroll to the bottom of the list and type in any additional electives your are taking,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•Click on "Finished" to move to the Print Screen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•Print the worksheet and submit it to Jaunita Winkleman in Terman 308.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387350</xdr:colOff>
      <xdr:row>1</xdr:row>
      <xdr:rowOff>76200</xdr:rowOff>
    </xdr:from>
    <xdr:to>
      <xdr:col>6</xdr:col>
      <xdr:colOff>336550</xdr:colOff>
      <xdr:row>3</xdr:row>
      <xdr:rowOff>95250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8712ED6D-1521-495B-B01F-28A2BADCFB7E}"/>
            </a:ext>
          </a:extLst>
        </xdr:cNvPr>
        <xdr:cNvSpPr txBox="1">
          <a:spLocks noChangeArrowheads="1"/>
        </xdr:cNvSpPr>
      </xdr:nvSpPr>
      <xdr:spPr bwMode="auto">
        <a:xfrm>
          <a:off x="387350" y="298450"/>
          <a:ext cx="5175250" cy="463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Management Science and Engineering Masters Proposal</a:t>
          </a:r>
        </a:p>
      </xdr:txBody>
    </xdr:sp>
    <xdr:clientData/>
  </xdr:twoCellAnchor>
  <xdr:twoCellAnchor>
    <xdr:from>
      <xdr:col>2</xdr:col>
      <xdr:colOff>260350</xdr:colOff>
      <xdr:row>24</xdr:row>
      <xdr:rowOff>95250</xdr:rowOff>
    </xdr:from>
    <xdr:to>
      <xdr:col>3</xdr:col>
      <xdr:colOff>336550</xdr:colOff>
      <xdr:row>30</xdr:row>
      <xdr:rowOff>95250</xdr:rowOff>
    </xdr:to>
    <xdr:sp macro="" textlink="">
      <xdr:nvSpPr>
        <xdr:cNvPr id="3076" name="Rectangle 4">
          <a:extLst>
            <a:ext uri="{FF2B5EF4-FFF2-40B4-BE49-F238E27FC236}">
              <a16:creationId xmlns:a16="http://schemas.microsoft.com/office/drawing/2014/main" id="{C0634391-B8D9-4871-BF0A-684E72295666}"/>
            </a:ext>
          </a:extLst>
        </xdr:cNvPr>
        <xdr:cNvSpPr>
          <a:spLocks noChangeArrowheads="1"/>
        </xdr:cNvSpPr>
      </xdr:nvSpPr>
      <xdr:spPr bwMode="auto">
        <a:xfrm>
          <a:off x="2432050" y="5302250"/>
          <a:ext cx="863600" cy="952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660400</xdr:colOff>
          <xdr:row>22</xdr:row>
          <xdr:rowOff>133350</xdr:rowOff>
        </xdr:from>
        <xdr:to>
          <xdr:col>2</xdr:col>
          <xdr:colOff>768350</xdr:colOff>
          <xdr:row>27</xdr:row>
          <xdr:rowOff>133350</xdr:rowOff>
        </xdr:to>
        <xdr:sp macro="" textlink="">
          <xdr:nvSpPr>
            <xdr:cNvPr id="3078" name="Butto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2B812294-7B4F-4C34-B92C-FF40EEE420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Lucida Grande"/>
                </a:rPr>
                <a:t>Continue...</a:t>
              </a:r>
            </a:p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Lucida Grande"/>
                </a:rPr>
                <a:t>Select Courses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</xdr:row>
          <xdr:rowOff>0</xdr:rowOff>
        </xdr:from>
        <xdr:to>
          <xdr:col>2</xdr:col>
          <xdr:colOff>0</xdr:colOff>
          <xdr:row>1</xdr:row>
          <xdr:rowOff>215900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D833B19-D451-4ACB-9716-E773B7C9DC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</xdr:row>
          <xdr:rowOff>0</xdr:rowOff>
        </xdr:from>
        <xdr:to>
          <xdr:col>2</xdr:col>
          <xdr:colOff>0</xdr:colOff>
          <xdr:row>1</xdr:row>
          <xdr:rowOff>215900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D95A1AE-A176-4B5B-BB54-598AAF3F80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2</xdr:row>
          <xdr:rowOff>0</xdr:rowOff>
        </xdr:from>
        <xdr:to>
          <xdr:col>2</xdr:col>
          <xdr:colOff>0</xdr:colOff>
          <xdr:row>2</xdr:row>
          <xdr:rowOff>215900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2C78CE62-FA6A-4F04-BFE1-EE9601AC18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3</xdr:row>
          <xdr:rowOff>0</xdr:rowOff>
        </xdr:from>
        <xdr:to>
          <xdr:col>2</xdr:col>
          <xdr:colOff>0</xdr:colOff>
          <xdr:row>3</xdr:row>
          <xdr:rowOff>215900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BCE321DC-E1C8-457A-88BC-41484BBD9D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</xdr:row>
          <xdr:rowOff>0</xdr:rowOff>
        </xdr:from>
        <xdr:to>
          <xdr:col>2</xdr:col>
          <xdr:colOff>0</xdr:colOff>
          <xdr:row>4</xdr:row>
          <xdr:rowOff>215900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B0735C96-C3FF-4EF8-918D-252FE8D421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7</xdr:row>
          <xdr:rowOff>0</xdr:rowOff>
        </xdr:from>
        <xdr:to>
          <xdr:col>2</xdr:col>
          <xdr:colOff>0</xdr:colOff>
          <xdr:row>7</xdr:row>
          <xdr:rowOff>215900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64DAB6C8-1644-4668-AE65-5C47A4CDE3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9</xdr:row>
          <xdr:rowOff>0</xdr:rowOff>
        </xdr:from>
        <xdr:to>
          <xdr:col>2</xdr:col>
          <xdr:colOff>0</xdr:colOff>
          <xdr:row>9</xdr:row>
          <xdr:rowOff>215900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4E2135A6-9D47-46EC-8F8B-0EADDEC551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10</xdr:row>
          <xdr:rowOff>0</xdr:rowOff>
        </xdr:from>
        <xdr:to>
          <xdr:col>2</xdr:col>
          <xdr:colOff>0</xdr:colOff>
          <xdr:row>10</xdr:row>
          <xdr:rowOff>215900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C62A398C-82DD-4F23-A5CE-DA057BAC0D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11</xdr:row>
          <xdr:rowOff>0</xdr:rowOff>
        </xdr:from>
        <xdr:to>
          <xdr:col>2</xdr:col>
          <xdr:colOff>0</xdr:colOff>
          <xdr:row>11</xdr:row>
          <xdr:rowOff>215900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56FC72D5-423B-4710-AA2C-B72C1E1877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</xdr:row>
          <xdr:rowOff>0</xdr:rowOff>
        </xdr:from>
        <xdr:to>
          <xdr:col>2</xdr:col>
          <xdr:colOff>0</xdr:colOff>
          <xdr:row>1</xdr:row>
          <xdr:rowOff>215900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DDF2322-D957-4E82-87AE-CD937F477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12</xdr:row>
          <xdr:rowOff>0</xdr:rowOff>
        </xdr:from>
        <xdr:to>
          <xdr:col>2</xdr:col>
          <xdr:colOff>0</xdr:colOff>
          <xdr:row>12</xdr:row>
          <xdr:rowOff>215900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A147E73B-D40B-44A1-9D2C-DC4237C654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14</xdr:row>
          <xdr:rowOff>0</xdr:rowOff>
        </xdr:from>
        <xdr:to>
          <xdr:col>2</xdr:col>
          <xdr:colOff>0</xdr:colOff>
          <xdr:row>14</xdr:row>
          <xdr:rowOff>215900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1662B086-2DE9-428A-8693-B99856BE0D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16</xdr:row>
          <xdr:rowOff>0</xdr:rowOff>
        </xdr:from>
        <xdr:to>
          <xdr:col>2</xdr:col>
          <xdr:colOff>0</xdr:colOff>
          <xdr:row>16</xdr:row>
          <xdr:rowOff>215900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C8A0DB17-1AEE-4343-BF81-6A1A842702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18</xdr:row>
          <xdr:rowOff>0</xdr:rowOff>
        </xdr:from>
        <xdr:to>
          <xdr:col>2</xdr:col>
          <xdr:colOff>0</xdr:colOff>
          <xdr:row>18</xdr:row>
          <xdr:rowOff>215900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5531ABDB-46F6-4F63-83A0-01788EA80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19</xdr:row>
          <xdr:rowOff>0</xdr:rowOff>
        </xdr:from>
        <xdr:to>
          <xdr:col>2</xdr:col>
          <xdr:colOff>0</xdr:colOff>
          <xdr:row>19</xdr:row>
          <xdr:rowOff>215900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517F5AEA-77DD-4D42-854B-7A4C968070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20</xdr:row>
          <xdr:rowOff>0</xdr:rowOff>
        </xdr:from>
        <xdr:to>
          <xdr:col>2</xdr:col>
          <xdr:colOff>0</xdr:colOff>
          <xdr:row>20</xdr:row>
          <xdr:rowOff>215900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B750F7DE-8B5C-4FB8-9F65-8A2B3859DD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21</xdr:row>
          <xdr:rowOff>0</xdr:rowOff>
        </xdr:from>
        <xdr:to>
          <xdr:col>2</xdr:col>
          <xdr:colOff>0</xdr:colOff>
          <xdr:row>21</xdr:row>
          <xdr:rowOff>215900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D9474DBB-9756-4FF9-BC29-F33A9C4550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22</xdr:row>
          <xdr:rowOff>0</xdr:rowOff>
        </xdr:from>
        <xdr:to>
          <xdr:col>2</xdr:col>
          <xdr:colOff>0</xdr:colOff>
          <xdr:row>22</xdr:row>
          <xdr:rowOff>215900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40F9226-3ACD-4F9E-AE44-4BE9DB3187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23</xdr:row>
          <xdr:rowOff>0</xdr:rowOff>
        </xdr:from>
        <xdr:to>
          <xdr:col>2</xdr:col>
          <xdr:colOff>0</xdr:colOff>
          <xdr:row>23</xdr:row>
          <xdr:rowOff>215900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9C56BD2A-EC8B-49E1-ACBB-4A4164AE2B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24</xdr:row>
          <xdr:rowOff>0</xdr:rowOff>
        </xdr:from>
        <xdr:to>
          <xdr:col>2</xdr:col>
          <xdr:colOff>0</xdr:colOff>
          <xdr:row>24</xdr:row>
          <xdr:rowOff>215900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384ACA9A-80B1-441E-ADBC-CF9F9BEE64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25</xdr:row>
          <xdr:rowOff>0</xdr:rowOff>
        </xdr:from>
        <xdr:to>
          <xdr:col>2</xdr:col>
          <xdr:colOff>0</xdr:colOff>
          <xdr:row>25</xdr:row>
          <xdr:rowOff>215900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EDD9A5A2-5B34-4EF5-9893-3781236B89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25</xdr:row>
          <xdr:rowOff>0</xdr:rowOff>
        </xdr:from>
        <xdr:to>
          <xdr:col>2</xdr:col>
          <xdr:colOff>0</xdr:colOff>
          <xdr:row>25</xdr:row>
          <xdr:rowOff>215900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8DA9BE5D-5D14-4C7B-85A7-0E4CC815F4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27</xdr:row>
          <xdr:rowOff>0</xdr:rowOff>
        </xdr:from>
        <xdr:to>
          <xdr:col>2</xdr:col>
          <xdr:colOff>0</xdr:colOff>
          <xdr:row>27</xdr:row>
          <xdr:rowOff>215900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5A3BC532-33D7-4CB5-A9C2-836614ACE8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26</xdr:row>
          <xdr:rowOff>0</xdr:rowOff>
        </xdr:from>
        <xdr:to>
          <xdr:col>2</xdr:col>
          <xdr:colOff>0</xdr:colOff>
          <xdr:row>26</xdr:row>
          <xdr:rowOff>215900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4C41A3FA-DED8-4088-83FA-DB3D00B76F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31</xdr:row>
          <xdr:rowOff>0</xdr:rowOff>
        </xdr:from>
        <xdr:to>
          <xdr:col>2</xdr:col>
          <xdr:colOff>0</xdr:colOff>
          <xdr:row>31</xdr:row>
          <xdr:rowOff>215900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8F3CD686-8531-4053-AD1F-A05B069896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29</xdr:row>
          <xdr:rowOff>0</xdr:rowOff>
        </xdr:from>
        <xdr:to>
          <xdr:col>2</xdr:col>
          <xdr:colOff>0</xdr:colOff>
          <xdr:row>29</xdr:row>
          <xdr:rowOff>215900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76959C85-B8E6-4860-84FD-E979768C1A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35</xdr:row>
          <xdr:rowOff>0</xdr:rowOff>
        </xdr:from>
        <xdr:to>
          <xdr:col>2</xdr:col>
          <xdr:colOff>0</xdr:colOff>
          <xdr:row>35</xdr:row>
          <xdr:rowOff>215900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3CE1755F-136C-4C50-BD0A-E3363A2282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39</xdr:row>
          <xdr:rowOff>0</xdr:rowOff>
        </xdr:from>
        <xdr:to>
          <xdr:col>2</xdr:col>
          <xdr:colOff>0</xdr:colOff>
          <xdr:row>39</xdr:row>
          <xdr:rowOff>215900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AF768D13-B0F1-4B9C-9F7F-A21F825A99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42</xdr:row>
          <xdr:rowOff>0</xdr:rowOff>
        </xdr:from>
        <xdr:to>
          <xdr:col>2</xdr:col>
          <xdr:colOff>0</xdr:colOff>
          <xdr:row>42</xdr:row>
          <xdr:rowOff>215900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2B795D09-E8F7-4FDE-8AAF-74CF4B3DDA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45</xdr:row>
          <xdr:rowOff>0</xdr:rowOff>
        </xdr:from>
        <xdr:to>
          <xdr:col>2</xdr:col>
          <xdr:colOff>0</xdr:colOff>
          <xdr:row>45</xdr:row>
          <xdr:rowOff>215900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578AD73F-63B8-45B3-ACAB-4434133060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43</xdr:row>
          <xdr:rowOff>0</xdr:rowOff>
        </xdr:from>
        <xdr:to>
          <xdr:col>2</xdr:col>
          <xdr:colOff>0</xdr:colOff>
          <xdr:row>43</xdr:row>
          <xdr:rowOff>215900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E5D95873-A923-4899-A5F6-CF76C3449D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36</xdr:row>
          <xdr:rowOff>0</xdr:rowOff>
        </xdr:from>
        <xdr:to>
          <xdr:col>2</xdr:col>
          <xdr:colOff>0</xdr:colOff>
          <xdr:row>36</xdr:row>
          <xdr:rowOff>215900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8B182EA1-AA64-4F67-9503-9125F79C6B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32</xdr:row>
          <xdr:rowOff>0</xdr:rowOff>
        </xdr:from>
        <xdr:to>
          <xdr:col>2</xdr:col>
          <xdr:colOff>0</xdr:colOff>
          <xdr:row>32</xdr:row>
          <xdr:rowOff>215900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AD0830E6-F4B9-46B8-803E-734003B8DF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28</xdr:row>
          <xdr:rowOff>0</xdr:rowOff>
        </xdr:from>
        <xdr:to>
          <xdr:col>2</xdr:col>
          <xdr:colOff>0</xdr:colOff>
          <xdr:row>28</xdr:row>
          <xdr:rowOff>215900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1CFCF006-4886-41A2-8F4D-3314F827C8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30</xdr:row>
          <xdr:rowOff>0</xdr:rowOff>
        </xdr:from>
        <xdr:to>
          <xdr:col>2</xdr:col>
          <xdr:colOff>0</xdr:colOff>
          <xdr:row>30</xdr:row>
          <xdr:rowOff>215900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C441C0A3-C777-4BD8-81DF-09007D0C97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34</xdr:row>
          <xdr:rowOff>0</xdr:rowOff>
        </xdr:from>
        <xdr:to>
          <xdr:col>2</xdr:col>
          <xdr:colOff>0</xdr:colOff>
          <xdr:row>34</xdr:row>
          <xdr:rowOff>215900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4CE77658-54B9-409C-8870-C77C1775CD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37</xdr:row>
          <xdr:rowOff>0</xdr:rowOff>
        </xdr:from>
        <xdr:to>
          <xdr:col>2</xdr:col>
          <xdr:colOff>0</xdr:colOff>
          <xdr:row>37</xdr:row>
          <xdr:rowOff>215900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23C05E8D-884C-4BA2-A878-314BC55DC9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41</xdr:row>
          <xdr:rowOff>0</xdr:rowOff>
        </xdr:from>
        <xdr:to>
          <xdr:col>2</xdr:col>
          <xdr:colOff>0</xdr:colOff>
          <xdr:row>41</xdr:row>
          <xdr:rowOff>215900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4B60853D-F446-4714-BE28-743D46D7D9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40</xdr:row>
          <xdr:rowOff>0</xdr:rowOff>
        </xdr:from>
        <xdr:to>
          <xdr:col>2</xdr:col>
          <xdr:colOff>0</xdr:colOff>
          <xdr:row>40</xdr:row>
          <xdr:rowOff>215900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EC0A1461-3591-4758-8C37-B17CBBF272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44</xdr:row>
          <xdr:rowOff>0</xdr:rowOff>
        </xdr:from>
        <xdr:to>
          <xdr:col>2</xdr:col>
          <xdr:colOff>0</xdr:colOff>
          <xdr:row>44</xdr:row>
          <xdr:rowOff>215900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D5A0AD51-AEB2-4375-BEE1-93AA9125AF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47</xdr:row>
          <xdr:rowOff>0</xdr:rowOff>
        </xdr:from>
        <xdr:to>
          <xdr:col>2</xdr:col>
          <xdr:colOff>0</xdr:colOff>
          <xdr:row>47</xdr:row>
          <xdr:rowOff>215900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EE116D7E-10CA-4C96-BC2F-00E019A23F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49</xdr:row>
          <xdr:rowOff>0</xdr:rowOff>
        </xdr:from>
        <xdr:to>
          <xdr:col>2</xdr:col>
          <xdr:colOff>0</xdr:colOff>
          <xdr:row>49</xdr:row>
          <xdr:rowOff>215900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8B0BD96A-779B-4F7A-8E20-D480A03D6D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51</xdr:row>
          <xdr:rowOff>0</xdr:rowOff>
        </xdr:from>
        <xdr:to>
          <xdr:col>2</xdr:col>
          <xdr:colOff>0</xdr:colOff>
          <xdr:row>51</xdr:row>
          <xdr:rowOff>215900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673BFD43-58B9-4C76-8B92-210738DB25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53</xdr:row>
          <xdr:rowOff>0</xdr:rowOff>
        </xdr:from>
        <xdr:to>
          <xdr:col>2</xdr:col>
          <xdr:colOff>0</xdr:colOff>
          <xdr:row>53</xdr:row>
          <xdr:rowOff>215900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86B0C5D7-1A7F-49FB-A1D6-E60FF51CE0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46</xdr:row>
          <xdr:rowOff>0</xdr:rowOff>
        </xdr:from>
        <xdr:to>
          <xdr:col>2</xdr:col>
          <xdr:colOff>0</xdr:colOff>
          <xdr:row>46</xdr:row>
          <xdr:rowOff>215900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CCE19BCF-A2AB-4E62-98DE-2FAAFA843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48</xdr:row>
          <xdr:rowOff>0</xdr:rowOff>
        </xdr:from>
        <xdr:to>
          <xdr:col>2</xdr:col>
          <xdr:colOff>0</xdr:colOff>
          <xdr:row>48</xdr:row>
          <xdr:rowOff>215900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4D59F369-C060-4A84-96BE-6E75A5CAA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50</xdr:row>
          <xdr:rowOff>0</xdr:rowOff>
        </xdr:from>
        <xdr:to>
          <xdr:col>2</xdr:col>
          <xdr:colOff>0</xdr:colOff>
          <xdr:row>50</xdr:row>
          <xdr:rowOff>215900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743B0D74-34C0-4B3F-A02B-F91FE12DD8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52</xdr:row>
          <xdr:rowOff>0</xdr:rowOff>
        </xdr:from>
        <xdr:to>
          <xdr:col>2</xdr:col>
          <xdr:colOff>0</xdr:colOff>
          <xdr:row>52</xdr:row>
          <xdr:rowOff>215900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4C9974F4-77C9-4391-81FF-4771191816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66</xdr:row>
          <xdr:rowOff>0</xdr:rowOff>
        </xdr:from>
        <xdr:to>
          <xdr:col>2</xdr:col>
          <xdr:colOff>0</xdr:colOff>
          <xdr:row>66</xdr:row>
          <xdr:rowOff>215900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EF188493-8283-45CC-BBDD-5693BA7F3A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62</xdr:row>
          <xdr:rowOff>0</xdr:rowOff>
        </xdr:from>
        <xdr:to>
          <xdr:col>1</xdr:col>
          <xdr:colOff>495300</xdr:colOff>
          <xdr:row>62</xdr:row>
          <xdr:rowOff>215900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AA3FD676-5F5D-4207-A9BF-6CA46DE45B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57</xdr:row>
          <xdr:rowOff>0</xdr:rowOff>
        </xdr:from>
        <xdr:to>
          <xdr:col>2</xdr:col>
          <xdr:colOff>0</xdr:colOff>
          <xdr:row>57</xdr:row>
          <xdr:rowOff>215900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6219F0B3-9F5D-4920-9C30-0B7D37FB66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55</xdr:row>
          <xdr:rowOff>0</xdr:rowOff>
        </xdr:from>
        <xdr:to>
          <xdr:col>2</xdr:col>
          <xdr:colOff>0</xdr:colOff>
          <xdr:row>55</xdr:row>
          <xdr:rowOff>215900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BFDDCDF9-D62D-4C81-ADE5-D4606F00E7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60</xdr:row>
          <xdr:rowOff>0</xdr:rowOff>
        </xdr:from>
        <xdr:to>
          <xdr:col>2</xdr:col>
          <xdr:colOff>0</xdr:colOff>
          <xdr:row>60</xdr:row>
          <xdr:rowOff>215900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F9B5932E-F28B-421B-8FF2-EFFB85A6E6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54</xdr:row>
          <xdr:rowOff>0</xdr:rowOff>
        </xdr:from>
        <xdr:to>
          <xdr:col>2</xdr:col>
          <xdr:colOff>0</xdr:colOff>
          <xdr:row>54</xdr:row>
          <xdr:rowOff>215900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CDA2A2A1-2B70-4BDA-96DD-3BCCB2A6C0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58</xdr:row>
          <xdr:rowOff>0</xdr:rowOff>
        </xdr:from>
        <xdr:to>
          <xdr:col>2</xdr:col>
          <xdr:colOff>0</xdr:colOff>
          <xdr:row>58</xdr:row>
          <xdr:rowOff>215900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E3D9F193-0364-4727-8B9E-E42AAF7D94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56</xdr:row>
          <xdr:rowOff>0</xdr:rowOff>
        </xdr:from>
        <xdr:to>
          <xdr:col>2</xdr:col>
          <xdr:colOff>0</xdr:colOff>
          <xdr:row>56</xdr:row>
          <xdr:rowOff>215900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5C45E6EB-8DDB-4739-8147-0DAE1336D5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59</xdr:row>
          <xdr:rowOff>0</xdr:rowOff>
        </xdr:from>
        <xdr:to>
          <xdr:col>2</xdr:col>
          <xdr:colOff>0</xdr:colOff>
          <xdr:row>59</xdr:row>
          <xdr:rowOff>215900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1A3E6C8B-6E3C-4749-BAE7-F4D940D21D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63</xdr:row>
          <xdr:rowOff>0</xdr:rowOff>
        </xdr:from>
        <xdr:to>
          <xdr:col>2</xdr:col>
          <xdr:colOff>0</xdr:colOff>
          <xdr:row>63</xdr:row>
          <xdr:rowOff>215900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A850695-E4C4-41BF-A168-D7ECD7B0AD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65</xdr:row>
          <xdr:rowOff>0</xdr:rowOff>
        </xdr:from>
        <xdr:to>
          <xdr:col>2</xdr:col>
          <xdr:colOff>0</xdr:colOff>
          <xdr:row>65</xdr:row>
          <xdr:rowOff>215900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4C9F28CA-DE62-4202-8451-CF7FD45C69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71</xdr:row>
          <xdr:rowOff>0</xdr:rowOff>
        </xdr:from>
        <xdr:to>
          <xdr:col>2</xdr:col>
          <xdr:colOff>0</xdr:colOff>
          <xdr:row>71</xdr:row>
          <xdr:rowOff>215900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4F5027F0-19F8-4A08-9DFA-0AFC6288E2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64</xdr:row>
          <xdr:rowOff>0</xdr:rowOff>
        </xdr:from>
        <xdr:to>
          <xdr:col>2</xdr:col>
          <xdr:colOff>0</xdr:colOff>
          <xdr:row>64</xdr:row>
          <xdr:rowOff>215900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C136ED5F-285A-471C-B2D8-293318DE8B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68</xdr:row>
          <xdr:rowOff>0</xdr:rowOff>
        </xdr:from>
        <xdr:to>
          <xdr:col>2</xdr:col>
          <xdr:colOff>0</xdr:colOff>
          <xdr:row>68</xdr:row>
          <xdr:rowOff>215900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ECB88A0B-4102-4DA0-837E-AAAC17CF0F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67</xdr:row>
          <xdr:rowOff>0</xdr:rowOff>
        </xdr:from>
        <xdr:to>
          <xdr:col>2</xdr:col>
          <xdr:colOff>0</xdr:colOff>
          <xdr:row>67</xdr:row>
          <xdr:rowOff>215900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BC83A737-370F-4F67-9ADF-2A878B60E7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69</xdr:row>
          <xdr:rowOff>0</xdr:rowOff>
        </xdr:from>
        <xdr:to>
          <xdr:col>2</xdr:col>
          <xdr:colOff>0</xdr:colOff>
          <xdr:row>69</xdr:row>
          <xdr:rowOff>215900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7E79A428-1191-45FB-89B6-9E5DC7A8AD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70</xdr:row>
          <xdr:rowOff>0</xdr:rowOff>
        </xdr:from>
        <xdr:to>
          <xdr:col>2</xdr:col>
          <xdr:colOff>0</xdr:colOff>
          <xdr:row>70</xdr:row>
          <xdr:rowOff>215900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3B5ADAAF-3D7C-4560-A747-F57FB70844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73</xdr:row>
          <xdr:rowOff>0</xdr:rowOff>
        </xdr:from>
        <xdr:to>
          <xdr:col>2</xdr:col>
          <xdr:colOff>0</xdr:colOff>
          <xdr:row>73</xdr:row>
          <xdr:rowOff>215900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22C46E7-38FB-45E2-92CF-A40F5BFCA0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72</xdr:row>
          <xdr:rowOff>0</xdr:rowOff>
        </xdr:from>
        <xdr:to>
          <xdr:col>2</xdr:col>
          <xdr:colOff>0</xdr:colOff>
          <xdr:row>72</xdr:row>
          <xdr:rowOff>215900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C4662D58-8C7A-4002-99CB-BF6422799D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73</xdr:row>
          <xdr:rowOff>0</xdr:rowOff>
        </xdr:from>
        <xdr:to>
          <xdr:col>2</xdr:col>
          <xdr:colOff>0</xdr:colOff>
          <xdr:row>73</xdr:row>
          <xdr:rowOff>215900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CE3613EF-E088-408A-A6CD-E89AD72F4E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75</xdr:row>
          <xdr:rowOff>0</xdr:rowOff>
        </xdr:from>
        <xdr:to>
          <xdr:col>2</xdr:col>
          <xdr:colOff>0</xdr:colOff>
          <xdr:row>75</xdr:row>
          <xdr:rowOff>215900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A4B143C-A64A-41A0-9A03-6121D720CC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79</xdr:row>
          <xdr:rowOff>0</xdr:rowOff>
        </xdr:from>
        <xdr:to>
          <xdr:col>2</xdr:col>
          <xdr:colOff>0</xdr:colOff>
          <xdr:row>79</xdr:row>
          <xdr:rowOff>215900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9320BDB4-F9CE-4CA4-B2FD-E0ED063E62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74</xdr:row>
          <xdr:rowOff>0</xdr:rowOff>
        </xdr:from>
        <xdr:to>
          <xdr:col>2</xdr:col>
          <xdr:colOff>0</xdr:colOff>
          <xdr:row>74</xdr:row>
          <xdr:rowOff>215900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3173528C-6808-4086-96FF-2BBB7E0B16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77</xdr:row>
          <xdr:rowOff>0</xdr:rowOff>
        </xdr:from>
        <xdr:to>
          <xdr:col>2</xdr:col>
          <xdr:colOff>0</xdr:colOff>
          <xdr:row>77</xdr:row>
          <xdr:rowOff>215900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A735087B-4393-4B62-82E0-2E414156AE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82</xdr:row>
          <xdr:rowOff>0</xdr:rowOff>
        </xdr:from>
        <xdr:to>
          <xdr:col>2</xdr:col>
          <xdr:colOff>0</xdr:colOff>
          <xdr:row>82</xdr:row>
          <xdr:rowOff>215900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66C42E1-A7BF-401C-92DC-8F34C53AAA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76</xdr:row>
          <xdr:rowOff>0</xdr:rowOff>
        </xdr:from>
        <xdr:to>
          <xdr:col>2</xdr:col>
          <xdr:colOff>0</xdr:colOff>
          <xdr:row>76</xdr:row>
          <xdr:rowOff>215900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7014D417-7F2F-463D-B746-F7BD5D8F81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78</xdr:row>
          <xdr:rowOff>0</xdr:rowOff>
        </xdr:from>
        <xdr:to>
          <xdr:col>2</xdr:col>
          <xdr:colOff>0</xdr:colOff>
          <xdr:row>78</xdr:row>
          <xdr:rowOff>215900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41BC77E4-1A61-45AB-BAC5-3AD4DA5767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81</xdr:row>
          <xdr:rowOff>0</xdr:rowOff>
        </xdr:from>
        <xdr:to>
          <xdr:col>2</xdr:col>
          <xdr:colOff>0</xdr:colOff>
          <xdr:row>81</xdr:row>
          <xdr:rowOff>215900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5D18E54A-A541-4DA7-AA40-A0728C2185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90</xdr:row>
          <xdr:rowOff>0</xdr:rowOff>
        </xdr:from>
        <xdr:to>
          <xdr:col>2</xdr:col>
          <xdr:colOff>0</xdr:colOff>
          <xdr:row>90</xdr:row>
          <xdr:rowOff>215900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E7E88AA9-519B-40C3-946C-B286FFDC5E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86</xdr:row>
          <xdr:rowOff>0</xdr:rowOff>
        </xdr:from>
        <xdr:to>
          <xdr:col>2</xdr:col>
          <xdr:colOff>0</xdr:colOff>
          <xdr:row>86</xdr:row>
          <xdr:rowOff>215900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6466FA3C-2AAF-41A1-AFC7-213CD99083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83</xdr:row>
          <xdr:rowOff>0</xdr:rowOff>
        </xdr:from>
        <xdr:to>
          <xdr:col>2</xdr:col>
          <xdr:colOff>0</xdr:colOff>
          <xdr:row>83</xdr:row>
          <xdr:rowOff>215900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8978C1C8-944B-4A85-8DE4-27682224BC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88</xdr:row>
          <xdr:rowOff>0</xdr:rowOff>
        </xdr:from>
        <xdr:to>
          <xdr:col>2</xdr:col>
          <xdr:colOff>0</xdr:colOff>
          <xdr:row>88</xdr:row>
          <xdr:rowOff>215900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5A20525-4232-4645-8C9E-105AF9E3D2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84</xdr:row>
          <xdr:rowOff>0</xdr:rowOff>
        </xdr:from>
        <xdr:to>
          <xdr:col>2</xdr:col>
          <xdr:colOff>0</xdr:colOff>
          <xdr:row>84</xdr:row>
          <xdr:rowOff>215900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CA8B72A3-31CD-42A1-8C6C-F58E6BE126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87</xdr:row>
          <xdr:rowOff>0</xdr:rowOff>
        </xdr:from>
        <xdr:to>
          <xdr:col>2</xdr:col>
          <xdr:colOff>0</xdr:colOff>
          <xdr:row>87</xdr:row>
          <xdr:rowOff>215900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9713EB8C-A276-4FEC-8CD0-21E8505FEF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85</xdr:row>
          <xdr:rowOff>0</xdr:rowOff>
        </xdr:from>
        <xdr:to>
          <xdr:col>2</xdr:col>
          <xdr:colOff>0</xdr:colOff>
          <xdr:row>85</xdr:row>
          <xdr:rowOff>215900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45B9A31-8A77-4676-8A0D-581D947F07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93</xdr:row>
          <xdr:rowOff>0</xdr:rowOff>
        </xdr:from>
        <xdr:to>
          <xdr:col>2</xdr:col>
          <xdr:colOff>0</xdr:colOff>
          <xdr:row>93</xdr:row>
          <xdr:rowOff>215900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57A0CC-CF0E-47AE-9C68-BE07D1299A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89</xdr:row>
          <xdr:rowOff>0</xdr:rowOff>
        </xdr:from>
        <xdr:to>
          <xdr:col>2</xdr:col>
          <xdr:colOff>0</xdr:colOff>
          <xdr:row>89</xdr:row>
          <xdr:rowOff>215900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B480CF55-D1D1-4737-BB97-D1EF93DF46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87</xdr:row>
          <xdr:rowOff>0</xdr:rowOff>
        </xdr:from>
        <xdr:to>
          <xdr:col>2</xdr:col>
          <xdr:colOff>0</xdr:colOff>
          <xdr:row>87</xdr:row>
          <xdr:rowOff>215900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749074A8-24BD-4A65-B31C-6386DB99B3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91</xdr:row>
          <xdr:rowOff>0</xdr:rowOff>
        </xdr:from>
        <xdr:to>
          <xdr:col>2</xdr:col>
          <xdr:colOff>0</xdr:colOff>
          <xdr:row>91</xdr:row>
          <xdr:rowOff>215900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6F982B7A-44AB-4E1E-848E-0C82918F33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98</xdr:row>
          <xdr:rowOff>0</xdr:rowOff>
        </xdr:from>
        <xdr:to>
          <xdr:col>2</xdr:col>
          <xdr:colOff>0</xdr:colOff>
          <xdr:row>98</xdr:row>
          <xdr:rowOff>215900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72ECEFE4-4AF7-4491-9BE3-307A5EFFD2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92</xdr:row>
          <xdr:rowOff>0</xdr:rowOff>
        </xdr:from>
        <xdr:to>
          <xdr:col>2</xdr:col>
          <xdr:colOff>0</xdr:colOff>
          <xdr:row>92</xdr:row>
          <xdr:rowOff>215900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EBD5750B-B39F-4D71-B7B3-403160C285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95</xdr:row>
          <xdr:rowOff>0</xdr:rowOff>
        </xdr:from>
        <xdr:to>
          <xdr:col>2</xdr:col>
          <xdr:colOff>0</xdr:colOff>
          <xdr:row>95</xdr:row>
          <xdr:rowOff>215900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D77C8E2B-9BAF-45CB-947E-3405EA02CC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100</xdr:row>
          <xdr:rowOff>0</xdr:rowOff>
        </xdr:from>
        <xdr:to>
          <xdr:col>2</xdr:col>
          <xdr:colOff>0</xdr:colOff>
          <xdr:row>100</xdr:row>
          <xdr:rowOff>215900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A8CD8899-CBF7-4C8F-A849-844EB617B3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97</xdr:row>
          <xdr:rowOff>12700</xdr:rowOff>
        </xdr:from>
        <xdr:to>
          <xdr:col>2</xdr:col>
          <xdr:colOff>0</xdr:colOff>
          <xdr:row>98</xdr:row>
          <xdr:rowOff>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D85E5AFB-61F3-4114-88BA-71ADA09F2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94</xdr:row>
          <xdr:rowOff>0</xdr:rowOff>
        </xdr:from>
        <xdr:to>
          <xdr:col>2</xdr:col>
          <xdr:colOff>0</xdr:colOff>
          <xdr:row>94</xdr:row>
          <xdr:rowOff>215900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E807FA95-CDBD-4147-B945-AA609B88E1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96</xdr:row>
          <xdr:rowOff>0</xdr:rowOff>
        </xdr:from>
        <xdr:to>
          <xdr:col>2</xdr:col>
          <xdr:colOff>0</xdr:colOff>
          <xdr:row>96</xdr:row>
          <xdr:rowOff>215900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EF602ECA-FBBE-45E8-8B42-DB2069BF59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99</xdr:row>
          <xdr:rowOff>0</xdr:rowOff>
        </xdr:from>
        <xdr:to>
          <xdr:col>2</xdr:col>
          <xdr:colOff>0</xdr:colOff>
          <xdr:row>99</xdr:row>
          <xdr:rowOff>215900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F743E885-614D-46A2-8838-D9BBA752C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122</xdr:row>
          <xdr:rowOff>0</xdr:rowOff>
        </xdr:from>
        <xdr:to>
          <xdr:col>2</xdr:col>
          <xdr:colOff>0</xdr:colOff>
          <xdr:row>122</xdr:row>
          <xdr:rowOff>215900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8737E430-F45E-4EF3-A706-FC9D9F5C90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118</xdr:row>
          <xdr:rowOff>0</xdr:rowOff>
        </xdr:from>
        <xdr:to>
          <xdr:col>2</xdr:col>
          <xdr:colOff>0</xdr:colOff>
          <xdr:row>118</xdr:row>
          <xdr:rowOff>215900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1CF79C08-68EF-4EBA-81C8-9905941BC6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113</xdr:row>
          <xdr:rowOff>0</xdr:rowOff>
        </xdr:from>
        <xdr:to>
          <xdr:col>2</xdr:col>
          <xdr:colOff>0</xdr:colOff>
          <xdr:row>113</xdr:row>
          <xdr:rowOff>215900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62B68763-3F48-4E56-849F-7BA77CE8BC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109</xdr:row>
          <xdr:rowOff>0</xdr:rowOff>
        </xdr:from>
        <xdr:to>
          <xdr:col>2</xdr:col>
          <xdr:colOff>0</xdr:colOff>
          <xdr:row>109</xdr:row>
          <xdr:rowOff>215900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6E9EE849-DE39-4495-B50E-5D6477C25F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106</xdr:row>
          <xdr:rowOff>0</xdr:rowOff>
        </xdr:from>
        <xdr:to>
          <xdr:col>2</xdr:col>
          <xdr:colOff>0</xdr:colOff>
          <xdr:row>106</xdr:row>
          <xdr:rowOff>215900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B1BDF0DF-F66B-4A30-9A41-40DC171708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101</xdr:row>
          <xdr:rowOff>0</xdr:rowOff>
        </xdr:from>
        <xdr:to>
          <xdr:col>2</xdr:col>
          <xdr:colOff>0</xdr:colOff>
          <xdr:row>101</xdr:row>
          <xdr:rowOff>215900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768F3C45-A00D-4E0B-9A51-353253D94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103</xdr:row>
          <xdr:rowOff>0</xdr:rowOff>
        </xdr:from>
        <xdr:to>
          <xdr:col>2</xdr:col>
          <xdr:colOff>0</xdr:colOff>
          <xdr:row>103</xdr:row>
          <xdr:rowOff>215900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D0BD287A-1856-4218-BD4A-D24180D8A0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99</xdr:row>
          <xdr:rowOff>0</xdr:rowOff>
        </xdr:from>
        <xdr:to>
          <xdr:col>2</xdr:col>
          <xdr:colOff>0</xdr:colOff>
          <xdr:row>99</xdr:row>
          <xdr:rowOff>215900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D829CBAA-C15C-4007-9D99-C49F7F8C86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110</xdr:row>
          <xdr:rowOff>0</xdr:rowOff>
        </xdr:from>
        <xdr:to>
          <xdr:col>2</xdr:col>
          <xdr:colOff>0</xdr:colOff>
          <xdr:row>110</xdr:row>
          <xdr:rowOff>215900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93143AD0-8AC6-4D3B-B927-6B6D36C725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102</xdr:row>
          <xdr:rowOff>0</xdr:rowOff>
        </xdr:from>
        <xdr:to>
          <xdr:col>2</xdr:col>
          <xdr:colOff>0</xdr:colOff>
          <xdr:row>102</xdr:row>
          <xdr:rowOff>215900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FE3CE249-BC16-45F0-8C5E-61528BCF27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108</xdr:row>
          <xdr:rowOff>0</xdr:rowOff>
        </xdr:from>
        <xdr:to>
          <xdr:col>2</xdr:col>
          <xdr:colOff>0</xdr:colOff>
          <xdr:row>108</xdr:row>
          <xdr:rowOff>215900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36E64A6-14C1-4425-B905-74C1969A64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119</xdr:row>
          <xdr:rowOff>0</xdr:rowOff>
        </xdr:from>
        <xdr:to>
          <xdr:col>2</xdr:col>
          <xdr:colOff>0</xdr:colOff>
          <xdr:row>119</xdr:row>
          <xdr:rowOff>215900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6AA73BF5-6C07-4CD8-BB7B-D0263437EF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116</xdr:row>
          <xdr:rowOff>0</xdr:rowOff>
        </xdr:from>
        <xdr:to>
          <xdr:col>2</xdr:col>
          <xdr:colOff>0</xdr:colOff>
          <xdr:row>116</xdr:row>
          <xdr:rowOff>215900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F0E70980-BCEB-4F65-803E-020E8D5C99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111</xdr:row>
          <xdr:rowOff>0</xdr:rowOff>
        </xdr:from>
        <xdr:to>
          <xdr:col>2</xdr:col>
          <xdr:colOff>0</xdr:colOff>
          <xdr:row>111</xdr:row>
          <xdr:rowOff>215900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2DC57B20-EAC4-49CA-A5C5-5FBA0FC7E1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105</xdr:row>
          <xdr:rowOff>0</xdr:rowOff>
        </xdr:from>
        <xdr:to>
          <xdr:col>2</xdr:col>
          <xdr:colOff>0</xdr:colOff>
          <xdr:row>105</xdr:row>
          <xdr:rowOff>215900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F21B2564-E1AD-4E4E-8DBF-CDA54228D1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112</xdr:row>
          <xdr:rowOff>0</xdr:rowOff>
        </xdr:from>
        <xdr:to>
          <xdr:col>2</xdr:col>
          <xdr:colOff>0</xdr:colOff>
          <xdr:row>112</xdr:row>
          <xdr:rowOff>215900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DD0997DA-483F-4F4F-99AD-5F1F4D9453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107</xdr:row>
          <xdr:rowOff>0</xdr:rowOff>
        </xdr:from>
        <xdr:to>
          <xdr:col>2</xdr:col>
          <xdr:colOff>0</xdr:colOff>
          <xdr:row>107</xdr:row>
          <xdr:rowOff>215900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AF25863F-CDAE-4F8A-A041-FEF7340FD5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120</xdr:row>
          <xdr:rowOff>0</xdr:rowOff>
        </xdr:from>
        <xdr:to>
          <xdr:col>2</xdr:col>
          <xdr:colOff>0</xdr:colOff>
          <xdr:row>120</xdr:row>
          <xdr:rowOff>215900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22C2AB64-ECF6-4E57-91BA-638E644E7D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115</xdr:row>
          <xdr:rowOff>0</xdr:rowOff>
        </xdr:from>
        <xdr:to>
          <xdr:col>2</xdr:col>
          <xdr:colOff>0</xdr:colOff>
          <xdr:row>115</xdr:row>
          <xdr:rowOff>215900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F69227EB-96D8-4EC9-97C6-D28911C5F1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114</xdr:row>
          <xdr:rowOff>0</xdr:rowOff>
        </xdr:from>
        <xdr:to>
          <xdr:col>2</xdr:col>
          <xdr:colOff>0</xdr:colOff>
          <xdr:row>114</xdr:row>
          <xdr:rowOff>215900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1754C707-017F-4958-8F41-38EA00336D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117</xdr:row>
          <xdr:rowOff>0</xdr:rowOff>
        </xdr:from>
        <xdr:to>
          <xdr:col>2</xdr:col>
          <xdr:colOff>0</xdr:colOff>
          <xdr:row>117</xdr:row>
          <xdr:rowOff>215900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5BF44319-E1BD-42F4-923F-33F01CE7DA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119</xdr:row>
          <xdr:rowOff>0</xdr:rowOff>
        </xdr:from>
        <xdr:to>
          <xdr:col>2</xdr:col>
          <xdr:colOff>0</xdr:colOff>
          <xdr:row>119</xdr:row>
          <xdr:rowOff>215900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B2E11089-9468-4A15-80C0-2A5EF688CA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126</xdr:row>
          <xdr:rowOff>0</xdr:rowOff>
        </xdr:from>
        <xdr:to>
          <xdr:col>2</xdr:col>
          <xdr:colOff>0</xdr:colOff>
          <xdr:row>126</xdr:row>
          <xdr:rowOff>215900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F01C8671-8F1C-4562-84E2-A93ED55D3B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124</xdr:row>
          <xdr:rowOff>0</xdr:rowOff>
        </xdr:from>
        <xdr:to>
          <xdr:col>2</xdr:col>
          <xdr:colOff>0</xdr:colOff>
          <xdr:row>124</xdr:row>
          <xdr:rowOff>215900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71B3B576-7064-4008-B463-DCC4DB8238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121</xdr:row>
          <xdr:rowOff>0</xdr:rowOff>
        </xdr:from>
        <xdr:to>
          <xdr:col>2</xdr:col>
          <xdr:colOff>0</xdr:colOff>
          <xdr:row>121</xdr:row>
          <xdr:rowOff>215900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DDC11BCC-83F9-42D2-A4BA-2D9EEC02D7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123</xdr:row>
          <xdr:rowOff>0</xdr:rowOff>
        </xdr:from>
        <xdr:to>
          <xdr:col>2</xdr:col>
          <xdr:colOff>0</xdr:colOff>
          <xdr:row>123</xdr:row>
          <xdr:rowOff>215900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4146EAC5-A730-4801-A0DF-7770696B8C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125</xdr:row>
          <xdr:rowOff>0</xdr:rowOff>
        </xdr:from>
        <xdr:to>
          <xdr:col>2</xdr:col>
          <xdr:colOff>0</xdr:colOff>
          <xdr:row>125</xdr:row>
          <xdr:rowOff>215900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F2D79853-05E6-4513-9DCF-C78BE45451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143</xdr:row>
          <xdr:rowOff>0</xdr:rowOff>
        </xdr:from>
        <xdr:to>
          <xdr:col>2</xdr:col>
          <xdr:colOff>0</xdr:colOff>
          <xdr:row>143</xdr:row>
          <xdr:rowOff>215900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6B2EB133-9961-4295-97F1-94C57E41F9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140</xdr:row>
          <xdr:rowOff>0</xdr:rowOff>
        </xdr:from>
        <xdr:to>
          <xdr:col>2</xdr:col>
          <xdr:colOff>0</xdr:colOff>
          <xdr:row>140</xdr:row>
          <xdr:rowOff>215900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F8A5F685-E404-4481-BCE7-9111647F02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138</xdr:row>
          <xdr:rowOff>0</xdr:rowOff>
        </xdr:from>
        <xdr:to>
          <xdr:col>2</xdr:col>
          <xdr:colOff>0</xdr:colOff>
          <xdr:row>138</xdr:row>
          <xdr:rowOff>215900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C97550EB-F789-4CA6-83CE-E976B1B95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135</xdr:row>
          <xdr:rowOff>0</xdr:rowOff>
        </xdr:from>
        <xdr:to>
          <xdr:col>2</xdr:col>
          <xdr:colOff>0</xdr:colOff>
          <xdr:row>135</xdr:row>
          <xdr:rowOff>215900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B392772D-42E5-4F3C-9513-11AF3AAE3D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132</xdr:row>
          <xdr:rowOff>0</xdr:rowOff>
        </xdr:from>
        <xdr:to>
          <xdr:col>2</xdr:col>
          <xdr:colOff>0</xdr:colOff>
          <xdr:row>132</xdr:row>
          <xdr:rowOff>215900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60CDC56C-3B83-4C6F-BC3B-530BD26A96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130</xdr:row>
          <xdr:rowOff>0</xdr:rowOff>
        </xdr:from>
        <xdr:to>
          <xdr:col>2</xdr:col>
          <xdr:colOff>0</xdr:colOff>
          <xdr:row>130</xdr:row>
          <xdr:rowOff>215900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2B89037E-4135-4726-944D-1EDE817306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128</xdr:row>
          <xdr:rowOff>0</xdr:rowOff>
        </xdr:from>
        <xdr:to>
          <xdr:col>2</xdr:col>
          <xdr:colOff>0</xdr:colOff>
          <xdr:row>128</xdr:row>
          <xdr:rowOff>215900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4BD48AD3-B7CA-4BCA-9CC1-0DE665AAE8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137</xdr:row>
          <xdr:rowOff>0</xdr:rowOff>
        </xdr:from>
        <xdr:to>
          <xdr:col>2</xdr:col>
          <xdr:colOff>0</xdr:colOff>
          <xdr:row>137</xdr:row>
          <xdr:rowOff>215900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87CB63AA-FDDB-4110-B0F2-B447E61719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133</xdr:row>
          <xdr:rowOff>0</xdr:rowOff>
        </xdr:from>
        <xdr:to>
          <xdr:col>2</xdr:col>
          <xdr:colOff>0</xdr:colOff>
          <xdr:row>133</xdr:row>
          <xdr:rowOff>215900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2192D1D0-4ABE-4F3F-8BCB-85820E9B8B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129</xdr:row>
          <xdr:rowOff>0</xdr:rowOff>
        </xdr:from>
        <xdr:to>
          <xdr:col>2</xdr:col>
          <xdr:colOff>0</xdr:colOff>
          <xdr:row>129</xdr:row>
          <xdr:rowOff>215900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CDA95307-9FD4-4EF9-8B28-35A742E2F6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127</xdr:row>
          <xdr:rowOff>0</xdr:rowOff>
        </xdr:from>
        <xdr:to>
          <xdr:col>2</xdr:col>
          <xdr:colOff>0</xdr:colOff>
          <xdr:row>127</xdr:row>
          <xdr:rowOff>215900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517FA649-2CC8-417A-9725-67EA32B08C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139</xdr:row>
          <xdr:rowOff>0</xdr:rowOff>
        </xdr:from>
        <xdr:to>
          <xdr:col>2</xdr:col>
          <xdr:colOff>0</xdr:colOff>
          <xdr:row>139</xdr:row>
          <xdr:rowOff>215900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80F69A8C-B634-43B1-B21A-58F1DA1588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136</xdr:row>
          <xdr:rowOff>0</xdr:rowOff>
        </xdr:from>
        <xdr:to>
          <xdr:col>2</xdr:col>
          <xdr:colOff>0</xdr:colOff>
          <xdr:row>136</xdr:row>
          <xdr:rowOff>215900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D5E63FC0-3CB1-4F5A-9763-81645C6DEE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131</xdr:row>
          <xdr:rowOff>0</xdr:rowOff>
        </xdr:from>
        <xdr:to>
          <xdr:col>2</xdr:col>
          <xdr:colOff>0</xdr:colOff>
          <xdr:row>131</xdr:row>
          <xdr:rowOff>215900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C527B6D5-6C33-47FF-8755-A82748E8FC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134</xdr:row>
          <xdr:rowOff>0</xdr:rowOff>
        </xdr:from>
        <xdr:to>
          <xdr:col>2</xdr:col>
          <xdr:colOff>0</xdr:colOff>
          <xdr:row>134</xdr:row>
          <xdr:rowOff>215900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27ABBAD1-464D-43B0-A9F3-1A5510FCAB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142</xdr:row>
          <xdr:rowOff>0</xdr:rowOff>
        </xdr:from>
        <xdr:to>
          <xdr:col>2</xdr:col>
          <xdr:colOff>0</xdr:colOff>
          <xdr:row>142</xdr:row>
          <xdr:rowOff>215900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91FE7D85-040F-418D-B7B1-951F5ECE36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141</xdr:row>
          <xdr:rowOff>0</xdr:rowOff>
        </xdr:from>
        <xdr:to>
          <xdr:col>2</xdr:col>
          <xdr:colOff>0</xdr:colOff>
          <xdr:row>141</xdr:row>
          <xdr:rowOff>215900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912E1D42-D5F6-4939-A82E-CF8EAEBB2E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</xdr:row>
          <xdr:rowOff>0</xdr:rowOff>
        </xdr:from>
        <xdr:to>
          <xdr:col>2</xdr:col>
          <xdr:colOff>495300</xdr:colOff>
          <xdr:row>1</xdr:row>
          <xdr:rowOff>215900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B365FCE0-7E2D-4D0B-AE04-0D958A5697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</xdr:row>
          <xdr:rowOff>0</xdr:rowOff>
        </xdr:from>
        <xdr:to>
          <xdr:col>2</xdr:col>
          <xdr:colOff>495300</xdr:colOff>
          <xdr:row>1</xdr:row>
          <xdr:rowOff>215900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F0B141DC-2021-49E6-A8A5-095E9AE386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4</xdr:row>
          <xdr:rowOff>0</xdr:rowOff>
        </xdr:from>
        <xdr:to>
          <xdr:col>2</xdr:col>
          <xdr:colOff>495300</xdr:colOff>
          <xdr:row>4</xdr:row>
          <xdr:rowOff>215900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26760DDB-7B41-4AF7-A2F8-1057D939E6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2</xdr:row>
          <xdr:rowOff>0</xdr:rowOff>
        </xdr:from>
        <xdr:to>
          <xdr:col>2</xdr:col>
          <xdr:colOff>495300</xdr:colOff>
          <xdr:row>2</xdr:row>
          <xdr:rowOff>215900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3DCAF103-705D-4D2F-AC29-9D3E35F808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7</xdr:row>
          <xdr:rowOff>0</xdr:rowOff>
        </xdr:from>
        <xdr:to>
          <xdr:col>2</xdr:col>
          <xdr:colOff>495300</xdr:colOff>
          <xdr:row>7</xdr:row>
          <xdr:rowOff>215900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D154CC37-3615-4F69-8B85-E2D8CD66CE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12</xdr:row>
          <xdr:rowOff>0</xdr:rowOff>
        </xdr:from>
        <xdr:to>
          <xdr:col>2</xdr:col>
          <xdr:colOff>495300</xdr:colOff>
          <xdr:row>12</xdr:row>
          <xdr:rowOff>215900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4695889D-C6B8-47F2-B735-569A248EF0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18</xdr:row>
          <xdr:rowOff>0</xdr:rowOff>
        </xdr:from>
        <xdr:to>
          <xdr:col>2</xdr:col>
          <xdr:colOff>495300</xdr:colOff>
          <xdr:row>18</xdr:row>
          <xdr:rowOff>215900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B6891E14-BA27-47A1-A322-ACC0E291D8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16</xdr:row>
          <xdr:rowOff>0</xdr:rowOff>
        </xdr:from>
        <xdr:to>
          <xdr:col>2</xdr:col>
          <xdr:colOff>495300</xdr:colOff>
          <xdr:row>16</xdr:row>
          <xdr:rowOff>215900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FDF8DDCB-FCC7-4DE6-8B28-78360F3005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11</xdr:row>
          <xdr:rowOff>0</xdr:rowOff>
        </xdr:from>
        <xdr:to>
          <xdr:col>2</xdr:col>
          <xdr:colOff>495300</xdr:colOff>
          <xdr:row>11</xdr:row>
          <xdr:rowOff>215900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30478161-C9CC-4F31-B8E8-E51A685565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3</xdr:row>
          <xdr:rowOff>0</xdr:rowOff>
        </xdr:from>
        <xdr:to>
          <xdr:col>2</xdr:col>
          <xdr:colOff>495300</xdr:colOff>
          <xdr:row>3</xdr:row>
          <xdr:rowOff>215900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9237F66F-691A-4A61-B587-D2EA3D9B84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</xdr:row>
          <xdr:rowOff>0</xdr:rowOff>
        </xdr:from>
        <xdr:to>
          <xdr:col>2</xdr:col>
          <xdr:colOff>495300</xdr:colOff>
          <xdr:row>1</xdr:row>
          <xdr:rowOff>215900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FF805027-6A6C-4DDD-93F2-A0E5A7FC68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9</xdr:row>
          <xdr:rowOff>0</xdr:rowOff>
        </xdr:from>
        <xdr:to>
          <xdr:col>2</xdr:col>
          <xdr:colOff>495300</xdr:colOff>
          <xdr:row>9</xdr:row>
          <xdr:rowOff>215900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FE64A082-B371-4873-AD24-BD62E0DA28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10</xdr:row>
          <xdr:rowOff>0</xdr:rowOff>
        </xdr:from>
        <xdr:to>
          <xdr:col>2</xdr:col>
          <xdr:colOff>495300</xdr:colOff>
          <xdr:row>10</xdr:row>
          <xdr:rowOff>215900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484C8DC-09D5-4911-AFEE-EC139DD184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22</xdr:row>
          <xdr:rowOff>0</xdr:rowOff>
        </xdr:from>
        <xdr:to>
          <xdr:col>2</xdr:col>
          <xdr:colOff>495300</xdr:colOff>
          <xdr:row>22</xdr:row>
          <xdr:rowOff>215900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B493B039-CA81-4065-8AA1-9A62080B0E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19</xdr:row>
          <xdr:rowOff>0</xdr:rowOff>
        </xdr:from>
        <xdr:to>
          <xdr:col>2</xdr:col>
          <xdr:colOff>495300</xdr:colOff>
          <xdr:row>19</xdr:row>
          <xdr:rowOff>215900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3AA88583-E4CB-4CE6-92AA-419D45A8BF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14</xdr:row>
          <xdr:rowOff>0</xdr:rowOff>
        </xdr:from>
        <xdr:to>
          <xdr:col>2</xdr:col>
          <xdr:colOff>495300</xdr:colOff>
          <xdr:row>14</xdr:row>
          <xdr:rowOff>215900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59DF399C-43B0-4D5F-81C2-D9464E015F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20</xdr:row>
          <xdr:rowOff>0</xdr:rowOff>
        </xdr:from>
        <xdr:to>
          <xdr:col>2</xdr:col>
          <xdr:colOff>495300</xdr:colOff>
          <xdr:row>20</xdr:row>
          <xdr:rowOff>215900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FA7BD226-86A5-4352-8771-957F5BEE0A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25</xdr:row>
          <xdr:rowOff>0</xdr:rowOff>
        </xdr:from>
        <xdr:to>
          <xdr:col>2</xdr:col>
          <xdr:colOff>495300</xdr:colOff>
          <xdr:row>25</xdr:row>
          <xdr:rowOff>215900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886E7FBD-720A-4DFA-A710-8F5ECE962B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24</xdr:row>
          <xdr:rowOff>0</xdr:rowOff>
        </xdr:from>
        <xdr:to>
          <xdr:col>2</xdr:col>
          <xdr:colOff>495300</xdr:colOff>
          <xdr:row>24</xdr:row>
          <xdr:rowOff>215900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5CD7547B-5FF9-4E1D-94B3-498D5D84D0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21</xdr:row>
          <xdr:rowOff>0</xdr:rowOff>
        </xdr:from>
        <xdr:to>
          <xdr:col>2</xdr:col>
          <xdr:colOff>495300</xdr:colOff>
          <xdr:row>21</xdr:row>
          <xdr:rowOff>215900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BCFFD1CF-85A9-4E13-AE1A-BC46BA1A8B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23</xdr:row>
          <xdr:rowOff>0</xdr:rowOff>
        </xdr:from>
        <xdr:to>
          <xdr:col>2</xdr:col>
          <xdr:colOff>495300</xdr:colOff>
          <xdr:row>23</xdr:row>
          <xdr:rowOff>215900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B11773D1-46AA-412F-97D8-8929DA3572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27</xdr:row>
          <xdr:rowOff>0</xdr:rowOff>
        </xdr:from>
        <xdr:to>
          <xdr:col>2</xdr:col>
          <xdr:colOff>495300</xdr:colOff>
          <xdr:row>27</xdr:row>
          <xdr:rowOff>215900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ABF178DA-0B2F-4554-8B86-5976DB128E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26</xdr:row>
          <xdr:rowOff>0</xdr:rowOff>
        </xdr:from>
        <xdr:to>
          <xdr:col>2</xdr:col>
          <xdr:colOff>495300</xdr:colOff>
          <xdr:row>26</xdr:row>
          <xdr:rowOff>215900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FB5AD917-0BA8-4FBC-994B-F2C0E683A7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31</xdr:row>
          <xdr:rowOff>0</xdr:rowOff>
        </xdr:from>
        <xdr:to>
          <xdr:col>2</xdr:col>
          <xdr:colOff>495300</xdr:colOff>
          <xdr:row>31</xdr:row>
          <xdr:rowOff>215900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9FD85D32-7CB5-4F20-A41D-AA55F69B35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29</xdr:row>
          <xdr:rowOff>0</xdr:rowOff>
        </xdr:from>
        <xdr:to>
          <xdr:col>2</xdr:col>
          <xdr:colOff>495300</xdr:colOff>
          <xdr:row>29</xdr:row>
          <xdr:rowOff>215900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BC196093-0D60-42CB-980C-9D99F1EE35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25</xdr:row>
          <xdr:rowOff>0</xdr:rowOff>
        </xdr:from>
        <xdr:to>
          <xdr:col>2</xdr:col>
          <xdr:colOff>495300</xdr:colOff>
          <xdr:row>25</xdr:row>
          <xdr:rowOff>215900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F6EADD97-B7E3-4355-BE4A-9416B31104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28</xdr:row>
          <xdr:rowOff>0</xdr:rowOff>
        </xdr:from>
        <xdr:to>
          <xdr:col>2</xdr:col>
          <xdr:colOff>495300</xdr:colOff>
          <xdr:row>28</xdr:row>
          <xdr:rowOff>215900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5A8F5C69-8042-4341-ABE7-3FFF83B4F8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30</xdr:row>
          <xdr:rowOff>0</xdr:rowOff>
        </xdr:from>
        <xdr:to>
          <xdr:col>2</xdr:col>
          <xdr:colOff>495300</xdr:colOff>
          <xdr:row>30</xdr:row>
          <xdr:rowOff>215900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361E8CE-47E1-4EA9-91A4-555D884C03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35</xdr:row>
          <xdr:rowOff>0</xdr:rowOff>
        </xdr:from>
        <xdr:to>
          <xdr:col>2</xdr:col>
          <xdr:colOff>495300</xdr:colOff>
          <xdr:row>35</xdr:row>
          <xdr:rowOff>215900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21209995-6B3A-4E1F-AD10-57A66F03A8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32</xdr:row>
          <xdr:rowOff>0</xdr:rowOff>
        </xdr:from>
        <xdr:to>
          <xdr:col>2</xdr:col>
          <xdr:colOff>495300</xdr:colOff>
          <xdr:row>32</xdr:row>
          <xdr:rowOff>215900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5F662788-91E0-4608-91E4-DE71AB766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34</xdr:row>
          <xdr:rowOff>0</xdr:rowOff>
        </xdr:from>
        <xdr:to>
          <xdr:col>2</xdr:col>
          <xdr:colOff>495300</xdr:colOff>
          <xdr:row>34</xdr:row>
          <xdr:rowOff>215900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F5163C7D-225F-4773-B6FD-4FC531DB62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40</xdr:row>
          <xdr:rowOff>0</xdr:rowOff>
        </xdr:from>
        <xdr:to>
          <xdr:col>2</xdr:col>
          <xdr:colOff>495300</xdr:colOff>
          <xdr:row>40</xdr:row>
          <xdr:rowOff>215900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6B6C2466-504E-4D5E-AE04-DCDB9E95B8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37</xdr:row>
          <xdr:rowOff>0</xdr:rowOff>
        </xdr:from>
        <xdr:to>
          <xdr:col>2</xdr:col>
          <xdr:colOff>495300</xdr:colOff>
          <xdr:row>37</xdr:row>
          <xdr:rowOff>215900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469E63A7-F33B-44D1-ACF9-BFCB2C03E9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43</xdr:row>
          <xdr:rowOff>0</xdr:rowOff>
        </xdr:from>
        <xdr:to>
          <xdr:col>2</xdr:col>
          <xdr:colOff>495300</xdr:colOff>
          <xdr:row>43</xdr:row>
          <xdr:rowOff>215900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AC24B1D9-C803-4EBE-BE8C-14FA033DE8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36</xdr:row>
          <xdr:rowOff>0</xdr:rowOff>
        </xdr:from>
        <xdr:to>
          <xdr:col>2</xdr:col>
          <xdr:colOff>495300</xdr:colOff>
          <xdr:row>36</xdr:row>
          <xdr:rowOff>215900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4CEBC6D5-6F7A-41F3-820E-2426A505F9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42</xdr:row>
          <xdr:rowOff>0</xdr:rowOff>
        </xdr:from>
        <xdr:to>
          <xdr:col>2</xdr:col>
          <xdr:colOff>495300</xdr:colOff>
          <xdr:row>42</xdr:row>
          <xdr:rowOff>215900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EDDEA918-F84C-401C-8457-C2247B5BE4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39</xdr:row>
          <xdr:rowOff>0</xdr:rowOff>
        </xdr:from>
        <xdr:to>
          <xdr:col>2</xdr:col>
          <xdr:colOff>495300</xdr:colOff>
          <xdr:row>39</xdr:row>
          <xdr:rowOff>215900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78EFBAA5-10F5-4AAA-9D9D-3EF4583F76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41</xdr:row>
          <xdr:rowOff>0</xdr:rowOff>
        </xdr:from>
        <xdr:to>
          <xdr:col>2</xdr:col>
          <xdr:colOff>495300</xdr:colOff>
          <xdr:row>41</xdr:row>
          <xdr:rowOff>215900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3F4A8C86-A29A-448C-BBB8-EC9CA90F0F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46</xdr:row>
          <xdr:rowOff>0</xdr:rowOff>
        </xdr:from>
        <xdr:to>
          <xdr:col>2</xdr:col>
          <xdr:colOff>495300</xdr:colOff>
          <xdr:row>46</xdr:row>
          <xdr:rowOff>215900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DF96776C-8982-4D9D-A8E0-5C80F454BB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44</xdr:row>
          <xdr:rowOff>0</xdr:rowOff>
        </xdr:from>
        <xdr:to>
          <xdr:col>2</xdr:col>
          <xdr:colOff>495300</xdr:colOff>
          <xdr:row>44</xdr:row>
          <xdr:rowOff>215900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6A61B59D-E032-4CBE-8DD0-A702061114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45</xdr:row>
          <xdr:rowOff>0</xdr:rowOff>
        </xdr:from>
        <xdr:to>
          <xdr:col>2</xdr:col>
          <xdr:colOff>495300</xdr:colOff>
          <xdr:row>45</xdr:row>
          <xdr:rowOff>215900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705327F-C0A7-4288-9D38-8FCD387A2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47</xdr:row>
          <xdr:rowOff>0</xdr:rowOff>
        </xdr:from>
        <xdr:to>
          <xdr:col>2</xdr:col>
          <xdr:colOff>495300</xdr:colOff>
          <xdr:row>47</xdr:row>
          <xdr:rowOff>215900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2134025C-E87A-43E4-BCAD-07F21C70AA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49</xdr:row>
          <xdr:rowOff>0</xdr:rowOff>
        </xdr:from>
        <xdr:to>
          <xdr:col>2</xdr:col>
          <xdr:colOff>495300</xdr:colOff>
          <xdr:row>49</xdr:row>
          <xdr:rowOff>215900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6FD071B8-635E-434A-B07C-A7716EF42A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48</xdr:row>
          <xdr:rowOff>0</xdr:rowOff>
        </xdr:from>
        <xdr:to>
          <xdr:col>2</xdr:col>
          <xdr:colOff>495300</xdr:colOff>
          <xdr:row>48</xdr:row>
          <xdr:rowOff>215900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7D8A4121-2513-40E5-98CA-C5E6C75D4C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51</xdr:row>
          <xdr:rowOff>0</xdr:rowOff>
        </xdr:from>
        <xdr:to>
          <xdr:col>2</xdr:col>
          <xdr:colOff>495300</xdr:colOff>
          <xdr:row>51</xdr:row>
          <xdr:rowOff>215900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558787C2-140C-4523-99C6-2248BF389C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50</xdr:row>
          <xdr:rowOff>0</xdr:rowOff>
        </xdr:from>
        <xdr:to>
          <xdr:col>2</xdr:col>
          <xdr:colOff>495300</xdr:colOff>
          <xdr:row>50</xdr:row>
          <xdr:rowOff>215900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9852B68C-6A70-480A-9245-5B247F376C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52</xdr:row>
          <xdr:rowOff>0</xdr:rowOff>
        </xdr:from>
        <xdr:to>
          <xdr:col>2</xdr:col>
          <xdr:colOff>495300</xdr:colOff>
          <xdr:row>52</xdr:row>
          <xdr:rowOff>215900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AAE3A957-C600-4D78-A786-E48D6E85E7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58</xdr:row>
          <xdr:rowOff>0</xdr:rowOff>
        </xdr:from>
        <xdr:to>
          <xdr:col>2</xdr:col>
          <xdr:colOff>495300</xdr:colOff>
          <xdr:row>58</xdr:row>
          <xdr:rowOff>215900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EBE6F87C-91B2-4DB5-B2ED-1E75F9C828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66</xdr:row>
          <xdr:rowOff>0</xdr:rowOff>
        </xdr:from>
        <xdr:to>
          <xdr:col>2</xdr:col>
          <xdr:colOff>495300</xdr:colOff>
          <xdr:row>66</xdr:row>
          <xdr:rowOff>215900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3DBE9824-1838-4E4C-B9B6-645E6A9AE8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72</xdr:row>
          <xdr:rowOff>0</xdr:rowOff>
        </xdr:from>
        <xdr:to>
          <xdr:col>2</xdr:col>
          <xdr:colOff>495300</xdr:colOff>
          <xdr:row>72</xdr:row>
          <xdr:rowOff>215900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1167338F-41D2-4A72-9215-70249F344F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76</xdr:row>
          <xdr:rowOff>0</xdr:rowOff>
        </xdr:from>
        <xdr:to>
          <xdr:col>2</xdr:col>
          <xdr:colOff>495300</xdr:colOff>
          <xdr:row>76</xdr:row>
          <xdr:rowOff>215900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7B21E264-BB37-4EC7-9F2A-D0E6039854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73</xdr:row>
          <xdr:rowOff>0</xdr:rowOff>
        </xdr:from>
        <xdr:to>
          <xdr:col>2</xdr:col>
          <xdr:colOff>495300</xdr:colOff>
          <xdr:row>73</xdr:row>
          <xdr:rowOff>215900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9306F1F5-DB83-462D-A6D6-C687CC93FE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79</xdr:row>
          <xdr:rowOff>0</xdr:rowOff>
        </xdr:from>
        <xdr:to>
          <xdr:col>2</xdr:col>
          <xdr:colOff>495300</xdr:colOff>
          <xdr:row>79</xdr:row>
          <xdr:rowOff>215900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7A4D3A28-FF03-4115-ABB5-0F086E30DB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74</xdr:row>
          <xdr:rowOff>0</xdr:rowOff>
        </xdr:from>
        <xdr:to>
          <xdr:col>2</xdr:col>
          <xdr:colOff>495300</xdr:colOff>
          <xdr:row>74</xdr:row>
          <xdr:rowOff>215900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843B5073-13DD-4DB6-BBA9-1C4D79B1AF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64</xdr:row>
          <xdr:rowOff>0</xdr:rowOff>
        </xdr:from>
        <xdr:to>
          <xdr:col>2</xdr:col>
          <xdr:colOff>495300</xdr:colOff>
          <xdr:row>64</xdr:row>
          <xdr:rowOff>215900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BF7BA32D-0D03-469D-B658-1B25C7650C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68</xdr:row>
          <xdr:rowOff>0</xdr:rowOff>
        </xdr:from>
        <xdr:to>
          <xdr:col>2</xdr:col>
          <xdr:colOff>495300</xdr:colOff>
          <xdr:row>68</xdr:row>
          <xdr:rowOff>215900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177B46E0-C440-434D-BF56-9630D36609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62</xdr:row>
          <xdr:rowOff>0</xdr:rowOff>
        </xdr:from>
        <xdr:to>
          <xdr:col>2</xdr:col>
          <xdr:colOff>495300</xdr:colOff>
          <xdr:row>62</xdr:row>
          <xdr:rowOff>215900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177FD6C8-60AA-4BE3-BD53-863FEC54EF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57</xdr:row>
          <xdr:rowOff>0</xdr:rowOff>
        </xdr:from>
        <xdr:to>
          <xdr:col>2</xdr:col>
          <xdr:colOff>495300</xdr:colOff>
          <xdr:row>57</xdr:row>
          <xdr:rowOff>215900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9099111-AD2B-4E63-8093-804DF87F13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60</xdr:row>
          <xdr:rowOff>0</xdr:rowOff>
        </xdr:from>
        <xdr:to>
          <xdr:col>2</xdr:col>
          <xdr:colOff>495300</xdr:colOff>
          <xdr:row>60</xdr:row>
          <xdr:rowOff>215900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C630A764-7D8C-4826-A43D-787C4C584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55</xdr:row>
          <xdr:rowOff>0</xdr:rowOff>
        </xdr:from>
        <xdr:to>
          <xdr:col>2</xdr:col>
          <xdr:colOff>495300</xdr:colOff>
          <xdr:row>55</xdr:row>
          <xdr:rowOff>215900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4313F490-2DDD-4E9F-8257-82C8E9371D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70</xdr:row>
          <xdr:rowOff>0</xdr:rowOff>
        </xdr:from>
        <xdr:to>
          <xdr:col>2</xdr:col>
          <xdr:colOff>495300</xdr:colOff>
          <xdr:row>70</xdr:row>
          <xdr:rowOff>215900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5367628D-25FF-403F-9F4D-FCDC9326F4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65</xdr:row>
          <xdr:rowOff>0</xdr:rowOff>
        </xdr:from>
        <xdr:to>
          <xdr:col>2</xdr:col>
          <xdr:colOff>495300</xdr:colOff>
          <xdr:row>65</xdr:row>
          <xdr:rowOff>215900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A7A00D84-561C-4131-8023-4A2AB13D7C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59</xdr:row>
          <xdr:rowOff>0</xdr:rowOff>
        </xdr:from>
        <xdr:to>
          <xdr:col>2</xdr:col>
          <xdr:colOff>495300</xdr:colOff>
          <xdr:row>59</xdr:row>
          <xdr:rowOff>215900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80C58092-C96F-4967-B197-ED5B6676DD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54</xdr:row>
          <xdr:rowOff>0</xdr:rowOff>
        </xdr:from>
        <xdr:to>
          <xdr:col>2</xdr:col>
          <xdr:colOff>495300</xdr:colOff>
          <xdr:row>54</xdr:row>
          <xdr:rowOff>215900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377F8951-E216-483C-9D87-E745B1FA2C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63</xdr:row>
          <xdr:rowOff>0</xdr:rowOff>
        </xdr:from>
        <xdr:to>
          <xdr:col>2</xdr:col>
          <xdr:colOff>495300</xdr:colOff>
          <xdr:row>63</xdr:row>
          <xdr:rowOff>215900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4EC400B0-7372-4A28-BB1F-61C016FABF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53</xdr:row>
          <xdr:rowOff>0</xdr:rowOff>
        </xdr:from>
        <xdr:to>
          <xdr:col>2</xdr:col>
          <xdr:colOff>495300</xdr:colOff>
          <xdr:row>53</xdr:row>
          <xdr:rowOff>215900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C0989C2D-9812-48CB-95F5-4FEE58AAF0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56</xdr:row>
          <xdr:rowOff>0</xdr:rowOff>
        </xdr:from>
        <xdr:to>
          <xdr:col>2</xdr:col>
          <xdr:colOff>495300</xdr:colOff>
          <xdr:row>56</xdr:row>
          <xdr:rowOff>215900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DA007957-FED8-4BBC-ACE1-8E4EFEB3DE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73</xdr:row>
          <xdr:rowOff>0</xdr:rowOff>
        </xdr:from>
        <xdr:to>
          <xdr:col>2</xdr:col>
          <xdr:colOff>495300</xdr:colOff>
          <xdr:row>73</xdr:row>
          <xdr:rowOff>215900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52A7FBDF-E2E6-46D0-B66C-906B2CD2F6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69</xdr:row>
          <xdr:rowOff>0</xdr:rowOff>
        </xdr:from>
        <xdr:to>
          <xdr:col>2</xdr:col>
          <xdr:colOff>495300</xdr:colOff>
          <xdr:row>69</xdr:row>
          <xdr:rowOff>215900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778F8215-71D0-4D0A-8AD1-B28BF4457C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67</xdr:row>
          <xdr:rowOff>0</xdr:rowOff>
        </xdr:from>
        <xdr:to>
          <xdr:col>2</xdr:col>
          <xdr:colOff>495300</xdr:colOff>
          <xdr:row>67</xdr:row>
          <xdr:rowOff>215900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BFDDF7BA-F5A3-4572-97F3-36BE40B087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71</xdr:row>
          <xdr:rowOff>0</xdr:rowOff>
        </xdr:from>
        <xdr:to>
          <xdr:col>2</xdr:col>
          <xdr:colOff>495300</xdr:colOff>
          <xdr:row>71</xdr:row>
          <xdr:rowOff>215900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28CF276B-3DE0-4551-8BF0-D05F14BBAA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75</xdr:row>
          <xdr:rowOff>0</xdr:rowOff>
        </xdr:from>
        <xdr:to>
          <xdr:col>2</xdr:col>
          <xdr:colOff>495300</xdr:colOff>
          <xdr:row>75</xdr:row>
          <xdr:rowOff>215900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E05210CB-217A-47D9-998B-37F3090ED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78</xdr:row>
          <xdr:rowOff>0</xdr:rowOff>
        </xdr:from>
        <xdr:to>
          <xdr:col>2</xdr:col>
          <xdr:colOff>495300</xdr:colOff>
          <xdr:row>78</xdr:row>
          <xdr:rowOff>215900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CA7C4BC0-1921-4129-A943-EB60697C74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87</xdr:row>
          <xdr:rowOff>0</xdr:rowOff>
        </xdr:from>
        <xdr:to>
          <xdr:col>2</xdr:col>
          <xdr:colOff>495300</xdr:colOff>
          <xdr:row>87</xdr:row>
          <xdr:rowOff>215900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46495EAD-3694-4ECF-8C33-8ECAD264FE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85</xdr:row>
          <xdr:rowOff>0</xdr:rowOff>
        </xdr:from>
        <xdr:to>
          <xdr:col>2</xdr:col>
          <xdr:colOff>495300</xdr:colOff>
          <xdr:row>85</xdr:row>
          <xdr:rowOff>215900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7C7E98CC-89BF-4872-BB47-7940FEEC83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83</xdr:row>
          <xdr:rowOff>0</xdr:rowOff>
        </xdr:from>
        <xdr:to>
          <xdr:col>2</xdr:col>
          <xdr:colOff>495300</xdr:colOff>
          <xdr:row>83</xdr:row>
          <xdr:rowOff>215900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A6E3D933-5770-40C5-B47B-25AA95DDC4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81</xdr:row>
          <xdr:rowOff>0</xdr:rowOff>
        </xdr:from>
        <xdr:to>
          <xdr:col>2</xdr:col>
          <xdr:colOff>495300</xdr:colOff>
          <xdr:row>81</xdr:row>
          <xdr:rowOff>215900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229AE0AD-8195-46C0-B236-C7957F03FD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77</xdr:row>
          <xdr:rowOff>0</xdr:rowOff>
        </xdr:from>
        <xdr:to>
          <xdr:col>2</xdr:col>
          <xdr:colOff>495300</xdr:colOff>
          <xdr:row>77</xdr:row>
          <xdr:rowOff>215900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7E8EDDF3-EFC3-43C1-A019-EB05D48232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82</xdr:row>
          <xdr:rowOff>0</xdr:rowOff>
        </xdr:from>
        <xdr:to>
          <xdr:col>2</xdr:col>
          <xdr:colOff>495300</xdr:colOff>
          <xdr:row>82</xdr:row>
          <xdr:rowOff>215900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FC3AF22B-6AC8-482D-BA96-8F8B65BC6B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84</xdr:row>
          <xdr:rowOff>0</xdr:rowOff>
        </xdr:from>
        <xdr:to>
          <xdr:col>2</xdr:col>
          <xdr:colOff>495300</xdr:colOff>
          <xdr:row>84</xdr:row>
          <xdr:rowOff>215900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32E249F3-F3E5-47A0-B663-A27A6409A4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86</xdr:row>
          <xdr:rowOff>0</xdr:rowOff>
        </xdr:from>
        <xdr:to>
          <xdr:col>2</xdr:col>
          <xdr:colOff>495300</xdr:colOff>
          <xdr:row>86</xdr:row>
          <xdr:rowOff>215900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5D613718-6D0C-4646-90DA-E7541F6637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89</xdr:row>
          <xdr:rowOff>0</xdr:rowOff>
        </xdr:from>
        <xdr:to>
          <xdr:col>2</xdr:col>
          <xdr:colOff>495300</xdr:colOff>
          <xdr:row>89</xdr:row>
          <xdr:rowOff>215900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5C1B56D-0450-481C-BF88-F6695CF18D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87</xdr:row>
          <xdr:rowOff>0</xdr:rowOff>
        </xdr:from>
        <xdr:to>
          <xdr:col>2</xdr:col>
          <xdr:colOff>495300</xdr:colOff>
          <xdr:row>87</xdr:row>
          <xdr:rowOff>215900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8886B778-68F4-4E88-8C29-B9E24050CE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93</xdr:row>
          <xdr:rowOff>0</xdr:rowOff>
        </xdr:from>
        <xdr:to>
          <xdr:col>2</xdr:col>
          <xdr:colOff>495300</xdr:colOff>
          <xdr:row>93</xdr:row>
          <xdr:rowOff>215900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9D2EEBEA-A98B-424E-B8D5-2365564EC8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88</xdr:row>
          <xdr:rowOff>0</xdr:rowOff>
        </xdr:from>
        <xdr:to>
          <xdr:col>2</xdr:col>
          <xdr:colOff>495300</xdr:colOff>
          <xdr:row>88</xdr:row>
          <xdr:rowOff>215900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57D0E34E-7574-4736-A4EB-BB5996B34E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91</xdr:row>
          <xdr:rowOff>0</xdr:rowOff>
        </xdr:from>
        <xdr:to>
          <xdr:col>2</xdr:col>
          <xdr:colOff>495300</xdr:colOff>
          <xdr:row>91</xdr:row>
          <xdr:rowOff>215900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BAE40234-CB74-42AF-90C3-4BABEBA51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90</xdr:row>
          <xdr:rowOff>0</xdr:rowOff>
        </xdr:from>
        <xdr:to>
          <xdr:col>2</xdr:col>
          <xdr:colOff>495300</xdr:colOff>
          <xdr:row>90</xdr:row>
          <xdr:rowOff>215900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2E9A5E20-A961-4FD4-B856-BCB77622E3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92</xdr:row>
          <xdr:rowOff>0</xdr:rowOff>
        </xdr:from>
        <xdr:to>
          <xdr:col>2</xdr:col>
          <xdr:colOff>495300</xdr:colOff>
          <xdr:row>92</xdr:row>
          <xdr:rowOff>215900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CAF402C4-5F20-4999-AE85-B8851885E8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119</xdr:row>
          <xdr:rowOff>0</xdr:rowOff>
        </xdr:from>
        <xdr:to>
          <xdr:col>2</xdr:col>
          <xdr:colOff>495300</xdr:colOff>
          <xdr:row>119</xdr:row>
          <xdr:rowOff>215900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FAED77B1-E39B-434D-9DEB-4EBB726E83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94</xdr:row>
          <xdr:rowOff>0</xdr:rowOff>
        </xdr:from>
        <xdr:to>
          <xdr:col>2</xdr:col>
          <xdr:colOff>495300</xdr:colOff>
          <xdr:row>94</xdr:row>
          <xdr:rowOff>215900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22E22449-DD0A-458F-AF99-FDEBAE79D2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96</xdr:row>
          <xdr:rowOff>0</xdr:rowOff>
        </xdr:from>
        <xdr:to>
          <xdr:col>2</xdr:col>
          <xdr:colOff>495300</xdr:colOff>
          <xdr:row>96</xdr:row>
          <xdr:rowOff>215900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4DA848BB-722F-40D7-94F8-784D9A315F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99</xdr:row>
          <xdr:rowOff>0</xdr:rowOff>
        </xdr:from>
        <xdr:to>
          <xdr:col>2</xdr:col>
          <xdr:colOff>495300</xdr:colOff>
          <xdr:row>99</xdr:row>
          <xdr:rowOff>215900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65FE7966-83B9-46C5-93E5-4EA7A677CC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102</xdr:row>
          <xdr:rowOff>0</xdr:rowOff>
        </xdr:from>
        <xdr:to>
          <xdr:col>2</xdr:col>
          <xdr:colOff>495300</xdr:colOff>
          <xdr:row>102</xdr:row>
          <xdr:rowOff>215900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CF9A1442-834E-4AA5-A68D-1AFB73957E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106</xdr:row>
          <xdr:rowOff>0</xdr:rowOff>
        </xdr:from>
        <xdr:to>
          <xdr:col>2</xdr:col>
          <xdr:colOff>495300</xdr:colOff>
          <xdr:row>106</xdr:row>
          <xdr:rowOff>215900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BFE531B1-954A-4FAE-8BE6-5831E4F4B2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110</xdr:row>
          <xdr:rowOff>0</xdr:rowOff>
        </xdr:from>
        <xdr:to>
          <xdr:col>2</xdr:col>
          <xdr:colOff>495300</xdr:colOff>
          <xdr:row>110</xdr:row>
          <xdr:rowOff>215900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5D001335-5763-45C3-AD44-E3F3B60692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113</xdr:row>
          <xdr:rowOff>0</xdr:rowOff>
        </xdr:from>
        <xdr:to>
          <xdr:col>2</xdr:col>
          <xdr:colOff>495300</xdr:colOff>
          <xdr:row>113</xdr:row>
          <xdr:rowOff>215900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8DC03601-6F8A-4390-94F0-DE22E49028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117</xdr:row>
          <xdr:rowOff>0</xdr:rowOff>
        </xdr:from>
        <xdr:to>
          <xdr:col>2</xdr:col>
          <xdr:colOff>495300</xdr:colOff>
          <xdr:row>117</xdr:row>
          <xdr:rowOff>215900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4EDDA996-6326-40B9-9289-ECE46F87F2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115</xdr:row>
          <xdr:rowOff>0</xdr:rowOff>
        </xdr:from>
        <xdr:to>
          <xdr:col>2</xdr:col>
          <xdr:colOff>495300</xdr:colOff>
          <xdr:row>115</xdr:row>
          <xdr:rowOff>215900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8F4B237B-EAFF-48F1-B169-AE0BC82E3F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112</xdr:row>
          <xdr:rowOff>0</xdr:rowOff>
        </xdr:from>
        <xdr:to>
          <xdr:col>2</xdr:col>
          <xdr:colOff>495300</xdr:colOff>
          <xdr:row>112</xdr:row>
          <xdr:rowOff>215900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A008B058-D001-40CE-B882-F7C24871EB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108</xdr:row>
          <xdr:rowOff>0</xdr:rowOff>
        </xdr:from>
        <xdr:to>
          <xdr:col>2</xdr:col>
          <xdr:colOff>495300</xdr:colOff>
          <xdr:row>108</xdr:row>
          <xdr:rowOff>215900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A1EF7F8B-22B1-4937-BFF7-A5894CC30E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103</xdr:row>
          <xdr:rowOff>0</xdr:rowOff>
        </xdr:from>
        <xdr:to>
          <xdr:col>2</xdr:col>
          <xdr:colOff>495300</xdr:colOff>
          <xdr:row>103</xdr:row>
          <xdr:rowOff>215900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4FF3BBFD-C4D1-421E-9173-CC8FBC6B31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100</xdr:row>
          <xdr:rowOff>0</xdr:rowOff>
        </xdr:from>
        <xdr:to>
          <xdr:col>2</xdr:col>
          <xdr:colOff>495300</xdr:colOff>
          <xdr:row>100</xdr:row>
          <xdr:rowOff>215900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3C10F6D-A668-4BD5-AB4B-EDC976D813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95</xdr:row>
          <xdr:rowOff>0</xdr:rowOff>
        </xdr:from>
        <xdr:to>
          <xdr:col>2</xdr:col>
          <xdr:colOff>495300</xdr:colOff>
          <xdr:row>95</xdr:row>
          <xdr:rowOff>215900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D9B64A46-AA86-4592-810B-19BC9F5323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97</xdr:row>
          <xdr:rowOff>0</xdr:rowOff>
        </xdr:from>
        <xdr:to>
          <xdr:col>2</xdr:col>
          <xdr:colOff>495300</xdr:colOff>
          <xdr:row>97</xdr:row>
          <xdr:rowOff>215900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60DD752-40E3-422E-A795-F0E094E338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98</xdr:row>
          <xdr:rowOff>0</xdr:rowOff>
        </xdr:from>
        <xdr:to>
          <xdr:col>2</xdr:col>
          <xdr:colOff>495300</xdr:colOff>
          <xdr:row>98</xdr:row>
          <xdr:rowOff>215900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85E0EA92-CD49-4075-A2D4-95B43EDB78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99</xdr:row>
          <xdr:rowOff>0</xdr:rowOff>
        </xdr:from>
        <xdr:to>
          <xdr:col>2</xdr:col>
          <xdr:colOff>495300</xdr:colOff>
          <xdr:row>99</xdr:row>
          <xdr:rowOff>215900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4F072205-2F04-4C84-9241-0F565CC877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101</xdr:row>
          <xdr:rowOff>0</xdr:rowOff>
        </xdr:from>
        <xdr:to>
          <xdr:col>2</xdr:col>
          <xdr:colOff>495300</xdr:colOff>
          <xdr:row>101</xdr:row>
          <xdr:rowOff>215900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25F718EC-12A7-41F6-A9BE-81E54DC2FF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105</xdr:row>
          <xdr:rowOff>0</xdr:rowOff>
        </xdr:from>
        <xdr:to>
          <xdr:col>2</xdr:col>
          <xdr:colOff>495300</xdr:colOff>
          <xdr:row>105</xdr:row>
          <xdr:rowOff>215900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3A2AABE9-5F97-4173-A4DD-15ACE8782E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107</xdr:row>
          <xdr:rowOff>0</xdr:rowOff>
        </xdr:from>
        <xdr:to>
          <xdr:col>2</xdr:col>
          <xdr:colOff>495300</xdr:colOff>
          <xdr:row>107</xdr:row>
          <xdr:rowOff>215900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69BD0B82-2973-47B5-8CEC-94E946BD16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109</xdr:row>
          <xdr:rowOff>0</xdr:rowOff>
        </xdr:from>
        <xdr:to>
          <xdr:col>2</xdr:col>
          <xdr:colOff>495300</xdr:colOff>
          <xdr:row>109</xdr:row>
          <xdr:rowOff>215900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CC466187-2ECC-470D-9210-7D34616B57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111</xdr:row>
          <xdr:rowOff>0</xdr:rowOff>
        </xdr:from>
        <xdr:to>
          <xdr:col>2</xdr:col>
          <xdr:colOff>495300</xdr:colOff>
          <xdr:row>111</xdr:row>
          <xdr:rowOff>215900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2F9EFC29-1A71-4249-964C-0E3A838E23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114</xdr:row>
          <xdr:rowOff>0</xdr:rowOff>
        </xdr:from>
        <xdr:to>
          <xdr:col>2</xdr:col>
          <xdr:colOff>495300</xdr:colOff>
          <xdr:row>114</xdr:row>
          <xdr:rowOff>215900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58ACFAC8-499B-4F94-BBC3-39046E1886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116</xdr:row>
          <xdr:rowOff>0</xdr:rowOff>
        </xdr:from>
        <xdr:to>
          <xdr:col>2</xdr:col>
          <xdr:colOff>495300</xdr:colOff>
          <xdr:row>116</xdr:row>
          <xdr:rowOff>215900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24557AB2-724D-4F80-A28F-24DCC08FCD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118</xdr:row>
          <xdr:rowOff>0</xdr:rowOff>
        </xdr:from>
        <xdr:to>
          <xdr:col>2</xdr:col>
          <xdr:colOff>495300</xdr:colOff>
          <xdr:row>118</xdr:row>
          <xdr:rowOff>215900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6656A349-FD69-49F1-A494-B9EACD887C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119</xdr:row>
          <xdr:rowOff>0</xdr:rowOff>
        </xdr:from>
        <xdr:to>
          <xdr:col>2</xdr:col>
          <xdr:colOff>495300</xdr:colOff>
          <xdr:row>119</xdr:row>
          <xdr:rowOff>215900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5AB9034F-4633-416A-877D-0D79F0261C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121</xdr:row>
          <xdr:rowOff>0</xdr:rowOff>
        </xdr:from>
        <xdr:to>
          <xdr:col>2</xdr:col>
          <xdr:colOff>495300</xdr:colOff>
          <xdr:row>121</xdr:row>
          <xdr:rowOff>215900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424CC43E-60D9-4F62-8E11-2DFC9F4D08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125</xdr:row>
          <xdr:rowOff>0</xdr:rowOff>
        </xdr:from>
        <xdr:to>
          <xdr:col>2</xdr:col>
          <xdr:colOff>495300</xdr:colOff>
          <xdr:row>125</xdr:row>
          <xdr:rowOff>215900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C67427E2-179F-437A-B4E2-FA7085BD0C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124</xdr:row>
          <xdr:rowOff>0</xdr:rowOff>
        </xdr:from>
        <xdr:to>
          <xdr:col>2</xdr:col>
          <xdr:colOff>495300</xdr:colOff>
          <xdr:row>124</xdr:row>
          <xdr:rowOff>215900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91C5403C-7E71-4335-A9F7-79BDA01731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120</xdr:row>
          <xdr:rowOff>0</xdr:rowOff>
        </xdr:from>
        <xdr:to>
          <xdr:col>2</xdr:col>
          <xdr:colOff>495300</xdr:colOff>
          <xdr:row>120</xdr:row>
          <xdr:rowOff>215900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C09B383F-2684-475B-99CC-57442DED30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122</xdr:row>
          <xdr:rowOff>0</xdr:rowOff>
        </xdr:from>
        <xdr:to>
          <xdr:col>2</xdr:col>
          <xdr:colOff>495300</xdr:colOff>
          <xdr:row>122</xdr:row>
          <xdr:rowOff>215900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B16A540-95E9-47C4-B0E5-B1278C54B5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123</xdr:row>
          <xdr:rowOff>0</xdr:rowOff>
        </xdr:from>
        <xdr:to>
          <xdr:col>2</xdr:col>
          <xdr:colOff>495300</xdr:colOff>
          <xdr:row>123</xdr:row>
          <xdr:rowOff>215900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8CD6609E-6274-4036-94A5-91B7993DE8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128</xdr:row>
          <xdr:rowOff>0</xdr:rowOff>
        </xdr:from>
        <xdr:to>
          <xdr:col>2</xdr:col>
          <xdr:colOff>495300</xdr:colOff>
          <xdr:row>128</xdr:row>
          <xdr:rowOff>215900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72595333-A3DD-49B6-B0A1-A7BF336622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127</xdr:row>
          <xdr:rowOff>0</xdr:rowOff>
        </xdr:from>
        <xdr:to>
          <xdr:col>2</xdr:col>
          <xdr:colOff>495300</xdr:colOff>
          <xdr:row>127</xdr:row>
          <xdr:rowOff>215900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BFA95D9-E1C7-44FD-A632-A2D06E96A7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126</xdr:row>
          <xdr:rowOff>0</xdr:rowOff>
        </xdr:from>
        <xdr:to>
          <xdr:col>2</xdr:col>
          <xdr:colOff>495300</xdr:colOff>
          <xdr:row>126</xdr:row>
          <xdr:rowOff>215900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10871E7F-009E-4B61-A1CE-D212E8A1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132</xdr:row>
          <xdr:rowOff>0</xdr:rowOff>
        </xdr:from>
        <xdr:to>
          <xdr:col>2</xdr:col>
          <xdr:colOff>495300</xdr:colOff>
          <xdr:row>132</xdr:row>
          <xdr:rowOff>215900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89DAB385-720E-49E7-BE87-437351D7C1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130</xdr:row>
          <xdr:rowOff>0</xdr:rowOff>
        </xdr:from>
        <xdr:to>
          <xdr:col>2</xdr:col>
          <xdr:colOff>495300</xdr:colOff>
          <xdr:row>130</xdr:row>
          <xdr:rowOff>215900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338BAABB-C694-4191-B4C5-2890D662E7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129</xdr:row>
          <xdr:rowOff>0</xdr:rowOff>
        </xdr:from>
        <xdr:to>
          <xdr:col>2</xdr:col>
          <xdr:colOff>495300</xdr:colOff>
          <xdr:row>129</xdr:row>
          <xdr:rowOff>215900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92BAC96-7B63-414D-9940-C8700885CE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131</xdr:row>
          <xdr:rowOff>0</xdr:rowOff>
        </xdr:from>
        <xdr:to>
          <xdr:col>2</xdr:col>
          <xdr:colOff>495300</xdr:colOff>
          <xdr:row>131</xdr:row>
          <xdr:rowOff>215900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469C7727-6DD2-43FE-937E-16104D878F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135</xdr:row>
          <xdr:rowOff>0</xdr:rowOff>
        </xdr:from>
        <xdr:to>
          <xdr:col>2</xdr:col>
          <xdr:colOff>495300</xdr:colOff>
          <xdr:row>135</xdr:row>
          <xdr:rowOff>215900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3DA71978-DAF6-4907-8107-93CBC0B80F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140</xdr:row>
          <xdr:rowOff>0</xdr:rowOff>
        </xdr:from>
        <xdr:to>
          <xdr:col>2</xdr:col>
          <xdr:colOff>495300</xdr:colOff>
          <xdr:row>140</xdr:row>
          <xdr:rowOff>215900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67CF1678-61AB-4CD2-85EC-589A6A692A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143</xdr:row>
          <xdr:rowOff>0</xdr:rowOff>
        </xdr:from>
        <xdr:to>
          <xdr:col>2</xdr:col>
          <xdr:colOff>495300</xdr:colOff>
          <xdr:row>143</xdr:row>
          <xdr:rowOff>215900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F304C6DF-C1B2-4D1B-A358-55DF5EE56F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137</xdr:row>
          <xdr:rowOff>0</xdr:rowOff>
        </xdr:from>
        <xdr:to>
          <xdr:col>2</xdr:col>
          <xdr:colOff>495300</xdr:colOff>
          <xdr:row>137</xdr:row>
          <xdr:rowOff>215900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B7D33EF9-9553-4898-B317-FB82CF1A32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133</xdr:row>
          <xdr:rowOff>0</xdr:rowOff>
        </xdr:from>
        <xdr:to>
          <xdr:col>2</xdr:col>
          <xdr:colOff>495300</xdr:colOff>
          <xdr:row>133</xdr:row>
          <xdr:rowOff>215900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6B5770A-FC07-4D00-B28B-C24C5CD2CD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134</xdr:row>
          <xdr:rowOff>0</xdr:rowOff>
        </xdr:from>
        <xdr:to>
          <xdr:col>2</xdr:col>
          <xdr:colOff>495300</xdr:colOff>
          <xdr:row>134</xdr:row>
          <xdr:rowOff>215900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EC764301-75CB-4EEA-B0C3-4A005FF707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138</xdr:row>
          <xdr:rowOff>0</xdr:rowOff>
        </xdr:from>
        <xdr:to>
          <xdr:col>2</xdr:col>
          <xdr:colOff>495300</xdr:colOff>
          <xdr:row>138</xdr:row>
          <xdr:rowOff>215900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DBA3667D-E543-41F6-A60A-242B3F0DE3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141</xdr:row>
          <xdr:rowOff>0</xdr:rowOff>
        </xdr:from>
        <xdr:to>
          <xdr:col>2</xdr:col>
          <xdr:colOff>495300</xdr:colOff>
          <xdr:row>141</xdr:row>
          <xdr:rowOff>215900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3BFC4F71-ECAA-434E-A847-2E727A11E2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142</xdr:row>
          <xdr:rowOff>0</xdr:rowOff>
        </xdr:from>
        <xdr:to>
          <xdr:col>2</xdr:col>
          <xdr:colOff>495300</xdr:colOff>
          <xdr:row>142</xdr:row>
          <xdr:rowOff>215900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FDF87329-95AE-4B90-B7C5-48048BBC70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139</xdr:row>
          <xdr:rowOff>0</xdr:rowOff>
        </xdr:from>
        <xdr:to>
          <xdr:col>2</xdr:col>
          <xdr:colOff>495300</xdr:colOff>
          <xdr:row>139</xdr:row>
          <xdr:rowOff>215900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11FE027F-B01D-4D4B-B008-B2533638F3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136</xdr:row>
          <xdr:rowOff>0</xdr:rowOff>
        </xdr:from>
        <xdr:to>
          <xdr:col>2</xdr:col>
          <xdr:colOff>495300</xdr:colOff>
          <xdr:row>136</xdr:row>
          <xdr:rowOff>215900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31D3DA72-AEA8-4AAC-8B4E-AF5CA19CD4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</xdr:row>
          <xdr:rowOff>0</xdr:rowOff>
        </xdr:from>
        <xdr:to>
          <xdr:col>3</xdr:col>
          <xdr:colOff>501650</xdr:colOff>
          <xdr:row>1</xdr:row>
          <xdr:rowOff>215900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6318B7DA-51DF-4200-A23E-214E9BC8FE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</xdr:row>
          <xdr:rowOff>0</xdr:rowOff>
        </xdr:from>
        <xdr:to>
          <xdr:col>3</xdr:col>
          <xdr:colOff>501650</xdr:colOff>
          <xdr:row>1</xdr:row>
          <xdr:rowOff>215900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63A3CDFB-E5F0-4E9A-9379-6324DFF2A4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</xdr:row>
          <xdr:rowOff>0</xdr:rowOff>
        </xdr:from>
        <xdr:to>
          <xdr:col>3</xdr:col>
          <xdr:colOff>501650</xdr:colOff>
          <xdr:row>2</xdr:row>
          <xdr:rowOff>215900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EA296200-C10C-4163-9C9C-3DFAFDA050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</xdr:row>
          <xdr:rowOff>0</xdr:rowOff>
        </xdr:from>
        <xdr:to>
          <xdr:col>3</xdr:col>
          <xdr:colOff>501650</xdr:colOff>
          <xdr:row>3</xdr:row>
          <xdr:rowOff>215900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3538F1FD-4AA1-42AC-9A09-B5774F7A03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</xdr:row>
          <xdr:rowOff>0</xdr:rowOff>
        </xdr:from>
        <xdr:to>
          <xdr:col>3</xdr:col>
          <xdr:colOff>501650</xdr:colOff>
          <xdr:row>1</xdr:row>
          <xdr:rowOff>215900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C1F02A54-2D2D-4BFF-89DB-13A3974730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</xdr:row>
          <xdr:rowOff>0</xdr:rowOff>
        </xdr:from>
        <xdr:to>
          <xdr:col>3</xdr:col>
          <xdr:colOff>501650</xdr:colOff>
          <xdr:row>4</xdr:row>
          <xdr:rowOff>215900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2FB70A25-D0BD-4F6B-AF39-7616A91F78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0</xdr:rowOff>
        </xdr:from>
        <xdr:to>
          <xdr:col>3</xdr:col>
          <xdr:colOff>501650</xdr:colOff>
          <xdr:row>10</xdr:row>
          <xdr:rowOff>215900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BC1962D2-60C0-4A69-8E09-7DD3D51F99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0</xdr:rowOff>
        </xdr:from>
        <xdr:to>
          <xdr:col>3</xdr:col>
          <xdr:colOff>501650</xdr:colOff>
          <xdr:row>7</xdr:row>
          <xdr:rowOff>215900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4196B239-F287-42F4-8630-DB7587DD2B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18</xdr:row>
          <xdr:rowOff>0</xdr:rowOff>
        </xdr:from>
        <xdr:to>
          <xdr:col>3</xdr:col>
          <xdr:colOff>501650</xdr:colOff>
          <xdr:row>18</xdr:row>
          <xdr:rowOff>215900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3AF8A835-1948-4589-8EA0-7D80A257D0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0</xdr:rowOff>
        </xdr:from>
        <xdr:to>
          <xdr:col>3</xdr:col>
          <xdr:colOff>501650</xdr:colOff>
          <xdr:row>9</xdr:row>
          <xdr:rowOff>215900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1CA8FDC2-A4DD-4920-B4FF-694A1CF6DB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22</xdr:row>
          <xdr:rowOff>0</xdr:rowOff>
        </xdr:from>
        <xdr:to>
          <xdr:col>3</xdr:col>
          <xdr:colOff>501650</xdr:colOff>
          <xdr:row>22</xdr:row>
          <xdr:rowOff>215900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3C4C4EFA-1656-4097-A8B0-40D79C2C0B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0</xdr:rowOff>
        </xdr:from>
        <xdr:to>
          <xdr:col>3</xdr:col>
          <xdr:colOff>501650</xdr:colOff>
          <xdr:row>14</xdr:row>
          <xdr:rowOff>215900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A1DC0A98-7F8A-496F-A7D5-35CE09A55E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0</xdr:rowOff>
        </xdr:from>
        <xdr:to>
          <xdr:col>3</xdr:col>
          <xdr:colOff>501650</xdr:colOff>
          <xdr:row>12</xdr:row>
          <xdr:rowOff>215900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61A36579-0D50-4443-AA30-ED2AD3463B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19</xdr:row>
          <xdr:rowOff>0</xdr:rowOff>
        </xdr:from>
        <xdr:to>
          <xdr:col>3</xdr:col>
          <xdr:colOff>501650</xdr:colOff>
          <xdr:row>19</xdr:row>
          <xdr:rowOff>215900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AE98A5C2-1DFE-495D-9C12-BDE78F4A7D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16</xdr:row>
          <xdr:rowOff>0</xdr:rowOff>
        </xdr:from>
        <xdr:to>
          <xdr:col>3</xdr:col>
          <xdr:colOff>501650</xdr:colOff>
          <xdr:row>16</xdr:row>
          <xdr:rowOff>215900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B5A24584-6FD8-4680-A49C-42D6128B4F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0</xdr:rowOff>
        </xdr:from>
        <xdr:to>
          <xdr:col>3</xdr:col>
          <xdr:colOff>501650</xdr:colOff>
          <xdr:row>11</xdr:row>
          <xdr:rowOff>215900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780E4C8B-8F2A-4259-B459-280FC0B35D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20</xdr:row>
          <xdr:rowOff>0</xdr:rowOff>
        </xdr:from>
        <xdr:to>
          <xdr:col>3</xdr:col>
          <xdr:colOff>501650</xdr:colOff>
          <xdr:row>20</xdr:row>
          <xdr:rowOff>215900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311712FA-B467-49F1-9272-76F09DB557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24</xdr:row>
          <xdr:rowOff>0</xdr:rowOff>
        </xdr:from>
        <xdr:to>
          <xdr:col>3</xdr:col>
          <xdr:colOff>501650</xdr:colOff>
          <xdr:row>24</xdr:row>
          <xdr:rowOff>215900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40563739-D40D-4FDB-BC73-1A7464032A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21</xdr:row>
          <xdr:rowOff>0</xdr:rowOff>
        </xdr:from>
        <xdr:to>
          <xdr:col>3</xdr:col>
          <xdr:colOff>501650</xdr:colOff>
          <xdr:row>21</xdr:row>
          <xdr:rowOff>215900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22FD682E-5E5E-4A5E-9A95-5E4587F229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23</xdr:row>
          <xdr:rowOff>0</xdr:rowOff>
        </xdr:from>
        <xdr:to>
          <xdr:col>3</xdr:col>
          <xdr:colOff>501650</xdr:colOff>
          <xdr:row>23</xdr:row>
          <xdr:rowOff>215900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53DD5E3B-F869-46E2-B614-AE6DBDDA87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26</xdr:row>
          <xdr:rowOff>0</xdr:rowOff>
        </xdr:from>
        <xdr:to>
          <xdr:col>3</xdr:col>
          <xdr:colOff>501650</xdr:colOff>
          <xdr:row>26</xdr:row>
          <xdr:rowOff>215900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B0AF373F-F869-4A3A-81D4-9C49E141A2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25</xdr:row>
          <xdr:rowOff>0</xdr:rowOff>
        </xdr:from>
        <xdr:to>
          <xdr:col>3</xdr:col>
          <xdr:colOff>501650</xdr:colOff>
          <xdr:row>25</xdr:row>
          <xdr:rowOff>215900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3C2862B2-E39C-4BC7-914E-313180E8C1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30</xdr:row>
          <xdr:rowOff>0</xdr:rowOff>
        </xdr:from>
        <xdr:to>
          <xdr:col>3</xdr:col>
          <xdr:colOff>501650</xdr:colOff>
          <xdr:row>30</xdr:row>
          <xdr:rowOff>215900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96953CA0-EFAB-4347-96E1-B73C93E546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25</xdr:row>
          <xdr:rowOff>0</xdr:rowOff>
        </xdr:from>
        <xdr:to>
          <xdr:col>3</xdr:col>
          <xdr:colOff>501650</xdr:colOff>
          <xdr:row>25</xdr:row>
          <xdr:rowOff>215900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96D21DEE-7B4E-4421-A2C6-3C451E8D56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28</xdr:row>
          <xdr:rowOff>0</xdr:rowOff>
        </xdr:from>
        <xdr:to>
          <xdr:col>3</xdr:col>
          <xdr:colOff>501650</xdr:colOff>
          <xdr:row>28</xdr:row>
          <xdr:rowOff>215900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20009108-5240-45DE-AA75-335D50DE3E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35</xdr:row>
          <xdr:rowOff>0</xdr:rowOff>
        </xdr:from>
        <xdr:to>
          <xdr:col>3</xdr:col>
          <xdr:colOff>501650</xdr:colOff>
          <xdr:row>35</xdr:row>
          <xdr:rowOff>215900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FD9A56A0-6FE7-4D1C-8891-62417B47AD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29</xdr:row>
          <xdr:rowOff>0</xdr:rowOff>
        </xdr:from>
        <xdr:to>
          <xdr:col>3</xdr:col>
          <xdr:colOff>501650</xdr:colOff>
          <xdr:row>29</xdr:row>
          <xdr:rowOff>215900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3F3B56A9-D257-4813-9FE8-987301F600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31</xdr:row>
          <xdr:rowOff>0</xdr:rowOff>
        </xdr:from>
        <xdr:to>
          <xdr:col>3</xdr:col>
          <xdr:colOff>501650</xdr:colOff>
          <xdr:row>31</xdr:row>
          <xdr:rowOff>215900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2643CD25-8C40-4DA8-A217-A21ED9D1F7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27</xdr:row>
          <xdr:rowOff>0</xdr:rowOff>
        </xdr:from>
        <xdr:to>
          <xdr:col>3</xdr:col>
          <xdr:colOff>501650</xdr:colOff>
          <xdr:row>27</xdr:row>
          <xdr:rowOff>215900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16976712-3912-4DA0-A019-E8E777ED2B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32</xdr:row>
          <xdr:rowOff>0</xdr:rowOff>
        </xdr:from>
        <xdr:to>
          <xdr:col>3</xdr:col>
          <xdr:colOff>501650</xdr:colOff>
          <xdr:row>32</xdr:row>
          <xdr:rowOff>215900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93A8D98D-D97A-4D5F-9DFA-9115077205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47</xdr:row>
          <xdr:rowOff>0</xdr:rowOff>
        </xdr:from>
        <xdr:to>
          <xdr:col>3</xdr:col>
          <xdr:colOff>501650</xdr:colOff>
          <xdr:row>47</xdr:row>
          <xdr:rowOff>215900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E53B18D3-F432-428F-B8B7-7B53E52D5D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42</xdr:row>
          <xdr:rowOff>0</xdr:rowOff>
        </xdr:from>
        <xdr:to>
          <xdr:col>3</xdr:col>
          <xdr:colOff>501650</xdr:colOff>
          <xdr:row>42</xdr:row>
          <xdr:rowOff>215900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B9A1CB44-55DE-4DB3-9974-11B4426E09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39</xdr:row>
          <xdr:rowOff>0</xdr:rowOff>
        </xdr:from>
        <xdr:to>
          <xdr:col>3</xdr:col>
          <xdr:colOff>501650</xdr:colOff>
          <xdr:row>39</xdr:row>
          <xdr:rowOff>215900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42E73C09-84AB-4DE9-8F4E-5407456696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34</xdr:row>
          <xdr:rowOff>0</xdr:rowOff>
        </xdr:from>
        <xdr:to>
          <xdr:col>3</xdr:col>
          <xdr:colOff>501650</xdr:colOff>
          <xdr:row>34</xdr:row>
          <xdr:rowOff>215900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8178AC0F-8C2F-43E4-8955-F7C8FC8646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37</xdr:row>
          <xdr:rowOff>0</xdr:rowOff>
        </xdr:from>
        <xdr:to>
          <xdr:col>3</xdr:col>
          <xdr:colOff>501650</xdr:colOff>
          <xdr:row>37</xdr:row>
          <xdr:rowOff>215900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90653521-71A0-4BB1-A7B3-F716AF3123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44</xdr:row>
          <xdr:rowOff>0</xdr:rowOff>
        </xdr:from>
        <xdr:to>
          <xdr:col>3</xdr:col>
          <xdr:colOff>501650</xdr:colOff>
          <xdr:row>44</xdr:row>
          <xdr:rowOff>215900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7AFE9D55-D9B2-4FEB-97E7-4AE763E384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36</xdr:row>
          <xdr:rowOff>0</xdr:rowOff>
        </xdr:from>
        <xdr:to>
          <xdr:col>3</xdr:col>
          <xdr:colOff>501650</xdr:colOff>
          <xdr:row>36</xdr:row>
          <xdr:rowOff>215900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565DF0A6-A4C2-4AA2-89BE-3C18D8A3CC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41</xdr:row>
          <xdr:rowOff>0</xdr:rowOff>
        </xdr:from>
        <xdr:to>
          <xdr:col>3</xdr:col>
          <xdr:colOff>501650</xdr:colOff>
          <xdr:row>41</xdr:row>
          <xdr:rowOff>215900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DCA37A8-15A4-4F6A-B4D5-739318A8C4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43</xdr:row>
          <xdr:rowOff>0</xdr:rowOff>
        </xdr:from>
        <xdr:to>
          <xdr:col>3</xdr:col>
          <xdr:colOff>501650</xdr:colOff>
          <xdr:row>43</xdr:row>
          <xdr:rowOff>215900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92CE62-6D62-4034-9B80-183CDC4FBD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40</xdr:row>
          <xdr:rowOff>0</xdr:rowOff>
        </xdr:from>
        <xdr:to>
          <xdr:col>3</xdr:col>
          <xdr:colOff>501650</xdr:colOff>
          <xdr:row>40</xdr:row>
          <xdr:rowOff>215900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E067C946-E554-4FFD-A5E7-7E2E63A85A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46</xdr:row>
          <xdr:rowOff>0</xdr:rowOff>
        </xdr:from>
        <xdr:to>
          <xdr:col>3</xdr:col>
          <xdr:colOff>501650</xdr:colOff>
          <xdr:row>46</xdr:row>
          <xdr:rowOff>215900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7D0420C-301E-48B8-8D98-68675FDFB4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49</xdr:row>
          <xdr:rowOff>0</xdr:rowOff>
        </xdr:from>
        <xdr:to>
          <xdr:col>3</xdr:col>
          <xdr:colOff>501650</xdr:colOff>
          <xdr:row>49</xdr:row>
          <xdr:rowOff>215900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362B0CD4-B792-4031-9269-9234E70F8F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45</xdr:row>
          <xdr:rowOff>0</xdr:rowOff>
        </xdr:from>
        <xdr:to>
          <xdr:col>3</xdr:col>
          <xdr:colOff>501650</xdr:colOff>
          <xdr:row>45</xdr:row>
          <xdr:rowOff>215900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12736172-02DC-4BB7-A3D0-B4C20E7928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48</xdr:row>
          <xdr:rowOff>0</xdr:rowOff>
        </xdr:from>
        <xdr:to>
          <xdr:col>3</xdr:col>
          <xdr:colOff>501650</xdr:colOff>
          <xdr:row>48</xdr:row>
          <xdr:rowOff>215900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8B6EBBE0-4ABE-407C-B27D-CC07E06EF8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51</xdr:row>
          <xdr:rowOff>0</xdr:rowOff>
        </xdr:from>
        <xdr:to>
          <xdr:col>3</xdr:col>
          <xdr:colOff>501650</xdr:colOff>
          <xdr:row>51</xdr:row>
          <xdr:rowOff>215900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7688F1CB-790F-4AED-BCF1-C6B7C9342B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50</xdr:row>
          <xdr:rowOff>0</xdr:rowOff>
        </xdr:from>
        <xdr:to>
          <xdr:col>3</xdr:col>
          <xdr:colOff>501650</xdr:colOff>
          <xdr:row>50</xdr:row>
          <xdr:rowOff>215900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839C8FC8-374A-42F1-9A55-FBBD2D4461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55</xdr:row>
          <xdr:rowOff>0</xdr:rowOff>
        </xdr:from>
        <xdr:to>
          <xdr:col>3</xdr:col>
          <xdr:colOff>501650</xdr:colOff>
          <xdr:row>55</xdr:row>
          <xdr:rowOff>215900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E386A70E-0B6A-42A0-8840-C85FE0D54E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52</xdr:row>
          <xdr:rowOff>0</xdr:rowOff>
        </xdr:from>
        <xdr:to>
          <xdr:col>3</xdr:col>
          <xdr:colOff>501650</xdr:colOff>
          <xdr:row>52</xdr:row>
          <xdr:rowOff>215900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BB9F8EA6-87CE-4E65-AC8F-519775032C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54</xdr:row>
          <xdr:rowOff>0</xdr:rowOff>
        </xdr:from>
        <xdr:to>
          <xdr:col>3</xdr:col>
          <xdr:colOff>501650</xdr:colOff>
          <xdr:row>54</xdr:row>
          <xdr:rowOff>215900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3D798FE2-A82A-49DC-A8C9-38D966DB98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53</xdr:row>
          <xdr:rowOff>0</xdr:rowOff>
        </xdr:from>
        <xdr:to>
          <xdr:col>3</xdr:col>
          <xdr:colOff>501650</xdr:colOff>
          <xdr:row>53</xdr:row>
          <xdr:rowOff>215900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27985D10-1FDF-43B7-BB7C-A7EC64FA21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73</xdr:row>
          <xdr:rowOff>0</xdr:rowOff>
        </xdr:from>
        <xdr:to>
          <xdr:col>3</xdr:col>
          <xdr:colOff>501650</xdr:colOff>
          <xdr:row>73</xdr:row>
          <xdr:rowOff>215900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590F121C-6834-4680-8A1B-3C3617B3E2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66</xdr:row>
          <xdr:rowOff>0</xdr:rowOff>
        </xdr:from>
        <xdr:to>
          <xdr:col>3</xdr:col>
          <xdr:colOff>501650</xdr:colOff>
          <xdr:row>66</xdr:row>
          <xdr:rowOff>215900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DB264F1E-E6AB-4842-BE89-3C1A9C3882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62</xdr:row>
          <xdr:rowOff>0</xdr:rowOff>
        </xdr:from>
        <xdr:to>
          <xdr:col>3</xdr:col>
          <xdr:colOff>501650</xdr:colOff>
          <xdr:row>62</xdr:row>
          <xdr:rowOff>215900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5F13830E-3E90-449D-A2F7-3BCAA24F81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59</xdr:row>
          <xdr:rowOff>0</xdr:rowOff>
        </xdr:from>
        <xdr:to>
          <xdr:col>3</xdr:col>
          <xdr:colOff>501650</xdr:colOff>
          <xdr:row>59</xdr:row>
          <xdr:rowOff>215900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50103005-5E88-4415-91AD-3849DDE12A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69</xdr:row>
          <xdr:rowOff>0</xdr:rowOff>
        </xdr:from>
        <xdr:to>
          <xdr:col>3</xdr:col>
          <xdr:colOff>501650</xdr:colOff>
          <xdr:row>69</xdr:row>
          <xdr:rowOff>215900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BE5DF552-A4D0-4494-9CD6-F94E953C59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64</xdr:row>
          <xdr:rowOff>0</xdr:rowOff>
        </xdr:from>
        <xdr:to>
          <xdr:col>3</xdr:col>
          <xdr:colOff>501650</xdr:colOff>
          <xdr:row>64</xdr:row>
          <xdr:rowOff>215900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4E94CB50-DF0D-4364-9B73-7C5C42B996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57</xdr:row>
          <xdr:rowOff>0</xdr:rowOff>
        </xdr:from>
        <xdr:to>
          <xdr:col>3</xdr:col>
          <xdr:colOff>501650</xdr:colOff>
          <xdr:row>57</xdr:row>
          <xdr:rowOff>215900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CF7A8AAD-DF82-492D-AD8A-50D82B7895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65</xdr:row>
          <xdr:rowOff>0</xdr:rowOff>
        </xdr:from>
        <xdr:to>
          <xdr:col>3</xdr:col>
          <xdr:colOff>501650</xdr:colOff>
          <xdr:row>65</xdr:row>
          <xdr:rowOff>215900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FC093F9D-D86B-4623-B937-B15270EC2B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63</xdr:row>
          <xdr:rowOff>0</xdr:rowOff>
        </xdr:from>
        <xdr:to>
          <xdr:col>3</xdr:col>
          <xdr:colOff>501650</xdr:colOff>
          <xdr:row>63</xdr:row>
          <xdr:rowOff>215900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4271D50-79EA-478D-AF94-AE63A05779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60</xdr:row>
          <xdr:rowOff>0</xdr:rowOff>
        </xdr:from>
        <xdr:to>
          <xdr:col>3</xdr:col>
          <xdr:colOff>501650</xdr:colOff>
          <xdr:row>60</xdr:row>
          <xdr:rowOff>215900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B694AB49-6834-4FAE-B261-1116633AF0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58</xdr:row>
          <xdr:rowOff>0</xdr:rowOff>
        </xdr:from>
        <xdr:to>
          <xdr:col>3</xdr:col>
          <xdr:colOff>501650</xdr:colOff>
          <xdr:row>58</xdr:row>
          <xdr:rowOff>215900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69B86970-1800-4869-B75E-6D0BC729FB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56</xdr:row>
          <xdr:rowOff>0</xdr:rowOff>
        </xdr:from>
        <xdr:to>
          <xdr:col>3</xdr:col>
          <xdr:colOff>501650</xdr:colOff>
          <xdr:row>56</xdr:row>
          <xdr:rowOff>215900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F2ACFE6B-7368-45C9-94FB-ECF8DAE3A2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67</xdr:row>
          <xdr:rowOff>0</xdr:rowOff>
        </xdr:from>
        <xdr:to>
          <xdr:col>3</xdr:col>
          <xdr:colOff>501650</xdr:colOff>
          <xdr:row>67</xdr:row>
          <xdr:rowOff>215900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B35C1700-C190-4549-9964-E68F348958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71</xdr:row>
          <xdr:rowOff>0</xdr:rowOff>
        </xdr:from>
        <xdr:to>
          <xdr:col>3</xdr:col>
          <xdr:colOff>501650</xdr:colOff>
          <xdr:row>71</xdr:row>
          <xdr:rowOff>215900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9C905CFF-8740-4283-BB7E-DEE7D6C121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68</xdr:row>
          <xdr:rowOff>0</xdr:rowOff>
        </xdr:from>
        <xdr:to>
          <xdr:col>3</xdr:col>
          <xdr:colOff>501650</xdr:colOff>
          <xdr:row>68</xdr:row>
          <xdr:rowOff>215900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9B92E4B7-917E-42FE-A1CC-3F5D391855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70</xdr:row>
          <xdr:rowOff>0</xdr:rowOff>
        </xdr:from>
        <xdr:to>
          <xdr:col>3</xdr:col>
          <xdr:colOff>501650</xdr:colOff>
          <xdr:row>70</xdr:row>
          <xdr:rowOff>215900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C8C98D44-2B69-416A-AF68-6BC9C85D25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72</xdr:row>
          <xdr:rowOff>0</xdr:rowOff>
        </xdr:from>
        <xdr:to>
          <xdr:col>3</xdr:col>
          <xdr:colOff>501650</xdr:colOff>
          <xdr:row>72</xdr:row>
          <xdr:rowOff>215900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9834D08D-33DC-47F7-BE51-8E68067FFC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76</xdr:row>
          <xdr:rowOff>0</xdr:rowOff>
        </xdr:from>
        <xdr:to>
          <xdr:col>3</xdr:col>
          <xdr:colOff>501650</xdr:colOff>
          <xdr:row>76</xdr:row>
          <xdr:rowOff>215900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7340A2A1-3C51-4547-94D1-4DA6A4E906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74</xdr:row>
          <xdr:rowOff>0</xdr:rowOff>
        </xdr:from>
        <xdr:to>
          <xdr:col>3</xdr:col>
          <xdr:colOff>501650</xdr:colOff>
          <xdr:row>74</xdr:row>
          <xdr:rowOff>215900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C09E95EA-006E-47BA-9BE6-81E9F63CBC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79</xdr:row>
          <xdr:rowOff>0</xdr:rowOff>
        </xdr:from>
        <xdr:to>
          <xdr:col>3</xdr:col>
          <xdr:colOff>501650</xdr:colOff>
          <xdr:row>79</xdr:row>
          <xdr:rowOff>215900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FA177BF4-391F-419B-9F9C-C944865EFC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75</xdr:row>
          <xdr:rowOff>0</xdr:rowOff>
        </xdr:from>
        <xdr:to>
          <xdr:col>3</xdr:col>
          <xdr:colOff>501650</xdr:colOff>
          <xdr:row>75</xdr:row>
          <xdr:rowOff>215900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47C190DC-57B3-4BC2-9C75-1BCB1CD831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73</xdr:row>
          <xdr:rowOff>0</xdr:rowOff>
        </xdr:from>
        <xdr:to>
          <xdr:col>3</xdr:col>
          <xdr:colOff>501650</xdr:colOff>
          <xdr:row>73</xdr:row>
          <xdr:rowOff>215900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CC719CBE-19D6-4FA2-A130-6F6D6A3CCA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77</xdr:row>
          <xdr:rowOff>0</xdr:rowOff>
        </xdr:from>
        <xdr:to>
          <xdr:col>3</xdr:col>
          <xdr:colOff>501650</xdr:colOff>
          <xdr:row>77</xdr:row>
          <xdr:rowOff>215900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3B1C552E-D855-4EE6-9A00-C95C026E4C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78</xdr:row>
          <xdr:rowOff>0</xdr:rowOff>
        </xdr:from>
        <xdr:to>
          <xdr:col>3</xdr:col>
          <xdr:colOff>501650</xdr:colOff>
          <xdr:row>78</xdr:row>
          <xdr:rowOff>215900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C66F6DFD-2A28-4C35-BD89-999EBD08E7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83</xdr:row>
          <xdr:rowOff>0</xdr:rowOff>
        </xdr:from>
        <xdr:to>
          <xdr:col>3</xdr:col>
          <xdr:colOff>501650</xdr:colOff>
          <xdr:row>83</xdr:row>
          <xdr:rowOff>215900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7AF797A6-DDDA-482B-A05E-AE7F72EEB8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85</xdr:row>
          <xdr:rowOff>0</xdr:rowOff>
        </xdr:from>
        <xdr:to>
          <xdr:col>3</xdr:col>
          <xdr:colOff>501650</xdr:colOff>
          <xdr:row>85</xdr:row>
          <xdr:rowOff>215900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DD50CD70-722C-479D-A97D-529BAD1784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82</xdr:row>
          <xdr:rowOff>0</xdr:rowOff>
        </xdr:from>
        <xdr:to>
          <xdr:col>3</xdr:col>
          <xdr:colOff>501650</xdr:colOff>
          <xdr:row>82</xdr:row>
          <xdr:rowOff>215900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CBBE528-D5F6-4182-A043-D89D508725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84</xdr:row>
          <xdr:rowOff>0</xdr:rowOff>
        </xdr:from>
        <xdr:to>
          <xdr:col>3</xdr:col>
          <xdr:colOff>501650</xdr:colOff>
          <xdr:row>84</xdr:row>
          <xdr:rowOff>215900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225B4D5C-2745-486C-AF71-363E807A4F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81</xdr:row>
          <xdr:rowOff>0</xdr:rowOff>
        </xdr:from>
        <xdr:to>
          <xdr:col>3</xdr:col>
          <xdr:colOff>501650</xdr:colOff>
          <xdr:row>81</xdr:row>
          <xdr:rowOff>215900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B9DB8510-E4A7-4FF5-B76E-CE3413AF57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124</xdr:row>
          <xdr:rowOff>0</xdr:rowOff>
        </xdr:from>
        <xdr:to>
          <xdr:col>3</xdr:col>
          <xdr:colOff>501650</xdr:colOff>
          <xdr:row>124</xdr:row>
          <xdr:rowOff>215900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A5F7A976-B239-46DD-BFFC-4BD1AE7F39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118</xdr:row>
          <xdr:rowOff>0</xdr:rowOff>
        </xdr:from>
        <xdr:to>
          <xdr:col>3</xdr:col>
          <xdr:colOff>501650</xdr:colOff>
          <xdr:row>118</xdr:row>
          <xdr:rowOff>215900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C2721229-317C-4622-A5D2-97C6A76644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110</xdr:row>
          <xdr:rowOff>0</xdr:rowOff>
        </xdr:from>
        <xdr:to>
          <xdr:col>3</xdr:col>
          <xdr:colOff>501650</xdr:colOff>
          <xdr:row>110</xdr:row>
          <xdr:rowOff>215900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600B215D-66A2-4683-82DB-208BCBDF39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103</xdr:row>
          <xdr:rowOff>0</xdr:rowOff>
        </xdr:from>
        <xdr:to>
          <xdr:col>3</xdr:col>
          <xdr:colOff>501650</xdr:colOff>
          <xdr:row>103</xdr:row>
          <xdr:rowOff>215900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C5069A64-3BD3-4768-9A94-C640FF3565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97</xdr:row>
          <xdr:rowOff>0</xdr:rowOff>
        </xdr:from>
        <xdr:to>
          <xdr:col>3</xdr:col>
          <xdr:colOff>501650</xdr:colOff>
          <xdr:row>97</xdr:row>
          <xdr:rowOff>215900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F15D76B6-8145-48D7-B1B1-556ED82BF7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94</xdr:row>
          <xdr:rowOff>0</xdr:rowOff>
        </xdr:from>
        <xdr:to>
          <xdr:col>3</xdr:col>
          <xdr:colOff>501650</xdr:colOff>
          <xdr:row>94</xdr:row>
          <xdr:rowOff>215900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F6CEF8EB-63B2-4DE7-BFDD-9B48A18A65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90</xdr:row>
          <xdr:rowOff>0</xdr:rowOff>
        </xdr:from>
        <xdr:to>
          <xdr:col>3</xdr:col>
          <xdr:colOff>501650</xdr:colOff>
          <xdr:row>90</xdr:row>
          <xdr:rowOff>215900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EB47790F-1814-47CB-98E8-1E05305EA9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88</xdr:row>
          <xdr:rowOff>0</xdr:rowOff>
        </xdr:from>
        <xdr:to>
          <xdr:col>3</xdr:col>
          <xdr:colOff>501650</xdr:colOff>
          <xdr:row>88</xdr:row>
          <xdr:rowOff>215900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F136641-8CA2-44BC-9A9B-A04A5CD0E7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87</xdr:row>
          <xdr:rowOff>0</xdr:rowOff>
        </xdr:from>
        <xdr:to>
          <xdr:col>3</xdr:col>
          <xdr:colOff>501650</xdr:colOff>
          <xdr:row>87</xdr:row>
          <xdr:rowOff>215900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F3DF893F-2C38-4DEA-A79A-4CAE67ACCD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98</xdr:row>
          <xdr:rowOff>0</xdr:rowOff>
        </xdr:from>
        <xdr:to>
          <xdr:col>3</xdr:col>
          <xdr:colOff>501650</xdr:colOff>
          <xdr:row>98</xdr:row>
          <xdr:rowOff>215900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5B70373B-49AF-492A-B65E-F66ADB51FD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95</xdr:row>
          <xdr:rowOff>0</xdr:rowOff>
        </xdr:from>
        <xdr:to>
          <xdr:col>3</xdr:col>
          <xdr:colOff>501650</xdr:colOff>
          <xdr:row>95</xdr:row>
          <xdr:rowOff>215900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D85B0FAA-9982-42C7-96F6-9D1C8B72B2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92</xdr:row>
          <xdr:rowOff>0</xdr:rowOff>
        </xdr:from>
        <xdr:to>
          <xdr:col>3</xdr:col>
          <xdr:colOff>501650</xdr:colOff>
          <xdr:row>92</xdr:row>
          <xdr:rowOff>215900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738ECA8F-2375-44E8-9454-CC95D135F7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89</xdr:row>
          <xdr:rowOff>0</xdr:rowOff>
        </xdr:from>
        <xdr:to>
          <xdr:col>3</xdr:col>
          <xdr:colOff>501650</xdr:colOff>
          <xdr:row>89</xdr:row>
          <xdr:rowOff>215900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ED96E28F-6101-41A3-BFF6-C587EB4341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87</xdr:row>
          <xdr:rowOff>0</xdr:rowOff>
        </xdr:from>
        <xdr:to>
          <xdr:col>3</xdr:col>
          <xdr:colOff>501650</xdr:colOff>
          <xdr:row>87</xdr:row>
          <xdr:rowOff>215900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D288124D-DEFE-4AE3-BEDD-44EDBD77F9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86</xdr:row>
          <xdr:rowOff>0</xdr:rowOff>
        </xdr:from>
        <xdr:to>
          <xdr:col>3</xdr:col>
          <xdr:colOff>501650</xdr:colOff>
          <xdr:row>86</xdr:row>
          <xdr:rowOff>215900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4D2EB17D-428F-4874-BCF5-DBEA23C4B2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93</xdr:row>
          <xdr:rowOff>0</xdr:rowOff>
        </xdr:from>
        <xdr:to>
          <xdr:col>3</xdr:col>
          <xdr:colOff>501650</xdr:colOff>
          <xdr:row>93</xdr:row>
          <xdr:rowOff>215900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B73459FB-B626-4CD0-93D8-2006F2A397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91</xdr:row>
          <xdr:rowOff>0</xdr:rowOff>
        </xdr:from>
        <xdr:to>
          <xdr:col>3</xdr:col>
          <xdr:colOff>501650</xdr:colOff>
          <xdr:row>91</xdr:row>
          <xdr:rowOff>215900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B59B5985-91B4-4C14-AD41-9736EC91AA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99</xdr:row>
          <xdr:rowOff>0</xdr:rowOff>
        </xdr:from>
        <xdr:to>
          <xdr:col>3</xdr:col>
          <xdr:colOff>501650</xdr:colOff>
          <xdr:row>99</xdr:row>
          <xdr:rowOff>215900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BD22B65C-8181-4C6B-AC66-B17C7FC524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96</xdr:row>
          <xdr:rowOff>0</xdr:rowOff>
        </xdr:from>
        <xdr:to>
          <xdr:col>3</xdr:col>
          <xdr:colOff>501650</xdr:colOff>
          <xdr:row>96</xdr:row>
          <xdr:rowOff>215900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3CFF9367-E256-4021-9EDC-B981FE97A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102</xdr:row>
          <xdr:rowOff>0</xdr:rowOff>
        </xdr:from>
        <xdr:to>
          <xdr:col>3</xdr:col>
          <xdr:colOff>501650</xdr:colOff>
          <xdr:row>102</xdr:row>
          <xdr:rowOff>215900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8D2796BC-C589-49EC-BD44-11F0C28053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99</xdr:row>
          <xdr:rowOff>0</xdr:rowOff>
        </xdr:from>
        <xdr:to>
          <xdr:col>3</xdr:col>
          <xdr:colOff>501650</xdr:colOff>
          <xdr:row>99</xdr:row>
          <xdr:rowOff>215900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9183AE57-B66E-4212-B773-D6CEDFC34A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101</xdr:row>
          <xdr:rowOff>0</xdr:rowOff>
        </xdr:from>
        <xdr:to>
          <xdr:col>3</xdr:col>
          <xdr:colOff>501650</xdr:colOff>
          <xdr:row>101</xdr:row>
          <xdr:rowOff>215900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B3395145-1ABC-4D2B-A353-6B1741AAF1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107</xdr:row>
          <xdr:rowOff>0</xdr:rowOff>
        </xdr:from>
        <xdr:to>
          <xdr:col>3</xdr:col>
          <xdr:colOff>501650</xdr:colOff>
          <xdr:row>107</xdr:row>
          <xdr:rowOff>215900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A65C07CE-B587-474B-A9E5-57626247FA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113</xdr:row>
          <xdr:rowOff>0</xdr:rowOff>
        </xdr:from>
        <xdr:to>
          <xdr:col>3</xdr:col>
          <xdr:colOff>501650</xdr:colOff>
          <xdr:row>113</xdr:row>
          <xdr:rowOff>215900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CBDC9F69-7D07-4CDB-B3B8-77255C28A2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115</xdr:row>
          <xdr:rowOff>0</xdr:rowOff>
        </xdr:from>
        <xdr:to>
          <xdr:col>3</xdr:col>
          <xdr:colOff>501650</xdr:colOff>
          <xdr:row>115</xdr:row>
          <xdr:rowOff>215900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A9D7F6B4-6783-43E2-ACA7-D29CDDA9D0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119</xdr:row>
          <xdr:rowOff>0</xdr:rowOff>
        </xdr:from>
        <xdr:to>
          <xdr:col>3</xdr:col>
          <xdr:colOff>501650</xdr:colOff>
          <xdr:row>119</xdr:row>
          <xdr:rowOff>215900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D9FED79B-15A0-4E33-8B18-EA6C6DD43C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121</xdr:row>
          <xdr:rowOff>0</xdr:rowOff>
        </xdr:from>
        <xdr:to>
          <xdr:col>3</xdr:col>
          <xdr:colOff>501650</xdr:colOff>
          <xdr:row>121</xdr:row>
          <xdr:rowOff>215900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DFC2E4D0-EB57-42CA-A378-B1AF8AD992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119</xdr:row>
          <xdr:rowOff>0</xdr:rowOff>
        </xdr:from>
        <xdr:to>
          <xdr:col>3</xdr:col>
          <xdr:colOff>501650</xdr:colOff>
          <xdr:row>119</xdr:row>
          <xdr:rowOff>215900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36FAB783-FCDE-4393-BE55-F8E63CD68D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120</xdr:row>
          <xdr:rowOff>0</xdr:rowOff>
        </xdr:from>
        <xdr:to>
          <xdr:col>3</xdr:col>
          <xdr:colOff>501650</xdr:colOff>
          <xdr:row>120</xdr:row>
          <xdr:rowOff>215900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5D1EC40-C194-4279-9246-A171BC8C3A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116</xdr:row>
          <xdr:rowOff>0</xdr:rowOff>
        </xdr:from>
        <xdr:to>
          <xdr:col>3</xdr:col>
          <xdr:colOff>501650</xdr:colOff>
          <xdr:row>116</xdr:row>
          <xdr:rowOff>215900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C1572FF2-CBF8-4C5E-8292-2B14AC98FB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114</xdr:row>
          <xdr:rowOff>0</xdr:rowOff>
        </xdr:from>
        <xdr:to>
          <xdr:col>3</xdr:col>
          <xdr:colOff>501650</xdr:colOff>
          <xdr:row>114</xdr:row>
          <xdr:rowOff>215900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63D4674D-C1E7-47E0-B081-8232053606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112</xdr:row>
          <xdr:rowOff>0</xdr:rowOff>
        </xdr:from>
        <xdr:to>
          <xdr:col>3</xdr:col>
          <xdr:colOff>501650</xdr:colOff>
          <xdr:row>112</xdr:row>
          <xdr:rowOff>215900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238BDC00-22B6-40EF-BCA5-99ACB2F4F0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111</xdr:row>
          <xdr:rowOff>0</xdr:rowOff>
        </xdr:from>
        <xdr:to>
          <xdr:col>3</xdr:col>
          <xdr:colOff>501650</xdr:colOff>
          <xdr:row>111</xdr:row>
          <xdr:rowOff>215900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D595DBE0-5BB4-4ACD-90A6-68E44835B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108</xdr:row>
          <xdr:rowOff>0</xdr:rowOff>
        </xdr:from>
        <xdr:to>
          <xdr:col>3</xdr:col>
          <xdr:colOff>501650</xdr:colOff>
          <xdr:row>108</xdr:row>
          <xdr:rowOff>215900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B195C32C-85FD-4535-AB91-E77FFF1F99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109</xdr:row>
          <xdr:rowOff>0</xdr:rowOff>
        </xdr:from>
        <xdr:to>
          <xdr:col>3</xdr:col>
          <xdr:colOff>501650</xdr:colOff>
          <xdr:row>109</xdr:row>
          <xdr:rowOff>215900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98B85F44-5A0C-4425-8223-67CBFF6EB1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106</xdr:row>
          <xdr:rowOff>0</xdr:rowOff>
        </xdr:from>
        <xdr:to>
          <xdr:col>3</xdr:col>
          <xdr:colOff>501650</xdr:colOff>
          <xdr:row>106</xdr:row>
          <xdr:rowOff>215900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4963D6E0-96F9-428D-A116-3585C61EDD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105</xdr:row>
          <xdr:rowOff>0</xdr:rowOff>
        </xdr:from>
        <xdr:to>
          <xdr:col>3</xdr:col>
          <xdr:colOff>501650</xdr:colOff>
          <xdr:row>105</xdr:row>
          <xdr:rowOff>215900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43CB7508-15E9-44BD-B92E-53FDBE6382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100</xdr:row>
          <xdr:rowOff>0</xdr:rowOff>
        </xdr:from>
        <xdr:to>
          <xdr:col>3</xdr:col>
          <xdr:colOff>501650</xdr:colOff>
          <xdr:row>100</xdr:row>
          <xdr:rowOff>215900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8F7A8016-B747-449A-B9BF-2F9121A53C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117</xdr:row>
          <xdr:rowOff>0</xdr:rowOff>
        </xdr:from>
        <xdr:to>
          <xdr:col>3</xdr:col>
          <xdr:colOff>501650</xdr:colOff>
          <xdr:row>117</xdr:row>
          <xdr:rowOff>215900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BC208534-D646-4EC3-9F32-D0FB63F6E3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122</xdr:row>
          <xdr:rowOff>0</xdr:rowOff>
        </xdr:from>
        <xdr:to>
          <xdr:col>3</xdr:col>
          <xdr:colOff>501650</xdr:colOff>
          <xdr:row>122</xdr:row>
          <xdr:rowOff>215900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6B525E8F-997A-4480-BEFF-47BFDE8017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127</xdr:row>
          <xdr:rowOff>0</xdr:rowOff>
        </xdr:from>
        <xdr:to>
          <xdr:col>3</xdr:col>
          <xdr:colOff>501650</xdr:colOff>
          <xdr:row>127</xdr:row>
          <xdr:rowOff>215900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DB386F54-2134-41EA-AE17-DCA26F9859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123</xdr:row>
          <xdr:rowOff>0</xdr:rowOff>
        </xdr:from>
        <xdr:to>
          <xdr:col>3</xdr:col>
          <xdr:colOff>501650</xdr:colOff>
          <xdr:row>123</xdr:row>
          <xdr:rowOff>215900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C99DACA1-775C-40F0-9DC1-7E764ED8FD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126</xdr:row>
          <xdr:rowOff>0</xdr:rowOff>
        </xdr:from>
        <xdr:to>
          <xdr:col>3</xdr:col>
          <xdr:colOff>501650</xdr:colOff>
          <xdr:row>126</xdr:row>
          <xdr:rowOff>215900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DEAC2B66-98A0-46EE-BD56-02D847C7D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130</xdr:row>
          <xdr:rowOff>0</xdr:rowOff>
        </xdr:from>
        <xdr:to>
          <xdr:col>3</xdr:col>
          <xdr:colOff>488950</xdr:colOff>
          <xdr:row>130</xdr:row>
          <xdr:rowOff>215900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8D20606E-6121-4271-B782-4A7C08ADA4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125</xdr:row>
          <xdr:rowOff>0</xdr:rowOff>
        </xdr:from>
        <xdr:to>
          <xdr:col>3</xdr:col>
          <xdr:colOff>501650</xdr:colOff>
          <xdr:row>125</xdr:row>
          <xdr:rowOff>215900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944387E-BDF5-431D-A71C-CF7341610D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129</xdr:row>
          <xdr:rowOff>0</xdr:rowOff>
        </xdr:from>
        <xdr:to>
          <xdr:col>3</xdr:col>
          <xdr:colOff>501650</xdr:colOff>
          <xdr:row>129</xdr:row>
          <xdr:rowOff>215900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3B82F31-0D86-4425-A387-1E77038B27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128</xdr:row>
          <xdr:rowOff>0</xdr:rowOff>
        </xdr:from>
        <xdr:to>
          <xdr:col>3</xdr:col>
          <xdr:colOff>501650</xdr:colOff>
          <xdr:row>128</xdr:row>
          <xdr:rowOff>215900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6E39506F-D617-4634-A061-1AE8384848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143</xdr:row>
          <xdr:rowOff>0</xdr:rowOff>
        </xdr:from>
        <xdr:to>
          <xdr:col>3</xdr:col>
          <xdr:colOff>501650</xdr:colOff>
          <xdr:row>143</xdr:row>
          <xdr:rowOff>215900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6F59C84B-FB92-4379-B8D4-0B70A54D8B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140</xdr:row>
          <xdr:rowOff>0</xdr:rowOff>
        </xdr:from>
        <xdr:to>
          <xdr:col>3</xdr:col>
          <xdr:colOff>501650</xdr:colOff>
          <xdr:row>140</xdr:row>
          <xdr:rowOff>215900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BA07C0E6-4CCE-4614-9EA6-0BE9979111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138</xdr:row>
          <xdr:rowOff>0</xdr:rowOff>
        </xdr:from>
        <xdr:to>
          <xdr:col>3</xdr:col>
          <xdr:colOff>501650</xdr:colOff>
          <xdr:row>138</xdr:row>
          <xdr:rowOff>215900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9117783C-6757-417F-8D78-08FA46B256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134</xdr:row>
          <xdr:rowOff>0</xdr:rowOff>
        </xdr:from>
        <xdr:to>
          <xdr:col>3</xdr:col>
          <xdr:colOff>501650</xdr:colOff>
          <xdr:row>134</xdr:row>
          <xdr:rowOff>215900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E97AC77A-FFAA-46FE-8ACE-4AB01A713B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132</xdr:row>
          <xdr:rowOff>0</xdr:rowOff>
        </xdr:from>
        <xdr:to>
          <xdr:col>3</xdr:col>
          <xdr:colOff>501650</xdr:colOff>
          <xdr:row>132</xdr:row>
          <xdr:rowOff>215900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905C4CB2-0BF4-4A98-B857-FC840A955B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136</xdr:row>
          <xdr:rowOff>0</xdr:rowOff>
        </xdr:from>
        <xdr:to>
          <xdr:col>3</xdr:col>
          <xdr:colOff>501650</xdr:colOff>
          <xdr:row>136</xdr:row>
          <xdr:rowOff>215900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519F8E16-BB7E-4214-BD85-DC1B8845DE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142</xdr:row>
          <xdr:rowOff>0</xdr:rowOff>
        </xdr:from>
        <xdr:to>
          <xdr:col>3</xdr:col>
          <xdr:colOff>501650</xdr:colOff>
          <xdr:row>142</xdr:row>
          <xdr:rowOff>215900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3E6A1ADA-7481-4523-A7BC-086D0EDFE9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139</xdr:row>
          <xdr:rowOff>0</xdr:rowOff>
        </xdr:from>
        <xdr:to>
          <xdr:col>3</xdr:col>
          <xdr:colOff>501650</xdr:colOff>
          <xdr:row>139</xdr:row>
          <xdr:rowOff>215900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B8FFBF6D-D629-49D1-9915-A51D18835D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137</xdr:row>
          <xdr:rowOff>0</xdr:rowOff>
        </xdr:from>
        <xdr:to>
          <xdr:col>3</xdr:col>
          <xdr:colOff>501650</xdr:colOff>
          <xdr:row>137</xdr:row>
          <xdr:rowOff>215900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5CE8F08E-9875-4DFC-B83C-94104EFC33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135</xdr:row>
          <xdr:rowOff>0</xdr:rowOff>
        </xdr:from>
        <xdr:to>
          <xdr:col>3</xdr:col>
          <xdr:colOff>501650</xdr:colOff>
          <xdr:row>135</xdr:row>
          <xdr:rowOff>215900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CAC8B2D2-1C47-4AE7-8744-04088DC0E1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133</xdr:row>
          <xdr:rowOff>0</xdr:rowOff>
        </xdr:from>
        <xdr:to>
          <xdr:col>3</xdr:col>
          <xdr:colOff>501650</xdr:colOff>
          <xdr:row>133</xdr:row>
          <xdr:rowOff>215900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35730BD-85CC-4B73-94DF-88518401D1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131</xdr:row>
          <xdr:rowOff>0</xdr:rowOff>
        </xdr:from>
        <xdr:to>
          <xdr:col>3</xdr:col>
          <xdr:colOff>501650</xdr:colOff>
          <xdr:row>131</xdr:row>
          <xdr:rowOff>215900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E87E39BA-4DE9-4236-A4F7-0C62E5585C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141</xdr:row>
          <xdr:rowOff>0</xdr:rowOff>
        </xdr:from>
        <xdr:to>
          <xdr:col>3</xdr:col>
          <xdr:colOff>501650</xdr:colOff>
          <xdr:row>141</xdr:row>
          <xdr:rowOff>215900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CA5527EB-878A-4C39-83E6-FF581DA4D9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0</xdr:rowOff>
        </xdr:from>
        <xdr:to>
          <xdr:col>2</xdr:col>
          <xdr:colOff>0</xdr:colOff>
          <xdr:row>5</xdr:row>
          <xdr:rowOff>215900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E89C630D-1F92-4EA0-B71E-44254AB14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</xdr:row>
          <xdr:rowOff>0</xdr:rowOff>
        </xdr:from>
        <xdr:to>
          <xdr:col>2</xdr:col>
          <xdr:colOff>0</xdr:colOff>
          <xdr:row>6</xdr:row>
          <xdr:rowOff>215900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695773B7-53D4-483A-906E-D31C7CF54C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6</xdr:row>
          <xdr:rowOff>0</xdr:rowOff>
        </xdr:from>
        <xdr:to>
          <xdr:col>2</xdr:col>
          <xdr:colOff>495300</xdr:colOff>
          <xdr:row>6</xdr:row>
          <xdr:rowOff>215900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D85BAD2D-6FAE-40E8-8B06-36BAD8613D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5</xdr:row>
          <xdr:rowOff>0</xdr:rowOff>
        </xdr:from>
        <xdr:to>
          <xdr:col>2</xdr:col>
          <xdr:colOff>495300</xdr:colOff>
          <xdr:row>5</xdr:row>
          <xdr:rowOff>215900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71EE82D7-B6B0-4DF5-BD5B-0BEB279829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</xdr:row>
          <xdr:rowOff>0</xdr:rowOff>
        </xdr:from>
        <xdr:to>
          <xdr:col>3</xdr:col>
          <xdr:colOff>501650</xdr:colOff>
          <xdr:row>5</xdr:row>
          <xdr:rowOff>215900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C72288DA-27E0-40AD-B77F-C776491374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0</xdr:rowOff>
        </xdr:from>
        <xdr:to>
          <xdr:col>3</xdr:col>
          <xdr:colOff>501650</xdr:colOff>
          <xdr:row>6</xdr:row>
          <xdr:rowOff>215900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82192CA9-35E3-41CD-B32D-35FE8EDDC2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147</xdr:row>
          <xdr:rowOff>0</xdr:rowOff>
        </xdr:from>
        <xdr:to>
          <xdr:col>2</xdr:col>
          <xdr:colOff>495300</xdr:colOff>
          <xdr:row>147</xdr:row>
          <xdr:rowOff>215900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4D20AFB-0653-4D8A-8859-DD65E0EB29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148</xdr:row>
          <xdr:rowOff>0</xdr:rowOff>
        </xdr:from>
        <xdr:to>
          <xdr:col>2</xdr:col>
          <xdr:colOff>495300</xdr:colOff>
          <xdr:row>148</xdr:row>
          <xdr:rowOff>215900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5E7D46FC-9C6B-4C96-9908-D013068EA2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149</xdr:row>
          <xdr:rowOff>0</xdr:rowOff>
        </xdr:from>
        <xdr:to>
          <xdr:col>2</xdr:col>
          <xdr:colOff>495300</xdr:colOff>
          <xdr:row>149</xdr:row>
          <xdr:rowOff>215900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9C7607DD-4518-403F-BC83-C3D256180E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150</xdr:row>
          <xdr:rowOff>0</xdr:rowOff>
        </xdr:from>
        <xdr:to>
          <xdr:col>2</xdr:col>
          <xdr:colOff>495300</xdr:colOff>
          <xdr:row>150</xdr:row>
          <xdr:rowOff>215900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252DA4C2-C240-4F80-91B6-B559D7253B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151</xdr:row>
          <xdr:rowOff>0</xdr:rowOff>
        </xdr:from>
        <xdr:to>
          <xdr:col>2</xdr:col>
          <xdr:colOff>495300</xdr:colOff>
          <xdr:row>151</xdr:row>
          <xdr:rowOff>215900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67369E25-1CFE-4D81-9B4A-1FC6340AE6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152</xdr:row>
          <xdr:rowOff>0</xdr:rowOff>
        </xdr:from>
        <xdr:to>
          <xdr:col>2</xdr:col>
          <xdr:colOff>495300</xdr:colOff>
          <xdr:row>152</xdr:row>
          <xdr:rowOff>215900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413C01A-7AF0-41E7-978B-F8201937BE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153</xdr:row>
          <xdr:rowOff>0</xdr:rowOff>
        </xdr:from>
        <xdr:to>
          <xdr:col>2</xdr:col>
          <xdr:colOff>495300</xdr:colOff>
          <xdr:row>153</xdr:row>
          <xdr:rowOff>215900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DF2B35D0-5EC5-43F9-AB92-7E081BDAC0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147</xdr:row>
          <xdr:rowOff>0</xdr:rowOff>
        </xdr:from>
        <xdr:to>
          <xdr:col>3</xdr:col>
          <xdr:colOff>501650</xdr:colOff>
          <xdr:row>147</xdr:row>
          <xdr:rowOff>215900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BCD653F8-D8CE-4533-B89A-EB665DEC2E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148</xdr:row>
          <xdr:rowOff>0</xdr:rowOff>
        </xdr:from>
        <xdr:to>
          <xdr:col>3</xdr:col>
          <xdr:colOff>501650</xdr:colOff>
          <xdr:row>148</xdr:row>
          <xdr:rowOff>215900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72F60401-D547-4095-8F49-A14B2BD8E9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149</xdr:row>
          <xdr:rowOff>0</xdr:rowOff>
        </xdr:from>
        <xdr:to>
          <xdr:col>3</xdr:col>
          <xdr:colOff>501650</xdr:colOff>
          <xdr:row>149</xdr:row>
          <xdr:rowOff>215900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30FF9DB9-39CD-4C60-BDD3-84BF23560F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150</xdr:row>
          <xdr:rowOff>0</xdr:rowOff>
        </xdr:from>
        <xdr:to>
          <xdr:col>3</xdr:col>
          <xdr:colOff>501650</xdr:colOff>
          <xdr:row>150</xdr:row>
          <xdr:rowOff>215900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526A68BE-3547-4010-88F5-6A42AB52B4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152</xdr:row>
          <xdr:rowOff>0</xdr:rowOff>
        </xdr:from>
        <xdr:to>
          <xdr:col>3</xdr:col>
          <xdr:colOff>501650</xdr:colOff>
          <xdr:row>152</xdr:row>
          <xdr:rowOff>215900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EC7E68AA-0DAC-491F-A6BD-3230102083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153</xdr:row>
          <xdr:rowOff>0</xdr:rowOff>
        </xdr:from>
        <xdr:to>
          <xdr:col>3</xdr:col>
          <xdr:colOff>501650</xdr:colOff>
          <xdr:row>153</xdr:row>
          <xdr:rowOff>215900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D9E8B34F-0C04-432C-9BCF-AAF79B68A1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330200</xdr:colOff>
      <xdr:row>144</xdr:row>
      <xdr:rowOff>76200</xdr:rowOff>
    </xdr:from>
    <xdr:to>
      <xdr:col>8</xdr:col>
      <xdr:colOff>3473450</xdr:colOff>
      <xdr:row>146</xdr:row>
      <xdr:rowOff>63500</xdr:rowOff>
    </xdr:to>
    <xdr:sp macro="" textlink="">
      <xdr:nvSpPr>
        <xdr:cNvPr id="1532" name="Text Box 508">
          <a:extLst>
            <a:ext uri="{FF2B5EF4-FFF2-40B4-BE49-F238E27FC236}">
              <a16:creationId xmlns:a16="http://schemas.microsoft.com/office/drawing/2014/main" id="{585E2E33-3BE1-4D06-B5E2-DA1FBE51BCBB}"/>
            </a:ext>
          </a:extLst>
        </xdr:cNvPr>
        <xdr:cNvSpPr txBox="1">
          <a:spLocks noChangeArrowheads="1"/>
        </xdr:cNvSpPr>
      </xdr:nvSpPr>
      <xdr:spPr bwMode="auto">
        <a:xfrm>
          <a:off x="558800" y="33680400"/>
          <a:ext cx="6172200" cy="444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Please enter non MSandE courses below  and indicate if you are taking them for Core, Concentation or Elective requirements.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151</xdr:row>
          <xdr:rowOff>0</xdr:rowOff>
        </xdr:from>
        <xdr:to>
          <xdr:col>3</xdr:col>
          <xdr:colOff>501650</xdr:colOff>
          <xdr:row>151</xdr:row>
          <xdr:rowOff>215900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AD33340B-0250-4C31-8E58-B063E6F733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154</xdr:row>
          <xdr:rowOff>0</xdr:rowOff>
        </xdr:from>
        <xdr:to>
          <xdr:col>2</xdr:col>
          <xdr:colOff>495300</xdr:colOff>
          <xdr:row>154</xdr:row>
          <xdr:rowOff>215900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72054B3C-C336-44A7-98A6-26069E284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155</xdr:row>
          <xdr:rowOff>0</xdr:rowOff>
        </xdr:from>
        <xdr:to>
          <xdr:col>2</xdr:col>
          <xdr:colOff>495300</xdr:colOff>
          <xdr:row>155</xdr:row>
          <xdr:rowOff>215900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96663C93-F141-4BBE-B5E8-4D49386C6E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156</xdr:row>
          <xdr:rowOff>0</xdr:rowOff>
        </xdr:from>
        <xdr:to>
          <xdr:col>2</xdr:col>
          <xdr:colOff>495300</xdr:colOff>
          <xdr:row>156</xdr:row>
          <xdr:rowOff>215900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99FD83DE-9D16-4C60-BA49-9D7AF5C500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154</xdr:row>
          <xdr:rowOff>0</xdr:rowOff>
        </xdr:from>
        <xdr:to>
          <xdr:col>3</xdr:col>
          <xdr:colOff>501650</xdr:colOff>
          <xdr:row>154</xdr:row>
          <xdr:rowOff>215900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96B84AD0-8EC8-4730-AAFB-3BEBCD3C78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155</xdr:row>
          <xdr:rowOff>0</xdr:rowOff>
        </xdr:from>
        <xdr:to>
          <xdr:col>3</xdr:col>
          <xdr:colOff>501650</xdr:colOff>
          <xdr:row>155</xdr:row>
          <xdr:rowOff>215900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F37BF993-789F-4313-9E0E-A6CDBB0CE6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156</xdr:row>
          <xdr:rowOff>0</xdr:rowOff>
        </xdr:from>
        <xdr:to>
          <xdr:col>3</xdr:col>
          <xdr:colOff>501650</xdr:colOff>
          <xdr:row>156</xdr:row>
          <xdr:rowOff>215900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229CE954-2647-4777-8A5C-C21F34D3F6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457200</xdr:colOff>
          <xdr:row>160</xdr:row>
          <xdr:rowOff>146050</xdr:rowOff>
        </xdr:from>
        <xdr:to>
          <xdr:col>7</xdr:col>
          <xdr:colOff>57150</xdr:colOff>
          <xdr:row>164</xdr:row>
          <xdr:rowOff>120650</xdr:rowOff>
        </xdr:to>
        <xdr:sp macro="" textlink="">
          <xdr:nvSpPr>
            <xdr:cNvPr id="1550" name="Button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56FFA5A5-6E8B-42A8-9234-A57D7E8464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Lucida Grande"/>
                </a:rPr>
                <a:t>Continue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8</xdr:row>
          <xdr:rowOff>0</xdr:rowOff>
        </xdr:from>
        <xdr:to>
          <xdr:col>2</xdr:col>
          <xdr:colOff>0</xdr:colOff>
          <xdr:row>8</xdr:row>
          <xdr:rowOff>215900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A325DB30-43EC-4911-AA7C-E3F2689DD7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8</xdr:row>
          <xdr:rowOff>0</xdr:rowOff>
        </xdr:from>
        <xdr:to>
          <xdr:col>2</xdr:col>
          <xdr:colOff>495300</xdr:colOff>
          <xdr:row>8</xdr:row>
          <xdr:rowOff>215900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B5A88E1-BE72-4141-8BA7-0ED0391F1E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0</xdr:rowOff>
        </xdr:from>
        <xdr:to>
          <xdr:col>3</xdr:col>
          <xdr:colOff>501650</xdr:colOff>
          <xdr:row>8</xdr:row>
          <xdr:rowOff>215900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57B2AE26-D094-4E88-A053-222A66DEE2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13</xdr:row>
          <xdr:rowOff>0</xdr:rowOff>
        </xdr:from>
        <xdr:to>
          <xdr:col>2</xdr:col>
          <xdr:colOff>0</xdr:colOff>
          <xdr:row>13</xdr:row>
          <xdr:rowOff>215900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33936CBD-621C-44DD-96DC-F43F8F0751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13</xdr:row>
          <xdr:rowOff>0</xdr:rowOff>
        </xdr:from>
        <xdr:to>
          <xdr:col>2</xdr:col>
          <xdr:colOff>495300</xdr:colOff>
          <xdr:row>13</xdr:row>
          <xdr:rowOff>215900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4F69DB01-C0F8-47B2-879A-A5FD2686B6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0</xdr:rowOff>
        </xdr:from>
        <xdr:to>
          <xdr:col>3</xdr:col>
          <xdr:colOff>501650</xdr:colOff>
          <xdr:row>13</xdr:row>
          <xdr:rowOff>215900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B22DCDF7-825D-48C9-AF7C-0F962B6FEA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15</xdr:row>
          <xdr:rowOff>0</xdr:rowOff>
        </xdr:from>
        <xdr:to>
          <xdr:col>2</xdr:col>
          <xdr:colOff>0</xdr:colOff>
          <xdr:row>15</xdr:row>
          <xdr:rowOff>215900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1124B54F-BE47-463F-8D25-308146BADE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15</xdr:row>
          <xdr:rowOff>0</xdr:rowOff>
        </xdr:from>
        <xdr:to>
          <xdr:col>2</xdr:col>
          <xdr:colOff>495300</xdr:colOff>
          <xdr:row>15</xdr:row>
          <xdr:rowOff>215900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C5BA9911-24AF-4518-A066-4B5615D1AD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15</xdr:row>
          <xdr:rowOff>0</xdr:rowOff>
        </xdr:from>
        <xdr:to>
          <xdr:col>3</xdr:col>
          <xdr:colOff>501650</xdr:colOff>
          <xdr:row>15</xdr:row>
          <xdr:rowOff>215900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546830FD-5622-4453-9889-6103EF4FA0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17</xdr:row>
          <xdr:rowOff>0</xdr:rowOff>
        </xdr:from>
        <xdr:to>
          <xdr:col>2</xdr:col>
          <xdr:colOff>0</xdr:colOff>
          <xdr:row>17</xdr:row>
          <xdr:rowOff>215900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C2B19C71-408F-44E2-8EB1-BD85469E9E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17</xdr:row>
          <xdr:rowOff>0</xdr:rowOff>
        </xdr:from>
        <xdr:to>
          <xdr:col>2</xdr:col>
          <xdr:colOff>495300</xdr:colOff>
          <xdr:row>17</xdr:row>
          <xdr:rowOff>215900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8B8552D5-E98C-4B72-9D92-F77643018A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17</xdr:row>
          <xdr:rowOff>0</xdr:rowOff>
        </xdr:from>
        <xdr:to>
          <xdr:col>3</xdr:col>
          <xdr:colOff>501650</xdr:colOff>
          <xdr:row>17</xdr:row>
          <xdr:rowOff>215900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929F3BCA-452C-47DF-A1C2-537CA3C0BA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33</xdr:row>
          <xdr:rowOff>0</xdr:rowOff>
        </xdr:from>
        <xdr:to>
          <xdr:col>2</xdr:col>
          <xdr:colOff>0</xdr:colOff>
          <xdr:row>33</xdr:row>
          <xdr:rowOff>215900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FEAE5E9-B18A-4D2B-A96A-B5FFB3D635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33</xdr:row>
          <xdr:rowOff>0</xdr:rowOff>
        </xdr:from>
        <xdr:to>
          <xdr:col>2</xdr:col>
          <xdr:colOff>495300</xdr:colOff>
          <xdr:row>33</xdr:row>
          <xdr:rowOff>215900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EAD8D093-6CAF-4E86-9729-1B3DCEC2D6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33</xdr:row>
          <xdr:rowOff>0</xdr:rowOff>
        </xdr:from>
        <xdr:to>
          <xdr:col>3</xdr:col>
          <xdr:colOff>501650</xdr:colOff>
          <xdr:row>33</xdr:row>
          <xdr:rowOff>215900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1681F47D-1E3C-4F00-8016-10ACCF4955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38</xdr:row>
          <xdr:rowOff>0</xdr:rowOff>
        </xdr:from>
        <xdr:to>
          <xdr:col>2</xdr:col>
          <xdr:colOff>0</xdr:colOff>
          <xdr:row>38</xdr:row>
          <xdr:rowOff>215900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13489BE6-E5FD-4B40-AC80-755C5C64E4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38</xdr:row>
          <xdr:rowOff>0</xdr:rowOff>
        </xdr:from>
        <xdr:to>
          <xdr:col>2</xdr:col>
          <xdr:colOff>495300</xdr:colOff>
          <xdr:row>38</xdr:row>
          <xdr:rowOff>215900</xdr:rowOff>
        </xdr:to>
        <xdr:sp macro="" textlink="">
          <xdr:nvSpPr>
            <xdr:cNvPr id="1567" name="Check Box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25053D78-E56A-408D-8CDF-D383785DAC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38</xdr:row>
          <xdr:rowOff>0</xdr:rowOff>
        </xdr:from>
        <xdr:to>
          <xdr:col>3</xdr:col>
          <xdr:colOff>501650</xdr:colOff>
          <xdr:row>38</xdr:row>
          <xdr:rowOff>215900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7D1B28A7-41A1-4B5E-BE14-AB7F0BBD79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61</xdr:row>
          <xdr:rowOff>0</xdr:rowOff>
        </xdr:from>
        <xdr:to>
          <xdr:col>2</xdr:col>
          <xdr:colOff>0</xdr:colOff>
          <xdr:row>61</xdr:row>
          <xdr:rowOff>215900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73A39DC7-6612-4A70-A961-B9035171E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61</xdr:row>
          <xdr:rowOff>0</xdr:rowOff>
        </xdr:from>
        <xdr:to>
          <xdr:col>2</xdr:col>
          <xdr:colOff>495300</xdr:colOff>
          <xdr:row>61</xdr:row>
          <xdr:rowOff>215900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9DAB12C6-D67B-455F-A012-3F733523F5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61</xdr:row>
          <xdr:rowOff>0</xdr:rowOff>
        </xdr:from>
        <xdr:to>
          <xdr:col>3</xdr:col>
          <xdr:colOff>501650</xdr:colOff>
          <xdr:row>61</xdr:row>
          <xdr:rowOff>215900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62B2C3A8-07C2-4A99-9C3A-D9CACDEE95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80</xdr:row>
          <xdr:rowOff>0</xdr:rowOff>
        </xdr:from>
        <xdr:to>
          <xdr:col>2</xdr:col>
          <xdr:colOff>0</xdr:colOff>
          <xdr:row>80</xdr:row>
          <xdr:rowOff>215900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E4EFE858-2B05-4B56-9692-8345E10946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80</xdr:row>
          <xdr:rowOff>0</xdr:rowOff>
        </xdr:from>
        <xdr:to>
          <xdr:col>2</xdr:col>
          <xdr:colOff>495300</xdr:colOff>
          <xdr:row>80</xdr:row>
          <xdr:rowOff>215900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812FB2EB-6733-475E-A063-8068AE15EF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80</xdr:row>
          <xdr:rowOff>0</xdr:rowOff>
        </xdr:from>
        <xdr:to>
          <xdr:col>3</xdr:col>
          <xdr:colOff>501650</xdr:colOff>
          <xdr:row>80</xdr:row>
          <xdr:rowOff>215900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F67AC93E-1B5B-4716-BAAE-F1FA2451F4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104</xdr:row>
          <xdr:rowOff>0</xdr:rowOff>
        </xdr:from>
        <xdr:to>
          <xdr:col>2</xdr:col>
          <xdr:colOff>0</xdr:colOff>
          <xdr:row>104</xdr:row>
          <xdr:rowOff>215900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445D18B4-FF02-45B6-B1F8-8C71F493DE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104</xdr:row>
          <xdr:rowOff>0</xdr:rowOff>
        </xdr:from>
        <xdr:to>
          <xdr:col>2</xdr:col>
          <xdr:colOff>495300</xdr:colOff>
          <xdr:row>104</xdr:row>
          <xdr:rowOff>215900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E8735814-6E19-48C9-80D9-25121DC40A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104</xdr:row>
          <xdr:rowOff>0</xdr:rowOff>
        </xdr:from>
        <xdr:to>
          <xdr:col>3</xdr:col>
          <xdr:colOff>501650</xdr:colOff>
          <xdr:row>104</xdr:row>
          <xdr:rowOff>215900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445493AB-8428-40AB-9453-2372D54D16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90000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90000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6.xml"/><Relationship Id="rId299" Type="http://schemas.openxmlformats.org/officeDocument/2006/relationships/ctrlProp" Target="../ctrlProps/ctrlProp298.xml"/><Relationship Id="rId21" Type="http://schemas.openxmlformats.org/officeDocument/2006/relationships/ctrlProp" Target="../ctrlProps/ctrlProp20.xml"/><Relationship Id="rId63" Type="http://schemas.openxmlformats.org/officeDocument/2006/relationships/ctrlProp" Target="../ctrlProps/ctrlProp62.xml"/><Relationship Id="rId159" Type="http://schemas.openxmlformats.org/officeDocument/2006/relationships/ctrlProp" Target="../ctrlProps/ctrlProp158.xml"/><Relationship Id="rId324" Type="http://schemas.openxmlformats.org/officeDocument/2006/relationships/ctrlProp" Target="../ctrlProps/ctrlProp323.xml"/><Relationship Id="rId366" Type="http://schemas.openxmlformats.org/officeDocument/2006/relationships/ctrlProp" Target="../ctrlProps/ctrlProp365.xml"/><Relationship Id="rId170" Type="http://schemas.openxmlformats.org/officeDocument/2006/relationships/ctrlProp" Target="../ctrlProps/ctrlProp169.xml"/><Relationship Id="rId226" Type="http://schemas.openxmlformats.org/officeDocument/2006/relationships/ctrlProp" Target="../ctrlProps/ctrlProp225.xml"/><Relationship Id="rId433" Type="http://schemas.openxmlformats.org/officeDocument/2006/relationships/ctrlProp" Target="../ctrlProps/ctrlProp432.xml"/><Relationship Id="rId268" Type="http://schemas.openxmlformats.org/officeDocument/2006/relationships/ctrlProp" Target="../ctrlProps/ctrlProp267.xml"/><Relationship Id="rId32" Type="http://schemas.openxmlformats.org/officeDocument/2006/relationships/ctrlProp" Target="../ctrlProps/ctrlProp31.xml"/><Relationship Id="rId74" Type="http://schemas.openxmlformats.org/officeDocument/2006/relationships/ctrlProp" Target="../ctrlProps/ctrlProp73.xml"/><Relationship Id="rId128" Type="http://schemas.openxmlformats.org/officeDocument/2006/relationships/ctrlProp" Target="../ctrlProps/ctrlProp127.xml"/><Relationship Id="rId335" Type="http://schemas.openxmlformats.org/officeDocument/2006/relationships/ctrlProp" Target="../ctrlProps/ctrlProp334.xml"/><Relationship Id="rId377" Type="http://schemas.openxmlformats.org/officeDocument/2006/relationships/ctrlProp" Target="../ctrlProps/ctrlProp376.xml"/><Relationship Id="rId5" Type="http://schemas.openxmlformats.org/officeDocument/2006/relationships/ctrlProp" Target="../ctrlProps/ctrlProp4.xml"/><Relationship Id="rId181" Type="http://schemas.openxmlformats.org/officeDocument/2006/relationships/ctrlProp" Target="../ctrlProps/ctrlProp180.xml"/><Relationship Id="rId237" Type="http://schemas.openxmlformats.org/officeDocument/2006/relationships/ctrlProp" Target="../ctrlProps/ctrlProp236.xml"/><Relationship Id="rId402" Type="http://schemas.openxmlformats.org/officeDocument/2006/relationships/ctrlProp" Target="../ctrlProps/ctrlProp401.xml"/><Relationship Id="rId279" Type="http://schemas.openxmlformats.org/officeDocument/2006/relationships/ctrlProp" Target="../ctrlProps/ctrlProp278.xml"/><Relationship Id="rId444" Type="http://schemas.openxmlformats.org/officeDocument/2006/relationships/ctrlProp" Target="../ctrlProps/ctrlProp443.xml"/><Relationship Id="rId43" Type="http://schemas.openxmlformats.org/officeDocument/2006/relationships/ctrlProp" Target="../ctrlProps/ctrlProp42.xml"/><Relationship Id="rId139" Type="http://schemas.openxmlformats.org/officeDocument/2006/relationships/ctrlProp" Target="../ctrlProps/ctrlProp138.xml"/><Relationship Id="rId290" Type="http://schemas.openxmlformats.org/officeDocument/2006/relationships/ctrlProp" Target="../ctrlProps/ctrlProp289.xml"/><Relationship Id="rId304" Type="http://schemas.openxmlformats.org/officeDocument/2006/relationships/ctrlProp" Target="../ctrlProps/ctrlProp303.xml"/><Relationship Id="rId346" Type="http://schemas.openxmlformats.org/officeDocument/2006/relationships/ctrlProp" Target="../ctrlProps/ctrlProp345.xml"/><Relationship Id="rId388" Type="http://schemas.openxmlformats.org/officeDocument/2006/relationships/ctrlProp" Target="../ctrlProps/ctrlProp387.xml"/><Relationship Id="rId85" Type="http://schemas.openxmlformats.org/officeDocument/2006/relationships/ctrlProp" Target="../ctrlProps/ctrlProp84.xml"/><Relationship Id="rId150" Type="http://schemas.openxmlformats.org/officeDocument/2006/relationships/ctrlProp" Target="../ctrlProps/ctrlProp149.xml"/><Relationship Id="rId192" Type="http://schemas.openxmlformats.org/officeDocument/2006/relationships/ctrlProp" Target="../ctrlProps/ctrlProp191.xml"/><Relationship Id="rId206" Type="http://schemas.openxmlformats.org/officeDocument/2006/relationships/ctrlProp" Target="../ctrlProps/ctrlProp205.xml"/><Relationship Id="rId413" Type="http://schemas.openxmlformats.org/officeDocument/2006/relationships/ctrlProp" Target="../ctrlProps/ctrlProp412.xml"/><Relationship Id="rId248" Type="http://schemas.openxmlformats.org/officeDocument/2006/relationships/ctrlProp" Target="../ctrlProps/ctrlProp247.xml"/><Relationship Id="rId455" Type="http://schemas.openxmlformats.org/officeDocument/2006/relationships/ctrlProp" Target="../ctrlProps/ctrlProp454.xml"/><Relationship Id="rId12" Type="http://schemas.openxmlformats.org/officeDocument/2006/relationships/ctrlProp" Target="../ctrlProps/ctrlProp11.xml"/><Relationship Id="rId108" Type="http://schemas.openxmlformats.org/officeDocument/2006/relationships/ctrlProp" Target="../ctrlProps/ctrlProp107.xml"/><Relationship Id="rId315" Type="http://schemas.openxmlformats.org/officeDocument/2006/relationships/ctrlProp" Target="../ctrlProps/ctrlProp314.xml"/><Relationship Id="rId357" Type="http://schemas.openxmlformats.org/officeDocument/2006/relationships/ctrlProp" Target="../ctrlProps/ctrlProp356.xml"/><Relationship Id="rId54" Type="http://schemas.openxmlformats.org/officeDocument/2006/relationships/ctrlProp" Target="../ctrlProps/ctrlProp53.xml"/><Relationship Id="rId96" Type="http://schemas.openxmlformats.org/officeDocument/2006/relationships/ctrlProp" Target="../ctrlProps/ctrlProp95.xml"/><Relationship Id="rId161" Type="http://schemas.openxmlformats.org/officeDocument/2006/relationships/ctrlProp" Target="../ctrlProps/ctrlProp160.xml"/><Relationship Id="rId217" Type="http://schemas.openxmlformats.org/officeDocument/2006/relationships/ctrlProp" Target="../ctrlProps/ctrlProp216.xml"/><Relationship Id="rId399" Type="http://schemas.openxmlformats.org/officeDocument/2006/relationships/ctrlProp" Target="../ctrlProps/ctrlProp398.xml"/><Relationship Id="rId259" Type="http://schemas.openxmlformats.org/officeDocument/2006/relationships/ctrlProp" Target="../ctrlProps/ctrlProp258.xml"/><Relationship Id="rId424" Type="http://schemas.openxmlformats.org/officeDocument/2006/relationships/ctrlProp" Target="../ctrlProps/ctrlProp423.xml"/><Relationship Id="rId466" Type="http://schemas.openxmlformats.org/officeDocument/2006/relationships/ctrlProp" Target="../ctrlProps/ctrlProp465.xml"/><Relationship Id="rId23" Type="http://schemas.openxmlformats.org/officeDocument/2006/relationships/ctrlProp" Target="../ctrlProps/ctrlProp22.xml"/><Relationship Id="rId119" Type="http://schemas.openxmlformats.org/officeDocument/2006/relationships/ctrlProp" Target="../ctrlProps/ctrlProp118.xml"/><Relationship Id="rId270" Type="http://schemas.openxmlformats.org/officeDocument/2006/relationships/ctrlProp" Target="../ctrlProps/ctrlProp269.xml"/><Relationship Id="rId326" Type="http://schemas.openxmlformats.org/officeDocument/2006/relationships/ctrlProp" Target="../ctrlProps/ctrlProp325.xml"/><Relationship Id="rId65" Type="http://schemas.openxmlformats.org/officeDocument/2006/relationships/ctrlProp" Target="../ctrlProps/ctrlProp64.xml"/><Relationship Id="rId130" Type="http://schemas.openxmlformats.org/officeDocument/2006/relationships/ctrlProp" Target="../ctrlProps/ctrlProp129.xml"/><Relationship Id="rId368" Type="http://schemas.openxmlformats.org/officeDocument/2006/relationships/ctrlProp" Target="../ctrlProps/ctrlProp367.xml"/><Relationship Id="rId172" Type="http://schemas.openxmlformats.org/officeDocument/2006/relationships/ctrlProp" Target="../ctrlProps/ctrlProp171.xml"/><Relationship Id="rId228" Type="http://schemas.openxmlformats.org/officeDocument/2006/relationships/ctrlProp" Target="../ctrlProps/ctrlProp227.xml"/><Relationship Id="rId435" Type="http://schemas.openxmlformats.org/officeDocument/2006/relationships/ctrlProp" Target="../ctrlProps/ctrlProp434.xml"/><Relationship Id="rId281" Type="http://schemas.openxmlformats.org/officeDocument/2006/relationships/ctrlProp" Target="../ctrlProps/ctrlProp280.xml"/><Relationship Id="rId337" Type="http://schemas.openxmlformats.org/officeDocument/2006/relationships/ctrlProp" Target="../ctrlProps/ctrlProp336.xml"/><Relationship Id="rId34" Type="http://schemas.openxmlformats.org/officeDocument/2006/relationships/ctrlProp" Target="../ctrlProps/ctrlProp33.xml"/><Relationship Id="rId76" Type="http://schemas.openxmlformats.org/officeDocument/2006/relationships/ctrlProp" Target="../ctrlProps/ctrlProp75.xml"/><Relationship Id="rId141" Type="http://schemas.openxmlformats.org/officeDocument/2006/relationships/ctrlProp" Target="../ctrlProps/ctrlProp140.xml"/><Relationship Id="rId379" Type="http://schemas.openxmlformats.org/officeDocument/2006/relationships/ctrlProp" Target="../ctrlProps/ctrlProp378.xml"/><Relationship Id="rId7" Type="http://schemas.openxmlformats.org/officeDocument/2006/relationships/ctrlProp" Target="../ctrlProps/ctrlProp6.xml"/><Relationship Id="rId183" Type="http://schemas.openxmlformats.org/officeDocument/2006/relationships/ctrlProp" Target="../ctrlProps/ctrlProp182.xml"/><Relationship Id="rId239" Type="http://schemas.openxmlformats.org/officeDocument/2006/relationships/ctrlProp" Target="../ctrlProps/ctrlProp238.xml"/><Relationship Id="rId390" Type="http://schemas.openxmlformats.org/officeDocument/2006/relationships/ctrlProp" Target="../ctrlProps/ctrlProp389.xml"/><Relationship Id="rId404" Type="http://schemas.openxmlformats.org/officeDocument/2006/relationships/ctrlProp" Target="../ctrlProps/ctrlProp403.xml"/><Relationship Id="rId446" Type="http://schemas.openxmlformats.org/officeDocument/2006/relationships/ctrlProp" Target="../ctrlProps/ctrlProp445.xml"/><Relationship Id="rId250" Type="http://schemas.openxmlformats.org/officeDocument/2006/relationships/ctrlProp" Target="../ctrlProps/ctrlProp249.xml"/><Relationship Id="rId292" Type="http://schemas.openxmlformats.org/officeDocument/2006/relationships/ctrlProp" Target="../ctrlProps/ctrlProp291.xml"/><Relationship Id="rId306" Type="http://schemas.openxmlformats.org/officeDocument/2006/relationships/ctrlProp" Target="../ctrlProps/ctrlProp305.xml"/><Relationship Id="rId45" Type="http://schemas.openxmlformats.org/officeDocument/2006/relationships/ctrlProp" Target="../ctrlProps/ctrlProp44.xml"/><Relationship Id="rId87" Type="http://schemas.openxmlformats.org/officeDocument/2006/relationships/ctrlProp" Target="../ctrlProps/ctrlProp86.xml"/><Relationship Id="rId110" Type="http://schemas.openxmlformats.org/officeDocument/2006/relationships/ctrlProp" Target="../ctrlProps/ctrlProp109.xml"/><Relationship Id="rId348" Type="http://schemas.openxmlformats.org/officeDocument/2006/relationships/ctrlProp" Target="../ctrlProps/ctrlProp347.xml"/><Relationship Id="rId152" Type="http://schemas.openxmlformats.org/officeDocument/2006/relationships/ctrlProp" Target="../ctrlProps/ctrlProp151.xml"/><Relationship Id="rId194" Type="http://schemas.openxmlformats.org/officeDocument/2006/relationships/ctrlProp" Target="../ctrlProps/ctrlProp193.xml"/><Relationship Id="rId208" Type="http://schemas.openxmlformats.org/officeDocument/2006/relationships/ctrlProp" Target="../ctrlProps/ctrlProp207.xml"/><Relationship Id="rId415" Type="http://schemas.openxmlformats.org/officeDocument/2006/relationships/ctrlProp" Target="../ctrlProps/ctrlProp414.xml"/><Relationship Id="rId457" Type="http://schemas.openxmlformats.org/officeDocument/2006/relationships/ctrlProp" Target="../ctrlProps/ctrlProp456.xml"/><Relationship Id="rId261" Type="http://schemas.openxmlformats.org/officeDocument/2006/relationships/ctrlProp" Target="../ctrlProps/ctrlProp260.xml"/><Relationship Id="rId14" Type="http://schemas.openxmlformats.org/officeDocument/2006/relationships/ctrlProp" Target="../ctrlProps/ctrlProp13.xml"/><Relationship Id="rId56" Type="http://schemas.openxmlformats.org/officeDocument/2006/relationships/ctrlProp" Target="../ctrlProps/ctrlProp55.xml"/><Relationship Id="rId317" Type="http://schemas.openxmlformats.org/officeDocument/2006/relationships/ctrlProp" Target="../ctrlProps/ctrlProp316.xml"/><Relationship Id="rId359" Type="http://schemas.openxmlformats.org/officeDocument/2006/relationships/ctrlProp" Target="../ctrlProps/ctrlProp358.xml"/><Relationship Id="rId98" Type="http://schemas.openxmlformats.org/officeDocument/2006/relationships/ctrlProp" Target="../ctrlProps/ctrlProp97.xml"/><Relationship Id="rId121" Type="http://schemas.openxmlformats.org/officeDocument/2006/relationships/ctrlProp" Target="../ctrlProps/ctrlProp120.xml"/><Relationship Id="rId163" Type="http://schemas.openxmlformats.org/officeDocument/2006/relationships/ctrlProp" Target="../ctrlProps/ctrlProp162.xml"/><Relationship Id="rId219" Type="http://schemas.openxmlformats.org/officeDocument/2006/relationships/ctrlProp" Target="../ctrlProps/ctrlProp218.xml"/><Relationship Id="rId370" Type="http://schemas.openxmlformats.org/officeDocument/2006/relationships/ctrlProp" Target="../ctrlProps/ctrlProp369.xml"/><Relationship Id="rId426" Type="http://schemas.openxmlformats.org/officeDocument/2006/relationships/ctrlProp" Target="../ctrlProps/ctrlProp425.xml"/><Relationship Id="rId230" Type="http://schemas.openxmlformats.org/officeDocument/2006/relationships/ctrlProp" Target="../ctrlProps/ctrlProp229.xml"/><Relationship Id="rId468" Type="http://schemas.openxmlformats.org/officeDocument/2006/relationships/ctrlProp" Target="../ctrlProps/ctrlProp467.xml"/><Relationship Id="rId25" Type="http://schemas.openxmlformats.org/officeDocument/2006/relationships/ctrlProp" Target="../ctrlProps/ctrlProp24.xml"/><Relationship Id="rId67" Type="http://schemas.openxmlformats.org/officeDocument/2006/relationships/ctrlProp" Target="../ctrlProps/ctrlProp66.xml"/><Relationship Id="rId272" Type="http://schemas.openxmlformats.org/officeDocument/2006/relationships/ctrlProp" Target="../ctrlProps/ctrlProp271.xml"/><Relationship Id="rId328" Type="http://schemas.openxmlformats.org/officeDocument/2006/relationships/ctrlProp" Target="../ctrlProps/ctrlProp327.xml"/><Relationship Id="rId132" Type="http://schemas.openxmlformats.org/officeDocument/2006/relationships/ctrlProp" Target="../ctrlProps/ctrlProp131.xml"/><Relationship Id="rId174" Type="http://schemas.openxmlformats.org/officeDocument/2006/relationships/ctrlProp" Target="../ctrlProps/ctrlProp173.xml"/><Relationship Id="rId381" Type="http://schemas.openxmlformats.org/officeDocument/2006/relationships/ctrlProp" Target="../ctrlProps/ctrlProp380.xml"/><Relationship Id="rId241" Type="http://schemas.openxmlformats.org/officeDocument/2006/relationships/ctrlProp" Target="../ctrlProps/ctrlProp240.xml"/><Relationship Id="rId437" Type="http://schemas.openxmlformats.org/officeDocument/2006/relationships/ctrlProp" Target="../ctrlProps/ctrlProp436.xml"/><Relationship Id="rId36" Type="http://schemas.openxmlformats.org/officeDocument/2006/relationships/ctrlProp" Target="../ctrlProps/ctrlProp35.xml"/><Relationship Id="rId283" Type="http://schemas.openxmlformats.org/officeDocument/2006/relationships/ctrlProp" Target="../ctrlProps/ctrlProp282.xml"/><Relationship Id="rId339" Type="http://schemas.openxmlformats.org/officeDocument/2006/relationships/ctrlProp" Target="../ctrlProps/ctrlProp338.xml"/><Relationship Id="rId78" Type="http://schemas.openxmlformats.org/officeDocument/2006/relationships/ctrlProp" Target="../ctrlProps/ctrlProp77.xml"/><Relationship Id="rId101" Type="http://schemas.openxmlformats.org/officeDocument/2006/relationships/ctrlProp" Target="../ctrlProps/ctrlProp100.xml"/><Relationship Id="rId143" Type="http://schemas.openxmlformats.org/officeDocument/2006/relationships/ctrlProp" Target="../ctrlProps/ctrlProp142.xml"/><Relationship Id="rId185" Type="http://schemas.openxmlformats.org/officeDocument/2006/relationships/ctrlProp" Target="../ctrlProps/ctrlProp184.xml"/><Relationship Id="rId350" Type="http://schemas.openxmlformats.org/officeDocument/2006/relationships/ctrlProp" Target="../ctrlProps/ctrlProp349.xml"/><Relationship Id="rId406" Type="http://schemas.openxmlformats.org/officeDocument/2006/relationships/ctrlProp" Target="../ctrlProps/ctrlProp405.xml"/><Relationship Id="rId9" Type="http://schemas.openxmlformats.org/officeDocument/2006/relationships/ctrlProp" Target="../ctrlProps/ctrlProp8.xml"/><Relationship Id="rId210" Type="http://schemas.openxmlformats.org/officeDocument/2006/relationships/ctrlProp" Target="../ctrlProps/ctrlProp209.xml"/><Relationship Id="rId392" Type="http://schemas.openxmlformats.org/officeDocument/2006/relationships/ctrlProp" Target="../ctrlProps/ctrlProp391.xml"/><Relationship Id="rId448" Type="http://schemas.openxmlformats.org/officeDocument/2006/relationships/ctrlProp" Target="../ctrlProps/ctrlProp447.xml"/><Relationship Id="rId252" Type="http://schemas.openxmlformats.org/officeDocument/2006/relationships/ctrlProp" Target="../ctrlProps/ctrlProp251.xml"/><Relationship Id="rId294" Type="http://schemas.openxmlformats.org/officeDocument/2006/relationships/ctrlProp" Target="../ctrlProps/ctrlProp293.xml"/><Relationship Id="rId308" Type="http://schemas.openxmlformats.org/officeDocument/2006/relationships/ctrlProp" Target="../ctrlProps/ctrlProp307.xml"/><Relationship Id="rId47" Type="http://schemas.openxmlformats.org/officeDocument/2006/relationships/ctrlProp" Target="../ctrlProps/ctrlProp46.xml"/><Relationship Id="rId89" Type="http://schemas.openxmlformats.org/officeDocument/2006/relationships/ctrlProp" Target="../ctrlProps/ctrlProp88.xml"/><Relationship Id="rId112" Type="http://schemas.openxmlformats.org/officeDocument/2006/relationships/ctrlProp" Target="../ctrlProps/ctrlProp111.xml"/><Relationship Id="rId154" Type="http://schemas.openxmlformats.org/officeDocument/2006/relationships/ctrlProp" Target="../ctrlProps/ctrlProp153.xml"/><Relationship Id="rId361" Type="http://schemas.openxmlformats.org/officeDocument/2006/relationships/ctrlProp" Target="../ctrlProps/ctrlProp360.xml"/><Relationship Id="rId196" Type="http://schemas.openxmlformats.org/officeDocument/2006/relationships/ctrlProp" Target="../ctrlProps/ctrlProp195.xml"/><Relationship Id="rId417" Type="http://schemas.openxmlformats.org/officeDocument/2006/relationships/ctrlProp" Target="../ctrlProps/ctrlProp416.xml"/><Relationship Id="rId459" Type="http://schemas.openxmlformats.org/officeDocument/2006/relationships/ctrlProp" Target="../ctrlProps/ctrlProp458.xml"/><Relationship Id="rId16" Type="http://schemas.openxmlformats.org/officeDocument/2006/relationships/ctrlProp" Target="../ctrlProps/ctrlProp15.xml"/><Relationship Id="rId221" Type="http://schemas.openxmlformats.org/officeDocument/2006/relationships/ctrlProp" Target="../ctrlProps/ctrlProp220.xml"/><Relationship Id="rId263" Type="http://schemas.openxmlformats.org/officeDocument/2006/relationships/ctrlProp" Target="../ctrlProps/ctrlProp262.xml"/><Relationship Id="rId319" Type="http://schemas.openxmlformats.org/officeDocument/2006/relationships/ctrlProp" Target="../ctrlProps/ctrlProp318.xml"/><Relationship Id="rId470" Type="http://schemas.openxmlformats.org/officeDocument/2006/relationships/ctrlProp" Target="../ctrlProps/ctrlProp469.xml"/><Relationship Id="rId58" Type="http://schemas.openxmlformats.org/officeDocument/2006/relationships/ctrlProp" Target="../ctrlProps/ctrlProp57.xml"/><Relationship Id="rId123" Type="http://schemas.openxmlformats.org/officeDocument/2006/relationships/ctrlProp" Target="../ctrlProps/ctrlProp122.xml"/><Relationship Id="rId330" Type="http://schemas.openxmlformats.org/officeDocument/2006/relationships/ctrlProp" Target="../ctrlProps/ctrlProp329.xml"/><Relationship Id="rId165" Type="http://schemas.openxmlformats.org/officeDocument/2006/relationships/ctrlProp" Target="../ctrlProps/ctrlProp164.xml"/><Relationship Id="rId372" Type="http://schemas.openxmlformats.org/officeDocument/2006/relationships/ctrlProp" Target="../ctrlProps/ctrlProp371.xml"/><Relationship Id="rId428" Type="http://schemas.openxmlformats.org/officeDocument/2006/relationships/ctrlProp" Target="../ctrlProps/ctrlProp427.xml"/><Relationship Id="rId232" Type="http://schemas.openxmlformats.org/officeDocument/2006/relationships/ctrlProp" Target="../ctrlProps/ctrlProp231.xml"/><Relationship Id="rId274" Type="http://schemas.openxmlformats.org/officeDocument/2006/relationships/ctrlProp" Target="../ctrlProps/ctrlProp273.xml"/><Relationship Id="rId27" Type="http://schemas.openxmlformats.org/officeDocument/2006/relationships/ctrlProp" Target="../ctrlProps/ctrlProp26.xml"/><Relationship Id="rId69" Type="http://schemas.openxmlformats.org/officeDocument/2006/relationships/ctrlProp" Target="../ctrlProps/ctrlProp68.xml"/><Relationship Id="rId134" Type="http://schemas.openxmlformats.org/officeDocument/2006/relationships/ctrlProp" Target="../ctrlProps/ctrlProp133.xml"/><Relationship Id="rId80" Type="http://schemas.openxmlformats.org/officeDocument/2006/relationships/ctrlProp" Target="../ctrlProps/ctrlProp79.xml"/><Relationship Id="rId176" Type="http://schemas.openxmlformats.org/officeDocument/2006/relationships/ctrlProp" Target="../ctrlProps/ctrlProp175.xml"/><Relationship Id="rId341" Type="http://schemas.openxmlformats.org/officeDocument/2006/relationships/ctrlProp" Target="../ctrlProps/ctrlProp340.xml"/><Relationship Id="rId383" Type="http://schemas.openxmlformats.org/officeDocument/2006/relationships/ctrlProp" Target="../ctrlProps/ctrlProp382.xml"/><Relationship Id="rId439" Type="http://schemas.openxmlformats.org/officeDocument/2006/relationships/ctrlProp" Target="../ctrlProps/ctrlProp438.xml"/><Relationship Id="rId201" Type="http://schemas.openxmlformats.org/officeDocument/2006/relationships/ctrlProp" Target="../ctrlProps/ctrlProp200.xml"/><Relationship Id="rId243" Type="http://schemas.openxmlformats.org/officeDocument/2006/relationships/ctrlProp" Target="../ctrlProps/ctrlProp242.xml"/><Relationship Id="rId285" Type="http://schemas.openxmlformats.org/officeDocument/2006/relationships/ctrlProp" Target="../ctrlProps/ctrlProp284.xml"/><Relationship Id="rId450" Type="http://schemas.openxmlformats.org/officeDocument/2006/relationships/ctrlProp" Target="../ctrlProps/ctrlProp449.xml"/><Relationship Id="rId38" Type="http://schemas.openxmlformats.org/officeDocument/2006/relationships/ctrlProp" Target="../ctrlProps/ctrlProp37.xml"/><Relationship Id="rId103" Type="http://schemas.openxmlformats.org/officeDocument/2006/relationships/ctrlProp" Target="../ctrlProps/ctrlProp102.xml"/><Relationship Id="rId310" Type="http://schemas.openxmlformats.org/officeDocument/2006/relationships/ctrlProp" Target="../ctrlProps/ctrlProp309.xml"/><Relationship Id="rId91" Type="http://schemas.openxmlformats.org/officeDocument/2006/relationships/ctrlProp" Target="../ctrlProps/ctrlProp90.xml"/><Relationship Id="rId145" Type="http://schemas.openxmlformats.org/officeDocument/2006/relationships/ctrlProp" Target="../ctrlProps/ctrlProp144.xml"/><Relationship Id="rId187" Type="http://schemas.openxmlformats.org/officeDocument/2006/relationships/ctrlProp" Target="../ctrlProps/ctrlProp186.xml"/><Relationship Id="rId352" Type="http://schemas.openxmlformats.org/officeDocument/2006/relationships/ctrlProp" Target="../ctrlProps/ctrlProp351.xml"/><Relationship Id="rId394" Type="http://schemas.openxmlformats.org/officeDocument/2006/relationships/ctrlProp" Target="../ctrlProps/ctrlProp393.xml"/><Relationship Id="rId408" Type="http://schemas.openxmlformats.org/officeDocument/2006/relationships/ctrlProp" Target="../ctrlProps/ctrlProp407.xml"/><Relationship Id="rId212" Type="http://schemas.openxmlformats.org/officeDocument/2006/relationships/ctrlProp" Target="../ctrlProps/ctrlProp211.xml"/><Relationship Id="rId254" Type="http://schemas.openxmlformats.org/officeDocument/2006/relationships/ctrlProp" Target="../ctrlProps/ctrlProp253.xml"/><Relationship Id="rId49" Type="http://schemas.openxmlformats.org/officeDocument/2006/relationships/ctrlProp" Target="../ctrlProps/ctrlProp48.xml"/><Relationship Id="rId114" Type="http://schemas.openxmlformats.org/officeDocument/2006/relationships/ctrlProp" Target="../ctrlProps/ctrlProp113.xml"/><Relationship Id="rId296" Type="http://schemas.openxmlformats.org/officeDocument/2006/relationships/ctrlProp" Target="../ctrlProps/ctrlProp295.xml"/><Relationship Id="rId461" Type="http://schemas.openxmlformats.org/officeDocument/2006/relationships/ctrlProp" Target="../ctrlProps/ctrlProp460.xml"/><Relationship Id="rId60" Type="http://schemas.openxmlformats.org/officeDocument/2006/relationships/ctrlProp" Target="../ctrlProps/ctrlProp59.xml"/><Relationship Id="rId156" Type="http://schemas.openxmlformats.org/officeDocument/2006/relationships/ctrlProp" Target="../ctrlProps/ctrlProp155.xml"/><Relationship Id="rId198" Type="http://schemas.openxmlformats.org/officeDocument/2006/relationships/ctrlProp" Target="../ctrlProps/ctrlProp197.xml"/><Relationship Id="rId321" Type="http://schemas.openxmlformats.org/officeDocument/2006/relationships/ctrlProp" Target="../ctrlProps/ctrlProp320.xml"/><Relationship Id="rId363" Type="http://schemas.openxmlformats.org/officeDocument/2006/relationships/ctrlProp" Target="../ctrlProps/ctrlProp362.xml"/><Relationship Id="rId419" Type="http://schemas.openxmlformats.org/officeDocument/2006/relationships/ctrlProp" Target="../ctrlProps/ctrlProp418.xml"/><Relationship Id="rId223" Type="http://schemas.openxmlformats.org/officeDocument/2006/relationships/ctrlProp" Target="../ctrlProps/ctrlProp222.xml"/><Relationship Id="rId430" Type="http://schemas.openxmlformats.org/officeDocument/2006/relationships/ctrlProp" Target="../ctrlProps/ctrlProp429.xml"/><Relationship Id="rId18" Type="http://schemas.openxmlformats.org/officeDocument/2006/relationships/ctrlProp" Target="../ctrlProps/ctrlProp17.xml"/><Relationship Id="rId265" Type="http://schemas.openxmlformats.org/officeDocument/2006/relationships/ctrlProp" Target="../ctrlProps/ctrlProp264.xml"/><Relationship Id="rId472" Type="http://schemas.openxmlformats.org/officeDocument/2006/relationships/ctrlProp" Target="../ctrlProps/ctrlProp471.xml"/><Relationship Id="rId125" Type="http://schemas.openxmlformats.org/officeDocument/2006/relationships/ctrlProp" Target="../ctrlProps/ctrlProp124.xml"/><Relationship Id="rId167" Type="http://schemas.openxmlformats.org/officeDocument/2006/relationships/ctrlProp" Target="../ctrlProps/ctrlProp166.xml"/><Relationship Id="rId332" Type="http://schemas.openxmlformats.org/officeDocument/2006/relationships/ctrlProp" Target="../ctrlProps/ctrlProp331.xml"/><Relationship Id="rId374" Type="http://schemas.openxmlformats.org/officeDocument/2006/relationships/ctrlProp" Target="../ctrlProps/ctrlProp373.xml"/><Relationship Id="rId71" Type="http://schemas.openxmlformats.org/officeDocument/2006/relationships/ctrlProp" Target="../ctrlProps/ctrlProp70.xml"/><Relationship Id="rId234" Type="http://schemas.openxmlformats.org/officeDocument/2006/relationships/ctrlProp" Target="../ctrlProps/ctrlProp233.xml"/><Relationship Id="rId2" Type="http://schemas.openxmlformats.org/officeDocument/2006/relationships/vmlDrawing" Target="../drawings/vmlDrawing2.vml"/><Relationship Id="rId29" Type="http://schemas.openxmlformats.org/officeDocument/2006/relationships/ctrlProp" Target="../ctrlProps/ctrlProp28.xml"/><Relationship Id="rId276" Type="http://schemas.openxmlformats.org/officeDocument/2006/relationships/ctrlProp" Target="../ctrlProps/ctrlProp275.xml"/><Relationship Id="rId441" Type="http://schemas.openxmlformats.org/officeDocument/2006/relationships/ctrlProp" Target="../ctrlProps/ctrlProp440.xml"/><Relationship Id="rId40" Type="http://schemas.openxmlformats.org/officeDocument/2006/relationships/ctrlProp" Target="../ctrlProps/ctrlProp39.xml"/><Relationship Id="rId136" Type="http://schemas.openxmlformats.org/officeDocument/2006/relationships/ctrlProp" Target="../ctrlProps/ctrlProp135.xml"/><Relationship Id="rId178" Type="http://schemas.openxmlformats.org/officeDocument/2006/relationships/ctrlProp" Target="../ctrlProps/ctrlProp177.xml"/><Relationship Id="rId301" Type="http://schemas.openxmlformats.org/officeDocument/2006/relationships/ctrlProp" Target="../ctrlProps/ctrlProp300.xml"/><Relationship Id="rId343" Type="http://schemas.openxmlformats.org/officeDocument/2006/relationships/ctrlProp" Target="../ctrlProps/ctrlProp342.xml"/><Relationship Id="rId82" Type="http://schemas.openxmlformats.org/officeDocument/2006/relationships/ctrlProp" Target="../ctrlProps/ctrlProp81.xml"/><Relationship Id="rId203" Type="http://schemas.openxmlformats.org/officeDocument/2006/relationships/ctrlProp" Target="../ctrlProps/ctrlProp202.xml"/><Relationship Id="rId385" Type="http://schemas.openxmlformats.org/officeDocument/2006/relationships/ctrlProp" Target="../ctrlProps/ctrlProp384.xml"/><Relationship Id="rId245" Type="http://schemas.openxmlformats.org/officeDocument/2006/relationships/ctrlProp" Target="../ctrlProps/ctrlProp244.xml"/><Relationship Id="rId287" Type="http://schemas.openxmlformats.org/officeDocument/2006/relationships/ctrlProp" Target="../ctrlProps/ctrlProp286.xml"/><Relationship Id="rId410" Type="http://schemas.openxmlformats.org/officeDocument/2006/relationships/ctrlProp" Target="../ctrlProps/ctrlProp409.xml"/><Relationship Id="rId452" Type="http://schemas.openxmlformats.org/officeDocument/2006/relationships/ctrlProp" Target="../ctrlProps/ctrlProp451.xml"/><Relationship Id="rId30" Type="http://schemas.openxmlformats.org/officeDocument/2006/relationships/ctrlProp" Target="../ctrlProps/ctrlProp29.xml"/><Relationship Id="rId105" Type="http://schemas.openxmlformats.org/officeDocument/2006/relationships/ctrlProp" Target="../ctrlProps/ctrlProp104.xml"/><Relationship Id="rId126" Type="http://schemas.openxmlformats.org/officeDocument/2006/relationships/ctrlProp" Target="../ctrlProps/ctrlProp125.xml"/><Relationship Id="rId147" Type="http://schemas.openxmlformats.org/officeDocument/2006/relationships/ctrlProp" Target="../ctrlProps/ctrlProp146.xml"/><Relationship Id="rId168" Type="http://schemas.openxmlformats.org/officeDocument/2006/relationships/ctrlProp" Target="../ctrlProps/ctrlProp167.xml"/><Relationship Id="rId312" Type="http://schemas.openxmlformats.org/officeDocument/2006/relationships/ctrlProp" Target="../ctrlProps/ctrlProp311.xml"/><Relationship Id="rId333" Type="http://schemas.openxmlformats.org/officeDocument/2006/relationships/ctrlProp" Target="../ctrlProps/ctrlProp332.xml"/><Relationship Id="rId354" Type="http://schemas.openxmlformats.org/officeDocument/2006/relationships/ctrlProp" Target="../ctrlProps/ctrlProp353.xml"/><Relationship Id="rId51" Type="http://schemas.openxmlformats.org/officeDocument/2006/relationships/ctrlProp" Target="../ctrlProps/ctrlProp50.xml"/><Relationship Id="rId72" Type="http://schemas.openxmlformats.org/officeDocument/2006/relationships/ctrlProp" Target="../ctrlProps/ctrlProp71.xml"/><Relationship Id="rId93" Type="http://schemas.openxmlformats.org/officeDocument/2006/relationships/ctrlProp" Target="../ctrlProps/ctrlProp92.xml"/><Relationship Id="rId189" Type="http://schemas.openxmlformats.org/officeDocument/2006/relationships/ctrlProp" Target="../ctrlProps/ctrlProp188.xml"/><Relationship Id="rId375" Type="http://schemas.openxmlformats.org/officeDocument/2006/relationships/ctrlProp" Target="../ctrlProps/ctrlProp374.xml"/><Relationship Id="rId396" Type="http://schemas.openxmlformats.org/officeDocument/2006/relationships/ctrlProp" Target="../ctrlProps/ctrlProp395.xml"/><Relationship Id="rId3" Type="http://schemas.openxmlformats.org/officeDocument/2006/relationships/ctrlProp" Target="../ctrlProps/ctrlProp2.xml"/><Relationship Id="rId214" Type="http://schemas.openxmlformats.org/officeDocument/2006/relationships/ctrlProp" Target="../ctrlProps/ctrlProp213.xml"/><Relationship Id="rId235" Type="http://schemas.openxmlformats.org/officeDocument/2006/relationships/ctrlProp" Target="../ctrlProps/ctrlProp234.xml"/><Relationship Id="rId256" Type="http://schemas.openxmlformats.org/officeDocument/2006/relationships/ctrlProp" Target="../ctrlProps/ctrlProp255.xml"/><Relationship Id="rId277" Type="http://schemas.openxmlformats.org/officeDocument/2006/relationships/ctrlProp" Target="../ctrlProps/ctrlProp276.xml"/><Relationship Id="rId298" Type="http://schemas.openxmlformats.org/officeDocument/2006/relationships/ctrlProp" Target="../ctrlProps/ctrlProp297.xml"/><Relationship Id="rId400" Type="http://schemas.openxmlformats.org/officeDocument/2006/relationships/ctrlProp" Target="../ctrlProps/ctrlProp399.xml"/><Relationship Id="rId421" Type="http://schemas.openxmlformats.org/officeDocument/2006/relationships/ctrlProp" Target="../ctrlProps/ctrlProp420.xml"/><Relationship Id="rId442" Type="http://schemas.openxmlformats.org/officeDocument/2006/relationships/ctrlProp" Target="../ctrlProps/ctrlProp441.xml"/><Relationship Id="rId463" Type="http://schemas.openxmlformats.org/officeDocument/2006/relationships/ctrlProp" Target="../ctrlProps/ctrlProp462.xml"/><Relationship Id="rId116" Type="http://schemas.openxmlformats.org/officeDocument/2006/relationships/ctrlProp" Target="../ctrlProps/ctrlProp115.xml"/><Relationship Id="rId137" Type="http://schemas.openxmlformats.org/officeDocument/2006/relationships/ctrlProp" Target="../ctrlProps/ctrlProp136.xml"/><Relationship Id="rId158" Type="http://schemas.openxmlformats.org/officeDocument/2006/relationships/ctrlProp" Target="../ctrlProps/ctrlProp157.xml"/><Relationship Id="rId302" Type="http://schemas.openxmlformats.org/officeDocument/2006/relationships/ctrlProp" Target="../ctrlProps/ctrlProp301.xml"/><Relationship Id="rId323" Type="http://schemas.openxmlformats.org/officeDocument/2006/relationships/ctrlProp" Target="../ctrlProps/ctrlProp322.xml"/><Relationship Id="rId344" Type="http://schemas.openxmlformats.org/officeDocument/2006/relationships/ctrlProp" Target="../ctrlProps/ctrlProp343.xml"/><Relationship Id="rId20" Type="http://schemas.openxmlformats.org/officeDocument/2006/relationships/ctrlProp" Target="../ctrlProps/ctrlProp19.xml"/><Relationship Id="rId41" Type="http://schemas.openxmlformats.org/officeDocument/2006/relationships/ctrlProp" Target="../ctrlProps/ctrlProp40.xml"/><Relationship Id="rId62" Type="http://schemas.openxmlformats.org/officeDocument/2006/relationships/ctrlProp" Target="../ctrlProps/ctrlProp61.xml"/><Relationship Id="rId83" Type="http://schemas.openxmlformats.org/officeDocument/2006/relationships/ctrlProp" Target="../ctrlProps/ctrlProp82.xml"/><Relationship Id="rId179" Type="http://schemas.openxmlformats.org/officeDocument/2006/relationships/ctrlProp" Target="../ctrlProps/ctrlProp178.xml"/><Relationship Id="rId365" Type="http://schemas.openxmlformats.org/officeDocument/2006/relationships/ctrlProp" Target="../ctrlProps/ctrlProp364.xml"/><Relationship Id="rId386" Type="http://schemas.openxmlformats.org/officeDocument/2006/relationships/ctrlProp" Target="../ctrlProps/ctrlProp385.xml"/><Relationship Id="rId190" Type="http://schemas.openxmlformats.org/officeDocument/2006/relationships/ctrlProp" Target="../ctrlProps/ctrlProp189.xml"/><Relationship Id="rId204" Type="http://schemas.openxmlformats.org/officeDocument/2006/relationships/ctrlProp" Target="../ctrlProps/ctrlProp203.xml"/><Relationship Id="rId225" Type="http://schemas.openxmlformats.org/officeDocument/2006/relationships/ctrlProp" Target="../ctrlProps/ctrlProp224.xml"/><Relationship Id="rId246" Type="http://schemas.openxmlformats.org/officeDocument/2006/relationships/ctrlProp" Target="../ctrlProps/ctrlProp245.xml"/><Relationship Id="rId267" Type="http://schemas.openxmlformats.org/officeDocument/2006/relationships/ctrlProp" Target="../ctrlProps/ctrlProp266.xml"/><Relationship Id="rId288" Type="http://schemas.openxmlformats.org/officeDocument/2006/relationships/ctrlProp" Target="../ctrlProps/ctrlProp287.xml"/><Relationship Id="rId411" Type="http://schemas.openxmlformats.org/officeDocument/2006/relationships/ctrlProp" Target="../ctrlProps/ctrlProp410.xml"/><Relationship Id="rId432" Type="http://schemas.openxmlformats.org/officeDocument/2006/relationships/ctrlProp" Target="../ctrlProps/ctrlProp431.xml"/><Relationship Id="rId453" Type="http://schemas.openxmlformats.org/officeDocument/2006/relationships/ctrlProp" Target="../ctrlProps/ctrlProp452.xml"/><Relationship Id="rId106" Type="http://schemas.openxmlformats.org/officeDocument/2006/relationships/ctrlProp" Target="../ctrlProps/ctrlProp105.xml"/><Relationship Id="rId127" Type="http://schemas.openxmlformats.org/officeDocument/2006/relationships/ctrlProp" Target="../ctrlProps/ctrlProp126.xml"/><Relationship Id="rId313" Type="http://schemas.openxmlformats.org/officeDocument/2006/relationships/ctrlProp" Target="../ctrlProps/ctrlProp312.xml"/><Relationship Id="rId10" Type="http://schemas.openxmlformats.org/officeDocument/2006/relationships/ctrlProp" Target="../ctrlProps/ctrlProp9.xml"/><Relationship Id="rId31" Type="http://schemas.openxmlformats.org/officeDocument/2006/relationships/ctrlProp" Target="../ctrlProps/ctrlProp30.xml"/><Relationship Id="rId52" Type="http://schemas.openxmlformats.org/officeDocument/2006/relationships/ctrlProp" Target="../ctrlProps/ctrlProp51.xml"/><Relationship Id="rId73" Type="http://schemas.openxmlformats.org/officeDocument/2006/relationships/ctrlProp" Target="../ctrlProps/ctrlProp72.xml"/><Relationship Id="rId94" Type="http://schemas.openxmlformats.org/officeDocument/2006/relationships/ctrlProp" Target="../ctrlProps/ctrlProp93.xml"/><Relationship Id="rId148" Type="http://schemas.openxmlformats.org/officeDocument/2006/relationships/ctrlProp" Target="../ctrlProps/ctrlProp147.xml"/><Relationship Id="rId169" Type="http://schemas.openxmlformats.org/officeDocument/2006/relationships/ctrlProp" Target="../ctrlProps/ctrlProp168.xml"/><Relationship Id="rId334" Type="http://schemas.openxmlformats.org/officeDocument/2006/relationships/ctrlProp" Target="../ctrlProps/ctrlProp333.xml"/><Relationship Id="rId355" Type="http://schemas.openxmlformats.org/officeDocument/2006/relationships/ctrlProp" Target="../ctrlProps/ctrlProp354.xml"/><Relationship Id="rId376" Type="http://schemas.openxmlformats.org/officeDocument/2006/relationships/ctrlProp" Target="../ctrlProps/ctrlProp375.xml"/><Relationship Id="rId397" Type="http://schemas.openxmlformats.org/officeDocument/2006/relationships/ctrlProp" Target="../ctrlProps/ctrlProp396.xml"/><Relationship Id="rId4" Type="http://schemas.openxmlformats.org/officeDocument/2006/relationships/ctrlProp" Target="../ctrlProps/ctrlProp3.xml"/><Relationship Id="rId180" Type="http://schemas.openxmlformats.org/officeDocument/2006/relationships/ctrlProp" Target="../ctrlProps/ctrlProp179.xml"/><Relationship Id="rId215" Type="http://schemas.openxmlformats.org/officeDocument/2006/relationships/ctrlProp" Target="../ctrlProps/ctrlProp214.xml"/><Relationship Id="rId236" Type="http://schemas.openxmlformats.org/officeDocument/2006/relationships/ctrlProp" Target="../ctrlProps/ctrlProp235.xml"/><Relationship Id="rId257" Type="http://schemas.openxmlformats.org/officeDocument/2006/relationships/ctrlProp" Target="../ctrlProps/ctrlProp256.xml"/><Relationship Id="rId278" Type="http://schemas.openxmlformats.org/officeDocument/2006/relationships/ctrlProp" Target="../ctrlProps/ctrlProp277.xml"/><Relationship Id="rId401" Type="http://schemas.openxmlformats.org/officeDocument/2006/relationships/ctrlProp" Target="../ctrlProps/ctrlProp400.xml"/><Relationship Id="rId422" Type="http://schemas.openxmlformats.org/officeDocument/2006/relationships/ctrlProp" Target="../ctrlProps/ctrlProp421.xml"/><Relationship Id="rId443" Type="http://schemas.openxmlformats.org/officeDocument/2006/relationships/ctrlProp" Target="../ctrlProps/ctrlProp442.xml"/><Relationship Id="rId464" Type="http://schemas.openxmlformats.org/officeDocument/2006/relationships/ctrlProp" Target="../ctrlProps/ctrlProp463.xml"/><Relationship Id="rId303" Type="http://schemas.openxmlformats.org/officeDocument/2006/relationships/ctrlProp" Target="../ctrlProps/ctrlProp302.xml"/><Relationship Id="rId42" Type="http://schemas.openxmlformats.org/officeDocument/2006/relationships/ctrlProp" Target="../ctrlProps/ctrlProp41.xml"/><Relationship Id="rId84" Type="http://schemas.openxmlformats.org/officeDocument/2006/relationships/ctrlProp" Target="../ctrlProps/ctrlProp83.xml"/><Relationship Id="rId138" Type="http://schemas.openxmlformats.org/officeDocument/2006/relationships/ctrlProp" Target="../ctrlProps/ctrlProp137.xml"/><Relationship Id="rId345" Type="http://schemas.openxmlformats.org/officeDocument/2006/relationships/ctrlProp" Target="../ctrlProps/ctrlProp344.xml"/><Relationship Id="rId387" Type="http://schemas.openxmlformats.org/officeDocument/2006/relationships/ctrlProp" Target="../ctrlProps/ctrlProp386.xml"/><Relationship Id="rId191" Type="http://schemas.openxmlformats.org/officeDocument/2006/relationships/ctrlProp" Target="../ctrlProps/ctrlProp190.xml"/><Relationship Id="rId205" Type="http://schemas.openxmlformats.org/officeDocument/2006/relationships/ctrlProp" Target="../ctrlProps/ctrlProp204.xml"/><Relationship Id="rId247" Type="http://schemas.openxmlformats.org/officeDocument/2006/relationships/ctrlProp" Target="../ctrlProps/ctrlProp246.xml"/><Relationship Id="rId412" Type="http://schemas.openxmlformats.org/officeDocument/2006/relationships/ctrlProp" Target="../ctrlProps/ctrlProp411.xml"/><Relationship Id="rId107" Type="http://schemas.openxmlformats.org/officeDocument/2006/relationships/ctrlProp" Target="../ctrlProps/ctrlProp106.xml"/><Relationship Id="rId289" Type="http://schemas.openxmlformats.org/officeDocument/2006/relationships/ctrlProp" Target="../ctrlProps/ctrlProp288.xml"/><Relationship Id="rId454" Type="http://schemas.openxmlformats.org/officeDocument/2006/relationships/ctrlProp" Target="../ctrlProps/ctrlProp453.xml"/><Relationship Id="rId11" Type="http://schemas.openxmlformats.org/officeDocument/2006/relationships/ctrlProp" Target="../ctrlProps/ctrlProp10.xml"/><Relationship Id="rId53" Type="http://schemas.openxmlformats.org/officeDocument/2006/relationships/ctrlProp" Target="../ctrlProps/ctrlProp52.xml"/><Relationship Id="rId149" Type="http://schemas.openxmlformats.org/officeDocument/2006/relationships/ctrlProp" Target="../ctrlProps/ctrlProp148.xml"/><Relationship Id="rId314" Type="http://schemas.openxmlformats.org/officeDocument/2006/relationships/ctrlProp" Target="../ctrlProps/ctrlProp313.xml"/><Relationship Id="rId356" Type="http://schemas.openxmlformats.org/officeDocument/2006/relationships/ctrlProp" Target="../ctrlProps/ctrlProp355.xml"/><Relationship Id="rId398" Type="http://schemas.openxmlformats.org/officeDocument/2006/relationships/ctrlProp" Target="../ctrlProps/ctrlProp397.xml"/><Relationship Id="rId95" Type="http://schemas.openxmlformats.org/officeDocument/2006/relationships/ctrlProp" Target="../ctrlProps/ctrlProp94.xml"/><Relationship Id="rId160" Type="http://schemas.openxmlformats.org/officeDocument/2006/relationships/ctrlProp" Target="../ctrlProps/ctrlProp159.xml"/><Relationship Id="rId216" Type="http://schemas.openxmlformats.org/officeDocument/2006/relationships/ctrlProp" Target="../ctrlProps/ctrlProp215.xml"/><Relationship Id="rId423" Type="http://schemas.openxmlformats.org/officeDocument/2006/relationships/ctrlProp" Target="../ctrlProps/ctrlProp422.xml"/><Relationship Id="rId258" Type="http://schemas.openxmlformats.org/officeDocument/2006/relationships/ctrlProp" Target="../ctrlProps/ctrlProp257.xml"/><Relationship Id="rId465" Type="http://schemas.openxmlformats.org/officeDocument/2006/relationships/ctrlProp" Target="../ctrlProps/ctrlProp464.xml"/><Relationship Id="rId22" Type="http://schemas.openxmlformats.org/officeDocument/2006/relationships/ctrlProp" Target="../ctrlProps/ctrlProp21.xml"/><Relationship Id="rId64" Type="http://schemas.openxmlformats.org/officeDocument/2006/relationships/ctrlProp" Target="../ctrlProps/ctrlProp63.xml"/><Relationship Id="rId118" Type="http://schemas.openxmlformats.org/officeDocument/2006/relationships/ctrlProp" Target="../ctrlProps/ctrlProp117.xml"/><Relationship Id="rId325" Type="http://schemas.openxmlformats.org/officeDocument/2006/relationships/ctrlProp" Target="../ctrlProps/ctrlProp324.xml"/><Relationship Id="rId367" Type="http://schemas.openxmlformats.org/officeDocument/2006/relationships/ctrlProp" Target="../ctrlProps/ctrlProp366.xml"/><Relationship Id="rId171" Type="http://schemas.openxmlformats.org/officeDocument/2006/relationships/ctrlProp" Target="../ctrlProps/ctrlProp170.xml"/><Relationship Id="rId227" Type="http://schemas.openxmlformats.org/officeDocument/2006/relationships/ctrlProp" Target="../ctrlProps/ctrlProp226.xml"/><Relationship Id="rId269" Type="http://schemas.openxmlformats.org/officeDocument/2006/relationships/ctrlProp" Target="../ctrlProps/ctrlProp268.xml"/><Relationship Id="rId434" Type="http://schemas.openxmlformats.org/officeDocument/2006/relationships/ctrlProp" Target="../ctrlProps/ctrlProp433.xml"/><Relationship Id="rId33" Type="http://schemas.openxmlformats.org/officeDocument/2006/relationships/ctrlProp" Target="../ctrlProps/ctrlProp32.xml"/><Relationship Id="rId129" Type="http://schemas.openxmlformats.org/officeDocument/2006/relationships/ctrlProp" Target="../ctrlProps/ctrlProp128.xml"/><Relationship Id="rId280" Type="http://schemas.openxmlformats.org/officeDocument/2006/relationships/ctrlProp" Target="../ctrlProps/ctrlProp279.xml"/><Relationship Id="rId336" Type="http://schemas.openxmlformats.org/officeDocument/2006/relationships/ctrlProp" Target="../ctrlProps/ctrlProp335.xml"/><Relationship Id="rId75" Type="http://schemas.openxmlformats.org/officeDocument/2006/relationships/ctrlProp" Target="../ctrlProps/ctrlProp74.xml"/><Relationship Id="rId140" Type="http://schemas.openxmlformats.org/officeDocument/2006/relationships/ctrlProp" Target="../ctrlProps/ctrlProp139.xml"/><Relationship Id="rId182" Type="http://schemas.openxmlformats.org/officeDocument/2006/relationships/ctrlProp" Target="../ctrlProps/ctrlProp181.xml"/><Relationship Id="rId378" Type="http://schemas.openxmlformats.org/officeDocument/2006/relationships/ctrlProp" Target="../ctrlProps/ctrlProp377.xml"/><Relationship Id="rId403" Type="http://schemas.openxmlformats.org/officeDocument/2006/relationships/ctrlProp" Target="../ctrlProps/ctrlProp402.xml"/><Relationship Id="rId6" Type="http://schemas.openxmlformats.org/officeDocument/2006/relationships/ctrlProp" Target="../ctrlProps/ctrlProp5.xml"/><Relationship Id="rId238" Type="http://schemas.openxmlformats.org/officeDocument/2006/relationships/ctrlProp" Target="../ctrlProps/ctrlProp237.xml"/><Relationship Id="rId445" Type="http://schemas.openxmlformats.org/officeDocument/2006/relationships/ctrlProp" Target="../ctrlProps/ctrlProp444.xml"/><Relationship Id="rId291" Type="http://schemas.openxmlformats.org/officeDocument/2006/relationships/ctrlProp" Target="../ctrlProps/ctrlProp290.xml"/><Relationship Id="rId305" Type="http://schemas.openxmlformats.org/officeDocument/2006/relationships/ctrlProp" Target="../ctrlProps/ctrlProp304.xml"/><Relationship Id="rId347" Type="http://schemas.openxmlformats.org/officeDocument/2006/relationships/ctrlProp" Target="../ctrlProps/ctrlProp346.xml"/><Relationship Id="rId44" Type="http://schemas.openxmlformats.org/officeDocument/2006/relationships/ctrlProp" Target="../ctrlProps/ctrlProp43.xml"/><Relationship Id="rId86" Type="http://schemas.openxmlformats.org/officeDocument/2006/relationships/ctrlProp" Target="../ctrlProps/ctrlProp85.xml"/><Relationship Id="rId151" Type="http://schemas.openxmlformats.org/officeDocument/2006/relationships/ctrlProp" Target="../ctrlProps/ctrlProp150.xml"/><Relationship Id="rId389" Type="http://schemas.openxmlformats.org/officeDocument/2006/relationships/ctrlProp" Target="../ctrlProps/ctrlProp388.xml"/><Relationship Id="rId193" Type="http://schemas.openxmlformats.org/officeDocument/2006/relationships/ctrlProp" Target="../ctrlProps/ctrlProp192.xml"/><Relationship Id="rId207" Type="http://schemas.openxmlformats.org/officeDocument/2006/relationships/ctrlProp" Target="../ctrlProps/ctrlProp206.xml"/><Relationship Id="rId249" Type="http://schemas.openxmlformats.org/officeDocument/2006/relationships/ctrlProp" Target="../ctrlProps/ctrlProp248.xml"/><Relationship Id="rId414" Type="http://schemas.openxmlformats.org/officeDocument/2006/relationships/ctrlProp" Target="../ctrlProps/ctrlProp413.xml"/><Relationship Id="rId456" Type="http://schemas.openxmlformats.org/officeDocument/2006/relationships/ctrlProp" Target="../ctrlProps/ctrlProp455.xml"/><Relationship Id="rId13" Type="http://schemas.openxmlformats.org/officeDocument/2006/relationships/ctrlProp" Target="../ctrlProps/ctrlProp12.xml"/><Relationship Id="rId109" Type="http://schemas.openxmlformats.org/officeDocument/2006/relationships/ctrlProp" Target="../ctrlProps/ctrlProp108.xml"/><Relationship Id="rId260" Type="http://schemas.openxmlformats.org/officeDocument/2006/relationships/ctrlProp" Target="../ctrlProps/ctrlProp259.xml"/><Relationship Id="rId316" Type="http://schemas.openxmlformats.org/officeDocument/2006/relationships/ctrlProp" Target="../ctrlProps/ctrlProp315.xml"/><Relationship Id="rId55" Type="http://schemas.openxmlformats.org/officeDocument/2006/relationships/ctrlProp" Target="../ctrlProps/ctrlProp54.xml"/><Relationship Id="rId97" Type="http://schemas.openxmlformats.org/officeDocument/2006/relationships/ctrlProp" Target="../ctrlProps/ctrlProp96.xml"/><Relationship Id="rId120" Type="http://schemas.openxmlformats.org/officeDocument/2006/relationships/ctrlProp" Target="../ctrlProps/ctrlProp119.xml"/><Relationship Id="rId358" Type="http://schemas.openxmlformats.org/officeDocument/2006/relationships/ctrlProp" Target="../ctrlProps/ctrlProp357.xml"/><Relationship Id="rId162" Type="http://schemas.openxmlformats.org/officeDocument/2006/relationships/ctrlProp" Target="../ctrlProps/ctrlProp161.xml"/><Relationship Id="rId218" Type="http://schemas.openxmlformats.org/officeDocument/2006/relationships/ctrlProp" Target="../ctrlProps/ctrlProp217.xml"/><Relationship Id="rId425" Type="http://schemas.openxmlformats.org/officeDocument/2006/relationships/ctrlProp" Target="../ctrlProps/ctrlProp424.xml"/><Relationship Id="rId467" Type="http://schemas.openxmlformats.org/officeDocument/2006/relationships/ctrlProp" Target="../ctrlProps/ctrlProp466.xml"/><Relationship Id="rId271" Type="http://schemas.openxmlformats.org/officeDocument/2006/relationships/ctrlProp" Target="../ctrlProps/ctrlProp270.xml"/><Relationship Id="rId24" Type="http://schemas.openxmlformats.org/officeDocument/2006/relationships/ctrlProp" Target="../ctrlProps/ctrlProp23.xml"/><Relationship Id="rId66" Type="http://schemas.openxmlformats.org/officeDocument/2006/relationships/ctrlProp" Target="../ctrlProps/ctrlProp65.xml"/><Relationship Id="rId131" Type="http://schemas.openxmlformats.org/officeDocument/2006/relationships/ctrlProp" Target="../ctrlProps/ctrlProp130.xml"/><Relationship Id="rId327" Type="http://schemas.openxmlformats.org/officeDocument/2006/relationships/ctrlProp" Target="../ctrlProps/ctrlProp326.xml"/><Relationship Id="rId369" Type="http://schemas.openxmlformats.org/officeDocument/2006/relationships/ctrlProp" Target="../ctrlProps/ctrlProp368.xml"/><Relationship Id="rId173" Type="http://schemas.openxmlformats.org/officeDocument/2006/relationships/ctrlProp" Target="../ctrlProps/ctrlProp172.xml"/><Relationship Id="rId229" Type="http://schemas.openxmlformats.org/officeDocument/2006/relationships/ctrlProp" Target="../ctrlProps/ctrlProp228.xml"/><Relationship Id="rId380" Type="http://schemas.openxmlformats.org/officeDocument/2006/relationships/ctrlProp" Target="../ctrlProps/ctrlProp379.xml"/><Relationship Id="rId436" Type="http://schemas.openxmlformats.org/officeDocument/2006/relationships/ctrlProp" Target="../ctrlProps/ctrlProp435.xml"/><Relationship Id="rId240" Type="http://schemas.openxmlformats.org/officeDocument/2006/relationships/ctrlProp" Target="../ctrlProps/ctrlProp239.xml"/><Relationship Id="rId35" Type="http://schemas.openxmlformats.org/officeDocument/2006/relationships/ctrlProp" Target="../ctrlProps/ctrlProp34.xml"/><Relationship Id="rId77" Type="http://schemas.openxmlformats.org/officeDocument/2006/relationships/ctrlProp" Target="../ctrlProps/ctrlProp76.xml"/><Relationship Id="rId100" Type="http://schemas.openxmlformats.org/officeDocument/2006/relationships/ctrlProp" Target="../ctrlProps/ctrlProp99.xml"/><Relationship Id="rId282" Type="http://schemas.openxmlformats.org/officeDocument/2006/relationships/ctrlProp" Target="../ctrlProps/ctrlProp281.xml"/><Relationship Id="rId338" Type="http://schemas.openxmlformats.org/officeDocument/2006/relationships/ctrlProp" Target="../ctrlProps/ctrlProp337.xml"/><Relationship Id="rId8" Type="http://schemas.openxmlformats.org/officeDocument/2006/relationships/ctrlProp" Target="../ctrlProps/ctrlProp7.xml"/><Relationship Id="rId142" Type="http://schemas.openxmlformats.org/officeDocument/2006/relationships/ctrlProp" Target="../ctrlProps/ctrlProp141.xml"/><Relationship Id="rId184" Type="http://schemas.openxmlformats.org/officeDocument/2006/relationships/ctrlProp" Target="../ctrlProps/ctrlProp183.xml"/><Relationship Id="rId391" Type="http://schemas.openxmlformats.org/officeDocument/2006/relationships/ctrlProp" Target="../ctrlProps/ctrlProp390.xml"/><Relationship Id="rId405" Type="http://schemas.openxmlformats.org/officeDocument/2006/relationships/ctrlProp" Target="../ctrlProps/ctrlProp404.xml"/><Relationship Id="rId447" Type="http://schemas.openxmlformats.org/officeDocument/2006/relationships/ctrlProp" Target="../ctrlProps/ctrlProp446.xml"/><Relationship Id="rId251" Type="http://schemas.openxmlformats.org/officeDocument/2006/relationships/ctrlProp" Target="../ctrlProps/ctrlProp250.xml"/><Relationship Id="rId46" Type="http://schemas.openxmlformats.org/officeDocument/2006/relationships/ctrlProp" Target="../ctrlProps/ctrlProp45.xml"/><Relationship Id="rId293" Type="http://schemas.openxmlformats.org/officeDocument/2006/relationships/ctrlProp" Target="../ctrlProps/ctrlProp292.xml"/><Relationship Id="rId307" Type="http://schemas.openxmlformats.org/officeDocument/2006/relationships/ctrlProp" Target="../ctrlProps/ctrlProp306.xml"/><Relationship Id="rId349" Type="http://schemas.openxmlformats.org/officeDocument/2006/relationships/ctrlProp" Target="../ctrlProps/ctrlProp348.xml"/><Relationship Id="rId88" Type="http://schemas.openxmlformats.org/officeDocument/2006/relationships/ctrlProp" Target="../ctrlProps/ctrlProp87.xml"/><Relationship Id="rId111" Type="http://schemas.openxmlformats.org/officeDocument/2006/relationships/ctrlProp" Target="../ctrlProps/ctrlProp110.xml"/><Relationship Id="rId153" Type="http://schemas.openxmlformats.org/officeDocument/2006/relationships/ctrlProp" Target="../ctrlProps/ctrlProp152.xml"/><Relationship Id="rId195" Type="http://schemas.openxmlformats.org/officeDocument/2006/relationships/ctrlProp" Target="../ctrlProps/ctrlProp194.xml"/><Relationship Id="rId209" Type="http://schemas.openxmlformats.org/officeDocument/2006/relationships/ctrlProp" Target="../ctrlProps/ctrlProp208.xml"/><Relationship Id="rId360" Type="http://schemas.openxmlformats.org/officeDocument/2006/relationships/ctrlProp" Target="../ctrlProps/ctrlProp359.xml"/><Relationship Id="rId416" Type="http://schemas.openxmlformats.org/officeDocument/2006/relationships/ctrlProp" Target="../ctrlProps/ctrlProp415.xml"/><Relationship Id="rId220" Type="http://schemas.openxmlformats.org/officeDocument/2006/relationships/ctrlProp" Target="../ctrlProps/ctrlProp219.xml"/><Relationship Id="rId458" Type="http://schemas.openxmlformats.org/officeDocument/2006/relationships/ctrlProp" Target="../ctrlProps/ctrlProp457.xml"/><Relationship Id="rId15" Type="http://schemas.openxmlformats.org/officeDocument/2006/relationships/ctrlProp" Target="../ctrlProps/ctrlProp14.xml"/><Relationship Id="rId57" Type="http://schemas.openxmlformats.org/officeDocument/2006/relationships/ctrlProp" Target="../ctrlProps/ctrlProp56.xml"/><Relationship Id="rId262" Type="http://schemas.openxmlformats.org/officeDocument/2006/relationships/ctrlProp" Target="../ctrlProps/ctrlProp261.xml"/><Relationship Id="rId318" Type="http://schemas.openxmlformats.org/officeDocument/2006/relationships/ctrlProp" Target="../ctrlProps/ctrlProp317.xml"/><Relationship Id="rId99" Type="http://schemas.openxmlformats.org/officeDocument/2006/relationships/ctrlProp" Target="../ctrlProps/ctrlProp98.xml"/><Relationship Id="rId122" Type="http://schemas.openxmlformats.org/officeDocument/2006/relationships/ctrlProp" Target="../ctrlProps/ctrlProp121.xml"/><Relationship Id="rId164" Type="http://schemas.openxmlformats.org/officeDocument/2006/relationships/ctrlProp" Target="../ctrlProps/ctrlProp163.xml"/><Relationship Id="rId371" Type="http://schemas.openxmlformats.org/officeDocument/2006/relationships/ctrlProp" Target="../ctrlProps/ctrlProp370.xml"/><Relationship Id="rId427" Type="http://schemas.openxmlformats.org/officeDocument/2006/relationships/ctrlProp" Target="../ctrlProps/ctrlProp426.xml"/><Relationship Id="rId469" Type="http://schemas.openxmlformats.org/officeDocument/2006/relationships/ctrlProp" Target="../ctrlProps/ctrlProp468.xml"/><Relationship Id="rId26" Type="http://schemas.openxmlformats.org/officeDocument/2006/relationships/ctrlProp" Target="../ctrlProps/ctrlProp25.xml"/><Relationship Id="rId231" Type="http://schemas.openxmlformats.org/officeDocument/2006/relationships/ctrlProp" Target="../ctrlProps/ctrlProp230.xml"/><Relationship Id="rId273" Type="http://schemas.openxmlformats.org/officeDocument/2006/relationships/ctrlProp" Target="../ctrlProps/ctrlProp272.xml"/><Relationship Id="rId329" Type="http://schemas.openxmlformats.org/officeDocument/2006/relationships/ctrlProp" Target="../ctrlProps/ctrlProp328.xml"/><Relationship Id="rId68" Type="http://schemas.openxmlformats.org/officeDocument/2006/relationships/ctrlProp" Target="../ctrlProps/ctrlProp67.xml"/><Relationship Id="rId133" Type="http://schemas.openxmlformats.org/officeDocument/2006/relationships/ctrlProp" Target="../ctrlProps/ctrlProp132.xml"/><Relationship Id="rId175" Type="http://schemas.openxmlformats.org/officeDocument/2006/relationships/ctrlProp" Target="../ctrlProps/ctrlProp174.xml"/><Relationship Id="rId340" Type="http://schemas.openxmlformats.org/officeDocument/2006/relationships/ctrlProp" Target="../ctrlProps/ctrlProp339.xml"/><Relationship Id="rId200" Type="http://schemas.openxmlformats.org/officeDocument/2006/relationships/ctrlProp" Target="../ctrlProps/ctrlProp199.xml"/><Relationship Id="rId382" Type="http://schemas.openxmlformats.org/officeDocument/2006/relationships/ctrlProp" Target="../ctrlProps/ctrlProp381.xml"/><Relationship Id="rId438" Type="http://schemas.openxmlformats.org/officeDocument/2006/relationships/ctrlProp" Target="../ctrlProps/ctrlProp437.xml"/><Relationship Id="rId242" Type="http://schemas.openxmlformats.org/officeDocument/2006/relationships/ctrlProp" Target="../ctrlProps/ctrlProp241.xml"/><Relationship Id="rId284" Type="http://schemas.openxmlformats.org/officeDocument/2006/relationships/ctrlProp" Target="../ctrlProps/ctrlProp283.xml"/><Relationship Id="rId37" Type="http://schemas.openxmlformats.org/officeDocument/2006/relationships/ctrlProp" Target="../ctrlProps/ctrlProp36.xml"/><Relationship Id="rId79" Type="http://schemas.openxmlformats.org/officeDocument/2006/relationships/ctrlProp" Target="../ctrlProps/ctrlProp78.xml"/><Relationship Id="rId102" Type="http://schemas.openxmlformats.org/officeDocument/2006/relationships/ctrlProp" Target="../ctrlProps/ctrlProp101.xml"/><Relationship Id="rId144" Type="http://schemas.openxmlformats.org/officeDocument/2006/relationships/ctrlProp" Target="../ctrlProps/ctrlProp143.xml"/><Relationship Id="rId90" Type="http://schemas.openxmlformats.org/officeDocument/2006/relationships/ctrlProp" Target="../ctrlProps/ctrlProp89.xml"/><Relationship Id="rId186" Type="http://schemas.openxmlformats.org/officeDocument/2006/relationships/ctrlProp" Target="../ctrlProps/ctrlProp185.xml"/><Relationship Id="rId351" Type="http://schemas.openxmlformats.org/officeDocument/2006/relationships/ctrlProp" Target="../ctrlProps/ctrlProp350.xml"/><Relationship Id="rId393" Type="http://schemas.openxmlformats.org/officeDocument/2006/relationships/ctrlProp" Target="../ctrlProps/ctrlProp392.xml"/><Relationship Id="rId407" Type="http://schemas.openxmlformats.org/officeDocument/2006/relationships/ctrlProp" Target="../ctrlProps/ctrlProp406.xml"/><Relationship Id="rId449" Type="http://schemas.openxmlformats.org/officeDocument/2006/relationships/ctrlProp" Target="../ctrlProps/ctrlProp448.xml"/><Relationship Id="rId211" Type="http://schemas.openxmlformats.org/officeDocument/2006/relationships/ctrlProp" Target="../ctrlProps/ctrlProp210.xml"/><Relationship Id="rId253" Type="http://schemas.openxmlformats.org/officeDocument/2006/relationships/ctrlProp" Target="../ctrlProps/ctrlProp252.xml"/><Relationship Id="rId295" Type="http://schemas.openxmlformats.org/officeDocument/2006/relationships/ctrlProp" Target="../ctrlProps/ctrlProp294.xml"/><Relationship Id="rId309" Type="http://schemas.openxmlformats.org/officeDocument/2006/relationships/ctrlProp" Target="../ctrlProps/ctrlProp308.xml"/><Relationship Id="rId460" Type="http://schemas.openxmlformats.org/officeDocument/2006/relationships/ctrlProp" Target="../ctrlProps/ctrlProp459.xml"/><Relationship Id="rId48" Type="http://schemas.openxmlformats.org/officeDocument/2006/relationships/ctrlProp" Target="../ctrlProps/ctrlProp47.xml"/><Relationship Id="rId113" Type="http://schemas.openxmlformats.org/officeDocument/2006/relationships/ctrlProp" Target="../ctrlProps/ctrlProp112.xml"/><Relationship Id="rId320" Type="http://schemas.openxmlformats.org/officeDocument/2006/relationships/ctrlProp" Target="../ctrlProps/ctrlProp319.xml"/><Relationship Id="rId155" Type="http://schemas.openxmlformats.org/officeDocument/2006/relationships/ctrlProp" Target="../ctrlProps/ctrlProp154.xml"/><Relationship Id="rId197" Type="http://schemas.openxmlformats.org/officeDocument/2006/relationships/ctrlProp" Target="../ctrlProps/ctrlProp196.xml"/><Relationship Id="rId362" Type="http://schemas.openxmlformats.org/officeDocument/2006/relationships/ctrlProp" Target="../ctrlProps/ctrlProp361.xml"/><Relationship Id="rId418" Type="http://schemas.openxmlformats.org/officeDocument/2006/relationships/ctrlProp" Target="../ctrlProps/ctrlProp417.xml"/><Relationship Id="rId222" Type="http://schemas.openxmlformats.org/officeDocument/2006/relationships/ctrlProp" Target="../ctrlProps/ctrlProp221.xml"/><Relationship Id="rId264" Type="http://schemas.openxmlformats.org/officeDocument/2006/relationships/ctrlProp" Target="../ctrlProps/ctrlProp263.xml"/><Relationship Id="rId471" Type="http://schemas.openxmlformats.org/officeDocument/2006/relationships/ctrlProp" Target="../ctrlProps/ctrlProp470.xml"/><Relationship Id="rId17" Type="http://schemas.openxmlformats.org/officeDocument/2006/relationships/ctrlProp" Target="../ctrlProps/ctrlProp16.xml"/><Relationship Id="rId59" Type="http://schemas.openxmlformats.org/officeDocument/2006/relationships/ctrlProp" Target="../ctrlProps/ctrlProp58.xml"/><Relationship Id="rId124" Type="http://schemas.openxmlformats.org/officeDocument/2006/relationships/ctrlProp" Target="../ctrlProps/ctrlProp123.xml"/><Relationship Id="rId70" Type="http://schemas.openxmlformats.org/officeDocument/2006/relationships/ctrlProp" Target="../ctrlProps/ctrlProp69.xml"/><Relationship Id="rId166" Type="http://schemas.openxmlformats.org/officeDocument/2006/relationships/ctrlProp" Target="../ctrlProps/ctrlProp165.xml"/><Relationship Id="rId331" Type="http://schemas.openxmlformats.org/officeDocument/2006/relationships/ctrlProp" Target="../ctrlProps/ctrlProp330.xml"/><Relationship Id="rId373" Type="http://schemas.openxmlformats.org/officeDocument/2006/relationships/ctrlProp" Target="../ctrlProps/ctrlProp372.xml"/><Relationship Id="rId429" Type="http://schemas.openxmlformats.org/officeDocument/2006/relationships/ctrlProp" Target="../ctrlProps/ctrlProp428.xml"/><Relationship Id="rId1" Type="http://schemas.openxmlformats.org/officeDocument/2006/relationships/drawing" Target="../drawings/drawing2.xml"/><Relationship Id="rId233" Type="http://schemas.openxmlformats.org/officeDocument/2006/relationships/ctrlProp" Target="../ctrlProps/ctrlProp232.xml"/><Relationship Id="rId440" Type="http://schemas.openxmlformats.org/officeDocument/2006/relationships/ctrlProp" Target="../ctrlProps/ctrlProp439.xml"/><Relationship Id="rId28" Type="http://schemas.openxmlformats.org/officeDocument/2006/relationships/ctrlProp" Target="../ctrlProps/ctrlProp27.xml"/><Relationship Id="rId275" Type="http://schemas.openxmlformats.org/officeDocument/2006/relationships/ctrlProp" Target="../ctrlProps/ctrlProp274.xml"/><Relationship Id="rId300" Type="http://schemas.openxmlformats.org/officeDocument/2006/relationships/ctrlProp" Target="../ctrlProps/ctrlProp299.xml"/><Relationship Id="rId81" Type="http://schemas.openxmlformats.org/officeDocument/2006/relationships/ctrlProp" Target="../ctrlProps/ctrlProp80.xml"/><Relationship Id="rId135" Type="http://schemas.openxmlformats.org/officeDocument/2006/relationships/ctrlProp" Target="../ctrlProps/ctrlProp134.xml"/><Relationship Id="rId177" Type="http://schemas.openxmlformats.org/officeDocument/2006/relationships/ctrlProp" Target="../ctrlProps/ctrlProp176.xml"/><Relationship Id="rId342" Type="http://schemas.openxmlformats.org/officeDocument/2006/relationships/ctrlProp" Target="../ctrlProps/ctrlProp341.xml"/><Relationship Id="rId384" Type="http://schemas.openxmlformats.org/officeDocument/2006/relationships/ctrlProp" Target="../ctrlProps/ctrlProp383.xml"/><Relationship Id="rId202" Type="http://schemas.openxmlformats.org/officeDocument/2006/relationships/ctrlProp" Target="../ctrlProps/ctrlProp201.xml"/><Relationship Id="rId244" Type="http://schemas.openxmlformats.org/officeDocument/2006/relationships/ctrlProp" Target="../ctrlProps/ctrlProp243.xml"/><Relationship Id="rId39" Type="http://schemas.openxmlformats.org/officeDocument/2006/relationships/ctrlProp" Target="../ctrlProps/ctrlProp38.xml"/><Relationship Id="rId286" Type="http://schemas.openxmlformats.org/officeDocument/2006/relationships/ctrlProp" Target="../ctrlProps/ctrlProp285.xml"/><Relationship Id="rId451" Type="http://schemas.openxmlformats.org/officeDocument/2006/relationships/ctrlProp" Target="../ctrlProps/ctrlProp450.xml"/><Relationship Id="rId50" Type="http://schemas.openxmlformats.org/officeDocument/2006/relationships/ctrlProp" Target="../ctrlProps/ctrlProp49.xml"/><Relationship Id="rId104" Type="http://schemas.openxmlformats.org/officeDocument/2006/relationships/ctrlProp" Target="../ctrlProps/ctrlProp103.xml"/><Relationship Id="rId146" Type="http://schemas.openxmlformats.org/officeDocument/2006/relationships/ctrlProp" Target="../ctrlProps/ctrlProp145.xml"/><Relationship Id="rId188" Type="http://schemas.openxmlformats.org/officeDocument/2006/relationships/ctrlProp" Target="../ctrlProps/ctrlProp187.xml"/><Relationship Id="rId311" Type="http://schemas.openxmlformats.org/officeDocument/2006/relationships/ctrlProp" Target="../ctrlProps/ctrlProp310.xml"/><Relationship Id="rId353" Type="http://schemas.openxmlformats.org/officeDocument/2006/relationships/ctrlProp" Target="../ctrlProps/ctrlProp352.xml"/><Relationship Id="rId395" Type="http://schemas.openxmlformats.org/officeDocument/2006/relationships/ctrlProp" Target="../ctrlProps/ctrlProp394.xml"/><Relationship Id="rId409" Type="http://schemas.openxmlformats.org/officeDocument/2006/relationships/ctrlProp" Target="../ctrlProps/ctrlProp408.xml"/><Relationship Id="rId92" Type="http://schemas.openxmlformats.org/officeDocument/2006/relationships/ctrlProp" Target="../ctrlProps/ctrlProp91.xml"/><Relationship Id="rId213" Type="http://schemas.openxmlformats.org/officeDocument/2006/relationships/ctrlProp" Target="../ctrlProps/ctrlProp212.xml"/><Relationship Id="rId420" Type="http://schemas.openxmlformats.org/officeDocument/2006/relationships/ctrlProp" Target="../ctrlProps/ctrlProp419.xml"/><Relationship Id="rId255" Type="http://schemas.openxmlformats.org/officeDocument/2006/relationships/ctrlProp" Target="../ctrlProps/ctrlProp254.xml"/><Relationship Id="rId297" Type="http://schemas.openxmlformats.org/officeDocument/2006/relationships/ctrlProp" Target="../ctrlProps/ctrlProp296.xml"/><Relationship Id="rId462" Type="http://schemas.openxmlformats.org/officeDocument/2006/relationships/ctrlProp" Target="../ctrlProps/ctrlProp461.xml"/><Relationship Id="rId115" Type="http://schemas.openxmlformats.org/officeDocument/2006/relationships/ctrlProp" Target="../ctrlProps/ctrlProp114.xml"/><Relationship Id="rId157" Type="http://schemas.openxmlformats.org/officeDocument/2006/relationships/ctrlProp" Target="../ctrlProps/ctrlProp156.xml"/><Relationship Id="rId322" Type="http://schemas.openxmlformats.org/officeDocument/2006/relationships/ctrlProp" Target="../ctrlProps/ctrlProp321.xml"/><Relationship Id="rId364" Type="http://schemas.openxmlformats.org/officeDocument/2006/relationships/ctrlProp" Target="../ctrlProps/ctrlProp363.xml"/><Relationship Id="rId61" Type="http://schemas.openxmlformats.org/officeDocument/2006/relationships/ctrlProp" Target="../ctrlProps/ctrlProp60.xml"/><Relationship Id="rId199" Type="http://schemas.openxmlformats.org/officeDocument/2006/relationships/ctrlProp" Target="../ctrlProps/ctrlProp198.xml"/><Relationship Id="rId19" Type="http://schemas.openxmlformats.org/officeDocument/2006/relationships/ctrlProp" Target="../ctrlProps/ctrlProp18.xml"/><Relationship Id="rId224" Type="http://schemas.openxmlformats.org/officeDocument/2006/relationships/ctrlProp" Target="../ctrlProps/ctrlProp223.xml"/><Relationship Id="rId266" Type="http://schemas.openxmlformats.org/officeDocument/2006/relationships/ctrlProp" Target="../ctrlProps/ctrlProp265.xml"/><Relationship Id="rId431" Type="http://schemas.openxmlformats.org/officeDocument/2006/relationships/ctrlProp" Target="../ctrlProps/ctrlProp430.xml"/><Relationship Id="rId473" Type="http://schemas.openxmlformats.org/officeDocument/2006/relationships/ctrlProp" Target="../ctrlProps/ctrlProp47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E22"/>
  <sheetViews>
    <sheetView showGridLines="0" showRowColHeaders="0" tabSelected="1" workbookViewId="0">
      <selection activeCell="C18" sqref="C18"/>
    </sheetView>
  </sheetViews>
  <sheetFormatPr defaultColWidth="10.81640625" defaultRowHeight="12.5"/>
  <cols>
    <col min="1" max="1" width="10.81640625" style="64" customWidth="1"/>
    <col min="2" max="2" width="20.26953125" style="64" customWidth="1"/>
    <col min="3" max="3" width="11.26953125" style="64" bestFit="1" customWidth="1"/>
    <col min="4" max="16384" width="10.81640625" style="64"/>
  </cols>
  <sheetData>
    <row r="1" spans="1:5" ht="17.5">
      <c r="A1" s="63"/>
      <c r="B1" s="63"/>
      <c r="C1" s="63"/>
      <c r="D1" s="63"/>
      <c r="E1" s="63"/>
    </row>
    <row r="2" spans="1:5" ht="17.5">
      <c r="A2" s="63"/>
      <c r="B2" s="63"/>
      <c r="C2" s="63"/>
      <c r="D2" s="63"/>
      <c r="E2" s="63"/>
    </row>
    <row r="3" spans="1:5" ht="17.5">
      <c r="A3" s="63"/>
      <c r="B3" s="63"/>
      <c r="C3" s="63"/>
      <c r="D3" s="63"/>
      <c r="E3" s="63"/>
    </row>
    <row r="4" spans="1:5" ht="17.5">
      <c r="A4" s="63"/>
      <c r="B4" s="63"/>
      <c r="C4" s="63"/>
      <c r="D4" s="63"/>
      <c r="E4" s="63"/>
    </row>
    <row r="5" spans="1:5" ht="17.5">
      <c r="A5" s="63"/>
      <c r="B5" s="63"/>
      <c r="C5" s="63"/>
      <c r="D5" s="63"/>
      <c r="E5" s="63"/>
    </row>
    <row r="6" spans="1:5" ht="17.5">
      <c r="A6" s="63"/>
      <c r="B6" s="63"/>
      <c r="C6" s="63"/>
      <c r="D6" s="63"/>
      <c r="E6" s="63"/>
    </row>
    <row r="7" spans="1:5" ht="17.5">
      <c r="A7" s="63"/>
      <c r="B7" s="63"/>
      <c r="C7" s="63"/>
      <c r="D7" s="63"/>
      <c r="E7" s="63"/>
    </row>
    <row r="8" spans="1:5" ht="17.5">
      <c r="A8" s="63"/>
      <c r="B8" s="63"/>
      <c r="C8" s="63"/>
      <c r="D8" s="63"/>
      <c r="E8" s="63"/>
    </row>
    <row r="9" spans="1:5" ht="17.5">
      <c r="A9" s="63"/>
      <c r="B9" s="63"/>
      <c r="C9" s="63"/>
      <c r="D9" s="63"/>
      <c r="E9" s="63"/>
    </row>
    <row r="10" spans="1:5" ht="17.5">
      <c r="A10" s="63"/>
      <c r="B10" s="63"/>
      <c r="C10" s="63"/>
      <c r="D10" s="63"/>
      <c r="E10" s="63"/>
    </row>
    <row r="11" spans="1:5" ht="17.5">
      <c r="A11" s="63"/>
      <c r="B11" s="63"/>
      <c r="C11" s="63"/>
      <c r="D11" s="63"/>
      <c r="E11" s="63"/>
    </row>
    <row r="12" spans="1:5" ht="17.5">
      <c r="A12" s="63"/>
      <c r="B12" s="63"/>
      <c r="C12" s="63"/>
      <c r="D12" s="63"/>
      <c r="E12" s="63"/>
    </row>
    <row r="13" spans="1:5" ht="17.5">
      <c r="A13" s="63"/>
      <c r="B13" s="63"/>
      <c r="C13" s="63"/>
      <c r="D13" s="63"/>
      <c r="E13" s="63"/>
    </row>
    <row r="14" spans="1:5" ht="17.5">
      <c r="A14" s="63"/>
      <c r="B14" s="63"/>
      <c r="C14" s="63"/>
      <c r="D14" s="63"/>
      <c r="E14" s="63"/>
    </row>
    <row r="15" spans="1:5" ht="17.5">
      <c r="A15" s="63"/>
      <c r="B15" s="63"/>
      <c r="C15" s="63"/>
      <c r="D15" s="63"/>
      <c r="E15" s="63"/>
    </row>
    <row r="16" spans="1:5" ht="17.5">
      <c r="A16" s="63"/>
      <c r="B16" s="63"/>
      <c r="C16" s="63"/>
      <c r="D16" s="63"/>
      <c r="E16" s="63"/>
    </row>
    <row r="17" spans="1:5" ht="17.5">
      <c r="A17" s="63"/>
      <c r="B17" s="63"/>
      <c r="C17" s="63"/>
      <c r="D17" s="63"/>
      <c r="E17" s="63"/>
    </row>
    <row r="18" spans="1:5" ht="17.5">
      <c r="A18" s="63"/>
      <c r="B18" s="65" t="s">
        <v>19</v>
      </c>
      <c r="C18" s="66"/>
      <c r="D18" s="63"/>
      <c r="E18" s="63"/>
    </row>
    <row r="19" spans="1:5" ht="17.5">
      <c r="A19" s="63"/>
      <c r="B19" s="65" t="s">
        <v>20</v>
      </c>
      <c r="C19" s="67"/>
      <c r="D19" s="63"/>
      <c r="E19" s="63"/>
    </row>
    <row r="20" spans="1:5" ht="17.5">
      <c r="A20" s="63"/>
      <c r="B20" s="65" t="s">
        <v>21</v>
      </c>
      <c r="C20" s="68"/>
      <c r="D20" s="63"/>
      <c r="E20" s="63"/>
    </row>
    <row r="21" spans="1:5" ht="17.5">
      <c r="A21" s="63"/>
      <c r="B21" s="65" t="s">
        <v>25</v>
      </c>
      <c r="C21" s="66"/>
      <c r="D21" s="63"/>
      <c r="E21" s="63"/>
    </row>
    <row r="22" spans="1:5" ht="17.5">
      <c r="A22" s="63"/>
      <c r="B22" s="65" t="s">
        <v>96</v>
      </c>
      <c r="C22" s="66"/>
      <c r="D22" s="63"/>
      <c r="E22" s="63"/>
    </row>
  </sheetData>
  <phoneticPr fontId="0" type="noConversion"/>
  <pageMargins left="0.75" right="0.75" top="1" bottom="1" header="0.5" footer="0.5"/>
  <pageSetup paperSize="0" orientation="portrait" horizontalDpi="4294967292" verticalDpi="4294967292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8" r:id="rId3" name="Button 6">
              <controlPr defaultSize="0" print="0" autoFill="0" autoPict="0" macro="[0]!SelCourses">
                <anchor moveWithCells="1" sizeWithCells="1">
                  <from>
                    <xdr:col>1</xdr:col>
                    <xdr:colOff>660400</xdr:colOff>
                    <xdr:row>22</xdr:row>
                    <xdr:rowOff>133350</xdr:rowOff>
                  </from>
                  <to>
                    <xdr:col>2</xdr:col>
                    <xdr:colOff>768350</xdr:colOff>
                    <xdr:row>27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S157"/>
  <sheetViews>
    <sheetView showRowColHeaders="0" topLeftCell="A142" workbookViewId="0">
      <selection activeCell="G148" sqref="G148"/>
    </sheetView>
  </sheetViews>
  <sheetFormatPr defaultColWidth="10.81640625" defaultRowHeight="15.5"/>
  <cols>
    <col min="1" max="1" width="3.26953125" style="24" customWidth="1"/>
    <col min="2" max="2" width="7.1796875" style="23" customWidth="1"/>
    <col min="3" max="3" width="7.26953125" style="27" customWidth="1"/>
    <col min="4" max="4" width="8.26953125" style="23" customWidth="1"/>
    <col min="5" max="5" width="6.453125" style="28" customWidth="1"/>
    <col min="6" max="6" width="10.81640625" style="23" hidden="1" customWidth="1"/>
    <col min="7" max="7" width="7" style="24" customWidth="1"/>
    <col min="8" max="8" width="7.1796875" style="29" customWidth="1"/>
    <col min="9" max="9" width="50.7265625" style="24" customWidth="1"/>
    <col min="10" max="10" width="8.7265625" style="24" hidden="1" customWidth="1"/>
    <col min="11" max="11" width="9" style="24" hidden="1" customWidth="1"/>
    <col min="12" max="12" width="9.1796875" style="24" hidden="1" customWidth="1"/>
    <col min="13" max="13" width="15.81640625" style="24" customWidth="1"/>
    <col min="14" max="52" width="3.81640625" style="24" hidden="1" customWidth="1"/>
    <col min="53" max="53" width="9.1796875" style="24" hidden="1" customWidth="1"/>
    <col min="54" max="54" width="0.1796875" style="24" hidden="1" customWidth="1"/>
    <col min="55" max="57" width="10.81640625" style="24" hidden="1" customWidth="1"/>
    <col min="58" max="58" width="5.453125" style="24" hidden="1" customWidth="1"/>
    <col min="59" max="63" width="10.81640625" style="24" hidden="1" customWidth="1"/>
    <col min="64" max="67" width="10.81640625" hidden="1" customWidth="1"/>
    <col min="68" max="68" width="9.453125" hidden="1" customWidth="1"/>
    <col min="69" max="70" width="10.81640625" hidden="1" customWidth="1"/>
    <col min="71" max="71" width="10.81640625" customWidth="1"/>
    <col min="72" max="16384" width="10.81640625" style="24"/>
  </cols>
  <sheetData>
    <row r="1" spans="1:70" ht="72" customHeight="1" thickBot="1">
      <c r="A1" s="25"/>
      <c r="B1" s="30" t="s">
        <v>79</v>
      </c>
      <c r="C1" s="30" t="s">
        <v>80</v>
      </c>
      <c r="D1" s="30" t="s">
        <v>81</v>
      </c>
      <c r="E1" s="30" t="s">
        <v>82</v>
      </c>
      <c r="F1" s="31" t="s">
        <v>84</v>
      </c>
      <c r="G1" s="30" t="s">
        <v>139</v>
      </c>
      <c r="H1" s="30" t="s">
        <v>140</v>
      </c>
      <c r="I1" s="22" t="s">
        <v>18</v>
      </c>
      <c r="J1" s="25" t="s">
        <v>79</v>
      </c>
      <c r="K1" s="25" t="s">
        <v>83</v>
      </c>
      <c r="L1" s="25" t="s">
        <v>81</v>
      </c>
      <c r="M1" s="32" t="s">
        <v>23</v>
      </c>
      <c r="N1" s="22" t="s">
        <v>82</v>
      </c>
      <c r="O1" s="26" t="s">
        <v>84</v>
      </c>
      <c r="P1" s="22" t="s">
        <v>139</v>
      </c>
      <c r="Q1" s="22" t="s">
        <v>140</v>
      </c>
      <c r="R1" s="22" t="s">
        <v>18</v>
      </c>
      <c r="S1" s="25" t="s">
        <v>79</v>
      </c>
      <c r="T1" s="25" t="s">
        <v>83</v>
      </c>
      <c r="U1" s="25" t="s">
        <v>81</v>
      </c>
      <c r="X1" s="22" t="s">
        <v>82</v>
      </c>
      <c r="Y1" s="26" t="s">
        <v>84</v>
      </c>
      <c r="Z1" s="22" t="s">
        <v>139</v>
      </c>
      <c r="AA1" s="22" t="s">
        <v>140</v>
      </c>
      <c r="AB1" s="22" t="s">
        <v>18</v>
      </c>
      <c r="AC1" s="25" t="s">
        <v>79</v>
      </c>
      <c r="AD1" s="25" t="s">
        <v>83</v>
      </c>
      <c r="AE1" s="25" t="s">
        <v>81</v>
      </c>
      <c r="AH1" s="22" t="s">
        <v>82</v>
      </c>
      <c r="AI1" s="26" t="s">
        <v>84</v>
      </c>
      <c r="AJ1" s="22" t="s">
        <v>139</v>
      </c>
      <c r="AK1" s="22" t="s">
        <v>140</v>
      </c>
      <c r="AL1" s="22" t="s">
        <v>18</v>
      </c>
      <c r="AM1" s="25" t="s">
        <v>79</v>
      </c>
      <c r="AN1" s="25" t="s">
        <v>83</v>
      </c>
      <c r="AO1" s="25" t="s">
        <v>81</v>
      </c>
      <c r="AR1" s="22" t="s">
        <v>82</v>
      </c>
      <c r="AS1" s="26" t="s">
        <v>84</v>
      </c>
      <c r="AT1" s="22" t="s">
        <v>139</v>
      </c>
      <c r="AU1" s="22" t="s">
        <v>140</v>
      </c>
      <c r="AV1" s="22" t="s">
        <v>18</v>
      </c>
      <c r="AW1" s="25" t="s">
        <v>79</v>
      </c>
      <c r="AX1" s="25" t="s">
        <v>83</v>
      </c>
      <c r="AY1" s="25" t="s">
        <v>81</v>
      </c>
      <c r="BB1" s="22" t="s">
        <v>82</v>
      </c>
      <c r="BC1" s="26" t="s">
        <v>84</v>
      </c>
      <c r="BD1" s="22" t="s">
        <v>139</v>
      </c>
      <c r="BE1" s="22" t="s">
        <v>140</v>
      </c>
      <c r="BF1" s="22" t="s">
        <v>18</v>
      </c>
      <c r="BG1" s="25" t="s">
        <v>79</v>
      </c>
      <c r="BH1" s="25" t="s">
        <v>83</v>
      </c>
      <c r="BI1" s="25" t="s">
        <v>81</v>
      </c>
      <c r="BK1" s="22" t="s">
        <v>82</v>
      </c>
      <c r="BL1" s="26" t="s">
        <v>84</v>
      </c>
      <c r="BM1" s="22" t="s">
        <v>139</v>
      </c>
      <c r="BN1" s="22" t="s">
        <v>140</v>
      </c>
      <c r="BO1" s="22" t="s">
        <v>18</v>
      </c>
      <c r="BP1" s="25" t="s">
        <v>79</v>
      </c>
      <c r="BQ1" s="25" t="s">
        <v>83</v>
      </c>
      <c r="BR1" s="25" t="s">
        <v>81</v>
      </c>
    </row>
    <row r="2" spans="1:70" ht="18" customHeight="1" thickTop="1" thickBot="1">
      <c r="E2" s="69"/>
      <c r="G2" s="23" t="s">
        <v>141</v>
      </c>
      <c r="H2" s="28" t="s">
        <v>142</v>
      </c>
      <c r="I2" s="23" t="s">
        <v>15</v>
      </c>
      <c r="J2" s="24" t="b">
        <v>0</v>
      </c>
      <c r="K2" s="24" t="b">
        <v>0</v>
      </c>
      <c r="L2" s="24" t="b">
        <v>0</v>
      </c>
      <c r="M2" s="58" t="str">
        <f t="shared" ref="M2:M70" si="0">IF(OR(AND(J2,K2),AND(J2,L2),AND(K2,L2)),"Choose for one only","")</f>
        <v/>
      </c>
      <c r="N2" s="22" t="s">
        <v>82</v>
      </c>
      <c r="O2" s="26" t="s">
        <v>84</v>
      </c>
      <c r="P2" s="22" t="s">
        <v>139</v>
      </c>
      <c r="Q2" s="22" t="s">
        <v>140</v>
      </c>
      <c r="R2" s="22" t="s">
        <v>18</v>
      </c>
      <c r="S2" s="25" t="s">
        <v>79</v>
      </c>
      <c r="T2" s="25" t="s">
        <v>83</v>
      </c>
      <c r="U2" s="25" t="s">
        <v>81</v>
      </c>
      <c r="X2" s="22" t="s">
        <v>82</v>
      </c>
      <c r="Y2" s="26" t="s">
        <v>84</v>
      </c>
      <c r="Z2" s="22" t="s">
        <v>139</v>
      </c>
      <c r="AA2" s="22" t="s">
        <v>140</v>
      </c>
      <c r="AB2" s="22" t="s">
        <v>18</v>
      </c>
      <c r="AC2" s="25" t="s">
        <v>79</v>
      </c>
      <c r="AD2" s="25" t="s">
        <v>83</v>
      </c>
      <c r="AE2" s="25" t="s">
        <v>81</v>
      </c>
      <c r="AH2" s="22" t="s">
        <v>82</v>
      </c>
      <c r="AI2" s="26" t="s">
        <v>84</v>
      </c>
      <c r="AJ2" s="22" t="s">
        <v>139</v>
      </c>
      <c r="AK2" s="22" t="s">
        <v>140</v>
      </c>
      <c r="AL2" s="22" t="s">
        <v>18</v>
      </c>
      <c r="AM2" s="25" t="s">
        <v>79</v>
      </c>
      <c r="AN2" s="25" t="s">
        <v>83</v>
      </c>
      <c r="AO2" s="25" t="s">
        <v>81</v>
      </c>
      <c r="AS2" s="24" t="str">
        <f>"IP"</f>
        <v>IP</v>
      </c>
      <c r="AY2" s="24" t="b">
        <f>TRUE</f>
        <v>1</v>
      </c>
      <c r="BB2" s="24" t="s">
        <v>2</v>
      </c>
      <c r="BC2"/>
      <c r="BD2" s="24" t="str">
        <f>"MS"&amp;"&amp;"&amp;"E"</f>
        <v>MS&amp;E</v>
      </c>
      <c r="BH2"/>
      <c r="BI2" s="24" t="b">
        <v>1</v>
      </c>
    </row>
    <row r="3" spans="1:70" ht="18" customHeight="1" thickTop="1">
      <c r="E3" s="69"/>
      <c r="G3" s="23" t="s">
        <v>141</v>
      </c>
      <c r="H3" s="28" t="s">
        <v>16</v>
      </c>
      <c r="I3" s="23" t="s">
        <v>15</v>
      </c>
      <c r="J3" s="24" t="b">
        <v>0</v>
      </c>
      <c r="K3" s="24" t="b">
        <v>0</v>
      </c>
      <c r="L3" s="24" t="b">
        <v>0</v>
      </c>
      <c r="M3" s="58" t="str">
        <f t="shared" si="0"/>
        <v/>
      </c>
      <c r="N3" s="73"/>
      <c r="Q3" s="29"/>
      <c r="X3" s="73"/>
      <c r="AA3" s="29"/>
      <c r="AH3" s="73"/>
      <c r="AK3" s="29"/>
      <c r="AS3" s="24" t="s">
        <v>195</v>
      </c>
      <c r="AW3" s="24" t="b">
        <f>TRUE</f>
        <v>1</v>
      </c>
      <c r="BC3"/>
      <c r="BG3"/>
      <c r="BH3"/>
      <c r="BI3"/>
    </row>
    <row r="4" spans="1:70" ht="18" customHeight="1" thickBot="1">
      <c r="E4" s="69"/>
      <c r="G4" s="23" t="s">
        <v>141</v>
      </c>
      <c r="H4" s="28" t="s">
        <v>17</v>
      </c>
      <c r="I4" s="23" t="s">
        <v>15</v>
      </c>
      <c r="J4" s="24" t="b">
        <v>0</v>
      </c>
      <c r="K4" s="24" t="b">
        <v>0</v>
      </c>
      <c r="L4" s="24" t="b">
        <v>0</v>
      </c>
      <c r="M4" s="58" t="str">
        <f t="shared" si="0"/>
        <v/>
      </c>
      <c r="N4" s="73"/>
      <c r="Q4" s="29"/>
      <c r="X4" s="73"/>
      <c r="AA4" s="29"/>
      <c r="AH4" s="73"/>
      <c r="AK4" s="29"/>
      <c r="AS4" s="24" t="s">
        <v>195</v>
      </c>
      <c r="AX4" s="24" t="b">
        <f>TRUE</f>
        <v>1</v>
      </c>
      <c r="BB4" s="22" t="s">
        <v>82</v>
      </c>
      <c r="BC4" s="26" t="s">
        <v>84</v>
      </c>
      <c r="BD4" s="22" t="s">
        <v>139</v>
      </c>
      <c r="BE4" s="22" t="s">
        <v>140</v>
      </c>
      <c r="BF4" s="22" t="s">
        <v>18</v>
      </c>
      <c r="BG4" s="25" t="s">
        <v>79</v>
      </c>
      <c r="BH4" s="25" t="s">
        <v>83</v>
      </c>
      <c r="BI4" s="25" t="s">
        <v>81</v>
      </c>
    </row>
    <row r="5" spans="1:70" ht="18" customHeight="1" thickTop="1">
      <c r="E5" s="69"/>
      <c r="G5" s="23" t="s">
        <v>141</v>
      </c>
      <c r="H5" s="28">
        <v>145</v>
      </c>
      <c r="I5" s="23" t="s">
        <v>272</v>
      </c>
      <c r="J5" s="24" t="b">
        <v>0</v>
      </c>
      <c r="K5" s="24" t="b">
        <v>0</v>
      </c>
      <c r="L5" s="24" t="b">
        <v>0</v>
      </c>
      <c r="M5" s="58" t="str">
        <f t="shared" si="0"/>
        <v/>
      </c>
      <c r="N5" s="73"/>
      <c r="Q5" s="29"/>
      <c r="X5" s="73"/>
      <c r="AA5" s="29"/>
      <c r="AH5" s="73"/>
      <c r="AK5" s="29"/>
      <c r="AS5" s="24" t="s">
        <v>195</v>
      </c>
      <c r="AY5" s="24" t="b">
        <f>TRUE</f>
        <v>1</v>
      </c>
      <c r="BB5" s="29"/>
      <c r="BD5" s="24" t="s">
        <v>146</v>
      </c>
      <c r="BE5" s="29">
        <v>230</v>
      </c>
      <c r="BF5" s="24" t="s">
        <v>185</v>
      </c>
      <c r="BG5" s="24" t="b">
        <v>0</v>
      </c>
      <c r="BH5" s="24" t="b">
        <v>0</v>
      </c>
      <c r="BI5" s="24" t="b">
        <v>0</v>
      </c>
      <c r="BJ5"/>
    </row>
    <row r="6" spans="1:70" ht="18" customHeight="1">
      <c r="E6" s="69"/>
      <c r="G6" s="23" t="s">
        <v>146</v>
      </c>
      <c r="H6" s="28" t="s">
        <v>147</v>
      </c>
      <c r="I6" s="23" t="s">
        <v>148</v>
      </c>
      <c r="J6" s="24" t="b">
        <v>0</v>
      </c>
      <c r="K6" s="24" t="b">
        <v>0</v>
      </c>
      <c r="L6" s="24" t="b">
        <v>0</v>
      </c>
      <c r="M6" s="58" t="str">
        <f t="shared" si="0"/>
        <v/>
      </c>
      <c r="N6" s="73"/>
      <c r="Q6" s="29"/>
      <c r="X6" s="73"/>
      <c r="AA6" s="29"/>
      <c r="AH6" s="73"/>
      <c r="AK6" s="29"/>
      <c r="BB6" s="29"/>
      <c r="BD6" s="24" t="s">
        <v>146</v>
      </c>
      <c r="BE6" s="29">
        <v>243</v>
      </c>
      <c r="BF6" s="24" t="s">
        <v>132</v>
      </c>
      <c r="BG6" s="24" t="b">
        <v>0</v>
      </c>
      <c r="BH6" s="24" t="b">
        <v>0</v>
      </c>
      <c r="BI6" s="24" t="b">
        <v>0</v>
      </c>
      <c r="BJ6"/>
    </row>
    <row r="7" spans="1:70" ht="18" customHeight="1" thickBot="1">
      <c r="E7" s="69"/>
      <c r="G7" s="23" t="s">
        <v>146</v>
      </c>
      <c r="H7" s="28" t="s">
        <v>149</v>
      </c>
      <c r="I7" s="23" t="s">
        <v>218</v>
      </c>
      <c r="J7" s="24" t="b">
        <v>0</v>
      </c>
      <c r="K7" s="24" t="b">
        <v>0</v>
      </c>
      <c r="L7" s="24" t="b">
        <v>0</v>
      </c>
      <c r="M7" s="58" t="str">
        <f t="shared" si="0"/>
        <v/>
      </c>
      <c r="N7" s="73"/>
      <c r="Q7" s="29"/>
      <c r="X7" s="73"/>
      <c r="AA7" s="29"/>
      <c r="AH7" s="73"/>
      <c r="AK7" s="29"/>
      <c r="AR7" s="22" t="s">
        <v>82</v>
      </c>
      <c r="AS7" s="26" t="s">
        <v>84</v>
      </c>
      <c r="AT7" s="22" t="s">
        <v>139</v>
      </c>
      <c r="AU7" s="22" t="s">
        <v>140</v>
      </c>
      <c r="AV7" s="22" t="s">
        <v>18</v>
      </c>
      <c r="AW7" s="25" t="s">
        <v>79</v>
      </c>
      <c r="AX7" s="25" t="s">
        <v>83</v>
      </c>
      <c r="AY7" s="25" t="s">
        <v>81</v>
      </c>
      <c r="BB7" s="29"/>
      <c r="BD7" s="24" t="s">
        <v>146</v>
      </c>
      <c r="BE7" s="29">
        <v>265</v>
      </c>
      <c r="BF7" s="24" t="s">
        <v>151</v>
      </c>
      <c r="BG7" s="24" t="b">
        <v>0</v>
      </c>
      <c r="BH7" s="24" t="b">
        <v>0</v>
      </c>
      <c r="BI7" s="24" t="b">
        <v>0</v>
      </c>
      <c r="BJ7"/>
    </row>
    <row r="8" spans="1:70" ht="18" customHeight="1" thickTop="1">
      <c r="E8" s="69"/>
      <c r="G8" s="23" t="s">
        <v>146</v>
      </c>
      <c r="H8" s="28" t="s">
        <v>219</v>
      </c>
      <c r="I8" s="23" t="s">
        <v>220</v>
      </c>
      <c r="J8" s="24" t="b">
        <v>0</v>
      </c>
      <c r="K8" s="24" t="b">
        <v>0</v>
      </c>
      <c r="L8" s="24" t="b">
        <v>0</v>
      </c>
      <c r="M8" s="58" t="str">
        <f t="shared" si="0"/>
        <v/>
      </c>
      <c r="N8" s="73"/>
      <c r="Q8" s="29"/>
      <c r="X8" s="73"/>
      <c r="AA8" s="29"/>
      <c r="AH8" s="73"/>
      <c r="AK8" s="29"/>
      <c r="AR8" s="73"/>
      <c r="AU8" s="29"/>
      <c r="BB8" s="29"/>
      <c r="BC8" s="24" t="s">
        <v>194</v>
      </c>
      <c r="BD8" s="24" t="s">
        <v>146</v>
      </c>
      <c r="BE8" s="29">
        <v>270</v>
      </c>
      <c r="BF8" s="24" t="s">
        <v>103</v>
      </c>
      <c r="BG8" s="24" t="b">
        <v>0</v>
      </c>
      <c r="BH8" s="24" t="b">
        <v>0</v>
      </c>
      <c r="BI8" s="24" t="b">
        <v>0</v>
      </c>
      <c r="BJ8"/>
    </row>
    <row r="9" spans="1:70" ht="18" customHeight="1">
      <c r="E9" s="69"/>
      <c r="G9" s="23" t="s">
        <v>146</v>
      </c>
      <c r="H9" s="28">
        <v>112</v>
      </c>
      <c r="I9" s="23" t="s">
        <v>273</v>
      </c>
      <c r="J9" s="24" t="b">
        <v>0</v>
      </c>
      <c r="K9" s="24" t="b">
        <v>0</v>
      </c>
      <c r="L9" s="24" t="b">
        <v>0</v>
      </c>
      <c r="M9" s="58" t="str">
        <f>IF(OR(AND(J9,K9),AND(J9,L9),AND(K9,L9)),"Choose for one only","")</f>
        <v/>
      </c>
      <c r="N9" s="73"/>
      <c r="Q9" s="29"/>
      <c r="X9" s="73"/>
      <c r="AA9" s="29"/>
      <c r="AH9" s="73"/>
      <c r="AK9" s="29"/>
      <c r="AR9" s="73"/>
      <c r="AU9" s="29"/>
      <c r="BB9" s="29"/>
      <c r="BE9" s="29"/>
      <c r="BJ9"/>
    </row>
    <row r="10" spans="1:70" ht="18" customHeight="1">
      <c r="E10" s="69"/>
      <c r="G10" s="23" t="s">
        <v>146</v>
      </c>
      <c r="H10" s="28" t="s">
        <v>221</v>
      </c>
      <c r="I10" s="23" t="s">
        <v>222</v>
      </c>
      <c r="J10" s="24" t="b">
        <v>0</v>
      </c>
      <c r="K10" s="24" t="b">
        <v>0</v>
      </c>
      <c r="L10" s="24" t="b">
        <v>0</v>
      </c>
      <c r="M10" s="58" t="str">
        <f t="shared" si="0"/>
        <v/>
      </c>
      <c r="Q10" s="29"/>
      <c r="X10" s="29"/>
      <c r="AA10" s="29"/>
      <c r="AH10" s="29"/>
      <c r="AK10" s="29"/>
      <c r="AR10" s="29"/>
      <c r="AU10" s="29"/>
      <c r="BB10" s="29"/>
      <c r="BC10" s="24" t="s">
        <v>194</v>
      </c>
      <c r="BD10" s="24" t="s">
        <v>146</v>
      </c>
      <c r="BE10" s="29">
        <v>279</v>
      </c>
      <c r="BF10" s="24" t="s">
        <v>9</v>
      </c>
      <c r="BG10" s="24" t="b">
        <v>0</v>
      </c>
      <c r="BH10" s="24" t="b">
        <v>0</v>
      </c>
      <c r="BI10" s="24" t="b">
        <v>0</v>
      </c>
      <c r="BJ10"/>
    </row>
    <row r="11" spans="1:70" ht="18" customHeight="1">
      <c r="E11" s="69"/>
      <c r="G11" s="23" t="s">
        <v>146</v>
      </c>
      <c r="H11" s="28" t="s">
        <v>223</v>
      </c>
      <c r="I11" s="23" t="s">
        <v>224</v>
      </c>
      <c r="J11" s="24" t="b">
        <v>0</v>
      </c>
      <c r="K11" s="24" t="b">
        <v>0</v>
      </c>
      <c r="L11" s="24" t="b">
        <v>0</v>
      </c>
      <c r="M11" s="58" t="str">
        <f t="shared" si="0"/>
        <v/>
      </c>
      <c r="Q11" s="29"/>
      <c r="X11" s="29"/>
      <c r="AA11" s="29"/>
      <c r="AH11" s="29"/>
      <c r="AK11" s="29"/>
      <c r="AR11" s="29"/>
      <c r="AU11" s="29"/>
      <c r="BB11" s="29"/>
      <c r="BD11" s="24" t="s">
        <v>146</v>
      </c>
      <c r="BE11" s="29">
        <v>284</v>
      </c>
      <c r="BF11" s="24" t="s">
        <v>86</v>
      </c>
      <c r="BG11" s="24" t="b">
        <v>0</v>
      </c>
      <c r="BH11" s="24" t="b">
        <v>0</v>
      </c>
      <c r="BI11" s="24" t="b">
        <v>0</v>
      </c>
      <c r="BJ11"/>
    </row>
    <row r="12" spans="1:70" ht="18" customHeight="1">
      <c r="E12" s="69"/>
      <c r="G12" s="23" t="s">
        <v>146</v>
      </c>
      <c r="H12" s="28" t="s">
        <v>52</v>
      </c>
      <c r="I12" s="23" t="s">
        <v>53</v>
      </c>
      <c r="J12" s="24" t="b">
        <v>0</v>
      </c>
      <c r="K12" s="24" t="b">
        <v>0</v>
      </c>
      <c r="L12" s="24" t="b">
        <v>0</v>
      </c>
      <c r="M12" s="58" t="str">
        <f t="shared" si="0"/>
        <v/>
      </c>
      <c r="Q12" s="29"/>
      <c r="X12" s="29"/>
      <c r="AA12" s="29"/>
      <c r="AK12" s="29"/>
      <c r="AR12" s="29"/>
      <c r="AU12" s="29"/>
      <c r="BB12" s="29"/>
      <c r="BD12" s="24" t="s">
        <v>146</v>
      </c>
      <c r="BE12" s="29">
        <v>296</v>
      </c>
      <c r="BF12" s="24" t="s">
        <v>26</v>
      </c>
      <c r="BG12" s="24" t="b">
        <v>0</v>
      </c>
      <c r="BH12" s="24" t="b">
        <v>0</v>
      </c>
      <c r="BI12" s="24" t="b">
        <v>0</v>
      </c>
      <c r="BJ12"/>
    </row>
    <row r="13" spans="1:70" ht="18" customHeight="1">
      <c r="E13" s="69"/>
      <c r="G13" s="23" t="s">
        <v>146</v>
      </c>
      <c r="H13" s="28" t="s">
        <v>54</v>
      </c>
      <c r="I13" s="23" t="s">
        <v>55</v>
      </c>
      <c r="J13" s="24" t="b">
        <v>0</v>
      </c>
      <c r="K13" s="24" t="b">
        <v>0</v>
      </c>
      <c r="L13" s="24" t="b">
        <v>0</v>
      </c>
      <c r="M13" s="58" t="str">
        <f t="shared" si="0"/>
        <v/>
      </c>
      <c r="Q13" s="29"/>
      <c r="AK13" s="29"/>
      <c r="AR13" s="29"/>
      <c r="AU13" s="29"/>
      <c r="BB13" s="29"/>
      <c r="BD13" s="24" t="s">
        <v>146</v>
      </c>
      <c r="BE13" s="29">
        <v>298</v>
      </c>
      <c r="BF13" s="24" t="s">
        <v>92</v>
      </c>
      <c r="BG13" s="24" t="b">
        <v>0</v>
      </c>
      <c r="BH13" s="24" t="b">
        <v>0</v>
      </c>
      <c r="BI13" s="24" t="b">
        <v>0</v>
      </c>
      <c r="BJ13"/>
    </row>
    <row r="14" spans="1:70" ht="18" customHeight="1">
      <c r="E14" s="69"/>
      <c r="G14" s="23" t="s">
        <v>146</v>
      </c>
      <c r="H14" s="28">
        <v>134</v>
      </c>
      <c r="I14" s="23" t="s">
        <v>189</v>
      </c>
      <c r="J14" s="24" t="b">
        <v>0</v>
      </c>
      <c r="K14" s="24" t="b">
        <v>0</v>
      </c>
      <c r="L14" s="24" t="b">
        <v>0</v>
      </c>
      <c r="M14" s="58" t="str">
        <f>IF(OR(AND(J14,K14),AND(J14,L14),AND(K14,L14)),"Choose for one only","")</f>
        <v/>
      </c>
      <c r="Q14" s="29"/>
      <c r="AK14" s="29"/>
      <c r="AR14" s="29"/>
      <c r="AU14" s="29"/>
      <c r="BB14" s="29"/>
      <c r="BE14" s="29"/>
      <c r="BJ14"/>
    </row>
    <row r="15" spans="1:70" ht="18" customHeight="1">
      <c r="E15" s="69"/>
      <c r="G15" s="23" t="s">
        <v>146</v>
      </c>
      <c r="H15" s="28" t="s">
        <v>56</v>
      </c>
      <c r="I15" s="23" t="s">
        <v>57</v>
      </c>
      <c r="J15" s="24" t="b">
        <v>0</v>
      </c>
      <c r="K15" s="24" t="b">
        <v>0</v>
      </c>
      <c r="L15" s="24" t="b">
        <v>0</v>
      </c>
      <c r="M15" s="58" t="str">
        <f t="shared" si="0"/>
        <v/>
      </c>
      <c r="AK15" s="29"/>
      <c r="AR15" s="29"/>
      <c r="AU15" s="29"/>
      <c r="BB15" s="29"/>
      <c r="BD15" s="24" t="s">
        <v>146</v>
      </c>
      <c r="BE15" s="29">
        <v>302</v>
      </c>
      <c r="BF15" s="24" t="s">
        <v>229</v>
      </c>
      <c r="BG15" s="24" t="b">
        <v>0</v>
      </c>
      <c r="BH15" s="24" t="b">
        <v>0</v>
      </c>
      <c r="BI15" s="24" t="b">
        <v>0</v>
      </c>
      <c r="BJ15"/>
    </row>
    <row r="16" spans="1:70" ht="18" customHeight="1">
      <c r="E16" s="69"/>
      <c r="G16" s="23" t="s">
        <v>146</v>
      </c>
      <c r="H16" s="28">
        <v>142</v>
      </c>
      <c r="I16" s="23" t="s">
        <v>243</v>
      </c>
      <c r="J16" s="24" t="b">
        <v>0</v>
      </c>
      <c r="K16" s="24" t="b">
        <v>0</v>
      </c>
      <c r="L16" s="24" t="b">
        <v>0</v>
      </c>
      <c r="M16" s="58" t="str">
        <f>IF(OR(AND(J16,K16),AND(J16,L16),AND(K16,L16)),"Choose for one only","")</f>
        <v/>
      </c>
      <c r="AK16" s="29"/>
      <c r="AR16" s="29"/>
      <c r="AU16" s="29"/>
      <c r="BB16" s="29"/>
      <c r="BE16" s="29"/>
      <c r="BJ16"/>
    </row>
    <row r="17" spans="5:62" ht="18" customHeight="1">
      <c r="E17" s="69"/>
      <c r="G17" s="23" t="s">
        <v>146</v>
      </c>
      <c r="H17" s="28" t="s">
        <v>58</v>
      </c>
      <c r="I17" s="23" t="s">
        <v>59</v>
      </c>
      <c r="J17" s="24" t="b">
        <v>0</v>
      </c>
      <c r="K17" s="24" t="b">
        <v>0</v>
      </c>
      <c r="L17" s="24" t="b">
        <v>0</v>
      </c>
      <c r="M17" s="58" t="str">
        <f t="shared" si="0"/>
        <v/>
      </c>
      <c r="AR17" s="29"/>
      <c r="AU17" s="29"/>
      <c r="BB17" s="29"/>
      <c r="BD17" s="24" t="s">
        <v>146</v>
      </c>
      <c r="BE17" s="29">
        <v>312</v>
      </c>
      <c r="BF17" s="24" t="s">
        <v>234</v>
      </c>
      <c r="BG17" s="24" t="b">
        <v>0</v>
      </c>
      <c r="BH17" s="24" t="b">
        <v>0</v>
      </c>
      <c r="BI17" s="24" t="b">
        <v>0</v>
      </c>
      <c r="BJ17"/>
    </row>
    <row r="18" spans="5:62" ht="18" customHeight="1">
      <c r="E18" s="69"/>
      <c r="G18" s="23" t="s">
        <v>146</v>
      </c>
      <c r="H18" s="28">
        <v>153</v>
      </c>
      <c r="I18" s="23" t="s">
        <v>274</v>
      </c>
      <c r="J18" s="24" t="b">
        <v>0</v>
      </c>
      <c r="K18" s="24" t="b">
        <v>0</v>
      </c>
      <c r="L18" s="24" t="b">
        <v>0</v>
      </c>
      <c r="M18" s="58" t="str">
        <f>IF(OR(AND(J18,K18),AND(J18,L18),AND(K18,L18)),"Choose for one only","")</f>
        <v/>
      </c>
      <c r="AR18" s="29"/>
      <c r="AU18" s="29"/>
      <c r="BB18" s="29"/>
      <c r="BE18" s="29"/>
      <c r="BJ18"/>
    </row>
    <row r="19" spans="5:62" ht="18" customHeight="1">
      <c r="E19" s="69"/>
      <c r="G19" s="23" t="s">
        <v>146</v>
      </c>
      <c r="H19" s="28" t="s">
        <v>60</v>
      </c>
      <c r="I19" s="23" t="s">
        <v>61</v>
      </c>
      <c r="J19" s="24" t="b">
        <v>0</v>
      </c>
      <c r="K19" s="24" t="b">
        <v>0</v>
      </c>
      <c r="L19" s="24" t="b">
        <v>0</v>
      </c>
      <c r="M19" s="58" t="str">
        <f t="shared" si="0"/>
        <v/>
      </c>
      <c r="AR19" s="29"/>
      <c r="AU19" s="29"/>
      <c r="BB19" s="29"/>
      <c r="BD19" s="24" t="s">
        <v>146</v>
      </c>
      <c r="BE19" s="29">
        <v>314</v>
      </c>
      <c r="BF19" s="24" t="s">
        <v>161</v>
      </c>
      <c r="BG19" s="24" t="b">
        <v>0</v>
      </c>
      <c r="BH19" s="24" t="b">
        <v>0</v>
      </c>
      <c r="BI19" s="24" t="b">
        <v>0</v>
      </c>
      <c r="BJ19"/>
    </row>
    <row r="20" spans="5:62" ht="18" customHeight="1">
      <c r="E20" s="69"/>
      <c r="G20" s="23" t="s">
        <v>146</v>
      </c>
      <c r="H20" s="28" t="s">
        <v>62</v>
      </c>
      <c r="I20" s="23" t="s">
        <v>261</v>
      </c>
      <c r="J20" s="24" t="b">
        <v>0</v>
      </c>
      <c r="K20" s="24" t="b">
        <v>0</v>
      </c>
      <c r="L20" s="24" t="b">
        <v>0</v>
      </c>
      <c r="M20" s="58" t="str">
        <f t="shared" si="0"/>
        <v/>
      </c>
      <c r="BB20" s="29"/>
      <c r="BD20" s="24" t="s">
        <v>146</v>
      </c>
      <c r="BE20" s="29">
        <v>316</v>
      </c>
      <c r="BF20" s="24" t="s">
        <v>164</v>
      </c>
      <c r="BG20" s="24" t="b">
        <v>0</v>
      </c>
      <c r="BH20" s="24" t="b">
        <v>0</v>
      </c>
      <c r="BI20" s="24" t="b">
        <v>0</v>
      </c>
      <c r="BJ20"/>
    </row>
    <row r="21" spans="5:62" ht="18" customHeight="1">
      <c r="E21" s="69"/>
      <c r="G21" s="23" t="s">
        <v>146</v>
      </c>
      <c r="H21" s="28" t="s">
        <v>262</v>
      </c>
      <c r="I21" s="23" t="s">
        <v>263</v>
      </c>
      <c r="J21" s="24" t="b">
        <v>0</v>
      </c>
      <c r="K21" s="24" t="b">
        <v>0</v>
      </c>
      <c r="L21" s="24" t="b">
        <v>0</v>
      </c>
      <c r="M21" s="58" t="str">
        <f t="shared" si="0"/>
        <v/>
      </c>
      <c r="BB21" s="29"/>
      <c r="BD21" s="24" t="s">
        <v>146</v>
      </c>
      <c r="BE21" s="29">
        <v>318</v>
      </c>
      <c r="BF21" s="24" t="s">
        <v>165</v>
      </c>
      <c r="BG21" s="24" t="b">
        <v>0</v>
      </c>
      <c r="BH21" s="24" t="b">
        <v>0</v>
      </c>
      <c r="BI21" s="24" t="b">
        <v>0</v>
      </c>
      <c r="BJ21"/>
    </row>
    <row r="22" spans="5:62" ht="18" customHeight="1">
      <c r="E22" s="69"/>
      <c r="G22" s="23" t="s">
        <v>146</v>
      </c>
      <c r="H22" s="28" t="s">
        <v>264</v>
      </c>
      <c r="I22" s="23" t="s">
        <v>265</v>
      </c>
      <c r="J22" s="24" t="b">
        <v>0</v>
      </c>
      <c r="K22" s="24" t="b">
        <v>0</v>
      </c>
      <c r="L22" s="24" t="b">
        <v>0</v>
      </c>
      <c r="M22" s="58" t="str">
        <f t="shared" si="0"/>
        <v/>
      </c>
      <c r="BB22" s="29"/>
      <c r="BD22" s="24" t="s">
        <v>146</v>
      </c>
      <c r="BE22" s="29">
        <v>322</v>
      </c>
      <c r="BF22" s="24" t="s">
        <v>121</v>
      </c>
      <c r="BG22" s="24" t="b">
        <v>0</v>
      </c>
      <c r="BH22" s="24" t="b">
        <v>0</v>
      </c>
      <c r="BI22" s="24" t="b">
        <v>0</v>
      </c>
      <c r="BJ22"/>
    </row>
    <row r="23" spans="5:62" ht="18" customHeight="1">
      <c r="E23" s="69"/>
      <c r="G23" s="23" t="s">
        <v>146</v>
      </c>
      <c r="H23" s="28" t="s">
        <v>266</v>
      </c>
      <c r="I23" s="23" t="s">
        <v>267</v>
      </c>
      <c r="J23" s="24" t="b">
        <v>0</v>
      </c>
      <c r="K23" s="24" t="b">
        <v>0</v>
      </c>
      <c r="L23" s="24" t="b">
        <v>0</v>
      </c>
      <c r="M23" s="58" t="str">
        <f t="shared" si="0"/>
        <v/>
      </c>
      <c r="BB23" s="29"/>
      <c r="BD23" s="24" t="s">
        <v>146</v>
      </c>
      <c r="BE23" s="29">
        <v>323</v>
      </c>
      <c r="BF23" s="24" t="s">
        <v>122</v>
      </c>
      <c r="BG23" s="24" t="b">
        <v>0</v>
      </c>
      <c r="BH23" s="24" t="b">
        <v>0</v>
      </c>
      <c r="BI23" s="24" t="b">
        <v>0</v>
      </c>
      <c r="BJ23"/>
    </row>
    <row r="24" spans="5:62" ht="18" customHeight="1">
      <c r="E24" s="69"/>
      <c r="G24" s="23" t="s">
        <v>146</v>
      </c>
      <c r="H24" s="28">
        <v>182</v>
      </c>
      <c r="I24" s="23" t="s">
        <v>268</v>
      </c>
      <c r="J24" s="24" t="b">
        <v>0</v>
      </c>
      <c r="K24" s="24" t="b">
        <v>0</v>
      </c>
      <c r="L24" s="24" t="b">
        <v>0</v>
      </c>
      <c r="M24" s="58" t="str">
        <f t="shared" si="0"/>
        <v/>
      </c>
      <c r="BB24" s="29"/>
      <c r="BC24" s="24" t="s">
        <v>194</v>
      </c>
      <c r="BD24" s="24" t="s">
        <v>146</v>
      </c>
      <c r="BE24" s="29">
        <v>339</v>
      </c>
      <c r="BF24" s="24" t="s">
        <v>73</v>
      </c>
      <c r="BG24" s="24" t="b">
        <v>0</v>
      </c>
      <c r="BH24" s="24" t="b">
        <v>0</v>
      </c>
      <c r="BI24" s="24" t="b">
        <v>0</v>
      </c>
      <c r="BJ24"/>
    </row>
    <row r="25" spans="5:62" ht="18" customHeight="1">
      <c r="E25" s="69"/>
      <c r="G25" s="23" t="s">
        <v>146</v>
      </c>
      <c r="H25" s="28" t="s">
        <v>269</v>
      </c>
      <c r="I25" s="23" t="s">
        <v>275</v>
      </c>
      <c r="J25" s="24" t="b">
        <v>0</v>
      </c>
      <c r="K25" s="24" t="b">
        <v>0</v>
      </c>
      <c r="L25" s="24" t="b">
        <v>0</v>
      </c>
      <c r="M25" s="58" t="str">
        <f t="shared" si="0"/>
        <v/>
      </c>
      <c r="BB25" s="29"/>
      <c r="BD25" s="24" t="s">
        <v>146</v>
      </c>
      <c r="BE25" s="29">
        <v>346</v>
      </c>
      <c r="BF25" s="24" t="s">
        <v>13</v>
      </c>
      <c r="BG25" s="24" t="b">
        <v>0</v>
      </c>
      <c r="BH25" s="24" t="b">
        <v>0</v>
      </c>
      <c r="BI25" s="24" t="b">
        <v>0</v>
      </c>
      <c r="BJ25"/>
    </row>
    <row r="26" spans="5:62" ht="18" customHeight="1">
      <c r="E26" s="69"/>
      <c r="G26" s="23" t="s">
        <v>146</v>
      </c>
      <c r="H26" s="28">
        <v>196</v>
      </c>
      <c r="I26" s="23" t="s">
        <v>280</v>
      </c>
      <c r="J26" s="24" t="b">
        <v>0</v>
      </c>
      <c r="K26" s="24" t="b">
        <v>0</v>
      </c>
      <c r="L26" s="24" t="b">
        <v>0</v>
      </c>
      <c r="M26" s="58" t="str">
        <f t="shared" si="0"/>
        <v/>
      </c>
      <c r="BA26" s="24">
        <f>SUM(BA28:BA143)</f>
        <v>0</v>
      </c>
      <c r="BB26" s="29"/>
      <c r="BD26" s="24" t="s">
        <v>146</v>
      </c>
      <c r="BE26" s="29">
        <v>363</v>
      </c>
      <c r="BF26" s="24" t="s">
        <v>137</v>
      </c>
      <c r="BG26" s="24" t="b">
        <v>0</v>
      </c>
      <c r="BH26" s="24" t="b">
        <v>0</v>
      </c>
      <c r="BI26" s="24" t="b">
        <v>0</v>
      </c>
      <c r="BJ26"/>
    </row>
    <row r="27" spans="5:62" ht="18" customHeight="1">
      <c r="E27" s="69"/>
      <c r="G27" s="23" t="s">
        <v>146</v>
      </c>
      <c r="H27" s="28" t="s">
        <v>27</v>
      </c>
      <c r="I27" s="23" t="s">
        <v>28</v>
      </c>
      <c r="J27" s="24" t="b">
        <v>0</v>
      </c>
      <c r="K27" s="24" t="b">
        <v>0</v>
      </c>
      <c r="L27" s="24" t="b">
        <v>0</v>
      </c>
      <c r="M27" s="58" t="str">
        <f t="shared" si="0"/>
        <v/>
      </c>
      <c r="BA27" s="77" t="s">
        <v>45</v>
      </c>
      <c r="BB27" s="29"/>
      <c r="BD27" s="24" t="s">
        <v>146</v>
      </c>
      <c r="BE27" s="29">
        <v>371</v>
      </c>
      <c r="BF27" s="24" t="s">
        <v>157</v>
      </c>
      <c r="BG27" s="24" t="b">
        <v>0</v>
      </c>
      <c r="BH27" s="24" t="b">
        <v>0</v>
      </c>
      <c r="BI27" s="24" t="b">
        <v>0</v>
      </c>
      <c r="BJ27"/>
    </row>
    <row r="28" spans="5:62" ht="18" customHeight="1">
      <c r="E28" s="69"/>
      <c r="F28" s="23" t="s">
        <v>194</v>
      </c>
      <c r="G28" s="23" t="s">
        <v>146</v>
      </c>
      <c r="H28" s="28" t="s">
        <v>29</v>
      </c>
      <c r="I28" s="23" t="s">
        <v>30</v>
      </c>
      <c r="J28" s="24" t="b">
        <v>0</v>
      </c>
      <c r="K28" s="24" t="b">
        <v>0</v>
      </c>
      <c r="L28" s="24" t="b">
        <v>0</v>
      </c>
      <c r="M28" s="58" t="str">
        <f t="shared" si="0"/>
        <v/>
      </c>
      <c r="BA28" s="24">
        <f>IF(E28&gt;2,E28,0)</f>
        <v>0</v>
      </c>
      <c r="BB28" s="29"/>
      <c r="BD28" s="24" t="s">
        <v>146</v>
      </c>
      <c r="BE28" s="29">
        <v>376</v>
      </c>
      <c r="BF28" s="24" t="s">
        <v>158</v>
      </c>
      <c r="BG28" s="24" t="b">
        <v>0</v>
      </c>
      <c r="BH28" s="24" t="b">
        <v>0</v>
      </c>
      <c r="BI28" s="24" t="b">
        <v>0</v>
      </c>
      <c r="BJ28"/>
    </row>
    <row r="29" spans="5:62" ht="18" customHeight="1">
      <c r="E29" s="69"/>
      <c r="G29" s="23" t="s">
        <v>146</v>
      </c>
      <c r="H29" s="28" t="s">
        <v>31</v>
      </c>
      <c r="I29" s="23" t="s">
        <v>201</v>
      </c>
      <c r="J29" s="24" t="b">
        <v>0</v>
      </c>
      <c r="K29" s="24" t="b">
        <v>0</v>
      </c>
      <c r="L29" s="24" t="b">
        <v>0</v>
      </c>
      <c r="M29" s="58" t="str">
        <f t="shared" si="0"/>
        <v/>
      </c>
      <c r="BA29" s="24">
        <f t="shared" ref="BA29:BA94" si="1">IF(E29&gt;2,E29,0)</f>
        <v>0</v>
      </c>
      <c r="BB29" s="29"/>
      <c r="BD29" s="24" t="s">
        <v>146</v>
      </c>
      <c r="BE29" s="29">
        <v>380</v>
      </c>
      <c r="BF29" s="24" t="s">
        <v>159</v>
      </c>
      <c r="BG29" s="24" t="b">
        <v>0</v>
      </c>
      <c r="BH29" s="24" t="b">
        <v>0</v>
      </c>
      <c r="BI29" s="24" t="b">
        <v>0</v>
      </c>
      <c r="BJ29"/>
    </row>
    <row r="30" spans="5:62" ht="18" customHeight="1">
      <c r="E30" s="69"/>
      <c r="F30" s="23" t="s">
        <v>194</v>
      </c>
      <c r="G30" s="23" t="s">
        <v>146</v>
      </c>
      <c r="H30" s="28" t="s">
        <v>202</v>
      </c>
      <c r="I30" s="23" t="s">
        <v>218</v>
      </c>
      <c r="J30" s="24" t="b">
        <v>0</v>
      </c>
      <c r="K30" s="24" t="b">
        <v>0</v>
      </c>
      <c r="L30" s="24" t="b">
        <v>0</v>
      </c>
      <c r="M30" s="58" t="str">
        <f t="shared" si="0"/>
        <v/>
      </c>
      <c r="BA30" s="24">
        <f t="shared" si="1"/>
        <v>0</v>
      </c>
      <c r="BB30" s="29"/>
      <c r="BD30" s="24" t="s">
        <v>146</v>
      </c>
      <c r="BE30" s="29">
        <v>381</v>
      </c>
      <c r="BF30" s="24" t="s">
        <v>63</v>
      </c>
      <c r="BG30" s="24" t="b">
        <v>0</v>
      </c>
      <c r="BH30" s="24" t="b">
        <v>0</v>
      </c>
      <c r="BI30" s="24" t="b">
        <v>0</v>
      </c>
      <c r="BJ30"/>
    </row>
    <row r="31" spans="5:62" ht="18" customHeight="1">
      <c r="E31" s="69"/>
      <c r="G31" s="23" t="s">
        <v>146</v>
      </c>
      <c r="H31" s="28" t="s">
        <v>203</v>
      </c>
      <c r="I31" s="23" t="s">
        <v>204</v>
      </c>
      <c r="J31" s="24" t="b">
        <v>0</v>
      </c>
      <c r="K31" s="24" t="b">
        <v>0</v>
      </c>
      <c r="L31" s="24" t="b">
        <v>0</v>
      </c>
      <c r="M31" s="58" t="str">
        <f t="shared" si="0"/>
        <v/>
      </c>
      <c r="BA31" s="24">
        <f t="shared" si="1"/>
        <v>0</v>
      </c>
      <c r="BB31" s="29"/>
      <c r="BD31" s="24" t="s">
        <v>146</v>
      </c>
      <c r="BE31" s="29">
        <v>385</v>
      </c>
      <c r="BF31" s="24" t="s">
        <v>66</v>
      </c>
      <c r="BG31" s="24" t="b">
        <v>0</v>
      </c>
      <c r="BH31" s="24" t="b">
        <v>0</v>
      </c>
      <c r="BI31" s="24" t="b">
        <v>0</v>
      </c>
      <c r="BJ31"/>
    </row>
    <row r="32" spans="5:62" ht="18" customHeight="1">
      <c r="E32" s="69"/>
      <c r="G32" s="23" t="s">
        <v>146</v>
      </c>
      <c r="H32" s="28" t="s">
        <v>205</v>
      </c>
      <c r="I32" s="23" t="s">
        <v>50</v>
      </c>
      <c r="J32" s="24" t="b">
        <v>0</v>
      </c>
      <c r="K32" s="24" t="b">
        <v>0</v>
      </c>
      <c r="L32" s="24" t="b">
        <v>0</v>
      </c>
      <c r="M32" s="58" t="str">
        <f t="shared" si="0"/>
        <v/>
      </c>
      <c r="BA32" s="24">
        <f t="shared" si="1"/>
        <v>0</v>
      </c>
      <c r="BB32" s="29"/>
      <c r="BC32" s="24" t="s">
        <v>195</v>
      </c>
      <c r="BD32" s="24" t="s">
        <v>146</v>
      </c>
      <c r="BE32" s="29">
        <v>430</v>
      </c>
      <c r="BF32" s="24" t="s">
        <v>258</v>
      </c>
      <c r="BG32" s="24" t="b">
        <v>0</v>
      </c>
      <c r="BH32" s="24" t="b">
        <v>0</v>
      </c>
      <c r="BI32" s="24" t="b">
        <v>0</v>
      </c>
      <c r="BJ32"/>
    </row>
    <row r="33" spans="5:62" ht="18" customHeight="1">
      <c r="E33" s="69"/>
      <c r="F33" s="23" t="s">
        <v>194</v>
      </c>
      <c r="G33" s="23" t="s">
        <v>146</v>
      </c>
      <c r="H33" s="28" t="s">
        <v>51</v>
      </c>
      <c r="I33" s="23" t="s">
        <v>276</v>
      </c>
      <c r="J33" s="24" t="b">
        <v>0</v>
      </c>
      <c r="K33" s="24" t="b">
        <v>0</v>
      </c>
      <c r="L33" s="24" t="b">
        <v>0</v>
      </c>
      <c r="M33" s="58" t="str">
        <f t="shared" si="0"/>
        <v/>
      </c>
      <c r="BA33" s="24">
        <f t="shared" si="1"/>
        <v>0</v>
      </c>
      <c r="BB33" s="29"/>
      <c r="BD33" s="24" t="s">
        <v>146</v>
      </c>
      <c r="BE33" s="29">
        <v>451</v>
      </c>
      <c r="BF33" s="24" t="s">
        <v>208</v>
      </c>
      <c r="BG33" s="24" t="b">
        <v>0</v>
      </c>
      <c r="BH33" s="24" t="b">
        <v>0</v>
      </c>
      <c r="BI33" s="24" t="b">
        <v>0</v>
      </c>
      <c r="BJ33"/>
    </row>
    <row r="34" spans="5:62" ht="18" customHeight="1">
      <c r="E34" s="69"/>
      <c r="G34" s="23" t="s">
        <v>146</v>
      </c>
      <c r="H34" s="28">
        <v>217</v>
      </c>
      <c r="I34" s="23" t="s">
        <v>277</v>
      </c>
      <c r="J34" s="24" t="b">
        <v>0</v>
      </c>
      <c r="K34" s="24" t="b">
        <v>0</v>
      </c>
      <c r="L34" s="24" t="b">
        <v>0</v>
      </c>
      <c r="M34" s="58" t="str">
        <f>IF(OR(AND(J34,K34),AND(J34,L34),AND(K34,L34)),"Choose for one only","")</f>
        <v/>
      </c>
      <c r="BB34" s="29"/>
      <c r="BE34" s="29"/>
      <c r="BJ34"/>
    </row>
    <row r="35" spans="5:62" ht="18" customHeight="1">
      <c r="E35" s="69"/>
      <c r="G35" s="23" t="s">
        <v>146</v>
      </c>
      <c r="H35" s="28" t="s">
        <v>180</v>
      </c>
      <c r="I35" s="23" t="s">
        <v>222</v>
      </c>
      <c r="J35" s="24" t="b">
        <v>0</v>
      </c>
      <c r="K35" s="24" t="b">
        <v>0</v>
      </c>
      <c r="L35" s="24" t="b">
        <v>0</v>
      </c>
      <c r="M35" s="58" t="str">
        <f t="shared" si="0"/>
        <v/>
      </c>
      <c r="BA35" s="24">
        <f t="shared" si="1"/>
        <v>0</v>
      </c>
      <c r="BB35" s="29"/>
      <c r="BD35" s="24" t="s">
        <v>146</v>
      </c>
      <c r="BE35" s="29">
        <v>456</v>
      </c>
      <c r="BF35" s="24" t="s">
        <v>46</v>
      </c>
      <c r="BG35" s="24" t="b">
        <v>0</v>
      </c>
      <c r="BH35" s="24" t="b">
        <v>0</v>
      </c>
      <c r="BI35" s="24" t="b">
        <v>0</v>
      </c>
      <c r="BJ35"/>
    </row>
    <row r="36" spans="5:62" ht="18" customHeight="1">
      <c r="E36" s="69"/>
      <c r="G36" s="23" t="s">
        <v>146</v>
      </c>
      <c r="H36" s="28" t="s">
        <v>181</v>
      </c>
      <c r="I36" s="23" t="s">
        <v>182</v>
      </c>
      <c r="J36" s="24" t="b">
        <v>0</v>
      </c>
      <c r="K36" s="24" t="b">
        <v>0</v>
      </c>
      <c r="L36" s="24" t="b">
        <v>0</v>
      </c>
      <c r="M36" s="58" t="str">
        <f t="shared" si="0"/>
        <v/>
      </c>
      <c r="BA36" s="24">
        <f t="shared" si="1"/>
        <v>0</v>
      </c>
      <c r="BB36" s="29"/>
      <c r="BD36" s="24" t="s">
        <v>146</v>
      </c>
      <c r="BE36" s="29">
        <v>459</v>
      </c>
      <c r="BF36" s="24" t="s">
        <v>35</v>
      </c>
      <c r="BG36" s="24" t="b">
        <v>0</v>
      </c>
      <c r="BH36" s="24" t="b">
        <v>0</v>
      </c>
      <c r="BI36" s="24" t="b">
        <v>0</v>
      </c>
      <c r="BJ36"/>
    </row>
    <row r="37" spans="5:62" ht="18" customHeight="1">
      <c r="E37" s="69"/>
      <c r="G37" s="23" t="s">
        <v>146</v>
      </c>
      <c r="H37" s="28" t="s">
        <v>183</v>
      </c>
      <c r="I37" s="23" t="s">
        <v>184</v>
      </c>
      <c r="J37" s="24" t="b">
        <v>0</v>
      </c>
      <c r="K37" s="24" t="b">
        <v>0</v>
      </c>
      <c r="L37" s="24" t="b">
        <v>0</v>
      </c>
      <c r="M37" s="58" t="str">
        <f t="shared" si="0"/>
        <v/>
      </c>
      <c r="BA37" s="24">
        <f t="shared" si="1"/>
        <v>0</v>
      </c>
      <c r="BB37" s="29"/>
      <c r="BD37" s="24" t="s">
        <v>146</v>
      </c>
      <c r="BE37" s="29">
        <v>478</v>
      </c>
      <c r="BF37" s="24" t="s">
        <v>44</v>
      </c>
      <c r="BG37" s="24" t="b">
        <v>0</v>
      </c>
      <c r="BH37" s="24" t="b">
        <v>0</v>
      </c>
      <c r="BI37" s="24" t="b">
        <v>0</v>
      </c>
      <c r="BJ37"/>
    </row>
    <row r="38" spans="5:62" ht="18" customHeight="1" thickBot="1">
      <c r="E38" s="69"/>
      <c r="G38" s="23" t="s">
        <v>146</v>
      </c>
      <c r="H38" s="28">
        <v>230</v>
      </c>
      <c r="I38" s="23" t="s">
        <v>185</v>
      </c>
      <c r="J38" s="24" t="b">
        <v>0</v>
      </c>
      <c r="K38" s="24" t="b">
        <v>0</v>
      </c>
      <c r="L38" s="24" t="b">
        <v>0</v>
      </c>
      <c r="M38" s="58" t="str">
        <f t="shared" si="0"/>
        <v/>
      </c>
      <c r="BA38" s="24">
        <f t="shared" si="1"/>
        <v>0</v>
      </c>
      <c r="BB38" s="37"/>
      <c r="BC38" s="33"/>
      <c r="BD38" s="33" t="s">
        <v>146</v>
      </c>
      <c r="BE38" s="37">
        <v>498</v>
      </c>
      <c r="BF38" s="33" t="s">
        <v>150</v>
      </c>
      <c r="BG38" s="33" t="b">
        <v>0</v>
      </c>
      <c r="BH38" s="33" t="b">
        <v>0</v>
      </c>
      <c r="BI38" s="33" t="b">
        <v>0</v>
      </c>
      <c r="BJ38"/>
    </row>
    <row r="39" spans="5:62" ht="18" customHeight="1">
      <c r="E39" s="69"/>
      <c r="G39" s="23" t="s">
        <v>146</v>
      </c>
      <c r="H39" s="28">
        <v>231</v>
      </c>
      <c r="I39" s="23" t="s">
        <v>53</v>
      </c>
      <c r="J39" s="24" t="b">
        <v>0</v>
      </c>
      <c r="K39" s="24" t="b">
        <v>0</v>
      </c>
      <c r="L39" s="24" t="b">
        <v>0</v>
      </c>
      <c r="M39" s="58" t="str">
        <f>IF(OR(AND(J39,K39),AND(J39,L39),AND(K39,L39)),"Choose for one only","")</f>
        <v/>
      </c>
      <c r="BB39" s="78"/>
      <c r="BC39" s="79"/>
      <c r="BD39" s="79"/>
      <c r="BE39" s="78"/>
      <c r="BF39" s="79"/>
      <c r="BG39" s="79"/>
      <c r="BH39" s="79"/>
      <c r="BI39" s="79"/>
      <c r="BJ39"/>
    </row>
    <row r="40" spans="5:62" ht="18" customHeight="1">
      <c r="E40" s="69"/>
      <c r="F40" s="23" t="s">
        <v>194</v>
      </c>
      <c r="G40" s="23" t="s">
        <v>146</v>
      </c>
      <c r="H40" s="28" t="s">
        <v>186</v>
      </c>
      <c r="I40" s="23" t="s">
        <v>187</v>
      </c>
      <c r="J40" s="24" t="b">
        <v>0</v>
      </c>
      <c r="K40" s="24" t="b">
        <v>0</v>
      </c>
      <c r="L40" s="24" t="b">
        <v>0</v>
      </c>
      <c r="M40" s="58" t="str">
        <f t="shared" si="0"/>
        <v/>
      </c>
      <c r="BA40" s="24">
        <f t="shared" si="1"/>
        <v>0</v>
      </c>
      <c r="BB40" s="29"/>
      <c r="BE40" s="29"/>
      <c r="BJ40"/>
    </row>
    <row r="41" spans="5:62" ht="18" customHeight="1">
      <c r="E41" s="69"/>
      <c r="F41" s="23" t="s">
        <v>194</v>
      </c>
      <c r="G41" s="23" t="s">
        <v>146</v>
      </c>
      <c r="H41" s="28" t="s">
        <v>188</v>
      </c>
      <c r="I41" s="23" t="s">
        <v>189</v>
      </c>
      <c r="J41" s="24" t="b">
        <v>0</v>
      </c>
      <c r="K41" s="24" t="b">
        <v>0</v>
      </c>
      <c r="L41" s="24" t="b">
        <v>0</v>
      </c>
      <c r="M41" s="58" t="str">
        <f t="shared" si="0"/>
        <v/>
      </c>
      <c r="BA41" s="24">
        <f t="shared" si="1"/>
        <v>0</v>
      </c>
      <c r="BB41" s="29"/>
      <c r="BE41" s="29"/>
      <c r="BJ41"/>
    </row>
    <row r="42" spans="5:62" ht="18" customHeight="1">
      <c r="E42" s="69"/>
      <c r="G42" s="23" t="s">
        <v>146</v>
      </c>
      <c r="H42" s="28" t="s">
        <v>190</v>
      </c>
      <c r="I42" s="23" t="s">
        <v>191</v>
      </c>
      <c r="J42" s="24" t="b">
        <v>0</v>
      </c>
      <c r="K42" s="24" t="b">
        <v>0</v>
      </c>
      <c r="L42" s="24" t="b">
        <v>0</v>
      </c>
      <c r="M42" s="58" t="str">
        <f t="shared" si="0"/>
        <v/>
      </c>
      <c r="BA42" s="24">
        <f t="shared" si="1"/>
        <v>0</v>
      </c>
      <c r="BB42" s="29"/>
      <c r="BE42" s="29"/>
      <c r="BJ42"/>
    </row>
    <row r="43" spans="5:62" ht="18" customHeight="1">
      <c r="E43" s="69"/>
      <c r="G43" s="23" t="s">
        <v>146</v>
      </c>
      <c r="H43" s="28" t="s">
        <v>237</v>
      </c>
      <c r="I43" s="23" t="s">
        <v>238</v>
      </c>
      <c r="J43" s="24" t="b">
        <v>0</v>
      </c>
      <c r="K43" s="24" t="b">
        <v>0</v>
      </c>
      <c r="L43" s="24" t="b">
        <v>0</v>
      </c>
      <c r="M43" s="58" t="str">
        <f t="shared" si="0"/>
        <v/>
      </c>
      <c r="BA43" s="24">
        <f t="shared" si="1"/>
        <v>0</v>
      </c>
      <c r="BB43" s="29"/>
      <c r="BE43" s="29"/>
      <c r="BJ43"/>
    </row>
    <row r="44" spans="5:62" ht="18" customHeight="1">
      <c r="E44" s="69"/>
      <c r="G44" s="23" t="s">
        <v>146</v>
      </c>
      <c r="H44" s="28" t="s">
        <v>239</v>
      </c>
      <c r="I44" s="23" t="s">
        <v>57</v>
      </c>
      <c r="J44" s="24" t="b">
        <v>0</v>
      </c>
      <c r="K44" s="24" t="b">
        <v>0</v>
      </c>
      <c r="L44" s="24" t="b">
        <v>0</v>
      </c>
      <c r="M44" s="58" t="str">
        <f t="shared" si="0"/>
        <v/>
      </c>
      <c r="BA44" s="24">
        <f t="shared" si="1"/>
        <v>0</v>
      </c>
      <c r="BB44" s="29"/>
      <c r="BE44" s="29"/>
      <c r="BJ44"/>
    </row>
    <row r="45" spans="5:62" ht="18" customHeight="1">
      <c r="E45" s="69"/>
      <c r="G45" s="23" t="s">
        <v>146</v>
      </c>
      <c r="H45" s="28" t="s">
        <v>240</v>
      </c>
      <c r="I45" s="23" t="s">
        <v>241</v>
      </c>
      <c r="J45" s="24" t="b">
        <v>0</v>
      </c>
      <c r="K45" s="24" t="b">
        <v>0</v>
      </c>
      <c r="L45" s="24" t="b">
        <v>0</v>
      </c>
      <c r="M45" s="58" t="str">
        <f t="shared" si="0"/>
        <v/>
      </c>
      <c r="BA45" s="24">
        <f t="shared" si="1"/>
        <v>0</v>
      </c>
      <c r="BB45" s="29"/>
      <c r="BE45" s="29"/>
      <c r="BJ45"/>
    </row>
    <row r="46" spans="5:62" ht="18" customHeight="1">
      <c r="E46" s="69"/>
      <c r="G46" s="23" t="s">
        <v>146</v>
      </c>
      <c r="H46" s="28" t="s">
        <v>242</v>
      </c>
      <c r="I46" s="23" t="s">
        <v>243</v>
      </c>
      <c r="J46" s="24" t="b">
        <v>0</v>
      </c>
      <c r="K46" s="24" t="b">
        <v>0</v>
      </c>
      <c r="L46" s="24" t="b">
        <v>0</v>
      </c>
      <c r="M46" s="58" t="str">
        <f t="shared" si="0"/>
        <v/>
      </c>
      <c r="BA46" s="24">
        <f t="shared" si="1"/>
        <v>0</v>
      </c>
      <c r="BB46" s="29"/>
      <c r="BE46" s="29"/>
      <c r="BJ46"/>
    </row>
    <row r="47" spans="5:62" ht="18" customHeight="1">
      <c r="E47" s="69"/>
      <c r="G47" s="23" t="s">
        <v>146</v>
      </c>
      <c r="H47" s="28" t="s">
        <v>244</v>
      </c>
      <c r="I47" s="23" t="s">
        <v>243</v>
      </c>
      <c r="J47" s="24" t="b">
        <v>0</v>
      </c>
      <c r="K47" s="24" t="b">
        <v>0</v>
      </c>
      <c r="L47" s="24" t="b">
        <v>0</v>
      </c>
      <c r="M47" s="58" t="str">
        <f t="shared" si="0"/>
        <v/>
      </c>
      <c r="BA47" s="24">
        <f t="shared" si="1"/>
        <v>0</v>
      </c>
      <c r="BB47" s="29"/>
      <c r="BE47" s="29"/>
      <c r="BJ47"/>
    </row>
    <row r="48" spans="5:62" ht="18" customHeight="1">
      <c r="E48" s="69"/>
      <c r="F48" s="23" t="s">
        <v>194</v>
      </c>
      <c r="G48" s="23" t="s">
        <v>146</v>
      </c>
      <c r="H48" s="28">
        <v>243</v>
      </c>
      <c r="I48" s="23" t="s">
        <v>132</v>
      </c>
      <c r="J48" s="24" t="b">
        <v>0</v>
      </c>
      <c r="K48" s="24" t="b">
        <v>0</v>
      </c>
      <c r="L48" s="24" t="b">
        <v>0</v>
      </c>
      <c r="M48" s="58" t="str">
        <f t="shared" si="0"/>
        <v/>
      </c>
      <c r="BA48" s="24">
        <f t="shared" si="1"/>
        <v>0</v>
      </c>
      <c r="BB48" s="29"/>
      <c r="BE48" s="29"/>
      <c r="BJ48"/>
    </row>
    <row r="49" spans="5:62" ht="18" customHeight="1">
      <c r="E49" s="69"/>
      <c r="G49" s="23" t="s">
        <v>146</v>
      </c>
      <c r="H49" s="28" t="s">
        <v>133</v>
      </c>
      <c r="I49" s="23" t="s">
        <v>134</v>
      </c>
      <c r="J49" s="24" t="b">
        <v>0</v>
      </c>
      <c r="K49" s="24" t="b">
        <v>0</v>
      </c>
      <c r="L49" s="24" t="b">
        <v>0</v>
      </c>
      <c r="M49" s="58" t="str">
        <f t="shared" si="0"/>
        <v/>
      </c>
      <c r="BA49" s="24">
        <f t="shared" si="1"/>
        <v>0</v>
      </c>
      <c r="BB49" s="29"/>
      <c r="BE49" s="29"/>
      <c r="BJ49"/>
    </row>
    <row r="50" spans="5:62" ht="18" customHeight="1">
      <c r="E50" s="69"/>
      <c r="G50" s="23" t="s">
        <v>146</v>
      </c>
      <c r="H50" s="28" t="s">
        <v>32</v>
      </c>
      <c r="I50" s="23" t="s">
        <v>33</v>
      </c>
      <c r="J50" s="24" t="b">
        <v>0</v>
      </c>
      <c r="K50" s="24" t="b">
        <v>0</v>
      </c>
      <c r="L50" s="24" t="b">
        <v>0</v>
      </c>
      <c r="M50" s="58" t="str">
        <f t="shared" si="0"/>
        <v/>
      </c>
      <c r="BA50" s="24">
        <f t="shared" si="1"/>
        <v>0</v>
      </c>
      <c r="BB50" s="29"/>
      <c r="BE50" s="29"/>
      <c r="BJ50"/>
    </row>
    <row r="51" spans="5:62" ht="18" customHeight="1">
      <c r="E51" s="69"/>
      <c r="G51" s="23" t="s">
        <v>146</v>
      </c>
      <c r="H51" s="28" t="s">
        <v>196</v>
      </c>
      <c r="I51" s="23" t="s">
        <v>197</v>
      </c>
      <c r="J51" s="24" t="b">
        <v>0</v>
      </c>
      <c r="K51" s="24" t="b">
        <v>0</v>
      </c>
      <c r="L51" s="24" t="b">
        <v>0</v>
      </c>
      <c r="M51" s="58" t="str">
        <f t="shared" si="0"/>
        <v/>
      </c>
      <c r="BA51" s="24">
        <f t="shared" si="1"/>
        <v>0</v>
      </c>
      <c r="BB51" s="29"/>
      <c r="BE51" s="29"/>
      <c r="BJ51"/>
    </row>
    <row r="52" spans="5:62" ht="18" customHeight="1">
      <c r="E52" s="69"/>
      <c r="F52" s="23" t="s">
        <v>194</v>
      </c>
      <c r="G52" s="23" t="s">
        <v>146</v>
      </c>
      <c r="H52" s="28" t="s">
        <v>198</v>
      </c>
      <c r="I52" s="23" t="s">
        <v>199</v>
      </c>
      <c r="J52" s="24" t="b">
        <v>0</v>
      </c>
      <c r="K52" s="24" t="b">
        <v>0</v>
      </c>
      <c r="L52" s="24" t="b">
        <v>0</v>
      </c>
      <c r="M52" s="58" t="str">
        <f t="shared" si="0"/>
        <v/>
      </c>
      <c r="BA52" s="24">
        <f t="shared" si="1"/>
        <v>0</v>
      </c>
      <c r="BB52" s="29"/>
      <c r="BE52" s="29"/>
      <c r="BJ52"/>
    </row>
    <row r="53" spans="5:62" ht="18" customHeight="1">
      <c r="E53" s="69"/>
      <c r="G53" s="23" t="s">
        <v>146</v>
      </c>
      <c r="H53" s="28" t="s">
        <v>200</v>
      </c>
      <c r="I53" s="23" t="s">
        <v>135</v>
      </c>
      <c r="J53" s="24" t="b">
        <v>0</v>
      </c>
      <c r="K53" s="24" t="b">
        <v>0</v>
      </c>
      <c r="L53" s="24" t="b">
        <v>0</v>
      </c>
      <c r="M53" s="58" t="str">
        <f t="shared" si="0"/>
        <v/>
      </c>
      <c r="BA53" s="24">
        <f t="shared" si="1"/>
        <v>0</v>
      </c>
      <c r="BB53" s="29"/>
      <c r="BE53" s="29"/>
      <c r="BJ53"/>
    </row>
    <row r="54" spans="5:62" ht="18" customHeight="1">
      <c r="E54" s="69"/>
      <c r="G54" s="23" t="s">
        <v>146</v>
      </c>
      <c r="H54" s="28" t="s">
        <v>136</v>
      </c>
      <c r="I54" s="23" t="s">
        <v>245</v>
      </c>
      <c r="J54" s="24" t="b">
        <v>0</v>
      </c>
      <c r="K54" s="24" t="b">
        <v>0</v>
      </c>
      <c r="L54" s="24" t="b">
        <v>0</v>
      </c>
      <c r="M54" s="58" t="str">
        <f t="shared" si="0"/>
        <v/>
      </c>
      <c r="BA54" s="24">
        <f t="shared" si="1"/>
        <v>0</v>
      </c>
      <c r="BB54" s="29"/>
      <c r="BE54" s="29"/>
    </row>
    <row r="55" spans="5:62" ht="18" customHeight="1">
      <c r="E55" s="69"/>
      <c r="F55" s="23" t="s">
        <v>195</v>
      </c>
      <c r="G55" s="23" t="s">
        <v>146</v>
      </c>
      <c r="H55" s="28" t="s">
        <v>246</v>
      </c>
      <c r="I55" s="23" t="s">
        <v>247</v>
      </c>
      <c r="J55" s="24" t="b">
        <v>0</v>
      </c>
      <c r="K55" s="24" t="b">
        <v>0</v>
      </c>
      <c r="L55" s="24" t="b">
        <v>0</v>
      </c>
      <c r="M55" s="58" t="str">
        <f t="shared" si="0"/>
        <v/>
      </c>
      <c r="BA55" s="24">
        <f t="shared" si="1"/>
        <v>0</v>
      </c>
      <c r="BB55" s="29"/>
      <c r="BE55" s="29"/>
    </row>
    <row r="56" spans="5:62" ht="18" customHeight="1">
      <c r="E56" s="69"/>
      <c r="G56" s="23" t="s">
        <v>146</v>
      </c>
      <c r="H56" s="28" t="s">
        <v>248</v>
      </c>
      <c r="I56" s="23" t="s">
        <v>249</v>
      </c>
      <c r="J56" s="24" t="b">
        <v>0</v>
      </c>
      <c r="K56" s="24" t="b">
        <v>0</v>
      </c>
      <c r="L56" s="24" t="b">
        <v>0</v>
      </c>
      <c r="M56" s="58" t="str">
        <f t="shared" si="0"/>
        <v/>
      </c>
      <c r="BA56" s="24">
        <f t="shared" si="1"/>
        <v>0</v>
      </c>
      <c r="BB56" s="29"/>
      <c r="BE56" s="29"/>
    </row>
    <row r="57" spans="5:62" ht="18" customHeight="1">
      <c r="E57" s="69"/>
      <c r="G57" s="23" t="s">
        <v>146</v>
      </c>
      <c r="H57" s="28" t="s">
        <v>250</v>
      </c>
      <c r="I57" s="23" t="s">
        <v>251</v>
      </c>
      <c r="J57" s="24" t="b">
        <v>0</v>
      </c>
      <c r="K57" s="24" t="b">
        <v>0</v>
      </c>
      <c r="L57" s="24" t="b">
        <v>0</v>
      </c>
      <c r="M57" s="58" t="str">
        <f t="shared" si="0"/>
        <v/>
      </c>
      <c r="BA57" s="24">
        <f t="shared" si="1"/>
        <v>0</v>
      </c>
      <c r="BB57" s="29"/>
      <c r="BE57" s="29"/>
    </row>
    <row r="58" spans="5:62" ht="18" customHeight="1">
      <c r="E58" s="69"/>
      <c r="G58" s="23" t="s">
        <v>146</v>
      </c>
      <c r="H58" s="28" t="s">
        <v>252</v>
      </c>
      <c r="I58" s="23" t="s">
        <v>253</v>
      </c>
      <c r="J58" s="24" t="b">
        <v>0</v>
      </c>
      <c r="K58" s="24" t="b">
        <v>0</v>
      </c>
      <c r="L58" s="24" t="b">
        <v>0</v>
      </c>
      <c r="M58" s="58" t="str">
        <f t="shared" si="0"/>
        <v/>
      </c>
      <c r="BA58" s="24">
        <f t="shared" si="1"/>
        <v>0</v>
      </c>
      <c r="BB58" s="29"/>
      <c r="BE58" s="29"/>
    </row>
    <row r="59" spans="5:62" ht="18" customHeight="1">
      <c r="E59" s="69"/>
      <c r="G59" s="23" t="s">
        <v>146</v>
      </c>
      <c r="H59" s="28" t="s">
        <v>254</v>
      </c>
      <c r="I59" s="23" t="s">
        <v>61</v>
      </c>
      <c r="J59" s="24" t="b">
        <v>0</v>
      </c>
      <c r="K59" s="24" t="b">
        <v>0</v>
      </c>
      <c r="L59" s="24" t="b">
        <v>0</v>
      </c>
      <c r="M59" s="58" t="str">
        <f t="shared" si="0"/>
        <v/>
      </c>
      <c r="BA59" s="24">
        <f t="shared" si="1"/>
        <v>0</v>
      </c>
      <c r="BB59" s="29"/>
      <c r="BE59" s="29"/>
    </row>
    <row r="60" spans="5:62" ht="18" customHeight="1">
      <c r="E60" s="69"/>
      <c r="G60" s="23" t="s">
        <v>146</v>
      </c>
      <c r="H60" s="28" t="s">
        <v>255</v>
      </c>
      <c r="I60" s="23" t="s">
        <v>256</v>
      </c>
      <c r="J60" s="24" t="b">
        <v>0</v>
      </c>
      <c r="K60" s="24" t="b">
        <v>0</v>
      </c>
      <c r="L60" s="24" t="b">
        <v>0</v>
      </c>
      <c r="M60" s="58" t="str">
        <f t="shared" si="0"/>
        <v/>
      </c>
      <c r="BA60" s="24">
        <f t="shared" si="1"/>
        <v>0</v>
      </c>
      <c r="BB60" s="29"/>
      <c r="BE60" s="29"/>
    </row>
    <row r="61" spans="5:62" ht="18" customHeight="1">
      <c r="E61" s="69"/>
      <c r="F61" s="23" t="s">
        <v>194</v>
      </c>
      <c r="G61" s="23" t="s">
        <v>146</v>
      </c>
      <c r="H61" s="28" t="s">
        <v>257</v>
      </c>
      <c r="I61" s="23" t="s">
        <v>77</v>
      </c>
      <c r="J61" s="24" t="b">
        <v>0</v>
      </c>
      <c r="K61" s="24" t="b">
        <v>0</v>
      </c>
      <c r="L61" s="24" t="b">
        <v>0</v>
      </c>
      <c r="M61" s="58" t="str">
        <f t="shared" si="0"/>
        <v/>
      </c>
      <c r="BA61" s="24">
        <f t="shared" si="1"/>
        <v>0</v>
      </c>
      <c r="BB61" s="29"/>
      <c r="BE61" s="29"/>
    </row>
    <row r="62" spans="5:62" ht="18" customHeight="1">
      <c r="E62" s="69"/>
      <c r="F62" s="23" t="s">
        <v>194</v>
      </c>
      <c r="G62" s="23" t="s">
        <v>146</v>
      </c>
      <c r="H62" s="28">
        <v>263</v>
      </c>
      <c r="I62" s="23" t="s">
        <v>278</v>
      </c>
      <c r="J62" s="24" t="b">
        <v>0</v>
      </c>
      <c r="K62" s="24" t="b">
        <v>0</v>
      </c>
      <c r="L62" s="24" t="b">
        <v>0</v>
      </c>
      <c r="M62" s="58" t="str">
        <f>IF(OR(AND(J62,K62),AND(J62,L62),AND(K62,L62)),"Choose for one only","")</f>
        <v/>
      </c>
      <c r="BB62" s="29"/>
      <c r="BE62" s="29"/>
    </row>
    <row r="63" spans="5:62" ht="18" customHeight="1">
      <c r="E63" s="69"/>
      <c r="F63" s="23" t="s">
        <v>194</v>
      </c>
      <c r="G63" s="23" t="s">
        <v>146</v>
      </c>
      <c r="H63" s="28" t="s">
        <v>78</v>
      </c>
      <c r="I63" s="23" t="s">
        <v>261</v>
      </c>
      <c r="J63" s="24" t="b">
        <v>0</v>
      </c>
      <c r="K63" s="24" t="b">
        <v>0</v>
      </c>
      <c r="L63" s="24" t="b">
        <v>0</v>
      </c>
      <c r="M63" s="58" t="str">
        <f t="shared" si="0"/>
        <v/>
      </c>
      <c r="BA63" s="24">
        <f t="shared" si="1"/>
        <v>0</v>
      </c>
      <c r="BB63" s="29"/>
      <c r="BE63" s="29"/>
    </row>
    <row r="64" spans="5:62" ht="18" customHeight="1">
      <c r="E64" s="69"/>
      <c r="F64" s="23" t="s">
        <v>194</v>
      </c>
      <c r="G64" s="23" t="s">
        <v>146</v>
      </c>
      <c r="H64" s="28">
        <v>265</v>
      </c>
      <c r="I64" s="23" t="s">
        <v>281</v>
      </c>
      <c r="J64" s="24" t="b">
        <v>0</v>
      </c>
      <c r="K64" s="24" t="b">
        <v>0</v>
      </c>
      <c r="L64" s="24" t="b">
        <v>0</v>
      </c>
      <c r="M64" s="58" t="str">
        <f t="shared" si="0"/>
        <v/>
      </c>
      <c r="BA64" s="24">
        <f t="shared" si="1"/>
        <v>0</v>
      </c>
      <c r="BB64" s="29"/>
      <c r="BE64" s="29"/>
    </row>
    <row r="65" spans="5:57" ht="18" customHeight="1">
      <c r="E65" s="69"/>
      <c r="F65" s="23" t="s">
        <v>194</v>
      </c>
      <c r="G65" s="23" t="s">
        <v>146</v>
      </c>
      <c r="H65" s="28" t="s">
        <v>152</v>
      </c>
      <c r="I65" s="23" t="s">
        <v>94</v>
      </c>
      <c r="J65" s="24" t="b">
        <v>0</v>
      </c>
      <c r="K65" s="24" t="b">
        <v>0</v>
      </c>
      <c r="L65" s="24" t="b">
        <v>0</v>
      </c>
      <c r="M65" s="58" t="str">
        <f t="shared" si="0"/>
        <v/>
      </c>
      <c r="BA65" s="24">
        <f t="shared" si="1"/>
        <v>0</v>
      </c>
      <c r="BB65" s="29"/>
      <c r="BE65" s="29"/>
    </row>
    <row r="66" spans="5:57" ht="18" customHeight="1">
      <c r="E66" s="69"/>
      <c r="F66" s="23" t="s">
        <v>194</v>
      </c>
      <c r="G66" s="23" t="s">
        <v>146</v>
      </c>
      <c r="H66" s="28" t="s">
        <v>95</v>
      </c>
      <c r="I66" s="23" t="s">
        <v>271</v>
      </c>
      <c r="J66" s="24" t="b">
        <v>0</v>
      </c>
      <c r="K66" s="24" t="b">
        <v>0</v>
      </c>
      <c r="L66" s="24" t="b">
        <v>0</v>
      </c>
      <c r="M66" s="58" t="str">
        <f t="shared" si="0"/>
        <v/>
      </c>
      <c r="BA66" s="24">
        <f t="shared" si="1"/>
        <v>0</v>
      </c>
      <c r="BB66" s="29"/>
      <c r="BE66" s="29"/>
    </row>
    <row r="67" spans="5:57" ht="18" customHeight="1">
      <c r="E67" s="69"/>
      <c r="G67" s="23" t="s">
        <v>146</v>
      </c>
      <c r="H67" s="28" t="s">
        <v>100</v>
      </c>
      <c r="I67" s="23" t="s">
        <v>101</v>
      </c>
      <c r="J67" s="24" t="b">
        <v>0</v>
      </c>
      <c r="K67" s="24" t="b">
        <v>0</v>
      </c>
      <c r="L67" s="24" t="b">
        <v>0</v>
      </c>
      <c r="M67" s="58" t="str">
        <f t="shared" si="0"/>
        <v/>
      </c>
      <c r="BA67" s="24">
        <f t="shared" si="1"/>
        <v>0</v>
      </c>
      <c r="BB67" s="29"/>
      <c r="BE67" s="29"/>
    </row>
    <row r="68" spans="5:57" ht="18" customHeight="1">
      <c r="E68" s="69"/>
      <c r="F68" s="23" t="s">
        <v>194</v>
      </c>
      <c r="G68" s="23" t="s">
        <v>146</v>
      </c>
      <c r="H68" s="28" t="s">
        <v>102</v>
      </c>
      <c r="I68" s="23" t="s">
        <v>263</v>
      </c>
      <c r="J68" s="24" t="b">
        <v>0</v>
      </c>
      <c r="K68" s="24" t="b">
        <v>0</v>
      </c>
      <c r="L68" s="24" t="b">
        <v>0</v>
      </c>
      <c r="M68" s="58" t="str">
        <f t="shared" si="0"/>
        <v/>
      </c>
      <c r="BA68" s="24">
        <f t="shared" si="1"/>
        <v>0</v>
      </c>
      <c r="BB68" s="29"/>
      <c r="BE68" s="29"/>
    </row>
    <row r="69" spans="5:57" ht="18" customHeight="1">
      <c r="E69" s="69"/>
      <c r="F69" s="23" t="s">
        <v>194</v>
      </c>
      <c r="G69" s="23" t="s">
        <v>146</v>
      </c>
      <c r="H69" s="28">
        <v>270</v>
      </c>
      <c r="I69" s="23" t="s">
        <v>282</v>
      </c>
      <c r="J69" s="24" t="b">
        <v>0</v>
      </c>
      <c r="K69" s="24" t="b">
        <v>0</v>
      </c>
      <c r="L69" s="24" t="b">
        <v>0</v>
      </c>
      <c r="M69" s="58" t="str">
        <f t="shared" si="0"/>
        <v/>
      </c>
      <c r="BA69" s="24">
        <f t="shared" si="1"/>
        <v>0</v>
      </c>
      <c r="BB69" s="29"/>
      <c r="BE69" s="29"/>
    </row>
    <row r="70" spans="5:57" ht="18" customHeight="1">
      <c r="E70" s="69"/>
      <c r="G70" s="23" t="s">
        <v>146</v>
      </c>
      <c r="H70" s="28" t="s">
        <v>104</v>
      </c>
      <c r="I70" s="23" t="s">
        <v>105</v>
      </c>
      <c r="J70" s="24" t="b">
        <v>0</v>
      </c>
      <c r="K70" s="24" t="b">
        <v>0</v>
      </c>
      <c r="L70" s="24" t="b">
        <v>0</v>
      </c>
      <c r="M70" s="58" t="str">
        <f t="shared" si="0"/>
        <v/>
      </c>
      <c r="BA70" s="24">
        <f t="shared" si="1"/>
        <v>0</v>
      </c>
      <c r="BB70" s="29"/>
      <c r="BE70" s="29"/>
    </row>
    <row r="71" spans="5:57" ht="18" customHeight="1">
      <c r="E71" s="69"/>
      <c r="G71" s="23" t="s">
        <v>146</v>
      </c>
      <c r="H71" s="28" t="s">
        <v>106</v>
      </c>
      <c r="I71" s="23" t="s">
        <v>107</v>
      </c>
      <c r="J71" s="24" t="b">
        <v>0</v>
      </c>
      <c r="K71" s="24" t="b">
        <v>0</v>
      </c>
      <c r="L71" s="24" t="b">
        <v>0</v>
      </c>
      <c r="M71" s="58" t="str">
        <f t="shared" ref="M71:M132" si="2">IF(OR(AND(J71,K71),AND(J71,L71),AND(K71,L71)),"Choose for one only","")</f>
        <v/>
      </c>
      <c r="BA71" s="24">
        <f t="shared" si="1"/>
        <v>0</v>
      </c>
      <c r="BB71" s="29"/>
      <c r="BE71" s="29"/>
    </row>
    <row r="72" spans="5:57" ht="18" customHeight="1">
      <c r="E72" s="69"/>
      <c r="F72" s="23" t="s">
        <v>194</v>
      </c>
      <c r="G72" s="23" t="s">
        <v>146</v>
      </c>
      <c r="H72" s="28" t="s">
        <v>108</v>
      </c>
      <c r="I72" s="23" t="s">
        <v>109</v>
      </c>
      <c r="J72" s="24" t="b">
        <v>0</v>
      </c>
      <c r="K72" s="24" t="b">
        <v>0</v>
      </c>
      <c r="L72" s="24" t="b">
        <v>0</v>
      </c>
      <c r="M72" s="58" t="str">
        <f t="shared" si="2"/>
        <v/>
      </c>
      <c r="BA72" s="24">
        <f t="shared" si="1"/>
        <v>0</v>
      </c>
      <c r="BB72" s="29"/>
      <c r="BE72" s="29"/>
    </row>
    <row r="73" spans="5:57" ht="18" customHeight="1">
      <c r="E73" s="69"/>
      <c r="F73" s="23" t="s">
        <v>194</v>
      </c>
      <c r="G73" s="23" t="s">
        <v>146</v>
      </c>
      <c r="H73" s="28" t="s">
        <v>110</v>
      </c>
      <c r="I73" s="23" t="s">
        <v>111</v>
      </c>
      <c r="J73" s="24" t="b">
        <v>0</v>
      </c>
      <c r="K73" s="24" t="b">
        <v>0</v>
      </c>
      <c r="L73" s="24" t="b">
        <v>0</v>
      </c>
      <c r="M73" s="58" t="str">
        <f t="shared" si="2"/>
        <v/>
      </c>
      <c r="BA73" s="24">
        <f t="shared" si="1"/>
        <v>0</v>
      </c>
      <c r="BB73" s="29"/>
      <c r="BE73" s="29"/>
    </row>
    <row r="74" spans="5:57" ht="18" customHeight="1">
      <c r="E74" s="69"/>
      <c r="G74" s="23" t="s">
        <v>146</v>
      </c>
      <c r="H74" s="28" t="s">
        <v>112</v>
      </c>
      <c r="I74" s="23" t="s">
        <v>113</v>
      </c>
      <c r="J74" s="24" t="b">
        <v>0</v>
      </c>
      <c r="K74" s="24" t="b">
        <v>0</v>
      </c>
      <c r="L74" s="24" t="b">
        <v>0</v>
      </c>
      <c r="M74" s="58" t="str">
        <f t="shared" si="2"/>
        <v/>
      </c>
      <c r="BA74" s="24">
        <f t="shared" si="1"/>
        <v>0</v>
      </c>
      <c r="BB74" s="29"/>
      <c r="BE74" s="29"/>
    </row>
    <row r="75" spans="5:57" ht="18" customHeight="1">
      <c r="E75" s="69"/>
      <c r="F75" s="23" t="s">
        <v>194</v>
      </c>
      <c r="G75" s="23" t="s">
        <v>146</v>
      </c>
      <c r="H75" s="28" t="s">
        <v>6</v>
      </c>
      <c r="I75" s="23" t="s">
        <v>283</v>
      </c>
      <c r="J75" s="24" t="b">
        <v>0</v>
      </c>
      <c r="K75" s="24" t="b">
        <v>0</v>
      </c>
      <c r="L75" s="24" t="b">
        <v>0</v>
      </c>
      <c r="M75" s="58" t="str">
        <f t="shared" si="2"/>
        <v/>
      </c>
      <c r="BA75" s="24">
        <f t="shared" si="1"/>
        <v>0</v>
      </c>
      <c r="BB75" s="29"/>
      <c r="BE75" s="29"/>
    </row>
    <row r="76" spans="5:57" ht="18" customHeight="1">
      <c r="E76" s="69"/>
      <c r="G76" s="23" t="s">
        <v>146</v>
      </c>
      <c r="H76" s="28" t="s">
        <v>7</v>
      </c>
      <c r="I76" s="23" t="s">
        <v>8</v>
      </c>
      <c r="J76" s="24" t="b">
        <v>0</v>
      </c>
      <c r="K76" s="24" t="b">
        <v>0</v>
      </c>
      <c r="L76" s="24" t="b">
        <v>0</v>
      </c>
      <c r="M76" s="58" t="str">
        <f t="shared" si="2"/>
        <v/>
      </c>
      <c r="BA76" s="24">
        <f t="shared" si="1"/>
        <v>0</v>
      </c>
      <c r="BB76" s="29"/>
      <c r="BE76" s="29"/>
    </row>
    <row r="77" spans="5:57" ht="18" customHeight="1">
      <c r="E77" s="69"/>
      <c r="F77" s="23" t="s">
        <v>194</v>
      </c>
      <c r="G77" s="23" t="s">
        <v>146</v>
      </c>
      <c r="H77" s="28">
        <v>279</v>
      </c>
      <c r="I77" s="23" t="s">
        <v>9</v>
      </c>
      <c r="J77" s="24" t="b">
        <v>0</v>
      </c>
      <c r="K77" s="24" t="b">
        <v>0</v>
      </c>
      <c r="L77" s="24" t="b">
        <v>0</v>
      </c>
      <c r="M77" s="58" t="str">
        <f t="shared" si="2"/>
        <v/>
      </c>
      <c r="BA77" s="24">
        <f t="shared" si="1"/>
        <v>0</v>
      </c>
      <c r="BB77" s="29"/>
      <c r="BE77" s="29"/>
    </row>
    <row r="78" spans="5:57" ht="18" customHeight="1">
      <c r="E78" s="69"/>
      <c r="F78" s="23" t="s">
        <v>194</v>
      </c>
      <c r="G78" s="23" t="s">
        <v>146</v>
      </c>
      <c r="H78" s="28" t="s">
        <v>10</v>
      </c>
      <c r="I78" s="23" t="s">
        <v>11</v>
      </c>
      <c r="J78" s="24" t="b">
        <v>0</v>
      </c>
      <c r="K78" s="24" t="b">
        <v>0</v>
      </c>
      <c r="L78" s="24" t="b">
        <v>0</v>
      </c>
      <c r="M78" s="58" t="str">
        <f t="shared" si="2"/>
        <v/>
      </c>
      <c r="BA78" s="24">
        <f t="shared" si="1"/>
        <v>0</v>
      </c>
      <c r="BB78" s="29"/>
      <c r="BE78" s="29"/>
    </row>
    <row r="79" spans="5:57" ht="18" customHeight="1">
      <c r="E79" s="69"/>
      <c r="F79" s="23" t="s">
        <v>194</v>
      </c>
      <c r="G79" s="23" t="s">
        <v>146</v>
      </c>
      <c r="H79" s="28" t="s">
        <v>12</v>
      </c>
      <c r="I79" s="23" t="s">
        <v>85</v>
      </c>
      <c r="J79" s="24" t="b">
        <v>0</v>
      </c>
      <c r="K79" s="24" t="b">
        <v>0</v>
      </c>
      <c r="L79" s="24" t="b">
        <v>0</v>
      </c>
      <c r="M79" s="58" t="str">
        <f t="shared" si="2"/>
        <v/>
      </c>
      <c r="BA79" s="24">
        <f t="shared" si="1"/>
        <v>0</v>
      </c>
      <c r="BB79" s="29"/>
      <c r="BE79" s="29"/>
    </row>
    <row r="80" spans="5:57" ht="18" customHeight="1">
      <c r="E80" s="69"/>
      <c r="G80" s="23" t="s">
        <v>146</v>
      </c>
      <c r="H80" s="28">
        <v>284</v>
      </c>
      <c r="I80" s="23" t="s">
        <v>86</v>
      </c>
      <c r="J80" s="24" t="b">
        <v>0</v>
      </c>
      <c r="K80" s="24" t="b">
        <v>0</v>
      </c>
      <c r="L80" s="24" t="b">
        <v>0</v>
      </c>
      <c r="M80" s="58" t="str">
        <f t="shared" si="2"/>
        <v/>
      </c>
      <c r="BA80" s="24">
        <f t="shared" si="1"/>
        <v>0</v>
      </c>
      <c r="BB80" s="29"/>
      <c r="BE80" s="29"/>
    </row>
    <row r="81" spans="5:57" ht="18" customHeight="1">
      <c r="E81" s="69"/>
      <c r="G81" s="23" t="s">
        <v>146</v>
      </c>
      <c r="H81" s="28">
        <v>285</v>
      </c>
      <c r="I81" s="23" t="s">
        <v>279</v>
      </c>
      <c r="J81" s="24" t="b">
        <v>0</v>
      </c>
      <c r="K81" s="24" t="b">
        <v>0</v>
      </c>
      <c r="L81" s="24" t="b">
        <v>0</v>
      </c>
      <c r="M81" s="58" t="str">
        <f>IF(OR(AND(J81,K81),AND(J81,L81),AND(K81,L81)),"Choose for one only","")</f>
        <v/>
      </c>
      <c r="BB81" s="29"/>
      <c r="BE81" s="29"/>
    </row>
    <row r="82" spans="5:57" ht="18" customHeight="1">
      <c r="E82" s="69"/>
      <c r="G82" s="23" t="s">
        <v>146</v>
      </c>
      <c r="H82" s="28" t="s">
        <v>87</v>
      </c>
      <c r="I82" s="23" t="s">
        <v>88</v>
      </c>
      <c r="J82" s="24" t="b">
        <v>0</v>
      </c>
      <c r="K82" s="24" t="b">
        <v>0</v>
      </c>
      <c r="L82" s="24" t="b">
        <v>0</v>
      </c>
      <c r="M82" s="58" t="str">
        <f t="shared" si="2"/>
        <v/>
      </c>
      <c r="BA82" s="24">
        <f t="shared" si="1"/>
        <v>0</v>
      </c>
      <c r="BB82" s="29"/>
      <c r="BE82" s="29"/>
    </row>
    <row r="83" spans="5:57" ht="18" customHeight="1">
      <c r="E83" s="69"/>
      <c r="G83" s="23" t="s">
        <v>146</v>
      </c>
      <c r="H83" s="28" t="s">
        <v>89</v>
      </c>
      <c r="I83" s="23" t="s">
        <v>90</v>
      </c>
      <c r="J83" s="24" t="b">
        <v>0</v>
      </c>
      <c r="K83" s="24" t="b">
        <v>0</v>
      </c>
      <c r="L83" s="24" t="b">
        <v>0</v>
      </c>
      <c r="M83" s="58" t="str">
        <f t="shared" si="2"/>
        <v/>
      </c>
      <c r="BA83" s="24">
        <f t="shared" si="1"/>
        <v>0</v>
      </c>
      <c r="BB83" s="29"/>
      <c r="BE83" s="29"/>
    </row>
    <row r="84" spans="5:57" ht="18" customHeight="1">
      <c r="E84" s="69"/>
      <c r="G84" s="23" t="s">
        <v>146</v>
      </c>
      <c r="H84" s="28" t="s">
        <v>91</v>
      </c>
      <c r="I84" s="23" t="s">
        <v>270</v>
      </c>
      <c r="J84" s="24" t="b">
        <v>0</v>
      </c>
      <c r="K84" s="24" t="b">
        <v>0</v>
      </c>
      <c r="L84" s="24" t="b">
        <v>0</v>
      </c>
      <c r="M84" s="58" t="str">
        <f t="shared" si="2"/>
        <v/>
      </c>
      <c r="BA84" s="24">
        <f t="shared" si="1"/>
        <v>0</v>
      </c>
      <c r="BB84" s="29"/>
      <c r="BE84" s="29"/>
    </row>
    <row r="85" spans="5:57" ht="18" customHeight="1">
      <c r="E85" s="69"/>
      <c r="G85" s="23" t="s">
        <v>146</v>
      </c>
      <c r="H85" s="28">
        <v>296</v>
      </c>
      <c r="I85" s="23" t="s">
        <v>280</v>
      </c>
      <c r="J85" s="24" t="b">
        <v>0</v>
      </c>
      <c r="K85" s="24" t="b">
        <v>0</v>
      </c>
      <c r="L85" s="24" t="b">
        <v>0</v>
      </c>
      <c r="M85" s="58" t="str">
        <f t="shared" si="2"/>
        <v/>
      </c>
      <c r="BA85" s="24">
        <f t="shared" si="1"/>
        <v>0</v>
      </c>
      <c r="BB85" s="29"/>
      <c r="BE85" s="29"/>
    </row>
    <row r="86" spans="5:57" ht="18" customHeight="1">
      <c r="E86" s="69"/>
      <c r="G86" s="23" t="s">
        <v>146</v>
      </c>
      <c r="H86" s="28">
        <v>298</v>
      </c>
      <c r="I86" s="23" t="s">
        <v>284</v>
      </c>
      <c r="J86" s="24" t="b">
        <v>0</v>
      </c>
      <c r="K86" s="24" t="b">
        <v>0</v>
      </c>
      <c r="L86" s="24" t="b">
        <v>0</v>
      </c>
      <c r="M86" s="58" t="str">
        <f t="shared" si="2"/>
        <v/>
      </c>
      <c r="BA86" s="24">
        <f t="shared" si="1"/>
        <v>0</v>
      </c>
      <c r="BB86" s="29"/>
      <c r="BE86" s="29"/>
    </row>
    <row r="87" spans="5:57" ht="18" customHeight="1">
      <c r="E87" s="69"/>
      <c r="G87" s="23" t="s">
        <v>146</v>
      </c>
      <c r="H87" s="28" t="s">
        <v>93</v>
      </c>
      <c r="I87" s="23" t="s">
        <v>228</v>
      </c>
      <c r="J87" s="24" t="b">
        <v>0</v>
      </c>
      <c r="K87" s="24" t="b">
        <v>0</v>
      </c>
      <c r="L87" s="24" t="b">
        <v>0</v>
      </c>
      <c r="M87" s="58" t="str">
        <f t="shared" si="2"/>
        <v/>
      </c>
      <c r="BA87" s="24">
        <f t="shared" si="1"/>
        <v>0</v>
      </c>
      <c r="BB87" s="29"/>
      <c r="BE87" s="29"/>
    </row>
    <row r="88" spans="5:57" ht="18" customHeight="1">
      <c r="E88" s="69"/>
      <c r="G88" s="23" t="s">
        <v>146</v>
      </c>
      <c r="H88" s="28" t="s">
        <v>230</v>
      </c>
      <c r="I88" s="23" t="s">
        <v>231</v>
      </c>
      <c r="J88" s="24" t="b">
        <v>0</v>
      </c>
      <c r="K88" s="24" t="b">
        <v>0</v>
      </c>
      <c r="L88" s="24" t="b">
        <v>0</v>
      </c>
      <c r="M88" s="58" t="str">
        <f t="shared" si="2"/>
        <v/>
      </c>
      <c r="BA88" s="24">
        <f t="shared" si="1"/>
        <v>0</v>
      </c>
      <c r="BB88" s="29"/>
      <c r="BE88" s="29"/>
    </row>
    <row r="89" spans="5:57" ht="18" customHeight="1">
      <c r="E89" s="69"/>
      <c r="G89" s="23" t="s">
        <v>146</v>
      </c>
      <c r="H89" s="28" t="s">
        <v>232</v>
      </c>
      <c r="I89" s="23" t="s">
        <v>233</v>
      </c>
      <c r="J89" s="24" t="b">
        <v>0</v>
      </c>
      <c r="K89" s="24" t="b">
        <v>0</v>
      </c>
      <c r="L89" s="24" t="b">
        <v>0</v>
      </c>
      <c r="M89" s="58" t="str">
        <f t="shared" si="2"/>
        <v/>
      </c>
      <c r="BA89" s="24">
        <f t="shared" si="1"/>
        <v>0</v>
      </c>
      <c r="BB89" s="29"/>
      <c r="BE89" s="29"/>
    </row>
    <row r="90" spans="5:57" ht="18" customHeight="1">
      <c r="E90" s="69"/>
      <c r="G90" s="23" t="s">
        <v>146</v>
      </c>
      <c r="H90" s="28">
        <v>312</v>
      </c>
      <c r="I90" s="23" t="s">
        <v>234</v>
      </c>
      <c r="J90" s="24" t="b">
        <v>0</v>
      </c>
      <c r="K90" s="24" t="b">
        <v>0</v>
      </c>
      <c r="L90" s="24" t="b">
        <v>0</v>
      </c>
      <c r="M90" s="58" t="str">
        <f t="shared" si="2"/>
        <v/>
      </c>
      <c r="BA90" s="24">
        <f t="shared" si="1"/>
        <v>0</v>
      </c>
      <c r="BB90" s="29"/>
      <c r="BE90" s="29"/>
    </row>
    <row r="91" spans="5:57" ht="18" customHeight="1">
      <c r="E91" s="69"/>
      <c r="G91" s="23" t="s">
        <v>146</v>
      </c>
      <c r="H91" s="28" t="s">
        <v>235</v>
      </c>
      <c r="I91" s="23" t="s">
        <v>160</v>
      </c>
      <c r="J91" s="24" t="b">
        <v>0</v>
      </c>
      <c r="K91" s="24" t="b">
        <v>0</v>
      </c>
      <c r="L91" s="24" t="b">
        <v>0</v>
      </c>
      <c r="M91" s="58" t="str">
        <f t="shared" si="2"/>
        <v/>
      </c>
      <c r="BA91" s="24">
        <f t="shared" si="1"/>
        <v>0</v>
      </c>
      <c r="BB91" s="29"/>
      <c r="BE91" s="29"/>
    </row>
    <row r="92" spans="5:57" ht="18" customHeight="1">
      <c r="E92" s="69"/>
      <c r="G92" s="23" t="s">
        <v>146</v>
      </c>
      <c r="H92" s="28">
        <v>314</v>
      </c>
      <c r="I92" s="23" t="s">
        <v>161</v>
      </c>
      <c r="J92" s="24" t="b">
        <v>0</v>
      </c>
      <c r="K92" s="24" t="b">
        <v>0</v>
      </c>
      <c r="L92" s="24" t="b">
        <v>0</v>
      </c>
      <c r="M92" s="58" t="str">
        <f t="shared" si="2"/>
        <v/>
      </c>
      <c r="BA92" s="24">
        <f t="shared" si="1"/>
        <v>0</v>
      </c>
      <c r="BB92" s="29"/>
      <c r="BE92" s="29"/>
    </row>
    <row r="93" spans="5:57" ht="18" customHeight="1">
      <c r="E93" s="69"/>
      <c r="F93" s="23" t="s">
        <v>194</v>
      </c>
      <c r="G93" s="23" t="s">
        <v>146</v>
      </c>
      <c r="H93" s="28" t="s">
        <v>162</v>
      </c>
      <c r="I93" s="23" t="s">
        <v>163</v>
      </c>
      <c r="J93" s="24" t="b">
        <v>0</v>
      </c>
      <c r="K93" s="24" t="b">
        <v>0</v>
      </c>
      <c r="L93" s="24" t="b">
        <v>0</v>
      </c>
      <c r="M93" s="58" t="str">
        <f t="shared" si="2"/>
        <v/>
      </c>
      <c r="BA93" s="24">
        <f t="shared" si="1"/>
        <v>0</v>
      </c>
      <c r="BB93" s="29"/>
      <c r="BE93" s="29"/>
    </row>
    <row r="94" spans="5:57" ht="18" customHeight="1">
      <c r="E94" s="69"/>
      <c r="G94" s="23" t="s">
        <v>146</v>
      </c>
      <c r="H94" s="28">
        <v>316</v>
      </c>
      <c r="I94" s="23" t="s">
        <v>164</v>
      </c>
      <c r="J94" s="24" t="b">
        <v>0</v>
      </c>
      <c r="K94" s="24" t="b">
        <v>0</v>
      </c>
      <c r="L94" s="24" t="b">
        <v>0</v>
      </c>
      <c r="M94" s="58" t="str">
        <f t="shared" si="2"/>
        <v/>
      </c>
      <c r="BA94" s="24">
        <f t="shared" si="1"/>
        <v>0</v>
      </c>
      <c r="BB94" s="29"/>
      <c r="BE94" s="29"/>
    </row>
    <row r="95" spans="5:57" ht="18" customHeight="1">
      <c r="E95" s="69"/>
      <c r="G95" s="23" t="s">
        <v>146</v>
      </c>
      <c r="H95" s="28">
        <v>318</v>
      </c>
      <c r="I95" s="23" t="s">
        <v>165</v>
      </c>
      <c r="J95" s="24" t="b">
        <v>0</v>
      </c>
      <c r="K95" s="24" t="b">
        <v>0</v>
      </c>
      <c r="L95" s="24" t="b">
        <v>0</v>
      </c>
      <c r="M95" s="58" t="str">
        <f t="shared" si="2"/>
        <v/>
      </c>
      <c r="BA95" s="24">
        <f t="shared" ref="BA95:BA144" si="3">IF(E95&gt;2,E95,0)</f>
        <v>0</v>
      </c>
      <c r="BB95" s="29"/>
      <c r="BE95" s="29"/>
    </row>
    <row r="96" spans="5:57" ht="18" customHeight="1">
      <c r="E96" s="69"/>
      <c r="G96" s="23" t="s">
        <v>146</v>
      </c>
      <c r="H96" s="28" t="s">
        <v>166</v>
      </c>
      <c r="I96" s="23" t="s">
        <v>118</v>
      </c>
      <c r="J96" s="24" t="b">
        <v>0</v>
      </c>
      <c r="K96" s="24" t="b">
        <v>0</v>
      </c>
      <c r="L96" s="24" t="b">
        <v>0</v>
      </c>
      <c r="M96" s="58" t="str">
        <f t="shared" si="2"/>
        <v/>
      </c>
      <c r="BA96" s="24">
        <f t="shared" si="3"/>
        <v>0</v>
      </c>
      <c r="BB96" s="29"/>
      <c r="BE96" s="29"/>
    </row>
    <row r="97" spans="5:57" ht="18" customHeight="1">
      <c r="E97" s="69"/>
      <c r="G97" s="23" t="s">
        <v>146</v>
      </c>
      <c r="H97" s="28" t="s">
        <v>119</v>
      </c>
      <c r="I97" s="23" t="s">
        <v>120</v>
      </c>
      <c r="J97" s="24" t="b">
        <v>0</v>
      </c>
      <c r="K97" s="24" t="b">
        <v>0</v>
      </c>
      <c r="L97" s="24" t="b">
        <v>0</v>
      </c>
      <c r="M97" s="58" t="str">
        <f t="shared" si="2"/>
        <v/>
      </c>
      <c r="BA97" s="24">
        <f t="shared" si="3"/>
        <v>0</v>
      </c>
      <c r="BB97" s="29"/>
      <c r="BE97" s="29"/>
    </row>
    <row r="98" spans="5:57" ht="18" customHeight="1">
      <c r="E98" s="69"/>
      <c r="G98" s="23" t="s">
        <v>146</v>
      </c>
      <c r="H98" s="28">
        <v>322</v>
      </c>
      <c r="I98" s="23" t="s">
        <v>121</v>
      </c>
      <c r="J98" s="24" t="b">
        <v>0</v>
      </c>
      <c r="K98" s="24" t="b">
        <v>0</v>
      </c>
      <c r="L98" s="24" t="b">
        <v>0</v>
      </c>
      <c r="M98" s="58" t="str">
        <f t="shared" si="2"/>
        <v/>
      </c>
      <c r="BA98" s="24">
        <f t="shared" si="3"/>
        <v>0</v>
      </c>
      <c r="BB98" s="29"/>
      <c r="BE98" s="29"/>
    </row>
    <row r="99" spans="5:57" ht="18" customHeight="1">
      <c r="E99" s="69"/>
      <c r="G99" s="23" t="s">
        <v>146</v>
      </c>
      <c r="H99" s="28">
        <v>323</v>
      </c>
      <c r="I99" s="23" t="s">
        <v>122</v>
      </c>
      <c r="J99" s="24" t="b">
        <v>0</v>
      </c>
      <c r="K99" s="24" t="b">
        <v>0</v>
      </c>
      <c r="L99" s="24" t="b">
        <v>0</v>
      </c>
      <c r="M99" s="58" t="str">
        <f t="shared" si="2"/>
        <v/>
      </c>
      <c r="BA99" s="24">
        <f t="shared" si="3"/>
        <v>0</v>
      </c>
      <c r="BB99" s="29"/>
      <c r="BE99" s="29"/>
    </row>
    <row r="100" spans="5:57" ht="18" customHeight="1">
      <c r="E100" s="69"/>
      <c r="G100" s="23" t="s">
        <v>146</v>
      </c>
      <c r="H100" s="28" t="s">
        <v>123</v>
      </c>
      <c r="I100" s="23" t="s">
        <v>124</v>
      </c>
      <c r="J100" s="24" t="b">
        <v>0</v>
      </c>
      <c r="K100" s="24" t="b">
        <v>0</v>
      </c>
      <c r="L100" s="24" t="b">
        <v>0</v>
      </c>
      <c r="M100" s="58" t="str">
        <f t="shared" si="2"/>
        <v/>
      </c>
      <c r="BA100" s="24">
        <f t="shared" si="3"/>
        <v>0</v>
      </c>
      <c r="BB100" s="29"/>
      <c r="BE100" s="29"/>
    </row>
    <row r="101" spans="5:57" ht="18" customHeight="1">
      <c r="E101" s="69"/>
      <c r="G101" s="23" t="s">
        <v>146</v>
      </c>
      <c r="H101" s="28" t="s">
        <v>125</v>
      </c>
      <c r="I101" s="23" t="s">
        <v>126</v>
      </c>
      <c r="J101" s="24" t="b">
        <v>0</v>
      </c>
      <c r="K101" s="24" t="b">
        <v>0</v>
      </c>
      <c r="L101" s="24" t="b">
        <v>0</v>
      </c>
      <c r="M101" s="58" t="str">
        <f t="shared" si="2"/>
        <v/>
      </c>
      <c r="BA101" s="24">
        <f t="shared" si="3"/>
        <v>0</v>
      </c>
      <c r="BB101" s="29"/>
      <c r="BE101" s="29"/>
    </row>
    <row r="102" spans="5:57" ht="18" customHeight="1">
      <c r="E102" s="69"/>
      <c r="F102" s="23" t="s">
        <v>194</v>
      </c>
      <c r="G102" s="23" t="s">
        <v>146</v>
      </c>
      <c r="H102" s="28">
        <v>339</v>
      </c>
      <c r="I102" s="23" t="s">
        <v>286</v>
      </c>
      <c r="J102" s="24" t="b">
        <v>0</v>
      </c>
      <c r="K102" s="24" t="b">
        <v>0</v>
      </c>
      <c r="L102" s="24" t="b">
        <v>0</v>
      </c>
      <c r="M102" s="58" t="str">
        <f t="shared" si="2"/>
        <v/>
      </c>
      <c r="BA102" s="24">
        <f t="shared" si="3"/>
        <v>0</v>
      </c>
      <c r="BB102" s="29"/>
      <c r="BE102" s="29"/>
    </row>
    <row r="103" spans="5:57" ht="18" customHeight="1">
      <c r="E103" s="69"/>
      <c r="G103" s="23" t="s">
        <v>146</v>
      </c>
      <c r="H103" s="28" t="s">
        <v>74</v>
      </c>
      <c r="I103" s="23" t="s">
        <v>75</v>
      </c>
      <c r="J103" s="24" t="b">
        <v>0</v>
      </c>
      <c r="K103" s="24" t="b">
        <v>0</v>
      </c>
      <c r="L103" s="24" t="b">
        <v>0</v>
      </c>
      <c r="M103" s="58" t="str">
        <f t="shared" si="2"/>
        <v/>
      </c>
      <c r="BA103" s="24">
        <f t="shared" si="3"/>
        <v>0</v>
      </c>
      <c r="BB103" s="29"/>
      <c r="BE103" s="29"/>
    </row>
    <row r="104" spans="5:57" ht="18" customHeight="1">
      <c r="E104" s="69"/>
      <c r="G104" s="23" t="s">
        <v>146</v>
      </c>
      <c r="H104" s="28" t="s">
        <v>76</v>
      </c>
      <c r="I104" s="23" t="s">
        <v>177</v>
      </c>
      <c r="J104" s="24" t="b">
        <v>0</v>
      </c>
      <c r="K104" s="24" t="b">
        <v>0</v>
      </c>
      <c r="L104" s="24" t="b">
        <v>0</v>
      </c>
      <c r="M104" s="58" t="str">
        <f t="shared" si="2"/>
        <v/>
      </c>
      <c r="BA104" s="24">
        <f t="shared" si="3"/>
        <v>0</v>
      </c>
      <c r="BB104" s="29"/>
      <c r="BE104" s="29"/>
    </row>
    <row r="105" spans="5:57" ht="18" customHeight="1">
      <c r="E105" s="69"/>
      <c r="G105" s="23" t="s">
        <v>146</v>
      </c>
      <c r="H105" s="28">
        <v>344</v>
      </c>
      <c r="I105" s="23" t="s">
        <v>287</v>
      </c>
      <c r="J105" s="24" t="b">
        <v>0</v>
      </c>
      <c r="K105" s="24" t="b">
        <v>0</v>
      </c>
      <c r="L105" s="24" t="b">
        <v>0</v>
      </c>
      <c r="M105" s="58" t="str">
        <f>IF(OR(AND(J105,K105),AND(J105,L105),AND(K105,L105)),"Choose for one only","")</f>
        <v/>
      </c>
      <c r="BB105" s="29"/>
      <c r="BE105" s="29"/>
    </row>
    <row r="106" spans="5:57" ht="18" customHeight="1">
      <c r="E106" s="69"/>
      <c r="G106" s="23" t="s">
        <v>146</v>
      </c>
      <c r="H106" s="28" t="s">
        <v>178</v>
      </c>
      <c r="I106" s="23" t="s">
        <v>179</v>
      </c>
      <c r="J106" s="24" t="b">
        <v>0</v>
      </c>
      <c r="K106" s="24" t="b">
        <v>0</v>
      </c>
      <c r="L106" s="24" t="b">
        <v>0</v>
      </c>
      <c r="M106" s="58" t="str">
        <f t="shared" si="2"/>
        <v/>
      </c>
      <c r="BA106" s="24">
        <f t="shared" si="3"/>
        <v>0</v>
      </c>
      <c r="BB106" s="29"/>
      <c r="BE106" s="29"/>
    </row>
    <row r="107" spans="5:57" ht="18" customHeight="1">
      <c r="E107" s="69"/>
      <c r="G107" s="23" t="s">
        <v>146</v>
      </c>
      <c r="H107" s="28">
        <v>346</v>
      </c>
      <c r="I107" s="23" t="s">
        <v>285</v>
      </c>
      <c r="J107" s="24" t="b">
        <v>0</v>
      </c>
      <c r="K107" s="24" t="b">
        <v>0</v>
      </c>
      <c r="L107" s="24" t="b">
        <v>0</v>
      </c>
      <c r="M107" s="58" t="str">
        <f t="shared" si="2"/>
        <v/>
      </c>
      <c r="BA107" s="24">
        <f t="shared" si="3"/>
        <v>0</v>
      </c>
      <c r="BB107" s="29"/>
      <c r="BE107" s="29"/>
    </row>
    <row r="108" spans="5:57" ht="18" customHeight="1">
      <c r="E108" s="69"/>
      <c r="F108" s="23" t="s">
        <v>195</v>
      </c>
      <c r="G108" s="23" t="s">
        <v>146</v>
      </c>
      <c r="H108" s="28" t="s">
        <v>14</v>
      </c>
      <c r="I108" s="23" t="s">
        <v>288</v>
      </c>
      <c r="J108" s="24" t="b">
        <v>0</v>
      </c>
      <c r="K108" s="24" t="b">
        <v>0</v>
      </c>
      <c r="L108" s="24" t="b">
        <v>0</v>
      </c>
      <c r="M108" s="58" t="str">
        <f t="shared" si="2"/>
        <v/>
      </c>
      <c r="BA108" s="24">
        <f t="shared" si="3"/>
        <v>0</v>
      </c>
      <c r="BB108" s="29"/>
      <c r="BE108" s="29"/>
    </row>
    <row r="109" spans="5:57" ht="18" customHeight="1">
      <c r="E109" s="69"/>
      <c r="G109" s="23" t="s">
        <v>146</v>
      </c>
      <c r="H109" s="28">
        <v>349</v>
      </c>
      <c r="I109" s="23" t="s">
        <v>167</v>
      </c>
      <c r="J109" s="24" t="b">
        <v>0</v>
      </c>
      <c r="K109" s="24" t="b">
        <v>0</v>
      </c>
      <c r="L109" s="24" t="b">
        <v>0</v>
      </c>
      <c r="M109" s="58" t="str">
        <f t="shared" si="2"/>
        <v/>
      </c>
      <c r="BA109" s="24">
        <f t="shared" si="3"/>
        <v>0</v>
      </c>
      <c r="BB109" s="29"/>
      <c r="BE109" s="29"/>
    </row>
    <row r="110" spans="5:57" ht="18" customHeight="1">
      <c r="E110" s="69"/>
      <c r="G110" s="23" t="s">
        <v>146</v>
      </c>
      <c r="H110" s="28" t="s">
        <v>168</v>
      </c>
      <c r="I110" s="23" t="s">
        <v>169</v>
      </c>
      <c r="J110" s="24" t="b">
        <v>0</v>
      </c>
      <c r="K110" s="24" t="b">
        <v>0</v>
      </c>
      <c r="L110" s="24" t="b">
        <v>0</v>
      </c>
      <c r="M110" s="58" t="str">
        <f t="shared" si="2"/>
        <v/>
      </c>
      <c r="BA110" s="24">
        <f t="shared" si="3"/>
        <v>0</v>
      </c>
      <c r="BB110" s="29"/>
      <c r="BE110" s="29"/>
    </row>
    <row r="111" spans="5:57" ht="18" customHeight="1">
      <c r="E111" s="69"/>
      <c r="G111" s="23" t="s">
        <v>146</v>
      </c>
      <c r="H111" s="28" t="s">
        <v>170</v>
      </c>
      <c r="I111" s="23" t="s">
        <v>171</v>
      </c>
      <c r="J111" s="24" t="b">
        <v>0</v>
      </c>
      <c r="K111" s="24" t="b">
        <v>0</v>
      </c>
      <c r="L111" s="24" t="b">
        <v>0</v>
      </c>
      <c r="M111" s="58" t="str">
        <f t="shared" si="2"/>
        <v/>
      </c>
      <c r="BA111" s="24">
        <f t="shared" si="3"/>
        <v>0</v>
      </c>
      <c r="BB111" s="29"/>
      <c r="BE111" s="29"/>
    </row>
    <row r="112" spans="5:57" ht="18" customHeight="1">
      <c r="E112" s="69"/>
      <c r="G112" s="23" t="s">
        <v>146</v>
      </c>
      <c r="H112" s="28" t="s">
        <v>172</v>
      </c>
      <c r="I112" s="23" t="s">
        <v>173</v>
      </c>
      <c r="J112" s="24" t="b">
        <v>0</v>
      </c>
      <c r="K112" s="24" t="b">
        <v>0</v>
      </c>
      <c r="L112" s="24" t="b">
        <v>0</v>
      </c>
      <c r="M112" s="58" t="str">
        <f t="shared" si="2"/>
        <v/>
      </c>
      <c r="BA112" s="24">
        <f t="shared" si="3"/>
        <v>0</v>
      </c>
      <c r="BB112" s="29"/>
      <c r="BE112" s="29"/>
    </row>
    <row r="113" spans="5:57" ht="18" customHeight="1">
      <c r="E113" s="69"/>
      <c r="G113" s="23" t="s">
        <v>146</v>
      </c>
      <c r="H113" s="28" t="s">
        <v>174</v>
      </c>
      <c r="I113" s="23" t="s">
        <v>175</v>
      </c>
      <c r="J113" s="24" t="b">
        <v>0</v>
      </c>
      <c r="K113" s="24" t="b">
        <v>0</v>
      </c>
      <c r="L113" s="24" t="b">
        <v>0</v>
      </c>
      <c r="M113" s="58" t="str">
        <f t="shared" si="2"/>
        <v/>
      </c>
      <c r="BA113" s="24">
        <f t="shared" si="3"/>
        <v>0</v>
      </c>
      <c r="BB113" s="29"/>
      <c r="BE113" s="29"/>
    </row>
    <row r="114" spans="5:57" ht="18" customHeight="1">
      <c r="E114" s="69"/>
      <c r="F114" s="23" t="s">
        <v>194</v>
      </c>
      <c r="G114" s="23" t="s">
        <v>146</v>
      </c>
      <c r="H114" s="28" t="s">
        <v>176</v>
      </c>
      <c r="I114" s="23" t="s">
        <v>127</v>
      </c>
      <c r="J114" s="24" t="b">
        <v>0</v>
      </c>
      <c r="K114" s="24" t="b">
        <v>0</v>
      </c>
      <c r="L114" s="24" t="b">
        <v>0</v>
      </c>
      <c r="M114" s="58" t="str">
        <f t="shared" si="2"/>
        <v/>
      </c>
      <c r="BA114" s="24">
        <f t="shared" si="3"/>
        <v>0</v>
      </c>
      <c r="BB114" s="29"/>
      <c r="BE114" s="29"/>
    </row>
    <row r="115" spans="5:57" ht="18" customHeight="1">
      <c r="E115" s="69"/>
      <c r="G115" s="23" t="s">
        <v>146</v>
      </c>
      <c r="H115" s="28" t="s">
        <v>128</v>
      </c>
      <c r="I115" s="23" t="s">
        <v>129</v>
      </c>
      <c r="J115" s="24" t="b">
        <v>0</v>
      </c>
      <c r="K115" s="24" t="b">
        <v>0</v>
      </c>
      <c r="L115" s="24" t="b">
        <v>0</v>
      </c>
      <c r="M115" s="58" t="str">
        <f t="shared" si="2"/>
        <v/>
      </c>
      <c r="BA115" s="24">
        <f t="shared" si="3"/>
        <v>0</v>
      </c>
      <c r="BB115" s="29"/>
      <c r="BE115" s="29"/>
    </row>
    <row r="116" spans="5:57" ht="18" customHeight="1">
      <c r="E116" s="69"/>
      <c r="G116" s="23" t="s">
        <v>146</v>
      </c>
      <c r="H116" s="28" t="s">
        <v>130</v>
      </c>
      <c r="I116" s="23" t="s">
        <v>131</v>
      </c>
      <c r="J116" s="24" t="b">
        <v>0</v>
      </c>
      <c r="K116" s="24" t="b">
        <v>0</v>
      </c>
      <c r="L116" s="24" t="b">
        <v>0</v>
      </c>
      <c r="M116" s="58" t="str">
        <f t="shared" si="2"/>
        <v/>
      </c>
      <c r="BA116" s="24">
        <f t="shared" si="3"/>
        <v>0</v>
      </c>
      <c r="BB116" s="29"/>
      <c r="BE116" s="29"/>
    </row>
    <row r="117" spans="5:57" ht="18" customHeight="1">
      <c r="E117" s="69"/>
      <c r="G117" s="23" t="s">
        <v>146</v>
      </c>
      <c r="H117" s="28">
        <v>363</v>
      </c>
      <c r="I117" s="23" t="s">
        <v>137</v>
      </c>
      <c r="J117" s="24" t="b">
        <v>0</v>
      </c>
      <c r="K117" s="24" t="b">
        <v>0</v>
      </c>
      <c r="L117" s="24" t="b">
        <v>0</v>
      </c>
      <c r="M117" s="58" t="str">
        <f t="shared" si="2"/>
        <v/>
      </c>
      <c r="BA117" s="24">
        <f t="shared" si="3"/>
        <v>0</v>
      </c>
      <c r="BB117" s="29"/>
      <c r="BE117" s="29"/>
    </row>
    <row r="118" spans="5:57" ht="18" customHeight="1">
      <c r="E118" s="69"/>
      <c r="G118" s="23" t="s">
        <v>146</v>
      </c>
      <c r="H118" s="28" t="s">
        <v>138</v>
      </c>
      <c r="I118" s="23" t="s">
        <v>236</v>
      </c>
      <c r="J118" s="24" t="b">
        <v>0</v>
      </c>
      <c r="K118" s="24" t="b">
        <v>0</v>
      </c>
      <c r="L118" s="24" t="b">
        <v>0</v>
      </c>
      <c r="M118" s="58" t="str">
        <f t="shared" si="2"/>
        <v/>
      </c>
      <c r="BA118" s="24">
        <f t="shared" si="3"/>
        <v>0</v>
      </c>
      <c r="BB118" s="29"/>
      <c r="BE118" s="29"/>
    </row>
    <row r="119" spans="5:57" ht="18" customHeight="1">
      <c r="E119" s="69"/>
      <c r="G119" s="23" t="s">
        <v>146</v>
      </c>
      <c r="H119" s="28">
        <v>371</v>
      </c>
      <c r="I119" s="23" t="s">
        <v>157</v>
      </c>
      <c r="J119" s="24" t="b">
        <v>0</v>
      </c>
      <c r="K119" s="24" t="b">
        <v>0</v>
      </c>
      <c r="L119" s="24" t="b">
        <v>0</v>
      </c>
      <c r="M119" s="58" t="str">
        <f t="shared" si="2"/>
        <v/>
      </c>
      <c r="BA119" s="24">
        <f t="shared" si="3"/>
        <v>0</v>
      </c>
      <c r="BB119" s="29"/>
      <c r="BE119" s="29"/>
    </row>
    <row r="120" spans="5:57" ht="18" customHeight="1">
      <c r="E120" s="69"/>
      <c r="G120" s="23" t="s">
        <v>146</v>
      </c>
      <c r="H120" s="28">
        <v>376</v>
      </c>
      <c r="I120" s="23" t="s">
        <v>289</v>
      </c>
      <c r="J120" s="24" t="b">
        <v>0</v>
      </c>
      <c r="K120" s="24" t="b">
        <v>0</v>
      </c>
      <c r="L120" s="24" t="b">
        <v>0</v>
      </c>
      <c r="M120" s="58" t="str">
        <f t="shared" si="2"/>
        <v/>
      </c>
      <c r="BA120" s="24">
        <f t="shared" si="3"/>
        <v>0</v>
      </c>
      <c r="BB120" s="29"/>
      <c r="BE120" s="29"/>
    </row>
    <row r="121" spans="5:57" ht="18" customHeight="1">
      <c r="E121" s="69"/>
      <c r="G121" s="23" t="s">
        <v>146</v>
      </c>
      <c r="H121" s="28">
        <v>380</v>
      </c>
      <c r="I121" s="23" t="s">
        <v>290</v>
      </c>
      <c r="J121" s="24" t="b">
        <v>0</v>
      </c>
      <c r="K121" s="24" t="b">
        <v>0</v>
      </c>
      <c r="L121" s="24" t="b">
        <v>0</v>
      </c>
      <c r="M121" s="58" t="str">
        <f t="shared" si="2"/>
        <v/>
      </c>
      <c r="BA121" s="24">
        <f t="shared" si="3"/>
        <v>0</v>
      </c>
      <c r="BB121" s="29"/>
      <c r="BE121" s="29"/>
    </row>
    <row r="122" spans="5:57" ht="18" customHeight="1">
      <c r="E122" s="69"/>
      <c r="G122" s="23" t="s">
        <v>146</v>
      </c>
      <c r="H122" s="28">
        <v>381</v>
      </c>
      <c r="I122" s="23" t="s">
        <v>291</v>
      </c>
      <c r="J122" s="24" t="b">
        <v>0</v>
      </c>
      <c r="K122" s="24" t="b">
        <v>0</v>
      </c>
      <c r="L122" s="24" t="b">
        <v>0</v>
      </c>
      <c r="M122" s="58" t="str">
        <f t="shared" si="2"/>
        <v/>
      </c>
      <c r="BA122" s="24">
        <f t="shared" si="3"/>
        <v>0</v>
      </c>
      <c r="BB122" s="29"/>
      <c r="BE122" s="29"/>
    </row>
    <row r="123" spans="5:57" ht="18" customHeight="1">
      <c r="E123" s="69"/>
      <c r="G123" s="23" t="s">
        <v>146</v>
      </c>
      <c r="H123" s="28" t="s">
        <v>64</v>
      </c>
      <c r="I123" s="23" t="s">
        <v>65</v>
      </c>
      <c r="J123" s="24" t="b">
        <v>0</v>
      </c>
      <c r="K123" s="24" t="b">
        <v>0</v>
      </c>
      <c r="L123" s="24" t="b">
        <v>0</v>
      </c>
      <c r="M123" s="58" t="str">
        <f t="shared" si="2"/>
        <v/>
      </c>
      <c r="BA123" s="24">
        <f t="shared" si="3"/>
        <v>0</v>
      </c>
      <c r="BB123" s="29"/>
      <c r="BE123" s="29"/>
    </row>
    <row r="124" spans="5:57" ht="18" customHeight="1">
      <c r="E124" s="69"/>
      <c r="G124" s="23" t="s">
        <v>146</v>
      </c>
      <c r="H124" s="28">
        <v>385</v>
      </c>
      <c r="I124" s="23" t="s">
        <v>66</v>
      </c>
      <c r="J124" s="24" t="b">
        <v>0</v>
      </c>
      <c r="K124" s="24" t="b">
        <v>0</v>
      </c>
      <c r="L124" s="24" t="b">
        <v>0</v>
      </c>
      <c r="M124" s="58" t="str">
        <f t="shared" si="2"/>
        <v/>
      </c>
      <c r="BA124" s="24">
        <f t="shared" si="3"/>
        <v>0</v>
      </c>
      <c r="BB124" s="29"/>
      <c r="BE124" s="29"/>
    </row>
    <row r="125" spans="5:57" ht="18" customHeight="1">
      <c r="E125" s="69"/>
      <c r="G125" s="23" t="s">
        <v>146</v>
      </c>
      <c r="H125" s="28" t="s">
        <v>67</v>
      </c>
      <c r="I125" s="23" t="s">
        <v>68</v>
      </c>
      <c r="J125" s="24" t="b">
        <v>0</v>
      </c>
      <c r="K125" s="24" t="b">
        <v>0</v>
      </c>
      <c r="L125" s="24" t="b">
        <v>0</v>
      </c>
      <c r="M125" s="58" t="str">
        <f t="shared" si="2"/>
        <v/>
      </c>
      <c r="BA125" s="24">
        <f t="shared" si="3"/>
        <v>0</v>
      </c>
      <c r="BB125" s="29"/>
      <c r="BE125" s="29"/>
    </row>
    <row r="126" spans="5:57" ht="18" customHeight="1">
      <c r="E126" s="69"/>
      <c r="G126" s="23" t="s">
        <v>146</v>
      </c>
      <c r="H126" s="28" t="s">
        <v>69</v>
      </c>
      <c r="I126" s="23" t="s">
        <v>70</v>
      </c>
      <c r="J126" s="24" t="b">
        <v>0</v>
      </c>
      <c r="K126" s="24" t="b">
        <v>0</v>
      </c>
      <c r="L126" s="24" t="b">
        <v>0</v>
      </c>
      <c r="M126" s="58" t="str">
        <f t="shared" si="2"/>
        <v/>
      </c>
      <c r="BA126" s="24">
        <f t="shared" si="3"/>
        <v>0</v>
      </c>
      <c r="BB126" s="29"/>
      <c r="BE126" s="29"/>
    </row>
    <row r="127" spans="5:57" ht="18" customHeight="1">
      <c r="E127" s="69"/>
      <c r="F127" s="23" t="s">
        <v>195</v>
      </c>
      <c r="G127" s="23" t="s">
        <v>146</v>
      </c>
      <c r="H127" s="28" t="s">
        <v>71</v>
      </c>
      <c r="I127" s="23" t="s">
        <v>72</v>
      </c>
      <c r="J127" s="24" t="b">
        <v>0</v>
      </c>
      <c r="K127" s="24" t="b">
        <v>0</v>
      </c>
      <c r="L127" s="24" t="b">
        <v>0</v>
      </c>
      <c r="M127" s="58" t="str">
        <f t="shared" si="2"/>
        <v/>
      </c>
      <c r="BA127" s="24">
        <f t="shared" si="3"/>
        <v>0</v>
      </c>
      <c r="BB127" s="29"/>
      <c r="BE127" s="29"/>
    </row>
    <row r="128" spans="5:57" ht="18" customHeight="1">
      <c r="E128" s="69"/>
      <c r="F128" s="23" t="s">
        <v>195</v>
      </c>
      <c r="G128" s="23" t="s">
        <v>146</v>
      </c>
      <c r="H128" s="28">
        <v>430</v>
      </c>
      <c r="I128" s="23" t="s">
        <v>292</v>
      </c>
      <c r="J128" s="24" t="b">
        <v>0</v>
      </c>
      <c r="K128" s="24" t="b">
        <v>0</v>
      </c>
      <c r="L128" s="24" t="b">
        <v>0</v>
      </c>
      <c r="M128" s="58" t="str">
        <f t="shared" si="2"/>
        <v/>
      </c>
      <c r="BA128" s="24">
        <f t="shared" si="3"/>
        <v>0</v>
      </c>
      <c r="BB128" s="29"/>
      <c r="BE128" s="29"/>
    </row>
    <row r="129" spans="2:71" ht="18" customHeight="1">
      <c r="E129" s="69"/>
      <c r="F129" s="23" t="s">
        <v>195</v>
      </c>
      <c r="G129" s="23" t="s">
        <v>146</v>
      </c>
      <c r="H129" s="28" t="s">
        <v>259</v>
      </c>
      <c r="I129" s="23" t="s">
        <v>260</v>
      </c>
      <c r="J129" s="24" t="b">
        <v>0</v>
      </c>
      <c r="K129" s="24" t="b">
        <v>0</v>
      </c>
      <c r="L129" s="24" t="b">
        <v>0</v>
      </c>
      <c r="M129" s="58" t="str">
        <f t="shared" si="2"/>
        <v/>
      </c>
      <c r="BA129" s="24">
        <f t="shared" si="3"/>
        <v>0</v>
      </c>
      <c r="BB129" s="29"/>
      <c r="BE129" s="29"/>
    </row>
    <row r="130" spans="2:71" ht="18" customHeight="1">
      <c r="E130" s="69"/>
      <c r="G130" s="23" t="s">
        <v>146</v>
      </c>
      <c r="H130" s="28" t="s">
        <v>206</v>
      </c>
      <c r="I130" s="23" t="s">
        <v>207</v>
      </c>
      <c r="J130" s="24" t="b">
        <v>0</v>
      </c>
      <c r="K130" s="24" t="b">
        <v>0</v>
      </c>
      <c r="L130" s="24" t="b">
        <v>0</v>
      </c>
      <c r="M130" s="58" t="str">
        <f t="shared" si="2"/>
        <v/>
      </c>
      <c r="BA130" s="24">
        <f t="shared" si="3"/>
        <v>0</v>
      </c>
      <c r="BB130" s="29"/>
      <c r="BE130" s="29"/>
    </row>
    <row r="131" spans="2:71" ht="18" customHeight="1">
      <c r="E131" s="69"/>
      <c r="G131" s="23" t="s">
        <v>146</v>
      </c>
      <c r="H131" s="28">
        <v>451</v>
      </c>
      <c r="I131" s="23" t="s">
        <v>208</v>
      </c>
      <c r="J131" s="24" t="b">
        <v>0</v>
      </c>
      <c r="K131" s="24" t="b">
        <v>0</v>
      </c>
      <c r="L131" s="24" t="b">
        <v>0</v>
      </c>
      <c r="M131" s="58" t="str">
        <f t="shared" si="2"/>
        <v/>
      </c>
      <c r="BA131" s="24">
        <f t="shared" si="3"/>
        <v>0</v>
      </c>
      <c r="BB131" s="29"/>
      <c r="BE131" s="29"/>
    </row>
    <row r="132" spans="2:71" ht="18" customHeight="1">
      <c r="E132" s="69"/>
      <c r="F132" s="23" t="s">
        <v>195</v>
      </c>
      <c r="G132" s="23" t="s">
        <v>146</v>
      </c>
      <c r="H132" s="28" t="s">
        <v>209</v>
      </c>
      <c r="I132" s="23" t="s">
        <v>210</v>
      </c>
      <c r="J132" s="24" t="b">
        <v>0</v>
      </c>
      <c r="K132" s="24" t="b">
        <v>0</v>
      </c>
      <c r="L132" s="24" t="b">
        <v>0</v>
      </c>
      <c r="M132" s="58" t="str">
        <f t="shared" si="2"/>
        <v/>
      </c>
      <c r="BA132" s="24">
        <f t="shared" si="3"/>
        <v>0</v>
      </c>
      <c r="BB132" s="29"/>
      <c r="BE132" s="29"/>
    </row>
    <row r="133" spans="2:71" ht="18" customHeight="1">
      <c r="E133" s="69"/>
      <c r="G133" s="23" t="s">
        <v>146</v>
      </c>
      <c r="H133" s="28" t="s">
        <v>211</v>
      </c>
      <c r="I133" s="23" t="s">
        <v>3</v>
      </c>
      <c r="J133" s="24" t="b">
        <v>0</v>
      </c>
      <c r="K133" s="24" t="b">
        <v>0</v>
      </c>
      <c r="L133" s="24" t="b">
        <v>0</v>
      </c>
      <c r="M133" s="58" t="str">
        <f t="shared" ref="M133:M157" si="4">IF(OR(AND(J133,K133),AND(J133,L133),AND(K133,L133)),"Choose for one only","")</f>
        <v/>
      </c>
      <c r="BA133" s="24">
        <f t="shared" si="3"/>
        <v>0</v>
      </c>
      <c r="BB133" s="29"/>
      <c r="BE133" s="29"/>
    </row>
    <row r="134" spans="2:71" ht="18" customHeight="1">
      <c r="E134" s="69"/>
      <c r="G134" s="23" t="s">
        <v>146</v>
      </c>
      <c r="H134" s="28" t="s">
        <v>4</v>
      </c>
      <c r="I134" s="23" t="s">
        <v>5</v>
      </c>
      <c r="J134" s="24" t="b">
        <v>0</v>
      </c>
      <c r="K134" s="24" t="b">
        <v>0</v>
      </c>
      <c r="L134" s="24" t="b">
        <v>0</v>
      </c>
      <c r="M134" s="58" t="str">
        <f t="shared" si="4"/>
        <v/>
      </c>
      <c r="BA134" s="24">
        <f t="shared" si="3"/>
        <v>0</v>
      </c>
      <c r="BB134" s="29"/>
      <c r="BE134" s="29"/>
    </row>
    <row r="135" spans="2:71" ht="18" customHeight="1">
      <c r="E135" s="69"/>
      <c r="G135" s="23" t="s">
        <v>146</v>
      </c>
      <c r="H135" s="28">
        <v>456</v>
      </c>
      <c r="I135" s="23" t="s">
        <v>46</v>
      </c>
      <c r="J135" s="24" t="b">
        <v>0</v>
      </c>
      <c r="K135" s="24" t="b">
        <v>0</v>
      </c>
      <c r="L135" s="24" t="b">
        <v>0</v>
      </c>
      <c r="M135" s="58" t="str">
        <f t="shared" si="4"/>
        <v/>
      </c>
      <c r="BA135" s="24">
        <f t="shared" si="3"/>
        <v>0</v>
      </c>
      <c r="BB135" s="29"/>
      <c r="BE135" s="29"/>
    </row>
    <row r="136" spans="2:71" ht="18" customHeight="1">
      <c r="E136" s="69"/>
      <c r="F136" s="23" t="s">
        <v>195</v>
      </c>
      <c r="G136" s="23" t="s">
        <v>146</v>
      </c>
      <c r="H136" s="28" t="s">
        <v>47</v>
      </c>
      <c r="I136" s="23" t="s">
        <v>48</v>
      </c>
      <c r="J136" s="24" t="b">
        <v>0</v>
      </c>
      <c r="K136" s="24" t="b">
        <v>0</v>
      </c>
      <c r="L136" s="24" t="b">
        <v>0</v>
      </c>
      <c r="M136" s="58" t="str">
        <f t="shared" si="4"/>
        <v/>
      </c>
      <c r="BA136" s="24">
        <f t="shared" si="3"/>
        <v>0</v>
      </c>
      <c r="BB136" s="29"/>
      <c r="BE136" s="29"/>
    </row>
    <row r="137" spans="2:71" ht="18" customHeight="1">
      <c r="E137" s="69"/>
      <c r="G137" s="23" t="s">
        <v>146</v>
      </c>
      <c r="H137" s="28" t="s">
        <v>49</v>
      </c>
      <c r="I137" s="23" t="s">
        <v>34</v>
      </c>
      <c r="J137" s="24" t="b">
        <v>0</v>
      </c>
      <c r="K137" s="24" t="b">
        <v>0</v>
      </c>
      <c r="L137" s="24" t="b">
        <v>0</v>
      </c>
      <c r="M137" s="58" t="str">
        <f t="shared" si="4"/>
        <v/>
      </c>
      <c r="BA137" s="24">
        <f t="shared" si="3"/>
        <v>0</v>
      </c>
      <c r="BB137" s="29"/>
      <c r="BE137" s="29"/>
    </row>
    <row r="138" spans="2:71" ht="18" customHeight="1">
      <c r="E138" s="69"/>
      <c r="G138" s="23" t="s">
        <v>146</v>
      </c>
      <c r="H138" s="28">
        <v>459</v>
      </c>
      <c r="I138" s="23" t="s">
        <v>293</v>
      </c>
      <c r="J138" s="24" t="b">
        <v>0</v>
      </c>
      <c r="K138" s="24" t="b">
        <v>0</v>
      </c>
      <c r="L138" s="24" t="b">
        <v>0</v>
      </c>
      <c r="M138" s="58" t="str">
        <f t="shared" si="4"/>
        <v/>
      </c>
      <c r="BA138" s="24">
        <f t="shared" si="3"/>
        <v>0</v>
      </c>
      <c r="BB138" s="29"/>
      <c r="BE138" s="29"/>
    </row>
    <row r="139" spans="2:71" ht="18" customHeight="1">
      <c r="E139" s="69"/>
      <c r="F139" s="23" t="s">
        <v>195</v>
      </c>
      <c r="G139" s="23" t="s">
        <v>146</v>
      </c>
      <c r="H139" s="28" t="s">
        <v>36</v>
      </c>
      <c r="I139" s="23" t="s">
        <v>37</v>
      </c>
      <c r="J139" s="24" t="b">
        <v>0</v>
      </c>
      <c r="K139" s="24" t="b">
        <v>0</v>
      </c>
      <c r="L139" s="24" t="b">
        <v>0</v>
      </c>
      <c r="M139" s="58" t="str">
        <f t="shared" si="4"/>
        <v/>
      </c>
      <c r="BA139" s="24">
        <f t="shared" si="3"/>
        <v>0</v>
      </c>
      <c r="BB139" s="29"/>
      <c r="BE139" s="29"/>
    </row>
    <row r="140" spans="2:71" ht="18" customHeight="1">
      <c r="E140" s="69"/>
      <c r="G140" s="23" t="s">
        <v>146</v>
      </c>
      <c r="H140" s="28" t="s">
        <v>38</v>
      </c>
      <c r="I140" s="23" t="s">
        <v>39</v>
      </c>
      <c r="J140" s="24" t="b">
        <v>0</v>
      </c>
      <c r="K140" s="24" t="b">
        <v>0</v>
      </c>
      <c r="L140" s="24" t="b">
        <v>0</v>
      </c>
      <c r="M140" s="58" t="str">
        <f t="shared" si="4"/>
        <v/>
      </c>
      <c r="BA140" s="24">
        <f t="shared" si="3"/>
        <v>0</v>
      </c>
      <c r="BB140" s="29"/>
      <c r="BE140" s="29"/>
    </row>
    <row r="141" spans="2:71" ht="18" customHeight="1">
      <c r="E141" s="69"/>
      <c r="F141" s="23" t="s">
        <v>195</v>
      </c>
      <c r="G141" s="23" t="s">
        <v>146</v>
      </c>
      <c r="H141" s="28" t="s">
        <v>40</v>
      </c>
      <c r="I141" s="23" t="s">
        <v>41</v>
      </c>
      <c r="J141" s="24" t="b">
        <v>0</v>
      </c>
      <c r="K141" s="24" t="b">
        <v>0</v>
      </c>
      <c r="L141" s="24" t="b">
        <v>0</v>
      </c>
      <c r="M141" s="58" t="str">
        <f t="shared" si="4"/>
        <v/>
      </c>
      <c r="BA141" s="24">
        <f t="shared" si="3"/>
        <v>0</v>
      </c>
      <c r="BB141" s="29"/>
      <c r="BE141" s="29"/>
    </row>
    <row r="142" spans="2:71" ht="18" customHeight="1">
      <c r="E142" s="69"/>
      <c r="G142" s="23" t="s">
        <v>146</v>
      </c>
      <c r="H142" s="28" t="s">
        <v>42</v>
      </c>
      <c r="I142" s="23" t="s">
        <v>43</v>
      </c>
      <c r="J142" s="24" t="b">
        <v>0</v>
      </c>
      <c r="K142" s="24" t="b">
        <v>0</v>
      </c>
      <c r="L142" s="24" t="b">
        <v>0</v>
      </c>
      <c r="M142" s="58" t="str">
        <f t="shared" si="4"/>
        <v/>
      </c>
      <c r="BA142" s="24">
        <f t="shared" si="3"/>
        <v>0</v>
      </c>
      <c r="BB142" s="29"/>
      <c r="BE142" s="29"/>
    </row>
    <row r="143" spans="2:71" ht="18" customHeight="1" thickBot="1">
      <c r="E143" s="69"/>
      <c r="G143" s="23" t="s">
        <v>146</v>
      </c>
      <c r="H143" s="28">
        <v>478</v>
      </c>
      <c r="I143" s="23" t="s">
        <v>294</v>
      </c>
      <c r="J143" s="24" t="b">
        <v>0</v>
      </c>
      <c r="K143" s="24" t="b">
        <v>0</v>
      </c>
      <c r="L143" s="24" t="b">
        <v>0</v>
      </c>
      <c r="M143" s="58" t="str">
        <f t="shared" si="4"/>
        <v/>
      </c>
      <c r="BA143" s="24">
        <f t="shared" si="3"/>
        <v>0</v>
      </c>
      <c r="BB143" s="37"/>
      <c r="BC143" s="33"/>
      <c r="BD143" s="33"/>
      <c r="BE143" s="37"/>
      <c r="BF143" s="33"/>
      <c r="BG143" s="33"/>
      <c r="BH143" s="33"/>
      <c r="BI143" s="33"/>
    </row>
    <row r="144" spans="2:71" s="33" customFormat="1" ht="18" customHeight="1" thickBot="1">
      <c r="B144" s="34"/>
      <c r="C144" s="35"/>
      <c r="D144" s="34"/>
      <c r="E144" s="70"/>
      <c r="F144" s="34"/>
      <c r="G144" s="34" t="s">
        <v>146</v>
      </c>
      <c r="H144" s="36">
        <v>498</v>
      </c>
      <c r="I144" s="34" t="s">
        <v>150</v>
      </c>
      <c r="J144" s="33" t="b">
        <v>0</v>
      </c>
      <c r="K144" s="33" t="b">
        <v>0</v>
      </c>
      <c r="L144" s="33" t="b">
        <v>0</v>
      </c>
      <c r="M144" s="59" t="str">
        <f t="shared" si="4"/>
        <v/>
      </c>
      <c r="BA144" s="24">
        <f t="shared" si="3"/>
        <v>0</v>
      </c>
      <c r="BL144"/>
      <c r="BM144"/>
      <c r="BN144"/>
      <c r="BO144"/>
      <c r="BP144"/>
      <c r="BQ144"/>
      <c r="BR144"/>
      <c r="BS144"/>
    </row>
    <row r="145" spans="1:13" ht="18" customHeight="1">
      <c r="M145" s="60"/>
    </row>
    <row r="146" spans="1:13" ht="18" customHeight="1">
      <c r="M146" s="60"/>
    </row>
    <row r="147" spans="1:13" ht="70" customHeight="1" thickBot="1">
      <c r="E147" s="30" t="s">
        <v>82</v>
      </c>
      <c r="G147" s="30" t="s">
        <v>139</v>
      </c>
      <c r="H147" s="30" t="s">
        <v>140</v>
      </c>
      <c r="I147" s="30" t="s">
        <v>24</v>
      </c>
      <c r="J147" s="25" t="s">
        <v>79</v>
      </c>
      <c r="K147" s="25" t="s">
        <v>83</v>
      </c>
      <c r="L147" s="25" t="s">
        <v>81</v>
      </c>
      <c r="M147" s="60"/>
    </row>
    <row r="148" spans="1:13" ht="18" customHeight="1" thickTop="1">
      <c r="E148" s="69"/>
      <c r="F148" s="71"/>
      <c r="G148" s="72"/>
      <c r="H148" s="73"/>
      <c r="I148" s="72"/>
      <c r="J148" s="24" t="b">
        <v>0</v>
      </c>
      <c r="K148" s="24" t="b">
        <v>0</v>
      </c>
      <c r="L148" s="24" t="b">
        <v>0</v>
      </c>
      <c r="M148" s="58" t="str">
        <f t="shared" si="4"/>
        <v/>
      </c>
    </row>
    <row r="149" spans="1:13" ht="18" customHeight="1">
      <c r="E149" s="69"/>
      <c r="F149" s="71"/>
      <c r="G149" s="72"/>
      <c r="H149" s="73"/>
      <c r="I149" s="72"/>
      <c r="J149" s="24" t="b">
        <v>0</v>
      </c>
      <c r="K149" s="24" t="b">
        <v>0</v>
      </c>
      <c r="L149" s="24" t="b">
        <v>0</v>
      </c>
      <c r="M149" s="58" t="str">
        <f t="shared" si="4"/>
        <v/>
      </c>
    </row>
    <row r="150" spans="1:13" ht="18" customHeight="1">
      <c r="E150" s="69"/>
      <c r="F150" s="71"/>
      <c r="G150" s="72"/>
      <c r="H150" s="73"/>
      <c r="I150" s="72"/>
      <c r="J150" s="24" t="b">
        <v>0</v>
      </c>
      <c r="K150" s="24" t="b">
        <v>0</v>
      </c>
      <c r="L150" s="24" t="b">
        <v>0</v>
      </c>
      <c r="M150" s="58" t="str">
        <f t="shared" si="4"/>
        <v/>
      </c>
    </row>
    <row r="151" spans="1:13" ht="18" customHeight="1">
      <c r="E151" s="69"/>
      <c r="F151" s="71"/>
      <c r="G151" s="72"/>
      <c r="H151" s="73"/>
      <c r="I151" s="72"/>
      <c r="J151" s="24" t="b">
        <v>0</v>
      </c>
      <c r="K151" s="24" t="b">
        <v>0</v>
      </c>
      <c r="L151" s="24" t="b">
        <v>0</v>
      </c>
      <c r="M151" s="58" t="str">
        <f t="shared" si="4"/>
        <v/>
      </c>
    </row>
    <row r="152" spans="1:13" ht="18" customHeight="1">
      <c r="E152" s="69"/>
      <c r="F152" s="71"/>
      <c r="G152" s="72"/>
      <c r="H152" s="73"/>
      <c r="I152" s="72"/>
      <c r="J152" s="24" t="b">
        <v>0</v>
      </c>
      <c r="K152" s="24" t="b">
        <v>0</v>
      </c>
      <c r="L152" s="24" t="b">
        <v>0</v>
      </c>
      <c r="M152" s="58" t="str">
        <f t="shared" si="4"/>
        <v/>
      </c>
    </row>
    <row r="153" spans="1:13" ht="18" customHeight="1">
      <c r="E153" s="69"/>
      <c r="F153" s="71"/>
      <c r="G153" s="72"/>
      <c r="H153" s="73"/>
      <c r="I153" s="72"/>
      <c r="J153" s="24" t="b">
        <v>0</v>
      </c>
      <c r="K153" s="24" t="b">
        <v>0</v>
      </c>
      <c r="L153" s="24" t="b">
        <v>0</v>
      </c>
      <c r="M153" s="58" t="str">
        <f t="shared" si="4"/>
        <v/>
      </c>
    </row>
    <row r="154" spans="1:13" ht="18" customHeight="1">
      <c r="E154" s="69"/>
      <c r="F154" s="71"/>
      <c r="G154" s="72"/>
      <c r="H154" s="73"/>
      <c r="I154" s="72"/>
      <c r="J154" s="24" t="b">
        <v>0</v>
      </c>
      <c r="K154" s="24" t="b">
        <v>0</v>
      </c>
      <c r="L154" s="24" t="b">
        <v>0</v>
      </c>
      <c r="M154" s="58" t="str">
        <f t="shared" si="4"/>
        <v/>
      </c>
    </row>
    <row r="155" spans="1:13" ht="18" customHeight="1">
      <c r="E155" s="69"/>
      <c r="F155" s="71"/>
      <c r="G155" s="72"/>
      <c r="H155" s="73"/>
      <c r="I155" s="72"/>
      <c r="J155" s="24" t="b">
        <v>0</v>
      </c>
      <c r="K155" s="24" t="b">
        <v>0</v>
      </c>
      <c r="L155" s="24" t="b">
        <v>0</v>
      </c>
      <c r="M155" s="58" t="str">
        <f t="shared" si="4"/>
        <v/>
      </c>
    </row>
    <row r="156" spans="1:13" ht="18" customHeight="1">
      <c r="E156" s="69"/>
      <c r="F156" s="71"/>
      <c r="G156" s="72"/>
      <c r="H156" s="73"/>
      <c r="I156" s="72"/>
      <c r="J156" s="24" t="b">
        <v>0</v>
      </c>
      <c r="K156" s="24" t="b">
        <v>0</v>
      </c>
      <c r="L156" s="24" t="b">
        <v>0</v>
      </c>
      <c r="M156" s="58" t="str">
        <f t="shared" si="4"/>
        <v/>
      </c>
    </row>
    <row r="157" spans="1:13" ht="18" customHeight="1" thickBot="1">
      <c r="A157" s="33"/>
      <c r="B157" s="34"/>
      <c r="C157" s="35"/>
      <c r="D157" s="34"/>
      <c r="E157" s="70"/>
      <c r="F157" s="74"/>
      <c r="G157" s="75"/>
      <c r="H157" s="76"/>
      <c r="I157" s="75"/>
      <c r="J157" s="24" t="b">
        <v>0</v>
      </c>
      <c r="K157" s="24" t="b">
        <v>0</v>
      </c>
      <c r="L157" s="24" t="b">
        <v>0</v>
      </c>
      <c r="M157" s="58" t="str">
        <f t="shared" si="4"/>
        <v/>
      </c>
    </row>
  </sheetData>
  <phoneticPr fontId="0" type="noConversion"/>
  <pageMargins left="0.75" right="0.75" top="1" bottom="1" header="0.5" footer="0.5"/>
  <pageSetup paperSize="0" orientation="portrait" horizontalDpi="4294967292" verticalDpi="4294967292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139700</xdr:colOff>
                    <xdr:row>1</xdr:row>
                    <xdr:rowOff>0</xdr:rowOff>
                  </from>
                  <to>
                    <xdr:col>2</xdr:col>
                    <xdr:colOff>0</xdr:colOff>
                    <xdr:row>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</xdr:col>
                    <xdr:colOff>139700</xdr:colOff>
                    <xdr:row>1</xdr:row>
                    <xdr:rowOff>0</xdr:rowOff>
                  </from>
                  <to>
                    <xdr:col>2</xdr:col>
                    <xdr:colOff>0</xdr:colOff>
                    <xdr:row>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1</xdr:col>
                    <xdr:colOff>139700</xdr:colOff>
                    <xdr:row>2</xdr:row>
                    <xdr:rowOff>0</xdr:rowOff>
                  </from>
                  <to>
                    <xdr:col>2</xdr:col>
                    <xdr:colOff>0</xdr:colOff>
                    <xdr:row>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1</xdr:col>
                    <xdr:colOff>139700</xdr:colOff>
                    <xdr:row>3</xdr:row>
                    <xdr:rowOff>0</xdr:rowOff>
                  </from>
                  <to>
                    <xdr:col>2</xdr:col>
                    <xdr:colOff>0</xdr:colOff>
                    <xdr:row>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4</xdr:row>
                    <xdr:rowOff>0</xdr:rowOff>
                  </from>
                  <to>
                    <xdr:col>2</xdr:col>
                    <xdr:colOff>0</xdr:colOff>
                    <xdr:row>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1</xdr:col>
                    <xdr:colOff>139700</xdr:colOff>
                    <xdr:row>7</xdr:row>
                    <xdr:rowOff>0</xdr:rowOff>
                  </from>
                  <to>
                    <xdr:col>2</xdr:col>
                    <xdr:colOff>0</xdr:colOff>
                    <xdr:row>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1</xdr:col>
                    <xdr:colOff>139700</xdr:colOff>
                    <xdr:row>9</xdr:row>
                    <xdr:rowOff>0</xdr:rowOff>
                  </from>
                  <to>
                    <xdr:col>2</xdr:col>
                    <xdr:colOff>0</xdr:colOff>
                    <xdr:row>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1</xdr:col>
                    <xdr:colOff>139700</xdr:colOff>
                    <xdr:row>10</xdr:row>
                    <xdr:rowOff>0</xdr:rowOff>
                  </from>
                  <to>
                    <xdr:col>2</xdr:col>
                    <xdr:colOff>0</xdr:colOff>
                    <xdr:row>10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1</xdr:col>
                    <xdr:colOff>139700</xdr:colOff>
                    <xdr:row>11</xdr:row>
                    <xdr:rowOff>0</xdr:rowOff>
                  </from>
                  <to>
                    <xdr:col>2</xdr:col>
                    <xdr:colOff>0</xdr:colOff>
                    <xdr:row>11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1</xdr:col>
                    <xdr:colOff>139700</xdr:colOff>
                    <xdr:row>1</xdr:row>
                    <xdr:rowOff>0</xdr:rowOff>
                  </from>
                  <to>
                    <xdr:col>2</xdr:col>
                    <xdr:colOff>0</xdr:colOff>
                    <xdr:row>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1</xdr:col>
                    <xdr:colOff>139700</xdr:colOff>
                    <xdr:row>12</xdr:row>
                    <xdr:rowOff>0</xdr:rowOff>
                  </from>
                  <to>
                    <xdr:col>2</xdr:col>
                    <xdr:colOff>0</xdr:colOff>
                    <xdr:row>12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1</xdr:col>
                    <xdr:colOff>139700</xdr:colOff>
                    <xdr:row>14</xdr:row>
                    <xdr:rowOff>0</xdr:rowOff>
                  </from>
                  <to>
                    <xdr:col>2</xdr:col>
                    <xdr:colOff>0</xdr:colOff>
                    <xdr:row>14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1</xdr:col>
                    <xdr:colOff>139700</xdr:colOff>
                    <xdr:row>16</xdr:row>
                    <xdr:rowOff>0</xdr:rowOff>
                  </from>
                  <to>
                    <xdr:col>2</xdr:col>
                    <xdr:colOff>0</xdr:colOff>
                    <xdr:row>16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1</xdr:col>
                    <xdr:colOff>139700</xdr:colOff>
                    <xdr:row>18</xdr:row>
                    <xdr:rowOff>0</xdr:rowOff>
                  </from>
                  <to>
                    <xdr:col>2</xdr:col>
                    <xdr:colOff>0</xdr:colOff>
                    <xdr:row>18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</xdr:col>
                    <xdr:colOff>139700</xdr:colOff>
                    <xdr:row>19</xdr:row>
                    <xdr:rowOff>0</xdr:rowOff>
                  </from>
                  <to>
                    <xdr:col>2</xdr:col>
                    <xdr:colOff>0</xdr:colOff>
                    <xdr:row>19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</xdr:col>
                    <xdr:colOff>139700</xdr:colOff>
                    <xdr:row>20</xdr:row>
                    <xdr:rowOff>0</xdr:rowOff>
                  </from>
                  <to>
                    <xdr:col>2</xdr:col>
                    <xdr:colOff>0</xdr:colOff>
                    <xdr:row>20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</xdr:col>
                    <xdr:colOff>139700</xdr:colOff>
                    <xdr:row>21</xdr:row>
                    <xdr:rowOff>0</xdr:rowOff>
                  </from>
                  <to>
                    <xdr:col>2</xdr:col>
                    <xdr:colOff>0</xdr:colOff>
                    <xdr:row>21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</xdr:col>
                    <xdr:colOff>139700</xdr:colOff>
                    <xdr:row>22</xdr:row>
                    <xdr:rowOff>0</xdr:rowOff>
                  </from>
                  <to>
                    <xdr:col>2</xdr:col>
                    <xdr:colOff>0</xdr:colOff>
                    <xdr:row>22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1</xdr:col>
                    <xdr:colOff>139700</xdr:colOff>
                    <xdr:row>23</xdr:row>
                    <xdr:rowOff>0</xdr:rowOff>
                  </from>
                  <to>
                    <xdr:col>2</xdr:col>
                    <xdr:colOff>0</xdr:colOff>
                    <xdr:row>23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Check Box 23">
              <controlPr defaultSize="0" autoFill="0" autoLine="0" autoPict="0">
                <anchor moveWithCells="1">
                  <from>
                    <xdr:col>1</xdr:col>
                    <xdr:colOff>139700</xdr:colOff>
                    <xdr:row>24</xdr:row>
                    <xdr:rowOff>0</xdr:rowOff>
                  </from>
                  <to>
                    <xdr:col>2</xdr:col>
                    <xdr:colOff>0</xdr:colOff>
                    <xdr:row>24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Check Box 24">
              <controlPr defaultSize="0" autoFill="0" autoLine="0" autoPict="0">
                <anchor moveWithCells="1">
                  <from>
                    <xdr:col>1</xdr:col>
                    <xdr:colOff>139700</xdr:colOff>
                    <xdr:row>25</xdr:row>
                    <xdr:rowOff>0</xdr:rowOff>
                  </from>
                  <to>
                    <xdr:col>2</xdr:col>
                    <xdr:colOff>0</xdr:colOff>
                    <xdr:row>25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defaultSize="0" autoFill="0" autoLine="0" autoPict="0">
                <anchor moveWithCells="1">
                  <from>
                    <xdr:col>1</xdr:col>
                    <xdr:colOff>139700</xdr:colOff>
                    <xdr:row>25</xdr:row>
                    <xdr:rowOff>0</xdr:rowOff>
                  </from>
                  <to>
                    <xdr:col>2</xdr:col>
                    <xdr:colOff>0</xdr:colOff>
                    <xdr:row>25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Check Box 26">
              <controlPr defaultSize="0" autoFill="0" autoLine="0" autoPict="0">
                <anchor moveWithCells="1">
                  <from>
                    <xdr:col>1</xdr:col>
                    <xdr:colOff>139700</xdr:colOff>
                    <xdr:row>27</xdr:row>
                    <xdr:rowOff>0</xdr:rowOff>
                  </from>
                  <to>
                    <xdr:col>2</xdr:col>
                    <xdr:colOff>0</xdr:colOff>
                    <xdr:row>27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Check Box 27">
              <controlPr defaultSize="0" autoFill="0" autoLine="0" autoPict="0">
                <anchor moveWithCells="1">
                  <from>
                    <xdr:col>1</xdr:col>
                    <xdr:colOff>139700</xdr:colOff>
                    <xdr:row>26</xdr:row>
                    <xdr:rowOff>0</xdr:rowOff>
                  </from>
                  <to>
                    <xdr:col>2</xdr:col>
                    <xdr:colOff>0</xdr:colOff>
                    <xdr:row>26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Check Box 28">
              <controlPr defaultSize="0" autoFill="0" autoLine="0" autoPict="0">
                <anchor moveWithCells="1">
                  <from>
                    <xdr:col>1</xdr:col>
                    <xdr:colOff>139700</xdr:colOff>
                    <xdr:row>31</xdr:row>
                    <xdr:rowOff>0</xdr:rowOff>
                  </from>
                  <to>
                    <xdr:col>2</xdr:col>
                    <xdr:colOff>0</xdr:colOff>
                    <xdr:row>31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Check Box 29">
              <controlPr defaultSize="0" autoFill="0" autoLine="0" autoPict="0">
                <anchor moveWithCells="1">
                  <from>
                    <xdr:col>1</xdr:col>
                    <xdr:colOff>139700</xdr:colOff>
                    <xdr:row>29</xdr:row>
                    <xdr:rowOff>0</xdr:rowOff>
                  </from>
                  <to>
                    <xdr:col>2</xdr:col>
                    <xdr:colOff>0</xdr:colOff>
                    <xdr:row>29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Check Box 30">
              <controlPr defaultSize="0" autoFill="0" autoLine="0" autoPict="0">
                <anchor moveWithCells="1">
                  <from>
                    <xdr:col>1</xdr:col>
                    <xdr:colOff>139700</xdr:colOff>
                    <xdr:row>35</xdr:row>
                    <xdr:rowOff>0</xdr:rowOff>
                  </from>
                  <to>
                    <xdr:col>2</xdr:col>
                    <xdr:colOff>0</xdr:colOff>
                    <xdr:row>35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1</xdr:col>
                    <xdr:colOff>139700</xdr:colOff>
                    <xdr:row>39</xdr:row>
                    <xdr:rowOff>0</xdr:rowOff>
                  </from>
                  <to>
                    <xdr:col>2</xdr:col>
                    <xdr:colOff>0</xdr:colOff>
                    <xdr:row>39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1" name="Check Box 32">
              <controlPr defaultSize="0" autoFill="0" autoLine="0" autoPict="0">
                <anchor moveWithCells="1">
                  <from>
                    <xdr:col>1</xdr:col>
                    <xdr:colOff>139700</xdr:colOff>
                    <xdr:row>42</xdr:row>
                    <xdr:rowOff>0</xdr:rowOff>
                  </from>
                  <to>
                    <xdr:col>2</xdr:col>
                    <xdr:colOff>0</xdr:colOff>
                    <xdr:row>42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2" name="Check Box 33">
              <controlPr defaultSize="0" autoFill="0" autoLine="0" autoPict="0">
                <anchor moveWithCells="1">
                  <from>
                    <xdr:col>1</xdr:col>
                    <xdr:colOff>139700</xdr:colOff>
                    <xdr:row>45</xdr:row>
                    <xdr:rowOff>0</xdr:rowOff>
                  </from>
                  <to>
                    <xdr:col>2</xdr:col>
                    <xdr:colOff>0</xdr:colOff>
                    <xdr:row>45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3" name="Check Box 34">
              <controlPr defaultSize="0" autoFill="0" autoLine="0" autoPict="0">
                <anchor moveWithCells="1">
                  <from>
                    <xdr:col>1</xdr:col>
                    <xdr:colOff>139700</xdr:colOff>
                    <xdr:row>43</xdr:row>
                    <xdr:rowOff>0</xdr:rowOff>
                  </from>
                  <to>
                    <xdr:col>2</xdr:col>
                    <xdr:colOff>0</xdr:colOff>
                    <xdr:row>43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4" name="Check Box 35">
              <controlPr defaultSize="0" autoFill="0" autoLine="0" autoPict="0">
                <anchor moveWithCells="1">
                  <from>
                    <xdr:col>1</xdr:col>
                    <xdr:colOff>139700</xdr:colOff>
                    <xdr:row>36</xdr:row>
                    <xdr:rowOff>0</xdr:rowOff>
                  </from>
                  <to>
                    <xdr:col>2</xdr:col>
                    <xdr:colOff>0</xdr:colOff>
                    <xdr:row>36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5" name="Check Box 36">
              <controlPr defaultSize="0" autoFill="0" autoLine="0" autoPict="0">
                <anchor moveWithCells="1">
                  <from>
                    <xdr:col>1</xdr:col>
                    <xdr:colOff>139700</xdr:colOff>
                    <xdr:row>32</xdr:row>
                    <xdr:rowOff>0</xdr:rowOff>
                  </from>
                  <to>
                    <xdr:col>2</xdr:col>
                    <xdr:colOff>0</xdr:colOff>
                    <xdr:row>32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6" name="Check Box 37">
              <controlPr defaultSize="0" autoFill="0" autoLine="0" autoPict="0">
                <anchor moveWithCells="1">
                  <from>
                    <xdr:col>1</xdr:col>
                    <xdr:colOff>139700</xdr:colOff>
                    <xdr:row>28</xdr:row>
                    <xdr:rowOff>0</xdr:rowOff>
                  </from>
                  <to>
                    <xdr:col>2</xdr:col>
                    <xdr:colOff>0</xdr:colOff>
                    <xdr:row>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7" name="Check Box 38">
              <controlPr defaultSize="0" autoFill="0" autoLine="0" autoPict="0">
                <anchor moveWithCells="1">
                  <from>
                    <xdr:col>1</xdr:col>
                    <xdr:colOff>139700</xdr:colOff>
                    <xdr:row>30</xdr:row>
                    <xdr:rowOff>0</xdr:rowOff>
                  </from>
                  <to>
                    <xdr:col>2</xdr:col>
                    <xdr:colOff>0</xdr:colOff>
                    <xdr:row>30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8" name="Check Box 39">
              <controlPr defaultSize="0" autoFill="0" autoLine="0" autoPict="0">
                <anchor moveWithCells="1">
                  <from>
                    <xdr:col>1</xdr:col>
                    <xdr:colOff>139700</xdr:colOff>
                    <xdr:row>34</xdr:row>
                    <xdr:rowOff>0</xdr:rowOff>
                  </from>
                  <to>
                    <xdr:col>2</xdr:col>
                    <xdr:colOff>0</xdr:colOff>
                    <xdr:row>34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9" name="Check Box 40">
              <controlPr defaultSize="0" autoFill="0" autoLine="0" autoPict="0">
                <anchor moveWithCells="1">
                  <from>
                    <xdr:col>1</xdr:col>
                    <xdr:colOff>139700</xdr:colOff>
                    <xdr:row>37</xdr:row>
                    <xdr:rowOff>0</xdr:rowOff>
                  </from>
                  <to>
                    <xdr:col>2</xdr:col>
                    <xdr:colOff>0</xdr:colOff>
                    <xdr:row>37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0" name="Check Box 41">
              <controlPr defaultSize="0" autoFill="0" autoLine="0" autoPict="0">
                <anchor moveWithCells="1">
                  <from>
                    <xdr:col>1</xdr:col>
                    <xdr:colOff>139700</xdr:colOff>
                    <xdr:row>41</xdr:row>
                    <xdr:rowOff>0</xdr:rowOff>
                  </from>
                  <to>
                    <xdr:col>2</xdr:col>
                    <xdr:colOff>0</xdr:colOff>
                    <xdr:row>41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1" name="Check Box 42">
              <controlPr defaultSize="0" autoFill="0" autoLine="0" autoPict="0">
                <anchor moveWithCells="1">
                  <from>
                    <xdr:col>1</xdr:col>
                    <xdr:colOff>139700</xdr:colOff>
                    <xdr:row>40</xdr:row>
                    <xdr:rowOff>0</xdr:rowOff>
                  </from>
                  <to>
                    <xdr:col>2</xdr:col>
                    <xdr:colOff>0</xdr:colOff>
                    <xdr:row>40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2" name="Check Box 43">
              <controlPr defaultSize="0" autoFill="0" autoLine="0" autoPict="0">
                <anchor moveWithCells="1">
                  <from>
                    <xdr:col>1</xdr:col>
                    <xdr:colOff>139700</xdr:colOff>
                    <xdr:row>44</xdr:row>
                    <xdr:rowOff>0</xdr:rowOff>
                  </from>
                  <to>
                    <xdr:col>2</xdr:col>
                    <xdr:colOff>0</xdr:colOff>
                    <xdr:row>44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3" name="Check Box 44">
              <controlPr defaultSize="0" autoFill="0" autoLine="0" autoPict="0">
                <anchor moveWithCells="1">
                  <from>
                    <xdr:col>1</xdr:col>
                    <xdr:colOff>139700</xdr:colOff>
                    <xdr:row>47</xdr:row>
                    <xdr:rowOff>0</xdr:rowOff>
                  </from>
                  <to>
                    <xdr:col>2</xdr:col>
                    <xdr:colOff>0</xdr:colOff>
                    <xdr:row>47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4" name="Check Box 45">
              <controlPr defaultSize="0" autoFill="0" autoLine="0" autoPict="0">
                <anchor moveWithCells="1">
                  <from>
                    <xdr:col>1</xdr:col>
                    <xdr:colOff>139700</xdr:colOff>
                    <xdr:row>49</xdr:row>
                    <xdr:rowOff>0</xdr:rowOff>
                  </from>
                  <to>
                    <xdr:col>2</xdr:col>
                    <xdr:colOff>0</xdr:colOff>
                    <xdr:row>49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5" name="Check Box 46">
              <controlPr defaultSize="0" autoFill="0" autoLine="0" autoPict="0">
                <anchor moveWithCells="1">
                  <from>
                    <xdr:col>1</xdr:col>
                    <xdr:colOff>139700</xdr:colOff>
                    <xdr:row>51</xdr:row>
                    <xdr:rowOff>0</xdr:rowOff>
                  </from>
                  <to>
                    <xdr:col>2</xdr:col>
                    <xdr:colOff>0</xdr:colOff>
                    <xdr:row>51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6" name="Check Box 47">
              <controlPr defaultSize="0" autoFill="0" autoLine="0" autoPict="0">
                <anchor moveWithCells="1">
                  <from>
                    <xdr:col>1</xdr:col>
                    <xdr:colOff>139700</xdr:colOff>
                    <xdr:row>53</xdr:row>
                    <xdr:rowOff>0</xdr:rowOff>
                  </from>
                  <to>
                    <xdr:col>2</xdr:col>
                    <xdr:colOff>0</xdr:colOff>
                    <xdr:row>53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7" name="Check Box 48">
              <controlPr defaultSize="0" autoFill="0" autoLine="0" autoPict="0">
                <anchor moveWithCells="1">
                  <from>
                    <xdr:col>1</xdr:col>
                    <xdr:colOff>139700</xdr:colOff>
                    <xdr:row>46</xdr:row>
                    <xdr:rowOff>0</xdr:rowOff>
                  </from>
                  <to>
                    <xdr:col>2</xdr:col>
                    <xdr:colOff>0</xdr:colOff>
                    <xdr:row>46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8" name="Check Box 49">
              <controlPr defaultSize="0" autoFill="0" autoLine="0" autoPict="0">
                <anchor moveWithCells="1">
                  <from>
                    <xdr:col>1</xdr:col>
                    <xdr:colOff>139700</xdr:colOff>
                    <xdr:row>48</xdr:row>
                    <xdr:rowOff>0</xdr:rowOff>
                  </from>
                  <to>
                    <xdr:col>2</xdr:col>
                    <xdr:colOff>0</xdr:colOff>
                    <xdr:row>48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9" name="Check Box 50">
              <controlPr defaultSize="0" autoFill="0" autoLine="0" autoPict="0">
                <anchor moveWithCells="1">
                  <from>
                    <xdr:col>1</xdr:col>
                    <xdr:colOff>139700</xdr:colOff>
                    <xdr:row>50</xdr:row>
                    <xdr:rowOff>0</xdr:rowOff>
                  </from>
                  <to>
                    <xdr:col>2</xdr:col>
                    <xdr:colOff>0</xdr:colOff>
                    <xdr:row>50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0" name="Check Box 51">
              <controlPr defaultSize="0" autoFill="0" autoLine="0" autoPict="0">
                <anchor moveWithCells="1">
                  <from>
                    <xdr:col>1</xdr:col>
                    <xdr:colOff>139700</xdr:colOff>
                    <xdr:row>52</xdr:row>
                    <xdr:rowOff>0</xdr:rowOff>
                  </from>
                  <to>
                    <xdr:col>2</xdr:col>
                    <xdr:colOff>0</xdr:colOff>
                    <xdr:row>52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1" name="Check Box 52">
              <controlPr defaultSize="0" autoFill="0" autoLine="0" autoPict="0">
                <anchor moveWithCells="1">
                  <from>
                    <xdr:col>1</xdr:col>
                    <xdr:colOff>139700</xdr:colOff>
                    <xdr:row>66</xdr:row>
                    <xdr:rowOff>0</xdr:rowOff>
                  </from>
                  <to>
                    <xdr:col>2</xdr:col>
                    <xdr:colOff>0</xdr:colOff>
                    <xdr:row>66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2" name="Check Box 53">
              <controlPr defaultSize="0" autoFill="0" autoLine="0" autoPict="0" macro="[0]!CheckBox53_Click">
                <anchor moveWithCells="1">
                  <from>
                    <xdr:col>1</xdr:col>
                    <xdr:colOff>133350</xdr:colOff>
                    <xdr:row>62</xdr:row>
                    <xdr:rowOff>0</xdr:rowOff>
                  </from>
                  <to>
                    <xdr:col>1</xdr:col>
                    <xdr:colOff>495300</xdr:colOff>
                    <xdr:row>62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3" name="Check Box 54">
              <controlPr defaultSize="0" autoFill="0" autoLine="0" autoPict="0">
                <anchor moveWithCells="1">
                  <from>
                    <xdr:col>1</xdr:col>
                    <xdr:colOff>139700</xdr:colOff>
                    <xdr:row>57</xdr:row>
                    <xdr:rowOff>0</xdr:rowOff>
                  </from>
                  <to>
                    <xdr:col>2</xdr:col>
                    <xdr:colOff>0</xdr:colOff>
                    <xdr:row>57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4" name="Check Box 55">
              <controlPr defaultSize="0" autoFill="0" autoLine="0" autoPict="0">
                <anchor moveWithCells="1">
                  <from>
                    <xdr:col>1</xdr:col>
                    <xdr:colOff>139700</xdr:colOff>
                    <xdr:row>55</xdr:row>
                    <xdr:rowOff>0</xdr:rowOff>
                  </from>
                  <to>
                    <xdr:col>2</xdr:col>
                    <xdr:colOff>0</xdr:colOff>
                    <xdr:row>55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5" name="Check Box 56">
              <controlPr defaultSize="0" autoFill="0" autoLine="0" autoPict="0">
                <anchor moveWithCells="1">
                  <from>
                    <xdr:col>1</xdr:col>
                    <xdr:colOff>139700</xdr:colOff>
                    <xdr:row>60</xdr:row>
                    <xdr:rowOff>0</xdr:rowOff>
                  </from>
                  <to>
                    <xdr:col>2</xdr:col>
                    <xdr:colOff>0</xdr:colOff>
                    <xdr:row>60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6" name="Check Box 57">
              <controlPr defaultSize="0" autoFill="0" autoLine="0" autoPict="0">
                <anchor moveWithCells="1">
                  <from>
                    <xdr:col>1</xdr:col>
                    <xdr:colOff>139700</xdr:colOff>
                    <xdr:row>54</xdr:row>
                    <xdr:rowOff>0</xdr:rowOff>
                  </from>
                  <to>
                    <xdr:col>2</xdr:col>
                    <xdr:colOff>0</xdr:colOff>
                    <xdr:row>54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7" name="Check Box 58">
              <controlPr defaultSize="0" autoFill="0" autoLine="0" autoPict="0">
                <anchor moveWithCells="1">
                  <from>
                    <xdr:col>1</xdr:col>
                    <xdr:colOff>139700</xdr:colOff>
                    <xdr:row>58</xdr:row>
                    <xdr:rowOff>0</xdr:rowOff>
                  </from>
                  <to>
                    <xdr:col>2</xdr:col>
                    <xdr:colOff>0</xdr:colOff>
                    <xdr:row>58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8" name="Check Box 59">
              <controlPr defaultSize="0" autoFill="0" autoLine="0" autoPict="0">
                <anchor moveWithCells="1">
                  <from>
                    <xdr:col>1</xdr:col>
                    <xdr:colOff>139700</xdr:colOff>
                    <xdr:row>56</xdr:row>
                    <xdr:rowOff>0</xdr:rowOff>
                  </from>
                  <to>
                    <xdr:col>2</xdr:col>
                    <xdr:colOff>0</xdr:colOff>
                    <xdr:row>56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9" name="Check Box 60">
              <controlPr defaultSize="0" autoFill="0" autoLine="0" autoPict="0">
                <anchor moveWithCells="1">
                  <from>
                    <xdr:col>1</xdr:col>
                    <xdr:colOff>139700</xdr:colOff>
                    <xdr:row>59</xdr:row>
                    <xdr:rowOff>0</xdr:rowOff>
                  </from>
                  <to>
                    <xdr:col>2</xdr:col>
                    <xdr:colOff>0</xdr:colOff>
                    <xdr:row>59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0" name="Check Box 61">
              <controlPr defaultSize="0" autoFill="0" autoLine="0" autoPict="0">
                <anchor moveWithCells="1">
                  <from>
                    <xdr:col>1</xdr:col>
                    <xdr:colOff>139700</xdr:colOff>
                    <xdr:row>63</xdr:row>
                    <xdr:rowOff>0</xdr:rowOff>
                  </from>
                  <to>
                    <xdr:col>2</xdr:col>
                    <xdr:colOff>0</xdr:colOff>
                    <xdr:row>63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1" name="Check Box 62">
              <controlPr defaultSize="0" autoFill="0" autoLine="0" autoPict="0">
                <anchor moveWithCells="1">
                  <from>
                    <xdr:col>1</xdr:col>
                    <xdr:colOff>139700</xdr:colOff>
                    <xdr:row>65</xdr:row>
                    <xdr:rowOff>0</xdr:rowOff>
                  </from>
                  <to>
                    <xdr:col>2</xdr:col>
                    <xdr:colOff>0</xdr:colOff>
                    <xdr:row>65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2" name="Check Box 63">
              <controlPr defaultSize="0" autoFill="0" autoLine="0" autoPict="0">
                <anchor moveWithCells="1">
                  <from>
                    <xdr:col>1</xdr:col>
                    <xdr:colOff>139700</xdr:colOff>
                    <xdr:row>71</xdr:row>
                    <xdr:rowOff>0</xdr:rowOff>
                  </from>
                  <to>
                    <xdr:col>2</xdr:col>
                    <xdr:colOff>0</xdr:colOff>
                    <xdr:row>71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3" name="Check Box 64">
              <controlPr defaultSize="0" autoFill="0" autoLine="0" autoPict="0">
                <anchor moveWithCells="1">
                  <from>
                    <xdr:col>1</xdr:col>
                    <xdr:colOff>139700</xdr:colOff>
                    <xdr:row>64</xdr:row>
                    <xdr:rowOff>0</xdr:rowOff>
                  </from>
                  <to>
                    <xdr:col>2</xdr:col>
                    <xdr:colOff>0</xdr:colOff>
                    <xdr:row>64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4" name="Check Box 65">
              <controlPr defaultSize="0" autoFill="0" autoLine="0" autoPict="0">
                <anchor moveWithCells="1">
                  <from>
                    <xdr:col>1</xdr:col>
                    <xdr:colOff>139700</xdr:colOff>
                    <xdr:row>68</xdr:row>
                    <xdr:rowOff>0</xdr:rowOff>
                  </from>
                  <to>
                    <xdr:col>2</xdr:col>
                    <xdr:colOff>0</xdr:colOff>
                    <xdr:row>68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5" name="Check Box 66">
              <controlPr defaultSize="0" autoFill="0" autoLine="0" autoPict="0">
                <anchor moveWithCells="1">
                  <from>
                    <xdr:col>1</xdr:col>
                    <xdr:colOff>139700</xdr:colOff>
                    <xdr:row>67</xdr:row>
                    <xdr:rowOff>0</xdr:rowOff>
                  </from>
                  <to>
                    <xdr:col>2</xdr:col>
                    <xdr:colOff>0</xdr:colOff>
                    <xdr:row>67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6" name="Check Box 67">
              <controlPr defaultSize="0" autoFill="0" autoLine="0" autoPict="0">
                <anchor moveWithCells="1">
                  <from>
                    <xdr:col>1</xdr:col>
                    <xdr:colOff>139700</xdr:colOff>
                    <xdr:row>69</xdr:row>
                    <xdr:rowOff>0</xdr:rowOff>
                  </from>
                  <to>
                    <xdr:col>2</xdr:col>
                    <xdr:colOff>0</xdr:colOff>
                    <xdr:row>69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7" name="Check Box 68">
              <controlPr defaultSize="0" autoFill="0" autoLine="0" autoPict="0">
                <anchor moveWithCells="1">
                  <from>
                    <xdr:col>1</xdr:col>
                    <xdr:colOff>139700</xdr:colOff>
                    <xdr:row>70</xdr:row>
                    <xdr:rowOff>0</xdr:rowOff>
                  </from>
                  <to>
                    <xdr:col>2</xdr:col>
                    <xdr:colOff>0</xdr:colOff>
                    <xdr:row>70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8" name="Check Box 69">
              <controlPr defaultSize="0" autoFill="0" autoLine="0" autoPict="0">
                <anchor moveWithCells="1">
                  <from>
                    <xdr:col>1</xdr:col>
                    <xdr:colOff>139700</xdr:colOff>
                    <xdr:row>73</xdr:row>
                    <xdr:rowOff>0</xdr:rowOff>
                  </from>
                  <to>
                    <xdr:col>2</xdr:col>
                    <xdr:colOff>0</xdr:colOff>
                    <xdr:row>73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9" name="Check Box 70">
              <controlPr defaultSize="0" autoFill="0" autoLine="0" autoPict="0">
                <anchor moveWithCells="1">
                  <from>
                    <xdr:col>1</xdr:col>
                    <xdr:colOff>139700</xdr:colOff>
                    <xdr:row>72</xdr:row>
                    <xdr:rowOff>0</xdr:rowOff>
                  </from>
                  <to>
                    <xdr:col>2</xdr:col>
                    <xdr:colOff>0</xdr:colOff>
                    <xdr:row>72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0" name="Check Box 71">
              <controlPr defaultSize="0" autoFill="0" autoLine="0" autoPict="0">
                <anchor moveWithCells="1">
                  <from>
                    <xdr:col>1</xdr:col>
                    <xdr:colOff>139700</xdr:colOff>
                    <xdr:row>73</xdr:row>
                    <xdr:rowOff>0</xdr:rowOff>
                  </from>
                  <to>
                    <xdr:col>2</xdr:col>
                    <xdr:colOff>0</xdr:colOff>
                    <xdr:row>73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1" name="Check Box 72">
              <controlPr defaultSize="0" autoFill="0" autoLine="0" autoPict="0">
                <anchor moveWithCells="1">
                  <from>
                    <xdr:col>1</xdr:col>
                    <xdr:colOff>139700</xdr:colOff>
                    <xdr:row>75</xdr:row>
                    <xdr:rowOff>0</xdr:rowOff>
                  </from>
                  <to>
                    <xdr:col>2</xdr:col>
                    <xdr:colOff>0</xdr:colOff>
                    <xdr:row>75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2" name="Check Box 73">
              <controlPr defaultSize="0" autoFill="0" autoLine="0" autoPict="0">
                <anchor moveWithCells="1">
                  <from>
                    <xdr:col>1</xdr:col>
                    <xdr:colOff>139700</xdr:colOff>
                    <xdr:row>79</xdr:row>
                    <xdr:rowOff>0</xdr:rowOff>
                  </from>
                  <to>
                    <xdr:col>2</xdr:col>
                    <xdr:colOff>0</xdr:colOff>
                    <xdr:row>79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3" name="Check Box 74">
              <controlPr defaultSize="0" autoFill="0" autoLine="0" autoPict="0">
                <anchor moveWithCells="1">
                  <from>
                    <xdr:col>1</xdr:col>
                    <xdr:colOff>139700</xdr:colOff>
                    <xdr:row>74</xdr:row>
                    <xdr:rowOff>0</xdr:rowOff>
                  </from>
                  <to>
                    <xdr:col>2</xdr:col>
                    <xdr:colOff>0</xdr:colOff>
                    <xdr:row>74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4" name="Check Box 75">
              <controlPr defaultSize="0" autoFill="0" autoLine="0" autoPict="0">
                <anchor moveWithCells="1">
                  <from>
                    <xdr:col>1</xdr:col>
                    <xdr:colOff>139700</xdr:colOff>
                    <xdr:row>77</xdr:row>
                    <xdr:rowOff>0</xdr:rowOff>
                  </from>
                  <to>
                    <xdr:col>2</xdr:col>
                    <xdr:colOff>0</xdr:colOff>
                    <xdr:row>77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5" name="Check Box 76">
              <controlPr defaultSize="0" autoFill="0" autoLine="0" autoPict="0">
                <anchor moveWithCells="1">
                  <from>
                    <xdr:col>1</xdr:col>
                    <xdr:colOff>139700</xdr:colOff>
                    <xdr:row>82</xdr:row>
                    <xdr:rowOff>0</xdr:rowOff>
                  </from>
                  <to>
                    <xdr:col>2</xdr:col>
                    <xdr:colOff>0</xdr:colOff>
                    <xdr:row>82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6" name="Check Box 77">
              <controlPr defaultSize="0" autoFill="0" autoLine="0" autoPict="0">
                <anchor moveWithCells="1">
                  <from>
                    <xdr:col>1</xdr:col>
                    <xdr:colOff>139700</xdr:colOff>
                    <xdr:row>76</xdr:row>
                    <xdr:rowOff>0</xdr:rowOff>
                  </from>
                  <to>
                    <xdr:col>2</xdr:col>
                    <xdr:colOff>0</xdr:colOff>
                    <xdr:row>76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7" name="Check Box 78">
              <controlPr defaultSize="0" autoFill="0" autoLine="0" autoPict="0">
                <anchor moveWithCells="1">
                  <from>
                    <xdr:col>1</xdr:col>
                    <xdr:colOff>139700</xdr:colOff>
                    <xdr:row>78</xdr:row>
                    <xdr:rowOff>0</xdr:rowOff>
                  </from>
                  <to>
                    <xdr:col>2</xdr:col>
                    <xdr:colOff>0</xdr:colOff>
                    <xdr:row>78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8" name="Check Box 79">
              <controlPr defaultSize="0" autoFill="0" autoLine="0" autoPict="0">
                <anchor moveWithCells="1">
                  <from>
                    <xdr:col>1</xdr:col>
                    <xdr:colOff>139700</xdr:colOff>
                    <xdr:row>81</xdr:row>
                    <xdr:rowOff>0</xdr:rowOff>
                  </from>
                  <to>
                    <xdr:col>2</xdr:col>
                    <xdr:colOff>0</xdr:colOff>
                    <xdr:row>81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9" name="Check Box 80">
              <controlPr defaultSize="0" autoFill="0" autoLine="0" autoPict="0">
                <anchor moveWithCells="1">
                  <from>
                    <xdr:col>1</xdr:col>
                    <xdr:colOff>139700</xdr:colOff>
                    <xdr:row>90</xdr:row>
                    <xdr:rowOff>0</xdr:rowOff>
                  </from>
                  <to>
                    <xdr:col>2</xdr:col>
                    <xdr:colOff>0</xdr:colOff>
                    <xdr:row>90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0" name="Check Box 81">
              <controlPr defaultSize="0" autoFill="0" autoLine="0" autoPict="0">
                <anchor moveWithCells="1">
                  <from>
                    <xdr:col>1</xdr:col>
                    <xdr:colOff>139700</xdr:colOff>
                    <xdr:row>86</xdr:row>
                    <xdr:rowOff>0</xdr:rowOff>
                  </from>
                  <to>
                    <xdr:col>2</xdr:col>
                    <xdr:colOff>0</xdr:colOff>
                    <xdr:row>86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1" name="Check Box 82">
              <controlPr defaultSize="0" autoFill="0" autoLine="0" autoPict="0">
                <anchor moveWithCells="1">
                  <from>
                    <xdr:col>1</xdr:col>
                    <xdr:colOff>139700</xdr:colOff>
                    <xdr:row>83</xdr:row>
                    <xdr:rowOff>0</xdr:rowOff>
                  </from>
                  <to>
                    <xdr:col>2</xdr:col>
                    <xdr:colOff>0</xdr:colOff>
                    <xdr:row>83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2" name="Check Box 83">
              <controlPr defaultSize="0" autoFill="0" autoLine="0" autoPict="0">
                <anchor moveWithCells="1">
                  <from>
                    <xdr:col>1</xdr:col>
                    <xdr:colOff>139700</xdr:colOff>
                    <xdr:row>88</xdr:row>
                    <xdr:rowOff>0</xdr:rowOff>
                  </from>
                  <to>
                    <xdr:col>2</xdr:col>
                    <xdr:colOff>0</xdr:colOff>
                    <xdr:row>88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3" name="Check Box 84">
              <controlPr defaultSize="0" autoFill="0" autoLine="0" autoPict="0">
                <anchor moveWithCells="1">
                  <from>
                    <xdr:col>1</xdr:col>
                    <xdr:colOff>139700</xdr:colOff>
                    <xdr:row>84</xdr:row>
                    <xdr:rowOff>0</xdr:rowOff>
                  </from>
                  <to>
                    <xdr:col>2</xdr:col>
                    <xdr:colOff>0</xdr:colOff>
                    <xdr:row>84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4" name="Check Box 85">
              <controlPr defaultSize="0" autoFill="0" autoLine="0" autoPict="0">
                <anchor moveWithCells="1">
                  <from>
                    <xdr:col>1</xdr:col>
                    <xdr:colOff>139700</xdr:colOff>
                    <xdr:row>87</xdr:row>
                    <xdr:rowOff>0</xdr:rowOff>
                  </from>
                  <to>
                    <xdr:col>2</xdr:col>
                    <xdr:colOff>0</xdr:colOff>
                    <xdr:row>87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5" name="Check Box 86">
              <controlPr defaultSize="0" autoFill="0" autoLine="0" autoPict="0">
                <anchor moveWithCells="1">
                  <from>
                    <xdr:col>1</xdr:col>
                    <xdr:colOff>139700</xdr:colOff>
                    <xdr:row>85</xdr:row>
                    <xdr:rowOff>0</xdr:rowOff>
                  </from>
                  <to>
                    <xdr:col>2</xdr:col>
                    <xdr:colOff>0</xdr:colOff>
                    <xdr:row>85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6" name="Check Box 87">
              <controlPr defaultSize="0" autoFill="0" autoLine="0" autoPict="0">
                <anchor moveWithCells="1">
                  <from>
                    <xdr:col>1</xdr:col>
                    <xdr:colOff>139700</xdr:colOff>
                    <xdr:row>93</xdr:row>
                    <xdr:rowOff>0</xdr:rowOff>
                  </from>
                  <to>
                    <xdr:col>2</xdr:col>
                    <xdr:colOff>0</xdr:colOff>
                    <xdr:row>93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7" name="Check Box 88">
              <controlPr defaultSize="0" autoFill="0" autoLine="0" autoPict="0">
                <anchor moveWithCells="1">
                  <from>
                    <xdr:col>1</xdr:col>
                    <xdr:colOff>139700</xdr:colOff>
                    <xdr:row>89</xdr:row>
                    <xdr:rowOff>0</xdr:rowOff>
                  </from>
                  <to>
                    <xdr:col>2</xdr:col>
                    <xdr:colOff>0</xdr:colOff>
                    <xdr:row>89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8" name="Check Box 89">
              <controlPr defaultSize="0" autoFill="0" autoLine="0" autoPict="0">
                <anchor moveWithCells="1">
                  <from>
                    <xdr:col>1</xdr:col>
                    <xdr:colOff>139700</xdr:colOff>
                    <xdr:row>87</xdr:row>
                    <xdr:rowOff>0</xdr:rowOff>
                  </from>
                  <to>
                    <xdr:col>2</xdr:col>
                    <xdr:colOff>0</xdr:colOff>
                    <xdr:row>87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9" name="Check Box 90">
              <controlPr defaultSize="0" autoFill="0" autoLine="0" autoPict="0">
                <anchor moveWithCells="1">
                  <from>
                    <xdr:col>1</xdr:col>
                    <xdr:colOff>139700</xdr:colOff>
                    <xdr:row>91</xdr:row>
                    <xdr:rowOff>0</xdr:rowOff>
                  </from>
                  <to>
                    <xdr:col>2</xdr:col>
                    <xdr:colOff>0</xdr:colOff>
                    <xdr:row>91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0" name="Check Box 91">
              <controlPr defaultSize="0" autoFill="0" autoLine="0" autoPict="0">
                <anchor moveWithCells="1">
                  <from>
                    <xdr:col>1</xdr:col>
                    <xdr:colOff>139700</xdr:colOff>
                    <xdr:row>98</xdr:row>
                    <xdr:rowOff>0</xdr:rowOff>
                  </from>
                  <to>
                    <xdr:col>2</xdr:col>
                    <xdr:colOff>0</xdr:colOff>
                    <xdr:row>98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1" name="Check Box 92">
              <controlPr defaultSize="0" autoFill="0" autoLine="0" autoPict="0">
                <anchor moveWithCells="1">
                  <from>
                    <xdr:col>1</xdr:col>
                    <xdr:colOff>139700</xdr:colOff>
                    <xdr:row>92</xdr:row>
                    <xdr:rowOff>0</xdr:rowOff>
                  </from>
                  <to>
                    <xdr:col>2</xdr:col>
                    <xdr:colOff>0</xdr:colOff>
                    <xdr:row>92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2" name="Check Box 93">
              <controlPr defaultSize="0" autoFill="0" autoLine="0" autoPict="0">
                <anchor moveWithCells="1">
                  <from>
                    <xdr:col>1</xdr:col>
                    <xdr:colOff>139700</xdr:colOff>
                    <xdr:row>95</xdr:row>
                    <xdr:rowOff>0</xdr:rowOff>
                  </from>
                  <to>
                    <xdr:col>2</xdr:col>
                    <xdr:colOff>0</xdr:colOff>
                    <xdr:row>95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3" name="Check Box 94">
              <controlPr defaultSize="0" autoFill="0" autoLine="0" autoPict="0">
                <anchor moveWithCells="1">
                  <from>
                    <xdr:col>1</xdr:col>
                    <xdr:colOff>139700</xdr:colOff>
                    <xdr:row>100</xdr:row>
                    <xdr:rowOff>0</xdr:rowOff>
                  </from>
                  <to>
                    <xdr:col>2</xdr:col>
                    <xdr:colOff>0</xdr:colOff>
                    <xdr:row>100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4" name="Check Box 95">
              <controlPr defaultSize="0" autoFill="0" autoLine="0" autoPict="0">
                <anchor moveWithCells="1">
                  <from>
                    <xdr:col>1</xdr:col>
                    <xdr:colOff>139700</xdr:colOff>
                    <xdr:row>97</xdr:row>
                    <xdr:rowOff>12700</xdr:rowOff>
                  </from>
                  <to>
                    <xdr:col>2</xdr:col>
                    <xdr:colOff>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5" name="Check Box 96">
              <controlPr defaultSize="0" autoFill="0" autoLine="0" autoPict="0">
                <anchor moveWithCells="1">
                  <from>
                    <xdr:col>1</xdr:col>
                    <xdr:colOff>139700</xdr:colOff>
                    <xdr:row>94</xdr:row>
                    <xdr:rowOff>0</xdr:rowOff>
                  </from>
                  <to>
                    <xdr:col>2</xdr:col>
                    <xdr:colOff>0</xdr:colOff>
                    <xdr:row>94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6" name="Check Box 97">
              <controlPr defaultSize="0" autoFill="0" autoLine="0" autoPict="0">
                <anchor moveWithCells="1">
                  <from>
                    <xdr:col>1</xdr:col>
                    <xdr:colOff>139700</xdr:colOff>
                    <xdr:row>96</xdr:row>
                    <xdr:rowOff>0</xdr:rowOff>
                  </from>
                  <to>
                    <xdr:col>2</xdr:col>
                    <xdr:colOff>0</xdr:colOff>
                    <xdr:row>96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7" name="Check Box 98">
              <controlPr defaultSize="0" autoFill="0" autoLine="0" autoPict="0">
                <anchor moveWithCells="1">
                  <from>
                    <xdr:col>1</xdr:col>
                    <xdr:colOff>139700</xdr:colOff>
                    <xdr:row>99</xdr:row>
                    <xdr:rowOff>0</xdr:rowOff>
                  </from>
                  <to>
                    <xdr:col>2</xdr:col>
                    <xdr:colOff>0</xdr:colOff>
                    <xdr:row>99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8" name="Check Box 99">
              <controlPr defaultSize="0" autoFill="0" autoLine="0" autoPict="0">
                <anchor moveWithCells="1">
                  <from>
                    <xdr:col>1</xdr:col>
                    <xdr:colOff>139700</xdr:colOff>
                    <xdr:row>122</xdr:row>
                    <xdr:rowOff>0</xdr:rowOff>
                  </from>
                  <to>
                    <xdr:col>2</xdr:col>
                    <xdr:colOff>0</xdr:colOff>
                    <xdr:row>122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9" name="Check Box 100">
              <controlPr defaultSize="0" autoFill="0" autoLine="0" autoPict="0">
                <anchor moveWithCells="1">
                  <from>
                    <xdr:col>1</xdr:col>
                    <xdr:colOff>139700</xdr:colOff>
                    <xdr:row>118</xdr:row>
                    <xdr:rowOff>0</xdr:rowOff>
                  </from>
                  <to>
                    <xdr:col>2</xdr:col>
                    <xdr:colOff>0</xdr:colOff>
                    <xdr:row>118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0" name="Check Box 101">
              <controlPr defaultSize="0" autoFill="0" autoLine="0" autoPict="0">
                <anchor moveWithCells="1">
                  <from>
                    <xdr:col>1</xdr:col>
                    <xdr:colOff>139700</xdr:colOff>
                    <xdr:row>113</xdr:row>
                    <xdr:rowOff>0</xdr:rowOff>
                  </from>
                  <to>
                    <xdr:col>2</xdr:col>
                    <xdr:colOff>0</xdr:colOff>
                    <xdr:row>113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1" name="Check Box 102">
              <controlPr defaultSize="0" autoFill="0" autoLine="0" autoPict="0">
                <anchor moveWithCells="1">
                  <from>
                    <xdr:col>1</xdr:col>
                    <xdr:colOff>139700</xdr:colOff>
                    <xdr:row>109</xdr:row>
                    <xdr:rowOff>0</xdr:rowOff>
                  </from>
                  <to>
                    <xdr:col>2</xdr:col>
                    <xdr:colOff>0</xdr:colOff>
                    <xdr:row>109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2" name="Check Box 103">
              <controlPr defaultSize="0" autoFill="0" autoLine="0" autoPict="0">
                <anchor moveWithCells="1">
                  <from>
                    <xdr:col>1</xdr:col>
                    <xdr:colOff>139700</xdr:colOff>
                    <xdr:row>106</xdr:row>
                    <xdr:rowOff>0</xdr:rowOff>
                  </from>
                  <to>
                    <xdr:col>2</xdr:col>
                    <xdr:colOff>0</xdr:colOff>
                    <xdr:row>106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3" name="Check Box 104">
              <controlPr defaultSize="0" autoFill="0" autoLine="0" autoPict="0">
                <anchor moveWithCells="1">
                  <from>
                    <xdr:col>1</xdr:col>
                    <xdr:colOff>139700</xdr:colOff>
                    <xdr:row>101</xdr:row>
                    <xdr:rowOff>0</xdr:rowOff>
                  </from>
                  <to>
                    <xdr:col>2</xdr:col>
                    <xdr:colOff>0</xdr:colOff>
                    <xdr:row>101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4" name="Check Box 105">
              <controlPr defaultSize="0" autoFill="0" autoLine="0" autoPict="0">
                <anchor moveWithCells="1">
                  <from>
                    <xdr:col>1</xdr:col>
                    <xdr:colOff>139700</xdr:colOff>
                    <xdr:row>103</xdr:row>
                    <xdr:rowOff>0</xdr:rowOff>
                  </from>
                  <to>
                    <xdr:col>2</xdr:col>
                    <xdr:colOff>0</xdr:colOff>
                    <xdr:row>103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5" name="Check Box 106">
              <controlPr defaultSize="0" autoFill="0" autoLine="0" autoPict="0">
                <anchor moveWithCells="1">
                  <from>
                    <xdr:col>1</xdr:col>
                    <xdr:colOff>139700</xdr:colOff>
                    <xdr:row>99</xdr:row>
                    <xdr:rowOff>0</xdr:rowOff>
                  </from>
                  <to>
                    <xdr:col>2</xdr:col>
                    <xdr:colOff>0</xdr:colOff>
                    <xdr:row>99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6" name="Check Box 107">
              <controlPr defaultSize="0" autoFill="0" autoLine="0" autoPict="0">
                <anchor moveWithCells="1">
                  <from>
                    <xdr:col>1</xdr:col>
                    <xdr:colOff>139700</xdr:colOff>
                    <xdr:row>110</xdr:row>
                    <xdr:rowOff>0</xdr:rowOff>
                  </from>
                  <to>
                    <xdr:col>2</xdr:col>
                    <xdr:colOff>0</xdr:colOff>
                    <xdr:row>110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7" name="Check Box 108">
              <controlPr defaultSize="0" autoFill="0" autoLine="0" autoPict="0">
                <anchor moveWithCells="1">
                  <from>
                    <xdr:col>1</xdr:col>
                    <xdr:colOff>139700</xdr:colOff>
                    <xdr:row>102</xdr:row>
                    <xdr:rowOff>0</xdr:rowOff>
                  </from>
                  <to>
                    <xdr:col>2</xdr:col>
                    <xdr:colOff>0</xdr:colOff>
                    <xdr:row>102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8" name="Check Box 109">
              <controlPr defaultSize="0" autoFill="0" autoLine="0" autoPict="0">
                <anchor moveWithCells="1">
                  <from>
                    <xdr:col>1</xdr:col>
                    <xdr:colOff>139700</xdr:colOff>
                    <xdr:row>108</xdr:row>
                    <xdr:rowOff>0</xdr:rowOff>
                  </from>
                  <to>
                    <xdr:col>2</xdr:col>
                    <xdr:colOff>0</xdr:colOff>
                    <xdr:row>108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09" name="Check Box 110">
              <controlPr defaultSize="0" autoFill="0" autoLine="0" autoPict="0">
                <anchor moveWithCells="1">
                  <from>
                    <xdr:col>1</xdr:col>
                    <xdr:colOff>139700</xdr:colOff>
                    <xdr:row>119</xdr:row>
                    <xdr:rowOff>0</xdr:rowOff>
                  </from>
                  <to>
                    <xdr:col>2</xdr:col>
                    <xdr:colOff>0</xdr:colOff>
                    <xdr:row>119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0" name="Check Box 111">
              <controlPr defaultSize="0" autoFill="0" autoLine="0" autoPict="0">
                <anchor moveWithCells="1">
                  <from>
                    <xdr:col>1</xdr:col>
                    <xdr:colOff>139700</xdr:colOff>
                    <xdr:row>116</xdr:row>
                    <xdr:rowOff>0</xdr:rowOff>
                  </from>
                  <to>
                    <xdr:col>2</xdr:col>
                    <xdr:colOff>0</xdr:colOff>
                    <xdr:row>116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1" name="Check Box 112">
              <controlPr defaultSize="0" autoFill="0" autoLine="0" autoPict="0">
                <anchor moveWithCells="1">
                  <from>
                    <xdr:col>1</xdr:col>
                    <xdr:colOff>139700</xdr:colOff>
                    <xdr:row>111</xdr:row>
                    <xdr:rowOff>0</xdr:rowOff>
                  </from>
                  <to>
                    <xdr:col>2</xdr:col>
                    <xdr:colOff>0</xdr:colOff>
                    <xdr:row>111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2" name="Check Box 113">
              <controlPr defaultSize="0" autoFill="0" autoLine="0" autoPict="0">
                <anchor moveWithCells="1">
                  <from>
                    <xdr:col>1</xdr:col>
                    <xdr:colOff>139700</xdr:colOff>
                    <xdr:row>105</xdr:row>
                    <xdr:rowOff>0</xdr:rowOff>
                  </from>
                  <to>
                    <xdr:col>2</xdr:col>
                    <xdr:colOff>0</xdr:colOff>
                    <xdr:row>105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3" name="Check Box 114">
              <controlPr defaultSize="0" autoFill="0" autoLine="0" autoPict="0">
                <anchor moveWithCells="1">
                  <from>
                    <xdr:col>1</xdr:col>
                    <xdr:colOff>139700</xdr:colOff>
                    <xdr:row>112</xdr:row>
                    <xdr:rowOff>0</xdr:rowOff>
                  </from>
                  <to>
                    <xdr:col>2</xdr:col>
                    <xdr:colOff>0</xdr:colOff>
                    <xdr:row>112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4" name="Check Box 115">
              <controlPr defaultSize="0" autoFill="0" autoLine="0" autoPict="0">
                <anchor moveWithCells="1">
                  <from>
                    <xdr:col>1</xdr:col>
                    <xdr:colOff>139700</xdr:colOff>
                    <xdr:row>107</xdr:row>
                    <xdr:rowOff>0</xdr:rowOff>
                  </from>
                  <to>
                    <xdr:col>2</xdr:col>
                    <xdr:colOff>0</xdr:colOff>
                    <xdr:row>107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5" name="Check Box 116">
              <controlPr defaultSize="0" autoFill="0" autoLine="0" autoPict="0">
                <anchor moveWithCells="1">
                  <from>
                    <xdr:col>1</xdr:col>
                    <xdr:colOff>139700</xdr:colOff>
                    <xdr:row>120</xdr:row>
                    <xdr:rowOff>0</xdr:rowOff>
                  </from>
                  <to>
                    <xdr:col>2</xdr:col>
                    <xdr:colOff>0</xdr:colOff>
                    <xdr:row>120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6" name="Check Box 117">
              <controlPr defaultSize="0" autoFill="0" autoLine="0" autoPict="0">
                <anchor moveWithCells="1">
                  <from>
                    <xdr:col>1</xdr:col>
                    <xdr:colOff>139700</xdr:colOff>
                    <xdr:row>115</xdr:row>
                    <xdr:rowOff>0</xdr:rowOff>
                  </from>
                  <to>
                    <xdr:col>2</xdr:col>
                    <xdr:colOff>0</xdr:colOff>
                    <xdr:row>115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7" name="Check Box 118">
              <controlPr defaultSize="0" autoFill="0" autoLine="0" autoPict="0">
                <anchor moveWithCells="1">
                  <from>
                    <xdr:col>1</xdr:col>
                    <xdr:colOff>139700</xdr:colOff>
                    <xdr:row>114</xdr:row>
                    <xdr:rowOff>0</xdr:rowOff>
                  </from>
                  <to>
                    <xdr:col>2</xdr:col>
                    <xdr:colOff>0</xdr:colOff>
                    <xdr:row>114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18" name="Check Box 119">
              <controlPr defaultSize="0" autoFill="0" autoLine="0" autoPict="0">
                <anchor moveWithCells="1">
                  <from>
                    <xdr:col>1</xdr:col>
                    <xdr:colOff>139700</xdr:colOff>
                    <xdr:row>117</xdr:row>
                    <xdr:rowOff>0</xdr:rowOff>
                  </from>
                  <to>
                    <xdr:col>2</xdr:col>
                    <xdr:colOff>0</xdr:colOff>
                    <xdr:row>117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19" name="Check Box 120">
              <controlPr defaultSize="0" autoFill="0" autoLine="0" autoPict="0">
                <anchor moveWithCells="1">
                  <from>
                    <xdr:col>1</xdr:col>
                    <xdr:colOff>139700</xdr:colOff>
                    <xdr:row>119</xdr:row>
                    <xdr:rowOff>0</xdr:rowOff>
                  </from>
                  <to>
                    <xdr:col>2</xdr:col>
                    <xdr:colOff>0</xdr:colOff>
                    <xdr:row>119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0" name="Check Box 121">
              <controlPr defaultSize="0" autoFill="0" autoLine="0" autoPict="0">
                <anchor moveWithCells="1">
                  <from>
                    <xdr:col>1</xdr:col>
                    <xdr:colOff>139700</xdr:colOff>
                    <xdr:row>126</xdr:row>
                    <xdr:rowOff>0</xdr:rowOff>
                  </from>
                  <to>
                    <xdr:col>2</xdr:col>
                    <xdr:colOff>0</xdr:colOff>
                    <xdr:row>126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1" name="Check Box 122">
              <controlPr defaultSize="0" autoFill="0" autoLine="0" autoPict="0">
                <anchor moveWithCells="1">
                  <from>
                    <xdr:col>1</xdr:col>
                    <xdr:colOff>139700</xdr:colOff>
                    <xdr:row>124</xdr:row>
                    <xdr:rowOff>0</xdr:rowOff>
                  </from>
                  <to>
                    <xdr:col>2</xdr:col>
                    <xdr:colOff>0</xdr:colOff>
                    <xdr:row>124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2" name="Check Box 123">
              <controlPr defaultSize="0" autoFill="0" autoLine="0" autoPict="0">
                <anchor moveWithCells="1">
                  <from>
                    <xdr:col>1</xdr:col>
                    <xdr:colOff>139700</xdr:colOff>
                    <xdr:row>121</xdr:row>
                    <xdr:rowOff>0</xdr:rowOff>
                  </from>
                  <to>
                    <xdr:col>2</xdr:col>
                    <xdr:colOff>0</xdr:colOff>
                    <xdr:row>121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3" name="Check Box 124">
              <controlPr defaultSize="0" autoFill="0" autoLine="0" autoPict="0">
                <anchor moveWithCells="1">
                  <from>
                    <xdr:col>1</xdr:col>
                    <xdr:colOff>139700</xdr:colOff>
                    <xdr:row>123</xdr:row>
                    <xdr:rowOff>0</xdr:rowOff>
                  </from>
                  <to>
                    <xdr:col>2</xdr:col>
                    <xdr:colOff>0</xdr:colOff>
                    <xdr:row>123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4" name="Check Box 125">
              <controlPr defaultSize="0" autoFill="0" autoLine="0" autoPict="0">
                <anchor moveWithCells="1">
                  <from>
                    <xdr:col>1</xdr:col>
                    <xdr:colOff>139700</xdr:colOff>
                    <xdr:row>125</xdr:row>
                    <xdr:rowOff>0</xdr:rowOff>
                  </from>
                  <to>
                    <xdr:col>2</xdr:col>
                    <xdr:colOff>0</xdr:colOff>
                    <xdr:row>125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5" name="Check Box 126">
              <controlPr defaultSize="0" autoFill="0" autoLine="0" autoPict="0">
                <anchor moveWithCells="1">
                  <from>
                    <xdr:col>1</xdr:col>
                    <xdr:colOff>139700</xdr:colOff>
                    <xdr:row>143</xdr:row>
                    <xdr:rowOff>0</xdr:rowOff>
                  </from>
                  <to>
                    <xdr:col>2</xdr:col>
                    <xdr:colOff>0</xdr:colOff>
                    <xdr:row>143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6" name="Check Box 127">
              <controlPr defaultSize="0" autoFill="0" autoLine="0" autoPict="0">
                <anchor moveWithCells="1">
                  <from>
                    <xdr:col>1</xdr:col>
                    <xdr:colOff>139700</xdr:colOff>
                    <xdr:row>140</xdr:row>
                    <xdr:rowOff>0</xdr:rowOff>
                  </from>
                  <to>
                    <xdr:col>2</xdr:col>
                    <xdr:colOff>0</xdr:colOff>
                    <xdr:row>140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7" name="Check Box 128">
              <controlPr defaultSize="0" autoFill="0" autoLine="0" autoPict="0">
                <anchor moveWithCells="1">
                  <from>
                    <xdr:col>1</xdr:col>
                    <xdr:colOff>139700</xdr:colOff>
                    <xdr:row>138</xdr:row>
                    <xdr:rowOff>0</xdr:rowOff>
                  </from>
                  <to>
                    <xdr:col>2</xdr:col>
                    <xdr:colOff>0</xdr:colOff>
                    <xdr:row>138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28" name="Check Box 129">
              <controlPr defaultSize="0" autoFill="0" autoLine="0" autoPict="0">
                <anchor moveWithCells="1">
                  <from>
                    <xdr:col>1</xdr:col>
                    <xdr:colOff>139700</xdr:colOff>
                    <xdr:row>135</xdr:row>
                    <xdr:rowOff>0</xdr:rowOff>
                  </from>
                  <to>
                    <xdr:col>2</xdr:col>
                    <xdr:colOff>0</xdr:colOff>
                    <xdr:row>135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29" name="Check Box 130">
              <controlPr defaultSize="0" autoFill="0" autoLine="0" autoPict="0">
                <anchor moveWithCells="1">
                  <from>
                    <xdr:col>1</xdr:col>
                    <xdr:colOff>139700</xdr:colOff>
                    <xdr:row>132</xdr:row>
                    <xdr:rowOff>0</xdr:rowOff>
                  </from>
                  <to>
                    <xdr:col>2</xdr:col>
                    <xdr:colOff>0</xdr:colOff>
                    <xdr:row>132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0" name="Check Box 131">
              <controlPr defaultSize="0" autoFill="0" autoLine="0" autoPict="0">
                <anchor moveWithCells="1">
                  <from>
                    <xdr:col>1</xdr:col>
                    <xdr:colOff>139700</xdr:colOff>
                    <xdr:row>130</xdr:row>
                    <xdr:rowOff>0</xdr:rowOff>
                  </from>
                  <to>
                    <xdr:col>2</xdr:col>
                    <xdr:colOff>0</xdr:colOff>
                    <xdr:row>130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1" name="Check Box 132">
              <controlPr defaultSize="0" autoFill="0" autoLine="0" autoPict="0">
                <anchor moveWithCells="1">
                  <from>
                    <xdr:col>1</xdr:col>
                    <xdr:colOff>139700</xdr:colOff>
                    <xdr:row>128</xdr:row>
                    <xdr:rowOff>0</xdr:rowOff>
                  </from>
                  <to>
                    <xdr:col>2</xdr:col>
                    <xdr:colOff>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2" name="Check Box 133">
              <controlPr defaultSize="0" autoFill="0" autoLine="0" autoPict="0">
                <anchor moveWithCells="1">
                  <from>
                    <xdr:col>1</xdr:col>
                    <xdr:colOff>139700</xdr:colOff>
                    <xdr:row>137</xdr:row>
                    <xdr:rowOff>0</xdr:rowOff>
                  </from>
                  <to>
                    <xdr:col>2</xdr:col>
                    <xdr:colOff>0</xdr:colOff>
                    <xdr:row>137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3" name="Check Box 134">
              <controlPr defaultSize="0" autoFill="0" autoLine="0" autoPict="0">
                <anchor moveWithCells="1">
                  <from>
                    <xdr:col>1</xdr:col>
                    <xdr:colOff>139700</xdr:colOff>
                    <xdr:row>133</xdr:row>
                    <xdr:rowOff>0</xdr:rowOff>
                  </from>
                  <to>
                    <xdr:col>2</xdr:col>
                    <xdr:colOff>0</xdr:colOff>
                    <xdr:row>133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4" name="Check Box 135">
              <controlPr defaultSize="0" autoFill="0" autoLine="0" autoPict="0">
                <anchor moveWithCells="1">
                  <from>
                    <xdr:col>1</xdr:col>
                    <xdr:colOff>139700</xdr:colOff>
                    <xdr:row>129</xdr:row>
                    <xdr:rowOff>0</xdr:rowOff>
                  </from>
                  <to>
                    <xdr:col>2</xdr:col>
                    <xdr:colOff>0</xdr:colOff>
                    <xdr:row>129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5" name="Check Box 136">
              <controlPr defaultSize="0" autoFill="0" autoLine="0" autoPict="0">
                <anchor moveWithCells="1">
                  <from>
                    <xdr:col>1</xdr:col>
                    <xdr:colOff>139700</xdr:colOff>
                    <xdr:row>127</xdr:row>
                    <xdr:rowOff>0</xdr:rowOff>
                  </from>
                  <to>
                    <xdr:col>2</xdr:col>
                    <xdr:colOff>0</xdr:colOff>
                    <xdr:row>127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6" name="Check Box 137">
              <controlPr defaultSize="0" autoFill="0" autoLine="0" autoPict="0">
                <anchor moveWithCells="1">
                  <from>
                    <xdr:col>1</xdr:col>
                    <xdr:colOff>139700</xdr:colOff>
                    <xdr:row>139</xdr:row>
                    <xdr:rowOff>0</xdr:rowOff>
                  </from>
                  <to>
                    <xdr:col>2</xdr:col>
                    <xdr:colOff>0</xdr:colOff>
                    <xdr:row>139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37" name="Check Box 138">
              <controlPr defaultSize="0" autoFill="0" autoLine="0" autoPict="0">
                <anchor moveWithCells="1">
                  <from>
                    <xdr:col>1</xdr:col>
                    <xdr:colOff>139700</xdr:colOff>
                    <xdr:row>136</xdr:row>
                    <xdr:rowOff>0</xdr:rowOff>
                  </from>
                  <to>
                    <xdr:col>2</xdr:col>
                    <xdr:colOff>0</xdr:colOff>
                    <xdr:row>136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38" name="Check Box 139">
              <controlPr defaultSize="0" autoFill="0" autoLine="0" autoPict="0">
                <anchor moveWithCells="1">
                  <from>
                    <xdr:col>1</xdr:col>
                    <xdr:colOff>139700</xdr:colOff>
                    <xdr:row>131</xdr:row>
                    <xdr:rowOff>0</xdr:rowOff>
                  </from>
                  <to>
                    <xdr:col>2</xdr:col>
                    <xdr:colOff>0</xdr:colOff>
                    <xdr:row>131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39" name="Check Box 140">
              <controlPr defaultSize="0" autoFill="0" autoLine="0" autoPict="0">
                <anchor moveWithCells="1">
                  <from>
                    <xdr:col>1</xdr:col>
                    <xdr:colOff>139700</xdr:colOff>
                    <xdr:row>134</xdr:row>
                    <xdr:rowOff>0</xdr:rowOff>
                  </from>
                  <to>
                    <xdr:col>2</xdr:col>
                    <xdr:colOff>0</xdr:colOff>
                    <xdr:row>134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0" name="Check Box 141">
              <controlPr defaultSize="0" autoFill="0" autoLine="0" autoPict="0">
                <anchor moveWithCells="1">
                  <from>
                    <xdr:col>1</xdr:col>
                    <xdr:colOff>139700</xdr:colOff>
                    <xdr:row>142</xdr:row>
                    <xdr:rowOff>0</xdr:rowOff>
                  </from>
                  <to>
                    <xdr:col>2</xdr:col>
                    <xdr:colOff>0</xdr:colOff>
                    <xdr:row>142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1" name="Check Box 142">
              <controlPr defaultSize="0" autoFill="0" autoLine="0" autoPict="0">
                <anchor moveWithCells="1">
                  <from>
                    <xdr:col>1</xdr:col>
                    <xdr:colOff>139700</xdr:colOff>
                    <xdr:row>141</xdr:row>
                    <xdr:rowOff>0</xdr:rowOff>
                  </from>
                  <to>
                    <xdr:col>2</xdr:col>
                    <xdr:colOff>0</xdr:colOff>
                    <xdr:row>141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2" name="Check Box 143">
              <controlPr defaultSize="0" autoFill="0" autoLine="0" autoPict="0">
                <anchor moveWithCells="1">
                  <from>
                    <xdr:col>2</xdr:col>
                    <xdr:colOff>139700</xdr:colOff>
                    <xdr:row>1</xdr:row>
                    <xdr:rowOff>0</xdr:rowOff>
                  </from>
                  <to>
                    <xdr:col>2</xdr:col>
                    <xdr:colOff>495300</xdr:colOff>
                    <xdr:row>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3" name="Check Box 144">
              <controlPr defaultSize="0" autoFill="0" autoLine="0" autoPict="0">
                <anchor moveWithCells="1">
                  <from>
                    <xdr:col>2</xdr:col>
                    <xdr:colOff>139700</xdr:colOff>
                    <xdr:row>1</xdr:row>
                    <xdr:rowOff>0</xdr:rowOff>
                  </from>
                  <to>
                    <xdr:col>2</xdr:col>
                    <xdr:colOff>495300</xdr:colOff>
                    <xdr:row>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4" name="Check Box 145">
              <controlPr defaultSize="0" autoFill="0" autoLine="0" autoPict="0">
                <anchor moveWithCells="1">
                  <from>
                    <xdr:col>2</xdr:col>
                    <xdr:colOff>139700</xdr:colOff>
                    <xdr:row>4</xdr:row>
                    <xdr:rowOff>0</xdr:rowOff>
                  </from>
                  <to>
                    <xdr:col>2</xdr:col>
                    <xdr:colOff>495300</xdr:colOff>
                    <xdr:row>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5" name="Check Box 146">
              <controlPr defaultSize="0" autoFill="0" autoLine="0" autoPict="0">
                <anchor moveWithCells="1">
                  <from>
                    <xdr:col>2</xdr:col>
                    <xdr:colOff>139700</xdr:colOff>
                    <xdr:row>2</xdr:row>
                    <xdr:rowOff>0</xdr:rowOff>
                  </from>
                  <to>
                    <xdr:col>2</xdr:col>
                    <xdr:colOff>495300</xdr:colOff>
                    <xdr:row>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6" name="Check Box 147">
              <controlPr defaultSize="0" autoFill="0" autoLine="0" autoPict="0">
                <anchor moveWithCells="1">
                  <from>
                    <xdr:col>2</xdr:col>
                    <xdr:colOff>139700</xdr:colOff>
                    <xdr:row>7</xdr:row>
                    <xdr:rowOff>0</xdr:rowOff>
                  </from>
                  <to>
                    <xdr:col>2</xdr:col>
                    <xdr:colOff>495300</xdr:colOff>
                    <xdr:row>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47" name="Check Box 148">
              <controlPr defaultSize="0" autoFill="0" autoLine="0" autoPict="0">
                <anchor moveWithCells="1">
                  <from>
                    <xdr:col>2</xdr:col>
                    <xdr:colOff>139700</xdr:colOff>
                    <xdr:row>12</xdr:row>
                    <xdr:rowOff>0</xdr:rowOff>
                  </from>
                  <to>
                    <xdr:col>2</xdr:col>
                    <xdr:colOff>495300</xdr:colOff>
                    <xdr:row>12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48" name="Check Box 149">
              <controlPr defaultSize="0" autoFill="0" autoLine="0" autoPict="0">
                <anchor moveWithCells="1">
                  <from>
                    <xdr:col>2</xdr:col>
                    <xdr:colOff>139700</xdr:colOff>
                    <xdr:row>18</xdr:row>
                    <xdr:rowOff>0</xdr:rowOff>
                  </from>
                  <to>
                    <xdr:col>2</xdr:col>
                    <xdr:colOff>495300</xdr:colOff>
                    <xdr:row>18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49" name="Check Box 150">
              <controlPr defaultSize="0" autoFill="0" autoLine="0" autoPict="0">
                <anchor moveWithCells="1">
                  <from>
                    <xdr:col>2</xdr:col>
                    <xdr:colOff>139700</xdr:colOff>
                    <xdr:row>16</xdr:row>
                    <xdr:rowOff>0</xdr:rowOff>
                  </from>
                  <to>
                    <xdr:col>2</xdr:col>
                    <xdr:colOff>495300</xdr:colOff>
                    <xdr:row>16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0" name="Check Box 151">
              <controlPr defaultSize="0" autoFill="0" autoLine="0" autoPict="0">
                <anchor moveWithCells="1">
                  <from>
                    <xdr:col>2</xdr:col>
                    <xdr:colOff>139700</xdr:colOff>
                    <xdr:row>11</xdr:row>
                    <xdr:rowOff>0</xdr:rowOff>
                  </from>
                  <to>
                    <xdr:col>2</xdr:col>
                    <xdr:colOff>495300</xdr:colOff>
                    <xdr:row>11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1" name="Check Box 153">
              <controlPr defaultSize="0" autoFill="0" autoLine="0" autoPict="0">
                <anchor moveWithCells="1">
                  <from>
                    <xdr:col>2</xdr:col>
                    <xdr:colOff>139700</xdr:colOff>
                    <xdr:row>3</xdr:row>
                    <xdr:rowOff>0</xdr:rowOff>
                  </from>
                  <to>
                    <xdr:col>2</xdr:col>
                    <xdr:colOff>495300</xdr:colOff>
                    <xdr:row>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2" name="Check Box 154">
              <controlPr defaultSize="0" autoFill="0" autoLine="0" autoPict="0">
                <anchor moveWithCells="1">
                  <from>
                    <xdr:col>2</xdr:col>
                    <xdr:colOff>139700</xdr:colOff>
                    <xdr:row>1</xdr:row>
                    <xdr:rowOff>0</xdr:rowOff>
                  </from>
                  <to>
                    <xdr:col>2</xdr:col>
                    <xdr:colOff>495300</xdr:colOff>
                    <xdr:row>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3" name="Check Box 156">
              <controlPr defaultSize="0" autoFill="0" autoLine="0" autoPict="0">
                <anchor moveWithCells="1">
                  <from>
                    <xdr:col>2</xdr:col>
                    <xdr:colOff>139700</xdr:colOff>
                    <xdr:row>9</xdr:row>
                    <xdr:rowOff>0</xdr:rowOff>
                  </from>
                  <to>
                    <xdr:col>2</xdr:col>
                    <xdr:colOff>495300</xdr:colOff>
                    <xdr:row>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4" name="Check Box 157">
              <controlPr defaultSize="0" autoFill="0" autoLine="0" autoPict="0">
                <anchor moveWithCells="1">
                  <from>
                    <xdr:col>2</xdr:col>
                    <xdr:colOff>139700</xdr:colOff>
                    <xdr:row>10</xdr:row>
                    <xdr:rowOff>0</xdr:rowOff>
                  </from>
                  <to>
                    <xdr:col>2</xdr:col>
                    <xdr:colOff>495300</xdr:colOff>
                    <xdr:row>10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55" name="Check Box 158">
              <controlPr defaultSize="0" autoFill="0" autoLine="0" autoPict="0">
                <anchor moveWithCells="1">
                  <from>
                    <xdr:col>2</xdr:col>
                    <xdr:colOff>139700</xdr:colOff>
                    <xdr:row>22</xdr:row>
                    <xdr:rowOff>0</xdr:rowOff>
                  </from>
                  <to>
                    <xdr:col>2</xdr:col>
                    <xdr:colOff>495300</xdr:colOff>
                    <xdr:row>22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56" name="Check Box 159">
              <controlPr defaultSize="0" autoFill="0" autoLine="0" autoPict="0">
                <anchor moveWithCells="1">
                  <from>
                    <xdr:col>2</xdr:col>
                    <xdr:colOff>139700</xdr:colOff>
                    <xdr:row>19</xdr:row>
                    <xdr:rowOff>0</xdr:rowOff>
                  </from>
                  <to>
                    <xdr:col>2</xdr:col>
                    <xdr:colOff>495300</xdr:colOff>
                    <xdr:row>19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57" name="Check Box 160">
              <controlPr defaultSize="0" autoFill="0" autoLine="0" autoPict="0">
                <anchor moveWithCells="1">
                  <from>
                    <xdr:col>2</xdr:col>
                    <xdr:colOff>139700</xdr:colOff>
                    <xdr:row>14</xdr:row>
                    <xdr:rowOff>0</xdr:rowOff>
                  </from>
                  <to>
                    <xdr:col>2</xdr:col>
                    <xdr:colOff>495300</xdr:colOff>
                    <xdr:row>14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58" name="Check Box 161">
              <controlPr defaultSize="0" autoFill="0" autoLine="0" autoPict="0">
                <anchor moveWithCells="1">
                  <from>
                    <xdr:col>2</xdr:col>
                    <xdr:colOff>139700</xdr:colOff>
                    <xdr:row>20</xdr:row>
                    <xdr:rowOff>0</xdr:rowOff>
                  </from>
                  <to>
                    <xdr:col>2</xdr:col>
                    <xdr:colOff>495300</xdr:colOff>
                    <xdr:row>20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59" name="Check Box 162">
              <controlPr defaultSize="0" autoFill="0" autoLine="0" autoPict="0">
                <anchor moveWithCells="1">
                  <from>
                    <xdr:col>2</xdr:col>
                    <xdr:colOff>139700</xdr:colOff>
                    <xdr:row>25</xdr:row>
                    <xdr:rowOff>0</xdr:rowOff>
                  </from>
                  <to>
                    <xdr:col>2</xdr:col>
                    <xdr:colOff>495300</xdr:colOff>
                    <xdr:row>25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0" name="Check Box 163">
              <controlPr defaultSize="0" autoFill="0" autoLine="0" autoPict="0">
                <anchor moveWithCells="1">
                  <from>
                    <xdr:col>2</xdr:col>
                    <xdr:colOff>139700</xdr:colOff>
                    <xdr:row>24</xdr:row>
                    <xdr:rowOff>0</xdr:rowOff>
                  </from>
                  <to>
                    <xdr:col>2</xdr:col>
                    <xdr:colOff>495300</xdr:colOff>
                    <xdr:row>24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1" name="Check Box 164">
              <controlPr defaultSize="0" autoFill="0" autoLine="0" autoPict="0">
                <anchor moveWithCells="1">
                  <from>
                    <xdr:col>2</xdr:col>
                    <xdr:colOff>139700</xdr:colOff>
                    <xdr:row>21</xdr:row>
                    <xdr:rowOff>0</xdr:rowOff>
                  </from>
                  <to>
                    <xdr:col>2</xdr:col>
                    <xdr:colOff>495300</xdr:colOff>
                    <xdr:row>21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2" name="Check Box 165">
              <controlPr defaultSize="0" autoFill="0" autoLine="0" autoPict="0">
                <anchor moveWithCells="1">
                  <from>
                    <xdr:col>2</xdr:col>
                    <xdr:colOff>139700</xdr:colOff>
                    <xdr:row>23</xdr:row>
                    <xdr:rowOff>0</xdr:rowOff>
                  </from>
                  <to>
                    <xdr:col>2</xdr:col>
                    <xdr:colOff>495300</xdr:colOff>
                    <xdr:row>23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3" name="Check Box 166">
              <controlPr defaultSize="0" autoFill="0" autoLine="0" autoPict="0">
                <anchor moveWithCells="1">
                  <from>
                    <xdr:col>2</xdr:col>
                    <xdr:colOff>139700</xdr:colOff>
                    <xdr:row>27</xdr:row>
                    <xdr:rowOff>0</xdr:rowOff>
                  </from>
                  <to>
                    <xdr:col>2</xdr:col>
                    <xdr:colOff>495300</xdr:colOff>
                    <xdr:row>27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4" name="Check Box 167">
              <controlPr defaultSize="0" autoFill="0" autoLine="0" autoPict="0">
                <anchor moveWithCells="1">
                  <from>
                    <xdr:col>2</xdr:col>
                    <xdr:colOff>139700</xdr:colOff>
                    <xdr:row>26</xdr:row>
                    <xdr:rowOff>0</xdr:rowOff>
                  </from>
                  <to>
                    <xdr:col>2</xdr:col>
                    <xdr:colOff>495300</xdr:colOff>
                    <xdr:row>26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65" name="Check Box 168">
              <controlPr defaultSize="0" autoFill="0" autoLine="0" autoPict="0">
                <anchor moveWithCells="1">
                  <from>
                    <xdr:col>2</xdr:col>
                    <xdr:colOff>139700</xdr:colOff>
                    <xdr:row>31</xdr:row>
                    <xdr:rowOff>0</xdr:rowOff>
                  </from>
                  <to>
                    <xdr:col>2</xdr:col>
                    <xdr:colOff>495300</xdr:colOff>
                    <xdr:row>31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66" name="Check Box 169">
              <controlPr defaultSize="0" autoFill="0" autoLine="0" autoPict="0">
                <anchor moveWithCells="1">
                  <from>
                    <xdr:col>2</xdr:col>
                    <xdr:colOff>139700</xdr:colOff>
                    <xdr:row>29</xdr:row>
                    <xdr:rowOff>0</xdr:rowOff>
                  </from>
                  <to>
                    <xdr:col>2</xdr:col>
                    <xdr:colOff>495300</xdr:colOff>
                    <xdr:row>29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67" name="Check Box 170">
              <controlPr defaultSize="0" autoFill="0" autoLine="0" autoPict="0">
                <anchor moveWithCells="1">
                  <from>
                    <xdr:col>2</xdr:col>
                    <xdr:colOff>139700</xdr:colOff>
                    <xdr:row>25</xdr:row>
                    <xdr:rowOff>0</xdr:rowOff>
                  </from>
                  <to>
                    <xdr:col>2</xdr:col>
                    <xdr:colOff>495300</xdr:colOff>
                    <xdr:row>25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68" name="Check Box 171">
              <controlPr defaultSize="0" autoFill="0" autoLine="0" autoPict="0">
                <anchor moveWithCells="1">
                  <from>
                    <xdr:col>2</xdr:col>
                    <xdr:colOff>139700</xdr:colOff>
                    <xdr:row>28</xdr:row>
                    <xdr:rowOff>0</xdr:rowOff>
                  </from>
                  <to>
                    <xdr:col>2</xdr:col>
                    <xdr:colOff>495300</xdr:colOff>
                    <xdr:row>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69" name="Check Box 172">
              <controlPr defaultSize="0" autoFill="0" autoLine="0" autoPict="0">
                <anchor moveWithCells="1">
                  <from>
                    <xdr:col>2</xdr:col>
                    <xdr:colOff>139700</xdr:colOff>
                    <xdr:row>30</xdr:row>
                    <xdr:rowOff>0</xdr:rowOff>
                  </from>
                  <to>
                    <xdr:col>2</xdr:col>
                    <xdr:colOff>495300</xdr:colOff>
                    <xdr:row>30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0" name="Check Box 173">
              <controlPr defaultSize="0" autoFill="0" autoLine="0" autoPict="0">
                <anchor moveWithCells="1">
                  <from>
                    <xdr:col>2</xdr:col>
                    <xdr:colOff>139700</xdr:colOff>
                    <xdr:row>35</xdr:row>
                    <xdr:rowOff>0</xdr:rowOff>
                  </from>
                  <to>
                    <xdr:col>2</xdr:col>
                    <xdr:colOff>495300</xdr:colOff>
                    <xdr:row>35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1" name="Check Box 174">
              <controlPr defaultSize="0" autoFill="0" autoLine="0" autoPict="0">
                <anchor moveWithCells="1">
                  <from>
                    <xdr:col>2</xdr:col>
                    <xdr:colOff>139700</xdr:colOff>
                    <xdr:row>32</xdr:row>
                    <xdr:rowOff>0</xdr:rowOff>
                  </from>
                  <to>
                    <xdr:col>2</xdr:col>
                    <xdr:colOff>495300</xdr:colOff>
                    <xdr:row>32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2" name="Check Box 175">
              <controlPr defaultSize="0" autoFill="0" autoLine="0" autoPict="0">
                <anchor moveWithCells="1">
                  <from>
                    <xdr:col>2</xdr:col>
                    <xdr:colOff>139700</xdr:colOff>
                    <xdr:row>34</xdr:row>
                    <xdr:rowOff>0</xdr:rowOff>
                  </from>
                  <to>
                    <xdr:col>2</xdr:col>
                    <xdr:colOff>495300</xdr:colOff>
                    <xdr:row>34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3" name="Check Box 176">
              <controlPr defaultSize="0" autoFill="0" autoLine="0" autoPict="0">
                <anchor moveWithCells="1">
                  <from>
                    <xdr:col>2</xdr:col>
                    <xdr:colOff>139700</xdr:colOff>
                    <xdr:row>40</xdr:row>
                    <xdr:rowOff>0</xdr:rowOff>
                  </from>
                  <to>
                    <xdr:col>2</xdr:col>
                    <xdr:colOff>495300</xdr:colOff>
                    <xdr:row>40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4" name="Check Box 177">
              <controlPr defaultSize="0" autoFill="0" autoLine="0" autoPict="0">
                <anchor moveWithCells="1">
                  <from>
                    <xdr:col>2</xdr:col>
                    <xdr:colOff>139700</xdr:colOff>
                    <xdr:row>37</xdr:row>
                    <xdr:rowOff>0</xdr:rowOff>
                  </from>
                  <to>
                    <xdr:col>2</xdr:col>
                    <xdr:colOff>495300</xdr:colOff>
                    <xdr:row>37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75" name="Check Box 178">
              <controlPr defaultSize="0" autoFill="0" autoLine="0" autoPict="0">
                <anchor moveWithCells="1">
                  <from>
                    <xdr:col>2</xdr:col>
                    <xdr:colOff>139700</xdr:colOff>
                    <xdr:row>43</xdr:row>
                    <xdr:rowOff>0</xdr:rowOff>
                  </from>
                  <to>
                    <xdr:col>2</xdr:col>
                    <xdr:colOff>495300</xdr:colOff>
                    <xdr:row>43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76" name="Check Box 179">
              <controlPr defaultSize="0" autoFill="0" autoLine="0" autoPict="0">
                <anchor moveWithCells="1">
                  <from>
                    <xdr:col>2</xdr:col>
                    <xdr:colOff>139700</xdr:colOff>
                    <xdr:row>36</xdr:row>
                    <xdr:rowOff>0</xdr:rowOff>
                  </from>
                  <to>
                    <xdr:col>2</xdr:col>
                    <xdr:colOff>495300</xdr:colOff>
                    <xdr:row>36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77" name="Check Box 180">
              <controlPr defaultSize="0" autoFill="0" autoLine="0" autoPict="0">
                <anchor moveWithCells="1">
                  <from>
                    <xdr:col>2</xdr:col>
                    <xdr:colOff>139700</xdr:colOff>
                    <xdr:row>42</xdr:row>
                    <xdr:rowOff>0</xdr:rowOff>
                  </from>
                  <to>
                    <xdr:col>2</xdr:col>
                    <xdr:colOff>495300</xdr:colOff>
                    <xdr:row>42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78" name="Check Box 181">
              <controlPr defaultSize="0" autoFill="0" autoLine="0" autoPict="0">
                <anchor moveWithCells="1">
                  <from>
                    <xdr:col>2</xdr:col>
                    <xdr:colOff>139700</xdr:colOff>
                    <xdr:row>39</xdr:row>
                    <xdr:rowOff>0</xdr:rowOff>
                  </from>
                  <to>
                    <xdr:col>2</xdr:col>
                    <xdr:colOff>495300</xdr:colOff>
                    <xdr:row>39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79" name="Check Box 182">
              <controlPr defaultSize="0" autoFill="0" autoLine="0" autoPict="0">
                <anchor moveWithCells="1">
                  <from>
                    <xdr:col>2</xdr:col>
                    <xdr:colOff>139700</xdr:colOff>
                    <xdr:row>41</xdr:row>
                    <xdr:rowOff>0</xdr:rowOff>
                  </from>
                  <to>
                    <xdr:col>2</xdr:col>
                    <xdr:colOff>495300</xdr:colOff>
                    <xdr:row>41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0" name="Check Box 183">
              <controlPr defaultSize="0" autoFill="0" autoLine="0" autoPict="0">
                <anchor moveWithCells="1">
                  <from>
                    <xdr:col>2</xdr:col>
                    <xdr:colOff>139700</xdr:colOff>
                    <xdr:row>46</xdr:row>
                    <xdr:rowOff>0</xdr:rowOff>
                  </from>
                  <to>
                    <xdr:col>2</xdr:col>
                    <xdr:colOff>495300</xdr:colOff>
                    <xdr:row>46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1" name="Check Box 184">
              <controlPr defaultSize="0" autoFill="0" autoLine="0" autoPict="0">
                <anchor moveWithCells="1">
                  <from>
                    <xdr:col>2</xdr:col>
                    <xdr:colOff>139700</xdr:colOff>
                    <xdr:row>44</xdr:row>
                    <xdr:rowOff>0</xdr:rowOff>
                  </from>
                  <to>
                    <xdr:col>2</xdr:col>
                    <xdr:colOff>495300</xdr:colOff>
                    <xdr:row>44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2" name="Check Box 185">
              <controlPr defaultSize="0" autoFill="0" autoLine="0" autoPict="0">
                <anchor moveWithCells="1">
                  <from>
                    <xdr:col>2</xdr:col>
                    <xdr:colOff>139700</xdr:colOff>
                    <xdr:row>45</xdr:row>
                    <xdr:rowOff>0</xdr:rowOff>
                  </from>
                  <to>
                    <xdr:col>2</xdr:col>
                    <xdr:colOff>495300</xdr:colOff>
                    <xdr:row>45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3" name="Check Box 186">
              <controlPr defaultSize="0" autoFill="0" autoLine="0" autoPict="0">
                <anchor moveWithCells="1">
                  <from>
                    <xdr:col>2</xdr:col>
                    <xdr:colOff>139700</xdr:colOff>
                    <xdr:row>47</xdr:row>
                    <xdr:rowOff>0</xdr:rowOff>
                  </from>
                  <to>
                    <xdr:col>2</xdr:col>
                    <xdr:colOff>495300</xdr:colOff>
                    <xdr:row>47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4" name="Check Box 187">
              <controlPr defaultSize="0" autoFill="0" autoLine="0" autoPict="0">
                <anchor moveWithCells="1">
                  <from>
                    <xdr:col>2</xdr:col>
                    <xdr:colOff>139700</xdr:colOff>
                    <xdr:row>49</xdr:row>
                    <xdr:rowOff>0</xdr:rowOff>
                  </from>
                  <to>
                    <xdr:col>2</xdr:col>
                    <xdr:colOff>495300</xdr:colOff>
                    <xdr:row>49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85" name="Check Box 188">
              <controlPr defaultSize="0" autoFill="0" autoLine="0" autoPict="0">
                <anchor moveWithCells="1">
                  <from>
                    <xdr:col>2</xdr:col>
                    <xdr:colOff>139700</xdr:colOff>
                    <xdr:row>48</xdr:row>
                    <xdr:rowOff>0</xdr:rowOff>
                  </from>
                  <to>
                    <xdr:col>2</xdr:col>
                    <xdr:colOff>495300</xdr:colOff>
                    <xdr:row>48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86" name="Check Box 189">
              <controlPr defaultSize="0" autoFill="0" autoLine="0" autoPict="0">
                <anchor moveWithCells="1">
                  <from>
                    <xdr:col>2</xdr:col>
                    <xdr:colOff>139700</xdr:colOff>
                    <xdr:row>51</xdr:row>
                    <xdr:rowOff>0</xdr:rowOff>
                  </from>
                  <to>
                    <xdr:col>2</xdr:col>
                    <xdr:colOff>495300</xdr:colOff>
                    <xdr:row>51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87" name="Check Box 190">
              <controlPr defaultSize="0" autoFill="0" autoLine="0" autoPict="0">
                <anchor moveWithCells="1">
                  <from>
                    <xdr:col>2</xdr:col>
                    <xdr:colOff>139700</xdr:colOff>
                    <xdr:row>50</xdr:row>
                    <xdr:rowOff>0</xdr:rowOff>
                  </from>
                  <to>
                    <xdr:col>2</xdr:col>
                    <xdr:colOff>495300</xdr:colOff>
                    <xdr:row>50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88" name="Check Box 191">
              <controlPr defaultSize="0" autoFill="0" autoLine="0" autoPict="0">
                <anchor moveWithCells="1">
                  <from>
                    <xdr:col>2</xdr:col>
                    <xdr:colOff>139700</xdr:colOff>
                    <xdr:row>52</xdr:row>
                    <xdr:rowOff>0</xdr:rowOff>
                  </from>
                  <to>
                    <xdr:col>2</xdr:col>
                    <xdr:colOff>495300</xdr:colOff>
                    <xdr:row>52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89" name="Check Box 192">
              <controlPr defaultSize="0" autoFill="0" autoLine="0" autoPict="0">
                <anchor moveWithCells="1">
                  <from>
                    <xdr:col>2</xdr:col>
                    <xdr:colOff>139700</xdr:colOff>
                    <xdr:row>58</xdr:row>
                    <xdr:rowOff>0</xdr:rowOff>
                  </from>
                  <to>
                    <xdr:col>2</xdr:col>
                    <xdr:colOff>495300</xdr:colOff>
                    <xdr:row>58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0" name="Check Box 193">
              <controlPr defaultSize="0" autoFill="0" autoLine="0" autoPict="0">
                <anchor moveWithCells="1">
                  <from>
                    <xdr:col>2</xdr:col>
                    <xdr:colOff>139700</xdr:colOff>
                    <xdr:row>66</xdr:row>
                    <xdr:rowOff>0</xdr:rowOff>
                  </from>
                  <to>
                    <xdr:col>2</xdr:col>
                    <xdr:colOff>495300</xdr:colOff>
                    <xdr:row>66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1" name="Check Box 194">
              <controlPr defaultSize="0" autoFill="0" autoLine="0" autoPict="0">
                <anchor moveWithCells="1">
                  <from>
                    <xdr:col>2</xdr:col>
                    <xdr:colOff>139700</xdr:colOff>
                    <xdr:row>72</xdr:row>
                    <xdr:rowOff>0</xdr:rowOff>
                  </from>
                  <to>
                    <xdr:col>2</xdr:col>
                    <xdr:colOff>495300</xdr:colOff>
                    <xdr:row>72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2" name="Check Box 195">
              <controlPr defaultSize="0" autoFill="0" autoLine="0" autoPict="0">
                <anchor moveWithCells="1">
                  <from>
                    <xdr:col>2</xdr:col>
                    <xdr:colOff>139700</xdr:colOff>
                    <xdr:row>76</xdr:row>
                    <xdr:rowOff>0</xdr:rowOff>
                  </from>
                  <to>
                    <xdr:col>2</xdr:col>
                    <xdr:colOff>495300</xdr:colOff>
                    <xdr:row>76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3" name="Check Box 196">
              <controlPr defaultSize="0" autoFill="0" autoLine="0" autoPict="0">
                <anchor moveWithCells="1">
                  <from>
                    <xdr:col>2</xdr:col>
                    <xdr:colOff>139700</xdr:colOff>
                    <xdr:row>73</xdr:row>
                    <xdr:rowOff>0</xdr:rowOff>
                  </from>
                  <to>
                    <xdr:col>2</xdr:col>
                    <xdr:colOff>495300</xdr:colOff>
                    <xdr:row>73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4" name="Check Box 197">
              <controlPr defaultSize="0" autoFill="0" autoLine="0" autoPict="0">
                <anchor moveWithCells="1">
                  <from>
                    <xdr:col>2</xdr:col>
                    <xdr:colOff>139700</xdr:colOff>
                    <xdr:row>79</xdr:row>
                    <xdr:rowOff>0</xdr:rowOff>
                  </from>
                  <to>
                    <xdr:col>2</xdr:col>
                    <xdr:colOff>495300</xdr:colOff>
                    <xdr:row>79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95" name="Check Box 198">
              <controlPr defaultSize="0" autoFill="0" autoLine="0" autoPict="0">
                <anchor moveWithCells="1">
                  <from>
                    <xdr:col>2</xdr:col>
                    <xdr:colOff>139700</xdr:colOff>
                    <xdr:row>74</xdr:row>
                    <xdr:rowOff>0</xdr:rowOff>
                  </from>
                  <to>
                    <xdr:col>2</xdr:col>
                    <xdr:colOff>495300</xdr:colOff>
                    <xdr:row>74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96" name="Check Box 199">
              <controlPr defaultSize="0" autoFill="0" autoLine="0" autoPict="0">
                <anchor moveWithCells="1">
                  <from>
                    <xdr:col>2</xdr:col>
                    <xdr:colOff>139700</xdr:colOff>
                    <xdr:row>64</xdr:row>
                    <xdr:rowOff>0</xdr:rowOff>
                  </from>
                  <to>
                    <xdr:col>2</xdr:col>
                    <xdr:colOff>495300</xdr:colOff>
                    <xdr:row>64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97" name="Check Box 200">
              <controlPr defaultSize="0" autoFill="0" autoLine="0" autoPict="0">
                <anchor moveWithCells="1">
                  <from>
                    <xdr:col>2</xdr:col>
                    <xdr:colOff>139700</xdr:colOff>
                    <xdr:row>68</xdr:row>
                    <xdr:rowOff>0</xdr:rowOff>
                  </from>
                  <to>
                    <xdr:col>2</xdr:col>
                    <xdr:colOff>495300</xdr:colOff>
                    <xdr:row>68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98" name="Check Box 201">
              <controlPr defaultSize="0" autoFill="0" autoLine="0" autoPict="0">
                <anchor moveWithCells="1">
                  <from>
                    <xdr:col>2</xdr:col>
                    <xdr:colOff>139700</xdr:colOff>
                    <xdr:row>62</xdr:row>
                    <xdr:rowOff>0</xdr:rowOff>
                  </from>
                  <to>
                    <xdr:col>2</xdr:col>
                    <xdr:colOff>495300</xdr:colOff>
                    <xdr:row>62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99" name="Check Box 202">
              <controlPr defaultSize="0" autoFill="0" autoLine="0" autoPict="0">
                <anchor moveWithCells="1">
                  <from>
                    <xdr:col>2</xdr:col>
                    <xdr:colOff>139700</xdr:colOff>
                    <xdr:row>57</xdr:row>
                    <xdr:rowOff>0</xdr:rowOff>
                  </from>
                  <to>
                    <xdr:col>2</xdr:col>
                    <xdr:colOff>495300</xdr:colOff>
                    <xdr:row>57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0" name="Check Box 203">
              <controlPr defaultSize="0" autoFill="0" autoLine="0" autoPict="0">
                <anchor moveWithCells="1">
                  <from>
                    <xdr:col>2</xdr:col>
                    <xdr:colOff>139700</xdr:colOff>
                    <xdr:row>60</xdr:row>
                    <xdr:rowOff>0</xdr:rowOff>
                  </from>
                  <to>
                    <xdr:col>2</xdr:col>
                    <xdr:colOff>495300</xdr:colOff>
                    <xdr:row>60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1" name="Check Box 204">
              <controlPr defaultSize="0" autoFill="0" autoLine="0" autoPict="0">
                <anchor moveWithCells="1">
                  <from>
                    <xdr:col>2</xdr:col>
                    <xdr:colOff>139700</xdr:colOff>
                    <xdr:row>55</xdr:row>
                    <xdr:rowOff>0</xdr:rowOff>
                  </from>
                  <to>
                    <xdr:col>2</xdr:col>
                    <xdr:colOff>495300</xdr:colOff>
                    <xdr:row>55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2" name="Check Box 205">
              <controlPr defaultSize="0" autoFill="0" autoLine="0" autoPict="0">
                <anchor moveWithCells="1">
                  <from>
                    <xdr:col>2</xdr:col>
                    <xdr:colOff>139700</xdr:colOff>
                    <xdr:row>70</xdr:row>
                    <xdr:rowOff>0</xdr:rowOff>
                  </from>
                  <to>
                    <xdr:col>2</xdr:col>
                    <xdr:colOff>495300</xdr:colOff>
                    <xdr:row>70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3" name="Check Box 206">
              <controlPr defaultSize="0" autoFill="0" autoLine="0" autoPict="0">
                <anchor moveWithCells="1">
                  <from>
                    <xdr:col>2</xdr:col>
                    <xdr:colOff>139700</xdr:colOff>
                    <xdr:row>65</xdr:row>
                    <xdr:rowOff>0</xdr:rowOff>
                  </from>
                  <to>
                    <xdr:col>2</xdr:col>
                    <xdr:colOff>495300</xdr:colOff>
                    <xdr:row>65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04" name="Check Box 207">
              <controlPr defaultSize="0" autoFill="0" autoLine="0" autoPict="0">
                <anchor moveWithCells="1">
                  <from>
                    <xdr:col>2</xdr:col>
                    <xdr:colOff>139700</xdr:colOff>
                    <xdr:row>59</xdr:row>
                    <xdr:rowOff>0</xdr:rowOff>
                  </from>
                  <to>
                    <xdr:col>2</xdr:col>
                    <xdr:colOff>495300</xdr:colOff>
                    <xdr:row>59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05" name="Check Box 208">
              <controlPr defaultSize="0" autoFill="0" autoLine="0" autoPict="0">
                <anchor moveWithCells="1">
                  <from>
                    <xdr:col>2</xdr:col>
                    <xdr:colOff>139700</xdr:colOff>
                    <xdr:row>54</xdr:row>
                    <xdr:rowOff>0</xdr:rowOff>
                  </from>
                  <to>
                    <xdr:col>2</xdr:col>
                    <xdr:colOff>495300</xdr:colOff>
                    <xdr:row>54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06" name="Check Box 209">
              <controlPr defaultSize="0" autoFill="0" autoLine="0" autoPict="0">
                <anchor moveWithCells="1">
                  <from>
                    <xdr:col>2</xdr:col>
                    <xdr:colOff>139700</xdr:colOff>
                    <xdr:row>63</xdr:row>
                    <xdr:rowOff>0</xdr:rowOff>
                  </from>
                  <to>
                    <xdr:col>2</xdr:col>
                    <xdr:colOff>495300</xdr:colOff>
                    <xdr:row>63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07" name="Check Box 210">
              <controlPr defaultSize="0" autoFill="0" autoLine="0" autoPict="0">
                <anchor moveWithCells="1">
                  <from>
                    <xdr:col>2</xdr:col>
                    <xdr:colOff>139700</xdr:colOff>
                    <xdr:row>53</xdr:row>
                    <xdr:rowOff>0</xdr:rowOff>
                  </from>
                  <to>
                    <xdr:col>2</xdr:col>
                    <xdr:colOff>495300</xdr:colOff>
                    <xdr:row>53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08" name="Check Box 211">
              <controlPr defaultSize="0" autoFill="0" autoLine="0" autoPict="0">
                <anchor moveWithCells="1">
                  <from>
                    <xdr:col>2</xdr:col>
                    <xdr:colOff>139700</xdr:colOff>
                    <xdr:row>56</xdr:row>
                    <xdr:rowOff>0</xdr:rowOff>
                  </from>
                  <to>
                    <xdr:col>2</xdr:col>
                    <xdr:colOff>495300</xdr:colOff>
                    <xdr:row>56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09" name="Check Box 212">
              <controlPr defaultSize="0" autoFill="0" autoLine="0" autoPict="0">
                <anchor moveWithCells="1">
                  <from>
                    <xdr:col>2</xdr:col>
                    <xdr:colOff>139700</xdr:colOff>
                    <xdr:row>73</xdr:row>
                    <xdr:rowOff>0</xdr:rowOff>
                  </from>
                  <to>
                    <xdr:col>2</xdr:col>
                    <xdr:colOff>495300</xdr:colOff>
                    <xdr:row>73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0" name="Check Box 213">
              <controlPr defaultSize="0" autoFill="0" autoLine="0" autoPict="0">
                <anchor moveWithCells="1">
                  <from>
                    <xdr:col>2</xdr:col>
                    <xdr:colOff>139700</xdr:colOff>
                    <xdr:row>69</xdr:row>
                    <xdr:rowOff>0</xdr:rowOff>
                  </from>
                  <to>
                    <xdr:col>2</xdr:col>
                    <xdr:colOff>495300</xdr:colOff>
                    <xdr:row>69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1" name="Check Box 214">
              <controlPr defaultSize="0" autoFill="0" autoLine="0" autoPict="0">
                <anchor moveWithCells="1">
                  <from>
                    <xdr:col>2</xdr:col>
                    <xdr:colOff>139700</xdr:colOff>
                    <xdr:row>67</xdr:row>
                    <xdr:rowOff>0</xdr:rowOff>
                  </from>
                  <to>
                    <xdr:col>2</xdr:col>
                    <xdr:colOff>495300</xdr:colOff>
                    <xdr:row>67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2" name="Check Box 215">
              <controlPr defaultSize="0" autoFill="0" autoLine="0" autoPict="0">
                <anchor moveWithCells="1">
                  <from>
                    <xdr:col>2</xdr:col>
                    <xdr:colOff>139700</xdr:colOff>
                    <xdr:row>71</xdr:row>
                    <xdr:rowOff>0</xdr:rowOff>
                  </from>
                  <to>
                    <xdr:col>2</xdr:col>
                    <xdr:colOff>495300</xdr:colOff>
                    <xdr:row>71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3" name="Check Box 216">
              <controlPr defaultSize="0" autoFill="0" autoLine="0" autoPict="0">
                <anchor moveWithCells="1">
                  <from>
                    <xdr:col>2</xdr:col>
                    <xdr:colOff>139700</xdr:colOff>
                    <xdr:row>75</xdr:row>
                    <xdr:rowOff>0</xdr:rowOff>
                  </from>
                  <to>
                    <xdr:col>2</xdr:col>
                    <xdr:colOff>495300</xdr:colOff>
                    <xdr:row>75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14" name="Check Box 217">
              <controlPr defaultSize="0" autoFill="0" autoLine="0" autoPict="0">
                <anchor moveWithCells="1">
                  <from>
                    <xdr:col>2</xdr:col>
                    <xdr:colOff>139700</xdr:colOff>
                    <xdr:row>78</xdr:row>
                    <xdr:rowOff>0</xdr:rowOff>
                  </from>
                  <to>
                    <xdr:col>2</xdr:col>
                    <xdr:colOff>495300</xdr:colOff>
                    <xdr:row>78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15" name="Check Box 218">
              <controlPr defaultSize="0" autoFill="0" autoLine="0" autoPict="0">
                <anchor moveWithCells="1">
                  <from>
                    <xdr:col>2</xdr:col>
                    <xdr:colOff>139700</xdr:colOff>
                    <xdr:row>87</xdr:row>
                    <xdr:rowOff>0</xdr:rowOff>
                  </from>
                  <to>
                    <xdr:col>2</xdr:col>
                    <xdr:colOff>495300</xdr:colOff>
                    <xdr:row>87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16" name="Check Box 219">
              <controlPr defaultSize="0" autoFill="0" autoLine="0" autoPict="0">
                <anchor moveWithCells="1">
                  <from>
                    <xdr:col>2</xdr:col>
                    <xdr:colOff>139700</xdr:colOff>
                    <xdr:row>85</xdr:row>
                    <xdr:rowOff>0</xdr:rowOff>
                  </from>
                  <to>
                    <xdr:col>2</xdr:col>
                    <xdr:colOff>495300</xdr:colOff>
                    <xdr:row>85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17" name="Check Box 220">
              <controlPr defaultSize="0" autoFill="0" autoLine="0" autoPict="0">
                <anchor moveWithCells="1">
                  <from>
                    <xdr:col>2</xdr:col>
                    <xdr:colOff>139700</xdr:colOff>
                    <xdr:row>83</xdr:row>
                    <xdr:rowOff>0</xdr:rowOff>
                  </from>
                  <to>
                    <xdr:col>2</xdr:col>
                    <xdr:colOff>495300</xdr:colOff>
                    <xdr:row>83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18" name="Check Box 221">
              <controlPr defaultSize="0" autoFill="0" autoLine="0" autoPict="0">
                <anchor moveWithCells="1">
                  <from>
                    <xdr:col>2</xdr:col>
                    <xdr:colOff>139700</xdr:colOff>
                    <xdr:row>81</xdr:row>
                    <xdr:rowOff>0</xdr:rowOff>
                  </from>
                  <to>
                    <xdr:col>2</xdr:col>
                    <xdr:colOff>495300</xdr:colOff>
                    <xdr:row>81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19" name="Check Box 222">
              <controlPr defaultSize="0" autoFill="0" autoLine="0" autoPict="0">
                <anchor moveWithCells="1">
                  <from>
                    <xdr:col>2</xdr:col>
                    <xdr:colOff>139700</xdr:colOff>
                    <xdr:row>77</xdr:row>
                    <xdr:rowOff>0</xdr:rowOff>
                  </from>
                  <to>
                    <xdr:col>2</xdr:col>
                    <xdr:colOff>495300</xdr:colOff>
                    <xdr:row>77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0" name="Check Box 223">
              <controlPr defaultSize="0" autoFill="0" autoLine="0" autoPict="0">
                <anchor moveWithCells="1">
                  <from>
                    <xdr:col>2</xdr:col>
                    <xdr:colOff>139700</xdr:colOff>
                    <xdr:row>82</xdr:row>
                    <xdr:rowOff>0</xdr:rowOff>
                  </from>
                  <to>
                    <xdr:col>2</xdr:col>
                    <xdr:colOff>495300</xdr:colOff>
                    <xdr:row>82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1" name="Check Box 225">
              <controlPr defaultSize="0" autoFill="0" autoLine="0" autoPict="0">
                <anchor moveWithCells="1">
                  <from>
                    <xdr:col>2</xdr:col>
                    <xdr:colOff>139700</xdr:colOff>
                    <xdr:row>84</xdr:row>
                    <xdr:rowOff>0</xdr:rowOff>
                  </from>
                  <to>
                    <xdr:col>2</xdr:col>
                    <xdr:colOff>495300</xdr:colOff>
                    <xdr:row>84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2" name="Check Box 226">
              <controlPr defaultSize="0" autoFill="0" autoLine="0" autoPict="0">
                <anchor moveWithCells="1">
                  <from>
                    <xdr:col>2</xdr:col>
                    <xdr:colOff>139700</xdr:colOff>
                    <xdr:row>86</xdr:row>
                    <xdr:rowOff>0</xdr:rowOff>
                  </from>
                  <to>
                    <xdr:col>2</xdr:col>
                    <xdr:colOff>495300</xdr:colOff>
                    <xdr:row>86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23" name="Check Box 227">
              <controlPr defaultSize="0" autoFill="0" autoLine="0" autoPict="0">
                <anchor moveWithCells="1">
                  <from>
                    <xdr:col>2</xdr:col>
                    <xdr:colOff>139700</xdr:colOff>
                    <xdr:row>89</xdr:row>
                    <xdr:rowOff>0</xdr:rowOff>
                  </from>
                  <to>
                    <xdr:col>2</xdr:col>
                    <xdr:colOff>495300</xdr:colOff>
                    <xdr:row>89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24" name="Check Box 228">
              <controlPr defaultSize="0" autoFill="0" autoLine="0" autoPict="0">
                <anchor moveWithCells="1">
                  <from>
                    <xdr:col>2</xdr:col>
                    <xdr:colOff>139700</xdr:colOff>
                    <xdr:row>87</xdr:row>
                    <xdr:rowOff>0</xdr:rowOff>
                  </from>
                  <to>
                    <xdr:col>2</xdr:col>
                    <xdr:colOff>495300</xdr:colOff>
                    <xdr:row>87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25" name="Check Box 229">
              <controlPr defaultSize="0" autoFill="0" autoLine="0" autoPict="0">
                <anchor moveWithCells="1">
                  <from>
                    <xdr:col>2</xdr:col>
                    <xdr:colOff>139700</xdr:colOff>
                    <xdr:row>93</xdr:row>
                    <xdr:rowOff>0</xdr:rowOff>
                  </from>
                  <to>
                    <xdr:col>2</xdr:col>
                    <xdr:colOff>495300</xdr:colOff>
                    <xdr:row>93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26" name="Check Box 230">
              <controlPr defaultSize="0" autoFill="0" autoLine="0" autoPict="0">
                <anchor moveWithCells="1">
                  <from>
                    <xdr:col>2</xdr:col>
                    <xdr:colOff>139700</xdr:colOff>
                    <xdr:row>88</xdr:row>
                    <xdr:rowOff>0</xdr:rowOff>
                  </from>
                  <to>
                    <xdr:col>2</xdr:col>
                    <xdr:colOff>495300</xdr:colOff>
                    <xdr:row>88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27" name="Check Box 231">
              <controlPr defaultSize="0" autoFill="0" autoLine="0" autoPict="0">
                <anchor moveWithCells="1">
                  <from>
                    <xdr:col>2</xdr:col>
                    <xdr:colOff>139700</xdr:colOff>
                    <xdr:row>91</xdr:row>
                    <xdr:rowOff>0</xdr:rowOff>
                  </from>
                  <to>
                    <xdr:col>2</xdr:col>
                    <xdr:colOff>495300</xdr:colOff>
                    <xdr:row>91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28" name="Check Box 232">
              <controlPr defaultSize="0" autoFill="0" autoLine="0" autoPict="0">
                <anchor moveWithCells="1">
                  <from>
                    <xdr:col>2</xdr:col>
                    <xdr:colOff>139700</xdr:colOff>
                    <xdr:row>90</xdr:row>
                    <xdr:rowOff>0</xdr:rowOff>
                  </from>
                  <to>
                    <xdr:col>2</xdr:col>
                    <xdr:colOff>495300</xdr:colOff>
                    <xdr:row>90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29" name="Check Box 233">
              <controlPr defaultSize="0" autoFill="0" autoLine="0" autoPict="0">
                <anchor moveWithCells="1">
                  <from>
                    <xdr:col>2</xdr:col>
                    <xdr:colOff>139700</xdr:colOff>
                    <xdr:row>92</xdr:row>
                    <xdr:rowOff>0</xdr:rowOff>
                  </from>
                  <to>
                    <xdr:col>2</xdr:col>
                    <xdr:colOff>495300</xdr:colOff>
                    <xdr:row>92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0" name="Check Box 234">
              <controlPr defaultSize="0" autoFill="0" autoLine="0" autoPict="0">
                <anchor moveWithCells="1">
                  <from>
                    <xdr:col>2</xdr:col>
                    <xdr:colOff>139700</xdr:colOff>
                    <xdr:row>119</xdr:row>
                    <xdr:rowOff>0</xdr:rowOff>
                  </from>
                  <to>
                    <xdr:col>2</xdr:col>
                    <xdr:colOff>495300</xdr:colOff>
                    <xdr:row>119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1" name="Check Box 235">
              <controlPr defaultSize="0" autoFill="0" autoLine="0" autoPict="0">
                <anchor moveWithCells="1">
                  <from>
                    <xdr:col>2</xdr:col>
                    <xdr:colOff>139700</xdr:colOff>
                    <xdr:row>94</xdr:row>
                    <xdr:rowOff>0</xdr:rowOff>
                  </from>
                  <to>
                    <xdr:col>2</xdr:col>
                    <xdr:colOff>495300</xdr:colOff>
                    <xdr:row>94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2" name="Check Box 236">
              <controlPr defaultSize="0" autoFill="0" autoLine="0" autoPict="0">
                <anchor moveWithCells="1">
                  <from>
                    <xdr:col>2</xdr:col>
                    <xdr:colOff>139700</xdr:colOff>
                    <xdr:row>96</xdr:row>
                    <xdr:rowOff>0</xdr:rowOff>
                  </from>
                  <to>
                    <xdr:col>2</xdr:col>
                    <xdr:colOff>495300</xdr:colOff>
                    <xdr:row>96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33" name="Check Box 237">
              <controlPr defaultSize="0" autoFill="0" autoLine="0" autoPict="0">
                <anchor moveWithCells="1">
                  <from>
                    <xdr:col>2</xdr:col>
                    <xdr:colOff>139700</xdr:colOff>
                    <xdr:row>99</xdr:row>
                    <xdr:rowOff>0</xdr:rowOff>
                  </from>
                  <to>
                    <xdr:col>2</xdr:col>
                    <xdr:colOff>495300</xdr:colOff>
                    <xdr:row>99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34" name="Check Box 238">
              <controlPr defaultSize="0" autoFill="0" autoLine="0" autoPict="0">
                <anchor moveWithCells="1">
                  <from>
                    <xdr:col>2</xdr:col>
                    <xdr:colOff>139700</xdr:colOff>
                    <xdr:row>102</xdr:row>
                    <xdr:rowOff>0</xdr:rowOff>
                  </from>
                  <to>
                    <xdr:col>2</xdr:col>
                    <xdr:colOff>495300</xdr:colOff>
                    <xdr:row>102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35" name="Check Box 239">
              <controlPr defaultSize="0" autoFill="0" autoLine="0" autoPict="0">
                <anchor moveWithCells="1">
                  <from>
                    <xdr:col>2</xdr:col>
                    <xdr:colOff>139700</xdr:colOff>
                    <xdr:row>106</xdr:row>
                    <xdr:rowOff>0</xdr:rowOff>
                  </from>
                  <to>
                    <xdr:col>2</xdr:col>
                    <xdr:colOff>495300</xdr:colOff>
                    <xdr:row>106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36" name="Check Box 240">
              <controlPr defaultSize="0" autoFill="0" autoLine="0" autoPict="0">
                <anchor moveWithCells="1">
                  <from>
                    <xdr:col>2</xdr:col>
                    <xdr:colOff>139700</xdr:colOff>
                    <xdr:row>110</xdr:row>
                    <xdr:rowOff>0</xdr:rowOff>
                  </from>
                  <to>
                    <xdr:col>2</xdr:col>
                    <xdr:colOff>495300</xdr:colOff>
                    <xdr:row>110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37" name="Check Box 241">
              <controlPr defaultSize="0" autoFill="0" autoLine="0" autoPict="0">
                <anchor moveWithCells="1">
                  <from>
                    <xdr:col>2</xdr:col>
                    <xdr:colOff>139700</xdr:colOff>
                    <xdr:row>113</xdr:row>
                    <xdr:rowOff>0</xdr:rowOff>
                  </from>
                  <to>
                    <xdr:col>2</xdr:col>
                    <xdr:colOff>495300</xdr:colOff>
                    <xdr:row>113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38" name="Check Box 242">
              <controlPr defaultSize="0" autoFill="0" autoLine="0" autoPict="0">
                <anchor moveWithCells="1">
                  <from>
                    <xdr:col>2</xdr:col>
                    <xdr:colOff>139700</xdr:colOff>
                    <xdr:row>117</xdr:row>
                    <xdr:rowOff>0</xdr:rowOff>
                  </from>
                  <to>
                    <xdr:col>2</xdr:col>
                    <xdr:colOff>495300</xdr:colOff>
                    <xdr:row>117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39" name="Check Box 243">
              <controlPr defaultSize="0" autoFill="0" autoLine="0" autoPict="0">
                <anchor moveWithCells="1">
                  <from>
                    <xdr:col>2</xdr:col>
                    <xdr:colOff>139700</xdr:colOff>
                    <xdr:row>115</xdr:row>
                    <xdr:rowOff>0</xdr:rowOff>
                  </from>
                  <to>
                    <xdr:col>2</xdr:col>
                    <xdr:colOff>495300</xdr:colOff>
                    <xdr:row>115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0" name="Check Box 244">
              <controlPr defaultSize="0" autoFill="0" autoLine="0" autoPict="0">
                <anchor moveWithCells="1">
                  <from>
                    <xdr:col>2</xdr:col>
                    <xdr:colOff>139700</xdr:colOff>
                    <xdr:row>112</xdr:row>
                    <xdr:rowOff>0</xdr:rowOff>
                  </from>
                  <to>
                    <xdr:col>2</xdr:col>
                    <xdr:colOff>495300</xdr:colOff>
                    <xdr:row>112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1" name="Check Box 245">
              <controlPr defaultSize="0" autoFill="0" autoLine="0" autoPict="0">
                <anchor moveWithCells="1">
                  <from>
                    <xdr:col>2</xdr:col>
                    <xdr:colOff>139700</xdr:colOff>
                    <xdr:row>108</xdr:row>
                    <xdr:rowOff>0</xdr:rowOff>
                  </from>
                  <to>
                    <xdr:col>2</xdr:col>
                    <xdr:colOff>495300</xdr:colOff>
                    <xdr:row>108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2" name="Check Box 246">
              <controlPr defaultSize="0" autoFill="0" autoLine="0" autoPict="0">
                <anchor moveWithCells="1">
                  <from>
                    <xdr:col>2</xdr:col>
                    <xdr:colOff>139700</xdr:colOff>
                    <xdr:row>103</xdr:row>
                    <xdr:rowOff>0</xdr:rowOff>
                  </from>
                  <to>
                    <xdr:col>2</xdr:col>
                    <xdr:colOff>495300</xdr:colOff>
                    <xdr:row>103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43" name="Check Box 247">
              <controlPr defaultSize="0" autoFill="0" autoLine="0" autoPict="0">
                <anchor moveWithCells="1">
                  <from>
                    <xdr:col>2</xdr:col>
                    <xdr:colOff>139700</xdr:colOff>
                    <xdr:row>100</xdr:row>
                    <xdr:rowOff>0</xdr:rowOff>
                  </from>
                  <to>
                    <xdr:col>2</xdr:col>
                    <xdr:colOff>495300</xdr:colOff>
                    <xdr:row>100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44" name="Check Box 248">
              <controlPr defaultSize="0" autoFill="0" autoLine="0" autoPict="0">
                <anchor moveWithCells="1">
                  <from>
                    <xdr:col>2</xdr:col>
                    <xdr:colOff>139700</xdr:colOff>
                    <xdr:row>95</xdr:row>
                    <xdr:rowOff>0</xdr:rowOff>
                  </from>
                  <to>
                    <xdr:col>2</xdr:col>
                    <xdr:colOff>495300</xdr:colOff>
                    <xdr:row>95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45" name="Check Box 249">
              <controlPr defaultSize="0" autoFill="0" autoLine="0" autoPict="0">
                <anchor moveWithCells="1">
                  <from>
                    <xdr:col>2</xdr:col>
                    <xdr:colOff>139700</xdr:colOff>
                    <xdr:row>97</xdr:row>
                    <xdr:rowOff>0</xdr:rowOff>
                  </from>
                  <to>
                    <xdr:col>2</xdr:col>
                    <xdr:colOff>495300</xdr:colOff>
                    <xdr:row>97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46" name="Check Box 250">
              <controlPr defaultSize="0" autoFill="0" autoLine="0" autoPict="0">
                <anchor moveWithCells="1">
                  <from>
                    <xdr:col>2</xdr:col>
                    <xdr:colOff>139700</xdr:colOff>
                    <xdr:row>98</xdr:row>
                    <xdr:rowOff>0</xdr:rowOff>
                  </from>
                  <to>
                    <xdr:col>2</xdr:col>
                    <xdr:colOff>495300</xdr:colOff>
                    <xdr:row>98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47" name="Check Box 251">
              <controlPr defaultSize="0" autoFill="0" autoLine="0" autoPict="0">
                <anchor moveWithCells="1">
                  <from>
                    <xdr:col>2</xdr:col>
                    <xdr:colOff>139700</xdr:colOff>
                    <xdr:row>99</xdr:row>
                    <xdr:rowOff>0</xdr:rowOff>
                  </from>
                  <to>
                    <xdr:col>2</xdr:col>
                    <xdr:colOff>495300</xdr:colOff>
                    <xdr:row>99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48" name="Check Box 252">
              <controlPr defaultSize="0" autoFill="0" autoLine="0" autoPict="0">
                <anchor moveWithCells="1">
                  <from>
                    <xdr:col>2</xdr:col>
                    <xdr:colOff>139700</xdr:colOff>
                    <xdr:row>101</xdr:row>
                    <xdr:rowOff>0</xdr:rowOff>
                  </from>
                  <to>
                    <xdr:col>2</xdr:col>
                    <xdr:colOff>495300</xdr:colOff>
                    <xdr:row>101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49" name="Check Box 253">
              <controlPr defaultSize="0" autoFill="0" autoLine="0" autoPict="0">
                <anchor moveWithCells="1">
                  <from>
                    <xdr:col>2</xdr:col>
                    <xdr:colOff>139700</xdr:colOff>
                    <xdr:row>105</xdr:row>
                    <xdr:rowOff>0</xdr:rowOff>
                  </from>
                  <to>
                    <xdr:col>2</xdr:col>
                    <xdr:colOff>495300</xdr:colOff>
                    <xdr:row>105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0" name="Check Box 254">
              <controlPr defaultSize="0" autoFill="0" autoLine="0" autoPict="0">
                <anchor moveWithCells="1">
                  <from>
                    <xdr:col>2</xdr:col>
                    <xdr:colOff>139700</xdr:colOff>
                    <xdr:row>107</xdr:row>
                    <xdr:rowOff>0</xdr:rowOff>
                  </from>
                  <to>
                    <xdr:col>2</xdr:col>
                    <xdr:colOff>495300</xdr:colOff>
                    <xdr:row>107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1" name="Check Box 255">
              <controlPr defaultSize="0" autoFill="0" autoLine="0" autoPict="0">
                <anchor moveWithCells="1">
                  <from>
                    <xdr:col>2</xdr:col>
                    <xdr:colOff>139700</xdr:colOff>
                    <xdr:row>109</xdr:row>
                    <xdr:rowOff>0</xdr:rowOff>
                  </from>
                  <to>
                    <xdr:col>2</xdr:col>
                    <xdr:colOff>495300</xdr:colOff>
                    <xdr:row>109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2" name="Check Box 256">
              <controlPr defaultSize="0" autoFill="0" autoLine="0" autoPict="0">
                <anchor moveWithCells="1">
                  <from>
                    <xdr:col>2</xdr:col>
                    <xdr:colOff>139700</xdr:colOff>
                    <xdr:row>111</xdr:row>
                    <xdr:rowOff>0</xdr:rowOff>
                  </from>
                  <to>
                    <xdr:col>2</xdr:col>
                    <xdr:colOff>495300</xdr:colOff>
                    <xdr:row>111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53" name="Check Box 257">
              <controlPr defaultSize="0" autoFill="0" autoLine="0" autoPict="0">
                <anchor moveWithCells="1">
                  <from>
                    <xdr:col>2</xdr:col>
                    <xdr:colOff>139700</xdr:colOff>
                    <xdr:row>114</xdr:row>
                    <xdr:rowOff>0</xdr:rowOff>
                  </from>
                  <to>
                    <xdr:col>2</xdr:col>
                    <xdr:colOff>495300</xdr:colOff>
                    <xdr:row>114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54" name="Check Box 258">
              <controlPr defaultSize="0" autoFill="0" autoLine="0" autoPict="0">
                <anchor moveWithCells="1">
                  <from>
                    <xdr:col>2</xdr:col>
                    <xdr:colOff>139700</xdr:colOff>
                    <xdr:row>116</xdr:row>
                    <xdr:rowOff>0</xdr:rowOff>
                  </from>
                  <to>
                    <xdr:col>2</xdr:col>
                    <xdr:colOff>495300</xdr:colOff>
                    <xdr:row>116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55" name="Check Box 259">
              <controlPr defaultSize="0" autoFill="0" autoLine="0" autoPict="0">
                <anchor moveWithCells="1">
                  <from>
                    <xdr:col>2</xdr:col>
                    <xdr:colOff>139700</xdr:colOff>
                    <xdr:row>118</xdr:row>
                    <xdr:rowOff>0</xdr:rowOff>
                  </from>
                  <to>
                    <xdr:col>2</xdr:col>
                    <xdr:colOff>495300</xdr:colOff>
                    <xdr:row>118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56" name="Check Box 260">
              <controlPr defaultSize="0" autoFill="0" autoLine="0" autoPict="0">
                <anchor moveWithCells="1">
                  <from>
                    <xdr:col>2</xdr:col>
                    <xdr:colOff>139700</xdr:colOff>
                    <xdr:row>119</xdr:row>
                    <xdr:rowOff>0</xdr:rowOff>
                  </from>
                  <to>
                    <xdr:col>2</xdr:col>
                    <xdr:colOff>495300</xdr:colOff>
                    <xdr:row>119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57" name="Check Box 261">
              <controlPr defaultSize="0" autoFill="0" autoLine="0" autoPict="0">
                <anchor moveWithCells="1">
                  <from>
                    <xdr:col>2</xdr:col>
                    <xdr:colOff>139700</xdr:colOff>
                    <xdr:row>121</xdr:row>
                    <xdr:rowOff>0</xdr:rowOff>
                  </from>
                  <to>
                    <xdr:col>2</xdr:col>
                    <xdr:colOff>495300</xdr:colOff>
                    <xdr:row>121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58" name="Check Box 262">
              <controlPr defaultSize="0" autoFill="0" autoLine="0" autoPict="0">
                <anchor moveWithCells="1">
                  <from>
                    <xdr:col>2</xdr:col>
                    <xdr:colOff>139700</xdr:colOff>
                    <xdr:row>125</xdr:row>
                    <xdr:rowOff>0</xdr:rowOff>
                  </from>
                  <to>
                    <xdr:col>2</xdr:col>
                    <xdr:colOff>495300</xdr:colOff>
                    <xdr:row>125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59" name="Check Box 263">
              <controlPr defaultSize="0" autoFill="0" autoLine="0" autoPict="0">
                <anchor moveWithCells="1">
                  <from>
                    <xdr:col>2</xdr:col>
                    <xdr:colOff>139700</xdr:colOff>
                    <xdr:row>124</xdr:row>
                    <xdr:rowOff>0</xdr:rowOff>
                  </from>
                  <to>
                    <xdr:col>2</xdr:col>
                    <xdr:colOff>495300</xdr:colOff>
                    <xdr:row>124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0" name="Check Box 264">
              <controlPr defaultSize="0" autoFill="0" autoLine="0" autoPict="0">
                <anchor moveWithCells="1">
                  <from>
                    <xdr:col>2</xdr:col>
                    <xdr:colOff>139700</xdr:colOff>
                    <xdr:row>120</xdr:row>
                    <xdr:rowOff>0</xdr:rowOff>
                  </from>
                  <to>
                    <xdr:col>2</xdr:col>
                    <xdr:colOff>495300</xdr:colOff>
                    <xdr:row>120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1" name="Check Box 265">
              <controlPr defaultSize="0" autoFill="0" autoLine="0" autoPict="0">
                <anchor moveWithCells="1">
                  <from>
                    <xdr:col>2</xdr:col>
                    <xdr:colOff>139700</xdr:colOff>
                    <xdr:row>122</xdr:row>
                    <xdr:rowOff>0</xdr:rowOff>
                  </from>
                  <to>
                    <xdr:col>2</xdr:col>
                    <xdr:colOff>495300</xdr:colOff>
                    <xdr:row>122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2" name="Check Box 266">
              <controlPr defaultSize="0" autoFill="0" autoLine="0" autoPict="0">
                <anchor moveWithCells="1">
                  <from>
                    <xdr:col>2</xdr:col>
                    <xdr:colOff>139700</xdr:colOff>
                    <xdr:row>123</xdr:row>
                    <xdr:rowOff>0</xdr:rowOff>
                  </from>
                  <to>
                    <xdr:col>2</xdr:col>
                    <xdr:colOff>495300</xdr:colOff>
                    <xdr:row>123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63" name="Check Box 267">
              <controlPr defaultSize="0" autoFill="0" autoLine="0" autoPict="0">
                <anchor moveWithCells="1">
                  <from>
                    <xdr:col>2</xdr:col>
                    <xdr:colOff>139700</xdr:colOff>
                    <xdr:row>128</xdr:row>
                    <xdr:rowOff>0</xdr:rowOff>
                  </from>
                  <to>
                    <xdr:col>2</xdr:col>
                    <xdr:colOff>495300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64" name="Check Box 268">
              <controlPr defaultSize="0" autoFill="0" autoLine="0" autoPict="0">
                <anchor moveWithCells="1">
                  <from>
                    <xdr:col>2</xdr:col>
                    <xdr:colOff>139700</xdr:colOff>
                    <xdr:row>127</xdr:row>
                    <xdr:rowOff>0</xdr:rowOff>
                  </from>
                  <to>
                    <xdr:col>2</xdr:col>
                    <xdr:colOff>495300</xdr:colOff>
                    <xdr:row>127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65" name="Check Box 269">
              <controlPr defaultSize="0" autoFill="0" autoLine="0" autoPict="0">
                <anchor moveWithCells="1">
                  <from>
                    <xdr:col>2</xdr:col>
                    <xdr:colOff>139700</xdr:colOff>
                    <xdr:row>126</xdr:row>
                    <xdr:rowOff>0</xdr:rowOff>
                  </from>
                  <to>
                    <xdr:col>2</xdr:col>
                    <xdr:colOff>495300</xdr:colOff>
                    <xdr:row>126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66" name="Check Box 270">
              <controlPr defaultSize="0" autoFill="0" autoLine="0" autoPict="0">
                <anchor moveWithCells="1">
                  <from>
                    <xdr:col>2</xdr:col>
                    <xdr:colOff>139700</xdr:colOff>
                    <xdr:row>132</xdr:row>
                    <xdr:rowOff>0</xdr:rowOff>
                  </from>
                  <to>
                    <xdr:col>2</xdr:col>
                    <xdr:colOff>495300</xdr:colOff>
                    <xdr:row>132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67" name="Check Box 271">
              <controlPr defaultSize="0" autoFill="0" autoLine="0" autoPict="0">
                <anchor moveWithCells="1">
                  <from>
                    <xdr:col>2</xdr:col>
                    <xdr:colOff>139700</xdr:colOff>
                    <xdr:row>130</xdr:row>
                    <xdr:rowOff>0</xdr:rowOff>
                  </from>
                  <to>
                    <xdr:col>2</xdr:col>
                    <xdr:colOff>495300</xdr:colOff>
                    <xdr:row>130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68" name="Check Box 272">
              <controlPr defaultSize="0" autoFill="0" autoLine="0" autoPict="0">
                <anchor moveWithCells="1">
                  <from>
                    <xdr:col>2</xdr:col>
                    <xdr:colOff>139700</xdr:colOff>
                    <xdr:row>129</xdr:row>
                    <xdr:rowOff>0</xdr:rowOff>
                  </from>
                  <to>
                    <xdr:col>2</xdr:col>
                    <xdr:colOff>495300</xdr:colOff>
                    <xdr:row>129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69" name="Check Box 273">
              <controlPr defaultSize="0" autoFill="0" autoLine="0" autoPict="0">
                <anchor moveWithCells="1">
                  <from>
                    <xdr:col>2</xdr:col>
                    <xdr:colOff>139700</xdr:colOff>
                    <xdr:row>131</xdr:row>
                    <xdr:rowOff>0</xdr:rowOff>
                  </from>
                  <to>
                    <xdr:col>2</xdr:col>
                    <xdr:colOff>495300</xdr:colOff>
                    <xdr:row>131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0" name="Check Box 274">
              <controlPr defaultSize="0" autoFill="0" autoLine="0" autoPict="0">
                <anchor moveWithCells="1">
                  <from>
                    <xdr:col>2</xdr:col>
                    <xdr:colOff>139700</xdr:colOff>
                    <xdr:row>135</xdr:row>
                    <xdr:rowOff>0</xdr:rowOff>
                  </from>
                  <to>
                    <xdr:col>2</xdr:col>
                    <xdr:colOff>495300</xdr:colOff>
                    <xdr:row>135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1" name="Check Box 275">
              <controlPr defaultSize="0" autoFill="0" autoLine="0" autoPict="0">
                <anchor moveWithCells="1">
                  <from>
                    <xdr:col>2</xdr:col>
                    <xdr:colOff>139700</xdr:colOff>
                    <xdr:row>140</xdr:row>
                    <xdr:rowOff>0</xdr:rowOff>
                  </from>
                  <to>
                    <xdr:col>2</xdr:col>
                    <xdr:colOff>495300</xdr:colOff>
                    <xdr:row>140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2" name="Check Box 276">
              <controlPr defaultSize="0" autoFill="0" autoLine="0" autoPict="0">
                <anchor moveWithCells="1">
                  <from>
                    <xdr:col>2</xdr:col>
                    <xdr:colOff>139700</xdr:colOff>
                    <xdr:row>143</xdr:row>
                    <xdr:rowOff>0</xdr:rowOff>
                  </from>
                  <to>
                    <xdr:col>2</xdr:col>
                    <xdr:colOff>495300</xdr:colOff>
                    <xdr:row>143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73" name="Check Box 277">
              <controlPr defaultSize="0" autoFill="0" autoLine="0" autoPict="0">
                <anchor moveWithCells="1">
                  <from>
                    <xdr:col>2</xdr:col>
                    <xdr:colOff>139700</xdr:colOff>
                    <xdr:row>137</xdr:row>
                    <xdr:rowOff>0</xdr:rowOff>
                  </from>
                  <to>
                    <xdr:col>2</xdr:col>
                    <xdr:colOff>495300</xdr:colOff>
                    <xdr:row>137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74" name="Check Box 278">
              <controlPr defaultSize="0" autoFill="0" autoLine="0" autoPict="0">
                <anchor moveWithCells="1">
                  <from>
                    <xdr:col>2</xdr:col>
                    <xdr:colOff>139700</xdr:colOff>
                    <xdr:row>133</xdr:row>
                    <xdr:rowOff>0</xdr:rowOff>
                  </from>
                  <to>
                    <xdr:col>2</xdr:col>
                    <xdr:colOff>495300</xdr:colOff>
                    <xdr:row>133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75" name="Check Box 279">
              <controlPr defaultSize="0" autoFill="0" autoLine="0" autoPict="0">
                <anchor moveWithCells="1">
                  <from>
                    <xdr:col>2</xdr:col>
                    <xdr:colOff>139700</xdr:colOff>
                    <xdr:row>134</xdr:row>
                    <xdr:rowOff>0</xdr:rowOff>
                  </from>
                  <to>
                    <xdr:col>2</xdr:col>
                    <xdr:colOff>495300</xdr:colOff>
                    <xdr:row>134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76" name="Check Box 280">
              <controlPr defaultSize="0" autoFill="0" autoLine="0" autoPict="0">
                <anchor moveWithCells="1">
                  <from>
                    <xdr:col>2</xdr:col>
                    <xdr:colOff>139700</xdr:colOff>
                    <xdr:row>138</xdr:row>
                    <xdr:rowOff>0</xdr:rowOff>
                  </from>
                  <to>
                    <xdr:col>2</xdr:col>
                    <xdr:colOff>495300</xdr:colOff>
                    <xdr:row>138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77" name="Check Box 281">
              <controlPr defaultSize="0" autoFill="0" autoLine="0" autoPict="0">
                <anchor moveWithCells="1">
                  <from>
                    <xdr:col>2</xdr:col>
                    <xdr:colOff>139700</xdr:colOff>
                    <xdr:row>141</xdr:row>
                    <xdr:rowOff>0</xdr:rowOff>
                  </from>
                  <to>
                    <xdr:col>2</xdr:col>
                    <xdr:colOff>495300</xdr:colOff>
                    <xdr:row>141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78" name="Check Box 282">
              <controlPr defaultSize="0" autoFill="0" autoLine="0" autoPict="0">
                <anchor moveWithCells="1">
                  <from>
                    <xdr:col>2</xdr:col>
                    <xdr:colOff>139700</xdr:colOff>
                    <xdr:row>142</xdr:row>
                    <xdr:rowOff>0</xdr:rowOff>
                  </from>
                  <to>
                    <xdr:col>2</xdr:col>
                    <xdr:colOff>495300</xdr:colOff>
                    <xdr:row>142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79" name="Check Box 283">
              <controlPr defaultSize="0" autoFill="0" autoLine="0" autoPict="0">
                <anchor moveWithCells="1">
                  <from>
                    <xdr:col>2</xdr:col>
                    <xdr:colOff>139700</xdr:colOff>
                    <xdr:row>139</xdr:row>
                    <xdr:rowOff>0</xdr:rowOff>
                  </from>
                  <to>
                    <xdr:col>2</xdr:col>
                    <xdr:colOff>495300</xdr:colOff>
                    <xdr:row>139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0" name="Check Box 284">
              <controlPr defaultSize="0" autoFill="0" autoLine="0" autoPict="0">
                <anchor moveWithCells="1">
                  <from>
                    <xdr:col>2</xdr:col>
                    <xdr:colOff>139700</xdr:colOff>
                    <xdr:row>136</xdr:row>
                    <xdr:rowOff>0</xdr:rowOff>
                  </from>
                  <to>
                    <xdr:col>2</xdr:col>
                    <xdr:colOff>495300</xdr:colOff>
                    <xdr:row>136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1" name="Check Box 285">
              <controlPr defaultSize="0" autoFill="0" autoLine="0" autoPict="0">
                <anchor moveWithCells="1">
                  <from>
                    <xdr:col>3</xdr:col>
                    <xdr:colOff>139700</xdr:colOff>
                    <xdr:row>1</xdr:row>
                    <xdr:rowOff>0</xdr:rowOff>
                  </from>
                  <to>
                    <xdr:col>3</xdr:col>
                    <xdr:colOff>501650</xdr:colOff>
                    <xdr:row>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82" name="Check Box 287">
              <controlPr defaultSize="0" autoFill="0" autoLine="0" autoPict="0">
                <anchor moveWithCells="1">
                  <from>
                    <xdr:col>3</xdr:col>
                    <xdr:colOff>139700</xdr:colOff>
                    <xdr:row>1</xdr:row>
                    <xdr:rowOff>0</xdr:rowOff>
                  </from>
                  <to>
                    <xdr:col>3</xdr:col>
                    <xdr:colOff>501650</xdr:colOff>
                    <xdr:row>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83" name="Check Box 288">
              <controlPr defaultSize="0" autoFill="0" autoLine="0" autoPict="0">
                <anchor moveWithCells="1">
                  <from>
                    <xdr:col>3</xdr:col>
                    <xdr:colOff>139700</xdr:colOff>
                    <xdr:row>2</xdr:row>
                    <xdr:rowOff>0</xdr:rowOff>
                  </from>
                  <to>
                    <xdr:col>3</xdr:col>
                    <xdr:colOff>501650</xdr:colOff>
                    <xdr:row>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84" name="Check Box 290">
              <controlPr defaultSize="0" autoFill="0" autoLine="0" autoPict="0">
                <anchor moveWithCells="1">
                  <from>
                    <xdr:col>3</xdr:col>
                    <xdr:colOff>139700</xdr:colOff>
                    <xdr:row>3</xdr:row>
                    <xdr:rowOff>0</xdr:rowOff>
                  </from>
                  <to>
                    <xdr:col>3</xdr:col>
                    <xdr:colOff>501650</xdr:colOff>
                    <xdr:row>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85" name="Check Box 291">
              <controlPr defaultSize="0" autoFill="0" autoLine="0" autoPict="0">
                <anchor moveWithCells="1">
                  <from>
                    <xdr:col>3</xdr:col>
                    <xdr:colOff>139700</xdr:colOff>
                    <xdr:row>1</xdr:row>
                    <xdr:rowOff>0</xdr:rowOff>
                  </from>
                  <to>
                    <xdr:col>3</xdr:col>
                    <xdr:colOff>501650</xdr:colOff>
                    <xdr:row>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86" name="Check Box 292">
              <controlPr defaultSize="0" autoFill="0" autoLine="0" autoPict="0">
                <anchor moveWithCells="1">
                  <from>
                    <xdr:col>3</xdr:col>
                    <xdr:colOff>139700</xdr:colOff>
                    <xdr:row>4</xdr:row>
                    <xdr:rowOff>0</xdr:rowOff>
                  </from>
                  <to>
                    <xdr:col>3</xdr:col>
                    <xdr:colOff>501650</xdr:colOff>
                    <xdr:row>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87" name="Check Box 293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0</xdr:rowOff>
                  </from>
                  <to>
                    <xdr:col>3</xdr:col>
                    <xdr:colOff>501650</xdr:colOff>
                    <xdr:row>10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88" name="Check Box 294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0</xdr:rowOff>
                  </from>
                  <to>
                    <xdr:col>3</xdr:col>
                    <xdr:colOff>501650</xdr:colOff>
                    <xdr:row>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89" name="Check Box 295">
              <controlPr defaultSize="0" autoFill="0" autoLine="0" autoPict="0">
                <anchor moveWithCells="1">
                  <from>
                    <xdr:col>3</xdr:col>
                    <xdr:colOff>139700</xdr:colOff>
                    <xdr:row>18</xdr:row>
                    <xdr:rowOff>0</xdr:rowOff>
                  </from>
                  <to>
                    <xdr:col>3</xdr:col>
                    <xdr:colOff>501650</xdr:colOff>
                    <xdr:row>18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0" name="Check Box 296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0</xdr:rowOff>
                  </from>
                  <to>
                    <xdr:col>3</xdr:col>
                    <xdr:colOff>501650</xdr:colOff>
                    <xdr:row>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91" name="Check Box 297">
              <controlPr defaultSize="0" autoFill="0" autoLine="0" autoPict="0">
                <anchor moveWithCells="1">
                  <from>
                    <xdr:col>3</xdr:col>
                    <xdr:colOff>139700</xdr:colOff>
                    <xdr:row>22</xdr:row>
                    <xdr:rowOff>0</xdr:rowOff>
                  </from>
                  <to>
                    <xdr:col>3</xdr:col>
                    <xdr:colOff>501650</xdr:colOff>
                    <xdr:row>22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92" name="Check Box 299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0</xdr:rowOff>
                  </from>
                  <to>
                    <xdr:col>3</xdr:col>
                    <xdr:colOff>501650</xdr:colOff>
                    <xdr:row>14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93" name="Check Box 300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0</xdr:rowOff>
                  </from>
                  <to>
                    <xdr:col>3</xdr:col>
                    <xdr:colOff>501650</xdr:colOff>
                    <xdr:row>12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94" name="Check Box 301">
              <controlPr defaultSize="0" autoFill="0" autoLine="0" autoPict="0">
                <anchor moveWithCells="1">
                  <from>
                    <xdr:col>3</xdr:col>
                    <xdr:colOff>139700</xdr:colOff>
                    <xdr:row>19</xdr:row>
                    <xdr:rowOff>0</xdr:rowOff>
                  </from>
                  <to>
                    <xdr:col>3</xdr:col>
                    <xdr:colOff>501650</xdr:colOff>
                    <xdr:row>19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295" name="Check Box 302">
              <controlPr defaultSize="0" autoFill="0" autoLine="0" autoPict="0">
                <anchor moveWithCells="1">
                  <from>
                    <xdr:col>3</xdr:col>
                    <xdr:colOff>139700</xdr:colOff>
                    <xdr:row>16</xdr:row>
                    <xdr:rowOff>0</xdr:rowOff>
                  </from>
                  <to>
                    <xdr:col>3</xdr:col>
                    <xdr:colOff>501650</xdr:colOff>
                    <xdr:row>16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296" name="Check Box 303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0</xdr:rowOff>
                  </from>
                  <to>
                    <xdr:col>3</xdr:col>
                    <xdr:colOff>501650</xdr:colOff>
                    <xdr:row>11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297" name="Check Box 304">
              <controlPr defaultSize="0" autoFill="0" autoLine="0" autoPict="0">
                <anchor moveWithCells="1">
                  <from>
                    <xdr:col>3</xdr:col>
                    <xdr:colOff>139700</xdr:colOff>
                    <xdr:row>20</xdr:row>
                    <xdr:rowOff>0</xdr:rowOff>
                  </from>
                  <to>
                    <xdr:col>3</xdr:col>
                    <xdr:colOff>501650</xdr:colOff>
                    <xdr:row>20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298" name="Check Box 305">
              <controlPr defaultSize="0" autoFill="0" autoLine="0" autoPict="0">
                <anchor moveWithCells="1">
                  <from>
                    <xdr:col>3</xdr:col>
                    <xdr:colOff>139700</xdr:colOff>
                    <xdr:row>24</xdr:row>
                    <xdr:rowOff>0</xdr:rowOff>
                  </from>
                  <to>
                    <xdr:col>3</xdr:col>
                    <xdr:colOff>501650</xdr:colOff>
                    <xdr:row>24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299" name="Check Box 306">
              <controlPr defaultSize="0" autoFill="0" autoLine="0" autoPict="0">
                <anchor moveWithCells="1">
                  <from>
                    <xdr:col>3</xdr:col>
                    <xdr:colOff>139700</xdr:colOff>
                    <xdr:row>21</xdr:row>
                    <xdr:rowOff>0</xdr:rowOff>
                  </from>
                  <to>
                    <xdr:col>3</xdr:col>
                    <xdr:colOff>501650</xdr:colOff>
                    <xdr:row>21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00" name="Check Box 307">
              <controlPr defaultSize="0" autoFill="0" autoLine="0" autoPict="0">
                <anchor moveWithCells="1">
                  <from>
                    <xdr:col>3</xdr:col>
                    <xdr:colOff>139700</xdr:colOff>
                    <xdr:row>23</xdr:row>
                    <xdr:rowOff>0</xdr:rowOff>
                  </from>
                  <to>
                    <xdr:col>3</xdr:col>
                    <xdr:colOff>501650</xdr:colOff>
                    <xdr:row>23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01" name="Check Box 308">
              <controlPr defaultSize="0" autoFill="0" autoLine="0" autoPict="0">
                <anchor moveWithCells="1">
                  <from>
                    <xdr:col>3</xdr:col>
                    <xdr:colOff>139700</xdr:colOff>
                    <xdr:row>26</xdr:row>
                    <xdr:rowOff>0</xdr:rowOff>
                  </from>
                  <to>
                    <xdr:col>3</xdr:col>
                    <xdr:colOff>501650</xdr:colOff>
                    <xdr:row>26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02" name="Check Box 309">
              <controlPr defaultSize="0" autoFill="0" autoLine="0" autoPict="0">
                <anchor moveWithCells="1">
                  <from>
                    <xdr:col>3</xdr:col>
                    <xdr:colOff>139700</xdr:colOff>
                    <xdr:row>25</xdr:row>
                    <xdr:rowOff>0</xdr:rowOff>
                  </from>
                  <to>
                    <xdr:col>3</xdr:col>
                    <xdr:colOff>501650</xdr:colOff>
                    <xdr:row>25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03" name="Check Box 310">
              <controlPr defaultSize="0" autoFill="0" autoLine="0" autoPict="0">
                <anchor moveWithCells="1">
                  <from>
                    <xdr:col>3</xdr:col>
                    <xdr:colOff>139700</xdr:colOff>
                    <xdr:row>30</xdr:row>
                    <xdr:rowOff>0</xdr:rowOff>
                  </from>
                  <to>
                    <xdr:col>3</xdr:col>
                    <xdr:colOff>501650</xdr:colOff>
                    <xdr:row>30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04" name="Check Box 311">
              <controlPr defaultSize="0" autoFill="0" autoLine="0" autoPict="0">
                <anchor moveWithCells="1">
                  <from>
                    <xdr:col>3</xdr:col>
                    <xdr:colOff>139700</xdr:colOff>
                    <xdr:row>25</xdr:row>
                    <xdr:rowOff>0</xdr:rowOff>
                  </from>
                  <to>
                    <xdr:col>3</xdr:col>
                    <xdr:colOff>501650</xdr:colOff>
                    <xdr:row>25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05" name="Check Box 312">
              <controlPr defaultSize="0" autoFill="0" autoLine="0" autoPict="0">
                <anchor moveWithCells="1">
                  <from>
                    <xdr:col>3</xdr:col>
                    <xdr:colOff>139700</xdr:colOff>
                    <xdr:row>28</xdr:row>
                    <xdr:rowOff>0</xdr:rowOff>
                  </from>
                  <to>
                    <xdr:col>3</xdr:col>
                    <xdr:colOff>501650</xdr:colOff>
                    <xdr:row>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06" name="Check Box 313">
              <controlPr defaultSize="0" autoFill="0" autoLine="0" autoPict="0">
                <anchor moveWithCells="1">
                  <from>
                    <xdr:col>3</xdr:col>
                    <xdr:colOff>139700</xdr:colOff>
                    <xdr:row>35</xdr:row>
                    <xdr:rowOff>0</xdr:rowOff>
                  </from>
                  <to>
                    <xdr:col>3</xdr:col>
                    <xdr:colOff>501650</xdr:colOff>
                    <xdr:row>35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07" name="Check Box 314">
              <controlPr defaultSize="0" autoFill="0" autoLine="0" autoPict="0">
                <anchor moveWithCells="1">
                  <from>
                    <xdr:col>3</xdr:col>
                    <xdr:colOff>139700</xdr:colOff>
                    <xdr:row>29</xdr:row>
                    <xdr:rowOff>0</xdr:rowOff>
                  </from>
                  <to>
                    <xdr:col>3</xdr:col>
                    <xdr:colOff>501650</xdr:colOff>
                    <xdr:row>29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08" name="Check Box 315">
              <controlPr defaultSize="0" autoFill="0" autoLine="0" autoPict="0">
                <anchor moveWithCells="1">
                  <from>
                    <xdr:col>3</xdr:col>
                    <xdr:colOff>139700</xdr:colOff>
                    <xdr:row>31</xdr:row>
                    <xdr:rowOff>0</xdr:rowOff>
                  </from>
                  <to>
                    <xdr:col>3</xdr:col>
                    <xdr:colOff>501650</xdr:colOff>
                    <xdr:row>31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09" name="Check Box 316">
              <controlPr defaultSize="0" autoFill="0" autoLine="0" autoPict="0">
                <anchor moveWithCells="1">
                  <from>
                    <xdr:col>3</xdr:col>
                    <xdr:colOff>139700</xdr:colOff>
                    <xdr:row>27</xdr:row>
                    <xdr:rowOff>0</xdr:rowOff>
                  </from>
                  <to>
                    <xdr:col>3</xdr:col>
                    <xdr:colOff>501650</xdr:colOff>
                    <xdr:row>27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10" name="Check Box 317">
              <controlPr defaultSize="0" autoFill="0" autoLine="0" autoPict="0">
                <anchor moveWithCells="1">
                  <from>
                    <xdr:col>3</xdr:col>
                    <xdr:colOff>139700</xdr:colOff>
                    <xdr:row>32</xdr:row>
                    <xdr:rowOff>0</xdr:rowOff>
                  </from>
                  <to>
                    <xdr:col>3</xdr:col>
                    <xdr:colOff>501650</xdr:colOff>
                    <xdr:row>32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11" name="Check Box 318">
              <controlPr defaultSize="0" autoFill="0" autoLine="0" autoPict="0">
                <anchor moveWithCells="1">
                  <from>
                    <xdr:col>3</xdr:col>
                    <xdr:colOff>139700</xdr:colOff>
                    <xdr:row>47</xdr:row>
                    <xdr:rowOff>0</xdr:rowOff>
                  </from>
                  <to>
                    <xdr:col>3</xdr:col>
                    <xdr:colOff>501650</xdr:colOff>
                    <xdr:row>47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12" name="Check Box 319">
              <controlPr defaultSize="0" autoFill="0" autoLine="0" autoPict="0">
                <anchor moveWithCells="1">
                  <from>
                    <xdr:col>3</xdr:col>
                    <xdr:colOff>139700</xdr:colOff>
                    <xdr:row>42</xdr:row>
                    <xdr:rowOff>0</xdr:rowOff>
                  </from>
                  <to>
                    <xdr:col>3</xdr:col>
                    <xdr:colOff>501650</xdr:colOff>
                    <xdr:row>42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13" name="Check Box 320">
              <controlPr defaultSize="0" autoFill="0" autoLine="0" autoPict="0">
                <anchor moveWithCells="1">
                  <from>
                    <xdr:col>3</xdr:col>
                    <xdr:colOff>139700</xdr:colOff>
                    <xdr:row>39</xdr:row>
                    <xdr:rowOff>0</xdr:rowOff>
                  </from>
                  <to>
                    <xdr:col>3</xdr:col>
                    <xdr:colOff>501650</xdr:colOff>
                    <xdr:row>39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14" name="Check Box 321">
              <controlPr defaultSize="0" autoFill="0" autoLine="0" autoPict="0">
                <anchor moveWithCells="1">
                  <from>
                    <xdr:col>3</xdr:col>
                    <xdr:colOff>139700</xdr:colOff>
                    <xdr:row>34</xdr:row>
                    <xdr:rowOff>0</xdr:rowOff>
                  </from>
                  <to>
                    <xdr:col>3</xdr:col>
                    <xdr:colOff>501650</xdr:colOff>
                    <xdr:row>34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15" name="Check Box 322">
              <controlPr defaultSize="0" autoFill="0" autoLine="0" autoPict="0">
                <anchor moveWithCells="1">
                  <from>
                    <xdr:col>3</xdr:col>
                    <xdr:colOff>139700</xdr:colOff>
                    <xdr:row>37</xdr:row>
                    <xdr:rowOff>0</xdr:rowOff>
                  </from>
                  <to>
                    <xdr:col>3</xdr:col>
                    <xdr:colOff>501650</xdr:colOff>
                    <xdr:row>37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316" name="Check Box 323">
              <controlPr defaultSize="0" autoFill="0" autoLine="0" autoPict="0">
                <anchor moveWithCells="1">
                  <from>
                    <xdr:col>3</xdr:col>
                    <xdr:colOff>139700</xdr:colOff>
                    <xdr:row>44</xdr:row>
                    <xdr:rowOff>0</xdr:rowOff>
                  </from>
                  <to>
                    <xdr:col>3</xdr:col>
                    <xdr:colOff>501650</xdr:colOff>
                    <xdr:row>44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317" name="Check Box 324">
              <controlPr defaultSize="0" autoFill="0" autoLine="0" autoPict="0">
                <anchor moveWithCells="1">
                  <from>
                    <xdr:col>3</xdr:col>
                    <xdr:colOff>139700</xdr:colOff>
                    <xdr:row>36</xdr:row>
                    <xdr:rowOff>0</xdr:rowOff>
                  </from>
                  <to>
                    <xdr:col>3</xdr:col>
                    <xdr:colOff>501650</xdr:colOff>
                    <xdr:row>36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318" name="Check Box 325">
              <controlPr defaultSize="0" autoFill="0" autoLine="0" autoPict="0">
                <anchor moveWithCells="1">
                  <from>
                    <xdr:col>3</xdr:col>
                    <xdr:colOff>139700</xdr:colOff>
                    <xdr:row>41</xdr:row>
                    <xdr:rowOff>0</xdr:rowOff>
                  </from>
                  <to>
                    <xdr:col>3</xdr:col>
                    <xdr:colOff>501650</xdr:colOff>
                    <xdr:row>41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319" name="Check Box 326">
              <controlPr defaultSize="0" autoFill="0" autoLine="0" autoPict="0">
                <anchor moveWithCells="1">
                  <from>
                    <xdr:col>3</xdr:col>
                    <xdr:colOff>139700</xdr:colOff>
                    <xdr:row>43</xdr:row>
                    <xdr:rowOff>0</xdr:rowOff>
                  </from>
                  <to>
                    <xdr:col>3</xdr:col>
                    <xdr:colOff>501650</xdr:colOff>
                    <xdr:row>43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320" name="Check Box 327">
              <controlPr defaultSize="0" autoFill="0" autoLine="0" autoPict="0">
                <anchor moveWithCells="1">
                  <from>
                    <xdr:col>3</xdr:col>
                    <xdr:colOff>139700</xdr:colOff>
                    <xdr:row>40</xdr:row>
                    <xdr:rowOff>0</xdr:rowOff>
                  </from>
                  <to>
                    <xdr:col>3</xdr:col>
                    <xdr:colOff>501650</xdr:colOff>
                    <xdr:row>40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321" name="Check Box 328">
              <controlPr defaultSize="0" autoFill="0" autoLine="0" autoPict="0">
                <anchor moveWithCells="1">
                  <from>
                    <xdr:col>3</xdr:col>
                    <xdr:colOff>139700</xdr:colOff>
                    <xdr:row>46</xdr:row>
                    <xdr:rowOff>0</xdr:rowOff>
                  </from>
                  <to>
                    <xdr:col>3</xdr:col>
                    <xdr:colOff>501650</xdr:colOff>
                    <xdr:row>46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322" name="Check Box 329">
              <controlPr defaultSize="0" autoFill="0" autoLine="0" autoPict="0">
                <anchor moveWithCells="1">
                  <from>
                    <xdr:col>3</xdr:col>
                    <xdr:colOff>139700</xdr:colOff>
                    <xdr:row>49</xdr:row>
                    <xdr:rowOff>0</xdr:rowOff>
                  </from>
                  <to>
                    <xdr:col>3</xdr:col>
                    <xdr:colOff>501650</xdr:colOff>
                    <xdr:row>49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323" name="Check Box 330">
              <controlPr defaultSize="0" autoFill="0" autoLine="0" autoPict="0">
                <anchor moveWithCells="1">
                  <from>
                    <xdr:col>3</xdr:col>
                    <xdr:colOff>139700</xdr:colOff>
                    <xdr:row>45</xdr:row>
                    <xdr:rowOff>0</xdr:rowOff>
                  </from>
                  <to>
                    <xdr:col>3</xdr:col>
                    <xdr:colOff>501650</xdr:colOff>
                    <xdr:row>45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24" name="Check Box 331">
              <controlPr defaultSize="0" autoFill="0" autoLine="0" autoPict="0">
                <anchor moveWithCells="1">
                  <from>
                    <xdr:col>3</xdr:col>
                    <xdr:colOff>139700</xdr:colOff>
                    <xdr:row>48</xdr:row>
                    <xdr:rowOff>0</xdr:rowOff>
                  </from>
                  <to>
                    <xdr:col>3</xdr:col>
                    <xdr:colOff>501650</xdr:colOff>
                    <xdr:row>48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25" name="Check Box 332">
              <controlPr defaultSize="0" autoFill="0" autoLine="0" autoPict="0">
                <anchor moveWithCells="1">
                  <from>
                    <xdr:col>3</xdr:col>
                    <xdr:colOff>139700</xdr:colOff>
                    <xdr:row>51</xdr:row>
                    <xdr:rowOff>0</xdr:rowOff>
                  </from>
                  <to>
                    <xdr:col>3</xdr:col>
                    <xdr:colOff>501650</xdr:colOff>
                    <xdr:row>51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26" name="Check Box 333">
              <controlPr defaultSize="0" autoFill="0" autoLine="0" autoPict="0">
                <anchor moveWithCells="1">
                  <from>
                    <xdr:col>3</xdr:col>
                    <xdr:colOff>139700</xdr:colOff>
                    <xdr:row>50</xdr:row>
                    <xdr:rowOff>0</xdr:rowOff>
                  </from>
                  <to>
                    <xdr:col>3</xdr:col>
                    <xdr:colOff>501650</xdr:colOff>
                    <xdr:row>50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27" name="Check Box 334">
              <controlPr defaultSize="0" autoFill="0" autoLine="0" autoPict="0">
                <anchor moveWithCells="1">
                  <from>
                    <xdr:col>3</xdr:col>
                    <xdr:colOff>139700</xdr:colOff>
                    <xdr:row>55</xdr:row>
                    <xdr:rowOff>0</xdr:rowOff>
                  </from>
                  <to>
                    <xdr:col>3</xdr:col>
                    <xdr:colOff>501650</xdr:colOff>
                    <xdr:row>55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28" name="Check Box 335">
              <controlPr defaultSize="0" autoFill="0" autoLine="0" autoPict="0">
                <anchor moveWithCells="1">
                  <from>
                    <xdr:col>3</xdr:col>
                    <xdr:colOff>139700</xdr:colOff>
                    <xdr:row>52</xdr:row>
                    <xdr:rowOff>0</xdr:rowOff>
                  </from>
                  <to>
                    <xdr:col>3</xdr:col>
                    <xdr:colOff>501650</xdr:colOff>
                    <xdr:row>52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29" name="Check Box 336">
              <controlPr defaultSize="0" autoFill="0" autoLine="0" autoPict="0">
                <anchor moveWithCells="1">
                  <from>
                    <xdr:col>3</xdr:col>
                    <xdr:colOff>139700</xdr:colOff>
                    <xdr:row>54</xdr:row>
                    <xdr:rowOff>0</xdr:rowOff>
                  </from>
                  <to>
                    <xdr:col>3</xdr:col>
                    <xdr:colOff>501650</xdr:colOff>
                    <xdr:row>54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30" name="Check Box 337">
              <controlPr defaultSize="0" autoFill="0" autoLine="0" autoPict="0">
                <anchor moveWithCells="1">
                  <from>
                    <xdr:col>3</xdr:col>
                    <xdr:colOff>139700</xdr:colOff>
                    <xdr:row>53</xdr:row>
                    <xdr:rowOff>0</xdr:rowOff>
                  </from>
                  <to>
                    <xdr:col>3</xdr:col>
                    <xdr:colOff>501650</xdr:colOff>
                    <xdr:row>53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31" name="Check Box 338">
              <controlPr defaultSize="0" autoFill="0" autoLine="0" autoPict="0">
                <anchor moveWithCells="1">
                  <from>
                    <xdr:col>3</xdr:col>
                    <xdr:colOff>139700</xdr:colOff>
                    <xdr:row>73</xdr:row>
                    <xdr:rowOff>0</xdr:rowOff>
                  </from>
                  <to>
                    <xdr:col>3</xdr:col>
                    <xdr:colOff>501650</xdr:colOff>
                    <xdr:row>73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32" name="Check Box 339">
              <controlPr defaultSize="0" autoFill="0" autoLine="0" autoPict="0">
                <anchor moveWithCells="1">
                  <from>
                    <xdr:col>3</xdr:col>
                    <xdr:colOff>139700</xdr:colOff>
                    <xdr:row>66</xdr:row>
                    <xdr:rowOff>0</xdr:rowOff>
                  </from>
                  <to>
                    <xdr:col>3</xdr:col>
                    <xdr:colOff>501650</xdr:colOff>
                    <xdr:row>66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33" name="Check Box 340">
              <controlPr defaultSize="0" autoFill="0" autoLine="0" autoPict="0">
                <anchor moveWithCells="1">
                  <from>
                    <xdr:col>3</xdr:col>
                    <xdr:colOff>139700</xdr:colOff>
                    <xdr:row>62</xdr:row>
                    <xdr:rowOff>0</xdr:rowOff>
                  </from>
                  <to>
                    <xdr:col>3</xdr:col>
                    <xdr:colOff>501650</xdr:colOff>
                    <xdr:row>62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34" name="Check Box 341">
              <controlPr defaultSize="0" autoFill="0" autoLine="0" autoPict="0">
                <anchor moveWithCells="1">
                  <from>
                    <xdr:col>3</xdr:col>
                    <xdr:colOff>139700</xdr:colOff>
                    <xdr:row>59</xdr:row>
                    <xdr:rowOff>0</xdr:rowOff>
                  </from>
                  <to>
                    <xdr:col>3</xdr:col>
                    <xdr:colOff>501650</xdr:colOff>
                    <xdr:row>59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35" name="Check Box 342">
              <controlPr defaultSize="0" autoFill="0" autoLine="0" autoPict="0">
                <anchor moveWithCells="1">
                  <from>
                    <xdr:col>3</xdr:col>
                    <xdr:colOff>139700</xdr:colOff>
                    <xdr:row>69</xdr:row>
                    <xdr:rowOff>0</xdr:rowOff>
                  </from>
                  <to>
                    <xdr:col>3</xdr:col>
                    <xdr:colOff>501650</xdr:colOff>
                    <xdr:row>69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36" name="Check Box 343">
              <controlPr defaultSize="0" autoFill="0" autoLine="0" autoPict="0">
                <anchor moveWithCells="1">
                  <from>
                    <xdr:col>3</xdr:col>
                    <xdr:colOff>139700</xdr:colOff>
                    <xdr:row>64</xdr:row>
                    <xdr:rowOff>0</xdr:rowOff>
                  </from>
                  <to>
                    <xdr:col>3</xdr:col>
                    <xdr:colOff>501650</xdr:colOff>
                    <xdr:row>64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37" name="Check Box 344">
              <controlPr defaultSize="0" autoFill="0" autoLine="0" autoPict="0">
                <anchor moveWithCells="1">
                  <from>
                    <xdr:col>3</xdr:col>
                    <xdr:colOff>139700</xdr:colOff>
                    <xdr:row>57</xdr:row>
                    <xdr:rowOff>0</xdr:rowOff>
                  </from>
                  <to>
                    <xdr:col>3</xdr:col>
                    <xdr:colOff>501650</xdr:colOff>
                    <xdr:row>57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38" name="Check Box 345">
              <controlPr defaultSize="0" autoFill="0" autoLine="0" autoPict="0">
                <anchor moveWithCells="1">
                  <from>
                    <xdr:col>3</xdr:col>
                    <xdr:colOff>139700</xdr:colOff>
                    <xdr:row>65</xdr:row>
                    <xdr:rowOff>0</xdr:rowOff>
                  </from>
                  <to>
                    <xdr:col>3</xdr:col>
                    <xdr:colOff>501650</xdr:colOff>
                    <xdr:row>65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39" name="Check Box 346">
              <controlPr defaultSize="0" autoFill="0" autoLine="0" autoPict="0">
                <anchor moveWithCells="1">
                  <from>
                    <xdr:col>3</xdr:col>
                    <xdr:colOff>139700</xdr:colOff>
                    <xdr:row>63</xdr:row>
                    <xdr:rowOff>0</xdr:rowOff>
                  </from>
                  <to>
                    <xdr:col>3</xdr:col>
                    <xdr:colOff>501650</xdr:colOff>
                    <xdr:row>63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40" name="Check Box 347">
              <controlPr defaultSize="0" autoFill="0" autoLine="0" autoPict="0">
                <anchor moveWithCells="1">
                  <from>
                    <xdr:col>3</xdr:col>
                    <xdr:colOff>139700</xdr:colOff>
                    <xdr:row>60</xdr:row>
                    <xdr:rowOff>0</xdr:rowOff>
                  </from>
                  <to>
                    <xdr:col>3</xdr:col>
                    <xdr:colOff>501650</xdr:colOff>
                    <xdr:row>60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41" name="Check Box 348">
              <controlPr defaultSize="0" autoFill="0" autoLine="0" autoPict="0">
                <anchor moveWithCells="1">
                  <from>
                    <xdr:col>3</xdr:col>
                    <xdr:colOff>139700</xdr:colOff>
                    <xdr:row>58</xdr:row>
                    <xdr:rowOff>0</xdr:rowOff>
                  </from>
                  <to>
                    <xdr:col>3</xdr:col>
                    <xdr:colOff>501650</xdr:colOff>
                    <xdr:row>58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42" name="Check Box 349">
              <controlPr defaultSize="0" autoFill="0" autoLine="0" autoPict="0">
                <anchor moveWithCells="1">
                  <from>
                    <xdr:col>3</xdr:col>
                    <xdr:colOff>139700</xdr:colOff>
                    <xdr:row>56</xdr:row>
                    <xdr:rowOff>0</xdr:rowOff>
                  </from>
                  <to>
                    <xdr:col>3</xdr:col>
                    <xdr:colOff>501650</xdr:colOff>
                    <xdr:row>56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43" name="Check Box 350">
              <controlPr defaultSize="0" autoFill="0" autoLine="0" autoPict="0">
                <anchor moveWithCells="1">
                  <from>
                    <xdr:col>3</xdr:col>
                    <xdr:colOff>139700</xdr:colOff>
                    <xdr:row>67</xdr:row>
                    <xdr:rowOff>0</xdr:rowOff>
                  </from>
                  <to>
                    <xdr:col>3</xdr:col>
                    <xdr:colOff>501650</xdr:colOff>
                    <xdr:row>67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44" name="Check Box 351">
              <controlPr defaultSize="0" autoFill="0" autoLine="0" autoPict="0">
                <anchor moveWithCells="1">
                  <from>
                    <xdr:col>3</xdr:col>
                    <xdr:colOff>139700</xdr:colOff>
                    <xdr:row>71</xdr:row>
                    <xdr:rowOff>0</xdr:rowOff>
                  </from>
                  <to>
                    <xdr:col>3</xdr:col>
                    <xdr:colOff>501650</xdr:colOff>
                    <xdr:row>71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45" name="Check Box 353">
              <controlPr defaultSize="0" autoFill="0" autoLine="0" autoPict="0">
                <anchor moveWithCells="1">
                  <from>
                    <xdr:col>3</xdr:col>
                    <xdr:colOff>139700</xdr:colOff>
                    <xdr:row>68</xdr:row>
                    <xdr:rowOff>0</xdr:rowOff>
                  </from>
                  <to>
                    <xdr:col>3</xdr:col>
                    <xdr:colOff>501650</xdr:colOff>
                    <xdr:row>68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46" name="Check Box 354">
              <controlPr defaultSize="0" autoFill="0" autoLine="0" autoPict="0">
                <anchor moveWithCells="1">
                  <from>
                    <xdr:col>3</xdr:col>
                    <xdr:colOff>139700</xdr:colOff>
                    <xdr:row>70</xdr:row>
                    <xdr:rowOff>0</xdr:rowOff>
                  </from>
                  <to>
                    <xdr:col>3</xdr:col>
                    <xdr:colOff>501650</xdr:colOff>
                    <xdr:row>70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47" name="Check Box 355">
              <controlPr defaultSize="0" autoFill="0" autoLine="0" autoPict="0">
                <anchor moveWithCells="1">
                  <from>
                    <xdr:col>3</xdr:col>
                    <xdr:colOff>139700</xdr:colOff>
                    <xdr:row>72</xdr:row>
                    <xdr:rowOff>0</xdr:rowOff>
                  </from>
                  <to>
                    <xdr:col>3</xdr:col>
                    <xdr:colOff>501650</xdr:colOff>
                    <xdr:row>72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48" name="Check Box 356">
              <controlPr defaultSize="0" autoFill="0" autoLine="0" autoPict="0">
                <anchor moveWithCells="1">
                  <from>
                    <xdr:col>3</xdr:col>
                    <xdr:colOff>139700</xdr:colOff>
                    <xdr:row>76</xdr:row>
                    <xdr:rowOff>0</xdr:rowOff>
                  </from>
                  <to>
                    <xdr:col>3</xdr:col>
                    <xdr:colOff>501650</xdr:colOff>
                    <xdr:row>76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49" name="Check Box 357">
              <controlPr defaultSize="0" autoFill="0" autoLine="0" autoPict="0">
                <anchor moveWithCells="1">
                  <from>
                    <xdr:col>3</xdr:col>
                    <xdr:colOff>139700</xdr:colOff>
                    <xdr:row>74</xdr:row>
                    <xdr:rowOff>0</xdr:rowOff>
                  </from>
                  <to>
                    <xdr:col>3</xdr:col>
                    <xdr:colOff>501650</xdr:colOff>
                    <xdr:row>74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50" name="Check Box 358">
              <controlPr defaultSize="0" autoFill="0" autoLine="0" autoPict="0">
                <anchor moveWithCells="1">
                  <from>
                    <xdr:col>3</xdr:col>
                    <xdr:colOff>139700</xdr:colOff>
                    <xdr:row>79</xdr:row>
                    <xdr:rowOff>0</xdr:rowOff>
                  </from>
                  <to>
                    <xdr:col>3</xdr:col>
                    <xdr:colOff>501650</xdr:colOff>
                    <xdr:row>79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51" name="Check Box 359">
              <controlPr defaultSize="0" autoFill="0" autoLine="0" autoPict="0">
                <anchor moveWithCells="1">
                  <from>
                    <xdr:col>3</xdr:col>
                    <xdr:colOff>139700</xdr:colOff>
                    <xdr:row>75</xdr:row>
                    <xdr:rowOff>0</xdr:rowOff>
                  </from>
                  <to>
                    <xdr:col>3</xdr:col>
                    <xdr:colOff>501650</xdr:colOff>
                    <xdr:row>75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52" name="Check Box 360">
              <controlPr defaultSize="0" autoFill="0" autoLine="0" autoPict="0">
                <anchor moveWithCells="1">
                  <from>
                    <xdr:col>3</xdr:col>
                    <xdr:colOff>139700</xdr:colOff>
                    <xdr:row>73</xdr:row>
                    <xdr:rowOff>0</xdr:rowOff>
                  </from>
                  <to>
                    <xdr:col>3</xdr:col>
                    <xdr:colOff>501650</xdr:colOff>
                    <xdr:row>73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53" name="Check Box 361">
              <controlPr defaultSize="0" autoFill="0" autoLine="0" autoPict="0">
                <anchor moveWithCells="1">
                  <from>
                    <xdr:col>3</xdr:col>
                    <xdr:colOff>139700</xdr:colOff>
                    <xdr:row>77</xdr:row>
                    <xdr:rowOff>0</xdr:rowOff>
                  </from>
                  <to>
                    <xdr:col>3</xdr:col>
                    <xdr:colOff>501650</xdr:colOff>
                    <xdr:row>77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54" name="Check Box 362">
              <controlPr defaultSize="0" autoFill="0" autoLine="0" autoPict="0">
                <anchor moveWithCells="1">
                  <from>
                    <xdr:col>3</xdr:col>
                    <xdr:colOff>139700</xdr:colOff>
                    <xdr:row>78</xdr:row>
                    <xdr:rowOff>0</xdr:rowOff>
                  </from>
                  <to>
                    <xdr:col>3</xdr:col>
                    <xdr:colOff>501650</xdr:colOff>
                    <xdr:row>78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55" name="Check Box 363">
              <controlPr defaultSize="0" autoFill="0" autoLine="0" autoPict="0">
                <anchor moveWithCells="1">
                  <from>
                    <xdr:col>3</xdr:col>
                    <xdr:colOff>139700</xdr:colOff>
                    <xdr:row>83</xdr:row>
                    <xdr:rowOff>0</xdr:rowOff>
                  </from>
                  <to>
                    <xdr:col>3</xdr:col>
                    <xdr:colOff>501650</xdr:colOff>
                    <xdr:row>83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56" name="Check Box 364">
              <controlPr defaultSize="0" autoFill="0" autoLine="0" autoPict="0">
                <anchor moveWithCells="1">
                  <from>
                    <xdr:col>3</xdr:col>
                    <xdr:colOff>139700</xdr:colOff>
                    <xdr:row>85</xdr:row>
                    <xdr:rowOff>0</xdr:rowOff>
                  </from>
                  <to>
                    <xdr:col>3</xdr:col>
                    <xdr:colOff>501650</xdr:colOff>
                    <xdr:row>85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57" name="Check Box 365">
              <controlPr defaultSize="0" autoFill="0" autoLine="0" autoPict="0">
                <anchor moveWithCells="1">
                  <from>
                    <xdr:col>3</xdr:col>
                    <xdr:colOff>139700</xdr:colOff>
                    <xdr:row>82</xdr:row>
                    <xdr:rowOff>0</xdr:rowOff>
                  </from>
                  <to>
                    <xdr:col>3</xdr:col>
                    <xdr:colOff>501650</xdr:colOff>
                    <xdr:row>82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58" name="Check Box 366">
              <controlPr defaultSize="0" autoFill="0" autoLine="0" autoPict="0">
                <anchor moveWithCells="1">
                  <from>
                    <xdr:col>3</xdr:col>
                    <xdr:colOff>139700</xdr:colOff>
                    <xdr:row>84</xdr:row>
                    <xdr:rowOff>0</xdr:rowOff>
                  </from>
                  <to>
                    <xdr:col>3</xdr:col>
                    <xdr:colOff>501650</xdr:colOff>
                    <xdr:row>84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59" name="Check Box 367">
              <controlPr defaultSize="0" autoFill="0" autoLine="0" autoPict="0">
                <anchor moveWithCells="1">
                  <from>
                    <xdr:col>3</xdr:col>
                    <xdr:colOff>139700</xdr:colOff>
                    <xdr:row>81</xdr:row>
                    <xdr:rowOff>0</xdr:rowOff>
                  </from>
                  <to>
                    <xdr:col>3</xdr:col>
                    <xdr:colOff>501650</xdr:colOff>
                    <xdr:row>81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60" name="Check Box 368">
              <controlPr defaultSize="0" autoFill="0" autoLine="0" autoPict="0">
                <anchor moveWithCells="1">
                  <from>
                    <xdr:col>3</xdr:col>
                    <xdr:colOff>139700</xdr:colOff>
                    <xdr:row>124</xdr:row>
                    <xdr:rowOff>0</xdr:rowOff>
                  </from>
                  <to>
                    <xdr:col>3</xdr:col>
                    <xdr:colOff>501650</xdr:colOff>
                    <xdr:row>124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61" name="Check Box 369">
              <controlPr defaultSize="0" autoFill="0" autoLine="0" autoPict="0">
                <anchor moveWithCells="1">
                  <from>
                    <xdr:col>3</xdr:col>
                    <xdr:colOff>139700</xdr:colOff>
                    <xdr:row>118</xdr:row>
                    <xdr:rowOff>0</xdr:rowOff>
                  </from>
                  <to>
                    <xdr:col>3</xdr:col>
                    <xdr:colOff>501650</xdr:colOff>
                    <xdr:row>118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62" name="Check Box 370">
              <controlPr defaultSize="0" autoFill="0" autoLine="0" autoPict="0">
                <anchor moveWithCells="1">
                  <from>
                    <xdr:col>3</xdr:col>
                    <xdr:colOff>139700</xdr:colOff>
                    <xdr:row>110</xdr:row>
                    <xdr:rowOff>0</xdr:rowOff>
                  </from>
                  <to>
                    <xdr:col>3</xdr:col>
                    <xdr:colOff>501650</xdr:colOff>
                    <xdr:row>110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63" name="Check Box 371">
              <controlPr defaultSize="0" autoFill="0" autoLine="0" autoPict="0">
                <anchor moveWithCells="1">
                  <from>
                    <xdr:col>3</xdr:col>
                    <xdr:colOff>139700</xdr:colOff>
                    <xdr:row>103</xdr:row>
                    <xdr:rowOff>0</xdr:rowOff>
                  </from>
                  <to>
                    <xdr:col>3</xdr:col>
                    <xdr:colOff>501650</xdr:colOff>
                    <xdr:row>103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64" name="Check Box 372">
              <controlPr defaultSize="0" autoFill="0" autoLine="0" autoPict="0">
                <anchor moveWithCells="1">
                  <from>
                    <xdr:col>3</xdr:col>
                    <xdr:colOff>139700</xdr:colOff>
                    <xdr:row>97</xdr:row>
                    <xdr:rowOff>0</xdr:rowOff>
                  </from>
                  <to>
                    <xdr:col>3</xdr:col>
                    <xdr:colOff>501650</xdr:colOff>
                    <xdr:row>97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65" name="Check Box 373">
              <controlPr defaultSize="0" autoFill="0" autoLine="0" autoPict="0">
                <anchor moveWithCells="1">
                  <from>
                    <xdr:col>3</xdr:col>
                    <xdr:colOff>139700</xdr:colOff>
                    <xdr:row>94</xdr:row>
                    <xdr:rowOff>0</xdr:rowOff>
                  </from>
                  <to>
                    <xdr:col>3</xdr:col>
                    <xdr:colOff>501650</xdr:colOff>
                    <xdr:row>94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66" name="Check Box 374">
              <controlPr defaultSize="0" autoFill="0" autoLine="0" autoPict="0">
                <anchor moveWithCells="1">
                  <from>
                    <xdr:col>3</xdr:col>
                    <xdr:colOff>139700</xdr:colOff>
                    <xdr:row>90</xdr:row>
                    <xdr:rowOff>0</xdr:rowOff>
                  </from>
                  <to>
                    <xdr:col>3</xdr:col>
                    <xdr:colOff>501650</xdr:colOff>
                    <xdr:row>90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67" name="Check Box 375">
              <controlPr defaultSize="0" autoFill="0" autoLine="0" autoPict="0">
                <anchor moveWithCells="1">
                  <from>
                    <xdr:col>3</xdr:col>
                    <xdr:colOff>139700</xdr:colOff>
                    <xdr:row>88</xdr:row>
                    <xdr:rowOff>0</xdr:rowOff>
                  </from>
                  <to>
                    <xdr:col>3</xdr:col>
                    <xdr:colOff>501650</xdr:colOff>
                    <xdr:row>88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68" name="Check Box 376">
              <controlPr defaultSize="0" autoFill="0" autoLine="0" autoPict="0">
                <anchor moveWithCells="1">
                  <from>
                    <xdr:col>3</xdr:col>
                    <xdr:colOff>139700</xdr:colOff>
                    <xdr:row>87</xdr:row>
                    <xdr:rowOff>0</xdr:rowOff>
                  </from>
                  <to>
                    <xdr:col>3</xdr:col>
                    <xdr:colOff>501650</xdr:colOff>
                    <xdr:row>87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69" name="Check Box 377">
              <controlPr defaultSize="0" autoFill="0" autoLine="0" autoPict="0">
                <anchor moveWithCells="1">
                  <from>
                    <xdr:col>3</xdr:col>
                    <xdr:colOff>139700</xdr:colOff>
                    <xdr:row>98</xdr:row>
                    <xdr:rowOff>0</xdr:rowOff>
                  </from>
                  <to>
                    <xdr:col>3</xdr:col>
                    <xdr:colOff>501650</xdr:colOff>
                    <xdr:row>98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70" name="Check Box 378">
              <controlPr defaultSize="0" autoFill="0" autoLine="0" autoPict="0">
                <anchor moveWithCells="1">
                  <from>
                    <xdr:col>3</xdr:col>
                    <xdr:colOff>139700</xdr:colOff>
                    <xdr:row>95</xdr:row>
                    <xdr:rowOff>0</xdr:rowOff>
                  </from>
                  <to>
                    <xdr:col>3</xdr:col>
                    <xdr:colOff>501650</xdr:colOff>
                    <xdr:row>95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71" name="Check Box 379">
              <controlPr defaultSize="0" autoFill="0" autoLine="0" autoPict="0">
                <anchor moveWithCells="1">
                  <from>
                    <xdr:col>3</xdr:col>
                    <xdr:colOff>139700</xdr:colOff>
                    <xdr:row>92</xdr:row>
                    <xdr:rowOff>0</xdr:rowOff>
                  </from>
                  <to>
                    <xdr:col>3</xdr:col>
                    <xdr:colOff>501650</xdr:colOff>
                    <xdr:row>92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72" name="Check Box 380">
              <controlPr defaultSize="0" autoFill="0" autoLine="0" autoPict="0">
                <anchor moveWithCells="1">
                  <from>
                    <xdr:col>3</xdr:col>
                    <xdr:colOff>139700</xdr:colOff>
                    <xdr:row>89</xdr:row>
                    <xdr:rowOff>0</xdr:rowOff>
                  </from>
                  <to>
                    <xdr:col>3</xdr:col>
                    <xdr:colOff>501650</xdr:colOff>
                    <xdr:row>89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73" name="Check Box 381">
              <controlPr defaultSize="0" autoFill="0" autoLine="0" autoPict="0">
                <anchor moveWithCells="1">
                  <from>
                    <xdr:col>3</xdr:col>
                    <xdr:colOff>139700</xdr:colOff>
                    <xdr:row>87</xdr:row>
                    <xdr:rowOff>0</xdr:rowOff>
                  </from>
                  <to>
                    <xdr:col>3</xdr:col>
                    <xdr:colOff>501650</xdr:colOff>
                    <xdr:row>87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74" name="Check Box 382">
              <controlPr defaultSize="0" autoFill="0" autoLine="0" autoPict="0">
                <anchor moveWithCells="1">
                  <from>
                    <xdr:col>3</xdr:col>
                    <xdr:colOff>139700</xdr:colOff>
                    <xdr:row>86</xdr:row>
                    <xdr:rowOff>0</xdr:rowOff>
                  </from>
                  <to>
                    <xdr:col>3</xdr:col>
                    <xdr:colOff>501650</xdr:colOff>
                    <xdr:row>86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75" name="Check Box 383">
              <controlPr defaultSize="0" autoFill="0" autoLine="0" autoPict="0">
                <anchor moveWithCells="1">
                  <from>
                    <xdr:col>3</xdr:col>
                    <xdr:colOff>139700</xdr:colOff>
                    <xdr:row>93</xdr:row>
                    <xdr:rowOff>0</xdr:rowOff>
                  </from>
                  <to>
                    <xdr:col>3</xdr:col>
                    <xdr:colOff>501650</xdr:colOff>
                    <xdr:row>93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76" name="Check Box 384">
              <controlPr defaultSize="0" autoFill="0" autoLine="0" autoPict="0">
                <anchor moveWithCells="1">
                  <from>
                    <xdr:col>3</xdr:col>
                    <xdr:colOff>139700</xdr:colOff>
                    <xdr:row>91</xdr:row>
                    <xdr:rowOff>0</xdr:rowOff>
                  </from>
                  <to>
                    <xdr:col>3</xdr:col>
                    <xdr:colOff>501650</xdr:colOff>
                    <xdr:row>91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77" name="Check Box 385">
              <controlPr defaultSize="0" autoFill="0" autoLine="0" autoPict="0">
                <anchor moveWithCells="1">
                  <from>
                    <xdr:col>3</xdr:col>
                    <xdr:colOff>139700</xdr:colOff>
                    <xdr:row>99</xdr:row>
                    <xdr:rowOff>0</xdr:rowOff>
                  </from>
                  <to>
                    <xdr:col>3</xdr:col>
                    <xdr:colOff>501650</xdr:colOff>
                    <xdr:row>99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78" name="Check Box 386">
              <controlPr defaultSize="0" autoFill="0" autoLine="0" autoPict="0">
                <anchor moveWithCells="1">
                  <from>
                    <xdr:col>3</xdr:col>
                    <xdr:colOff>139700</xdr:colOff>
                    <xdr:row>96</xdr:row>
                    <xdr:rowOff>0</xdr:rowOff>
                  </from>
                  <to>
                    <xdr:col>3</xdr:col>
                    <xdr:colOff>501650</xdr:colOff>
                    <xdr:row>96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79" name="Check Box 387">
              <controlPr defaultSize="0" autoFill="0" autoLine="0" autoPict="0">
                <anchor moveWithCells="1">
                  <from>
                    <xdr:col>3</xdr:col>
                    <xdr:colOff>139700</xdr:colOff>
                    <xdr:row>102</xdr:row>
                    <xdr:rowOff>0</xdr:rowOff>
                  </from>
                  <to>
                    <xdr:col>3</xdr:col>
                    <xdr:colOff>501650</xdr:colOff>
                    <xdr:row>102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80" name="Check Box 388">
              <controlPr defaultSize="0" autoFill="0" autoLine="0" autoPict="0">
                <anchor moveWithCells="1">
                  <from>
                    <xdr:col>3</xdr:col>
                    <xdr:colOff>139700</xdr:colOff>
                    <xdr:row>99</xdr:row>
                    <xdr:rowOff>0</xdr:rowOff>
                  </from>
                  <to>
                    <xdr:col>3</xdr:col>
                    <xdr:colOff>501650</xdr:colOff>
                    <xdr:row>99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81" name="Check Box 389">
              <controlPr defaultSize="0" autoFill="0" autoLine="0" autoPict="0">
                <anchor moveWithCells="1">
                  <from>
                    <xdr:col>3</xdr:col>
                    <xdr:colOff>139700</xdr:colOff>
                    <xdr:row>101</xdr:row>
                    <xdr:rowOff>0</xdr:rowOff>
                  </from>
                  <to>
                    <xdr:col>3</xdr:col>
                    <xdr:colOff>501650</xdr:colOff>
                    <xdr:row>101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82" name="Check Box 390">
              <controlPr defaultSize="0" autoFill="0" autoLine="0" autoPict="0">
                <anchor moveWithCells="1">
                  <from>
                    <xdr:col>3</xdr:col>
                    <xdr:colOff>139700</xdr:colOff>
                    <xdr:row>107</xdr:row>
                    <xdr:rowOff>0</xdr:rowOff>
                  </from>
                  <to>
                    <xdr:col>3</xdr:col>
                    <xdr:colOff>501650</xdr:colOff>
                    <xdr:row>107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83" name="Check Box 391">
              <controlPr defaultSize="0" autoFill="0" autoLine="0" autoPict="0">
                <anchor moveWithCells="1">
                  <from>
                    <xdr:col>3</xdr:col>
                    <xdr:colOff>139700</xdr:colOff>
                    <xdr:row>113</xdr:row>
                    <xdr:rowOff>0</xdr:rowOff>
                  </from>
                  <to>
                    <xdr:col>3</xdr:col>
                    <xdr:colOff>501650</xdr:colOff>
                    <xdr:row>113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84" name="Check Box 392">
              <controlPr defaultSize="0" autoFill="0" autoLine="0" autoPict="0">
                <anchor moveWithCells="1">
                  <from>
                    <xdr:col>3</xdr:col>
                    <xdr:colOff>139700</xdr:colOff>
                    <xdr:row>115</xdr:row>
                    <xdr:rowOff>0</xdr:rowOff>
                  </from>
                  <to>
                    <xdr:col>3</xdr:col>
                    <xdr:colOff>501650</xdr:colOff>
                    <xdr:row>115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85" name="Check Box 393">
              <controlPr defaultSize="0" autoFill="0" autoLine="0" autoPict="0">
                <anchor moveWithCells="1">
                  <from>
                    <xdr:col>3</xdr:col>
                    <xdr:colOff>139700</xdr:colOff>
                    <xdr:row>119</xdr:row>
                    <xdr:rowOff>0</xdr:rowOff>
                  </from>
                  <to>
                    <xdr:col>3</xdr:col>
                    <xdr:colOff>501650</xdr:colOff>
                    <xdr:row>119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86" name="Check Box 394">
              <controlPr defaultSize="0" autoFill="0" autoLine="0" autoPict="0">
                <anchor moveWithCells="1">
                  <from>
                    <xdr:col>3</xdr:col>
                    <xdr:colOff>139700</xdr:colOff>
                    <xdr:row>121</xdr:row>
                    <xdr:rowOff>0</xdr:rowOff>
                  </from>
                  <to>
                    <xdr:col>3</xdr:col>
                    <xdr:colOff>501650</xdr:colOff>
                    <xdr:row>121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87" name="Check Box 395">
              <controlPr defaultSize="0" autoFill="0" autoLine="0" autoPict="0">
                <anchor moveWithCells="1">
                  <from>
                    <xdr:col>3</xdr:col>
                    <xdr:colOff>139700</xdr:colOff>
                    <xdr:row>119</xdr:row>
                    <xdr:rowOff>0</xdr:rowOff>
                  </from>
                  <to>
                    <xdr:col>3</xdr:col>
                    <xdr:colOff>501650</xdr:colOff>
                    <xdr:row>119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88" name="Check Box 396">
              <controlPr defaultSize="0" autoFill="0" autoLine="0" autoPict="0">
                <anchor moveWithCells="1">
                  <from>
                    <xdr:col>3</xdr:col>
                    <xdr:colOff>139700</xdr:colOff>
                    <xdr:row>120</xdr:row>
                    <xdr:rowOff>0</xdr:rowOff>
                  </from>
                  <to>
                    <xdr:col>3</xdr:col>
                    <xdr:colOff>501650</xdr:colOff>
                    <xdr:row>120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89" name="Check Box 397">
              <controlPr defaultSize="0" autoFill="0" autoLine="0" autoPict="0">
                <anchor moveWithCells="1">
                  <from>
                    <xdr:col>3</xdr:col>
                    <xdr:colOff>139700</xdr:colOff>
                    <xdr:row>116</xdr:row>
                    <xdr:rowOff>0</xdr:rowOff>
                  </from>
                  <to>
                    <xdr:col>3</xdr:col>
                    <xdr:colOff>501650</xdr:colOff>
                    <xdr:row>116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90" name="Check Box 398">
              <controlPr defaultSize="0" autoFill="0" autoLine="0" autoPict="0">
                <anchor moveWithCells="1">
                  <from>
                    <xdr:col>3</xdr:col>
                    <xdr:colOff>139700</xdr:colOff>
                    <xdr:row>114</xdr:row>
                    <xdr:rowOff>0</xdr:rowOff>
                  </from>
                  <to>
                    <xdr:col>3</xdr:col>
                    <xdr:colOff>501650</xdr:colOff>
                    <xdr:row>114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391" name="Check Box 399">
              <controlPr defaultSize="0" autoFill="0" autoLine="0" autoPict="0">
                <anchor moveWithCells="1">
                  <from>
                    <xdr:col>3</xdr:col>
                    <xdr:colOff>139700</xdr:colOff>
                    <xdr:row>112</xdr:row>
                    <xdr:rowOff>0</xdr:rowOff>
                  </from>
                  <to>
                    <xdr:col>3</xdr:col>
                    <xdr:colOff>501650</xdr:colOff>
                    <xdr:row>112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392" name="Check Box 400">
              <controlPr defaultSize="0" autoFill="0" autoLine="0" autoPict="0">
                <anchor moveWithCells="1">
                  <from>
                    <xdr:col>3</xdr:col>
                    <xdr:colOff>139700</xdr:colOff>
                    <xdr:row>111</xdr:row>
                    <xdr:rowOff>0</xdr:rowOff>
                  </from>
                  <to>
                    <xdr:col>3</xdr:col>
                    <xdr:colOff>501650</xdr:colOff>
                    <xdr:row>111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393" name="Check Box 401">
              <controlPr defaultSize="0" autoFill="0" autoLine="0" autoPict="0">
                <anchor moveWithCells="1">
                  <from>
                    <xdr:col>3</xdr:col>
                    <xdr:colOff>139700</xdr:colOff>
                    <xdr:row>108</xdr:row>
                    <xdr:rowOff>0</xdr:rowOff>
                  </from>
                  <to>
                    <xdr:col>3</xdr:col>
                    <xdr:colOff>501650</xdr:colOff>
                    <xdr:row>108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394" name="Check Box 402">
              <controlPr defaultSize="0" autoFill="0" autoLine="0" autoPict="0">
                <anchor moveWithCells="1">
                  <from>
                    <xdr:col>3</xdr:col>
                    <xdr:colOff>139700</xdr:colOff>
                    <xdr:row>109</xdr:row>
                    <xdr:rowOff>0</xdr:rowOff>
                  </from>
                  <to>
                    <xdr:col>3</xdr:col>
                    <xdr:colOff>501650</xdr:colOff>
                    <xdr:row>109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395" name="Check Box 403">
              <controlPr defaultSize="0" autoFill="0" autoLine="0" autoPict="0">
                <anchor moveWithCells="1">
                  <from>
                    <xdr:col>3</xdr:col>
                    <xdr:colOff>139700</xdr:colOff>
                    <xdr:row>106</xdr:row>
                    <xdr:rowOff>0</xdr:rowOff>
                  </from>
                  <to>
                    <xdr:col>3</xdr:col>
                    <xdr:colOff>501650</xdr:colOff>
                    <xdr:row>106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396" name="Check Box 404">
              <controlPr defaultSize="0" autoFill="0" autoLine="0" autoPict="0">
                <anchor moveWithCells="1">
                  <from>
                    <xdr:col>3</xdr:col>
                    <xdr:colOff>139700</xdr:colOff>
                    <xdr:row>105</xdr:row>
                    <xdr:rowOff>0</xdr:rowOff>
                  </from>
                  <to>
                    <xdr:col>3</xdr:col>
                    <xdr:colOff>501650</xdr:colOff>
                    <xdr:row>105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397" name="Check Box 405">
              <controlPr defaultSize="0" autoFill="0" autoLine="0" autoPict="0">
                <anchor moveWithCells="1">
                  <from>
                    <xdr:col>3</xdr:col>
                    <xdr:colOff>139700</xdr:colOff>
                    <xdr:row>100</xdr:row>
                    <xdr:rowOff>0</xdr:rowOff>
                  </from>
                  <to>
                    <xdr:col>3</xdr:col>
                    <xdr:colOff>501650</xdr:colOff>
                    <xdr:row>100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398" name="Check Box 406">
              <controlPr defaultSize="0" autoFill="0" autoLine="0" autoPict="0">
                <anchor moveWithCells="1">
                  <from>
                    <xdr:col>3</xdr:col>
                    <xdr:colOff>139700</xdr:colOff>
                    <xdr:row>117</xdr:row>
                    <xdr:rowOff>0</xdr:rowOff>
                  </from>
                  <to>
                    <xdr:col>3</xdr:col>
                    <xdr:colOff>501650</xdr:colOff>
                    <xdr:row>117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99" name="Check Box 407">
              <controlPr defaultSize="0" autoFill="0" autoLine="0" autoPict="0">
                <anchor moveWithCells="1">
                  <from>
                    <xdr:col>3</xdr:col>
                    <xdr:colOff>139700</xdr:colOff>
                    <xdr:row>122</xdr:row>
                    <xdr:rowOff>0</xdr:rowOff>
                  </from>
                  <to>
                    <xdr:col>3</xdr:col>
                    <xdr:colOff>501650</xdr:colOff>
                    <xdr:row>122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400" name="Check Box 408">
              <controlPr defaultSize="0" autoFill="0" autoLine="0" autoPict="0">
                <anchor moveWithCells="1">
                  <from>
                    <xdr:col>3</xdr:col>
                    <xdr:colOff>139700</xdr:colOff>
                    <xdr:row>127</xdr:row>
                    <xdr:rowOff>0</xdr:rowOff>
                  </from>
                  <to>
                    <xdr:col>3</xdr:col>
                    <xdr:colOff>501650</xdr:colOff>
                    <xdr:row>127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401" name="Check Box 409">
              <controlPr defaultSize="0" autoFill="0" autoLine="0" autoPict="0">
                <anchor moveWithCells="1">
                  <from>
                    <xdr:col>3</xdr:col>
                    <xdr:colOff>139700</xdr:colOff>
                    <xdr:row>123</xdr:row>
                    <xdr:rowOff>0</xdr:rowOff>
                  </from>
                  <to>
                    <xdr:col>3</xdr:col>
                    <xdr:colOff>501650</xdr:colOff>
                    <xdr:row>123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402" name="Check Box 410">
              <controlPr defaultSize="0" autoFill="0" autoLine="0" autoPict="0">
                <anchor moveWithCells="1">
                  <from>
                    <xdr:col>3</xdr:col>
                    <xdr:colOff>139700</xdr:colOff>
                    <xdr:row>126</xdr:row>
                    <xdr:rowOff>0</xdr:rowOff>
                  </from>
                  <to>
                    <xdr:col>3</xdr:col>
                    <xdr:colOff>501650</xdr:colOff>
                    <xdr:row>126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403" name="Check Box 411">
              <controlPr defaultSize="0" autoFill="0" autoLine="0" autoPict="0">
                <anchor moveWithCells="1">
                  <from>
                    <xdr:col>3</xdr:col>
                    <xdr:colOff>127000</xdr:colOff>
                    <xdr:row>130</xdr:row>
                    <xdr:rowOff>0</xdr:rowOff>
                  </from>
                  <to>
                    <xdr:col>3</xdr:col>
                    <xdr:colOff>488950</xdr:colOff>
                    <xdr:row>130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404" name="Check Box 412">
              <controlPr defaultSize="0" autoFill="0" autoLine="0" autoPict="0">
                <anchor moveWithCells="1">
                  <from>
                    <xdr:col>3</xdr:col>
                    <xdr:colOff>139700</xdr:colOff>
                    <xdr:row>125</xdr:row>
                    <xdr:rowOff>0</xdr:rowOff>
                  </from>
                  <to>
                    <xdr:col>3</xdr:col>
                    <xdr:colOff>501650</xdr:colOff>
                    <xdr:row>125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405" name="Check Box 413">
              <controlPr defaultSize="0" autoFill="0" autoLine="0" autoPict="0">
                <anchor moveWithCells="1">
                  <from>
                    <xdr:col>3</xdr:col>
                    <xdr:colOff>139700</xdr:colOff>
                    <xdr:row>129</xdr:row>
                    <xdr:rowOff>0</xdr:rowOff>
                  </from>
                  <to>
                    <xdr:col>3</xdr:col>
                    <xdr:colOff>501650</xdr:colOff>
                    <xdr:row>129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06" name="Check Box 414">
              <controlPr defaultSize="0" autoFill="0" autoLine="0" autoPict="0">
                <anchor moveWithCells="1">
                  <from>
                    <xdr:col>3</xdr:col>
                    <xdr:colOff>139700</xdr:colOff>
                    <xdr:row>128</xdr:row>
                    <xdr:rowOff>0</xdr:rowOff>
                  </from>
                  <to>
                    <xdr:col>3</xdr:col>
                    <xdr:colOff>501650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07" name="Check Box 415">
              <controlPr defaultSize="0" autoFill="0" autoLine="0" autoPict="0">
                <anchor moveWithCells="1">
                  <from>
                    <xdr:col>3</xdr:col>
                    <xdr:colOff>139700</xdr:colOff>
                    <xdr:row>143</xdr:row>
                    <xdr:rowOff>0</xdr:rowOff>
                  </from>
                  <to>
                    <xdr:col>3</xdr:col>
                    <xdr:colOff>501650</xdr:colOff>
                    <xdr:row>143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08" name="Check Box 416">
              <controlPr defaultSize="0" autoFill="0" autoLine="0" autoPict="0">
                <anchor moveWithCells="1">
                  <from>
                    <xdr:col>3</xdr:col>
                    <xdr:colOff>139700</xdr:colOff>
                    <xdr:row>140</xdr:row>
                    <xdr:rowOff>0</xdr:rowOff>
                  </from>
                  <to>
                    <xdr:col>3</xdr:col>
                    <xdr:colOff>501650</xdr:colOff>
                    <xdr:row>140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09" name="Check Box 417">
              <controlPr defaultSize="0" autoFill="0" autoLine="0" autoPict="0">
                <anchor moveWithCells="1">
                  <from>
                    <xdr:col>3</xdr:col>
                    <xdr:colOff>139700</xdr:colOff>
                    <xdr:row>138</xdr:row>
                    <xdr:rowOff>0</xdr:rowOff>
                  </from>
                  <to>
                    <xdr:col>3</xdr:col>
                    <xdr:colOff>501650</xdr:colOff>
                    <xdr:row>138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10" name="Check Box 418">
              <controlPr defaultSize="0" autoFill="0" autoLine="0" autoPict="0">
                <anchor moveWithCells="1">
                  <from>
                    <xdr:col>3</xdr:col>
                    <xdr:colOff>139700</xdr:colOff>
                    <xdr:row>134</xdr:row>
                    <xdr:rowOff>0</xdr:rowOff>
                  </from>
                  <to>
                    <xdr:col>3</xdr:col>
                    <xdr:colOff>501650</xdr:colOff>
                    <xdr:row>134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11" name="Check Box 419">
              <controlPr defaultSize="0" autoFill="0" autoLine="0" autoPict="0">
                <anchor moveWithCells="1">
                  <from>
                    <xdr:col>3</xdr:col>
                    <xdr:colOff>139700</xdr:colOff>
                    <xdr:row>132</xdr:row>
                    <xdr:rowOff>0</xdr:rowOff>
                  </from>
                  <to>
                    <xdr:col>3</xdr:col>
                    <xdr:colOff>501650</xdr:colOff>
                    <xdr:row>132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12" name="Check Box 420">
              <controlPr defaultSize="0" autoFill="0" autoLine="0" autoPict="0">
                <anchor moveWithCells="1">
                  <from>
                    <xdr:col>3</xdr:col>
                    <xdr:colOff>139700</xdr:colOff>
                    <xdr:row>136</xdr:row>
                    <xdr:rowOff>0</xdr:rowOff>
                  </from>
                  <to>
                    <xdr:col>3</xdr:col>
                    <xdr:colOff>501650</xdr:colOff>
                    <xdr:row>136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13" name="Check Box 421">
              <controlPr defaultSize="0" autoFill="0" autoLine="0" autoPict="0">
                <anchor moveWithCells="1">
                  <from>
                    <xdr:col>3</xdr:col>
                    <xdr:colOff>139700</xdr:colOff>
                    <xdr:row>142</xdr:row>
                    <xdr:rowOff>0</xdr:rowOff>
                  </from>
                  <to>
                    <xdr:col>3</xdr:col>
                    <xdr:colOff>501650</xdr:colOff>
                    <xdr:row>142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414" name="Check Box 422">
              <controlPr defaultSize="0" autoFill="0" autoLine="0" autoPict="0">
                <anchor moveWithCells="1">
                  <from>
                    <xdr:col>3</xdr:col>
                    <xdr:colOff>139700</xdr:colOff>
                    <xdr:row>139</xdr:row>
                    <xdr:rowOff>0</xdr:rowOff>
                  </from>
                  <to>
                    <xdr:col>3</xdr:col>
                    <xdr:colOff>501650</xdr:colOff>
                    <xdr:row>139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415" name="Check Box 423">
              <controlPr defaultSize="0" autoFill="0" autoLine="0" autoPict="0">
                <anchor moveWithCells="1">
                  <from>
                    <xdr:col>3</xdr:col>
                    <xdr:colOff>139700</xdr:colOff>
                    <xdr:row>137</xdr:row>
                    <xdr:rowOff>0</xdr:rowOff>
                  </from>
                  <to>
                    <xdr:col>3</xdr:col>
                    <xdr:colOff>501650</xdr:colOff>
                    <xdr:row>137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416" name="Check Box 424">
              <controlPr defaultSize="0" autoFill="0" autoLine="0" autoPict="0">
                <anchor moveWithCells="1">
                  <from>
                    <xdr:col>3</xdr:col>
                    <xdr:colOff>139700</xdr:colOff>
                    <xdr:row>135</xdr:row>
                    <xdr:rowOff>0</xdr:rowOff>
                  </from>
                  <to>
                    <xdr:col>3</xdr:col>
                    <xdr:colOff>501650</xdr:colOff>
                    <xdr:row>135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417" name="Check Box 425">
              <controlPr defaultSize="0" autoFill="0" autoLine="0" autoPict="0">
                <anchor moveWithCells="1">
                  <from>
                    <xdr:col>3</xdr:col>
                    <xdr:colOff>139700</xdr:colOff>
                    <xdr:row>133</xdr:row>
                    <xdr:rowOff>0</xdr:rowOff>
                  </from>
                  <to>
                    <xdr:col>3</xdr:col>
                    <xdr:colOff>501650</xdr:colOff>
                    <xdr:row>133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418" name="Check Box 426">
              <controlPr defaultSize="0" autoFill="0" autoLine="0" autoPict="0">
                <anchor moveWithCells="1">
                  <from>
                    <xdr:col>3</xdr:col>
                    <xdr:colOff>139700</xdr:colOff>
                    <xdr:row>131</xdr:row>
                    <xdr:rowOff>0</xdr:rowOff>
                  </from>
                  <to>
                    <xdr:col>3</xdr:col>
                    <xdr:colOff>501650</xdr:colOff>
                    <xdr:row>131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419" name="Check Box 427">
              <controlPr defaultSize="0" autoFill="0" autoLine="0" autoPict="0">
                <anchor moveWithCells="1">
                  <from>
                    <xdr:col>3</xdr:col>
                    <xdr:colOff>139700</xdr:colOff>
                    <xdr:row>141</xdr:row>
                    <xdr:rowOff>0</xdr:rowOff>
                  </from>
                  <to>
                    <xdr:col>3</xdr:col>
                    <xdr:colOff>501650</xdr:colOff>
                    <xdr:row>141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420" name="Check Box 452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0</xdr:rowOff>
                  </from>
                  <to>
                    <xdr:col>2</xdr:col>
                    <xdr:colOff>0</xdr:colOff>
                    <xdr:row>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421" name="Check Box 453">
              <controlPr defaultSize="0" autoFill="0" autoLine="0" autoPict="0">
                <anchor moveWithCells="1">
                  <from>
                    <xdr:col>1</xdr:col>
                    <xdr:colOff>139700</xdr:colOff>
                    <xdr:row>6</xdr:row>
                    <xdr:rowOff>0</xdr:rowOff>
                  </from>
                  <to>
                    <xdr:col>2</xdr:col>
                    <xdr:colOff>0</xdr:colOff>
                    <xdr:row>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422" name="Check Box 454">
              <controlPr defaultSize="0" autoFill="0" autoLine="0" autoPict="0">
                <anchor moveWithCells="1">
                  <from>
                    <xdr:col>2</xdr:col>
                    <xdr:colOff>139700</xdr:colOff>
                    <xdr:row>6</xdr:row>
                    <xdr:rowOff>0</xdr:rowOff>
                  </from>
                  <to>
                    <xdr:col>2</xdr:col>
                    <xdr:colOff>495300</xdr:colOff>
                    <xdr:row>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423" name="Check Box 455">
              <controlPr defaultSize="0" autoFill="0" autoLine="0" autoPict="0">
                <anchor moveWithCells="1">
                  <from>
                    <xdr:col>2</xdr:col>
                    <xdr:colOff>139700</xdr:colOff>
                    <xdr:row>5</xdr:row>
                    <xdr:rowOff>0</xdr:rowOff>
                  </from>
                  <to>
                    <xdr:col>2</xdr:col>
                    <xdr:colOff>495300</xdr:colOff>
                    <xdr:row>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424" name="Check Box 456">
              <controlPr defaultSize="0" autoFill="0" autoLine="0" autoPict="0">
                <anchor moveWithCells="1">
                  <from>
                    <xdr:col>3</xdr:col>
                    <xdr:colOff>139700</xdr:colOff>
                    <xdr:row>5</xdr:row>
                    <xdr:rowOff>0</xdr:rowOff>
                  </from>
                  <to>
                    <xdr:col>3</xdr:col>
                    <xdr:colOff>501650</xdr:colOff>
                    <xdr:row>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425" name="Check Box 457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0</xdr:rowOff>
                  </from>
                  <to>
                    <xdr:col>3</xdr:col>
                    <xdr:colOff>501650</xdr:colOff>
                    <xdr:row>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426" name="Check Box 491">
              <controlPr defaultSize="0" autoFill="0" autoLine="0" autoPict="0">
                <anchor moveWithCells="1">
                  <from>
                    <xdr:col>2</xdr:col>
                    <xdr:colOff>139700</xdr:colOff>
                    <xdr:row>147</xdr:row>
                    <xdr:rowOff>0</xdr:rowOff>
                  </from>
                  <to>
                    <xdr:col>2</xdr:col>
                    <xdr:colOff>495300</xdr:colOff>
                    <xdr:row>147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427" name="Check Box 492">
              <controlPr defaultSize="0" autoFill="0" autoLine="0" autoPict="0">
                <anchor moveWithCells="1">
                  <from>
                    <xdr:col>2</xdr:col>
                    <xdr:colOff>139700</xdr:colOff>
                    <xdr:row>148</xdr:row>
                    <xdr:rowOff>0</xdr:rowOff>
                  </from>
                  <to>
                    <xdr:col>2</xdr:col>
                    <xdr:colOff>495300</xdr:colOff>
                    <xdr:row>148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428" name="Check Box 493">
              <controlPr defaultSize="0" autoFill="0" autoLine="0" autoPict="0">
                <anchor moveWithCells="1">
                  <from>
                    <xdr:col>2</xdr:col>
                    <xdr:colOff>139700</xdr:colOff>
                    <xdr:row>149</xdr:row>
                    <xdr:rowOff>0</xdr:rowOff>
                  </from>
                  <to>
                    <xdr:col>2</xdr:col>
                    <xdr:colOff>495300</xdr:colOff>
                    <xdr:row>149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429" name="Check Box 494">
              <controlPr defaultSize="0" autoFill="0" autoLine="0" autoPict="0">
                <anchor moveWithCells="1">
                  <from>
                    <xdr:col>2</xdr:col>
                    <xdr:colOff>139700</xdr:colOff>
                    <xdr:row>150</xdr:row>
                    <xdr:rowOff>0</xdr:rowOff>
                  </from>
                  <to>
                    <xdr:col>2</xdr:col>
                    <xdr:colOff>495300</xdr:colOff>
                    <xdr:row>150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430" name="Check Box 495">
              <controlPr defaultSize="0" autoFill="0" autoLine="0" autoPict="0">
                <anchor moveWithCells="1">
                  <from>
                    <xdr:col>2</xdr:col>
                    <xdr:colOff>139700</xdr:colOff>
                    <xdr:row>151</xdr:row>
                    <xdr:rowOff>0</xdr:rowOff>
                  </from>
                  <to>
                    <xdr:col>2</xdr:col>
                    <xdr:colOff>495300</xdr:colOff>
                    <xdr:row>151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431" name="Check Box 496">
              <controlPr defaultSize="0" autoFill="0" autoLine="0" autoPict="0">
                <anchor moveWithCells="1">
                  <from>
                    <xdr:col>2</xdr:col>
                    <xdr:colOff>139700</xdr:colOff>
                    <xdr:row>152</xdr:row>
                    <xdr:rowOff>0</xdr:rowOff>
                  </from>
                  <to>
                    <xdr:col>2</xdr:col>
                    <xdr:colOff>495300</xdr:colOff>
                    <xdr:row>152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432" name="Check Box 497">
              <controlPr defaultSize="0" autoFill="0" autoLine="0" autoPict="0">
                <anchor moveWithCells="1">
                  <from>
                    <xdr:col>2</xdr:col>
                    <xdr:colOff>139700</xdr:colOff>
                    <xdr:row>153</xdr:row>
                    <xdr:rowOff>0</xdr:rowOff>
                  </from>
                  <to>
                    <xdr:col>2</xdr:col>
                    <xdr:colOff>495300</xdr:colOff>
                    <xdr:row>153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433" name="Check Box 501">
              <controlPr defaultSize="0" autoFill="0" autoLine="0" autoPict="0">
                <anchor moveWithCells="1">
                  <from>
                    <xdr:col>3</xdr:col>
                    <xdr:colOff>139700</xdr:colOff>
                    <xdr:row>147</xdr:row>
                    <xdr:rowOff>0</xdr:rowOff>
                  </from>
                  <to>
                    <xdr:col>3</xdr:col>
                    <xdr:colOff>501650</xdr:colOff>
                    <xdr:row>147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434" name="Check Box 502">
              <controlPr defaultSize="0" autoFill="0" autoLine="0" autoPict="0">
                <anchor moveWithCells="1">
                  <from>
                    <xdr:col>3</xdr:col>
                    <xdr:colOff>139700</xdr:colOff>
                    <xdr:row>148</xdr:row>
                    <xdr:rowOff>0</xdr:rowOff>
                  </from>
                  <to>
                    <xdr:col>3</xdr:col>
                    <xdr:colOff>501650</xdr:colOff>
                    <xdr:row>148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435" name="Check Box 503">
              <controlPr defaultSize="0" autoFill="0" autoLine="0" autoPict="0">
                <anchor moveWithCells="1">
                  <from>
                    <xdr:col>3</xdr:col>
                    <xdr:colOff>139700</xdr:colOff>
                    <xdr:row>149</xdr:row>
                    <xdr:rowOff>0</xdr:rowOff>
                  </from>
                  <to>
                    <xdr:col>3</xdr:col>
                    <xdr:colOff>501650</xdr:colOff>
                    <xdr:row>149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436" name="Check Box 504">
              <controlPr defaultSize="0" autoFill="0" autoLine="0" autoPict="0">
                <anchor moveWithCells="1">
                  <from>
                    <xdr:col>3</xdr:col>
                    <xdr:colOff>139700</xdr:colOff>
                    <xdr:row>150</xdr:row>
                    <xdr:rowOff>0</xdr:rowOff>
                  </from>
                  <to>
                    <xdr:col>3</xdr:col>
                    <xdr:colOff>501650</xdr:colOff>
                    <xdr:row>150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437" name="Check Box 506">
              <controlPr defaultSize="0" autoFill="0" autoLine="0" autoPict="0">
                <anchor moveWithCells="1">
                  <from>
                    <xdr:col>3</xdr:col>
                    <xdr:colOff>139700</xdr:colOff>
                    <xdr:row>152</xdr:row>
                    <xdr:rowOff>0</xdr:rowOff>
                  </from>
                  <to>
                    <xdr:col>3</xdr:col>
                    <xdr:colOff>501650</xdr:colOff>
                    <xdr:row>152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438" name="Check Box 507">
              <controlPr defaultSize="0" autoFill="0" autoLine="0" autoPict="0">
                <anchor moveWithCells="1">
                  <from>
                    <xdr:col>3</xdr:col>
                    <xdr:colOff>139700</xdr:colOff>
                    <xdr:row>153</xdr:row>
                    <xdr:rowOff>0</xdr:rowOff>
                  </from>
                  <to>
                    <xdr:col>3</xdr:col>
                    <xdr:colOff>501650</xdr:colOff>
                    <xdr:row>153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439" name="Check Box 514">
              <controlPr defaultSize="0" autoFill="0" autoLine="0" autoPict="0">
                <anchor moveWithCells="1">
                  <from>
                    <xdr:col>3</xdr:col>
                    <xdr:colOff>139700</xdr:colOff>
                    <xdr:row>151</xdr:row>
                    <xdr:rowOff>0</xdr:rowOff>
                  </from>
                  <to>
                    <xdr:col>3</xdr:col>
                    <xdr:colOff>501650</xdr:colOff>
                    <xdr:row>151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440" name="Check Box 518">
              <controlPr defaultSize="0" autoFill="0" autoLine="0" autoPict="0">
                <anchor moveWithCells="1">
                  <from>
                    <xdr:col>2</xdr:col>
                    <xdr:colOff>139700</xdr:colOff>
                    <xdr:row>154</xdr:row>
                    <xdr:rowOff>0</xdr:rowOff>
                  </from>
                  <to>
                    <xdr:col>2</xdr:col>
                    <xdr:colOff>495300</xdr:colOff>
                    <xdr:row>154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441" name="Check Box 519">
              <controlPr defaultSize="0" autoFill="0" autoLine="0" autoPict="0">
                <anchor moveWithCells="1">
                  <from>
                    <xdr:col>2</xdr:col>
                    <xdr:colOff>139700</xdr:colOff>
                    <xdr:row>155</xdr:row>
                    <xdr:rowOff>0</xdr:rowOff>
                  </from>
                  <to>
                    <xdr:col>2</xdr:col>
                    <xdr:colOff>495300</xdr:colOff>
                    <xdr:row>155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442" name="Check Box 520">
              <controlPr defaultSize="0" autoFill="0" autoLine="0" autoPict="0">
                <anchor moveWithCells="1">
                  <from>
                    <xdr:col>2</xdr:col>
                    <xdr:colOff>139700</xdr:colOff>
                    <xdr:row>156</xdr:row>
                    <xdr:rowOff>0</xdr:rowOff>
                  </from>
                  <to>
                    <xdr:col>2</xdr:col>
                    <xdr:colOff>495300</xdr:colOff>
                    <xdr:row>156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443" name="Check Box 521">
              <controlPr defaultSize="0" autoFill="0" autoLine="0" autoPict="0">
                <anchor moveWithCells="1">
                  <from>
                    <xdr:col>3</xdr:col>
                    <xdr:colOff>139700</xdr:colOff>
                    <xdr:row>154</xdr:row>
                    <xdr:rowOff>0</xdr:rowOff>
                  </from>
                  <to>
                    <xdr:col>3</xdr:col>
                    <xdr:colOff>501650</xdr:colOff>
                    <xdr:row>154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444" name="Check Box 522">
              <controlPr defaultSize="0" autoFill="0" autoLine="0" autoPict="0">
                <anchor moveWithCells="1">
                  <from>
                    <xdr:col>3</xdr:col>
                    <xdr:colOff>139700</xdr:colOff>
                    <xdr:row>155</xdr:row>
                    <xdr:rowOff>0</xdr:rowOff>
                  </from>
                  <to>
                    <xdr:col>3</xdr:col>
                    <xdr:colOff>501650</xdr:colOff>
                    <xdr:row>155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445" name="Check Box 523">
              <controlPr defaultSize="0" autoFill="0" autoLine="0" autoPict="0">
                <anchor moveWithCells="1">
                  <from>
                    <xdr:col>3</xdr:col>
                    <xdr:colOff>139700</xdr:colOff>
                    <xdr:row>156</xdr:row>
                    <xdr:rowOff>0</xdr:rowOff>
                  </from>
                  <to>
                    <xdr:col>3</xdr:col>
                    <xdr:colOff>501650</xdr:colOff>
                    <xdr:row>156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446" name="Button 526">
              <controlPr defaultSize="0" print="0" autoFill="0" autoPict="0" macro="[0]!Update">
                <anchor moveWithCells="1" sizeWithCells="1">
                  <from>
                    <xdr:col>2</xdr:col>
                    <xdr:colOff>457200</xdr:colOff>
                    <xdr:row>160</xdr:row>
                    <xdr:rowOff>146050</xdr:rowOff>
                  </from>
                  <to>
                    <xdr:col>7</xdr:col>
                    <xdr:colOff>57150</xdr:colOff>
                    <xdr:row>164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447" name="Check Box 527">
              <controlPr defaultSize="0" autoFill="0" autoLine="0" autoPict="0">
                <anchor moveWithCells="1">
                  <from>
                    <xdr:col>1</xdr:col>
                    <xdr:colOff>139700</xdr:colOff>
                    <xdr:row>8</xdr:row>
                    <xdr:rowOff>0</xdr:rowOff>
                  </from>
                  <to>
                    <xdr:col>2</xdr:col>
                    <xdr:colOff>0</xdr:colOff>
                    <xdr:row>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448" name="Check Box 528">
              <controlPr defaultSize="0" autoFill="0" autoLine="0" autoPict="0">
                <anchor moveWithCells="1">
                  <from>
                    <xdr:col>2</xdr:col>
                    <xdr:colOff>139700</xdr:colOff>
                    <xdr:row>8</xdr:row>
                    <xdr:rowOff>0</xdr:rowOff>
                  </from>
                  <to>
                    <xdr:col>2</xdr:col>
                    <xdr:colOff>495300</xdr:colOff>
                    <xdr:row>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449" name="Check Box 529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0</xdr:rowOff>
                  </from>
                  <to>
                    <xdr:col>3</xdr:col>
                    <xdr:colOff>501650</xdr:colOff>
                    <xdr:row>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450" name="Check Box 530">
              <controlPr defaultSize="0" autoFill="0" autoLine="0" autoPict="0">
                <anchor moveWithCells="1">
                  <from>
                    <xdr:col>1</xdr:col>
                    <xdr:colOff>139700</xdr:colOff>
                    <xdr:row>13</xdr:row>
                    <xdr:rowOff>0</xdr:rowOff>
                  </from>
                  <to>
                    <xdr:col>2</xdr:col>
                    <xdr:colOff>0</xdr:colOff>
                    <xdr:row>13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451" name="Check Box 531">
              <controlPr defaultSize="0" autoFill="0" autoLine="0" autoPict="0">
                <anchor moveWithCells="1">
                  <from>
                    <xdr:col>2</xdr:col>
                    <xdr:colOff>139700</xdr:colOff>
                    <xdr:row>13</xdr:row>
                    <xdr:rowOff>0</xdr:rowOff>
                  </from>
                  <to>
                    <xdr:col>2</xdr:col>
                    <xdr:colOff>495300</xdr:colOff>
                    <xdr:row>13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452" name="Check Box 532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0</xdr:rowOff>
                  </from>
                  <to>
                    <xdr:col>3</xdr:col>
                    <xdr:colOff>501650</xdr:colOff>
                    <xdr:row>13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453" name="Check Box 533">
              <controlPr defaultSize="0" autoFill="0" autoLine="0" autoPict="0">
                <anchor moveWithCells="1">
                  <from>
                    <xdr:col>1</xdr:col>
                    <xdr:colOff>139700</xdr:colOff>
                    <xdr:row>15</xdr:row>
                    <xdr:rowOff>0</xdr:rowOff>
                  </from>
                  <to>
                    <xdr:col>2</xdr:col>
                    <xdr:colOff>0</xdr:colOff>
                    <xdr:row>15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454" name="Check Box 534">
              <controlPr defaultSize="0" autoFill="0" autoLine="0" autoPict="0">
                <anchor moveWithCells="1">
                  <from>
                    <xdr:col>2</xdr:col>
                    <xdr:colOff>139700</xdr:colOff>
                    <xdr:row>15</xdr:row>
                    <xdr:rowOff>0</xdr:rowOff>
                  </from>
                  <to>
                    <xdr:col>2</xdr:col>
                    <xdr:colOff>495300</xdr:colOff>
                    <xdr:row>15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455" name="Check Box 535">
              <controlPr defaultSize="0" autoFill="0" autoLine="0" autoPict="0">
                <anchor moveWithCells="1">
                  <from>
                    <xdr:col>3</xdr:col>
                    <xdr:colOff>139700</xdr:colOff>
                    <xdr:row>15</xdr:row>
                    <xdr:rowOff>0</xdr:rowOff>
                  </from>
                  <to>
                    <xdr:col>3</xdr:col>
                    <xdr:colOff>501650</xdr:colOff>
                    <xdr:row>15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456" name="Check Box 536">
              <controlPr defaultSize="0" autoFill="0" autoLine="0" autoPict="0">
                <anchor moveWithCells="1">
                  <from>
                    <xdr:col>1</xdr:col>
                    <xdr:colOff>139700</xdr:colOff>
                    <xdr:row>17</xdr:row>
                    <xdr:rowOff>0</xdr:rowOff>
                  </from>
                  <to>
                    <xdr:col>2</xdr:col>
                    <xdr:colOff>0</xdr:colOff>
                    <xdr:row>17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457" name="Check Box 537">
              <controlPr defaultSize="0" autoFill="0" autoLine="0" autoPict="0">
                <anchor moveWithCells="1">
                  <from>
                    <xdr:col>2</xdr:col>
                    <xdr:colOff>139700</xdr:colOff>
                    <xdr:row>17</xdr:row>
                    <xdr:rowOff>0</xdr:rowOff>
                  </from>
                  <to>
                    <xdr:col>2</xdr:col>
                    <xdr:colOff>495300</xdr:colOff>
                    <xdr:row>17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458" name="Check Box 538">
              <controlPr defaultSize="0" autoFill="0" autoLine="0" autoPict="0">
                <anchor moveWithCells="1">
                  <from>
                    <xdr:col>3</xdr:col>
                    <xdr:colOff>139700</xdr:colOff>
                    <xdr:row>17</xdr:row>
                    <xdr:rowOff>0</xdr:rowOff>
                  </from>
                  <to>
                    <xdr:col>3</xdr:col>
                    <xdr:colOff>501650</xdr:colOff>
                    <xdr:row>17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459" name="Check Box 539">
              <controlPr defaultSize="0" autoFill="0" autoLine="0" autoPict="0">
                <anchor moveWithCells="1">
                  <from>
                    <xdr:col>1</xdr:col>
                    <xdr:colOff>139700</xdr:colOff>
                    <xdr:row>33</xdr:row>
                    <xdr:rowOff>0</xdr:rowOff>
                  </from>
                  <to>
                    <xdr:col>2</xdr:col>
                    <xdr:colOff>0</xdr:colOff>
                    <xdr:row>33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460" name="Check Box 540">
              <controlPr defaultSize="0" autoFill="0" autoLine="0" autoPict="0">
                <anchor moveWithCells="1">
                  <from>
                    <xdr:col>2</xdr:col>
                    <xdr:colOff>139700</xdr:colOff>
                    <xdr:row>33</xdr:row>
                    <xdr:rowOff>0</xdr:rowOff>
                  </from>
                  <to>
                    <xdr:col>2</xdr:col>
                    <xdr:colOff>495300</xdr:colOff>
                    <xdr:row>33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461" name="Check Box 541">
              <controlPr defaultSize="0" autoFill="0" autoLine="0" autoPict="0">
                <anchor moveWithCells="1">
                  <from>
                    <xdr:col>3</xdr:col>
                    <xdr:colOff>139700</xdr:colOff>
                    <xdr:row>33</xdr:row>
                    <xdr:rowOff>0</xdr:rowOff>
                  </from>
                  <to>
                    <xdr:col>3</xdr:col>
                    <xdr:colOff>501650</xdr:colOff>
                    <xdr:row>33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462" name="Check Box 542">
              <controlPr defaultSize="0" autoFill="0" autoLine="0" autoPict="0">
                <anchor moveWithCells="1">
                  <from>
                    <xdr:col>1</xdr:col>
                    <xdr:colOff>139700</xdr:colOff>
                    <xdr:row>38</xdr:row>
                    <xdr:rowOff>0</xdr:rowOff>
                  </from>
                  <to>
                    <xdr:col>2</xdr:col>
                    <xdr:colOff>0</xdr:colOff>
                    <xdr:row>38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463" name="Check Box 543">
              <controlPr defaultSize="0" autoFill="0" autoLine="0" autoPict="0">
                <anchor moveWithCells="1">
                  <from>
                    <xdr:col>2</xdr:col>
                    <xdr:colOff>139700</xdr:colOff>
                    <xdr:row>38</xdr:row>
                    <xdr:rowOff>0</xdr:rowOff>
                  </from>
                  <to>
                    <xdr:col>2</xdr:col>
                    <xdr:colOff>495300</xdr:colOff>
                    <xdr:row>38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464" name="Check Box 544">
              <controlPr defaultSize="0" autoFill="0" autoLine="0" autoPict="0">
                <anchor moveWithCells="1">
                  <from>
                    <xdr:col>3</xdr:col>
                    <xdr:colOff>139700</xdr:colOff>
                    <xdr:row>38</xdr:row>
                    <xdr:rowOff>0</xdr:rowOff>
                  </from>
                  <to>
                    <xdr:col>3</xdr:col>
                    <xdr:colOff>501650</xdr:colOff>
                    <xdr:row>38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465" name="Check Box 545">
              <controlPr defaultSize="0" autoFill="0" autoLine="0" autoPict="0">
                <anchor moveWithCells="1">
                  <from>
                    <xdr:col>1</xdr:col>
                    <xdr:colOff>139700</xdr:colOff>
                    <xdr:row>61</xdr:row>
                    <xdr:rowOff>0</xdr:rowOff>
                  </from>
                  <to>
                    <xdr:col>2</xdr:col>
                    <xdr:colOff>0</xdr:colOff>
                    <xdr:row>61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466" name="Check Box 546">
              <controlPr defaultSize="0" autoFill="0" autoLine="0" autoPict="0">
                <anchor moveWithCells="1">
                  <from>
                    <xdr:col>2</xdr:col>
                    <xdr:colOff>139700</xdr:colOff>
                    <xdr:row>61</xdr:row>
                    <xdr:rowOff>0</xdr:rowOff>
                  </from>
                  <to>
                    <xdr:col>2</xdr:col>
                    <xdr:colOff>495300</xdr:colOff>
                    <xdr:row>61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467" name="Check Box 547">
              <controlPr defaultSize="0" autoFill="0" autoLine="0" autoPict="0">
                <anchor moveWithCells="1">
                  <from>
                    <xdr:col>3</xdr:col>
                    <xdr:colOff>139700</xdr:colOff>
                    <xdr:row>61</xdr:row>
                    <xdr:rowOff>0</xdr:rowOff>
                  </from>
                  <to>
                    <xdr:col>3</xdr:col>
                    <xdr:colOff>501650</xdr:colOff>
                    <xdr:row>61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468" name="Check Box 548">
              <controlPr defaultSize="0" autoFill="0" autoLine="0" autoPict="0">
                <anchor moveWithCells="1">
                  <from>
                    <xdr:col>1</xdr:col>
                    <xdr:colOff>139700</xdr:colOff>
                    <xdr:row>80</xdr:row>
                    <xdr:rowOff>0</xdr:rowOff>
                  </from>
                  <to>
                    <xdr:col>2</xdr:col>
                    <xdr:colOff>0</xdr:colOff>
                    <xdr:row>80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469" name="Check Box 549">
              <controlPr defaultSize="0" autoFill="0" autoLine="0" autoPict="0">
                <anchor moveWithCells="1">
                  <from>
                    <xdr:col>2</xdr:col>
                    <xdr:colOff>139700</xdr:colOff>
                    <xdr:row>80</xdr:row>
                    <xdr:rowOff>0</xdr:rowOff>
                  </from>
                  <to>
                    <xdr:col>2</xdr:col>
                    <xdr:colOff>495300</xdr:colOff>
                    <xdr:row>80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470" name="Check Box 550">
              <controlPr defaultSize="0" autoFill="0" autoLine="0" autoPict="0">
                <anchor moveWithCells="1">
                  <from>
                    <xdr:col>3</xdr:col>
                    <xdr:colOff>139700</xdr:colOff>
                    <xdr:row>80</xdr:row>
                    <xdr:rowOff>0</xdr:rowOff>
                  </from>
                  <to>
                    <xdr:col>3</xdr:col>
                    <xdr:colOff>501650</xdr:colOff>
                    <xdr:row>80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471" name="Check Box 551">
              <controlPr defaultSize="0" autoFill="0" autoLine="0" autoPict="0">
                <anchor moveWithCells="1">
                  <from>
                    <xdr:col>1</xdr:col>
                    <xdr:colOff>139700</xdr:colOff>
                    <xdr:row>104</xdr:row>
                    <xdr:rowOff>0</xdr:rowOff>
                  </from>
                  <to>
                    <xdr:col>2</xdr:col>
                    <xdr:colOff>0</xdr:colOff>
                    <xdr:row>104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472" name="Check Box 552">
              <controlPr defaultSize="0" autoFill="0" autoLine="0" autoPict="0">
                <anchor moveWithCells="1">
                  <from>
                    <xdr:col>2</xdr:col>
                    <xdr:colOff>139700</xdr:colOff>
                    <xdr:row>104</xdr:row>
                    <xdr:rowOff>0</xdr:rowOff>
                  </from>
                  <to>
                    <xdr:col>2</xdr:col>
                    <xdr:colOff>495300</xdr:colOff>
                    <xdr:row>104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473" name="Check Box 553">
              <controlPr defaultSize="0" autoFill="0" autoLine="0" autoPict="0">
                <anchor moveWithCells="1">
                  <from>
                    <xdr:col>3</xdr:col>
                    <xdr:colOff>139700</xdr:colOff>
                    <xdr:row>104</xdr:row>
                    <xdr:rowOff>0</xdr:rowOff>
                  </from>
                  <to>
                    <xdr:col>3</xdr:col>
                    <xdr:colOff>501650</xdr:colOff>
                    <xdr:row>104</xdr:row>
                    <xdr:rowOff>215900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55"/>
  <sheetViews>
    <sheetView showGridLines="0" showRowColHeaders="0" zoomScaleNormal="100" workbookViewId="0">
      <selection activeCell="B12" sqref="B12"/>
    </sheetView>
  </sheetViews>
  <sheetFormatPr defaultColWidth="11.453125" defaultRowHeight="12.5"/>
  <cols>
    <col min="1" max="1" width="22.7265625" customWidth="1"/>
    <col min="2" max="2" width="14" customWidth="1"/>
    <col min="3" max="3" width="39.453125" customWidth="1"/>
    <col min="4" max="4" width="15.7265625" customWidth="1"/>
  </cols>
  <sheetData>
    <row r="1" spans="1:4" ht="22.5">
      <c r="A1" s="80" t="s">
        <v>143</v>
      </c>
      <c r="B1" s="81"/>
      <c r="C1" s="81"/>
      <c r="D1" s="81"/>
    </row>
    <row r="2" spans="1:4" ht="13">
      <c r="A2" s="45" t="s">
        <v>144</v>
      </c>
      <c r="B2" s="46" t="s">
        <v>145</v>
      </c>
      <c r="C2" s="47" t="s">
        <v>212</v>
      </c>
      <c r="D2" s="48" t="s">
        <v>213</v>
      </c>
    </row>
    <row r="3" spans="1:4">
      <c r="A3" s="9">
        <f>Instructions!C18</f>
        <v>0</v>
      </c>
      <c r="B3" s="56">
        <f>Instructions!C19</f>
        <v>0</v>
      </c>
      <c r="C3" s="7">
        <f>Instructions!C20</f>
        <v>0</v>
      </c>
      <c r="D3" s="62">
        <f ca="1">TODAY()</f>
        <v>43857</v>
      </c>
    </row>
    <row r="4" spans="1:4" ht="13">
      <c r="A4" s="45" t="s">
        <v>156</v>
      </c>
      <c r="B4" s="4">
        <f>Instructions!C21</f>
        <v>0</v>
      </c>
      <c r="C4" s="46" t="s">
        <v>22</v>
      </c>
      <c r="D4" s="16"/>
    </row>
    <row r="5" spans="1:4" ht="13">
      <c r="A5" s="40"/>
      <c r="B5" s="3"/>
      <c r="C5" s="10">
        <f>Instructions!C22</f>
        <v>0</v>
      </c>
      <c r="D5" s="17"/>
    </row>
    <row r="6" spans="1:4" ht="13.5" thickBot="1">
      <c r="A6" s="52" t="s">
        <v>214</v>
      </c>
      <c r="B6" s="50"/>
      <c r="C6" s="57" t="s">
        <v>215</v>
      </c>
      <c r="D6" s="51"/>
    </row>
    <row r="7" spans="1:4" ht="13" thickTop="1">
      <c r="A7" s="5" t="s">
        <v>216</v>
      </c>
      <c r="B7" s="6"/>
      <c r="C7" s="7"/>
      <c r="D7" s="8"/>
    </row>
    <row r="8" spans="1:4">
      <c r="A8" s="5" t="s">
        <v>217</v>
      </c>
      <c r="B8" s="6"/>
      <c r="C8" s="7"/>
      <c r="D8" s="8"/>
    </row>
    <row r="9" spans="1:4">
      <c r="A9" s="5" t="s">
        <v>114</v>
      </c>
      <c r="B9" s="6"/>
      <c r="C9" s="7"/>
      <c r="D9" s="8"/>
    </row>
    <row r="10" spans="1:4">
      <c r="A10" s="9" t="s">
        <v>115</v>
      </c>
      <c r="B10" s="10"/>
      <c r="C10" s="11"/>
      <c r="D10" s="12"/>
    </row>
    <row r="11" spans="1:4">
      <c r="C11" s="1"/>
      <c r="D11" s="2"/>
    </row>
    <row r="12" spans="1:4" ht="13.5" thickBot="1">
      <c r="A12" s="52" t="s">
        <v>99</v>
      </c>
      <c r="B12" s="54" t="s">
        <v>116</v>
      </c>
      <c r="C12" s="53" t="s">
        <v>117</v>
      </c>
      <c r="D12" s="55" t="s">
        <v>82</v>
      </c>
    </row>
    <row r="13" spans="1:4" ht="13" thickTop="1">
      <c r="A13" s="41" t="s">
        <v>192</v>
      </c>
      <c r="B13" s="38" t="str">
        <f>'course list'!AJ3&amp;" "&amp;'course list'!AK3</f>
        <v xml:space="preserve"> </v>
      </c>
      <c r="C13" s="7">
        <f>'course list'!AL3</f>
        <v>0</v>
      </c>
      <c r="D13" s="8">
        <f>'course list'!AH3</f>
        <v>0</v>
      </c>
    </row>
    <row r="14" spans="1:4">
      <c r="A14" s="5"/>
      <c r="B14" s="38" t="str">
        <f>'course list'!AJ4&amp;" "&amp;'course list'!AK4</f>
        <v xml:space="preserve"> </v>
      </c>
      <c r="C14" s="7">
        <f>'course list'!AL4</f>
        <v>0</v>
      </c>
      <c r="D14" s="8">
        <f>'course list'!AH4</f>
        <v>0</v>
      </c>
    </row>
    <row r="15" spans="1:4">
      <c r="A15" s="5"/>
      <c r="B15" s="38" t="str">
        <f>'course list'!AJ5&amp;" "&amp;'course list'!AK5</f>
        <v xml:space="preserve"> </v>
      </c>
      <c r="C15" s="7">
        <f>'course list'!AL5</f>
        <v>0</v>
      </c>
      <c r="D15" s="8">
        <f>'course list'!AH5</f>
        <v>0</v>
      </c>
    </row>
    <row r="16" spans="1:4">
      <c r="A16" s="5"/>
      <c r="B16" s="38" t="str">
        <f>'course list'!AJ6&amp;" "&amp;'course list'!AK6</f>
        <v xml:space="preserve"> </v>
      </c>
      <c r="C16" s="7">
        <f>'course list'!AL6</f>
        <v>0</v>
      </c>
      <c r="D16" s="8">
        <f>'course list'!AH6</f>
        <v>0</v>
      </c>
    </row>
    <row r="17" spans="1:4">
      <c r="A17" s="5"/>
      <c r="B17" s="38" t="str">
        <f>'course list'!AJ7&amp;" "&amp;'course list'!AK7</f>
        <v xml:space="preserve"> </v>
      </c>
      <c r="C17" s="7">
        <f>'course list'!AL7</f>
        <v>0</v>
      </c>
      <c r="D17" s="8">
        <f>'course list'!AH7</f>
        <v>0</v>
      </c>
    </row>
    <row r="18" spans="1:4">
      <c r="A18" s="5"/>
      <c r="B18" s="38" t="str">
        <f>'course list'!AJ8&amp;" "&amp;'course list'!AK8</f>
        <v xml:space="preserve"> </v>
      </c>
      <c r="C18" s="7">
        <f>'course list'!AL8</f>
        <v>0</v>
      </c>
      <c r="D18" s="8">
        <f>'course list'!AH8</f>
        <v>0</v>
      </c>
    </row>
    <row r="19" spans="1:4">
      <c r="A19" s="5"/>
      <c r="B19" s="6"/>
      <c r="C19" s="6"/>
      <c r="D19" s="49"/>
    </row>
    <row r="20" spans="1:4">
      <c r="A20" s="9"/>
      <c r="B20" s="39" t="str">
        <f>'course list'!AJ10&amp;" "&amp;'course list'!AK10</f>
        <v xml:space="preserve"> </v>
      </c>
      <c r="C20" s="11">
        <f>'course list'!AL10</f>
        <v>0</v>
      </c>
      <c r="D20" s="12">
        <f>'course list'!AH10</f>
        <v>0</v>
      </c>
    </row>
    <row r="21" spans="1:4" ht="13.5" thickBot="1">
      <c r="A21" s="52" t="s">
        <v>80</v>
      </c>
      <c r="B21" s="54"/>
      <c r="C21" s="43"/>
      <c r="D21" s="55"/>
    </row>
    <row r="22" spans="1:4" ht="13" thickTop="1">
      <c r="A22" s="5" t="s">
        <v>193</v>
      </c>
      <c r="B22" s="38" t="str">
        <f>'course list'!Z3&amp;" "&amp;'course list'!AA3</f>
        <v xml:space="preserve"> </v>
      </c>
      <c r="C22" s="7">
        <f>'course list'!AB3</f>
        <v>0</v>
      </c>
      <c r="D22" s="8">
        <f>'course list'!X3</f>
        <v>0</v>
      </c>
    </row>
    <row r="23" spans="1:4">
      <c r="A23" s="5"/>
      <c r="B23" s="38" t="str">
        <f>'course list'!Z4&amp;" "&amp;'course list'!AA4</f>
        <v xml:space="preserve"> </v>
      </c>
      <c r="C23" s="7">
        <f>'course list'!AB4</f>
        <v>0</v>
      </c>
      <c r="D23" s="8">
        <f>'course list'!X4</f>
        <v>0</v>
      </c>
    </row>
    <row r="24" spans="1:4">
      <c r="A24" s="5"/>
      <c r="B24" s="38" t="str">
        <f>'course list'!Z5&amp;" "&amp;'course list'!AA5</f>
        <v xml:space="preserve"> </v>
      </c>
      <c r="C24" s="7">
        <f>'course list'!AB5</f>
        <v>0</v>
      </c>
      <c r="D24" s="8">
        <f>'course list'!X5</f>
        <v>0</v>
      </c>
    </row>
    <row r="25" spans="1:4">
      <c r="A25" s="5"/>
      <c r="B25" s="38" t="str">
        <f>'course list'!Z6&amp;" "&amp;'course list'!AA6</f>
        <v xml:space="preserve"> </v>
      </c>
      <c r="C25" s="7">
        <f>'course list'!AB6</f>
        <v>0</v>
      </c>
      <c r="D25" s="8">
        <f>'course list'!X6</f>
        <v>0</v>
      </c>
    </row>
    <row r="26" spans="1:4">
      <c r="A26" s="5"/>
      <c r="B26" s="38" t="str">
        <f>'course list'!Z7&amp;" "&amp;'course list'!AA7</f>
        <v xml:space="preserve"> </v>
      </c>
      <c r="C26" s="7">
        <f>'course list'!AB7</f>
        <v>0</v>
      </c>
      <c r="D26" s="8">
        <f>'course list'!X7</f>
        <v>0</v>
      </c>
    </row>
    <row r="27" spans="1:4">
      <c r="A27" s="5"/>
      <c r="B27" s="38" t="str">
        <f>'course list'!Z8&amp;" "&amp;'course list'!AA8</f>
        <v xml:space="preserve"> </v>
      </c>
      <c r="C27" s="7">
        <f>'course list'!AB8</f>
        <v>0</v>
      </c>
      <c r="D27" s="8">
        <f>'course list'!X8</f>
        <v>0</v>
      </c>
    </row>
    <row r="28" spans="1:4">
      <c r="A28" s="5"/>
      <c r="B28" s="38" t="str">
        <f>'course list'!Z10&amp;" "&amp;'course list'!AA10</f>
        <v xml:space="preserve"> </v>
      </c>
      <c r="C28" s="7">
        <f>'course list'!AB10</f>
        <v>0</v>
      </c>
      <c r="D28" s="8">
        <f>'course list'!X10</f>
        <v>0</v>
      </c>
    </row>
    <row r="29" spans="1:4">
      <c r="A29" s="9"/>
      <c r="B29" s="39" t="str">
        <f>'course list'!Z11&amp;" "&amp;'course list'!AA11</f>
        <v xml:space="preserve"> </v>
      </c>
      <c r="C29" s="11">
        <f>'course list'!AB11</f>
        <v>0</v>
      </c>
      <c r="D29" s="12">
        <f>'course list'!X11</f>
        <v>0</v>
      </c>
    </row>
    <row r="30" spans="1:4" ht="13.5" thickBot="1">
      <c r="A30" s="52" t="s">
        <v>225</v>
      </c>
      <c r="B30" s="54"/>
      <c r="C30" s="53"/>
      <c r="D30" s="55"/>
    </row>
    <row r="31" spans="1:4" ht="13" thickTop="1">
      <c r="A31" s="41" t="s">
        <v>97</v>
      </c>
      <c r="B31" s="21" t="str">
        <f>'course list'!AT8&amp;" "&amp;'course list'!AU8</f>
        <v xml:space="preserve"> </v>
      </c>
      <c r="C31" s="7">
        <f>'course list'!AV8</f>
        <v>0</v>
      </c>
      <c r="D31" s="8"/>
    </row>
    <row r="32" spans="1:4" s="20" customFormat="1">
      <c r="A32" s="42" t="s">
        <v>98</v>
      </c>
      <c r="B32" s="21" t="str">
        <f>'course list'!AT10&amp;" "&amp;'course list'!AU10</f>
        <v xml:space="preserve"> </v>
      </c>
      <c r="C32" s="13">
        <f>'course list'!AV10</f>
        <v>0</v>
      </c>
      <c r="D32" s="8"/>
    </row>
    <row r="33" spans="1:4">
      <c r="A33" s="9"/>
      <c r="B33" s="10"/>
      <c r="C33" s="10"/>
      <c r="D33" s="44"/>
    </row>
    <row r="34" spans="1:4" ht="13.5" thickBot="1">
      <c r="A34" s="52" t="s">
        <v>226</v>
      </c>
      <c r="B34" s="54"/>
      <c r="C34" s="53"/>
      <c r="D34" s="55"/>
    </row>
    <row r="35" spans="1:4" ht="13" thickTop="1">
      <c r="A35" s="5"/>
      <c r="B35" s="38" t="str">
        <f>'course list'!P3&amp;" "&amp;'course list'!Q3</f>
        <v xml:space="preserve"> </v>
      </c>
      <c r="C35" s="7">
        <f>'course list'!R3</f>
        <v>0</v>
      </c>
      <c r="D35" s="8">
        <f>'course list'!N3</f>
        <v>0</v>
      </c>
    </row>
    <row r="36" spans="1:4">
      <c r="A36" s="5"/>
      <c r="B36" s="38" t="str">
        <f>'course list'!P4&amp;" "&amp;'course list'!Q4</f>
        <v xml:space="preserve"> </v>
      </c>
      <c r="C36" s="7">
        <f>'course list'!R4</f>
        <v>0</v>
      </c>
      <c r="D36" s="8">
        <f>'course list'!N4</f>
        <v>0</v>
      </c>
    </row>
    <row r="37" spans="1:4">
      <c r="A37" s="5"/>
      <c r="B37" s="38" t="str">
        <f>'course list'!P5&amp;" "&amp;'course list'!Q5</f>
        <v xml:space="preserve"> </v>
      </c>
      <c r="C37" s="7">
        <f>'course list'!R5</f>
        <v>0</v>
      </c>
      <c r="D37" s="8">
        <f>'course list'!N5</f>
        <v>0</v>
      </c>
    </row>
    <row r="38" spans="1:4">
      <c r="A38" s="5"/>
      <c r="B38" s="38" t="str">
        <f>'course list'!P6&amp;" "&amp;'course list'!Q6</f>
        <v xml:space="preserve"> </v>
      </c>
      <c r="C38" s="7">
        <f>'course list'!R6</f>
        <v>0</v>
      </c>
      <c r="D38" s="8">
        <f>'course list'!N6</f>
        <v>0</v>
      </c>
    </row>
    <row r="39" spans="1:4">
      <c r="A39" s="5"/>
      <c r="B39" s="38" t="str">
        <f>'course list'!P7&amp;" "&amp;'course list'!Q7</f>
        <v xml:space="preserve"> </v>
      </c>
      <c r="C39" s="7">
        <f>'course list'!R7</f>
        <v>0</v>
      </c>
      <c r="D39" s="8">
        <f>'course list'!N7</f>
        <v>0</v>
      </c>
    </row>
    <row r="40" spans="1:4">
      <c r="A40" s="5"/>
      <c r="B40" s="38" t="str">
        <f>'course list'!P8&amp;" "&amp;'course list'!Q8</f>
        <v xml:space="preserve"> </v>
      </c>
      <c r="C40" s="7">
        <f>'course list'!R8</f>
        <v>0</v>
      </c>
      <c r="D40" s="8">
        <f>'course list'!N8</f>
        <v>0</v>
      </c>
    </row>
    <row r="41" spans="1:4">
      <c r="A41" s="5"/>
      <c r="B41" s="38" t="str">
        <f>'course list'!P10&amp;" "&amp;'course list'!Q10</f>
        <v xml:space="preserve"> </v>
      </c>
      <c r="C41" s="7">
        <f>'course list'!R10</f>
        <v>0</v>
      </c>
      <c r="D41" s="8">
        <f>'course list'!N10</f>
        <v>0</v>
      </c>
    </row>
    <row r="42" spans="1:4">
      <c r="A42" s="5"/>
      <c r="B42" s="38" t="str">
        <f>'course list'!P11&amp;" "&amp;'course list'!Q11</f>
        <v xml:space="preserve"> </v>
      </c>
      <c r="C42" s="7">
        <f>'course list'!R11</f>
        <v>0</v>
      </c>
      <c r="D42" s="8">
        <f>'course list'!N11</f>
        <v>0</v>
      </c>
    </row>
    <row r="43" spans="1:4">
      <c r="A43" s="5"/>
      <c r="B43" s="38" t="str">
        <f>'course list'!P12&amp;" "&amp;'course list'!Q12</f>
        <v xml:space="preserve"> </v>
      </c>
      <c r="C43" s="7">
        <f>'course list'!R12</f>
        <v>0</v>
      </c>
      <c r="D43" s="8">
        <f>'course list'!N12</f>
        <v>0</v>
      </c>
    </row>
    <row r="44" spans="1:4" s="19" customFormat="1">
      <c r="A44" s="18"/>
      <c r="B44" s="38" t="str">
        <f>'course list'!P13&amp;" "&amp;'course list'!Q13</f>
        <v xml:space="preserve"> </v>
      </c>
      <c r="C44" s="7">
        <f>'course list'!R13</f>
        <v>0</v>
      </c>
      <c r="D44" s="8">
        <f>'course list'!N13</f>
        <v>0</v>
      </c>
    </row>
    <row r="45" spans="1:4">
      <c r="A45" s="9"/>
      <c r="B45" s="39" t="str">
        <f>'course list'!P15&amp;" "&amp;'course list'!Q15</f>
        <v xml:space="preserve"> </v>
      </c>
      <c r="C45" s="11">
        <f>'course list'!R15</f>
        <v>0</v>
      </c>
      <c r="D45" s="12">
        <f>'course list'!N15</f>
        <v>0</v>
      </c>
    </row>
    <row r="46" spans="1:4">
      <c r="A46" s="9"/>
      <c r="B46" s="39"/>
      <c r="C46" s="11"/>
      <c r="D46" s="12"/>
    </row>
    <row r="47" spans="1:4" ht="13">
      <c r="B47" s="2"/>
      <c r="C47" s="14" t="s">
        <v>0</v>
      </c>
      <c r="D47" s="61">
        <f>SUM(D35:D46)+SUM(D22:D29)+SUM(D13:D20)</f>
        <v>0</v>
      </c>
    </row>
    <row r="48" spans="1:4" ht="13">
      <c r="A48" s="15"/>
      <c r="C48" s="14" t="s">
        <v>1</v>
      </c>
      <c r="D48" s="61">
        <f>'course list'!BA26</f>
        <v>0</v>
      </c>
    </row>
    <row r="49" spans="1:4">
      <c r="A49" t="s">
        <v>227</v>
      </c>
      <c r="C49" s="1"/>
      <c r="D49" s="14" t="s">
        <v>153</v>
      </c>
    </row>
    <row r="50" spans="1:4">
      <c r="C50" s="1"/>
      <c r="D50" s="14"/>
    </row>
    <row r="51" spans="1:4">
      <c r="A51" t="s">
        <v>227</v>
      </c>
      <c r="C51" s="1"/>
      <c r="D51" s="14" t="s">
        <v>153</v>
      </c>
    </row>
    <row r="52" spans="1:4">
      <c r="A52" t="s">
        <v>154</v>
      </c>
      <c r="C52" s="1"/>
      <c r="D52" s="14"/>
    </row>
    <row r="53" spans="1:4">
      <c r="C53" s="1"/>
      <c r="D53" s="14"/>
    </row>
    <row r="54" spans="1:4">
      <c r="A54" t="s">
        <v>227</v>
      </c>
      <c r="C54" s="1"/>
      <c r="D54" s="14" t="s">
        <v>153</v>
      </c>
    </row>
    <row r="55" spans="1:4">
      <c r="A55" t="s">
        <v>155</v>
      </c>
      <c r="C55" s="1"/>
      <c r="D55" s="2"/>
    </row>
  </sheetData>
  <mergeCells count="1">
    <mergeCell ref="A1:D1"/>
  </mergeCells>
  <phoneticPr fontId="0"/>
  <conditionalFormatting sqref="B20:D20 B35:D45 B22:D29 B13:D18 C31:D32">
    <cfRule type="cellIs" dxfId="1" priority="1" stopIfTrue="1" operator="equal">
      <formula>""""""</formula>
    </cfRule>
    <cfRule type="cellIs" dxfId="0" priority="2" stopIfTrue="1" operator="equal">
      <formula>0</formula>
    </cfRule>
  </conditionalFormatting>
  <pageMargins left="0.5" right="0.5" top="0.5" bottom="0.5" header="0" footer="0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Instructions</vt:lpstr>
      <vt:lpstr>course list</vt:lpstr>
      <vt:lpstr>Print</vt:lpstr>
      <vt:lpstr>'course list'!Criteria</vt:lpstr>
      <vt:lpstr>Print!Criteria</vt:lpstr>
      <vt:lpstr>'course list'!Extract</vt:lpstr>
      <vt:lpstr>Print!Print_Area</vt:lpstr>
    </vt:vector>
  </TitlesOfParts>
  <Company>MSandE 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Keely</dc:creator>
  <cp:lastModifiedBy>Carina Negreanu</cp:lastModifiedBy>
  <cp:lastPrinted>2003-11-17T22:09:54Z</cp:lastPrinted>
  <dcterms:created xsi:type="dcterms:W3CDTF">2002-10-15T17:00:55Z</dcterms:created>
  <dcterms:modified xsi:type="dcterms:W3CDTF">2020-01-27T11:50:29Z</dcterms:modified>
</cp:coreProperties>
</file>