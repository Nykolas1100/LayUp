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drawings/drawing2.xml" ContentType="application/vnd.openxmlformats-officedocument.drawing+xml"/>
  <Override PartName="/xl/queryTables/queryTable10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0390D7-E149-43C1-8A36-AD9BE0D1ADF8}" xr6:coauthVersionLast="45" xr6:coauthVersionMax="45" xr10:uidLastSave="{00000000-0000-0000-0000-000000000000}"/>
  <bookViews>
    <workbookView xWindow="1140" yWindow="1140" windowWidth="28800" windowHeight="15460" tabRatio="894" firstSheet="4" activeTab="7"/>
  </bookViews>
  <sheets>
    <sheet name="Summary" sheetId="6" r:id="rId1"/>
    <sheet name="Electives" sheetId="1" r:id="rId2"/>
    <sheet name="OnePurdue" sheetId="5" r:id="rId3"/>
    <sheet name="New Applications" sheetId="9" r:id="rId4"/>
    <sheet name="Investigations" sheetId="3" r:id="rId5"/>
    <sheet name="Emergency Fixes" sheetId="10" r:id="rId6"/>
    <sheet name="Application Fixes" sheetId="11" r:id="rId7"/>
    <sheet name="Scheduled Modifications" sheetId="4" r:id="rId8"/>
    <sheet name="Production Support" sheetId="12" r:id="rId9"/>
    <sheet name="By V.P Area" sheetId="13" r:id="rId10"/>
    <sheet name="Glossary of System Names" sheetId="8" r:id="rId11"/>
  </sheets>
  <definedNames>
    <definedName name="_xlnm.Print_Titles" localSheetId="6">'Application Fixes'!$1:$1</definedName>
    <definedName name="_xlnm.Print_Titles" localSheetId="1">Electives!$1:$1</definedName>
    <definedName name="_xlnm.Print_Titles" localSheetId="5">'Emergency Fixes'!$1:$1</definedName>
    <definedName name="_xlnm.Print_Titles" localSheetId="10">'Glossary of System Names'!$1:$1</definedName>
    <definedName name="_xlnm.Print_Titles" localSheetId="4">Investigations!$1:$1</definedName>
    <definedName name="_xlnm.Print_Titles" localSheetId="3">'New Applications'!$1:$1</definedName>
    <definedName name="_xlnm.Print_Titles" localSheetId="2">OnePurdue!$1:$1</definedName>
    <definedName name="_xlnm.Print_Titles" localSheetId="8">'Production Support'!$1:$1</definedName>
    <definedName name="_xlnm.Print_Titles" localSheetId="7">'Scheduled Modifications'!$1:$1</definedName>
    <definedName name="_xlnm.Print_Titles" localSheetId="0">Summary!$1:$1</definedName>
    <definedName name="task_reporting_database" localSheetId="6">'Application Fixes'!$A$2:$I$53</definedName>
    <definedName name="task_reporting_database" localSheetId="9">'By V.P Area'!$A$1:$D$1</definedName>
    <definedName name="task_reporting_database" localSheetId="1">Electives!$B$2:$L$514</definedName>
    <definedName name="task_reporting_database" localSheetId="5">'Emergency Fixes'!$A$2:$I$53</definedName>
    <definedName name="task_reporting_database" localSheetId="4">Investigations!$A$2:$I$52</definedName>
    <definedName name="task_reporting_database" localSheetId="3">'New Applications'!$A$2:$I$5</definedName>
    <definedName name="task_reporting_database" localSheetId="2">OnePurdue!$A$2:$I$6</definedName>
    <definedName name="task_reporting_database" localSheetId="8">'Production Support'!$A$2:$D$2</definedName>
    <definedName name="task_reporting_database" localSheetId="7">'Scheduled Modifications'!$A$2:$D$3</definedName>
    <definedName name="task_reporting_database_1" localSheetId="6">'Application Fixes'!$A$2:$I$6</definedName>
    <definedName name="task_reporting_database_1" localSheetId="9">'By V.P Area'!$A$1:$I$105</definedName>
    <definedName name="task_reporting_database_1" localSheetId="1">Electives!$A$2:$I$181</definedName>
    <definedName name="task_reporting_database_1" localSheetId="5">'Emergency Fixes'!$A$2:$I$6</definedName>
    <definedName name="task_reporting_database_1" localSheetId="3">'New Applications'!$A$2:$J$3</definedName>
    <definedName name="task_reporting_database_1" localSheetId="8">'Production Support'!$A$2:$I$132</definedName>
    <definedName name="task_reporting_database_1" localSheetId="7">'Scheduled Modifications'!$A$2:$I$107</definedName>
    <definedName name="task_reporting_database_2" localSheetId="6">'Application Fixes'!$A$2:$I$103</definedName>
    <definedName name="task_reporting_database_2" localSheetId="9">'By V.P Area'!$C$1:$J$2</definedName>
    <definedName name="task_reporting_database_2" localSheetId="8">'Production Support'!$A$2:$I$29</definedName>
    <definedName name="task_reporting_database_2" localSheetId="7">'Scheduled Modifications'!$A$2:$I$139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6" l="1"/>
  <c r="M10" i="6" s="1"/>
  <c r="E10" i="6"/>
  <c r="F10" i="6"/>
  <c r="B31" i="13" s="1"/>
  <c r="G10" i="6"/>
  <c r="H10" i="6"/>
  <c r="I10" i="6"/>
  <c r="K10" i="6"/>
  <c r="B91" i="13" s="1"/>
  <c r="L10" i="6"/>
  <c r="B111" i="13" s="1"/>
  <c r="D3" i="6"/>
  <c r="E3" i="6"/>
  <c r="F3" i="6"/>
  <c r="G3" i="6"/>
  <c r="B123" i="13" s="1"/>
  <c r="H3" i="6"/>
  <c r="B44" i="13" s="1"/>
  <c r="I3" i="6"/>
  <c r="K3" i="6"/>
  <c r="L3" i="6"/>
  <c r="B104" i="13" s="1"/>
  <c r="M3" i="6"/>
  <c r="D4" i="6"/>
  <c r="M4" i="6" s="1"/>
  <c r="M2" i="6" s="1"/>
  <c r="E4" i="6"/>
  <c r="E11" i="6" s="1"/>
  <c r="F4" i="6"/>
  <c r="G4" i="6"/>
  <c r="B124" i="13" s="1"/>
  <c r="H4" i="6"/>
  <c r="H11" i="6" s="1"/>
  <c r="I4" i="6"/>
  <c r="K4" i="6"/>
  <c r="L4" i="6"/>
  <c r="D5" i="6"/>
  <c r="M5" i="6" s="1"/>
  <c r="E5" i="6"/>
  <c r="F5" i="6"/>
  <c r="G5" i="6"/>
  <c r="H5" i="6"/>
  <c r="I5" i="6"/>
  <c r="K5" i="6"/>
  <c r="L5" i="6"/>
  <c r="D6" i="6"/>
  <c r="M6" i="6" s="1"/>
  <c r="E6" i="6"/>
  <c r="F6" i="6"/>
  <c r="F11" i="6" s="1"/>
  <c r="G6" i="6"/>
  <c r="B126" i="13" s="1"/>
  <c r="H6" i="6"/>
  <c r="I6" i="6"/>
  <c r="I11" i="6" s="1"/>
  <c r="K6" i="6"/>
  <c r="B87" i="13" s="1"/>
  <c r="L6" i="6"/>
  <c r="D7" i="6"/>
  <c r="E7" i="6"/>
  <c r="M7" i="6" s="1"/>
  <c r="F7" i="6"/>
  <c r="B28" i="13" s="1"/>
  <c r="G7" i="6"/>
  <c r="B127" i="13" s="1"/>
  <c r="H7" i="6"/>
  <c r="B48" i="13" s="1"/>
  <c r="I7" i="6"/>
  <c r="K7" i="6"/>
  <c r="L7" i="6"/>
  <c r="D8" i="6"/>
  <c r="E8" i="6"/>
  <c r="F8" i="6"/>
  <c r="B29" i="13" s="1"/>
  <c r="G8" i="6"/>
  <c r="M8" i="6" s="1"/>
  <c r="H8" i="6"/>
  <c r="B49" i="13" s="1"/>
  <c r="I8" i="6"/>
  <c r="B69" i="13" s="1"/>
  <c r="K8" i="6"/>
  <c r="L8" i="6"/>
  <c r="L11" i="6" s="1"/>
  <c r="D9" i="6"/>
  <c r="E9" i="6"/>
  <c r="M9" i="6" s="1"/>
  <c r="F9" i="6"/>
  <c r="G9" i="6"/>
  <c r="B129" i="13" s="1"/>
  <c r="H9" i="6"/>
  <c r="I9" i="6"/>
  <c r="B70" i="13" s="1"/>
  <c r="K9" i="6"/>
  <c r="L9" i="6"/>
  <c r="B10" i="6"/>
  <c r="B3" i="6"/>
  <c r="B2" i="6" s="1"/>
  <c r="B4" i="6"/>
  <c r="B5" i="6"/>
  <c r="B11" i="6" s="1"/>
  <c r="B6" i="6"/>
  <c r="B7" i="6"/>
  <c r="B8" i="6"/>
  <c r="B9" i="6"/>
  <c r="B130" i="13"/>
  <c r="B125" i="13"/>
  <c r="B110" i="13"/>
  <c r="B108" i="13"/>
  <c r="B107" i="13"/>
  <c r="B106" i="13"/>
  <c r="B105" i="13"/>
  <c r="B90" i="13"/>
  <c r="B89" i="13"/>
  <c r="B88" i="13"/>
  <c r="B86" i="13"/>
  <c r="B85" i="13"/>
  <c r="B84" i="13"/>
  <c r="B71" i="13"/>
  <c r="B68" i="13"/>
  <c r="B67" i="13"/>
  <c r="B66" i="13"/>
  <c r="B65" i="13"/>
  <c r="B64" i="13"/>
  <c r="B51" i="13"/>
  <c r="B50" i="13"/>
  <c r="B47" i="13"/>
  <c r="B46" i="13"/>
  <c r="B30" i="13"/>
  <c r="B26" i="13"/>
  <c r="B25" i="13"/>
  <c r="B24" i="13"/>
  <c r="B10" i="13"/>
  <c r="B9" i="13"/>
  <c r="B8" i="13"/>
  <c r="B7" i="13"/>
  <c r="B6" i="13"/>
  <c r="B5" i="13"/>
  <c r="B4" i="13"/>
  <c r="B3" i="13"/>
  <c r="C11" i="6"/>
  <c r="J11" i="6"/>
  <c r="D11" i="6"/>
  <c r="M11" i="6" l="1"/>
  <c r="B109" i="13"/>
  <c r="G11" i="6"/>
  <c r="B27" i="13"/>
  <c r="B128" i="13"/>
  <c r="K11" i="6"/>
  <c r="B45" i="13"/>
</calcChain>
</file>

<file path=xl/comments1.xml><?xml version="1.0" encoding="utf-8"?>
<comments xmlns="http://schemas.openxmlformats.org/spreadsheetml/2006/main">
  <authors>
    <author>greg1</author>
  </authors>
  <commentList>
    <comment ref="B52" authorId="0" shapeId="0">
      <text>
        <r>
          <rPr>
            <b/>
            <sz val="8"/>
            <color indexed="81"/>
            <rFont val="Tahoma"/>
            <family val="2"/>
          </rPr>
          <t>greg1:</t>
        </r>
        <r>
          <rPr>
            <sz val="8"/>
            <color indexed="81"/>
            <rFont val="Tahoma"/>
            <family val="2"/>
          </rPr>
          <t xml:space="preserve">
Time Entry System of WIP time cards.</t>
        </r>
      </text>
    </comment>
    <comment ref="B55" authorId="0" shapeId="0">
      <text>
        <r>
          <rPr>
            <b/>
            <sz val="8"/>
            <color indexed="81"/>
            <rFont val="Tahoma"/>
            <family val="2"/>
          </rPr>
          <t>greg1:</t>
        </r>
        <r>
          <rPr>
            <sz val="8"/>
            <color indexed="81"/>
            <rFont val="Tahoma"/>
            <family val="2"/>
          </rPr>
          <t xml:space="preserve">
Demurrage converted to VB and transferred to PFCS.  We support FMIS interface now.</t>
        </r>
      </text>
    </comment>
  </commentList>
</comments>
</file>

<file path=xl/connections.xml><?xml version="1.0" encoding="utf-8"?>
<connections xmlns="http://schemas.openxmlformats.org/spreadsheetml/2006/main">
  <connection id="1" sourceFile="O:\STANDARDS_AND_INTEGRATION\Portfolio Management\task reporting database.mdb" keepAlive="1" name="task reporting database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" commandType="3"/>
  </connection>
  <connection id="2" sourceFile="O:\STANDARDS_AND_INTEGRATION\Portfolio Management\task reporting database.mdb" keepAlive="1" name="task reporting database1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elective" commandType="3"/>
  </connection>
  <connection id="3" sourceFile="O:\STANDARDS_AND_INTEGRATION\Portfolio Management\task reporting database.mdb" keepAlive="1" name="task reporting database2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onepurdue" commandType="3"/>
  </connection>
  <connection id="4" sourceFile="O:\STANDARDS_AND_INTEGRATION\Portfolio Management\task reporting database.mdb" keepAlive="1" name="task reporting database3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new applications" commandType="3"/>
  </connection>
  <connection id="5" sourceFile="O:\STANDARDS_AND_INTEGRATION\Portfolio Management\task reporting database.mdb" keepAlive="1" name="task reporting database4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issue" commandType="3"/>
  </connection>
  <connection id="6" sourceFile="O:\STANDARDS_AND_INTEGRATION\Portfolio Management\task reporting database.mdb" keepAlive="1" name="task reporting database5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emergency fixes" commandType="3"/>
  </connection>
  <connection id="7" sourceFile="O:\STANDARDS_AND_INTEGRATION\Portfolio Management\task reporting database.mdb" keepAlive="1" name="task reporting database6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application fixes" commandType="3"/>
  </connection>
  <connection id="8" sourceFile="O:\STANDARDS_AND_INTEGRATION\Portfolio Management\task reporting database.mdb" keepAlive="1" name="task reporting database7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scheduled modifications" commandType="3"/>
  </connection>
  <connection id="9" sourceFile="O:\STANDARDS_AND_INTEGRATION\Portfolio Management\task reporting database.mdb" keepAlive="1" name="task reporting database8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production support" commandType="3"/>
  </connection>
  <connection id="10" sourceFile="O:\STANDARDS_AND_INTEGRATION\Portfolio Management\task reporting database.mdb" keepAlive="1" name="task reporting database9" type="5" refreshedVersion="1" savePassword="1" background="1" saveData="1">
    <dbPr connection="Provider=Microsoft.Jet.OLEDB.4.0;Password=&quot;&quot;;User ID=Admin;Data Source=O:\STANDARDS_AND_INTEGRATION\Portfolio Management\task reporting database.mdb;Mode=ReadWrite;Extended Properties=&quot;&quot;;Jet OLEDB:System database=&quot;&quot;;Jet OLEDB:Registry Path=&quot;&quot;;Jet OLEDB:Database Password=&quot;&quot;;Jet OLEDB:Engine Type=5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Pipeline table production support" commandType="3"/>
  </connection>
</connections>
</file>

<file path=xl/sharedStrings.xml><?xml version="1.0" encoding="utf-8"?>
<sst xmlns="http://schemas.openxmlformats.org/spreadsheetml/2006/main" count="2543" uniqueCount="894">
  <si>
    <t>Health Assessment Benefit (14974)</t>
  </si>
  <si>
    <t>Health Savings Account Benefit (14975)</t>
  </si>
  <si>
    <t>Direct Charge Leave Accruals (14976)</t>
  </si>
  <si>
    <t>Research Faculty Position Code (14972)</t>
  </si>
  <si>
    <t>New Grad Student Classification (14973)</t>
  </si>
  <si>
    <t>SLAC - Sep Disab/Death Cancel for PU Loans 14095</t>
  </si>
  <si>
    <t>OIR</t>
  </si>
  <si>
    <t>Financial trouble shooting and system admin</t>
  </si>
  <si>
    <t>Student DSS system admin and trouble shooting</t>
  </si>
  <si>
    <t>Porfolio for Institutional Research</t>
  </si>
  <si>
    <t>14355</t>
  </si>
  <si>
    <t>14356</t>
  </si>
  <si>
    <t>14359</t>
  </si>
  <si>
    <t>14360</t>
  </si>
  <si>
    <t>14637</t>
  </si>
  <si>
    <t>14474</t>
  </si>
  <si>
    <t>15004</t>
  </si>
  <si>
    <t>14008</t>
  </si>
  <si>
    <t>14314</t>
  </si>
  <si>
    <t>14118</t>
  </si>
  <si>
    <t>14119</t>
  </si>
  <si>
    <t>14124</t>
  </si>
  <si>
    <t>14441</t>
  </si>
  <si>
    <t>14443</t>
  </si>
  <si>
    <t>14444</t>
  </si>
  <si>
    <t>14446</t>
  </si>
  <si>
    <t>14447</t>
  </si>
  <si>
    <t>14440</t>
  </si>
  <si>
    <t>14121</t>
  </si>
  <si>
    <t>14122</t>
  </si>
  <si>
    <t>14125</t>
  </si>
  <si>
    <t>2513</t>
  </si>
  <si>
    <t>14662</t>
  </si>
  <si>
    <t>14700</t>
  </si>
  <si>
    <t>14701</t>
  </si>
  <si>
    <t>13577</t>
  </si>
  <si>
    <t>13658</t>
  </si>
  <si>
    <t>14329</t>
  </si>
  <si>
    <t>13540</t>
  </si>
  <si>
    <t>11017</t>
  </si>
  <si>
    <t>14575</t>
  </si>
  <si>
    <t>14576</t>
  </si>
  <si>
    <t>14573</t>
  </si>
  <si>
    <t>14574</t>
  </si>
  <si>
    <t>14385</t>
  </si>
  <si>
    <t>14387</t>
  </si>
  <si>
    <t>14388</t>
  </si>
  <si>
    <t>14709</t>
  </si>
  <si>
    <t>14166</t>
  </si>
  <si>
    <t>14381</t>
  </si>
  <si>
    <t>14384</t>
  </si>
  <si>
    <t>14386</t>
  </si>
  <si>
    <t>14393</t>
  </si>
  <si>
    <t>14607</t>
  </si>
  <si>
    <t>12603</t>
  </si>
  <si>
    <t>14271</t>
  </si>
  <si>
    <t>14274</t>
  </si>
  <si>
    <t>14276</t>
  </si>
  <si>
    <t>14277</t>
  </si>
  <si>
    <t>12914</t>
  </si>
  <si>
    <t>14193</t>
  </si>
  <si>
    <t>14200</t>
  </si>
  <si>
    <t>14295</t>
  </si>
  <si>
    <t>14470</t>
  </si>
  <si>
    <t>13890</t>
  </si>
  <si>
    <t>13709</t>
  </si>
  <si>
    <t>14111</t>
  </si>
  <si>
    <t>14112</t>
  </si>
  <si>
    <t>14225</t>
  </si>
  <si>
    <t>14226</t>
  </si>
  <si>
    <t>14227</t>
  </si>
  <si>
    <t>14228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</si>
  <si>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</si>
  <si>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</si>
  <si>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</si>
  <si>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</si>
  <si>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</si>
  <si>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</si>
  <si>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</si>
  <si>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</si>
  <si>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</si>
  <si>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14316</t>
  </si>
  <si>
    <t>14551</t>
  </si>
  <si>
    <t>14553</t>
  </si>
  <si>
    <t>14584</t>
  </si>
  <si>
    <t>12326</t>
  </si>
  <si>
    <t>14229</t>
  </si>
  <si>
    <t>14492</t>
  </si>
  <si>
    <t>14305</t>
  </si>
  <si>
    <t>14297</t>
  </si>
  <si>
    <t>14659</t>
  </si>
  <si>
    <t>13780</t>
  </si>
  <si>
    <t>14114</t>
  </si>
  <si>
    <t>14210</t>
  </si>
  <si>
    <t>14211</t>
  </si>
  <si>
    <t>14212</t>
  </si>
  <si>
    <t>14213</t>
  </si>
  <si>
    <t>14214</t>
  </si>
  <si>
    <t>14215</t>
  </si>
  <si>
    <t>14217</t>
  </si>
  <si>
    <t>14218</t>
  </si>
  <si>
    <t>14220</t>
  </si>
  <si>
    <t>14221</t>
  </si>
  <si>
    <t>14222</t>
  </si>
  <si>
    <t>14223</t>
  </si>
  <si>
    <t>14224</t>
  </si>
  <si>
    <t>14296</t>
  </si>
  <si>
    <t>14399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</si>
  <si>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</si>
  <si>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</si>
  <si>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</si>
  <si>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</si>
  <si>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</si>
  <si>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</si>
  <si>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</si>
  <si>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</si>
  <si>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</si>
  <si>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</si>
  <si>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</si>
  <si>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</si>
  <si>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</si>
  <si>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</si>
  <si>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</si>
  <si>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</si>
  <si>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</si>
  <si>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</si>
  <si>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</si>
  <si>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14520</t>
  </si>
  <si>
    <t>14521</t>
  </si>
  <si>
    <t>14522</t>
  </si>
  <si>
    <t>14523</t>
  </si>
  <si>
    <t>14524</t>
  </si>
  <si>
    <t>14525</t>
  </si>
  <si>
    <t>14527</t>
  </si>
  <si>
    <t>14528</t>
  </si>
  <si>
    <t>14529</t>
  </si>
  <si>
    <t>14530</t>
  </si>
  <si>
    <t>14532</t>
  </si>
  <si>
    <t>14533</t>
  </si>
  <si>
    <t>14534</t>
  </si>
  <si>
    <t>14535</t>
  </si>
  <si>
    <t>14537</t>
  </si>
  <si>
    <t>14564</t>
  </si>
  <si>
    <t>14565</t>
  </si>
  <si>
    <t>14566</t>
  </si>
  <si>
    <t>14674</t>
  </si>
  <si>
    <t>14230</t>
  </si>
  <si>
    <t>14526</t>
  </si>
  <si>
    <t>14540</t>
  </si>
  <si>
    <t>14209</t>
  </si>
  <si>
    <t>14219</t>
  </si>
  <si>
    <t>123</t>
  </si>
  <si>
    <t>259</t>
  </si>
  <si>
    <t>261</t>
  </si>
  <si>
    <t>262</t>
  </si>
  <si>
    <t>263</t>
  </si>
  <si>
    <t>265</t>
  </si>
  <si>
    <t>266</t>
  </si>
  <si>
    <t>267</t>
  </si>
  <si>
    <t>268</t>
  </si>
  <si>
    <t>269</t>
  </si>
  <si>
    <t>237</t>
  </si>
  <si>
    <t>202</t>
  </si>
  <si>
    <t>112</t>
  </si>
  <si>
    <t>159</t>
  </si>
  <si>
    <t>170</t>
  </si>
  <si>
    <t>260</t>
  </si>
  <si>
    <t>111</t>
  </si>
  <si>
    <t>270</t>
  </si>
  <si>
    <t>96</t>
  </si>
  <si>
    <t>273</t>
  </si>
  <si>
    <t>271</t>
  </si>
  <si>
    <t>8</t>
  </si>
  <si>
    <t>252</t>
  </si>
  <si>
    <t>264</t>
  </si>
  <si>
    <t>257</t>
  </si>
  <si>
    <t>224</t>
  </si>
  <si>
    <t>140</t>
  </si>
  <si>
    <t>253</t>
  </si>
  <si>
    <t>256</t>
  </si>
  <si>
    <t>5</t>
  </si>
  <si>
    <t>178</t>
  </si>
  <si>
    <t>144</t>
  </si>
  <si>
    <t>145</t>
  </si>
  <si>
    <t>258</t>
  </si>
  <si>
    <t>14259</t>
  </si>
  <si>
    <t>14260</t>
  </si>
  <si>
    <t>14261</t>
  </si>
  <si>
    <t>11794</t>
  </si>
  <si>
    <t>14262</t>
  </si>
  <si>
    <t xml:space="preserve"> </t>
  </si>
  <si>
    <t>SLAC - Perkins Promissory Note 14141</t>
  </si>
  <si>
    <t>SLAC - NOTIF in bal file w/ "B" on 0 bal  14664</t>
  </si>
  <si>
    <t>SLAC - Est new interest rate for PU loans  14665</t>
  </si>
  <si>
    <t>SLAC - Remove Defer 35 &amp; 47 from Loan List  14714</t>
  </si>
  <si>
    <t>SLAC - Calumet  to reactivate FTP 05 Trns 12709</t>
  </si>
  <si>
    <t>FMIS - Annual Yr End Mods  14971</t>
  </si>
  <si>
    <t>Replicate all Registrar-relevant SIS tables to SIQ.‎</t>
  </si>
  <si>
    <t>AKA/nickname clean-up</t>
  </si>
  <si>
    <t>General Support - Budget (7145)</t>
  </si>
  <si>
    <t>FMIS - Fund Explosion File Listing‎  14967</t>
  </si>
  <si>
    <t>FMIS - Attribute File Data Load  14968</t>
  </si>
  <si>
    <t>Flex Open/Close Enrollment 2004 (14956)</t>
  </si>
  <si>
    <t>Audit Emergency ACID's for FlexSystem (8098)</t>
  </si>
  <si>
    <t>General Support - Flex (9460)</t>
  </si>
  <si>
    <t>General Support - PAIS (12585)</t>
  </si>
  <si>
    <t>Salary Budget Forward 2004 (14938)</t>
  </si>
  <si>
    <t>August AY Payroll 2004 (14939)</t>
  </si>
  <si>
    <t>Payroll Year-End 2004 (14954)</t>
  </si>
  <si>
    <t>General Support - Payroll Calculator (10495)</t>
  </si>
  <si>
    <t>General Support - Payroll (12415)</t>
  </si>
  <si>
    <t>General Support - Resumix (8317)</t>
  </si>
  <si>
    <t>General Support - Personnel (11435)</t>
  </si>
  <si>
    <t>Administrative Overhead for HR team (13628)</t>
  </si>
  <si>
    <t>Predictive Modeling - Annual Support Prospect</t>
  </si>
  <si>
    <t>Predictive Modeling - Annual Support Inquiry</t>
  </si>
  <si>
    <t>Predictive Modeling - Annual Support Admit</t>
  </si>
  <si>
    <t>RHAC - Annual Reporting 2003-2004   14255</t>
  </si>
  <si>
    <t>Update PLUSENRL for summer 2004 (14478)</t>
  </si>
  <si>
    <t>PFAE Data Capture for Noel Levitz (14873)</t>
  </si>
  <si>
    <t>Mod the download to include alt loans (12611)</t>
  </si>
  <si>
    <t>2002-2003 Purge   (14341)</t>
  </si>
  <si>
    <t>Modify CDVB program (14489)</t>
  </si>
  <si>
    <t>Mod aid auth to always look for AUTH doc (14704)</t>
  </si>
  <si>
    <t>Carry Forward (14767)</t>
  </si>
  <si>
    <t>Annual ICHE Support (14816)</t>
  </si>
  <si>
    <t>IUPUI Interface (14790)</t>
  </si>
  <si>
    <t>Modify SAT fields, SISO and reports (13508)</t>
  </si>
  <si>
    <t>Annual Web App Support (14001)</t>
  </si>
  <si>
    <t>Mainframe Support July 03 - June 04 (14003)</t>
  </si>
  <si>
    <t>SAT/PSAT Major Code Change</t>
  </si>
  <si>
    <t>SAT I External Load</t>
  </si>
  <si>
    <t>Natl Merit and IRTSAP Mods (annual)</t>
  </si>
  <si>
    <t>JETS Engr Ext Data Load  14208</t>
  </si>
  <si>
    <t>Geomarket Update (EPS) (annual)</t>
  </si>
  <si>
    <t>High School Load Mods (annual)</t>
  </si>
  <si>
    <t>ACT Load Mods (annual)</t>
  </si>
  <si>
    <t>SAT Load Mods (annual)</t>
  </si>
  <si>
    <t>Jr. Survey Data Load (annual)</t>
  </si>
  <si>
    <t>Twenty-First Century Scholar Load Mods (annual)</t>
  </si>
  <si>
    <t>PSAT Load Mods (annual)  10939</t>
  </si>
  <si>
    <t>Plan EOS Data Load Mods (annual)  12662</t>
  </si>
  <si>
    <t>Ventures Scholars Load Mods (annual)  12663</t>
  </si>
  <si>
    <t>SAT/ACT Modifications  13923</t>
  </si>
  <si>
    <t>Cleanup bogus PUID's</t>
  </si>
  <si>
    <t>JPC download link-Alert</t>
  </si>
  <si>
    <t>Redevelop manage cache process (Analysis to be completed in January)</t>
  </si>
  <si>
    <t>Work with BSR to fix gift club maintenance issue in client.‎</t>
  </si>
  <si>
    <t>Purge old unix log files</t>
  </si>
  <si>
    <t>Resolve PVCS/Powerbuilder issue</t>
  </si>
  <si>
    <t>Reset the PCC number in the Orbital ID generator to start again at PCC0000001.</t>
  </si>
  <si>
    <t>Weekly process to inactivate JPC memberships  (with Paciolan Athletics Interface)</t>
  </si>
  <si>
    <t>Error checking in Unix shell scripts</t>
  </si>
  <si>
    <t>Balance UDODSDEV</t>
  </si>
  <si>
    <t>SmartCall 9.2 Upgrade‎</t>
  </si>
  <si>
    <t>RHCA - Card Access Redgn Interface - add DOC 13704</t>
  </si>
  <si>
    <t>University Development Operational Data Store Reporting</t>
  </si>
  <si>
    <t>ODS Star Refresh</t>
  </si>
  <si>
    <t>University Development Operational Data Store Star Refresh</t>
  </si>
  <si>
    <t>PAAC</t>
  </si>
  <si>
    <t>Adjusting Payroll Charge</t>
  </si>
  <si>
    <t>Purdue Advanced Continuing Education Registration System</t>
  </si>
  <si>
    <t>PAC II - Time Entry</t>
  </si>
  <si>
    <t>Flex Benefits</t>
  </si>
  <si>
    <t xml:space="preserve">PAIS </t>
  </si>
  <si>
    <t>Payroll Appointment Information System</t>
  </si>
  <si>
    <t>Vehicle Insurance</t>
  </si>
  <si>
    <t>Payroll</t>
  </si>
  <si>
    <t>Payroll/Flex Interface</t>
  </si>
  <si>
    <t>PAYR/PPWP</t>
  </si>
  <si>
    <t>Payroll/Work in Process Interface</t>
  </si>
  <si>
    <t>PEAR</t>
  </si>
  <si>
    <t>Applicant Retrieval</t>
  </si>
  <si>
    <t>Personnel</t>
  </si>
  <si>
    <t>PESN/PAYR</t>
  </si>
  <si>
    <t>Personnel/Payroll Interface</t>
  </si>
  <si>
    <t>PFPA</t>
  </si>
  <si>
    <t>Parking Services</t>
  </si>
  <si>
    <t xml:space="preserve">PF - General </t>
  </si>
  <si>
    <t xml:space="preserve">PF Project Management </t>
  </si>
  <si>
    <t>Parking Services - Permit System</t>
  </si>
  <si>
    <t>PFTI</t>
  </si>
  <si>
    <t>Parking Services - Ticket System</t>
  </si>
  <si>
    <t>PHIR-911</t>
  </si>
  <si>
    <t>COMIT - 911 Interface (consulting)</t>
  </si>
  <si>
    <t>PHON</t>
  </si>
  <si>
    <t>COMIT - General/Ledger Interface</t>
  </si>
  <si>
    <t>PPMT</t>
  </si>
  <si>
    <t>Material Transfer (General/Ledger Transaction entry) System.</t>
  </si>
  <si>
    <t>Work-in-Process Payroll System</t>
  </si>
  <si>
    <t>Purdue Registration and Event Management Information System</t>
  </si>
  <si>
    <t>Property Accounting</t>
  </si>
  <si>
    <t>PUGA</t>
  </si>
  <si>
    <t>Demurrage System General/Ledger Interface</t>
  </si>
  <si>
    <t>PUIB</t>
  </si>
  <si>
    <t>Incidental Billing System</t>
  </si>
  <si>
    <t>PUID</t>
  </si>
  <si>
    <t>Purdue University Identifier</t>
  </si>
  <si>
    <t>Purchasing - Purchase Orders</t>
  </si>
  <si>
    <t>PUPR</t>
  </si>
  <si>
    <t>Printing Services G/L Interface Support</t>
  </si>
  <si>
    <t>Purdue OLTP</t>
  </si>
  <si>
    <t>University Development Purdue Online Transaction Processing</t>
  </si>
  <si>
    <t>PUTR</t>
  </si>
  <si>
    <t>Transportation G/L Interface Support</t>
  </si>
  <si>
    <t>Registrar</t>
  </si>
  <si>
    <t>Sponsored Programs Tracking System.</t>
  </si>
  <si>
    <t>Residence Hall Accounting</t>
  </si>
  <si>
    <t>RHBO</t>
  </si>
  <si>
    <t>Residence Hall Business Office</t>
  </si>
  <si>
    <t>Access Card Interfaces</t>
  </si>
  <si>
    <t>RMS Interfaces</t>
  </si>
  <si>
    <t>Admissions</t>
  </si>
  <si>
    <t>Stiudent Information System/Student Information Query/Student Services Information</t>
  </si>
  <si>
    <t>Student Loans</t>
  </si>
  <si>
    <t>Smartcall</t>
  </si>
  <si>
    <t>Univeristy Development Smartcall</t>
  </si>
  <si>
    <t>Task Access</t>
  </si>
  <si>
    <t>The Task System</t>
  </si>
  <si>
    <t>Task Access/3 Month Plan</t>
  </si>
  <si>
    <t>Decision Support - Planning</t>
  </si>
  <si>
    <t xml:space="preserve">UFUND </t>
  </si>
  <si>
    <t>United Way</t>
  </si>
  <si>
    <t>Housing  &amp; Food Servcies Decision Support System (Pending)</t>
  </si>
  <si>
    <t>WEB - Housing App</t>
  </si>
  <si>
    <t>WEB - Housing Application</t>
  </si>
  <si>
    <t>WIPI</t>
  </si>
  <si>
    <t>Work-in-Process Inquiry System</t>
  </si>
  <si>
    <t>WIPR</t>
  </si>
  <si>
    <t>Work-in-Process Reporting System</t>
  </si>
  <si>
    <t>Financial Year End Processing</t>
  </si>
  <si>
    <t>CAAC</t>
  </si>
  <si>
    <t>FMIS</t>
  </si>
  <si>
    <t>PAYR</t>
  </si>
  <si>
    <t>Started</t>
  </si>
  <si>
    <t>RHAC</t>
  </si>
  <si>
    <t>BUDG</t>
  </si>
  <si>
    <t>REGI</t>
  </si>
  <si>
    <t>PAFX</t>
  </si>
  <si>
    <t>PESN</t>
  </si>
  <si>
    <t>PFPF</t>
  </si>
  <si>
    <t>Bursar</t>
  </si>
  <si>
    <t>SIS</t>
  </si>
  <si>
    <t>PAYR/PAFX</t>
  </si>
  <si>
    <t>SLAC</t>
  </si>
  <si>
    <t>CARS</t>
  </si>
  <si>
    <t>RHCA</t>
  </si>
  <si>
    <t>PFPM</t>
  </si>
  <si>
    <t>PROP</t>
  </si>
  <si>
    <t>DFA</t>
  </si>
  <si>
    <t>CN</t>
  </si>
  <si>
    <t>Support Replacement of PACERS</t>
  </si>
  <si>
    <t>PAIS</t>
  </si>
  <si>
    <t>Standards</t>
  </si>
  <si>
    <t>Enterprise Scheduling Project</t>
  </si>
  <si>
    <t>ACAG</t>
  </si>
  <si>
    <t>INSU</t>
  </si>
  <si>
    <t>SIAD</t>
  </si>
  <si>
    <t>RFSP</t>
  </si>
  <si>
    <t>HRMT</t>
  </si>
  <si>
    <t>WAI</t>
  </si>
  <si>
    <t>PACII</t>
  </si>
  <si>
    <t>PACII - Remove Vacation Tracking System.</t>
  </si>
  <si>
    <t>COEUS</t>
  </si>
  <si>
    <t>ASER</t>
  </si>
  <si>
    <t>Elective modifications for 2004-05 Budget year</t>
  </si>
  <si>
    <t>PPWP</t>
  </si>
  <si>
    <t>Data Admin</t>
  </si>
  <si>
    <t>OnePurdue</t>
  </si>
  <si>
    <t>PUPO</t>
  </si>
  <si>
    <t>PAVE</t>
  </si>
  <si>
    <t>YREND</t>
  </si>
  <si>
    <t>PFPR</t>
  </si>
  <si>
    <t>SIS Employee Data Upgrade</t>
  </si>
  <si>
    <t>Noel-Levitz  14219</t>
  </si>
  <si>
    <t>Housing</t>
  </si>
  <si>
    <t>UR Data Warehouse</t>
  </si>
  <si>
    <t>Ready for Class Review</t>
  </si>
  <si>
    <t>Portfolio Management Project</t>
  </si>
  <si>
    <t>Implementing the Project Mgmt Software, Processes On Demand (POD)</t>
  </si>
  <si>
    <t>RAMIS Phase Out</t>
  </si>
  <si>
    <t>ITEA Software Administration Database</t>
  </si>
  <si>
    <t>Modification to "Address Updates from Student Housing" Report - REHCD565</t>
  </si>
  <si>
    <t>Ariba</t>
  </si>
  <si>
    <t>Investigate and implement Ariba standard reports</t>
  </si>
  <si>
    <t>User load issue</t>
  </si>
  <si>
    <t>PCR reroute back to the approver</t>
  </si>
  <si>
    <t>ISIRS Mods (annual)  14421</t>
  </si>
  <si>
    <t>Check Ariba logs daily for a 6 month period</t>
  </si>
  <si>
    <t>E-Commerce</t>
  </si>
  <si>
    <t>RMS</t>
  </si>
  <si>
    <t>PREMIS</t>
  </si>
  <si>
    <t>PACERS</t>
  </si>
  <si>
    <t>DBD Update</t>
  </si>
  <si>
    <t>SmartCall</t>
  </si>
  <si>
    <t>Advance C/S</t>
  </si>
  <si>
    <t>ODS</t>
  </si>
  <si>
    <t>PF/Accounting Rewrite</t>
  </si>
  <si>
    <t>Paciolan Athletics Interface</t>
  </si>
  <si>
    <t>HEP matching company data load (Data Load)</t>
  </si>
  <si>
    <t>ITEA Internal Applications</t>
  </si>
  <si>
    <t>Supplemental account refresh</t>
  </si>
  <si>
    <t>Advance C/S upgrade</t>
  </si>
  <si>
    <t>Oracle upgrade to version 9i</t>
  </si>
  <si>
    <t>Implement Advance Web Communities - Mentoring</t>
  </si>
  <si>
    <t>Replicate 11 new tables for Paciolan interface</t>
  </si>
  <si>
    <t>Load Miscellaneous data from Alumni Finder</t>
  </si>
  <si>
    <t>Set up codes for IU Records at IPFW</t>
  </si>
  <si>
    <t>Reports</t>
  </si>
  <si>
    <t>Improve Senior/Parent calling process.</t>
  </si>
  <si>
    <t>Web Processes</t>
  </si>
  <si>
    <t>Implement  e-alumni (core product)</t>
  </si>
  <si>
    <t>Upgrade online giving to work with e-alumni core product</t>
  </si>
  <si>
    <t>Gift Clubs</t>
  </si>
  <si>
    <t>JPC Giftclub (with Paciolan Athletics Interface)</t>
  </si>
  <si>
    <t>United Way Vendor Implementati</t>
  </si>
  <si>
    <t>Gift club inactivation</t>
  </si>
  <si>
    <t>Purgable Record Process</t>
  </si>
  <si>
    <t>United Way Production</t>
  </si>
  <si>
    <t>Create a Match between SSN and PUID for Payroll deductions</t>
  </si>
  <si>
    <t>Adjustment to Telefund Reminder Process</t>
  </si>
  <si>
    <t>Sport Code Conversion (with Paciolan Athletics Interface)</t>
  </si>
  <si>
    <t>Assist with Athletics interface</t>
  </si>
  <si>
    <t>Alumni club download maintenance</t>
  </si>
  <si>
    <t>Adance C/S - Orbital batch detail getting user name stamp on update. Should be Telefund stamp for Orbital report.</t>
  </si>
  <si>
    <t>Process ODS Refresh on Records with Multiple Maiden Name and Nickname Errors</t>
  </si>
  <si>
    <t>Remove PC Joint Formal Salutation rows (Type'PC') from ADVANCE.SALUTATION</t>
  </si>
  <si>
    <t>Document how names are built in various applications; strive to use name wizard as re-usable ‎object in all applications that generate names of communication with donors.  Applications ‎identified are:  Name wiz itself, Appeal Wiz, Label Wiz, Directory Do</t>
  </si>
  <si>
    <t>Classification</t>
  </si>
  <si>
    <t>System</t>
  </si>
  <si>
    <t>Status</t>
  </si>
  <si>
    <t>ITEA RFS #</t>
  </si>
  <si>
    <t>Short Description</t>
  </si>
  <si>
    <t>Date Received</t>
  </si>
  <si>
    <t>Target Date</t>
  </si>
  <si>
    <t>Low Estimate</t>
  </si>
  <si>
    <t>High Estimate</t>
  </si>
  <si>
    <t>Electives</t>
  </si>
  <si>
    <t>Non-Electives</t>
  </si>
  <si>
    <t>Total</t>
  </si>
  <si>
    <t>Total # of Request for Service (RFS)</t>
  </si>
  <si>
    <t>System Name</t>
  </si>
  <si>
    <t>Agriculture Accounting</t>
  </si>
  <si>
    <t>Analytical Studies - Effort Reporting</t>
  </si>
  <si>
    <t>BADR</t>
  </si>
  <si>
    <t>Bus. Admin. - Dept Reference</t>
  </si>
  <si>
    <t>Budget</t>
  </si>
  <si>
    <t>BUFC</t>
  </si>
  <si>
    <t>Faculty Contracts</t>
  </si>
  <si>
    <t>Business Intel Arch</t>
  </si>
  <si>
    <t>Business Intelligence Architecture</t>
  </si>
  <si>
    <t>Sponsored Programs Accounting</t>
  </si>
  <si>
    <t>Centralized Accounts Receivable System.</t>
  </si>
  <si>
    <t>OCEC</t>
  </si>
  <si>
    <t>Sponsored Programs System (MIT)</t>
  </si>
  <si>
    <t>Data Administration</t>
  </si>
  <si>
    <t>Division Financial Aid</t>
  </si>
  <si>
    <t>DPDS</t>
  </si>
  <si>
    <t>Data Warehouse</t>
  </si>
  <si>
    <t>EWOTS</t>
  </si>
  <si>
    <t>Elect. Work Order Transmittal System</t>
  </si>
  <si>
    <t>Expresslane</t>
  </si>
  <si>
    <t>External Procedures</t>
  </si>
  <si>
    <t>Financial Management Information System</t>
  </si>
  <si>
    <t>Housing Process Support</t>
  </si>
  <si>
    <t>IDN Data Mart &amp; Metrics</t>
  </si>
  <si>
    <t>Information Quality</t>
  </si>
  <si>
    <t>Building Insurance</t>
  </si>
  <si>
    <t>IVAC</t>
  </si>
  <si>
    <t>Investments - Cash Magnagement Support</t>
  </si>
  <si>
    <t>ODS Replication</t>
  </si>
  <si>
    <t>University Development Operational Data Store Replication</t>
  </si>
  <si>
    <t>ODS Reporting</t>
  </si>
  <si>
    <t>Business Services</t>
  </si>
  <si>
    <t>Student Services</t>
  </si>
  <si>
    <t>ITEA</t>
  </si>
  <si>
    <t>Housing &amp; Food Services</t>
  </si>
  <si>
    <t>V.P. Area</t>
  </si>
  <si>
    <t>University Advancement</t>
  </si>
  <si>
    <t>Physical Facilities</t>
  </si>
  <si>
    <t>ITaP / ITEA</t>
  </si>
  <si>
    <t>Total Work In Process</t>
  </si>
  <si>
    <t>Engagement</t>
  </si>
  <si>
    <t>Research Admin.</t>
  </si>
  <si>
    <t>Academics</t>
  </si>
  <si>
    <t>Institutional Research</t>
  </si>
  <si>
    <t>Not Started</t>
  </si>
  <si>
    <t>Improve Ariba documentation</t>
  </si>
  <si>
    <t>Automate user load</t>
  </si>
  <si>
    <t>Implement Change Order Processing</t>
  </si>
  <si>
    <t>Implement Email Approval</t>
  </si>
  <si>
    <t>Find a way to disable the "new ship tor" button for all users</t>
  </si>
  <si>
    <t>CADE - Modify  to add audit on screen A922 14314</t>
  </si>
  <si>
    <t>CARS - Agency Payment Report 14118</t>
  </si>
  <si>
    <t>CARS - Expand comment screen limit 14119</t>
  </si>
  <si>
    <t>Pending</t>
  </si>
  <si>
    <t>COEUS - Implement new modules of COEUS 14124</t>
  </si>
  <si>
    <t>Commas in Amounts in Purdue-pay</t>
  </si>
  <si>
    <t>Partial Refunds in IPS</t>
  </si>
  <si>
    <t>Update ability for rejected ACH payments</t>
  </si>
  <si>
    <t>Purdue-pay e-mail links on payer pages</t>
  </si>
  <si>
    <t>Libraries’ TIS IPS appl.ication</t>
  </si>
  <si>
    <t>FMIS - FIJ3  14121</t>
  </si>
  <si>
    <t>FMIS - FIJ4 14122</t>
  </si>
  <si>
    <t>FMIS - On-Line Travel Booking System 14125</t>
  </si>
  <si>
    <t>HR Self Service - Add Update Capabilities</t>
  </si>
  <si>
    <t>HR Self Service - Benefits Open Enrollment</t>
  </si>
  <si>
    <t>Determine an easy way to track Temporary Positions</t>
  </si>
  <si>
    <t>Ready for Advisory Group</t>
  </si>
  <si>
    <t>Purdue Registration &amp; Event Management Information System (PREMIS) Phase II</t>
  </si>
  <si>
    <t>Purdue Registration &amp; Event Management Information System (PREMIS) Phase III</t>
  </si>
  <si>
    <t>Purdue Registration &amp; Event Management Information System (PREMIS) Phase IV</t>
  </si>
  <si>
    <t>Purdue Registration &amp; Event Management Information System (PREMIS) Phase V</t>
  </si>
  <si>
    <t>SPS - Consult Interim Routing Discvry Park 14691</t>
  </si>
  <si>
    <t>SPS - Award Notification (EARNIP) Phase II 13540</t>
  </si>
  <si>
    <t>ITaP</t>
  </si>
  <si>
    <t>Fix the Probability of earning a C in the Profile table.</t>
  </si>
  <si>
    <t>Define COEUS data models and load corresponding information to the Data Warehouse</t>
  </si>
  <si>
    <t>Change the Student Program Change table to pick up the semester information prior to and subsequent from a person's change in campus or school.</t>
  </si>
  <si>
    <t>Describe the CA_POSTPAY file to the DSS data warehouse so users can query as the person level detail for payroll data and balance with the University general ledger.</t>
  </si>
  <si>
    <t>Remove access to Instructional Tables</t>
  </si>
  <si>
    <t>Expand 'regular hours' field for Athletics.</t>
  </si>
  <si>
    <t>Correct Years in Position Calculation.</t>
  </si>
  <si>
    <t>Remove Disability information from DSS for HIPAA..</t>
  </si>
  <si>
    <t>Correct the Grade Index field in Student DSS.</t>
  </si>
  <si>
    <t>Remove address fields from DSS Student table.</t>
  </si>
  <si>
    <t>PFPM - Closing work order labor  12914</t>
  </si>
  <si>
    <t>PFPR - Replace M/F Parking systems  14193</t>
  </si>
  <si>
    <t>PFPR - Exclude Staff from annual Ticket Purge 14200</t>
  </si>
  <si>
    <t>OCEC System "Continuity 2000" interfaces to Student Systems</t>
  </si>
  <si>
    <t>Implement Parent Loan Master Prom Note  (14470)</t>
  </si>
  <si>
    <t>EFT for Alternative Loans (13890)</t>
  </si>
  <si>
    <t>Honors/Convo - Update Population</t>
  </si>
  <si>
    <t>Rename 6th byte of immunization data</t>
  </si>
  <si>
    <t>POS Site Code - Additions &amp; Deletions</t>
  </si>
  <si>
    <t>Change Font on encumbrance letters</t>
  </si>
  <si>
    <t>Change POS field names</t>
  </si>
  <si>
    <t>Please modify the process which creates the RESMA095 reports so that no historical reports are ‎created.  Only current and future (if any) are needed.‎</t>
  </si>
  <si>
    <t>New Campus Wide Office of Programs for Study Abroad Tracking System</t>
  </si>
  <si>
    <t>Modify Dropped Student Encumbrance</t>
  </si>
  <si>
    <t>Modify Output for Honors Convocation</t>
  </si>
  <si>
    <t>Modify Repeat Course Audit</t>
  </si>
  <si>
    <t>Modify REAC Algorithm</t>
  </si>
  <si>
    <t>Modify Encumbrance Handling</t>
  </si>
  <si>
    <t>Status Note Sort</t>
  </si>
  <si>
    <t>Automate Final Cancel</t>
  </si>
  <si>
    <t>Modify Degree Data and Posting to Handle a Third Degree</t>
  </si>
  <si>
    <t>Scholastic Index by School Not Grouped Correctly</t>
  </si>
  <si>
    <t>Allow DSE to Process Foreign Addresses</t>
  </si>
  <si>
    <t>Replace or utilize PUID in Legacy Systems</t>
  </si>
  <si>
    <t>Provide centralized PUID Solution</t>
  </si>
  <si>
    <t>Modification to Freshman Probablilty Index</t>
  </si>
  <si>
    <t>An application integration framework must be designed and developed to facilitate the ‎move to an ERP in the future.‎</t>
  </si>
  <si>
    <t>Add PUID to SI</t>
  </si>
  <si>
    <t>Update local address directly from RMS to SI</t>
  </si>
  <si>
    <t>Prospective Student Portal</t>
  </si>
  <si>
    <t>ADM - Day On Campus data feed to RMS (14659)</t>
  </si>
  <si>
    <t>PFAE Enhancements and Scholarship BPR  (13780)</t>
  </si>
  <si>
    <t>E-mail addresses in SIS</t>
  </si>
  <si>
    <t>Add SIS User Preferences</t>
  </si>
  <si>
    <t>Harvest High School and Core GPA from SI.  Add a field in SIS to store the Core GPA. ‎</t>
  </si>
  <si>
    <t>E-project for SSINFO summer financial aid application</t>
  </si>
  <si>
    <t>E-project for SSINFO payroll authorization form (PAF)‎</t>
  </si>
  <si>
    <t>E-project for display of aggregate financial aid information on SSINFO</t>
  </si>
  <si>
    <t>E-project to display the Preliminary Financial Aid Estimate (PFAE) and Scholarship Information ‎on SSINFO ‎</t>
  </si>
  <si>
    <t>E-project to expand the loan information available on SSINFO</t>
  </si>
  <si>
    <t>E-project for interactive award letter allowing students to accept/reject/reduce various types of ‎financial aid in their aid package on SSINFO.‎</t>
  </si>
  <si>
    <t>Application Status on SSINFO - Provide status of file‎</t>
  </si>
  <si>
    <t>SSINFO Accounts Training &amp; Support for Newly Admitted Students - Provide earlier ‎communication of SSINFO access to new students and inform them of their career account and ‎email login</t>
  </si>
  <si>
    <t>Please modify course roster displays and downloads to include the students who have ‎cancelled/withdrawn from the section and the date of schedule change. This inclusion could be in ‎the regular listing or as an addendum, whichever is most practical.‎</t>
  </si>
  <si>
    <t>Please re-create the system for creation and maintenance of Progress Report Specifications ‎Matrix in the SIS system.  ‎</t>
  </si>
  <si>
    <t>Please modify the person finder screen in SIS to include options which will indicate whether the ‎person is or was ever an actual purdue student.  These might include "last session of attendance", ‎campus, school, major, or classification.‎</t>
  </si>
  <si>
    <t>Vista Deployment SIS Integration Sub-Project</t>
  </si>
  <si>
    <t>SIS Authoritative Source for Test Scores</t>
  </si>
  <si>
    <t>BGR Registration Via the Web</t>
  </si>
  <si>
    <t>Electronic Customer Interface Developments</t>
  </si>
  <si>
    <t>Transfer Credit</t>
  </si>
  <si>
    <t>Campus Map</t>
  </si>
  <si>
    <t>Commencement Participation Data Collection on SSINFO</t>
  </si>
  <si>
    <t>Instructor Specific Information on Course Depository in SIS</t>
  </si>
  <si>
    <t>Key Word Search for the Course Repository</t>
  </si>
  <si>
    <t>Add textbook information in the course depository on SIS</t>
  </si>
  <si>
    <t>On-line Registration</t>
  </si>
  <si>
    <t>On-line Plan of Study‎</t>
  </si>
  <si>
    <t>Enhance Student Schedule Display on SSINFO</t>
  </si>
  <si>
    <t>Student Schedule Download from SSINFO</t>
  </si>
  <si>
    <t>Wait List Enhancement on SSINFO ‎</t>
  </si>
  <si>
    <t>What-if Grade Calculation in SSINFO</t>
  </si>
  <si>
    <t>Electronic Grade Reporting</t>
  </si>
  <si>
    <t>Student Organizations Enhancements on SSINFO</t>
  </si>
  <si>
    <t>Make SSINFO and SIS on the Web work on PDAs</t>
  </si>
  <si>
    <t>On-line Forms</t>
  </si>
  <si>
    <t>Off-campus Housing‎</t>
  </si>
  <si>
    <t>Electronic Bill Presentment and Payment (replacement of Purdue Pay) ‎</t>
  </si>
  <si>
    <t>Purdue-Pay Enhancements ‎</t>
  </si>
  <si>
    <t>On-line Promissory Notes ‎</t>
  </si>
  <si>
    <t>On-line Loan Exit Counseling</t>
  </si>
  <si>
    <t>On-line Refund Calculator</t>
  </si>
  <si>
    <t>TRA97‎ Enhancements</t>
  </si>
  <si>
    <t>A/R payments on-line</t>
  </si>
  <si>
    <t>On-line payment of parking tickets</t>
  </si>
  <si>
    <t>On-line payment of thesis charges</t>
  </si>
  <si>
    <t>On-line payment of application fees</t>
  </si>
  <si>
    <t>Display student name on SSINFO</t>
  </si>
  <si>
    <t>Provide tuition/fee charges on SSINFO after "Registered"</t>
  </si>
  <si>
    <t>Display payments on SSINFO</t>
  </si>
  <si>
    <t>Provide housing information on SSINFO</t>
  </si>
  <si>
    <t>Graduate School Bulletin</t>
  </si>
  <si>
    <t>Provide the student with a way to electronically transfer funds from his personal bank account to Boiler Express.</t>
  </si>
  <si>
    <t>Capture alternate email addresses for parents or others as designated by the student.</t>
  </si>
  <si>
    <t>Prevent the display of the student's schedule of classes if the student is encumbered and not billed.</t>
  </si>
  <si>
    <t>Complete the Academic and Extracurricular Ranking Functionality in SIS/SIQ</t>
  </si>
  <si>
    <t>PUID on Course Roster</t>
  </si>
  <si>
    <t>Display SSN/SID and PUID</t>
  </si>
  <si>
    <t>‎1Purdue Portal Pilot Project‎</t>
  </si>
  <si>
    <t>University Development</t>
  </si>
  <si>
    <t>Prospect Search - Add Group Criterea</t>
  </si>
  <si>
    <t>Advance Web Communities- Cathy's back up</t>
  </si>
  <si>
    <t>Annual Giving Support  (High Level Project)</t>
  </si>
  <si>
    <t>OIR Support (High Level Project)</t>
  </si>
  <si>
    <t>Research Support (High Level Project)</t>
  </si>
  <si>
    <t>Vet Med client database integration (high level project)</t>
  </si>
  <si>
    <t>WBAA application interface  (High Level Project)</t>
  </si>
  <si>
    <t>Convocations application interface (High level project)</t>
  </si>
  <si>
    <t>Events credit card processing back end integration (High level project)</t>
  </si>
  <si>
    <t>Advance C/S version 7 upgrade (High level project)</t>
  </si>
  <si>
    <t>Contact Report Email _x000D_
Send a weekly email to each fundraiser listing contact reports filed on his/her prospects.  Also ‎include gifts and pledges $1,000 or higher on his/her prospects.‎</t>
  </si>
  <si>
    <t>Event management-BSR coming June 2005</t>
  </si>
  <si>
    <t>Coordinate PUID addition to Advance database</t>
  </si>
  <si>
    <t>Advance Web Community (High Level Project)</t>
  </si>
  <si>
    <t>Load phone numbers received from Alumni Finder on 11/10/2003‎</t>
  </si>
  <si>
    <t>Express Lane</t>
  </si>
  <si>
    <t>replace ud_send_mail.pl script</t>
  </si>
  <si>
    <t>Eliminate inactive allocations from displaying as a choice when ‎entering gifts</t>
  </si>
  <si>
    <t>Modify head of household routine in donor refresh to include staff member test.  See flowchart ‎for details.‎</t>
  </si>
  <si>
    <t>PAA</t>
  </si>
  <si>
    <t>PAA Suport (high level Project)</t>
  </si>
  <si>
    <t>Changes to Acknowledgment Wizard for Student Services  (Pres. Council)_x000D_
Student Services would like the ability to breakout more departments in the Acknowledgment ‎Wizard.  A drop down box similar to that used for Agriculture, Science, and others is prefe</t>
  </si>
  <si>
    <t>Automation of Telefund FY Comparison Report. This report shows the number of contacts, ‎pledges, dollars pledged, pledge rate, average pledge amount, dollars raised per contact, size of ‎the population, and penetration percentage for past years and allows</t>
  </si>
  <si>
    <t>Adjust the current Telefund pledge cards for IPFW, West Lafayette, Calumet and North Central ‎so that the address with show in in a standard window envelope. Currently, we have to order ‎special envelopes with larger windows in order to mail pledge cards.</t>
  </si>
  <si>
    <t>SmartCall thank yous</t>
  </si>
  <si>
    <t>Automating UW for Regional Campuses</t>
  </si>
  <si>
    <t>Prospect Management Application web page.  See attached for details.‎</t>
  </si>
  <si>
    <t>University Residences</t>
  </si>
  <si>
    <t>RMS - SI Import mod 2‎ - RDL Override 14481</t>
  </si>
  <si>
    <t>RMS - SI Import mod- Change in PUID number 14482</t>
  </si>
  <si>
    <t>Complete the Profile Project Phase I</t>
  </si>
  <si>
    <t>Business Intelligence</t>
  </si>
  <si>
    <t>Pcard percent variance tolerances</t>
  </si>
  <si>
    <t>Verify accessibility of csv files on UNIX box</t>
  </si>
  <si>
    <t>Need to add more detail to the PCard testing plan.</t>
  </si>
  <si>
    <t>CARS - Bottom of bill not adding up  11855</t>
  </si>
  <si>
    <t>CARS - Printing Serv problems w/ AR ‎mail‎ 14863</t>
  </si>
  <si>
    <t>COEUS - Avg # days in UCG report problem 14860</t>
  </si>
  <si>
    <t>SPS - Wrong e-mail verbiage for Attrib 14864</t>
  </si>
  <si>
    <t>ITAP</t>
  </si>
  <si>
    <t>Include Alumni relationships in PUID</t>
  </si>
  <si>
    <t>Modifications required to load budget data.</t>
  </si>
  <si>
    <t>Enable Lab Course Special Fees</t>
  </si>
  <si>
    <t>Add mailers choice sorting to Housing invoices.</t>
  </si>
  <si>
    <t>Fold up Designated Fees into General Fees</t>
  </si>
  <si>
    <t>Mainframe Support  July 03 - June 04 (14009)</t>
  </si>
  <si>
    <t>Mainframe Support  July 03-June 04 (14464)</t>
  </si>
  <si>
    <t>Year 2000-date of birth.  Admissions office and Regional campuses currently use birthdate of 01/01/00 or maybe some other month-day/00 to mean unknown birthday.  (see SIREFA20 for example)</t>
  </si>
  <si>
    <t>Ethnicity - There are new standards for reporting race/ethnicity data for all individuals on all federal surveys.  The new standards require that ethnicity (Hispanic/Latino versus non-Hispanic/Latino) be reported independently from race</t>
  </si>
  <si>
    <t>WF index problem research</t>
  </si>
  <si>
    <t>Mainframe Support  July 03-June 04 (13138)</t>
  </si>
  <si>
    <t>ICHE SIS Country Codes  (14280)</t>
  </si>
  <si>
    <t>Bug in POS  (14299)</t>
  </si>
  <si>
    <t>ICHE Follow-up  (14304)</t>
  </si>
  <si>
    <t>RHCA - Better tailor Activity Rpt for needs 14865</t>
  </si>
  <si>
    <t xml:space="preserve">System </t>
  </si>
  <si>
    <t>Remove MERS number</t>
  </si>
  <si>
    <t>Try to produce report of orders over the $100 cap</t>
  </si>
  <si>
    <t>Store only last 6 digits of SS# in user.csv file</t>
  </si>
  <si>
    <t>Work with zone to create monthly list of csv files</t>
  </si>
  <si>
    <t>Research reported log problems and fix as needed</t>
  </si>
  <si>
    <t>HR - Med Contrib Field Expan in FI, Ag, ASER 14626</t>
  </si>
  <si>
    <t>Annual Budget System Mods for 04-05 Budget (13985)</t>
  </si>
  <si>
    <t>SPS - Create new F&amp;A Base for SPS Accounts 11008</t>
  </si>
  <si>
    <t>CARS - Modify FMIS feeds payments to write-offs  12870</t>
  </si>
  <si>
    <t>CARS - Credit balance on type W accounts 13108</t>
  </si>
  <si>
    <t>CARS - W-O NFEE not posting bad debt to FMIS 14546</t>
  </si>
  <si>
    <t>CARS - Reflect in FMIS chg acct from CARS - 14731</t>
  </si>
  <si>
    <t>CARS - Incl Reg Campus 1-2140 on Mo Recon - 14732</t>
  </si>
  <si>
    <t>COEUS - Impl IRB module - Phase I &amp; Phase II 14071</t>
  </si>
  <si>
    <t>FMIS - Fix Schedule I object mapping 14094</t>
  </si>
  <si>
    <t>Pacesetter - Move withdrawn proposals to result report</t>
  </si>
  <si>
    <t>Employer Medical Field Expansion (13710)</t>
  </si>
  <si>
    <t>FSA Duplicate Claims Problem (13783)</t>
  </si>
  <si>
    <t>Spousal Opt-out without Medical Credit (13887)</t>
  </si>
  <si>
    <t>PAVE - Risk Mgt Information System/Software 14129</t>
  </si>
  <si>
    <t>Need to Handle 2 PayPeriod 80s in FY 04-05 (14724)</t>
  </si>
  <si>
    <t>COBOLII Conversions (12277)</t>
  </si>
  <si>
    <t>Payroll Year End 2003 (13958)</t>
  </si>
  <si>
    <t>Excess Insurance W-2 Modification (14242)</t>
  </si>
  <si>
    <t>SS/OASDI Wage Base for 2004 (14467)</t>
  </si>
  <si>
    <t>Modify Liberty Mutual Workers Comp Data (10999)</t>
  </si>
  <si>
    <t>Voluntary Benefit Bill &amp; Remit Vendor File (14373)</t>
  </si>
  <si>
    <t>Replace Student/Personnel Interface (14702)</t>
  </si>
  <si>
    <t>Missing Form 4 Biweekly Updates (13977)</t>
  </si>
  <si>
    <t>Academic Rank Date Fix (13978)</t>
  </si>
  <si>
    <t>PROP - Action History File problms - Form data missing 12958</t>
  </si>
  <si>
    <t>PUPO - Bill 1811 - Part 2  14092</t>
  </si>
  <si>
    <t>PUPO - Bill 1811 - Part 3 14093</t>
  </si>
  <si>
    <t>Improve PUID Matching / Scoring process</t>
  </si>
  <si>
    <t>PUCC Feed Flag Issues</t>
  </si>
  <si>
    <t>Send Expunge when last active relationship removed</t>
  </si>
  <si>
    <t>People in source file with no PUID</t>
  </si>
  <si>
    <t>Timing of student status</t>
  </si>
  <si>
    <t>Data not updating from Source files into PUID</t>
  </si>
  <si>
    <t>Additional PUID Assignment</t>
  </si>
  <si>
    <t>SI-Purge Clean-up</t>
  </si>
  <si>
    <t>DSS Student, Financial, and employee (including the Workforce file) data all have departmnet names/codes associated with them independently.  A method needs to be developed to match departments across the different data types.</t>
  </si>
  <si>
    <t>Extend PUID system to resolve identity problems before they are propagated to legcy systems and the Data Warehouse.</t>
  </si>
  <si>
    <t>Move Financial Aid data to the Data Warehouse</t>
  </si>
  <si>
    <t>Move Regional Campus Application Data to the DW</t>
  </si>
  <si>
    <t>Remove the current test scores from Student Table</t>
  </si>
  <si>
    <t>Clean up records in student DSS with 2 query ids</t>
  </si>
  <si>
    <t>Move Admissions Application data to the D W.</t>
  </si>
  <si>
    <t>Complete the Student DSS Profile Project Phase II</t>
  </si>
  <si>
    <t>PACII - Archive and shut down.</t>
  </si>
  <si>
    <t>Print Archived Advice Forms (10742)</t>
  </si>
  <si>
    <t>Commonline v 5.0 Upgrade (13499)</t>
  </si>
  <si>
    <t>Purge Advice History</t>
  </si>
  <si>
    <t>TRA New Requirements  (13786)</t>
  </si>
  <si>
    <t>Deferred Fee Bill Window (14776)</t>
  </si>
  <si>
    <t>Aid type 93 disbursement problem (14777)</t>
  </si>
  <si>
    <t>Earn Paid for Pell and SWT (12992)</t>
  </si>
  <si>
    <t>Delete Alpha Check Audit Report (13503)</t>
  </si>
  <si>
    <t>DOE common record (13768)</t>
  </si>
  <si>
    <t>Annual SSACI Reconciliation (14323)</t>
  </si>
  <si>
    <t>FISAP (14463)</t>
  </si>
  <si>
    <t>Investigations</t>
  </si>
  <si>
    <t>New Applications</t>
  </si>
  <si>
    <t>Emergency Fixes</t>
  </si>
  <si>
    <t>Application Fixes</t>
  </si>
  <si>
    <t>Scheduled Modification</t>
  </si>
  <si>
    <t>Modify shell script for supplier load.</t>
  </si>
  <si>
    <t>Add an auxiliary part number filter to the system</t>
  </si>
  <si>
    <t>Fix filter by purchasing card number</t>
  </si>
  <si>
    <t>Order does not appear in the approver's box</t>
  </si>
  <si>
    <t>bad approvables causing user problems</t>
  </si>
  <si>
    <t>Fix Punchout catalogs -  Kirby Risk example</t>
  </si>
  <si>
    <t>Performance Issues</t>
  </si>
  <si>
    <t>Migrating suppliers to the ASN</t>
  </si>
  <si>
    <t>PC charge push to G/L</t>
  </si>
  <si>
    <t>Behavior of the reserve code on the user interface</t>
  </si>
  <si>
    <t>Make country code required on  "new ship to"</t>
  </si>
  <si>
    <t>Reset the aribasystem password every 30 days for 6 months.</t>
  </si>
  <si>
    <t>Find out which search filters are indexed in Ariba</t>
  </si>
  <si>
    <t>Build a mini ODS for searches needed by PFSB/Lilly</t>
  </si>
  <si>
    <t>CARS - Encumb files upd problems for type W  11639</t>
  </si>
  <si>
    <t>CARS- Acct# for SPS on Master, not on name 14853</t>
  </si>
  <si>
    <t>Time-zone problem for IPS applications</t>
  </si>
  <si>
    <t>PGP Encryption Changes at Mellon</t>
  </si>
  <si>
    <t>Change the server address used in external procedures as requested by IT</t>
  </si>
  <si>
    <t>FMIS - Purdue Foundation Rewrite (FMIS) 14127</t>
  </si>
  <si>
    <t>Indiana Wine and Grape</t>
  </si>
  <si>
    <t>Science Fair 2004‎</t>
  </si>
  <si>
    <t>Exciting Science at Purdue</t>
  </si>
  <si>
    <t>Mortarboard Leadership Conference</t>
  </si>
  <si>
    <t>TRA 97 Reporting for 2003</t>
  </si>
  <si>
    <t>Sports Camps 2004‎</t>
  </si>
  <si>
    <t>Road School 2004‎</t>
  </si>
  <si>
    <t>Compressor Conference</t>
  </si>
  <si>
    <t>Pest Technology Course</t>
  </si>
  <si>
    <t>FMIS - Year end support 2004  14160</t>
  </si>
  <si>
    <t>Need to create JCL to skip over empty files so that jobs don't abend.</t>
  </si>
  <si>
    <t>Load Grad test scores to DSS</t>
  </si>
  <si>
    <t>Trouble Shooting/mainrtenance of ETL environment</t>
  </si>
  <si>
    <t>Fix the Student Course  Table</t>
  </si>
  <si>
    <t>Maintenance procedures for Data Cubes</t>
  </si>
  <si>
    <t>Annual fall and beginning of spring DSS refreshes.</t>
  </si>
  <si>
    <t>Correct Report Type field in Proposal Award Table</t>
  </si>
  <si>
    <t>PPWP - Fiscal Year 2003-04  14049</t>
  </si>
  <si>
    <t>PUST</t>
  </si>
  <si>
    <t>PUST - Decommission Old PUST/SIRS System 13269</t>
  </si>
  <si>
    <t>Monitor Year End Calendar for 2004 (14774)</t>
  </si>
  <si>
    <t>Monitor annual TRA process (14778)</t>
  </si>
  <si>
    <t>Fall Fee Modifications and Testing (14779)</t>
  </si>
  <si>
    <t>Summer Fee Modifications and Testing (14780)</t>
  </si>
  <si>
    <t>Study Abroad Summer Testing (14782)</t>
  </si>
  <si>
    <t>Implement new housing rates (14785)</t>
  </si>
  <si>
    <t>Usage of the 4 line address routine (14775)</t>
  </si>
  <si>
    <t>2003-2004 Purge (14797)</t>
  </si>
  <si>
    <t>SSACI Notification (14803)</t>
  </si>
  <si>
    <t>Summer TOS Pell Reporting (14804)</t>
  </si>
  <si>
    <t>ICHE Reporting (14805)</t>
  </si>
  <si>
    <t>Fall TOS's  (14806)</t>
  </si>
  <si>
    <t>ISIR for New Year (14807)</t>
  </si>
  <si>
    <t>CVO Payment, Update, Billing (14808)</t>
  </si>
  <si>
    <t>Mass Pass Summer (14810)</t>
  </si>
  <si>
    <t>Mass Pass Fall/Spring (14811)</t>
  </si>
  <si>
    <t>Mass Auth Summer (14812)</t>
  </si>
  <si>
    <t>Mass Auth Fall (14813)</t>
  </si>
  <si>
    <t>Mass Auth Spring (14814)</t>
  </si>
  <si>
    <t>Spring Loan Start Up (14815)</t>
  </si>
  <si>
    <t>Correct FAM print value for Pell grants as needed</t>
  </si>
  <si>
    <t>ICHE Problem - Calumet FA data (14491)</t>
  </si>
  <si>
    <t>Fix bug in CDVU program (14645)</t>
  </si>
  <si>
    <t>Fed Regs 2004 (14795)</t>
  </si>
  <si>
    <t>INAS for New Year (14796)</t>
  </si>
  <si>
    <t>PARS Changes/Simulations (14798)</t>
  </si>
  <si>
    <t>ANL/MIL (14799)</t>
  </si>
  <si>
    <t>Summer Mod Loans (14800)</t>
  </si>
  <si>
    <t>Summer Mod Auth (14801)</t>
  </si>
  <si>
    <t>SSACI Application (14802)</t>
  </si>
  <si>
    <t>Summer/Fall Loan Disb Date (14809)</t>
  </si>
  <si>
    <t>Grade Support - Spring &amp; Summer (14791)</t>
  </si>
  <si>
    <t>Grade Support - Fall (14792)</t>
  </si>
  <si>
    <t>Load Support Summer and Fall (14794)</t>
  </si>
  <si>
    <t>Modify Regional Audit program RERCSPLT</t>
  </si>
  <si>
    <t>Load Support Spring (14793)</t>
  </si>
  <si>
    <t>Annual Sorority Rush Support (14769)</t>
  </si>
  <si>
    <t>Day on Campus Annual Support (14770)</t>
  </si>
  <si>
    <t>Annual VMCAS Modifications (14771)</t>
  </si>
  <si>
    <t>Annual PFAE Modifications (14772)</t>
  </si>
  <si>
    <t>FSMIS-Food Service</t>
  </si>
  <si>
    <t>FSMIS - CBORD - Remove FSMIS 10659</t>
  </si>
  <si>
    <t>PRIDE</t>
  </si>
  <si>
    <t>PRIDE - Remove and Archive PRIDE System 13992</t>
  </si>
  <si>
    <t>RHAC - User Friendly mod - add entry 14868</t>
  </si>
  <si>
    <t>Label Update</t>
  </si>
  <si>
    <t>_x000D_
Replace the United Way mainframe system</t>
  </si>
  <si>
    <t>Production Support</t>
  </si>
  <si>
    <t>Porfolio for Business Services</t>
  </si>
  <si>
    <t>Porfolio for Housing &amp; Food Services</t>
  </si>
  <si>
    <t>Porfolio for ITaP / ITEA</t>
  </si>
  <si>
    <t>Porfolio for Physical Facilities</t>
  </si>
  <si>
    <t>Porfolio for Student Services</t>
  </si>
  <si>
    <t>Porfolio for University Advancement</t>
  </si>
  <si>
    <t>Show more data on the chooser screen for approver</t>
  </si>
  <si>
    <t>Administrative site access without update</t>
  </si>
  <si>
    <t>FMIS - e-routing of CRV's &amp; other Acct docs 2513</t>
  </si>
  <si>
    <t>e-Comm - Implement ReconNET 14662</t>
  </si>
  <si>
    <t>HR Self Service (13577)</t>
  </si>
  <si>
    <t>FLEX Ad Hoc Report Request</t>
  </si>
  <si>
    <t>SLAC - Est  ACH draw down student loan pmts  11017</t>
  </si>
  <si>
    <t>Appeals</t>
  </si>
  <si>
    <t>Add Priority School and Priority Department fields to Appeal Wizard output. _x000D_
‎(if the column conatins a value of 'NULL' convert to a null value).‎</t>
  </si>
  <si>
    <t>RMS - Access to Res Hall application web data‎ 14259</t>
  </si>
  <si>
    <t>RMS - Impl e-comm for $75 deposit 14260</t>
  </si>
  <si>
    <t>RMS - Add e-mail addr to data import 14261</t>
  </si>
  <si>
    <t>RHCA - Dev card access recon for RH,BU,RE 11794</t>
  </si>
  <si>
    <t>UR - Design UR data warehouse strategy 14262</t>
  </si>
  <si>
    <t>help with RFI for new ecommerce solution.</t>
  </si>
  <si>
    <t>Placeholder</t>
  </si>
  <si>
    <t>IDN Data Mart &amp; Metrics Reporting-Phase I</t>
  </si>
  <si>
    <t>Status of received orders not "processed"</t>
  </si>
  <si>
    <t>‎Investigate alternatives to use of SysAdmin role</t>
  </si>
  <si>
    <t>ASN orders are sometimes showing "failed" status</t>
  </si>
  <si>
    <t>ASER - Mtch Error Rpt not ‎recog 098 instruc 14087</t>
  </si>
  <si>
    <t>FMIS - Problem w/ Canadian prov. code 14945</t>
  </si>
  <si>
    <t>FMIS - MSA Software Review 14965</t>
  </si>
  <si>
    <t>FMIS - Investig bank table used for EC 35  14987</t>
  </si>
  <si>
    <t>FLEX "Wednesday morning" last-year process (14903)</t>
  </si>
  <si>
    <t>Gale/Julie noticed text on CARS billing records not same as in plan file</t>
  </si>
  <si>
    <t>PAIS Reappointment Issues (14859)</t>
  </si>
  <si>
    <t>Justification report excess ins message (14895)</t>
  </si>
  <si>
    <t>Test CICS Bank Description Issue (14140)</t>
  </si>
  <si>
    <t>Payroll Charge File Change at YTD Rollback (14054)</t>
  </si>
  <si>
    <t>"T" in Level Field in PEDB Current Staff (14641)</t>
  </si>
  <si>
    <t>Missing Effective Date on Terminations (14642)</t>
  </si>
  <si>
    <t>PEBLOCK related Clean-Up (13998)</t>
  </si>
  <si>
    <t>NRA Student Adresses on IN New Hire File (14817)</t>
  </si>
  <si>
    <t>SLAC - Erroneous Late Chrgs on Pd-off Loans 14327</t>
  </si>
  <si>
    <t>SLAC - E-Prom Note Functionality Investig 14185</t>
  </si>
  <si>
    <t>SLAC - Fix errors on Encumb Discrepancy Rpts 14097</t>
  </si>
  <si>
    <t>Changes in bulk mail</t>
  </si>
  <si>
    <t>RHCA - Reduce Duplicate '999' #s  11795</t>
  </si>
  <si>
    <t>RHCA - Questionable Entry on Error Report 14980</t>
  </si>
  <si>
    <t>Rejected pmnts and unsuccessful pmnts for 6 months</t>
  </si>
  <si>
    <t>Daily Maintenance Job and support for a 6 months</t>
  </si>
  <si>
    <t>Ariba Purges for 12 months</t>
  </si>
  <si>
    <t>CAAC - Abend on CAACT923 rpt group bud scrn 2507</t>
  </si>
  <si>
    <t>PROP - New field  not added in equip file 13908</t>
  </si>
  <si>
    <t>SLAC - Negative Transaction Edits 14194</t>
  </si>
  <si>
    <t>Provide support for the Home and Family conference</t>
  </si>
  <si>
    <t>Provide support for the 4-H Workshops</t>
  </si>
  <si>
    <t>Investigate DSS Refresh Data Load Procedures</t>
  </si>
  <si>
    <t>RHAC - Eliminate CDE for Budget Projects 6020</t>
  </si>
  <si>
    <t>RHCA - Review CICS files to  eliminated 12873</t>
  </si>
  <si>
    <t>PAVE - Problem with deleting fields in sys - 14998</t>
  </si>
  <si>
    <t>Follow up with infrastructure staff to run diagnostic suggested by Ariba in conference call on 1/22/04.  Provide feedback to Ariba so that they can help determine if there is a way to lower the CPU being used by the bin process.</t>
  </si>
  <si>
    <t>FMIS - Add Obj 49102 to SPS Front End Edit  15006</t>
  </si>
  <si>
    <t>Modify Regional Grad Health Insurance in Paryoll Charge</t>
  </si>
  <si>
    <t>FMIS - Add Explosion Rules for Fund 920   15005</t>
  </si>
  <si>
    <t>COEUS - Support Rollout to Regionals 14999</t>
  </si>
  <si>
    <t>Document how names are built in various applications</t>
  </si>
  <si>
    <t>Replace helpdesk phone number on POs</t>
  </si>
  <si>
    <t>RHCA - Support Designated Fee Chg 15001</t>
  </si>
  <si>
    <t>Awaiting Implementation</t>
  </si>
  <si>
    <t>Acceptance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</si>
</sst>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/yy;@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left" wrapText="1"/>
    </xf>
    <xf numFmtId="172" fontId="4" fillId="2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172" fontId="3" fillId="0" borderId="0" xfId="0" applyNumberFormat="1" applyFont="1" applyBorder="1" applyAlignment="1">
      <alignment wrapText="1"/>
    </xf>
    <xf numFmtId="172" fontId="0" fillId="0" borderId="0" xfId="0" applyNumberFormat="1" applyBorder="1" applyAlignment="1">
      <alignment wrapText="1"/>
    </xf>
    <xf numFmtId="172" fontId="0" fillId="0" borderId="0" xfId="0" applyNumberFormat="1" applyAlignment="1">
      <alignment wrapText="1"/>
    </xf>
    <xf numFmtId="0" fontId="10" fillId="0" borderId="3" xfId="0" applyFont="1" applyFill="1" applyBorder="1" applyAlignment="1">
      <alignment wrapText="1"/>
    </xf>
    <xf numFmtId="172" fontId="10" fillId="0" borderId="3" xfId="0" applyNumberFormat="1" applyFont="1" applyFill="1" applyBorder="1" applyAlignment="1">
      <alignment horizontal="right" wrapText="1"/>
    </xf>
    <xf numFmtId="0" fontId="10" fillId="0" borderId="3" xfId="0" applyFont="1" applyFill="1" applyBorder="1" applyAlignment="1">
      <alignment horizontal="right" wrapText="1"/>
    </xf>
    <xf numFmtId="172" fontId="3" fillId="0" borderId="0" xfId="0" applyNumberFormat="1" applyFont="1" applyBorder="1"/>
    <xf numFmtId="172" fontId="0" fillId="0" borderId="0" xfId="0" applyNumberFormat="1"/>
    <xf numFmtId="0" fontId="0" fillId="0" borderId="3" xfId="0" applyBorder="1" applyAlignment="1">
      <alignment horizontal="right"/>
    </xf>
    <xf numFmtId="0" fontId="7" fillId="0" borderId="5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0" borderId="3" xfId="0" applyBorder="1"/>
    <xf numFmtId="0" fontId="10" fillId="0" borderId="8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172" fontId="3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/>
    <xf numFmtId="172" fontId="3" fillId="0" borderId="3" xfId="0" applyNumberFormat="1" applyFont="1" applyBorder="1"/>
    <xf numFmtId="0" fontId="10" fillId="0" borderId="3" xfId="0" applyFont="1" applyFill="1" applyBorder="1" applyAlignment="1">
      <alignment horizontal="center" wrapText="1"/>
    </xf>
    <xf numFmtId="0" fontId="10" fillId="0" borderId="3" xfId="0" applyFont="1" applyFill="1" applyBorder="1" applyAlignment="1"/>
    <xf numFmtId="0" fontId="11" fillId="0" borderId="3" xfId="0" applyFont="1" applyFill="1" applyBorder="1" applyAlignment="1">
      <alignment wrapText="1"/>
    </xf>
    <xf numFmtId="172" fontId="11" fillId="0" borderId="3" xfId="0" applyNumberFormat="1" applyFont="1" applyFill="1" applyBorder="1" applyAlignment="1">
      <alignment horizontal="right" wrapText="1"/>
    </xf>
    <xf numFmtId="0" fontId="11" fillId="0" borderId="3" xfId="0" applyFont="1" applyFill="1" applyBorder="1" applyAlignment="1">
      <alignment horizontal="right" wrapText="1"/>
    </xf>
    <xf numFmtId="0" fontId="12" fillId="0" borderId="3" xfId="0" applyFont="1" applyBorder="1" applyAlignment="1">
      <alignment wrapText="1"/>
    </xf>
    <xf numFmtId="0" fontId="12" fillId="0" borderId="3" xfId="0" applyFont="1" applyBorder="1" applyAlignment="1">
      <alignment horizontal="center" wrapText="1"/>
    </xf>
    <xf numFmtId="172" fontId="12" fillId="0" borderId="3" xfId="0" applyNumberFormat="1" applyFont="1" applyBorder="1"/>
    <xf numFmtId="0" fontId="12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1" fillId="0" borderId="3" xfId="0" applyFont="1" applyFill="1" applyBorder="1" applyAlignment="1"/>
    <xf numFmtId="0" fontId="12" fillId="0" borderId="3" xfId="0" applyFont="1" applyBorder="1" applyAlignment="1"/>
    <xf numFmtId="0" fontId="0" fillId="0" borderId="0" xfId="0" applyAlignment="1"/>
    <xf numFmtId="0" fontId="3" fillId="0" borderId="0" xfId="0" applyFont="1" applyBorder="1" applyAlignment="1"/>
    <xf numFmtId="0" fontId="3" fillId="0" borderId="0" xfId="0" applyFont="1" applyBorder="1"/>
    <xf numFmtId="0" fontId="11" fillId="0" borderId="0" xfId="0" applyFont="1" applyFill="1" applyBorder="1" applyAlignment="1"/>
    <xf numFmtId="0" fontId="11" fillId="0" borderId="0" xfId="0" applyFont="1" applyFill="1" applyBorder="1" applyAlignment="1">
      <alignment wrapText="1"/>
    </xf>
    <xf numFmtId="172" fontId="11" fillId="0" borderId="0" xfId="0" applyNumberFormat="1" applyFont="1" applyFill="1" applyBorder="1" applyAlignment="1">
      <alignment horizontal="right" wrapText="1"/>
    </xf>
    <xf numFmtId="0" fontId="11" fillId="0" borderId="0" xfId="0" applyFont="1" applyFill="1" applyBorder="1" applyAlignment="1">
      <alignment horizontal="right" wrapText="1"/>
    </xf>
    <xf numFmtId="0" fontId="12" fillId="0" borderId="0" xfId="0" applyFont="1" applyBorder="1" applyAlignment="1"/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center" wrapText="1"/>
    </xf>
    <xf numFmtId="172" fontId="12" fillId="0" borderId="0" xfId="0" applyNumberFormat="1" applyFont="1" applyBorder="1"/>
    <xf numFmtId="0" fontId="12" fillId="0" borderId="0" xfId="0" applyFont="1" applyBorder="1" applyAlignment="1">
      <alignment horizontal="center"/>
    </xf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wrapText="1"/>
    </xf>
    <xf numFmtId="172" fontId="10" fillId="0" borderId="0" xfId="0" applyNumberFormat="1" applyFont="1" applyFill="1" applyBorder="1" applyAlignment="1">
      <alignment horizontal="right" wrapText="1"/>
    </xf>
    <xf numFmtId="0" fontId="10" fillId="0" borderId="0" xfId="0" applyFont="1" applyFill="1" applyBorder="1" applyAlignment="1">
      <alignment horizontal="right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172" fontId="3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0" fontId="10" fillId="0" borderId="4" xfId="0" applyFont="1" applyFill="1" applyBorder="1" applyAlignment="1">
      <alignment wrapText="1"/>
    </xf>
    <xf numFmtId="172" fontId="10" fillId="0" borderId="4" xfId="0" applyNumberFormat="1" applyFont="1" applyFill="1" applyBorder="1" applyAlignment="1">
      <alignment horizontal="right" wrapText="1"/>
    </xf>
    <xf numFmtId="0" fontId="10" fillId="0" borderId="4" xfId="0" applyFont="1" applyFill="1" applyBorder="1" applyAlignment="1">
      <alignment horizontal="right" wrapText="1"/>
    </xf>
    <xf numFmtId="0" fontId="10" fillId="0" borderId="9" xfId="0" applyFont="1" applyFill="1" applyBorder="1" applyAlignment="1"/>
    <xf numFmtId="0" fontId="10" fillId="0" borderId="8" xfId="0" applyFont="1" applyFill="1" applyBorder="1" applyAlignment="1"/>
    <xf numFmtId="0" fontId="4" fillId="2" borderId="1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172" fontId="4" fillId="2" borderId="1" xfId="0" applyNumberFormat="1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0" borderId="3" xfId="0" applyFont="1" applyBorder="1"/>
    <xf numFmtId="0" fontId="6" fillId="0" borderId="3" xfId="0" applyFont="1" applyBorder="1" applyAlignment="1">
      <alignment horizontal="left" indent="1"/>
    </xf>
    <xf numFmtId="0" fontId="2" fillId="0" borderId="3" xfId="0" applyFont="1" applyFill="1" applyBorder="1"/>
    <xf numFmtId="0" fontId="2" fillId="0" borderId="3" xfId="0" applyFont="1" applyBorder="1" applyAlignment="1">
      <alignment horizontal="right"/>
    </xf>
    <xf numFmtId="0" fontId="5" fillId="0" borderId="0" xfId="0" applyFont="1" applyAlignment="1">
      <alignment wrapText="1"/>
    </xf>
    <xf numFmtId="0" fontId="3" fillId="0" borderId="3" xfId="0" applyFont="1" applyBorder="1" applyAlignment="1"/>
    <xf numFmtId="0" fontId="4" fillId="2" borderId="3" xfId="0" applyFont="1" applyFill="1" applyBorder="1" applyAlignment="1">
      <alignment horizontal="center" wrapText="1"/>
    </xf>
    <xf numFmtId="0" fontId="10" fillId="0" borderId="11" xfId="0" applyFont="1" applyFill="1" applyBorder="1" applyAlignment="1">
      <alignment wrapText="1"/>
    </xf>
    <xf numFmtId="0" fontId="10" fillId="0" borderId="12" xfId="0" applyFont="1" applyFill="1" applyBorder="1" applyAlignment="1">
      <alignment wrapText="1"/>
    </xf>
    <xf numFmtId="0" fontId="10" fillId="0" borderId="13" xfId="0" applyFont="1" applyFill="1" applyBorder="1" applyAlignment="1"/>
    <xf numFmtId="0" fontId="10" fillId="0" borderId="14" xfId="0" applyFont="1" applyFill="1" applyBorder="1" applyAlignment="1"/>
    <xf numFmtId="0" fontId="10" fillId="0" borderId="15" xfId="0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wrapText="1"/>
    </xf>
    <xf numFmtId="172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4" fillId="2" borderId="4" xfId="0" applyFont="1" applyFill="1" applyBorder="1" applyAlignment="1">
      <alignment horizontal="left" vertical="center" wrapText="1"/>
    </xf>
    <xf numFmtId="14" fontId="10" fillId="0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Distribution of Requests</a:t>
            </a:r>
          </a:p>
        </c:rich>
      </c:tx>
      <c:layout>
        <c:manualLayout>
          <c:xMode val="edge"/>
          <c:yMode val="edge"/>
          <c:x val="0.34248671634680983"/>
          <c:y val="3.99253256789988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7650983808952395"/>
          <c:y val="0.46009184830084354"/>
          <c:w val="0.23128973051992349"/>
          <c:h val="0.23574954210456447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D7C-44CC-ABFA-22D16D56686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7C-44CC-ABFA-22D16D56686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D7C-44CC-ABFA-22D16D56686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7C-44CC-ABFA-22D16D56686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D7C-44CC-ABFA-22D16D56686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7C-44CC-ABFA-22D16D56686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D7C-44CC-ABFA-22D16D56686C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7C-44CC-ABFA-22D16D56686C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7650983808952395"/>
                  <c:y val="0.2034290403644225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7C-44CC-ABFA-22D16D56686C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4923582274062068"/>
                  <c:y val="0.7300630981302641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7C-44CC-ABFA-22D16D56686C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7569123760648037"/>
                  <c:y val="0.7642848058551202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7C-44CC-ABFA-22D16D56686C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17420861112878855"/>
                  <c:y val="0.6007810911696965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7C-44CC-ABFA-22D16D56686C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7939780380070991"/>
                  <c:y val="0.3859448148969886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7C-44CC-ABFA-22D16D56686C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Summary!$A$3:$A$10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Summary!$M$3:$M$10</c:f>
              <c:numCache>
                <c:formatCode>General</c:formatCode>
                <c:ptCount val="8"/>
                <c:pt idx="0">
                  <c:v>0</c:v>
                </c:pt>
                <c:pt idx="1">
                  <c:v>51</c:v>
                </c:pt>
                <c:pt idx="2">
                  <c:v>5</c:v>
                </c:pt>
                <c:pt idx="3">
                  <c:v>102</c:v>
                </c:pt>
                <c:pt idx="4">
                  <c:v>138</c:v>
                </c:pt>
                <c:pt idx="5">
                  <c:v>28</c:v>
                </c:pt>
                <c:pt idx="6">
                  <c:v>5</c:v>
                </c:pt>
                <c:pt idx="7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7C-44CC-ABFA-22D16D56686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615496107166637"/>
          <c:y val="0.30229175156956251"/>
          <c:w val="0.21349821278762171"/>
          <c:h val="0.54944852958241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10C-4407-85E4-FC446FF47B2E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0C-4407-85E4-FC446FF47B2E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10C-4407-85E4-FC446FF47B2E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0C-4407-85E4-FC446FF47B2E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10C-4407-85E4-FC446FF47B2E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0C-4407-85E4-FC446FF47B2E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10C-4407-85E4-FC446FF47B2E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0C-4407-85E4-FC446FF47B2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Area'!$A$3:$A$10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Area'!$B$3:$B$10</c:f>
              <c:numCache>
                <c:formatCode>General</c:formatCode>
                <c:ptCount val="8"/>
                <c:pt idx="0">
                  <c:v>0</c:v>
                </c:pt>
                <c:pt idx="1">
                  <c:v>30</c:v>
                </c:pt>
                <c:pt idx="2">
                  <c:v>3</c:v>
                </c:pt>
                <c:pt idx="3">
                  <c:v>27</c:v>
                </c:pt>
                <c:pt idx="4">
                  <c:v>48</c:v>
                </c:pt>
                <c:pt idx="5">
                  <c:v>18</c:v>
                </c:pt>
                <c:pt idx="6">
                  <c:v>1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0C-4407-85E4-FC446FF47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E7C-49FD-B305-F84E561D7C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7C-49FD-B305-F84E561D7CE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E7C-49FD-B305-F84E561D7CE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7C-49FD-B305-F84E561D7CE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E7C-49FD-B305-F84E561D7CE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7C-49FD-B305-F84E561D7CE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E7C-49FD-B305-F84E561D7CE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E7C-49FD-B305-F84E561D7CEB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2510306958598381"/>
                  <c:y val="9.88267440627197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7C-49FD-B305-F84E561D7CEB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8181635745425466"/>
                  <c:y val="1.176508857889520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7C-49FD-B305-F84E561D7CEB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5269987723877723"/>
                  <c:y val="0.33177549792484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7C-49FD-B305-F84E561D7CE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9407081856551925"/>
                  <c:y val="0.7906139525017580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7C-49FD-B305-F84E561D7CE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7588717601977386E-2"/>
                  <c:y val="0.7129643678810496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7C-49FD-B305-F84E561D7CE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10536739427429029"/>
                  <c:y val="0.2164776298516718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7C-49FD-B305-F84E561D7CE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Area'!$A$24:$A$31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Area'!$B$24:$B$31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7C-49FD-B305-F84E561D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ACD-4726-8AFA-DF0D9DDC0F5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CD-4726-8AFA-DF0D9DDC0F5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ACD-4726-8AFA-DF0D9DDC0F5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CD-4726-8AFA-DF0D9DDC0F5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ACD-4726-8AFA-DF0D9DDC0F5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CD-4726-8AFA-DF0D9DDC0F5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ACD-4726-8AFA-DF0D9DDC0F5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CD-4726-8AFA-DF0D9DDC0F50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2510306958598381"/>
                  <c:y val="9.88267440627197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CD-4726-8AFA-DF0D9DDC0F50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9656455663232887"/>
                  <c:y val="2.117715944201137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CD-4726-8AFA-DF0D9DDC0F50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8564789906422884"/>
                  <c:y val="0.2164776298516718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CD-4726-8AFA-DF0D9DDC0F5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4791045022630946"/>
                  <c:y val="0.3011862676197173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CD-4726-8AFA-DF0D9DDC0F5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5748930425124499"/>
                  <c:y val="0.4117781002613323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CD-4726-8AFA-DF0D9DDC0F5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455985811790193"/>
                  <c:y val="0.7576717044808514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CD-4726-8AFA-DF0D9DDC0F5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2378144614445134E-2"/>
                  <c:y val="0.3811888699562047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CD-4726-8AFA-DF0D9DDC0F5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Area'!$A$44:$A$51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Area'!$B$44:$B$51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17</c:v>
                </c:pt>
                <c:pt idx="5">
                  <c:v>5</c:v>
                </c:pt>
                <c:pt idx="6">
                  <c:v>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CD-4726-8AFA-DF0D9DDC0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EA0-4FBA-843A-C73F563C3F3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A0-4FBA-843A-C73F563C3F3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EA0-4FBA-843A-C73F563C3F3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A0-4FBA-843A-C73F563C3F3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EA0-4FBA-843A-C73F563C3F3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A0-4FBA-843A-C73F563C3F3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EA0-4FBA-843A-C73F563C3F3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EA0-4FBA-843A-C73F563C3F36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16188263302140962"/>
                  <c:y val="0.2070655589885556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0-4FBA-843A-C73F563C3F36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7970253752811602"/>
                  <c:y val="6.117846061025508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0-4FBA-843A-C73F563C3F36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8985935881487405"/>
                  <c:y val="0.1223569212205101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0-4FBA-843A-C73F563C3F36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4407890861633534"/>
                  <c:y val="0.3435405865037400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0-4FBA-843A-C73F563C3F36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3258428378641276"/>
                  <c:y val="0.5129578620398310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0-4FBA-843A-C73F563C3F36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2396331516397077"/>
                  <c:y val="0.7011992793021544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A0-4FBA-843A-C73F563C3F36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1668015008469339"/>
                  <c:y val="0.8447333599646760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A0-4FBA-843A-C73F563C3F3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Area'!$A$64:$A$71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Area'!$B$64:$B$71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A0-4FBA-843A-C73F563C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B7A-41EF-8B68-49C9F70D71E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7A-41EF-8B68-49C9F70D71E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B7A-41EF-8B68-49C9F70D71E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7A-41EF-8B68-49C9F70D71E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B7A-41EF-8B68-49C9F70D71E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7A-41EF-8B68-49C9F70D71E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B7A-41EF-8B68-49C9F70D71E3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7A-41EF-8B68-49C9F70D71E3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16188263302140962"/>
                  <c:y val="0.2070655589885556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7A-41EF-8B68-49C9F70D71E3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0805918146225145"/>
                  <c:y val="1.4118106294674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7A-41EF-8B68-49C9F70D71E3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2587908596895794"/>
                  <c:y val="0.5153108797556101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7A-41EF-8B68-49C9F70D71E3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4120525240885464"/>
                  <c:y val="0.3341285156406239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7A-41EF-8B68-49C9F70D71E3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1246869033404818"/>
                  <c:y val="0.6588449604181316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7A-41EF-8B68-49C9F70D71E3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22414518418349025"/>
                  <c:y val="0.7670837753439676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7A-41EF-8B68-49C9F70D71E3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20402959073112573"/>
                  <c:y val="0.5317820037660634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7A-41EF-8B68-49C9F70D71E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Area'!$A$84:$A$91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Area'!$B$84:$B$91</c:f>
              <c:numCache>
                <c:formatCode>General</c:formatCode>
                <c:ptCount val="8"/>
                <c:pt idx="0">
                  <c:v>0</c:v>
                </c:pt>
                <c:pt idx="1">
                  <c:v>14</c:v>
                </c:pt>
                <c:pt idx="2">
                  <c:v>2</c:v>
                </c:pt>
                <c:pt idx="3">
                  <c:v>40</c:v>
                </c:pt>
                <c:pt idx="4">
                  <c:v>39</c:v>
                </c:pt>
                <c:pt idx="5">
                  <c:v>3</c:v>
                </c:pt>
                <c:pt idx="6">
                  <c:v>0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7A-41EF-8B68-49C9F70D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D5B-4AEC-BB4D-5E8F34CDF68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5B-4AEC-BB4D-5E8F34CDF68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D5B-4AEC-BB4D-5E8F34CDF68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5B-4AEC-BB4D-5E8F34CDF68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D5B-4AEC-BB4D-5E8F34CDF68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5B-4AEC-BB4D-5E8F34CDF68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D5B-4AEC-BB4D-5E8F34CDF68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5B-4AEC-BB4D-5E8F34CDF68B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16188263302140962"/>
                  <c:y val="0.2070655589885556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B-4AEC-BB4D-5E8F34CDF68B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0805918146225145"/>
                  <c:y val="1.4118106294674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5B-4AEC-BB4D-5E8F34CDF68B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2587908596895794"/>
                  <c:y val="0.5153108797556101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5B-4AEC-BB4D-5E8F34CDF68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4120525240885464"/>
                  <c:y val="0.3341285156406239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5B-4AEC-BB4D-5E8F34CDF68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1246869033404818"/>
                  <c:y val="0.6588449604181316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5B-4AEC-BB4D-5E8F34CDF68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22414518418349025"/>
                  <c:y val="0.7670837753439676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5B-4AEC-BB4D-5E8F34CDF68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20402959073112573"/>
                  <c:y val="0.5317820037660634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5B-4AEC-BB4D-5E8F34CDF68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Area'!$A$84:$A$91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Area'!$B$84:$B$91</c:f>
              <c:numCache>
                <c:formatCode>General</c:formatCode>
                <c:ptCount val="8"/>
                <c:pt idx="0">
                  <c:v>0</c:v>
                </c:pt>
                <c:pt idx="1">
                  <c:v>14</c:v>
                </c:pt>
                <c:pt idx="2">
                  <c:v>2</c:v>
                </c:pt>
                <c:pt idx="3">
                  <c:v>40</c:v>
                </c:pt>
                <c:pt idx="4">
                  <c:v>39</c:v>
                </c:pt>
                <c:pt idx="5">
                  <c:v>3</c:v>
                </c:pt>
                <c:pt idx="6">
                  <c:v>0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5B-4AEC-BB4D-5E8F34CD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52186630383483"/>
          <c:y val="0.36471774594575146"/>
          <c:w val="0.27874465212562249"/>
          <c:h val="0.2729500550303688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6B8-4F0B-8C06-B15D8A3C6DE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B8-4F0B-8C06-B15D8A3C6DE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6B8-4F0B-8C06-B15D8A3C6DE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B8-4F0B-8C06-B15D8A3C6DE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6B8-4F0B-8C06-B15D8A3C6DE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B8-4F0B-8C06-B15D8A3C6DE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6B8-4F0B-8C06-B15D8A3C6DE8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B8-4F0B-8C06-B15D8A3C6DE8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1.3410395634909672E-2"/>
                  <c:y val="0.202359523556997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B8-4F0B-8C06-B15D8A3C6DE8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2356721692166769"/>
                  <c:y val="1.176508857889520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B8-4F0B-8C06-B15D8A3C6DE8}"/>
                </c:ext>
              </c:extLst>
            </c:dLbl>
            <c:dLbl>
              <c:idx val="2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B8-4F0B-8C06-B15D8A3C6DE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0442568897342885"/>
                  <c:y val="0.2823621258934850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B8-4F0B-8C06-B15D8A3C6DE8}"/>
                </c:ext>
              </c:extLst>
            </c:dLbl>
            <c:dLbl>
              <c:idx val="4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B8-4F0B-8C06-B15D8A3C6DE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0288983630911277"/>
                  <c:y val="0.12941597436784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B8-4F0B-8C06-B15D8A3C6DE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25000809005081603"/>
                  <c:y val="0.6800221198601430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B8-4F0B-8C06-B15D8A3C6DE8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29311293316302572"/>
                  <c:y val="2.353017715779041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B8-4F0B-8C06-B15D8A3C6DE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V.P Area'!$A$123:$A$130</c:f>
              <c:strCache>
                <c:ptCount val="8"/>
                <c:pt idx="0">
                  <c:v>New Applications</c:v>
                </c:pt>
                <c:pt idx="1">
                  <c:v>Investigations</c:v>
                </c:pt>
                <c:pt idx="2">
                  <c:v>Emergency Fixes</c:v>
                </c:pt>
                <c:pt idx="3">
                  <c:v>Application Fixes</c:v>
                </c:pt>
                <c:pt idx="4">
                  <c:v>Scheduled Modification</c:v>
                </c:pt>
                <c:pt idx="5">
                  <c:v>Production Support</c:v>
                </c:pt>
                <c:pt idx="6">
                  <c:v>OnePurdue</c:v>
                </c:pt>
                <c:pt idx="7">
                  <c:v>Electives</c:v>
                </c:pt>
              </c:strCache>
            </c:strRef>
          </c:cat>
          <c:val>
            <c:numRef>
              <c:f>'By V.P Area'!$B$123:$B$130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B8-4F0B-8C06-B15D8A3C6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39255118985139"/>
          <c:y val="0.22588970071478801"/>
          <c:w val="0.22510306958598381"/>
          <c:h val="0.548253127776516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965200</xdr:colOff>
      <xdr:row>13</xdr:row>
      <xdr:rowOff>95250</xdr:rowOff>
    </xdr:from>
    <xdr:to>
      <xdr:col>12</xdr:col>
      <xdr:colOff>0</xdr:colOff>
      <xdr:row>34</xdr:row>
      <xdr:rowOff>101600</xdr:rowOff>
    </xdr:to>
    <xdr:graphicFrame macro="">
      <xdr:nvGraphicFramePr>
        <xdr:cNvPr id="6148" name="Chart 4">
          <a:extLst>
            <a:ext uri="{FF2B5EF4-FFF2-40B4-BE49-F238E27FC236}">
              <a16:creationId xmlns:a16="http://schemas.microsoft.com/office/drawing/2014/main" id="{CB9238C4-A74C-446C-AF6A-FCDD87DA1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31750</xdr:rowOff>
    </xdr:from>
    <xdr:to>
      <xdr:col>2</xdr:col>
      <xdr:colOff>6800850</xdr:colOff>
      <xdr:row>18</xdr:row>
      <xdr:rowOff>6350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E963ED5E-D7A7-4F6B-BC4C-BCCCD169B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22</xdr:row>
      <xdr:rowOff>31750</xdr:rowOff>
    </xdr:from>
    <xdr:to>
      <xdr:col>2</xdr:col>
      <xdr:colOff>6800850</xdr:colOff>
      <xdr:row>39</xdr:row>
      <xdr:rowOff>6350</xdr:rowOff>
    </xdr:to>
    <xdr:graphicFrame macro="">
      <xdr:nvGraphicFramePr>
        <xdr:cNvPr id="10242" name="Chart 2">
          <a:extLst>
            <a:ext uri="{FF2B5EF4-FFF2-40B4-BE49-F238E27FC236}">
              <a16:creationId xmlns:a16="http://schemas.microsoft.com/office/drawing/2014/main" id="{F5ACBAAB-4F07-4969-A905-4F947C5F7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171450</xdr:colOff>
      <xdr:row>42</xdr:row>
      <xdr:rowOff>31750</xdr:rowOff>
    </xdr:from>
    <xdr:to>
      <xdr:col>2</xdr:col>
      <xdr:colOff>6800850</xdr:colOff>
      <xdr:row>59</xdr:row>
      <xdr:rowOff>6350</xdr:rowOff>
    </xdr:to>
    <xdr:graphicFrame macro="">
      <xdr:nvGraphicFramePr>
        <xdr:cNvPr id="10243" name="Chart 3">
          <a:extLst>
            <a:ext uri="{FF2B5EF4-FFF2-40B4-BE49-F238E27FC236}">
              <a16:creationId xmlns:a16="http://schemas.microsoft.com/office/drawing/2014/main" id="{9437762D-C145-453D-A255-2F9788BCE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171450</xdr:colOff>
      <xdr:row>62</xdr:row>
      <xdr:rowOff>31750</xdr:rowOff>
    </xdr:from>
    <xdr:to>
      <xdr:col>2</xdr:col>
      <xdr:colOff>6800850</xdr:colOff>
      <xdr:row>79</xdr:row>
      <xdr:rowOff>6350</xdr:rowOff>
    </xdr:to>
    <xdr:graphicFrame macro="">
      <xdr:nvGraphicFramePr>
        <xdr:cNvPr id="10244" name="Chart 4">
          <a:extLst>
            <a:ext uri="{FF2B5EF4-FFF2-40B4-BE49-F238E27FC236}">
              <a16:creationId xmlns:a16="http://schemas.microsoft.com/office/drawing/2014/main" id="{93A10A93-1EBF-414A-AB30-8BC4D2008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171450</xdr:colOff>
      <xdr:row>82</xdr:row>
      <xdr:rowOff>31750</xdr:rowOff>
    </xdr:from>
    <xdr:to>
      <xdr:col>2</xdr:col>
      <xdr:colOff>6800850</xdr:colOff>
      <xdr:row>99</xdr:row>
      <xdr:rowOff>6350</xdr:rowOff>
    </xdr:to>
    <xdr:graphicFrame macro="">
      <xdr:nvGraphicFramePr>
        <xdr:cNvPr id="10245" name="Chart 5">
          <a:extLst>
            <a:ext uri="{FF2B5EF4-FFF2-40B4-BE49-F238E27FC236}">
              <a16:creationId xmlns:a16="http://schemas.microsoft.com/office/drawing/2014/main" id="{8746569D-FC87-4D4C-8AA9-554ADE6F9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171450</xdr:colOff>
      <xdr:row>102</xdr:row>
      <xdr:rowOff>31750</xdr:rowOff>
    </xdr:from>
    <xdr:to>
      <xdr:col>2</xdr:col>
      <xdr:colOff>6800850</xdr:colOff>
      <xdr:row>119</xdr:row>
      <xdr:rowOff>6350</xdr:rowOff>
    </xdr:to>
    <xdr:graphicFrame macro="">
      <xdr:nvGraphicFramePr>
        <xdr:cNvPr id="10246" name="Chart 6">
          <a:extLst>
            <a:ext uri="{FF2B5EF4-FFF2-40B4-BE49-F238E27FC236}">
              <a16:creationId xmlns:a16="http://schemas.microsoft.com/office/drawing/2014/main" id="{C762A069-7F11-4E57-A536-8AE9F6CE8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171450</xdr:colOff>
      <xdr:row>121</xdr:row>
      <xdr:rowOff>31750</xdr:rowOff>
    </xdr:from>
    <xdr:to>
      <xdr:col>2</xdr:col>
      <xdr:colOff>6800850</xdr:colOff>
      <xdr:row>138</xdr:row>
      <xdr:rowOff>6350</xdr:rowOff>
    </xdr:to>
    <xdr:graphicFrame macro="">
      <xdr:nvGraphicFramePr>
        <xdr:cNvPr id="10249" name="Chart 9">
          <a:extLst>
            <a:ext uri="{FF2B5EF4-FFF2-40B4-BE49-F238E27FC236}">
              <a16:creationId xmlns:a16="http://schemas.microsoft.com/office/drawing/2014/main" id="{02E46C38-9285-4560-B017-11A88B636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ask reporting database" connectionId="1" autoFormatId="0" applyNumberFormats="0" applyBorderFormats="0" applyFontFormats="1" applyPatternFormats="1" applyAlignmentFormats="0" applyWidthHeightFormats="0">
  <queryTableRefresh headersInLastRefresh="0" nextId="21">
    <queryTableFields count="11">
      <queryTableField id="2" name="fldSystemId"/>
      <queryTableField id="4" name="fldStatus"/>
      <queryTableField id="1" name="fldProblemNbr"/>
      <queryTableField id="3" name="fldShortTaskDescription"/>
      <queryTableField id="8" name="fldDateReceived"/>
      <queryTableField id="10" name="fldTargetDate"/>
      <queryTableField id="6" name="fldLowEstimate"/>
      <queryTableField id="7" name="fldHighEstimate"/>
      <queryTableField id="18" name="business area"/>
      <queryTableField id="19" name="fldDateStarted"/>
      <queryTableField id="20" name="fldExtendedTaskDescription"/>
    </queryTableFields>
    <queryTableDeletedFields count="2">
      <deletedField name="fldDateCompleted"/>
      <deletedField name="fldTaskType"/>
    </queryTableDeletedFields>
    <sortState xmlns:xlrd2="http://schemas.microsoft.com/office/spreadsheetml/2017/richdata2" ref="B4:L514">
      <sortCondition ref="B3"/>
      <sortCondition ref="C3"/>
    </sortState>
  </queryTableRefresh>
</queryTable>
</file>

<file path=xl/queryTables/queryTable2.xml><?xml version="1.0" encoding="utf-8"?>
<queryTable xmlns="http://schemas.openxmlformats.org/spreadsheetml/2006/main" name="task reporting database_1" headers="0" connectionId="2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</queryTableRefresh>
</queryTable>
</file>

<file path=xl/queryTables/queryTable3.xml><?xml version="1.0" encoding="utf-8"?>
<queryTable xmlns="http://schemas.openxmlformats.org/spreadsheetml/2006/main" name="task reporting database" headers="0" connectionId="3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</queryTableRefresh>
</queryTable>
</file>

<file path=xl/queryTables/queryTable4.xml><?xml version="1.0" encoding="utf-8"?>
<queryTable xmlns="http://schemas.openxmlformats.org/spreadsheetml/2006/main" name="task reporting database_1" headers="0" connectionId="4" autoFormatId="16" applyNumberFormats="0" applyBorderFormats="0" applyFontFormats="1" applyPatternFormats="1" applyAlignmentFormats="0" applyWidthHeightFormats="0">
  <queryTableRefresh headersInLastRefresh="0" nextId="11">
    <queryTableFields count="10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  <queryTableField id="10" name="fldTaskType"/>
    </queryTableFields>
  </queryTableRefresh>
</queryTable>
</file>

<file path=xl/queryTables/queryTable5.xml><?xml version="1.0" encoding="utf-8"?>
<queryTable xmlns="http://schemas.openxmlformats.org/spreadsheetml/2006/main" name="task reporting database" headers="0" connectionId="5" autoFormatId="16" applyNumberFormats="0" applyBorderFormats="0" applyFontFormats="1" applyPatternFormats="1" applyAlignmentFormats="0" applyWidthHeightFormats="0">
  <queryTableRefresh headersInLastRefresh="0" nextId="11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  <queryTableDeletedFields count="1">
      <deletedField name="fldTaskType"/>
    </queryTableDeletedFields>
  </queryTableRefresh>
</queryTable>
</file>

<file path=xl/queryTables/queryTable6.xml><?xml version="1.0" encoding="utf-8"?>
<queryTable xmlns="http://schemas.openxmlformats.org/spreadsheetml/2006/main" name="task reporting database_1" headers="0" connectionId="6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</queryTableRefresh>
</queryTable>
</file>

<file path=xl/queryTables/queryTable7.xml><?xml version="1.0" encoding="utf-8"?>
<queryTable xmlns="http://schemas.openxmlformats.org/spreadsheetml/2006/main" name="task reporting database_2" headers="0" connectionId="7" autoFormatId="16" applyNumberFormats="0" applyBorderFormats="0" applyFontFormats="1" applyPatternFormats="1" applyAlignmentFormats="0" applyWidthHeightFormats="0">
  <queryTableRefresh headersInLastRefresh="0" nextId="10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</queryTableRefresh>
</queryTable>
</file>

<file path=xl/queryTables/queryTable8.xml><?xml version="1.0" encoding="utf-8"?>
<queryTable xmlns="http://schemas.openxmlformats.org/spreadsheetml/2006/main" name="task reporting database_2" headers="0" connectionId="8" autoFormatId="16" applyNumberFormats="0" applyBorderFormats="0" applyFontFormats="1" applyPatternFormats="1" applyAlignmentFormats="0" applyWidthHeightFormats="0">
  <queryTableRefresh headersInLastRefresh="0" nextId="11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  <queryTableDeletedFields count="1">
      <deletedField name="fldTaskType"/>
    </queryTableDeletedFields>
  </queryTableRefresh>
</queryTable>
</file>

<file path=xl/queryTables/queryTable9.xml><?xml version="1.0" encoding="utf-8"?>
<queryTable xmlns="http://schemas.openxmlformats.org/spreadsheetml/2006/main" name="task reporting database_2" headers="0" connectionId="9" autoFormatId="16" applyNumberFormats="0" applyBorderFormats="0" applyFontFormats="1" applyPatternFormats="1" applyAlignmentFormats="0" applyWidthHeightFormats="0">
  <queryTableRefresh headersInLastRefresh="0" nextId="11">
    <queryTableFields count="9">
      <queryTableField id="1" name="business area"/>
      <queryTableField id="2" name="fldSystemId"/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</queryTableFields>
  </queryTableRefresh>
</queryTable>
</file>

<file path=xl/queryTables/queryTable10.xml><?xml version="1.0" encoding="utf-8"?>
<queryTable xmlns="http://schemas.openxmlformats.org/spreadsheetml/2006/main" name="task reporting database_2" headers="0" connectionId="10" autoFormatId="16" applyNumberFormats="0" applyBorderFormats="0" applyFontFormats="1" applyPatternFormats="1" applyAlignmentFormats="0" applyWidthHeightFormats="0">
  <queryTableRefresh headersInLastRefresh="0" nextId="11">
    <queryTableFields count="8">
      <queryTableField id="3" name="fldStatus"/>
      <queryTableField id="4" name="fldProblemNbr"/>
      <queryTableField id="5" name="fldShortTaskDescription"/>
      <queryTableField id="6" name="fldDateReceived"/>
      <queryTableField id="7" name="fldTargetDate"/>
      <queryTableField id="8" name="fldLowEstimate"/>
      <queryTableField id="9" name="fldHighEstimate"/>
      <queryTableField id="10" name="fldTaskType"/>
    </queryTableFields>
    <queryTableDeletedFields count="2">
      <deletedField name="business area"/>
      <deletedField name="fldSystemId"/>
    </queryTableDeleted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B1" zoomScaleNormal="100" workbookViewId="0">
      <selection activeCell="G12" sqref="G12"/>
    </sheetView>
  </sheetViews>
  <sheetFormatPr defaultRowHeight="12.5" x14ac:dyDescent="0.25"/>
  <cols>
    <col min="1" max="1" width="22.26953125" bestFit="1" customWidth="1"/>
    <col min="2" max="2" width="12.1796875" bestFit="1" customWidth="1"/>
    <col min="3" max="3" width="10.1796875" customWidth="1"/>
    <col min="4" max="4" width="9" customWidth="1"/>
    <col min="5" max="5" width="11.1796875" bestFit="1" customWidth="1"/>
    <col min="6" max="6" width="12.453125" bestFit="1" customWidth="1"/>
    <col min="7" max="7" width="11.54296875" customWidth="1"/>
    <col min="8" max="8" width="10.1796875" customWidth="1"/>
    <col min="9" max="9" width="8.26953125" customWidth="1"/>
    <col min="10" max="10" width="8.81640625" bestFit="1" customWidth="1"/>
    <col min="11" max="11" width="8.1796875" bestFit="1" customWidth="1"/>
    <col min="12" max="12" width="12.1796875" bestFit="1" customWidth="1"/>
    <col min="13" max="13" width="16.1796875" style="4" bestFit="1" customWidth="1"/>
  </cols>
  <sheetData>
    <row r="1" spans="1:13" s="87" customFormat="1" ht="25.5" customHeight="1" x14ac:dyDescent="0.25">
      <c r="A1" s="78" t="s">
        <v>428</v>
      </c>
      <c r="B1" s="79" t="s">
        <v>481</v>
      </c>
      <c r="C1" s="80" t="s">
        <v>484</v>
      </c>
      <c r="D1" s="80" t="s">
        <v>473</v>
      </c>
      <c r="E1" s="80" t="s">
        <v>482</v>
      </c>
      <c r="F1" s="81" t="s">
        <v>476</v>
      </c>
      <c r="G1" s="80" t="s">
        <v>485</v>
      </c>
      <c r="H1" s="82" t="s">
        <v>480</v>
      </c>
      <c r="I1" s="80" t="s">
        <v>479</v>
      </c>
      <c r="J1" s="80" t="s">
        <v>483</v>
      </c>
      <c r="K1" s="80" t="s">
        <v>474</v>
      </c>
      <c r="L1" s="81" t="s">
        <v>478</v>
      </c>
      <c r="M1" s="79" t="s">
        <v>440</v>
      </c>
    </row>
    <row r="2" spans="1:13" ht="13" x14ac:dyDescent="0.3">
      <c r="A2" s="83" t="s">
        <v>438</v>
      </c>
      <c r="B2" s="27">
        <f>SUM(B3:B8)</f>
        <v>155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>
        <f>SUM(M3:M8)</f>
        <v>324</v>
      </c>
    </row>
    <row r="3" spans="1:13" x14ac:dyDescent="0.25">
      <c r="A3" s="84" t="s">
        <v>734</v>
      </c>
      <c r="B3" s="27">
        <f>COUNTIF('New Applications'!C:C,"Started")</f>
        <v>0</v>
      </c>
      <c r="C3" s="32">
        <v>0</v>
      </c>
      <c r="D3" s="32">
        <f>COUNTIF('New Applications'!A:A,"Business Services")</f>
        <v>0</v>
      </c>
      <c r="E3" s="32">
        <f>COUNTIF('New Applications'!A:A,"engagement")</f>
        <v>0</v>
      </c>
      <c r="F3" s="32">
        <f>COUNTIF('New Applications'!A:A,"University Residences")</f>
        <v>0</v>
      </c>
      <c r="G3" s="32">
        <f>COUNTIF('New Applications'!A:A,"Institutional Research")</f>
        <v>0</v>
      </c>
      <c r="H3" s="32">
        <f>COUNTIF('New Applications'!A:A,"IT*")</f>
        <v>0</v>
      </c>
      <c r="I3" s="32">
        <f>COUNTIF('New Applications'!A:A,"Physical Facilities")</f>
        <v>0</v>
      </c>
      <c r="J3" s="32">
        <v>0</v>
      </c>
      <c r="K3" s="32">
        <f>COUNTIF('New Applications'!A:A,"Student Services")</f>
        <v>0</v>
      </c>
      <c r="L3" s="32">
        <f>COUNTIF('New Applications'!A:A,"University Development")</f>
        <v>0</v>
      </c>
      <c r="M3" s="27">
        <f t="shared" ref="M3:M9" si="0">SUM(D3:L3)</f>
        <v>0</v>
      </c>
    </row>
    <row r="4" spans="1:13" x14ac:dyDescent="0.25">
      <c r="A4" s="84" t="s">
        <v>733</v>
      </c>
      <c r="B4" s="27">
        <f>COUNTIF(Investigations!C:C,"Started")</f>
        <v>27</v>
      </c>
      <c r="C4" s="32">
        <v>0</v>
      </c>
      <c r="D4" s="32">
        <f>COUNTIF(Investigations!A:A,"Business Services")</f>
        <v>30</v>
      </c>
      <c r="E4" s="32">
        <f>COUNTIF(Investigations!A:A,"Engagement")</f>
        <v>0</v>
      </c>
      <c r="F4" s="32">
        <f>COUNTIF(Investigations!A:A,"University Residences")</f>
        <v>3</v>
      </c>
      <c r="G4" s="32">
        <f>COUNTIF(Investigations!A:A,"Institutional Research")</f>
        <v>0</v>
      </c>
      <c r="H4" s="32">
        <f>COUNTIF(Investigations!A:A,"IT*")</f>
        <v>3</v>
      </c>
      <c r="I4" s="32">
        <f>COUNTIF(Investigations!A:A,"Physical Facilities")</f>
        <v>0</v>
      </c>
      <c r="J4" s="32">
        <v>0</v>
      </c>
      <c r="K4" s="32">
        <f>COUNTIF(Investigations!A:A,"Student Services")</f>
        <v>14</v>
      </c>
      <c r="L4" s="32">
        <f>COUNTIF(Investigations!A:A,"University Development")</f>
        <v>1</v>
      </c>
      <c r="M4" s="27">
        <f t="shared" si="0"/>
        <v>51</v>
      </c>
    </row>
    <row r="5" spans="1:13" x14ac:dyDescent="0.25">
      <c r="A5" s="84" t="s">
        <v>735</v>
      </c>
      <c r="B5" s="27">
        <f>COUNTIF('Emergency Fixes'!C:C,"Started")</f>
        <v>5</v>
      </c>
      <c r="C5" s="32">
        <v>0</v>
      </c>
      <c r="D5" s="32">
        <f>COUNTIF('Emergency Fixes'!A:A,"Business Services")</f>
        <v>3</v>
      </c>
      <c r="E5" s="32">
        <f>COUNTIF('Emergency Fixes'!A:A,"Engagement")</f>
        <v>0</v>
      </c>
      <c r="F5" s="32">
        <f>COUNTIF('Emergency Fixes'!A:A,"University Residences")</f>
        <v>0</v>
      </c>
      <c r="G5" s="32">
        <f>COUNTIF('Emergency Fixes'!A:A,"Institutional Research")</f>
        <v>0</v>
      </c>
      <c r="H5" s="32">
        <f>COUNTIF('Emergency Fixes'!A:A,"IT*")</f>
        <v>0</v>
      </c>
      <c r="I5" s="32">
        <f>COUNTIF('Emergency Fixes'!A:A,"Physical Facilities")</f>
        <v>0</v>
      </c>
      <c r="J5" s="32">
        <v>0</v>
      </c>
      <c r="K5" s="32">
        <f>COUNTIF('Emergency Fixes'!A:A,"Student Services")</f>
        <v>2</v>
      </c>
      <c r="L5" s="32">
        <f>COUNTIF('Emergency Fixes'!A:A,"University Development")</f>
        <v>0</v>
      </c>
      <c r="M5" s="27">
        <f t="shared" si="0"/>
        <v>5</v>
      </c>
    </row>
    <row r="6" spans="1:13" x14ac:dyDescent="0.25">
      <c r="A6" s="84" t="s">
        <v>736</v>
      </c>
      <c r="B6" s="27">
        <f>COUNTIF('Application Fixes'!C:C,"Started")</f>
        <v>49</v>
      </c>
      <c r="C6" s="32">
        <v>0</v>
      </c>
      <c r="D6" s="32">
        <f>COUNTIF('Application Fixes'!A:A,"Business Services")</f>
        <v>27</v>
      </c>
      <c r="E6" s="32">
        <f>COUNTIF('Application Fixes'!A:A,"Engagement")</f>
        <v>11</v>
      </c>
      <c r="F6" s="32">
        <f>COUNTIF('Application Fixes'!A:A,"University Residences")</f>
        <v>5</v>
      </c>
      <c r="G6" s="32">
        <f>COUNTIF('Application Fixes'!A:A,"Institutional Research")</f>
        <v>0</v>
      </c>
      <c r="H6" s="32">
        <f>COUNTIF('Application Fixes'!A:A,"IT*")</f>
        <v>5</v>
      </c>
      <c r="I6" s="32">
        <f>COUNTIF('Application Fixes'!A:A,"Physical Facilities")</f>
        <v>2</v>
      </c>
      <c r="J6" s="32">
        <v>0</v>
      </c>
      <c r="K6" s="32">
        <f>COUNTIF('Application Fixes'!A:A,"Student Services")</f>
        <v>40</v>
      </c>
      <c r="L6" s="32">
        <f>COUNTIF('Application Fixes'!A:A,"University Development")</f>
        <v>12</v>
      </c>
      <c r="M6" s="27">
        <f t="shared" si="0"/>
        <v>102</v>
      </c>
    </row>
    <row r="7" spans="1:13" x14ac:dyDescent="0.25">
      <c r="A7" s="84" t="s">
        <v>737</v>
      </c>
      <c r="B7" s="27">
        <f>COUNTIF('Scheduled Modifications'!C:C,"Started")</f>
        <v>59</v>
      </c>
      <c r="C7" s="32">
        <v>0</v>
      </c>
      <c r="D7" s="32">
        <f>COUNTIF('Scheduled Modifications'!A:A,"Business Services")</f>
        <v>48</v>
      </c>
      <c r="E7" s="32">
        <f>COUNTIF('Scheduled Modifications'!A:A,"Engagement")</f>
        <v>0</v>
      </c>
      <c r="F7" s="32">
        <f>COUNTIF('Scheduled Modifications'!A:A,"University Residences")</f>
        <v>3</v>
      </c>
      <c r="G7" s="32">
        <f>COUNTIF('Scheduled Modifications'!A:A,"Institutional Research")</f>
        <v>0</v>
      </c>
      <c r="H7" s="32">
        <f>COUNTIF('Scheduled Modifications'!A:A,"IT*")</f>
        <v>17</v>
      </c>
      <c r="I7" s="32">
        <f>COUNTIF('Scheduled Modifications'!A:A,"Physical Facilities")</f>
        <v>0</v>
      </c>
      <c r="J7" s="32">
        <v>0</v>
      </c>
      <c r="K7" s="32">
        <f>COUNTIF('Scheduled Modifications'!A:A,"Student Services")</f>
        <v>39</v>
      </c>
      <c r="L7" s="32">
        <f>COUNTIF('Scheduled Modifications'!A:A,"University Development")</f>
        <v>31</v>
      </c>
      <c r="M7" s="27">
        <f t="shared" si="0"/>
        <v>138</v>
      </c>
    </row>
    <row r="8" spans="1:13" x14ac:dyDescent="0.25">
      <c r="A8" s="84" t="s">
        <v>825</v>
      </c>
      <c r="B8" s="27">
        <f>COUNTIF('Production Support'!C:C,"Started")</f>
        <v>15</v>
      </c>
      <c r="C8" s="32">
        <v>0</v>
      </c>
      <c r="D8" s="32">
        <f>COUNTIF('Production Support'!A:A,"Business Services")</f>
        <v>18</v>
      </c>
      <c r="E8" s="32">
        <f>COUNTIF('Production Support'!A:A,"Engagement")</f>
        <v>0</v>
      </c>
      <c r="F8" s="32">
        <f>COUNTIF('Production Support'!A:A,"University Residences")</f>
        <v>2</v>
      </c>
      <c r="G8" s="32">
        <f>COUNTIF('Production Support'!A:A,"Institutional Research")</f>
        <v>0</v>
      </c>
      <c r="H8" s="32">
        <f>COUNTIF('Production Support'!A:A,"IT*")</f>
        <v>5</v>
      </c>
      <c r="I8" s="32">
        <f>COUNTIF('Production Support'!A:A,"Physical Facilities")</f>
        <v>0</v>
      </c>
      <c r="J8" s="32">
        <v>0</v>
      </c>
      <c r="K8" s="32">
        <f>COUNTIF('Production Support'!A:A,"Student Services")</f>
        <v>3</v>
      </c>
      <c r="L8" s="32">
        <f>COUNTIF('Production Support'!A:A,"University Development")</f>
        <v>0</v>
      </c>
      <c r="M8" s="27">
        <f t="shared" si="0"/>
        <v>28</v>
      </c>
    </row>
    <row r="9" spans="1:13" ht="13" x14ac:dyDescent="0.3">
      <c r="A9" s="83" t="s">
        <v>368</v>
      </c>
      <c r="B9" s="27">
        <f>COUNTIF(OnePurdue!C:C,"Started")</f>
        <v>3</v>
      </c>
      <c r="C9" s="32">
        <v>0</v>
      </c>
      <c r="D9" s="32">
        <f>COUNTIF(OnePurdue!A:A,"Business Services")</f>
        <v>1</v>
      </c>
      <c r="E9" s="32">
        <f>COUNTIF(OnePurdue!A:A,"Engagement")</f>
        <v>0</v>
      </c>
      <c r="F9" s="32">
        <f>COUNTIF(OnePurdue!A:A,"University Residences")</f>
        <v>0</v>
      </c>
      <c r="G9" s="32">
        <f>COUNTIF(OnePurdue!A:A,"Institutional Research")</f>
        <v>1</v>
      </c>
      <c r="H9" s="32">
        <f>COUNTIF(OnePurdue!A:A,"IT*")</f>
        <v>3</v>
      </c>
      <c r="I9" s="32">
        <f>COUNTIF(OnePurdue!A:A,"Physical Facilities")</f>
        <v>0</v>
      </c>
      <c r="J9" s="32">
        <v>0</v>
      </c>
      <c r="K9" s="32">
        <f>COUNTIF(OnePurdue!A:A,"Student Services")</f>
        <v>0</v>
      </c>
      <c r="L9" s="32">
        <f>COUNTIF(OnePurdue!A:A,"University Development")</f>
        <v>0</v>
      </c>
      <c r="M9" s="27">
        <f t="shared" si="0"/>
        <v>5</v>
      </c>
    </row>
    <row r="10" spans="1:13" ht="13" x14ac:dyDescent="0.3">
      <c r="A10" s="83" t="s">
        <v>437</v>
      </c>
      <c r="B10" s="27">
        <f>COUNTIF(Electives!C:C,"Started")</f>
        <v>30</v>
      </c>
      <c r="C10" s="32">
        <v>0</v>
      </c>
      <c r="D10" s="32">
        <f>COUNTIF(Electives!A:A,"Business Services")</f>
        <v>30</v>
      </c>
      <c r="E10" s="32">
        <f>COUNTIF(Electives!A:A,"Engagement")</f>
        <v>4</v>
      </c>
      <c r="F10" s="32">
        <f>COUNTIF(Electives!A:A,"University Residences")</f>
        <v>5</v>
      </c>
      <c r="G10" s="32">
        <f>COUNTIF(Electives!A:A,"Institutional Research")</f>
        <v>0</v>
      </c>
      <c r="H10" s="32">
        <f>COUNTIF(Electives!A:A,"IT*")</f>
        <v>15</v>
      </c>
      <c r="I10" s="32">
        <f>COUNTIF(Electives!A:A,"Physical Facilities")</f>
        <v>3</v>
      </c>
      <c r="J10" s="32">
        <v>0</v>
      </c>
      <c r="K10" s="32">
        <f>COUNTIF(Electives!A:A,"Student Services")</f>
        <v>89</v>
      </c>
      <c r="L10" s="32">
        <f>COUNTIF(Electives!A:A,"University Development")</f>
        <v>34</v>
      </c>
      <c r="M10" s="27">
        <f>SUM(C10:L10)</f>
        <v>180</v>
      </c>
    </row>
    <row r="11" spans="1:13" ht="13" x14ac:dyDescent="0.3">
      <c r="A11" s="85" t="s">
        <v>439</v>
      </c>
      <c r="B11" s="86">
        <f>SUM(B3:B10)</f>
        <v>188</v>
      </c>
      <c r="C11" s="86">
        <f t="shared" ref="C11:L11" si="1">SUM(C2:C10)</f>
        <v>0</v>
      </c>
      <c r="D11" s="86">
        <f t="shared" si="1"/>
        <v>157</v>
      </c>
      <c r="E11" s="86">
        <f t="shared" si="1"/>
        <v>15</v>
      </c>
      <c r="F11" s="86">
        <f t="shared" si="1"/>
        <v>18</v>
      </c>
      <c r="G11" s="86">
        <f t="shared" si="1"/>
        <v>1</v>
      </c>
      <c r="H11" s="86">
        <f t="shared" si="1"/>
        <v>48</v>
      </c>
      <c r="I11" s="86">
        <f t="shared" si="1"/>
        <v>5</v>
      </c>
      <c r="J11" s="86">
        <f t="shared" si="1"/>
        <v>0</v>
      </c>
      <c r="K11" s="86">
        <f t="shared" si="1"/>
        <v>187</v>
      </c>
      <c r="L11" s="86">
        <f t="shared" si="1"/>
        <v>78</v>
      </c>
      <c r="M11" s="86">
        <f>SUM(M3:M10)</f>
        <v>509</v>
      </c>
    </row>
    <row r="12" spans="1:13" x14ac:dyDescent="0.25">
      <c r="J12" t="s">
        <v>190</v>
      </c>
    </row>
  </sheetData>
  <sheetCalcPr fullCalcOnLoad="1"/>
  <phoneticPr fontId="3" type="noConversion"/>
  <pageMargins left="0.5" right="0.5" top="0.88" bottom="0.75" header="0.18" footer="0.5"/>
  <pageSetup scale="85" orientation="landscape" r:id="rId1"/>
  <headerFooter alignWithMargins="0">
    <oddHeader>&amp;L&amp;G&amp;RIT Enterprise Applications
Pipeline Report - In Process</oddHeader>
    <oddFooter>&amp;C&amp;P&amp;R&amp;D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4"/>
  <sheetViews>
    <sheetView zoomScaleNormal="100" workbookViewId="0">
      <selection activeCell="E21" sqref="E21"/>
    </sheetView>
  </sheetViews>
  <sheetFormatPr defaultRowHeight="12.5" x14ac:dyDescent="0.25"/>
  <cols>
    <col min="1" max="1" width="14.1796875" style="2" customWidth="1"/>
    <col min="2" max="2" width="12" style="2" bestFit="1" customWidth="1"/>
    <col min="3" max="3" width="10.54296875" style="2" customWidth="1"/>
    <col min="4" max="4" width="5.26953125" style="4" customWidth="1"/>
    <col min="5" max="5" width="54.1796875" style="2" customWidth="1"/>
    <col min="6" max="6" width="8.453125" style="21" bestFit="1" customWidth="1"/>
    <col min="7" max="7" width="7" style="21" customWidth="1"/>
    <col min="8" max="9" width="8.1796875" style="3" bestFit="1" customWidth="1"/>
    <col min="10" max="10" width="8.1796875" style="3" customWidth="1"/>
    <col min="11" max="11" width="8.7265625" style="3" bestFit="1" customWidth="1"/>
    <col min="12" max="12" width="65.54296875" style="3" bestFit="1" customWidth="1"/>
  </cols>
  <sheetData>
    <row r="1" spans="1:12" s="1" customFormat="1" ht="25.5" customHeight="1" x14ac:dyDescent="0.25">
      <c r="A1" s="5" t="s">
        <v>477</v>
      </c>
      <c r="B1" s="5" t="s">
        <v>429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12" x14ac:dyDescent="0.25">
      <c r="A2" s="33" t="s">
        <v>473</v>
      </c>
      <c r="B2" s="22" t="s">
        <v>383</v>
      </c>
      <c r="C2" s="22" t="s">
        <v>486</v>
      </c>
      <c r="D2" s="22" t="s">
        <v>10</v>
      </c>
      <c r="E2" s="22" t="s">
        <v>487</v>
      </c>
      <c r="F2" s="23">
        <v>37908</v>
      </c>
      <c r="G2" s="23">
        <v>38533</v>
      </c>
      <c r="H2" s="24">
        <v>150</v>
      </c>
      <c r="I2" s="24">
        <v>300</v>
      </c>
      <c r="J2" s="67"/>
      <c r="K2" s="105"/>
      <c r="L2" s="67"/>
    </row>
    <row r="3" spans="1:12" x14ac:dyDescent="0.25">
      <c r="A3" s="22" t="s">
        <v>473</v>
      </c>
      <c r="B3" s="22" t="s">
        <v>383</v>
      </c>
      <c r="C3" s="22" t="s">
        <v>486</v>
      </c>
      <c r="D3" s="22" t="s">
        <v>11</v>
      </c>
      <c r="E3" s="22" t="s">
        <v>488</v>
      </c>
      <c r="F3" s="23">
        <v>37908</v>
      </c>
      <c r="G3" s="23">
        <v>38717</v>
      </c>
      <c r="H3" s="24">
        <v>80</v>
      </c>
      <c r="I3" s="24">
        <v>120</v>
      </c>
      <c r="J3" s="67"/>
      <c r="K3" s="105"/>
      <c r="L3" s="67"/>
    </row>
    <row r="4" spans="1:12" x14ac:dyDescent="0.25">
      <c r="A4" s="22" t="s">
        <v>473</v>
      </c>
      <c r="B4" s="22" t="s">
        <v>383</v>
      </c>
      <c r="C4" s="22" t="s">
        <v>486</v>
      </c>
      <c r="D4" s="22" t="s">
        <v>12</v>
      </c>
      <c r="E4" s="22" t="s">
        <v>489</v>
      </c>
      <c r="F4" s="23">
        <v>37908</v>
      </c>
      <c r="G4" s="23"/>
      <c r="H4" s="24">
        <v>100</v>
      </c>
      <c r="I4" s="24">
        <v>150</v>
      </c>
      <c r="J4" s="67"/>
      <c r="K4" s="105"/>
      <c r="L4" s="67"/>
    </row>
    <row r="5" spans="1:12" x14ac:dyDescent="0.25">
      <c r="A5" s="22" t="s">
        <v>473</v>
      </c>
      <c r="B5" s="22" t="s">
        <v>383</v>
      </c>
      <c r="C5" s="22" t="s">
        <v>486</v>
      </c>
      <c r="D5" s="22" t="s">
        <v>13</v>
      </c>
      <c r="E5" s="22" t="s">
        <v>490</v>
      </c>
      <c r="F5" s="23">
        <v>37908</v>
      </c>
      <c r="G5" s="23"/>
      <c r="H5" s="24">
        <v>100</v>
      </c>
      <c r="I5" s="24">
        <v>150</v>
      </c>
      <c r="J5" s="67"/>
      <c r="K5" s="105"/>
      <c r="L5" s="67"/>
    </row>
    <row r="6" spans="1:12" x14ac:dyDescent="0.25">
      <c r="A6" s="22" t="s">
        <v>473</v>
      </c>
      <c r="B6" s="22" t="s">
        <v>383</v>
      </c>
      <c r="C6" s="22" t="s">
        <v>486</v>
      </c>
      <c r="D6" s="22" t="s">
        <v>14</v>
      </c>
      <c r="E6" s="22" t="s">
        <v>832</v>
      </c>
      <c r="F6" s="23">
        <v>37939</v>
      </c>
      <c r="G6" s="23">
        <v>38352</v>
      </c>
      <c r="H6" s="24">
        <v>24</v>
      </c>
      <c r="I6" s="24">
        <v>40</v>
      </c>
      <c r="J6" s="67"/>
      <c r="K6" s="105"/>
      <c r="L6" s="67"/>
    </row>
    <row r="7" spans="1:12" x14ac:dyDescent="0.25">
      <c r="A7" s="22" t="s">
        <v>473</v>
      </c>
      <c r="B7" s="22" t="s">
        <v>383</v>
      </c>
      <c r="C7" s="22" t="s">
        <v>495</v>
      </c>
      <c r="D7" s="22" t="s">
        <v>15</v>
      </c>
      <c r="E7" s="22" t="s">
        <v>491</v>
      </c>
      <c r="F7" s="23">
        <v>37925</v>
      </c>
      <c r="G7" s="23"/>
      <c r="H7" s="24">
        <v>30</v>
      </c>
      <c r="I7" s="24">
        <v>50</v>
      </c>
      <c r="J7" s="67"/>
      <c r="K7" s="105"/>
      <c r="L7" s="67"/>
    </row>
    <row r="8" spans="1:12" ht="20.5" x14ac:dyDescent="0.25">
      <c r="A8" s="22" t="s">
        <v>473</v>
      </c>
      <c r="B8" s="22" t="s">
        <v>383</v>
      </c>
      <c r="C8" s="22" t="s">
        <v>377</v>
      </c>
      <c r="D8" s="22" t="s">
        <v>16</v>
      </c>
      <c r="E8" s="22" t="s">
        <v>890</v>
      </c>
      <c r="F8" s="23">
        <v>38009</v>
      </c>
      <c r="G8" s="23"/>
      <c r="H8" s="24">
        <v>40</v>
      </c>
      <c r="I8" s="24">
        <v>80</v>
      </c>
      <c r="J8" s="67"/>
      <c r="K8" s="105"/>
      <c r="L8" s="67"/>
    </row>
    <row r="9" spans="1:12" x14ac:dyDescent="0.25">
      <c r="A9" s="22" t="s">
        <v>473</v>
      </c>
      <c r="B9" s="22" t="s">
        <v>336</v>
      </c>
      <c r="C9" s="22" t="s">
        <v>334</v>
      </c>
      <c r="D9" s="22" t="s">
        <v>17</v>
      </c>
      <c r="E9" s="22" t="s">
        <v>365</v>
      </c>
      <c r="F9" s="23">
        <v>37841</v>
      </c>
      <c r="G9" s="23"/>
      <c r="H9" s="24">
        <v>100</v>
      </c>
      <c r="I9" s="24">
        <v>300</v>
      </c>
      <c r="J9" s="67"/>
      <c r="K9" s="105"/>
      <c r="L9" s="67"/>
    </row>
    <row r="10" spans="1:12" x14ac:dyDescent="0.25">
      <c r="A10" s="22" t="s">
        <v>473</v>
      </c>
      <c r="B10" s="22" t="s">
        <v>331</v>
      </c>
      <c r="C10" s="22" t="s">
        <v>486</v>
      </c>
      <c r="D10" s="22" t="s">
        <v>18</v>
      </c>
      <c r="E10" s="22" t="s">
        <v>492</v>
      </c>
      <c r="F10" s="23">
        <v>37900</v>
      </c>
      <c r="G10" s="23"/>
      <c r="H10" s="24">
        <v>20</v>
      </c>
      <c r="I10" s="24">
        <v>50</v>
      </c>
      <c r="J10" s="67"/>
      <c r="K10" s="105"/>
      <c r="L10" s="67"/>
    </row>
    <row r="11" spans="1:12" x14ac:dyDescent="0.25">
      <c r="A11" s="22" t="s">
        <v>473</v>
      </c>
      <c r="B11" s="22" t="s">
        <v>345</v>
      </c>
      <c r="C11" s="22" t="s">
        <v>486</v>
      </c>
      <c r="D11" s="22" t="s">
        <v>19</v>
      </c>
      <c r="E11" s="22" t="s">
        <v>493</v>
      </c>
      <c r="F11" s="23">
        <v>37161</v>
      </c>
      <c r="G11" s="23"/>
      <c r="H11" s="24">
        <v>40</v>
      </c>
      <c r="I11" s="24">
        <v>80</v>
      </c>
      <c r="J11" s="67"/>
      <c r="K11" s="105"/>
      <c r="L11" s="67"/>
    </row>
    <row r="12" spans="1:12" x14ac:dyDescent="0.25">
      <c r="A12" s="22" t="s">
        <v>473</v>
      </c>
      <c r="B12" s="22" t="s">
        <v>345</v>
      </c>
      <c r="C12" s="22" t="s">
        <v>486</v>
      </c>
      <c r="D12" s="22" t="s">
        <v>20</v>
      </c>
      <c r="E12" s="22" t="s">
        <v>494</v>
      </c>
      <c r="F12" s="23">
        <v>37879</v>
      </c>
      <c r="G12" s="23"/>
      <c r="H12" s="24">
        <v>80</v>
      </c>
      <c r="I12" s="24">
        <v>120</v>
      </c>
      <c r="J12" s="67"/>
      <c r="K12" s="105"/>
      <c r="L12" s="67"/>
    </row>
    <row r="13" spans="1:12" x14ac:dyDescent="0.25">
      <c r="A13" s="22" t="s">
        <v>473</v>
      </c>
      <c r="B13" s="22" t="s">
        <v>363</v>
      </c>
      <c r="C13" s="22" t="s">
        <v>495</v>
      </c>
      <c r="D13" s="22" t="s">
        <v>21</v>
      </c>
      <c r="E13" s="22" t="s">
        <v>496</v>
      </c>
      <c r="F13" s="23">
        <v>37879</v>
      </c>
      <c r="G13" s="23"/>
      <c r="H13" s="24">
        <v>1000</v>
      </c>
      <c r="I13" s="24">
        <v>2000</v>
      </c>
      <c r="J13" s="67"/>
      <c r="K13" s="105"/>
      <c r="L13" s="67"/>
    </row>
    <row r="14" spans="1:12" x14ac:dyDescent="0.25">
      <c r="A14" s="22" t="s">
        <v>473</v>
      </c>
      <c r="B14" s="22" t="s">
        <v>389</v>
      </c>
      <c r="C14" s="22" t="s">
        <v>486</v>
      </c>
      <c r="D14" s="22" t="s">
        <v>22</v>
      </c>
      <c r="E14" s="22" t="s">
        <v>497</v>
      </c>
      <c r="F14" s="23">
        <v>37875</v>
      </c>
      <c r="G14" s="23"/>
      <c r="H14" s="24">
        <v>20</v>
      </c>
      <c r="I14" s="24">
        <v>40</v>
      </c>
      <c r="J14" s="67"/>
      <c r="K14" s="105"/>
      <c r="L14" s="67"/>
    </row>
    <row r="15" spans="1:12" x14ac:dyDescent="0.25">
      <c r="A15" s="22" t="s">
        <v>473</v>
      </c>
      <c r="B15" s="22" t="s">
        <v>389</v>
      </c>
      <c r="C15" s="22" t="s">
        <v>486</v>
      </c>
      <c r="D15" s="22" t="s">
        <v>23</v>
      </c>
      <c r="E15" s="22" t="s">
        <v>498</v>
      </c>
      <c r="F15" s="23">
        <v>37699</v>
      </c>
      <c r="G15" s="23"/>
      <c r="H15" s="24">
        <v>80</v>
      </c>
      <c r="I15" s="24">
        <v>120</v>
      </c>
      <c r="J15" s="67"/>
      <c r="K15" s="105"/>
      <c r="L15" s="67"/>
    </row>
    <row r="16" spans="1:12" x14ac:dyDescent="0.25">
      <c r="A16" s="22" t="s">
        <v>473</v>
      </c>
      <c r="B16" s="22" t="s">
        <v>389</v>
      </c>
      <c r="C16" s="22" t="s">
        <v>486</v>
      </c>
      <c r="D16" s="22" t="s">
        <v>24</v>
      </c>
      <c r="E16" s="22" t="s">
        <v>499</v>
      </c>
      <c r="F16" s="23">
        <v>37719</v>
      </c>
      <c r="G16" s="23"/>
      <c r="H16" s="24">
        <v>80</v>
      </c>
      <c r="I16" s="24">
        <v>120</v>
      </c>
      <c r="J16" s="67"/>
      <c r="K16" s="105"/>
      <c r="L16" s="67"/>
    </row>
    <row r="17" spans="1:12" x14ac:dyDescent="0.25">
      <c r="A17" s="22" t="s">
        <v>473</v>
      </c>
      <c r="B17" s="22" t="s">
        <v>389</v>
      </c>
      <c r="C17" s="22" t="s">
        <v>486</v>
      </c>
      <c r="D17" s="22" t="s">
        <v>25</v>
      </c>
      <c r="E17" s="22" t="s">
        <v>833</v>
      </c>
      <c r="F17" s="23">
        <v>37719</v>
      </c>
      <c r="G17" s="23"/>
      <c r="H17" s="24">
        <v>60</v>
      </c>
      <c r="I17" s="24">
        <v>100</v>
      </c>
      <c r="J17" s="67"/>
      <c r="K17" s="105"/>
      <c r="L17" s="67"/>
    </row>
    <row r="18" spans="1:12" x14ac:dyDescent="0.25">
      <c r="A18" s="22" t="s">
        <v>473</v>
      </c>
      <c r="B18" s="22" t="s">
        <v>389</v>
      </c>
      <c r="C18" s="22" t="s">
        <v>486</v>
      </c>
      <c r="D18" s="22" t="s">
        <v>26</v>
      </c>
      <c r="E18" s="22" t="s">
        <v>500</v>
      </c>
      <c r="F18" s="23">
        <v>37719</v>
      </c>
      <c r="G18" s="23"/>
      <c r="H18" s="24">
        <v>60</v>
      </c>
      <c r="I18" s="24">
        <v>100</v>
      </c>
      <c r="J18" s="67"/>
      <c r="K18" s="105"/>
      <c r="L18" s="67"/>
    </row>
    <row r="19" spans="1:12" x14ac:dyDescent="0.25">
      <c r="A19" s="22" t="s">
        <v>473</v>
      </c>
      <c r="B19" s="22" t="s">
        <v>389</v>
      </c>
      <c r="C19" s="22" t="s">
        <v>334</v>
      </c>
      <c r="D19" s="22" t="s">
        <v>27</v>
      </c>
      <c r="E19" s="22" t="s">
        <v>501</v>
      </c>
      <c r="F19" s="23">
        <v>37425</v>
      </c>
      <c r="G19" s="23"/>
      <c r="H19" s="24">
        <v>90</v>
      </c>
      <c r="I19" s="24">
        <v>150</v>
      </c>
      <c r="J19" s="67"/>
      <c r="K19" s="105"/>
      <c r="L19" s="67"/>
    </row>
    <row r="20" spans="1:12" x14ac:dyDescent="0.25">
      <c r="A20" s="22" t="s">
        <v>473</v>
      </c>
      <c r="B20" s="22" t="s">
        <v>332</v>
      </c>
      <c r="C20" s="22" t="s">
        <v>486</v>
      </c>
      <c r="D20" s="22" t="s">
        <v>28</v>
      </c>
      <c r="E20" s="22" t="s">
        <v>502</v>
      </c>
      <c r="F20" s="23">
        <v>37879</v>
      </c>
      <c r="G20" s="23"/>
      <c r="H20" s="24">
        <v>40</v>
      </c>
      <c r="I20" s="24">
        <v>100</v>
      </c>
      <c r="J20" s="67"/>
      <c r="K20" s="105"/>
      <c r="L20" s="67"/>
    </row>
    <row r="21" spans="1:12" x14ac:dyDescent="0.25">
      <c r="A21" s="22" t="s">
        <v>473</v>
      </c>
      <c r="B21" s="22" t="s">
        <v>332</v>
      </c>
      <c r="C21" s="22" t="s">
        <v>495</v>
      </c>
      <c r="D21" s="22" t="s">
        <v>29</v>
      </c>
      <c r="E21" s="22" t="s">
        <v>503</v>
      </c>
      <c r="F21" s="23">
        <v>37879</v>
      </c>
      <c r="G21" s="23"/>
      <c r="H21" s="24">
        <v>40</v>
      </c>
      <c r="I21" s="24">
        <v>100</v>
      </c>
      <c r="J21" s="67"/>
      <c r="K21" s="105"/>
      <c r="L21" s="67"/>
    </row>
    <row r="22" spans="1:12" x14ac:dyDescent="0.25">
      <c r="A22" s="22" t="s">
        <v>473</v>
      </c>
      <c r="B22" s="22" t="s">
        <v>332</v>
      </c>
      <c r="C22" s="22" t="s">
        <v>495</v>
      </c>
      <c r="D22" s="22" t="s">
        <v>30</v>
      </c>
      <c r="E22" s="22" t="s">
        <v>504</v>
      </c>
      <c r="F22" s="23">
        <v>37879</v>
      </c>
      <c r="G22" s="23"/>
      <c r="H22" s="24">
        <v>500</v>
      </c>
      <c r="I22" s="24">
        <v>1000</v>
      </c>
      <c r="J22" s="67"/>
      <c r="K22" s="105"/>
      <c r="L22" s="67"/>
    </row>
    <row r="23" spans="1:12" x14ac:dyDescent="0.25">
      <c r="A23" s="22" t="s">
        <v>473</v>
      </c>
      <c r="B23" s="22" t="s">
        <v>332</v>
      </c>
      <c r="C23" s="22" t="s">
        <v>495</v>
      </c>
      <c r="D23" s="22" t="s">
        <v>31</v>
      </c>
      <c r="E23" s="22" t="s">
        <v>834</v>
      </c>
      <c r="F23" s="23">
        <v>34639</v>
      </c>
      <c r="G23" s="23"/>
      <c r="H23" s="24">
        <v>500</v>
      </c>
      <c r="I23" s="24">
        <v>1000</v>
      </c>
      <c r="J23" s="67"/>
      <c r="K23" s="105"/>
      <c r="L23" s="67"/>
    </row>
    <row r="24" spans="1:12" x14ac:dyDescent="0.25">
      <c r="A24" s="22" t="s">
        <v>473</v>
      </c>
      <c r="B24" s="22" t="s">
        <v>332</v>
      </c>
      <c r="C24" s="22" t="s">
        <v>334</v>
      </c>
      <c r="D24" s="22" t="s">
        <v>32</v>
      </c>
      <c r="E24" s="22" t="s">
        <v>835</v>
      </c>
      <c r="F24" s="23">
        <v>37935</v>
      </c>
      <c r="G24" s="23">
        <v>37970</v>
      </c>
      <c r="H24" s="24">
        <v>15</v>
      </c>
      <c r="I24" s="24">
        <v>30</v>
      </c>
      <c r="J24" s="67"/>
      <c r="K24" s="105"/>
      <c r="L24" s="67"/>
    </row>
    <row r="25" spans="1:12" x14ac:dyDescent="0.25">
      <c r="A25" s="22" t="s">
        <v>473</v>
      </c>
      <c r="B25" s="22" t="s">
        <v>359</v>
      </c>
      <c r="C25" s="22" t="s">
        <v>486</v>
      </c>
      <c r="D25" s="22" t="s">
        <v>33</v>
      </c>
      <c r="E25" s="22" t="s">
        <v>505</v>
      </c>
      <c r="F25" s="23">
        <v>37960</v>
      </c>
      <c r="G25" s="23">
        <v>38061</v>
      </c>
      <c r="H25" s="24">
        <v>1000</v>
      </c>
      <c r="I25" s="24">
        <v>1500</v>
      </c>
      <c r="J25" s="67"/>
      <c r="K25" s="105"/>
      <c r="L25" s="67"/>
    </row>
    <row r="26" spans="1:12" x14ac:dyDescent="0.25">
      <c r="A26" s="22" t="s">
        <v>473</v>
      </c>
      <c r="B26" s="22" t="s">
        <v>359</v>
      </c>
      <c r="C26" s="22" t="s">
        <v>486</v>
      </c>
      <c r="D26" s="22" t="s">
        <v>34</v>
      </c>
      <c r="E26" s="22" t="s">
        <v>506</v>
      </c>
      <c r="F26" s="23">
        <v>37960</v>
      </c>
      <c r="G26" s="23">
        <v>37865</v>
      </c>
      <c r="H26" s="24">
        <v>1000</v>
      </c>
      <c r="I26" s="24">
        <v>1500</v>
      </c>
      <c r="J26" s="67"/>
      <c r="K26" s="105"/>
      <c r="L26" s="67"/>
    </row>
    <row r="27" spans="1:12" x14ac:dyDescent="0.25">
      <c r="A27" s="22" t="s">
        <v>473</v>
      </c>
      <c r="B27" s="22" t="s">
        <v>359</v>
      </c>
      <c r="C27" s="22" t="s">
        <v>334</v>
      </c>
      <c r="D27" s="22" t="s">
        <v>35</v>
      </c>
      <c r="E27" s="22" t="s">
        <v>836</v>
      </c>
      <c r="F27" s="23">
        <v>37634</v>
      </c>
      <c r="G27" s="23"/>
      <c r="H27" s="24">
        <v>1000</v>
      </c>
      <c r="I27" s="24">
        <v>2000</v>
      </c>
      <c r="J27" s="67"/>
      <c r="K27" s="105"/>
      <c r="L27" s="67"/>
    </row>
    <row r="28" spans="1:12" x14ac:dyDescent="0.25">
      <c r="A28" s="22" t="s">
        <v>473</v>
      </c>
      <c r="B28" s="22" t="s">
        <v>338</v>
      </c>
      <c r="C28" s="22" t="s">
        <v>486</v>
      </c>
      <c r="D28" s="22" t="s">
        <v>36</v>
      </c>
      <c r="E28" s="22" t="s">
        <v>837</v>
      </c>
      <c r="F28" s="23">
        <v>37670</v>
      </c>
      <c r="G28" s="23"/>
      <c r="H28" s="24">
        <v>80</v>
      </c>
      <c r="I28" s="24">
        <v>100</v>
      </c>
      <c r="J28" s="67"/>
      <c r="K28" s="105"/>
      <c r="L28" s="67"/>
    </row>
    <row r="29" spans="1:12" x14ac:dyDescent="0.25">
      <c r="A29" s="22" t="s">
        <v>473</v>
      </c>
      <c r="B29" s="22" t="s">
        <v>333</v>
      </c>
      <c r="C29" s="22" t="s">
        <v>495</v>
      </c>
      <c r="D29" s="22" t="s">
        <v>37</v>
      </c>
      <c r="E29" s="22" t="s">
        <v>507</v>
      </c>
      <c r="F29" s="23">
        <v>37907</v>
      </c>
      <c r="G29" s="23">
        <v>37914</v>
      </c>
      <c r="H29" s="24">
        <v>150</v>
      </c>
      <c r="I29" s="24">
        <v>200</v>
      </c>
      <c r="J29" s="67"/>
      <c r="K29" s="105"/>
      <c r="L29" s="67"/>
    </row>
    <row r="30" spans="1:12" x14ac:dyDescent="0.25">
      <c r="A30" s="22" t="s">
        <v>473</v>
      </c>
      <c r="B30" s="22" t="s">
        <v>358</v>
      </c>
      <c r="C30" s="22" t="s">
        <v>486</v>
      </c>
      <c r="D30" s="22" t="s">
        <v>38</v>
      </c>
      <c r="E30" s="22" t="s">
        <v>514</v>
      </c>
      <c r="F30" s="23">
        <v>37591</v>
      </c>
      <c r="G30" s="23">
        <v>38168</v>
      </c>
      <c r="H30" s="24">
        <v>200</v>
      </c>
      <c r="I30" s="24">
        <v>300</v>
      </c>
      <c r="J30" s="67"/>
      <c r="K30" s="105"/>
      <c r="L30" s="67"/>
    </row>
    <row r="31" spans="1:12" x14ac:dyDescent="0.25">
      <c r="A31" s="22" t="s">
        <v>473</v>
      </c>
      <c r="B31" s="22" t="s">
        <v>344</v>
      </c>
      <c r="C31" s="22" t="s">
        <v>495</v>
      </c>
      <c r="D31" s="22" t="s">
        <v>39</v>
      </c>
      <c r="E31" s="22" t="s">
        <v>838</v>
      </c>
      <c r="F31" s="23">
        <v>36829</v>
      </c>
      <c r="G31" s="23"/>
      <c r="H31" s="24">
        <v>200</v>
      </c>
      <c r="I31" s="24">
        <v>400</v>
      </c>
      <c r="J31" s="67"/>
      <c r="K31" s="105"/>
      <c r="L31" s="67"/>
    </row>
    <row r="32" spans="1:12" ht="20.5" x14ac:dyDescent="0.25">
      <c r="A32" s="22" t="s">
        <v>482</v>
      </c>
      <c r="B32" s="22" t="s">
        <v>391</v>
      </c>
      <c r="C32" s="22" t="s">
        <v>508</v>
      </c>
      <c r="D32" s="22" t="s">
        <v>40</v>
      </c>
      <c r="E32" s="22" t="s">
        <v>511</v>
      </c>
      <c r="F32" s="23">
        <v>37930</v>
      </c>
      <c r="G32" s="23">
        <v>38169</v>
      </c>
      <c r="H32" s="24">
        <v>1000</v>
      </c>
      <c r="I32" s="24">
        <v>9999</v>
      </c>
      <c r="J32" s="67"/>
      <c r="K32" s="105"/>
      <c r="L32" s="67"/>
    </row>
    <row r="33" spans="1:12" ht="20.5" x14ac:dyDescent="0.25">
      <c r="A33" s="22" t="s">
        <v>482</v>
      </c>
      <c r="B33" s="22" t="s">
        <v>391</v>
      </c>
      <c r="C33" s="22" t="s">
        <v>508</v>
      </c>
      <c r="D33" s="22" t="s">
        <v>41</v>
      </c>
      <c r="E33" s="22" t="s">
        <v>512</v>
      </c>
      <c r="F33" s="23">
        <v>37930</v>
      </c>
      <c r="G33" s="23">
        <v>38233</v>
      </c>
      <c r="H33" s="24">
        <v>1000</v>
      </c>
      <c r="I33" s="24">
        <v>9999</v>
      </c>
      <c r="J33" s="67"/>
      <c r="K33" s="105"/>
      <c r="L33" s="67"/>
    </row>
    <row r="34" spans="1:12" x14ac:dyDescent="0.25">
      <c r="A34" s="22" t="s">
        <v>482</v>
      </c>
      <c r="B34" s="22" t="s">
        <v>391</v>
      </c>
      <c r="C34" s="22" t="s">
        <v>334</v>
      </c>
      <c r="D34" s="22" t="s">
        <v>42</v>
      </c>
      <c r="E34" s="22" t="s">
        <v>509</v>
      </c>
      <c r="F34" s="23">
        <v>37930</v>
      </c>
      <c r="G34" s="23">
        <v>38037</v>
      </c>
      <c r="H34" s="24">
        <v>1000</v>
      </c>
      <c r="I34" s="24">
        <v>9999</v>
      </c>
      <c r="J34" s="67"/>
      <c r="K34" s="105"/>
      <c r="L34" s="67"/>
    </row>
    <row r="35" spans="1:12" x14ac:dyDescent="0.25">
      <c r="A35" s="22" t="s">
        <v>482</v>
      </c>
      <c r="B35" s="22" t="s">
        <v>391</v>
      </c>
      <c r="C35" s="22" t="s">
        <v>334</v>
      </c>
      <c r="D35" s="22" t="s">
        <v>43</v>
      </c>
      <c r="E35" s="22" t="s">
        <v>510</v>
      </c>
      <c r="F35" s="23">
        <v>37930</v>
      </c>
      <c r="G35" s="23">
        <v>38114</v>
      </c>
      <c r="H35" s="24">
        <v>1000</v>
      </c>
      <c r="I35" s="24">
        <v>9999</v>
      </c>
      <c r="J35" s="67"/>
      <c r="K35" s="105"/>
      <c r="L35" s="67"/>
    </row>
    <row r="36" spans="1:12" x14ac:dyDescent="0.25">
      <c r="A36" s="22" t="s">
        <v>515</v>
      </c>
      <c r="B36" s="22" t="s">
        <v>360</v>
      </c>
      <c r="C36" s="22" t="s">
        <v>486</v>
      </c>
      <c r="D36" s="22" t="s">
        <v>44</v>
      </c>
      <c r="E36" s="22" t="s">
        <v>516</v>
      </c>
      <c r="F36" s="23">
        <v>37910</v>
      </c>
      <c r="G36" s="23">
        <v>37987</v>
      </c>
      <c r="H36" s="24">
        <v>5</v>
      </c>
      <c r="I36" s="24">
        <v>10</v>
      </c>
      <c r="J36" s="67"/>
      <c r="K36" s="105"/>
      <c r="L36" s="67"/>
    </row>
    <row r="37" spans="1:12" ht="20.5" x14ac:dyDescent="0.25">
      <c r="A37" s="22" t="s">
        <v>515</v>
      </c>
      <c r="B37" s="22" t="s">
        <v>360</v>
      </c>
      <c r="C37" s="22" t="s">
        <v>486</v>
      </c>
      <c r="D37" s="22" t="s">
        <v>45</v>
      </c>
      <c r="E37" s="22" t="s">
        <v>518</v>
      </c>
      <c r="F37" s="23">
        <v>37910</v>
      </c>
      <c r="G37" s="23">
        <v>37987</v>
      </c>
      <c r="H37" s="24">
        <v>10</v>
      </c>
      <c r="I37" s="24">
        <v>20</v>
      </c>
      <c r="J37" s="67"/>
      <c r="K37" s="105"/>
      <c r="L37" s="67"/>
    </row>
    <row r="38" spans="1:12" ht="30.5" x14ac:dyDescent="0.25">
      <c r="A38" s="22" t="s">
        <v>515</v>
      </c>
      <c r="B38" s="22" t="s">
        <v>360</v>
      </c>
      <c r="C38" s="22" t="s">
        <v>486</v>
      </c>
      <c r="D38" s="22" t="s">
        <v>46</v>
      </c>
      <c r="E38" s="22" t="s">
        <v>519</v>
      </c>
      <c r="F38" s="23">
        <v>37910</v>
      </c>
      <c r="G38" s="23">
        <v>38168</v>
      </c>
      <c r="H38" s="24">
        <v>100</v>
      </c>
      <c r="I38" s="24">
        <v>500</v>
      </c>
      <c r="J38" s="67"/>
      <c r="K38" s="105"/>
      <c r="L38" s="67"/>
    </row>
    <row r="39" spans="1:12" ht="20.5" x14ac:dyDescent="0.25">
      <c r="A39" s="22" t="s">
        <v>515</v>
      </c>
      <c r="B39" s="22" t="s">
        <v>360</v>
      </c>
      <c r="C39" s="22" t="s">
        <v>486</v>
      </c>
      <c r="D39" s="22" t="s">
        <v>47</v>
      </c>
      <c r="E39" s="22" t="s">
        <v>517</v>
      </c>
      <c r="F39" s="23">
        <v>37963</v>
      </c>
      <c r="G39" s="23">
        <v>38169</v>
      </c>
      <c r="H39" s="24">
        <v>200</v>
      </c>
      <c r="I39" s="24">
        <v>500</v>
      </c>
      <c r="J39" s="67"/>
      <c r="K39" s="105"/>
      <c r="L39" s="67"/>
    </row>
    <row r="40" spans="1:12" x14ac:dyDescent="0.25">
      <c r="A40" s="22" t="s">
        <v>515</v>
      </c>
      <c r="B40" s="22" t="s">
        <v>360</v>
      </c>
      <c r="C40" s="22" t="s">
        <v>334</v>
      </c>
      <c r="D40" s="22" t="s">
        <v>48</v>
      </c>
      <c r="E40" s="22" t="s">
        <v>520</v>
      </c>
      <c r="F40" s="23">
        <v>37881</v>
      </c>
      <c r="G40" s="23">
        <v>38017</v>
      </c>
      <c r="H40" s="24">
        <v>10</v>
      </c>
      <c r="I40" s="24">
        <v>20</v>
      </c>
      <c r="J40" s="67"/>
      <c r="K40" s="105"/>
      <c r="L40" s="67"/>
    </row>
    <row r="41" spans="1:12" x14ac:dyDescent="0.25">
      <c r="A41" s="22" t="s">
        <v>515</v>
      </c>
      <c r="B41" s="22" t="s">
        <v>360</v>
      </c>
      <c r="C41" s="22" t="s">
        <v>334</v>
      </c>
      <c r="D41" s="22" t="s">
        <v>49</v>
      </c>
      <c r="E41" s="22" t="s">
        <v>521</v>
      </c>
      <c r="F41" s="23">
        <v>37910</v>
      </c>
      <c r="G41" s="23">
        <v>38017</v>
      </c>
      <c r="H41" s="24">
        <v>20</v>
      </c>
      <c r="I41" s="24">
        <v>30</v>
      </c>
      <c r="J41" s="67"/>
      <c r="K41" s="105"/>
      <c r="L41" s="67"/>
    </row>
    <row r="42" spans="1:12" x14ac:dyDescent="0.25">
      <c r="A42" s="22" t="s">
        <v>515</v>
      </c>
      <c r="B42" s="22" t="s">
        <v>360</v>
      </c>
      <c r="C42" s="22" t="s">
        <v>334</v>
      </c>
      <c r="D42" s="22" t="s">
        <v>50</v>
      </c>
      <c r="E42" s="22" t="s">
        <v>522</v>
      </c>
      <c r="F42" s="23">
        <v>37910</v>
      </c>
      <c r="G42" s="23">
        <v>38017</v>
      </c>
      <c r="H42" s="24">
        <v>10</v>
      </c>
      <c r="I42" s="24">
        <v>30</v>
      </c>
      <c r="J42" s="67"/>
      <c r="K42" s="105"/>
      <c r="L42" s="67"/>
    </row>
    <row r="43" spans="1:12" x14ac:dyDescent="0.25">
      <c r="A43" s="22" t="s">
        <v>515</v>
      </c>
      <c r="B43" s="22" t="s">
        <v>360</v>
      </c>
      <c r="C43" s="22" t="s">
        <v>334</v>
      </c>
      <c r="D43" s="22" t="s">
        <v>51</v>
      </c>
      <c r="E43" s="22" t="s">
        <v>523</v>
      </c>
      <c r="F43" s="23">
        <v>37910</v>
      </c>
      <c r="G43" s="23">
        <v>38007</v>
      </c>
      <c r="H43" s="24">
        <v>10</v>
      </c>
      <c r="I43" s="24">
        <v>20</v>
      </c>
      <c r="J43" s="67"/>
      <c r="K43" s="105"/>
      <c r="L43" s="67"/>
    </row>
    <row r="44" spans="1:12" x14ac:dyDescent="0.25">
      <c r="A44" s="22" t="s">
        <v>515</v>
      </c>
      <c r="B44" s="22" t="s">
        <v>360</v>
      </c>
      <c r="C44" s="22" t="s">
        <v>334</v>
      </c>
      <c r="D44" s="22" t="s">
        <v>52</v>
      </c>
      <c r="E44" s="22" t="s">
        <v>524</v>
      </c>
      <c r="F44" s="23">
        <v>37911</v>
      </c>
      <c r="G44" s="23">
        <v>38017</v>
      </c>
      <c r="H44" s="24">
        <v>20</v>
      </c>
      <c r="I44" s="24">
        <v>40</v>
      </c>
      <c r="J44" s="67"/>
      <c r="K44" s="105"/>
      <c r="L44" s="67"/>
    </row>
    <row r="45" spans="1:12" x14ac:dyDescent="0.25">
      <c r="A45" s="22" t="s">
        <v>515</v>
      </c>
      <c r="B45" s="22" t="s">
        <v>360</v>
      </c>
      <c r="C45" s="22" t="s">
        <v>334</v>
      </c>
      <c r="D45" s="22" t="s">
        <v>53</v>
      </c>
      <c r="E45" s="22" t="s">
        <v>525</v>
      </c>
      <c r="F45" s="23">
        <v>37936</v>
      </c>
      <c r="G45" s="23">
        <v>38007</v>
      </c>
      <c r="H45" s="24">
        <v>10</v>
      </c>
      <c r="I45" s="24">
        <v>15</v>
      </c>
      <c r="J45" s="67"/>
      <c r="K45" s="105"/>
      <c r="L45" s="67"/>
    </row>
    <row r="46" spans="1:12" x14ac:dyDescent="0.25">
      <c r="A46" s="22" t="s">
        <v>475</v>
      </c>
      <c r="B46" s="22" t="s">
        <v>353</v>
      </c>
      <c r="C46" s="22" t="s">
        <v>334</v>
      </c>
      <c r="D46" s="22" t="s">
        <v>54</v>
      </c>
      <c r="E46" s="22" t="s">
        <v>354</v>
      </c>
      <c r="F46" s="23">
        <v>37196</v>
      </c>
      <c r="G46" s="23">
        <v>37315</v>
      </c>
      <c r="H46" s="24">
        <v>1</v>
      </c>
      <c r="I46" s="24">
        <v>1</v>
      </c>
      <c r="J46" s="67"/>
      <c r="K46" s="105"/>
      <c r="L46" s="67"/>
    </row>
    <row r="47" spans="1:12" x14ac:dyDescent="0.25">
      <c r="A47" s="22" t="s">
        <v>475</v>
      </c>
      <c r="B47" s="22" t="s">
        <v>353</v>
      </c>
      <c r="C47" s="22" t="s">
        <v>334</v>
      </c>
      <c r="D47" s="22" t="s">
        <v>55</v>
      </c>
      <c r="E47" s="22" t="s">
        <v>378</v>
      </c>
      <c r="F47" s="23">
        <v>37895</v>
      </c>
      <c r="G47" s="23">
        <v>38016</v>
      </c>
      <c r="H47" s="24">
        <v>1</v>
      </c>
      <c r="I47" s="24">
        <v>100</v>
      </c>
      <c r="J47" s="67"/>
      <c r="K47" s="105"/>
      <c r="L47" s="67"/>
    </row>
    <row r="48" spans="1:12" x14ac:dyDescent="0.25">
      <c r="A48" s="22" t="s">
        <v>475</v>
      </c>
      <c r="B48" s="22" t="s">
        <v>353</v>
      </c>
      <c r="C48" s="22" t="s">
        <v>334</v>
      </c>
      <c r="D48" s="22" t="s">
        <v>56</v>
      </c>
      <c r="E48" s="22" t="s">
        <v>379</v>
      </c>
      <c r="F48" s="23">
        <v>37895</v>
      </c>
      <c r="G48" s="23">
        <v>37956</v>
      </c>
      <c r="H48" s="24">
        <v>50</v>
      </c>
      <c r="I48" s="24">
        <v>100</v>
      </c>
      <c r="J48" s="67"/>
      <c r="K48" s="105"/>
      <c r="L48" s="67"/>
    </row>
    <row r="49" spans="1:12" x14ac:dyDescent="0.25">
      <c r="A49" s="34" t="s">
        <v>475</v>
      </c>
      <c r="B49" s="34" t="s">
        <v>353</v>
      </c>
      <c r="C49" s="34" t="s">
        <v>334</v>
      </c>
      <c r="D49" s="35" t="s">
        <v>57</v>
      </c>
      <c r="E49" s="34" t="s">
        <v>380</v>
      </c>
      <c r="F49" s="36">
        <v>37895</v>
      </c>
      <c r="G49" s="36">
        <v>37986</v>
      </c>
      <c r="H49" s="37">
        <v>200</v>
      </c>
      <c r="I49" s="37">
        <v>500</v>
      </c>
      <c r="J49" s="15"/>
      <c r="K49" s="105"/>
      <c r="L49" s="15"/>
    </row>
    <row r="50" spans="1:12" x14ac:dyDescent="0.25">
      <c r="A50" s="34" t="s">
        <v>475</v>
      </c>
      <c r="B50" s="34" t="s">
        <v>353</v>
      </c>
      <c r="C50" s="34" t="s">
        <v>334</v>
      </c>
      <c r="D50" s="35" t="s">
        <v>58</v>
      </c>
      <c r="E50" s="34" t="s">
        <v>381</v>
      </c>
      <c r="F50" s="36">
        <v>37895</v>
      </c>
      <c r="G50" s="36">
        <v>37956</v>
      </c>
      <c r="H50" s="37">
        <v>50</v>
      </c>
      <c r="I50" s="37">
        <v>150</v>
      </c>
      <c r="J50" s="15"/>
      <c r="K50" s="105"/>
      <c r="L50" s="15"/>
    </row>
    <row r="51" spans="1:12" x14ac:dyDescent="0.25">
      <c r="A51" s="34" t="s">
        <v>479</v>
      </c>
      <c r="B51" s="34" t="s">
        <v>347</v>
      </c>
      <c r="C51" s="34" t="s">
        <v>495</v>
      </c>
      <c r="D51" s="35" t="s">
        <v>59</v>
      </c>
      <c r="E51" s="34" t="s">
        <v>526</v>
      </c>
      <c r="F51" s="36">
        <v>37355</v>
      </c>
      <c r="G51" s="36"/>
      <c r="H51" s="37">
        <v>10</v>
      </c>
      <c r="I51" s="37">
        <v>100</v>
      </c>
      <c r="J51" s="15"/>
      <c r="K51" s="105"/>
      <c r="L51" s="15"/>
    </row>
    <row r="52" spans="1:12" x14ac:dyDescent="0.25">
      <c r="A52" s="34" t="s">
        <v>479</v>
      </c>
      <c r="B52" s="34" t="s">
        <v>372</v>
      </c>
      <c r="C52" s="34" t="s">
        <v>495</v>
      </c>
      <c r="D52" s="35" t="s">
        <v>60</v>
      </c>
      <c r="E52" s="34" t="s">
        <v>527</v>
      </c>
      <c r="F52" s="36">
        <v>37882</v>
      </c>
      <c r="G52" s="36"/>
      <c r="H52" s="37">
        <v>750</v>
      </c>
      <c r="I52" s="37">
        <v>1500</v>
      </c>
      <c r="J52" s="15"/>
      <c r="K52" s="105"/>
      <c r="L52" s="15"/>
    </row>
    <row r="53" spans="1:12" x14ac:dyDescent="0.25">
      <c r="A53" s="34" t="s">
        <v>479</v>
      </c>
      <c r="B53" s="34" t="s">
        <v>372</v>
      </c>
      <c r="C53" s="34" t="s">
        <v>495</v>
      </c>
      <c r="D53" s="35" t="s">
        <v>61</v>
      </c>
      <c r="E53" s="34" t="s">
        <v>528</v>
      </c>
      <c r="F53" s="36">
        <v>37886</v>
      </c>
      <c r="G53" s="36"/>
      <c r="H53" s="37">
        <v>10</v>
      </c>
      <c r="I53" s="37">
        <v>50</v>
      </c>
      <c r="J53" s="15"/>
      <c r="K53" s="105"/>
      <c r="L53" s="15"/>
    </row>
    <row r="54" spans="1:12" x14ac:dyDescent="0.25">
      <c r="A54" s="34" t="s">
        <v>474</v>
      </c>
      <c r="B54" s="34" t="s">
        <v>350</v>
      </c>
      <c r="C54" s="34" t="s">
        <v>486</v>
      </c>
      <c r="D54" s="35" t="s">
        <v>62</v>
      </c>
      <c r="E54" s="34" t="s">
        <v>529</v>
      </c>
      <c r="F54" s="36">
        <v>37896</v>
      </c>
      <c r="G54" s="36"/>
      <c r="H54" s="37">
        <v>500</v>
      </c>
      <c r="I54" s="37">
        <v>750</v>
      </c>
      <c r="J54" s="15"/>
      <c r="K54" s="105"/>
      <c r="L54" s="15"/>
    </row>
    <row r="55" spans="1:12" x14ac:dyDescent="0.25">
      <c r="A55" s="34" t="s">
        <v>474</v>
      </c>
      <c r="B55" s="34" t="s">
        <v>349</v>
      </c>
      <c r="C55" s="34" t="s">
        <v>486</v>
      </c>
      <c r="D55" s="35" t="s">
        <v>63</v>
      </c>
      <c r="E55" s="34" t="s">
        <v>530</v>
      </c>
      <c r="F55" s="36">
        <v>37924</v>
      </c>
      <c r="G55" s="36">
        <v>38092</v>
      </c>
      <c r="H55" s="37">
        <v>100</v>
      </c>
      <c r="I55" s="37">
        <v>200</v>
      </c>
      <c r="J55" s="15"/>
      <c r="K55" s="105"/>
      <c r="L55" s="15"/>
    </row>
    <row r="56" spans="1:12" x14ac:dyDescent="0.25">
      <c r="A56" s="34" t="s">
        <v>474</v>
      </c>
      <c r="B56" s="34" t="s">
        <v>349</v>
      </c>
      <c r="C56" s="34" t="s">
        <v>334</v>
      </c>
      <c r="D56" s="35" t="s">
        <v>64</v>
      </c>
      <c r="E56" s="34" t="s">
        <v>531</v>
      </c>
      <c r="F56" s="36">
        <v>37769</v>
      </c>
      <c r="G56" s="36">
        <v>38016</v>
      </c>
      <c r="H56" s="37">
        <v>25</v>
      </c>
      <c r="I56" s="37">
        <v>40</v>
      </c>
      <c r="J56" s="15"/>
      <c r="K56" s="105"/>
      <c r="L56" s="15"/>
    </row>
    <row r="57" spans="1:12" x14ac:dyDescent="0.25">
      <c r="A57" s="34" t="s">
        <v>474</v>
      </c>
      <c r="B57" s="34" t="s">
        <v>337</v>
      </c>
      <c r="C57" s="34" t="s">
        <v>486</v>
      </c>
      <c r="D57" s="35" t="s">
        <v>65</v>
      </c>
      <c r="E57" s="34" t="s">
        <v>532</v>
      </c>
      <c r="F57" s="36">
        <v>37690</v>
      </c>
      <c r="G57" s="36">
        <v>38018</v>
      </c>
      <c r="H57" s="37">
        <v>1</v>
      </c>
      <c r="I57" s="37">
        <v>50</v>
      </c>
      <c r="J57" s="15"/>
      <c r="K57" s="105"/>
      <c r="L57" s="15"/>
    </row>
    <row r="58" spans="1:12" x14ac:dyDescent="0.25">
      <c r="A58" s="34" t="s">
        <v>474</v>
      </c>
      <c r="B58" s="34" t="s">
        <v>337</v>
      </c>
      <c r="C58" s="34" t="s">
        <v>486</v>
      </c>
      <c r="D58" s="35" t="s">
        <v>66</v>
      </c>
      <c r="E58" s="34" t="s">
        <v>533</v>
      </c>
      <c r="F58" s="36">
        <v>37879</v>
      </c>
      <c r="G58" s="36">
        <v>37958</v>
      </c>
      <c r="H58" s="37">
        <v>75</v>
      </c>
      <c r="I58" s="37">
        <v>125</v>
      </c>
      <c r="J58" s="15"/>
      <c r="K58" s="105"/>
      <c r="L58" s="15"/>
    </row>
    <row r="59" spans="1:12" x14ac:dyDescent="0.25">
      <c r="A59" s="34" t="s">
        <v>474</v>
      </c>
      <c r="B59" s="34" t="s">
        <v>337</v>
      </c>
      <c r="C59" s="34" t="s">
        <v>486</v>
      </c>
      <c r="D59" s="35" t="s">
        <v>67</v>
      </c>
      <c r="E59" s="34" t="s">
        <v>534</v>
      </c>
      <c r="F59" s="36">
        <v>37879</v>
      </c>
      <c r="G59" s="36"/>
      <c r="H59" s="37">
        <v>100</v>
      </c>
      <c r="I59" s="37">
        <v>150</v>
      </c>
      <c r="J59" s="15"/>
      <c r="K59" s="105"/>
      <c r="L59" s="15"/>
    </row>
    <row r="60" spans="1:12" x14ac:dyDescent="0.25">
      <c r="A60" s="34" t="s">
        <v>474</v>
      </c>
      <c r="B60" s="34" t="s">
        <v>337</v>
      </c>
      <c r="C60" s="34" t="s">
        <v>486</v>
      </c>
      <c r="D60" s="35" t="s">
        <v>68</v>
      </c>
      <c r="E60" s="34" t="s">
        <v>535</v>
      </c>
      <c r="F60" s="36">
        <v>37887</v>
      </c>
      <c r="G60" s="36"/>
      <c r="H60" s="37">
        <v>25</v>
      </c>
      <c r="I60" s="37">
        <v>50</v>
      </c>
      <c r="J60" s="15"/>
      <c r="K60" s="105"/>
      <c r="L60" s="15"/>
    </row>
    <row r="61" spans="1:12" x14ac:dyDescent="0.25">
      <c r="A61" s="34" t="s">
        <v>474</v>
      </c>
      <c r="B61" s="34" t="s">
        <v>337</v>
      </c>
      <c r="C61" s="34" t="s">
        <v>486</v>
      </c>
      <c r="D61" s="35" t="s">
        <v>69</v>
      </c>
      <c r="E61" s="34" t="s">
        <v>536</v>
      </c>
      <c r="F61" s="36">
        <v>37887</v>
      </c>
      <c r="G61" s="36"/>
      <c r="H61" s="37">
        <v>100</v>
      </c>
      <c r="I61" s="37">
        <v>200</v>
      </c>
      <c r="J61" s="15"/>
      <c r="K61" s="105"/>
      <c r="L61" s="15"/>
    </row>
    <row r="62" spans="1:12" ht="20.5" x14ac:dyDescent="0.25">
      <c r="A62" s="34" t="s">
        <v>474</v>
      </c>
      <c r="B62" s="34" t="s">
        <v>337</v>
      </c>
      <c r="C62" s="34" t="s">
        <v>486</v>
      </c>
      <c r="D62" s="35" t="s">
        <v>70</v>
      </c>
      <c r="E62" s="34" t="s">
        <v>537</v>
      </c>
      <c r="F62" s="36">
        <v>37887</v>
      </c>
      <c r="G62" s="36"/>
      <c r="H62" s="37">
        <v>5</v>
      </c>
      <c r="I62" s="37">
        <v>10</v>
      </c>
      <c r="J62" s="15"/>
      <c r="K62" s="105"/>
      <c r="L62" s="15"/>
    </row>
    <row r="63" spans="1:12" x14ac:dyDescent="0.25">
      <c r="A63" s="34" t="s">
        <v>474</v>
      </c>
      <c r="B63" s="34" t="s">
        <v>337</v>
      </c>
      <c r="C63" s="34" t="s">
        <v>486</v>
      </c>
      <c r="D63" s="35" t="s">
        <v>71</v>
      </c>
      <c r="E63" s="34" t="s">
        <v>538</v>
      </c>
      <c r="F63" s="36">
        <v>37887</v>
      </c>
      <c r="G63" s="36"/>
      <c r="H63" s="37">
        <v>1</v>
      </c>
      <c r="I63" s="37">
        <v>9999</v>
      </c>
      <c r="J63" s="15"/>
      <c r="K63" s="105"/>
      <c r="L63" s="15"/>
    </row>
    <row r="64" spans="1:12" x14ac:dyDescent="0.25">
      <c r="A64" s="34" t="s">
        <v>474</v>
      </c>
      <c r="B64" s="34" t="s">
        <v>337</v>
      </c>
      <c r="C64" s="34" t="s">
        <v>486</v>
      </c>
      <c r="D64" s="35" t="s">
        <v>72</v>
      </c>
      <c r="E64" s="34" t="s">
        <v>539</v>
      </c>
      <c r="F64" s="36">
        <v>37896</v>
      </c>
      <c r="G64" s="36"/>
      <c r="H64" s="37">
        <v>1</v>
      </c>
      <c r="I64" s="37">
        <v>50</v>
      </c>
      <c r="J64" s="15"/>
      <c r="K64" s="105"/>
      <c r="L64" s="15"/>
    </row>
    <row r="65" spans="1:12" x14ac:dyDescent="0.25">
      <c r="A65" s="34" t="s">
        <v>474</v>
      </c>
      <c r="B65" s="34" t="s">
        <v>337</v>
      </c>
      <c r="C65" s="34" t="s">
        <v>486</v>
      </c>
      <c r="D65" s="35" t="s">
        <v>73</v>
      </c>
      <c r="E65" s="34" t="s">
        <v>540</v>
      </c>
      <c r="F65" s="36">
        <v>37896</v>
      </c>
      <c r="G65" s="36"/>
      <c r="H65" s="37">
        <v>1</v>
      </c>
      <c r="I65" s="37">
        <v>100</v>
      </c>
      <c r="J65" s="15"/>
      <c r="K65" s="105"/>
      <c r="L65" s="15"/>
    </row>
    <row r="66" spans="1:12" x14ac:dyDescent="0.25">
      <c r="A66" s="34" t="s">
        <v>474</v>
      </c>
      <c r="B66" s="34" t="s">
        <v>337</v>
      </c>
      <c r="C66" s="34" t="s">
        <v>486</v>
      </c>
      <c r="D66" s="35" t="s">
        <v>74</v>
      </c>
      <c r="E66" s="34" t="s">
        <v>541</v>
      </c>
      <c r="F66" s="36">
        <v>37896</v>
      </c>
      <c r="G66" s="36"/>
      <c r="H66" s="37">
        <v>101</v>
      </c>
      <c r="I66" s="37">
        <v>500</v>
      </c>
      <c r="J66" s="15"/>
      <c r="K66" s="105"/>
      <c r="L66" s="15"/>
    </row>
    <row r="67" spans="1:12" x14ac:dyDescent="0.25">
      <c r="A67" s="34" t="s">
        <v>474</v>
      </c>
      <c r="B67" s="34" t="s">
        <v>337</v>
      </c>
      <c r="C67" s="34" t="s">
        <v>486</v>
      </c>
      <c r="D67" s="35" t="s">
        <v>75</v>
      </c>
      <c r="E67" s="34" t="s">
        <v>542</v>
      </c>
      <c r="F67" s="36">
        <v>37896</v>
      </c>
      <c r="G67" s="36"/>
      <c r="H67" s="37">
        <v>101</v>
      </c>
      <c r="I67" s="37">
        <v>500</v>
      </c>
      <c r="J67" s="15"/>
      <c r="K67" s="105"/>
      <c r="L67" s="15"/>
    </row>
    <row r="68" spans="1:12" x14ac:dyDescent="0.25">
      <c r="A68" s="34" t="s">
        <v>474</v>
      </c>
      <c r="B68" s="34" t="s">
        <v>337</v>
      </c>
      <c r="C68" s="34" t="s">
        <v>486</v>
      </c>
      <c r="D68" s="35" t="s">
        <v>76</v>
      </c>
      <c r="E68" s="34" t="s">
        <v>543</v>
      </c>
      <c r="F68" s="36">
        <v>37896</v>
      </c>
      <c r="G68" s="36"/>
      <c r="H68" s="37">
        <v>1</v>
      </c>
      <c r="I68" s="37">
        <v>100</v>
      </c>
      <c r="J68" s="15"/>
      <c r="K68" s="105"/>
      <c r="L68" s="15"/>
    </row>
    <row r="69" spans="1:12" x14ac:dyDescent="0.25">
      <c r="A69" s="34" t="s">
        <v>474</v>
      </c>
      <c r="B69" s="34" t="s">
        <v>337</v>
      </c>
      <c r="C69" s="34" t="s">
        <v>486</v>
      </c>
      <c r="D69" s="35" t="s">
        <v>77</v>
      </c>
      <c r="E69" s="34" t="s">
        <v>544</v>
      </c>
      <c r="F69" s="36">
        <v>37896</v>
      </c>
      <c r="G69" s="36"/>
      <c r="H69" s="37">
        <v>1</v>
      </c>
      <c r="I69" s="37">
        <v>100</v>
      </c>
      <c r="J69" s="15"/>
      <c r="K69" s="105"/>
      <c r="L69" s="15"/>
    </row>
    <row r="70" spans="1:12" x14ac:dyDescent="0.25">
      <c r="A70" s="34" t="s">
        <v>474</v>
      </c>
      <c r="B70" s="34" t="s">
        <v>337</v>
      </c>
      <c r="C70" s="34" t="s">
        <v>486</v>
      </c>
      <c r="D70" s="35" t="s">
        <v>78</v>
      </c>
      <c r="E70" s="34" t="s">
        <v>545</v>
      </c>
      <c r="F70" s="36">
        <v>37896</v>
      </c>
      <c r="G70" s="36"/>
      <c r="H70" s="37">
        <v>1</v>
      </c>
      <c r="I70" s="37">
        <v>100</v>
      </c>
      <c r="J70" s="15"/>
      <c r="K70" s="105"/>
      <c r="L70" s="15"/>
    </row>
    <row r="71" spans="1:12" x14ac:dyDescent="0.25">
      <c r="A71" s="34" t="s">
        <v>474</v>
      </c>
      <c r="B71" s="34" t="s">
        <v>337</v>
      </c>
      <c r="C71" s="34" t="s">
        <v>486</v>
      </c>
      <c r="D71" s="35" t="s">
        <v>79</v>
      </c>
      <c r="E71" s="34" t="s">
        <v>546</v>
      </c>
      <c r="F71" s="36">
        <v>37896</v>
      </c>
      <c r="G71" s="36"/>
      <c r="H71" s="37">
        <v>1000</v>
      </c>
      <c r="I71" s="37">
        <v>1500</v>
      </c>
      <c r="J71" s="15"/>
      <c r="K71" s="105"/>
      <c r="L71" s="15"/>
    </row>
    <row r="72" spans="1:12" x14ac:dyDescent="0.25">
      <c r="A72" s="34" t="s">
        <v>474</v>
      </c>
      <c r="B72" s="34" t="s">
        <v>337</v>
      </c>
      <c r="C72" s="34" t="s">
        <v>486</v>
      </c>
      <c r="D72" s="35" t="s">
        <v>80</v>
      </c>
      <c r="E72" s="34" t="s">
        <v>547</v>
      </c>
      <c r="F72" s="36">
        <v>37896</v>
      </c>
      <c r="G72" s="36"/>
      <c r="H72" s="37">
        <v>101</v>
      </c>
      <c r="I72" s="37">
        <v>500</v>
      </c>
      <c r="J72" s="15"/>
      <c r="K72" s="105"/>
      <c r="L72" s="15"/>
    </row>
    <row r="73" spans="1:12" x14ac:dyDescent="0.25">
      <c r="A73" s="34" t="s">
        <v>474</v>
      </c>
      <c r="B73" s="34" t="s">
        <v>337</v>
      </c>
      <c r="C73" s="34" t="s">
        <v>486</v>
      </c>
      <c r="D73" s="35" t="s">
        <v>81</v>
      </c>
      <c r="E73" s="34" t="s">
        <v>548</v>
      </c>
      <c r="F73" s="36">
        <v>37900</v>
      </c>
      <c r="G73" s="36"/>
      <c r="H73" s="37">
        <v>1</v>
      </c>
      <c r="I73" s="37">
        <v>100</v>
      </c>
      <c r="J73" s="15"/>
      <c r="K73" s="105"/>
      <c r="L73" s="15"/>
    </row>
    <row r="74" spans="1:12" x14ac:dyDescent="0.25">
      <c r="A74" s="34" t="s">
        <v>474</v>
      </c>
      <c r="B74" s="34" t="s">
        <v>337</v>
      </c>
      <c r="C74" s="34" t="s">
        <v>486</v>
      </c>
      <c r="D74" s="35" t="s">
        <v>82</v>
      </c>
      <c r="E74" s="34" t="s">
        <v>549</v>
      </c>
      <c r="F74" s="36">
        <v>37929</v>
      </c>
      <c r="G74" s="36"/>
      <c r="H74" s="37">
        <v>1</v>
      </c>
      <c r="I74" s="37">
        <v>9999</v>
      </c>
      <c r="J74" s="15"/>
      <c r="K74" s="105"/>
      <c r="L74" s="15"/>
    </row>
    <row r="75" spans="1:12" x14ac:dyDescent="0.25">
      <c r="A75" s="34" t="s">
        <v>474</v>
      </c>
      <c r="B75" s="34" t="s">
        <v>337</v>
      </c>
      <c r="C75" s="34" t="s">
        <v>486</v>
      </c>
      <c r="D75" s="35" t="s">
        <v>83</v>
      </c>
      <c r="E75" s="34" t="s">
        <v>550</v>
      </c>
      <c r="F75" s="36">
        <v>37929</v>
      </c>
      <c r="G75" s="36"/>
      <c r="H75" s="37">
        <v>101</v>
      </c>
      <c r="I75" s="37">
        <v>500</v>
      </c>
      <c r="J75" s="15"/>
      <c r="K75" s="105"/>
      <c r="L75" s="15"/>
    </row>
    <row r="76" spans="1:12" x14ac:dyDescent="0.25">
      <c r="A76" s="34" t="s">
        <v>474</v>
      </c>
      <c r="B76" s="34" t="s">
        <v>337</v>
      </c>
      <c r="C76" s="34" t="s">
        <v>486</v>
      </c>
      <c r="D76" s="35" t="s">
        <v>84</v>
      </c>
      <c r="E76" s="34" t="s">
        <v>554</v>
      </c>
      <c r="F76" s="36">
        <v>37932</v>
      </c>
      <c r="G76" s="36"/>
      <c r="H76" s="37">
        <v>101</v>
      </c>
      <c r="I76" s="37">
        <v>500</v>
      </c>
      <c r="J76" s="15"/>
      <c r="K76" s="105"/>
      <c r="L76" s="15"/>
    </row>
    <row r="77" spans="1:12" x14ac:dyDescent="0.25">
      <c r="A77" s="34" t="s">
        <v>474</v>
      </c>
      <c r="B77" s="34" t="s">
        <v>337</v>
      </c>
      <c r="C77" s="34" t="s">
        <v>495</v>
      </c>
      <c r="D77" s="35" t="s">
        <v>85</v>
      </c>
      <c r="E77" s="34" t="s">
        <v>551</v>
      </c>
      <c r="F77" s="36">
        <v>37154</v>
      </c>
      <c r="G77" s="36"/>
      <c r="H77" s="37">
        <v>1</v>
      </c>
      <c r="I77" s="37">
        <v>100</v>
      </c>
      <c r="J77" s="15"/>
      <c r="K77" s="105"/>
      <c r="L77" s="15"/>
    </row>
    <row r="78" spans="1:12" ht="20.5" x14ac:dyDescent="0.25">
      <c r="A78" s="34" t="s">
        <v>474</v>
      </c>
      <c r="B78" s="34" t="s">
        <v>337</v>
      </c>
      <c r="C78" s="34" t="s">
        <v>495</v>
      </c>
      <c r="D78" s="35" t="s">
        <v>86</v>
      </c>
      <c r="E78" s="34" t="s">
        <v>552</v>
      </c>
      <c r="F78" s="36">
        <v>37887</v>
      </c>
      <c r="G78" s="36"/>
      <c r="H78" s="37">
        <v>600</v>
      </c>
      <c r="I78" s="37">
        <v>700</v>
      </c>
      <c r="J78" s="15"/>
      <c r="K78" s="105"/>
      <c r="L78" s="15"/>
    </row>
    <row r="79" spans="1:12" x14ac:dyDescent="0.25">
      <c r="A79" s="34" t="s">
        <v>474</v>
      </c>
      <c r="B79" s="34" t="s">
        <v>337</v>
      </c>
      <c r="C79" s="34" t="s">
        <v>495</v>
      </c>
      <c r="D79" s="35" t="s">
        <v>87</v>
      </c>
      <c r="E79" s="34" t="s">
        <v>553</v>
      </c>
      <c r="F79" s="36">
        <v>37925</v>
      </c>
      <c r="G79" s="36"/>
      <c r="H79" s="37">
        <v>101</v>
      </c>
      <c r="I79" s="37">
        <v>500</v>
      </c>
      <c r="J79" s="15"/>
      <c r="K79" s="105"/>
      <c r="L79" s="15"/>
    </row>
    <row r="80" spans="1:12" x14ac:dyDescent="0.25">
      <c r="A80" s="34" t="s">
        <v>474</v>
      </c>
      <c r="B80" s="34" t="s">
        <v>337</v>
      </c>
      <c r="C80" s="34" t="s">
        <v>334</v>
      </c>
      <c r="D80" s="35" t="s">
        <v>88</v>
      </c>
      <c r="E80" s="34" t="s">
        <v>382</v>
      </c>
      <c r="F80" s="36">
        <v>37897</v>
      </c>
      <c r="G80" s="36"/>
      <c r="H80" s="37">
        <v>1</v>
      </c>
      <c r="I80" s="37">
        <v>100</v>
      </c>
      <c r="J80" s="15"/>
      <c r="K80" s="105"/>
      <c r="L80" s="15"/>
    </row>
    <row r="81" spans="1:12" x14ac:dyDescent="0.25">
      <c r="A81" s="34" t="s">
        <v>474</v>
      </c>
      <c r="B81" s="34" t="s">
        <v>357</v>
      </c>
      <c r="C81" s="34" t="s">
        <v>486</v>
      </c>
      <c r="D81" s="35" t="s">
        <v>89</v>
      </c>
      <c r="E81" s="34" t="s">
        <v>555</v>
      </c>
      <c r="F81" s="36">
        <v>37896</v>
      </c>
      <c r="G81" s="36"/>
      <c r="H81" s="37">
        <v>1</v>
      </c>
      <c r="I81" s="37">
        <v>9999</v>
      </c>
      <c r="J81" s="15"/>
      <c r="K81" s="105"/>
      <c r="L81" s="15"/>
    </row>
    <row r="82" spans="1:12" x14ac:dyDescent="0.25">
      <c r="A82" s="34" t="s">
        <v>474</v>
      </c>
      <c r="B82" s="34" t="s">
        <v>357</v>
      </c>
      <c r="C82" s="34" t="s">
        <v>486</v>
      </c>
      <c r="D82" s="35" t="s">
        <v>90</v>
      </c>
      <c r="E82" s="34" t="s">
        <v>556</v>
      </c>
      <c r="F82" s="36">
        <v>37945</v>
      </c>
      <c r="G82" s="36">
        <v>38108</v>
      </c>
      <c r="H82" s="37">
        <v>10</v>
      </c>
      <c r="I82" s="37">
        <v>40</v>
      </c>
      <c r="J82" s="15"/>
      <c r="K82" s="105"/>
      <c r="L82" s="15"/>
    </row>
    <row r="83" spans="1:12" x14ac:dyDescent="0.25">
      <c r="A83" s="34" t="s">
        <v>474</v>
      </c>
      <c r="B83" s="34" t="s">
        <v>357</v>
      </c>
      <c r="C83" s="34" t="s">
        <v>334</v>
      </c>
      <c r="D83" s="35" t="s">
        <v>91</v>
      </c>
      <c r="E83" s="34" t="s">
        <v>557</v>
      </c>
      <c r="F83" s="36">
        <v>37727</v>
      </c>
      <c r="G83" s="36">
        <v>38061</v>
      </c>
      <c r="H83" s="37">
        <v>200</v>
      </c>
      <c r="I83" s="37">
        <v>500</v>
      </c>
      <c r="J83" s="15"/>
      <c r="K83" s="105"/>
      <c r="L83" s="15"/>
    </row>
    <row r="84" spans="1:12" x14ac:dyDescent="0.25">
      <c r="A84" s="34" t="s">
        <v>474</v>
      </c>
      <c r="B84" s="34" t="s">
        <v>342</v>
      </c>
      <c r="C84" s="34" t="s">
        <v>486</v>
      </c>
      <c r="D84" s="35" t="s">
        <v>92</v>
      </c>
      <c r="E84" s="34" t="s">
        <v>558</v>
      </c>
      <c r="F84" s="36">
        <v>37879</v>
      </c>
      <c r="G84" s="36"/>
      <c r="H84" s="37">
        <v>300</v>
      </c>
      <c r="I84" s="37">
        <v>400</v>
      </c>
      <c r="J84" s="15"/>
      <c r="K84" s="105"/>
      <c r="L84" s="15"/>
    </row>
    <row r="85" spans="1:12" x14ac:dyDescent="0.25">
      <c r="A85" s="34" t="s">
        <v>474</v>
      </c>
      <c r="B85" s="34" t="s">
        <v>342</v>
      </c>
      <c r="C85" s="34" t="s">
        <v>486</v>
      </c>
      <c r="D85" s="35" t="s">
        <v>93</v>
      </c>
      <c r="E85" s="34" t="s">
        <v>559</v>
      </c>
      <c r="F85" s="36">
        <v>37887</v>
      </c>
      <c r="G85" s="36"/>
      <c r="H85" s="37">
        <v>100</v>
      </c>
      <c r="I85" s="37">
        <v>150</v>
      </c>
      <c r="J85" s="15"/>
      <c r="K85" s="105"/>
      <c r="L85" s="15"/>
    </row>
    <row r="86" spans="1:12" ht="20.5" x14ac:dyDescent="0.25">
      <c r="A86" s="34" t="s">
        <v>474</v>
      </c>
      <c r="B86" s="34" t="s">
        <v>342</v>
      </c>
      <c r="C86" s="34" t="s">
        <v>486</v>
      </c>
      <c r="D86" s="35" t="s">
        <v>94</v>
      </c>
      <c r="E86" s="34" t="s">
        <v>560</v>
      </c>
      <c r="F86" s="36">
        <v>37887</v>
      </c>
      <c r="G86" s="36"/>
      <c r="H86" s="37">
        <v>100</v>
      </c>
      <c r="I86" s="37">
        <v>200</v>
      </c>
      <c r="J86" s="15"/>
      <c r="K86" s="105"/>
      <c r="L86" s="15"/>
    </row>
    <row r="87" spans="1:12" x14ac:dyDescent="0.25">
      <c r="A87" s="34" t="s">
        <v>474</v>
      </c>
      <c r="B87" s="34" t="s">
        <v>342</v>
      </c>
      <c r="C87" s="34" t="s">
        <v>486</v>
      </c>
      <c r="D87" s="35" t="s">
        <v>95</v>
      </c>
      <c r="E87" s="34" t="s">
        <v>561</v>
      </c>
      <c r="F87" s="36">
        <v>37887</v>
      </c>
      <c r="G87" s="36"/>
      <c r="H87" s="37">
        <v>200</v>
      </c>
      <c r="I87" s="37">
        <v>300</v>
      </c>
      <c r="J87" s="15"/>
      <c r="K87" s="105"/>
      <c r="L87" s="15"/>
    </row>
    <row r="88" spans="1:12" x14ac:dyDescent="0.25">
      <c r="A88" s="34" t="s">
        <v>474</v>
      </c>
      <c r="B88" s="34" t="s">
        <v>342</v>
      </c>
      <c r="C88" s="34" t="s">
        <v>486</v>
      </c>
      <c r="D88" s="35" t="s">
        <v>96</v>
      </c>
      <c r="E88" s="34" t="s">
        <v>562</v>
      </c>
      <c r="F88" s="36">
        <v>37887</v>
      </c>
      <c r="G88" s="36"/>
      <c r="H88" s="37">
        <v>500</v>
      </c>
      <c r="I88" s="37">
        <v>600</v>
      </c>
      <c r="J88" s="15"/>
      <c r="K88" s="105"/>
      <c r="L88" s="15"/>
    </row>
    <row r="89" spans="1:12" x14ac:dyDescent="0.25">
      <c r="A89" s="34" t="s">
        <v>474</v>
      </c>
      <c r="B89" s="34" t="s">
        <v>342</v>
      </c>
      <c r="C89" s="34" t="s">
        <v>486</v>
      </c>
      <c r="D89" s="35" t="s">
        <v>97</v>
      </c>
      <c r="E89" s="34" t="s">
        <v>563</v>
      </c>
      <c r="F89" s="36">
        <v>37887</v>
      </c>
      <c r="G89" s="36"/>
      <c r="H89" s="37">
        <v>200</v>
      </c>
      <c r="I89" s="37">
        <v>300</v>
      </c>
      <c r="J89" s="15"/>
      <c r="K89" s="105"/>
      <c r="L89" s="15"/>
    </row>
    <row r="90" spans="1:12" ht="20.5" x14ac:dyDescent="0.25">
      <c r="A90" s="34" t="s">
        <v>474</v>
      </c>
      <c r="B90" s="34" t="s">
        <v>342</v>
      </c>
      <c r="C90" s="34" t="s">
        <v>486</v>
      </c>
      <c r="D90" s="35" t="s">
        <v>98</v>
      </c>
      <c r="E90" s="34" t="s">
        <v>564</v>
      </c>
      <c r="F90" s="36">
        <v>37887</v>
      </c>
      <c r="G90" s="36"/>
      <c r="H90" s="37">
        <v>700</v>
      </c>
      <c r="I90" s="37">
        <v>800</v>
      </c>
      <c r="J90" s="15"/>
      <c r="K90" s="105"/>
      <c r="L90" s="15"/>
    </row>
    <row r="91" spans="1:12" x14ac:dyDescent="0.25">
      <c r="A91" s="34" t="s">
        <v>474</v>
      </c>
      <c r="B91" s="34" t="s">
        <v>342</v>
      </c>
      <c r="C91" s="34" t="s">
        <v>486</v>
      </c>
      <c r="D91" s="35" t="s">
        <v>99</v>
      </c>
      <c r="E91" s="34" t="s">
        <v>565</v>
      </c>
      <c r="F91" s="36">
        <v>37887</v>
      </c>
      <c r="G91" s="36"/>
      <c r="H91" s="37">
        <v>500</v>
      </c>
      <c r="I91" s="37">
        <v>600</v>
      </c>
      <c r="J91" s="15"/>
      <c r="K91" s="105"/>
      <c r="L91" s="15"/>
    </row>
    <row r="92" spans="1:12" ht="20.5" x14ac:dyDescent="0.25">
      <c r="A92" s="34" t="s">
        <v>474</v>
      </c>
      <c r="B92" s="34" t="s">
        <v>342</v>
      </c>
      <c r="C92" s="34" t="s">
        <v>486</v>
      </c>
      <c r="D92" s="35" t="s">
        <v>100</v>
      </c>
      <c r="E92" s="34" t="s">
        <v>566</v>
      </c>
      <c r="F92" s="36">
        <v>37887</v>
      </c>
      <c r="G92" s="36"/>
      <c r="H92" s="37">
        <v>600</v>
      </c>
      <c r="I92" s="37">
        <v>700</v>
      </c>
      <c r="J92" s="15"/>
      <c r="K92" s="105"/>
      <c r="L92" s="15"/>
    </row>
    <row r="93" spans="1:12" x14ac:dyDescent="0.25">
      <c r="A93" s="34" t="s">
        <v>474</v>
      </c>
      <c r="B93" s="34" t="s">
        <v>342</v>
      </c>
      <c r="C93" s="34" t="s">
        <v>486</v>
      </c>
      <c r="D93" s="35" t="s">
        <v>101</v>
      </c>
      <c r="E93" s="34" t="s">
        <v>567</v>
      </c>
      <c r="F93" s="36">
        <v>37887</v>
      </c>
      <c r="G93" s="36"/>
      <c r="H93" s="37">
        <v>50</v>
      </c>
      <c r="I93" s="37">
        <v>100</v>
      </c>
      <c r="J93" s="15"/>
      <c r="K93" s="105"/>
      <c r="L93" s="15"/>
    </row>
    <row r="94" spans="1:12" ht="30.5" x14ac:dyDescent="0.25">
      <c r="A94" s="34" t="s">
        <v>474</v>
      </c>
      <c r="B94" s="34" t="s">
        <v>342</v>
      </c>
      <c r="C94" s="34" t="s">
        <v>486</v>
      </c>
      <c r="D94" s="35" t="s">
        <v>102</v>
      </c>
      <c r="E94" s="34" t="s">
        <v>568</v>
      </c>
      <c r="F94" s="36">
        <v>37887</v>
      </c>
      <c r="G94" s="36"/>
      <c r="H94" s="37">
        <v>200</v>
      </c>
      <c r="I94" s="37">
        <v>300</v>
      </c>
      <c r="J94" s="15"/>
      <c r="K94" s="105"/>
      <c r="L94" s="15"/>
    </row>
    <row r="95" spans="1:12" ht="40.5" x14ac:dyDescent="0.25">
      <c r="A95" s="34" t="s">
        <v>474</v>
      </c>
      <c r="B95" s="34" t="s">
        <v>342</v>
      </c>
      <c r="C95" s="34" t="s">
        <v>486</v>
      </c>
      <c r="D95" s="35" t="s">
        <v>103</v>
      </c>
      <c r="E95" s="34" t="s">
        <v>569</v>
      </c>
      <c r="F95" s="36">
        <v>37887</v>
      </c>
      <c r="G95" s="36"/>
      <c r="H95" s="37">
        <v>600</v>
      </c>
      <c r="I95" s="37">
        <v>700</v>
      </c>
      <c r="J95" s="15"/>
      <c r="K95" s="105"/>
      <c r="L95" s="15"/>
    </row>
    <row r="96" spans="1:12" ht="20.5" x14ac:dyDescent="0.25">
      <c r="A96" s="34" t="s">
        <v>474</v>
      </c>
      <c r="B96" s="34" t="s">
        <v>342</v>
      </c>
      <c r="C96" s="34" t="s">
        <v>486</v>
      </c>
      <c r="D96" s="35" t="s">
        <v>104</v>
      </c>
      <c r="E96" s="34" t="s">
        <v>570</v>
      </c>
      <c r="F96" s="36">
        <v>37887</v>
      </c>
      <c r="G96" s="36"/>
      <c r="H96" s="37">
        <v>300</v>
      </c>
      <c r="I96" s="37">
        <v>400</v>
      </c>
      <c r="J96" s="15"/>
      <c r="K96" s="105"/>
      <c r="L96" s="15"/>
    </row>
    <row r="97" spans="1:12" ht="30.5" x14ac:dyDescent="0.25">
      <c r="A97" s="34" t="s">
        <v>474</v>
      </c>
      <c r="B97" s="34" t="s">
        <v>342</v>
      </c>
      <c r="C97" s="34" t="s">
        <v>486</v>
      </c>
      <c r="D97" s="35" t="s">
        <v>105</v>
      </c>
      <c r="E97" s="34" t="s">
        <v>571</v>
      </c>
      <c r="F97" s="36">
        <v>37887</v>
      </c>
      <c r="G97" s="36"/>
      <c r="H97" s="37">
        <v>300</v>
      </c>
      <c r="I97" s="37">
        <v>400</v>
      </c>
      <c r="J97" s="15"/>
      <c r="K97" s="105"/>
      <c r="L97" s="15"/>
    </row>
    <row r="98" spans="1:12" x14ac:dyDescent="0.25">
      <c r="A98" s="34" t="s">
        <v>474</v>
      </c>
      <c r="B98" s="34" t="s">
        <v>342</v>
      </c>
      <c r="C98" s="34" t="s">
        <v>486</v>
      </c>
      <c r="D98" s="35" t="s">
        <v>106</v>
      </c>
      <c r="E98" s="34" t="s">
        <v>572</v>
      </c>
      <c r="F98" s="36">
        <v>37896</v>
      </c>
      <c r="G98" s="36"/>
      <c r="H98" s="37">
        <v>1</v>
      </c>
      <c r="I98" s="37">
        <v>9999</v>
      </c>
      <c r="J98" s="15"/>
      <c r="K98" s="105"/>
      <c r="L98" s="15"/>
    </row>
    <row r="99" spans="1:12" x14ac:dyDescent="0.25">
      <c r="A99" s="34" t="s">
        <v>474</v>
      </c>
      <c r="B99" s="34" t="s">
        <v>342</v>
      </c>
      <c r="C99" s="34" t="s">
        <v>486</v>
      </c>
      <c r="D99" s="35" t="s">
        <v>107</v>
      </c>
      <c r="E99" s="34" t="s">
        <v>573</v>
      </c>
      <c r="F99" s="36">
        <v>37915</v>
      </c>
      <c r="G99" s="36"/>
      <c r="H99" s="37">
        <v>400</v>
      </c>
      <c r="I99" s="37">
        <v>500</v>
      </c>
      <c r="J99" s="15"/>
      <c r="K99" s="105"/>
      <c r="L99" s="15"/>
    </row>
    <row r="100" spans="1:12" x14ac:dyDescent="0.25">
      <c r="A100" s="34" t="s">
        <v>474</v>
      </c>
      <c r="B100" s="34" t="s">
        <v>342</v>
      </c>
      <c r="C100" s="34" t="s">
        <v>486</v>
      </c>
      <c r="D100" s="35" t="s">
        <v>108</v>
      </c>
      <c r="E100" s="34" t="s">
        <v>574</v>
      </c>
      <c r="F100" s="36">
        <v>37928</v>
      </c>
      <c r="G100" s="36"/>
      <c r="H100" s="37">
        <v>250</v>
      </c>
      <c r="I100" s="37">
        <v>500</v>
      </c>
      <c r="J100" s="15"/>
      <c r="K100" s="105"/>
      <c r="L100" s="15"/>
    </row>
    <row r="101" spans="1:12" x14ac:dyDescent="0.25">
      <c r="A101" s="34" t="s">
        <v>474</v>
      </c>
      <c r="B101" s="34" t="s">
        <v>342</v>
      </c>
      <c r="C101" s="34" t="s">
        <v>486</v>
      </c>
      <c r="D101" s="35" t="s">
        <v>109</v>
      </c>
      <c r="E101" s="34" t="s">
        <v>575</v>
      </c>
      <c r="F101" s="36">
        <v>37928</v>
      </c>
      <c r="G101" s="36"/>
      <c r="H101" s="37">
        <v>750</v>
      </c>
      <c r="I101" s="37">
        <v>1000</v>
      </c>
      <c r="J101" s="15"/>
      <c r="K101" s="105"/>
      <c r="L101" s="15"/>
    </row>
    <row r="102" spans="1:12" x14ac:dyDescent="0.25">
      <c r="A102" s="34" t="s">
        <v>474</v>
      </c>
      <c r="B102" s="34" t="s">
        <v>342</v>
      </c>
      <c r="C102" s="34" t="s">
        <v>486</v>
      </c>
      <c r="D102" s="35" t="s">
        <v>110</v>
      </c>
      <c r="E102" s="34" t="s">
        <v>576</v>
      </c>
      <c r="F102" s="36">
        <v>37928</v>
      </c>
      <c r="G102" s="36"/>
      <c r="H102" s="37">
        <v>1000</v>
      </c>
      <c r="I102" s="37">
        <v>1500</v>
      </c>
      <c r="J102" s="15"/>
      <c r="K102" s="105"/>
      <c r="L102" s="15"/>
    </row>
    <row r="103" spans="1:12" x14ac:dyDescent="0.25">
      <c r="A103" s="34" t="s">
        <v>474</v>
      </c>
      <c r="B103" s="34" t="s">
        <v>342</v>
      </c>
      <c r="C103" s="34" t="s">
        <v>486</v>
      </c>
      <c r="D103" s="35" t="s">
        <v>111</v>
      </c>
      <c r="E103" s="34" t="s">
        <v>577</v>
      </c>
      <c r="F103" s="36">
        <v>37928</v>
      </c>
      <c r="G103" s="36"/>
      <c r="H103" s="37">
        <v>100</v>
      </c>
      <c r="I103" s="37">
        <v>200</v>
      </c>
      <c r="J103" s="15"/>
      <c r="K103" s="105"/>
      <c r="L103" s="15"/>
    </row>
    <row r="104" spans="1:12" x14ac:dyDescent="0.25">
      <c r="A104" s="34" t="s">
        <v>474</v>
      </c>
      <c r="B104" s="34" t="s">
        <v>342</v>
      </c>
      <c r="C104" s="34" t="s">
        <v>486</v>
      </c>
      <c r="D104" s="35" t="s">
        <v>112</v>
      </c>
      <c r="E104" s="34" t="s">
        <v>578</v>
      </c>
      <c r="F104" s="36">
        <v>37928</v>
      </c>
      <c r="G104" s="36"/>
      <c r="H104" s="37">
        <v>1</v>
      </c>
      <c r="I104" s="37">
        <v>100</v>
      </c>
      <c r="J104" s="15"/>
      <c r="K104" s="105"/>
      <c r="L104" s="15"/>
    </row>
    <row r="105" spans="1:12" x14ac:dyDescent="0.25">
      <c r="A105" s="34" t="s">
        <v>474</v>
      </c>
      <c r="B105" s="34" t="s">
        <v>342</v>
      </c>
      <c r="C105" s="34" t="s">
        <v>486</v>
      </c>
      <c r="D105" s="35" t="s">
        <v>113</v>
      </c>
      <c r="E105" s="34" t="s">
        <v>579</v>
      </c>
      <c r="F105" s="36">
        <v>37928</v>
      </c>
      <c r="G105" s="36"/>
      <c r="H105" s="37">
        <v>100</v>
      </c>
      <c r="I105" s="37">
        <v>200</v>
      </c>
      <c r="J105" s="15"/>
      <c r="K105" s="105"/>
      <c r="L105" s="15"/>
    </row>
    <row r="106" spans="1:12" x14ac:dyDescent="0.25">
      <c r="A106" s="34" t="s">
        <v>474</v>
      </c>
      <c r="B106" s="34" t="s">
        <v>342</v>
      </c>
      <c r="C106" s="34" t="s">
        <v>486</v>
      </c>
      <c r="D106" s="35" t="s">
        <v>114</v>
      </c>
      <c r="E106" s="34" t="s">
        <v>580</v>
      </c>
      <c r="F106" s="36">
        <v>37928</v>
      </c>
      <c r="G106" s="36"/>
      <c r="H106" s="37">
        <v>1</v>
      </c>
      <c r="I106" s="37">
        <v>100</v>
      </c>
      <c r="J106" s="15"/>
      <c r="K106" s="105"/>
      <c r="L106" s="15"/>
    </row>
    <row r="107" spans="1:12" x14ac:dyDescent="0.25">
      <c r="A107" s="34" t="s">
        <v>474</v>
      </c>
      <c r="B107" s="34" t="s">
        <v>342</v>
      </c>
      <c r="C107" s="34" t="s">
        <v>486</v>
      </c>
      <c r="D107" s="35" t="s">
        <v>115</v>
      </c>
      <c r="E107" s="34" t="s">
        <v>581</v>
      </c>
      <c r="F107" s="36">
        <v>37928</v>
      </c>
      <c r="G107" s="36"/>
      <c r="H107" s="37">
        <v>1</v>
      </c>
      <c r="I107" s="37">
        <v>100</v>
      </c>
      <c r="J107" s="15"/>
      <c r="K107" s="105"/>
      <c r="L107" s="15"/>
    </row>
    <row r="108" spans="1:12" x14ac:dyDescent="0.25">
      <c r="A108" s="34" t="s">
        <v>474</v>
      </c>
      <c r="B108" s="34" t="s">
        <v>342</v>
      </c>
      <c r="C108" s="34" t="s">
        <v>486</v>
      </c>
      <c r="D108" s="35" t="s">
        <v>116</v>
      </c>
      <c r="E108" s="34" t="s">
        <v>582</v>
      </c>
      <c r="F108" s="36">
        <v>37928</v>
      </c>
      <c r="G108" s="36"/>
      <c r="H108" s="37">
        <v>1000</v>
      </c>
      <c r="I108" s="37">
        <v>2000</v>
      </c>
      <c r="J108" s="15"/>
      <c r="K108" s="105"/>
      <c r="L108" s="15"/>
    </row>
    <row r="109" spans="1:12" x14ac:dyDescent="0.25">
      <c r="A109" s="34" t="s">
        <v>474</v>
      </c>
      <c r="B109" s="34" t="s">
        <v>342</v>
      </c>
      <c r="C109" s="34" t="s">
        <v>486</v>
      </c>
      <c r="D109" s="35" t="s">
        <v>117</v>
      </c>
      <c r="E109" s="34" t="s">
        <v>583</v>
      </c>
      <c r="F109" s="36">
        <v>37928</v>
      </c>
      <c r="G109" s="36"/>
      <c r="H109" s="37">
        <v>501</v>
      </c>
      <c r="I109" s="37">
        <v>1000</v>
      </c>
      <c r="J109" s="15"/>
      <c r="K109" s="105"/>
      <c r="L109" s="15"/>
    </row>
    <row r="110" spans="1:12" x14ac:dyDescent="0.25">
      <c r="A110" s="34" t="s">
        <v>474</v>
      </c>
      <c r="B110" s="34" t="s">
        <v>342</v>
      </c>
      <c r="C110" s="34" t="s">
        <v>486</v>
      </c>
      <c r="D110" s="35" t="s">
        <v>118</v>
      </c>
      <c r="E110" s="34" t="s">
        <v>584</v>
      </c>
      <c r="F110" s="36">
        <v>37928</v>
      </c>
      <c r="G110" s="36"/>
      <c r="H110" s="37">
        <v>500</v>
      </c>
      <c r="I110" s="37">
        <v>600</v>
      </c>
      <c r="J110" s="15"/>
      <c r="K110" s="105"/>
      <c r="L110" s="15"/>
    </row>
    <row r="111" spans="1:12" x14ac:dyDescent="0.25">
      <c r="A111" s="34" t="s">
        <v>474</v>
      </c>
      <c r="B111" s="34" t="s">
        <v>342</v>
      </c>
      <c r="C111" s="34" t="s">
        <v>486</v>
      </c>
      <c r="D111" s="35" t="s">
        <v>119</v>
      </c>
      <c r="E111" s="34" t="s">
        <v>585</v>
      </c>
      <c r="F111" s="36">
        <v>37928</v>
      </c>
      <c r="G111" s="36"/>
      <c r="H111" s="37">
        <v>500</v>
      </c>
      <c r="I111" s="37">
        <v>750</v>
      </c>
      <c r="J111" s="15"/>
      <c r="K111" s="105"/>
      <c r="L111" s="15"/>
    </row>
    <row r="112" spans="1:12" x14ac:dyDescent="0.25">
      <c r="A112" s="34" t="s">
        <v>474</v>
      </c>
      <c r="B112" s="34" t="s">
        <v>342</v>
      </c>
      <c r="C112" s="34" t="s">
        <v>486</v>
      </c>
      <c r="D112" s="35" t="s">
        <v>120</v>
      </c>
      <c r="E112" s="34" t="s">
        <v>586</v>
      </c>
      <c r="F112" s="36">
        <v>37928</v>
      </c>
      <c r="G112" s="36"/>
      <c r="H112" s="37">
        <v>1</v>
      </c>
      <c r="I112" s="37">
        <v>9999</v>
      </c>
      <c r="J112" s="15"/>
      <c r="K112" s="105"/>
      <c r="L112" s="15"/>
    </row>
    <row r="113" spans="1:12" x14ac:dyDescent="0.25">
      <c r="A113" s="34" t="s">
        <v>474</v>
      </c>
      <c r="B113" s="34" t="s">
        <v>342</v>
      </c>
      <c r="C113" s="34" t="s">
        <v>486</v>
      </c>
      <c r="D113" s="35" t="s">
        <v>121</v>
      </c>
      <c r="E113" s="34" t="s">
        <v>587</v>
      </c>
      <c r="F113" s="36">
        <v>37928</v>
      </c>
      <c r="G113" s="36"/>
      <c r="H113" s="37">
        <v>200</v>
      </c>
      <c r="I113" s="37">
        <v>300</v>
      </c>
      <c r="J113" s="15"/>
      <c r="K113" s="105"/>
      <c r="L113" s="15"/>
    </row>
    <row r="114" spans="1:12" x14ac:dyDescent="0.25">
      <c r="A114" s="34" t="s">
        <v>474</v>
      </c>
      <c r="B114" s="34" t="s">
        <v>342</v>
      </c>
      <c r="C114" s="34" t="s">
        <v>486</v>
      </c>
      <c r="D114" s="35" t="s">
        <v>122</v>
      </c>
      <c r="E114" s="34" t="s">
        <v>588</v>
      </c>
      <c r="F114" s="36">
        <v>37928</v>
      </c>
      <c r="G114" s="36"/>
      <c r="H114" s="37">
        <v>1</v>
      </c>
      <c r="I114" s="37">
        <v>9999</v>
      </c>
      <c r="J114" s="15"/>
      <c r="K114" s="105"/>
      <c r="L114" s="15"/>
    </row>
    <row r="115" spans="1:12" x14ac:dyDescent="0.25">
      <c r="A115" s="34" t="s">
        <v>474</v>
      </c>
      <c r="B115" s="34" t="s">
        <v>342</v>
      </c>
      <c r="C115" s="34" t="s">
        <v>486</v>
      </c>
      <c r="D115" s="35" t="s">
        <v>123</v>
      </c>
      <c r="E115" s="34" t="s">
        <v>589</v>
      </c>
      <c r="F115" s="36">
        <v>37928</v>
      </c>
      <c r="G115" s="36"/>
      <c r="H115" s="37">
        <v>100</v>
      </c>
      <c r="I115" s="37">
        <v>150</v>
      </c>
      <c r="J115" s="15"/>
      <c r="K115" s="105"/>
      <c r="L115" s="15"/>
    </row>
    <row r="116" spans="1:12" x14ac:dyDescent="0.25">
      <c r="A116" s="34" t="s">
        <v>474</v>
      </c>
      <c r="B116" s="34" t="s">
        <v>342</v>
      </c>
      <c r="C116" s="34" t="s">
        <v>486</v>
      </c>
      <c r="D116" s="35" t="s">
        <v>124</v>
      </c>
      <c r="E116" s="34" t="s">
        <v>590</v>
      </c>
      <c r="F116" s="36">
        <v>37928</v>
      </c>
      <c r="G116" s="36"/>
      <c r="H116" s="37">
        <v>500</v>
      </c>
      <c r="I116" s="37">
        <v>750</v>
      </c>
      <c r="J116" s="15"/>
      <c r="K116" s="105"/>
      <c r="L116" s="15"/>
    </row>
    <row r="117" spans="1:12" x14ac:dyDescent="0.25">
      <c r="A117" s="34" t="s">
        <v>474</v>
      </c>
      <c r="B117" s="34" t="s">
        <v>342</v>
      </c>
      <c r="C117" s="34" t="s">
        <v>486</v>
      </c>
      <c r="D117" s="35" t="s">
        <v>125</v>
      </c>
      <c r="E117" s="34" t="s">
        <v>591</v>
      </c>
      <c r="F117" s="36">
        <v>37928</v>
      </c>
      <c r="G117" s="36"/>
      <c r="H117" s="37">
        <v>1</v>
      </c>
      <c r="I117" s="37">
        <v>100</v>
      </c>
      <c r="J117" s="15"/>
      <c r="K117" s="105"/>
      <c r="L117" s="15"/>
    </row>
    <row r="118" spans="1:12" x14ac:dyDescent="0.25">
      <c r="A118" s="34" t="s">
        <v>474</v>
      </c>
      <c r="B118" s="34" t="s">
        <v>342</v>
      </c>
      <c r="C118" s="34" t="s">
        <v>486</v>
      </c>
      <c r="D118" s="35" t="s">
        <v>126</v>
      </c>
      <c r="E118" s="34" t="s">
        <v>592</v>
      </c>
      <c r="F118" s="36">
        <v>37928</v>
      </c>
      <c r="G118" s="36"/>
      <c r="H118" s="37">
        <v>100</v>
      </c>
      <c r="I118" s="37">
        <v>200</v>
      </c>
      <c r="J118" s="15"/>
      <c r="K118" s="105"/>
      <c r="L118" s="15"/>
    </row>
    <row r="119" spans="1:12" x14ac:dyDescent="0.25">
      <c r="A119" s="34" t="s">
        <v>474</v>
      </c>
      <c r="B119" s="34" t="s">
        <v>342</v>
      </c>
      <c r="C119" s="34" t="s">
        <v>486</v>
      </c>
      <c r="D119" s="35" t="s">
        <v>127</v>
      </c>
      <c r="E119" s="34" t="s">
        <v>593</v>
      </c>
      <c r="F119" s="36">
        <v>37928</v>
      </c>
      <c r="G119" s="36"/>
      <c r="H119" s="37">
        <v>1000</v>
      </c>
      <c r="I119" s="37">
        <v>2000</v>
      </c>
      <c r="J119" s="15"/>
      <c r="K119" s="105"/>
      <c r="L119" s="15"/>
    </row>
    <row r="120" spans="1:12" x14ac:dyDescent="0.25">
      <c r="A120" s="34" t="s">
        <v>474</v>
      </c>
      <c r="B120" s="34" t="s">
        <v>342</v>
      </c>
      <c r="C120" s="34" t="s">
        <v>486</v>
      </c>
      <c r="D120" s="35" t="s">
        <v>128</v>
      </c>
      <c r="E120" s="34" t="s">
        <v>594</v>
      </c>
      <c r="F120" s="36">
        <v>37928</v>
      </c>
      <c r="G120" s="36"/>
      <c r="H120" s="37">
        <v>1000</v>
      </c>
      <c r="I120" s="37">
        <v>1500</v>
      </c>
      <c r="J120" s="15"/>
      <c r="K120" s="105"/>
      <c r="L120" s="15"/>
    </row>
    <row r="121" spans="1:12" x14ac:dyDescent="0.25">
      <c r="A121" s="34" t="s">
        <v>474</v>
      </c>
      <c r="B121" s="34" t="s">
        <v>342</v>
      </c>
      <c r="C121" s="34" t="s">
        <v>486</v>
      </c>
      <c r="D121" s="35" t="s">
        <v>129</v>
      </c>
      <c r="E121" s="34" t="s">
        <v>595</v>
      </c>
      <c r="F121" s="36">
        <v>37928</v>
      </c>
      <c r="G121" s="36"/>
      <c r="H121" s="37">
        <v>100</v>
      </c>
      <c r="I121" s="37">
        <v>200</v>
      </c>
      <c r="J121" s="15"/>
      <c r="K121" s="105"/>
      <c r="L121" s="15"/>
    </row>
    <row r="122" spans="1:12" x14ac:dyDescent="0.25">
      <c r="A122" s="34" t="s">
        <v>474</v>
      </c>
      <c r="B122" s="34" t="s">
        <v>342</v>
      </c>
      <c r="C122" s="34" t="s">
        <v>486</v>
      </c>
      <c r="D122" s="35" t="s">
        <v>130</v>
      </c>
      <c r="E122" s="34" t="s">
        <v>596</v>
      </c>
      <c r="F122" s="36">
        <v>37928</v>
      </c>
      <c r="G122" s="36"/>
      <c r="H122" s="37">
        <v>100</v>
      </c>
      <c r="I122" s="37">
        <v>200</v>
      </c>
      <c r="J122" s="15"/>
      <c r="K122" s="105"/>
      <c r="L122" s="15"/>
    </row>
    <row r="123" spans="1:12" x14ac:dyDescent="0.25">
      <c r="A123" s="34" t="s">
        <v>474</v>
      </c>
      <c r="B123" s="34" t="s">
        <v>342</v>
      </c>
      <c r="C123" s="34" t="s">
        <v>486</v>
      </c>
      <c r="D123" s="35" t="s">
        <v>131</v>
      </c>
      <c r="E123" s="34" t="s">
        <v>597</v>
      </c>
      <c r="F123" s="36">
        <v>37928</v>
      </c>
      <c r="G123" s="36"/>
      <c r="H123" s="37">
        <v>1000</v>
      </c>
      <c r="I123" s="37">
        <v>1200</v>
      </c>
      <c r="J123" s="15"/>
      <c r="K123" s="105"/>
      <c r="L123" s="15"/>
    </row>
    <row r="124" spans="1:12" x14ac:dyDescent="0.25">
      <c r="A124" s="34" t="s">
        <v>474</v>
      </c>
      <c r="B124" s="34" t="s">
        <v>342</v>
      </c>
      <c r="C124" s="34" t="s">
        <v>486</v>
      </c>
      <c r="D124" s="35" t="s">
        <v>132</v>
      </c>
      <c r="E124" s="34" t="s">
        <v>598</v>
      </c>
      <c r="F124" s="36">
        <v>37928</v>
      </c>
      <c r="G124" s="36"/>
      <c r="H124" s="37">
        <v>75</v>
      </c>
      <c r="I124" s="37">
        <v>100</v>
      </c>
      <c r="J124" s="15"/>
      <c r="K124" s="105"/>
      <c r="L124" s="15"/>
    </row>
    <row r="125" spans="1:12" x14ac:dyDescent="0.25">
      <c r="A125" s="34" t="s">
        <v>474</v>
      </c>
      <c r="B125" s="34" t="s">
        <v>342</v>
      </c>
      <c r="C125" s="34" t="s">
        <v>486</v>
      </c>
      <c r="D125" s="35" t="s">
        <v>133</v>
      </c>
      <c r="E125" s="34" t="s">
        <v>599</v>
      </c>
      <c r="F125" s="36">
        <v>37928</v>
      </c>
      <c r="G125" s="36"/>
      <c r="H125" s="37">
        <v>1000</v>
      </c>
      <c r="I125" s="37">
        <v>1500</v>
      </c>
      <c r="J125" s="15"/>
      <c r="K125" s="105"/>
      <c r="L125" s="15"/>
    </row>
    <row r="126" spans="1:12" x14ac:dyDescent="0.25">
      <c r="A126" s="34" t="s">
        <v>474</v>
      </c>
      <c r="B126" s="34" t="s">
        <v>342</v>
      </c>
      <c r="C126" s="34" t="s">
        <v>486</v>
      </c>
      <c r="D126" s="35" t="s">
        <v>134</v>
      </c>
      <c r="E126" s="34" t="s">
        <v>600</v>
      </c>
      <c r="F126" s="36">
        <v>37928</v>
      </c>
      <c r="G126" s="36"/>
      <c r="H126" s="37">
        <v>1000</v>
      </c>
      <c r="I126" s="37">
        <v>1500</v>
      </c>
      <c r="J126" s="15"/>
      <c r="K126" s="105"/>
      <c r="L126" s="15"/>
    </row>
    <row r="127" spans="1:12" x14ac:dyDescent="0.25">
      <c r="A127" s="34" t="s">
        <v>474</v>
      </c>
      <c r="B127" s="34" t="s">
        <v>342</v>
      </c>
      <c r="C127" s="34" t="s">
        <v>486</v>
      </c>
      <c r="D127" s="35" t="s">
        <v>135</v>
      </c>
      <c r="E127" s="34" t="s">
        <v>601</v>
      </c>
      <c r="F127" s="36">
        <v>37928</v>
      </c>
      <c r="G127" s="36"/>
      <c r="H127" s="37">
        <v>1000</v>
      </c>
      <c r="I127" s="37">
        <v>1500</v>
      </c>
      <c r="J127" s="15"/>
      <c r="K127" s="105"/>
      <c r="L127" s="15"/>
    </row>
    <row r="128" spans="1:12" x14ac:dyDescent="0.25">
      <c r="A128" s="34" t="s">
        <v>474</v>
      </c>
      <c r="B128" s="34" t="s">
        <v>342</v>
      </c>
      <c r="C128" s="34" t="s">
        <v>486</v>
      </c>
      <c r="D128" s="35" t="s">
        <v>136</v>
      </c>
      <c r="E128" s="34" t="s">
        <v>602</v>
      </c>
      <c r="F128" s="36">
        <v>37928</v>
      </c>
      <c r="G128" s="36"/>
      <c r="H128" s="37">
        <v>1000</v>
      </c>
      <c r="I128" s="37">
        <v>1500</v>
      </c>
      <c r="J128" s="15"/>
      <c r="K128" s="105"/>
      <c r="L128" s="15"/>
    </row>
    <row r="129" spans="1:12" x14ac:dyDescent="0.25">
      <c r="A129" s="34" t="s">
        <v>474</v>
      </c>
      <c r="B129" s="34" t="s">
        <v>342</v>
      </c>
      <c r="C129" s="34" t="s">
        <v>486</v>
      </c>
      <c r="D129" s="35" t="s">
        <v>137</v>
      </c>
      <c r="E129" s="34" t="s">
        <v>603</v>
      </c>
      <c r="F129" s="36">
        <v>37928</v>
      </c>
      <c r="G129" s="36"/>
      <c r="H129" s="37">
        <v>1</v>
      </c>
      <c r="I129" s="37">
        <v>100</v>
      </c>
      <c r="J129" s="15"/>
      <c r="K129" s="105"/>
      <c r="L129" s="15"/>
    </row>
    <row r="130" spans="1:12" x14ac:dyDescent="0.25">
      <c r="A130" s="34" t="s">
        <v>474</v>
      </c>
      <c r="B130" s="34" t="s">
        <v>342</v>
      </c>
      <c r="C130" s="34" t="s">
        <v>486</v>
      </c>
      <c r="D130" s="35" t="s">
        <v>138</v>
      </c>
      <c r="E130" s="34" t="s">
        <v>604</v>
      </c>
      <c r="F130" s="36">
        <v>37928</v>
      </c>
      <c r="G130" s="36"/>
      <c r="H130" s="37">
        <v>1</v>
      </c>
      <c r="I130" s="37">
        <v>100</v>
      </c>
      <c r="J130" s="15"/>
      <c r="K130" s="105"/>
      <c r="L130" s="15"/>
    </row>
    <row r="131" spans="1:12" x14ac:dyDescent="0.25">
      <c r="A131" s="34" t="s">
        <v>474</v>
      </c>
      <c r="B131" s="34" t="s">
        <v>342</v>
      </c>
      <c r="C131" s="34" t="s">
        <v>486</v>
      </c>
      <c r="D131" s="35" t="s">
        <v>139</v>
      </c>
      <c r="E131" s="34" t="s">
        <v>605</v>
      </c>
      <c r="F131" s="36">
        <v>37928</v>
      </c>
      <c r="G131" s="36"/>
      <c r="H131" s="37">
        <v>250</v>
      </c>
      <c r="I131" s="37">
        <v>500</v>
      </c>
      <c r="J131" s="15"/>
      <c r="K131" s="105"/>
      <c r="L131" s="15"/>
    </row>
    <row r="132" spans="1:12" x14ac:dyDescent="0.25">
      <c r="A132" s="34" t="s">
        <v>474</v>
      </c>
      <c r="B132" s="34" t="s">
        <v>342</v>
      </c>
      <c r="C132" s="34" t="s">
        <v>486</v>
      </c>
      <c r="D132" s="35" t="s">
        <v>140</v>
      </c>
      <c r="E132" s="34" t="s">
        <v>606</v>
      </c>
      <c r="F132" s="36">
        <v>37928</v>
      </c>
      <c r="G132" s="36"/>
      <c r="H132" s="37">
        <v>101</v>
      </c>
      <c r="I132" s="37">
        <v>500</v>
      </c>
      <c r="J132" s="15"/>
      <c r="K132" s="105"/>
      <c r="L132" s="15"/>
    </row>
    <row r="133" spans="1:12" x14ac:dyDescent="0.25">
      <c r="A133" s="34" t="s">
        <v>474</v>
      </c>
      <c r="B133" s="34" t="s">
        <v>342</v>
      </c>
      <c r="C133" s="34" t="s">
        <v>486</v>
      </c>
      <c r="D133" s="35" t="s">
        <v>141</v>
      </c>
      <c r="E133" s="34" t="s">
        <v>607</v>
      </c>
      <c r="F133" s="36">
        <v>37928</v>
      </c>
      <c r="G133" s="36"/>
      <c r="H133" s="37">
        <v>200</v>
      </c>
      <c r="I133" s="37">
        <v>300</v>
      </c>
      <c r="J133" s="15"/>
      <c r="K133" s="105"/>
      <c r="L133" s="15"/>
    </row>
    <row r="134" spans="1:12" ht="20.5" x14ac:dyDescent="0.25">
      <c r="A134" s="34" t="s">
        <v>474</v>
      </c>
      <c r="B134" s="34" t="s">
        <v>342</v>
      </c>
      <c r="C134" s="34" t="s">
        <v>486</v>
      </c>
      <c r="D134" s="35" t="s">
        <v>142</v>
      </c>
      <c r="E134" s="34" t="s">
        <v>608</v>
      </c>
      <c r="F134" s="36">
        <v>37930</v>
      </c>
      <c r="G134" s="36"/>
      <c r="H134" s="37">
        <v>1</v>
      </c>
      <c r="I134" s="37">
        <v>9999</v>
      </c>
      <c r="J134" s="15"/>
      <c r="K134" s="105"/>
      <c r="L134" s="15"/>
    </row>
    <row r="135" spans="1:12" ht="20.5" x14ac:dyDescent="0.25">
      <c r="A135" s="34" t="s">
        <v>474</v>
      </c>
      <c r="B135" s="34" t="s">
        <v>342</v>
      </c>
      <c r="C135" s="34" t="s">
        <v>486</v>
      </c>
      <c r="D135" s="35" t="s">
        <v>143</v>
      </c>
      <c r="E135" s="34" t="s">
        <v>609</v>
      </c>
      <c r="F135" s="36">
        <v>37930</v>
      </c>
      <c r="G135" s="36"/>
      <c r="H135" s="37">
        <v>1</v>
      </c>
      <c r="I135" s="37">
        <v>100</v>
      </c>
      <c r="J135" s="15"/>
      <c r="K135" s="105"/>
      <c r="L135" s="15"/>
    </row>
    <row r="136" spans="1:12" ht="20.5" x14ac:dyDescent="0.25">
      <c r="A136" s="34" t="s">
        <v>474</v>
      </c>
      <c r="B136" s="34" t="s">
        <v>342</v>
      </c>
      <c r="C136" s="34" t="s">
        <v>486</v>
      </c>
      <c r="D136" s="35" t="s">
        <v>144</v>
      </c>
      <c r="E136" s="34" t="s">
        <v>610</v>
      </c>
      <c r="F136" s="36">
        <v>37930</v>
      </c>
      <c r="G136" s="36"/>
      <c r="H136" s="37">
        <v>1</v>
      </c>
      <c r="I136" s="37">
        <v>100</v>
      </c>
      <c r="J136" s="15"/>
      <c r="K136" s="105"/>
      <c r="L136" s="15"/>
    </row>
    <row r="137" spans="1:12" x14ac:dyDescent="0.25">
      <c r="A137" s="34" t="s">
        <v>474</v>
      </c>
      <c r="B137" s="34" t="s">
        <v>342</v>
      </c>
      <c r="C137" s="34" t="s">
        <v>486</v>
      </c>
      <c r="D137" s="35" t="s">
        <v>145</v>
      </c>
      <c r="E137" s="34" t="s">
        <v>611</v>
      </c>
      <c r="F137" s="36">
        <v>37946</v>
      </c>
      <c r="G137" s="36">
        <v>38200</v>
      </c>
      <c r="H137" s="37">
        <v>100</v>
      </c>
      <c r="I137" s="37">
        <v>250</v>
      </c>
      <c r="J137" s="15"/>
      <c r="K137" s="105"/>
      <c r="L137" s="15"/>
    </row>
    <row r="138" spans="1:12" x14ac:dyDescent="0.25">
      <c r="A138" s="34" t="s">
        <v>474</v>
      </c>
      <c r="B138" s="34" t="s">
        <v>342</v>
      </c>
      <c r="C138" s="34" t="s">
        <v>495</v>
      </c>
      <c r="D138" s="35" t="s">
        <v>146</v>
      </c>
      <c r="E138" s="34" t="s">
        <v>612</v>
      </c>
      <c r="F138" s="36">
        <v>37887</v>
      </c>
      <c r="G138" s="36"/>
      <c r="H138" s="37">
        <v>100</v>
      </c>
      <c r="I138" s="37">
        <v>200</v>
      </c>
      <c r="J138" s="15"/>
      <c r="K138" s="105"/>
      <c r="L138" s="15"/>
    </row>
    <row r="139" spans="1:12" x14ac:dyDescent="0.25">
      <c r="A139" s="34" t="s">
        <v>474</v>
      </c>
      <c r="B139" s="34" t="s">
        <v>342</v>
      </c>
      <c r="C139" s="34" t="s">
        <v>495</v>
      </c>
      <c r="D139" s="35" t="s">
        <v>147</v>
      </c>
      <c r="E139" s="34" t="s">
        <v>613</v>
      </c>
      <c r="F139" s="36">
        <v>37928</v>
      </c>
      <c r="G139" s="36"/>
      <c r="H139" s="37">
        <v>500</v>
      </c>
      <c r="I139" s="37">
        <v>750</v>
      </c>
      <c r="J139" s="15"/>
      <c r="K139" s="105"/>
      <c r="L139" s="15"/>
    </row>
    <row r="140" spans="1:12" x14ac:dyDescent="0.25">
      <c r="A140" s="34" t="s">
        <v>474</v>
      </c>
      <c r="B140" s="34" t="s">
        <v>342</v>
      </c>
      <c r="C140" s="34" t="s">
        <v>495</v>
      </c>
      <c r="D140" s="35" t="s">
        <v>148</v>
      </c>
      <c r="E140" s="34" t="s">
        <v>614</v>
      </c>
      <c r="F140" s="36">
        <v>37928</v>
      </c>
      <c r="G140" s="36"/>
      <c r="H140" s="37">
        <v>1</v>
      </c>
      <c r="I140" s="37">
        <v>9999</v>
      </c>
      <c r="J140" s="15"/>
      <c r="K140" s="105"/>
      <c r="L140" s="15"/>
    </row>
    <row r="141" spans="1:12" x14ac:dyDescent="0.25">
      <c r="A141" s="34" t="s">
        <v>474</v>
      </c>
      <c r="B141" s="34" t="s">
        <v>342</v>
      </c>
      <c r="C141" s="34" t="s">
        <v>334</v>
      </c>
      <c r="D141" s="35" t="s">
        <v>149</v>
      </c>
      <c r="E141" s="34" t="s">
        <v>373</v>
      </c>
      <c r="F141" s="36">
        <v>37887</v>
      </c>
      <c r="G141" s="36"/>
      <c r="H141" s="37">
        <v>600</v>
      </c>
      <c r="I141" s="37">
        <v>700</v>
      </c>
      <c r="J141" s="15"/>
      <c r="K141" s="105"/>
      <c r="L141" s="15"/>
    </row>
    <row r="142" spans="1:12" x14ac:dyDescent="0.25">
      <c r="A142" s="34" t="s">
        <v>474</v>
      </c>
      <c r="B142" s="34" t="s">
        <v>342</v>
      </c>
      <c r="C142" s="34" t="s">
        <v>334</v>
      </c>
      <c r="D142" s="35" t="s">
        <v>150</v>
      </c>
      <c r="E142" s="34" t="s">
        <v>374</v>
      </c>
      <c r="F142" s="36">
        <v>37887</v>
      </c>
      <c r="G142" s="36"/>
      <c r="H142" s="37">
        <v>700</v>
      </c>
      <c r="I142" s="37">
        <v>800</v>
      </c>
      <c r="J142" s="15"/>
      <c r="K142" s="105"/>
      <c r="L142" s="15"/>
    </row>
    <row r="143" spans="1:12" ht="20.5" x14ac:dyDescent="0.25">
      <c r="A143" s="34" t="s">
        <v>615</v>
      </c>
      <c r="B143" s="34"/>
      <c r="C143" s="34" t="s">
        <v>495</v>
      </c>
      <c r="D143" s="35" t="s">
        <v>151</v>
      </c>
      <c r="E143" s="34" t="s">
        <v>616</v>
      </c>
      <c r="F143" s="36">
        <v>37680</v>
      </c>
      <c r="G143" s="36"/>
      <c r="H143" s="37">
        <v>101</v>
      </c>
      <c r="I143" s="37">
        <v>101</v>
      </c>
      <c r="J143" s="15"/>
      <c r="K143" s="105"/>
      <c r="L143" s="15"/>
    </row>
    <row r="144" spans="1:12" ht="20.5" x14ac:dyDescent="0.25">
      <c r="A144" s="34" t="s">
        <v>615</v>
      </c>
      <c r="B144" s="34"/>
      <c r="C144" s="34" t="s">
        <v>495</v>
      </c>
      <c r="D144" s="35" t="s">
        <v>152</v>
      </c>
      <c r="E144" s="34" t="s">
        <v>617</v>
      </c>
      <c r="F144" s="36"/>
      <c r="G144" s="36"/>
      <c r="H144" s="37"/>
      <c r="I144" s="37"/>
      <c r="J144" s="15"/>
      <c r="K144" s="105"/>
      <c r="L144" s="15"/>
    </row>
    <row r="145" spans="1:12" ht="20.5" x14ac:dyDescent="0.25">
      <c r="A145" s="34" t="s">
        <v>615</v>
      </c>
      <c r="B145" s="34"/>
      <c r="C145" s="34" t="s">
        <v>495</v>
      </c>
      <c r="D145" s="35" t="s">
        <v>153</v>
      </c>
      <c r="E145" s="34" t="s">
        <v>618</v>
      </c>
      <c r="F145" s="36"/>
      <c r="G145" s="36"/>
      <c r="H145" s="37"/>
      <c r="I145" s="37"/>
      <c r="J145" s="15"/>
      <c r="K145" s="105"/>
      <c r="L145" s="15"/>
    </row>
    <row r="146" spans="1:12" ht="20.5" x14ac:dyDescent="0.25">
      <c r="A146" s="34" t="s">
        <v>615</v>
      </c>
      <c r="B146" s="34"/>
      <c r="C146" s="34" t="s">
        <v>495</v>
      </c>
      <c r="D146" s="35" t="s">
        <v>154</v>
      </c>
      <c r="E146" s="34" t="s">
        <v>619</v>
      </c>
      <c r="F146" s="36"/>
      <c r="G146" s="36"/>
      <c r="H146" s="37"/>
      <c r="I146" s="37"/>
      <c r="J146" s="15"/>
      <c r="K146" s="105"/>
      <c r="L146" s="15"/>
    </row>
    <row r="147" spans="1:12" ht="20.5" x14ac:dyDescent="0.25">
      <c r="A147" s="34" t="s">
        <v>615</v>
      </c>
      <c r="B147" s="34"/>
      <c r="C147" s="34" t="s">
        <v>495</v>
      </c>
      <c r="D147" s="35" t="s">
        <v>155</v>
      </c>
      <c r="E147" s="34" t="s">
        <v>620</v>
      </c>
      <c r="F147" s="36"/>
      <c r="G147" s="36"/>
      <c r="H147" s="37"/>
      <c r="I147" s="37"/>
      <c r="J147" s="15"/>
      <c r="K147" s="105"/>
      <c r="L147" s="15"/>
    </row>
    <row r="148" spans="1:12" ht="20.5" x14ac:dyDescent="0.25">
      <c r="A148" s="34" t="s">
        <v>615</v>
      </c>
      <c r="B148" s="34"/>
      <c r="C148" s="34" t="s">
        <v>495</v>
      </c>
      <c r="D148" s="35" t="s">
        <v>156</v>
      </c>
      <c r="E148" s="34" t="s">
        <v>621</v>
      </c>
      <c r="F148" s="36"/>
      <c r="G148" s="36"/>
      <c r="H148" s="37"/>
      <c r="I148" s="37"/>
      <c r="J148" s="15"/>
      <c r="K148" s="105"/>
      <c r="L148" s="15"/>
    </row>
    <row r="149" spans="1:12" ht="20.5" x14ac:dyDescent="0.25">
      <c r="A149" s="34" t="s">
        <v>615</v>
      </c>
      <c r="B149" s="34"/>
      <c r="C149" s="34" t="s">
        <v>495</v>
      </c>
      <c r="D149" s="35" t="s">
        <v>157</v>
      </c>
      <c r="E149" s="34" t="s">
        <v>622</v>
      </c>
      <c r="F149" s="36"/>
      <c r="G149" s="36"/>
      <c r="H149" s="37"/>
      <c r="I149" s="37"/>
      <c r="J149" s="15"/>
      <c r="K149" s="105"/>
      <c r="L149" s="15"/>
    </row>
    <row r="150" spans="1:12" ht="20.5" x14ac:dyDescent="0.25">
      <c r="A150" s="34" t="s">
        <v>615</v>
      </c>
      <c r="B150" s="34"/>
      <c r="C150" s="34" t="s">
        <v>495</v>
      </c>
      <c r="D150" s="35" t="s">
        <v>158</v>
      </c>
      <c r="E150" s="34" t="s">
        <v>623</v>
      </c>
      <c r="F150" s="36"/>
      <c r="G150" s="36"/>
      <c r="H150" s="37"/>
      <c r="I150" s="37"/>
      <c r="J150" s="15"/>
      <c r="K150" s="105"/>
      <c r="L150" s="15"/>
    </row>
    <row r="151" spans="1:12" ht="20.5" x14ac:dyDescent="0.25">
      <c r="A151" s="34" t="s">
        <v>615</v>
      </c>
      <c r="B151" s="34"/>
      <c r="C151" s="34" t="s">
        <v>495</v>
      </c>
      <c r="D151" s="35" t="s">
        <v>159</v>
      </c>
      <c r="E151" s="34" t="s">
        <v>624</v>
      </c>
      <c r="F151" s="36"/>
      <c r="G151" s="36"/>
      <c r="H151" s="37"/>
      <c r="I151" s="37"/>
      <c r="J151" s="15"/>
      <c r="K151" s="105"/>
      <c r="L151" s="15"/>
    </row>
    <row r="152" spans="1:12" ht="20.5" x14ac:dyDescent="0.25">
      <c r="A152" s="34" t="s">
        <v>615</v>
      </c>
      <c r="B152" s="34"/>
      <c r="C152" s="34" t="s">
        <v>495</v>
      </c>
      <c r="D152" s="35" t="s">
        <v>160</v>
      </c>
      <c r="E152" s="34" t="s">
        <v>625</v>
      </c>
      <c r="F152" s="36"/>
      <c r="G152" s="36"/>
      <c r="H152" s="37"/>
      <c r="I152" s="37"/>
      <c r="J152" s="15"/>
      <c r="K152" s="105"/>
      <c r="L152" s="15"/>
    </row>
    <row r="153" spans="1:12" ht="30.5" x14ac:dyDescent="0.25">
      <c r="A153" s="34" t="s">
        <v>615</v>
      </c>
      <c r="B153" s="34"/>
      <c r="C153" s="34" t="s">
        <v>334</v>
      </c>
      <c r="D153" s="35" t="s">
        <v>161</v>
      </c>
      <c r="E153" s="34" t="s">
        <v>626</v>
      </c>
      <c r="F153" s="36"/>
      <c r="G153" s="36"/>
      <c r="H153" s="37">
        <v>101</v>
      </c>
      <c r="I153" s="37">
        <v>101</v>
      </c>
      <c r="J153" s="15"/>
      <c r="K153" s="105"/>
      <c r="L153" s="15"/>
    </row>
    <row r="154" spans="1:12" ht="20.5" x14ac:dyDescent="0.25">
      <c r="A154" s="34" t="s">
        <v>615</v>
      </c>
      <c r="B154" s="34" t="s">
        <v>395</v>
      </c>
      <c r="C154" s="34" t="s">
        <v>893</v>
      </c>
      <c r="D154" s="35" t="s">
        <v>162</v>
      </c>
      <c r="E154" s="34" t="s">
        <v>421</v>
      </c>
      <c r="F154" s="36">
        <v>37795</v>
      </c>
      <c r="G154" s="36">
        <v>37813</v>
      </c>
      <c r="H154" s="37">
        <v>1</v>
      </c>
      <c r="I154" s="37">
        <v>1</v>
      </c>
      <c r="J154" s="15"/>
      <c r="K154" s="105"/>
      <c r="L154" s="15"/>
    </row>
    <row r="155" spans="1:12" ht="20.5" x14ac:dyDescent="0.25">
      <c r="A155" s="34" t="s">
        <v>615</v>
      </c>
      <c r="B155" s="34" t="s">
        <v>395</v>
      </c>
      <c r="C155" s="34" t="s">
        <v>495</v>
      </c>
      <c r="D155" s="35" t="s">
        <v>163</v>
      </c>
      <c r="E155" s="34" t="s">
        <v>627</v>
      </c>
      <c r="F155" s="36"/>
      <c r="G155" s="36"/>
      <c r="H155" s="37">
        <v>1</v>
      </c>
      <c r="I155" s="37">
        <v>1</v>
      </c>
      <c r="J155" s="15"/>
      <c r="K155" s="105"/>
      <c r="L155" s="15"/>
    </row>
    <row r="156" spans="1:12" ht="20.5" x14ac:dyDescent="0.25">
      <c r="A156" s="34" t="s">
        <v>615</v>
      </c>
      <c r="B156" s="34" t="s">
        <v>395</v>
      </c>
      <c r="C156" s="34" t="s">
        <v>495</v>
      </c>
      <c r="D156" s="35" t="s">
        <v>164</v>
      </c>
      <c r="E156" s="34" t="s">
        <v>628</v>
      </c>
      <c r="F156" s="36">
        <v>37739</v>
      </c>
      <c r="G156" s="36"/>
      <c r="H156" s="37"/>
      <c r="I156" s="37"/>
      <c r="J156" s="15"/>
      <c r="K156" s="105"/>
      <c r="L156" s="15"/>
    </row>
    <row r="157" spans="1:12" ht="20.5" x14ac:dyDescent="0.25">
      <c r="A157" s="34" t="s">
        <v>615</v>
      </c>
      <c r="B157" s="34" t="s">
        <v>395</v>
      </c>
      <c r="C157" s="34" t="s">
        <v>495</v>
      </c>
      <c r="D157" s="35" t="s">
        <v>165</v>
      </c>
      <c r="E157" s="34" t="s">
        <v>417</v>
      </c>
      <c r="F157" s="36">
        <v>37747</v>
      </c>
      <c r="G157" s="36"/>
      <c r="H157" s="37">
        <v>1</v>
      </c>
      <c r="I157" s="37">
        <v>1</v>
      </c>
      <c r="J157" s="15"/>
      <c r="K157" s="105"/>
      <c r="L157" s="15"/>
    </row>
    <row r="158" spans="1:12" ht="20.5" x14ac:dyDescent="0.25">
      <c r="A158" s="34" t="s">
        <v>615</v>
      </c>
      <c r="B158" s="34" t="s">
        <v>395</v>
      </c>
      <c r="C158" s="34" t="s">
        <v>495</v>
      </c>
      <c r="D158" s="35" t="s">
        <v>166</v>
      </c>
      <c r="E158" s="34" t="s">
        <v>629</v>
      </c>
      <c r="F158" s="36"/>
      <c r="G158" s="36"/>
      <c r="H158" s="37"/>
      <c r="I158" s="37"/>
      <c r="J158" s="15"/>
      <c r="K158" s="105"/>
      <c r="L158" s="15"/>
    </row>
    <row r="159" spans="1:12" ht="20.5" x14ac:dyDescent="0.25">
      <c r="A159" s="34" t="s">
        <v>615</v>
      </c>
      <c r="B159" s="34" t="s">
        <v>395</v>
      </c>
      <c r="C159" s="34" t="s">
        <v>334</v>
      </c>
      <c r="D159" s="35" t="s">
        <v>167</v>
      </c>
      <c r="E159" s="34" t="s">
        <v>404</v>
      </c>
      <c r="F159" s="36"/>
      <c r="G159" s="36"/>
      <c r="H159" s="37">
        <v>501</v>
      </c>
      <c r="I159" s="37">
        <v>501</v>
      </c>
      <c r="J159" s="15"/>
      <c r="K159" s="105"/>
      <c r="L159" s="15"/>
    </row>
    <row r="160" spans="1:12" ht="20.5" x14ac:dyDescent="0.25">
      <c r="A160" s="34" t="s">
        <v>615</v>
      </c>
      <c r="B160" s="34" t="s">
        <v>395</v>
      </c>
      <c r="C160" s="34" t="s">
        <v>334</v>
      </c>
      <c r="D160" s="35" t="s">
        <v>168</v>
      </c>
      <c r="E160" s="34" t="s">
        <v>630</v>
      </c>
      <c r="F160" s="36"/>
      <c r="G160" s="36"/>
      <c r="H160" s="37">
        <v>1</v>
      </c>
      <c r="I160" s="37">
        <v>1</v>
      </c>
      <c r="J160" s="15"/>
      <c r="K160" s="105"/>
      <c r="L160" s="15"/>
    </row>
    <row r="161" spans="1:12" ht="20.5" x14ac:dyDescent="0.25">
      <c r="A161" s="34" t="s">
        <v>615</v>
      </c>
      <c r="B161" s="34" t="s">
        <v>395</v>
      </c>
      <c r="C161" s="34" t="s">
        <v>334</v>
      </c>
      <c r="D161" s="35" t="s">
        <v>169</v>
      </c>
      <c r="E161" s="34" t="s">
        <v>399</v>
      </c>
      <c r="F161" s="36">
        <v>37742</v>
      </c>
      <c r="G161" s="36"/>
      <c r="H161" s="37">
        <v>1</v>
      </c>
      <c r="I161" s="37">
        <v>1</v>
      </c>
      <c r="J161" s="15"/>
      <c r="K161" s="105"/>
      <c r="L161" s="15"/>
    </row>
    <row r="162" spans="1:12" ht="20.5" x14ac:dyDescent="0.25">
      <c r="A162" s="34" t="s">
        <v>615</v>
      </c>
      <c r="B162" s="34" t="s">
        <v>839</v>
      </c>
      <c r="C162" s="34" t="s">
        <v>495</v>
      </c>
      <c r="D162" s="35" t="s">
        <v>170</v>
      </c>
      <c r="E162" s="34" t="s">
        <v>840</v>
      </c>
      <c r="F162" s="36">
        <v>38001</v>
      </c>
      <c r="G162" s="36"/>
      <c r="H162" s="37"/>
      <c r="I162" s="37"/>
      <c r="J162" s="15"/>
      <c r="K162" s="105"/>
      <c r="L162" s="15"/>
    </row>
    <row r="163" spans="1:12" ht="20.5" x14ac:dyDescent="0.25">
      <c r="A163" s="34" t="s">
        <v>615</v>
      </c>
      <c r="B163" s="34" t="s">
        <v>631</v>
      </c>
      <c r="C163" s="34" t="s">
        <v>495</v>
      </c>
      <c r="D163" s="35" t="s">
        <v>171</v>
      </c>
      <c r="E163" s="34" t="s">
        <v>633</v>
      </c>
      <c r="F163" s="36">
        <v>37936</v>
      </c>
      <c r="G163" s="36"/>
      <c r="H163" s="37"/>
      <c r="I163" s="37"/>
      <c r="J163" s="15"/>
      <c r="K163" s="105"/>
      <c r="L163" s="15"/>
    </row>
    <row r="164" spans="1:12" ht="20.5" x14ac:dyDescent="0.25">
      <c r="A164" s="34" t="s">
        <v>615</v>
      </c>
      <c r="B164" s="34" t="s">
        <v>631</v>
      </c>
      <c r="C164" s="34" t="s">
        <v>495</v>
      </c>
      <c r="D164" s="35" t="s">
        <v>172</v>
      </c>
      <c r="E164" s="34" t="s">
        <v>632</v>
      </c>
      <c r="F164" s="36">
        <v>37586</v>
      </c>
      <c r="G164" s="36"/>
      <c r="H164" s="37"/>
      <c r="I164" s="37"/>
      <c r="J164" s="15"/>
      <c r="K164" s="105"/>
      <c r="L164" s="15"/>
    </row>
    <row r="165" spans="1:12" ht="20.5" x14ac:dyDescent="0.25">
      <c r="A165" s="34" t="s">
        <v>615</v>
      </c>
      <c r="B165" s="34" t="s">
        <v>396</v>
      </c>
      <c r="C165" s="34" t="s">
        <v>495</v>
      </c>
      <c r="D165" s="35" t="s">
        <v>173</v>
      </c>
      <c r="E165" s="34" t="s">
        <v>634</v>
      </c>
      <c r="F165" s="36">
        <v>37931</v>
      </c>
      <c r="G165" s="36"/>
      <c r="H165" s="37">
        <v>1</v>
      </c>
      <c r="I165" s="37">
        <v>1</v>
      </c>
      <c r="J165" s="15"/>
      <c r="K165" s="105"/>
      <c r="L165" s="15"/>
    </row>
    <row r="166" spans="1:12" ht="20.5" x14ac:dyDescent="0.25">
      <c r="A166" s="34" t="s">
        <v>615</v>
      </c>
      <c r="B166" s="34" t="s">
        <v>635</v>
      </c>
      <c r="C166" s="34" t="s">
        <v>495</v>
      </c>
      <c r="D166" s="35" t="s">
        <v>174</v>
      </c>
      <c r="E166" s="34" t="s">
        <v>636</v>
      </c>
      <c r="F166" s="36"/>
      <c r="G166" s="36"/>
      <c r="H166" s="37"/>
      <c r="I166" s="37"/>
      <c r="J166" s="15"/>
      <c r="K166" s="105"/>
      <c r="L166" s="15"/>
    </row>
    <row r="167" spans="1:12" ht="40.5" x14ac:dyDescent="0.25">
      <c r="A167" s="34" t="s">
        <v>615</v>
      </c>
      <c r="B167" s="34" t="s">
        <v>408</v>
      </c>
      <c r="C167" s="34" t="s">
        <v>893</v>
      </c>
      <c r="D167" s="35" t="s">
        <v>175</v>
      </c>
      <c r="E167" s="34" t="s">
        <v>637</v>
      </c>
      <c r="F167" s="36">
        <v>37949</v>
      </c>
      <c r="G167" s="36"/>
      <c r="H167" s="37">
        <v>1</v>
      </c>
      <c r="I167" s="37">
        <v>1</v>
      </c>
      <c r="J167" s="15"/>
      <c r="K167" s="105"/>
      <c r="L167" s="15"/>
    </row>
    <row r="168" spans="1:12" ht="20.5" x14ac:dyDescent="0.25">
      <c r="A168" s="34" t="s">
        <v>615</v>
      </c>
      <c r="B168" s="34" t="s">
        <v>408</v>
      </c>
      <c r="C168" s="34" t="s">
        <v>495</v>
      </c>
      <c r="D168" s="35" t="s">
        <v>176</v>
      </c>
      <c r="E168" s="34" t="s">
        <v>423</v>
      </c>
      <c r="F168" s="36"/>
      <c r="G168" s="36"/>
      <c r="H168" s="37">
        <v>101</v>
      </c>
      <c r="I168" s="37">
        <v>101</v>
      </c>
      <c r="J168" s="15"/>
      <c r="K168" s="105"/>
      <c r="L168" s="15"/>
    </row>
    <row r="169" spans="1:12" ht="20.5" x14ac:dyDescent="0.25">
      <c r="A169" s="34" t="s">
        <v>615</v>
      </c>
      <c r="B169" s="34" t="s">
        <v>394</v>
      </c>
      <c r="C169" s="34" t="s">
        <v>495</v>
      </c>
      <c r="D169" s="35" t="s">
        <v>177</v>
      </c>
      <c r="E169" s="34" t="s">
        <v>409</v>
      </c>
      <c r="F169" s="36">
        <v>37705</v>
      </c>
      <c r="G169" s="36"/>
      <c r="H169" s="37">
        <v>101</v>
      </c>
      <c r="I169" s="37">
        <v>101</v>
      </c>
      <c r="J169" s="15"/>
      <c r="K169" s="105"/>
      <c r="L169" s="15"/>
    </row>
    <row r="170" spans="1:12" ht="40.5" x14ac:dyDescent="0.25">
      <c r="A170" s="34" t="s">
        <v>615</v>
      </c>
      <c r="B170" s="34" t="s">
        <v>394</v>
      </c>
      <c r="C170" s="34" t="s">
        <v>495</v>
      </c>
      <c r="D170" s="35" t="s">
        <v>178</v>
      </c>
      <c r="E170" s="34" t="s">
        <v>638</v>
      </c>
      <c r="F170" s="36">
        <v>37930</v>
      </c>
      <c r="G170" s="36"/>
      <c r="H170" s="37">
        <v>101</v>
      </c>
      <c r="I170" s="37">
        <v>101</v>
      </c>
      <c r="J170" s="15"/>
      <c r="K170" s="105"/>
      <c r="L170" s="15"/>
    </row>
    <row r="171" spans="1:12" ht="40.5" x14ac:dyDescent="0.25">
      <c r="A171" s="34" t="s">
        <v>615</v>
      </c>
      <c r="B171" s="34" t="s">
        <v>394</v>
      </c>
      <c r="C171" s="34" t="s">
        <v>495</v>
      </c>
      <c r="D171" s="35" t="s">
        <v>179</v>
      </c>
      <c r="E171" s="34" t="s">
        <v>639</v>
      </c>
      <c r="F171" s="36">
        <v>37943</v>
      </c>
      <c r="G171" s="36"/>
      <c r="H171" s="37">
        <v>101</v>
      </c>
      <c r="I171" s="37">
        <v>101</v>
      </c>
      <c r="J171" s="15"/>
      <c r="K171" s="105"/>
      <c r="L171" s="15"/>
    </row>
    <row r="172" spans="1:12" ht="20.5" x14ac:dyDescent="0.25">
      <c r="A172" s="34" t="s">
        <v>615</v>
      </c>
      <c r="B172" s="34" t="s">
        <v>394</v>
      </c>
      <c r="C172" s="34" t="s">
        <v>334</v>
      </c>
      <c r="D172" s="35" t="s">
        <v>180</v>
      </c>
      <c r="E172" s="34" t="s">
        <v>640</v>
      </c>
      <c r="F172" s="36">
        <v>37540</v>
      </c>
      <c r="G172" s="36"/>
      <c r="H172" s="37">
        <v>101</v>
      </c>
      <c r="I172" s="37">
        <v>101</v>
      </c>
      <c r="J172" s="15"/>
      <c r="K172" s="105"/>
      <c r="L172" s="15"/>
    </row>
    <row r="173" spans="1:12" ht="20.5" x14ac:dyDescent="0.25">
      <c r="A173" s="34" t="s">
        <v>615</v>
      </c>
      <c r="B173" s="34" t="s">
        <v>418</v>
      </c>
      <c r="C173" s="34" t="s">
        <v>495</v>
      </c>
      <c r="D173" s="35" t="s">
        <v>181</v>
      </c>
      <c r="E173" s="34" t="s">
        <v>641</v>
      </c>
      <c r="F173" s="36">
        <v>37742</v>
      </c>
      <c r="G173" s="36"/>
      <c r="H173" s="37">
        <v>1</v>
      </c>
      <c r="I173" s="37">
        <v>1</v>
      </c>
      <c r="J173" s="15"/>
      <c r="K173" s="105"/>
      <c r="L173" s="15"/>
    </row>
    <row r="174" spans="1:12" ht="20.5" x14ac:dyDescent="0.25">
      <c r="A174" s="34" t="s">
        <v>615</v>
      </c>
      <c r="B174" s="34" t="s">
        <v>410</v>
      </c>
      <c r="C174" s="34" t="s">
        <v>334</v>
      </c>
      <c r="D174" s="35" t="s">
        <v>182</v>
      </c>
      <c r="E174" s="34" t="s">
        <v>411</v>
      </c>
      <c r="F174" s="36">
        <v>37712</v>
      </c>
      <c r="G174" s="36"/>
      <c r="H174" s="37">
        <v>501</v>
      </c>
      <c r="I174" s="37">
        <v>501</v>
      </c>
      <c r="J174" s="15"/>
      <c r="K174" s="105"/>
      <c r="L174" s="15"/>
    </row>
    <row r="175" spans="1:12" ht="20.5" x14ac:dyDescent="0.25">
      <c r="A175" s="34" t="s">
        <v>615</v>
      </c>
      <c r="B175" s="34" t="s">
        <v>410</v>
      </c>
      <c r="C175" s="34" t="s">
        <v>334</v>
      </c>
      <c r="D175" s="35" t="s">
        <v>183</v>
      </c>
      <c r="E175" s="34" t="s">
        <v>412</v>
      </c>
      <c r="F175" s="36">
        <v>37712</v>
      </c>
      <c r="G175" s="36"/>
      <c r="H175" s="37">
        <v>501</v>
      </c>
      <c r="I175" s="37">
        <v>501</v>
      </c>
      <c r="J175" s="15"/>
      <c r="K175" s="105"/>
      <c r="L175" s="15"/>
    </row>
    <row r="176" spans="1:12" ht="20.5" x14ac:dyDescent="0.25">
      <c r="A176" s="34" t="s">
        <v>615</v>
      </c>
      <c r="B176" s="34" t="s">
        <v>410</v>
      </c>
      <c r="C176" s="34" t="s">
        <v>334</v>
      </c>
      <c r="D176" s="35" t="s">
        <v>184</v>
      </c>
      <c r="E176" s="34" t="s">
        <v>642</v>
      </c>
      <c r="F176" s="36">
        <v>37950</v>
      </c>
      <c r="G176" s="36"/>
      <c r="H176" s="37">
        <v>101</v>
      </c>
      <c r="I176" s="37">
        <v>101</v>
      </c>
      <c r="J176" s="15"/>
      <c r="K176" s="105"/>
      <c r="L176" s="15"/>
    </row>
    <row r="177" spans="1:12" ht="20.5" x14ac:dyDescent="0.25">
      <c r="A177" s="34" t="s">
        <v>643</v>
      </c>
      <c r="B177" s="34" t="s">
        <v>375</v>
      </c>
      <c r="C177" s="34" t="s">
        <v>486</v>
      </c>
      <c r="D177" s="35" t="s">
        <v>185</v>
      </c>
      <c r="E177" s="34" t="s">
        <v>841</v>
      </c>
      <c r="F177" s="36">
        <v>37893</v>
      </c>
      <c r="G177" s="36">
        <v>37895</v>
      </c>
      <c r="H177" s="37">
        <v>2</v>
      </c>
      <c r="I177" s="37">
        <v>20</v>
      </c>
      <c r="J177" s="15"/>
      <c r="K177" s="105"/>
      <c r="L177" s="15"/>
    </row>
    <row r="178" spans="1:12" ht="20.5" x14ac:dyDescent="0.25">
      <c r="A178" s="34" t="s">
        <v>643</v>
      </c>
      <c r="B178" s="34" t="s">
        <v>375</v>
      </c>
      <c r="C178" s="34" t="s">
        <v>486</v>
      </c>
      <c r="D178" s="35" t="s">
        <v>186</v>
      </c>
      <c r="E178" s="34" t="s">
        <v>842</v>
      </c>
      <c r="F178" s="36">
        <v>37893</v>
      </c>
      <c r="G178" s="36">
        <v>37987</v>
      </c>
      <c r="H178" s="37">
        <v>100</v>
      </c>
      <c r="I178" s="37">
        <v>300</v>
      </c>
      <c r="J178" s="15"/>
      <c r="K178" s="105"/>
      <c r="L178" s="15"/>
    </row>
    <row r="179" spans="1:12" ht="20.5" x14ac:dyDescent="0.25">
      <c r="A179" s="34" t="s">
        <v>643</v>
      </c>
      <c r="B179" s="34" t="s">
        <v>375</v>
      </c>
      <c r="C179" s="34" t="s">
        <v>486</v>
      </c>
      <c r="D179" s="35" t="s">
        <v>187</v>
      </c>
      <c r="E179" s="34" t="s">
        <v>843</v>
      </c>
      <c r="F179" s="36">
        <v>37893</v>
      </c>
      <c r="G179" s="36">
        <v>37987</v>
      </c>
      <c r="H179" s="37">
        <v>50</v>
      </c>
      <c r="I179" s="37">
        <v>200</v>
      </c>
      <c r="J179" s="15"/>
      <c r="K179" s="105"/>
      <c r="L179" s="15"/>
    </row>
    <row r="180" spans="1:12" ht="20.5" x14ac:dyDescent="0.25">
      <c r="A180" s="34" t="s">
        <v>643</v>
      </c>
      <c r="B180" s="34" t="s">
        <v>346</v>
      </c>
      <c r="C180" s="34" t="s">
        <v>495</v>
      </c>
      <c r="D180" s="35" t="s">
        <v>188</v>
      </c>
      <c r="E180" s="34" t="s">
        <v>844</v>
      </c>
      <c r="F180" s="36">
        <v>37015</v>
      </c>
      <c r="G180" s="36"/>
      <c r="H180" s="37">
        <v>400</v>
      </c>
      <c r="I180" s="37">
        <v>600</v>
      </c>
      <c r="J180" s="15"/>
      <c r="K180" s="105"/>
      <c r="L180" s="15"/>
    </row>
    <row r="181" spans="1:12" ht="20.5" x14ac:dyDescent="0.25">
      <c r="A181" s="34" t="s">
        <v>643</v>
      </c>
      <c r="B181" s="34" t="s">
        <v>376</v>
      </c>
      <c r="C181" s="34" t="s">
        <v>495</v>
      </c>
      <c r="D181" s="35" t="s">
        <v>189</v>
      </c>
      <c r="E181" s="34" t="s">
        <v>845</v>
      </c>
      <c r="F181" s="36">
        <v>37893</v>
      </c>
      <c r="G181" s="36">
        <v>37987</v>
      </c>
      <c r="H181" s="37">
        <v>100</v>
      </c>
      <c r="I181" s="37">
        <v>400</v>
      </c>
      <c r="J181" s="15"/>
      <c r="K181" s="105"/>
      <c r="L181" s="15"/>
    </row>
    <row r="182" spans="1:12" x14ac:dyDescent="0.25">
      <c r="A182" s="13"/>
      <c r="B182" s="13"/>
      <c r="C182" s="13"/>
      <c r="D182" s="14"/>
      <c r="E182" s="13"/>
      <c r="F182" s="19"/>
      <c r="G182" s="19"/>
      <c r="H182" s="15"/>
      <c r="I182" s="15"/>
      <c r="J182" s="15"/>
      <c r="K182" s="105"/>
      <c r="L182" s="15"/>
    </row>
    <row r="183" spans="1:12" x14ac:dyDescent="0.25">
      <c r="A183" s="13"/>
      <c r="B183" s="13"/>
      <c r="C183" s="13"/>
      <c r="D183" s="14"/>
      <c r="E183" s="13"/>
      <c r="F183" s="19"/>
      <c r="G183" s="19"/>
      <c r="H183" s="15"/>
      <c r="I183" s="15"/>
      <c r="J183" s="15"/>
      <c r="K183" s="105"/>
      <c r="L183" s="15"/>
    </row>
    <row r="184" spans="1:12" x14ac:dyDescent="0.25">
      <c r="A184" s="13"/>
      <c r="B184" s="13"/>
      <c r="C184" s="13"/>
      <c r="D184" s="14"/>
      <c r="E184" s="13"/>
      <c r="F184" s="19"/>
      <c r="G184" s="19"/>
      <c r="H184" s="15"/>
      <c r="I184" s="15"/>
      <c r="J184" s="15"/>
      <c r="K184" s="105"/>
      <c r="L184" s="15"/>
    </row>
    <row r="185" spans="1:12" x14ac:dyDescent="0.25">
      <c r="A185" s="13"/>
      <c r="B185" s="13"/>
      <c r="C185" s="13"/>
      <c r="D185" s="14"/>
      <c r="E185" s="13"/>
      <c r="F185" s="19"/>
      <c r="G185" s="19"/>
      <c r="H185" s="15"/>
      <c r="I185" s="15"/>
      <c r="J185" s="15"/>
      <c r="K185" s="105"/>
      <c r="L185" s="15"/>
    </row>
    <row r="186" spans="1:12" x14ac:dyDescent="0.25">
      <c r="A186" s="16"/>
      <c r="B186" s="16"/>
      <c r="C186" s="16"/>
      <c r="D186" s="17"/>
      <c r="E186" s="16"/>
      <c r="F186" s="20"/>
      <c r="G186" s="20"/>
      <c r="H186" s="18"/>
      <c r="I186" s="18"/>
      <c r="J186" s="15"/>
      <c r="K186" s="105"/>
      <c r="L186" s="15"/>
    </row>
    <row r="187" spans="1:12" x14ac:dyDescent="0.25">
      <c r="A187" s="16"/>
      <c r="B187" s="16"/>
      <c r="C187" s="16"/>
      <c r="D187" s="17"/>
      <c r="E187" s="16"/>
      <c r="F187" s="20"/>
      <c r="G187" s="20"/>
      <c r="H187" s="18"/>
      <c r="I187" s="18"/>
      <c r="J187" s="18"/>
      <c r="K187" s="105"/>
      <c r="L187" s="18"/>
    </row>
    <row r="188" spans="1:12" x14ac:dyDescent="0.25">
      <c r="A188" s="16"/>
      <c r="B188" s="16"/>
      <c r="C188" s="16"/>
      <c r="D188" s="17"/>
      <c r="E188" s="16"/>
      <c r="F188" s="20"/>
      <c r="G188" s="20"/>
      <c r="H188" s="18"/>
      <c r="I188" s="18"/>
      <c r="J188" s="18"/>
      <c r="K188" s="105"/>
    </row>
    <row r="189" spans="1:12" x14ac:dyDescent="0.25">
      <c r="A189" s="16"/>
      <c r="B189" s="16"/>
      <c r="C189" s="16"/>
      <c r="D189" s="17"/>
      <c r="E189" s="16"/>
      <c r="F189" s="20"/>
      <c r="G189" s="20"/>
      <c r="H189" s="18"/>
      <c r="I189" s="18"/>
      <c r="J189" s="18"/>
      <c r="K189" s="105"/>
    </row>
    <row r="190" spans="1:12" x14ac:dyDescent="0.25">
      <c r="A190" s="16"/>
      <c r="B190" s="16"/>
      <c r="C190" s="16"/>
      <c r="D190" s="17"/>
      <c r="E190" s="16"/>
      <c r="F190" s="20"/>
      <c r="G190" s="20"/>
      <c r="H190" s="18"/>
      <c r="I190" s="18"/>
      <c r="J190" s="18"/>
      <c r="K190" s="105"/>
    </row>
    <row r="191" spans="1:12" x14ac:dyDescent="0.25">
      <c r="A191" s="16"/>
      <c r="B191" s="16"/>
      <c r="C191" s="16"/>
      <c r="D191" s="17"/>
      <c r="E191" s="16"/>
      <c r="F191" s="20"/>
      <c r="G191" s="20"/>
      <c r="H191" s="18"/>
      <c r="I191" s="18"/>
      <c r="J191" s="18"/>
      <c r="K191" s="105"/>
    </row>
    <row r="192" spans="1:12" x14ac:dyDescent="0.25">
      <c r="A192" s="16"/>
      <c r="B192" s="16"/>
      <c r="C192" s="16"/>
      <c r="D192" s="17"/>
      <c r="E192" s="16"/>
      <c r="F192" s="20"/>
      <c r="G192" s="20"/>
      <c r="H192" s="18"/>
      <c r="I192" s="18"/>
      <c r="J192" s="18"/>
      <c r="K192" s="105"/>
    </row>
    <row r="193" spans="1:11" x14ac:dyDescent="0.25">
      <c r="A193" s="16"/>
      <c r="B193" s="16"/>
      <c r="C193" s="16"/>
      <c r="D193" s="17"/>
      <c r="E193" s="16"/>
      <c r="F193" s="20"/>
      <c r="G193" s="20"/>
      <c r="H193" s="18"/>
      <c r="I193" s="18"/>
      <c r="J193" s="18"/>
      <c r="K193" s="105"/>
    </row>
    <row r="194" spans="1:11" x14ac:dyDescent="0.25">
      <c r="A194" s="16"/>
      <c r="B194" s="16"/>
      <c r="C194" s="16"/>
      <c r="D194" s="17"/>
      <c r="E194" s="16"/>
      <c r="F194" s="20"/>
      <c r="G194" s="20"/>
      <c r="H194" s="18"/>
      <c r="I194" s="18"/>
      <c r="J194" s="18"/>
      <c r="K194" s="105"/>
    </row>
    <row r="195" spans="1:11" x14ac:dyDescent="0.25">
      <c r="A195" s="16"/>
      <c r="B195" s="16"/>
      <c r="C195" s="16"/>
      <c r="D195" s="17"/>
      <c r="E195" s="16"/>
      <c r="F195" s="20"/>
      <c r="G195" s="20"/>
      <c r="H195" s="18"/>
      <c r="I195" s="18"/>
      <c r="J195" s="18"/>
      <c r="K195" s="105"/>
    </row>
    <row r="196" spans="1:11" x14ac:dyDescent="0.25">
      <c r="A196" s="16"/>
      <c r="B196" s="16"/>
      <c r="C196" s="16"/>
      <c r="D196" s="17"/>
      <c r="E196" s="16"/>
      <c r="F196" s="20"/>
      <c r="G196" s="20"/>
      <c r="H196" s="18"/>
      <c r="I196" s="18"/>
      <c r="J196" s="18"/>
      <c r="K196" s="105"/>
    </row>
    <row r="197" spans="1:11" x14ac:dyDescent="0.25">
      <c r="A197" s="16"/>
      <c r="B197" s="16"/>
      <c r="C197" s="16"/>
      <c r="D197" s="17"/>
      <c r="E197" s="16"/>
      <c r="F197" s="20"/>
      <c r="G197" s="20"/>
      <c r="H197" s="18"/>
      <c r="I197" s="18"/>
      <c r="J197" s="18"/>
      <c r="K197" s="105"/>
    </row>
    <row r="198" spans="1:11" x14ac:dyDescent="0.25">
      <c r="A198" s="16"/>
      <c r="B198" s="16"/>
      <c r="C198" s="16"/>
      <c r="D198" s="17"/>
      <c r="E198" s="16"/>
      <c r="F198" s="20"/>
      <c r="G198" s="20"/>
      <c r="H198" s="18"/>
      <c r="I198" s="18"/>
      <c r="J198" s="18"/>
      <c r="K198" s="105"/>
    </row>
    <row r="199" spans="1:11" x14ac:dyDescent="0.25">
      <c r="A199" s="16"/>
      <c r="B199" s="16"/>
      <c r="C199" s="16"/>
      <c r="D199" s="17"/>
      <c r="E199" s="16"/>
      <c r="F199" s="20"/>
      <c r="G199" s="20"/>
      <c r="H199" s="18"/>
      <c r="I199" s="18"/>
      <c r="J199" s="18"/>
      <c r="K199" s="105"/>
    </row>
    <row r="200" spans="1:11" x14ac:dyDescent="0.25">
      <c r="A200" s="16"/>
      <c r="B200" s="16"/>
      <c r="C200" s="16"/>
      <c r="D200" s="17"/>
      <c r="E200" s="16"/>
      <c r="F200" s="20"/>
      <c r="G200" s="20"/>
      <c r="H200" s="18"/>
      <c r="I200" s="18"/>
      <c r="J200" s="18"/>
      <c r="K200" s="105"/>
    </row>
    <row r="201" spans="1:11" x14ac:dyDescent="0.25">
      <c r="A201" s="16"/>
      <c r="B201" s="16"/>
      <c r="C201" s="16"/>
      <c r="D201" s="17"/>
      <c r="E201" s="16"/>
      <c r="F201" s="20"/>
      <c r="G201" s="20"/>
      <c r="H201" s="18"/>
      <c r="I201" s="18"/>
      <c r="J201" s="18"/>
      <c r="K201" s="105"/>
    </row>
    <row r="202" spans="1:11" x14ac:dyDescent="0.25">
      <c r="A202" s="16"/>
      <c r="B202" s="16"/>
      <c r="C202" s="16"/>
      <c r="D202" s="17"/>
      <c r="E202" s="16"/>
      <c r="F202" s="20"/>
      <c r="G202" s="20"/>
      <c r="H202" s="18"/>
      <c r="I202" s="18"/>
      <c r="J202" s="18"/>
      <c r="K202" s="105"/>
    </row>
    <row r="203" spans="1:11" x14ac:dyDescent="0.25">
      <c r="A203" s="16"/>
      <c r="B203" s="16"/>
      <c r="C203" s="16"/>
      <c r="D203" s="17"/>
      <c r="E203" s="16"/>
      <c r="F203" s="20"/>
      <c r="G203" s="20"/>
      <c r="H203" s="18"/>
      <c r="I203" s="18"/>
      <c r="J203" s="18"/>
      <c r="K203" s="105"/>
    </row>
    <row r="204" spans="1:11" x14ac:dyDescent="0.25">
      <c r="A204" s="16"/>
      <c r="B204" s="16"/>
      <c r="C204" s="16"/>
      <c r="D204" s="17"/>
      <c r="E204" s="16"/>
      <c r="F204" s="20"/>
      <c r="G204" s="20"/>
      <c r="H204" s="18"/>
      <c r="I204" s="18"/>
      <c r="J204" s="18"/>
      <c r="K204" s="105"/>
    </row>
    <row r="205" spans="1:11" x14ac:dyDescent="0.25">
      <c r="A205" s="16"/>
      <c r="B205" s="16"/>
      <c r="C205" s="16"/>
      <c r="D205" s="17"/>
      <c r="E205" s="16"/>
      <c r="F205" s="20"/>
      <c r="G205" s="20"/>
      <c r="H205" s="18"/>
      <c r="I205" s="18"/>
      <c r="J205" s="18"/>
      <c r="K205" s="105"/>
    </row>
    <row r="206" spans="1:11" x14ac:dyDescent="0.25">
      <c r="A206" s="16"/>
      <c r="B206" s="16"/>
      <c r="C206" s="16"/>
      <c r="D206" s="17"/>
      <c r="E206" s="16"/>
      <c r="F206" s="20"/>
      <c r="G206" s="20"/>
      <c r="H206" s="18"/>
      <c r="I206" s="18"/>
      <c r="J206" s="18"/>
      <c r="K206" s="105"/>
    </row>
    <row r="207" spans="1:11" x14ac:dyDescent="0.25">
      <c r="A207" s="16"/>
      <c r="B207" s="16"/>
      <c r="C207" s="16"/>
      <c r="D207" s="17"/>
      <c r="E207" s="16"/>
      <c r="F207" s="20"/>
      <c r="G207" s="20"/>
      <c r="H207" s="18"/>
      <c r="I207" s="18"/>
      <c r="J207" s="18"/>
      <c r="K207" s="105"/>
    </row>
    <row r="208" spans="1:11" x14ac:dyDescent="0.25">
      <c r="A208" s="16"/>
      <c r="B208" s="16"/>
      <c r="C208" s="16"/>
      <c r="D208" s="17"/>
      <c r="E208" s="16"/>
      <c r="F208" s="20"/>
      <c r="G208" s="20"/>
      <c r="H208" s="18"/>
      <c r="I208" s="18"/>
      <c r="J208" s="18"/>
      <c r="K208" s="105"/>
    </row>
    <row r="209" spans="1:11" x14ac:dyDescent="0.25">
      <c r="A209" s="16"/>
      <c r="B209" s="16"/>
      <c r="C209" s="16"/>
      <c r="D209" s="17"/>
      <c r="E209" s="16"/>
      <c r="F209" s="20"/>
      <c r="G209" s="20"/>
      <c r="H209" s="18"/>
      <c r="I209" s="18"/>
      <c r="J209" s="18"/>
      <c r="K209" s="105"/>
    </row>
    <row r="210" spans="1:11" x14ac:dyDescent="0.25">
      <c r="A210" s="16"/>
      <c r="B210" s="16"/>
      <c r="C210" s="16"/>
      <c r="D210" s="17"/>
      <c r="E210" s="16"/>
      <c r="F210" s="20"/>
      <c r="G210" s="20"/>
      <c r="H210" s="18"/>
      <c r="I210" s="18"/>
      <c r="J210" s="18"/>
      <c r="K210" s="105"/>
    </row>
    <row r="211" spans="1:11" x14ac:dyDescent="0.25">
      <c r="A211" s="16"/>
      <c r="B211" s="16"/>
      <c r="C211" s="16"/>
      <c r="D211" s="17"/>
      <c r="E211" s="16"/>
      <c r="F211" s="20"/>
      <c r="G211" s="20"/>
      <c r="H211" s="18"/>
      <c r="I211" s="18"/>
      <c r="J211" s="18"/>
      <c r="K211" s="105"/>
    </row>
    <row r="212" spans="1:11" x14ac:dyDescent="0.25">
      <c r="A212" s="16"/>
      <c r="B212" s="16"/>
      <c r="C212" s="16"/>
      <c r="D212" s="17"/>
      <c r="E212" s="16"/>
      <c r="F212" s="20"/>
      <c r="G212" s="20"/>
      <c r="H212" s="18"/>
      <c r="I212" s="18"/>
      <c r="J212" s="18"/>
      <c r="K212" s="105"/>
    </row>
    <row r="213" spans="1:11" x14ac:dyDescent="0.25">
      <c r="A213" s="16"/>
      <c r="B213" s="16"/>
      <c r="C213" s="16"/>
      <c r="D213" s="17"/>
      <c r="E213" s="16"/>
      <c r="F213" s="20"/>
      <c r="G213" s="20"/>
      <c r="H213" s="18"/>
      <c r="I213" s="18"/>
      <c r="J213" s="18"/>
      <c r="K213" s="105"/>
    </row>
    <row r="214" spans="1:11" x14ac:dyDescent="0.25">
      <c r="A214" s="16"/>
      <c r="B214" s="16"/>
      <c r="C214" s="16"/>
      <c r="D214" s="17"/>
      <c r="E214" s="16"/>
      <c r="F214" s="20"/>
      <c r="G214" s="20"/>
      <c r="H214" s="18"/>
      <c r="I214" s="18"/>
      <c r="J214" s="18"/>
      <c r="K214" s="105"/>
    </row>
    <row r="215" spans="1:11" x14ac:dyDescent="0.25">
      <c r="A215" s="16"/>
      <c r="B215" s="16"/>
      <c r="C215" s="16"/>
      <c r="D215" s="17"/>
      <c r="E215" s="16"/>
      <c r="F215" s="20"/>
      <c r="G215" s="20"/>
      <c r="H215" s="18"/>
      <c r="I215" s="18"/>
      <c r="J215" s="18"/>
      <c r="K215" s="105"/>
    </row>
    <row r="216" spans="1:11" x14ac:dyDescent="0.25">
      <c r="A216" s="16"/>
      <c r="B216" s="16"/>
      <c r="C216" s="16"/>
      <c r="D216" s="17"/>
      <c r="E216" s="16"/>
      <c r="F216" s="20"/>
      <c r="G216" s="20"/>
      <c r="H216" s="18"/>
      <c r="I216" s="18"/>
      <c r="J216" s="18"/>
      <c r="K216" s="105"/>
    </row>
    <row r="217" spans="1:11" x14ac:dyDescent="0.25">
      <c r="A217" s="16"/>
      <c r="B217" s="16"/>
      <c r="C217" s="16"/>
      <c r="D217" s="17"/>
      <c r="E217" s="16"/>
      <c r="F217" s="20"/>
      <c r="G217" s="20"/>
      <c r="H217" s="18"/>
      <c r="I217" s="18"/>
      <c r="J217" s="18"/>
      <c r="K217" s="105"/>
    </row>
    <row r="218" spans="1:11" x14ac:dyDescent="0.25">
      <c r="A218" s="16"/>
      <c r="B218" s="16"/>
      <c r="C218" s="16"/>
      <c r="D218" s="17"/>
      <c r="E218" s="16"/>
      <c r="F218" s="20"/>
      <c r="G218" s="20"/>
      <c r="H218" s="18"/>
      <c r="I218" s="18"/>
      <c r="J218" s="18"/>
      <c r="K218" s="105"/>
    </row>
    <row r="219" spans="1:11" x14ac:dyDescent="0.25">
      <c r="A219" s="16"/>
      <c r="B219" s="16"/>
      <c r="C219" s="16"/>
      <c r="D219" s="17"/>
      <c r="E219" s="16"/>
      <c r="F219" s="20"/>
      <c r="G219" s="20"/>
      <c r="H219" s="18"/>
      <c r="I219" s="18"/>
      <c r="J219" s="18"/>
      <c r="K219" s="105"/>
    </row>
    <row r="220" spans="1:11" x14ac:dyDescent="0.25">
      <c r="A220" s="16"/>
      <c r="B220" s="16"/>
      <c r="C220" s="16"/>
      <c r="D220" s="17"/>
      <c r="E220" s="16"/>
      <c r="F220" s="20"/>
      <c r="G220" s="20"/>
      <c r="H220" s="18"/>
      <c r="I220" s="18"/>
      <c r="J220" s="18"/>
      <c r="K220" s="105"/>
    </row>
    <row r="221" spans="1:11" x14ac:dyDescent="0.25">
      <c r="A221" s="16"/>
      <c r="B221" s="16"/>
      <c r="C221" s="16"/>
      <c r="D221" s="17"/>
      <c r="E221" s="16"/>
      <c r="F221" s="20"/>
      <c r="G221" s="20"/>
      <c r="H221" s="18"/>
      <c r="I221" s="18"/>
      <c r="J221" s="18"/>
      <c r="K221" s="105"/>
    </row>
    <row r="222" spans="1:11" x14ac:dyDescent="0.25">
      <c r="A222" s="16"/>
      <c r="B222" s="16"/>
      <c r="C222" s="16"/>
      <c r="D222" s="17"/>
      <c r="E222" s="16"/>
      <c r="F222" s="20"/>
      <c r="G222" s="20"/>
      <c r="H222" s="18"/>
      <c r="I222" s="18"/>
      <c r="J222" s="18"/>
      <c r="K222" s="105"/>
    </row>
    <row r="223" spans="1:11" x14ac:dyDescent="0.25">
      <c r="A223" s="16"/>
      <c r="B223" s="16"/>
      <c r="C223" s="16"/>
      <c r="D223" s="17"/>
      <c r="E223" s="16"/>
      <c r="F223" s="20"/>
      <c r="G223" s="20"/>
      <c r="H223" s="18"/>
      <c r="I223" s="18"/>
      <c r="J223" s="18"/>
      <c r="K223" s="105"/>
    </row>
    <row r="224" spans="1:11" x14ac:dyDescent="0.25">
      <c r="A224" s="16"/>
      <c r="B224" s="16"/>
      <c r="C224" s="16"/>
      <c r="D224" s="17"/>
      <c r="E224" s="16"/>
      <c r="F224" s="20"/>
      <c r="G224" s="20"/>
      <c r="H224" s="18"/>
      <c r="I224" s="18"/>
      <c r="J224" s="18"/>
      <c r="K224" s="105"/>
    </row>
    <row r="225" spans="1:11" x14ac:dyDescent="0.25">
      <c r="A225" s="16"/>
      <c r="B225" s="16"/>
      <c r="C225" s="16"/>
      <c r="D225" s="17"/>
      <c r="E225" s="16"/>
      <c r="F225" s="20"/>
      <c r="G225" s="20"/>
      <c r="H225" s="18"/>
      <c r="I225" s="18"/>
      <c r="J225" s="18"/>
      <c r="K225" s="105"/>
    </row>
    <row r="226" spans="1:11" x14ac:dyDescent="0.25">
      <c r="A226" s="16"/>
      <c r="B226" s="16"/>
      <c r="C226" s="16"/>
      <c r="D226" s="17"/>
      <c r="E226" s="16"/>
      <c r="F226" s="20"/>
      <c r="G226" s="20"/>
      <c r="H226" s="18"/>
      <c r="I226" s="18"/>
      <c r="J226" s="18"/>
      <c r="K226" s="105"/>
    </row>
    <row r="227" spans="1:11" x14ac:dyDescent="0.25">
      <c r="A227" s="16"/>
      <c r="B227" s="16"/>
      <c r="C227" s="16"/>
      <c r="D227" s="17"/>
      <c r="E227" s="16"/>
      <c r="F227" s="20"/>
      <c r="G227" s="20"/>
      <c r="H227" s="18"/>
      <c r="I227" s="18"/>
      <c r="J227" s="18"/>
      <c r="K227" s="105"/>
    </row>
    <row r="228" spans="1:11" x14ac:dyDescent="0.25">
      <c r="A228" s="16"/>
      <c r="B228" s="16"/>
      <c r="C228" s="16"/>
      <c r="D228" s="17"/>
      <c r="E228" s="16"/>
      <c r="F228" s="20"/>
      <c r="G228" s="20"/>
      <c r="H228" s="18"/>
      <c r="I228" s="18"/>
      <c r="J228" s="18"/>
      <c r="K228" s="105"/>
    </row>
    <row r="229" spans="1:11" x14ac:dyDescent="0.25">
      <c r="A229" s="16"/>
      <c r="B229" s="16"/>
      <c r="C229" s="16"/>
      <c r="D229" s="17"/>
      <c r="E229" s="16"/>
      <c r="F229" s="20"/>
      <c r="G229" s="20"/>
      <c r="H229" s="18"/>
      <c r="I229" s="18"/>
      <c r="J229" s="18"/>
      <c r="K229" s="105"/>
    </row>
    <row r="230" spans="1:11" x14ac:dyDescent="0.25">
      <c r="A230" s="16"/>
      <c r="B230" s="16"/>
      <c r="C230" s="16"/>
      <c r="D230" s="17"/>
      <c r="E230" s="16"/>
      <c r="F230" s="20"/>
      <c r="G230" s="20"/>
      <c r="H230" s="18"/>
      <c r="I230" s="18"/>
      <c r="J230" s="18"/>
      <c r="K230" s="105"/>
    </row>
    <row r="231" spans="1:11" x14ac:dyDescent="0.25">
      <c r="A231" s="16"/>
      <c r="B231" s="16"/>
      <c r="C231" s="16"/>
      <c r="D231" s="17"/>
      <c r="E231" s="16"/>
      <c r="F231" s="20"/>
      <c r="G231" s="20"/>
      <c r="H231" s="18"/>
      <c r="I231" s="18"/>
      <c r="J231" s="18"/>
      <c r="K231" s="105"/>
    </row>
    <row r="232" spans="1:11" x14ac:dyDescent="0.25">
      <c r="A232" s="16"/>
      <c r="B232" s="16"/>
      <c r="C232" s="16"/>
      <c r="D232" s="17"/>
      <c r="E232" s="16"/>
      <c r="F232" s="20"/>
      <c r="G232" s="20"/>
      <c r="H232" s="18"/>
      <c r="I232" s="18"/>
      <c r="J232" s="18"/>
      <c r="K232" s="105"/>
    </row>
    <row r="233" spans="1:11" x14ac:dyDescent="0.25">
      <c r="A233" s="16"/>
      <c r="B233" s="16"/>
      <c r="C233" s="16"/>
      <c r="D233" s="17"/>
      <c r="E233" s="16"/>
      <c r="F233" s="20"/>
      <c r="G233" s="20"/>
      <c r="H233" s="18"/>
      <c r="I233" s="18"/>
      <c r="J233" s="18"/>
      <c r="K233" s="105"/>
    </row>
    <row r="234" spans="1:11" x14ac:dyDescent="0.25">
      <c r="A234" s="16"/>
      <c r="B234" s="16"/>
      <c r="C234" s="16"/>
      <c r="D234" s="17"/>
      <c r="E234" s="16"/>
      <c r="F234" s="20"/>
      <c r="G234" s="20"/>
      <c r="H234" s="18"/>
      <c r="I234" s="18"/>
      <c r="J234" s="18"/>
      <c r="K234" s="105"/>
    </row>
    <row r="235" spans="1:11" x14ac:dyDescent="0.25">
      <c r="A235" s="16"/>
      <c r="B235" s="16"/>
      <c r="C235" s="16"/>
      <c r="D235" s="17"/>
      <c r="E235" s="16"/>
      <c r="F235" s="20"/>
      <c r="G235" s="20"/>
      <c r="H235" s="18"/>
      <c r="I235" s="18"/>
      <c r="J235" s="18"/>
      <c r="K235" s="105"/>
    </row>
    <row r="236" spans="1:11" x14ac:dyDescent="0.25">
      <c r="A236" s="16"/>
      <c r="B236" s="16"/>
      <c r="C236" s="16"/>
      <c r="D236" s="17"/>
      <c r="E236" s="16"/>
      <c r="F236" s="20"/>
      <c r="G236" s="20"/>
      <c r="H236" s="18"/>
      <c r="I236" s="18"/>
      <c r="J236" s="18"/>
      <c r="K236" s="105"/>
    </row>
    <row r="237" spans="1:11" x14ac:dyDescent="0.25">
      <c r="A237" s="16"/>
      <c r="B237" s="16"/>
      <c r="C237" s="16"/>
      <c r="D237" s="17"/>
      <c r="E237" s="16"/>
      <c r="F237" s="20"/>
      <c r="G237" s="20"/>
      <c r="H237" s="18"/>
      <c r="I237" s="18"/>
      <c r="J237" s="18"/>
      <c r="K237" s="105"/>
    </row>
    <row r="238" spans="1:11" x14ac:dyDescent="0.25">
      <c r="A238" s="16"/>
      <c r="B238" s="16"/>
      <c r="C238" s="16"/>
      <c r="D238" s="17"/>
      <c r="E238" s="16"/>
      <c r="F238" s="20"/>
      <c r="G238" s="20"/>
      <c r="H238" s="18"/>
      <c r="I238" s="18"/>
      <c r="J238" s="18"/>
      <c r="K238" s="105"/>
    </row>
    <row r="239" spans="1:11" x14ac:dyDescent="0.25">
      <c r="A239" s="16"/>
      <c r="B239" s="16"/>
      <c r="C239" s="16"/>
      <c r="D239" s="17"/>
      <c r="E239" s="16"/>
      <c r="F239" s="20"/>
      <c r="G239" s="20"/>
      <c r="H239" s="18"/>
      <c r="I239" s="18"/>
      <c r="J239" s="18"/>
      <c r="K239" s="105"/>
    </row>
    <row r="240" spans="1:11" x14ac:dyDescent="0.25">
      <c r="A240" s="16"/>
      <c r="B240" s="16"/>
      <c r="C240" s="16"/>
      <c r="D240" s="17"/>
      <c r="E240" s="16"/>
      <c r="F240" s="20"/>
      <c r="G240" s="20"/>
      <c r="H240" s="18"/>
      <c r="I240" s="18"/>
      <c r="J240" s="18"/>
      <c r="K240" s="105"/>
    </row>
    <row r="241" spans="1:11" x14ac:dyDescent="0.25">
      <c r="A241" s="16"/>
      <c r="B241" s="16"/>
      <c r="C241" s="16"/>
      <c r="D241" s="17"/>
      <c r="E241" s="16"/>
      <c r="F241" s="20"/>
      <c r="G241" s="20"/>
      <c r="H241" s="18"/>
      <c r="I241" s="18"/>
      <c r="J241" s="18"/>
      <c r="K241" s="105"/>
    </row>
    <row r="242" spans="1:11" x14ac:dyDescent="0.25">
      <c r="A242" s="16"/>
      <c r="B242" s="16"/>
      <c r="C242" s="16"/>
      <c r="D242" s="17"/>
      <c r="E242" s="16"/>
      <c r="F242" s="20"/>
      <c r="G242" s="20"/>
      <c r="H242" s="18"/>
      <c r="I242" s="18"/>
      <c r="J242" s="18"/>
      <c r="K242" s="105"/>
    </row>
    <row r="243" spans="1:11" x14ac:dyDescent="0.25">
      <c r="A243" s="16"/>
      <c r="B243" s="16"/>
      <c r="C243" s="16"/>
      <c r="D243" s="17"/>
      <c r="E243" s="16"/>
      <c r="F243" s="20"/>
      <c r="G243" s="20"/>
      <c r="H243" s="18"/>
      <c r="I243" s="18"/>
      <c r="J243" s="18"/>
      <c r="K243" s="105"/>
    </row>
    <row r="244" spans="1:11" x14ac:dyDescent="0.25">
      <c r="A244" s="16"/>
      <c r="B244" s="16"/>
      <c r="C244" s="16"/>
      <c r="D244" s="17"/>
      <c r="E244" s="16"/>
      <c r="F244" s="20"/>
      <c r="G244" s="20"/>
      <c r="H244" s="18"/>
      <c r="I244" s="18"/>
      <c r="J244" s="18"/>
      <c r="K244" s="105"/>
    </row>
    <row r="245" spans="1:11" x14ac:dyDescent="0.25">
      <c r="A245" s="16"/>
      <c r="B245" s="16"/>
      <c r="C245" s="16"/>
      <c r="D245" s="17"/>
      <c r="E245" s="16"/>
      <c r="F245" s="20"/>
      <c r="G245" s="20"/>
      <c r="H245" s="18"/>
      <c r="I245" s="18"/>
      <c r="J245" s="18"/>
      <c r="K245" s="105"/>
    </row>
    <row r="246" spans="1:11" x14ac:dyDescent="0.25">
      <c r="A246" s="16"/>
      <c r="B246" s="16"/>
      <c r="C246" s="16"/>
      <c r="D246" s="17"/>
      <c r="E246" s="16"/>
      <c r="F246" s="20"/>
      <c r="G246" s="20"/>
      <c r="H246" s="18"/>
      <c r="I246" s="18"/>
      <c r="J246" s="18"/>
      <c r="K246" s="105"/>
    </row>
    <row r="247" spans="1:11" x14ac:dyDescent="0.25">
      <c r="A247" s="16"/>
      <c r="B247" s="16"/>
      <c r="C247" s="16"/>
      <c r="D247" s="17"/>
      <c r="E247" s="16"/>
      <c r="F247" s="20"/>
      <c r="G247" s="20"/>
      <c r="H247" s="18"/>
      <c r="I247" s="18"/>
      <c r="J247" s="18"/>
      <c r="K247" s="105"/>
    </row>
    <row r="248" spans="1:11" x14ac:dyDescent="0.25">
      <c r="A248" s="16"/>
      <c r="B248" s="16"/>
      <c r="C248" s="16"/>
      <c r="D248" s="17"/>
      <c r="E248" s="16"/>
      <c r="F248" s="20"/>
      <c r="G248" s="20"/>
      <c r="H248" s="18"/>
      <c r="I248" s="18"/>
      <c r="J248" s="18"/>
      <c r="K248" s="105"/>
    </row>
    <row r="249" spans="1:11" x14ac:dyDescent="0.25">
      <c r="A249" s="16"/>
      <c r="B249" s="16"/>
      <c r="C249" s="16"/>
      <c r="D249" s="17"/>
      <c r="E249" s="16"/>
      <c r="F249" s="20"/>
      <c r="G249" s="20"/>
      <c r="H249" s="18"/>
      <c r="I249" s="18"/>
      <c r="J249" s="18"/>
      <c r="K249" s="105"/>
    </row>
    <row r="250" spans="1:11" x14ac:dyDescent="0.25">
      <c r="A250" s="16"/>
      <c r="B250" s="16"/>
      <c r="C250" s="16"/>
      <c r="D250" s="17"/>
      <c r="E250" s="16"/>
      <c r="F250" s="20"/>
      <c r="G250" s="20"/>
      <c r="H250" s="18"/>
      <c r="I250" s="18"/>
      <c r="J250" s="18"/>
      <c r="K250" s="105"/>
    </row>
    <row r="251" spans="1:11" x14ac:dyDescent="0.25">
      <c r="A251" s="16"/>
      <c r="B251" s="16"/>
      <c r="C251" s="16"/>
      <c r="D251" s="17"/>
      <c r="E251" s="16"/>
      <c r="F251" s="20"/>
      <c r="G251" s="20"/>
      <c r="H251" s="18"/>
      <c r="I251" s="18"/>
      <c r="J251" s="18"/>
      <c r="K251" s="105"/>
    </row>
    <row r="252" spans="1:11" x14ac:dyDescent="0.25">
      <c r="A252" s="16"/>
      <c r="B252" s="16"/>
      <c r="C252" s="16"/>
      <c r="D252" s="17"/>
      <c r="E252" s="16"/>
      <c r="F252" s="20"/>
      <c r="G252" s="20"/>
      <c r="H252" s="18"/>
      <c r="I252" s="18"/>
      <c r="J252" s="18"/>
      <c r="K252" s="105"/>
    </row>
    <row r="253" spans="1:11" x14ac:dyDescent="0.25">
      <c r="A253" s="16"/>
      <c r="B253" s="16"/>
      <c r="C253" s="16"/>
      <c r="D253" s="17"/>
      <c r="E253" s="16"/>
      <c r="F253" s="20"/>
      <c r="G253" s="20"/>
      <c r="H253" s="18"/>
      <c r="I253" s="18"/>
      <c r="J253" s="18"/>
      <c r="K253" s="105"/>
    </row>
    <row r="254" spans="1:11" x14ac:dyDescent="0.25">
      <c r="A254" s="16"/>
      <c r="B254" s="16"/>
      <c r="C254" s="16"/>
      <c r="D254" s="17"/>
      <c r="E254" s="16"/>
      <c r="F254" s="20"/>
      <c r="G254" s="20"/>
      <c r="H254" s="18"/>
      <c r="I254" s="18"/>
      <c r="J254" s="18"/>
      <c r="K254" s="105"/>
    </row>
    <row r="255" spans="1:11" x14ac:dyDescent="0.25">
      <c r="A255" s="16"/>
      <c r="B255" s="16"/>
      <c r="C255" s="16"/>
      <c r="D255" s="17"/>
      <c r="E255" s="16"/>
      <c r="F255" s="20"/>
      <c r="G255" s="20"/>
      <c r="H255" s="18"/>
      <c r="I255" s="18"/>
      <c r="J255" s="18"/>
      <c r="K255" s="105"/>
    </row>
    <row r="256" spans="1:11" x14ac:dyDescent="0.25">
      <c r="A256" s="16"/>
      <c r="B256" s="16"/>
      <c r="C256" s="16"/>
      <c r="D256" s="17"/>
      <c r="E256" s="16"/>
      <c r="F256" s="20"/>
      <c r="G256" s="20"/>
      <c r="H256" s="18"/>
      <c r="I256" s="18"/>
      <c r="J256" s="18"/>
      <c r="K256" s="105"/>
    </row>
    <row r="257" spans="1:11" x14ac:dyDescent="0.25">
      <c r="A257" s="16"/>
      <c r="B257" s="16"/>
      <c r="C257" s="16"/>
      <c r="D257" s="17"/>
      <c r="E257" s="16"/>
      <c r="F257" s="20"/>
      <c r="G257" s="20"/>
      <c r="H257" s="18"/>
      <c r="I257" s="18"/>
      <c r="J257" s="18"/>
      <c r="K257" s="105"/>
    </row>
    <row r="258" spans="1:11" x14ac:dyDescent="0.25">
      <c r="A258" s="16"/>
      <c r="B258" s="16"/>
      <c r="C258" s="16"/>
      <c r="D258" s="17"/>
      <c r="E258" s="16"/>
      <c r="F258" s="20"/>
      <c r="G258" s="20"/>
      <c r="H258" s="18"/>
      <c r="I258" s="18"/>
      <c r="J258" s="18"/>
      <c r="K258" s="105"/>
    </row>
    <row r="259" spans="1:11" x14ac:dyDescent="0.25">
      <c r="A259" s="16"/>
      <c r="B259" s="16"/>
      <c r="C259" s="16"/>
      <c r="D259" s="17"/>
      <c r="E259" s="16"/>
      <c r="F259" s="20"/>
      <c r="G259" s="20"/>
      <c r="H259" s="18"/>
      <c r="I259" s="18"/>
      <c r="J259" s="18"/>
      <c r="K259" s="105"/>
    </row>
    <row r="260" spans="1:11" x14ac:dyDescent="0.25">
      <c r="A260" s="16"/>
      <c r="B260" s="16"/>
      <c r="C260" s="16"/>
      <c r="D260" s="17"/>
      <c r="E260" s="16"/>
      <c r="F260" s="20"/>
      <c r="G260" s="20"/>
      <c r="H260" s="18"/>
      <c r="I260" s="18"/>
      <c r="J260" s="18"/>
      <c r="K260" s="105"/>
    </row>
    <row r="261" spans="1:11" x14ac:dyDescent="0.25">
      <c r="A261" s="16"/>
      <c r="B261" s="16"/>
      <c r="C261" s="16"/>
      <c r="D261" s="17"/>
      <c r="E261" s="16"/>
      <c r="F261" s="20"/>
      <c r="G261" s="20"/>
      <c r="H261" s="18"/>
      <c r="I261" s="18"/>
      <c r="J261" s="18"/>
      <c r="K261" s="105"/>
    </row>
    <row r="262" spans="1:11" x14ac:dyDescent="0.25">
      <c r="A262" s="16"/>
      <c r="B262" s="16"/>
      <c r="C262" s="16"/>
      <c r="D262" s="17"/>
      <c r="E262" s="16"/>
      <c r="F262" s="20"/>
      <c r="G262" s="20"/>
      <c r="H262" s="18"/>
      <c r="I262" s="18"/>
      <c r="J262" s="18"/>
      <c r="K262" s="105"/>
    </row>
    <row r="263" spans="1:11" x14ac:dyDescent="0.25">
      <c r="A263" s="16"/>
      <c r="B263" s="16"/>
      <c r="C263" s="16"/>
      <c r="D263" s="17"/>
      <c r="E263" s="16"/>
      <c r="F263" s="20"/>
      <c r="G263" s="20"/>
      <c r="H263" s="18"/>
      <c r="I263" s="18"/>
      <c r="J263" s="18"/>
      <c r="K263" s="105"/>
    </row>
    <row r="264" spans="1:11" x14ac:dyDescent="0.25">
      <c r="A264" s="16"/>
      <c r="B264" s="16"/>
      <c r="C264" s="16"/>
      <c r="D264" s="17"/>
      <c r="E264" s="16"/>
      <c r="F264" s="20"/>
      <c r="G264" s="20"/>
      <c r="H264" s="18"/>
      <c r="I264" s="18"/>
      <c r="J264" s="18"/>
      <c r="K264" s="105"/>
    </row>
    <row r="265" spans="1:11" x14ac:dyDescent="0.25">
      <c r="A265" s="16"/>
      <c r="B265" s="16"/>
      <c r="C265" s="16"/>
      <c r="D265" s="17"/>
      <c r="E265" s="16"/>
      <c r="F265" s="20"/>
      <c r="G265" s="20"/>
      <c r="H265" s="18"/>
      <c r="I265" s="18"/>
      <c r="J265" s="18"/>
      <c r="K265" s="105"/>
    </row>
    <row r="266" spans="1:11" x14ac:dyDescent="0.25">
      <c r="A266" s="16"/>
      <c r="B266" s="16"/>
      <c r="C266" s="16"/>
      <c r="D266" s="17"/>
      <c r="E266" s="16"/>
      <c r="F266" s="20"/>
      <c r="G266" s="20"/>
      <c r="H266" s="18"/>
      <c r="I266" s="18"/>
      <c r="J266" s="18"/>
      <c r="K266" s="105"/>
    </row>
    <row r="267" spans="1:11" x14ac:dyDescent="0.25">
      <c r="A267" s="16"/>
      <c r="B267" s="16"/>
      <c r="C267" s="16"/>
      <c r="D267" s="17"/>
      <c r="E267" s="16"/>
      <c r="F267" s="20"/>
      <c r="G267" s="20"/>
      <c r="H267" s="18"/>
      <c r="I267" s="18"/>
      <c r="J267" s="18"/>
      <c r="K267" s="105"/>
    </row>
    <row r="268" spans="1:11" x14ac:dyDescent="0.25">
      <c r="A268" s="16"/>
      <c r="B268" s="16"/>
      <c r="C268" s="16"/>
      <c r="D268" s="17"/>
      <c r="E268" s="16"/>
      <c r="F268" s="20"/>
      <c r="G268" s="20"/>
      <c r="H268" s="18"/>
      <c r="I268" s="18"/>
      <c r="J268" s="18"/>
      <c r="K268" s="105"/>
    </row>
    <row r="269" spans="1:11" x14ac:dyDescent="0.25">
      <c r="A269" s="16"/>
      <c r="B269" s="16"/>
      <c r="C269" s="16"/>
      <c r="D269" s="17"/>
      <c r="E269" s="16"/>
      <c r="F269" s="20"/>
      <c r="G269" s="20"/>
      <c r="H269" s="18"/>
      <c r="I269" s="18"/>
      <c r="J269" s="18"/>
      <c r="K269" s="105"/>
    </row>
    <row r="270" spans="1:11" x14ac:dyDescent="0.25">
      <c r="A270" s="16"/>
      <c r="B270" s="16"/>
      <c r="C270" s="16"/>
      <c r="D270" s="17"/>
      <c r="E270" s="16"/>
      <c r="F270" s="20"/>
      <c r="G270" s="20"/>
      <c r="H270" s="18"/>
      <c r="I270" s="18"/>
      <c r="J270" s="18"/>
      <c r="K270" s="105"/>
    </row>
    <row r="271" spans="1:11" x14ac:dyDescent="0.25">
      <c r="A271" s="16"/>
      <c r="B271" s="16"/>
      <c r="C271" s="16"/>
      <c r="D271" s="17"/>
      <c r="E271" s="16"/>
      <c r="F271" s="20"/>
      <c r="G271" s="20"/>
      <c r="H271" s="18"/>
      <c r="I271" s="18"/>
      <c r="J271" s="18"/>
      <c r="K271" s="105"/>
    </row>
    <row r="272" spans="1:11" x14ac:dyDescent="0.25">
      <c r="A272" s="16"/>
      <c r="B272" s="16"/>
      <c r="C272" s="16"/>
      <c r="D272" s="17"/>
      <c r="E272" s="16"/>
      <c r="F272" s="20"/>
      <c r="G272" s="20"/>
      <c r="H272" s="18"/>
      <c r="I272" s="18"/>
      <c r="J272" s="18"/>
      <c r="K272" s="105"/>
    </row>
    <row r="273" spans="1:11" x14ac:dyDescent="0.25">
      <c r="A273" s="16"/>
      <c r="B273" s="16"/>
      <c r="C273" s="16"/>
      <c r="D273" s="17"/>
      <c r="E273" s="16"/>
      <c r="F273" s="20"/>
      <c r="G273" s="20"/>
      <c r="H273" s="18"/>
      <c r="I273" s="18"/>
      <c r="J273" s="18"/>
      <c r="K273" s="105"/>
    </row>
    <row r="274" spans="1:11" x14ac:dyDescent="0.25">
      <c r="A274" s="16"/>
      <c r="B274" s="16"/>
      <c r="C274" s="16"/>
      <c r="D274" s="17"/>
      <c r="E274" s="16"/>
      <c r="F274" s="20"/>
      <c r="G274" s="20"/>
      <c r="H274" s="18"/>
      <c r="I274" s="18"/>
      <c r="J274" s="18"/>
      <c r="K274" s="105"/>
    </row>
    <row r="275" spans="1:11" x14ac:dyDescent="0.25">
      <c r="A275" s="16"/>
      <c r="B275" s="16"/>
      <c r="C275" s="16"/>
      <c r="D275" s="17"/>
      <c r="E275" s="16"/>
      <c r="F275" s="20"/>
      <c r="G275" s="20"/>
      <c r="H275" s="18"/>
      <c r="I275" s="18"/>
      <c r="J275" s="18"/>
      <c r="K275" s="105"/>
    </row>
    <row r="276" spans="1:11" x14ac:dyDescent="0.25">
      <c r="A276" s="16"/>
      <c r="B276" s="16"/>
      <c r="C276" s="16"/>
      <c r="D276" s="17"/>
      <c r="E276" s="16"/>
      <c r="F276" s="20"/>
      <c r="G276" s="20"/>
      <c r="H276" s="18"/>
      <c r="I276" s="18"/>
      <c r="J276" s="18"/>
      <c r="K276" s="105"/>
    </row>
    <row r="277" spans="1:11" x14ac:dyDescent="0.25">
      <c r="A277" s="16"/>
      <c r="B277" s="16"/>
      <c r="C277" s="16"/>
      <c r="D277" s="17"/>
      <c r="E277" s="16"/>
      <c r="F277" s="20"/>
      <c r="G277" s="20"/>
      <c r="H277" s="18"/>
      <c r="I277" s="18"/>
      <c r="J277" s="18"/>
      <c r="K277" s="105"/>
    </row>
    <row r="278" spans="1:11" x14ac:dyDescent="0.25">
      <c r="A278" s="16"/>
      <c r="B278" s="16"/>
      <c r="C278" s="16"/>
      <c r="D278" s="17"/>
      <c r="E278" s="16"/>
      <c r="F278" s="20"/>
      <c r="G278" s="20"/>
      <c r="H278" s="18"/>
      <c r="I278" s="18"/>
      <c r="J278" s="18"/>
      <c r="K278" s="105"/>
    </row>
    <row r="279" spans="1:11" x14ac:dyDescent="0.25">
      <c r="A279" s="16"/>
      <c r="B279" s="16"/>
      <c r="C279" s="16"/>
      <c r="D279" s="17"/>
      <c r="E279" s="16"/>
      <c r="F279" s="20"/>
      <c r="G279" s="20"/>
      <c r="H279" s="18"/>
      <c r="I279" s="18"/>
      <c r="J279" s="18"/>
      <c r="K279" s="105"/>
    </row>
    <row r="280" spans="1:11" x14ac:dyDescent="0.25">
      <c r="A280" s="16"/>
      <c r="B280" s="16"/>
      <c r="C280" s="16"/>
      <c r="D280" s="17"/>
      <c r="E280" s="16"/>
      <c r="F280" s="20"/>
      <c r="G280" s="20"/>
      <c r="H280" s="18"/>
      <c r="I280" s="18"/>
      <c r="J280" s="18"/>
      <c r="K280" s="105"/>
    </row>
    <row r="281" spans="1:11" x14ac:dyDescent="0.25">
      <c r="A281" s="16"/>
      <c r="B281" s="16"/>
      <c r="C281" s="16"/>
      <c r="D281" s="17"/>
      <c r="E281" s="16"/>
      <c r="F281" s="20"/>
      <c r="G281" s="20"/>
      <c r="H281" s="18"/>
      <c r="I281" s="18"/>
      <c r="J281" s="18"/>
      <c r="K281" s="105"/>
    </row>
    <row r="282" spans="1:11" x14ac:dyDescent="0.25">
      <c r="A282" s="16"/>
      <c r="B282" s="16"/>
      <c r="C282" s="16"/>
      <c r="D282" s="17"/>
      <c r="E282" s="16"/>
      <c r="F282" s="20"/>
      <c r="G282" s="20"/>
      <c r="H282" s="18"/>
      <c r="I282" s="18"/>
      <c r="J282" s="18"/>
      <c r="K282" s="105"/>
    </row>
    <row r="283" spans="1:11" x14ac:dyDescent="0.25">
      <c r="A283" s="16"/>
      <c r="B283" s="16"/>
      <c r="C283" s="16"/>
      <c r="D283" s="17"/>
      <c r="E283" s="16"/>
      <c r="F283" s="20"/>
      <c r="G283" s="20"/>
      <c r="H283" s="18"/>
      <c r="I283" s="18"/>
      <c r="J283" s="18"/>
      <c r="K283" s="105"/>
    </row>
    <row r="284" spans="1:11" x14ac:dyDescent="0.25">
      <c r="A284" s="16"/>
      <c r="B284" s="16"/>
      <c r="C284" s="16"/>
      <c r="D284" s="17"/>
      <c r="E284" s="16"/>
      <c r="F284" s="20"/>
      <c r="G284" s="20"/>
      <c r="H284" s="18"/>
      <c r="I284" s="18"/>
      <c r="J284" s="18"/>
      <c r="K284" s="105"/>
    </row>
    <row r="285" spans="1:11" x14ac:dyDescent="0.25">
      <c r="A285" s="16"/>
      <c r="B285" s="16"/>
      <c r="C285" s="16"/>
      <c r="D285" s="17"/>
      <c r="E285" s="16"/>
      <c r="F285" s="20"/>
      <c r="G285" s="20"/>
      <c r="H285" s="18"/>
      <c r="I285" s="18"/>
      <c r="J285" s="18"/>
      <c r="K285" s="105"/>
    </row>
    <row r="286" spans="1:11" x14ac:dyDescent="0.25">
      <c r="A286" s="16"/>
      <c r="B286" s="16"/>
      <c r="C286" s="16"/>
      <c r="D286" s="17"/>
      <c r="E286" s="16"/>
      <c r="F286" s="20"/>
      <c r="G286" s="20"/>
      <c r="H286" s="18"/>
      <c r="I286" s="18"/>
      <c r="J286" s="18"/>
      <c r="K286" s="105"/>
    </row>
    <row r="287" spans="1:11" x14ac:dyDescent="0.25">
      <c r="A287" s="16"/>
      <c r="B287" s="16"/>
      <c r="C287" s="16"/>
      <c r="D287" s="17"/>
      <c r="E287" s="16"/>
      <c r="F287" s="20"/>
      <c r="G287" s="20"/>
      <c r="H287" s="18"/>
      <c r="I287" s="18"/>
      <c r="J287" s="18"/>
      <c r="K287" s="105"/>
    </row>
    <row r="288" spans="1:11" x14ac:dyDescent="0.25">
      <c r="A288" s="16"/>
      <c r="B288" s="16"/>
      <c r="C288" s="16"/>
      <c r="D288" s="17"/>
      <c r="E288" s="16"/>
      <c r="F288" s="20"/>
      <c r="G288" s="20"/>
      <c r="H288" s="18"/>
      <c r="I288" s="18"/>
      <c r="J288" s="18"/>
      <c r="K288" s="105"/>
    </row>
    <row r="289" spans="1:11" x14ac:dyDescent="0.25">
      <c r="A289" s="16"/>
      <c r="B289" s="16"/>
      <c r="C289" s="16"/>
      <c r="D289" s="17"/>
      <c r="E289" s="16"/>
      <c r="F289" s="20"/>
      <c r="G289" s="20"/>
      <c r="H289" s="18"/>
      <c r="I289" s="18"/>
      <c r="J289" s="18"/>
      <c r="K289" s="105"/>
    </row>
    <row r="290" spans="1:11" x14ac:dyDescent="0.25">
      <c r="A290" s="16"/>
      <c r="B290" s="16"/>
      <c r="C290" s="16"/>
      <c r="D290" s="17"/>
      <c r="E290" s="16"/>
      <c r="F290" s="20"/>
      <c r="G290" s="20"/>
      <c r="H290" s="18"/>
      <c r="I290" s="18"/>
      <c r="J290" s="18"/>
      <c r="K290" s="105"/>
    </row>
    <row r="291" spans="1:11" x14ac:dyDescent="0.25">
      <c r="A291" s="16"/>
      <c r="B291" s="16"/>
      <c r="C291" s="16"/>
      <c r="D291" s="17"/>
      <c r="E291" s="16"/>
      <c r="F291" s="20"/>
      <c r="G291" s="20"/>
      <c r="H291" s="18"/>
      <c r="I291" s="18"/>
      <c r="J291" s="18"/>
      <c r="K291" s="105"/>
    </row>
    <row r="292" spans="1:11" x14ac:dyDescent="0.25">
      <c r="A292" s="16"/>
      <c r="B292" s="16"/>
      <c r="C292" s="16"/>
      <c r="D292" s="17"/>
      <c r="E292" s="16"/>
      <c r="F292" s="20"/>
      <c r="G292" s="20"/>
      <c r="H292" s="18"/>
      <c r="I292" s="18"/>
      <c r="J292" s="18"/>
      <c r="K292" s="105"/>
    </row>
    <row r="293" spans="1:11" x14ac:dyDescent="0.25">
      <c r="A293" s="16"/>
      <c r="B293" s="16"/>
      <c r="C293" s="16"/>
      <c r="D293" s="17"/>
      <c r="E293" s="16"/>
      <c r="F293" s="20"/>
      <c r="G293" s="20"/>
      <c r="H293" s="18"/>
      <c r="I293" s="18"/>
      <c r="J293" s="18"/>
      <c r="K293" s="105"/>
    </row>
    <row r="294" spans="1:11" x14ac:dyDescent="0.25">
      <c r="A294" s="16"/>
      <c r="B294" s="16"/>
      <c r="C294" s="16"/>
      <c r="D294" s="17"/>
      <c r="E294" s="16"/>
      <c r="F294" s="20"/>
      <c r="G294" s="20"/>
      <c r="H294" s="18"/>
      <c r="I294" s="18"/>
      <c r="J294" s="18"/>
      <c r="K294" s="105"/>
    </row>
    <row r="295" spans="1:11" x14ac:dyDescent="0.25">
      <c r="A295" s="16"/>
      <c r="B295" s="16"/>
      <c r="C295" s="16"/>
      <c r="D295" s="17"/>
      <c r="E295" s="16"/>
      <c r="F295" s="20"/>
      <c r="G295" s="20"/>
      <c r="H295" s="18"/>
      <c r="I295" s="18"/>
      <c r="J295" s="18"/>
      <c r="K295" s="105"/>
    </row>
    <row r="296" spans="1:11" x14ac:dyDescent="0.25">
      <c r="A296" s="16"/>
      <c r="B296" s="16"/>
      <c r="C296" s="16"/>
      <c r="D296" s="17"/>
      <c r="E296" s="16"/>
      <c r="F296" s="20"/>
      <c r="G296" s="20"/>
      <c r="H296" s="18"/>
      <c r="I296" s="18"/>
      <c r="J296" s="18"/>
      <c r="K296" s="105"/>
    </row>
    <row r="297" spans="1:11" x14ac:dyDescent="0.25">
      <c r="A297" s="16"/>
      <c r="B297" s="16"/>
      <c r="C297" s="16"/>
      <c r="D297" s="17"/>
      <c r="E297" s="16"/>
      <c r="F297" s="20"/>
      <c r="G297" s="20"/>
      <c r="H297" s="18"/>
      <c r="I297" s="18"/>
      <c r="J297" s="18"/>
      <c r="K297" s="105"/>
    </row>
    <row r="298" spans="1:11" x14ac:dyDescent="0.25">
      <c r="A298" s="16"/>
      <c r="B298" s="16"/>
      <c r="C298" s="16"/>
      <c r="D298" s="17"/>
      <c r="E298" s="16"/>
      <c r="F298" s="20"/>
      <c r="G298" s="20"/>
      <c r="H298" s="18"/>
      <c r="I298" s="18"/>
      <c r="J298" s="18"/>
      <c r="K298" s="105"/>
    </row>
    <row r="299" spans="1:11" x14ac:dyDescent="0.25">
      <c r="A299" s="16"/>
      <c r="B299" s="16"/>
      <c r="C299" s="16"/>
      <c r="D299" s="17"/>
      <c r="E299" s="16"/>
      <c r="F299" s="20"/>
      <c r="G299" s="20"/>
      <c r="H299" s="18"/>
      <c r="I299" s="18"/>
      <c r="J299" s="18"/>
      <c r="K299" s="105"/>
    </row>
    <row r="300" spans="1:11" x14ac:dyDescent="0.25">
      <c r="A300" s="16"/>
      <c r="B300" s="16"/>
      <c r="C300" s="16"/>
      <c r="D300" s="17"/>
      <c r="E300" s="16"/>
      <c r="F300" s="20"/>
      <c r="G300" s="20"/>
      <c r="H300" s="18"/>
      <c r="I300" s="18"/>
      <c r="J300" s="18"/>
      <c r="K300" s="105"/>
    </row>
    <row r="301" spans="1:11" x14ac:dyDescent="0.25">
      <c r="A301" s="16"/>
      <c r="B301" s="16"/>
      <c r="C301" s="16"/>
      <c r="D301" s="17"/>
      <c r="E301" s="16"/>
      <c r="F301" s="20"/>
      <c r="G301" s="20"/>
      <c r="H301" s="18"/>
      <c r="I301" s="18"/>
      <c r="J301" s="18"/>
      <c r="K301" s="105"/>
    </row>
    <row r="302" spans="1:11" x14ac:dyDescent="0.25">
      <c r="A302" s="16"/>
      <c r="B302" s="16"/>
      <c r="C302" s="16"/>
      <c r="D302" s="17"/>
      <c r="E302" s="16"/>
      <c r="F302" s="20"/>
      <c r="G302" s="20"/>
      <c r="H302" s="18"/>
      <c r="I302" s="18"/>
      <c r="J302" s="18"/>
      <c r="K302" s="105"/>
    </row>
    <row r="303" spans="1:11" x14ac:dyDescent="0.25">
      <c r="A303" s="16"/>
      <c r="B303" s="16"/>
      <c r="C303" s="16"/>
      <c r="D303" s="17"/>
      <c r="E303" s="16"/>
      <c r="F303" s="20"/>
      <c r="G303" s="20"/>
      <c r="H303" s="18"/>
      <c r="I303" s="18"/>
      <c r="J303" s="18"/>
      <c r="K303" s="105"/>
    </row>
    <row r="304" spans="1:11" x14ac:dyDescent="0.25">
      <c r="A304" s="16"/>
      <c r="B304" s="16"/>
      <c r="C304" s="16"/>
      <c r="D304" s="17"/>
      <c r="E304" s="16"/>
      <c r="F304" s="20"/>
      <c r="G304" s="20"/>
      <c r="H304" s="18"/>
      <c r="I304" s="18"/>
      <c r="J304" s="18"/>
      <c r="K304" s="105"/>
    </row>
    <row r="305" spans="1:11" x14ac:dyDescent="0.25">
      <c r="A305" s="16"/>
      <c r="B305" s="16"/>
      <c r="C305" s="16"/>
      <c r="D305" s="17"/>
      <c r="E305" s="16"/>
      <c r="F305" s="20"/>
      <c r="G305" s="20"/>
      <c r="H305" s="18"/>
      <c r="I305" s="18"/>
      <c r="J305" s="18"/>
      <c r="K305" s="105"/>
    </row>
    <row r="306" spans="1:11" x14ac:dyDescent="0.25">
      <c r="A306" s="16"/>
      <c r="B306" s="16"/>
      <c r="C306" s="16"/>
      <c r="D306" s="17"/>
      <c r="E306" s="16"/>
      <c r="F306" s="20"/>
      <c r="G306" s="20"/>
      <c r="H306" s="18"/>
      <c r="I306" s="18"/>
      <c r="J306" s="18"/>
      <c r="K306" s="105"/>
    </row>
    <row r="307" spans="1:11" x14ac:dyDescent="0.25">
      <c r="A307" s="16"/>
      <c r="B307" s="16"/>
      <c r="C307" s="16"/>
      <c r="D307" s="17"/>
      <c r="E307" s="16"/>
      <c r="F307" s="20"/>
      <c r="G307" s="20"/>
      <c r="H307" s="18"/>
      <c r="I307" s="18"/>
      <c r="J307" s="18"/>
      <c r="K307" s="105"/>
    </row>
    <row r="308" spans="1:11" x14ac:dyDescent="0.25">
      <c r="A308" s="16"/>
      <c r="B308" s="16"/>
      <c r="C308" s="16"/>
      <c r="D308" s="17"/>
      <c r="E308" s="16"/>
      <c r="F308" s="20"/>
      <c r="G308" s="20"/>
      <c r="H308" s="18"/>
      <c r="I308" s="18"/>
      <c r="J308" s="18"/>
      <c r="K308" s="105"/>
    </row>
    <row r="309" spans="1:11" x14ac:dyDescent="0.25">
      <c r="A309" s="16"/>
      <c r="B309" s="16"/>
      <c r="C309" s="16"/>
      <c r="D309" s="17"/>
      <c r="E309" s="16"/>
      <c r="F309" s="20"/>
      <c r="G309" s="20"/>
      <c r="H309" s="18"/>
      <c r="I309" s="18"/>
      <c r="J309" s="18"/>
      <c r="K309" s="105"/>
    </row>
    <row r="310" spans="1:11" x14ac:dyDescent="0.25">
      <c r="A310" s="16"/>
      <c r="B310" s="16"/>
      <c r="C310" s="16"/>
      <c r="D310" s="17"/>
      <c r="E310" s="16"/>
      <c r="F310" s="20"/>
      <c r="G310" s="20"/>
      <c r="H310" s="18"/>
      <c r="I310" s="18"/>
      <c r="J310" s="18"/>
      <c r="K310" s="105"/>
    </row>
    <row r="311" spans="1:11" x14ac:dyDescent="0.25">
      <c r="A311" s="16"/>
      <c r="B311" s="16"/>
      <c r="C311" s="16"/>
      <c r="D311" s="17"/>
      <c r="E311" s="16"/>
      <c r="F311" s="20"/>
      <c r="G311" s="20"/>
      <c r="H311" s="18"/>
      <c r="I311" s="18"/>
      <c r="J311" s="18"/>
      <c r="K311" s="105"/>
    </row>
    <row r="312" spans="1:11" x14ac:dyDescent="0.25">
      <c r="A312" s="16"/>
      <c r="B312" s="16"/>
      <c r="C312" s="16"/>
      <c r="D312" s="17"/>
      <c r="E312" s="16"/>
      <c r="F312" s="20"/>
      <c r="G312" s="20"/>
      <c r="H312" s="18"/>
      <c r="I312" s="18"/>
      <c r="J312" s="18"/>
      <c r="K312" s="105"/>
    </row>
    <row r="313" spans="1:11" x14ac:dyDescent="0.25">
      <c r="A313" s="16"/>
      <c r="B313" s="16"/>
      <c r="C313" s="16"/>
      <c r="D313" s="17"/>
      <c r="E313" s="16"/>
      <c r="F313" s="20"/>
      <c r="G313" s="20"/>
      <c r="H313" s="18"/>
      <c r="I313" s="18"/>
      <c r="J313" s="18"/>
      <c r="K313" s="105"/>
    </row>
    <row r="314" spans="1:11" x14ac:dyDescent="0.25">
      <c r="A314" s="16"/>
      <c r="B314" s="16"/>
      <c r="C314" s="16"/>
      <c r="D314" s="17"/>
      <c r="E314" s="16"/>
      <c r="F314" s="20"/>
      <c r="G314" s="20"/>
      <c r="H314" s="18"/>
      <c r="I314" s="18"/>
      <c r="J314" s="18"/>
      <c r="K314" s="105"/>
    </row>
    <row r="315" spans="1:11" x14ac:dyDescent="0.25">
      <c r="A315" s="16"/>
      <c r="B315" s="16"/>
      <c r="C315" s="16"/>
      <c r="D315" s="17"/>
      <c r="E315" s="16"/>
      <c r="F315" s="20"/>
      <c r="G315" s="20"/>
      <c r="H315" s="18"/>
      <c r="I315" s="18"/>
      <c r="J315" s="18"/>
      <c r="K315" s="105"/>
    </row>
    <row r="316" spans="1:11" x14ac:dyDescent="0.25">
      <c r="A316" s="16"/>
      <c r="B316" s="16"/>
      <c r="C316" s="16"/>
      <c r="D316" s="17"/>
      <c r="E316" s="16"/>
      <c r="F316" s="20"/>
      <c r="G316" s="20"/>
      <c r="H316" s="18"/>
      <c r="I316" s="18"/>
      <c r="J316" s="18"/>
      <c r="K316" s="105"/>
    </row>
    <row r="317" spans="1:11" x14ac:dyDescent="0.25">
      <c r="A317" s="16"/>
      <c r="B317" s="16"/>
      <c r="C317" s="16"/>
      <c r="D317" s="17"/>
      <c r="E317" s="16"/>
      <c r="F317" s="20"/>
      <c r="G317" s="20"/>
      <c r="H317" s="18"/>
      <c r="I317" s="18"/>
      <c r="J317" s="18"/>
      <c r="K317" s="105"/>
    </row>
    <row r="318" spans="1:11" x14ac:dyDescent="0.25">
      <c r="A318" s="16"/>
      <c r="B318" s="16"/>
      <c r="C318" s="16"/>
      <c r="D318" s="17"/>
      <c r="E318" s="16"/>
      <c r="F318" s="20"/>
      <c r="G318" s="20"/>
      <c r="H318" s="18"/>
      <c r="I318" s="18"/>
      <c r="J318" s="18"/>
      <c r="K318" s="105"/>
    </row>
    <row r="319" spans="1:11" x14ac:dyDescent="0.25">
      <c r="A319" s="16"/>
      <c r="B319" s="16"/>
      <c r="C319" s="16"/>
      <c r="D319" s="17"/>
      <c r="E319" s="16"/>
      <c r="F319" s="20"/>
      <c r="G319" s="20"/>
      <c r="H319" s="18"/>
      <c r="I319" s="18"/>
      <c r="J319" s="18"/>
      <c r="K319" s="105"/>
    </row>
    <row r="320" spans="1:11" x14ac:dyDescent="0.25">
      <c r="A320" s="16"/>
      <c r="B320" s="16"/>
      <c r="C320" s="16"/>
      <c r="D320" s="17"/>
      <c r="E320" s="16"/>
      <c r="F320" s="20"/>
      <c r="G320" s="20"/>
      <c r="H320" s="18"/>
      <c r="I320" s="18"/>
      <c r="J320" s="18"/>
      <c r="K320" s="105"/>
    </row>
    <row r="321" spans="1:11" x14ac:dyDescent="0.25">
      <c r="A321" s="16"/>
      <c r="B321" s="16"/>
      <c r="C321" s="16"/>
      <c r="D321" s="17"/>
      <c r="E321" s="16"/>
      <c r="F321" s="20"/>
      <c r="G321" s="20"/>
      <c r="H321" s="18"/>
      <c r="I321" s="18"/>
      <c r="J321" s="18"/>
      <c r="K321" s="105"/>
    </row>
    <row r="322" spans="1:11" x14ac:dyDescent="0.25">
      <c r="A322" s="16"/>
      <c r="B322" s="16"/>
      <c r="C322" s="16"/>
      <c r="D322" s="17"/>
      <c r="E322" s="16"/>
      <c r="F322" s="20"/>
      <c r="G322" s="20"/>
      <c r="H322" s="18"/>
      <c r="I322" s="18"/>
      <c r="J322" s="18"/>
      <c r="K322" s="105"/>
    </row>
    <row r="323" spans="1:11" x14ac:dyDescent="0.25">
      <c r="A323" s="16"/>
      <c r="B323" s="16"/>
      <c r="C323" s="16"/>
      <c r="D323" s="17"/>
      <c r="E323" s="16"/>
      <c r="F323" s="20"/>
      <c r="G323" s="20"/>
      <c r="H323" s="18"/>
      <c r="I323" s="18"/>
      <c r="J323" s="18"/>
      <c r="K323" s="105"/>
    </row>
    <row r="324" spans="1:11" x14ac:dyDescent="0.25">
      <c r="A324" s="16"/>
      <c r="B324" s="16"/>
      <c r="C324" s="16"/>
      <c r="D324" s="17"/>
      <c r="E324" s="16"/>
      <c r="F324" s="20"/>
      <c r="G324" s="20"/>
      <c r="H324" s="18"/>
      <c r="I324" s="18"/>
      <c r="J324" s="18"/>
      <c r="K324" s="105"/>
    </row>
    <row r="325" spans="1:11" x14ac:dyDescent="0.25">
      <c r="A325" s="16"/>
      <c r="B325" s="16"/>
      <c r="C325" s="16"/>
      <c r="D325" s="17"/>
      <c r="E325" s="16"/>
      <c r="F325" s="20"/>
      <c r="G325" s="20"/>
      <c r="H325" s="18"/>
      <c r="I325" s="18"/>
      <c r="J325" s="18"/>
      <c r="K325" s="105"/>
    </row>
    <row r="326" spans="1:11" x14ac:dyDescent="0.25">
      <c r="A326" s="16"/>
      <c r="B326" s="16"/>
      <c r="C326" s="16"/>
      <c r="D326" s="17"/>
      <c r="E326" s="16"/>
      <c r="F326" s="20"/>
      <c r="G326" s="20"/>
      <c r="H326" s="18"/>
      <c r="I326" s="18"/>
      <c r="J326" s="18"/>
      <c r="K326" s="105"/>
    </row>
    <row r="327" spans="1:11" x14ac:dyDescent="0.25">
      <c r="A327" s="16"/>
      <c r="B327" s="16"/>
      <c r="C327" s="16"/>
      <c r="D327" s="17"/>
      <c r="E327" s="16"/>
      <c r="F327" s="20"/>
      <c r="G327" s="20"/>
      <c r="H327" s="18"/>
      <c r="I327" s="18"/>
      <c r="J327" s="18"/>
      <c r="K327" s="105"/>
    </row>
    <row r="328" spans="1:11" x14ac:dyDescent="0.25">
      <c r="A328" s="16"/>
      <c r="B328" s="16"/>
      <c r="C328" s="16"/>
      <c r="D328" s="17"/>
      <c r="E328" s="16"/>
      <c r="F328" s="20"/>
      <c r="G328" s="20"/>
      <c r="H328" s="18"/>
      <c r="I328" s="18"/>
      <c r="J328" s="18"/>
      <c r="K328" s="105"/>
    </row>
    <row r="329" spans="1:11" x14ac:dyDescent="0.25">
      <c r="A329" s="16"/>
      <c r="B329" s="16"/>
      <c r="C329" s="16"/>
      <c r="D329" s="17"/>
      <c r="E329" s="16"/>
      <c r="F329" s="20"/>
      <c r="G329" s="20"/>
      <c r="H329" s="18"/>
      <c r="I329" s="18"/>
      <c r="J329" s="18"/>
      <c r="K329" s="105"/>
    </row>
    <row r="330" spans="1:11" x14ac:dyDescent="0.25">
      <c r="A330" s="16"/>
      <c r="B330" s="16"/>
      <c r="C330" s="16"/>
      <c r="D330" s="17"/>
      <c r="E330" s="16"/>
      <c r="F330" s="20"/>
      <c r="G330" s="20"/>
      <c r="H330" s="18"/>
      <c r="I330" s="18"/>
      <c r="J330" s="18"/>
      <c r="K330" s="105"/>
    </row>
    <row r="331" spans="1:11" x14ac:dyDescent="0.25">
      <c r="A331" s="16"/>
      <c r="B331" s="16"/>
      <c r="C331" s="16"/>
      <c r="D331" s="17"/>
      <c r="E331" s="16"/>
      <c r="F331" s="20"/>
      <c r="G331" s="20"/>
      <c r="H331" s="18"/>
      <c r="I331" s="18"/>
      <c r="J331" s="18"/>
      <c r="K331" s="105"/>
    </row>
    <row r="332" spans="1:11" x14ac:dyDescent="0.25">
      <c r="A332" s="16"/>
      <c r="B332" s="16"/>
      <c r="C332" s="16"/>
      <c r="D332" s="17"/>
      <c r="E332" s="16"/>
      <c r="F332" s="20"/>
      <c r="G332" s="20"/>
      <c r="H332" s="18"/>
      <c r="I332" s="18"/>
      <c r="J332" s="18"/>
      <c r="K332" s="105"/>
    </row>
    <row r="333" spans="1:11" x14ac:dyDescent="0.25">
      <c r="A333" s="16"/>
      <c r="B333" s="16"/>
      <c r="C333" s="16"/>
      <c r="D333" s="17"/>
      <c r="E333" s="16"/>
      <c r="F333" s="20"/>
      <c r="G333" s="20"/>
      <c r="H333" s="18"/>
      <c r="I333" s="18"/>
      <c r="J333" s="18"/>
      <c r="K333" s="105"/>
    </row>
    <row r="334" spans="1:11" x14ac:dyDescent="0.25">
      <c r="A334" s="16"/>
      <c r="B334" s="16"/>
      <c r="C334" s="16"/>
      <c r="D334" s="17"/>
      <c r="E334" s="16"/>
      <c r="F334" s="20"/>
      <c r="G334" s="20"/>
      <c r="H334" s="18"/>
      <c r="I334" s="18"/>
      <c r="J334" s="18"/>
      <c r="K334" s="105"/>
    </row>
    <row r="335" spans="1:11" x14ac:dyDescent="0.25">
      <c r="A335" s="16"/>
      <c r="B335" s="16"/>
      <c r="C335" s="16"/>
      <c r="D335" s="17"/>
      <c r="E335" s="16"/>
      <c r="F335" s="20"/>
      <c r="G335" s="20"/>
      <c r="H335" s="18"/>
      <c r="I335" s="18"/>
      <c r="J335" s="18"/>
      <c r="K335" s="105"/>
    </row>
    <row r="336" spans="1:11" x14ac:dyDescent="0.25">
      <c r="A336" s="16"/>
      <c r="B336" s="16"/>
      <c r="C336" s="16"/>
      <c r="D336" s="17"/>
      <c r="E336" s="16"/>
      <c r="F336" s="20"/>
      <c r="G336" s="20"/>
      <c r="H336" s="18"/>
      <c r="I336" s="18"/>
      <c r="J336" s="18"/>
      <c r="K336" s="105"/>
    </row>
    <row r="337" spans="1:11" x14ac:dyDescent="0.25">
      <c r="A337" s="16"/>
      <c r="B337" s="16"/>
      <c r="C337" s="16"/>
      <c r="D337" s="17"/>
      <c r="E337" s="16"/>
      <c r="F337" s="20"/>
      <c r="G337" s="20"/>
      <c r="H337" s="18"/>
      <c r="I337" s="18"/>
      <c r="J337" s="18"/>
      <c r="K337" s="105"/>
    </row>
    <row r="338" spans="1:11" x14ac:dyDescent="0.25">
      <c r="A338" s="16"/>
      <c r="B338" s="16"/>
      <c r="C338" s="16"/>
      <c r="D338" s="17"/>
      <c r="E338" s="16"/>
      <c r="F338" s="20"/>
      <c r="G338" s="20"/>
      <c r="H338" s="18"/>
      <c r="I338" s="18"/>
      <c r="J338" s="18"/>
      <c r="K338" s="105"/>
    </row>
    <row r="339" spans="1:11" x14ac:dyDescent="0.25">
      <c r="A339" s="16"/>
      <c r="B339" s="16"/>
      <c r="C339" s="16"/>
      <c r="D339" s="17"/>
      <c r="E339" s="16"/>
      <c r="F339" s="20"/>
      <c r="G339" s="20"/>
      <c r="H339" s="18"/>
      <c r="I339" s="18"/>
      <c r="J339" s="18"/>
      <c r="K339" s="105"/>
    </row>
    <row r="340" spans="1:11" x14ac:dyDescent="0.25">
      <c r="A340" s="16"/>
      <c r="B340" s="16"/>
      <c r="C340" s="16"/>
      <c r="D340" s="17"/>
      <c r="E340" s="16"/>
      <c r="F340" s="20"/>
      <c r="G340" s="20"/>
      <c r="H340" s="18"/>
      <c r="I340" s="18"/>
      <c r="J340" s="18"/>
      <c r="K340" s="105"/>
    </row>
    <row r="341" spans="1:11" x14ac:dyDescent="0.25">
      <c r="A341" s="16"/>
      <c r="B341" s="16"/>
      <c r="C341" s="16"/>
      <c r="D341" s="17"/>
      <c r="E341" s="16"/>
      <c r="F341" s="20"/>
      <c r="G341" s="20"/>
      <c r="H341" s="18"/>
      <c r="I341" s="18"/>
      <c r="J341" s="18"/>
      <c r="K341" s="105"/>
    </row>
    <row r="342" spans="1:11" x14ac:dyDescent="0.25">
      <c r="A342" s="16"/>
      <c r="B342" s="16"/>
      <c r="C342" s="16"/>
      <c r="D342" s="17"/>
      <c r="E342" s="16"/>
      <c r="F342" s="20"/>
      <c r="G342" s="20"/>
      <c r="H342" s="18"/>
      <c r="I342" s="18"/>
      <c r="J342" s="18"/>
      <c r="K342" s="105"/>
    </row>
    <row r="343" spans="1:11" x14ac:dyDescent="0.25">
      <c r="A343" s="16"/>
      <c r="B343" s="16"/>
      <c r="C343" s="16"/>
      <c r="D343" s="17"/>
      <c r="E343" s="16"/>
      <c r="F343" s="20"/>
      <c r="G343" s="20"/>
      <c r="H343" s="18"/>
      <c r="I343" s="18"/>
      <c r="J343" s="18"/>
      <c r="K343" s="105"/>
    </row>
    <row r="344" spans="1:11" x14ac:dyDescent="0.25">
      <c r="A344" s="16"/>
      <c r="B344" s="16"/>
      <c r="C344" s="16"/>
      <c r="D344" s="17"/>
      <c r="E344" s="16"/>
      <c r="F344" s="20"/>
      <c r="G344" s="20"/>
      <c r="H344" s="18"/>
      <c r="I344" s="18"/>
      <c r="J344" s="18"/>
      <c r="K344" s="105"/>
    </row>
    <row r="345" spans="1:11" x14ac:dyDescent="0.25">
      <c r="A345" s="16"/>
      <c r="B345" s="16"/>
      <c r="C345" s="16"/>
      <c r="D345" s="17"/>
      <c r="E345" s="16"/>
      <c r="F345" s="20"/>
      <c r="G345" s="20"/>
      <c r="H345" s="18"/>
      <c r="I345" s="18"/>
      <c r="J345" s="18"/>
      <c r="K345" s="105"/>
    </row>
    <row r="346" spans="1:11" x14ac:dyDescent="0.25">
      <c r="A346" s="16"/>
      <c r="B346" s="16"/>
      <c r="C346" s="16"/>
      <c r="D346" s="17"/>
      <c r="E346" s="16"/>
      <c r="F346" s="20"/>
      <c r="G346" s="20"/>
      <c r="H346" s="18"/>
      <c r="I346" s="18"/>
      <c r="J346" s="18"/>
      <c r="K346" s="105"/>
    </row>
    <row r="347" spans="1:11" x14ac:dyDescent="0.25">
      <c r="A347" s="16"/>
      <c r="B347" s="16"/>
      <c r="C347" s="16"/>
      <c r="D347" s="17"/>
      <c r="E347" s="16"/>
      <c r="F347" s="20"/>
      <c r="G347" s="20"/>
      <c r="H347" s="18"/>
      <c r="I347" s="18"/>
      <c r="J347" s="18"/>
      <c r="K347" s="105"/>
    </row>
    <row r="348" spans="1:11" x14ac:dyDescent="0.25">
      <c r="A348" s="16"/>
      <c r="B348" s="16"/>
      <c r="C348" s="16"/>
      <c r="D348" s="17"/>
      <c r="E348" s="16"/>
      <c r="F348" s="20"/>
      <c r="G348" s="20"/>
      <c r="H348" s="18"/>
      <c r="I348" s="18"/>
      <c r="J348" s="18"/>
      <c r="K348" s="105"/>
    </row>
    <row r="349" spans="1:11" x14ac:dyDescent="0.25">
      <c r="A349" s="16"/>
      <c r="B349" s="16"/>
      <c r="C349" s="16"/>
      <c r="D349" s="17"/>
      <c r="E349" s="16"/>
      <c r="F349" s="20"/>
      <c r="G349" s="20"/>
      <c r="H349" s="18"/>
      <c r="I349" s="18"/>
      <c r="J349" s="18"/>
      <c r="K349" s="105"/>
    </row>
    <row r="350" spans="1:11" x14ac:dyDescent="0.25">
      <c r="A350" s="16"/>
      <c r="B350" s="16"/>
      <c r="C350" s="16"/>
      <c r="D350" s="17"/>
      <c r="E350" s="16"/>
      <c r="F350" s="20"/>
      <c r="G350" s="20"/>
      <c r="H350" s="18"/>
      <c r="I350" s="18"/>
      <c r="J350" s="18"/>
      <c r="K350" s="105"/>
    </row>
    <row r="351" spans="1:11" x14ac:dyDescent="0.25">
      <c r="A351" s="16"/>
      <c r="B351" s="16"/>
      <c r="C351" s="16"/>
      <c r="D351" s="17"/>
      <c r="E351" s="16"/>
      <c r="F351" s="20"/>
      <c r="G351" s="20"/>
      <c r="H351" s="18"/>
      <c r="I351" s="18"/>
      <c r="J351" s="18"/>
      <c r="K351" s="105"/>
    </row>
    <row r="352" spans="1:11" x14ac:dyDescent="0.25">
      <c r="A352" s="16"/>
      <c r="B352" s="16"/>
      <c r="C352" s="16"/>
      <c r="D352" s="17"/>
      <c r="E352" s="16"/>
      <c r="F352" s="20"/>
      <c r="G352" s="20"/>
      <c r="H352" s="18"/>
      <c r="I352" s="18"/>
      <c r="J352" s="18"/>
      <c r="K352" s="105"/>
    </row>
    <row r="353" spans="1:11" x14ac:dyDescent="0.25">
      <c r="A353" s="16"/>
      <c r="B353" s="16"/>
      <c r="C353" s="16"/>
      <c r="D353" s="17"/>
      <c r="E353" s="16"/>
      <c r="F353" s="20"/>
      <c r="G353" s="20"/>
      <c r="H353" s="18"/>
      <c r="I353" s="18"/>
      <c r="J353" s="18"/>
      <c r="K353" s="105"/>
    </row>
    <row r="354" spans="1:11" x14ac:dyDescent="0.25">
      <c r="A354" s="16"/>
      <c r="B354" s="16"/>
      <c r="C354" s="16"/>
      <c r="D354" s="17"/>
      <c r="E354" s="16"/>
      <c r="F354" s="20"/>
      <c r="G354" s="20"/>
      <c r="H354" s="18"/>
      <c r="I354" s="18"/>
      <c r="J354" s="18"/>
      <c r="K354" s="105"/>
    </row>
    <row r="355" spans="1:11" x14ac:dyDescent="0.25">
      <c r="A355" s="16"/>
      <c r="B355" s="16"/>
      <c r="C355" s="16"/>
      <c r="D355" s="17"/>
      <c r="E355" s="16"/>
      <c r="F355" s="20"/>
      <c r="G355" s="20"/>
      <c r="H355" s="18"/>
      <c r="I355" s="18"/>
      <c r="J355" s="18"/>
      <c r="K355" s="105"/>
    </row>
    <row r="356" spans="1:11" x14ac:dyDescent="0.25">
      <c r="A356" s="16"/>
      <c r="B356" s="16"/>
      <c r="C356" s="16"/>
      <c r="D356" s="17"/>
      <c r="E356" s="16"/>
      <c r="F356" s="20"/>
      <c r="G356" s="20"/>
      <c r="H356" s="18"/>
      <c r="I356" s="18"/>
      <c r="J356" s="18"/>
      <c r="K356" s="105"/>
    </row>
    <row r="357" spans="1:11" x14ac:dyDescent="0.25">
      <c r="A357" s="16"/>
      <c r="B357" s="16"/>
      <c r="C357" s="16"/>
      <c r="D357" s="17"/>
      <c r="E357" s="16"/>
      <c r="F357" s="20"/>
      <c r="G357" s="20"/>
      <c r="H357" s="18"/>
      <c r="I357" s="18"/>
      <c r="J357" s="18"/>
      <c r="K357" s="105"/>
    </row>
    <row r="358" spans="1:11" x14ac:dyDescent="0.25">
      <c r="A358" s="16"/>
      <c r="B358" s="16"/>
      <c r="C358" s="16"/>
      <c r="D358" s="17"/>
      <c r="E358" s="16"/>
      <c r="F358" s="20"/>
      <c r="G358" s="20"/>
      <c r="H358" s="18"/>
      <c r="I358" s="18"/>
      <c r="J358" s="18"/>
      <c r="K358" s="105"/>
    </row>
    <row r="359" spans="1:11" x14ac:dyDescent="0.25">
      <c r="A359" s="16"/>
      <c r="B359" s="16"/>
      <c r="C359" s="16"/>
      <c r="D359" s="17"/>
      <c r="E359" s="16"/>
      <c r="F359" s="20"/>
      <c r="G359" s="20"/>
      <c r="H359" s="18"/>
      <c r="I359" s="18"/>
      <c r="J359" s="18"/>
      <c r="K359" s="105"/>
    </row>
    <row r="360" spans="1:11" x14ac:dyDescent="0.25">
      <c r="A360" s="16"/>
      <c r="B360" s="16"/>
      <c r="C360" s="16"/>
      <c r="D360" s="17"/>
      <c r="E360" s="16"/>
      <c r="F360" s="20"/>
      <c r="G360" s="20"/>
      <c r="H360" s="18"/>
      <c r="I360" s="18"/>
      <c r="J360" s="18"/>
      <c r="K360" s="105"/>
    </row>
    <row r="361" spans="1:11" x14ac:dyDescent="0.25">
      <c r="A361" s="16"/>
      <c r="B361" s="16"/>
      <c r="C361" s="16"/>
      <c r="D361" s="17"/>
      <c r="E361" s="16"/>
      <c r="F361" s="20"/>
      <c r="G361" s="20"/>
      <c r="H361" s="18"/>
      <c r="I361" s="18"/>
      <c r="J361" s="18"/>
      <c r="K361" s="105"/>
    </row>
    <row r="362" spans="1:11" x14ac:dyDescent="0.25">
      <c r="A362" s="16"/>
      <c r="B362" s="16"/>
      <c r="C362" s="16"/>
      <c r="D362" s="17"/>
      <c r="E362" s="16"/>
      <c r="F362" s="20"/>
      <c r="G362" s="20"/>
      <c r="H362" s="18"/>
      <c r="I362" s="18"/>
      <c r="J362" s="18"/>
      <c r="K362" s="105"/>
    </row>
    <row r="363" spans="1:11" x14ac:dyDescent="0.25">
      <c r="A363" s="16"/>
      <c r="B363" s="16"/>
      <c r="C363" s="16"/>
      <c r="D363" s="17"/>
      <c r="E363" s="16"/>
      <c r="F363" s="20"/>
      <c r="G363" s="20"/>
      <c r="H363" s="18"/>
      <c r="I363" s="18"/>
      <c r="J363" s="18"/>
      <c r="K363" s="105"/>
    </row>
    <row r="364" spans="1:11" x14ac:dyDescent="0.25">
      <c r="A364" s="16"/>
      <c r="B364" s="16"/>
      <c r="C364" s="16"/>
      <c r="D364" s="17"/>
      <c r="E364" s="16"/>
      <c r="F364" s="20"/>
      <c r="G364" s="20"/>
      <c r="H364" s="18"/>
      <c r="I364" s="18"/>
      <c r="J364" s="18"/>
      <c r="K364" s="105"/>
    </row>
    <row r="365" spans="1:11" x14ac:dyDescent="0.25">
      <c r="A365" s="16"/>
      <c r="B365" s="16"/>
      <c r="C365" s="16"/>
      <c r="D365" s="17"/>
      <c r="E365" s="16"/>
      <c r="F365" s="20"/>
      <c r="G365" s="20"/>
      <c r="H365" s="18"/>
      <c r="I365" s="18"/>
      <c r="J365" s="18"/>
      <c r="K365" s="105"/>
    </row>
    <row r="366" spans="1:11" x14ac:dyDescent="0.25">
      <c r="A366" s="16"/>
      <c r="B366" s="16"/>
      <c r="C366" s="16"/>
      <c r="D366" s="17"/>
      <c r="E366" s="16"/>
      <c r="F366" s="20"/>
      <c r="G366" s="20"/>
      <c r="H366" s="18"/>
      <c r="I366" s="18"/>
      <c r="J366" s="18"/>
      <c r="K366" s="105"/>
    </row>
    <row r="367" spans="1:11" x14ac:dyDescent="0.25">
      <c r="A367" s="16"/>
      <c r="B367" s="16"/>
      <c r="C367" s="16"/>
      <c r="D367" s="17"/>
      <c r="E367" s="16"/>
      <c r="F367" s="20"/>
      <c r="G367" s="20"/>
      <c r="H367" s="18"/>
      <c r="I367" s="18"/>
      <c r="J367" s="18"/>
      <c r="K367" s="105"/>
    </row>
    <row r="368" spans="1:11" x14ac:dyDescent="0.25">
      <c r="A368" s="16"/>
      <c r="B368" s="16"/>
      <c r="C368" s="16"/>
      <c r="D368" s="17"/>
      <c r="E368" s="16"/>
      <c r="F368" s="20"/>
      <c r="G368" s="20"/>
      <c r="H368" s="18"/>
      <c r="I368" s="18"/>
      <c r="J368" s="18"/>
      <c r="K368" s="105"/>
    </row>
    <row r="369" spans="1:12" x14ac:dyDescent="0.25">
      <c r="A369" s="16"/>
      <c r="B369" s="16"/>
      <c r="C369" s="16"/>
      <c r="D369" s="17"/>
      <c r="E369" s="16"/>
      <c r="F369" s="20"/>
      <c r="G369" s="20"/>
      <c r="H369" s="18"/>
      <c r="I369" s="18"/>
      <c r="J369" s="18"/>
      <c r="K369" s="105"/>
    </row>
    <row r="370" spans="1:12" x14ac:dyDescent="0.25">
      <c r="A370" s="16"/>
      <c r="B370" s="16"/>
      <c r="C370" s="16"/>
      <c r="D370" s="17"/>
      <c r="E370" s="16"/>
      <c r="F370" s="20"/>
      <c r="G370" s="20"/>
      <c r="H370" s="18"/>
      <c r="I370" s="18"/>
      <c r="J370" s="18"/>
      <c r="K370" s="105"/>
    </row>
    <row r="371" spans="1:12" x14ac:dyDescent="0.25">
      <c r="A371" s="16"/>
      <c r="B371" s="16"/>
      <c r="C371" s="16"/>
      <c r="D371" s="17"/>
      <c r="E371" s="16"/>
      <c r="F371" s="20"/>
      <c r="G371" s="20"/>
      <c r="H371" s="18"/>
      <c r="I371" s="18"/>
      <c r="J371" s="18"/>
      <c r="K371" s="105"/>
    </row>
    <row r="372" spans="1:12" x14ac:dyDescent="0.25">
      <c r="A372" s="16"/>
      <c r="B372" s="16"/>
      <c r="C372" s="16"/>
      <c r="D372" s="17"/>
      <c r="E372" s="16"/>
      <c r="F372" s="20"/>
      <c r="G372" s="20"/>
      <c r="H372" s="18"/>
      <c r="I372" s="18"/>
      <c r="J372" s="18"/>
      <c r="K372" s="105"/>
    </row>
    <row r="373" spans="1:12" x14ac:dyDescent="0.25">
      <c r="A373" s="16"/>
      <c r="B373" s="16"/>
      <c r="C373" s="16"/>
      <c r="D373" s="17"/>
      <c r="E373" s="16"/>
      <c r="F373" s="20"/>
      <c r="G373" s="20"/>
      <c r="H373" s="18"/>
      <c r="I373" s="18"/>
      <c r="J373" s="18"/>
      <c r="K373" s="105"/>
    </row>
    <row r="374" spans="1:12" x14ac:dyDescent="0.25">
      <c r="A374" s="16"/>
      <c r="B374" s="16"/>
      <c r="C374" s="16"/>
      <c r="D374" s="17"/>
      <c r="E374" s="16"/>
      <c r="F374" s="20"/>
      <c r="G374" s="20"/>
      <c r="H374" s="18"/>
      <c r="I374" s="18"/>
      <c r="J374" s="18"/>
      <c r="K374" s="105"/>
    </row>
    <row r="375" spans="1:12" x14ac:dyDescent="0.25">
      <c r="A375" s="16"/>
      <c r="B375" s="65"/>
      <c r="C375" s="65"/>
      <c r="D375" s="65"/>
      <c r="E375" s="65"/>
      <c r="F375" s="66"/>
      <c r="G375" s="66"/>
      <c r="H375" s="67"/>
      <c r="I375" s="67"/>
      <c r="J375" s="18"/>
      <c r="K375" s="105"/>
    </row>
    <row r="376" spans="1:12" x14ac:dyDescent="0.25">
      <c r="A376" s="16"/>
      <c r="B376" s="65"/>
      <c r="C376" s="65"/>
      <c r="D376" s="65"/>
      <c r="E376" s="65"/>
      <c r="F376" s="66"/>
      <c r="G376" s="66"/>
      <c r="H376" s="67"/>
      <c r="I376" s="67"/>
      <c r="J376" s="67"/>
      <c r="K376" s="105"/>
      <c r="L376" s="67"/>
    </row>
    <row r="377" spans="1:12" x14ac:dyDescent="0.25">
      <c r="A377" s="16"/>
      <c r="B377" s="65"/>
      <c r="C377" s="65"/>
      <c r="D377" s="65"/>
      <c r="E377" s="65"/>
      <c r="F377" s="66"/>
      <c r="G377" s="66"/>
      <c r="H377" s="67"/>
      <c r="I377" s="67"/>
      <c r="J377" s="67"/>
      <c r="K377" s="105"/>
      <c r="L377" s="67"/>
    </row>
    <row r="378" spans="1:12" x14ac:dyDescent="0.25">
      <c r="A378" s="16"/>
      <c r="B378" s="65"/>
      <c r="C378" s="65"/>
      <c r="D378" s="65"/>
      <c r="E378" s="65"/>
      <c r="F378" s="66"/>
      <c r="G378" s="66"/>
      <c r="H378" s="67"/>
      <c r="I378" s="67"/>
      <c r="J378" s="67"/>
      <c r="K378" s="105"/>
      <c r="L378" s="67"/>
    </row>
    <row r="379" spans="1:12" x14ac:dyDescent="0.25">
      <c r="A379" s="16"/>
      <c r="B379" s="65"/>
      <c r="C379" s="65"/>
      <c r="D379" s="65"/>
      <c r="E379" s="65"/>
      <c r="F379" s="66"/>
      <c r="G379" s="66"/>
      <c r="H379" s="67"/>
      <c r="I379" s="67"/>
      <c r="J379" s="67"/>
      <c r="K379" s="105"/>
      <c r="L379" s="67"/>
    </row>
    <row r="380" spans="1:12" x14ac:dyDescent="0.25">
      <c r="A380" s="16"/>
      <c r="B380" s="65"/>
      <c r="C380" s="65"/>
      <c r="D380" s="65"/>
      <c r="E380" s="65"/>
      <c r="F380" s="66"/>
      <c r="G380" s="66"/>
      <c r="H380" s="67"/>
      <c r="I380" s="67"/>
      <c r="J380" s="67"/>
      <c r="K380" s="105"/>
      <c r="L380" s="67"/>
    </row>
    <row r="381" spans="1:12" x14ac:dyDescent="0.25">
      <c r="A381" s="16"/>
      <c r="B381" s="65"/>
      <c r="C381" s="65"/>
      <c r="D381" s="65"/>
      <c r="E381" s="65"/>
      <c r="F381" s="66"/>
      <c r="G381" s="66"/>
      <c r="H381" s="67"/>
      <c r="I381" s="67"/>
      <c r="J381" s="67"/>
      <c r="K381" s="105"/>
      <c r="L381" s="67"/>
    </row>
    <row r="382" spans="1:12" x14ac:dyDescent="0.25">
      <c r="A382" s="16"/>
      <c r="B382" s="65"/>
      <c r="C382" s="65"/>
      <c r="D382" s="65"/>
      <c r="E382" s="65"/>
      <c r="F382" s="66"/>
      <c r="G382" s="66"/>
      <c r="H382" s="67"/>
      <c r="I382" s="67"/>
      <c r="J382" s="67"/>
      <c r="K382" s="105"/>
      <c r="L382" s="67"/>
    </row>
    <row r="383" spans="1:12" x14ac:dyDescent="0.25">
      <c r="A383" s="16"/>
      <c r="B383" s="65"/>
      <c r="C383" s="65"/>
      <c r="D383" s="65"/>
      <c r="E383" s="65"/>
      <c r="F383" s="66"/>
      <c r="G383" s="66"/>
      <c r="H383" s="67"/>
      <c r="I383" s="67"/>
      <c r="J383" s="67"/>
      <c r="K383" s="105"/>
      <c r="L383" s="67"/>
    </row>
    <row r="384" spans="1:12" x14ac:dyDescent="0.25">
      <c r="A384" s="16"/>
      <c r="B384" s="65"/>
      <c r="C384" s="65"/>
      <c r="D384" s="65"/>
      <c r="E384" s="65"/>
      <c r="F384" s="66"/>
      <c r="G384" s="66"/>
      <c r="H384" s="67"/>
      <c r="I384" s="67"/>
      <c r="J384" s="67"/>
      <c r="K384" s="105"/>
      <c r="L384" s="67"/>
    </row>
    <row r="385" spans="1:12" x14ac:dyDescent="0.25">
      <c r="A385" s="16"/>
      <c r="B385" s="65"/>
      <c r="C385" s="65"/>
      <c r="D385" s="65"/>
      <c r="E385" s="65"/>
      <c r="F385" s="66"/>
      <c r="G385" s="66"/>
      <c r="H385" s="67"/>
      <c r="I385" s="67"/>
      <c r="J385" s="67"/>
      <c r="K385" s="105"/>
      <c r="L385" s="67"/>
    </row>
    <row r="386" spans="1:12" x14ac:dyDescent="0.25">
      <c r="A386" s="16"/>
      <c r="B386" s="65"/>
      <c r="C386" s="65"/>
      <c r="D386" s="65"/>
      <c r="E386" s="65"/>
      <c r="F386" s="66"/>
      <c r="G386" s="66"/>
      <c r="H386" s="67"/>
      <c r="I386" s="67"/>
      <c r="J386" s="67"/>
      <c r="K386" s="105"/>
      <c r="L386" s="67"/>
    </row>
    <row r="387" spans="1:12" x14ac:dyDescent="0.25">
      <c r="A387" s="16"/>
      <c r="B387" s="65"/>
      <c r="C387" s="65"/>
      <c r="D387" s="65"/>
      <c r="E387" s="65"/>
      <c r="F387" s="66"/>
      <c r="G387" s="66"/>
      <c r="H387" s="67"/>
      <c r="I387" s="67"/>
      <c r="J387" s="67"/>
      <c r="K387" s="105"/>
      <c r="L387" s="67"/>
    </row>
    <row r="388" spans="1:12" x14ac:dyDescent="0.25">
      <c r="A388" s="16"/>
      <c r="B388" s="65"/>
      <c r="C388" s="65"/>
      <c r="D388" s="65"/>
      <c r="E388" s="65"/>
      <c r="F388" s="66"/>
      <c r="G388" s="66"/>
      <c r="H388" s="67"/>
      <c r="I388" s="67"/>
      <c r="J388" s="67"/>
      <c r="K388" s="105"/>
      <c r="L388" s="67"/>
    </row>
    <row r="389" spans="1:12" x14ac:dyDescent="0.25">
      <c r="A389" s="16"/>
      <c r="B389" s="65"/>
      <c r="C389" s="65"/>
      <c r="D389" s="65"/>
      <c r="E389" s="65"/>
      <c r="F389" s="66"/>
      <c r="G389" s="66"/>
      <c r="H389" s="67"/>
      <c r="I389" s="67"/>
      <c r="J389" s="67"/>
      <c r="K389" s="105"/>
      <c r="L389" s="67"/>
    </row>
    <row r="390" spans="1:12" x14ac:dyDescent="0.25">
      <c r="A390" s="16"/>
      <c r="B390" s="65"/>
      <c r="C390" s="65"/>
      <c r="D390" s="65"/>
      <c r="E390" s="65"/>
      <c r="F390" s="66"/>
      <c r="G390" s="66"/>
      <c r="H390" s="67"/>
      <c r="I390" s="67"/>
      <c r="J390" s="67"/>
      <c r="K390" s="105"/>
      <c r="L390" s="67"/>
    </row>
    <row r="391" spans="1:12" x14ac:dyDescent="0.25">
      <c r="A391" s="16"/>
      <c r="B391" s="65"/>
      <c r="C391" s="65"/>
      <c r="D391" s="65"/>
      <c r="E391" s="65"/>
      <c r="F391" s="66"/>
      <c r="G391" s="66"/>
      <c r="H391" s="67"/>
      <c r="I391" s="67"/>
      <c r="J391" s="67"/>
      <c r="K391" s="105"/>
      <c r="L391" s="67"/>
    </row>
    <row r="392" spans="1:12" x14ac:dyDescent="0.25">
      <c r="A392" s="16"/>
      <c r="B392" s="65"/>
      <c r="C392" s="65"/>
      <c r="D392" s="65"/>
      <c r="E392" s="65"/>
      <c r="F392" s="66"/>
      <c r="G392" s="66"/>
      <c r="H392" s="67"/>
      <c r="I392" s="67"/>
      <c r="J392" s="67"/>
      <c r="K392" s="105"/>
      <c r="L392" s="67"/>
    </row>
    <row r="393" spans="1:12" x14ac:dyDescent="0.25">
      <c r="A393" s="16"/>
      <c r="B393" s="65"/>
      <c r="C393" s="65"/>
      <c r="D393" s="65"/>
      <c r="E393" s="65"/>
      <c r="F393" s="66"/>
      <c r="G393" s="66"/>
      <c r="H393" s="67"/>
      <c r="I393" s="67"/>
      <c r="J393" s="67"/>
      <c r="K393" s="105"/>
      <c r="L393" s="67"/>
    </row>
    <row r="394" spans="1:12" x14ac:dyDescent="0.25">
      <c r="A394" s="16"/>
      <c r="B394" s="65"/>
      <c r="C394" s="65"/>
      <c r="D394" s="65"/>
      <c r="E394" s="65"/>
      <c r="F394" s="66"/>
      <c r="G394" s="66"/>
      <c r="H394" s="67"/>
      <c r="I394" s="67"/>
      <c r="J394" s="67"/>
      <c r="K394" s="105"/>
      <c r="L394" s="67"/>
    </row>
    <row r="395" spans="1:12" x14ac:dyDescent="0.25">
      <c r="A395" s="16"/>
      <c r="B395" s="65"/>
      <c r="C395" s="65"/>
      <c r="D395" s="65"/>
      <c r="E395" s="65"/>
      <c r="F395" s="66"/>
      <c r="G395" s="66"/>
      <c r="H395" s="67"/>
      <c r="I395" s="67"/>
      <c r="J395" s="67"/>
      <c r="K395" s="105"/>
      <c r="L395" s="67"/>
    </row>
    <row r="396" spans="1:12" x14ac:dyDescent="0.25">
      <c r="A396" s="16"/>
      <c r="B396" s="65"/>
      <c r="C396" s="65"/>
      <c r="D396" s="65"/>
      <c r="E396" s="65"/>
      <c r="F396" s="66"/>
      <c r="G396" s="66"/>
      <c r="H396" s="67"/>
      <c r="I396" s="67"/>
      <c r="J396" s="67"/>
      <c r="K396" s="105"/>
      <c r="L396" s="67"/>
    </row>
    <row r="397" spans="1:12" x14ac:dyDescent="0.25">
      <c r="A397" s="16"/>
      <c r="B397" s="65"/>
      <c r="C397" s="65"/>
      <c r="D397" s="65"/>
      <c r="E397" s="65"/>
      <c r="F397" s="66"/>
      <c r="G397" s="66"/>
      <c r="H397" s="67"/>
      <c r="I397" s="67"/>
      <c r="J397" s="67"/>
      <c r="K397" s="105"/>
      <c r="L397" s="67"/>
    </row>
    <row r="398" spans="1:12" x14ac:dyDescent="0.25">
      <c r="A398" s="16"/>
      <c r="B398" s="65"/>
      <c r="C398" s="65"/>
      <c r="D398" s="65"/>
      <c r="E398" s="65"/>
      <c r="F398" s="66"/>
      <c r="G398" s="66"/>
      <c r="H398" s="67"/>
      <c r="I398" s="67"/>
      <c r="J398" s="67"/>
      <c r="K398" s="105"/>
      <c r="L398" s="67"/>
    </row>
    <row r="399" spans="1:12" x14ac:dyDescent="0.25">
      <c r="A399" s="16"/>
      <c r="B399" s="65"/>
      <c r="C399" s="65"/>
      <c r="D399" s="65"/>
      <c r="E399" s="65"/>
      <c r="F399" s="66"/>
      <c r="G399" s="66"/>
      <c r="H399" s="67"/>
      <c r="I399" s="67"/>
      <c r="J399" s="67"/>
      <c r="K399" s="105"/>
      <c r="L399" s="67"/>
    </row>
    <row r="400" spans="1:12" x14ac:dyDescent="0.25">
      <c r="A400" s="16"/>
      <c r="B400" s="65"/>
      <c r="C400" s="65"/>
      <c r="D400" s="65"/>
      <c r="E400" s="65"/>
      <c r="F400" s="66"/>
      <c r="G400" s="66"/>
      <c r="H400" s="67"/>
      <c r="I400" s="67"/>
      <c r="J400" s="67"/>
      <c r="K400" s="105"/>
      <c r="L400" s="67"/>
    </row>
    <row r="401" spans="1:12" x14ac:dyDescent="0.25">
      <c r="A401" s="16"/>
      <c r="B401" s="65"/>
      <c r="C401" s="65"/>
      <c r="D401" s="65"/>
      <c r="E401" s="65"/>
      <c r="F401" s="66"/>
      <c r="G401" s="66"/>
      <c r="H401" s="67"/>
      <c r="I401" s="67"/>
      <c r="J401" s="67"/>
      <c r="K401" s="105"/>
      <c r="L401" s="67"/>
    </row>
    <row r="402" spans="1:12" x14ac:dyDescent="0.25">
      <c r="A402" s="16"/>
      <c r="B402" s="65"/>
      <c r="C402" s="65"/>
      <c r="D402" s="65"/>
      <c r="E402" s="65"/>
      <c r="F402" s="66"/>
      <c r="G402" s="66"/>
      <c r="H402" s="67"/>
      <c r="I402" s="67"/>
      <c r="J402" s="67"/>
      <c r="K402" s="105"/>
      <c r="L402" s="67"/>
    </row>
    <row r="403" spans="1:12" x14ac:dyDescent="0.25">
      <c r="A403" s="16"/>
      <c r="B403" s="65"/>
      <c r="C403" s="65"/>
      <c r="D403" s="65"/>
      <c r="E403" s="65"/>
      <c r="F403" s="66"/>
      <c r="G403" s="66"/>
      <c r="H403" s="67"/>
      <c r="I403" s="67"/>
      <c r="J403" s="67"/>
      <c r="K403" s="105"/>
      <c r="L403" s="67"/>
    </row>
    <row r="404" spans="1:12" x14ac:dyDescent="0.25">
      <c r="A404" s="16"/>
      <c r="B404" s="65"/>
      <c r="C404" s="65"/>
      <c r="D404" s="65"/>
      <c r="E404" s="65"/>
      <c r="F404" s="66"/>
      <c r="G404" s="66"/>
      <c r="H404" s="67"/>
      <c r="I404" s="67"/>
      <c r="J404" s="67"/>
      <c r="K404" s="105"/>
      <c r="L404" s="67"/>
    </row>
    <row r="405" spans="1:12" x14ac:dyDescent="0.25">
      <c r="A405" s="16"/>
      <c r="B405" s="65"/>
      <c r="C405" s="65"/>
      <c r="D405" s="65"/>
      <c r="E405" s="65"/>
      <c r="F405" s="66"/>
      <c r="G405" s="66"/>
      <c r="H405" s="67"/>
      <c r="I405" s="67"/>
      <c r="J405" s="67"/>
      <c r="K405" s="105"/>
      <c r="L405" s="67"/>
    </row>
    <row r="406" spans="1:12" x14ac:dyDescent="0.25">
      <c r="A406" s="16"/>
      <c r="B406" s="65"/>
      <c r="C406" s="65"/>
      <c r="D406" s="65"/>
      <c r="E406" s="65"/>
      <c r="F406" s="66"/>
      <c r="G406" s="66"/>
      <c r="H406" s="67"/>
      <c r="I406" s="67"/>
      <c r="J406" s="67"/>
      <c r="K406" s="105"/>
      <c r="L406" s="67"/>
    </row>
    <row r="407" spans="1:12" x14ac:dyDescent="0.25">
      <c r="A407" s="16"/>
      <c r="B407" s="65"/>
      <c r="C407" s="65"/>
      <c r="D407" s="65"/>
      <c r="E407" s="65"/>
      <c r="F407" s="66"/>
      <c r="G407" s="66"/>
      <c r="H407" s="67"/>
      <c r="I407" s="67"/>
      <c r="J407" s="67"/>
      <c r="K407" s="105"/>
      <c r="L407" s="67"/>
    </row>
    <row r="408" spans="1:12" x14ac:dyDescent="0.25">
      <c r="A408" s="16"/>
      <c r="B408" s="65"/>
      <c r="C408" s="65"/>
      <c r="D408" s="65"/>
      <c r="E408" s="65"/>
      <c r="F408" s="66"/>
      <c r="G408" s="66"/>
      <c r="H408" s="67"/>
      <c r="I408" s="67"/>
      <c r="J408" s="67"/>
      <c r="K408" s="105"/>
      <c r="L408" s="67"/>
    </row>
    <row r="409" spans="1:12" x14ac:dyDescent="0.25">
      <c r="A409" s="16"/>
      <c r="B409" s="65"/>
      <c r="C409" s="65"/>
      <c r="D409" s="65"/>
      <c r="E409" s="65"/>
      <c r="F409" s="66"/>
      <c r="G409" s="66"/>
      <c r="H409" s="67"/>
      <c r="I409" s="67"/>
      <c r="J409" s="67"/>
      <c r="K409" s="105"/>
      <c r="L409" s="67"/>
    </row>
    <row r="410" spans="1:12" x14ac:dyDescent="0.25">
      <c r="A410" s="16"/>
      <c r="B410" s="65"/>
      <c r="C410" s="65"/>
      <c r="D410" s="65"/>
      <c r="E410" s="65"/>
      <c r="F410" s="66"/>
      <c r="G410" s="66"/>
      <c r="H410" s="67"/>
      <c r="I410" s="67"/>
      <c r="J410" s="67"/>
      <c r="K410" s="105"/>
      <c r="L410" s="67"/>
    </row>
    <row r="411" spans="1:12" x14ac:dyDescent="0.25">
      <c r="A411" s="16"/>
      <c r="B411" s="65"/>
      <c r="C411" s="65"/>
      <c r="D411" s="65"/>
      <c r="E411" s="65"/>
      <c r="F411" s="66"/>
      <c r="G411" s="66"/>
      <c r="H411" s="67"/>
      <c r="I411" s="67"/>
      <c r="J411" s="67"/>
      <c r="K411" s="105"/>
      <c r="L411" s="67"/>
    </row>
    <row r="412" spans="1:12" x14ac:dyDescent="0.25">
      <c r="A412" s="16"/>
      <c r="B412" s="65"/>
      <c r="C412" s="65"/>
      <c r="D412" s="65"/>
      <c r="E412" s="65"/>
      <c r="F412" s="66"/>
      <c r="G412" s="66"/>
      <c r="H412" s="67"/>
      <c r="I412" s="67"/>
      <c r="J412" s="67"/>
      <c r="K412" s="105"/>
      <c r="L412" s="67"/>
    </row>
    <row r="413" spans="1:12" x14ac:dyDescent="0.25">
      <c r="A413" s="16"/>
      <c r="B413" s="65"/>
      <c r="C413" s="65"/>
      <c r="D413" s="65"/>
      <c r="E413" s="65"/>
      <c r="F413" s="66"/>
      <c r="G413" s="66"/>
      <c r="H413" s="67"/>
      <c r="I413" s="67"/>
      <c r="J413" s="67"/>
      <c r="K413" s="105"/>
      <c r="L413" s="67"/>
    </row>
    <row r="414" spans="1:12" x14ac:dyDescent="0.25">
      <c r="A414" s="16"/>
      <c r="B414" s="65"/>
      <c r="C414" s="65"/>
      <c r="D414" s="65"/>
      <c r="E414" s="65"/>
      <c r="F414" s="66"/>
      <c r="G414" s="66"/>
      <c r="H414" s="67"/>
      <c r="I414" s="67"/>
      <c r="J414" s="67"/>
      <c r="K414" s="105"/>
      <c r="L414" s="67"/>
    </row>
    <row r="415" spans="1:12" x14ac:dyDescent="0.25">
      <c r="A415" s="16"/>
      <c r="B415" s="65"/>
      <c r="C415" s="65"/>
      <c r="D415" s="65"/>
      <c r="E415" s="65"/>
      <c r="F415" s="66"/>
      <c r="G415" s="66"/>
      <c r="H415" s="67"/>
      <c r="I415" s="67"/>
      <c r="J415" s="67"/>
      <c r="K415" s="105"/>
      <c r="L415" s="67"/>
    </row>
    <row r="416" spans="1:12" x14ac:dyDescent="0.25">
      <c r="A416" s="16"/>
      <c r="B416" s="65"/>
      <c r="C416" s="65"/>
      <c r="D416" s="65"/>
      <c r="E416" s="65"/>
      <c r="F416" s="66"/>
      <c r="G416" s="66"/>
      <c r="H416" s="67"/>
      <c r="I416" s="67"/>
      <c r="J416" s="67"/>
      <c r="K416" s="105"/>
      <c r="L416" s="67"/>
    </row>
    <row r="417" spans="1:12" x14ac:dyDescent="0.25">
      <c r="A417" s="16"/>
      <c r="B417" s="65"/>
      <c r="C417" s="65"/>
      <c r="D417" s="65"/>
      <c r="E417" s="65"/>
      <c r="F417" s="66"/>
      <c r="G417" s="66"/>
      <c r="H417" s="67"/>
      <c r="I417" s="67"/>
      <c r="J417" s="67"/>
      <c r="K417" s="105"/>
      <c r="L417" s="67"/>
    </row>
    <row r="418" spans="1:12" x14ac:dyDescent="0.25">
      <c r="A418" s="16"/>
      <c r="B418" s="65"/>
      <c r="C418" s="65"/>
      <c r="D418" s="65"/>
      <c r="E418" s="65"/>
      <c r="F418" s="66"/>
      <c r="G418" s="66"/>
      <c r="H418" s="67"/>
      <c r="I418" s="67"/>
      <c r="J418" s="67"/>
      <c r="K418" s="105"/>
      <c r="L418" s="67"/>
    </row>
    <row r="419" spans="1:12" x14ac:dyDescent="0.25">
      <c r="A419" s="16"/>
      <c r="B419" s="65"/>
      <c r="C419" s="65"/>
      <c r="D419" s="65"/>
      <c r="E419" s="65"/>
      <c r="F419" s="66"/>
      <c r="G419" s="66"/>
      <c r="H419" s="67"/>
      <c r="I419" s="67"/>
      <c r="J419" s="67"/>
      <c r="K419" s="105"/>
      <c r="L419" s="67"/>
    </row>
    <row r="420" spans="1:12" x14ac:dyDescent="0.25">
      <c r="A420" s="16"/>
      <c r="B420" s="65"/>
      <c r="C420" s="65"/>
      <c r="D420" s="65"/>
      <c r="E420" s="65"/>
      <c r="F420" s="66"/>
      <c r="G420" s="66"/>
      <c r="H420" s="67"/>
      <c r="I420" s="67"/>
      <c r="J420" s="67"/>
      <c r="K420" s="105"/>
      <c r="L420" s="67"/>
    </row>
    <row r="421" spans="1:12" x14ac:dyDescent="0.25">
      <c r="A421" s="16"/>
      <c r="B421" s="65"/>
      <c r="C421" s="65"/>
      <c r="D421" s="65"/>
      <c r="E421" s="65"/>
      <c r="F421" s="66"/>
      <c r="G421" s="66"/>
      <c r="H421" s="67"/>
      <c r="I421" s="67"/>
      <c r="J421" s="67"/>
      <c r="K421" s="105"/>
      <c r="L421" s="67"/>
    </row>
    <row r="422" spans="1:12" x14ac:dyDescent="0.25">
      <c r="A422" s="16"/>
      <c r="B422" s="65"/>
      <c r="C422" s="65"/>
      <c r="D422" s="65"/>
      <c r="E422" s="65"/>
      <c r="F422" s="66"/>
      <c r="G422" s="66"/>
      <c r="H422" s="67"/>
      <c r="I422" s="67"/>
      <c r="J422" s="67"/>
      <c r="K422" s="105"/>
      <c r="L422" s="67"/>
    </row>
    <row r="423" spans="1:12" x14ac:dyDescent="0.25">
      <c r="A423" s="16"/>
      <c r="B423" s="65"/>
      <c r="C423" s="65"/>
      <c r="D423" s="65"/>
      <c r="E423" s="65"/>
      <c r="F423" s="66"/>
      <c r="G423" s="66"/>
      <c r="H423" s="67"/>
      <c r="I423" s="67"/>
      <c r="J423" s="67"/>
      <c r="K423" s="105"/>
      <c r="L423" s="67"/>
    </row>
    <row r="424" spans="1:12" x14ac:dyDescent="0.25">
      <c r="A424" s="16"/>
      <c r="B424" s="65"/>
      <c r="C424" s="65"/>
      <c r="D424" s="65"/>
      <c r="E424" s="65"/>
      <c r="F424" s="66"/>
      <c r="G424" s="66"/>
      <c r="H424" s="67"/>
      <c r="I424" s="67"/>
      <c r="J424" s="67"/>
      <c r="K424" s="105"/>
      <c r="L424" s="67"/>
    </row>
    <row r="425" spans="1:12" x14ac:dyDescent="0.25">
      <c r="A425" s="16"/>
      <c r="B425" s="65"/>
      <c r="C425" s="65"/>
      <c r="D425" s="65"/>
      <c r="E425" s="65"/>
      <c r="F425" s="66"/>
      <c r="G425" s="66"/>
      <c r="H425" s="67"/>
      <c r="I425" s="67"/>
      <c r="J425" s="67"/>
      <c r="K425" s="105"/>
      <c r="L425" s="67"/>
    </row>
    <row r="426" spans="1:12" x14ac:dyDescent="0.25">
      <c r="A426" s="16"/>
      <c r="B426" s="65"/>
      <c r="C426" s="65"/>
      <c r="D426" s="65"/>
      <c r="E426" s="65"/>
      <c r="F426" s="66"/>
      <c r="G426" s="66"/>
      <c r="H426" s="67"/>
      <c r="I426" s="67"/>
      <c r="J426" s="67"/>
      <c r="K426" s="105"/>
      <c r="L426" s="67"/>
    </row>
    <row r="427" spans="1:12" x14ac:dyDescent="0.25">
      <c r="A427" s="16"/>
      <c r="B427" s="65"/>
      <c r="C427" s="65"/>
      <c r="D427" s="65"/>
      <c r="E427" s="65"/>
      <c r="F427" s="66"/>
      <c r="G427" s="66"/>
      <c r="H427" s="67"/>
      <c r="I427" s="67"/>
      <c r="J427" s="67"/>
      <c r="K427" s="105"/>
      <c r="L427" s="67"/>
    </row>
    <row r="428" spans="1:12" x14ac:dyDescent="0.25">
      <c r="A428" s="16"/>
      <c r="B428" s="65"/>
      <c r="C428" s="65"/>
      <c r="D428" s="65"/>
      <c r="E428" s="65"/>
      <c r="F428" s="66"/>
      <c r="G428" s="66"/>
      <c r="H428" s="67"/>
      <c r="I428" s="67"/>
      <c r="J428" s="67"/>
      <c r="K428" s="105"/>
      <c r="L428" s="67"/>
    </row>
    <row r="429" spans="1:12" x14ac:dyDescent="0.25">
      <c r="A429" s="16"/>
      <c r="B429" s="65"/>
      <c r="C429" s="65"/>
      <c r="D429" s="65"/>
      <c r="E429" s="65"/>
      <c r="F429" s="66"/>
      <c r="G429" s="66"/>
      <c r="H429" s="67"/>
      <c r="I429" s="67"/>
      <c r="J429" s="67"/>
      <c r="K429" s="105"/>
      <c r="L429" s="67"/>
    </row>
    <row r="430" spans="1:12" x14ac:dyDescent="0.25">
      <c r="A430" s="16"/>
      <c r="B430" s="65"/>
      <c r="C430" s="65"/>
      <c r="D430" s="65"/>
      <c r="E430" s="65"/>
      <c r="F430" s="66"/>
      <c r="G430" s="66"/>
      <c r="H430" s="67"/>
      <c r="I430" s="67"/>
      <c r="J430" s="67"/>
      <c r="K430" s="105"/>
      <c r="L430" s="67"/>
    </row>
    <row r="431" spans="1:12" x14ac:dyDescent="0.25">
      <c r="A431" s="16"/>
      <c r="B431" s="65"/>
      <c r="C431" s="65"/>
      <c r="D431" s="65"/>
      <c r="E431" s="65"/>
      <c r="F431" s="66"/>
      <c r="G431" s="66"/>
      <c r="H431" s="67"/>
      <c r="I431" s="67"/>
      <c r="J431" s="67"/>
      <c r="K431" s="105"/>
      <c r="L431" s="67"/>
    </row>
    <row r="432" spans="1:12" x14ac:dyDescent="0.25">
      <c r="A432" s="16"/>
      <c r="B432" s="65"/>
      <c r="C432" s="65"/>
      <c r="D432" s="65"/>
      <c r="E432" s="65"/>
      <c r="F432" s="66"/>
      <c r="G432" s="66"/>
      <c r="H432" s="67"/>
      <c r="I432" s="67"/>
      <c r="J432" s="67"/>
      <c r="K432" s="105"/>
      <c r="L432" s="67"/>
    </row>
    <row r="433" spans="1:12" x14ac:dyDescent="0.25">
      <c r="A433" s="16"/>
      <c r="B433" s="65"/>
      <c r="C433" s="65"/>
      <c r="D433" s="65"/>
      <c r="E433" s="65"/>
      <c r="F433" s="66"/>
      <c r="G433" s="66"/>
      <c r="H433" s="67"/>
      <c r="I433" s="67"/>
      <c r="J433" s="67"/>
      <c r="K433" s="105"/>
      <c r="L433" s="67"/>
    </row>
    <row r="434" spans="1:12" x14ac:dyDescent="0.25">
      <c r="A434" s="16"/>
      <c r="B434" s="65"/>
      <c r="C434" s="65"/>
      <c r="D434" s="65"/>
      <c r="E434" s="65"/>
      <c r="F434" s="66"/>
      <c r="G434" s="66"/>
      <c r="H434" s="67"/>
      <c r="I434" s="67"/>
      <c r="J434" s="67"/>
      <c r="K434" s="105"/>
      <c r="L434" s="67"/>
    </row>
    <row r="435" spans="1:12" x14ac:dyDescent="0.25">
      <c r="A435" s="16"/>
      <c r="B435" s="65"/>
      <c r="C435" s="65"/>
      <c r="D435" s="65"/>
      <c r="E435" s="65"/>
      <c r="F435" s="66"/>
      <c r="G435" s="66"/>
      <c r="H435" s="67"/>
      <c r="I435" s="67"/>
      <c r="J435" s="67"/>
      <c r="K435" s="105"/>
      <c r="L435" s="67"/>
    </row>
    <row r="436" spans="1:12" x14ac:dyDescent="0.25">
      <c r="A436" s="16"/>
      <c r="B436" s="65"/>
      <c r="C436" s="65"/>
      <c r="D436" s="65"/>
      <c r="E436" s="65"/>
      <c r="F436" s="66"/>
      <c r="G436" s="66"/>
      <c r="H436" s="67"/>
      <c r="I436" s="67"/>
      <c r="J436" s="67"/>
      <c r="K436" s="105"/>
      <c r="L436" s="67"/>
    </row>
    <row r="437" spans="1:12" x14ac:dyDescent="0.25">
      <c r="A437" s="16"/>
      <c r="B437" s="65"/>
      <c r="C437" s="65"/>
      <c r="D437" s="65"/>
      <c r="E437" s="65"/>
      <c r="F437" s="66"/>
      <c r="G437" s="66"/>
      <c r="H437" s="67"/>
      <c r="I437" s="67"/>
      <c r="J437" s="67"/>
      <c r="K437" s="105"/>
      <c r="L437" s="67"/>
    </row>
    <row r="438" spans="1:12" x14ac:dyDescent="0.25">
      <c r="A438" s="16"/>
      <c r="B438" s="65"/>
      <c r="C438" s="65"/>
      <c r="D438" s="65"/>
      <c r="E438" s="65"/>
      <c r="F438" s="66"/>
      <c r="G438" s="66"/>
      <c r="H438" s="67"/>
      <c r="I438" s="67"/>
      <c r="J438" s="67"/>
      <c r="K438" s="105"/>
      <c r="L438" s="67"/>
    </row>
    <row r="439" spans="1:12" x14ac:dyDescent="0.25">
      <c r="A439" s="16"/>
      <c r="B439" s="65"/>
      <c r="C439" s="65"/>
      <c r="D439" s="65"/>
      <c r="E439" s="65"/>
      <c r="F439" s="66"/>
      <c r="G439" s="66"/>
      <c r="H439" s="67"/>
      <c r="I439" s="67"/>
      <c r="J439" s="67"/>
      <c r="K439" s="105"/>
      <c r="L439" s="67"/>
    </row>
    <row r="440" spans="1:12" x14ac:dyDescent="0.25">
      <c r="A440" s="16"/>
      <c r="B440" s="65"/>
      <c r="C440" s="65"/>
      <c r="D440" s="65"/>
      <c r="E440" s="65"/>
      <c r="F440" s="66"/>
      <c r="G440" s="66"/>
      <c r="H440" s="67"/>
      <c r="I440" s="67"/>
      <c r="J440" s="67"/>
      <c r="K440" s="105"/>
      <c r="L440" s="67"/>
    </row>
    <row r="441" spans="1:12" x14ac:dyDescent="0.25">
      <c r="A441" s="16"/>
      <c r="B441" s="65"/>
      <c r="C441" s="65"/>
      <c r="D441" s="65"/>
      <c r="E441" s="65"/>
      <c r="F441" s="66"/>
      <c r="G441" s="66"/>
      <c r="H441" s="67"/>
      <c r="I441" s="67"/>
      <c r="J441" s="67"/>
      <c r="K441" s="105"/>
      <c r="L441" s="67"/>
    </row>
    <row r="442" spans="1:12" x14ac:dyDescent="0.25">
      <c r="A442" s="16"/>
      <c r="B442" s="65"/>
      <c r="C442" s="65"/>
      <c r="D442" s="65"/>
      <c r="E442" s="65"/>
      <c r="F442" s="66"/>
      <c r="G442" s="66"/>
      <c r="H442" s="67"/>
      <c r="I442" s="67"/>
      <c r="J442" s="67"/>
      <c r="K442" s="105"/>
      <c r="L442" s="67"/>
    </row>
    <row r="443" spans="1:12" x14ac:dyDescent="0.25">
      <c r="A443" s="16"/>
      <c r="B443" s="65"/>
      <c r="C443" s="65"/>
      <c r="D443" s="65"/>
      <c r="E443" s="65"/>
      <c r="F443" s="66"/>
      <c r="G443" s="66"/>
      <c r="H443" s="67"/>
      <c r="I443" s="67"/>
      <c r="J443" s="67"/>
      <c r="K443" s="105"/>
      <c r="L443" s="67"/>
    </row>
    <row r="444" spans="1:12" x14ac:dyDescent="0.25">
      <c r="A444" s="16"/>
      <c r="B444" s="65"/>
      <c r="C444" s="65"/>
      <c r="D444" s="65"/>
      <c r="E444" s="65"/>
      <c r="F444" s="66"/>
      <c r="G444" s="66"/>
      <c r="H444" s="67"/>
      <c r="I444" s="67"/>
      <c r="J444" s="67"/>
      <c r="K444" s="105"/>
      <c r="L444" s="67"/>
    </row>
    <row r="445" spans="1:12" x14ac:dyDescent="0.25">
      <c r="A445" s="16"/>
      <c r="B445" s="65"/>
      <c r="C445" s="65"/>
      <c r="D445" s="65"/>
      <c r="E445" s="65"/>
      <c r="F445" s="66"/>
      <c r="G445" s="66"/>
      <c r="H445" s="67"/>
      <c r="I445" s="67"/>
      <c r="J445" s="67"/>
      <c r="K445" s="105"/>
      <c r="L445" s="67"/>
    </row>
    <row r="446" spans="1:12" x14ac:dyDescent="0.25">
      <c r="A446" s="16"/>
      <c r="B446" s="65"/>
      <c r="C446" s="65"/>
      <c r="D446" s="65"/>
      <c r="E446" s="65"/>
      <c r="F446" s="66"/>
      <c r="G446" s="66"/>
      <c r="H446" s="67"/>
      <c r="I446" s="67"/>
      <c r="J446" s="67"/>
      <c r="K446" s="105"/>
      <c r="L446" s="67"/>
    </row>
    <row r="447" spans="1:12" x14ac:dyDescent="0.25">
      <c r="A447" s="16"/>
      <c r="B447" s="65"/>
      <c r="C447" s="65"/>
      <c r="D447" s="65"/>
      <c r="E447" s="65"/>
      <c r="F447" s="66"/>
      <c r="G447" s="66"/>
      <c r="H447" s="67"/>
      <c r="I447" s="67"/>
      <c r="J447" s="67"/>
      <c r="K447" s="105"/>
      <c r="L447" s="67"/>
    </row>
    <row r="448" spans="1:12" x14ac:dyDescent="0.25">
      <c r="A448" s="16"/>
      <c r="B448" s="65"/>
      <c r="C448" s="65"/>
      <c r="D448" s="65"/>
      <c r="E448" s="65"/>
      <c r="F448" s="66"/>
      <c r="G448" s="66"/>
      <c r="H448" s="67"/>
      <c r="I448" s="67"/>
      <c r="J448" s="67"/>
      <c r="K448" s="105"/>
      <c r="L448" s="67"/>
    </row>
    <row r="449" spans="1:12" x14ac:dyDescent="0.25">
      <c r="A449" s="16"/>
      <c r="B449" s="65"/>
      <c r="C449" s="65"/>
      <c r="D449" s="65"/>
      <c r="E449" s="65"/>
      <c r="F449" s="66"/>
      <c r="G449" s="66"/>
      <c r="H449" s="67"/>
      <c r="I449" s="67"/>
      <c r="J449" s="67"/>
      <c r="K449" s="105"/>
      <c r="L449" s="67"/>
    </row>
    <row r="450" spans="1:12" x14ac:dyDescent="0.25">
      <c r="A450" s="16"/>
      <c r="B450" s="65"/>
      <c r="C450" s="65"/>
      <c r="D450" s="65"/>
      <c r="E450" s="65"/>
      <c r="F450" s="66"/>
      <c r="G450" s="66"/>
      <c r="H450" s="67"/>
      <c r="I450" s="67"/>
      <c r="J450" s="67"/>
      <c r="K450" s="105"/>
      <c r="L450" s="67"/>
    </row>
    <row r="451" spans="1:12" x14ac:dyDescent="0.25">
      <c r="A451" s="16"/>
      <c r="B451" s="65"/>
      <c r="C451" s="65"/>
      <c r="D451" s="65"/>
      <c r="E451" s="65"/>
      <c r="F451" s="66"/>
      <c r="G451" s="66"/>
      <c r="H451" s="67"/>
      <c r="I451" s="67"/>
      <c r="J451" s="67"/>
      <c r="K451" s="105"/>
      <c r="L451" s="67"/>
    </row>
    <row r="452" spans="1:12" x14ac:dyDescent="0.25">
      <c r="A452" s="16"/>
      <c r="B452" s="65"/>
      <c r="C452" s="65"/>
      <c r="D452" s="65"/>
      <c r="E452" s="65"/>
      <c r="F452" s="66"/>
      <c r="G452" s="66"/>
      <c r="H452" s="67"/>
      <c r="I452" s="67"/>
      <c r="J452" s="67"/>
      <c r="K452" s="105"/>
      <c r="L452" s="67"/>
    </row>
    <row r="453" spans="1:12" x14ac:dyDescent="0.25">
      <c r="A453" s="16"/>
      <c r="B453" s="65"/>
      <c r="C453" s="65"/>
      <c r="D453" s="65"/>
      <c r="E453" s="65"/>
      <c r="F453" s="66"/>
      <c r="G453" s="66"/>
      <c r="H453" s="67"/>
      <c r="I453" s="67"/>
      <c r="J453" s="67"/>
      <c r="K453" s="105"/>
      <c r="L453" s="67"/>
    </row>
    <row r="454" spans="1:12" x14ac:dyDescent="0.25">
      <c r="A454" s="16"/>
      <c r="B454" s="65"/>
      <c r="C454" s="65"/>
      <c r="D454" s="65"/>
      <c r="E454" s="65"/>
      <c r="F454" s="66"/>
      <c r="G454" s="66"/>
      <c r="H454" s="67"/>
      <c r="I454" s="67"/>
      <c r="J454" s="67"/>
      <c r="K454" s="105"/>
      <c r="L454" s="67"/>
    </row>
    <row r="455" spans="1:12" x14ac:dyDescent="0.25">
      <c r="A455" s="16"/>
      <c r="B455" s="65"/>
      <c r="C455" s="65"/>
      <c r="D455" s="65"/>
      <c r="E455" s="65"/>
      <c r="F455" s="66"/>
      <c r="G455" s="66"/>
      <c r="H455" s="67"/>
      <c r="I455" s="67"/>
      <c r="J455" s="67"/>
      <c r="K455" s="105"/>
      <c r="L455" s="67"/>
    </row>
    <row r="456" spans="1:12" x14ac:dyDescent="0.25">
      <c r="A456" s="16"/>
      <c r="B456" s="65"/>
      <c r="C456" s="65"/>
      <c r="D456" s="65"/>
      <c r="E456" s="65"/>
      <c r="F456" s="66"/>
      <c r="G456" s="66"/>
      <c r="H456" s="67"/>
      <c r="I456" s="67"/>
      <c r="J456" s="67"/>
      <c r="K456" s="105"/>
      <c r="L456" s="67"/>
    </row>
    <row r="457" spans="1:12" x14ac:dyDescent="0.25">
      <c r="A457" s="16"/>
      <c r="B457" s="65"/>
      <c r="C457" s="65"/>
      <c r="D457" s="65"/>
      <c r="E457" s="65"/>
      <c r="F457" s="66"/>
      <c r="G457" s="66"/>
      <c r="H457" s="67"/>
      <c r="I457" s="67"/>
      <c r="J457" s="67"/>
      <c r="K457" s="105"/>
      <c r="L457" s="67"/>
    </row>
    <row r="458" spans="1:12" x14ac:dyDescent="0.25">
      <c r="A458" s="16"/>
      <c r="B458" s="65"/>
      <c r="C458" s="65"/>
      <c r="D458" s="65"/>
      <c r="E458" s="65"/>
      <c r="F458" s="66"/>
      <c r="G458" s="66"/>
      <c r="H458" s="67"/>
      <c r="I458" s="67"/>
      <c r="J458" s="67"/>
      <c r="K458" s="105"/>
      <c r="L458" s="67"/>
    </row>
    <row r="459" spans="1:12" x14ac:dyDescent="0.25">
      <c r="A459" s="16"/>
      <c r="B459" s="65"/>
      <c r="C459" s="65"/>
      <c r="D459" s="65"/>
      <c r="E459" s="65"/>
      <c r="F459" s="66"/>
      <c r="G459" s="66"/>
      <c r="H459" s="67"/>
      <c r="I459" s="67"/>
      <c r="J459" s="67"/>
      <c r="K459" s="105"/>
      <c r="L459" s="67"/>
    </row>
    <row r="460" spans="1:12" x14ac:dyDescent="0.25">
      <c r="A460" s="16"/>
      <c r="B460" s="65"/>
      <c r="C460" s="65"/>
      <c r="D460" s="65"/>
      <c r="E460" s="65"/>
      <c r="F460" s="66"/>
      <c r="G460" s="66"/>
      <c r="H460" s="67"/>
      <c r="I460" s="67"/>
      <c r="J460" s="67"/>
      <c r="K460" s="105"/>
      <c r="L460" s="67"/>
    </row>
    <row r="461" spans="1:12" x14ac:dyDescent="0.25">
      <c r="A461" s="16"/>
      <c r="B461" s="65"/>
      <c r="C461" s="65"/>
      <c r="D461" s="65"/>
      <c r="E461" s="65"/>
      <c r="F461" s="66"/>
      <c r="G461" s="66"/>
      <c r="H461" s="67"/>
      <c r="I461" s="67"/>
      <c r="J461" s="67"/>
      <c r="K461" s="105"/>
      <c r="L461" s="67"/>
    </row>
    <row r="462" spans="1:12" x14ac:dyDescent="0.25">
      <c r="A462" s="16"/>
      <c r="B462" s="65"/>
      <c r="C462" s="65"/>
      <c r="D462" s="65"/>
      <c r="E462" s="65"/>
      <c r="F462" s="66"/>
      <c r="G462" s="66"/>
      <c r="H462" s="67"/>
      <c r="I462" s="67"/>
      <c r="J462" s="67"/>
      <c r="K462" s="105"/>
      <c r="L462" s="67"/>
    </row>
    <row r="463" spans="1:12" x14ac:dyDescent="0.25">
      <c r="A463" s="16"/>
      <c r="B463" s="65"/>
      <c r="C463" s="65"/>
      <c r="D463" s="65"/>
      <c r="E463" s="65"/>
      <c r="F463" s="66"/>
      <c r="G463" s="66"/>
      <c r="H463" s="67"/>
      <c r="I463" s="67"/>
      <c r="J463" s="67"/>
      <c r="K463" s="105"/>
      <c r="L463" s="67"/>
    </row>
    <row r="464" spans="1:12" x14ac:dyDescent="0.25">
      <c r="A464" s="16"/>
      <c r="B464" s="65"/>
      <c r="C464" s="65"/>
      <c r="D464" s="65"/>
      <c r="E464" s="65"/>
      <c r="F464" s="66"/>
      <c r="G464" s="66"/>
      <c r="H464" s="67"/>
      <c r="I464" s="67"/>
      <c r="J464" s="67"/>
      <c r="K464" s="105"/>
      <c r="L464" s="67"/>
    </row>
    <row r="465" spans="1:12" x14ac:dyDescent="0.25">
      <c r="A465" s="16"/>
      <c r="B465" s="65"/>
      <c r="C465" s="65"/>
      <c r="D465" s="65"/>
      <c r="E465" s="65"/>
      <c r="F465" s="66"/>
      <c r="G465" s="66"/>
      <c r="H465" s="67"/>
      <c r="I465" s="67"/>
      <c r="J465" s="67"/>
      <c r="K465" s="105"/>
      <c r="L465" s="67"/>
    </row>
    <row r="466" spans="1:12" x14ac:dyDescent="0.25">
      <c r="A466" s="16"/>
      <c r="B466" s="65"/>
      <c r="C466" s="65"/>
      <c r="D466" s="65"/>
      <c r="E466" s="65"/>
      <c r="F466" s="66"/>
      <c r="G466" s="66"/>
      <c r="H466" s="67"/>
      <c r="I466" s="67"/>
      <c r="J466" s="67"/>
      <c r="K466" s="105"/>
      <c r="L466" s="67"/>
    </row>
    <row r="467" spans="1:12" x14ac:dyDescent="0.25">
      <c r="A467" s="16"/>
      <c r="B467" s="65"/>
      <c r="C467" s="65"/>
      <c r="D467" s="65"/>
      <c r="E467" s="65"/>
      <c r="F467" s="66"/>
      <c r="G467" s="66"/>
      <c r="H467" s="67"/>
      <c r="I467" s="67"/>
      <c r="J467" s="67"/>
      <c r="K467" s="105"/>
      <c r="L467" s="67"/>
    </row>
    <row r="468" spans="1:12" x14ac:dyDescent="0.25">
      <c r="A468" s="16"/>
      <c r="B468" s="65"/>
      <c r="C468" s="65"/>
      <c r="D468" s="65"/>
      <c r="E468" s="65"/>
      <c r="F468" s="66"/>
      <c r="G468" s="66"/>
      <c r="H468" s="67"/>
      <c r="I468" s="67"/>
      <c r="J468" s="67"/>
      <c r="K468" s="105"/>
      <c r="L468" s="67"/>
    </row>
    <row r="469" spans="1:12" x14ac:dyDescent="0.25">
      <c r="A469" s="16"/>
      <c r="B469" s="65"/>
      <c r="C469" s="65"/>
      <c r="D469" s="65"/>
      <c r="E469" s="65"/>
      <c r="F469" s="66"/>
      <c r="G469" s="66"/>
      <c r="H469" s="67"/>
      <c r="I469" s="67"/>
      <c r="J469" s="67"/>
      <c r="K469" s="105"/>
      <c r="L469" s="67"/>
    </row>
    <row r="470" spans="1:12" x14ac:dyDescent="0.25">
      <c r="A470" s="16"/>
      <c r="B470" s="65"/>
      <c r="C470" s="65"/>
      <c r="D470" s="65"/>
      <c r="E470" s="65"/>
      <c r="F470" s="66"/>
      <c r="G470" s="66"/>
      <c r="H470" s="67"/>
      <c r="I470" s="67"/>
      <c r="J470" s="67"/>
      <c r="K470" s="105"/>
      <c r="L470" s="67"/>
    </row>
    <row r="471" spans="1:12" x14ac:dyDescent="0.25">
      <c r="A471" s="16"/>
      <c r="B471" s="65"/>
      <c r="C471" s="65"/>
      <c r="D471" s="65"/>
      <c r="E471" s="65"/>
      <c r="F471" s="66"/>
      <c r="G471" s="66"/>
      <c r="H471" s="67"/>
      <c r="I471" s="67"/>
      <c r="J471" s="67"/>
      <c r="K471" s="105"/>
      <c r="L471" s="67"/>
    </row>
    <row r="472" spans="1:12" x14ac:dyDescent="0.25">
      <c r="A472" s="16"/>
      <c r="B472" s="65"/>
      <c r="C472" s="65"/>
      <c r="D472" s="65"/>
      <c r="E472" s="65"/>
      <c r="F472" s="66"/>
      <c r="G472" s="66"/>
      <c r="H472" s="67"/>
      <c r="I472" s="67"/>
      <c r="J472" s="67"/>
      <c r="K472" s="105"/>
      <c r="L472" s="67"/>
    </row>
    <row r="473" spans="1:12" x14ac:dyDescent="0.25">
      <c r="A473" s="16"/>
      <c r="B473" s="65"/>
      <c r="C473" s="65"/>
      <c r="D473" s="65"/>
      <c r="E473" s="65"/>
      <c r="F473" s="66"/>
      <c r="G473" s="66"/>
      <c r="H473" s="67"/>
      <c r="I473" s="67"/>
      <c r="J473" s="67"/>
      <c r="K473" s="105"/>
      <c r="L473" s="67"/>
    </row>
    <row r="474" spans="1:12" x14ac:dyDescent="0.25">
      <c r="A474" s="16"/>
      <c r="B474" s="65"/>
      <c r="C474" s="65"/>
      <c r="D474" s="65"/>
      <c r="E474" s="65"/>
      <c r="F474" s="66"/>
      <c r="G474" s="66"/>
      <c r="H474" s="67"/>
      <c r="I474" s="67"/>
      <c r="J474" s="67"/>
      <c r="K474" s="105"/>
      <c r="L474" s="67"/>
    </row>
    <row r="475" spans="1:12" x14ac:dyDescent="0.25">
      <c r="A475" s="16"/>
      <c r="B475" s="65"/>
      <c r="C475" s="65"/>
      <c r="D475" s="65"/>
      <c r="E475" s="65"/>
      <c r="F475" s="66"/>
      <c r="G475" s="66"/>
      <c r="H475" s="67"/>
      <c r="I475" s="67"/>
      <c r="J475" s="67"/>
      <c r="K475" s="105"/>
      <c r="L475" s="67"/>
    </row>
    <row r="476" spans="1:12" x14ac:dyDescent="0.25">
      <c r="A476" s="16"/>
      <c r="B476" s="65"/>
      <c r="C476" s="65"/>
      <c r="D476" s="65"/>
      <c r="E476" s="65"/>
      <c r="F476" s="66"/>
      <c r="G476" s="66"/>
      <c r="H476" s="67"/>
      <c r="I476" s="67"/>
      <c r="J476" s="67"/>
      <c r="K476" s="105"/>
      <c r="L476" s="67"/>
    </row>
    <row r="477" spans="1:12" x14ac:dyDescent="0.25">
      <c r="A477" s="16"/>
      <c r="B477" s="65"/>
      <c r="C477" s="65"/>
      <c r="D477" s="65"/>
      <c r="E477" s="65"/>
      <c r="F477" s="66"/>
      <c r="G477" s="66"/>
      <c r="H477" s="67"/>
      <c r="I477" s="67"/>
      <c r="J477" s="67"/>
      <c r="K477" s="105"/>
      <c r="L477" s="67"/>
    </row>
    <row r="478" spans="1:12" x14ac:dyDescent="0.25">
      <c r="A478" s="16"/>
      <c r="B478" s="65"/>
      <c r="C478" s="65"/>
      <c r="D478" s="65"/>
      <c r="E478" s="65"/>
      <c r="F478" s="66"/>
      <c r="G478" s="66"/>
      <c r="H478" s="67"/>
      <c r="I478" s="67"/>
      <c r="J478" s="67"/>
      <c r="K478" s="105"/>
      <c r="L478" s="67"/>
    </row>
    <row r="479" spans="1:12" x14ac:dyDescent="0.25">
      <c r="A479" s="16"/>
      <c r="B479" s="65"/>
      <c r="C479" s="65"/>
      <c r="D479" s="65"/>
      <c r="E479" s="65"/>
      <c r="F479" s="66"/>
      <c r="G479" s="66"/>
      <c r="H479" s="67"/>
      <c r="I479" s="67"/>
      <c r="J479" s="67"/>
      <c r="K479" s="105"/>
      <c r="L479" s="67"/>
    </row>
    <row r="480" spans="1:12" x14ac:dyDescent="0.25">
      <c r="A480" s="16"/>
      <c r="B480" s="65"/>
      <c r="C480" s="65"/>
      <c r="D480" s="65"/>
      <c r="E480" s="65"/>
      <c r="F480" s="66"/>
      <c r="G480" s="66"/>
      <c r="H480" s="67"/>
      <c r="I480" s="67"/>
      <c r="J480" s="67"/>
      <c r="K480" s="105"/>
      <c r="L480" s="67"/>
    </row>
    <row r="481" spans="1:12" x14ac:dyDescent="0.25">
      <c r="A481" s="16"/>
      <c r="B481" s="65"/>
      <c r="C481" s="65"/>
      <c r="D481" s="65"/>
      <c r="E481" s="65"/>
      <c r="F481" s="66"/>
      <c r="G481" s="66"/>
      <c r="H481" s="67"/>
      <c r="I481" s="67"/>
      <c r="J481" s="67"/>
      <c r="K481" s="105"/>
      <c r="L481" s="67"/>
    </row>
    <row r="482" spans="1:12" x14ac:dyDescent="0.25">
      <c r="A482" s="16"/>
      <c r="B482" s="65"/>
      <c r="C482" s="65"/>
      <c r="D482" s="65"/>
      <c r="E482" s="65"/>
      <c r="F482" s="66"/>
      <c r="G482" s="66"/>
      <c r="H482" s="67"/>
      <c r="I482" s="67"/>
      <c r="J482" s="67"/>
      <c r="K482" s="105"/>
      <c r="L482" s="67"/>
    </row>
    <row r="483" spans="1:12" x14ac:dyDescent="0.25">
      <c r="A483" s="16"/>
      <c r="B483" s="65"/>
      <c r="C483" s="65"/>
      <c r="D483" s="65"/>
      <c r="E483" s="65"/>
      <c r="F483" s="66"/>
      <c r="G483" s="66"/>
      <c r="H483" s="67"/>
      <c r="I483" s="67"/>
      <c r="J483" s="67"/>
      <c r="K483" s="105"/>
      <c r="L483" s="67"/>
    </row>
    <row r="484" spans="1:12" x14ac:dyDescent="0.25">
      <c r="A484" s="16"/>
      <c r="B484" s="65"/>
      <c r="C484" s="65"/>
      <c r="D484" s="65"/>
      <c r="E484" s="65"/>
      <c r="F484" s="66"/>
      <c r="G484" s="66"/>
      <c r="H484" s="67"/>
      <c r="I484" s="67"/>
      <c r="J484" s="67"/>
      <c r="K484" s="105"/>
      <c r="L484" s="67"/>
    </row>
    <row r="485" spans="1:12" x14ac:dyDescent="0.25">
      <c r="A485" s="16"/>
      <c r="B485" s="65"/>
      <c r="C485" s="65"/>
      <c r="D485" s="65"/>
      <c r="E485" s="65"/>
      <c r="F485" s="66"/>
      <c r="G485" s="66"/>
      <c r="H485" s="67"/>
      <c r="I485" s="67"/>
      <c r="J485" s="67"/>
      <c r="K485" s="105"/>
      <c r="L485" s="67"/>
    </row>
    <row r="486" spans="1:12" x14ac:dyDescent="0.25">
      <c r="A486" s="16"/>
      <c r="B486" s="65"/>
      <c r="C486" s="65"/>
      <c r="D486" s="65"/>
      <c r="E486" s="65"/>
      <c r="F486" s="66"/>
      <c r="G486" s="66"/>
      <c r="H486" s="67"/>
      <c r="I486" s="67"/>
      <c r="J486" s="67"/>
      <c r="K486" s="105"/>
      <c r="L486" s="67"/>
    </row>
    <row r="487" spans="1:12" x14ac:dyDescent="0.25">
      <c r="A487" s="16"/>
      <c r="B487" s="65"/>
      <c r="C487" s="65"/>
      <c r="D487" s="65"/>
      <c r="E487" s="65"/>
      <c r="F487" s="66"/>
      <c r="G487" s="66"/>
      <c r="H487" s="67"/>
      <c r="I487" s="67"/>
      <c r="J487" s="67"/>
      <c r="K487" s="105"/>
      <c r="L487" s="67"/>
    </row>
    <row r="488" spans="1:12" x14ac:dyDescent="0.25">
      <c r="A488" s="16"/>
      <c r="B488" s="65"/>
      <c r="C488" s="65"/>
      <c r="D488" s="65"/>
      <c r="E488" s="65"/>
      <c r="F488" s="66"/>
      <c r="G488" s="66"/>
      <c r="H488" s="67"/>
      <c r="I488" s="67"/>
      <c r="J488" s="67"/>
      <c r="K488" s="105"/>
      <c r="L488" s="67"/>
    </row>
    <row r="489" spans="1:12" x14ac:dyDescent="0.25">
      <c r="A489" s="16"/>
      <c r="B489" s="65"/>
      <c r="C489" s="65"/>
      <c r="D489" s="65"/>
      <c r="E489" s="65"/>
      <c r="F489" s="66"/>
      <c r="G489" s="66"/>
      <c r="H489" s="67"/>
      <c r="I489" s="67"/>
      <c r="J489" s="67"/>
      <c r="K489" s="105"/>
      <c r="L489" s="67"/>
    </row>
    <row r="490" spans="1:12" x14ac:dyDescent="0.25">
      <c r="A490" s="16"/>
      <c r="B490" s="65"/>
      <c r="C490" s="65"/>
      <c r="D490" s="65"/>
      <c r="E490" s="65"/>
      <c r="F490" s="66"/>
      <c r="G490" s="66"/>
      <c r="H490" s="67"/>
      <c r="I490" s="67"/>
      <c r="J490" s="67"/>
      <c r="K490" s="105"/>
      <c r="L490" s="67"/>
    </row>
    <row r="491" spans="1:12" x14ac:dyDescent="0.25">
      <c r="A491" s="16"/>
      <c r="B491" s="65"/>
      <c r="C491" s="65"/>
      <c r="D491" s="65"/>
      <c r="E491" s="65"/>
      <c r="F491" s="66"/>
      <c r="G491" s="66"/>
      <c r="H491" s="67"/>
      <c r="I491" s="67"/>
      <c r="J491" s="67"/>
      <c r="K491" s="105"/>
      <c r="L491" s="67"/>
    </row>
    <row r="492" spans="1:12" x14ac:dyDescent="0.25">
      <c r="A492" s="16"/>
      <c r="B492" s="65"/>
      <c r="C492" s="65"/>
      <c r="D492" s="65"/>
      <c r="E492" s="65"/>
      <c r="F492" s="66"/>
      <c r="G492" s="66"/>
      <c r="H492" s="67"/>
      <c r="I492" s="67"/>
      <c r="J492" s="67"/>
      <c r="K492" s="105"/>
      <c r="L492" s="67"/>
    </row>
    <row r="493" spans="1:12" x14ac:dyDescent="0.25">
      <c r="A493" s="16"/>
      <c r="B493" s="65"/>
      <c r="C493" s="65"/>
      <c r="D493" s="65"/>
      <c r="E493" s="65"/>
      <c r="F493" s="66"/>
      <c r="G493" s="66"/>
      <c r="H493" s="67"/>
      <c r="I493" s="67"/>
      <c r="J493" s="67"/>
      <c r="K493" s="105"/>
      <c r="L493" s="67"/>
    </row>
    <row r="494" spans="1:12" x14ac:dyDescent="0.25">
      <c r="A494" s="16"/>
      <c r="B494" s="65"/>
      <c r="C494" s="65"/>
      <c r="D494" s="65"/>
      <c r="E494" s="65"/>
      <c r="F494" s="66"/>
      <c r="G494" s="66"/>
      <c r="H494" s="67"/>
      <c r="I494" s="67"/>
      <c r="J494" s="67"/>
      <c r="K494" s="105"/>
      <c r="L494" s="67"/>
    </row>
    <row r="495" spans="1:12" x14ac:dyDescent="0.25">
      <c r="A495" s="16"/>
      <c r="B495" s="65"/>
      <c r="C495" s="65"/>
      <c r="D495" s="65"/>
      <c r="E495" s="65"/>
      <c r="F495" s="66"/>
      <c r="G495" s="66"/>
      <c r="H495" s="67"/>
      <c r="I495" s="67"/>
      <c r="J495" s="67"/>
      <c r="K495" s="105"/>
      <c r="L495" s="67"/>
    </row>
    <row r="496" spans="1:12" x14ac:dyDescent="0.25">
      <c r="A496" s="16"/>
      <c r="B496" s="65"/>
      <c r="C496" s="65"/>
      <c r="D496" s="65"/>
      <c r="E496" s="65"/>
      <c r="F496" s="66"/>
      <c r="G496" s="66"/>
      <c r="H496" s="67"/>
      <c r="I496" s="67"/>
      <c r="J496" s="67"/>
      <c r="K496" s="105"/>
      <c r="L496" s="67"/>
    </row>
    <row r="497" spans="1:12" x14ac:dyDescent="0.25">
      <c r="A497" s="16"/>
      <c r="B497" s="65"/>
      <c r="C497" s="65"/>
      <c r="D497" s="65"/>
      <c r="E497" s="65"/>
      <c r="F497" s="66"/>
      <c r="G497" s="66"/>
      <c r="H497" s="67"/>
      <c r="I497" s="67"/>
      <c r="J497" s="67"/>
      <c r="K497" s="105"/>
      <c r="L497" s="67"/>
    </row>
    <row r="498" spans="1:12" x14ac:dyDescent="0.25">
      <c r="A498" s="16"/>
      <c r="B498" s="65"/>
      <c r="C498" s="65"/>
      <c r="D498" s="65"/>
      <c r="E498" s="65"/>
      <c r="F498" s="66"/>
      <c r="G498" s="66"/>
      <c r="H498" s="67"/>
      <c r="I498" s="67"/>
      <c r="J498" s="67"/>
      <c r="K498" s="105"/>
      <c r="L498" s="67"/>
    </row>
    <row r="499" spans="1:12" x14ac:dyDescent="0.25">
      <c r="A499" s="16"/>
      <c r="B499" s="65"/>
      <c r="C499" s="65"/>
      <c r="D499" s="65"/>
      <c r="E499" s="65"/>
      <c r="F499" s="66"/>
      <c r="G499" s="66"/>
      <c r="H499" s="67"/>
      <c r="I499" s="67"/>
      <c r="J499" s="67"/>
      <c r="K499" s="105"/>
      <c r="L499" s="67"/>
    </row>
    <row r="500" spans="1:12" x14ac:dyDescent="0.25">
      <c r="A500" s="16"/>
      <c r="B500" s="65"/>
      <c r="C500" s="65"/>
      <c r="D500" s="65"/>
      <c r="E500" s="65"/>
      <c r="F500" s="66"/>
      <c r="G500" s="66"/>
      <c r="H500" s="67"/>
      <c r="I500" s="67"/>
      <c r="J500" s="67"/>
      <c r="K500" s="105"/>
      <c r="L500" s="67"/>
    </row>
    <row r="501" spans="1:12" x14ac:dyDescent="0.25">
      <c r="A501" s="16"/>
      <c r="B501" s="65"/>
      <c r="C501" s="65"/>
      <c r="D501" s="65"/>
      <c r="E501" s="65"/>
      <c r="F501" s="66"/>
      <c r="G501" s="66"/>
      <c r="H501" s="67"/>
      <c r="I501" s="67"/>
      <c r="J501" s="67"/>
      <c r="K501" s="105"/>
      <c r="L501" s="67"/>
    </row>
    <row r="502" spans="1:12" x14ac:dyDescent="0.25">
      <c r="A502" s="16"/>
      <c r="B502" s="65"/>
      <c r="C502" s="65"/>
      <c r="D502" s="65"/>
      <c r="E502" s="65"/>
      <c r="F502" s="66"/>
      <c r="G502" s="66"/>
      <c r="H502" s="67"/>
      <c r="I502" s="67"/>
      <c r="J502" s="67"/>
      <c r="K502" s="105"/>
      <c r="L502" s="67"/>
    </row>
    <row r="503" spans="1:12" x14ac:dyDescent="0.25">
      <c r="A503" s="16"/>
      <c r="B503" s="65"/>
      <c r="C503" s="65"/>
      <c r="D503" s="65"/>
      <c r="E503" s="65"/>
      <c r="F503" s="66"/>
      <c r="G503" s="66"/>
      <c r="H503" s="67"/>
      <c r="I503" s="67"/>
      <c r="J503" s="67"/>
      <c r="K503" s="105"/>
      <c r="L503" s="67"/>
    </row>
    <row r="504" spans="1:12" x14ac:dyDescent="0.25">
      <c r="A504" s="16"/>
      <c r="B504" s="65"/>
      <c r="C504" s="65"/>
      <c r="D504" s="65"/>
      <c r="E504" s="65"/>
      <c r="F504" s="66"/>
      <c r="G504" s="66"/>
      <c r="H504" s="67"/>
      <c r="I504" s="67"/>
      <c r="J504" s="67"/>
      <c r="K504" s="105"/>
      <c r="L504" s="67"/>
    </row>
    <row r="505" spans="1:12" x14ac:dyDescent="0.25">
      <c r="A505" s="16"/>
      <c r="B505" s="65"/>
      <c r="C505" s="65"/>
      <c r="D505" s="65"/>
      <c r="E505" s="65"/>
      <c r="F505" s="66"/>
      <c r="G505" s="66"/>
      <c r="H505" s="67"/>
      <c r="I505" s="67"/>
      <c r="J505" s="67"/>
      <c r="K505" s="105"/>
      <c r="L505" s="67"/>
    </row>
    <row r="506" spans="1:12" x14ac:dyDescent="0.25">
      <c r="A506" s="16"/>
      <c r="B506" s="65"/>
      <c r="C506" s="65"/>
      <c r="D506" s="65"/>
      <c r="E506" s="65"/>
      <c r="F506" s="66"/>
      <c r="G506" s="66"/>
      <c r="H506" s="67"/>
      <c r="I506" s="67"/>
      <c r="J506" s="67"/>
      <c r="K506" s="105"/>
      <c r="L506" s="67"/>
    </row>
    <row r="507" spans="1:12" x14ac:dyDescent="0.25">
      <c r="A507" s="16"/>
      <c r="B507" s="65"/>
      <c r="C507" s="65"/>
      <c r="D507" s="65"/>
      <c r="E507" s="65"/>
      <c r="F507" s="66"/>
      <c r="G507" s="66"/>
      <c r="H507" s="67"/>
      <c r="I507" s="67"/>
      <c r="J507" s="67"/>
      <c r="K507" s="105"/>
      <c r="L507" s="67"/>
    </row>
    <row r="508" spans="1:12" x14ac:dyDescent="0.25">
      <c r="A508" s="16"/>
      <c r="B508" s="65"/>
      <c r="C508" s="65"/>
      <c r="D508" s="65"/>
      <c r="E508" s="65"/>
      <c r="F508" s="66"/>
      <c r="G508" s="66"/>
      <c r="H508" s="67"/>
      <c r="I508" s="67"/>
      <c r="J508" s="67"/>
      <c r="K508" s="105"/>
      <c r="L508" s="67"/>
    </row>
    <row r="509" spans="1:12" x14ac:dyDescent="0.25">
      <c r="A509" s="16"/>
      <c r="B509" s="65"/>
      <c r="C509" s="65"/>
      <c r="D509" s="65"/>
      <c r="E509" s="65"/>
      <c r="F509" s="66"/>
      <c r="G509" s="66"/>
      <c r="H509" s="67"/>
      <c r="I509" s="67"/>
      <c r="J509" s="67"/>
      <c r="K509" s="105"/>
      <c r="L509" s="67"/>
    </row>
    <row r="510" spans="1:12" x14ac:dyDescent="0.25">
      <c r="A510" s="16"/>
      <c r="B510" s="65"/>
      <c r="C510" s="65"/>
      <c r="D510" s="65"/>
      <c r="E510" s="65"/>
      <c r="F510" s="66"/>
      <c r="G510" s="66"/>
      <c r="H510" s="67"/>
      <c r="I510" s="67"/>
      <c r="J510" s="67"/>
      <c r="K510" s="105"/>
      <c r="L510" s="67"/>
    </row>
    <row r="511" spans="1:12" x14ac:dyDescent="0.25">
      <c r="A511" s="16"/>
      <c r="B511" s="65"/>
      <c r="C511" s="65"/>
      <c r="D511" s="65"/>
      <c r="E511" s="65"/>
      <c r="F511" s="66"/>
      <c r="G511" s="66"/>
      <c r="H511" s="67"/>
      <c r="I511" s="67"/>
      <c r="J511" s="67"/>
      <c r="K511" s="105"/>
      <c r="L511" s="67"/>
    </row>
    <row r="512" spans="1:12" x14ac:dyDescent="0.25">
      <c r="A512" s="16"/>
      <c r="B512" s="65"/>
      <c r="C512" s="65"/>
      <c r="D512" s="65"/>
      <c r="E512" s="65"/>
      <c r="F512" s="66"/>
      <c r="G512" s="66"/>
      <c r="H512" s="67"/>
      <c r="I512" s="67"/>
      <c r="J512" s="67"/>
      <c r="K512" s="105"/>
      <c r="L512" s="67"/>
    </row>
    <row r="513" spans="1:12" x14ac:dyDescent="0.25">
      <c r="A513" s="16"/>
      <c r="B513" s="65"/>
      <c r="C513" s="65"/>
      <c r="D513" s="65"/>
      <c r="E513" s="65"/>
      <c r="F513" s="66"/>
      <c r="G513" s="66"/>
      <c r="H513" s="67"/>
      <c r="I513" s="67"/>
      <c r="J513" s="67"/>
      <c r="K513" s="105"/>
      <c r="L513" s="67"/>
    </row>
    <row r="514" spans="1:12" x14ac:dyDescent="0.25">
      <c r="A514" s="16"/>
      <c r="B514" s="16"/>
      <c r="C514" s="16"/>
      <c r="D514" s="17"/>
      <c r="E514" s="16"/>
      <c r="F514" s="20"/>
      <c r="G514" s="20"/>
      <c r="H514" s="18"/>
      <c r="I514" s="18"/>
      <c r="J514" s="67"/>
      <c r="K514" s="105"/>
      <c r="L514" s="67"/>
    </row>
  </sheetData>
  <phoneticPr fontId="3" type="noConversion"/>
  <pageMargins left="0.5" right="0.5" top="0.88" bottom="0.75" header="0.18" footer="0.5"/>
  <pageSetup scale="89" orientation="landscape" r:id="rId1"/>
  <headerFooter alignWithMargins="0">
    <oddHeader>&amp;L&amp;G&amp;C&amp;14Electives&amp;RIT Enterprise Applications
 Pipeline Report - In Process</oddHeader>
    <oddFooter>&amp;C&amp;P&amp;R&amp;D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Normal="100" workbookViewId="0">
      <selection sqref="A1:IV1"/>
    </sheetView>
  </sheetViews>
  <sheetFormatPr defaultRowHeight="12.5" x14ac:dyDescent="0.25"/>
  <cols>
    <col min="1" max="1" width="15.81640625" bestFit="1" customWidth="1"/>
    <col min="2" max="2" width="9.7265625" customWidth="1"/>
    <col min="3" max="3" width="9" customWidth="1"/>
    <col min="4" max="4" width="5.26953125" style="3" customWidth="1"/>
    <col min="5" max="5" width="31.1796875" style="2" customWidth="1"/>
    <col min="6" max="6" width="8.453125" style="26" bestFit="1" customWidth="1"/>
    <col min="7" max="7" width="7" style="26" customWidth="1"/>
    <col min="8" max="9" width="8.1796875" style="4" bestFit="1" customWidth="1"/>
  </cols>
  <sheetData>
    <row r="1" spans="1:9" s="1" customFormat="1" ht="25.5" customHeight="1" x14ac:dyDescent="0.25">
      <c r="A1" s="5" t="s">
        <v>477</v>
      </c>
      <c r="B1" s="5" t="s">
        <v>429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x14ac:dyDescent="0.25">
      <c r="A2" s="41" t="s">
        <v>473</v>
      </c>
      <c r="B2" s="22" t="s">
        <v>389</v>
      </c>
      <c r="C2" s="22" t="s">
        <v>486</v>
      </c>
      <c r="D2" s="22">
        <v>14450</v>
      </c>
      <c r="E2" s="22" t="s">
        <v>846</v>
      </c>
      <c r="F2" s="23">
        <v>37659</v>
      </c>
      <c r="G2" s="23"/>
      <c r="H2" s="40">
        <v>100</v>
      </c>
      <c r="I2" s="40">
        <v>150</v>
      </c>
    </row>
    <row r="3" spans="1:9" x14ac:dyDescent="0.25">
      <c r="A3" s="38" t="s">
        <v>485</v>
      </c>
      <c r="B3" s="38" t="s">
        <v>6</v>
      </c>
      <c r="C3" s="38" t="s">
        <v>334</v>
      </c>
      <c r="D3" s="37">
        <v>14057</v>
      </c>
      <c r="E3" s="34" t="s">
        <v>848</v>
      </c>
      <c r="F3" s="39">
        <v>37726</v>
      </c>
      <c r="G3" s="39">
        <v>38047</v>
      </c>
      <c r="H3" s="35">
        <v>1800</v>
      </c>
      <c r="I3" s="35">
        <v>2500</v>
      </c>
    </row>
    <row r="4" spans="1:9" x14ac:dyDescent="0.25">
      <c r="A4" s="38" t="s">
        <v>515</v>
      </c>
      <c r="B4" s="38" t="s">
        <v>367</v>
      </c>
      <c r="C4" s="38" t="s">
        <v>847</v>
      </c>
      <c r="D4" s="37">
        <v>14578</v>
      </c>
      <c r="E4" s="34" t="s">
        <v>466</v>
      </c>
      <c r="F4" s="39">
        <v>37931</v>
      </c>
      <c r="G4" s="39">
        <v>38352</v>
      </c>
      <c r="H4" s="35">
        <v>1000</v>
      </c>
      <c r="I4" s="35">
        <v>9999</v>
      </c>
    </row>
    <row r="5" spans="1:9" x14ac:dyDescent="0.25">
      <c r="A5" s="38" t="s">
        <v>515</v>
      </c>
      <c r="B5" s="38" t="s">
        <v>367</v>
      </c>
      <c r="C5" s="38" t="s">
        <v>334</v>
      </c>
      <c r="D5" s="37">
        <v>14056</v>
      </c>
      <c r="E5" s="34" t="s">
        <v>647</v>
      </c>
      <c r="F5" s="39">
        <v>37585</v>
      </c>
      <c r="G5" s="39">
        <v>38078</v>
      </c>
      <c r="H5" s="35">
        <v>8000</v>
      </c>
      <c r="I5" s="35">
        <v>16000</v>
      </c>
    </row>
    <row r="6" spans="1:9" x14ac:dyDescent="0.25">
      <c r="A6" s="38" t="s">
        <v>515</v>
      </c>
      <c r="B6" s="38" t="s">
        <v>360</v>
      </c>
      <c r="C6" s="38" t="s">
        <v>334</v>
      </c>
      <c r="D6" s="37">
        <v>14173</v>
      </c>
      <c r="E6" s="34" t="s">
        <v>646</v>
      </c>
      <c r="F6" s="39">
        <v>37622</v>
      </c>
      <c r="G6" s="39">
        <v>38017</v>
      </c>
      <c r="H6" s="35">
        <v>650</v>
      </c>
      <c r="I6" s="35">
        <v>950</v>
      </c>
    </row>
  </sheetData>
  <phoneticPr fontId="3" type="noConversion"/>
  <pageMargins left="0.5" right="0.5" top="0.88" bottom="0.75" header="0.18" footer="0.5"/>
  <pageSetup scale="91" orientation="landscape" r:id="rId1"/>
  <headerFooter alignWithMargins="0">
    <oddHeader>&amp;L&amp;G&amp;C&amp;14OnePurdue&amp;RIT Enterprise Applications
Pipeline Report - In Process</oddHeader>
    <oddFooter>&amp;C&amp;P&amp;R&amp;D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sqref="A1:IV1"/>
    </sheetView>
  </sheetViews>
  <sheetFormatPr defaultRowHeight="12.5" x14ac:dyDescent="0.25"/>
  <cols>
    <col min="1" max="1" width="12.26953125" customWidth="1"/>
    <col min="2" max="2" width="10.453125" customWidth="1"/>
    <col min="3" max="3" width="8" customWidth="1"/>
    <col min="4" max="4" width="6" style="3" customWidth="1"/>
    <col min="5" max="5" width="20.453125" style="2" customWidth="1"/>
    <col min="6" max="6" width="8.453125" style="26" customWidth="1"/>
    <col min="7" max="7" width="8.1796875" style="26" customWidth="1"/>
    <col min="8" max="9" width="8.26953125" style="4" bestFit="1" customWidth="1"/>
    <col min="10" max="10" width="10.7265625" bestFit="1" customWidth="1"/>
  </cols>
  <sheetData>
    <row r="1" spans="1:9" s="1" customFormat="1" ht="25.5" customHeight="1" x14ac:dyDescent="0.25">
      <c r="A1" s="5" t="s">
        <v>477</v>
      </c>
      <c r="B1" s="5" t="s">
        <v>429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x14ac:dyDescent="0.25">
      <c r="A2" s="54"/>
      <c r="B2" s="54"/>
      <c r="C2" s="54"/>
      <c r="D2" s="15"/>
      <c r="E2" s="13"/>
      <c r="F2" s="25"/>
      <c r="G2" s="25"/>
      <c r="H2" s="14"/>
      <c r="I2" s="14"/>
    </row>
    <row r="3" spans="1:9" x14ac:dyDescent="0.25">
      <c r="A3" s="54"/>
      <c r="B3" s="54"/>
      <c r="C3" s="54"/>
      <c r="D3" s="15"/>
      <c r="E3" s="13"/>
      <c r="F3" s="25"/>
      <c r="G3" s="25"/>
      <c r="H3" s="14"/>
      <c r="I3" s="14"/>
    </row>
    <row r="4" spans="1:9" x14ac:dyDescent="0.25">
      <c r="A4" s="54"/>
      <c r="B4" s="54"/>
      <c r="C4" s="54"/>
      <c r="D4" s="15"/>
      <c r="E4" s="13"/>
      <c r="F4" s="25"/>
      <c r="G4" s="25"/>
      <c r="H4" s="14"/>
      <c r="I4" s="14"/>
    </row>
    <row r="5" spans="1:9" x14ac:dyDescent="0.25">
      <c r="A5" s="54"/>
      <c r="B5" s="54"/>
      <c r="C5" s="54"/>
      <c r="D5" s="15"/>
      <c r="E5" s="13"/>
      <c r="F5" s="25"/>
      <c r="G5" s="25"/>
      <c r="H5" s="14"/>
      <c r="I5" s="14"/>
    </row>
  </sheetData>
  <phoneticPr fontId="3" type="noConversion"/>
  <pageMargins left="0.5" right="0.5" top="0.88" bottom="0.75" header="0.18" footer="0.5"/>
  <pageSetup scale="91" orientation="landscape" r:id="rId1"/>
  <headerFooter alignWithMargins="0">
    <oddHeader>&amp;L&amp;G&amp;CNew Applications&amp;RIT Enterprise Applications
Pipeline Report - In Process</oddHeader>
    <oddFooter>&amp;C&amp;P&amp;R&amp;D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zoomScaleNormal="100" workbookViewId="0">
      <selection activeCell="A2" sqref="A2"/>
    </sheetView>
  </sheetViews>
  <sheetFormatPr defaultRowHeight="12.5" x14ac:dyDescent="0.25"/>
  <cols>
    <col min="1" max="1" width="17.453125" style="52" bestFit="1" customWidth="1"/>
    <col min="2" max="2" width="10.1796875" style="2" customWidth="1"/>
    <col min="3" max="3" width="8.7265625" style="2" customWidth="1"/>
    <col min="4" max="4" width="5.26953125" style="3" customWidth="1"/>
    <col min="5" max="5" width="54.1796875" style="2" customWidth="1"/>
    <col min="6" max="6" width="8.453125" style="26" bestFit="1" customWidth="1"/>
    <col min="7" max="7" width="7" style="26" customWidth="1"/>
    <col min="8" max="9" width="8.1796875" style="4" bestFit="1" customWidth="1"/>
  </cols>
  <sheetData>
    <row r="1" spans="1:9" s="1" customFormat="1" ht="25.5" customHeight="1" x14ac:dyDescent="0.25">
      <c r="A1" s="49" t="s">
        <v>477</v>
      </c>
      <c r="B1" s="5" t="s">
        <v>671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x14ac:dyDescent="0.25">
      <c r="A2" s="50" t="s">
        <v>473</v>
      </c>
      <c r="B2" s="42" t="s">
        <v>383</v>
      </c>
      <c r="C2" s="42" t="s">
        <v>486</v>
      </c>
      <c r="D2" s="42">
        <v>14358</v>
      </c>
      <c r="E2" s="42" t="s">
        <v>648</v>
      </c>
      <c r="F2" s="43">
        <v>37908</v>
      </c>
      <c r="G2" s="43">
        <v>38077</v>
      </c>
      <c r="H2" s="44">
        <v>40</v>
      </c>
      <c r="I2" s="44">
        <v>80</v>
      </c>
    </row>
    <row r="3" spans="1:9" x14ac:dyDescent="0.25">
      <c r="A3" s="50" t="s">
        <v>473</v>
      </c>
      <c r="B3" s="42" t="s">
        <v>383</v>
      </c>
      <c r="C3" s="42" t="s">
        <v>486</v>
      </c>
      <c r="D3" s="42">
        <v>14476</v>
      </c>
      <c r="E3" s="42" t="s">
        <v>849</v>
      </c>
      <c r="F3" s="43">
        <v>37925</v>
      </c>
      <c r="G3" s="43"/>
      <c r="H3" s="44">
        <v>20</v>
      </c>
      <c r="I3" s="44">
        <v>100</v>
      </c>
    </row>
    <row r="4" spans="1:9" x14ac:dyDescent="0.25">
      <c r="A4" s="50" t="s">
        <v>473</v>
      </c>
      <c r="B4" s="42" t="s">
        <v>383</v>
      </c>
      <c r="C4" s="42" t="s">
        <v>486</v>
      </c>
      <c r="D4" s="42">
        <v>14851</v>
      </c>
      <c r="E4" s="42" t="s">
        <v>850</v>
      </c>
      <c r="F4" s="43">
        <v>37993</v>
      </c>
      <c r="G4" s="43">
        <v>38352</v>
      </c>
      <c r="H4" s="44">
        <v>80</v>
      </c>
      <c r="I4" s="44">
        <v>100</v>
      </c>
    </row>
    <row r="5" spans="1:9" x14ac:dyDescent="0.25">
      <c r="A5" s="50" t="s">
        <v>473</v>
      </c>
      <c r="B5" s="42" t="s">
        <v>383</v>
      </c>
      <c r="C5" s="42" t="s">
        <v>334</v>
      </c>
      <c r="D5" s="42">
        <v>14351</v>
      </c>
      <c r="E5" s="42" t="s">
        <v>385</v>
      </c>
      <c r="F5" s="43">
        <v>37908</v>
      </c>
      <c r="G5" s="43">
        <v>38260</v>
      </c>
      <c r="H5" s="44">
        <v>40</v>
      </c>
      <c r="I5" s="44">
        <v>80</v>
      </c>
    </row>
    <row r="6" spans="1:9" x14ac:dyDescent="0.25">
      <c r="A6" s="50" t="s">
        <v>473</v>
      </c>
      <c r="B6" s="42" t="s">
        <v>383</v>
      </c>
      <c r="C6" s="42" t="s">
        <v>334</v>
      </c>
      <c r="D6" s="42">
        <v>14427</v>
      </c>
      <c r="E6" s="42" t="s">
        <v>388</v>
      </c>
      <c r="F6" s="43">
        <v>37916</v>
      </c>
      <c r="G6" s="43">
        <v>38343</v>
      </c>
      <c r="H6" s="44">
        <v>950</v>
      </c>
      <c r="I6" s="44">
        <v>950</v>
      </c>
    </row>
    <row r="7" spans="1:9" x14ac:dyDescent="0.25">
      <c r="A7" s="50" t="s">
        <v>473</v>
      </c>
      <c r="B7" s="42" t="s">
        <v>383</v>
      </c>
      <c r="C7" s="42" t="s">
        <v>334</v>
      </c>
      <c r="D7" s="42">
        <v>14486</v>
      </c>
      <c r="E7" s="42" t="s">
        <v>851</v>
      </c>
      <c r="F7" s="43">
        <v>37925</v>
      </c>
      <c r="G7" s="43">
        <v>38077</v>
      </c>
      <c r="H7" s="44">
        <v>40</v>
      </c>
      <c r="I7" s="44">
        <v>80</v>
      </c>
    </row>
    <row r="8" spans="1:9" x14ac:dyDescent="0.25">
      <c r="A8" s="50" t="s">
        <v>473</v>
      </c>
      <c r="B8" s="42" t="s">
        <v>383</v>
      </c>
      <c r="C8" s="42" t="s">
        <v>334</v>
      </c>
      <c r="D8" s="42">
        <v>14630</v>
      </c>
      <c r="E8" s="42" t="s">
        <v>650</v>
      </c>
      <c r="F8" s="43">
        <v>37939</v>
      </c>
      <c r="G8" s="43"/>
      <c r="H8" s="44">
        <v>3</v>
      </c>
      <c r="I8" s="44">
        <v>10</v>
      </c>
    </row>
    <row r="9" spans="1:9" x14ac:dyDescent="0.25">
      <c r="A9" s="50" t="s">
        <v>473</v>
      </c>
      <c r="B9" s="42" t="s">
        <v>383</v>
      </c>
      <c r="C9" s="42" t="s">
        <v>334</v>
      </c>
      <c r="D9" s="42">
        <v>14852</v>
      </c>
      <c r="E9" s="42" t="s">
        <v>649</v>
      </c>
      <c r="F9" s="43">
        <v>37993</v>
      </c>
      <c r="G9" s="43">
        <v>38352</v>
      </c>
      <c r="H9" s="44">
        <v>20</v>
      </c>
      <c r="I9" s="44">
        <v>30</v>
      </c>
    </row>
    <row r="10" spans="1:9" x14ac:dyDescent="0.25">
      <c r="A10" s="50" t="s">
        <v>473</v>
      </c>
      <c r="B10" s="42" t="s">
        <v>364</v>
      </c>
      <c r="C10" s="42" t="s">
        <v>495</v>
      </c>
      <c r="D10" s="42">
        <v>14087</v>
      </c>
      <c r="E10" s="42" t="s">
        <v>852</v>
      </c>
      <c r="F10" s="43">
        <v>37878</v>
      </c>
      <c r="G10" s="43">
        <v>38200</v>
      </c>
      <c r="H10" s="44">
        <v>40</v>
      </c>
      <c r="I10" s="44">
        <v>100</v>
      </c>
    </row>
    <row r="11" spans="1:9" x14ac:dyDescent="0.25">
      <c r="A11" s="50" t="s">
        <v>473</v>
      </c>
      <c r="B11" s="42" t="s">
        <v>345</v>
      </c>
      <c r="C11" s="42" t="s">
        <v>334</v>
      </c>
      <c r="D11" s="42">
        <v>11855</v>
      </c>
      <c r="E11" s="42" t="s">
        <v>651</v>
      </c>
      <c r="F11" s="43">
        <v>37034</v>
      </c>
      <c r="G11" s="43"/>
      <c r="H11" s="44">
        <v>40</v>
      </c>
      <c r="I11" s="44">
        <v>120</v>
      </c>
    </row>
    <row r="12" spans="1:9" x14ac:dyDescent="0.25">
      <c r="A12" s="50" t="s">
        <v>473</v>
      </c>
      <c r="B12" s="42" t="s">
        <v>363</v>
      </c>
      <c r="C12" s="42" t="s">
        <v>334</v>
      </c>
      <c r="D12" s="42">
        <v>14860</v>
      </c>
      <c r="E12" s="42" t="s">
        <v>653</v>
      </c>
      <c r="F12" s="43">
        <v>37995</v>
      </c>
      <c r="G12" s="43"/>
      <c r="H12" s="44">
        <v>30</v>
      </c>
      <c r="I12" s="44">
        <v>90</v>
      </c>
    </row>
    <row r="13" spans="1:9" x14ac:dyDescent="0.25">
      <c r="A13" s="50" t="s">
        <v>473</v>
      </c>
      <c r="B13" s="42" t="s">
        <v>332</v>
      </c>
      <c r="C13" s="42" t="s">
        <v>334</v>
      </c>
      <c r="D13" s="42">
        <v>14945</v>
      </c>
      <c r="E13" s="42" t="s">
        <v>853</v>
      </c>
      <c r="F13" s="43">
        <v>37991</v>
      </c>
      <c r="G13" s="43">
        <v>38006</v>
      </c>
      <c r="H13" s="44">
        <v>4</v>
      </c>
      <c r="I13" s="44">
        <v>8</v>
      </c>
    </row>
    <row r="14" spans="1:9" x14ac:dyDescent="0.25">
      <c r="A14" s="50" t="s">
        <v>473</v>
      </c>
      <c r="B14" s="42" t="s">
        <v>332</v>
      </c>
      <c r="C14" s="42" t="s">
        <v>334</v>
      </c>
      <c r="D14" s="42">
        <v>14965</v>
      </c>
      <c r="E14" s="42" t="s">
        <v>854</v>
      </c>
      <c r="F14" s="43">
        <v>38002</v>
      </c>
      <c r="G14" s="43"/>
      <c r="H14" s="44">
        <v>50</v>
      </c>
      <c r="I14" s="44">
        <v>100</v>
      </c>
    </row>
    <row r="15" spans="1:9" x14ac:dyDescent="0.25">
      <c r="A15" s="50" t="s">
        <v>473</v>
      </c>
      <c r="B15" s="42" t="s">
        <v>332</v>
      </c>
      <c r="C15" s="42" t="s">
        <v>334</v>
      </c>
      <c r="D15" s="42">
        <v>14987</v>
      </c>
      <c r="E15" s="42" t="s">
        <v>855</v>
      </c>
      <c r="F15" s="43">
        <v>38007</v>
      </c>
      <c r="G15" s="43">
        <v>38009</v>
      </c>
      <c r="H15" s="44">
        <v>4</v>
      </c>
      <c r="I15" s="44">
        <v>8</v>
      </c>
    </row>
    <row r="16" spans="1:9" x14ac:dyDescent="0.25">
      <c r="A16" s="50" t="s">
        <v>473</v>
      </c>
      <c r="B16" s="42" t="s">
        <v>338</v>
      </c>
      <c r="C16" s="42" t="s">
        <v>334</v>
      </c>
      <c r="D16" s="42">
        <v>14903</v>
      </c>
      <c r="E16" s="42" t="s">
        <v>856</v>
      </c>
      <c r="F16" s="43">
        <v>37995</v>
      </c>
      <c r="G16" s="43">
        <v>38008</v>
      </c>
      <c r="H16" s="44">
        <v>2</v>
      </c>
      <c r="I16" s="44">
        <v>8</v>
      </c>
    </row>
    <row r="17" spans="1:9" x14ac:dyDescent="0.25">
      <c r="A17" s="50" t="s">
        <v>473</v>
      </c>
      <c r="B17" s="42" t="s">
        <v>338</v>
      </c>
      <c r="C17" s="42" t="s">
        <v>334</v>
      </c>
      <c r="D17" s="42">
        <v>14977</v>
      </c>
      <c r="E17" s="42" t="s">
        <v>857</v>
      </c>
      <c r="F17" s="43">
        <v>38002</v>
      </c>
      <c r="G17" s="43"/>
      <c r="H17" s="44">
        <v>1</v>
      </c>
      <c r="I17" s="44">
        <v>10</v>
      </c>
    </row>
    <row r="18" spans="1:9" x14ac:dyDescent="0.25">
      <c r="A18" s="50" t="s">
        <v>473</v>
      </c>
      <c r="B18" s="42" t="s">
        <v>352</v>
      </c>
      <c r="C18" s="42" t="s">
        <v>495</v>
      </c>
      <c r="D18" s="42">
        <v>14859</v>
      </c>
      <c r="E18" s="42" t="s">
        <v>858</v>
      </c>
      <c r="F18" s="43">
        <v>37995</v>
      </c>
      <c r="G18" s="43">
        <v>38044</v>
      </c>
      <c r="H18" s="44">
        <v>10</v>
      </c>
      <c r="I18" s="44">
        <v>40</v>
      </c>
    </row>
    <row r="19" spans="1:9" x14ac:dyDescent="0.25">
      <c r="A19" s="50" t="s">
        <v>473</v>
      </c>
      <c r="B19" s="42" t="s">
        <v>370</v>
      </c>
      <c r="C19" s="42" t="s">
        <v>495</v>
      </c>
      <c r="D19" s="42">
        <v>14129</v>
      </c>
      <c r="E19" s="42" t="s">
        <v>691</v>
      </c>
      <c r="F19" s="43">
        <v>37880</v>
      </c>
      <c r="G19" s="43"/>
      <c r="H19" s="44">
        <v>100</v>
      </c>
      <c r="I19" s="44">
        <v>200</v>
      </c>
    </row>
    <row r="20" spans="1:9" x14ac:dyDescent="0.25">
      <c r="A20" s="50" t="s">
        <v>473</v>
      </c>
      <c r="B20" s="42" t="s">
        <v>333</v>
      </c>
      <c r="C20" s="42" t="s">
        <v>486</v>
      </c>
      <c r="D20" s="42">
        <v>14895</v>
      </c>
      <c r="E20" s="42" t="s">
        <v>859</v>
      </c>
      <c r="F20" s="43">
        <v>37999</v>
      </c>
      <c r="G20" s="43">
        <v>38077</v>
      </c>
      <c r="H20" s="44">
        <v>20</v>
      </c>
      <c r="I20" s="44">
        <v>100</v>
      </c>
    </row>
    <row r="21" spans="1:9" x14ac:dyDescent="0.25">
      <c r="A21" s="51" t="s">
        <v>473</v>
      </c>
      <c r="B21" s="45" t="s">
        <v>333</v>
      </c>
      <c r="C21" s="45" t="s">
        <v>495</v>
      </c>
      <c r="D21" s="46">
        <v>14140</v>
      </c>
      <c r="E21" s="45" t="s">
        <v>860</v>
      </c>
      <c r="F21" s="47">
        <v>37880</v>
      </c>
      <c r="G21" s="47"/>
      <c r="H21" s="48">
        <v>10</v>
      </c>
      <c r="I21" s="48">
        <v>20</v>
      </c>
    </row>
    <row r="22" spans="1:9" x14ac:dyDescent="0.25">
      <c r="A22" s="51" t="s">
        <v>473</v>
      </c>
      <c r="B22" s="45" t="s">
        <v>333</v>
      </c>
      <c r="C22" s="45" t="s">
        <v>334</v>
      </c>
      <c r="D22" s="46">
        <v>14054</v>
      </c>
      <c r="E22" s="45" t="s">
        <v>861</v>
      </c>
      <c r="F22" s="47">
        <v>37869</v>
      </c>
      <c r="G22" s="47"/>
      <c r="H22" s="48">
        <v>8</v>
      </c>
      <c r="I22" s="48">
        <v>40</v>
      </c>
    </row>
    <row r="23" spans="1:9" x14ac:dyDescent="0.25">
      <c r="A23" s="51" t="s">
        <v>473</v>
      </c>
      <c r="B23" s="45" t="s">
        <v>339</v>
      </c>
      <c r="C23" s="45" t="s">
        <v>486</v>
      </c>
      <c r="D23" s="46">
        <v>14641</v>
      </c>
      <c r="E23" s="45" t="s">
        <v>862</v>
      </c>
      <c r="F23" s="47">
        <v>37942</v>
      </c>
      <c r="G23" s="47">
        <v>38044</v>
      </c>
      <c r="H23" s="48">
        <v>4</v>
      </c>
      <c r="I23" s="48">
        <v>8</v>
      </c>
    </row>
    <row r="24" spans="1:9" x14ac:dyDescent="0.25">
      <c r="A24" s="51" t="s">
        <v>473</v>
      </c>
      <c r="B24" s="45" t="s">
        <v>339</v>
      </c>
      <c r="C24" s="45" t="s">
        <v>486</v>
      </c>
      <c r="D24" s="46">
        <v>14642</v>
      </c>
      <c r="E24" s="45" t="s">
        <v>863</v>
      </c>
      <c r="F24" s="47">
        <v>37942</v>
      </c>
      <c r="G24" s="47">
        <v>38077</v>
      </c>
      <c r="H24" s="48">
        <v>2</v>
      </c>
      <c r="I24" s="48">
        <v>4</v>
      </c>
    </row>
    <row r="25" spans="1:9" x14ac:dyDescent="0.25">
      <c r="A25" s="51" t="s">
        <v>473</v>
      </c>
      <c r="B25" s="45" t="s">
        <v>339</v>
      </c>
      <c r="C25" s="45" t="s">
        <v>334</v>
      </c>
      <c r="D25" s="46">
        <v>13998</v>
      </c>
      <c r="E25" s="45" t="s">
        <v>864</v>
      </c>
      <c r="F25" s="47">
        <v>37837</v>
      </c>
      <c r="G25" s="47">
        <v>38077</v>
      </c>
      <c r="H25" s="48">
        <v>4</v>
      </c>
      <c r="I25" s="48">
        <v>16</v>
      </c>
    </row>
    <row r="26" spans="1:9" x14ac:dyDescent="0.25">
      <c r="A26" s="51" t="s">
        <v>473</v>
      </c>
      <c r="B26" s="45" t="s">
        <v>339</v>
      </c>
      <c r="C26" s="45" t="s">
        <v>334</v>
      </c>
      <c r="D26" s="46">
        <v>14817</v>
      </c>
      <c r="E26" s="45" t="s">
        <v>865</v>
      </c>
      <c r="F26" s="47">
        <v>37986</v>
      </c>
      <c r="G26" s="47">
        <v>38044</v>
      </c>
      <c r="H26" s="48">
        <v>2</v>
      </c>
      <c r="I26" s="48">
        <v>4</v>
      </c>
    </row>
    <row r="27" spans="1:9" x14ac:dyDescent="0.25">
      <c r="A27" s="51" t="s">
        <v>473</v>
      </c>
      <c r="B27" s="45" t="s">
        <v>358</v>
      </c>
      <c r="C27" s="45" t="s">
        <v>495</v>
      </c>
      <c r="D27" s="46">
        <v>14691</v>
      </c>
      <c r="E27" s="45" t="s">
        <v>513</v>
      </c>
      <c r="F27" s="47">
        <v>37957</v>
      </c>
      <c r="G27" s="47"/>
      <c r="H27" s="48">
        <v>30</v>
      </c>
      <c r="I27" s="48">
        <v>60</v>
      </c>
    </row>
    <row r="28" spans="1:9" x14ac:dyDescent="0.25">
      <c r="A28" s="51" t="s">
        <v>473</v>
      </c>
      <c r="B28" s="45" t="s">
        <v>358</v>
      </c>
      <c r="C28" s="45" t="s">
        <v>334</v>
      </c>
      <c r="D28" s="46">
        <v>14864</v>
      </c>
      <c r="E28" s="45" t="s">
        <v>654</v>
      </c>
      <c r="F28" s="47">
        <v>37995</v>
      </c>
      <c r="G28" s="47"/>
      <c r="H28" s="48">
        <v>10</v>
      </c>
      <c r="I28" s="48">
        <v>100</v>
      </c>
    </row>
    <row r="29" spans="1:9" x14ac:dyDescent="0.25">
      <c r="A29" s="51" t="s">
        <v>473</v>
      </c>
      <c r="B29" s="45" t="s">
        <v>344</v>
      </c>
      <c r="C29" s="45" t="s">
        <v>486</v>
      </c>
      <c r="D29" s="46">
        <v>14327</v>
      </c>
      <c r="E29" s="45" t="s">
        <v>866</v>
      </c>
      <c r="F29" s="47">
        <v>37904</v>
      </c>
      <c r="G29" s="47">
        <v>38169</v>
      </c>
      <c r="H29" s="48">
        <v>40</v>
      </c>
      <c r="I29" s="48">
        <v>120</v>
      </c>
    </row>
    <row r="30" spans="1:9" x14ac:dyDescent="0.25">
      <c r="A30" s="51" t="s">
        <v>473</v>
      </c>
      <c r="B30" s="45" t="s">
        <v>344</v>
      </c>
      <c r="C30" s="45" t="s">
        <v>495</v>
      </c>
      <c r="D30" s="46">
        <v>14185</v>
      </c>
      <c r="E30" s="45" t="s">
        <v>867</v>
      </c>
      <c r="F30" s="47">
        <v>37881</v>
      </c>
      <c r="G30" s="47"/>
      <c r="H30" s="48">
        <v>30</v>
      </c>
      <c r="I30" s="48">
        <v>50</v>
      </c>
    </row>
    <row r="31" spans="1:9" x14ac:dyDescent="0.25">
      <c r="A31" s="51" t="s">
        <v>473</v>
      </c>
      <c r="B31" s="45" t="s">
        <v>344</v>
      </c>
      <c r="C31" s="45" t="s">
        <v>334</v>
      </c>
      <c r="D31" s="46">
        <v>14097</v>
      </c>
      <c r="E31" s="45" t="s">
        <v>868</v>
      </c>
      <c r="F31" s="47">
        <v>37876</v>
      </c>
      <c r="G31" s="47">
        <v>38169</v>
      </c>
      <c r="H31" s="48">
        <v>40</v>
      </c>
      <c r="I31" s="48">
        <v>120</v>
      </c>
    </row>
    <row r="32" spans="1:9" x14ac:dyDescent="0.25">
      <c r="A32" s="51" t="s">
        <v>655</v>
      </c>
      <c r="B32" s="45" t="s">
        <v>296</v>
      </c>
      <c r="C32" s="45" t="s">
        <v>486</v>
      </c>
      <c r="D32" s="46">
        <v>14728</v>
      </c>
      <c r="E32" s="45" t="s">
        <v>708</v>
      </c>
      <c r="F32" s="47">
        <v>37970</v>
      </c>
      <c r="G32" s="47"/>
      <c r="H32" s="48">
        <v>40</v>
      </c>
      <c r="I32" s="48">
        <v>200</v>
      </c>
    </row>
    <row r="33" spans="1:9" x14ac:dyDescent="0.25">
      <c r="A33" s="51" t="s">
        <v>655</v>
      </c>
      <c r="B33" s="45" t="s">
        <v>296</v>
      </c>
      <c r="C33" s="45" t="s">
        <v>334</v>
      </c>
      <c r="D33" s="46">
        <v>14688</v>
      </c>
      <c r="E33" s="45" t="s">
        <v>656</v>
      </c>
      <c r="F33" s="47">
        <v>37956</v>
      </c>
      <c r="G33" s="47">
        <v>38018</v>
      </c>
      <c r="H33" s="48">
        <v>15</v>
      </c>
      <c r="I33" s="48">
        <v>40</v>
      </c>
    </row>
    <row r="34" spans="1:9" x14ac:dyDescent="0.25">
      <c r="A34" s="51" t="s">
        <v>515</v>
      </c>
      <c r="B34" s="45" t="s">
        <v>360</v>
      </c>
      <c r="C34" s="45" t="s">
        <v>486</v>
      </c>
      <c r="D34" s="46">
        <v>14600</v>
      </c>
      <c r="E34" s="45" t="s">
        <v>657</v>
      </c>
      <c r="F34" s="47">
        <v>37935</v>
      </c>
      <c r="G34" s="47">
        <v>38018</v>
      </c>
      <c r="H34" s="48">
        <v>1</v>
      </c>
      <c r="I34" s="48">
        <v>10</v>
      </c>
    </row>
    <row r="35" spans="1:9" x14ac:dyDescent="0.25">
      <c r="A35" s="51" t="s">
        <v>474</v>
      </c>
      <c r="B35" s="45" t="s">
        <v>341</v>
      </c>
      <c r="C35" s="45" t="s">
        <v>486</v>
      </c>
      <c r="D35" s="46">
        <v>14633</v>
      </c>
      <c r="E35" s="45" t="s">
        <v>658</v>
      </c>
      <c r="F35" s="47">
        <v>37939</v>
      </c>
      <c r="G35" s="47">
        <v>38169</v>
      </c>
      <c r="H35" s="48">
        <v>100</v>
      </c>
      <c r="I35" s="48">
        <v>500</v>
      </c>
    </row>
    <row r="36" spans="1:9" x14ac:dyDescent="0.25">
      <c r="A36" s="51" t="s">
        <v>474</v>
      </c>
      <c r="B36" s="45" t="s">
        <v>341</v>
      </c>
      <c r="C36" s="45" t="s">
        <v>495</v>
      </c>
      <c r="D36" s="46">
        <v>11377</v>
      </c>
      <c r="E36" s="45" t="s">
        <v>659</v>
      </c>
      <c r="F36" s="47">
        <v>36931</v>
      </c>
      <c r="G36" s="47"/>
      <c r="H36" s="48">
        <v>40</v>
      </c>
      <c r="I36" s="48">
        <v>80</v>
      </c>
    </row>
    <row r="37" spans="1:9" x14ac:dyDescent="0.25">
      <c r="A37" s="51" t="s">
        <v>474</v>
      </c>
      <c r="B37" s="45" t="s">
        <v>341</v>
      </c>
      <c r="C37" s="45" t="s">
        <v>495</v>
      </c>
      <c r="D37" s="46">
        <v>14377</v>
      </c>
      <c r="E37" s="45" t="s">
        <v>660</v>
      </c>
      <c r="F37" s="47">
        <v>37910</v>
      </c>
      <c r="G37" s="47">
        <v>38169</v>
      </c>
      <c r="H37" s="48">
        <v>25</v>
      </c>
      <c r="I37" s="48">
        <v>50</v>
      </c>
    </row>
    <row r="38" spans="1:9" x14ac:dyDescent="0.25">
      <c r="A38" s="51" t="s">
        <v>474</v>
      </c>
      <c r="B38" s="45" t="s">
        <v>341</v>
      </c>
      <c r="C38" s="45" t="s">
        <v>334</v>
      </c>
      <c r="D38" s="46">
        <v>14009</v>
      </c>
      <c r="E38" s="45" t="s">
        <v>661</v>
      </c>
      <c r="F38" s="47">
        <v>37841</v>
      </c>
      <c r="G38" s="47">
        <v>38168</v>
      </c>
      <c r="H38" s="48">
        <v>100</v>
      </c>
      <c r="I38" s="48">
        <v>1000</v>
      </c>
    </row>
    <row r="39" spans="1:9" x14ac:dyDescent="0.25">
      <c r="A39" s="51" t="s">
        <v>474</v>
      </c>
      <c r="B39" s="45" t="s">
        <v>350</v>
      </c>
      <c r="C39" s="45" t="s">
        <v>334</v>
      </c>
      <c r="D39" s="46">
        <v>12308</v>
      </c>
      <c r="E39" s="45" t="s">
        <v>351</v>
      </c>
      <c r="F39" s="47">
        <v>37011</v>
      </c>
      <c r="G39" s="47"/>
      <c r="H39" s="48">
        <v>25</v>
      </c>
      <c r="I39" s="48">
        <v>150</v>
      </c>
    </row>
    <row r="40" spans="1:9" x14ac:dyDescent="0.25">
      <c r="A40" s="51" t="s">
        <v>474</v>
      </c>
      <c r="B40" s="45" t="s">
        <v>349</v>
      </c>
      <c r="C40" s="45" t="s">
        <v>334</v>
      </c>
      <c r="D40" s="46">
        <v>14464</v>
      </c>
      <c r="E40" s="45" t="s">
        <v>662</v>
      </c>
      <c r="F40" s="47">
        <v>37922</v>
      </c>
      <c r="G40" s="47">
        <v>38168</v>
      </c>
      <c r="H40" s="48">
        <v>1</v>
      </c>
      <c r="I40" s="48">
        <v>800</v>
      </c>
    </row>
    <row r="41" spans="1:9" ht="30.5" x14ac:dyDescent="0.25">
      <c r="A41" s="51" t="s">
        <v>474</v>
      </c>
      <c r="B41" s="45" t="s">
        <v>337</v>
      </c>
      <c r="C41" s="45" t="s">
        <v>495</v>
      </c>
      <c r="D41" s="46">
        <v>7287</v>
      </c>
      <c r="E41" s="45" t="s">
        <v>663</v>
      </c>
      <c r="F41" s="47">
        <v>35901</v>
      </c>
      <c r="G41" s="47">
        <v>37622</v>
      </c>
      <c r="H41" s="48">
        <v>1</v>
      </c>
      <c r="I41" s="48">
        <v>40</v>
      </c>
    </row>
    <row r="42" spans="1:9" ht="30.5" x14ac:dyDescent="0.25">
      <c r="A42" s="51" t="s">
        <v>474</v>
      </c>
      <c r="B42" s="45" t="s">
        <v>337</v>
      </c>
      <c r="C42" s="45" t="s">
        <v>495</v>
      </c>
      <c r="D42" s="46">
        <v>8321</v>
      </c>
      <c r="E42" s="45" t="s">
        <v>664</v>
      </c>
      <c r="F42" s="47">
        <v>36230</v>
      </c>
      <c r="G42" s="47"/>
      <c r="H42" s="48">
        <v>1</v>
      </c>
      <c r="I42" s="48">
        <v>500</v>
      </c>
    </row>
    <row r="43" spans="1:9" x14ac:dyDescent="0.25">
      <c r="A43" s="51" t="s">
        <v>474</v>
      </c>
      <c r="B43" s="45" t="s">
        <v>337</v>
      </c>
      <c r="C43" s="45" t="s">
        <v>495</v>
      </c>
      <c r="D43" s="46">
        <v>13727</v>
      </c>
      <c r="E43" s="45" t="s">
        <v>665</v>
      </c>
      <c r="F43" s="47">
        <v>37704</v>
      </c>
      <c r="G43" s="47">
        <v>37748</v>
      </c>
      <c r="H43" s="48">
        <v>1</v>
      </c>
      <c r="I43" s="48">
        <v>80</v>
      </c>
    </row>
    <row r="44" spans="1:9" x14ac:dyDescent="0.25">
      <c r="A44" s="51" t="s">
        <v>474</v>
      </c>
      <c r="B44" s="45" t="s">
        <v>337</v>
      </c>
      <c r="C44" s="45" t="s">
        <v>334</v>
      </c>
      <c r="D44" s="46">
        <v>13138</v>
      </c>
      <c r="E44" s="45" t="s">
        <v>666</v>
      </c>
      <c r="F44" s="47">
        <v>37433</v>
      </c>
      <c r="G44" s="47">
        <v>37802</v>
      </c>
      <c r="H44" s="48">
        <v>1000</v>
      </c>
      <c r="I44" s="48">
        <v>2000</v>
      </c>
    </row>
    <row r="45" spans="1:9" x14ac:dyDescent="0.25">
      <c r="A45" s="51" t="s">
        <v>474</v>
      </c>
      <c r="B45" s="45" t="s">
        <v>337</v>
      </c>
      <c r="C45" s="45" t="s">
        <v>334</v>
      </c>
      <c r="D45" s="46">
        <v>14280</v>
      </c>
      <c r="E45" s="45" t="s">
        <v>667</v>
      </c>
      <c r="F45" s="47">
        <v>37896</v>
      </c>
      <c r="G45" s="47"/>
      <c r="H45" s="48">
        <v>1</v>
      </c>
      <c r="I45" s="48">
        <v>100</v>
      </c>
    </row>
    <row r="46" spans="1:9" x14ac:dyDescent="0.25">
      <c r="A46" s="51" t="s">
        <v>474</v>
      </c>
      <c r="B46" s="45" t="s">
        <v>337</v>
      </c>
      <c r="C46" s="45" t="s">
        <v>334</v>
      </c>
      <c r="D46" s="46">
        <v>14299</v>
      </c>
      <c r="E46" s="45" t="s">
        <v>668</v>
      </c>
      <c r="F46" s="47">
        <v>37896</v>
      </c>
      <c r="G46" s="47">
        <v>38032</v>
      </c>
      <c r="H46" s="48">
        <v>1</v>
      </c>
      <c r="I46" s="48">
        <v>50</v>
      </c>
    </row>
    <row r="47" spans="1:9" x14ac:dyDescent="0.25">
      <c r="A47" s="51" t="s">
        <v>474</v>
      </c>
      <c r="B47" s="45" t="s">
        <v>337</v>
      </c>
      <c r="C47" s="45" t="s">
        <v>334</v>
      </c>
      <c r="D47" s="46">
        <v>14304</v>
      </c>
      <c r="E47" s="45" t="s">
        <v>669</v>
      </c>
      <c r="F47" s="47">
        <v>37897</v>
      </c>
      <c r="G47" s="47">
        <v>38078</v>
      </c>
      <c r="H47" s="48">
        <v>101</v>
      </c>
      <c r="I47" s="48">
        <v>500</v>
      </c>
    </row>
    <row r="48" spans="1:9" x14ac:dyDescent="0.25">
      <c r="A48" s="51" t="s">
        <v>474</v>
      </c>
      <c r="B48" s="45" t="s">
        <v>357</v>
      </c>
      <c r="C48" s="45" t="s">
        <v>495</v>
      </c>
      <c r="D48" s="46">
        <v>14979</v>
      </c>
      <c r="E48" s="45" t="s">
        <v>869</v>
      </c>
      <c r="F48" s="47">
        <v>38006</v>
      </c>
      <c r="G48" s="47"/>
      <c r="H48" s="48">
        <v>25</v>
      </c>
      <c r="I48" s="48">
        <v>50</v>
      </c>
    </row>
    <row r="49" spans="1:9" x14ac:dyDescent="0.25">
      <c r="A49" s="51" t="s">
        <v>615</v>
      </c>
      <c r="B49" s="45" t="s">
        <v>395</v>
      </c>
      <c r="C49" s="45" t="s">
        <v>495</v>
      </c>
      <c r="D49" s="46">
        <v>203</v>
      </c>
      <c r="E49" s="45" t="s">
        <v>823</v>
      </c>
      <c r="F49" s="47">
        <v>37795</v>
      </c>
      <c r="G49" s="47"/>
      <c r="H49" s="48"/>
      <c r="I49" s="48"/>
    </row>
    <row r="50" spans="1:9" x14ac:dyDescent="0.25">
      <c r="A50" s="51" t="s">
        <v>643</v>
      </c>
      <c r="B50" s="45" t="s">
        <v>346</v>
      </c>
      <c r="C50" s="45" t="s">
        <v>486</v>
      </c>
      <c r="D50" s="46">
        <v>11795</v>
      </c>
      <c r="E50" s="45" t="s">
        <v>870</v>
      </c>
      <c r="F50" s="47">
        <v>37015</v>
      </c>
      <c r="G50" s="47">
        <v>38169</v>
      </c>
      <c r="H50" s="48">
        <v>50</v>
      </c>
      <c r="I50" s="48">
        <v>75</v>
      </c>
    </row>
    <row r="51" spans="1:9" x14ac:dyDescent="0.25">
      <c r="A51" s="50" t="s">
        <v>643</v>
      </c>
      <c r="B51" s="42" t="s">
        <v>346</v>
      </c>
      <c r="C51" s="42" t="s">
        <v>334</v>
      </c>
      <c r="D51" s="42">
        <v>14980</v>
      </c>
      <c r="E51" s="42" t="s">
        <v>871</v>
      </c>
      <c r="F51" s="43">
        <v>38006</v>
      </c>
      <c r="G51" s="43"/>
      <c r="H51" s="44">
        <v>1</v>
      </c>
      <c r="I51" s="44">
        <v>5</v>
      </c>
    </row>
    <row r="52" spans="1:9" x14ac:dyDescent="0.25">
      <c r="A52" s="50" t="s">
        <v>643</v>
      </c>
      <c r="B52" s="42" t="s">
        <v>346</v>
      </c>
      <c r="C52" s="42" t="s">
        <v>334</v>
      </c>
      <c r="D52" s="42">
        <v>15001</v>
      </c>
      <c r="E52" s="42" t="s">
        <v>891</v>
      </c>
      <c r="F52" s="43">
        <v>38009</v>
      </c>
      <c r="G52" s="43"/>
      <c r="H52" s="44">
        <v>10</v>
      </c>
      <c r="I52" s="44">
        <v>100</v>
      </c>
    </row>
  </sheetData>
  <phoneticPr fontId="3" type="noConversion"/>
  <pageMargins left="0.5" right="0.5" top="0.88" bottom="0.75" header="0.18" footer="0.5"/>
  <pageSetup scale="89" orientation="landscape" r:id="rId1"/>
  <headerFooter alignWithMargins="0">
    <oddHeader>&amp;L&amp;G&amp;C&amp;14Investigations&amp;RIT Enterprise Applications
Pipeline Report - In Process</oddHeader>
    <oddFooter>&amp;C&amp;P&amp;R&amp;D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zoomScaleNormal="100" workbookViewId="0">
      <selection activeCell="A2" sqref="A2"/>
    </sheetView>
  </sheetViews>
  <sheetFormatPr defaultRowHeight="12.5" x14ac:dyDescent="0.25"/>
  <cols>
    <col min="1" max="1" width="14.1796875" style="52" customWidth="1"/>
    <col min="2" max="2" width="9.7265625" style="2" customWidth="1"/>
    <col min="3" max="3" width="6" style="2" customWidth="1"/>
    <col min="4" max="4" width="5.26953125" style="3" customWidth="1"/>
    <col min="5" max="5" width="39.1796875" style="2" customWidth="1"/>
    <col min="6" max="6" width="8.453125" style="26" bestFit="1" customWidth="1"/>
    <col min="7" max="7" width="7" style="26" customWidth="1"/>
    <col min="8" max="9" width="8.1796875" style="4" bestFit="1" customWidth="1"/>
  </cols>
  <sheetData>
    <row r="1" spans="1:9" s="1" customFormat="1" ht="25.5" customHeight="1" x14ac:dyDescent="0.25">
      <c r="A1" s="49" t="s">
        <v>477</v>
      </c>
      <c r="B1" s="5" t="s">
        <v>671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x14ac:dyDescent="0.25">
      <c r="A2" s="50" t="s">
        <v>473</v>
      </c>
      <c r="B2" s="42" t="s">
        <v>383</v>
      </c>
      <c r="C2" s="42" t="s">
        <v>334</v>
      </c>
      <c r="D2" s="42">
        <v>14428</v>
      </c>
      <c r="E2" s="42" t="s">
        <v>676</v>
      </c>
      <c r="F2" s="43">
        <v>37916</v>
      </c>
      <c r="G2" s="43">
        <v>38343</v>
      </c>
      <c r="H2" s="44">
        <v>560</v>
      </c>
      <c r="I2" s="44">
        <v>560</v>
      </c>
    </row>
    <row r="3" spans="1:9" x14ac:dyDescent="0.25">
      <c r="A3" s="50" t="s">
        <v>473</v>
      </c>
      <c r="B3" s="42" t="s">
        <v>389</v>
      </c>
      <c r="C3" s="42" t="s">
        <v>334</v>
      </c>
      <c r="D3" s="42">
        <v>14432</v>
      </c>
      <c r="E3" s="42" t="s">
        <v>872</v>
      </c>
      <c r="F3" s="43">
        <v>37917</v>
      </c>
      <c r="G3" s="43">
        <v>38099</v>
      </c>
      <c r="H3" s="44">
        <v>200</v>
      </c>
      <c r="I3" s="44">
        <v>250</v>
      </c>
    </row>
    <row r="4" spans="1:9" x14ac:dyDescent="0.25">
      <c r="A4" s="50" t="s">
        <v>473</v>
      </c>
      <c r="B4" s="42" t="s">
        <v>389</v>
      </c>
      <c r="C4" s="42" t="s">
        <v>334</v>
      </c>
      <c r="D4" s="42">
        <v>14459</v>
      </c>
      <c r="E4" s="42" t="s">
        <v>873</v>
      </c>
      <c r="F4" s="43">
        <v>37922</v>
      </c>
      <c r="G4" s="43">
        <v>38105</v>
      </c>
      <c r="H4" s="44">
        <v>520</v>
      </c>
      <c r="I4" s="44">
        <v>600</v>
      </c>
    </row>
    <row r="5" spans="1:9" x14ac:dyDescent="0.25">
      <c r="A5" s="50" t="s">
        <v>474</v>
      </c>
      <c r="B5" s="42" t="s">
        <v>341</v>
      </c>
      <c r="C5" s="42" t="s">
        <v>334</v>
      </c>
      <c r="D5" s="42">
        <v>14776</v>
      </c>
      <c r="E5" s="42" t="s">
        <v>726</v>
      </c>
      <c r="F5" s="43">
        <v>37979</v>
      </c>
      <c r="G5" s="43">
        <v>38016</v>
      </c>
      <c r="H5" s="44">
        <v>10</v>
      </c>
      <c r="I5" s="44">
        <v>50</v>
      </c>
    </row>
    <row r="6" spans="1:9" x14ac:dyDescent="0.25">
      <c r="A6" s="50" t="s">
        <v>474</v>
      </c>
      <c r="B6" s="42" t="s">
        <v>341</v>
      </c>
      <c r="C6" s="42" t="s">
        <v>334</v>
      </c>
      <c r="D6" s="42">
        <v>14777</v>
      </c>
      <c r="E6" s="42" t="s">
        <v>727</v>
      </c>
      <c r="F6" s="43">
        <v>37979</v>
      </c>
      <c r="G6" s="43">
        <v>38032</v>
      </c>
      <c r="H6" s="44">
        <v>10</v>
      </c>
      <c r="I6" s="44">
        <v>50</v>
      </c>
    </row>
    <row r="7" spans="1:9" x14ac:dyDescent="0.25">
      <c r="A7" s="55"/>
      <c r="B7" s="56"/>
      <c r="C7" s="56"/>
      <c r="D7" s="56"/>
      <c r="E7" s="56"/>
      <c r="F7" s="57"/>
      <c r="G7" s="57"/>
      <c r="H7" s="58"/>
      <c r="I7" s="58"/>
    </row>
    <row r="8" spans="1:9" x14ac:dyDescent="0.25">
      <c r="A8" s="55"/>
      <c r="B8" s="56"/>
      <c r="C8" s="56"/>
      <c r="D8" s="56"/>
      <c r="E8" s="56"/>
      <c r="F8" s="57"/>
      <c r="G8" s="57"/>
      <c r="H8" s="58"/>
      <c r="I8" s="58"/>
    </row>
    <row r="9" spans="1:9" x14ac:dyDescent="0.25">
      <c r="A9" s="55"/>
      <c r="B9" s="56"/>
      <c r="C9" s="56"/>
      <c r="D9" s="56"/>
      <c r="E9" s="56"/>
      <c r="F9" s="57"/>
      <c r="G9" s="57"/>
      <c r="H9" s="58"/>
      <c r="I9" s="58"/>
    </row>
    <row r="10" spans="1:9" x14ac:dyDescent="0.25">
      <c r="A10" s="55"/>
      <c r="B10" s="56"/>
      <c r="C10" s="56"/>
      <c r="D10" s="56"/>
      <c r="E10" s="56"/>
      <c r="F10" s="57"/>
      <c r="G10" s="57"/>
      <c r="H10" s="58"/>
      <c r="I10" s="58"/>
    </row>
    <row r="11" spans="1:9" x14ac:dyDescent="0.25">
      <c r="A11" s="55"/>
      <c r="B11" s="56"/>
      <c r="C11" s="56"/>
      <c r="D11" s="56"/>
      <c r="E11" s="56"/>
      <c r="F11" s="57"/>
      <c r="G11" s="57"/>
      <c r="H11" s="58"/>
      <c r="I11" s="58"/>
    </row>
    <row r="12" spans="1:9" x14ac:dyDescent="0.25">
      <c r="A12" s="55"/>
      <c r="B12" s="56"/>
      <c r="C12" s="56"/>
      <c r="D12" s="56"/>
      <c r="E12" s="56"/>
      <c r="F12" s="57"/>
      <c r="G12" s="57"/>
      <c r="H12" s="58"/>
      <c r="I12" s="58"/>
    </row>
    <row r="13" spans="1:9" x14ac:dyDescent="0.25">
      <c r="A13" s="55"/>
      <c r="B13" s="56"/>
      <c r="C13" s="56"/>
      <c r="D13" s="56"/>
      <c r="E13" s="56"/>
      <c r="F13" s="57"/>
      <c r="G13" s="57"/>
      <c r="H13" s="58"/>
      <c r="I13" s="58"/>
    </row>
    <row r="14" spans="1:9" x14ac:dyDescent="0.25">
      <c r="A14" s="55"/>
      <c r="B14" s="56"/>
      <c r="C14" s="56"/>
      <c r="D14" s="56"/>
      <c r="E14" s="56"/>
      <c r="F14" s="57"/>
      <c r="G14" s="57"/>
      <c r="H14" s="58"/>
      <c r="I14" s="58"/>
    </row>
    <row r="15" spans="1:9" x14ac:dyDescent="0.25">
      <c r="A15" s="55"/>
      <c r="B15" s="56"/>
      <c r="C15" s="56"/>
      <c r="D15" s="56"/>
      <c r="E15" s="56"/>
      <c r="F15" s="57"/>
      <c r="G15" s="57"/>
      <c r="H15" s="58"/>
      <c r="I15" s="58"/>
    </row>
    <row r="16" spans="1:9" x14ac:dyDescent="0.25">
      <c r="A16" s="55"/>
      <c r="B16" s="56"/>
      <c r="C16" s="56"/>
      <c r="D16" s="56"/>
      <c r="E16" s="56"/>
      <c r="F16" s="57"/>
      <c r="G16" s="57"/>
      <c r="H16" s="58"/>
      <c r="I16" s="58"/>
    </row>
    <row r="17" spans="1:9" x14ac:dyDescent="0.25">
      <c r="A17" s="55"/>
      <c r="B17" s="56"/>
      <c r="C17" s="56"/>
      <c r="D17" s="56"/>
      <c r="E17" s="56"/>
      <c r="F17" s="57"/>
      <c r="G17" s="57"/>
      <c r="H17" s="58"/>
      <c r="I17" s="58"/>
    </row>
    <row r="18" spans="1:9" x14ac:dyDescent="0.25">
      <c r="A18" s="55"/>
      <c r="B18" s="56"/>
      <c r="C18" s="56"/>
      <c r="D18" s="56"/>
      <c r="E18" s="56"/>
      <c r="F18" s="57"/>
      <c r="G18" s="57"/>
      <c r="H18" s="58"/>
      <c r="I18" s="58"/>
    </row>
    <row r="19" spans="1:9" x14ac:dyDescent="0.25">
      <c r="A19" s="55"/>
      <c r="B19" s="56"/>
      <c r="C19" s="56"/>
      <c r="D19" s="56"/>
      <c r="E19" s="56"/>
      <c r="F19" s="57"/>
      <c r="G19" s="57"/>
      <c r="H19" s="58"/>
      <c r="I19" s="58"/>
    </row>
    <row r="20" spans="1:9" x14ac:dyDescent="0.25">
      <c r="A20" s="59"/>
      <c r="B20" s="60"/>
      <c r="C20" s="60"/>
      <c r="D20" s="61"/>
      <c r="E20" s="60"/>
      <c r="F20" s="62"/>
      <c r="G20" s="62"/>
      <c r="H20" s="63"/>
      <c r="I20" s="63"/>
    </row>
    <row r="21" spans="1:9" x14ac:dyDescent="0.25">
      <c r="A21" s="59"/>
      <c r="B21" s="60"/>
      <c r="C21" s="60"/>
      <c r="D21" s="61"/>
      <c r="E21" s="60"/>
      <c r="F21" s="62"/>
      <c r="G21" s="62"/>
      <c r="H21" s="63"/>
      <c r="I21" s="63"/>
    </row>
    <row r="22" spans="1:9" x14ac:dyDescent="0.25">
      <c r="A22" s="59"/>
      <c r="B22" s="60"/>
      <c r="C22" s="60"/>
      <c r="D22" s="61"/>
      <c r="E22" s="60"/>
      <c r="F22" s="62"/>
      <c r="G22" s="62"/>
      <c r="H22" s="63"/>
      <c r="I22" s="63"/>
    </row>
    <row r="23" spans="1:9" x14ac:dyDescent="0.25">
      <c r="A23" s="59"/>
      <c r="B23" s="60"/>
      <c r="C23" s="60"/>
      <c r="D23" s="61"/>
      <c r="E23" s="60"/>
      <c r="F23" s="62"/>
      <c r="G23" s="62"/>
      <c r="H23" s="63"/>
      <c r="I23" s="63"/>
    </row>
    <row r="24" spans="1:9" x14ac:dyDescent="0.25">
      <c r="A24" s="59"/>
      <c r="B24" s="60"/>
      <c r="C24" s="60"/>
      <c r="D24" s="61"/>
      <c r="E24" s="60"/>
      <c r="F24" s="62"/>
      <c r="G24" s="62"/>
      <c r="H24" s="63"/>
      <c r="I24" s="63"/>
    </row>
    <row r="25" spans="1:9" x14ac:dyDescent="0.25">
      <c r="A25" s="59"/>
      <c r="B25" s="60"/>
      <c r="C25" s="60"/>
      <c r="D25" s="61"/>
      <c r="E25" s="60"/>
      <c r="F25" s="62"/>
      <c r="G25" s="62"/>
      <c r="H25" s="63"/>
      <c r="I25" s="63"/>
    </row>
    <row r="26" spans="1:9" x14ac:dyDescent="0.25">
      <c r="A26" s="59"/>
      <c r="B26" s="60"/>
      <c r="C26" s="60"/>
      <c r="D26" s="61"/>
      <c r="E26" s="60"/>
      <c r="F26" s="62"/>
      <c r="G26" s="62"/>
      <c r="H26" s="63"/>
      <c r="I26" s="63"/>
    </row>
    <row r="27" spans="1:9" x14ac:dyDescent="0.25">
      <c r="A27" s="59"/>
      <c r="B27" s="60"/>
      <c r="C27" s="60"/>
      <c r="D27" s="61"/>
      <c r="E27" s="60"/>
      <c r="F27" s="62"/>
      <c r="G27" s="62"/>
      <c r="H27" s="63"/>
      <c r="I27" s="63"/>
    </row>
    <row r="28" spans="1:9" x14ac:dyDescent="0.25">
      <c r="A28" s="59"/>
      <c r="B28" s="60"/>
      <c r="C28" s="60"/>
      <c r="D28" s="61"/>
      <c r="E28" s="60"/>
      <c r="F28" s="62"/>
      <c r="G28" s="62"/>
      <c r="H28" s="63"/>
      <c r="I28" s="63"/>
    </row>
    <row r="29" spans="1:9" x14ac:dyDescent="0.25">
      <c r="A29" s="59"/>
      <c r="B29" s="60"/>
      <c r="C29" s="60"/>
      <c r="D29" s="61"/>
      <c r="E29" s="60"/>
      <c r="F29" s="62"/>
      <c r="G29" s="62"/>
      <c r="H29" s="63"/>
      <c r="I29" s="63"/>
    </row>
    <row r="30" spans="1:9" x14ac:dyDescent="0.25">
      <c r="A30" s="59"/>
      <c r="B30" s="60"/>
      <c r="C30" s="60"/>
      <c r="D30" s="61"/>
      <c r="E30" s="60"/>
      <c r="F30" s="62"/>
      <c r="G30" s="62"/>
      <c r="H30" s="63"/>
      <c r="I30" s="63"/>
    </row>
    <row r="31" spans="1:9" x14ac:dyDescent="0.25">
      <c r="A31" s="59"/>
      <c r="B31" s="60"/>
      <c r="C31" s="60"/>
      <c r="D31" s="61"/>
      <c r="E31" s="60"/>
      <c r="F31" s="62"/>
      <c r="G31" s="62"/>
      <c r="H31" s="63"/>
      <c r="I31" s="63"/>
    </row>
    <row r="32" spans="1:9" x14ac:dyDescent="0.25">
      <c r="A32" s="59"/>
      <c r="B32" s="60"/>
      <c r="C32" s="60"/>
      <c r="D32" s="61"/>
      <c r="E32" s="60"/>
      <c r="F32" s="62"/>
      <c r="G32" s="62"/>
      <c r="H32" s="63"/>
      <c r="I32" s="63"/>
    </row>
    <row r="33" spans="1:9" x14ac:dyDescent="0.25">
      <c r="A33" s="59"/>
      <c r="B33" s="60"/>
      <c r="C33" s="60"/>
      <c r="D33" s="61"/>
      <c r="E33" s="60"/>
      <c r="F33" s="62"/>
      <c r="G33" s="62"/>
      <c r="H33" s="63"/>
      <c r="I33" s="63"/>
    </row>
    <row r="34" spans="1:9" x14ac:dyDescent="0.25">
      <c r="A34" s="59"/>
      <c r="B34" s="60"/>
      <c r="C34" s="60"/>
      <c r="D34" s="61"/>
      <c r="E34" s="60"/>
      <c r="F34" s="62"/>
      <c r="G34" s="62"/>
      <c r="H34" s="63"/>
      <c r="I34" s="63"/>
    </row>
    <row r="35" spans="1:9" x14ac:dyDescent="0.25">
      <c r="A35" s="59"/>
      <c r="B35" s="60"/>
      <c r="C35" s="60"/>
      <c r="D35" s="61"/>
      <c r="E35" s="60"/>
      <c r="F35" s="62"/>
      <c r="G35" s="62"/>
      <c r="H35" s="63"/>
      <c r="I35" s="63"/>
    </row>
    <row r="36" spans="1:9" x14ac:dyDescent="0.25">
      <c r="A36" s="59"/>
      <c r="B36" s="60"/>
      <c r="C36" s="60"/>
      <c r="D36" s="61"/>
      <c r="E36" s="60"/>
      <c r="F36" s="62"/>
      <c r="G36" s="62"/>
      <c r="H36" s="63"/>
      <c r="I36" s="63"/>
    </row>
    <row r="37" spans="1:9" x14ac:dyDescent="0.25">
      <c r="A37" s="59"/>
      <c r="B37" s="60"/>
      <c r="C37" s="60"/>
      <c r="D37" s="61"/>
      <c r="E37" s="60"/>
      <c r="F37" s="62"/>
      <c r="G37" s="62"/>
      <c r="H37" s="63"/>
      <c r="I37" s="63"/>
    </row>
    <row r="38" spans="1:9" x14ac:dyDescent="0.25">
      <c r="A38" s="59"/>
      <c r="B38" s="60"/>
      <c r="C38" s="60"/>
      <c r="D38" s="61"/>
      <c r="E38" s="60"/>
      <c r="F38" s="62"/>
      <c r="G38" s="62"/>
      <c r="H38" s="63"/>
      <c r="I38" s="63"/>
    </row>
    <row r="39" spans="1:9" x14ac:dyDescent="0.25">
      <c r="A39" s="59"/>
      <c r="B39" s="60"/>
      <c r="C39" s="60"/>
      <c r="D39" s="61"/>
      <c r="E39" s="60"/>
      <c r="F39" s="62"/>
      <c r="G39" s="62"/>
      <c r="H39" s="63"/>
      <c r="I39" s="63"/>
    </row>
    <row r="40" spans="1:9" x14ac:dyDescent="0.25">
      <c r="A40" s="59"/>
      <c r="B40" s="60"/>
      <c r="C40" s="60"/>
      <c r="D40" s="61"/>
      <c r="E40" s="60"/>
      <c r="F40" s="62"/>
      <c r="G40" s="62"/>
      <c r="H40" s="63"/>
      <c r="I40" s="63"/>
    </row>
    <row r="41" spans="1:9" x14ac:dyDescent="0.25">
      <c r="A41" s="59"/>
      <c r="B41" s="60"/>
      <c r="C41" s="60"/>
      <c r="D41" s="61"/>
      <c r="E41" s="60"/>
      <c r="F41" s="62"/>
      <c r="G41" s="62"/>
      <c r="H41" s="63"/>
      <c r="I41" s="63"/>
    </row>
    <row r="42" spans="1:9" x14ac:dyDescent="0.25">
      <c r="A42" s="59"/>
      <c r="B42" s="60"/>
      <c r="C42" s="60"/>
      <c r="D42" s="61"/>
      <c r="E42" s="60"/>
      <c r="F42" s="62"/>
      <c r="G42" s="62"/>
      <c r="H42" s="63"/>
      <c r="I42" s="63"/>
    </row>
    <row r="43" spans="1:9" x14ac:dyDescent="0.25">
      <c r="A43" s="59"/>
      <c r="B43" s="60"/>
      <c r="C43" s="60"/>
      <c r="D43" s="61"/>
      <c r="E43" s="60"/>
      <c r="F43" s="62"/>
      <c r="G43" s="62"/>
      <c r="H43" s="63"/>
      <c r="I43" s="63"/>
    </row>
    <row r="44" spans="1:9" x14ac:dyDescent="0.25">
      <c r="A44" s="59"/>
      <c r="B44" s="60"/>
      <c r="C44" s="60"/>
      <c r="D44" s="61"/>
      <c r="E44" s="60"/>
      <c r="F44" s="62"/>
      <c r="G44" s="62"/>
      <c r="H44" s="63"/>
      <c r="I44" s="63"/>
    </row>
    <row r="45" spans="1:9" x14ac:dyDescent="0.25">
      <c r="A45" s="59"/>
      <c r="B45" s="60"/>
      <c r="C45" s="60"/>
      <c r="D45" s="61"/>
      <c r="E45" s="60"/>
      <c r="F45" s="62"/>
      <c r="G45" s="62"/>
      <c r="H45" s="63"/>
      <c r="I45" s="63"/>
    </row>
    <row r="46" spans="1:9" x14ac:dyDescent="0.25">
      <c r="A46" s="59"/>
      <c r="B46" s="60"/>
      <c r="C46" s="60"/>
      <c r="D46" s="61"/>
      <c r="E46" s="60"/>
      <c r="F46" s="62"/>
      <c r="G46" s="62"/>
      <c r="H46" s="63"/>
      <c r="I46" s="63"/>
    </row>
    <row r="47" spans="1:9" x14ac:dyDescent="0.25">
      <c r="A47" s="59"/>
      <c r="B47" s="60"/>
      <c r="C47" s="60"/>
      <c r="D47" s="61"/>
      <c r="E47" s="60"/>
      <c r="F47" s="62"/>
      <c r="G47" s="62"/>
      <c r="H47" s="63"/>
      <c r="I47" s="63"/>
    </row>
    <row r="48" spans="1:9" x14ac:dyDescent="0.25">
      <c r="A48" s="59"/>
      <c r="B48" s="60"/>
      <c r="C48" s="60"/>
      <c r="D48" s="61"/>
      <c r="E48" s="60"/>
      <c r="F48" s="62"/>
      <c r="G48" s="62"/>
      <c r="H48" s="63"/>
      <c r="I48" s="63"/>
    </row>
    <row r="49" spans="1:9" x14ac:dyDescent="0.25">
      <c r="A49" s="59"/>
      <c r="B49" s="60"/>
      <c r="C49" s="60"/>
      <c r="D49" s="61"/>
      <c r="E49" s="60"/>
      <c r="F49" s="62"/>
      <c r="G49" s="62"/>
      <c r="H49" s="63"/>
      <c r="I49" s="63"/>
    </row>
    <row r="50" spans="1:9" x14ac:dyDescent="0.25">
      <c r="A50" s="59"/>
      <c r="B50" s="60"/>
      <c r="C50" s="60"/>
      <c r="D50" s="61"/>
      <c r="E50" s="60"/>
      <c r="F50" s="62"/>
      <c r="G50" s="62"/>
      <c r="H50" s="63"/>
      <c r="I50" s="63"/>
    </row>
    <row r="51" spans="1:9" x14ac:dyDescent="0.25">
      <c r="A51" s="59"/>
      <c r="B51" s="60"/>
      <c r="C51" s="60"/>
      <c r="D51" s="61"/>
      <c r="E51" s="60"/>
      <c r="F51" s="62"/>
      <c r="G51" s="62"/>
      <c r="H51" s="63"/>
      <c r="I51" s="63"/>
    </row>
    <row r="52" spans="1:9" x14ac:dyDescent="0.25">
      <c r="A52" s="59"/>
      <c r="B52" s="60"/>
      <c r="C52" s="60"/>
      <c r="D52" s="61"/>
      <c r="E52" s="60"/>
      <c r="F52" s="62"/>
      <c r="G52" s="62"/>
      <c r="H52" s="63"/>
      <c r="I52" s="63"/>
    </row>
    <row r="53" spans="1:9" x14ac:dyDescent="0.25">
      <c r="A53" s="59"/>
      <c r="B53" s="60"/>
      <c r="C53" s="60"/>
      <c r="D53" s="61"/>
      <c r="E53" s="60"/>
      <c r="F53" s="62"/>
      <c r="G53" s="62"/>
      <c r="H53" s="63"/>
      <c r="I53" s="63"/>
    </row>
  </sheetData>
  <phoneticPr fontId="3" type="noConversion"/>
  <pageMargins left="0.5" right="0.5" top="0.88" bottom="0.75" header="0.18" footer="0.5"/>
  <pageSetup scale="89" orientation="landscape" r:id="rId1"/>
  <headerFooter alignWithMargins="0">
    <oddHeader>&amp;L&amp;G&amp;C&amp;14Emergency Fixes&amp;RIT Enterprise Applications
Pipeline Report - In Process</oddHeader>
    <oddFooter>&amp;C&amp;P&amp;R&amp;D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Normal="100" workbookViewId="0">
      <selection sqref="A1:IV1"/>
    </sheetView>
  </sheetViews>
  <sheetFormatPr defaultRowHeight="12.5" x14ac:dyDescent="0.25"/>
  <cols>
    <col min="1" max="1" width="17.453125" style="52" customWidth="1"/>
    <col min="2" max="2" width="9.7265625" style="2" customWidth="1"/>
    <col min="3" max="3" width="7.7265625" style="2" customWidth="1"/>
    <col min="4" max="4" width="5.26953125" style="3" customWidth="1"/>
    <col min="5" max="5" width="49" style="2" customWidth="1"/>
    <col min="6" max="6" width="8.453125" style="26" bestFit="1" customWidth="1"/>
    <col min="7" max="7" width="7" style="26" customWidth="1"/>
    <col min="8" max="9" width="8.1796875" style="4" bestFit="1" customWidth="1"/>
  </cols>
  <sheetData>
    <row r="1" spans="1:9" s="1" customFormat="1" ht="25.5" customHeight="1" x14ac:dyDescent="0.25">
      <c r="A1" s="49" t="s">
        <v>477</v>
      </c>
      <c r="B1" s="5" t="s">
        <v>671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ht="20.5" x14ac:dyDescent="0.25">
      <c r="A2" s="50" t="s">
        <v>473</v>
      </c>
      <c r="B2" s="42" t="s">
        <v>383</v>
      </c>
      <c r="C2" s="42" t="s">
        <v>486</v>
      </c>
      <c r="D2" s="42">
        <v>14475</v>
      </c>
      <c r="E2" s="42" t="s">
        <v>738</v>
      </c>
      <c r="F2" s="43">
        <v>37925</v>
      </c>
      <c r="G2" s="43">
        <v>38260</v>
      </c>
      <c r="H2" s="44">
        <v>20</v>
      </c>
      <c r="I2" s="44">
        <v>40</v>
      </c>
    </row>
    <row r="3" spans="1:9" ht="20.5" x14ac:dyDescent="0.25">
      <c r="A3" s="50" t="s">
        <v>473</v>
      </c>
      <c r="B3" s="42" t="s">
        <v>383</v>
      </c>
      <c r="C3" s="42" t="s">
        <v>486</v>
      </c>
      <c r="D3" s="42">
        <v>14671</v>
      </c>
      <c r="E3" s="42" t="s">
        <v>739</v>
      </c>
      <c r="F3" s="43">
        <v>37946</v>
      </c>
      <c r="G3" s="43"/>
      <c r="H3" s="44">
        <v>16</v>
      </c>
      <c r="I3" s="44">
        <v>32</v>
      </c>
    </row>
    <row r="4" spans="1:9" ht="20.5" x14ac:dyDescent="0.25">
      <c r="A4" s="50" t="s">
        <v>473</v>
      </c>
      <c r="B4" s="42" t="s">
        <v>383</v>
      </c>
      <c r="C4" s="42" t="s">
        <v>486</v>
      </c>
      <c r="D4" s="42">
        <v>14672</v>
      </c>
      <c r="E4" s="42" t="s">
        <v>740</v>
      </c>
      <c r="F4" s="43">
        <v>37946</v>
      </c>
      <c r="G4" s="43">
        <v>38044</v>
      </c>
      <c r="H4" s="44">
        <v>40</v>
      </c>
      <c r="I4" s="44">
        <v>60</v>
      </c>
    </row>
    <row r="5" spans="1:9" ht="20.5" x14ac:dyDescent="0.25">
      <c r="A5" s="50" t="s">
        <v>473</v>
      </c>
      <c r="B5" s="42" t="s">
        <v>383</v>
      </c>
      <c r="C5" s="42" t="s">
        <v>486</v>
      </c>
      <c r="D5" s="42">
        <v>14716</v>
      </c>
      <c r="E5" s="42" t="s">
        <v>741</v>
      </c>
      <c r="F5" s="43">
        <v>37964</v>
      </c>
      <c r="G5" s="43"/>
      <c r="H5" s="44">
        <v>40</v>
      </c>
      <c r="I5" s="44">
        <v>80</v>
      </c>
    </row>
    <row r="6" spans="1:9" x14ac:dyDescent="0.25">
      <c r="A6" s="50" t="s">
        <v>473</v>
      </c>
      <c r="B6" s="42" t="s">
        <v>383</v>
      </c>
      <c r="C6" s="42" t="s">
        <v>334</v>
      </c>
      <c r="D6" s="42">
        <v>14344</v>
      </c>
      <c r="E6" s="42" t="s">
        <v>742</v>
      </c>
      <c r="F6" s="43">
        <v>37951</v>
      </c>
      <c r="G6" s="43"/>
      <c r="H6" s="44">
        <v>10</v>
      </c>
      <c r="I6" s="44">
        <v>120</v>
      </c>
    </row>
    <row r="7" spans="1:9" x14ac:dyDescent="0.25">
      <c r="A7" s="50" t="s">
        <v>473</v>
      </c>
      <c r="B7" s="42" t="s">
        <v>383</v>
      </c>
      <c r="C7" s="42" t="s">
        <v>334</v>
      </c>
      <c r="D7" s="42">
        <v>14345</v>
      </c>
      <c r="E7" s="42" t="s">
        <v>743</v>
      </c>
      <c r="F7" s="43">
        <v>37908</v>
      </c>
      <c r="G7" s="43"/>
      <c r="H7" s="44">
        <v>80</v>
      </c>
      <c r="I7" s="44">
        <v>120</v>
      </c>
    </row>
    <row r="8" spans="1:9" x14ac:dyDescent="0.25">
      <c r="A8" s="50" t="s">
        <v>473</v>
      </c>
      <c r="B8" s="42" t="s">
        <v>383</v>
      </c>
      <c r="C8" s="42" t="s">
        <v>334</v>
      </c>
      <c r="D8" s="42">
        <v>14346</v>
      </c>
      <c r="E8" s="42" t="s">
        <v>744</v>
      </c>
      <c r="F8" s="43">
        <v>37908</v>
      </c>
      <c r="G8" s="43"/>
      <c r="H8" s="44">
        <v>100</v>
      </c>
      <c r="I8" s="44">
        <v>200</v>
      </c>
    </row>
    <row r="9" spans="1:9" x14ac:dyDescent="0.25">
      <c r="A9" s="50" t="s">
        <v>473</v>
      </c>
      <c r="B9" s="42" t="s">
        <v>383</v>
      </c>
      <c r="C9" s="42" t="s">
        <v>334</v>
      </c>
      <c r="D9" s="42">
        <v>14348</v>
      </c>
      <c r="E9" s="42" t="s">
        <v>745</v>
      </c>
      <c r="F9" s="43">
        <v>37908</v>
      </c>
      <c r="G9" s="43"/>
      <c r="H9" s="44">
        <v>40</v>
      </c>
      <c r="I9" s="44">
        <v>80</v>
      </c>
    </row>
    <row r="10" spans="1:9" x14ac:dyDescent="0.25">
      <c r="A10" s="50" t="s">
        <v>473</v>
      </c>
      <c r="B10" s="42" t="s">
        <v>383</v>
      </c>
      <c r="C10" s="42" t="s">
        <v>334</v>
      </c>
      <c r="D10" s="42">
        <v>14350</v>
      </c>
      <c r="E10" s="42" t="s">
        <v>746</v>
      </c>
      <c r="F10" s="43">
        <v>37908</v>
      </c>
      <c r="G10" s="43">
        <v>38352</v>
      </c>
      <c r="H10" s="44">
        <v>20</v>
      </c>
      <c r="I10" s="44">
        <v>40</v>
      </c>
    </row>
    <row r="11" spans="1:9" x14ac:dyDescent="0.25">
      <c r="A11" s="50" t="s">
        <v>473</v>
      </c>
      <c r="B11" s="42" t="s">
        <v>383</v>
      </c>
      <c r="C11" s="42" t="s">
        <v>334</v>
      </c>
      <c r="D11" s="42">
        <v>14353</v>
      </c>
      <c r="E11" s="42" t="s">
        <v>747</v>
      </c>
      <c r="F11" s="43">
        <v>37908</v>
      </c>
      <c r="G11" s="43">
        <v>38260</v>
      </c>
      <c r="H11" s="44">
        <v>40</v>
      </c>
      <c r="I11" s="44">
        <v>80</v>
      </c>
    </row>
    <row r="12" spans="1:9" x14ac:dyDescent="0.25">
      <c r="A12" s="50" t="s">
        <v>473</v>
      </c>
      <c r="B12" s="42" t="s">
        <v>383</v>
      </c>
      <c r="C12" s="42" t="s">
        <v>334</v>
      </c>
      <c r="D12" s="42">
        <v>14673</v>
      </c>
      <c r="E12" s="42" t="s">
        <v>748</v>
      </c>
      <c r="F12" s="43">
        <v>37946</v>
      </c>
      <c r="G12" s="43">
        <v>38016</v>
      </c>
      <c r="H12" s="44">
        <v>40</v>
      </c>
      <c r="I12" s="44">
        <v>60</v>
      </c>
    </row>
    <row r="13" spans="1:9" x14ac:dyDescent="0.25">
      <c r="A13" s="50" t="s">
        <v>473</v>
      </c>
      <c r="B13" s="42" t="s">
        <v>383</v>
      </c>
      <c r="C13" s="42" t="s">
        <v>334</v>
      </c>
      <c r="D13" s="42">
        <v>14884</v>
      </c>
      <c r="E13" s="42" t="s">
        <v>874</v>
      </c>
      <c r="F13" s="43">
        <v>37998</v>
      </c>
      <c r="G13" s="43">
        <v>38333</v>
      </c>
      <c r="H13" s="44">
        <v>48</v>
      </c>
      <c r="I13" s="44">
        <v>48</v>
      </c>
    </row>
    <row r="14" spans="1:9" x14ac:dyDescent="0.25">
      <c r="A14" s="50" t="s">
        <v>473</v>
      </c>
      <c r="B14" s="42" t="s">
        <v>383</v>
      </c>
      <c r="C14" s="42" t="s">
        <v>334</v>
      </c>
      <c r="D14" s="42">
        <v>14885</v>
      </c>
      <c r="E14" s="42" t="s">
        <v>749</v>
      </c>
      <c r="F14" s="43">
        <v>37998</v>
      </c>
      <c r="G14" s="43">
        <v>38150</v>
      </c>
      <c r="H14" s="44">
        <v>1</v>
      </c>
      <c r="I14" s="44">
        <v>1</v>
      </c>
    </row>
    <row r="15" spans="1:9" x14ac:dyDescent="0.25">
      <c r="A15" s="50" t="s">
        <v>473</v>
      </c>
      <c r="B15" s="42" t="s">
        <v>383</v>
      </c>
      <c r="C15" s="42" t="s">
        <v>334</v>
      </c>
      <c r="D15" s="42">
        <v>14893</v>
      </c>
      <c r="E15" s="42" t="s">
        <v>750</v>
      </c>
      <c r="F15" s="43">
        <v>37995</v>
      </c>
      <c r="G15" s="43"/>
      <c r="H15" s="44">
        <v>40</v>
      </c>
      <c r="I15" s="44">
        <v>80</v>
      </c>
    </row>
    <row r="16" spans="1:9" x14ac:dyDescent="0.25">
      <c r="A16" s="50" t="s">
        <v>473</v>
      </c>
      <c r="B16" s="42" t="s">
        <v>383</v>
      </c>
      <c r="C16" s="42" t="s">
        <v>334</v>
      </c>
      <c r="D16" s="42">
        <v>14894</v>
      </c>
      <c r="E16" s="42" t="s">
        <v>751</v>
      </c>
      <c r="F16" s="43">
        <v>37995</v>
      </c>
      <c r="G16" s="43">
        <v>38044</v>
      </c>
      <c r="H16" s="44">
        <v>75</v>
      </c>
      <c r="I16" s="44">
        <v>100</v>
      </c>
    </row>
    <row r="17" spans="1:9" ht="20.5" x14ac:dyDescent="0.25">
      <c r="A17" s="50" t="s">
        <v>473</v>
      </c>
      <c r="B17" s="42" t="s">
        <v>331</v>
      </c>
      <c r="C17" s="42" t="s">
        <v>486</v>
      </c>
      <c r="D17" s="42">
        <v>2507</v>
      </c>
      <c r="E17" s="42" t="s">
        <v>875</v>
      </c>
      <c r="F17" s="43">
        <v>37879</v>
      </c>
      <c r="G17" s="43"/>
      <c r="H17" s="44">
        <v>10</v>
      </c>
      <c r="I17" s="44">
        <v>50</v>
      </c>
    </row>
    <row r="18" spans="1:9" ht="20.5" x14ac:dyDescent="0.25">
      <c r="A18" s="50" t="s">
        <v>473</v>
      </c>
      <c r="B18" s="42" t="s">
        <v>345</v>
      </c>
      <c r="C18" s="42" t="s">
        <v>486</v>
      </c>
      <c r="D18" s="42">
        <v>11639</v>
      </c>
      <c r="E18" s="42" t="s">
        <v>752</v>
      </c>
      <c r="F18" s="43">
        <v>36984</v>
      </c>
      <c r="G18" s="43">
        <v>38200</v>
      </c>
      <c r="H18" s="44">
        <v>40</v>
      </c>
      <c r="I18" s="44">
        <v>160</v>
      </c>
    </row>
    <row r="19" spans="1:9" ht="20.5" x14ac:dyDescent="0.25">
      <c r="A19" s="50" t="s">
        <v>473</v>
      </c>
      <c r="B19" s="42" t="s">
        <v>345</v>
      </c>
      <c r="C19" s="42" t="s">
        <v>486</v>
      </c>
      <c r="D19" s="42">
        <v>14853</v>
      </c>
      <c r="E19" s="42" t="s">
        <v>753</v>
      </c>
      <c r="F19" s="43">
        <v>37994</v>
      </c>
      <c r="G19" s="43"/>
      <c r="H19" s="44">
        <v>40</v>
      </c>
      <c r="I19" s="44">
        <v>100</v>
      </c>
    </row>
    <row r="20" spans="1:9" x14ac:dyDescent="0.25">
      <c r="A20" s="51" t="s">
        <v>473</v>
      </c>
      <c r="B20" s="45" t="s">
        <v>345</v>
      </c>
      <c r="C20" s="45" t="s">
        <v>334</v>
      </c>
      <c r="D20" s="46">
        <v>14863</v>
      </c>
      <c r="E20" s="45" t="s">
        <v>652</v>
      </c>
      <c r="F20" s="47">
        <v>37995</v>
      </c>
      <c r="G20" s="47">
        <v>38047</v>
      </c>
      <c r="H20" s="48">
        <v>10</v>
      </c>
      <c r="I20" s="48">
        <v>100</v>
      </c>
    </row>
    <row r="21" spans="1:9" ht="20.5" x14ac:dyDescent="0.25">
      <c r="A21" s="51" t="s">
        <v>473</v>
      </c>
      <c r="B21" s="45" t="s">
        <v>389</v>
      </c>
      <c r="C21" s="45" t="s">
        <v>486</v>
      </c>
      <c r="D21" s="46">
        <v>14436</v>
      </c>
      <c r="E21" s="45" t="s">
        <v>754</v>
      </c>
      <c r="F21" s="47">
        <v>37921</v>
      </c>
      <c r="G21" s="47"/>
      <c r="H21" s="48">
        <v>60</v>
      </c>
      <c r="I21" s="48">
        <v>100</v>
      </c>
    </row>
    <row r="22" spans="1:9" ht="20.5" x14ac:dyDescent="0.25">
      <c r="A22" s="51" t="s">
        <v>473</v>
      </c>
      <c r="B22" s="45" t="s">
        <v>389</v>
      </c>
      <c r="C22" s="45" t="s">
        <v>486</v>
      </c>
      <c r="D22" s="46">
        <v>14449</v>
      </c>
      <c r="E22" s="45" t="s">
        <v>755</v>
      </c>
      <c r="F22" s="47">
        <v>37832</v>
      </c>
      <c r="G22" s="47"/>
      <c r="H22" s="48">
        <v>60</v>
      </c>
      <c r="I22" s="48">
        <v>80</v>
      </c>
    </row>
    <row r="23" spans="1:9" x14ac:dyDescent="0.25">
      <c r="A23" s="51" t="s">
        <v>473</v>
      </c>
      <c r="B23" s="45" t="s">
        <v>389</v>
      </c>
      <c r="C23" s="45" t="s">
        <v>334</v>
      </c>
      <c r="D23" s="46">
        <v>14437</v>
      </c>
      <c r="E23" s="45" t="s">
        <v>756</v>
      </c>
      <c r="F23" s="47">
        <v>37921</v>
      </c>
      <c r="G23" s="47"/>
      <c r="H23" s="48">
        <v>8</v>
      </c>
      <c r="I23" s="48">
        <v>16</v>
      </c>
    </row>
    <row r="24" spans="1:9" x14ac:dyDescent="0.25">
      <c r="A24" s="51" t="s">
        <v>473</v>
      </c>
      <c r="B24" s="45" t="s">
        <v>332</v>
      </c>
      <c r="C24" s="45" t="s">
        <v>334</v>
      </c>
      <c r="D24" s="46">
        <v>14127</v>
      </c>
      <c r="E24" s="45" t="s">
        <v>757</v>
      </c>
      <c r="F24" s="47">
        <v>37880</v>
      </c>
      <c r="G24" s="47"/>
      <c r="H24" s="48">
        <v>30</v>
      </c>
      <c r="I24" s="48">
        <v>60</v>
      </c>
    </row>
    <row r="25" spans="1:9" x14ac:dyDescent="0.25">
      <c r="A25" s="51" t="s">
        <v>473</v>
      </c>
      <c r="B25" s="45" t="s">
        <v>332</v>
      </c>
      <c r="C25" s="45" t="s">
        <v>334</v>
      </c>
      <c r="D25" s="46">
        <v>15005</v>
      </c>
      <c r="E25" s="45" t="s">
        <v>887</v>
      </c>
      <c r="F25" s="47">
        <v>37992</v>
      </c>
      <c r="G25" s="47">
        <v>38016</v>
      </c>
      <c r="H25" s="48">
        <v>4</v>
      </c>
      <c r="I25" s="48">
        <v>20</v>
      </c>
    </row>
    <row r="26" spans="1:9" ht="20.5" x14ac:dyDescent="0.25">
      <c r="A26" s="51" t="s">
        <v>473</v>
      </c>
      <c r="B26" s="45" t="s">
        <v>370</v>
      </c>
      <c r="C26" s="45" t="s">
        <v>486</v>
      </c>
      <c r="D26" s="46">
        <v>14998</v>
      </c>
      <c r="E26" s="45" t="s">
        <v>883</v>
      </c>
      <c r="F26" s="47">
        <v>38009</v>
      </c>
      <c r="G26" s="47"/>
      <c r="H26" s="48">
        <v>24</v>
      </c>
      <c r="I26" s="48">
        <v>40</v>
      </c>
    </row>
    <row r="27" spans="1:9" x14ac:dyDescent="0.25">
      <c r="A27" s="51" t="s">
        <v>473</v>
      </c>
      <c r="B27" s="45" t="s">
        <v>348</v>
      </c>
      <c r="C27" s="45" t="s">
        <v>334</v>
      </c>
      <c r="D27" s="46">
        <v>13908</v>
      </c>
      <c r="E27" s="45" t="s">
        <v>876</v>
      </c>
      <c r="F27" s="47">
        <v>37799</v>
      </c>
      <c r="G27" s="47">
        <v>37799</v>
      </c>
      <c r="H27" s="48">
        <v>40</v>
      </c>
      <c r="I27" s="48">
        <v>80</v>
      </c>
    </row>
    <row r="28" spans="1:9" x14ac:dyDescent="0.25">
      <c r="A28" s="51" t="s">
        <v>473</v>
      </c>
      <c r="B28" s="45" t="s">
        <v>344</v>
      </c>
      <c r="C28" s="45" t="s">
        <v>334</v>
      </c>
      <c r="D28" s="46">
        <v>14194</v>
      </c>
      <c r="E28" s="45" t="s">
        <v>877</v>
      </c>
      <c r="F28" s="47">
        <v>37883</v>
      </c>
      <c r="G28" s="47">
        <v>38078</v>
      </c>
      <c r="H28" s="48">
        <v>40</v>
      </c>
      <c r="I28" s="48">
        <v>160</v>
      </c>
    </row>
    <row r="29" spans="1:9" ht="30.5" x14ac:dyDescent="0.25">
      <c r="A29" s="51" t="s">
        <v>482</v>
      </c>
      <c r="B29" s="45" t="s">
        <v>392</v>
      </c>
      <c r="C29" s="45" t="s">
        <v>377</v>
      </c>
      <c r="D29" s="46">
        <v>14952</v>
      </c>
      <c r="E29" s="45" t="s">
        <v>878</v>
      </c>
      <c r="F29" s="47">
        <v>38001</v>
      </c>
      <c r="G29" s="47">
        <v>38145</v>
      </c>
      <c r="H29" s="48">
        <v>1</v>
      </c>
      <c r="I29" s="48">
        <v>100</v>
      </c>
    </row>
    <row r="30" spans="1:9" ht="30.5" x14ac:dyDescent="0.25">
      <c r="A30" s="51" t="s">
        <v>482</v>
      </c>
      <c r="B30" s="45" t="s">
        <v>392</v>
      </c>
      <c r="C30" s="45" t="s">
        <v>377</v>
      </c>
      <c r="D30" s="46">
        <v>14953</v>
      </c>
      <c r="E30" s="45" t="s">
        <v>879</v>
      </c>
      <c r="F30" s="47">
        <v>38001</v>
      </c>
      <c r="G30" s="47">
        <v>38147</v>
      </c>
      <c r="H30" s="48">
        <v>1</v>
      </c>
      <c r="I30" s="48">
        <v>100</v>
      </c>
    </row>
    <row r="31" spans="1:9" x14ac:dyDescent="0.25">
      <c r="A31" s="51" t="s">
        <v>482</v>
      </c>
      <c r="B31" s="45" t="s">
        <v>392</v>
      </c>
      <c r="C31" s="45" t="s">
        <v>334</v>
      </c>
      <c r="D31" s="46">
        <v>14589</v>
      </c>
      <c r="E31" s="45" t="s">
        <v>762</v>
      </c>
      <c r="F31" s="47">
        <v>37932</v>
      </c>
      <c r="G31" s="47">
        <v>37995</v>
      </c>
      <c r="H31" s="48">
        <v>1</v>
      </c>
      <c r="I31" s="48">
        <v>100</v>
      </c>
    </row>
    <row r="32" spans="1:9" x14ac:dyDescent="0.25">
      <c r="A32" s="51" t="s">
        <v>482</v>
      </c>
      <c r="B32" s="45" t="s">
        <v>392</v>
      </c>
      <c r="C32" s="45" t="s">
        <v>334</v>
      </c>
      <c r="D32" s="46">
        <v>14590</v>
      </c>
      <c r="E32" s="45" t="s">
        <v>758</v>
      </c>
      <c r="F32" s="47">
        <v>37932</v>
      </c>
      <c r="G32" s="47">
        <v>38169</v>
      </c>
      <c r="H32" s="48">
        <v>1</v>
      </c>
      <c r="I32" s="48">
        <v>100</v>
      </c>
    </row>
    <row r="33" spans="1:9" x14ac:dyDescent="0.25">
      <c r="A33" s="51" t="s">
        <v>482</v>
      </c>
      <c r="B33" s="45" t="s">
        <v>392</v>
      </c>
      <c r="C33" s="45" t="s">
        <v>334</v>
      </c>
      <c r="D33" s="46">
        <v>14591</v>
      </c>
      <c r="E33" s="45" t="s">
        <v>759</v>
      </c>
      <c r="F33" s="47">
        <v>37932</v>
      </c>
      <c r="G33" s="47">
        <v>38051</v>
      </c>
      <c r="H33" s="48">
        <v>100</v>
      </c>
      <c r="I33" s="48">
        <v>500</v>
      </c>
    </row>
    <row r="34" spans="1:9" x14ac:dyDescent="0.25">
      <c r="A34" s="51" t="s">
        <v>482</v>
      </c>
      <c r="B34" s="45" t="s">
        <v>392</v>
      </c>
      <c r="C34" s="45" t="s">
        <v>334</v>
      </c>
      <c r="D34" s="46">
        <v>14595</v>
      </c>
      <c r="E34" s="45" t="s">
        <v>763</v>
      </c>
      <c r="F34" s="47">
        <v>37932</v>
      </c>
      <c r="G34" s="47">
        <v>38137</v>
      </c>
      <c r="H34" s="48">
        <v>100</v>
      </c>
      <c r="I34" s="48">
        <v>500</v>
      </c>
    </row>
    <row r="35" spans="1:9" x14ac:dyDescent="0.25">
      <c r="A35" s="51" t="s">
        <v>482</v>
      </c>
      <c r="B35" s="45" t="s">
        <v>392</v>
      </c>
      <c r="C35" s="45" t="s">
        <v>334</v>
      </c>
      <c r="D35" s="46">
        <v>14596</v>
      </c>
      <c r="E35" s="45" t="s">
        <v>764</v>
      </c>
      <c r="F35" s="47">
        <v>37932</v>
      </c>
      <c r="G35" s="47">
        <v>38056</v>
      </c>
      <c r="H35" s="48">
        <v>100</v>
      </c>
      <c r="I35" s="48">
        <v>500</v>
      </c>
    </row>
    <row r="36" spans="1:9" x14ac:dyDescent="0.25">
      <c r="A36" s="51" t="s">
        <v>482</v>
      </c>
      <c r="B36" s="45" t="s">
        <v>392</v>
      </c>
      <c r="C36" s="45" t="s">
        <v>334</v>
      </c>
      <c r="D36" s="46">
        <v>14652</v>
      </c>
      <c r="E36" s="45" t="s">
        <v>765</v>
      </c>
      <c r="F36" s="47">
        <v>37943</v>
      </c>
      <c r="G36" s="47">
        <v>38076</v>
      </c>
      <c r="H36" s="48">
        <v>1</v>
      </c>
      <c r="I36" s="48">
        <v>100</v>
      </c>
    </row>
    <row r="37" spans="1:9" x14ac:dyDescent="0.25">
      <c r="A37" s="51" t="s">
        <v>482</v>
      </c>
      <c r="B37" s="45" t="s">
        <v>392</v>
      </c>
      <c r="C37" s="45" t="s">
        <v>334</v>
      </c>
      <c r="D37" s="46">
        <v>14653</v>
      </c>
      <c r="E37" s="45" t="s">
        <v>766</v>
      </c>
      <c r="F37" s="47">
        <v>37943</v>
      </c>
      <c r="G37" s="47">
        <v>38009</v>
      </c>
      <c r="H37" s="48">
        <v>1</v>
      </c>
      <c r="I37" s="48">
        <v>100</v>
      </c>
    </row>
    <row r="38" spans="1:9" x14ac:dyDescent="0.25">
      <c r="A38" s="51" t="s">
        <v>482</v>
      </c>
      <c r="B38" s="45" t="s">
        <v>392</v>
      </c>
      <c r="C38" s="45" t="s">
        <v>334</v>
      </c>
      <c r="D38" s="46">
        <v>14755</v>
      </c>
      <c r="E38" s="45" t="s">
        <v>760</v>
      </c>
      <c r="F38" s="47">
        <v>37977</v>
      </c>
      <c r="G38" s="47">
        <v>38052</v>
      </c>
      <c r="H38" s="48">
        <v>1</v>
      </c>
      <c r="I38" s="48">
        <v>100</v>
      </c>
    </row>
    <row r="39" spans="1:9" x14ac:dyDescent="0.25">
      <c r="A39" s="51" t="s">
        <v>482</v>
      </c>
      <c r="B39" s="45" t="s">
        <v>392</v>
      </c>
      <c r="C39" s="45" t="s">
        <v>334</v>
      </c>
      <c r="D39" s="46">
        <v>14756</v>
      </c>
      <c r="E39" s="45" t="s">
        <v>761</v>
      </c>
      <c r="F39" s="47">
        <v>37977</v>
      </c>
      <c r="G39" s="47">
        <v>38017</v>
      </c>
      <c r="H39" s="48">
        <v>1</v>
      </c>
      <c r="I39" s="48">
        <v>100</v>
      </c>
    </row>
    <row r="40" spans="1:9" ht="20.5" x14ac:dyDescent="0.25">
      <c r="A40" s="51" t="s">
        <v>515</v>
      </c>
      <c r="B40" s="45" t="s">
        <v>360</v>
      </c>
      <c r="C40" s="45" t="s">
        <v>486</v>
      </c>
      <c r="D40" s="46">
        <v>13624</v>
      </c>
      <c r="E40" s="45" t="s">
        <v>768</v>
      </c>
      <c r="F40" s="47">
        <v>37881</v>
      </c>
      <c r="G40" s="47">
        <v>38077</v>
      </c>
      <c r="H40" s="48">
        <v>10</v>
      </c>
      <c r="I40" s="48">
        <v>20</v>
      </c>
    </row>
    <row r="41" spans="1:9" ht="20.5" x14ac:dyDescent="0.25">
      <c r="A41" s="51" t="s">
        <v>515</v>
      </c>
      <c r="B41" s="45" t="s">
        <v>360</v>
      </c>
      <c r="C41" s="45" t="s">
        <v>486</v>
      </c>
      <c r="D41" s="46">
        <v>14838</v>
      </c>
      <c r="E41" s="45" t="s">
        <v>769</v>
      </c>
      <c r="F41" s="47">
        <v>37992</v>
      </c>
      <c r="G41" s="47">
        <v>38168</v>
      </c>
      <c r="H41" s="48">
        <v>20</v>
      </c>
      <c r="I41" s="48">
        <v>40</v>
      </c>
    </row>
    <row r="42" spans="1:9" x14ac:dyDescent="0.25">
      <c r="A42" s="51" t="s">
        <v>515</v>
      </c>
      <c r="B42" s="45" t="s">
        <v>360</v>
      </c>
      <c r="C42" s="45" t="s">
        <v>334</v>
      </c>
      <c r="D42" s="46">
        <v>14598</v>
      </c>
      <c r="E42" s="45" t="s">
        <v>773</v>
      </c>
      <c r="F42" s="47">
        <v>37935</v>
      </c>
      <c r="G42" s="47">
        <v>38017</v>
      </c>
      <c r="H42" s="48">
        <v>25</v>
      </c>
      <c r="I42" s="48">
        <v>100</v>
      </c>
    </row>
    <row r="43" spans="1:9" x14ac:dyDescent="0.25">
      <c r="A43" s="51" t="s">
        <v>515</v>
      </c>
      <c r="B43" s="45" t="s">
        <v>360</v>
      </c>
      <c r="C43" s="45" t="s">
        <v>334</v>
      </c>
      <c r="D43" s="46">
        <v>14737</v>
      </c>
      <c r="E43" s="45" t="s">
        <v>774</v>
      </c>
      <c r="F43" s="47">
        <v>37971</v>
      </c>
      <c r="G43" s="47">
        <v>38018</v>
      </c>
      <c r="H43" s="48">
        <v>5</v>
      </c>
      <c r="I43" s="48">
        <v>20</v>
      </c>
    </row>
    <row r="44" spans="1:9" x14ac:dyDescent="0.25">
      <c r="A44" s="51" t="s">
        <v>515</v>
      </c>
      <c r="B44" s="45" t="s">
        <v>360</v>
      </c>
      <c r="C44" s="45" t="s">
        <v>334</v>
      </c>
      <c r="D44" s="46">
        <v>14878</v>
      </c>
      <c r="E44" s="45" t="s">
        <v>771</v>
      </c>
      <c r="F44" s="47">
        <v>37995</v>
      </c>
      <c r="G44" s="47">
        <v>38045</v>
      </c>
      <c r="H44" s="48">
        <v>100</v>
      </c>
      <c r="I44" s="48">
        <v>150</v>
      </c>
    </row>
    <row r="45" spans="1:9" ht="20.5" x14ac:dyDescent="0.25">
      <c r="A45" s="51" t="s">
        <v>479</v>
      </c>
      <c r="B45" s="45" t="s">
        <v>366</v>
      </c>
      <c r="C45" s="45" t="s">
        <v>486</v>
      </c>
      <c r="D45" s="46">
        <v>14049</v>
      </c>
      <c r="E45" s="45" t="s">
        <v>775</v>
      </c>
      <c r="F45" s="47">
        <v>37862</v>
      </c>
      <c r="G45" s="47">
        <v>38200</v>
      </c>
      <c r="H45" s="48">
        <v>20</v>
      </c>
      <c r="I45" s="48">
        <v>50</v>
      </c>
    </row>
    <row r="46" spans="1:9" x14ac:dyDescent="0.25">
      <c r="A46" s="51" t="s">
        <v>479</v>
      </c>
      <c r="B46" s="45" t="s">
        <v>776</v>
      </c>
      <c r="C46" s="45" t="s">
        <v>334</v>
      </c>
      <c r="D46" s="46">
        <v>13269</v>
      </c>
      <c r="E46" s="45" t="s">
        <v>777</v>
      </c>
      <c r="F46" s="47">
        <v>37496</v>
      </c>
      <c r="G46" s="47"/>
      <c r="H46" s="48">
        <v>50</v>
      </c>
      <c r="I46" s="48">
        <v>100</v>
      </c>
    </row>
    <row r="47" spans="1:9" x14ac:dyDescent="0.25">
      <c r="A47" s="51" t="s">
        <v>474</v>
      </c>
      <c r="B47" s="45" t="s">
        <v>341</v>
      </c>
      <c r="C47" s="45" t="s">
        <v>495</v>
      </c>
      <c r="D47" s="46">
        <v>14774</v>
      </c>
      <c r="E47" s="45" t="s">
        <v>778</v>
      </c>
      <c r="F47" s="47">
        <v>37979</v>
      </c>
      <c r="G47" s="47"/>
      <c r="H47" s="48">
        <v>10</v>
      </c>
      <c r="I47" s="48">
        <v>25</v>
      </c>
    </row>
    <row r="48" spans="1:9" x14ac:dyDescent="0.25">
      <c r="A48" s="51" t="s">
        <v>474</v>
      </c>
      <c r="B48" s="45" t="s">
        <v>341</v>
      </c>
      <c r="C48" s="45" t="s">
        <v>495</v>
      </c>
      <c r="D48" s="46">
        <v>14778</v>
      </c>
      <c r="E48" s="45" t="s">
        <v>779</v>
      </c>
      <c r="F48" s="47">
        <v>37979</v>
      </c>
      <c r="G48" s="47"/>
      <c r="H48" s="48">
        <v>20</v>
      </c>
      <c r="I48" s="48">
        <v>75</v>
      </c>
    </row>
    <row r="49" spans="1:9" x14ac:dyDescent="0.25">
      <c r="A49" s="51" t="s">
        <v>474</v>
      </c>
      <c r="B49" s="45" t="s">
        <v>341</v>
      </c>
      <c r="C49" s="45" t="s">
        <v>495</v>
      </c>
      <c r="D49" s="46">
        <v>14779</v>
      </c>
      <c r="E49" s="45" t="s">
        <v>780</v>
      </c>
      <c r="F49" s="47">
        <v>37979</v>
      </c>
      <c r="G49" s="47"/>
      <c r="H49" s="48">
        <v>40</v>
      </c>
      <c r="I49" s="48">
        <v>120</v>
      </c>
    </row>
    <row r="50" spans="1:9" x14ac:dyDescent="0.25">
      <c r="A50" s="51" t="s">
        <v>474</v>
      </c>
      <c r="B50" s="45" t="s">
        <v>341</v>
      </c>
      <c r="C50" s="45" t="s">
        <v>495</v>
      </c>
      <c r="D50" s="46">
        <v>14780</v>
      </c>
      <c r="E50" s="45" t="s">
        <v>781</v>
      </c>
      <c r="F50" s="47">
        <v>37979</v>
      </c>
      <c r="G50" s="47"/>
      <c r="H50" s="48">
        <v>40</v>
      </c>
      <c r="I50" s="48">
        <v>70</v>
      </c>
    </row>
    <row r="51" spans="1:9" x14ac:dyDescent="0.25">
      <c r="A51" s="51" t="s">
        <v>474</v>
      </c>
      <c r="B51" s="45" t="s">
        <v>341</v>
      </c>
      <c r="C51" s="45" t="s">
        <v>495</v>
      </c>
      <c r="D51" s="46">
        <v>14782</v>
      </c>
      <c r="E51" s="45" t="s">
        <v>782</v>
      </c>
      <c r="F51" s="47">
        <v>37979</v>
      </c>
      <c r="G51" s="47"/>
      <c r="H51" s="48">
        <v>20</v>
      </c>
      <c r="I51" s="48">
        <v>40</v>
      </c>
    </row>
    <row r="52" spans="1:9" x14ac:dyDescent="0.25">
      <c r="A52" s="51" t="s">
        <v>474</v>
      </c>
      <c r="B52" s="45" t="s">
        <v>341</v>
      </c>
      <c r="C52" s="45" t="s">
        <v>495</v>
      </c>
      <c r="D52" s="46">
        <v>14785</v>
      </c>
      <c r="E52" s="45" t="s">
        <v>783</v>
      </c>
      <c r="F52" s="47">
        <v>37979</v>
      </c>
      <c r="G52" s="47"/>
      <c r="H52" s="48">
        <v>5</v>
      </c>
      <c r="I52" s="48">
        <v>10</v>
      </c>
    </row>
    <row r="53" spans="1:9" x14ac:dyDescent="0.25">
      <c r="A53" s="51" t="s">
        <v>474</v>
      </c>
      <c r="B53" s="45" t="s">
        <v>341</v>
      </c>
      <c r="C53" s="45" t="s">
        <v>334</v>
      </c>
      <c r="D53" s="46">
        <v>14775</v>
      </c>
      <c r="E53" s="45" t="s">
        <v>784</v>
      </c>
      <c r="F53" s="47">
        <v>37979</v>
      </c>
      <c r="G53" s="47">
        <v>38047</v>
      </c>
      <c r="H53" s="48">
        <v>50</v>
      </c>
      <c r="I53" s="48">
        <v>100</v>
      </c>
    </row>
    <row r="54" spans="1:9" x14ac:dyDescent="0.25">
      <c r="A54" s="51" t="s">
        <v>474</v>
      </c>
      <c r="B54" s="45" t="s">
        <v>349</v>
      </c>
      <c r="C54" s="45" t="s">
        <v>495</v>
      </c>
      <c r="D54" s="46">
        <v>14797</v>
      </c>
      <c r="E54" s="45" t="s">
        <v>785</v>
      </c>
      <c r="F54" s="47">
        <v>37985</v>
      </c>
      <c r="G54" s="47"/>
      <c r="H54" s="48">
        <v>10</v>
      </c>
      <c r="I54" s="48">
        <v>100</v>
      </c>
    </row>
    <row r="55" spans="1:9" x14ac:dyDescent="0.25">
      <c r="A55" s="51" t="s">
        <v>474</v>
      </c>
      <c r="B55" s="45" t="s">
        <v>349</v>
      </c>
      <c r="C55" s="45" t="s">
        <v>495</v>
      </c>
      <c r="D55" s="46">
        <v>14803</v>
      </c>
      <c r="E55" s="45" t="s">
        <v>786</v>
      </c>
      <c r="F55" s="47">
        <v>37985</v>
      </c>
      <c r="G55" s="47">
        <v>38168</v>
      </c>
      <c r="H55" s="48">
        <v>10</v>
      </c>
      <c r="I55" s="48">
        <v>100</v>
      </c>
    </row>
    <row r="56" spans="1:9" x14ac:dyDescent="0.25">
      <c r="A56" s="51" t="s">
        <v>474</v>
      </c>
      <c r="B56" s="45" t="s">
        <v>349</v>
      </c>
      <c r="C56" s="45" t="s">
        <v>495</v>
      </c>
      <c r="D56" s="46">
        <v>14804</v>
      </c>
      <c r="E56" s="45" t="s">
        <v>787</v>
      </c>
      <c r="F56" s="47">
        <v>37985</v>
      </c>
      <c r="G56" s="47">
        <v>38198</v>
      </c>
      <c r="H56" s="48">
        <v>250</v>
      </c>
      <c r="I56" s="48">
        <v>350</v>
      </c>
    </row>
    <row r="57" spans="1:9" x14ac:dyDescent="0.25">
      <c r="A57" s="51" t="s">
        <v>474</v>
      </c>
      <c r="B57" s="45" t="s">
        <v>349</v>
      </c>
      <c r="C57" s="45" t="s">
        <v>495</v>
      </c>
      <c r="D57" s="46">
        <v>14805</v>
      </c>
      <c r="E57" s="45" t="s">
        <v>788</v>
      </c>
      <c r="F57" s="47">
        <v>37985</v>
      </c>
      <c r="G57" s="47">
        <v>38260</v>
      </c>
      <c r="H57" s="48">
        <v>50</v>
      </c>
      <c r="I57" s="48">
        <v>100</v>
      </c>
    </row>
    <row r="58" spans="1:9" x14ac:dyDescent="0.25">
      <c r="A58" s="51" t="s">
        <v>474</v>
      </c>
      <c r="B58" s="45" t="s">
        <v>349</v>
      </c>
      <c r="C58" s="45" t="s">
        <v>495</v>
      </c>
      <c r="D58" s="46">
        <v>14806</v>
      </c>
      <c r="E58" s="45" t="s">
        <v>789</v>
      </c>
      <c r="F58" s="47">
        <v>37986</v>
      </c>
      <c r="G58" s="47">
        <v>38336</v>
      </c>
      <c r="H58" s="48">
        <v>150</v>
      </c>
      <c r="I58" s="48">
        <v>250</v>
      </c>
    </row>
    <row r="59" spans="1:9" x14ac:dyDescent="0.25">
      <c r="A59" s="51" t="s">
        <v>474</v>
      </c>
      <c r="B59" s="45" t="s">
        <v>349</v>
      </c>
      <c r="C59" s="45" t="s">
        <v>495</v>
      </c>
      <c r="D59" s="46">
        <v>14807</v>
      </c>
      <c r="E59" s="45" t="s">
        <v>790</v>
      </c>
      <c r="F59" s="47">
        <v>37986</v>
      </c>
      <c r="G59" s="47">
        <v>38359</v>
      </c>
      <c r="H59" s="48">
        <v>10</v>
      </c>
      <c r="I59" s="48">
        <v>25</v>
      </c>
    </row>
    <row r="60" spans="1:9" x14ac:dyDescent="0.25">
      <c r="A60" s="51" t="s">
        <v>474</v>
      </c>
      <c r="B60" s="45" t="s">
        <v>349</v>
      </c>
      <c r="C60" s="45" t="s">
        <v>495</v>
      </c>
      <c r="D60" s="46">
        <v>14808</v>
      </c>
      <c r="E60" s="45" t="s">
        <v>791</v>
      </c>
      <c r="F60" s="47">
        <v>37986</v>
      </c>
      <c r="G60" s="47"/>
      <c r="H60" s="48">
        <v>25</v>
      </c>
      <c r="I60" s="48">
        <v>50</v>
      </c>
    </row>
    <row r="61" spans="1:9" x14ac:dyDescent="0.25">
      <c r="A61" s="51" t="s">
        <v>474</v>
      </c>
      <c r="B61" s="45" t="s">
        <v>349</v>
      </c>
      <c r="C61" s="45" t="s">
        <v>495</v>
      </c>
      <c r="D61" s="46">
        <v>14811</v>
      </c>
      <c r="E61" s="45" t="s">
        <v>793</v>
      </c>
      <c r="F61" s="47">
        <v>37986</v>
      </c>
      <c r="G61" s="47"/>
      <c r="H61" s="48">
        <v>10</v>
      </c>
      <c r="I61" s="48">
        <v>25</v>
      </c>
    </row>
    <row r="62" spans="1:9" x14ac:dyDescent="0.25">
      <c r="A62" s="51" t="s">
        <v>474</v>
      </c>
      <c r="B62" s="45" t="s">
        <v>349</v>
      </c>
      <c r="C62" s="45" t="s">
        <v>495</v>
      </c>
      <c r="D62" s="46">
        <v>14813</v>
      </c>
      <c r="E62" s="45" t="s">
        <v>795</v>
      </c>
      <c r="F62" s="47">
        <v>37986</v>
      </c>
      <c r="G62" s="47"/>
      <c r="H62" s="48">
        <v>10</v>
      </c>
      <c r="I62" s="48">
        <v>25</v>
      </c>
    </row>
    <row r="63" spans="1:9" x14ac:dyDescent="0.25">
      <c r="A63" s="51" t="s">
        <v>474</v>
      </c>
      <c r="B63" s="45" t="s">
        <v>349</v>
      </c>
      <c r="C63" s="45" t="s">
        <v>495</v>
      </c>
      <c r="D63" s="46">
        <v>14814</v>
      </c>
      <c r="E63" s="45" t="s">
        <v>796</v>
      </c>
      <c r="F63" s="47">
        <v>37986</v>
      </c>
      <c r="G63" s="47"/>
      <c r="H63" s="48">
        <v>5</v>
      </c>
      <c r="I63" s="48">
        <v>25</v>
      </c>
    </row>
    <row r="64" spans="1:9" x14ac:dyDescent="0.25">
      <c r="A64" s="51" t="s">
        <v>474</v>
      </c>
      <c r="B64" s="45" t="s">
        <v>349</v>
      </c>
      <c r="C64" s="45" t="s">
        <v>495</v>
      </c>
      <c r="D64" s="46">
        <v>14815</v>
      </c>
      <c r="E64" s="45" t="s">
        <v>797</v>
      </c>
      <c r="F64" s="47">
        <v>37986</v>
      </c>
      <c r="G64" s="47"/>
      <c r="H64" s="48">
        <v>20</v>
      </c>
      <c r="I64" s="48">
        <v>30</v>
      </c>
    </row>
    <row r="65" spans="1:9" ht="30.5" x14ac:dyDescent="0.25">
      <c r="A65" s="51" t="s">
        <v>474</v>
      </c>
      <c r="B65" s="45" t="s">
        <v>349</v>
      </c>
      <c r="C65" s="45" t="s">
        <v>377</v>
      </c>
      <c r="D65" s="46">
        <v>14810</v>
      </c>
      <c r="E65" s="45" t="s">
        <v>792</v>
      </c>
      <c r="F65" s="47">
        <v>37986</v>
      </c>
      <c r="G65" s="47">
        <v>38075</v>
      </c>
      <c r="H65" s="48">
        <v>10</v>
      </c>
      <c r="I65" s="48">
        <v>25</v>
      </c>
    </row>
    <row r="66" spans="1:9" ht="30.5" x14ac:dyDescent="0.25">
      <c r="A66" s="51" t="s">
        <v>474</v>
      </c>
      <c r="B66" s="45" t="s">
        <v>349</v>
      </c>
      <c r="C66" s="45" t="s">
        <v>377</v>
      </c>
      <c r="D66" s="46">
        <v>14812</v>
      </c>
      <c r="E66" s="45" t="s">
        <v>794</v>
      </c>
      <c r="F66" s="47">
        <v>37986</v>
      </c>
      <c r="G66" s="47">
        <v>38096</v>
      </c>
      <c r="H66" s="48">
        <v>10</v>
      </c>
      <c r="I66" s="48">
        <v>25</v>
      </c>
    </row>
    <row r="67" spans="1:9" x14ac:dyDescent="0.25">
      <c r="A67" s="51" t="s">
        <v>474</v>
      </c>
      <c r="B67" s="45" t="s">
        <v>349</v>
      </c>
      <c r="C67" s="45" t="s">
        <v>334</v>
      </c>
      <c r="D67" s="46">
        <v>14490</v>
      </c>
      <c r="E67" s="45" t="s">
        <v>798</v>
      </c>
      <c r="F67" s="47">
        <v>37925</v>
      </c>
      <c r="G67" s="47">
        <v>38078</v>
      </c>
      <c r="H67" s="48">
        <v>100</v>
      </c>
      <c r="I67" s="48">
        <v>500</v>
      </c>
    </row>
    <row r="68" spans="1:9" x14ac:dyDescent="0.25">
      <c r="A68" s="51" t="s">
        <v>474</v>
      </c>
      <c r="B68" s="45" t="s">
        <v>349</v>
      </c>
      <c r="C68" s="45" t="s">
        <v>334</v>
      </c>
      <c r="D68" s="46">
        <v>14491</v>
      </c>
      <c r="E68" s="45" t="s">
        <v>799</v>
      </c>
      <c r="F68" s="47">
        <v>37925</v>
      </c>
      <c r="G68" s="47">
        <v>37667</v>
      </c>
      <c r="H68" s="48">
        <v>1</v>
      </c>
      <c r="I68" s="48">
        <v>100</v>
      </c>
    </row>
    <row r="69" spans="1:9" x14ac:dyDescent="0.25">
      <c r="A69" s="51" t="s">
        <v>474</v>
      </c>
      <c r="B69" s="45" t="s">
        <v>349</v>
      </c>
      <c r="C69" s="45" t="s">
        <v>334</v>
      </c>
      <c r="D69" s="46">
        <v>14645</v>
      </c>
      <c r="E69" s="45" t="s">
        <v>800</v>
      </c>
      <c r="F69" s="47">
        <v>37942</v>
      </c>
      <c r="G69" s="47">
        <v>38018</v>
      </c>
      <c r="H69" s="48">
        <v>50</v>
      </c>
      <c r="I69" s="48">
        <v>75</v>
      </c>
    </row>
    <row r="70" spans="1:9" x14ac:dyDescent="0.25">
      <c r="A70" s="51" t="s">
        <v>474</v>
      </c>
      <c r="B70" s="45" t="s">
        <v>349</v>
      </c>
      <c r="C70" s="45" t="s">
        <v>334</v>
      </c>
      <c r="D70" s="46">
        <v>14795</v>
      </c>
      <c r="E70" s="45" t="s">
        <v>801</v>
      </c>
      <c r="F70" s="47">
        <v>37985</v>
      </c>
      <c r="G70" s="47">
        <v>38047</v>
      </c>
      <c r="H70" s="48">
        <v>250</v>
      </c>
      <c r="I70" s="48">
        <v>500</v>
      </c>
    </row>
    <row r="71" spans="1:9" x14ac:dyDescent="0.25">
      <c r="A71" s="51" t="s">
        <v>474</v>
      </c>
      <c r="B71" s="45" t="s">
        <v>349</v>
      </c>
      <c r="C71" s="45" t="s">
        <v>334</v>
      </c>
      <c r="D71" s="46">
        <v>14796</v>
      </c>
      <c r="E71" s="45" t="s">
        <v>802</v>
      </c>
      <c r="F71" s="47">
        <v>37985</v>
      </c>
      <c r="G71" s="47">
        <v>38077</v>
      </c>
      <c r="H71" s="48">
        <v>10</v>
      </c>
      <c r="I71" s="48">
        <v>50</v>
      </c>
    </row>
    <row r="72" spans="1:9" x14ac:dyDescent="0.25">
      <c r="A72" s="51" t="s">
        <v>474</v>
      </c>
      <c r="B72" s="45" t="s">
        <v>349</v>
      </c>
      <c r="C72" s="45" t="s">
        <v>334</v>
      </c>
      <c r="D72" s="46">
        <v>14798</v>
      </c>
      <c r="E72" s="45" t="s">
        <v>803</v>
      </c>
      <c r="F72" s="47">
        <v>37985</v>
      </c>
      <c r="G72" s="47">
        <v>38077</v>
      </c>
      <c r="H72" s="48">
        <v>10</v>
      </c>
      <c r="I72" s="48">
        <v>100</v>
      </c>
    </row>
    <row r="73" spans="1:9" x14ac:dyDescent="0.25">
      <c r="A73" s="51" t="s">
        <v>474</v>
      </c>
      <c r="B73" s="45" t="s">
        <v>349</v>
      </c>
      <c r="C73" s="45" t="s">
        <v>334</v>
      </c>
      <c r="D73" s="46">
        <v>14799</v>
      </c>
      <c r="E73" s="45" t="s">
        <v>804</v>
      </c>
      <c r="F73" s="47">
        <v>37985</v>
      </c>
      <c r="G73" s="47">
        <v>38077</v>
      </c>
      <c r="H73" s="48">
        <v>10</v>
      </c>
      <c r="I73" s="48">
        <v>100</v>
      </c>
    </row>
    <row r="74" spans="1:9" x14ac:dyDescent="0.25">
      <c r="A74" s="51" t="s">
        <v>474</v>
      </c>
      <c r="B74" s="45" t="s">
        <v>349</v>
      </c>
      <c r="C74" s="45" t="s">
        <v>334</v>
      </c>
      <c r="D74" s="46">
        <v>14800</v>
      </c>
      <c r="E74" s="45" t="s">
        <v>805</v>
      </c>
      <c r="F74" s="47">
        <v>37985</v>
      </c>
      <c r="G74" s="47">
        <v>38077</v>
      </c>
      <c r="H74" s="48">
        <v>10</v>
      </c>
      <c r="I74" s="48">
        <v>40</v>
      </c>
    </row>
    <row r="75" spans="1:9" x14ac:dyDescent="0.25">
      <c r="A75" s="51" t="s">
        <v>474</v>
      </c>
      <c r="B75" s="45" t="s">
        <v>349</v>
      </c>
      <c r="C75" s="45" t="s">
        <v>334</v>
      </c>
      <c r="D75" s="46">
        <v>14801</v>
      </c>
      <c r="E75" s="45" t="s">
        <v>806</v>
      </c>
      <c r="F75" s="47">
        <v>37985</v>
      </c>
      <c r="G75" s="47">
        <v>38077</v>
      </c>
      <c r="H75" s="48">
        <v>10</v>
      </c>
      <c r="I75" s="48">
        <v>40</v>
      </c>
    </row>
    <row r="76" spans="1:9" x14ac:dyDescent="0.25">
      <c r="A76" s="51" t="s">
        <v>474</v>
      </c>
      <c r="B76" s="45" t="s">
        <v>349</v>
      </c>
      <c r="C76" s="45" t="s">
        <v>334</v>
      </c>
      <c r="D76" s="46">
        <v>14802</v>
      </c>
      <c r="E76" s="45" t="s">
        <v>807</v>
      </c>
      <c r="F76" s="47">
        <v>37985</v>
      </c>
      <c r="G76" s="47">
        <v>38077</v>
      </c>
      <c r="H76" s="48">
        <v>10</v>
      </c>
      <c r="I76" s="48">
        <v>100</v>
      </c>
    </row>
    <row r="77" spans="1:9" x14ac:dyDescent="0.25">
      <c r="A77" s="51" t="s">
        <v>474</v>
      </c>
      <c r="B77" s="45" t="s">
        <v>349</v>
      </c>
      <c r="C77" s="45" t="s">
        <v>334</v>
      </c>
      <c r="D77" s="46">
        <v>14809</v>
      </c>
      <c r="E77" s="45" t="s">
        <v>808</v>
      </c>
      <c r="F77" s="47">
        <v>37986</v>
      </c>
      <c r="G77" s="47">
        <v>38076</v>
      </c>
      <c r="H77" s="48">
        <v>10</v>
      </c>
      <c r="I77" s="48">
        <v>25</v>
      </c>
    </row>
    <row r="78" spans="1:9" x14ac:dyDescent="0.25">
      <c r="A78" s="51" t="s">
        <v>474</v>
      </c>
      <c r="B78" s="45" t="s">
        <v>337</v>
      </c>
      <c r="C78" s="45" t="s">
        <v>495</v>
      </c>
      <c r="D78" s="46">
        <v>14791</v>
      </c>
      <c r="E78" s="45" t="s">
        <v>809</v>
      </c>
      <c r="F78" s="47">
        <v>37985</v>
      </c>
      <c r="G78" s="47"/>
      <c r="H78" s="48">
        <v>10</v>
      </c>
      <c r="I78" s="48">
        <v>25</v>
      </c>
    </row>
    <row r="79" spans="1:9" x14ac:dyDescent="0.25">
      <c r="A79" s="51" t="s">
        <v>474</v>
      </c>
      <c r="B79" s="45" t="s">
        <v>337</v>
      </c>
      <c r="C79" s="45" t="s">
        <v>495</v>
      </c>
      <c r="D79" s="46">
        <v>14792</v>
      </c>
      <c r="E79" s="45" t="s">
        <v>810</v>
      </c>
      <c r="F79" s="47">
        <v>37985</v>
      </c>
      <c r="G79" s="47"/>
      <c r="H79" s="48">
        <v>10</v>
      </c>
      <c r="I79" s="48">
        <v>25</v>
      </c>
    </row>
    <row r="80" spans="1:9" x14ac:dyDescent="0.25">
      <c r="A80" s="51" t="s">
        <v>474</v>
      </c>
      <c r="B80" s="45" t="s">
        <v>337</v>
      </c>
      <c r="C80" s="45" t="s">
        <v>495</v>
      </c>
      <c r="D80" s="46">
        <v>14794</v>
      </c>
      <c r="E80" s="45" t="s">
        <v>811</v>
      </c>
      <c r="F80" s="47">
        <v>37985</v>
      </c>
      <c r="G80" s="47"/>
      <c r="H80" s="48">
        <v>10</v>
      </c>
      <c r="I80" s="48">
        <v>50</v>
      </c>
    </row>
    <row r="81" spans="1:9" x14ac:dyDescent="0.25">
      <c r="A81" s="51" t="s">
        <v>474</v>
      </c>
      <c r="B81" s="45" t="s">
        <v>337</v>
      </c>
      <c r="C81" s="45" t="s">
        <v>334</v>
      </c>
      <c r="D81" s="46">
        <v>14585</v>
      </c>
      <c r="E81" s="45" t="s">
        <v>812</v>
      </c>
      <c r="F81" s="47">
        <v>37932</v>
      </c>
      <c r="G81" s="47">
        <v>38032</v>
      </c>
      <c r="H81" s="48">
        <v>1</v>
      </c>
      <c r="I81" s="48">
        <v>100</v>
      </c>
    </row>
    <row r="82" spans="1:9" x14ac:dyDescent="0.25">
      <c r="A82" s="51" t="s">
        <v>474</v>
      </c>
      <c r="B82" s="45" t="s">
        <v>337</v>
      </c>
      <c r="C82" s="45" t="s">
        <v>334</v>
      </c>
      <c r="D82" s="46">
        <v>14793</v>
      </c>
      <c r="E82" s="45" t="s">
        <v>813</v>
      </c>
      <c r="F82" s="47">
        <v>37985</v>
      </c>
      <c r="G82" s="47">
        <v>38016</v>
      </c>
      <c r="H82" s="48">
        <v>10</v>
      </c>
      <c r="I82" s="48">
        <v>25</v>
      </c>
    </row>
    <row r="83" spans="1:9" x14ac:dyDescent="0.25">
      <c r="A83" s="51" t="s">
        <v>474</v>
      </c>
      <c r="B83" s="45" t="s">
        <v>357</v>
      </c>
      <c r="C83" s="45" t="s">
        <v>495</v>
      </c>
      <c r="D83" s="46">
        <v>14769</v>
      </c>
      <c r="E83" s="45" t="s">
        <v>814</v>
      </c>
      <c r="F83" s="47">
        <v>37979</v>
      </c>
      <c r="G83" s="47">
        <v>38322</v>
      </c>
      <c r="H83" s="48">
        <v>10</v>
      </c>
      <c r="I83" s="48">
        <v>30</v>
      </c>
    </row>
    <row r="84" spans="1:9" x14ac:dyDescent="0.25">
      <c r="A84" s="51" t="s">
        <v>474</v>
      </c>
      <c r="B84" s="45" t="s">
        <v>357</v>
      </c>
      <c r="C84" s="45" t="s">
        <v>495</v>
      </c>
      <c r="D84" s="46">
        <v>14770</v>
      </c>
      <c r="E84" s="45" t="s">
        <v>815</v>
      </c>
      <c r="F84" s="47">
        <v>37979</v>
      </c>
      <c r="G84" s="47"/>
      <c r="H84" s="48">
        <v>50</v>
      </c>
      <c r="I84" s="48">
        <v>100</v>
      </c>
    </row>
    <row r="85" spans="1:9" x14ac:dyDescent="0.25">
      <c r="A85" s="51" t="s">
        <v>474</v>
      </c>
      <c r="B85" s="45" t="s">
        <v>357</v>
      </c>
      <c r="C85" s="45" t="s">
        <v>495</v>
      </c>
      <c r="D85" s="46">
        <v>14771</v>
      </c>
      <c r="E85" s="45" t="s">
        <v>816</v>
      </c>
      <c r="F85" s="47">
        <v>37979</v>
      </c>
      <c r="G85" s="47"/>
      <c r="H85" s="48">
        <v>10</v>
      </c>
      <c r="I85" s="48">
        <v>100</v>
      </c>
    </row>
    <row r="86" spans="1:9" x14ac:dyDescent="0.25">
      <c r="A86" s="51" t="s">
        <v>474</v>
      </c>
      <c r="B86" s="45" t="s">
        <v>357</v>
      </c>
      <c r="C86" s="45" t="s">
        <v>495</v>
      </c>
      <c r="D86" s="46">
        <v>14772</v>
      </c>
      <c r="E86" s="45" t="s">
        <v>817</v>
      </c>
      <c r="F86" s="47">
        <v>37979</v>
      </c>
      <c r="G86" s="47"/>
      <c r="H86" s="48">
        <v>50</v>
      </c>
      <c r="I86" s="48">
        <v>150</v>
      </c>
    </row>
    <row r="87" spans="1:9" ht="20.5" x14ac:dyDescent="0.25">
      <c r="A87" s="51" t="s">
        <v>615</v>
      </c>
      <c r="B87" s="45"/>
      <c r="C87" s="45" t="s">
        <v>486</v>
      </c>
      <c r="D87" s="46">
        <v>104</v>
      </c>
      <c r="E87" s="45" t="s">
        <v>246</v>
      </c>
      <c r="F87" s="47"/>
      <c r="G87" s="47"/>
      <c r="H87" s="48"/>
      <c r="I87" s="48"/>
    </row>
    <row r="88" spans="1:9" ht="20.5" x14ac:dyDescent="0.25">
      <c r="A88" s="51" t="s">
        <v>615</v>
      </c>
      <c r="B88" s="45" t="s">
        <v>395</v>
      </c>
      <c r="C88" s="45" t="s">
        <v>893</v>
      </c>
      <c r="D88" s="46">
        <v>125</v>
      </c>
      <c r="E88" s="45" t="s">
        <v>406</v>
      </c>
      <c r="F88" s="47">
        <v>37683</v>
      </c>
      <c r="G88" s="47"/>
      <c r="H88" s="48">
        <v>1</v>
      </c>
      <c r="I88" s="48">
        <v>1</v>
      </c>
    </row>
    <row r="89" spans="1:9" ht="30.5" x14ac:dyDescent="0.25">
      <c r="A89" s="51" t="s">
        <v>615</v>
      </c>
      <c r="B89" s="45" t="s">
        <v>395</v>
      </c>
      <c r="C89" s="45" t="s">
        <v>892</v>
      </c>
      <c r="D89" s="46">
        <v>231</v>
      </c>
      <c r="E89" s="45" t="s">
        <v>424</v>
      </c>
      <c r="F89" s="47">
        <v>37866</v>
      </c>
      <c r="G89" s="47"/>
      <c r="H89" s="48">
        <v>1</v>
      </c>
      <c r="I89" s="48">
        <v>1</v>
      </c>
    </row>
    <row r="90" spans="1:9" x14ac:dyDescent="0.25">
      <c r="A90" s="51" t="s">
        <v>615</v>
      </c>
      <c r="B90" s="45" t="s">
        <v>395</v>
      </c>
      <c r="C90" s="45" t="s">
        <v>495</v>
      </c>
      <c r="D90" s="46">
        <v>7</v>
      </c>
      <c r="E90" s="45" t="s">
        <v>248</v>
      </c>
      <c r="F90" s="47">
        <v>37586</v>
      </c>
      <c r="G90" s="47"/>
      <c r="H90" s="48">
        <v>1</v>
      </c>
      <c r="I90" s="48">
        <v>1</v>
      </c>
    </row>
    <row r="91" spans="1:9" x14ac:dyDescent="0.25">
      <c r="A91" s="51" t="s">
        <v>615</v>
      </c>
      <c r="B91" s="45" t="s">
        <v>395</v>
      </c>
      <c r="C91" s="45" t="s">
        <v>495</v>
      </c>
      <c r="D91" s="46">
        <v>99</v>
      </c>
      <c r="E91" s="45" t="s">
        <v>249</v>
      </c>
      <c r="F91" s="47"/>
      <c r="G91" s="47"/>
      <c r="H91" s="48"/>
      <c r="I91" s="48"/>
    </row>
    <row r="92" spans="1:9" x14ac:dyDescent="0.25">
      <c r="A92" s="51" t="s">
        <v>615</v>
      </c>
      <c r="B92" s="45" t="s">
        <v>395</v>
      </c>
      <c r="C92" s="45" t="s">
        <v>495</v>
      </c>
      <c r="D92" s="46">
        <v>107</v>
      </c>
      <c r="E92" s="45" t="s">
        <v>403</v>
      </c>
      <c r="F92" s="47"/>
      <c r="G92" s="47"/>
      <c r="H92" s="48"/>
      <c r="I92" s="48"/>
    </row>
    <row r="93" spans="1:9" ht="20.5" x14ac:dyDescent="0.25">
      <c r="A93" s="51" t="s">
        <v>615</v>
      </c>
      <c r="B93" s="45" t="s">
        <v>395</v>
      </c>
      <c r="C93" s="45" t="s">
        <v>495</v>
      </c>
      <c r="D93" s="46">
        <v>196</v>
      </c>
      <c r="E93" s="45" t="s">
        <v>250</v>
      </c>
      <c r="F93" s="47">
        <v>37789</v>
      </c>
      <c r="G93" s="47"/>
      <c r="H93" s="48">
        <v>1</v>
      </c>
      <c r="I93" s="48">
        <v>1</v>
      </c>
    </row>
    <row r="94" spans="1:9" ht="20.5" x14ac:dyDescent="0.25">
      <c r="A94" s="51" t="s">
        <v>615</v>
      </c>
      <c r="B94" s="45" t="s">
        <v>400</v>
      </c>
      <c r="C94" s="45" t="s">
        <v>495</v>
      </c>
      <c r="D94" s="46">
        <v>103</v>
      </c>
      <c r="E94" s="45" t="s">
        <v>401</v>
      </c>
      <c r="F94" s="47"/>
      <c r="G94" s="47"/>
      <c r="H94" s="48">
        <v>1</v>
      </c>
      <c r="I94" s="48">
        <v>1</v>
      </c>
    </row>
    <row r="95" spans="1:9" ht="20.5" x14ac:dyDescent="0.25">
      <c r="A95" s="51" t="s">
        <v>615</v>
      </c>
      <c r="B95" s="45" t="s">
        <v>400</v>
      </c>
      <c r="C95" s="45" t="s">
        <v>495</v>
      </c>
      <c r="D95" s="46">
        <v>105</v>
      </c>
      <c r="E95" s="45" t="s">
        <v>252</v>
      </c>
      <c r="F95" s="47"/>
      <c r="G95" s="47"/>
      <c r="H95" s="48">
        <v>1</v>
      </c>
      <c r="I95" s="48">
        <v>1</v>
      </c>
    </row>
    <row r="96" spans="1:9" x14ac:dyDescent="0.25">
      <c r="A96" s="50" t="s">
        <v>615</v>
      </c>
      <c r="B96" s="42" t="s">
        <v>396</v>
      </c>
      <c r="C96" s="42" t="s">
        <v>495</v>
      </c>
      <c r="D96" s="42">
        <v>72</v>
      </c>
      <c r="E96" s="42" t="s">
        <v>253</v>
      </c>
      <c r="F96" s="43">
        <v>37636</v>
      </c>
      <c r="G96" s="43"/>
      <c r="H96" s="44"/>
      <c r="I96" s="44"/>
    </row>
    <row r="97" spans="1:9" ht="20.5" x14ac:dyDescent="0.25">
      <c r="A97" s="50" t="s">
        <v>615</v>
      </c>
      <c r="B97" s="42" t="s">
        <v>396</v>
      </c>
      <c r="C97" s="42" t="s">
        <v>334</v>
      </c>
      <c r="D97" s="42">
        <v>236</v>
      </c>
      <c r="E97" s="42" t="s">
        <v>425</v>
      </c>
      <c r="F97" s="43">
        <v>37880</v>
      </c>
      <c r="G97" s="43"/>
      <c r="H97" s="44">
        <v>101</v>
      </c>
      <c r="I97" s="44">
        <v>101</v>
      </c>
    </row>
    <row r="98" spans="1:9" x14ac:dyDescent="0.25">
      <c r="A98" s="50" t="s">
        <v>615</v>
      </c>
      <c r="B98" s="42" t="s">
        <v>394</v>
      </c>
      <c r="C98" s="42" t="s">
        <v>334</v>
      </c>
      <c r="D98" s="42">
        <v>189</v>
      </c>
      <c r="E98" s="42" t="s">
        <v>420</v>
      </c>
      <c r="F98" s="43">
        <v>37781</v>
      </c>
      <c r="G98" s="43"/>
      <c r="H98" s="44">
        <v>1</v>
      </c>
      <c r="I98" s="44">
        <v>1</v>
      </c>
    </row>
    <row r="99" spans="1:9" ht="20.5" x14ac:dyDescent="0.25">
      <c r="A99" s="50" t="s">
        <v>643</v>
      </c>
      <c r="B99" s="42" t="s">
        <v>818</v>
      </c>
      <c r="C99" s="42" t="s">
        <v>334</v>
      </c>
      <c r="D99" s="42">
        <v>10659</v>
      </c>
      <c r="E99" s="42" t="s">
        <v>819</v>
      </c>
      <c r="F99" s="43">
        <v>36526</v>
      </c>
      <c r="G99" s="43">
        <v>38169</v>
      </c>
      <c r="H99" s="44">
        <v>50</v>
      </c>
      <c r="I99" s="44">
        <v>600</v>
      </c>
    </row>
    <row r="100" spans="1:9" ht="20.5" x14ac:dyDescent="0.25">
      <c r="A100" s="50" t="s">
        <v>643</v>
      </c>
      <c r="B100" s="42" t="s">
        <v>335</v>
      </c>
      <c r="C100" s="42" t="s">
        <v>486</v>
      </c>
      <c r="D100" s="42">
        <v>14868</v>
      </c>
      <c r="E100" s="42" t="s">
        <v>822</v>
      </c>
      <c r="F100" s="43">
        <v>37995</v>
      </c>
      <c r="G100" s="43">
        <v>38169</v>
      </c>
      <c r="H100" s="44">
        <v>10</v>
      </c>
      <c r="I100" s="44">
        <v>100</v>
      </c>
    </row>
    <row r="101" spans="1:9" x14ac:dyDescent="0.25">
      <c r="A101" s="50" t="s">
        <v>643</v>
      </c>
      <c r="B101" s="42" t="s">
        <v>335</v>
      </c>
      <c r="C101" s="42" t="s">
        <v>495</v>
      </c>
      <c r="D101" s="42">
        <v>6020</v>
      </c>
      <c r="E101" s="42" t="s">
        <v>881</v>
      </c>
      <c r="F101" s="43">
        <v>35542</v>
      </c>
      <c r="G101" s="43">
        <v>38260</v>
      </c>
      <c r="H101" s="44">
        <v>1</v>
      </c>
      <c r="I101" s="44">
        <v>5</v>
      </c>
    </row>
    <row r="102" spans="1:9" x14ac:dyDescent="0.25">
      <c r="A102" s="50" t="s">
        <v>643</v>
      </c>
      <c r="B102" s="42" t="s">
        <v>346</v>
      </c>
      <c r="C102" s="42" t="s">
        <v>334</v>
      </c>
      <c r="D102" s="42">
        <v>12873</v>
      </c>
      <c r="E102" s="42" t="s">
        <v>882</v>
      </c>
      <c r="F102" s="43">
        <v>37343</v>
      </c>
      <c r="G102" s="43">
        <v>38169</v>
      </c>
      <c r="H102" s="44">
        <v>10</v>
      </c>
      <c r="I102" s="44">
        <v>15</v>
      </c>
    </row>
    <row r="103" spans="1:9" x14ac:dyDescent="0.25">
      <c r="A103" s="50" t="s">
        <v>643</v>
      </c>
      <c r="B103" s="42" t="s">
        <v>346</v>
      </c>
      <c r="C103" s="42" t="s">
        <v>334</v>
      </c>
      <c r="D103" s="42">
        <v>14865</v>
      </c>
      <c r="E103" s="42" t="s">
        <v>670</v>
      </c>
      <c r="F103" s="43">
        <v>37995</v>
      </c>
      <c r="G103" s="43">
        <v>38032</v>
      </c>
      <c r="H103" s="44">
        <v>10</v>
      </c>
      <c r="I103" s="44">
        <v>100</v>
      </c>
    </row>
  </sheetData>
  <phoneticPr fontId="3" type="noConversion"/>
  <pageMargins left="0.5" right="0.5" top="0.88" bottom="0.75" header="0.18" footer="0.5"/>
  <pageSetup scale="89" orientation="landscape" r:id="rId1"/>
  <headerFooter alignWithMargins="0">
    <oddHeader>&amp;L&amp;G&amp;C&amp;14Application Fixes&amp;RIT Enterprise Applications
Pipeline Report - In Process</oddHeader>
    <oddFooter>&amp;C&amp;P&amp;R&amp;D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tabSelected="1" zoomScaleNormal="100" workbookViewId="0">
      <selection activeCell="B127" sqref="B127"/>
    </sheetView>
  </sheetViews>
  <sheetFormatPr defaultRowHeight="12.5" x14ac:dyDescent="0.25"/>
  <cols>
    <col min="1" max="1" width="17.453125" style="52" customWidth="1"/>
    <col min="2" max="2" width="11.1796875" style="2" customWidth="1"/>
    <col min="3" max="3" width="11" style="2" customWidth="1"/>
    <col min="4" max="4" width="5.26953125" style="3" customWidth="1"/>
    <col min="5" max="5" width="53.54296875" style="2" customWidth="1"/>
    <col min="6" max="6" width="8.453125" style="26" bestFit="1" customWidth="1"/>
    <col min="7" max="7" width="7" style="26" customWidth="1"/>
    <col min="8" max="9" width="8.1796875" style="4" bestFit="1" customWidth="1"/>
  </cols>
  <sheetData>
    <row r="1" spans="1:9" s="1" customFormat="1" ht="25.5" customHeight="1" x14ac:dyDescent="0.25">
      <c r="A1" s="49" t="s">
        <v>477</v>
      </c>
      <c r="B1" s="5" t="s">
        <v>429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x14ac:dyDescent="0.25">
      <c r="A2" s="76" t="s">
        <v>473</v>
      </c>
      <c r="B2" s="73" t="s">
        <v>383</v>
      </c>
      <c r="C2" s="73" t="s">
        <v>486</v>
      </c>
      <c r="D2" s="73">
        <v>14357</v>
      </c>
      <c r="E2" s="73" t="s">
        <v>672</v>
      </c>
      <c r="F2" s="74">
        <v>37908</v>
      </c>
      <c r="G2" s="74">
        <v>38168</v>
      </c>
      <c r="H2" s="75">
        <v>40</v>
      </c>
      <c r="I2" s="75">
        <v>80</v>
      </c>
    </row>
    <row r="3" spans="1:9" x14ac:dyDescent="0.25">
      <c r="A3" s="77" t="s">
        <v>473</v>
      </c>
      <c r="B3" s="22" t="s">
        <v>383</v>
      </c>
      <c r="C3" s="22" t="s">
        <v>486</v>
      </c>
      <c r="D3" s="22">
        <v>14821</v>
      </c>
      <c r="E3" s="22" t="s">
        <v>675</v>
      </c>
      <c r="F3" s="23">
        <v>37991</v>
      </c>
      <c r="G3" s="23">
        <v>38077</v>
      </c>
      <c r="H3" s="24">
        <v>20</v>
      </c>
      <c r="I3" s="24">
        <v>30</v>
      </c>
    </row>
    <row r="4" spans="1:9" x14ac:dyDescent="0.25">
      <c r="A4" s="77" t="s">
        <v>473</v>
      </c>
      <c r="B4" s="22" t="s">
        <v>383</v>
      </c>
      <c r="C4" s="22" t="s">
        <v>334</v>
      </c>
      <c r="D4" s="22">
        <v>14349</v>
      </c>
      <c r="E4" s="22" t="s">
        <v>384</v>
      </c>
      <c r="F4" s="23">
        <v>37908</v>
      </c>
      <c r="G4" s="23">
        <v>38260</v>
      </c>
      <c r="H4" s="24">
        <v>80</v>
      </c>
      <c r="I4" s="24">
        <v>120</v>
      </c>
    </row>
    <row r="5" spans="1:9" x14ac:dyDescent="0.25">
      <c r="A5" s="77" t="s">
        <v>473</v>
      </c>
      <c r="B5" s="22" t="s">
        <v>383</v>
      </c>
      <c r="C5" s="22" t="s">
        <v>334</v>
      </c>
      <c r="D5" s="22">
        <v>14352</v>
      </c>
      <c r="E5" s="22" t="s">
        <v>386</v>
      </c>
      <c r="F5" s="23">
        <v>37908</v>
      </c>
      <c r="G5" s="23">
        <v>38352</v>
      </c>
      <c r="H5" s="24">
        <v>40</v>
      </c>
      <c r="I5" s="24">
        <v>80</v>
      </c>
    </row>
    <row r="6" spans="1:9" x14ac:dyDescent="0.25">
      <c r="A6" s="77" t="s">
        <v>473</v>
      </c>
      <c r="B6" s="22" t="s">
        <v>383</v>
      </c>
      <c r="C6" s="22" t="s">
        <v>334</v>
      </c>
      <c r="D6" s="22">
        <v>14819</v>
      </c>
      <c r="E6" s="22" t="s">
        <v>673</v>
      </c>
      <c r="F6" s="23">
        <v>37991</v>
      </c>
      <c r="G6" s="23">
        <v>38077</v>
      </c>
      <c r="H6" s="24">
        <v>50</v>
      </c>
      <c r="I6" s="24">
        <v>150</v>
      </c>
    </row>
    <row r="7" spans="1:9" x14ac:dyDescent="0.25">
      <c r="A7" s="77" t="s">
        <v>473</v>
      </c>
      <c r="B7" s="22" t="s">
        <v>383</v>
      </c>
      <c r="C7" s="22" t="s">
        <v>334</v>
      </c>
      <c r="D7" s="22">
        <v>14820</v>
      </c>
      <c r="E7" s="22" t="s">
        <v>674</v>
      </c>
      <c r="F7" s="23">
        <v>37991</v>
      </c>
      <c r="G7" s="23">
        <v>38168</v>
      </c>
      <c r="H7" s="24">
        <v>50</v>
      </c>
      <c r="I7" s="24">
        <v>100</v>
      </c>
    </row>
    <row r="8" spans="1:9" x14ac:dyDescent="0.25">
      <c r="A8" s="77" t="s">
        <v>473</v>
      </c>
      <c r="B8" s="22" t="s">
        <v>364</v>
      </c>
      <c r="C8" s="22" t="s">
        <v>334</v>
      </c>
      <c r="D8" s="22">
        <v>14626</v>
      </c>
      <c r="E8" s="22" t="s">
        <v>677</v>
      </c>
      <c r="F8" s="23">
        <v>37938</v>
      </c>
      <c r="G8" s="23">
        <v>38017</v>
      </c>
      <c r="H8" s="24">
        <v>100</v>
      </c>
      <c r="I8" s="24">
        <v>150</v>
      </c>
    </row>
    <row r="9" spans="1:9" x14ac:dyDescent="0.25">
      <c r="A9" s="77" t="s">
        <v>473</v>
      </c>
      <c r="B9" s="22" t="s">
        <v>336</v>
      </c>
      <c r="C9" s="22" t="s">
        <v>334</v>
      </c>
      <c r="D9" s="22">
        <v>13985</v>
      </c>
      <c r="E9" s="22" t="s">
        <v>678</v>
      </c>
      <c r="F9" s="23">
        <v>37832</v>
      </c>
      <c r="G9" s="23"/>
      <c r="H9" s="24">
        <v>100</v>
      </c>
      <c r="I9" s="24">
        <v>500</v>
      </c>
    </row>
    <row r="10" spans="1:9" x14ac:dyDescent="0.25">
      <c r="A10" s="77" t="s">
        <v>473</v>
      </c>
      <c r="B10" s="22" t="s">
        <v>331</v>
      </c>
      <c r="C10" s="22" t="s">
        <v>495</v>
      </c>
      <c r="D10" s="22">
        <v>11008</v>
      </c>
      <c r="E10" s="22" t="s">
        <v>679</v>
      </c>
      <c r="F10" s="23">
        <v>36846</v>
      </c>
      <c r="G10" s="23">
        <v>37072</v>
      </c>
      <c r="H10" s="24">
        <v>5</v>
      </c>
      <c r="I10" s="24">
        <v>10</v>
      </c>
    </row>
    <row r="11" spans="1:9" x14ac:dyDescent="0.25">
      <c r="A11" s="77" t="s">
        <v>473</v>
      </c>
      <c r="B11" s="22" t="s">
        <v>345</v>
      </c>
      <c r="C11" s="22" t="s">
        <v>486</v>
      </c>
      <c r="D11" s="22">
        <v>14731</v>
      </c>
      <c r="E11" s="22" t="s">
        <v>683</v>
      </c>
      <c r="F11" s="23">
        <v>37970</v>
      </c>
      <c r="G11" s="23">
        <v>38169</v>
      </c>
      <c r="H11" s="24">
        <v>100</v>
      </c>
      <c r="I11" s="24">
        <v>300</v>
      </c>
    </row>
    <row r="12" spans="1:9" x14ac:dyDescent="0.25">
      <c r="A12" s="77" t="s">
        <v>473</v>
      </c>
      <c r="B12" s="22" t="s">
        <v>345</v>
      </c>
      <c r="C12" s="22" t="s">
        <v>495</v>
      </c>
      <c r="D12" s="22">
        <v>12870</v>
      </c>
      <c r="E12" s="22" t="s">
        <v>680</v>
      </c>
      <c r="F12" s="23">
        <v>37343</v>
      </c>
      <c r="G12" s="23">
        <v>37407</v>
      </c>
      <c r="H12" s="24">
        <v>20</v>
      </c>
      <c r="I12" s="24">
        <v>60</v>
      </c>
    </row>
    <row r="13" spans="1:9" x14ac:dyDescent="0.25">
      <c r="A13" s="77" t="s">
        <v>473</v>
      </c>
      <c r="B13" s="22" t="s">
        <v>345</v>
      </c>
      <c r="C13" s="22" t="s">
        <v>495</v>
      </c>
      <c r="D13" s="22">
        <v>13108</v>
      </c>
      <c r="E13" s="22" t="s">
        <v>681</v>
      </c>
      <c r="F13" s="23">
        <v>37427</v>
      </c>
      <c r="G13" s="23"/>
      <c r="H13" s="24">
        <v>30</v>
      </c>
      <c r="I13" s="24">
        <v>60</v>
      </c>
    </row>
    <row r="14" spans="1:9" x14ac:dyDescent="0.25">
      <c r="A14" s="77" t="s">
        <v>473</v>
      </c>
      <c r="B14" s="22" t="s">
        <v>345</v>
      </c>
      <c r="C14" s="22" t="s">
        <v>495</v>
      </c>
      <c r="D14" s="22">
        <v>14546</v>
      </c>
      <c r="E14" s="22" t="s">
        <v>682</v>
      </c>
      <c r="F14" s="23">
        <v>37924</v>
      </c>
      <c r="G14" s="23"/>
      <c r="H14" s="24">
        <v>20</v>
      </c>
      <c r="I14" s="24">
        <v>40</v>
      </c>
    </row>
    <row r="15" spans="1:9" x14ac:dyDescent="0.25">
      <c r="A15" s="77" t="s">
        <v>473</v>
      </c>
      <c r="B15" s="22" t="s">
        <v>345</v>
      </c>
      <c r="C15" s="22" t="s">
        <v>334</v>
      </c>
      <c r="D15" s="22">
        <v>14732</v>
      </c>
      <c r="E15" s="22" t="s">
        <v>684</v>
      </c>
      <c r="F15" s="23">
        <v>37970</v>
      </c>
      <c r="G15" s="23">
        <v>38047</v>
      </c>
      <c r="H15" s="24">
        <v>20</v>
      </c>
      <c r="I15" s="24">
        <v>40</v>
      </c>
    </row>
    <row r="16" spans="1:9" x14ac:dyDescent="0.25">
      <c r="A16" s="77" t="s">
        <v>473</v>
      </c>
      <c r="B16" s="22" t="s">
        <v>363</v>
      </c>
      <c r="C16" s="22" t="s">
        <v>486</v>
      </c>
      <c r="D16" s="22">
        <v>14071</v>
      </c>
      <c r="E16" s="22" t="s">
        <v>685</v>
      </c>
      <c r="F16" s="23">
        <v>37874</v>
      </c>
      <c r="G16" s="23"/>
      <c r="H16" s="24">
        <v>800</v>
      </c>
      <c r="I16" s="24">
        <v>1600</v>
      </c>
    </row>
    <row r="17" spans="1:9" x14ac:dyDescent="0.25">
      <c r="A17" s="77" t="s">
        <v>473</v>
      </c>
      <c r="B17" s="22" t="s">
        <v>332</v>
      </c>
      <c r="C17" s="22" t="s">
        <v>486</v>
      </c>
      <c r="D17" s="22">
        <v>15006</v>
      </c>
      <c r="E17" s="22" t="s">
        <v>885</v>
      </c>
      <c r="F17" s="23">
        <v>37988</v>
      </c>
      <c r="G17" s="23">
        <v>38016</v>
      </c>
      <c r="H17" s="24">
        <v>8</v>
      </c>
      <c r="I17" s="24">
        <v>20</v>
      </c>
    </row>
    <row r="18" spans="1:9" x14ac:dyDescent="0.25">
      <c r="A18" s="77" t="s">
        <v>473</v>
      </c>
      <c r="B18" s="22" t="s">
        <v>332</v>
      </c>
      <c r="C18" s="22" t="s">
        <v>495</v>
      </c>
      <c r="D18" s="22">
        <v>14094</v>
      </c>
      <c r="E18" s="22" t="s">
        <v>686</v>
      </c>
      <c r="F18" s="23">
        <v>37879</v>
      </c>
      <c r="G18" s="23"/>
      <c r="H18" s="24">
        <v>20</v>
      </c>
      <c r="I18" s="24">
        <v>40</v>
      </c>
    </row>
    <row r="19" spans="1:9" ht="20.5" x14ac:dyDescent="0.25">
      <c r="A19" s="77" t="s">
        <v>473</v>
      </c>
      <c r="B19" s="22" t="s">
        <v>470</v>
      </c>
      <c r="C19" s="22" t="s">
        <v>334</v>
      </c>
      <c r="D19" s="22">
        <v>14949</v>
      </c>
      <c r="E19" s="22" t="s">
        <v>405</v>
      </c>
      <c r="F19" s="23">
        <v>37742</v>
      </c>
      <c r="G19" s="23">
        <v>37986</v>
      </c>
      <c r="H19" s="24">
        <v>160</v>
      </c>
      <c r="I19" s="24">
        <v>240</v>
      </c>
    </row>
    <row r="20" spans="1:9" x14ac:dyDescent="0.25">
      <c r="A20" s="77" t="s">
        <v>473</v>
      </c>
      <c r="B20" s="22" t="s">
        <v>472</v>
      </c>
      <c r="C20" s="22" t="s">
        <v>334</v>
      </c>
      <c r="D20" s="22">
        <v>14913</v>
      </c>
      <c r="E20" s="22" t="s">
        <v>687</v>
      </c>
      <c r="F20" s="23">
        <v>37824</v>
      </c>
      <c r="G20" s="23">
        <v>37865</v>
      </c>
      <c r="H20" s="24">
        <v>100</v>
      </c>
      <c r="I20" s="24">
        <v>160</v>
      </c>
    </row>
    <row r="21" spans="1:9" x14ac:dyDescent="0.25">
      <c r="A21" s="77" t="s">
        <v>473</v>
      </c>
      <c r="B21" s="22" t="s">
        <v>338</v>
      </c>
      <c r="C21" s="22" t="s">
        <v>334</v>
      </c>
      <c r="D21" s="22">
        <v>13710</v>
      </c>
      <c r="E21" s="22" t="s">
        <v>688</v>
      </c>
      <c r="F21" s="23">
        <v>37690</v>
      </c>
      <c r="G21" s="23"/>
      <c r="H21" s="24">
        <v>900</v>
      </c>
      <c r="I21" s="24">
        <v>1200</v>
      </c>
    </row>
    <row r="22" spans="1:9" x14ac:dyDescent="0.25">
      <c r="A22" s="77" t="s">
        <v>473</v>
      </c>
      <c r="B22" s="22" t="s">
        <v>338</v>
      </c>
      <c r="C22" s="22" t="s">
        <v>334</v>
      </c>
      <c r="D22" s="22">
        <v>13783</v>
      </c>
      <c r="E22" s="22" t="s">
        <v>689</v>
      </c>
      <c r="F22" s="23">
        <v>37725</v>
      </c>
      <c r="G22" s="23"/>
      <c r="H22" s="24">
        <v>8</v>
      </c>
      <c r="I22" s="24">
        <v>40</v>
      </c>
    </row>
    <row r="23" spans="1:9" x14ac:dyDescent="0.25">
      <c r="A23" s="77" t="s">
        <v>473</v>
      </c>
      <c r="B23" s="22" t="s">
        <v>338</v>
      </c>
      <c r="C23" s="22" t="s">
        <v>334</v>
      </c>
      <c r="D23" s="22">
        <v>13887</v>
      </c>
      <c r="E23" s="22" t="s">
        <v>690</v>
      </c>
      <c r="F23" s="23">
        <v>37788</v>
      </c>
      <c r="G23" s="23"/>
      <c r="H23" s="24">
        <v>4</v>
      </c>
      <c r="I23" s="24">
        <v>8</v>
      </c>
    </row>
    <row r="24" spans="1:9" x14ac:dyDescent="0.25">
      <c r="A24" s="77" t="s">
        <v>473</v>
      </c>
      <c r="B24" s="22" t="s">
        <v>333</v>
      </c>
      <c r="C24" s="22" t="s">
        <v>486</v>
      </c>
      <c r="D24" s="22">
        <v>14724</v>
      </c>
      <c r="E24" s="22" t="s">
        <v>692</v>
      </c>
      <c r="F24" s="23">
        <v>37967</v>
      </c>
      <c r="G24" s="23">
        <v>38533</v>
      </c>
      <c r="H24" s="24">
        <v>800</v>
      </c>
      <c r="I24" s="24">
        <v>1200</v>
      </c>
    </row>
    <row r="25" spans="1:9" x14ac:dyDescent="0.25">
      <c r="A25" s="77" t="s">
        <v>473</v>
      </c>
      <c r="B25" s="22" t="s">
        <v>333</v>
      </c>
      <c r="C25" s="22" t="s">
        <v>847</v>
      </c>
      <c r="D25" s="22">
        <v>15002</v>
      </c>
      <c r="E25" s="22" t="s">
        <v>886</v>
      </c>
      <c r="F25" s="23">
        <v>38009</v>
      </c>
      <c r="G25" s="23"/>
      <c r="H25" s="24">
        <v>30</v>
      </c>
      <c r="I25" s="24">
        <v>50</v>
      </c>
    </row>
    <row r="26" spans="1:9" x14ac:dyDescent="0.25">
      <c r="A26" s="77" t="s">
        <v>473</v>
      </c>
      <c r="B26" s="22" t="s">
        <v>333</v>
      </c>
      <c r="C26" s="22" t="s">
        <v>334</v>
      </c>
      <c r="D26" s="22">
        <v>12277</v>
      </c>
      <c r="E26" s="22" t="s">
        <v>693</v>
      </c>
      <c r="F26" s="23">
        <v>37140</v>
      </c>
      <c r="G26" s="23"/>
      <c r="H26" s="24">
        <v>90</v>
      </c>
      <c r="I26" s="24">
        <v>100</v>
      </c>
    </row>
    <row r="27" spans="1:9" x14ac:dyDescent="0.25">
      <c r="A27" s="77" t="s">
        <v>473</v>
      </c>
      <c r="B27" s="22" t="s">
        <v>333</v>
      </c>
      <c r="C27" s="22" t="s">
        <v>334</v>
      </c>
      <c r="D27" s="22">
        <v>13958</v>
      </c>
      <c r="E27" s="22" t="s">
        <v>694</v>
      </c>
      <c r="F27" s="23">
        <v>37819</v>
      </c>
      <c r="G27" s="23"/>
      <c r="H27" s="24">
        <v>100</v>
      </c>
      <c r="I27" s="24">
        <v>500</v>
      </c>
    </row>
    <row r="28" spans="1:9" x14ac:dyDescent="0.25">
      <c r="A28" s="77" t="s">
        <v>473</v>
      </c>
      <c r="B28" s="22" t="s">
        <v>333</v>
      </c>
      <c r="C28" s="22" t="s">
        <v>334</v>
      </c>
      <c r="D28" s="22">
        <v>14242</v>
      </c>
      <c r="E28" s="22" t="s">
        <v>695</v>
      </c>
      <c r="F28" s="23">
        <v>37890</v>
      </c>
      <c r="G28" s="23">
        <v>38077</v>
      </c>
      <c r="H28" s="24">
        <v>200</v>
      </c>
      <c r="I28" s="24">
        <v>400</v>
      </c>
    </row>
    <row r="29" spans="1:9" x14ac:dyDescent="0.25">
      <c r="A29" s="77" t="s">
        <v>473</v>
      </c>
      <c r="B29" s="22" t="s">
        <v>333</v>
      </c>
      <c r="C29" s="22" t="s">
        <v>334</v>
      </c>
      <c r="D29" s="22">
        <v>14467</v>
      </c>
      <c r="E29" s="22" t="s">
        <v>696</v>
      </c>
      <c r="F29" s="23">
        <v>37923</v>
      </c>
      <c r="G29" s="23">
        <v>37985</v>
      </c>
      <c r="H29" s="24">
        <v>4</v>
      </c>
      <c r="I29" s="24">
        <v>8</v>
      </c>
    </row>
    <row r="30" spans="1:9" x14ac:dyDescent="0.25">
      <c r="A30" s="77" t="s">
        <v>473</v>
      </c>
      <c r="B30" s="22" t="s">
        <v>343</v>
      </c>
      <c r="C30" s="22" t="s">
        <v>495</v>
      </c>
      <c r="D30" s="22">
        <v>10999</v>
      </c>
      <c r="E30" s="22" t="s">
        <v>697</v>
      </c>
      <c r="F30" s="23">
        <v>36774</v>
      </c>
      <c r="G30" s="23"/>
      <c r="H30" s="24">
        <v>40</v>
      </c>
      <c r="I30" s="24">
        <v>80</v>
      </c>
    </row>
    <row r="31" spans="1:9" x14ac:dyDescent="0.25">
      <c r="A31" s="77" t="s">
        <v>473</v>
      </c>
      <c r="B31" s="22" t="s">
        <v>343</v>
      </c>
      <c r="C31" s="22" t="s">
        <v>847</v>
      </c>
      <c r="D31" s="22">
        <v>14974</v>
      </c>
      <c r="E31" s="22" t="s">
        <v>0</v>
      </c>
      <c r="F31" s="23">
        <v>38002</v>
      </c>
      <c r="G31" s="23"/>
      <c r="H31" s="24">
        <v>1</v>
      </c>
      <c r="I31" s="24">
        <v>999</v>
      </c>
    </row>
    <row r="32" spans="1:9" x14ac:dyDescent="0.25">
      <c r="A32" s="77" t="s">
        <v>473</v>
      </c>
      <c r="B32" s="22" t="s">
        <v>343</v>
      </c>
      <c r="C32" s="22" t="s">
        <v>847</v>
      </c>
      <c r="D32" s="22">
        <v>14975</v>
      </c>
      <c r="E32" s="22" t="s">
        <v>1</v>
      </c>
      <c r="F32" s="23">
        <v>38002</v>
      </c>
      <c r="G32" s="23"/>
      <c r="H32" s="24">
        <v>1</v>
      </c>
      <c r="I32" s="24">
        <v>999</v>
      </c>
    </row>
    <row r="33" spans="1:9" x14ac:dyDescent="0.25">
      <c r="A33" s="77" t="s">
        <v>473</v>
      </c>
      <c r="B33" s="22" t="s">
        <v>343</v>
      </c>
      <c r="C33" s="22" t="s">
        <v>847</v>
      </c>
      <c r="D33" s="22">
        <v>14976</v>
      </c>
      <c r="E33" s="22" t="s">
        <v>2</v>
      </c>
      <c r="F33" s="23">
        <v>38002</v>
      </c>
      <c r="G33" s="23"/>
      <c r="H33" s="24">
        <v>1</v>
      </c>
      <c r="I33" s="24">
        <v>999</v>
      </c>
    </row>
    <row r="34" spans="1:9" x14ac:dyDescent="0.25">
      <c r="A34" s="77" t="s">
        <v>473</v>
      </c>
      <c r="B34" s="22" t="s">
        <v>343</v>
      </c>
      <c r="C34" s="22" t="s">
        <v>334</v>
      </c>
      <c r="D34" s="22">
        <v>14373</v>
      </c>
      <c r="E34" s="22" t="s">
        <v>698</v>
      </c>
      <c r="F34" s="23">
        <v>37909</v>
      </c>
      <c r="G34" s="23">
        <v>37956</v>
      </c>
      <c r="H34" s="24">
        <v>200</v>
      </c>
      <c r="I34" s="24">
        <v>300</v>
      </c>
    </row>
    <row r="35" spans="1:9" x14ac:dyDescent="0.25">
      <c r="A35" s="77" t="s">
        <v>473</v>
      </c>
      <c r="B35" s="22" t="s">
        <v>339</v>
      </c>
      <c r="C35" s="22" t="s">
        <v>486</v>
      </c>
      <c r="D35" s="22">
        <v>14702</v>
      </c>
      <c r="E35" s="22" t="s">
        <v>699</v>
      </c>
      <c r="F35" s="23">
        <v>37958</v>
      </c>
      <c r="G35" s="23">
        <v>37951</v>
      </c>
      <c r="H35" s="24">
        <v>1</v>
      </c>
      <c r="I35" s="24">
        <v>1</v>
      </c>
    </row>
    <row r="36" spans="1:9" x14ac:dyDescent="0.25">
      <c r="A36" s="77" t="s">
        <v>473</v>
      </c>
      <c r="B36" s="22" t="s">
        <v>339</v>
      </c>
      <c r="C36" s="22" t="s">
        <v>334</v>
      </c>
      <c r="D36" s="22">
        <v>13977</v>
      </c>
      <c r="E36" s="22" t="s">
        <v>700</v>
      </c>
      <c r="F36" s="23">
        <v>37831</v>
      </c>
      <c r="G36" s="23">
        <v>37845</v>
      </c>
      <c r="H36" s="24">
        <v>40</v>
      </c>
      <c r="I36" s="24">
        <v>120</v>
      </c>
    </row>
    <row r="37" spans="1:9" x14ac:dyDescent="0.25">
      <c r="A37" s="77" t="s">
        <v>473</v>
      </c>
      <c r="B37" s="22" t="s">
        <v>339</v>
      </c>
      <c r="C37" s="22" t="s">
        <v>334</v>
      </c>
      <c r="D37" s="22">
        <v>13978</v>
      </c>
      <c r="E37" s="22" t="s">
        <v>701</v>
      </c>
      <c r="F37" s="23">
        <v>37831</v>
      </c>
      <c r="G37" s="23">
        <v>37846</v>
      </c>
      <c r="H37" s="24">
        <v>40</v>
      </c>
      <c r="I37" s="24">
        <v>120</v>
      </c>
    </row>
    <row r="38" spans="1:9" x14ac:dyDescent="0.25">
      <c r="A38" s="77" t="s">
        <v>473</v>
      </c>
      <c r="B38" s="22" t="s">
        <v>274</v>
      </c>
      <c r="C38" s="22" t="s">
        <v>847</v>
      </c>
      <c r="D38" s="22">
        <v>14972</v>
      </c>
      <c r="E38" s="22" t="s">
        <v>3</v>
      </c>
      <c r="F38" s="23">
        <v>38002</v>
      </c>
      <c r="G38" s="23"/>
      <c r="H38" s="24">
        <v>1</v>
      </c>
      <c r="I38" s="24">
        <v>999</v>
      </c>
    </row>
    <row r="39" spans="1:9" x14ac:dyDescent="0.25">
      <c r="A39" s="77" t="s">
        <v>473</v>
      </c>
      <c r="B39" s="22" t="s">
        <v>274</v>
      </c>
      <c r="C39" s="22" t="s">
        <v>847</v>
      </c>
      <c r="D39" s="22">
        <v>14973</v>
      </c>
      <c r="E39" s="22" t="s">
        <v>4</v>
      </c>
      <c r="F39" s="23">
        <v>38002</v>
      </c>
      <c r="G39" s="23"/>
      <c r="H39" s="24">
        <v>1</v>
      </c>
      <c r="I39" s="24">
        <v>999</v>
      </c>
    </row>
    <row r="40" spans="1:9" x14ac:dyDescent="0.25">
      <c r="A40" s="77" t="s">
        <v>473</v>
      </c>
      <c r="B40" s="22" t="s">
        <v>348</v>
      </c>
      <c r="C40" s="22" t="s">
        <v>495</v>
      </c>
      <c r="D40" s="22">
        <v>12958</v>
      </c>
      <c r="E40" s="22" t="s">
        <v>702</v>
      </c>
      <c r="F40" s="23">
        <v>37257</v>
      </c>
      <c r="G40" s="23">
        <v>37376</v>
      </c>
      <c r="H40" s="24">
        <v>40</v>
      </c>
      <c r="I40" s="24">
        <v>200</v>
      </c>
    </row>
    <row r="41" spans="1:9" x14ac:dyDescent="0.25">
      <c r="A41" s="77" t="s">
        <v>473</v>
      </c>
      <c r="B41" s="22" t="s">
        <v>369</v>
      </c>
      <c r="C41" s="22" t="s">
        <v>495</v>
      </c>
      <c r="D41" s="22">
        <v>14092</v>
      </c>
      <c r="E41" s="22" t="s">
        <v>703</v>
      </c>
      <c r="F41" s="23">
        <v>37879</v>
      </c>
      <c r="G41" s="23"/>
      <c r="H41" s="24">
        <v>60</v>
      </c>
      <c r="I41" s="24">
        <v>80</v>
      </c>
    </row>
    <row r="42" spans="1:9" x14ac:dyDescent="0.25">
      <c r="A42" s="77" t="s">
        <v>473</v>
      </c>
      <c r="B42" s="22" t="s">
        <v>369</v>
      </c>
      <c r="C42" s="22" t="s">
        <v>495</v>
      </c>
      <c r="D42" s="22">
        <v>14093</v>
      </c>
      <c r="E42" s="22" t="s">
        <v>704</v>
      </c>
      <c r="F42" s="23">
        <v>37879</v>
      </c>
      <c r="G42" s="23"/>
      <c r="H42" s="24">
        <v>40</v>
      </c>
      <c r="I42" s="24">
        <v>80</v>
      </c>
    </row>
    <row r="43" spans="1:9" x14ac:dyDescent="0.25">
      <c r="A43" s="77" t="s">
        <v>473</v>
      </c>
      <c r="B43" s="22" t="s">
        <v>344</v>
      </c>
      <c r="C43" s="22" t="s">
        <v>486</v>
      </c>
      <c r="D43" s="22">
        <v>14095</v>
      </c>
      <c r="E43" s="22" t="s">
        <v>5</v>
      </c>
      <c r="F43" s="23">
        <v>37859</v>
      </c>
      <c r="G43" s="23">
        <v>38169</v>
      </c>
      <c r="H43" s="24">
        <v>40</v>
      </c>
      <c r="I43" s="24">
        <v>120</v>
      </c>
    </row>
    <row r="44" spans="1:9" x14ac:dyDescent="0.25">
      <c r="A44" s="77" t="s">
        <v>473</v>
      </c>
      <c r="B44" s="22" t="s">
        <v>344</v>
      </c>
      <c r="C44" s="22" t="s">
        <v>486</v>
      </c>
      <c r="D44" s="22">
        <v>14141</v>
      </c>
      <c r="E44" s="22" t="s">
        <v>191</v>
      </c>
      <c r="F44" s="23">
        <v>37880</v>
      </c>
      <c r="G44" s="23">
        <v>38169</v>
      </c>
      <c r="H44" s="24">
        <v>40</v>
      </c>
      <c r="I44" s="24">
        <v>120</v>
      </c>
    </row>
    <row r="45" spans="1:9" x14ac:dyDescent="0.25">
      <c r="A45" s="77" t="s">
        <v>473</v>
      </c>
      <c r="B45" s="22" t="s">
        <v>344</v>
      </c>
      <c r="C45" s="22" t="s">
        <v>486</v>
      </c>
      <c r="D45" s="22">
        <v>14664</v>
      </c>
      <c r="E45" s="22" t="s">
        <v>192</v>
      </c>
      <c r="F45" s="23">
        <v>37946</v>
      </c>
      <c r="G45" s="23">
        <v>38260</v>
      </c>
      <c r="H45" s="24">
        <v>50</v>
      </c>
      <c r="I45" s="24">
        <v>100</v>
      </c>
    </row>
    <row r="46" spans="1:9" x14ac:dyDescent="0.25">
      <c r="A46" s="77" t="s">
        <v>473</v>
      </c>
      <c r="B46" s="22" t="s">
        <v>344</v>
      </c>
      <c r="C46" s="22" t="s">
        <v>486</v>
      </c>
      <c r="D46" s="22">
        <v>14665</v>
      </c>
      <c r="E46" s="22" t="s">
        <v>193</v>
      </c>
      <c r="F46" s="23">
        <v>37946</v>
      </c>
      <c r="G46" s="23">
        <v>38169</v>
      </c>
      <c r="H46" s="24">
        <v>120</v>
      </c>
      <c r="I46" s="24">
        <v>240</v>
      </c>
    </row>
    <row r="47" spans="1:9" x14ac:dyDescent="0.25">
      <c r="A47" s="77" t="s">
        <v>473</v>
      </c>
      <c r="B47" s="22" t="s">
        <v>344</v>
      </c>
      <c r="C47" s="22" t="s">
        <v>486</v>
      </c>
      <c r="D47" s="22">
        <v>14714</v>
      </c>
      <c r="E47" s="22" t="s">
        <v>194</v>
      </c>
      <c r="F47" s="23">
        <v>37963</v>
      </c>
      <c r="G47" s="23">
        <v>38207</v>
      </c>
      <c r="H47" s="24">
        <v>40</v>
      </c>
      <c r="I47" s="24">
        <v>120</v>
      </c>
    </row>
    <row r="48" spans="1:9" x14ac:dyDescent="0.25">
      <c r="A48" s="77" t="s">
        <v>473</v>
      </c>
      <c r="B48" s="22" t="s">
        <v>344</v>
      </c>
      <c r="C48" s="22" t="s">
        <v>495</v>
      </c>
      <c r="D48" s="22">
        <v>12709</v>
      </c>
      <c r="E48" s="22" t="s">
        <v>195</v>
      </c>
      <c r="F48" s="23">
        <v>37270</v>
      </c>
      <c r="G48" s="23"/>
      <c r="H48" s="24">
        <v>4</v>
      </c>
      <c r="I48" s="24">
        <v>16</v>
      </c>
    </row>
    <row r="49" spans="1:9" x14ac:dyDescent="0.25">
      <c r="A49" s="77" t="s">
        <v>473</v>
      </c>
      <c r="B49" s="22" t="s">
        <v>371</v>
      </c>
      <c r="C49" s="22" t="s">
        <v>847</v>
      </c>
      <c r="D49" s="22">
        <v>14971</v>
      </c>
      <c r="E49" s="22" t="s">
        <v>196</v>
      </c>
      <c r="F49" s="23">
        <v>38002</v>
      </c>
      <c r="G49" s="23">
        <v>38169</v>
      </c>
      <c r="H49" s="24">
        <v>200</v>
      </c>
      <c r="I49" s="24">
        <v>300</v>
      </c>
    </row>
    <row r="50" spans="1:9" x14ac:dyDescent="0.25">
      <c r="A50" s="77" t="s">
        <v>655</v>
      </c>
      <c r="B50" s="22" t="s">
        <v>296</v>
      </c>
      <c r="C50" s="22" t="s">
        <v>486</v>
      </c>
      <c r="D50" s="22">
        <v>14685</v>
      </c>
      <c r="E50" s="22" t="s">
        <v>705</v>
      </c>
      <c r="F50" s="23">
        <v>37950</v>
      </c>
      <c r="G50" s="23">
        <v>38077</v>
      </c>
      <c r="H50" s="24">
        <v>200</v>
      </c>
      <c r="I50" s="24">
        <v>500</v>
      </c>
    </row>
    <row r="51" spans="1:9" x14ac:dyDescent="0.25">
      <c r="A51" s="41" t="s">
        <v>655</v>
      </c>
      <c r="B51" s="22" t="s">
        <v>296</v>
      </c>
      <c r="C51" s="22" t="s">
        <v>486</v>
      </c>
      <c r="D51" s="22">
        <v>14726</v>
      </c>
      <c r="E51" s="22" t="s">
        <v>706</v>
      </c>
      <c r="F51" s="23">
        <v>37970</v>
      </c>
      <c r="G51" s="23"/>
      <c r="H51" s="24">
        <v>80</v>
      </c>
      <c r="I51" s="24">
        <v>120</v>
      </c>
    </row>
    <row r="52" spans="1:9" x14ac:dyDescent="0.25">
      <c r="A52" s="41" t="s">
        <v>655</v>
      </c>
      <c r="B52" s="22" t="s">
        <v>296</v>
      </c>
      <c r="C52" s="22" t="s">
        <v>486</v>
      </c>
      <c r="D52" s="22">
        <v>14727</v>
      </c>
      <c r="E52" s="22" t="s">
        <v>707</v>
      </c>
      <c r="F52" s="23">
        <v>37970</v>
      </c>
      <c r="G52" s="23"/>
      <c r="H52" s="24">
        <v>40</v>
      </c>
      <c r="I52" s="24">
        <v>200</v>
      </c>
    </row>
    <row r="53" spans="1:9" x14ac:dyDescent="0.25">
      <c r="A53" s="41" t="s">
        <v>655</v>
      </c>
      <c r="B53" s="22" t="s">
        <v>296</v>
      </c>
      <c r="C53" s="22" t="s">
        <v>486</v>
      </c>
      <c r="D53" s="22">
        <v>14729</v>
      </c>
      <c r="E53" s="22" t="s">
        <v>709</v>
      </c>
      <c r="F53" s="23">
        <v>37970</v>
      </c>
      <c r="G53" s="23"/>
      <c r="H53" s="24">
        <v>40</v>
      </c>
      <c r="I53" s="24">
        <v>200</v>
      </c>
    </row>
    <row r="54" spans="1:9" x14ac:dyDescent="0.25">
      <c r="A54" s="41" t="s">
        <v>655</v>
      </c>
      <c r="B54" s="22" t="s">
        <v>296</v>
      </c>
      <c r="C54" s="22" t="s">
        <v>486</v>
      </c>
      <c r="D54" s="22">
        <v>14730</v>
      </c>
      <c r="E54" s="22" t="s">
        <v>710</v>
      </c>
      <c r="F54" s="23">
        <v>37970</v>
      </c>
      <c r="G54" s="23"/>
      <c r="H54" s="24">
        <v>40</v>
      </c>
      <c r="I54" s="24">
        <v>200</v>
      </c>
    </row>
    <row r="55" spans="1:9" x14ac:dyDescent="0.25">
      <c r="A55" s="41" t="s">
        <v>655</v>
      </c>
      <c r="B55" s="22" t="s">
        <v>296</v>
      </c>
      <c r="C55" s="22" t="s">
        <v>334</v>
      </c>
      <c r="D55" s="22">
        <v>14686</v>
      </c>
      <c r="E55" s="22" t="s">
        <v>711</v>
      </c>
      <c r="F55" s="23">
        <v>37950</v>
      </c>
      <c r="G55" s="23">
        <v>38044</v>
      </c>
      <c r="H55" s="24">
        <v>80</v>
      </c>
      <c r="I55" s="24">
        <v>400</v>
      </c>
    </row>
    <row r="56" spans="1:9" x14ac:dyDescent="0.25">
      <c r="A56" s="41" t="s">
        <v>655</v>
      </c>
      <c r="B56" s="22" t="s">
        <v>296</v>
      </c>
      <c r="C56" s="22" t="s">
        <v>334</v>
      </c>
      <c r="D56" s="22">
        <v>14687</v>
      </c>
      <c r="E56" s="22" t="s">
        <v>712</v>
      </c>
      <c r="F56" s="23">
        <v>37956</v>
      </c>
      <c r="G56" s="23">
        <v>37998</v>
      </c>
      <c r="H56" s="24">
        <v>80</v>
      </c>
      <c r="I56" s="24">
        <v>120</v>
      </c>
    </row>
    <row r="57" spans="1:9" x14ac:dyDescent="0.25">
      <c r="A57" s="41" t="s">
        <v>515</v>
      </c>
      <c r="B57" s="22" t="s">
        <v>360</v>
      </c>
      <c r="C57" s="22" t="s">
        <v>486</v>
      </c>
      <c r="D57" s="22">
        <v>14862</v>
      </c>
      <c r="E57" s="22" t="s">
        <v>715</v>
      </c>
      <c r="F57" s="23">
        <v>37995</v>
      </c>
      <c r="G57" s="23">
        <v>38231</v>
      </c>
      <c r="H57" s="24">
        <v>500</v>
      </c>
      <c r="I57" s="24">
        <v>1000</v>
      </c>
    </row>
    <row r="58" spans="1:9" x14ac:dyDescent="0.25">
      <c r="A58" s="41" t="s">
        <v>515</v>
      </c>
      <c r="B58" s="22" t="s">
        <v>360</v>
      </c>
      <c r="C58" s="22" t="s">
        <v>486</v>
      </c>
      <c r="D58" s="22">
        <v>14867</v>
      </c>
      <c r="E58" s="22" t="s">
        <v>716</v>
      </c>
      <c r="F58" s="23">
        <v>37995</v>
      </c>
      <c r="G58" s="23">
        <v>38231</v>
      </c>
      <c r="H58" s="24">
        <v>250</v>
      </c>
      <c r="I58" s="24">
        <v>600</v>
      </c>
    </row>
    <row r="59" spans="1:9" ht="20.5" x14ac:dyDescent="0.25">
      <c r="A59" s="41" t="s">
        <v>515</v>
      </c>
      <c r="B59" s="22" t="s">
        <v>360</v>
      </c>
      <c r="C59" s="22" t="s">
        <v>847</v>
      </c>
      <c r="D59" s="22">
        <v>14699</v>
      </c>
      <c r="E59" s="22" t="s">
        <v>714</v>
      </c>
      <c r="F59" s="23">
        <v>37959</v>
      </c>
      <c r="G59" s="23"/>
      <c r="H59" s="24">
        <v>100</v>
      </c>
      <c r="I59" s="24">
        <v>499</v>
      </c>
    </row>
    <row r="60" spans="1:9" ht="30.5" x14ac:dyDescent="0.25">
      <c r="A60" s="41" t="s">
        <v>515</v>
      </c>
      <c r="B60" s="22" t="s">
        <v>360</v>
      </c>
      <c r="C60" s="22" t="s">
        <v>377</v>
      </c>
      <c r="D60" s="22">
        <v>14697</v>
      </c>
      <c r="E60" s="22" t="s">
        <v>713</v>
      </c>
      <c r="F60" s="23">
        <v>37959</v>
      </c>
      <c r="G60" s="23">
        <v>38169</v>
      </c>
      <c r="H60" s="24">
        <v>101</v>
      </c>
      <c r="I60" s="24">
        <v>500</v>
      </c>
    </row>
    <row r="61" spans="1:9" x14ac:dyDescent="0.25">
      <c r="A61" s="41" t="s">
        <v>515</v>
      </c>
      <c r="B61" s="22" t="s">
        <v>360</v>
      </c>
      <c r="C61" s="22" t="s">
        <v>334</v>
      </c>
      <c r="D61" s="22">
        <v>13625</v>
      </c>
      <c r="E61" s="22" t="s">
        <v>717</v>
      </c>
      <c r="F61" s="23">
        <v>37887</v>
      </c>
      <c r="G61" s="23">
        <v>38017</v>
      </c>
      <c r="H61" s="24">
        <v>2</v>
      </c>
      <c r="I61" s="24">
        <v>5</v>
      </c>
    </row>
    <row r="62" spans="1:9" x14ac:dyDescent="0.25">
      <c r="A62" s="41" t="s">
        <v>515</v>
      </c>
      <c r="B62" s="22" t="s">
        <v>360</v>
      </c>
      <c r="C62" s="22" t="s">
        <v>334</v>
      </c>
      <c r="D62" s="22">
        <v>14169</v>
      </c>
      <c r="E62" s="22" t="s">
        <v>718</v>
      </c>
      <c r="F62" s="23">
        <v>37881</v>
      </c>
      <c r="G62" s="23">
        <v>38017</v>
      </c>
      <c r="H62" s="24">
        <v>200</v>
      </c>
      <c r="I62" s="24">
        <v>350</v>
      </c>
    </row>
    <row r="63" spans="1:9" x14ac:dyDescent="0.25">
      <c r="A63" s="41" t="s">
        <v>515</v>
      </c>
      <c r="B63" s="22" t="s">
        <v>360</v>
      </c>
      <c r="C63" s="22" t="s">
        <v>334</v>
      </c>
      <c r="D63" s="22">
        <v>14174</v>
      </c>
      <c r="E63" s="22" t="s">
        <v>719</v>
      </c>
      <c r="F63" s="23">
        <v>37881</v>
      </c>
      <c r="G63" s="23">
        <v>38017</v>
      </c>
      <c r="H63" s="24">
        <v>650</v>
      </c>
      <c r="I63" s="24">
        <v>950</v>
      </c>
    </row>
    <row r="64" spans="1:9" x14ac:dyDescent="0.25">
      <c r="A64" s="41" t="s">
        <v>515</v>
      </c>
      <c r="B64" s="22" t="s">
        <v>360</v>
      </c>
      <c r="C64" s="22" t="s">
        <v>334</v>
      </c>
      <c r="D64" s="22">
        <v>14599</v>
      </c>
      <c r="E64" s="22" t="s">
        <v>720</v>
      </c>
      <c r="F64" s="23">
        <v>37935</v>
      </c>
      <c r="G64" s="23">
        <v>38169</v>
      </c>
      <c r="H64" s="24">
        <v>650</v>
      </c>
      <c r="I64" s="24">
        <v>900</v>
      </c>
    </row>
    <row r="65" spans="1:9" x14ac:dyDescent="0.25">
      <c r="A65" s="41" t="s">
        <v>475</v>
      </c>
      <c r="B65" s="22" t="s">
        <v>361</v>
      </c>
      <c r="C65" s="22" t="s">
        <v>334</v>
      </c>
      <c r="D65" s="22">
        <v>13689</v>
      </c>
      <c r="E65" s="22" t="s">
        <v>362</v>
      </c>
      <c r="F65" s="23">
        <v>37680</v>
      </c>
      <c r="G65" s="23"/>
      <c r="H65" s="24">
        <v>25</v>
      </c>
      <c r="I65" s="24">
        <v>50</v>
      </c>
    </row>
    <row r="66" spans="1:9" x14ac:dyDescent="0.25">
      <c r="A66" s="41" t="s">
        <v>475</v>
      </c>
      <c r="B66" s="22" t="s">
        <v>361</v>
      </c>
      <c r="C66" s="22" t="s">
        <v>334</v>
      </c>
      <c r="D66" s="22">
        <v>14106</v>
      </c>
      <c r="E66" s="22" t="s">
        <v>721</v>
      </c>
      <c r="F66" s="23">
        <v>37879</v>
      </c>
      <c r="G66" s="23"/>
      <c r="H66" s="24">
        <v>50</v>
      </c>
      <c r="I66" s="24">
        <v>100</v>
      </c>
    </row>
    <row r="67" spans="1:9" x14ac:dyDescent="0.25">
      <c r="A67" s="88" t="s">
        <v>474</v>
      </c>
      <c r="B67" s="34" t="s">
        <v>341</v>
      </c>
      <c r="C67" s="34" t="s">
        <v>486</v>
      </c>
      <c r="D67" s="37">
        <v>10742</v>
      </c>
      <c r="E67" s="34" t="s">
        <v>722</v>
      </c>
      <c r="F67" s="39">
        <v>36803</v>
      </c>
      <c r="G67" s="39">
        <v>38353</v>
      </c>
      <c r="H67" s="35">
        <v>100</v>
      </c>
      <c r="I67" s="35">
        <v>499</v>
      </c>
    </row>
    <row r="68" spans="1:9" x14ac:dyDescent="0.25">
      <c r="A68" s="88" t="s">
        <v>474</v>
      </c>
      <c r="B68" s="34" t="s">
        <v>341</v>
      </c>
      <c r="C68" s="34" t="s">
        <v>486</v>
      </c>
      <c r="D68" s="37">
        <v>13499</v>
      </c>
      <c r="E68" s="34" t="s">
        <v>723</v>
      </c>
      <c r="F68" s="39">
        <v>37595</v>
      </c>
      <c r="G68" s="39">
        <v>38504</v>
      </c>
      <c r="H68" s="35">
        <v>150</v>
      </c>
      <c r="I68" s="35">
        <v>300</v>
      </c>
    </row>
    <row r="69" spans="1:9" x14ac:dyDescent="0.25">
      <c r="A69" s="88" t="s">
        <v>474</v>
      </c>
      <c r="B69" s="34" t="s">
        <v>341</v>
      </c>
      <c r="C69" s="34" t="s">
        <v>486</v>
      </c>
      <c r="D69" s="37">
        <v>13501</v>
      </c>
      <c r="E69" s="34" t="s">
        <v>724</v>
      </c>
      <c r="F69" s="39">
        <v>37595</v>
      </c>
      <c r="G69" s="39">
        <v>38353</v>
      </c>
      <c r="H69" s="35">
        <v>50</v>
      </c>
      <c r="I69" s="35">
        <v>100</v>
      </c>
    </row>
    <row r="70" spans="1:9" x14ac:dyDescent="0.25">
      <c r="A70" s="88" t="s">
        <v>474</v>
      </c>
      <c r="B70" s="34" t="s">
        <v>341</v>
      </c>
      <c r="C70" s="34" t="s">
        <v>334</v>
      </c>
      <c r="D70" s="37">
        <v>13786</v>
      </c>
      <c r="E70" s="34" t="s">
        <v>725</v>
      </c>
      <c r="F70" s="39">
        <v>37728</v>
      </c>
      <c r="G70" s="39">
        <v>38047</v>
      </c>
      <c r="H70" s="35">
        <v>120</v>
      </c>
      <c r="I70" s="35">
        <v>500</v>
      </c>
    </row>
    <row r="71" spans="1:9" x14ac:dyDescent="0.25">
      <c r="A71" s="88" t="s">
        <v>474</v>
      </c>
      <c r="B71" s="34" t="s">
        <v>349</v>
      </c>
      <c r="C71" s="34" t="s">
        <v>486</v>
      </c>
      <c r="D71" s="37">
        <v>12992</v>
      </c>
      <c r="E71" s="34" t="s">
        <v>728</v>
      </c>
      <c r="F71" s="39">
        <v>37372</v>
      </c>
      <c r="G71" s="39">
        <v>38139</v>
      </c>
      <c r="H71" s="35">
        <v>40</v>
      </c>
      <c r="I71" s="35">
        <v>120</v>
      </c>
    </row>
    <row r="72" spans="1:9" x14ac:dyDescent="0.25">
      <c r="A72" s="88" t="s">
        <v>474</v>
      </c>
      <c r="B72" s="34" t="s">
        <v>349</v>
      </c>
      <c r="C72" s="34" t="s">
        <v>486</v>
      </c>
      <c r="D72" s="37">
        <v>13503</v>
      </c>
      <c r="E72" s="34" t="s">
        <v>729</v>
      </c>
      <c r="F72" s="39">
        <v>37596</v>
      </c>
      <c r="G72" s="39">
        <v>38047</v>
      </c>
      <c r="H72" s="35">
        <v>15</v>
      </c>
      <c r="I72" s="35">
        <v>30</v>
      </c>
    </row>
    <row r="73" spans="1:9" x14ac:dyDescent="0.25">
      <c r="A73" s="88" t="s">
        <v>474</v>
      </c>
      <c r="B73" s="34" t="s">
        <v>349</v>
      </c>
      <c r="C73" s="34" t="s">
        <v>486</v>
      </c>
      <c r="D73" s="37">
        <v>13768</v>
      </c>
      <c r="E73" s="34" t="s">
        <v>730</v>
      </c>
      <c r="F73" s="39">
        <v>37721</v>
      </c>
      <c r="G73" s="39">
        <v>38198</v>
      </c>
      <c r="H73" s="35">
        <v>300</v>
      </c>
      <c r="I73" s="35">
        <v>1000</v>
      </c>
    </row>
    <row r="74" spans="1:9" x14ac:dyDescent="0.25">
      <c r="A74" s="88" t="s">
        <v>474</v>
      </c>
      <c r="B74" s="34" t="s">
        <v>349</v>
      </c>
      <c r="C74" s="34" t="s">
        <v>486</v>
      </c>
      <c r="D74" s="37">
        <v>14323</v>
      </c>
      <c r="E74" s="34" t="s">
        <v>731</v>
      </c>
      <c r="F74" s="39">
        <v>37901</v>
      </c>
      <c r="G74" s="39">
        <v>38260</v>
      </c>
      <c r="H74" s="35">
        <v>80</v>
      </c>
      <c r="I74" s="35">
        <v>200</v>
      </c>
    </row>
    <row r="75" spans="1:9" x14ac:dyDescent="0.25">
      <c r="A75" s="88" t="s">
        <v>474</v>
      </c>
      <c r="B75" s="34" t="s">
        <v>349</v>
      </c>
      <c r="C75" s="34" t="s">
        <v>486</v>
      </c>
      <c r="D75" s="37">
        <v>14463</v>
      </c>
      <c r="E75" s="34" t="s">
        <v>732</v>
      </c>
      <c r="F75" s="39">
        <v>37922</v>
      </c>
      <c r="G75" s="39">
        <v>38245</v>
      </c>
      <c r="H75" s="35">
        <v>15</v>
      </c>
      <c r="I75" s="35">
        <v>40</v>
      </c>
    </row>
    <row r="76" spans="1:9" x14ac:dyDescent="0.25">
      <c r="A76" s="88" t="s">
        <v>474</v>
      </c>
      <c r="B76" s="34" t="s">
        <v>349</v>
      </c>
      <c r="C76" s="34" t="s">
        <v>486</v>
      </c>
      <c r="D76" s="37">
        <v>14478</v>
      </c>
      <c r="E76" s="34" t="s">
        <v>218</v>
      </c>
      <c r="F76" s="39">
        <v>37925</v>
      </c>
      <c r="G76" s="39">
        <v>38092</v>
      </c>
      <c r="H76" s="35">
        <v>1</v>
      </c>
      <c r="I76" s="35">
        <v>10</v>
      </c>
    </row>
    <row r="77" spans="1:9" x14ac:dyDescent="0.25">
      <c r="A77" s="88" t="s">
        <v>474</v>
      </c>
      <c r="B77" s="34" t="s">
        <v>349</v>
      </c>
      <c r="C77" s="34" t="s">
        <v>486</v>
      </c>
      <c r="D77" s="37">
        <v>14873</v>
      </c>
      <c r="E77" s="34" t="s">
        <v>219</v>
      </c>
      <c r="F77" s="39">
        <v>37995</v>
      </c>
      <c r="G77" s="39"/>
      <c r="H77" s="35">
        <v>50</v>
      </c>
      <c r="I77" s="35">
        <v>100</v>
      </c>
    </row>
    <row r="78" spans="1:9" ht="20.5" x14ac:dyDescent="0.25">
      <c r="A78" s="88" t="s">
        <v>474</v>
      </c>
      <c r="B78" s="34" t="s">
        <v>349</v>
      </c>
      <c r="C78" s="34" t="s">
        <v>377</v>
      </c>
      <c r="D78" s="37">
        <v>14981</v>
      </c>
      <c r="E78" s="34" t="s">
        <v>393</v>
      </c>
      <c r="F78" s="39">
        <v>38006</v>
      </c>
      <c r="G78" s="39">
        <v>38033</v>
      </c>
      <c r="H78" s="35">
        <v>1</v>
      </c>
      <c r="I78" s="35">
        <v>5</v>
      </c>
    </row>
    <row r="79" spans="1:9" x14ac:dyDescent="0.25">
      <c r="A79" s="88" t="s">
        <v>474</v>
      </c>
      <c r="B79" s="34" t="s">
        <v>349</v>
      </c>
      <c r="C79" s="34" t="s">
        <v>334</v>
      </c>
      <c r="D79" s="37">
        <v>12611</v>
      </c>
      <c r="E79" s="34" t="s">
        <v>220</v>
      </c>
      <c r="F79" s="39">
        <v>37258</v>
      </c>
      <c r="G79" s="39">
        <v>38017</v>
      </c>
      <c r="H79" s="35">
        <v>20</v>
      </c>
      <c r="I79" s="35">
        <v>80</v>
      </c>
    </row>
    <row r="80" spans="1:9" x14ac:dyDescent="0.25">
      <c r="A80" s="88" t="s">
        <v>474</v>
      </c>
      <c r="B80" s="34" t="s">
        <v>349</v>
      </c>
      <c r="C80" s="34" t="s">
        <v>334</v>
      </c>
      <c r="D80" s="37">
        <v>14341</v>
      </c>
      <c r="E80" s="34" t="s">
        <v>221</v>
      </c>
      <c r="F80" s="39">
        <v>37908</v>
      </c>
      <c r="G80" s="39">
        <v>38016</v>
      </c>
      <c r="H80" s="35">
        <v>1</v>
      </c>
      <c r="I80" s="35">
        <v>100</v>
      </c>
    </row>
    <row r="81" spans="1:9" x14ac:dyDescent="0.25">
      <c r="A81" s="88" t="s">
        <v>474</v>
      </c>
      <c r="B81" s="34" t="s">
        <v>349</v>
      </c>
      <c r="C81" s="34" t="s">
        <v>334</v>
      </c>
      <c r="D81" s="37">
        <v>14489</v>
      </c>
      <c r="E81" s="34" t="s">
        <v>222</v>
      </c>
      <c r="F81" s="39">
        <v>37925</v>
      </c>
      <c r="G81" s="39">
        <v>38018</v>
      </c>
      <c r="H81" s="35">
        <v>50</v>
      </c>
      <c r="I81" s="35">
        <v>100</v>
      </c>
    </row>
    <row r="82" spans="1:9" x14ac:dyDescent="0.25">
      <c r="A82" s="88" t="s">
        <v>474</v>
      </c>
      <c r="B82" s="34" t="s">
        <v>349</v>
      </c>
      <c r="C82" s="34" t="s">
        <v>334</v>
      </c>
      <c r="D82" s="37">
        <v>14704</v>
      </c>
      <c r="E82" s="34" t="s">
        <v>223</v>
      </c>
      <c r="F82" s="39">
        <v>37960</v>
      </c>
      <c r="G82" s="39">
        <v>38061</v>
      </c>
      <c r="H82" s="35">
        <v>50</v>
      </c>
      <c r="I82" s="35">
        <v>150</v>
      </c>
    </row>
    <row r="83" spans="1:9" x14ac:dyDescent="0.25">
      <c r="A83" s="88" t="s">
        <v>474</v>
      </c>
      <c r="B83" s="34" t="s">
        <v>349</v>
      </c>
      <c r="C83" s="34" t="s">
        <v>334</v>
      </c>
      <c r="D83" s="37">
        <v>14767</v>
      </c>
      <c r="E83" s="34" t="s">
        <v>224</v>
      </c>
      <c r="F83" s="39">
        <v>37978</v>
      </c>
      <c r="G83" s="39">
        <v>38047</v>
      </c>
      <c r="H83" s="35">
        <v>50</v>
      </c>
      <c r="I83" s="35">
        <v>150</v>
      </c>
    </row>
    <row r="84" spans="1:9" x14ac:dyDescent="0.25">
      <c r="A84" s="88" t="s">
        <v>474</v>
      </c>
      <c r="B84" s="34" t="s">
        <v>337</v>
      </c>
      <c r="C84" s="34" t="s">
        <v>495</v>
      </c>
      <c r="D84" s="37">
        <v>14816</v>
      </c>
      <c r="E84" s="34" t="s">
        <v>225</v>
      </c>
      <c r="F84" s="39">
        <v>37986</v>
      </c>
      <c r="G84" s="39"/>
      <c r="H84" s="35">
        <v>40</v>
      </c>
      <c r="I84" s="35">
        <v>80</v>
      </c>
    </row>
    <row r="85" spans="1:9" x14ac:dyDescent="0.25">
      <c r="A85" s="88" t="s">
        <v>474</v>
      </c>
      <c r="B85" s="34" t="s">
        <v>337</v>
      </c>
      <c r="C85" s="34" t="s">
        <v>334</v>
      </c>
      <c r="D85" s="37">
        <v>14790</v>
      </c>
      <c r="E85" s="34" t="s">
        <v>226</v>
      </c>
      <c r="F85" s="39">
        <v>37985</v>
      </c>
      <c r="G85" s="39">
        <v>38261</v>
      </c>
      <c r="H85" s="35">
        <v>25</v>
      </c>
      <c r="I85" s="35">
        <v>100</v>
      </c>
    </row>
    <row r="86" spans="1:9" x14ac:dyDescent="0.25">
      <c r="A86" s="88" t="s">
        <v>474</v>
      </c>
      <c r="B86" s="34" t="s">
        <v>357</v>
      </c>
      <c r="C86" s="34" t="s">
        <v>486</v>
      </c>
      <c r="D86" s="37">
        <v>13508</v>
      </c>
      <c r="E86" s="34" t="s">
        <v>227</v>
      </c>
      <c r="F86" s="39">
        <v>37596</v>
      </c>
      <c r="G86" s="39">
        <v>38384</v>
      </c>
      <c r="H86" s="35">
        <v>200</v>
      </c>
      <c r="I86" s="35">
        <v>500</v>
      </c>
    </row>
    <row r="87" spans="1:9" x14ac:dyDescent="0.25">
      <c r="A87" s="88" t="s">
        <v>474</v>
      </c>
      <c r="B87" s="34" t="s">
        <v>357</v>
      </c>
      <c r="C87" s="34" t="s">
        <v>486</v>
      </c>
      <c r="D87" s="37">
        <v>14001</v>
      </c>
      <c r="E87" s="34" t="s">
        <v>228</v>
      </c>
      <c r="F87" s="39">
        <v>37838</v>
      </c>
      <c r="G87" s="39">
        <v>38214</v>
      </c>
      <c r="H87" s="35">
        <v>100</v>
      </c>
      <c r="I87" s="35">
        <v>500</v>
      </c>
    </row>
    <row r="88" spans="1:9" x14ac:dyDescent="0.25">
      <c r="A88" s="88" t="s">
        <v>474</v>
      </c>
      <c r="B88" s="34" t="s">
        <v>357</v>
      </c>
      <c r="C88" s="34" t="s">
        <v>334</v>
      </c>
      <c r="D88" s="37">
        <v>14003</v>
      </c>
      <c r="E88" s="34" t="s">
        <v>229</v>
      </c>
      <c r="F88" s="39">
        <v>37838</v>
      </c>
      <c r="G88" s="39">
        <v>38168</v>
      </c>
      <c r="H88" s="35">
        <v>10</v>
      </c>
      <c r="I88" s="35">
        <v>50</v>
      </c>
    </row>
    <row r="89" spans="1:9" x14ac:dyDescent="0.25">
      <c r="A89" s="88" t="s">
        <v>474</v>
      </c>
      <c r="B89" s="34" t="s">
        <v>342</v>
      </c>
      <c r="C89" s="34" t="s">
        <v>486</v>
      </c>
      <c r="D89" s="37">
        <v>14206</v>
      </c>
      <c r="E89" s="34" t="s">
        <v>230</v>
      </c>
      <c r="F89" s="39">
        <v>37887</v>
      </c>
      <c r="G89" s="39"/>
      <c r="H89" s="35">
        <v>25</v>
      </c>
      <c r="I89" s="35">
        <v>50</v>
      </c>
    </row>
    <row r="90" spans="1:9" x14ac:dyDescent="0.25">
      <c r="A90" s="88" t="s">
        <v>474</v>
      </c>
      <c r="B90" s="34" t="s">
        <v>342</v>
      </c>
      <c r="C90" s="34" t="s">
        <v>486</v>
      </c>
      <c r="D90" s="37">
        <v>14238</v>
      </c>
      <c r="E90" s="34" t="s">
        <v>231</v>
      </c>
      <c r="F90" s="39">
        <v>37890</v>
      </c>
      <c r="G90" s="39"/>
      <c r="H90" s="35">
        <v>10</v>
      </c>
      <c r="I90" s="35">
        <v>25</v>
      </c>
    </row>
    <row r="91" spans="1:9" x14ac:dyDescent="0.25">
      <c r="A91" s="88" t="s">
        <v>474</v>
      </c>
      <c r="B91" s="34" t="s">
        <v>342</v>
      </c>
      <c r="C91" s="34" t="s">
        <v>486</v>
      </c>
      <c r="D91" s="37">
        <v>14407</v>
      </c>
      <c r="E91" s="34" t="s">
        <v>232</v>
      </c>
      <c r="F91" s="39">
        <v>37916</v>
      </c>
      <c r="G91" s="39"/>
      <c r="H91" s="35">
        <v>8</v>
      </c>
      <c r="I91" s="35">
        <v>40</v>
      </c>
    </row>
    <row r="92" spans="1:9" x14ac:dyDescent="0.25">
      <c r="A92" s="88" t="s">
        <v>474</v>
      </c>
      <c r="B92" s="34" t="s">
        <v>342</v>
      </c>
      <c r="C92" s="34" t="s">
        <v>486</v>
      </c>
      <c r="D92" s="37">
        <v>14409</v>
      </c>
      <c r="E92" s="34" t="s">
        <v>233</v>
      </c>
      <c r="F92" s="39">
        <v>37916</v>
      </c>
      <c r="G92" s="39"/>
      <c r="H92" s="35">
        <v>5</v>
      </c>
      <c r="I92" s="35">
        <v>15</v>
      </c>
    </row>
    <row r="93" spans="1:9" x14ac:dyDescent="0.25">
      <c r="A93" s="88" t="s">
        <v>474</v>
      </c>
      <c r="B93" s="34" t="s">
        <v>342</v>
      </c>
      <c r="C93" s="34" t="s">
        <v>486</v>
      </c>
      <c r="D93" s="37">
        <v>14411</v>
      </c>
      <c r="E93" s="34" t="s">
        <v>234</v>
      </c>
      <c r="F93" s="39">
        <v>37916</v>
      </c>
      <c r="G93" s="39"/>
      <c r="H93" s="35">
        <v>8</v>
      </c>
      <c r="I93" s="35">
        <v>24</v>
      </c>
    </row>
    <row r="94" spans="1:9" x14ac:dyDescent="0.25">
      <c r="A94" s="88" t="s">
        <v>474</v>
      </c>
      <c r="B94" s="34" t="s">
        <v>342</v>
      </c>
      <c r="C94" s="34" t="s">
        <v>486</v>
      </c>
      <c r="D94" s="37">
        <v>14413</v>
      </c>
      <c r="E94" s="34" t="s">
        <v>235</v>
      </c>
      <c r="F94" s="39">
        <v>37916</v>
      </c>
      <c r="G94" s="39"/>
      <c r="H94" s="35">
        <v>8</v>
      </c>
      <c r="I94" s="35">
        <v>24</v>
      </c>
    </row>
    <row r="95" spans="1:9" x14ac:dyDescent="0.25">
      <c r="A95" s="41" t="s">
        <v>474</v>
      </c>
      <c r="B95" s="22" t="s">
        <v>342</v>
      </c>
      <c r="C95" s="22" t="s">
        <v>486</v>
      </c>
      <c r="D95" s="22">
        <v>14415</v>
      </c>
      <c r="E95" s="22" t="s">
        <v>236</v>
      </c>
      <c r="F95" s="23">
        <v>37916</v>
      </c>
      <c r="G95" s="23"/>
      <c r="H95" s="24">
        <v>8</v>
      </c>
      <c r="I95" s="24">
        <v>24</v>
      </c>
    </row>
    <row r="96" spans="1:9" x14ac:dyDescent="0.25">
      <c r="A96" s="41" t="s">
        <v>474</v>
      </c>
      <c r="B96" s="22" t="s">
        <v>342</v>
      </c>
      <c r="C96" s="22" t="s">
        <v>486</v>
      </c>
      <c r="D96" s="22">
        <v>14417</v>
      </c>
      <c r="E96" s="22" t="s">
        <v>237</v>
      </c>
      <c r="F96" s="23">
        <v>37916</v>
      </c>
      <c r="G96" s="23"/>
      <c r="H96" s="24">
        <v>8</v>
      </c>
      <c r="I96" s="24">
        <v>24</v>
      </c>
    </row>
    <row r="97" spans="1:9" x14ac:dyDescent="0.25">
      <c r="A97" s="41" t="s">
        <v>474</v>
      </c>
      <c r="B97" s="22" t="s">
        <v>342</v>
      </c>
      <c r="C97" s="22" t="s">
        <v>486</v>
      </c>
      <c r="D97" s="22">
        <v>14419</v>
      </c>
      <c r="E97" s="22" t="s">
        <v>238</v>
      </c>
      <c r="F97" s="23">
        <v>37916</v>
      </c>
      <c r="G97" s="23"/>
      <c r="H97" s="24">
        <v>8</v>
      </c>
      <c r="I97" s="24">
        <v>24</v>
      </c>
    </row>
    <row r="98" spans="1:9" x14ac:dyDescent="0.25">
      <c r="A98" s="88" t="s">
        <v>474</v>
      </c>
      <c r="B98" s="34" t="s">
        <v>342</v>
      </c>
      <c r="C98" s="34" t="s">
        <v>495</v>
      </c>
      <c r="D98" s="37">
        <v>10934</v>
      </c>
      <c r="E98" s="34" t="s">
        <v>239</v>
      </c>
      <c r="F98" s="39">
        <v>36832</v>
      </c>
      <c r="G98" s="39"/>
      <c r="H98" s="35">
        <v>8</v>
      </c>
      <c r="I98" s="35">
        <v>24</v>
      </c>
    </row>
    <row r="99" spans="1:9" x14ac:dyDescent="0.25">
      <c r="A99" s="88" t="s">
        <v>474</v>
      </c>
      <c r="B99" s="34" t="s">
        <v>342</v>
      </c>
      <c r="C99" s="34" t="s">
        <v>495</v>
      </c>
      <c r="D99" s="37">
        <v>10939</v>
      </c>
      <c r="E99" s="34" t="s">
        <v>240</v>
      </c>
      <c r="F99" s="39">
        <v>36832</v>
      </c>
      <c r="G99" s="39"/>
      <c r="H99" s="35">
        <v>8</v>
      </c>
      <c r="I99" s="35">
        <v>24</v>
      </c>
    </row>
    <row r="100" spans="1:9" x14ac:dyDescent="0.25">
      <c r="A100" s="88" t="s">
        <v>474</v>
      </c>
      <c r="B100" s="34" t="s">
        <v>342</v>
      </c>
      <c r="C100" s="34" t="s">
        <v>495</v>
      </c>
      <c r="D100" s="37">
        <v>12662</v>
      </c>
      <c r="E100" s="34" t="s">
        <v>241</v>
      </c>
      <c r="F100" s="39">
        <v>37260</v>
      </c>
      <c r="G100" s="39"/>
      <c r="H100" s="35">
        <v>8</v>
      </c>
      <c r="I100" s="35">
        <v>40</v>
      </c>
    </row>
    <row r="101" spans="1:9" x14ac:dyDescent="0.25">
      <c r="A101" s="88" t="s">
        <v>474</v>
      </c>
      <c r="B101" s="34" t="s">
        <v>342</v>
      </c>
      <c r="C101" s="34" t="s">
        <v>495</v>
      </c>
      <c r="D101" s="37">
        <v>12663</v>
      </c>
      <c r="E101" s="34" t="s">
        <v>242</v>
      </c>
      <c r="F101" s="39">
        <v>37260</v>
      </c>
      <c r="G101" s="39"/>
      <c r="H101" s="35">
        <v>8</v>
      </c>
      <c r="I101" s="35">
        <v>40</v>
      </c>
    </row>
    <row r="102" spans="1:9" ht="20.5" x14ac:dyDescent="0.25">
      <c r="A102" s="88" t="s">
        <v>474</v>
      </c>
      <c r="B102" s="34" t="s">
        <v>342</v>
      </c>
      <c r="C102" s="34" t="s">
        <v>377</v>
      </c>
      <c r="D102" s="37">
        <v>14933</v>
      </c>
      <c r="E102" s="34" t="s">
        <v>197</v>
      </c>
      <c r="F102" s="39">
        <v>38000</v>
      </c>
      <c r="G102" s="39"/>
      <c r="H102" s="35">
        <v>75</v>
      </c>
      <c r="I102" s="35">
        <v>100</v>
      </c>
    </row>
    <row r="103" spans="1:9" x14ac:dyDescent="0.25">
      <c r="A103" s="88" t="s">
        <v>474</v>
      </c>
      <c r="B103" s="34" t="s">
        <v>342</v>
      </c>
      <c r="C103" s="34" t="s">
        <v>334</v>
      </c>
      <c r="D103" s="37">
        <v>13923</v>
      </c>
      <c r="E103" s="34" t="s">
        <v>243</v>
      </c>
      <c r="F103" s="39">
        <v>37804</v>
      </c>
      <c r="G103" s="39">
        <v>38412</v>
      </c>
      <c r="H103" s="35">
        <v>100</v>
      </c>
      <c r="I103" s="35">
        <v>499</v>
      </c>
    </row>
    <row r="104" spans="1:9" x14ac:dyDescent="0.25">
      <c r="A104" s="41" t="s">
        <v>474</v>
      </c>
      <c r="B104" s="22" t="s">
        <v>342</v>
      </c>
      <c r="C104" s="22" t="s">
        <v>334</v>
      </c>
      <c r="D104" s="22">
        <v>14421</v>
      </c>
      <c r="E104" s="22" t="s">
        <v>387</v>
      </c>
      <c r="F104" s="23">
        <v>37916</v>
      </c>
      <c r="G104" s="23">
        <v>38046</v>
      </c>
      <c r="H104" s="24">
        <v>40</v>
      </c>
      <c r="I104" s="24">
        <v>100</v>
      </c>
    </row>
    <row r="105" spans="1:9" x14ac:dyDescent="0.25">
      <c r="A105" s="41" t="s">
        <v>474</v>
      </c>
      <c r="B105" s="22" t="s">
        <v>342</v>
      </c>
      <c r="C105" s="22" t="s">
        <v>334</v>
      </c>
      <c r="D105" s="22">
        <v>14705</v>
      </c>
      <c r="E105" s="22" t="s">
        <v>244</v>
      </c>
      <c r="F105" s="23">
        <v>37960</v>
      </c>
      <c r="G105" s="23">
        <v>38010</v>
      </c>
      <c r="H105" s="24">
        <v>10</v>
      </c>
      <c r="I105" s="24">
        <v>25</v>
      </c>
    </row>
    <row r="106" spans="1:9" ht="20.5" x14ac:dyDescent="0.25">
      <c r="A106" s="41" t="s">
        <v>615</v>
      </c>
      <c r="B106" s="22"/>
      <c r="C106" s="22" t="s">
        <v>892</v>
      </c>
      <c r="D106" s="22">
        <v>120</v>
      </c>
      <c r="E106" s="22" t="s">
        <v>405</v>
      </c>
      <c r="F106" s="23">
        <v>37742</v>
      </c>
      <c r="G106" s="23"/>
      <c r="H106" s="24">
        <v>1</v>
      </c>
      <c r="I106" s="24">
        <v>1</v>
      </c>
    </row>
    <row r="107" spans="1:9" ht="20.5" x14ac:dyDescent="0.25">
      <c r="A107" s="88" t="s">
        <v>615</v>
      </c>
      <c r="B107" s="34"/>
      <c r="C107" s="34" t="s">
        <v>892</v>
      </c>
      <c r="D107" s="37">
        <v>208</v>
      </c>
      <c r="E107" s="34" t="s">
        <v>245</v>
      </c>
      <c r="F107" s="39"/>
      <c r="G107" s="39">
        <v>37848</v>
      </c>
      <c r="H107" s="35">
        <v>1</v>
      </c>
      <c r="I107" s="35">
        <v>1</v>
      </c>
    </row>
    <row r="108" spans="1:9" x14ac:dyDescent="0.25">
      <c r="A108" s="88" t="s">
        <v>615</v>
      </c>
      <c r="B108" s="34"/>
      <c r="C108" s="34" t="s">
        <v>334</v>
      </c>
      <c r="D108" s="37">
        <v>218</v>
      </c>
      <c r="E108" s="34" t="s">
        <v>422</v>
      </c>
      <c r="F108" s="39"/>
      <c r="G108" s="39"/>
      <c r="H108" s="35">
        <v>1</v>
      </c>
      <c r="I108" s="35">
        <v>1</v>
      </c>
    </row>
    <row r="109" spans="1:9" ht="20.5" x14ac:dyDescent="0.25">
      <c r="A109" s="88" t="s">
        <v>615</v>
      </c>
      <c r="B109" s="34" t="s">
        <v>395</v>
      </c>
      <c r="C109" s="34" t="s">
        <v>893</v>
      </c>
      <c r="D109" s="37">
        <v>127</v>
      </c>
      <c r="E109" s="34" t="s">
        <v>407</v>
      </c>
      <c r="F109" s="39">
        <v>37683</v>
      </c>
      <c r="G109" s="39"/>
      <c r="H109" s="35">
        <v>101</v>
      </c>
      <c r="I109" s="35">
        <v>101</v>
      </c>
    </row>
    <row r="110" spans="1:9" ht="20.5" x14ac:dyDescent="0.25">
      <c r="A110" s="88" t="s">
        <v>615</v>
      </c>
      <c r="B110" s="34" t="s">
        <v>395</v>
      </c>
      <c r="C110" s="34" t="s">
        <v>892</v>
      </c>
      <c r="D110" s="37">
        <v>248</v>
      </c>
      <c r="E110" s="34" t="s">
        <v>426</v>
      </c>
      <c r="F110" s="39">
        <v>37929</v>
      </c>
      <c r="G110" s="39"/>
      <c r="H110" s="35">
        <v>1</v>
      </c>
      <c r="I110" s="35">
        <v>1</v>
      </c>
    </row>
    <row r="111" spans="1:9" ht="20.5" x14ac:dyDescent="0.25">
      <c r="A111" s="88" t="s">
        <v>615</v>
      </c>
      <c r="B111" s="34" t="s">
        <v>395</v>
      </c>
      <c r="C111" s="34" t="s">
        <v>892</v>
      </c>
      <c r="D111" s="37">
        <v>250</v>
      </c>
      <c r="E111" s="34" t="s">
        <v>247</v>
      </c>
      <c r="F111" s="39">
        <v>37929</v>
      </c>
      <c r="G111" s="39"/>
      <c r="H111" s="35">
        <v>101</v>
      </c>
      <c r="I111" s="35">
        <v>101</v>
      </c>
    </row>
    <row r="112" spans="1:9" x14ac:dyDescent="0.25">
      <c r="A112" s="88" t="s">
        <v>615</v>
      </c>
      <c r="B112" s="34" t="s">
        <v>395</v>
      </c>
      <c r="C112" s="34" t="s">
        <v>486</v>
      </c>
      <c r="D112" s="37">
        <v>15008</v>
      </c>
      <c r="E112" s="34" t="s">
        <v>402</v>
      </c>
      <c r="F112" s="39">
        <v>38012</v>
      </c>
      <c r="G112" s="39">
        <v>38231</v>
      </c>
      <c r="H112" s="35">
        <v>480</v>
      </c>
      <c r="I112" s="35">
        <v>640</v>
      </c>
    </row>
    <row r="113" spans="1:9" x14ac:dyDescent="0.25">
      <c r="A113" s="88" t="s">
        <v>615</v>
      </c>
      <c r="B113" s="34" t="s">
        <v>395</v>
      </c>
      <c r="C113" s="34" t="s">
        <v>495</v>
      </c>
      <c r="D113" s="37">
        <v>106</v>
      </c>
      <c r="E113" s="34" t="s">
        <v>402</v>
      </c>
      <c r="F113" s="39"/>
      <c r="G113" s="39"/>
      <c r="H113" s="35">
        <v>1</v>
      </c>
      <c r="I113" s="35">
        <v>1</v>
      </c>
    </row>
    <row r="114" spans="1:9" x14ac:dyDescent="0.25">
      <c r="A114" s="88" t="s">
        <v>615</v>
      </c>
      <c r="B114" s="34" t="s">
        <v>395</v>
      </c>
      <c r="C114" s="34" t="s">
        <v>334</v>
      </c>
      <c r="D114" s="37">
        <v>88</v>
      </c>
      <c r="E114" s="34" t="s">
        <v>397</v>
      </c>
      <c r="F114" s="39">
        <v>37741</v>
      </c>
      <c r="G114" s="39">
        <v>37904</v>
      </c>
      <c r="H114" s="35">
        <v>501</v>
      </c>
      <c r="I114" s="35">
        <v>501</v>
      </c>
    </row>
    <row r="115" spans="1:9" x14ac:dyDescent="0.25">
      <c r="A115" s="88" t="s">
        <v>615</v>
      </c>
      <c r="B115" s="34" t="s">
        <v>395</v>
      </c>
      <c r="C115" s="34" t="s">
        <v>334</v>
      </c>
      <c r="D115" s="37">
        <v>90</v>
      </c>
      <c r="E115" s="34" t="s">
        <v>398</v>
      </c>
      <c r="F115" s="39">
        <v>37742</v>
      </c>
      <c r="G115" s="39">
        <v>37772</v>
      </c>
      <c r="H115" s="35">
        <v>101</v>
      </c>
      <c r="I115" s="35">
        <v>101</v>
      </c>
    </row>
    <row r="116" spans="1:9" ht="40.5" x14ac:dyDescent="0.25">
      <c r="A116" s="88" t="s">
        <v>615</v>
      </c>
      <c r="B116" s="34" t="s">
        <v>395</v>
      </c>
      <c r="C116" s="34" t="s">
        <v>334</v>
      </c>
      <c r="D116" s="37">
        <v>249</v>
      </c>
      <c r="E116" s="34" t="s">
        <v>427</v>
      </c>
      <c r="F116" s="39">
        <v>37929</v>
      </c>
      <c r="G116" s="39"/>
      <c r="H116" s="35">
        <v>501</v>
      </c>
      <c r="I116" s="35">
        <v>501</v>
      </c>
    </row>
    <row r="117" spans="1:9" x14ac:dyDescent="0.25">
      <c r="A117" s="88" t="s">
        <v>615</v>
      </c>
      <c r="B117" s="34" t="s">
        <v>395</v>
      </c>
      <c r="C117" s="34" t="s">
        <v>334</v>
      </c>
      <c r="D117" s="37">
        <v>14914</v>
      </c>
      <c r="E117" s="34" t="s">
        <v>422</v>
      </c>
      <c r="F117" s="39">
        <v>37999</v>
      </c>
      <c r="G117" s="39"/>
      <c r="H117" s="35">
        <v>500</v>
      </c>
      <c r="I117" s="35">
        <v>1000</v>
      </c>
    </row>
    <row r="118" spans="1:9" x14ac:dyDescent="0.25">
      <c r="A118" s="41" t="s">
        <v>615</v>
      </c>
      <c r="B118" s="22" t="s">
        <v>395</v>
      </c>
      <c r="C118" s="22" t="s">
        <v>334</v>
      </c>
      <c r="D118" s="22">
        <v>14915</v>
      </c>
      <c r="E118" s="22" t="s">
        <v>407</v>
      </c>
      <c r="F118" s="23">
        <v>37683</v>
      </c>
      <c r="G118" s="23">
        <v>37712</v>
      </c>
      <c r="H118" s="24">
        <v>160</v>
      </c>
      <c r="I118" s="24">
        <v>200</v>
      </c>
    </row>
    <row r="119" spans="1:9" x14ac:dyDescent="0.25">
      <c r="A119" s="88" t="s">
        <v>615</v>
      </c>
      <c r="B119" s="34" t="s">
        <v>395</v>
      </c>
      <c r="C119" s="34" t="s">
        <v>334</v>
      </c>
      <c r="D119" s="37">
        <v>14919</v>
      </c>
      <c r="E119" s="34" t="s">
        <v>414</v>
      </c>
      <c r="F119" s="39">
        <v>37750</v>
      </c>
      <c r="G119" s="39">
        <v>38038</v>
      </c>
      <c r="H119" s="35">
        <v>320</v>
      </c>
      <c r="I119" s="35">
        <v>480</v>
      </c>
    </row>
    <row r="120" spans="1:9" x14ac:dyDescent="0.25">
      <c r="A120" s="88" t="s">
        <v>615</v>
      </c>
      <c r="B120" s="34" t="s">
        <v>395</v>
      </c>
      <c r="C120" s="34" t="s">
        <v>334</v>
      </c>
      <c r="D120" s="37">
        <v>14947</v>
      </c>
      <c r="E120" s="34" t="s">
        <v>416</v>
      </c>
      <c r="F120" s="39">
        <v>37734</v>
      </c>
      <c r="G120" s="39">
        <v>38041</v>
      </c>
      <c r="H120" s="35">
        <v>320</v>
      </c>
      <c r="I120" s="35">
        <v>640</v>
      </c>
    </row>
    <row r="121" spans="1:9" x14ac:dyDescent="0.25">
      <c r="A121" s="88" t="s">
        <v>615</v>
      </c>
      <c r="B121" s="34" t="s">
        <v>395</v>
      </c>
      <c r="C121" s="34" t="s">
        <v>334</v>
      </c>
      <c r="D121" s="37">
        <v>14948</v>
      </c>
      <c r="E121" s="34" t="s">
        <v>251</v>
      </c>
      <c r="F121" s="39">
        <v>37841</v>
      </c>
      <c r="G121" s="39">
        <v>37970</v>
      </c>
      <c r="H121" s="35">
        <v>160</v>
      </c>
      <c r="I121" s="35">
        <v>240</v>
      </c>
    </row>
    <row r="122" spans="1:9" x14ac:dyDescent="0.25">
      <c r="A122" s="88" t="s">
        <v>615</v>
      </c>
      <c r="B122" s="34" t="s">
        <v>395</v>
      </c>
      <c r="C122" s="34" t="s">
        <v>334</v>
      </c>
      <c r="D122" s="37">
        <v>14950</v>
      </c>
      <c r="E122" s="34" t="s">
        <v>198</v>
      </c>
      <c r="F122" s="39">
        <v>37929</v>
      </c>
      <c r="G122" s="39">
        <v>37987</v>
      </c>
      <c r="H122" s="35">
        <v>160</v>
      </c>
      <c r="I122" s="35">
        <v>240</v>
      </c>
    </row>
    <row r="123" spans="1:9" x14ac:dyDescent="0.25">
      <c r="A123" s="41" t="s">
        <v>615</v>
      </c>
      <c r="B123" s="22" t="s">
        <v>395</v>
      </c>
      <c r="C123" s="22" t="s">
        <v>334</v>
      </c>
      <c r="D123" s="22">
        <v>15009</v>
      </c>
      <c r="E123" s="22" t="s">
        <v>398</v>
      </c>
      <c r="F123" s="23">
        <v>37647</v>
      </c>
      <c r="G123" s="23"/>
      <c r="H123" s="24">
        <v>640</v>
      </c>
      <c r="I123" s="24">
        <v>800</v>
      </c>
    </row>
    <row r="124" spans="1:9" x14ac:dyDescent="0.25">
      <c r="A124" s="88" t="s">
        <v>615</v>
      </c>
      <c r="B124" s="34" t="s">
        <v>395</v>
      </c>
      <c r="C124" s="34" t="s">
        <v>334</v>
      </c>
      <c r="D124" s="37">
        <v>15010</v>
      </c>
      <c r="E124" s="34" t="s">
        <v>397</v>
      </c>
      <c r="F124" s="39">
        <v>37712</v>
      </c>
      <c r="G124" s="39">
        <v>37833</v>
      </c>
      <c r="H124" s="35">
        <v>640</v>
      </c>
      <c r="I124" s="35">
        <v>800</v>
      </c>
    </row>
    <row r="125" spans="1:9" x14ac:dyDescent="0.25">
      <c r="A125" s="88" t="s">
        <v>615</v>
      </c>
      <c r="B125" s="34" t="s">
        <v>395</v>
      </c>
      <c r="C125" s="34" t="s">
        <v>334</v>
      </c>
      <c r="D125" s="37">
        <v>15011</v>
      </c>
      <c r="E125" s="34" t="s">
        <v>245</v>
      </c>
      <c r="F125" s="39">
        <v>37750</v>
      </c>
      <c r="G125" s="39">
        <v>37895</v>
      </c>
      <c r="H125" s="35">
        <v>320</v>
      </c>
      <c r="I125" s="35">
        <v>480</v>
      </c>
    </row>
    <row r="126" spans="1:9" ht="20.5" x14ac:dyDescent="0.25">
      <c r="A126" s="77" t="s">
        <v>615</v>
      </c>
      <c r="B126" s="22" t="s">
        <v>395</v>
      </c>
      <c r="C126" s="22" t="s">
        <v>334</v>
      </c>
      <c r="D126" s="22">
        <v>15012</v>
      </c>
      <c r="E126" s="22" t="s">
        <v>426</v>
      </c>
      <c r="F126" s="23">
        <v>37895</v>
      </c>
      <c r="G126" s="23">
        <v>37987</v>
      </c>
      <c r="H126" s="24">
        <v>160</v>
      </c>
      <c r="I126" s="24">
        <v>320</v>
      </c>
    </row>
    <row r="127" spans="1:9" x14ac:dyDescent="0.25">
      <c r="A127" s="77" t="s">
        <v>615</v>
      </c>
      <c r="B127" s="22" t="s">
        <v>395</v>
      </c>
      <c r="C127" s="22" t="s">
        <v>334</v>
      </c>
      <c r="D127" s="22">
        <v>15013</v>
      </c>
      <c r="E127" s="22" t="s">
        <v>889</v>
      </c>
      <c r="F127" s="23">
        <v>37895</v>
      </c>
      <c r="G127" s="23">
        <v>37987</v>
      </c>
      <c r="H127" s="24">
        <v>160</v>
      </c>
      <c r="I127" s="24">
        <v>320</v>
      </c>
    </row>
    <row r="128" spans="1:9" x14ac:dyDescent="0.25">
      <c r="A128" s="77" t="s">
        <v>615</v>
      </c>
      <c r="B128" s="22" t="s">
        <v>395</v>
      </c>
      <c r="C128" s="22" t="s">
        <v>334</v>
      </c>
      <c r="D128" s="22">
        <v>15014</v>
      </c>
      <c r="E128" s="22" t="s">
        <v>247</v>
      </c>
      <c r="F128" s="23">
        <v>37895</v>
      </c>
      <c r="G128" s="23">
        <v>37987</v>
      </c>
      <c r="H128" s="24">
        <v>160</v>
      </c>
      <c r="I128" s="24">
        <v>320</v>
      </c>
    </row>
    <row r="129" spans="1:9" ht="20.5" x14ac:dyDescent="0.25">
      <c r="A129" s="77" t="s">
        <v>615</v>
      </c>
      <c r="B129" s="22" t="s">
        <v>413</v>
      </c>
      <c r="C129" s="22" t="s">
        <v>892</v>
      </c>
      <c r="D129" s="22">
        <v>217</v>
      </c>
      <c r="E129" s="22" t="s">
        <v>251</v>
      </c>
      <c r="F129" s="23">
        <v>37841</v>
      </c>
      <c r="G129" s="23"/>
      <c r="H129" s="24">
        <v>1</v>
      </c>
      <c r="I129" s="24">
        <v>1</v>
      </c>
    </row>
    <row r="130" spans="1:9" x14ac:dyDescent="0.25">
      <c r="A130" s="77" t="s">
        <v>615</v>
      </c>
      <c r="B130" s="22" t="s">
        <v>413</v>
      </c>
      <c r="C130" s="22" t="s">
        <v>334</v>
      </c>
      <c r="D130" s="22">
        <v>153</v>
      </c>
      <c r="E130" s="22" t="s">
        <v>414</v>
      </c>
      <c r="F130" s="23">
        <v>37750</v>
      </c>
      <c r="G130" s="23"/>
      <c r="H130" s="24">
        <v>1</v>
      </c>
      <c r="I130" s="24">
        <v>1</v>
      </c>
    </row>
    <row r="131" spans="1:9" x14ac:dyDescent="0.25">
      <c r="A131" s="77" t="s">
        <v>615</v>
      </c>
      <c r="B131" s="22" t="s">
        <v>413</v>
      </c>
      <c r="C131" s="22" t="s">
        <v>334</v>
      </c>
      <c r="D131" s="22">
        <v>156</v>
      </c>
      <c r="E131" s="22" t="s">
        <v>416</v>
      </c>
      <c r="F131" s="23">
        <v>37734</v>
      </c>
      <c r="G131" s="23"/>
      <c r="H131" s="24">
        <v>501</v>
      </c>
      <c r="I131" s="24">
        <v>501</v>
      </c>
    </row>
    <row r="132" spans="1:9" ht="20.5" x14ac:dyDescent="0.25">
      <c r="A132" s="77" t="s">
        <v>615</v>
      </c>
      <c r="B132" s="22" t="s">
        <v>408</v>
      </c>
      <c r="C132" s="22" t="s">
        <v>893</v>
      </c>
      <c r="D132" s="22">
        <v>215</v>
      </c>
      <c r="E132" s="22" t="s">
        <v>687</v>
      </c>
      <c r="F132" s="23">
        <v>37824</v>
      </c>
      <c r="G132" s="23"/>
      <c r="H132" s="24">
        <v>1</v>
      </c>
      <c r="I132" s="24">
        <v>1</v>
      </c>
    </row>
    <row r="133" spans="1:9" x14ac:dyDescent="0.25">
      <c r="A133" s="77" t="s">
        <v>615</v>
      </c>
      <c r="B133" s="22" t="s">
        <v>394</v>
      </c>
      <c r="C133" s="22" t="s">
        <v>334</v>
      </c>
      <c r="D133" s="22">
        <v>247</v>
      </c>
      <c r="E133" s="22" t="s">
        <v>254</v>
      </c>
      <c r="F133" s="23">
        <v>37923</v>
      </c>
      <c r="G133" s="23"/>
      <c r="H133" s="24">
        <v>101</v>
      </c>
      <c r="I133" s="24">
        <v>101</v>
      </c>
    </row>
    <row r="134" spans="1:9" x14ac:dyDescent="0.25">
      <c r="A134" s="77" t="s">
        <v>615</v>
      </c>
      <c r="B134" s="22" t="s">
        <v>315</v>
      </c>
      <c r="C134" s="22" t="s">
        <v>334</v>
      </c>
      <c r="D134" s="22">
        <v>15015</v>
      </c>
      <c r="E134" s="22" t="s">
        <v>254</v>
      </c>
      <c r="F134" s="23">
        <v>37923</v>
      </c>
      <c r="G134" s="23">
        <v>37986</v>
      </c>
      <c r="H134" s="24">
        <v>80</v>
      </c>
      <c r="I134" s="24">
        <v>160</v>
      </c>
    </row>
    <row r="135" spans="1:9" ht="20.5" x14ac:dyDescent="0.25">
      <c r="A135" s="77" t="s">
        <v>615</v>
      </c>
      <c r="B135" s="22" t="s">
        <v>418</v>
      </c>
      <c r="C135" s="22" t="s">
        <v>893</v>
      </c>
      <c r="D135" s="22">
        <v>176</v>
      </c>
      <c r="E135" s="22" t="s">
        <v>419</v>
      </c>
      <c r="F135" s="23">
        <v>37732</v>
      </c>
      <c r="G135" s="23"/>
      <c r="H135" s="24">
        <v>1</v>
      </c>
      <c r="I135" s="24">
        <v>1</v>
      </c>
    </row>
    <row r="136" spans="1:9" ht="30.5" x14ac:dyDescent="0.25">
      <c r="A136" s="77" t="s">
        <v>615</v>
      </c>
      <c r="B136" s="22" t="s">
        <v>415</v>
      </c>
      <c r="C136" s="22" t="s">
        <v>892</v>
      </c>
      <c r="D136" s="22">
        <v>154</v>
      </c>
      <c r="E136" s="22" t="s">
        <v>824</v>
      </c>
      <c r="F136" s="23">
        <v>37530</v>
      </c>
      <c r="G136" s="23">
        <v>37773</v>
      </c>
      <c r="H136" s="24">
        <v>101</v>
      </c>
      <c r="I136" s="24">
        <v>101</v>
      </c>
    </row>
    <row r="137" spans="1:9" x14ac:dyDescent="0.25">
      <c r="A137" s="77" t="s">
        <v>643</v>
      </c>
      <c r="B137" s="22" t="s">
        <v>346</v>
      </c>
      <c r="C137" s="22" t="s">
        <v>334</v>
      </c>
      <c r="D137" s="22">
        <v>13704</v>
      </c>
      <c r="E137" s="22" t="s">
        <v>255</v>
      </c>
      <c r="F137" s="23">
        <v>37681</v>
      </c>
      <c r="G137" s="23">
        <v>38199</v>
      </c>
      <c r="H137" s="24">
        <v>300</v>
      </c>
      <c r="I137" s="24">
        <v>1000</v>
      </c>
    </row>
    <row r="138" spans="1:9" x14ac:dyDescent="0.25">
      <c r="A138" s="77" t="s">
        <v>643</v>
      </c>
      <c r="B138" s="22" t="s">
        <v>390</v>
      </c>
      <c r="C138" s="22" t="s">
        <v>486</v>
      </c>
      <c r="D138" s="22">
        <v>14481</v>
      </c>
      <c r="E138" s="22" t="s">
        <v>644</v>
      </c>
      <c r="F138" s="23">
        <v>37924</v>
      </c>
      <c r="G138" s="23">
        <v>37987</v>
      </c>
      <c r="H138" s="24">
        <v>25</v>
      </c>
      <c r="I138" s="24">
        <v>50</v>
      </c>
    </row>
    <row r="139" spans="1:9" x14ac:dyDescent="0.25">
      <c r="A139" s="77" t="s">
        <v>643</v>
      </c>
      <c r="B139" s="22" t="s">
        <v>390</v>
      </c>
      <c r="C139" s="22" t="s">
        <v>486</v>
      </c>
      <c r="D139" s="22">
        <v>14482</v>
      </c>
      <c r="E139" s="22" t="s">
        <v>645</v>
      </c>
      <c r="F139" s="23">
        <v>37925</v>
      </c>
      <c r="G139" s="23">
        <v>37987</v>
      </c>
      <c r="H139" s="24">
        <v>25</v>
      </c>
      <c r="I139" s="24">
        <v>50</v>
      </c>
    </row>
  </sheetData>
  <phoneticPr fontId="3" type="noConversion"/>
  <pageMargins left="0.5" right="0.5" top="0.88" bottom="0.75" header="0.18" footer="0.5"/>
  <pageSetup scale="91" orientation="landscape" r:id="rId1"/>
  <headerFooter alignWithMargins="0">
    <oddHeader>&amp;L&amp;G&amp;C&amp;14Scheduled Modifications&amp;RIT Enterprise Applications
Pipeline Report - In Process</oddHeader>
    <oddFooter>&amp;C&amp;P&amp;R&amp;D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opLeftCell="A22" zoomScaleNormal="100" workbookViewId="0">
      <selection activeCell="A2" sqref="A2"/>
    </sheetView>
  </sheetViews>
  <sheetFormatPr defaultRowHeight="12.5" x14ac:dyDescent="0.25"/>
  <cols>
    <col min="1" max="1" width="16.54296875" style="52" customWidth="1"/>
    <col min="2" max="2" width="7.1796875" style="2" customWidth="1"/>
    <col min="3" max="3" width="8.7265625" style="2" customWidth="1"/>
    <col min="4" max="4" width="5.26953125" style="3" customWidth="1"/>
    <col min="5" max="5" width="36.453125" style="2" customWidth="1"/>
    <col min="6" max="6" width="8.453125" style="26" bestFit="1" customWidth="1"/>
    <col min="7" max="7" width="6.1796875" style="26" customWidth="1"/>
    <col min="8" max="9" width="8.1796875" style="4" bestFit="1" customWidth="1"/>
    <col min="10" max="10" width="12.453125" bestFit="1" customWidth="1"/>
  </cols>
  <sheetData>
    <row r="1" spans="1:9" s="1" customFormat="1" ht="25.5" customHeight="1" x14ac:dyDescent="0.25">
      <c r="A1" s="49" t="s">
        <v>477</v>
      </c>
      <c r="B1" s="5" t="s">
        <v>429</v>
      </c>
      <c r="C1" s="5" t="s">
        <v>430</v>
      </c>
      <c r="D1" s="7" t="s">
        <v>431</v>
      </c>
      <c r="E1" s="5" t="s">
        <v>432</v>
      </c>
      <c r="F1" s="6" t="s">
        <v>433</v>
      </c>
      <c r="G1" s="6" t="s">
        <v>434</v>
      </c>
      <c r="H1" s="7" t="s">
        <v>435</v>
      </c>
      <c r="I1" s="8" t="s">
        <v>436</v>
      </c>
    </row>
    <row r="2" spans="1:9" ht="50.5" x14ac:dyDescent="0.25">
      <c r="A2" s="41" t="s">
        <v>473</v>
      </c>
      <c r="B2" s="22" t="s">
        <v>383</v>
      </c>
      <c r="C2" s="22" t="s">
        <v>486</v>
      </c>
      <c r="D2" s="22">
        <v>14997</v>
      </c>
      <c r="E2" s="22" t="s">
        <v>884</v>
      </c>
      <c r="F2" s="23">
        <v>38008</v>
      </c>
      <c r="G2" s="23"/>
      <c r="H2" s="24">
        <v>20</v>
      </c>
      <c r="I2" s="24">
        <v>40</v>
      </c>
    </row>
    <row r="3" spans="1:9" x14ac:dyDescent="0.25">
      <c r="A3" s="41" t="s">
        <v>473</v>
      </c>
      <c r="B3" s="22" t="s">
        <v>336</v>
      </c>
      <c r="C3" s="22" t="s">
        <v>334</v>
      </c>
      <c r="D3" s="22">
        <v>7145</v>
      </c>
      <c r="E3" s="22" t="s">
        <v>199</v>
      </c>
      <c r="F3" s="23">
        <v>35856</v>
      </c>
      <c r="G3" s="23"/>
      <c r="H3" s="24">
        <v>40</v>
      </c>
      <c r="I3" s="24">
        <v>400</v>
      </c>
    </row>
    <row r="4" spans="1:9" x14ac:dyDescent="0.25">
      <c r="A4" s="41" t="s">
        <v>473</v>
      </c>
      <c r="B4" s="22" t="s">
        <v>363</v>
      </c>
      <c r="C4" s="22" t="s">
        <v>334</v>
      </c>
      <c r="D4" s="22">
        <v>14999</v>
      </c>
      <c r="E4" s="22" t="s">
        <v>888</v>
      </c>
      <c r="F4" s="23">
        <v>38009</v>
      </c>
      <c r="G4" s="23"/>
      <c r="H4" s="24">
        <v>10</v>
      </c>
      <c r="I4" s="24">
        <v>30</v>
      </c>
    </row>
    <row r="5" spans="1:9" x14ac:dyDescent="0.25">
      <c r="A5" s="41" t="s">
        <v>473</v>
      </c>
      <c r="B5" s="22" t="s">
        <v>332</v>
      </c>
      <c r="C5" s="22" t="s">
        <v>334</v>
      </c>
      <c r="D5" s="22">
        <v>14967</v>
      </c>
      <c r="E5" s="22" t="s">
        <v>200</v>
      </c>
      <c r="F5" s="23">
        <v>38002</v>
      </c>
      <c r="G5" s="23"/>
      <c r="H5" s="24">
        <v>1</v>
      </c>
      <c r="I5" s="24">
        <v>10</v>
      </c>
    </row>
    <row r="6" spans="1:9" x14ac:dyDescent="0.25">
      <c r="A6" s="41" t="s">
        <v>473</v>
      </c>
      <c r="B6" s="22" t="s">
        <v>332</v>
      </c>
      <c r="C6" s="22" t="s">
        <v>334</v>
      </c>
      <c r="D6" s="22">
        <v>14968</v>
      </c>
      <c r="E6" s="22" t="s">
        <v>201</v>
      </c>
      <c r="F6" s="23">
        <v>38002</v>
      </c>
      <c r="G6" s="23"/>
      <c r="H6" s="24">
        <v>1</v>
      </c>
      <c r="I6" s="24">
        <v>10</v>
      </c>
    </row>
    <row r="7" spans="1:9" x14ac:dyDescent="0.25">
      <c r="A7" s="41" t="s">
        <v>473</v>
      </c>
      <c r="B7" s="22" t="s">
        <v>338</v>
      </c>
      <c r="C7" s="22" t="s">
        <v>486</v>
      </c>
      <c r="D7" s="22">
        <v>14956</v>
      </c>
      <c r="E7" s="22" t="s">
        <v>202</v>
      </c>
      <c r="F7" s="23">
        <v>38001</v>
      </c>
      <c r="G7" s="23">
        <v>11354</v>
      </c>
      <c r="H7" s="24">
        <v>100</v>
      </c>
      <c r="I7" s="24">
        <v>200</v>
      </c>
    </row>
    <row r="8" spans="1:9" x14ac:dyDescent="0.25">
      <c r="A8" s="41" t="s">
        <v>473</v>
      </c>
      <c r="B8" s="22" t="s">
        <v>338</v>
      </c>
      <c r="C8" s="22" t="s">
        <v>334</v>
      </c>
      <c r="D8" s="22">
        <v>8098</v>
      </c>
      <c r="E8" s="22" t="s">
        <v>203</v>
      </c>
      <c r="F8" s="23">
        <v>36157</v>
      </c>
      <c r="G8" s="23"/>
      <c r="H8" s="24">
        <v>40</v>
      </c>
      <c r="I8" s="24">
        <v>40</v>
      </c>
    </row>
    <row r="9" spans="1:9" x14ac:dyDescent="0.25">
      <c r="A9" s="41" t="s">
        <v>473</v>
      </c>
      <c r="B9" s="22" t="s">
        <v>338</v>
      </c>
      <c r="C9" s="22" t="s">
        <v>334</v>
      </c>
      <c r="D9" s="22">
        <v>9460</v>
      </c>
      <c r="E9" s="22" t="s">
        <v>204</v>
      </c>
      <c r="F9" s="23">
        <v>36497</v>
      </c>
      <c r="G9" s="23"/>
      <c r="H9" s="24">
        <v>100</v>
      </c>
      <c r="I9" s="24">
        <v>300</v>
      </c>
    </row>
    <row r="10" spans="1:9" x14ac:dyDescent="0.25">
      <c r="A10" s="41" t="s">
        <v>473</v>
      </c>
      <c r="B10" s="22" t="s">
        <v>352</v>
      </c>
      <c r="C10" s="22" t="s">
        <v>334</v>
      </c>
      <c r="D10" s="22">
        <v>12585</v>
      </c>
      <c r="E10" s="22" t="s">
        <v>205</v>
      </c>
      <c r="F10" s="23">
        <v>37251</v>
      </c>
      <c r="G10" s="23"/>
      <c r="H10" s="24">
        <v>4</v>
      </c>
      <c r="I10" s="24">
        <v>100</v>
      </c>
    </row>
    <row r="11" spans="1:9" x14ac:dyDescent="0.25">
      <c r="A11" s="41" t="s">
        <v>473</v>
      </c>
      <c r="B11" s="22" t="s">
        <v>333</v>
      </c>
      <c r="C11" s="22" t="s">
        <v>486</v>
      </c>
      <c r="D11" s="22">
        <v>14938</v>
      </c>
      <c r="E11" s="22" t="s">
        <v>206</v>
      </c>
      <c r="F11" s="23">
        <v>38000</v>
      </c>
      <c r="G11" s="23">
        <v>38199</v>
      </c>
      <c r="H11" s="24">
        <v>200</v>
      </c>
      <c r="I11" s="24">
        <v>400</v>
      </c>
    </row>
    <row r="12" spans="1:9" x14ac:dyDescent="0.25">
      <c r="A12" s="41" t="s">
        <v>473</v>
      </c>
      <c r="B12" s="22" t="s">
        <v>333</v>
      </c>
      <c r="C12" s="22" t="s">
        <v>486</v>
      </c>
      <c r="D12" s="22">
        <v>14939</v>
      </c>
      <c r="E12" s="22" t="s">
        <v>207</v>
      </c>
      <c r="F12" s="23">
        <v>38000</v>
      </c>
      <c r="G12" s="23">
        <v>38260</v>
      </c>
      <c r="H12" s="24">
        <v>100</v>
      </c>
      <c r="I12" s="24">
        <v>200</v>
      </c>
    </row>
    <row r="13" spans="1:9" x14ac:dyDescent="0.25">
      <c r="A13" s="41" t="s">
        <v>473</v>
      </c>
      <c r="B13" s="22" t="s">
        <v>333</v>
      </c>
      <c r="C13" s="22" t="s">
        <v>486</v>
      </c>
      <c r="D13" s="22">
        <v>14954</v>
      </c>
      <c r="E13" s="22" t="s">
        <v>208</v>
      </c>
      <c r="F13" s="23">
        <v>38001</v>
      </c>
      <c r="G13" s="23">
        <v>38412</v>
      </c>
      <c r="H13" s="24">
        <v>200</v>
      </c>
      <c r="I13" s="24">
        <v>400</v>
      </c>
    </row>
    <row r="14" spans="1:9" x14ac:dyDescent="0.25">
      <c r="A14" s="41" t="s">
        <v>473</v>
      </c>
      <c r="B14" s="22" t="s">
        <v>333</v>
      </c>
      <c r="C14" s="22" t="s">
        <v>334</v>
      </c>
      <c r="D14" s="22">
        <v>10495</v>
      </c>
      <c r="E14" s="22" t="s">
        <v>209</v>
      </c>
      <c r="F14" s="23">
        <v>36740</v>
      </c>
      <c r="G14" s="23"/>
      <c r="H14" s="24">
        <v>80</v>
      </c>
      <c r="I14" s="24">
        <v>100</v>
      </c>
    </row>
    <row r="15" spans="1:9" x14ac:dyDescent="0.25">
      <c r="A15" s="41" t="s">
        <v>473</v>
      </c>
      <c r="B15" s="22" t="s">
        <v>333</v>
      </c>
      <c r="C15" s="22" t="s">
        <v>334</v>
      </c>
      <c r="D15" s="22">
        <v>12415</v>
      </c>
      <c r="E15" s="22" t="s">
        <v>210</v>
      </c>
      <c r="F15" s="23">
        <v>37186</v>
      </c>
      <c r="G15" s="23"/>
      <c r="H15" s="24">
        <v>1</v>
      </c>
      <c r="I15" s="24">
        <v>40</v>
      </c>
    </row>
    <row r="16" spans="1:9" x14ac:dyDescent="0.25">
      <c r="A16" s="41" t="s">
        <v>473</v>
      </c>
      <c r="B16" s="22" t="s">
        <v>339</v>
      </c>
      <c r="C16" s="22" t="s">
        <v>334</v>
      </c>
      <c r="D16" s="22">
        <v>8317</v>
      </c>
      <c r="E16" s="22" t="s">
        <v>211</v>
      </c>
      <c r="F16" s="23">
        <v>36229</v>
      </c>
      <c r="G16" s="23"/>
      <c r="H16" s="24">
        <v>100</v>
      </c>
      <c r="I16" s="24">
        <v>150</v>
      </c>
    </row>
    <row r="17" spans="1:9" x14ac:dyDescent="0.25">
      <c r="A17" s="41" t="s">
        <v>473</v>
      </c>
      <c r="B17" s="22" t="s">
        <v>339</v>
      </c>
      <c r="C17" s="22" t="s">
        <v>334</v>
      </c>
      <c r="D17" s="22">
        <v>11435</v>
      </c>
      <c r="E17" s="22" t="s">
        <v>212</v>
      </c>
      <c r="F17" s="23">
        <v>36941</v>
      </c>
      <c r="G17" s="23"/>
      <c r="H17" s="24">
        <v>1</v>
      </c>
      <c r="I17" s="24">
        <v>100</v>
      </c>
    </row>
    <row r="18" spans="1:9" x14ac:dyDescent="0.25">
      <c r="A18" s="41" t="s">
        <v>473</v>
      </c>
      <c r="B18" s="22" t="s">
        <v>339</v>
      </c>
      <c r="C18" s="22" t="s">
        <v>334</v>
      </c>
      <c r="D18" s="22">
        <v>13628</v>
      </c>
      <c r="E18" s="22" t="s">
        <v>213</v>
      </c>
      <c r="F18" s="23">
        <v>37657</v>
      </c>
      <c r="G18" s="23"/>
      <c r="H18" s="24">
        <v>100</v>
      </c>
      <c r="I18" s="24">
        <v>200</v>
      </c>
    </row>
    <row r="19" spans="1:9" x14ac:dyDescent="0.25">
      <c r="A19" s="41" t="s">
        <v>473</v>
      </c>
      <c r="B19" s="22" t="s">
        <v>371</v>
      </c>
      <c r="C19" s="22" t="s">
        <v>486</v>
      </c>
      <c r="D19" s="22">
        <v>14160</v>
      </c>
      <c r="E19" s="22" t="s">
        <v>767</v>
      </c>
      <c r="F19" s="23">
        <v>37881</v>
      </c>
      <c r="G19" s="23"/>
      <c r="H19" s="24">
        <v>50</v>
      </c>
      <c r="I19" s="24">
        <v>100</v>
      </c>
    </row>
    <row r="20" spans="1:9" ht="30.5" x14ac:dyDescent="0.25">
      <c r="A20" s="41" t="s">
        <v>515</v>
      </c>
      <c r="B20" s="22" t="s">
        <v>360</v>
      </c>
      <c r="C20" s="22" t="s">
        <v>377</v>
      </c>
      <c r="D20" s="22">
        <v>14889</v>
      </c>
      <c r="E20" s="22" t="s">
        <v>772</v>
      </c>
      <c r="F20" s="23">
        <v>37998</v>
      </c>
      <c r="G20" s="23">
        <v>38139</v>
      </c>
      <c r="H20" s="24">
        <v>200</v>
      </c>
      <c r="I20" s="24">
        <v>400</v>
      </c>
    </row>
    <row r="21" spans="1:9" ht="30.5" x14ac:dyDescent="0.25">
      <c r="A21" s="41" t="s">
        <v>515</v>
      </c>
      <c r="B21" s="22" t="s">
        <v>360</v>
      </c>
      <c r="C21" s="22" t="s">
        <v>377</v>
      </c>
      <c r="D21" s="22">
        <v>14994</v>
      </c>
      <c r="E21" s="22" t="s">
        <v>880</v>
      </c>
      <c r="F21" s="23">
        <v>38007</v>
      </c>
      <c r="G21" s="23"/>
      <c r="H21" s="24">
        <v>20</v>
      </c>
      <c r="I21" s="24">
        <v>40</v>
      </c>
    </row>
    <row r="22" spans="1:9" x14ac:dyDescent="0.25">
      <c r="A22" s="41" t="s">
        <v>515</v>
      </c>
      <c r="B22" s="22" t="s">
        <v>360</v>
      </c>
      <c r="C22" s="22" t="s">
        <v>334</v>
      </c>
      <c r="D22" s="22">
        <v>14848</v>
      </c>
      <c r="E22" s="22" t="s">
        <v>7</v>
      </c>
      <c r="F22" s="23">
        <v>37993</v>
      </c>
      <c r="G22" s="23">
        <v>38017</v>
      </c>
      <c r="H22" s="24">
        <v>10</v>
      </c>
      <c r="I22" s="24">
        <v>50</v>
      </c>
    </row>
    <row r="23" spans="1:9" x14ac:dyDescent="0.25">
      <c r="A23" s="41" t="s">
        <v>515</v>
      </c>
      <c r="B23" s="22" t="s">
        <v>360</v>
      </c>
      <c r="C23" s="22" t="s">
        <v>334</v>
      </c>
      <c r="D23" s="22">
        <v>14849</v>
      </c>
      <c r="E23" s="22" t="s">
        <v>8</v>
      </c>
      <c r="F23" s="23">
        <v>37993</v>
      </c>
      <c r="G23" s="23">
        <v>38017</v>
      </c>
      <c r="H23" s="24">
        <v>10</v>
      </c>
      <c r="I23" s="24">
        <v>50</v>
      </c>
    </row>
    <row r="24" spans="1:9" x14ac:dyDescent="0.25">
      <c r="A24" s="41" t="s">
        <v>515</v>
      </c>
      <c r="B24" s="22" t="s">
        <v>360</v>
      </c>
      <c r="C24" s="22" t="s">
        <v>334</v>
      </c>
      <c r="D24" s="22">
        <v>14870</v>
      </c>
      <c r="E24" s="22" t="s">
        <v>770</v>
      </c>
      <c r="F24" s="23">
        <v>37995</v>
      </c>
      <c r="G24" s="23">
        <v>38017</v>
      </c>
      <c r="H24" s="24">
        <v>10</v>
      </c>
      <c r="I24" s="24">
        <v>50</v>
      </c>
    </row>
    <row r="25" spans="1:9" x14ac:dyDescent="0.25">
      <c r="A25" s="41" t="s">
        <v>474</v>
      </c>
      <c r="B25" s="22" t="s">
        <v>342</v>
      </c>
      <c r="C25" s="22" t="s">
        <v>495</v>
      </c>
      <c r="D25" s="22">
        <v>14935</v>
      </c>
      <c r="E25" s="22" t="s">
        <v>214</v>
      </c>
      <c r="F25" s="23">
        <v>38000</v>
      </c>
      <c r="G25" s="23"/>
      <c r="H25" s="24">
        <v>75</v>
      </c>
      <c r="I25" s="24">
        <v>125</v>
      </c>
    </row>
    <row r="26" spans="1:9" x14ac:dyDescent="0.25">
      <c r="A26" s="41" t="s">
        <v>474</v>
      </c>
      <c r="B26" s="22" t="s">
        <v>342</v>
      </c>
      <c r="C26" s="22" t="s">
        <v>495</v>
      </c>
      <c r="D26" s="22">
        <v>14936</v>
      </c>
      <c r="E26" s="22" t="s">
        <v>215</v>
      </c>
      <c r="F26" s="23">
        <v>38000</v>
      </c>
      <c r="G26" s="23"/>
      <c r="H26" s="24">
        <v>75</v>
      </c>
      <c r="I26" s="24">
        <v>125</v>
      </c>
    </row>
    <row r="27" spans="1:9" x14ac:dyDescent="0.25">
      <c r="A27" s="41" t="s">
        <v>474</v>
      </c>
      <c r="B27" s="22" t="s">
        <v>342</v>
      </c>
      <c r="C27" s="22" t="s">
        <v>495</v>
      </c>
      <c r="D27" s="22">
        <v>14937</v>
      </c>
      <c r="E27" s="22" t="s">
        <v>216</v>
      </c>
      <c r="F27" s="23">
        <v>38000</v>
      </c>
      <c r="G27" s="23"/>
      <c r="H27" s="24">
        <v>75</v>
      </c>
      <c r="I27" s="24">
        <v>125</v>
      </c>
    </row>
    <row r="28" spans="1:9" x14ac:dyDescent="0.25">
      <c r="A28" s="41" t="s">
        <v>643</v>
      </c>
      <c r="B28" s="22" t="s">
        <v>820</v>
      </c>
      <c r="C28" s="22" t="s">
        <v>486</v>
      </c>
      <c r="D28" s="22">
        <v>13992</v>
      </c>
      <c r="E28" s="22" t="s">
        <v>821</v>
      </c>
      <c r="F28" s="23">
        <v>37865</v>
      </c>
      <c r="G28" s="23">
        <v>38353</v>
      </c>
      <c r="H28" s="24">
        <v>50</v>
      </c>
      <c r="I28" s="24">
        <v>100</v>
      </c>
    </row>
    <row r="29" spans="1:9" x14ac:dyDescent="0.25">
      <c r="A29" s="41" t="s">
        <v>643</v>
      </c>
      <c r="B29" s="22" t="s">
        <v>335</v>
      </c>
      <c r="C29" s="22" t="s">
        <v>486</v>
      </c>
      <c r="D29" s="22">
        <v>14255</v>
      </c>
      <c r="E29" s="22" t="s">
        <v>217</v>
      </c>
      <c r="F29" s="23">
        <v>37893</v>
      </c>
      <c r="G29" s="23">
        <v>38259</v>
      </c>
      <c r="H29" s="24">
        <v>100</v>
      </c>
      <c r="I29" s="24">
        <v>200</v>
      </c>
    </row>
    <row r="30" spans="1:9" x14ac:dyDescent="0.25">
      <c r="A30" s="64"/>
      <c r="B30" s="65"/>
      <c r="C30" s="65"/>
      <c r="D30" s="65"/>
      <c r="E30" s="65"/>
      <c r="F30" s="66"/>
      <c r="G30" s="66"/>
      <c r="H30" s="67"/>
      <c r="I30" s="67"/>
    </row>
    <row r="31" spans="1:9" x14ac:dyDescent="0.25">
      <c r="A31" s="64"/>
      <c r="B31" s="65"/>
      <c r="C31" s="65"/>
      <c r="D31" s="65"/>
      <c r="E31" s="65"/>
      <c r="F31" s="66"/>
      <c r="G31" s="66"/>
      <c r="H31" s="67"/>
      <c r="I31" s="67"/>
    </row>
    <row r="32" spans="1:9" x14ac:dyDescent="0.25">
      <c r="A32" s="64"/>
      <c r="B32" s="65"/>
      <c r="C32" s="65"/>
      <c r="D32" s="65"/>
      <c r="E32" s="65"/>
      <c r="F32" s="66"/>
      <c r="G32" s="66"/>
      <c r="H32" s="67"/>
      <c r="I32" s="67"/>
    </row>
    <row r="33" spans="1:9" x14ac:dyDescent="0.25">
      <c r="A33" s="64"/>
      <c r="B33" s="65"/>
      <c r="C33" s="65"/>
      <c r="D33" s="65"/>
      <c r="E33" s="65"/>
      <c r="F33" s="66"/>
      <c r="G33" s="66"/>
      <c r="H33" s="67"/>
      <c r="I33" s="67"/>
    </row>
    <row r="34" spans="1:9" x14ac:dyDescent="0.25">
      <c r="A34" s="64"/>
      <c r="B34" s="65"/>
      <c r="C34" s="65"/>
      <c r="D34" s="65"/>
      <c r="E34" s="65"/>
      <c r="F34" s="66"/>
      <c r="G34" s="66"/>
      <c r="H34" s="67"/>
      <c r="I34" s="67"/>
    </row>
    <row r="35" spans="1:9" x14ac:dyDescent="0.25">
      <c r="A35" s="64"/>
      <c r="B35" s="65"/>
      <c r="C35" s="65"/>
      <c r="D35" s="65"/>
      <c r="E35" s="65"/>
      <c r="F35" s="66"/>
      <c r="G35" s="66"/>
      <c r="H35" s="67"/>
      <c r="I35" s="67"/>
    </row>
    <row r="36" spans="1:9" x14ac:dyDescent="0.25">
      <c r="A36" s="64"/>
      <c r="B36" s="65"/>
      <c r="C36" s="65"/>
      <c r="D36" s="65"/>
      <c r="E36" s="65"/>
      <c r="F36" s="66"/>
      <c r="G36" s="66"/>
      <c r="H36" s="67"/>
      <c r="I36" s="67"/>
    </row>
    <row r="37" spans="1:9" x14ac:dyDescent="0.25">
      <c r="A37" s="64"/>
      <c r="B37" s="65"/>
      <c r="C37" s="65"/>
      <c r="D37" s="65"/>
      <c r="E37" s="65"/>
      <c r="F37" s="66"/>
      <c r="G37" s="66"/>
      <c r="H37" s="67"/>
      <c r="I37" s="67"/>
    </row>
    <row r="38" spans="1:9" x14ac:dyDescent="0.25">
      <c r="A38" s="64"/>
      <c r="B38" s="65"/>
      <c r="C38" s="65"/>
      <c r="D38" s="65"/>
      <c r="E38" s="65"/>
      <c r="F38" s="66"/>
      <c r="G38" s="66"/>
      <c r="H38" s="67"/>
      <c r="I38" s="67"/>
    </row>
    <row r="39" spans="1:9" x14ac:dyDescent="0.25">
      <c r="A39" s="64"/>
      <c r="B39" s="65"/>
      <c r="C39" s="65"/>
      <c r="D39" s="65"/>
      <c r="E39" s="65"/>
      <c r="F39" s="66"/>
      <c r="G39" s="66"/>
      <c r="H39" s="67"/>
      <c r="I39" s="67"/>
    </row>
    <row r="40" spans="1:9" x14ac:dyDescent="0.25">
      <c r="A40" s="64"/>
      <c r="B40" s="65"/>
      <c r="C40" s="65"/>
      <c r="D40" s="65"/>
      <c r="E40" s="65"/>
      <c r="F40" s="66"/>
      <c r="G40" s="66"/>
      <c r="H40" s="67"/>
      <c r="I40" s="67"/>
    </row>
    <row r="41" spans="1:9" x14ac:dyDescent="0.25">
      <c r="A41" s="64"/>
      <c r="B41" s="65"/>
      <c r="C41" s="65"/>
      <c r="D41" s="65"/>
      <c r="E41" s="65"/>
      <c r="F41" s="66"/>
      <c r="G41" s="66"/>
      <c r="H41" s="67"/>
      <c r="I41" s="67"/>
    </row>
    <row r="42" spans="1:9" x14ac:dyDescent="0.25">
      <c r="A42" s="64"/>
      <c r="B42" s="65"/>
      <c r="C42" s="65"/>
      <c r="D42" s="65"/>
      <c r="E42" s="65"/>
      <c r="F42" s="66"/>
      <c r="G42" s="66"/>
      <c r="H42" s="67"/>
      <c r="I42" s="67"/>
    </row>
    <row r="43" spans="1:9" x14ac:dyDescent="0.25">
      <c r="A43" s="64"/>
      <c r="B43" s="65"/>
      <c r="C43" s="65"/>
      <c r="D43" s="65"/>
      <c r="E43" s="65"/>
      <c r="F43" s="66"/>
      <c r="G43" s="66"/>
      <c r="H43" s="67"/>
      <c r="I43" s="67"/>
    </row>
    <row r="44" spans="1:9" x14ac:dyDescent="0.25">
      <c r="A44" s="64"/>
      <c r="B44" s="65"/>
      <c r="C44" s="65"/>
      <c r="D44" s="65"/>
      <c r="E44" s="65"/>
      <c r="F44" s="66"/>
      <c r="G44" s="66"/>
      <c r="H44" s="67"/>
      <c r="I44" s="67"/>
    </row>
    <row r="45" spans="1:9" x14ac:dyDescent="0.25">
      <c r="A45" s="64"/>
      <c r="B45" s="65"/>
      <c r="C45" s="65"/>
      <c r="D45" s="65"/>
      <c r="E45" s="65"/>
      <c r="F45" s="66"/>
      <c r="G45" s="66"/>
      <c r="H45" s="67"/>
      <c r="I45" s="67"/>
    </row>
    <row r="46" spans="1:9" x14ac:dyDescent="0.25">
      <c r="A46" s="64"/>
      <c r="B46" s="65"/>
      <c r="C46" s="65"/>
      <c r="D46" s="65"/>
      <c r="E46" s="65"/>
      <c r="F46" s="66"/>
      <c r="G46" s="66"/>
      <c r="H46" s="67"/>
      <c r="I46" s="67"/>
    </row>
    <row r="47" spans="1:9" x14ac:dyDescent="0.25">
      <c r="A47" s="64"/>
      <c r="B47" s="65"/>
      <c r="C47" s="65"/>
      <c r="D47" s="65"/>
      <c r="E47" s="65"/>
      <c r="F47" s="66"/>
      <c r="G47" s="66"/>
      <c r="H47" s="67"/>
      <c r="I47" s="67"/>
    </row>
    <row r="48" spans="1:9" x14ac:dyDescent="0.25">
      <c r="A48" s="64"/>
      <c r="B48" s="65"/>
      <c r="C48" s="65"/>
      <c r="D48" s="65"/>
      <c r="E48" s="65"/>
      <c r="F48" s="66"/>
      <c r="G48" s="66"/>
      <c r="H48" s="67"/>
      <c r="I48" s="67"/>
    </row>
    <row r="49" spans="1:9" x14ac:dyDescent="0.25">
      <c r="A49" s="64"/>
      <c r="B49" s="65"/>
      <c r="C49" s="65"/>
      <c r="D49" s="65"/>
      <c r="E49" s="65"/>
      <c r="F49" s="66"/>
      <c r="G49" s="66"/>
      <c r="H49" s="67"/>
      <c r="I49" s="67"/>
    </row>
    <row r="50" spans="1:9" x14ac:dyDescent="0.25">
      <c r="A50" s="64"/>
      <c r="B50" s="65"/>
      <c r="C50" s="65"/>
      <c r="D50" s="65"/>
      <c r="E50" s="65"/>
      <c r="F50" s="66"/>
      <c r="G50" s="66"/>
      <c r="H50" s="67"/>
      <c r="I50" s="67"/>
    </row>
    <row r="51" spans="1:9" x14ac:dyDescent="0.25">
      <c r="A51" s="64"/>
      <c r="B51" s="65"/>
      <c r="C51" s="65"/>
      <c r="D51" s="65"/>
      <c r="E51" s="65"/>
      <c r="F51" s="66"/>
      <c r="G51" s="66"/>
      <c r="H51" s="67"/>
      <c r="I51" s="67"/>
    </row>
    <row r="52" spans="1:9" x14ac:dyDescent="0.25">
      <c r="A52" s="64"/>
      <c r="B52" s="65"/>
      <c r="C52" s="65"/>
      <c r="D52" s="65"/>
      <c r="E52" s="65"/>
      <c r="F52" s="66"/>
      <c r="G52" s="66"/>
      <c r="H52" s="67"/>
      <c r="I52" s="67"/>
    </row>
    <row r="53" spans="1:9" x14ac:dyDescent="0.25">
      <c r="A53" s="64"/>
      <c r="B53" s="65"/>
      <c r="C53" s="65"/>
      <c r="D53" s="65"/>
      <c r="E53" s="65"/>
      <c r="F53" s="66"/>
      <c r="G53" s="66"/>
      <c r="H53" s="67"/>
      <c r="I53" s="67"/>
    </row>
    <row r="54" spans="1:9" x14ac:dyDescent="0.25">
      <c r="A54" s="64"/>
      <c r="B54" s="65"/>
      <c r="C54" s="65"/>
      <c r="D54" s="65"/>
      <c r="E54" s="65"/>
      <c r="F54" s="66"/>
      <c r="G54" s="66"/>
      <c r="H54" s="67"/>
      <c r="I54" s="67"/>
    </row>
    <row r="55" spans="1:9" x14ac:dyDescent="0.25">
      <c r="A55" s="64"/>
      <c r="B55" s="65"/>
      <c r="C55" s="65"/>
      <c r="D55" s="65"/>
      <c r="E55" s="65"/>
      <c r="F55" s="66"/>
      <c r="G55" s="66"/>
      <c r="H55" s="67"/>
      <c r="I55" s="67"/>
    </row>
    <row r="56" spans="1:9" x14ac:dyDescent="0.25">
      <c r="A56" s="64"/>
      <c r="B56" s="65"/>
      <c r="C56" s="65"/>
      <c r="D56" s="65"/>
      <c r="E56" s="65"/>
      <c r="F56" s="66"/>
      <c r="G56" s="66"/>
      <c r="H56" s="67"/>
      <c r="I56" s="67"/>
    </row>
    <row r="57" spans="1:9" x14ac:dyDescent="0.25">
      <c r="A57" s="64"/>
      <c r="B57" s="65"/>
      <c r="C57" s="65"/>
      <c r="D57" s="65"/>
      <c r="E57" s="65"/>
      <c r="F57" s="66"/>
      <c r="G57" s="66"/>
      <c r="H57" s="67"/>
      <c r="I57" s="67"/>
    </row>
    <row r="58" spans="1:9" x14ac:dyDescent="0.25">
      <c r="A58" s="64"/>
      <c r="B58" s="65"/>
      <c r="C58" s="65"/>
      <c r="D58" s="65"/>
      <c r="E58" s="65"/>
      <c r="F58" s="66"/>
      <c r="G58" s="66"/>
      <c r="H58" s="67"/>
      <c r="I58" s="67"/>
    </row>
    <row r="59" spans="1:9" x14ac:dyDescent="0.25">
      <c r="A59" s="64"/>
      <c r="B59" s="65"/>
      <c r="C59" s="65"/>
      <c r="D59" s="65"/>
      <c r="E59" s="65"/>
      <c r="F59" s="66"/>
      <c r="G59" s="66"/>
      <c r="H59" s="67"/>
      <c r="I59" s="67"/>
    </row>
    <row r="60" spans="1:9" x14ac:dyDescent="0.25">
      <c r="A60" s="64"/>
      <c r="B60" s="65"/>
      <c r="C60" s="65"/>
      <c r="D60" s="65"/>
      <c r="E60" s="65"/>
      <c r="F60" s="66"/>
      <c r="G60" s="66"/>
      <c r="H60" s="67"/>
      <c r="I60" s="67"/>
    </row>
    <row r="61" spans="1:9" x14ac:dyDescent="0.25">
      <c r="A61" s="64"/>
      <c r="B61" s="65"/>
      <c r="C61" s="65"/>
      <c r="D61" s="65"/>
      <c r="E61" s="65"/>
      <c r="F61" s="66"/>
      <c r="G61" s="66"/>
      <c r="H61" s="67"/>
      <c r="I61" s="67"/>
    </row>
    <row r="62" spans="1:9" x14ac:dyDescent="0.25">
      <c r="A62" s="64"/>
      <c r="B62" s="65"/>
      <c r="C62" s="65"/>
      <c r="D62" s="65"/>
      <c r="E62" s="65"/>
      <c r="F62" s="66"/>
      <c r="G62" s="66"/>
      <c r="H62" s="67"/>
      <c r="I62" s="67"/>
    </row>
    <row r="63" spans="1:9" x14ac:dyDescent="0.25">
      <c r="A63" s="64"/>
      <c r="B63" s="65"/>
      <c r="C63" s="65"/>
      <c r="D63" s="65"/>
      <c r="E63" s="65"/>
      <c r="F63" s="66"/>
      <c r="G63" s="66"/>
      <c r="H63" s="67"/>
      <c r="I63" s="67"/>
    </row>
    <row r="64" spans="1:9" x14ac:dyDescent="0.25">
      <c r="A64" s="64"/>
      <c r="B64" s="65"/>
      <c r="C64" s="65"/>
      <c r="D64" s="65"/>
      <c r="E64" s="65"/>
      <c r="F64" s="66"/>
      <c r="G64" s="66"/>
      <c r="H64" s="67"/>
      <c r="I64" s="67"/>
    </row>
    <row r="65" spans="1:9" x14ac:dyDescent="0.25">
      <c r="A65" s="64"/>
      <c r="B65" s="65"/>
      <c r="C65" s="65"/>
      <c r="D65" s="65"/>
      <c r="E65" s="65"/>
      <c r="F65" s="66"/>
      <c r="G65" s="66"/>
      <c r="H65" s="67"/>
      <c r="I65" s="67"/>
    </row>
    <row r="66" spans="1:9" x14ac:dyDescent="0.25">
      <c r="A66" s="64"/>
      <c r="B66" s="65"/>
      <c r="C66" s="65"/>
      <c r="D66" s="65"/>
      <c r="E66" s="65"/>
      <c r="F66" s="66"/>
      <c r="G66" s="66"/>
      <c r="H66" s="67"/>
      <c r="I66" s="67"/>
    </row>
    <row r="67" spans="1:9" x14ac:dyDescent="0.25">
      <c r="A67" s="64"/>
      <c r="B67" s="65"/>
      <c r="C67" s="65"/>
      <c r="D67" s="65"/>
      <c r="E67" s="65"/>
      <c r="F67" s="66"/>
      <c r="G67" s="66"/>
      <c r="H67" s="67"/>
      <c r="I67" s="67"/>
    </row>
    <row r="68" spans="1:9" x14ac:dyDescent="0.25">
      <c r="A68" s="64"/>
      <c r="B68" s="65"/>
      <c r="C68" s="65"/>
      <c r="D68" s="65"/>
      <c r="E68" s="65"/>
      <c r="F68" s="66"/>
      <c r="G68" s="66"/>
      <c r="H68" s="67"/>
      <c r="I68" s="67"/>
    </row>
    <row r="69" spans="1:9" x14ac:dyDescent="0.25">
      <c r="A69" s="64"/>
      <c r="B69" s="65"/>
      <c r="C69" s="65"/>
      <c r="D69" s="65"/>
      <c r="E69" s="65"/>
      <c r="F69" s="66"/>
      <c r="G69" s="66"/>
      <c r="H69" s="67"/>
      <c r="I69" s="67"/>
    </row>
    <row r="70" spans="1:9" x14ac:dyDescent="0.25">
      <c r="A70" s="64"/>
      <c r="B70" s="65"/>
      <c r="C70" s="65"/>
      <c r="D70" s="65"/>
      <c r="E70" s="65"/>
      <c r="F70" s="66"/>
      <c r="G70" s="66"/>
      <c r="H70" s="67"/>
      <c r="I70" s="67"/>
    </row>
    <row r="71" spans="1:9" x14ac:dyDescent="0.25">
      <c r="A71" s="64"/>
      <c r="B71" s="65"/>
      <c r="C71" s="65"/>
      <c r="D71" s="65"/>
      <c r="E71" s="65"/>
      <c r="F71" s="66"/>
      <c r="G71" s="66"/>
      <c r="H71" s="67"/>
      <c r="I71" s="67"/>
    </row>
    <row r="72" spans="1:9" x14ac:dyDescent="0.25">
      <c r="A72" s="64"/>
      <c r="B72" s="65"/>
      <c r="C72" s="65"/>
      <c r="D72" s="65"/>
      <c r="E72" s="65"/>
      <c r="F72" s="66"/>
      <c r="G72" s="66"/>
      <c r="H72" s="67"/>
      <c r="I72" s="67"/>
    </row>
    <row r="73" spans="1:9" x14ac:dyDescent="0.25">
      <c r="A73" s="64"/>
      <c r="B73" s="65"/>
      <c r="C73" s="65"/>
      <c r="D73" s="65"/>
      <c r="E73" s="65"/>
      <c r="F73" s="66"/>
      <c r="G73" s="66"/>
      <c r="H73" s="67"/>
      <c r="I73" s="67"/>
    </row>
    <row r="74" spans="1:9" x14ac:dyDescent="0.25">
      <c r="A74" s="64"/>
      <c r="B74" s="65"/>
      <c r="C74" s="65"/>
      <c r="D74" s="65"/>
      <c r="E74" s="65"/>
      <c r="F74" s="66"/>
      <c r="G74" s="66"/>
      <c r="H74" s="67"/>
      <c r="I74" s="67"/>
    </row>
    <row r="75" spans="1:9" x14ac:dyDescent="0.25">
      <c r="A75" s="64"/>
      <c r="B75" s="65"/>
      <c r="C75" s="65"/>
      <c r="D75" s="65"/>
      <c r="E75" s="65"/>
      <c r="F75" s="66"/>
      <c r="G75" s="66"/>
      <c r="H75" s="67"/>
      <c r="I75" s="67"/>
    </row>
    <row r="76" spans="1:9" x14ac:dyDescent="0.25">
      <c r="A76" s="64"/>
      <c r="B76" s="65"/>
      <c r="C76" s="65"/>
      <c r="D76" s="65"/>
      <c r="E76" s="65"/>
      <c r="F76" s="66"/>
      <c r="G76" s="66"/>
      <c r="H76" s="67"/>
      <c r="I76" s="67"/>
    </row>
    <row r="77" spans="1:9" x14ac:dyDescent="0.25">
      <c r="A77" s="64"/>
      <c r="B77" s="65"/>
      <c r="C77" s="65"/>
      <c r="D77" s="65"/>
      <c r="E77" s="65"/>
      <c r="F77" s="66"/>
      <c r="G77" s="66"/>
      <c r="H77" s="67"/>
      <c r="I77" s="67"/>
    </row>
    <row r="78" spans="1:9" x14ac:dyDescent="0.25">
      <c r="A78" s="64"/>
      <c r="B78" s="65"/>
      <c r="C78" s="65"/>
      <c r="D78" s="65"/>
      <c r="E78" s="65"/>
      <c r="F78" s="66"/>
      <c r="G78" s="66"/>
      <c r="H78" s="67"/>
      <c r="I78" s="67"/>
    </row>
    <row r="79" spans="1:9" x14ac:dyDescent="0.25">
      <c r="A79" s="64"/>
      <c r="B79" s="65"/>
      <c r="C79" s="65"/>
      <c r="D79" s="65"/>
      <c r="E79" s="65"/>
      <c r="F79" s="66"/>
      <c r="G79" s="66"/>
      <c r="H79" s="67"/>
      <c r="I79" s="67"/>
    </row>
    <row r="80" spans="1:9" x14ac:dyDescent="0.25">
      <c r="A80" s="64"/>
      <c r="B80" s="65"/>
      <c r="C80" s="65"/>
      <c r="D80" s="65"/>
      <c r="E80" s="65"/>
      <c r="F80" s="66"/>
      <c r="G80" s="66"/>
      <c r="H80" s="67"/>
      <c r="I80" s="67"/>
    </row>
    <row r="81" spans="1:9" x14ac:dyDescent="0.25">
      <c r="A81" s="64"/>
      <c r="B81" s="65"/>
      <c r="C81" s="65"/>
      <c r="D81" s="65"/>
      <c r="E81" s="65"/>
      <c r="F81" s="66"/>
      <c r="G81" s="66"/>
      <c r="H81" s="67"/>
      <c r="I81" s="67"/>
    </row>
    <row r="82" spans="1:9" x14ac:dyDescent="0.25">
      <c r="A82" s="64"/>
      <c r="B82" s="65"/>
      <c r="C82" s="65"/>
      <c r="D82" s="65"/>
      <c r="E82" s="65"/>
      <c r="F82" s="66"/>
      <c r="G82" s="66"/>
      <c r="H82" s="67"/>
      <c r="I82" s="67"/>
    </row>
    <row r="83" spans="1:9" x14ac:dyDescent="0.25">
      <c r="A83" s="64"/>
      <c r="B83" s="65"/>
      <c r="C83" s="65"/>
      <c r="D83" s="65"/>
      <c r="E83" s="65"/>
      <c r="F83" s="66"/>
      <c r="G83" s="66"/>
      <c r="H83" s="67"/>
      <c r="I83" s="67"/>
    </row>
    <row r="84" spans="1:9" x14ac:dyDescent="0.25">
      <c r="A84" s="64"/>
      <c r="B84" s="65"/>
      <c r="C84" s="65"/>
      <c r="D84" s="65"/>
      <c r="E84" s="65"/>
      <c r="F84" s="66"/>
      <c r="G84" s="66"/>
      <c r="H84" s="67"/>
      <c r="I84" s="67"/>
    </row>
    <row r="85" spans="1:9" x14ac:dyDescent="0.25">
      <c r="A85" s="64"/>
      <c r="B85" s="65"/>
      <c r="C85" s="65"/>
      <c r="D85" s="65"/>
      <c r="E85" s="65"/>
      <c r="F85" s="66"/>
      <c r="G85" s="66"/>
      <c r="H85" s="67"/>
      <c r="I85" s="67"/>
    </row>
    <row r="86" spans="1:9" x14ac:dyDescent="0.25">
      <c r="A86" s="64"/>
      <c r="B86" s="65"/>
      <c r="C86" s="65"/>
      <c r="D86" s="65"/>
      <c r="E86" s="65"/>
      <c r="F86" s="66"/>
      <c r="G86" s="66"/>
      <c r="H86" s="67"/>
      <c r="I86" s="67"/>
    </row>
    <row r="87" spans="1:9" x14ac:dyDescent="0.25">
      <c r="A87" s="64"/>
      <c r="B87" s="65"/>
      <c r="C87" s="65"/>
      <c r="D87" s="65"/>
      <c r="E87" s="65"/>
      <c r="F87" s="66"/>
      <c r="G87" s="66"/>
      <c r="H87" s="67"/>
      <c r="I87" s="67"/>
    </row>
    <row r="88" spans="1:9" x14ac:dyDescent="0.25">
      <c r="A88" s="64"/>
      <c r="B88" s="65"/>
      <c r="C88" s="65"/>
      <c r="D88" s="65"/>
      <c r="E88" s="65"/>
      <c r="F88" s="66"/>
      <c r="G88" s="66"/>
      <c r="H88" s="67"/>
      <c r="I88" s="67"/>
    </row>
    <row r="89" spans="1:9" x14ac:dyDescent="0.25">
      <c r="A89" s="64"/>
      <c r="B89" s="65"/>
      <c r="C89" s="65"/>
      <c r="D89" s="65"/>
      <c r="E89" s="65"/>
      <c r="F89" s="66"/>
      <c r="G89" s="66"/>
      <c r="H89" s="67"/>
      <c r="I89" s="67"/>
    </row>
    <row r="90" spans="1:9" x14ac:dyDescent="0.25">
      <c r="A90" s="64"/>
      <c r="B90" s="65"/>
      <c r="C90" s="65"/>
      <c r="D90" s="65"/>
      <c r="E90" s="65"/>
      <c r="F90" s="66"/>
      <c r="G90" s="66"/>
      <c r="H90" s="67"/>
      <c r="I90" s="67"/>
    </row>
    <row r="91" spans="1:9" x14ac:dyDescent="0.25">
      <c r="A91" s="64"/>
      <c r="B91" s="65"/>
      <c r="C91" s="65"/>
      <c r="D91" s="65"/>
      <c r="E91" s="65"/>
      <c r="F91" s="66"/>
      <c r="G91" s="66"/>
      <c r="H91" s="67"/>
      <c r="I91" s="67"/>
    </row>
    <row r="92" spans="1:9" x14ac:dyDescent="0.25">
      <c r="A92" s="64"/>
      <c r="B92" s="65"/>
      <c r="C92" s="65"/>
      <c r="D92" s="65"/>
      <c r="E92" s="65"/>
      <c r="F92" s="66"/>
      <c r="G92" s="66"/>
      <c r="H92" s="67"/>
      <c r="I92" s="67"/>
    </row>
    <row r="93" spans="1:9" x14ac:dyDescent="0.25">
      <c r="A93" s="64"/>
      <c r="B93" s="65"/>
      <c r="C93" s="65"/>
      <c r="D93" s="65"/>
      <c r="E93" s="65"/>
      <c r="F93" s="66"/>
      <c r="G93" s="66"/>
      <c r="H93" s="67"/>
      <c r="I93" s="67"/>
    </row>
    <row r="94" spans="1:9" x14ac:dyDescent="0.25">
      <c r="A94" s="64"/>
      <c r="B94" s="65"/>
      <c r="C94" s="65"/>
      <c r="D94" s="65"/>
      <c r="E94" s="65"/>
      <c r="F94" s="66"/>
      <c r="G94" s="66"/>
      <c r="H94" s="67"/>
      <c r="I94" s="67"/>
    </row>
    <row r="95" spans="1:9" x14ac:dyDescent="0.25">
      <c r="A95" s="64"/>
      <c r="B95" s="65"/>
      <c r="C95" s="65"/>
      <c r="D95" s="65"/>
      <c r="E95" s="65"/>
      <c r="F95" s="66"/>
      <c r="G95" s="66"/>
      <c r="H95" s="67"/>
      <c r="I95" s="67"/>
    </row>
    <row r="96" spans="1:9" x14ac:dyDescent="0.25">
      <c r="A96" s="68"/>
      <c r="B96" s="69"/>
      <c r="C96" s="69"/>
      <c r="D96" s="70"/>
      <c r="E96" s="69"/>
      <c r="F96" s="71"/>
      <c r="G96" s="71"/>
      <c r="H96" s="72"/>
      <c r="I96" s="72"/>
    </row>
    <row r="97" spans="1:9" x14ac:dyDescent="0.25">
      <c r="A97" s="68"/>
      <c r="B97" s="69"/>
      <c r="C97" s="69"/>
      <c r="D97" s="70"/>
      <c r="E97" s="69"/>
      <c r="F97" s="71"/>
      <c r="G97" s="71"/>
      <c r="H97" s="72"/>
      <c r="I97" s="72"/>
    </row>
    <row r="98" spans="1:9" x14ac:dyDescent="0.25">
      <c r="A98" s="68"/>
      <c r="B98" s="69"/>
      <c r="C98" s="69"/>
      <c r="D98" s="70"/>
      <c r="E98" s="69"/>
      <c r="F98" s="71"/>
      <c r="G98" s="71"/>
      <c r="H98" s="72"/>
      <c r="I98" s="72"/>
    </row>
    <row r="99" spans="1:9" x14ac:dyDescent="0.25">
      <c r="A99" s="68"/>
      <c r="B99" s="69"/>
      <c r="C99" s="69"/>
      <c r="D99" s="70"/>
      <c r="E99" s="69"/>
      <c r="F99" s="71"/>
      <c r="G99" s="71"/>
      <c r="H99" s="72"/>
      <c r="I99" s="72"/>
    </row>
    <row r="100" spans="1:9" x14ac:dyDescent="0.25">
      <c r="A100" s="68"/>
      <c r="B100" s="69"/>
      <c r="C100" s="69"/>
      <c r="D100" s="70"/>
      <c r="E100" s="69"/>
      <c r="F100" s="71"/>
      <c r="G100" s="71"/>
      <c r="H100" s="72"/>
      <c r="I100" s="72"/>
    </row>
    <row r="101" spans="1:9" x14ac:dyDescent="0.25">
      <c r="A101" s="68"/>
      <c r="B101" s="69"/>
      <c r="C101" s="69"/>
      <c r="D101" s="70"/>
      <c r="E101" s="69"/>
      <c r="F101" s="71"/>
      <c r="G101" s="71"/>
      <c r="H101" s="72"/>
      <c r="I101" s="72"/>
    </row>
    <row r="102" spans="1:9" x14ac:dyDescent="0.25">
      <c r="A102" s="68"/>
      <c r="B102" s="69"/>
      <c r="C102" s="69"/>
      <c r="D102" s="70"/>
      <c r="E102" s="69"/>
      <c r="F102" s="71"/>
      <c r="G102" s="71"/>
      <c r="H102" s="72"/>
      <c r="I102" s="72"/>
    </row>
    <row r="103" spans="1:9" x14ac:dyDescent="0.25">
      <c r="A103" s="68"/>
      <c r="B103" s="69"/>
      <c r="C103" s="69"/>
      <c r="D103" s="70"/>
      <c r="E103" s="69"/>
      <c r="F103" s="71"/>
      <c r="G103" s="71"/>
      <c r="H103" s="72"/>
      <c r="I103" s="72"/>
    </row>
    <row r="104" spans="1:9" x14ac:dyDescent="0.25">
      <c r="A104" s="68"/>
      <c r="B104" s="69"/>
      <c r="C104" s="69"/>
      <c r="D104" s="70"/>
      <c r="E104" s="69"/>
      <c r="F104" s="71"/>
      <c r="G104" s="71"/>
      <c r="H104" s="72"/>
      <c r="I104" s="72"/>
    </row>
    <row r="105" spans="1:9" x14ac:dyDescent="0.25">
      <c r="A105" s="68"/>
      <c r="B105" s="69"/>
      <c r="C105" s="69"/>
      <c r="D105" s="70"/>
      <c r="E105" s="69"/>
      <c r="F105" s="71"/>
      <c r="G105" s="71"/>
      <c r="H105" s="72"/>
      <c r="I105" s="72"/>
    </row>
    <row r="106" spans="1:9" x14ac:dyDescent="0.25">
      <c r="A106" s="68"/>
      <c r="B106" s="69"/>
      <c r="C106" s="69"/>
      <c r="D106" s="70"/>
      <c r="E106" s="69"/>
      <c r="F106" s="71"/>
      <c r="G106" s="71"/>
      <c r="H106" s="72"/>
      <c r="I106" s="72"/>
    </row>
    <row r="107" spans="1:9" x14ac:dyDescent="0.25">
      <c r="A107" s="68"/>
      <c r="B107" s="69"/>
      <c r="C107" s="69"/>
      <c r="D107" s="70"/>
      <c r="E107" s="69"/>
      <c r="F107" s="71"/>
      <c r="G107" s="71"/>
      <c r="H107" s="72"/>
      <c r="I107" s="72"/>
    </row>
    <row r="108" spans="1:9" x14ac:dyDescent="0.25">
      <c r="A108" s="68"/>
      <c r="B108" s="69"/>
      <c r="C108" s="69"/>
      <c r="D108" s="70"/>
      <c r="E108" s="69"/>
      <c r="F108" s="71"/>
      <c r="G108" s="71"/>
      <c r="H108" s="72"/>
      <c r="I108" s="72"/>
    </row>
    <row r="109" spans="1:9" x14ac:dyDescent="0.25">
      <c r="A109" s="68"/>
      <c r="B109" s="69"/>
      <c r="C109" s="69"/>
      <c r="D109" s="70"/>
      <c r="E109" s="69"/>
      <c r="F109" s="71"/>
      <c r="G109" s="71"/>
      <c r="H109" s="72"/>
      <c r="I109" s="72"/>
    </row>
    <row r="110" spans="1:9" x14ac:dyDescent="0.25">
      <c r="A110" s="68"/>
      <c r="B110" s="69"/>
      <c r="C110" s="69"/>
      <c r="D110" s="70"/>
      <c r="E110" s="69"/>
      <c r="F110" s="71"/>
      <c r="G110" s="71"/>
      <c r="H110" s="72"/>
      <c r="I110" s="72"/>
    </row>
    <row r="111" spans="1:9" x14ac:dyDescent="0.25">
      <c r="A111" s="68"/>
      <c r="B111" s="69"/>
      <c r="C111" s="69"/>
      <c r="D111" s="70"/>
      <c r="E111" s="69"/>
      <c r="F111" s="71"/>
      <c r="G111" s="71"/>
      <c r="H111" s="72"/>
      <c r="I111" s="72"/>
    </row>
    <row r="112" spans="1:9" x14ac:dyDescent="0.25">
      <c r="A112" s="68"/>
      <c r="B112" s="69"/>
      <c r="C112" s="69"/>
      <c r="D112" s="70"/>
      <c r="E112" s="69"/>
      <c r="F112" s="71"/>
      <c r="G112" s="71"/>
      <c r="H112" s="72"/>
      <c r="I112" s="72"/>
    </row>
    <row r="113" spans="1:9" x14ac:dyDescent="0.25">
      <c r="A113" s="68"/>
      <c r="B113" s="69"/>
      <c r="C113" s="69"/>
      <c r="D113" s="70"/>
      <c r="E113" s="69"/>
      <c r="F113" s="71"/>
      <c r="G113" s="71"/>
      <c r="H113" s="72"/>
      <c r="I113" s="72"/>
    </row>
    <row r="114" spans="1:9" x14ac:dyDescent="0.25">
      <c r="A114" s="68"/>
      <c r="B114" s="69"/>
      <c r="C114" s="69"/>
      <c r="D114" s="70"/>
      <c r="E114" s="69"/>
      <c r="F114" s="71"/>
      <c r="G114" s="71"/>
      <c r="H114" s="72"/>
      <c r="I114" s="72"/>
    </row>
    <row r="115" spans="1:9" x14ac:dyDescent="0.25">
      <c r="A115" s="68"/>
      <c r="B115" s="69"/>
      <c r="C115" s="69"/>
      <c r="D115" s="70"/>
      <c r="E115" s="69"/>
      <c r="F115" s="71"/>
      <c r="G115" s="71"/>
      <c r="H115" s="72"/>
      <c r="I115" s="72"/>
    </row>
    <row r="116" spans="1:9" x14ac:dyDescent="0.25">
      <c r="A116" s="68"/>
      <c r="B116" s="69"/>
      <c r="C116" s="69"/>
      <c r="D116" s="70"/>
      <c r="E116" s="69"/>
      <c r="F116" s="71"/>
      <c r="G116" s="71"/>
      <c r="H116" s="72"/>
      <c r="I116" s="72"/>
    </row>
    <row r="117" spans="1:9" x14ac:dyDescent="0.25">
      <c r="A117" s="68"/>
      <c r="B117" s="69"/>
      <c r="C117" s="69"/>
      <c r="D117" s="70"/>
      <c r="E117" s="69"/>
      <c r="F117" s="71"/>
      <c r="G117" s="71"/>
      <c r="H117" s="72"/>
      <c r="I117" s="72"/>
    </row>
    <row r="118" spans="1:9" x14ac:dyDescent="0.25">
      <c r="A118" s="68"/>
      <c r="B118" s="69"/>
      <c r="C118" s="69"/>
      <c r="D118" s="70"/>
      <c r="E118" s="69"/>
      <c r="F118" s="71"/>
      <c r="G118" s="71"/>
      <c r="H118" s="72"/>
      <c r="I118" s="72"/>
    </row>
    <row r="119" spans="1:9" x14ac:dyDescent="0.25">
      <c r="A119" s="68"/>
      <c r="B119" s="69"/>
      <c r="C119" s="69"/>
      <c r="D119" s="70"/>
      <c r="E119" s="69"/>
      <c r="F119" s="71"/>
      <c r="G119" s="71"/>
      <c r="H119" s="72"/>
      <c r="I119" s="72"/>
    </row>
    <row r="120" spans="1:9" x14ac:dyDescent="0.25">
      <c r="A120" s="68"/>
      <c r="B120" s="69"/>
      <c r="C120" s="69"/>
      <c r="D120" s="70"/>
      <c r="E120" s="69"/>
      <c r="F120" s="71"/>
      <c r="G120" s="71"/>
      <c r="H120" s="72"/>
      <c r="I120" s="72"/>
    </row>
    <row r="121" spans="1:9" x14ac:dyDescent="0.25">
      <c r="A121" s="68"/>
      <c r="B121" s="69"/>
      <c r="C121" s="69"/>
      <c r="D121" s="70"/>
      <c r="E121" s="69"/>
      <c r="F121" s="71"/>
      <c r="G121" s="71"/>
      <c r="H121" s="72"/>
      <c r="I121" s="72"/>
    </row>
    <row r="122" spans="1:9" x14ac:dyDescent="0.25">
      <c r="A122" s="68"/>
      <c r="B122" s="69"/>
      <c r="C122" s="69"/>
      <c r="D122" s="70"/>
      <c r="E122" s="69"/>
      <c r="F122" s="71"/>
      <c r="G122" s="71"/>
      <c r="H122" s="72"/>
      <c r="I122" s="72"/>
    </row>
    <row r="123" spans="1:9" x14ac:dyDescent="0.25">
      <c r="A123" s="68"/>
      <c r="B123" s="69"/>
      <c r="C123" s="69"/>
      <c r="D123" s="70"/>
      <c r="E123" s="69"/>
      <c r="F123" s="71"/>
      <c r="G123" s="71"/>
      <c r="H123" s="72"/>
      <c r="I123" s="72"/>
    </row>
    <row r="124" spans="1:9" x14ac:dyDescent="0.25">
      <c r="A124" s="64"/>
      <c r="B124" s="65"/>
      <c r="C124" s="65"/>
      <c r="D124" s="65"/>
      <c r="E124" s="65"/>
      <c r="F124" s="66"/>
      <c r="G124" s="66"/>
      <c r="H124" s="67"/>
      <c r="I124" s="67"/>
    </row>
    <row r="125" spans="1:9" x14ac:dyDescent="0.25">
      <c r="A125" s="64"/>
      <c r="B125" s="65"/>
      <c r="C125" s="65"/>
      <c r="D125" s="65"/>
      <c r="E125" s="65"/>
      <c r="F125" s="66"/>
      <c r="G125" s="66"/>
      <c r="H125" s="67"/>
      <c r="I125" s="67"/>
    </row>
    <row r="126" spans="1:9" x14ac:dyDescent="0.25">
      <c r="A126" s="64"/>
      <c r="B126" s="65"/>
      <c r="C126" s="65"/>
      <c r="D126" s="65"/>
      <c r="E126" s="65"/>
      <c r="F126" s="66"/>
      <c r="G126" s="66"/>
      <c r="H126" s="67"/>
      <c r="I126" s="67"/>
    </row>
    <row r="127" spans="1:9" x14ac:dyDescent="0.25">
      <c r="A127" s="68"/>
      <c r="B127" s="69"/>
      <c r="C127" s="69"/>
      <c r="D127" s="70"/>
      <c r="E127" s="69"/>
      <c r="F127" s="71"/>
      <c r="G127" s="71"/>
      <c r="H127" s="72"/>
      <c r="I127" s="72"/>
    </row>
    <row r="128" spans="1:9" x14ac:dyDescent="0.25">
      <c r="A128" s="68"/>
      <c r="B128" s="69"/>
      <c r="C128" s="69"/>
      <c r="D128" s="70"/>
      <c r="E128" s="69"/>
      <c r="F128" s="71"/>
      <c r="G128" s="71"/>
      <c r="H128" s="72"/>
      <c r="I128" s="72"/>
    </row>
    <row r="129" spans="1:9" x14ac:dyDescent="0.25">
      <c r="A129" s="68"/>
      <c r="B129" s="69"/>
      <c r="C129" s="69"/>
      <c r="D129" s="70"/>
      <c r="E129" s="69"/>
      <c r="F129" s="71"/>
      <c r="G129" s="71"/>
      <c r="H129" s="72"/>
      <c r="I129" s="72"/>
    </row>
    <row r="130" spans="1:9" x14ac:dyDescent="0.25">
      <c r="A130" s="64"/>
      <c r="B130" s="65"/>
      <c r="C130" s="65"/>
      <c r="D130" s="65"/>
      <c r="E130" s="65"/>
      <c r="F130" s="66"/>
      <c r="G130" s="66"/>
      <c r="H130" s="67"/>
      <c r="I130" s="67"/>
    </row>
    <row r="131" spans="1:9" x14ac:dyDescent="0.25">
      <c r="A131" s="68"/>
      <c r="B131" s="69"/>
      <c r="C131" s="69"/>
      <c r="D131" s="70"/>
      <c r="E131" s="69"/>
      <c r="F131" s="71"/>
      <c r="G131" s="71"/>
      <c r="H131" s="72"/>
      <c r="I131" s="72"/>
    </row>
    <row r="132" spans="1:9" x14ac:dyDescent="0.25">
      <c r="A132" s="68"/>
      <c r="B132" s="69"/>
      <c r="C132" s="69"/>
      <c r="D132" s="70"/>
      <c r="E132" s="69"/>
      <c r="F132" s="71"/>
      <c r="G132" s="71"/>
      <c r="H132" s="72"/>
      <c r="I132" s="72"/>
    </row>
    <row r="133" spans="1:9" x14ac:dyDescent="0.25">
      <c r="A133" s="53"/>
      <c r="B133" s="13"/>
      <c r="C133" s="13"/>
      <c r="D133" s="15"/>
      <c r="E133" s="13"/>
      <c r="F133" s="25"/>
      <c r="G133" s="25"/>
      <c r="H133" s="14"/>
      <c r="I133" s="14"/>
    </row>
    <row r="134" spans="1:9" x14ac:dyDescent="0.25">
      <c r="A134" s="53"/>
      <c r="B134" s="13"/>
      <c r="C134" s="13"/>
      <c r="D134" s="15"/>
      <c r="E134" s="13"/>
      <c r="F134" s="25"/>
      <c r="G134" s="25"/>
      <c r="H134" s="14"/>
      <c r="I134" s="14"/>
    </row>
    <row r="135" spans="1:9" x14ac:dyDescent="0.25">
      <c r="A135" s="53"/>
      <c r="B135" s="13"/>
      <c r="C135" s="13"/>
      <c r="D135" s="15"/>
      <c r="E135" s="13"/>
      <c r="F135" s="25"/>
      <c r="G135" s="25"/>
      <c r="H135" s="14"/>
      <c r="I135" s="14"/>
    </row>
    <row r="136" spans="1:9" x14ac:dyDescent="0.25">
      <c r="A136" s="53"/>
      <c r="B136" s="13"/>
      <c r="C136" s="13"/>
      <c r="D136" s="15"/>
      <c r="E136" s="13"/>
      <c r="F136" s="25"/>
      <c r="G136" s="25"/>
      <c r="H136" s="14"/>
      <c r="I136" s="14"/>
    </row>
    <row r="137" spans="1:9" x14ac:dyDescent="0.25">
      <c r="A137" s="53"/>
      <c r="B137" s="13"/>
      <c r="C137" s="13"/>
      <c r="D137" s="15"/>
      <c r="E137" s="13"/>
      <c r="F137" s="25"/>
      <c r="G137" s="25"/>
      <c r="H137" s="14"/>
      <c r="I137" s="14"/>
    </row>
    <row r="138" spans="1:9" x14ac:dyDescent="0.25">
      <c r="A138" s="53"/>
      <c r="B138" s="13"/>
      <c r="C138" s="13"/>
      <c r="D138" s="15"/>
      <c r="E138" s="13"/>
      <c r="F138" s="25"/>
      <c r="G138" s="25"/>
      <c r="H138" s="14"/>
      <c r="I138" s="14"/>
    </row>
    <row r="139" spans="1:9" x14ac:dyDescent="0.25">
      <c r="A139" s="53"/>
      <c r="B139" s="13"/>
      <c r="C139" s="13"/>
      <c r="D139" s="15"/>
      <c r="E139" s="13"/>
      <c r="F139" s="25"/>
      <c r="G139" s="25"/>
      <c r="H139" s="14"/>
      <c r="I139" s="14"/>
    </row>
    <row r="140" spans="1:9" x14ac:dyDescent="0.25">
      <c r="A140" s="53"/>
      <c r="B140" s="13"/>
      <c r="C140" s="13"/>
      <c r="D140" s="15"/>
      <c r="E140" s="13"/>
      <c r="F140" s="25"/>
      <c r="G140" s="25"/>
      <c r="H140" s="14"/>
      <c r="I140" s="14"/>
    </row>
    <row r="141" spans="1:9" x14ac:dyDescent="0.25">
      <c r="A141" s="53"/>
      <c r="B141" s="13"/>
      <c r="C141" s="13"/>
      <c r="D141" s="15"/>
      <c r="E141" s="13"/>
      <c r="F141" s="25"/>
      <c r="G141" s="25"/>
      <c r="H141" s="14"/>
      <c r="I141" s="14"/>
    </row>
  </sheetData>
  <phoneticPr fontId="3" type="noConversion"/>
  <pageMargins left="0.5" right="0.5" top="0.88" bottom="0.75" header="0.18" footer="0.5"/>
  <pageSetup scale="91" orientation="landscape" r:id="rId1"/>
  <headerFooter alignWithMargins="0">
    <oddHeader>&amp;L&amp;G&amp;C&amp;14Production Support&amp;RIT Enterprise Applications
Pipeline Report - In Process</oddHeader>
    <oddFooter>&amp;C&amp;P&amp;R&amp;D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zoomScaleNormal="100" workbookViewId="0">
      <selection activeCell="C144" sqref="C144"/>
    </sheetView>
  </sheetViews>
  <sheetFormatPr defaultRowHeight="12.5" x14ac:dyDescent="0.25"/>
  <cols>
    <col min="1" max="1" width="22.26953125" style="52" bestFit="1" customWidth="1"/>
    <col min="2" max="2" width="12.26953125" style="4" customWidth="1"/>
    <col min="3" max="3" width="103.7265625" style="2" customWidth="1"/>
    <col min="4" max="4" width="12.453125" style="3" customWidth="1"/>
    <col min="5" max="5" width="20.453125" style="2" customWidth="1"/>
    <col min="6" max="6" width="13.7265625" style="26" customWidth="1"/>
    <col min="7" max="7" width="11.54296875" style="26" customWidth="1"/>
    <col min="8" max="9" width="13.453125" style="4" customWidth="1"/>
    <col min="10" max="10" width="10.7265625" bestFit="1" customWidth="1"/>
  </cols>
  <sheetData>
    <row r="1" spans="1:9" ht="23" x14ac:dyDescent="0.25">
      <c r="A1" s="78" t="s">
        <v>428</v>
      </c>
      <c r="B1" s="7" t="s">
        <v>473</v>
      </c>
      <c r="C1" s="89" t="s">
        <v>826</v>
      </c>
      <c r="D1" s="65"/>
      <c r="E1" s="65"/>
      <c r="F1" s="66"/>
      <c r="G1" s="66"/>
      <c r="H1" s="67"/>
      <c r="I1" s="67"/>
    </row>
    <row r="2" spans="1:9" ht="13" x14ac:dyDescent="0.3">
      <c r="A2" s="83" t="s">
        <v>438</v>
      </c>
      <c r="B2" s="95"/>
      <c r="C2" s="90"/>
      <c r="D2" s="65"/>
      <c r="E2" s="65"/>
      <c r="F2" s="66"/>
      <c r="G2" s="66"/>
      <c r="H2" s="67"/>
      <c r="I2" s="67"/>
    </row>
    <row r="3" spans="1:9" x14ac:dyDescent="0.25">
      <c r="A3" s="84" t="s">
        <v>734</v>
      </c>
      <c r="B3" s="95">
        <f>Summary!D3</f>
        <v>0</v>
      </c>
      <c r="C3" s="91"/>
      <c r="D3" s="65"/>
      <c r="E3" s="65"/>
      <c r="F3" s="66"/>
      <c r="G3" s="66"/>
      <c r="H3" s="67"/>
      <c r="I3" s="67"/>
    </row>
    <row r="4" spans="1:9" x14ac:dyDescent="0.25">
      <c r="A4" s="84" t="s">
        <v>733</v>
      </c>
      <c r="B4" s="95">
        <f>Summary!D4</f>
        <v>30</v>
      </c>
      <c r="C4" s="91"/>
      <c r="D4" s="65"/>
      <c r="E4" s="65"/>
      <c r="F4" s="66"/>
      <c r="G4" s="66"/>
      <c r="H4" s="67"/>
      <c r="I4" s="67"/>
    </row>
    <row r="5" spans="1:9" x14ac:dyDescent="0.25">
      <c r="A5" s="84" t="s">
        <v>735</v>
      </c>
      <c r="B5" s="95">
        <f>Summary!D5</f>
        <v>3</v>
      </c>
      <c r="C5" s="91"/>
      <c r="D5" s="65"/>
      <c r="E5" s="65"/>
      <c r="F5" s="66"/>
      <c r="G5" s="66"/>
      <c r="H5" s="67"/>
      <c r="I5" s="67"/>
    </row>
    <row r="6" spans="1:9" x14ac:dyDescent="0.25">
      <c r="A6" s="84" t="s">
        <v>736</v>
      </c>
      <c r="B6" s="95">
        <f>Summary!D6</f>
        <v>27</v>
      </c>
      <c r="C6" s="91"/>
      <c r="D6" s="65"/>
      <c r="E6" s="65"/>
      <c r="F6" s="66"/>
      <c r="G6" s="66"/>
      <c r="H6" s="67"/>
      <c r="I6" s="67"/>
    </row>
    <row r="7" spans="1:9" x14ac:dyDescent="0.25">
      <c r="A7" s="84" t="s">
        <v>737</v>
      </c>
      <c r="B7" s="95">
        <f>Summary!D7</f>
        <v>48</v>
      </c>
      <c r="C7" s="91"/>
      <c r="D7" s="65"/>
      <c r="E7" s="65"/>
      <c r="F7" s="66"/>
      <c r="G7" s="66"/>
      <c r="H7" s="67"/>
      <c r="I7" s="67"/>
    </row>
    <row r="8" spans="1:9" x14ac:dyDescent="0.25">
      <c r="A8" s="84" t="s">
        <v>825</v>
      </c>
      <c r="B8" s="95">
        <f>Summary!D8</f>
        <v>18</v>
      </c>
      <c r="C8" s="91"/>
      <c r="D8" s="65"/>
      <c r="E8" s="65"/>
      <c r="F8" s="66"/>
      <c r="G8" s="66"/>
      <c r="H8" s="67"/>
      <c r="I8" s="67"/>
    </row>
    <row r="9" spans="1:9" ht="13" x14ac:dyDescent="0.3">
      <c r="A9" s="83" t="s">
        <v>368</v>
      </c>
      <c r="B9" s="95">
        <f>Summary!D9</f>
        <v>1</v>
      </c>
      <c r="C9" s="91"/>
      <c r="D9" s="65"/>
      <c r="E9" s="65"/>
      <c r="F9" s="66"/>
      <c r="G9" s="66"/>
      <c r="H9" s="67"/>
      <c r="I9" s="67"/>
    </row>
    <row r="10" spans="1:9" ht="13" x14ac:dyDescent="0.3">
      <c r="A10" s="83" t="s">
        <v>437</v>
      </c>
      <c r="B10" s="95">
        <f>Summary!D10</f>
        <v>30</v>
      </c>
      <c r="C10" s="91"/>
      <c r="D10" s="65"/>
      <c r="E10" s="65"/>
      <c r="F10" s="66"/>
      <c r="G10" s="66"/>
      <c r="H10" s="67"/>
      <c r="I10" s="67"/>
    </row>
    <row r="11" spans="1:9" ht="13" x14ac:dyDescent="0.3">
      <c r="A11" s="92"/>
      <c r="B11" s="96"/>
      <c r="C11" s="91"/>
      <c r="D11" s="65"/>
      <c r="E11" s="65"/>
      <c r="F11" s="66"/>
      <c r="G11" s="66"/>
      <c r="H11" s="67"/>
      <c r="I11" s="67"/>
    </row>
    <row r="12" spans="1:9" x14ac:dyDescent="0.25">
      <c r="A12" s="92"/>
      <c r="B12" s="17"/>
      <c r="C12" s="91"/>
      <c r="D12" s="65"/>
      <c r="E12" s="65"/>
      <c r="F12" s="66"/>
      <c r="G12" s="66"/>
      <c r="H12" s="67"/>
      <c r="I12" s="67"/>
    </row>
    <row r="13" spans="1:9" x14ac:dyDescent="0.25">
      <c r="A13" s="92"/>
      <c r="B13" s="17"/>
      <c r="C13" s="91"/>
      <c r="D13" s="65"/>
      <c r="E13" s="65"/>
      <c r="F13" s="66"/>
      <c r="G13" s="66"/>
      <c r="H13" s="67"/>
      <c r="I13" s="67"/>
    </row>
    <row r="14" spans="1:9" x14ac:dyDescent="0.25">
      <c r="A14" s="92"/>
      <c r="B14" s="17"/>
      <c r="C14" s="91"/>
      <c r="D14" s="65"/>
      <c r="E14" s="65"/>
      <c r="F14" s="66"/>
      <c r="G14" s="66"/>
      <c r="H14" s="67"/>
      <c r="I14" s="67"/>
    </row>
    <row r="15" spans="1:9" x14ac:dyDescent="0.25">
      <c r="A15" s="92"/>
      <c r="B15" s="17"/>
      <c r="C15" s="91"/>
      <c r="D15" s="65"/>
      <c r="E15" s="65"/>
      <c r="F15" s="66"/>
      <c r="G15" s="66"/>
      <c r="H15" s="67"/>
      <c r="I15" s="67"/>
    </row>
    <row r="16" spans="1:9" x14ac:dyDescent="0.25">
      <c r="A16" s="92"/>
      <c r="B16" s="17"/>
      <c r="C16" s="91"/>
      <c r="D16" s="65"/>
      <c r="E16" s="65"/>
      <c r="F16" s="66"/>
      <c r="G16" s="66"/>
      <c r="H16" s="67"/>
      <c r="I16" s="67"/>
    </row>
    <row r="17" spans="1:9" x14ac:dyDescent="0.25">
      <c r="A17" s="92"/>
      <c r="B17" s="17"/>
      <c r="C17" s="91"/>
      <c r="D17" s="65"/>
      <c r="E17" s="65"/>
      <c r="F17" s="66"/>
      <c r="G17" s="66"/>
      <c r="H17" s="67"/>
      <c r="I17" s="67"/>
    </row>
    <row r="18" spans="1:9" x14ac:dyDescent="0.25">
      <c r="A18" s="92"/>
      <c r="B18" s="17"/>
      <c r="C18" s="91"/>
      <c r="D18" s="65"/>
      <c r="E18" s="65"/>
      <c r="F18" s="66"/>
      <c r="G18" s="66"/>
      <c r="H18" s="67"/>
      <c r="I18" s="67"/>
    </row>
    <row r="19" spans="1:9" x14ac:dyDescent="0.25">
      <c r="A19" s="93"/>
      <c r="B19" s="97"/>
      <c r="C19" s="94"/>
      <c r="D19" s="65"/>
      <c r="E19" s="65"/>
      <c r="F19" s="66"/>
      <c r="G19" s="66"/>
      <c r="H19" s="67"/>
      <c r="I19" s="67"/>
    </row>
    <row r="20" spans="1:9" x14ac:dyDescent="0.25">
      <c r="A20" s="64"/>
      <c r="C20" s="65"/>
      <c r="D20" s="65"/>
      <c r="E20" s="65"/>
      <c r="F20" s="66"/>
      <c r="G20" s="66"/>
      <c r="H20" s="67"/>
      <c r="I20" s="67"/>
    </row>
    <row r="21" spans="1:9" ht="13" thickBot="1" x14ac:dyDescent="0.3">
      <c r="A21" s="64"/>
      <c r="C21" s="65"/>
      <c r="D21" s="65"/>
      <c r="E21" s="65"/>
      <c r="F21" s="66"/>
      <c r="G21" s="66"/>
      <c r="H21" s="67"/>
      <c r="I21" s="67"/>
    </row>
    <row r="22" spans="1:9" ht="23" x14ac:dyDescent="0.25">
      <c r="A22" s="78" t="s">
        <v>428</v>
      </c>
      <c r="B22" s="7" t="s">
        <v>476</v>
      </c>
      <c r="C22" s="89" t="s">
        <v>827</v>
      </c>
      <c r="D22" s="65"/>
      <c r="E22" s="65"/>
      <c r="F22" s="66"/>
      <c r="G22" s="66"/>
      <c r="H22" s="67"/>
      <c r="I22" s="67"/>
    </row>
    <row r="23" spans="1:9" ht="13" x14ac:dyDescent="0.3">
      <c r="A23" s="83" t="s">
        <v>438</v>
      </c>
      <c r="B23" s="95"/>
      <c r="C23" s="90"/>
      <c r="D23" s="65"/>
      <c r="E23" s="65"/>
      <c r="F23" s="66"/>
      <c r="G23" s="66"/>
      <c r="H23" s="67"/>
      <c r="I23" s="67"/>
    </row>
    <row r="24" spans="1:9" x14ac:dyDescent="0.25">
      <c r="A24" s="84" t="s">
        <v>734</v>
      </c>
      <c r="B24" s="95">
        <f>Summary!F3</f>
        <v>0</v>
      </c>
      <c r="C24" s="91"/>
      <c r="D24" s="65"/>
      <c r="E24" s="65"/>
      <c r="F24" s="66"/>
      <c r="G24" s="66"/>
      <c r="H24" s="67"/>
      <c r="I24" s="67"/>
    </row>
    <row r="25" spans="1:9" x14ac:dyDescent="0.25">
      <c r="A25" s="84" t="s">
        <v>733</v>
      </c>
      <c r="B25" s="95">
        <f>Summary!F4</f>
        <v>3</v>
      </c>
      <c r="C25" s="91"/>
      <c r="D25" s="65"/>
      <c r="E25" s="65"/>
      <c r="F25" s="66"/>
      <c r="G25" s="66"/>
      <c r="H25" s="67"/>
      <c r="I25" s="67"/>
    </row>
    <row r="26" spans="1:9" x14ac:dyDescent="0.25">
      <c r="A26" s="84" t="s">
        <v>735</v>
      </c>
      <c r="B26" s="95">
        <f>Summary!F5</f>
        <v>0</v>
      </c>
      <c r="C26" s="91"/>
      <c r="D26" s="65"/>
      <c r="E26" s="65"/>
      <c r="F26" s="66"/>
      <c r="G26" s="66"/>
      <c r="H26" s="67"/>
      <c r="I26" s="67"/>
    </row>
    <row r="27" spans="1:9" x14ac:dyDescent="0.25">
      <c r="A27" s="84" t="s">
        <v>736</v>
      </c>
      <c r="B27" s="95">
        <f>Summary!F6</f>
        <v>5</v>
      </c>
      <c r="C27" s="91"/>
      <c r="D27" s="65"/>
      <c r="E27" s="65"/>
      <c r="F27" s="66"/>
      <c r="G27" s="66"/>
      <c r="H27" s="67"/>
      <c r="I27" s="67"/>
    </row>
    <row r="28" spans="1:9" x14ac:dyDescent="0.25">
      <c r="A28" s="84" t="s">
        <v>737</v>
      </c>
      <c r="B28" s="95">
        <f>Summary!F7</f>
        <v>3</v>
      </c>
      <c r="C28" s="91"/>
      <c r="D28" s="65"/>
      <c r="E28" s="65"/>
      <c r="F28" s="66"/>
      <c r="G28" s="66"/>
      <c r="H28" s="67"/>
      <c r="I28" s="67"/>
    </row>
    <row r="29" spans="1:9" x14ac:dyDescent="0.25">
      <c r="A29" s="84" t="s">
        <v>825</v>
      </c>
      <c r="B29" s="95">
        <f>Summary!F8</f>
        <v>2</v>
      </c>
      <c r="C29" s="91"/>
      <c r="D29" s="65"/>
      <c r="E29" s="65"/>
      <c r="F29" s="66"/>
      <c r="G29" s="66"/>
      <c r="H29" s="67"/>
      <c r="I29" s="67"/>
    </row>
    <row r="30" spans="1:9" ht="13" x14ac:dyDescent="0.3">
      <c r="A30" s="83" t="s">
        <v>368</v>
      </c>
      <c r="B30" s="95">
        <f>Summary!F9</f>
        <v>0</v>
      </c>
      <c r="C30" s="91"/>
      <c r="D30" s="65"/>
      <c r="E30" s="65"/>
      <c r="F30" s="66"/>
      <c r="G30" s="66"/>
      <c r="H30" s="67"/>
      <c r="I30" s="67"/>
    </row>
    <row r="31" spans="1:9" ht="13" x14ac:dyDescent="0.3">
      <c r="A31" s="83" t="s">
        <v>437</v>
      </c>
      <c r="B31" s="95">
        <f>Summary!F10</f>
        <v>5</v>
      </c>
      <c r="C31" s="91"/>
      <c r="D31" s="65"/>
      <c r="E31" s="65"/>
      <c r="F31" s="66"/>
      <c r="G31" s="66"/>
      <c r="H31" s="67"/>
      <c r="I31" s="67"/>
    </row>
    <row r="32" spans="1:9" ht="13" x14ac:dyDescent="0.3">
      <c r="A32" s="92"/>
      <c r="B32" s="96"/>
      <c r="C32" s="91"/>
      <c r="D32" s="65"/>
      <c r="E32" s="65"/>
      <c r="F32" s="66"/>
      <c r="G32" s="66"/>
      <c r="H32" s="67"/>
      <c r="I32" s="67"/>
    </row>
    <row r="33" spans="1:9" x14ac:dyDescent="0.25">
      <c r="A33" s="92"/>
      <c r="B33" s="17"/>
      <c r="C33" s="91"/>
      <c r="D33" s="65"/>
      <c r="E33" s="65"/>
      <c r="F33" s="66"/>
      <c r="G33" s="66"/>
      <c r="H33" s="67"/>
      <c r="I33" s="67"/>
    </row>
    <row r="34" spans="1:9" x14ac:dyDescent="0.25">
      <c r="A34" s="92"/>
      <c r="B34" s="17"/>
      <c r="C34" s="91"/>
      <c r="D34" s="65"/>
      <c r="E34" s="65"/>
      <c r="F34" s="66"/>
      <c r="G34" s="66"/>
      <c r="H34" s="67"/>
      <c r="I34" s="67"/>
    </row>
    <row r="35" spans="1:9" x14ac:dyDescent="0.25">
      <c r="A35" s="92"/>
      <c r="B35" s="17"/>
      <c r="C35" s="91"/>
      <c r="D35" s="65"/>
      <c r="E35" s="65"/>
      <c r="F35" s="66"/>
      <c r="G35" s="66"/>
      <c r="H35" s="67"/>
      <c r="I35" s="67"/>
    </row>
    <row r="36" spans="1:9" x14ac:dyDescent="0.25">
      <c r="A36" s="92"/>
      <c r="B36" s="17"/>
      <c r="C36" s="91"/>
      <c r="D36" s="65"/>
      <c r="E36" s="65"/>
      <c r="F36" s="66"/>
      <c r="G36" s="66"/>
      <c r="H36" s="67"/>
      <c r="I36" s="67"/>
    </row>
    <row r="37" spans="1:9" x14ac:dyDescent="0.25">
      <c r="A37" s="92"/>
      <c r="B37" s="17"/>
      <c r="C37" s="91"/>
      <c r="D37" s="65"/>
      <c r="E37" s="65"/>
      <c r="F37" s="66"/>
      <c r="G37" s="66"/>
      <c r="H37" s="67"/>
      <c r="I37" s="67"/>
    </row>
    <row r="38" spans="1:9" x14ac:dyDescent="0.25">
      <c r="A38" s="92"/>
      <c r="B38" s="17"/>
      <c r="C38" s="91"/>
      <c r="D38" s="65"/>
      <c r="E38" s="65"/>
      <c r="F38" s="66"/>
      <c r="G38" s="66"/>
      <c r="H38" s="67"/>
      <c r="I38" s="67"/>
    </row>
    <row r="39" spans="1:9" x14ac:dyDescent="0.25">
      <c r="A39" s="92"/>
      <c r="B39" s="17"/>
      <c r="C39" s="91"/>
      <c r="D39" s="65"/>
      <c r="E39" s="65"/>
      <c r="F39" s="66"/>
      <c r="G39" s="66"/>
      <c r="H39" s="67"/>
      <c r="I39" s="67"/>
    </row>
    <row r="40" spans="1:9" x14ac:dyDescent="0.25">
      <c r="A40" s="93"/>
      <c r="B40" s="97"/>
      <c r="C40" s="94"/>
      <c r="D40" s="65"/>
      <c r="E40" s="65"/>
      <c r="F40" s="66"/>
      <c r="G40" s="66"/>
      <c r="H40" s="67"/>
      <c r="I40" s="67"/>
    </row>
    <row r="41" spans="1:9" ht="13" thickBot="1" x14ac:dyDescent="0.3">
      <c r="A41" s="64"/>
      <c r="C41" s="65"/>
      <c r="D41" s="65"/>
      <c r="E41" s="65"/>
      <c r="F41" s="66"/>
      <c r="G41" s="66"/>
      <c r="H41" s="67"/>
      <c r="I41" s="67"/>
    </row>
    <row r="42" spans="1:9" x14ac:dyDescent="0.25">
      <c r="A42" s="78" t="s">
        <v>428</v>
      </c>
      <c r="B42" s="8" t="s">
        <v>480</v>
      </c>
      <c r="C42" s="89" t="s">
        <v>828</v>
      </c>
      <c r="D42" s="65"/>
      <c r="E42" s="65"/>
      <c r="F42" s="66"/>
      <c r="G42" s="66"/>
      <c r="H42" s="67"/>
      <c r="I42" s="67"/>
    </row>
    <row r="43" spans="1:9" ht="13" x14ac:dyDescent="0.3">
      <c r="A43" s="83" t="s">
        <v>438</v>
      </c>
      <c r="B43" s="95"/>
      <c r="C43" s="90"/>
      <c r="D43" s="65"/>
      <c r="E43" s="65"/>
      <c r="F43" s="66"/>
      <c r="G43" s="66"/>
      <c r="H43" s="67"/>
      <c r="I43" s="67"/>
    </row>
    <row r="44" spans="1:9" x14ac:dyDescent="0.25">
      <c r="A44" s="84" t="s">
        <v>734</v>
      </c>
      <c r="B44" s="95">
        <f>Summary!H3</f>
        <v>0</v>
      </c>
      <c r="C44" s="91"/>
      <c r="D44" s="65"/>
      <c r="E44" s="65"/>
      <c r="F44" s="66"/>
      <c r="G44" s="66"/>
      <c r="H44" s="67"/>
      <c r="I44" s="67"/>
    </row>
    <row r="45" spans="1:9" x14ac:dyDescent="0.25">
      <c r="A45" s="84" t="s">
        <v>733</v>
      </c>
      <c r="B45" s="95">
        <f>Summary!H4</f>
        <v>3</v>
      </c>
      <c r="C45" s="91"/>
      <c r="D45" s="65"/>
      <c r="E45" s="65"/>
      <c r="F45" s="66"/>
      <c r="G45" s="66"/>
      <c r="H45" s="67"/>
      <c r="I45" s="67"/>
    </row>
    <row r="46" spans="1:9" x14ac:dyDescent="0.25">
      <c r="A46" s="84" t="s">
        <v>735</v>
      </c>
      <c r="B46" s="95">
        <f>Summary!H5</f>
        <v>0</v>
      </c>
      <c r="C46" s="91"/>
      <c r="D46" s="65"/>
      <c r="E46" s="65"/>
      <c r="F46" s="66"/>
      <c r="G46" s="66"/>
      <c r="H46" s="67"/>
      <c r="I46" s="67"/>
    </row>
    <row r="47" spans="1:9" x14ac:dyDescent="0.25">
      <c r="A47" s="84" t="s">
        <v>736</v>
      </c>
      <c r="B47" s="95">
        <f>Summary!H6</f>
        <v>5</v>
      </c>
      <c r="C47" s="91"/>
      <c r="D47" s="65"/>
      <c r="E47" s="65"/>
      <c r="F47" s="66"/>
      <c r="G47" s="66"/>
      <c r="H47" s="67"/>
      <c r="I47" s="67"/>
    </row>
    <row r="48" spans="1:9" x14ac:dyDescent="0.25">
      <c r="A48" s="84" t="s">
        <v>737</v>
      </c>
      <c r="B48" s="95">
        <f>Summary!H7</f>
        <v>17</v>
      </c>
      <c r="C48" s="91"/>
      <c r="D48" s="65"/>
      <c r="E48" s="65"/>
      <c r="F48" s="66"/>
      <c r="G48" s="66"/>
      <c r="H48" s="67"/>
      <c r="I48" s="67"/>
    </row>
    <row r="49" spans="1:9" x14ac:dyDescent="0.25">
      <c r="A49" s="84" t="s">
        <v>825</v>
      </c>
      <c r="B49" s="95">
        <f>Summary!H8</f>
        <v>5</v>
      </c>
      <c r="C49" s="91"/>
      <c r="D49" s="65"/>
      <c r="E49" s="65"/>
      <c r="F49" s="66"/>
      <c r="G49" s="66"/>
      <c r="H49" s="67"/>
      <c r="I49" s="67"/>
    </row>
    <row r="50" spans="1:9" ht="13" x14ac:dyDescent="0.3">
      <c r="A50" s="83" t="s">
        <v>368</v>
      </c>
      <c r="B50" s="95">
        <f>Summary!H9</f>
        <v>3</v>
      </c>
      <c r="C50" s="91"/>
      <c r="D50" s="65"/>
      <c r="E50" s="65"/>
      <c r="F50" s="66"/>
      <c r="G50" s="66"/>
      <c r="H50" s="67"/>
      <c r="I50" s="67"/>
    </row>
    <row r="51" spans="1:9" ht="13" x14ac:dyDescent="0.3">
      <c r="A51" s="83" t="s">
        <v>437</v>
      </c>
      <c r="B51" s="95">
        <f>Summary!H10</f>
        <v>15</v>
      </c>
      <c r="C51" s="91"/>
      <c r="D51" s="65"/>
      <c r="E51" s="65"/>
      <c r="F51" s="66"/>
      <c r="G51" s="66"/>
      <c r="H51" s="67"/>
      <c r="I51" s="67"/>
    </row>
    <row r="52" spans="1:9" ht="13" x14ac:dyDescent="0.3">
      <c r="A52" s="92"/>
      <c r="B52" s="96"/>
      <c r="C52" s="91"/>
      <c r="D52" s="65"/>
      <c r="E52" s="65"/>
      <c r="F52" s="66"/>
      <c r="G52" s="66"/>
      <c r="H52" s="67"/>
      <c r="I52" s="67"/>
    </row>
    <row r="53" spans="1:9" x14ac:dyDescent="0.25">
      <c r="A53" s="92"/>
      <c r="B53" s="17"/>
      <c r="C53" s="91"/>
      <c r="D53" s="65"/>
      <c r="E53" s="65"/>
      <c r="F53" s="66"/>
      <c r="G53" s="66"/>
      <c r="H53" s="67"/>
      <c r="I53" s="67"/>
    </row>
    <row r="54" spans="1:9" x14ac:dyDescent="0.25">
      <c r="A54" s="92"/>
      <c r="B54" s="17"/>
      <c r="C54" s="91"/>
      <c r="D54" s="65"/>
      <c r="E54" s="65"/>
      <c r="F54" s="66"/>
      <c r="G54" s="66"/>
      <c r="H54" s="67"/>
      <c r="I54" s="67"/>
    </row>
    <row r="55" spans="1:9" x14ac:dyDescent="0.25">
      <c r="A55" s="92"/>
      <c r="B55" s="17"/>
      <c r="C55" s="91"/>
      <c r="D55" s="65"/>
      <c r="E55" s="65"/>
      <c r="F55" s="66"/>
      <c r="G55" s="66"/>
      <c r="H55" s="67"/>
      <c r="I55" s="67"/>
    </row>
    <row r="56" spans="1:9" x14ac:dyDescent="0.25">
      <c r="A56" s="92"/>
      <c r="B56" s="17"/>
      <c r="C56" s="91"/>
      <c r="D56" s="65"/>
      <c r="E56" s="65"/>
      <c r="F56" s="66"/>
      <c r="G56" s="66"/>
      <c r="H56" s="67"/>
      <c r="I56" s="67"/>
    </row>
    <row r="57" spans="1:9" x14ac:dyDescent="0.25">
      <c r="A57" s="92"/>
      <c r="B57" s="17"/>
      <c r="C57" s="91"/>
      <c r="D57" s="65"/>
      <c r="E57" s="65"/>
      <c r="F57" s="66"/>
      <c r="G57" s="66"/>
      <c r="H57" s="67"/>
      <c r="I57" s="67"/>
    </row>
    <row r="58" spans="1:9" x14ac:dyDescent="0.25">
      <c r="A58" s="92"/>
      <c r="B58" s="17"/>
      <c r="C58" s="91"/>
      <c r="D58" s="65"/>
      <c r="E58" s="65"/>
      <c r="F58" s="66"/>
      <c r="G58" s="66"/>
      <c r="H58" s="67"/>
      <c r="I58" s="67"/>
    </row>
    <row r="59" spans="1:9" x14ac:dyDescent="0.25">
      <c r="A59" s="92"/>
      <c r="B59" s="17"/>
      <c r="C59" s="91"/>
      <c r="D59" s="65"/>
      <c r="E59" s="65"/>
      <c r="F59" s="66"/>
      <c r="G59" s="66"/>
      <c r="H59" s="67"/>
      <c r="I59" s="67"/>
    </row>
    <row r="60" spans="1:9" x14ac:dyDescent="0.25">
      <c r="A60" s="93"/>
      <c r="B60" s="97"/>
      <c r="C60" s="94"/>
      <c r="D60" s="65"/>
      <c r="E60" s="65"/>
      <c r="F60" s="66"/>
      <c r="G60" s="66"/>
      <c r="H60" s="67"/>
      <c r="I60" s="67"/>
    </row>
    <row r="61" spans="1:9" ht="13" thickBot="1" x14ac:dyDescent="0.3">
      <c r="A61" s="64"/>
      <c r="C61" s="65"/>
      <c r="D61" s="65"/>
      <c r="E61" s="65"/>
      <c r="F61" s="66"/>
      <c r="G61" s="66"/>
      <c r="H61" s="67"/>
      <c r="I61" s="67"/>
    </row>
    <row r="62" spans="1:9" ht="23" x14ac:dyDescent="0.25">
      <c r="A62" s="78" t="s">
        <v>428</v>
      </c>
      <c r="B62" s="7" t="s">
        <v>479</v>
      </c>
      <c r="C62" s="89" t="s">
        <v>829</v>
      </c>
      <c r="D62" s="65"/>
      <c r="E62" s="65"/>
      <c r="F62" s="66"/>
      <c r="G62" s="66"/>
      <c r="H62" s="67"/>
      <c r="I62" s="67"/>
    </row>
    <row r="63" spans="1:9" ht="13" x14ac:dyDescent="0.3">
      <c r="A63" s="83" t="s">
        <v>438</v>
      </c>
      <c r="B63" s="95"/>
      <c r="C63" s="90"/>
      <c r="D63" s="65"/>
      <c r="E63" s="65"/>
      <c r="F63" s="66"/>
      <c r="G63" s="66"/>
      <c r="H63" s="67"/>
      <c r="I63" s="67"/>
    </row>
    <row r="64" spans="1:9" x14ac:dyDescent="0.25">
      <c r="A64" s="84" t="s">
        <v>734</v>
      </c>
      <c r="B64" s="95">
        <f>Summary!I3</f>
        <v>0</v>
      </c>
      <c r="C64" s="91"/>
      <c r="D64" s="65"/>
      <c r="E64" s="65"/>
      <c r="F64" s="66"/>
      <c r="G64" s="66"/>
      <c r="H64" s="67"/>
      <c r="I64" s="67"/>
    </row>
    <row r="65" spans="1:9" x14ac:dyDescent="0.25">
      <c r="A65" s="84" t="s">
        <v>733</v>
      </c>
      <c r="B65" s="95">
        <f>Summary!I4</f>
        <v>0</v>
      </c>
      <c r="C65" s="91"/>
      <c r="D65" s="65"/>
      <c r="E65" s="65"/>
      <c r="F65" s="66"/>
      <c r="G65" s="66"/>
      <c r="H65" s="67"/>
      <c r="I65" s="67"/>
    </row>
    <row r="66" spans="1:9" x14ac:dyDescent="0.25">
      <c r="A66" s="84" t="s">
        <v>735</v>
      </c>
      <c r="B66" s="95">
        <f>Summary!I5</f>
        <v>0</v>
      </c>
      <c r="C66" s="91"/>
      <c r="D66" s="65"/>
      <c r="E66" s="65"/>
      <c r="F66" s="66"/>
      <c r="G66" s="66"/>
      <c r="H66" s="67"/>
      <c r="I66" s="67"/>
    </row>
    <row r="67" spans="1:9" x14ac:dyDescent="0.25">
      <c r="A67" s="84" t="s">
        <v>736</v>
      </c>
      <c r="B67" s="95">
        <f>Summary!I6</f>
        <v>2</v>
      </c>
      <c r="C67" s="91"/>
      <c r="D67" s="65"/>
      <c r="E67" s="65"/>
      <c r="F67" s="66"/>
      <c r="G67" s="66"/>
      <c r="H67" s="67"/>
      <c r="I67" s="67"/>
    </row>
    <row r="68" spans="1:9" x14ac:dyDescent="0.25">
      <c r="A68" s="84" t="s">
        <v>737</v>
      </c>
      <c r="B68" s="95">
        <f>Summary!I7</f>
        <v>0</v>
      </c>
      <c r="C68" s="91"/>
      <c r="D68" s="65"/>
      <c r="E68" s="65"/>
      <c r="F68" s="66"/>
      <c r="G68" s="66"/>
      <c r="H68" s="67"/>
      <c r="I68" s="67"/>
    </row>
    <row r="69" spans="1:9" x14ac:dyDescent="0.25">
      <c r="A69" s="84" t="s">
        <v>825</v>
      </c>
      <c r="B69" s="95">
        <f>Summary!I8</f>
        <v>0</v>
      </c>
      <c r="C69" s="91"/>
      <c r="D69" s="70"/>
      <c r="E69" s="69"/>
      <c r="F69" s="71"/>
      <c r="G69" s="71"/>
      <c r="H69" s="72"/>
      <c r="I69" s="72"/>
    </row>
    <row r="70" spans="1:9" ht="13" x14ac:dyDescent="0.3">
      <c r="A70" s="83" t="s">
        <v>368</v>
      </c>
      <c r="B70" s="95">
        <f>Summary!I9</f>
        <v>0</v>
      </c>
      <c r="C70" s="91"/>
      <c r="D70" s="70"/>
      <c r="E70" s="69"/>
      <c r="F70" s="71"/>
      <c r="G70" s="71"/>
      <c r="H70" s="72"/>
      <c r="I70" s="72"/>
    </row>
    <row r="71" spans="1:9" ht="13" x14ac:dyDescent="0.3">
      <c r="A71" s="83" t="s">
        <v>437</v>
      </c>
      <c r="B71" s="95">
        <f>Summary!I10</f>
        <v>3</v>
      </c>
      <c r="C71" s="91"/>
      <c r="D71" s="70"/>
      <c r="E71" s="69"/>
      <c r="F71" s="71"/>
      <c r="G71" s="71"/>
      <c r="H71" s="72"/>
      <c r="I71" s="72"/>
    </row>
    <row r="72" spans="1:9" ht="13" x14ac:dyDescent="0.3">
      <c r="A72" s="92"/>
      <c r="B72" s="96"/>
      <c r="C72" s="91"/>
      <c r="D72" s="70"/>
      <c r="E72" s="69"/>
      <c r="F72" s="71"/>
      <c r="G72" s="71"/>
      <c r="H72" s="72"/>
      <c r="I72" s="72"/>
    </row>
    <row r="73" spans="1:9" x14ac:dyDescent="0.25">
      <c r="A73" s="92"/>
      <c r="B73" s="17"/>
      <c r="C73" s="91"/>
      <c r="D73" s="70"/>
      <c r="E73" s="69"/>
      <c r="F73" s="71"/>
      <c r="G73" s="71"/>
      <c r="H73" s="72"/>
      <c r="I73" s="72"/>
    </row>
    <row r="74" spans="1:9" x14ac:dyDescent="0.25">
      <c r="A74" s="92"/>
      <c r="B74" s="17"/>
      <c r="C74" s="91"/>
      <c r="D74" s="70"/>
      <c r="E74" s="69"/>
      <c r="F74" s="71"/>
      <c r="G74" s="71"/>
      <c r="H74" s="72"/>
      <c r="I74" s="72"/>
    </row>
    <row r="75" spans="1:9" x14ac:dyDescent="0.25">
      <c r="A75" s="92"/>
      <c r="B75" s="17"/>
      <c r="C75" s="91"/>
      <c r="D75" s="70"/>
      <c r="E75" s="69"/>
      <c r="F75" s="71"/>
      <c r="G75" s="71"/>
      <c r="H75" s="72"/>
      <c r="I75" s="72"/>
    </row>
    <row r="76" spans="1:9" x14ac:dyDescent="0.25">
      <c r="A76" s="92"/>
      <c r="B76" s="17"/>
      <c r="C76" s="91"/>
      <c r="D76" s="70"/>
      <c r="E76" s="69"/>
      <c r="F76" s="71"/>
      <c r="G76" s="71"/>
      <c r="H76" s="72"/>
      <c r="I76" s="72"/>
    </row>
    <row r="77" spans="1:9" x14ac:dyDescent="0.25">
      <c r="A77" s="92"/>
      <c r="B77" s="17"/>
      <c r="C77" s="91"/>
      <c r="D77" s="70"/>
      <c r="E77" s="69"/>
      <c r="F77" s="71"/>
      <c r="G77" s="71"/>
      <c r="H77" s="72"/>
      <c r="I77" s="72"/>
    </row>
    <row r="78" spans="1:9" x14ac:dyDescent="0.25">
      <c r="A78" s="92"/>
      <c r="B78" s="17"/>
      <c r="C78" s="91"/>
      <c r="D78" s="70"/>
      <c r="E78" s="69"/>
      <c r="F78" s="71"/>
      <c r="G78" s="71"/>
      <c r="H78" s="72"/>
      <c r="I78" s="72"/>
    </row>
    <row r="79" spans="1:9" x14ac:dyDescent="0.25">
      <c r="A79" s="92"/>
      <c r="B79" s="17"/>
      <c r="C79" s="91"/>
      <c r="D79" s="70"/>
      <c r="E79" s="69"/>
      <c r="F79" s="71"/>
      <c r="G79" s="71"/>
      <c r="H79" s="72"/>
      <c r="I79" s="72"/>
    </row>
    <row r="80" spans="1:9" x14ac:dyDescent="0.25">
      <c r="A80" s="93"/>
      <c r="B80" s="97"/>
      <c r="C80" s="94"/>
      <c r="D80" s="70"/>
      <c r="E80" s="69"/>
      <c r="F80" s="71"/>
      <c r="G80" s="71"/>
      <c r="H80" s="72"/>
      <c r="I80" s="72"/>
    </row>
    <row r="81" spans="1:9" ht="13" thickBot="1" x14ac:dyDescent="0.3">
      <c r="A81" s="64"/>
      <c r="C81" s="65"/>
      <c r="D81" s="70"/>
      <c r="E81" s="69"/>
      <c r="F81" s="71"/>
      <c r="G81" s="71"/>
      <c r="H81" s="72"/>
      <c r="I81" s="72"/>
    </row>
    <row r="82" spans="1:9" ht="23" x14ac:dyDescent="0.25">
      <c r="A82" s="78" t="s">
        <v>428</v>
      </c>
      <c r="B82" s="7" t="s">
        <v>474</v>
      </c>
      <c r="C82" s="89" t="s">
        <v>830</v>
      </c>
      <c r="D82" s="70"/>
      <c r="E82" s="69"/>
      <c r="F82" s="71"/>
      <c r="G82" s="71"/>
      <c r="H82" s="72"/>
      <c r="I82" s="72"/>
    </row>
    <row r="83" spans="1:9" ht="13" x14ac:dyDescent="0.3">
      <c r="A83" s="83" t="s">
        <v>438</v>
      </c>
      <c r="B83" s="95"/>
      <c r="C83" s="90"/>
      <c r="D83" s="70"/>
      <c r="E83" s="69"/>
      <c r="F83" s="71"/>
      <c r="G83" s="71"/>
      <c r="H83" s="72"/>
      <c r="I83" s="72"/>
    </row>
    <row r="84" spans="1:9" x14ac:dyDescent="0.25">
      <c r="A84" s="84" t="s">
        <v>734</v>
      </c>
      <c r="B84" s="95">
        <f>Summary!K3</f>
        <v>0</v>
      </c>
      <c r="C84" s="91"/>
      <c r="D84" s="70"/>
      <c r="E84" s="69"/>
      <c r="F84" s="71"/>
      <c r="G84" s="71"/>
      <c r="H84" s="72"/>
      <c r="I84" s="72"/>
    </row>
    <row r="85" spans="1:9" x14ac:dyDescent="0.25">
      <c r="A85" s="84" t="s">
        <v>733</v>
      </c>
      <c r="B85" s="95">
        <f>Summary!K4</f>
        <v>14</v>
      </c>
      <c r="C85" s="91"/>
      <c r="D85" s="70"/>
      <c r="E85" s="69"/>
      <c r="F85" s="71"/>
      <c r="G85" s="71"/>
      <c r="H85" s="72"/>
      <c r="I85" s="72"/>
    </row>
    <row r="86" spans="1:9" x14ac:dyDescent="0.25">
      <c r="A86" s="84" t="s">
        <v>735</v>
      </c>
      <c r="B86" s="95">
        <f>Summary!K5</f>
        <v>2</v>
      </c>
      <c r="C86" s="91"/>
      <c r="D86" s="70"/>
      <c r="E86" s="69"/>
      <c r="F86" s="71"/>
      <c r="G86" s="71"/>
      <c r="H86" s="72"/>
      <c r="I86" s="72"/>
    </row>
    <row r="87" spans="1:9" x14ac:dyDescent="0.25">
      <c r="A87" s="84" t="s">
        <v>736</v>
      </c>
      <c r="B87" s="95">
        <f>Summary!K6</f>
        <v>40</v>
      </c>
      <c r="C87" s="91"/>
      <c r="D87" s="70"/>
      <c r="E87" s="69"/>
      <c r="F87" s="71"/>
      <c r="G87" s="71"/>
      <c r="H87" s="72"/>
      <c r="I87" s="72"/>
    </row>
    <row r="88" spans="1:9" x14ac:dyDescent="0.25">
      <c r="A88" s="84" t="s">
        <v>737</v>
      </c>
      <c r="B88" s="95">
        <f>Summary!K7</f>
        <v>39</v>
      </c>
      <c r="C88" s="91"/>
      <c r="D88" s="70"/>
      <c r="E88" s="69"/>
      <c r="F88" s="71"/>
      <c r="G88" s="71"/>
      <c r="H88" s="72"/>
      <c r="I88" s="72"/>
    </row>
    <row r="89" spans="1:9" x14ac:dyDescent="0.25">
      <c r="A89" s="84" t="s">
        <v>825</v>
      </c>
      <c r="B89" s="95">
        <f>Summary!K8</f>
        <v>3</v>
      </c>
      <c r="C89" s="91"/>
      <c r="D89" s="70"/>
      <c r="E89" s="69"/>
      <c r="F89" s="71"/>
      <c r="G89" s="71"/>
      <c r="H89" s="72"/>
      <c r="I89" s="72"/>
    </row>
    <row r="90" spans="1:9" ht="13" x14ac:dyDescent="0.3">
      <c r="A90" s="83" t="s">
        <v>368</v>
      </c>
      <c r="B90" s="95">
        <f>Summary!K9</f>
        <v>0</v>
      </c>
      <c r="C90" s="91"/>
      <c r="D90" s="70"/>
      <c r="E90" s="69"/>
      <c r="F90" s="71"/>
      <c r="G90" s="71"/>
      <c r="H90" s="72"/>
      <c r="I90" s="72"/>
    </row>
    <row r="91" spans="1:9" ht="13" x14ac:dyDescent="0.3">
      <c r="A91" s="83" t="s">
        <v>437</v>
      </c>
      <c r="B91" s="95">
        <f>Summary!K10</f>
        <v>89</v>
      </c>
      <c r="C91" s="91"/>
      <c r="D91" s="70"/>
      <c r="E91" s="69"/>
      <c r="F91" s="71"/>
      <c r="G91" s="71"/>
      <c r="H91" s="72"/>
      <c r="I91" s="72"/>
    </row>
    <row r="92" spans="1:9" ht="13" x14ac:dyDescent="0.3">
      <c r="A92" s="92"/>
      <c r="B92" s="96"/>
      <c r="C92" s="91"/>
      <c r="D92" s="70"/>
      <c r="E92" s="69"/>
      <c r="F92" s="71"/>
      <c r="G92" s="71"/>
      <c r="H92" s="72"/>
      <c r="I92" s="72"/>
    </row>
    <row r="93" spans="1:9" x14ac:dyDescent="0.25">
      <c r="A93" s="92"/>
      <c r="B93" s="17"/>
      <c r="C93" s="91"/>
      <c r="D93" s="70"/>
      <c r="E93" s="69"/>
      <c r="F93" s="71"/>
      <c r="G93" s="71"/>
      <c r="H93" s="72"/>
      <c r="I93" s="72"/>
    </row>
    <row r="94" spans="1:9" x14ac:dyDescent="0.25">
      <c r="A94" s="92"/>
      <c r="B94" s="17"/>
      <c r="C94" s="91"/>
      <c r="D94" s="70"/>
      <c r="E94" s="69"/>
      <c r="F94" s="71"/>
      <c r="G94" s="71"/>
      <c r="H94" s="72"/>
      <c r="I94" s="72"/>
    </row>
    <row r="95" spans="1:9" x14ac:dyDescent="0.25">
      <c r="A95" s="92"/>
      <c r="B95" s="17"/>
      <c r="C95" s="91"/>
      <c r="D95" s="70"/>
      <c r="E95" s="69"/>
      <c r="F95" s="71"/>
      <c r="G95" s="71"/>
      <c r="H95" s="72"/>
      <c r="I95" s="72"/>
    </row>
    <row r="96" spans="1:9" x14ac:dyDescent="0.25">
      <c r="A96" s="92"/>
      <c r="B96" s="17"/>
      <c r="C96" s="91"/>
      <c r="D96" s="70"/>
      <c r="E96" s="69"/>
      <c r="F96" s="71"/>
      <c r="G96" s="71"/>
      <c r="H96" s="72"/>
      <c r="I96" s="72"/>
    </row>
    <row r="97" spans="1:9" x14ac:dyDescent="0.25">
      <c r="A97" s="92"/>
      <c r="B97" s="17"/>
      <c r="C97" s="91"/>
      <c r="D97" s="65"/>
      <c r="E97" s="65"/>
      <c r="F97" s="66"/>
      <c r="G97" s="66"/>
      <c r="H97" s="67"/>
      <c r="I97" s="67"/>
    </row>
    <row r="98" spans="1:9" x14ac:dyDescent="0.25">
      <c r="A98" s="92"/>
      <c r="B98" s="17"/>
      <c r="C98" s="91"/>
      <c r="D98" s="65"/>
      <c r="E98" s="65"/>
      <c r="F98" s="66"/>
      <c r="G98" s="66"/>
      <c r="H98" s="67"/>
      <c r="I98" s="67"/>
    </row>
    <row r="99" spans="1:9" x14ac:dyDescent="0.25">
      <c r="A99" s="92"/>
      <c r="B99" s="17"/>
      <c r="C99" s="91"/>
      <c r="D99" s="65"/>
      <c r="E99" s="65"/>
      <c r="F99" s="66"/>
      <c r="G99" s="66"/>
      <c r="H99" s="67"/>
      <c r="I99" s="67"/>
    </row>
    <row r="100" spans="1:9" x14ac:dyDescent="0.25">
      <c r="A100" s="93"/>
      <c r="B100" s="97"/>
      <c r="C100" s="94"/>
      <c r="D100" s="70"/>
      <c r="E100" s="69"/>
      <c r="F100" s="71"/>
      <c r="G100" s="71"/>
      <c r="H100" s="72"/>
      <c r="I100" s="72"/>
    </row>
    <row r="101" spans="1:9" x14ac:dyDescent="0.25">
      <c r="A101" s="64"/>
      <c r="C101" s="65"/>
      <c r="D101" s="70"/>
      <c r="E101" s="69"/>
      <c r="F101" s="71"/>
      <c r="G101" s="71"/>
      <c r="H101" s="72"/>
      <c r="I101" s="72"/>
    </row>
    <row r="102" spans="1:9" ht="23" x14ac:dyDescent="0.25">
      <c r="A102" s="104" t="s">
        <v>428</v>
      </c>
      <c r="B102" s="12" t="s">
        <v>478</v>
      </c>
      <c r="C102" s="89" t="s">
        <v>831</v>
      </c>
      <c r="D102" s="70"/>
      <c r="E102" s="69"/>
      <c r="F102" s="71"/>
      <c r="G102" s="71"/>
      <c r="H102" s="72"/>
      <c r="I102" s="72"/>
    </row>
    <row r="103" spans="1:9" ht="13" x14ac:dyDescent="0.3">
      <c r="A103" s="83" t="s">
        <v>438</v>
      </c>
      <c r="B103" s="95"/>
      <c r="C103" s="90"/>
      <c r="D103" s="65"/>
      <c r="E103" s="65"/>
      <c r="F103" s="66"/>
      <c r="G103" s="66"/>
      <c r="H103" s="67"/>
      <c r="I103" s="67"/>
    </row>
    <row r="104" spans="1:9" x14ac:dyDescent="0.25">
      <c r="A104" s="84" t="s">
        <v>734</v>
      </c>
      <c r="B104" s="95">
        <f>Summary!L3</f>
        <v>0</v>
      </c>
      <c r="C104" s="91"/>
      <c r="D104" s="70"/>
      <c r="E104" s="69"/>
      <c r="F104" s="71"/>
      <c r="G104" s="71"/>
      <c r="H104" s="72"/>
      <c r="I104" s="72"/>
    </row>
    <row r="105" spans="1:9" x14ac:dyDescent="0.25">
      <c r="A105" s="84" t="s">
        <v>733</v>
      </c>
      <c r="B105" s="95">
        <f>Summary!L4</f>
        <v>1</v>
      </c>
      <c r="C105" s="91"/>
      <c r="D105" s="70"/>
      <c r="E105" s="69"/>
      <c r="F105" s="71"/>
      <c r="G105" s="71"/>
      <c r="H105" s="72"/>
      <c r="I105" s="72"/>
    </row>
    <row r="106" spans="1:9" x14ac:dyDescent="0.25">
      <c r="A106" s="84" t="s">
        <v>735</v>
      </c>
      <c r="B106" s="95">
        <f>Summary!L5</f>
        <v>0</v>
      </c>
      <c r="C106" s="91"/>
      <c r="D106" s="15"/>
      <c r="E106" s="13"/>
      <c r="F106" s="25"/>
      <c r="G106" s="25"/>
      <c r="H106" s="14"/>
      <c r="I106" s="14"/>
    </row>
    <row r="107" spans="1:9" x14ac:dyDescent="0.25">
      <c r="A107" s="84" t="s">
        <v>736</v>
      </c>
      <c r="B107" s="95">
        <f>Summary!L6</f>
        <v>12</v>
      </c>
      <c r="C107" s="91"/>
      <c r="D107" s="15"/>
      <c r="E107" s="13"/>
      <c r="F107" s="25"/>
      <c r="G107" s="25"/>
      <c r="H107" s="14"/>
      <c r="I107" s="14"/>
    </row>
    <row r="108" spans="1:9" x14ac:dyDescent="0.25">
      <c r="A108" s="84" t="s">
        <v>737</v>
      </c>
      <c r="B108" s="95">
        <f>Summary!L7</f>
        <v>31</v>
      </c>
      <c r="C108" s="91"/>
      <c r="D108" s="15"/>
      <c r="E108" s="13"/>
      <c r="F108" s="25"/>
      <c r="G108" s="25"/>
      <c r="H108" s="14"/>
      <c r="I108" s="14"/>
    </row>
    <row r="109" spans="1:9" x14ac:dyDescent="0.25">
      <c r="A109" s="84" t="s">
        <v>825</v>
      </c>
      <c r="B109" s="95">
        <f>Summary!L8</f>
        <v>0</v>
      </c>
      <c r="C109" s="91"/>
      <c r="D109" s="15"/>
      <c r="E109" s="13"/>
      <c r="F109" s="25"/>
      <c r="G109" s="25"/>
      <c r="H109" s="14"/>
      <c r="I109" s="14"/>
    </row>
    <row r="110" spans="1:9" ht="13" x14ac:dyDescent="0.3">
      <c r="A110" s="83" t="s">
        <v>368</v>
      </c>
      <c r="B110" s="95">
        <f>Summary!L9</f>
        <v>0</v>
      </c>
      <c r="C110" s="91"/>
      <c r="D110" s="15"/>
      <c r="E110" s="13"/>
      <c r="F110" s="25"/>
      <c r="G110" s="25"/>
      <c r="H110" s="14"/>
      <c r="I110" s="14"/>
    </row>
    <row r="111" spans="1:9" ht="13" x14ac:dyDescent="0.3">
      <c r="A111" s="83" t="s">
        <v>437</v>
      </c>
      <c r="B111" s="95">
        <f>Summary!L10</f>
        <v>34</v>
      </c>
      <c r="C111" s="91"/>
      <c r="D111" s="15"/>
      <c r="E111" s="13"/>
      <c r="F111" s="25"/>
      <c r="G111" s="25"/>
      <c r="H111" s="14"/>
      <c r="I111" s="14"/>
    </row>
    <row r="112" spans="1:9" ht="13" x14ac:dyDescent="0.3">
      <c r="A112" s="92"/>
      <c r="B112" s="96"/>
      <c r="C112" s="91"/>
      <c r="D112" s="15"/>
      <c r="E112" s="13"/>
      <c r="F112" s="25"/>
      <c r="G112" s="25"/>
      <c r="H112" s="14"/>
      <c r="I112" s="14"/>
    </row>
    <row r="113" spans="1:9" x14ac:dyDescent="0.25">
      <c r="A113" s="92"/>
      <c r="B113" s="17"/>
      <c r="C113" s="91"/>
      <c r="D113" s="15"/>
      <c r="E113" s="13"/>
      <c r="F113" s="25"/>
      <c r="G113" s="25"/>
      <c r="H113" s="14"/>
      <c r="I113" s="14"/>
    </row>
    <row r="114" spans="1:9" x14ac:dyDescent="0.25">
      <c r="A114" s="92"/>
      <c r="B114" s="17"/>
      <c r="C114" s="91"/>
      <c r="D114" s="15"/>
      <c r="E114" s="13"/>
      <c r="F114" s="25"/>
      <c r="G114" s="25"/>
      <c r="H114" s="14"/>
      <c r="I114" s="14"/>
    </row>
    <row r="115" spans="1:9" x14ac:dyDescent="0.25">
      <c r="A115" s="92"/>
      <c r="B115" s="17"/>
      <c r="C115" s="91"/>
    </row>
    <row r="116" spans="1:9" x14ac:dyDescent="0.25">
      <c r="A116" s="92"/>
      <c r="B116" s="17"/>
      <c r="C116" s="91"/>
    </row>
    <row r="117" spans="1:9" x14ac:dyDescent="0.25">
      <c r="A117" s="92"/>
      <c r="B117" s="17"/>
      <c r="C117" s="91"/>
    </row>
    <row r="118" spans="1:9" x14ac:dyDescent="0.25">
      <c r="A118" s="92"/>
      <c r="B118" s="17"/>
      <c r="C118" s="91"/>
    </row>
    <row r="119" spans="1:9" x14ac:dyDescent="0.25">
      <c r="A119" s="92"/>
      <c r="B119" s="17"/>
      <c r="C119" s="91"/>
    </row>
    <row r="120" spans="1:9" x14ac:dyDescent="0.25">
      <c r="A120" s="93"/>
      <c r="B120" s="97"/>
      <c r="C120" s="94"/>
    </row>
    <row r="121" spans="1:9" s="103" customFormat="1" ht="23" x14ac:dyDescent="0.25">
      <c r="A121" s="104" t="s">
        <v>428</v>
      </c>
      <c r="B121" s="12" t="s">
        <v>485</v>
      </c>
      <c r="C121" s="89" t="s">
        <v>9</v>
      </c>
      <c r="D121" s="99"/>
      <c r="E121" s="100"/>
      <c r="F121" s="101"/>
      <c r="G121" s="101"/>
      <c r="H121" s="102"/>
      <c r="I121" s="102"/>
    </row>
    <row r="122" spans="1:9" ht="13" x14ac:dyDescent="0.3">
      <c r="A122" s="83" t="s">
        <v>438</v>
      </c>
      <c r="B122" s="95"/>
      <c r="C122" s="90"/>
    </row>
    <row r="123" spans="1:9" x14ac:dyDescent="0.25">
      <c r="A123" s="84" t="s">
        <v>734</v>
      </c>
      <c r="B123" s="95">
        <f>Summary!G3</f>
        <v>0</v>
      </c>
      <c r="C123" s="91"/>
    </row>
    <row r="124" spans="1:9" x14ac:dyDescent="0.25">
      <c r="A124" s="84" t="s">
        <v>733</v>
      </c>
      <c r="B124" s="95">
        <f>Summary!G4</f>
        <v>0</v>
      </c>
      <c r="C124" s="91"/>
    </row>
    <row r="125" spans="1:9" x14ac:dyDescent="0.25">
      <c r="A125" s="84" t="s">
        <v>735</v>
      </c>
      <c r="B125" s="95">
        <f>Summary!G5</f>
        <v>0</v>
      </c>
      <c r="C125" s="91"/>
    </row>
    <row r="126" spans="1:9" x14ac:dyDescent="0.25">
      <c r="A126" s="84" t="s">
        <v>736</v>
      </c>
      <c r="B126" s="95">
        <f>Summary!G6</f>
        <v>0</v>
      </c>
      <c r="C126" s="91"/>
    </row>
    <row r="127" spans="1:9" x14ac:dyDescent="0.25">
      <c r="A127" s="84" t="s">
        <v>737</v>
      </c>
      <c r="B127" s="95">
        <f>Summary!G7</f>
        <v>0</v>
      </c>
      <c r="C127" s="91"/>
    </row>
    <row r="128" spans="1:9" x14ac:dyDescent="0.25">
      <c r="A128" s="84" t="s">
        <v>825</v>
      </c>
      <c r="B128" s="95">
        <f>Summary!G8</f>
        <v>0</v>
      </c>
      <c r="C128" s="91"/>
    </row>
    <row r="129" spans="1:3" ht="13" x14ac:dyDescent="0.3">
      <c r="A129" s="83" t="s">
        <v>368</v>
      </c>
      <c r="B129" s="95">
        <f>Summary!G9</f>
        <v>1</v>
      </c>
      <c r="C129" s="91"/>
    </row>
    <row r="130" spans="1:3" ht="13" x14ac:dyDescent="0.3">
      <c r="A130" s="83" t="s">
        <v>437</v>
      </c>
      <c r="B130" s="95">
        <f>Summary!G10</f>
        <v>0</v>
      </c>
      <c r="C130" s="91"/>
    </row>
    <row r="131" spans="1:3" ht="13" x14ac:dyDescent="0.3">
      <c r="A131" s="92"/>
      <c r="B131" s="96"/>
      <c r="C131" s="91"/>
    </row>
    <row r="132" spans="1:3" x14ac:dyDescent="0.25">
      <c r="A132" s="92"/>
      <c r="B132" s="17"/>
      <c r="C132" s="91"/>
    </row>
    <row r="133" spans="1:3" x14ac:dyDescent="0.25">
      <c r="A133" s="92"/>
      <c r="B133" s="17"/>
      <c r="C133" s="91"/>
    </row>
    <row r="134" spans="1:3" x14ac:dyDescent="0.25">
      <c r="A134" s="92"/>
      <c r="B134" s="17"/>
      <c r="C134" s="91"/>
    </row>
    <row r="135" spans="1:3" x14ac:dyDescent="0.25">
      <c r="A135" s="92"/>
      <c r="B135" s="17"/>
      <c r="C135" s="91"/>
    </row>
    <row r="136" spans="1:3" x14ac:dyDescent="0.25">
      <c r="A136" s="92"/>
      <c r="B136" s="17"/>
      <c r="C136" s="91"/>
    </row>
    <row r="137" spans="1:3" x14ac:dyDescent="0.25">
      <c r="A137" s="92"/>
      <c r="B137" s="17"/>
      <c r="C137" s="91"/>
    </row>
    <row r="138" spans="1:3" x14ac:dyDescent="0.25">
      <c r="A138" s="92"/>
      <c r="B138" s="17"/>
      <c r="C138" s="91"/>
    </row>
    <row r="139" spans="1:3" x14ac:dyDescent="0.25">
      <c r="A139" s="93"/>
      <c r="B139" s="97"/>
      <c r="C139" s="94"/>
    </row>
    <row r="140" spans="1:3" x14ac:dyDescent="0.25">
      <c r="A140" s="98"/>
      <c r="B140" s="17"/>
      <c r="C140" s="16"/>
    </row>
  </sheetData>
  <phoneticPr fontId="3" type="noConversion"/>
  <pageMargins left="0.5" right="0.5" top="0.88" bottom="0.75" header="0.18" footer="0.5"/>
  <pageSetup scale="91" orientation="landscape" r:id="rId1"/>
  <headerFooter alignWithMargins="0">
    <oddHeader>&amp;L&amp;G&amp;C&amp;14Production Support&amp;RIT Enterprise Applications
Pipeline Report - In Process</oddHeader>
    <oddFooter>&amp;C&amp;P&amp;R&amp;D</oddFooter>
  </headerFooter>
  <rowBreaks count="1" manualBreakCount="1">
    <brk id="80" max="16383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81"/>
  <sheetViews>
    <sheetView workbookViewId="0">
      <selection activeCell="D22" sqref="D22"/>
    </sheetView>
  </sheetViews>
  <sheetFormatPr defaultRowHeight="12.5" x14ac:dyDescent="0.25"/>
  <cols>
    <col min="1" max="1" width="22.1796875" customWidth="1"/>
    <col min="2" max="2" width="58.54296875" customWidth="1"/>
  </cols>
  <sheetData>
    <row r="1" spans="1:2" ht="13" thickBot="1" x14ac:dyDescent="0.3">
      <c r="A1" s="30" t="s">
        <v>429</v>
      </c>
      <c r="B1" s="31" t="s">
        <v>441</v>
      </c>
    </row>
    <row r="2" spans="1:2" x14ac:dyDescent="0.25">
      <c r="A2" s="28" t="s">
        <v>355</v>
      </c>
      <c r="B2" s="29" t="s">
        <v>442</v>
      </c>
    </row>
    <row r="3" spans="1:2" x14ac:dyDescent="0.25">
      <c r="A3" s="9" t="s">
        <v>395</v>
      </c>
      <c r="B3" s="10" t="s">
        <v>395</v>
      </c>
    </row>
    <row r="4" spans="1:2" x14ac:dyDescent="0.25">
      <c r="A4" s="9" t="s">
        <v>383</v>
      </c>
      <c r="B4" s="10" t="s">
        <v>383</v>
      </c>
    </row>
    <row r="5" spans="1:2" x14ac:dyDescent="0.25">
      <c r="A5" s="9" t="s">
        <v>364</v>
      </c>
      <c r="B5" s="10" t="s">
        <v>443</v>
      </c>
    </row>
    <row r="6" spans="1:2" x14ac:dyDescent="0.25">
      <c r="A6" s="9" t="s">
        <v>444</v>
      </c>
      <c r="B6" s="10" t="s">
        <v>445</v>
      </c>
    </row>
    <row r="7" spans="1:2" x14ac:dyDescent="0.25">
      <c r="A7" s="9" t="s">
        <v>336</v>
      </c>
      <c r="B7" s="10" t="s">
        <v>446</v>
      </c>
    </row>
    <row r="8" spans="1:2" x14ac:dyDescent="0.25">
      <c r="A8" s="9" t="s">
        <v>447</v>
      </c>
      <c r="B8" s="10" t="s">
        <v>448</v>
      </c>
    </row>
    <row r="9" spans="1:2" x14ac:dyDescent="0.25">
      <c r="A9" s="9" t="s">
        <v>341</v>
      </c>
      <c r="B9" s="10" t="s">
        <v>341</v>
      </c>
    </row>
    <row r="10" spans="1:2" x14ac:dyDescent="0.25">
      <c r="A10" s="9" t="s">
        <v>449</v>
      </c>
      <c r="B10" s="10" t="s">
        <v>450</v>
      </c>
    </row>
    <row r="11" spans="1:2" x14ac:dyDescent="0.25">
      <c r="A11" s="9" t="s">
        <v>331</v>
      </c>
      <c r="B11" s="10" t="s">
        <v>451</v>
      </c>
    </row>
    <row r="12" spans="1:2" x14ac:dyDescent="0.25">
      <c r="A12" s="9" t="s">
        <v>345</v>
      </c>
      <c r="B12" s="10" t="s">
        <v>452</v>
      </c>
    </row>
    <row r="13" spans="1:2" x14ac:dyDescent="0.25">
      <c r="A13" s="9" t="s">
        <v>350</v>
      </c>
      <c r="B13" s="10" t="s">
        <v>453</v>
      </c>
    </row>
    <row r="14" spans="1:2" x14ac:dyDescent="0.25">
      <c r="A14" s="9" t="s">
        <v>363</v>
      </c>
      <c r="B14" s="10" t="s">
        <v>454</v>
      </c>
    </row>
    <row r="15" spans="1:2" x14ac:dyDescent="0.25">
      <c r="A15" s="9" t="s">
        <v>367</v>
      </c>
      <c r="B15" s="10" t="s">
        <v>455</v>
      </c>
    </row>
    <row r="16" spans="1:2" x14ac:dyDescent="0.25">
      <c r="A16" s="9" t="s">
        <v>455</v>
      </c>
      <c r="B16" s="10" t="s">
        <v>455</v>
      </c>
    </row>
    <row r="17" spans="1:2" x14ac:dyDescent="0.25">
      <c r="A17" s="9" t="s">
        <v>349</v>
      </c>
      <c r="B17" s="10" t="s">
        <v>456</v>
      </c>
    </row>
    <row r="18" spans="1:2" x14ac:dyDescent="0.25">
      <c r="A18" s="9" t="s">
        <v>457</v>
      </c>
      <c r="B18" s="10" t="s">
        <v>458</v>
      </c>
    </row>
    <row r="19" spans="1:2" x14ac:dyDescent="0.25">
      <c r="A19" s="9" t="s">
        <v>389</v>
      </c>
      <c r="B19" s="10" t="s">
        <v>389</v>
      </c>
    </row>
    <row r="20" spans="1:2" x14ac:dyDescent="0.25">
      <c r="A20" s="9" t="s">
        <v>459</v>
      </c>
      <c r="B20" s="10" t="s">
        <v>460</v>
      </c>
    </row>
    <row r="21" spans="1:2" x14ac:dyDescent="0.25">
      <c r="A21" s="9" t="s">
        <v>461</v>
      </c>
      <c r="B21" s="10" t="s">
        <v>461</v>
      </c>
    </row>
    <row r="22" spans="1:2" x14ac:dyDescent="0.25">
      <c r="A22" s="9" t="s">
        <v>462</v>
      </c>
      <c r="B22" s="10" t="s">
        <v>462</v>
      </c>
    </row>
    <row r="23" spans="1:2" x14ac:dyDescent="0.25">
      <c r="A23" s="9" t="s">
        <v>332</v>
      </c>
      <c r="B23" s="10" t="s">
        <v>463</v>
      </c>
    </row>
    <row r="24" spans="1:2" x14ac:dyDescent="0.25">
      <c r="A24" s="10" t="s">
        <v>375</v>
      </c>
      <c r="B24" s="10" t="s">
        <v>464</v>
      </c>
    </row>
    <row r="25" spans="1:2" x14ac:dyDescent="0.25">
      <c r="A25" s="9" t="s">
        <v>465</v>
      </c>
      <c r="B25" s="10" t="s">
        <v>465</v>
      </c>
    </row>
    <row r="26" spans="1:2" x14ac:dyDescent="0.25">
      <c r="A26" s="9" t="s">
        <v>466</v>
      </c>
      <c r="B26" s="10" t="s">
        <v>466</v>
      </c>
    </row>
    <row r="27" spans="1:2" x14ac:dyDescent="0.25">
      <c r="A27" s="9" t="s">
        <v>356</v>
      </c>
      <c r="B27" s="10" t="s">
        <v>467</v>
      </c>
    </row>
    <row r="28" spans="1:2" x14ac:dyDescent="0.25">
      <c r="A28" s="9" t="s">
        <v>468</v>
      </c>
      <c r="B28" s="10" t="s">
        <v>469</v>
      </c>
    </row>
    <row r="29" spans="1:2" x14ac:dyDescent="0.25">
      <c r="A29" s="9" t="s">
        <v>470</v>
      </c>
      <c r="B29" s="10" t="s">
        <v>471</v>
      </c>
    </row>
    <row r="30" spans="1:2" x14ac:dyDescent="0.25">
      <c r="A30" s="9" t="s">
        <v>472</v>
      </c>
      <c r="B30" s="10" t="s">
        <v>256</v>
      </c>
    </row>
    <row r="31" spans="1:2" x14ac:dyDescent="0.25">
      <c r="A31" s="9" t="s">
        <v>257</v>
      </c>
      <c r="B31" s="10" t="s">
        <v>258</v>
      </c>
    </row>
    <row r="32" spans="1:2" x14ac:dyDescent="0.25">
      <c r="A32" s="9" t="s">
        <v>259</v>
      </c>
      <c r="B32" s="10" t="s">
        <v>260</v>
      </c>
    </row>
    <row r="33" spans="1:2" x14ac:dyDescent="0.25">
      <c r="A33" s="9" t="s">
        <v>392</v>
      </c>
      <c r="B33" s="11" t="s">
        <v>261</v>
      </c>
    </row>
    <row r="34" spans="1:2" x14ac:dyDescent="0.25">
      <c r="A34" s="9" t="s">
        <v>361</v>
      </c>
      <c r="B34" s="10" t="s">
        <v>262</v>
      </c>
    </row>
    <row r="35" spans="1:2" x14ac:dyDescent="0.25">
      <c r="A35" s="9" t="s">
        <v>338</v>
      </c>
      <c r="B35" s="10" t="s">
        <v>263</v>
      </c>
    </row>
    <row r="36" spans="1:2" x14ac:dyDescent="0.25">
      <c r="A36" s="9" t="s">
        <v>264</v>
      </c>
      <c r="B36" s="10" t="s">
        <v>265</v>
      </c>
    </row>
    <row r="37" spans="1:2" x14ac:dyDescent="0.25">
      <c r="A37" s="9" t="s">
        <v>370</v>
      </c>
      <c r="B37" s="10" t="s">
        <v>266</v>
      </c>
    </row>
    <row r="38" spans="1:2" x14ac:dyDescent="0.25">
      <c r="A38" s="9" t="s">
        <v>333</v>
      </c>
      <c r="B38" s="10" t="s">
        <v>267</v>
      </c>
    </row>
    <row r="39" spans="1:2" x14ac:dyDescent="0.25">
      <c r="A39" s="9" t="s">
        <v>343</v>
      </c>
      <c r="B39" s="10" t="s">
        <v>268</v>
      </c>
    </row>
    <row r="40" spans="1:2" x14ac:dyDescent="0.25">
      <c r="A40" s="9" t="s">
        <v>269</v>
      </c>
      <c r="B40" s="10" t="s">
        <v>270</v>
      </c>
    </row>
    <row r="41" spans="1:2" x14ac:dyDescent="0.25">
      <c r="A41" s="9" t="s">
        <v>271</v>
      </c>
      <c r="B41" s="10" t="s">
        <v>272</v>
      </c>
    </row>
    <row r="42" spans="1:2" x14ac:dyDescent="0.25">
      <c r="A42" s="9" t="s">
        <v>339</v>
      </c>
      <c r="B42" s="10" t="s">
        <v>273</v>
      </c>
    </row>
    <row r="43" spans="1:2" x14ac:dyDescent="0.25">
      <c r="A43" s="9" t="s">
        <v>274</v>
      </c>
      <c r="B43" s="10" t="s">
        <v>275</v>
      </c>
    </row>
    <row r="44" spans="1:2" x14ac:dyDescent="0.25">
      <c r="A44" s="9" t="s">
        <v>276</v>
      </c>
      <c r="B44" s="10" t="s">
        <v>277</v>
      </c>
    </row>
    <row r="45" spans="1:2" x14ac:dyDescent="0.25">
      <c r="A45" s="9" t="s">
        <v>340</v>
      </c>
      <c r="B45" s="10" t="s">
        <v>278</v>
      </c>
    </row>
    <row r="46" spans="1:2" x14ac:dyDescent="0.25">
      <c r="A46" s="9" t="s">
        <v>347</v>
      </c>
      <c r="B46" s="10" t="s">
        <v>279</v>
      </c>
    </row>
    <row r="47" spans="1:2" x14ac:dyDescent="0.25">
      <c r="A47" s="9" t="s">
        <v>372</v>
      </c>
      <c r="B47" s="10" t="s">
        <v>280</v>
      </c>
    </row>
    <row r="48" spans="1:2" x14ac:dyDescent="0.25">
      <c r="A48" s="9" t="s">
        <v>281</v>
      </c>
      <c r="B48" s="10" t="s">
        <v>282</v>
      </c>
    </row>
    <row r="49" spans="1:2" x14ac:dyDescent="0.25">
      <c r="A49" s="9" t="s">
        <v>283</v>
      </c>
      <c r="B49" s="10" t="s">
        <v>284</v>
      </c>
    </row>
    <row r="50" spans="1:2" x14ac:dyDescent="0.25">
      <c r="A50" s="9" t="s">
        <v>285</v>
      </c>
      <c r="B50" s="10" t="s">
        <v>286</v>
      </c>
    </row>
    <row r="51" spans="1:2" x14ac:dyDescent="0.25">
      <c r="A51" s="9" t="s">
        <v>287</v>
      </c>
      <c r="B51" s="10" t="s">
        <v>288</v>
      </c>
    </row>
    <row r="52" spans="1:2" x14ac:dyDescent="0.25">
      <c r="A52" s="9" t="s">
        <v>366</v>
      </c>
      <c r="B52" s="10" t="s">
        <v>289</v>
      </c>
    </row>
    <row r="53" spans="1:2" x14ac:dyDescent="0.25">
      <c r="A53" s="9" t="s">
        <v>391</v>
      </c>
      <c r="B53" s="11" t="s">
        <v>290</v>
      </c>
    </row>
    <row r="54" spans="1:2" x14ac:dyDescent="0.25">
      <c r="A54" s="9" t="s">
        <v>348</v>
      </c>
      <c r="B54" s="10" t="s">
        <v>291</v>
      </c>
    </row>
    <row r="55" spans="1:2" x14ac:dyDescent="0.25">
      <c r="A55" s="9" t="s">
        <v>292</v>
      </c>
      <c r="B55" s="10" t="s">
        <v>293</v>
      </c>
    </row>
    <row r="56" spans="1:2" x14ac:dyDescent="0.25">
      <c r="A56" s="9" t="s">
        <v>294</v>
      </c>
      <c r="B56" s="10" t="s">
        <v>295</v>
      </c>
    </row>
    <row r="57" spans="1:2" x14ac:dyDescent="0.25">
      <c r="A57" s="9" t="s">
        <v>296</v>
      </c>
      <c r="B57" s="10" t="s">
        <v>297</v>
      </c>
    </row>
    <row r="58" spans="1:2" x14ac:dyDescent="0.25">
      <c r="A58" s="9" t="s">
        <v>369</v>
      </c>
      <c r="B58" s="10" t="s">
        <v>298</v>
      </c>
    </row>
    <row r="59" spans="1:2" x14ac:dyDescent="0.25">
      <c r="A59" s="9" t="s">
        <v>299</v>
      </c>
      <c r="B59" s="10" t="s">
        <v>300</v>
      </c>
    </row>
    <row r="60" spans="1:2" x14ac:dyDescent="0.25">
      <c r="A60" s="9" t="s">
        <v>301</v>
      </c>
      <c r="B60" s="10" t="s">
        <v>302</v>
      </c>
    </row>
    <row r="61" spans="1:2" x14ac:dyDescent="0.25">
      <c r="A61" s="9" t="s">
        <v>303</v>
      </c>
      <c r="B61" s="10" t="s">
        <v>304</v>
      </c>
    </row>
    <row r="62" spans="1:2" x14ac:dyDescent="0.25">
      <c r="A62" s="9" t="s">
        <v>337</v>
      </c>
      <c r="B62" s="10" t="s">
        <v>305</v>
      </c>
    </row>
    <row r="63" spans="1:2" x14ac:dyDescent="0.25">
      <c r="A63" s="9" t="s">
        <v>358</v>
      </c>
      <c r="B63" s="10" t="s">
        <v>306</v>
      </c>
    </row>
    <row r="64" spans="1:2" x14ac:dyDescent="0.25">
      <c r="A64" s="9" t="s">
        <v>335</v>
      </c>
      <c r="B64" s="10" t="s">
        <v>307</v>
      </c>
    </row>
    <row r="65" spans="1:2" x14ac:dyDescent="0.25">
      <c r="A65" s="9" t="s">
        <v>308</v>
      </c>
      <c r="B65" s="10" t="s">
        <v>309</v>
      </c>
    </row>
    <row r="66" spans="1:2" x14ac:dyDescent="0.25">
      <c r="A66" s="9" t="s">
        <v>346</v>
      </c>
      <c r="B66" s="10" t="s">
        <v>310</v>
      </c>
    </row>
    <row r="67" spans="1:2" x14ac:dyDescent="0.25">
      <c r="A67" s="9" t="s">
        <v>390</v>
      </c>
      <c r="B67" s="10" t="s">
        <v>311</v>
      </c>
    </row>
    <row r="68" spans="1:2" x14ac:dyDescent="0.25">
      <c r="A68" s="9" t="s">
        <v>357</v>
      </c>
      <c r="B68" s="10" t="s">
        <v>312</v>
      </c>
    </row>
    <row r="69" spans="1:2" ht="25" x14ac:dyDescent="0.25">
      <c r="A69" s="9" t="s">
        <v>342</v>
      </c>
      <c r="B69" s="10" t="s">
        <v>313</v>
      </c>
    </row>
    <row r="70" spans="1:2" x14ac:dyDescent="0.25">
      <c r="A70" s="9" t="s">
        <v>344</v>
      </c>
      <c r="B70" s="10" t="s">
        <v>314</v>
      </c>
    </row>
    <row r="71" spans="1:2" x14ac:dyDescent="0.25">
      <c r="A71" s="9" t="s">
        <v>315</v>
      </c>
      <c r="B71" s="10" t="s">
        <v>316</v>
      </c>
    </row>
    <row r="72" spans="1:2" x14ac:dyDescent="0.25">
      <c r="A72" s="9" t="s">
        <v>353</v>
      </c>
      <c r="B72" s="10" t="s">
        <v>353</v>
      </c>
    </row>
    <row r="73" spans="1:2" x14ac:dyDescent="0.25">
      <c r="A73" s="9" t="s">
        <v>317</v>
      </c>
      <c r="B73" s="10" t="s">
        <v>318</v>
      </c>
    </row>
    <row r="74" spans="1:2" ht="25" x14ac:dyDescent="0.25">
      <c r="A74" s="9" t="s">
        <v>319</v>
      </c>
      <c r="B74" s="10" t="s">
        <v>320</v>
      </c>
    </row>
    <row r="75" spans="1:2" x14ac:dyDescent="0.25">
      <c r="A75" s="9" t="s">
        <v>321</v>
      </c>
      <c r="B75" s="10" t="s">
        <v>322</v>
      </c>
    </row>
    <row r="76" spans="1:2" x14ac:dyDescent="0.25">
      <c r="A76" s="9" t="s">
        <v>376</v>
      </c>
      <c r="B76" s="10" t="s">
        <v>323</v>
      </c>
    </row>
    <row r="77" spans="1:2" x14ac:dyDescent="0.25">
      <c r="A77" s="9" t="s">
        <v>360</v>
      </c>
      <c r="B77" s="10" t="s">
        <v>458</v>
      </c>
    </row>
    <row r="78" spans="1:2" x14ac:dyDescent="0.25">
      <c r="A78" s="9" t="s">
        <v>324</v>
      </c>
      <c r="B78" s="10" t="s">
        <v>325</v>
      </c>
    </row>
    <row r="79" spans="1:2" x14ac:dyDescent="0.25">
      <c r="A79" s="9" t="s">
        <v>326</v>
      </c>
      <c r="B79" s="10" t="s">
        <v>327</v>
      </c>
    </row>
    <row r="80" spans="1:2" x14ac:dyDescent="0.25">
      <c r="A80" s="9" t="s">
        <v>328</v>
      </c>
      <c r="B80" s="10" t="s">
        <v>329</v>
      </c>
    </row>
    <row r="81" spans="1:2" x14ac:dyDescent="0.25">
      <c r="A81" s="9" t="s">
        <v>371</v>
      </c>
      <c r="B81" s="10" t="s">
        <v>330</v>
      </c>
    </row>
  </sheetData>
  <phoneticPr fontId="3" type="noConversion"/>
  <pageMargins left="0.5" right="0.5" top="0.88" bottom="0.75" header="0.18" footer="0.5"/>
  <pageSetup orientation="landscape" r:id="rId1"/>
  <headerFooter alignWithMargins="0">
    <oddHeader>&amp;L&amp;G&amp;RIT Enterprise Applications
Pipeline Report</oddHeader>
    <oddFooter>&amp;C&amp;P&amp;R&amp;D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30</vt:i4>
      </vt:variant>
    </vt:vector>
  </HeadingPairs>
  <TitlesOfParts>
    <vt:vector size="41" baseType="lpstr">
      <vt:lpstr>Summary</vt:lpstr>
      <vt:lpstr>Electives</vt:lpstr>
      <vt:lpstr>OnePurdue</vt:lpstr>
      <vt:lpstr>New Applications</vt:lpstr>
      <vt:lpstr>Investigations</vt:lpstr>
      <vt:lpstr>Emergency Fixes</vt:lpstr>
      <vt:lpstr>Application Fixes</vt:lpstr>
      <vt:lpstr>Scheduled Modifications</vt:lpstr>
      <vt:lpstr>Production Support</vt:lpstr>
      <vt:lpstr>By V.P Area</vt:lpstr>
      <vt:lpstr>Glossary of System Names</vt:lpstr>
      <vt:lpstr>'Application Fixes'!Print_Titles</vt:lpstr>
      <vt:lpstr>Electives!Print_Titles</vt:lpstr>
      <vt:lpstr>'Emergency Fixes'!Print_Titles</vt:lpstr>
      <vt:lpstr>'Glossary of System Names'!Print_Titles</vt:lpstr>
      <vt:lpstr>Investigations!Print_Titles</vt:lpstr>
      <vt:lpstr>'New Applications'!Print_Titles</vt:lpstr>
      <vt:lpstr>OnePurdue!Print_Titles</vt:lpstr>
      <vt:lpstr>'Production Support'!Print_Titles</vt:lpstr>
      <vt:lpstr>'Scheduled Modifications'!Print_Titles</vt:lpstr>
      <vt:lpstr>Summary!Print_Titles</vt:lpstr>
      <vt:lpstr>'Application Fixes'!task_reporting_database</vt:lpstr>
      <vt:lpstr>'By V.P Area'!task_reporting_database</vt:lpstr>
      <vt:lpstr>Electives!task_reporting_database</vt:lpstr>
      <vt:lpstr>'Emergency Fixes'!task_reporting_database</vt:lpstr>
      <vt:lpstr>Investigations!task_reporting_database</vt:lpstr>
      <vt:lpstr>'New Applications'!task_reporting_database</vt:lpstr>
      <vt:lpstr>OnePurdue!task_reporting_database</vt:lpstr>
      <vt:lpstr>'Production Support'!task_reporting_database</vt:lpstr>
      <vt:lpstr>'Scheduled Modifications'!task_reporting_database</vt:lpstr>
      <vt:lpstr>'Application Fixes'!task_reporting_database_1</vt:lpstr>
      <vt:lpstr>'By V.P Area'!task_reporting_database_1</vt:lpstr>
      <vt:lpstr>Electives!task_reporting_database_1</vt:lpstr>
      <vt:lpstr>'Emergency Fixes'!task_reporting_database_1</vt:lpstr>
      <vt:lpstr>'New Applications'!task_reporting_database_1</vt:lpstr>
      <vt:lpstr>'Production Support'!task_reporting_database_1</vt:lpstr>
      <vt:lpstr>'Scheduled Modifications'!task_reporting_database_1</vt:lpstr>
      <vt:lpstr>'Application Fixes'!task_reporting_database_2</vt:lpstr>
      <vt:lpstr>'By V.P Area'!task_reporting_database_2</vt:lpstr>
      <vt:lpstr>'Production Support'!task_reporting_database_2</vt:lpstr>
      <vt:lpstr>'Scheduled Modifications'!task_reporting_database_2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Graham</dc:creator>
  <cp:lastModifiedBy>Carina Negreanu</cp:lastModifiedBy>
  <cp:lastPrinted>2004-01-29T16:57:37Z</cp:lastPrinted>
  <dcterms:created xsi:type="dcterms:W3CDTF">2003-11-17T18:49:21Z</dcterms:created>
  <dcterms:modified xsi:type="dcterms:W3CDTF">2020-01-27T11:58:17Z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1183212976</vt:i4>
  </property>
  <property fmtid="{D5CDD505-2E9C-101B-9397-08002B2CF9AE}" pid="3" name="_EmailSubject">
    <vt:lpwstr/>
  </property>
  <property fmtid="{D5CDD505-2E9C-101B-9397-08002B2CF9AE}" pid="4" name="_AuthorEmail">
    <vt:lpwstr>maburton@purdue.edu</vt:lpwstr>
  </property>
  <property fmtid="{D5CDD505-2E9C-101B-9397-08002B2CF9AE}" pid="5" name="_AuthorEmailDisplayName">
    <vt:lpwstr>Burton, Melissa A.</vt:lpwstr>
  </property>
  <property fmtid="{D5CDD505-2E9C-101B-9397-08002B2CF9AE}" pid="6" name="_PreviousAdHocReviewCycleID">
    <vt:i4>1550601115</vt:i4>
  </property>
  <property fmtid="{D5CDD505-2E9C-101B-9397-08002B2CF9AE}" pid="7" name="_ReviewingToolsShownOnce">
    <vt:lpwstr/>
  </property>
</Properties>
</file>