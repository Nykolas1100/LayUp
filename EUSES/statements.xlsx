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900C602-DE15-414A-BF08-E5CD9B2D6F6C}" xr6:coauthVersionLast="45" xr6:coauthVersionMax="45" xr10:uidLastSave="{00000000-0000-0000-0000-000000000000}"/>
  <bookViews>
    <workbookView xWindow="3420" yWindow="3420" windowWidth="28800" windowHeight="15460" tabRatio="674"/>
  </bookViews>
  <sheets>
    <sheet name="BS (Consolidated)" sheetId="1" r:id="rId1"/>
    <sheet name="PL (Consolidated)" sheetId="2" r:id="rId2"/>
    <sheet name="Cash Flow Statements" sheetId="3" r:id="rId3"/>
    <sheet name="Capital Expenditures" sheetId="13" r:id="rId4"/>
    <sheet name="Segment Information" sheetId="9" r:id="rId5"/>
    <sheet name="Information by Sector" sheetId="15" r:id="rId6"/>
    <sheet name="BS (Non-Consolidated)" sheetId="11" r:id="rId7"/>
    <sheet name="PL (Non-Consolidated)" sheetId="17" r:id="rId8"/>
  </sheets>
  <definedNames>
    <definedName name="_xlnm.Print_Area" localSheetId="0">'BS (Consolidated)'!$B$1:$L$71</definedName>
    <definedName name="_xlnm.Print_Area" localSheetId="6">'BS (Non-Consolidated)'!$B$1:$L$83</definedName>
    <definedName name="_xlnm.Print_Area" localSheetId="3">'Capital Expenditures'!$B$1:$E$9</definedName>
    <definedName name="_xlnm.Print_Area" localSheetId="2">'Cash Flow Statements'!$B$1:$F$48</definedName>
    <definedName name="_xlnm.Print_Area" localSheetId="5">'Information by Sector'!$B$1:$F$16</definedName>
    <definedName name="_xlnm.Print_Area" localSheetId="1">'PL (Consolidated)'!$B$1:$K$36</definedName>
    <definedName name="_xlnm.Print_Area" localSheetId="4">'Segment Information'!$B$1:$G$26</definedName>
    <definedName name="_xlnm.Print_Titles" localSheetId="7">'PL (Non-Consolidated)'!$2:$3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" i="13" l="1"/>
  <c r="D7" i="13"/>
  <c r="D9" i="13"/>
</calcChain>
</file>

<file path=xl/sharedStrings.xml><?xml version="1.0" encoding="utf-8"?>
<sst xmlns="http://schemas.openxmlformats.org/spreadsheetml/2006/main" count="373" uniqueCount="256">
  <si>
    <t>Consolidated Balance Sheets</t>
    <phoneticPr fontId="2"/>
  </si>
  <si>
    <t>Cash on hand and at banks</t>
    <phoneticPr fontId="2"/>
  </si>
  <si>
    <t>Non-Current Assets</t>
    <phoneticPr fontId="2"/>
  </si>
  <si>
    <t>Property and equipment</t>
    <phoneticPr fontId="2"/>
  </si>
  <si>
    <t>Data communication facilities</t>
    <phoneticPr fontId="2"/>
  </si>
  <si>
    <t>Buildings and structures</t>
    <phoneticPr fontId="2"/>
  </si>
  <si>
    <t>Machinery, equipment and vehicles</t>
    <phoneticPr fontId="2"/>
  </si>
  <si>
    <t>Furniture, fixtures and tools</t>
    <phoneticPr fontId="2"/>
  </si>
  <si>
    <t>Development costs of software in progress</t>
    <phoneticPr fontId="2"/>
  </si>
  <si>
    <t>Investments and other assets</t>
    <phoneticPr fontId="2"/>
  </si>
  <si>
    <t>Other assets</t>
    <phoneticPr fontId="2"/>
  </si>
  <si>
    <t>Deferred Tax Assets</t>
    <phoneticPr fontId="2"/>
  </si>
  <si>
    <t>Deferred bond discounts</t>
    <phoneticPr fontId="2"/>
  </si>
  <si>
    <t>Accounts payable - trade</t>
    <phoneticPr fontId="2"/>
  </si>
  <si>
    <t>Accounts payable - other</t>
    <phoneticPr fontId="2"/>
  </si>
  <si>
    <t>Income taxes payable</t>
    <phoneticPr fontId="2"/>
  </si>
  <si>
    <t>Non-Current Liabilities</t>
    <phoneticPr fontId="2"/>
  </si>
  <si>
    <t>Bonds payable</t>
    <phoneticPr fontId="2"/>
  </si>
  <si>
    <t>Long-term debts</t>
    <phoneticPr fontId="2"/>
  </si>
  <si>
    <t>Other non-current liabilities</t>
    <phoneticPr fontId="2"/>
  </si>
  <si>
    <t>Minority Interests in Consolidated Subsidiaries</t>
    <phoneticPr fontId="2"/>
  </si>
  <si>
    <t>Retained earnings</t>
    <phoneticPr fontId="2"/>
  </si>
  <si>
    <t>Unrealized gains on investment securities, net of taxes</t>
    <phoneticPr fontId="2"/>
  </si>
  <si>
    <t>Total Liabilities, Minority Interests and Shareholders' Equity</t>
    <phoneticPr fontId="2"/>
  </si>
  <si>
    <t>Loss before income taxes</t>
    <phoneticPr fontId="2"/>
  </si>
  <si>
    <t>Special loss - prior year's R&amp;D expenses</t>
    <phoneticPr fontId="2"/>
  </si>
  <si>
    <t>Special loss - provision for retirement benefits</t>
    <phoneticPr fontId="2"/>
  </si>
  <si>
    <t>Depreciation</t>
    <phoneticPr fontId="2"/>
  </si>
  <si>
    <t>Amortization</t>
    <phoneticPr fontId="2"/>
  </si>
  <si>
    <t>Loss on disposal of property and equipment</t>
    <phoneticPr fontId="2"/>
  </si>
  <si>
    <t>Provision of reserve for retirement benefits and increase in long-term accrued expenses</t>
    <phoneticPr fontId="2"/>
  </si>
  <si>
    <t>Provision for retirement benefit</t>
    <phoneticPr fontId="2"/>
  </si>
  <si>
    <t>Unrealized loss on valuation of investments in securities</t>
    <phoneticPr fontId="2"/>
  </si>
  <si>
    <t xml:space="preserve"> (Increase) Decrease in inventories</t>
    <phoneticPr fontId="2"/>
  </si>
  <si>
    <t>Decrease (increase) in accounts payable</t>
    <phoneticPr fontId="2"/>
  </si>
  <si>
    <t>Interest expenses</t>
    <phoneticPr fontId="2"/>
  </si>
  <si>
    <t>Increase (Decrease) in accrued consumption taxes</t>
    <phoneticPr fontId="2"/>
  </si>
  <si>
    <t>Subtotal</t>
    <phoneticPr fontId="2"/>
  </si>
  <si>
    <t>Interest paid</t>
    <phoneticPr fontId="2"/>
  </si>
  <si>
    <t>Income taxes paid</t>
    <phoneticPr fontId="2"/>
  </si>
  <si>
    <t>Net cash provided by operating activities</t>
    <phoneticPr fontId="2"/>
  </si>
  <si>
    <r>
      <t>Ⅱ</t>
    </r>
    <r>
      <rPr>
        <b/>
        <sz val="11"/>
        <rFont val="Times New Roman"/>
        <family val="1"/>
      </rPr>
      <t>.Cash Flows from Investing Activities</t>
    </r>
    <phoneticPr fontId="2"/>
  </si>
  <si>
    <t>Acquisition of property and equipment</t>
    <phoneticPr fontId="2"/>
  </si>
  <si>
    <t>Acquisition of intangible assets</t>
    <phoneticPr fontId="2"/>
  </si>
  <si>
    <t>Proceeds from sales of property and equipment</t>
    <phoneticPr fontId="2"/>
  </si>
  <si>
    <t>Acquisition of investments in securities</t>
    <phoneticPr fontId="2"/>
  </si>
  <si>
    <t>Others</t>
    <phoneticPr fontId="2"/>
  </si>
  <si>
    <r>
      <t>Ⅲ</t>
    </r>
    <r>
      <rPr>
        <b/>
        <sz val="11"/>
        <rFont val="Times New Roman"/>
        <family val="1"/>
      </rPr>
      <t>.Cash Flows from Financing Activities</t>
    </r>
    <phoneticPr fontId="2"/>
  </si>
  <si>
    <t>Redemption of bonds at maturity</t>
    <phoneticPr fontId="2"/>
  </si>
  <si>
    <t>Borrowings of long-term debt</t>
    <phoneticPr fontId="2"/>
  </si>
  <si>
    <t>Repayments of long-term borrowings</t>
    <phoneticPr fontId="2"/>
  </si>
  <si>
    <t>Increase (Decrease) in commercial paper</t>
    <phoneticPr fontId="2"/>
  </si>
  <si>
    <t>Net increase in short-term bank loans</t>
    <phoneticPr fontId="2"/>
  </si>
  <si>
    <t>Cash dividends</t>
    <phoneticPr fontId="2"/>
  </si>
  <si>
    <t>Net cash provided by financing activities</t>
    <phoneticPr fontId="2"/>
  </si>
  <si>
    <r>
      <t>Ⅳ</t>
    </r>
    <r>
      <rPr>
        <b/>
        <sz val="11"/>
        <rFont val="Times New Roman"/>
        <family val="1"/>
      </rPr>
      <t>.Effects of Change in Foreign Exchange</t>
    </r>
    <phoneticPr fontId="2"/>
  </si>
  <si>
    <r>
      <t>Ⅴ</t>
    </r>
    <r>
      <rPr>
        <b/>
        <sz val="11"/>
        <rFont val="Times New Roman"/>
        <family val="1"/>
      </rPr>
      <t>.Net Decrease in Cash and Cash Equivalents</t>
    </r>
    <phoneticPr fontId="2"/>
  </si>
  <si>
    <r>
      <t>Ⅵ</t>
    </r>
    <r>
      <rPr>
        <b/>
        <sz val="11"/>
        <rFont val="Times New Roman"/>
        <family val="1"/>
      </rPr>
      <t>.Cash and Cash Equivalents at Beginning of Year</t>
    </r>
    <phoneticPr fontId="2"/>
  </si>
  <si>
    <r>
      <t>Ⅶ</t>
    </r>
    <r>
      <rPr>
        <b/>
        <sz val="10"/>
        <rFont val="Times New Roman"/>
        <family val="1"/>
      </rPr>
      <t>.Cash and Cash Equivalents of the Additional Consolidated Subsidiaries at Beginning of Year</t>
    </r>
    <phoneticPr fontId="2"/>
  </si>
  <si>
    <r>
      <t>Ⅷ</t>
    </r>
    <r>
      <rPr>
        <b/>
        <sz val="11"/>
        <rFont val="Times New Roman"/>
        <family val="1"/>
      </rPr>
      <t>.Cash and Cash Equivalents at End of Year</t>
    </r>
    <phoneticPr fontId="2"/>
  </si>
  <si>
    <r>
      <t>Ⅰ＋Ⅱ</t>
    </r>
    <r>
      <rPr>
        <sz val="11"/>
        <rFont val="Times New Roman"/>
        <family val="1"/>
      </rPr>
      <t xml:space="preserve"> (Free cash flow)</t>
    </r>
    <phoneticPr fontId="2"/>
  </si>
  <si>
    <t>Consolidated Statements of Cash Flows</t>
    <phoneticPr fontId="2"/>
  </si>
  <si>
    <t>Capital Expenditures and Others (Consolidated)</t>
    <phoneticPr fontId="2"/>
  </si>
  <si>
    <t>Capital Expenditures</t>
    <phoneticPr fontId="2"/>
  </si>
  <si>
    <t xml:space="preserve">Depreciation and amortization/Loss on disposal of property and equipment and intangibles </t>
    <phoneticPr fontId="2"/>
  </si>
  <si>
    <r>
      <t>(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)</t>
    </r>
  </si>
  <si>
    <t>Research and development expenses</t>
    <phoneticPr fontId="2"/>
  </si>
  <si>
    <t>Segment Information (Consolidated)</t>
    <phoneticPr fontId="2"/>
  </si>
  <si>
    <t>Capital Expenditure</t>
    <phoneticPr fontId="2"/>
  </si>
  <si>
    <t>Net Sales</t>
    <phoneticPr fontId="2"/>
  </si>
  <si>
    <t>Public Administration Sector</t>
    <phoneticPr fontId="18"/>
  </si>
  <si>
    <t>Industrial Sector</t>
    <phoneticPr fontId="18"/>
  </si>
  <si>
    <t>New Orders Received</t>
    <phoneticPr fontId="2"/>
  </si>
  <si>
    <t>Orders Backlog</t>
    <phoneticPr fontId="2"/>
  </si>
  <si>
    <t>Buildings</t>
    <phoneticPr fontId="2"/>
  </si>
  <si>
    <t>General reserve</t>
    <phoneticPr fontId="2"/>
  </si>
  <si>
    <t>Non-Consolidated Statements of Operations</t>
    <phoneticPr fontId="2"/>
  </si>
  <si>
    <t>Systems Development Service</t>
    <phoneticPr fontId="2"/>
  </si>
  <si>
    <t>Provision for doubtful accounts</t>
    <phoneticPr fontId="2"/>
  </si>
  <si>
    <t>Welfare expenses</t>
    <phoneticPr fontId="2"/>
  </si>
  <si>
    <t>Income before taxes</t>
    <phoneticPr fontId="2"/>
  </si>
  <si>
    <t>%</t>
    <phoneticPr fontId="2"/>
  </si>
  <si>
    <t/>
  </si>
  <si>
    <t>(\ million)</t>
    <phoneticPr fontId="2"/>
  </si>
  <si>
    <t>(\ million)</t>
    <phoneticPr fontId="2"/>
  </si>
  <si>
    <t>Depreciation</t>
    <phoneticPr fontId="2"/>
  </si>
  <si>
    <t>Interest expenses</t>
    <phoneticPr fontId="2"/>
  </si>
  <si>
    <t>Others</t>
    <phoneticPr fontId="2"/>
  </si>
  <si>
    <t>System Integration</t>
    <phoneticPr fontId="2"/>
  </si>
  <si>
    <t>Network System Services</t>
    <phoneticPr fontId="2"/>
  </si>
  <si>
    <t>Elimination or Corporate</t>
    <phoneticPr fontId="2"/>
  </si>
  <si>
    <t>Provision for retirement benefit</t>
    <phoneticPr fontId="2"/>
  </si>
  <si>
    <t>Component Ratio of Consolidated Results by Sector</t>
    <phoneticPr fontId="2"/>
  </si>
  <si>
    <t>Net Sales</t>
    <phoneticPr fontId="2"/>
  </si>
  <si>
    <t>New Orders Received</t>
    <phoneticPr fontId="2"/>
  </si>
  <si>
    <t>Orders Backlog</t>
    <phoneticPr fontId="2"/>
  </si>
  <si>
    <t>Assets</t>
    <phoneticPr fontId="2"/>
  </si>
  <si>
    <t>Non-Consolidated Balance Sheets</t>
    <phoneticPr fontId="2"/>
  </si>
  <si>
    <t>Total Current Assets</t>
    <phoneticPr fontId="2"/>
  </si>
  <si>
    <t>Cash and cash equivalents</t>
    <phoneticPr fontId="2"/>
  </si>
  <si>
    <t>Notes receivable</t>
    <phoneticPr fontId="2"/>
  </si>
  <si>
    <t>Jobs and software in progress</t>
    <phoneticPr fontId="2"/>
  </si>
  <si>
    <t>Supplies</t>
    <phoneticPr fontId="2"/>
  </si>
  <si>
    <t>Advance payments</t>
    <phoneticPr fontId="2"/>
  </si>
  <si>
    <t>Prepaid expenses</t>
    <phoneticPr fontId="2"/>
  </si>
  <si>
    <t>Short-term loans</t>
    <phoneticPr fontId="2"/>
  </si>
  <si>
    <t>Other current assets</t>
    <phoneticPr fontId="2"/>
  </si>
  <si>
    <t>Less: allowance for bad debts</t>
    <phoneticPr fontId="2"/>
  </si>
  <si>
    <t>Total Fixed Assets</t>
    <phoneticPr fontId="2"/>
  </si>
  <si>
    <t>Property and equipment, less accumulated depreciation</t>
    <phoneticPr fontId="2"/>
  </si>
  <si>
    <t>Structures</t>
    <phoneticPr fontId="2"/>
  </si>
  <si>
    <t>Machinery and equipment</t>
    <phoneticPr fontId="2"/>
  </si>
  <si>
    <t>Vehicles and cars</t>
    <phoneticPr fontId="2"/>
  </si>
  <si>
    <t>Land</t>
    <phoneticPr fontId="2"/>
  </si>
  <si>
    <t>Construction in progress</t>
    <phoneticPr fontId="2"/>
  </si>
  <si>
    <t>Deferred charges and intangibles</t>
    <phoneticPr fontId="2"/>
  </si>
  <si>
    <t>Software</t>
    <phoneticPr fontId="2"/>
  </si>
  <si>
    <t>Other deferred charges and intangibles</t>
    <phoneticPr fontId="2"/>
  </si>
  <si>
    <t>Investments and advances</t>
    <phoneticPr fontId="2"/>
  </si>
  <si>
    <t>Investments in securities</t>
    <phoneticPr fontId="2"/>
  </si>
  <si>
    <t>Investments in capital</t>
    <phoneticPr fontId="2"/>
  </si>
  <si>
    <t>Investments in capital of subsidiaries and affiliates</t>
    <phoneticPr fontId="2"/>
  </si>
  <si>
    <t>Loans and receivables past due</t>
    <phoneticPr fontId="2"/>
  </si>
  <si>
    <t>Long-term prepaid expenses</t>
    <phoneticPr fontId="2"/>
  </si>
  <si>
    <t>Fixed leasehold deposits</t>
    <phoneticPr fontId="2"/>
  </si>
  <si>
    <t>Other investments and advances</t>
    <phoneticPr fontId="2"/>
  </si>
  <si>
    <t>Total Assets</t>
    <phoneticPr fontId="2"/>
  </si>
  <si>
    <t>Liabilities and Shareholders' Equity</t>
    <phoneticPr fontId="2"/>
  </si>
  <si>
    <t>Liabilities</t>
    <phoneticPr fontId="2"/>
  </si>
  <si>
    <t>Current Liabilities</t>
    <phoneticPr fontId="2"/>
  </si>
  <si>
    <t>Short-term bank loans</t>
    <phoneticPr fontId="2"/>
  </si>
  <si>
    <t>Commercial paper</t>
    <phoneticPr fontId="2"/>
  </si>
  <si>
    <t>Current portion of long-term debt</t>
    <phoneticPr fontId="2"/>
  </si>
  <si>
    <t>Current portion of bonds</t>
    <phoneticPr fontId="2"/>
  </si>
  <si>
    <t>Accrued income taxes</t>
    <phoneticPr fontId="2"/>
  </si>
  <si>
    <t>Accrued enterprise taxes</t>
    <phoneticPr fontId="2"/>
  </si>
  <si>
    <t>Accrued consumption taxes</t>
    <phoneticPr fontId="2"/>
  </si>
  <si>
    <t>Accrued expenses</t>
    <phoneticPr fontId="2"/>
  </si>
  <si>
    <t>Advances received</t>
    <phoneticPr fontId="2"/>
  </si>
  <si>
    <t>Other current liabilities</t>
    <phoneticPr fontId="2"/>
  </si>
  <si>
    <t>Total Long-term Liabilities</t>
    <phoneticPr fontId="2"/>
  </si>
  <si>
    <t>Reserve for retirement benefits for employees</t>
    <phoneticPr fontId="2"/>
  </si>
  <si>
    <t>Long-term accrued expenses</t>
    <phoneticPr fontId="2"/>
  </si>
  <si>
    <t>Other long-term liabilities</t>
    <phoneticPr fontId="2"/>
  </si>
  <si>
    <t>Total Liabilities</t>
    <phoneticPr fontId="2"/>
  </si>
  <si>
    <t>Shareholders' Equity</t>
    <phoneticPr fontId="2"/>
  </si>
  <si>
    <t>Common stock</t>
    <phoneticPr fontId="2"/>
  </si>
  <si>
    <t>Additional paid-in capital</t>
    <phoneticPr fontId="2"/>
  </si>
  <si>
    <t>Legal reserve</t>
    <phoneticPr fontId="2"/>
  </si>
  <si>
    <t>Other reserves</t>
    <phoneticPr fontId="2"/>
  </si>
  <si>
    <t>Voluntary reserve</t>
    <phoneticPr fontId="2"/>
  </si>
  <si>
    <t>Total Shareholders' Equity</t>
    <phoneticPr fontId="2"/>
  </si>
  <si>
    <t>Total Liabilities and Shareholders' Equity</t>
    <phoneticPr fontId="2"/>
  </si>
  <si>
    <t>Deferred tax assets - current</t>
    <phoneticPr fontId="2"/>
  </si>
  <si>
    <t>Deferred tax assets - non current</t>
    <phoneticPr fontId="2"/>
  </si>
  <si>
    <t>Deferred Charges</t>
    <phoneticPr fontId="2"/>
  </si>
  <si>
    <t>Special tax-purpose reserve</t>
    <phoneticPr fontId="2"/>
  </si>
  <si>
    <t>Net sales</t>
    <phoneticPr fontId="2"/>
  </si>
  <si>
    <t>Data communications Service</t>
    <phoneticPr fontId="2"/>
  </si>
  <si>
    <t>Other Services</t>
    <phoneticPr fontId="2"/>
  </si>
  <si>
    <t>Cost of sales</t>
    <phoneticPr fontId="2"/>
  </si>
  <si>
    <t>Gross profit</t>
    <phoneticPr fontId="2"/>
  </si>
  <si>
    <t>Selling, General and Administrative expenses</t>
    <phoneticPr fontId="2"/>
  </si>
  <si>
    <t>Advertising expenses</t>
    <phoneticPr fontId="2"/>
  </si>
  <si>
    <t>Bad debt loss</t>
    <phoneticPr fontId="2"/>
  </si>
  <si>
    <t>Remuneration for directors</t>
    <phoneticPr fontId="2"/>
  </si>
  <si>
    <t>Employee's salaries</t>
    <phoneticPr fontId="2"/>
  </si>
  <si>
    <t>Provision for retirement benefits for employees</t>
    <phoneticPr fontId="2"/>
  </si>
  <si>
    <t>Provision for retirement benefits for officers</t>
    <phoneticPr fontId="2"/>
  </si>
  <si>
    <t>Traveling expenses</t>
    <phoneticPr fontId="2"/>
  </si>
  <si>
    <t>Communications and transportation expenses</t>
    <phoneticPr fontId="2"/>
  </si>
  <si>
    <t>Lease rentals</t>
    <phoneticPr fontId="2"/>
  </si>
  <si>
    <t>Utilities</t>
    <phoneticPr fontId="2"/>
  </si>
  <si>
    <t>Supply expenses</t>
    <phoneticPr fontId="2"/>
  </si>
  <si>
    <t>Taxes and public imposition</t>
    <phoneticPr fontId="2"/>
  </si>
  <si>
    <t>Other</t>
    <phoneticPr fontId="2"/>
  </si>
  <si>
    <t>Operating Income</t>
    <phoneticPr fontId="2"/>
  </si>
  <si>
    <t>Non-Operating Income</t>
    <phoneticPr fontId="2"/>
  </si>
  <si>
    <t>Interest income</t>
    <phoneticPr fontId="2"/>
  </si>
  <si>
    <t>Lease rental income on buildings</t>
    <phoneticPr fontId="2"/>
  </si>
  <si>
    <t>Non-Operating Expenses</t>
    <phoneticPr fontId="2"/>
  </si>
  <si>
    <t>Bond discounts at issue</t>
    <phoneticPr fontId="2"/>
  </si>
  <si>
    <t>Bond issue expenses</t>
    <phoneticPr fontId="2"/>
  </si>
  <si>
    <t>Cost of lease rental buildings</t>
    <phoneticPr fontId="2"/>
  </si>
  <si>
    <t>Amortization of past service cost of the pension plan</t>
    <phoneticPr fontId="2"/>
  </si>
  <si>
    <t>Ordinary income</t>
    <phoneticPr fontId="2"/>
  </si>
  <si>
    <t>Special Losses</t>
    <phoneticPr fontId="2"/>
  </si>
  <si>
    <t>Special loss on earthquake damage</t>
    <phoneticPr fontId="2"/>
  </si>
  <si>
    <t>Income taxes and residential taxes</t>
    <phoneticPr fontId="2"/>
  </si>
  <si>
    <t>Income and residential taxes</t>
    <phoneticPr fontId="2"/>
  </si>
  <si>
    <t>Retained earnings brought forward from the previous term</t>
    <phoneticPr fontId="2"/>
  </si>
  <si>
    <t>Legal reserve for interim dividends</t>
    <phoneticPr fontId="2"/>
  </si>
  <si>
    <t>Gains on disposal of investment securities</t>
    <phoneticPr fontId="2"/>
  </si>
  <si>
    <t>Expenses related to the elimination of fixed assets</t>
    <phoneticPr fontId="2"/>
  </si>
  <si>
    <t>Prior year's R&amp;D expenses</t>
    <phoneticPr fontId="2"/>
  </si>
  <si>
    <t>Provision for retirement benefits</t>
    <phoneticPr fontId="2"/>
  </si>
  <si>
    <t>Adjustments to income taxes</t>
    <phoneticPr fontId="2"/>
  </si>
  <si>
    <t>Net Income</t>
    <phoneticPr fontId="2"/>
  </si>
  <si>
    <t>Prior year adjustments for adoption of deferred tax accounting</t>
    <phoneticPr fontId="2"/>
  </si>
  <si>
    <t>Notes receivable and accounts receivable - trade</t>
    <phoneticPr fontId="2"/>
  </si>
  <si>
    <t>Inventory, primarily jobs and software in progress</t>
    <phoneticPr fontId="2"/>
  </si>
  <si>
    <t>Consolidated Statements of Operations</t>
    <phoneticPr fontId="2"/>
  </si>
  <si>
    <t>Selling, general and administrative expenses</t>
    <phoneticPr fontId="2"/>
  </si>
  <si>
    <t>Operating income</t>
    <phoneticPr fontId="2"/>
  </si>
  <si>
    <t>Interest and dividends income</t>
    <phoneticPr fontId="2"/>
  </si>
  <si>
    <t>Dividends income</t>
    <phoneticPr fontId="2"/>
  </si>
  <si>
    <t>Other non-operating income</t>
    <phoneticPr fontId="2"/>
  </si>
  <si>
    <t>Interest on bonds</t>
    <phoneticPr fontId="2"/>
  </si>
  <si>
    <t>New share issue expense</t>
    <phoneticPr fontId="2"/>
  </si>
  <si>
    <t>Expenses related to the elimination of non-current assets</t>
    <phoneticPr fontId="2"/>
  </si>
  <si>
    <t>Other non-operating expenses</t>
    <phoneticPr fontId="2"/>
  </si>
  <si>
    <t>Special gains</t>
    <phoneticPr fontId="2"/>
  </si>
  <si>
    <t>Cancellation of subsidy payable to an affiliate</t>
    <phoneticPr fontId="2"/>
  </si>
  <si>
    <t>Special losses</t>
    <phoneticPr fontId="2"/>
  </si>
  <si>
    <t>Income (loss) before income taxes</t>
    <phoneticPr fontId="2"/>
  </si>
  <si>
    <t>Income, residential and enterprise taxes</t>
    <phoneticPr fontId="2"/>
  </si>
  <si>
    <t>Minority interests in income (loss) of consolidated subsidiaries</t>
    <phoneticPr fontId="2"/>
  </si>
  <si>
    <t>Amortization of consolidated adjustment account</t>
    <phoneticPr fontId="2"/>
  </si>
  <si>
    <t>Equity in earnings of affiliated companies</t>
    <phoneticPr fontId="2"/>
  </si>
  <si>
    <t>Net income (loss)</t>
    <phoneticPr fontId="2"/>
  </si>
  <si>
    <t>Amount</t>
    <phoneticPr fontId="2"/>
  </si>
  <si>
    <t>Amount</t>
    <phoneticPr fontId="2"/>
  </si>
  <si>
    <t>Accrued revenue</t>
    <phoneticPr fontId="2"/>
  </si>
  <si>
    <t>Dividends of life insurance</t>
    <phoneticPr fontId="2"/>
  </si>
  <si>
    <t>Deposits received</t>
  </si>
  <si>
    <t>Special tax-purpose reserve for specified communications equipment</t>
  </si>
  <si>
    <t>Accounts receivable</t>
  </si>
  <si>
    <t>Tools, furniture and fixtures</t>
  </si>
  <si>
    <t>Investments in subsidiaries and affiliates</t>
  </si>
  <si>
    <t>Assets</t>
  </si>
  <si>
    <t>Minority Interests</t>
  </si>
  <si>
    <t>Minority interests in consolidated subsidiaries</t>
  </si>
  <si>
    <t>Others</t>
  </si>
  <si>
    <r>
      <t>Ⅰ</t>
    </r>
    <r>
      <rPr>
        <b/>
        <sz val="11"/>
        <rFont val="Times New Roman"/>
        <family val="1"/>
      </rPr>
      <t>.Cash Flows from Operating Activities</t>
    </r>
  </si>
  <si>
    <t>Loss on disposal of intangible assets</t>
    <phoneticPr fontId="2"/>
  </si>
  <si>
    <t>Financial Sector</t>
  </si>
  <si>
    <t>Income, residential and enterprise taxes</t>
  </si>
  <si>
    <t>Reversal of special tax purpose reserve with adoption of deferred tax accounting</t>
  </si>
  <si>
    <t>Interim cash dividends</t>
    <phoneticPr fontId="2"/>
  </si>
  <si>
    <t>Subcontractor expenses</t>
  </si>
  <si>
    <t>Enterprise taxes</t>
  </si>
  <si>
    <t>Research and development costs</t>
  </si>
  <si>
    <t>Unappropriated retained earnings</t>
    <phoneticPr fontId="2"/>
  </si>
  <si>
    <t>Write-down of investments in subsidiaries</t>
    <phoneticPr fontId="2"/>
  </si>
  <si>
    <t>Special Gains</t>
    <phoneticPr fontId="2"/>
  </si>
  <si>
    <t>Unrealized gains on investment securities, net of taxes</t>
    <phoneticPr fontId="2"/>
  </si>
  <si>
    <t>Non-Operating income</t>
    <phoneticPr fontId="2"/>
  </si>
  <si>
    <t>Non-Operating expenses</t>
    <phoneticPr fontId="2"/>
  </si>
  <si>
    <t xml:space="preserve"> (Increase) Decrease in accounts receivable</t>
    <phoneticPr fontId="2"/>
  </si>
  <si>
    <t>Interest and dividends received</t>
    <phoneticPr fontId="2"/>
  </si>
  <si>
    <t>Net cash used in investing activities</t>
    <phoneticPr fontId="2"/>
  </si>
  <si>
    <t>Proceeds from issue of bonds</t>
    <phoneticPr fontId="2"/>
  </si>
  <si>
    <t>Cash dividends to minority shareholders</t>
    <phoneticPr fontId="2"/>
  </si>
  <si>
    <t>Accounts payable-trade</t>
    <phoneticPr fontId="2"/>
  </si>
  <si>
    <t>Accounts payable-other</t>
    <phoneticPr fontId="2"/>
  </si>
  <si>
    <t>New share issue expenses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</si>
</sst>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9" formatCode="_ * #,##0_ ;_ * \-#,##0_ ;_ * &quot;-&quot;_ ;_ @_ "/>
    <numFmt numFmtId="185" formatCode="#,##0;&quot;△ &quot;#,##0"/>
    <numFmt numFmtId="188" formatCode="[Blue]#,##0\ ;[Red]&quot;▲&quot;#,##0\ "/>
    <numFmt numFmtId="190" formatCode="0.0%"/>
    <numFmt numFmtId="193" formatCode="#,##0;\-#,##0;&quot;-&quot;"/>
    <numFmt numFmtId="195" formatCode="[Blue]#,##0.0%\ ;[Red]&quot;▲&quot;#,##0.0%\ "/>
    <numFmt numFmtId="204" formatCode="#,##0.0\ ;&quot;△&quot;#,##0.0\ "/>
    <numFmt numFmtId="205" formatCode="#,##0\ ;&quot;△&quot;#,##0\ "/>
    <numFmt numFmtId="206" formatCode="\(#,##0.0\);\(&quot;△&quot;#,##0.0\)"/>
    <numFmt numFmtId="214" formatCode="yyyy/m"/>
  </numFmts>
  <fonts count="29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b/>
      <sz val="11"/>
      <name val="ＭＳ 明朝"/>
      <family val="1"/>
      <charset val="128"/>
    </font>
    <font>
      <sz val="10"/>
      <name val="ＭＳ 明朝"/>
      <family val="1"/>
      <charset val="128"/>
    </font>
    <font>
      <b/>
      <sz val="10"/>
      <name val="ＭＳ 明朝"/>
      <family val="1"/>
      <charset val="128"/>
    </font>
    <font>
      <sz val="9"/>
      <name val="ＭＳ 明朝"/>
      <family val="1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0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name val="ＭＳ Ｐゴシック"/>
      <charset val="128"/>
    </font>
    <font>
      <sz val="14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11"/>
      <color indexed="10"/>
      <name val="Times New Roman"/>
      <family val="1"/>
    </font>
    <font>
      <sz val="11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indexed="65"/>
        <bgColor indexed="64"/>
      </patternFill>
    </fill>
  </fills>
  <borders count="12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</borders>
  <cellStyleXfs count="14">
    <xf numFmtId="0" fontId="0" fillId="0" borderId="0"/>
    <xf numFmtId="193" fontId="10" fillId="0" borderId="0" applyFill="0" applyBorder="0" applyAlignment="0"/>
    <xf numFmtId="0" fontId="11" fillId="0" borderId="0">
      <alignment horizontal="left"/>
    </xf>
    <xf numFmtId="0" fontId="12" fillId="0" borderId="1" applyNumberFormat="0" applyAlignment="0" applyProtection="0">
      <alignment horizontal="left" vertical="center"/>
    </xf>
    <xf numFmtId="0" fontId="12" fillId="0" borderId="2">
      <alignment horizontal="left" vertical="center"/>
    </xf>
    <xf numFmtId="4" fontId="11" fillId="0" borderId="0">
      <alignment horizontal="right"/>
    </xf>
    <xf numFmtId="4" fontId="14" fillId="0" borderId="0">
      <alignment horizontal="right"/>
    </xf>
    <xf numFmtId="0" fontId="15" fillId="0" borderId="0">
      <alignment horizontal="left"/>
    </xf>
    <xf numFmtId="0" fontId="16" fillId="0" borderId="0">
      <alignment horizontal="center"/>
    </xf>
    <xf numFmtId="9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0" fontId="19" fillId="0" borderId="0"/>
    <xf numFmtId="169" fontId="3" fillId="0" borderId="0"/>
    <xf numFmtId="169" fontId="17" fillId="0" borderId="0"/>
  </cellStyleXfs>
  <cellXfs count="379">
    <xf numFmtId="0" fontId="0" fillId="0" borderId="0" xfId="0"/>
    <xf numFmtId="0" fontId="4" fillId="0" borderId="0" xfId="0" applyFont="1" applyBorder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0" fontId="5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/>
    <xf numFmtId="185" fontId="4" fillId="0" borderId="0" xfId="0" applyNumberFormat="1" applyFont="1" applyBorder="1" applyAlignment="1">
      <alignment horizontal="centerContinuous" vertical="center"/>
    </xf>
    <xf numFmtId="185" fontId="5" fillId="0" borderId="0" xfId="0" applyNumberFormat="1" applyFont="1" applyAlignment="1">
      <alignment horizontal="centerContinuous" vertical="center"/>
    </xf>
    <xf numFmtId="185" fontId="5" fillId="0" borderId="0" xfId="0" applyNumberFormat="1" applyFont="1" applyAlignment="1">
      <alignment vertical="center"/>
    </xf>
    <xf numFmtId="185" fontId="5" fillId="0" borderId="0" xfId="0" applyNumberFormat="1" applyFont="1" applyBorder="1" applyAlignment="1">
      <alignment horizontal="right" vertical="center"/>
    </xf>
    <xf numFmtId="185" fontId="5" fillId="0" borderId="0" xfId="0" applyNumberFormat="1" applyFont="1"/>
    <xf numFmtId="0" fontId="6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right"/>
    </xf>
    <xf numFmtId="0" fontId="5" fillId="0" borderId="0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185" fontId="5" fillId="0" borderId="0" xfId="0" applyNumberFormat="1" applyFont="1" applyBorder="1" applyAlignment="1">
      <alignment horizontal="right"/>
    </xf>
    <xf numFmtId="188" fontId="7" fillId="0" borderId="0" xfId="12" applyNumberFormat="1" applyFont="1" applyBorder="1" applyAlignment="1">
      <alignment horizontal="right" vertical="center"/>
    </xf>
    <xf numFmtId="188" fontId="7" fillId="0" borderId="0" xfId="12" applyNumberFormat="1" applyFont="1" applyFill="1" applyBorder="1" applyAlignment="1">
      <alignment horizontal="right" vertical="center"/>
    </xf>
    <xf numFmtId="185" fontId="7" fillId="0" borderId="0" xfId="12" applyNumberFormat="1" applyFont="1" applyFill="1" applyBorder="1" applyAlignment="1">
      <alignment horizontal="right" vertical="center"/>
    </xf>
    <xf numFmtId="169" fontId="9" fillId="0" borderId="0" xfId="12" applyFont="1" applyAlignment="1">
      <alignment vertical="center"/>
    </xf>
    <xf numFmtId="0" fontId="9" fillId="0" borderId="0" xfId="12" applyNumberFormat="1" applyFont="1" applyAlignment="1">
      <alignment vertical="center"/>
    </xf>
    <xf numFmtId="169" fontId="9" fillId="0" borderId="0" xfId="12" applyFont="1" applyAlignment="1">
      <alignment horizontal="right" vertical="center"/>
    </xf>
    <xf numFmtId="185" fontId="9" fillId="0" borderId="0" xfId="12" applyNumberFormat="1" applyFont="1" applyFill="1" applyBorder="1" applyAlignment="1">
      <alignment vertical="center"/>
    </xf>
    <xf numFmtId="185" fontId="7" fillId="0" borderId="0" xfId="12" applyNumberFormat="1" applyFont="1" applyFill="1" applyAlignment="1">
      <alignment vertical="center"/>
    </xf>
    <xf numFmtId="185" fontId="7" fillId="0" borderId="0" xfId="12" applyNumberFormat="1" applyFont="1" applyFill="1" applyBorder="1" applyAlignment="1">
      <alignment vertical="center"/>
    </xf>
    <xf numFmtId="0" fontId="7" fillId="0" borderId="0" xfId="12" applyNumberFormat="1" applyFont="1" applyBorder="1" applyAlignment="1">
      <alignment vertical="center"/>
    </xf>
    <xf numFmtId="169" fontId="7" fillId="0" borderId="0" xfId="12" applyFont="1" applyAlignment="1">
      <alignment vertical="center"/>
    </xf>
    <xf numFmtId="0" fontId="5" fillId="0" borderId="0" xfId="11" applyFont="1" applyFill="1"/>
    <xf numFmtId="0" fontId="9" fillId="0" borderId="0" xfId="11" applyFont="1" applyFill="1"/>
    <xf numFmtId="205" fontId="9" fillId="0" borderId="0" xfId="11" applyNumberFormat="1" applyFont="1" applyFill="1"/>
    <xf numFmtId="205" fontId="5" fillId="0" borderId="0" xfId="11" applyNumberFormat="1" applyFont="1" applyFill="1"/>
    <xf numFmtId="204" fontId="5" fillId="0" borderId="0" xfId="11" applyNumberFormat="1" applyFont="1" applyFill="1" applyAlignment="1">
      <alignment horizontal="right"/>
    </xf>
    <xf numFmtId="0" fontId="8" fillId="0" borderId="6" xfId="0" applyFont="1" applyBorder="1" applyAlignment="1">
      <alignment vertical="center"/>
    </xf>
    <xf numFmtId="0" fontId="7" fillId="0" borderId="0" xfId="0" applyFont="1"/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right"/>
    </xf>
    <xf numFmtId="0" fontId="20" fillId="0" borderId="0" xfId="0" applyFont="1" applyBorder="1" applyAlignment="1">
      <alignment horizontal="centerContinuous" vertical="center"/>
    </xf>
    <xf numFmtId="0" fontId="21" fillId="0" borderId="0" xfId="0" applyFont="1" applyAlignment="1">
      <alignment horizontal="centerContinuous" vertical="center"/>
    </xf>
    <xf numFmtId="0" fontId="21" fillId="0" borderId="0" xfId="0" applyFont="1" applyAlignment="1">
      <alignment vertical="center"/>
    </xf>
    <xf numFmtId="0" fontId="22" fillId="2" borderId="7" xfId="0" applyFont="1" applyFill="1" applyBorder="1" applyAlignment="1">
      <alignment vertical="center"/>
    </xf>
    <xf numFmtId="0" fontId="22" fillId="2" borderId="8" xfId="0" applyFont="1" applyFill="1" applyBorder="1" applyAlignment="1">
      <alignment vertical="center"/>
    </xf>
    <xf numFmtId="0" fontId="22" fillId="2" borderId="9" xfId="0" applyFont="1" applyFill="1" applyBorder="1" applyAlignment="1">
      <alignment vertical="center"/>
    </xf>
    <xf numFmtId="214" fontId="22" fillId="2" borderId="10" xfId="0" applyNumberFormat="1" applyFont="1" applyFill="1" applyBorder="1" applyAlignment="1">
      <alignment horizontal="center" vertical="center"/>
    </xf>
    <xf numFmtId="214" fontId="22" fillId="2" borderId="11" xfId="0" applyNumberFormat="1" applyFont="1" applyFill="1" applyBorder="1" applyAlignment="1">
      <alignment horizontal="center" vertical="center"/>
    </xf>
    <xf numFmtId="214" fontId="22" fillId="2" borderId="12" xfId="0" applyNumberFormat="1" applyFont="1" applyFill="1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38" fontId="21" fillId="0" borderId="13" xfId="10" applyFont="1" applyBorder="1" applyAlignment="1">
      <alignment vertical="center"/>
    </xf>
    <xf numFmtId="185" fontId="21" fillId="0" borderId="14" xfId="0" applyNumberFormat="1" applyFont="1" applyBorder="1" applyAlignment="1">
      <alignment vertical="center"/>
    </xf>
    <xf numFmtId="185" fontId="21" fillId="0" borderId="15" xfId="0" applyNumberFormat="1" applyFont="1" applyBorder="1" applyAlignment="1">
      <alignment vertical="center"/>
    </xf>
    <xf numFmtId="185" fontId="21" fillId="0" borderId="16" xfId="0" applyNumberFormat="1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23" fillId="0" borderId="17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185" fontId="21" fillId="0" borderId="17" xfId="0" applyNumberFormat="1" applyFont="1" applyBorder="1" applyAlignment="1">
      <alignment vertical="center"/>
    </xf>
    <xf numFmtId="185" fontId="21" fillId="0" borderId="19" xfId="0" applyNumberFormat="1" applyFont="1" applyBorder="1" applyAlignment="1">
      <alignment vertical="center"/>
    </xf>
    <xf numFmtId="185" fontId="21" fillId="0" borderId="20" xfId="0" applyNumberFormat="1" applyFont="1" applyBorder="1" applyAlignment="1">
      <alignment vertical="center"/>
    </xf>
    <xf numFmtId="0" fontId="11" fillId="0" borderId="21" xfId="0" applyFont="1" applyBorder="1" applyAlignment="1">
      <alignment vertical="center"/>
    </xf>
    <xf numFmtId="0" fontId="21" fillId="0" borderId="22" xfId="0" applyFont="1" applyBorder="1" applyAlignment="1">
      <alignment vertical="center"/>
    </xf>
    <xf numFmtId="185" fontId="21" fillId="0" borderId="21" xfId="0" applyNumberFormat="1" applyFont="1" applyBorder="1" applyAlignment="1">
      <alignment vertical="center"/>
    </xf>
    <xf numFmtId="185" fontId="21" fillId="0" borderId="23" xfId="0" applyNumberFormat="1" applyFont="1" applyBorder="1" applyAlignment="1">
      <alignment vertical="center"/>
    </xf>
    <xf numFmtId="185" fontId="21" fillId="0" borderId="24" xfId="0" applyNumberFormat="1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185" fontId="21" fillId="0" borderId="21" xfId="10" quotePrefix="1" applyNumberFormat="1" applyFont="1" applyBorder="1" applyAlignment="1">
      <alignment horizontal="right" vertical="center"/>
    </xf>
    <xf numFmtId="185" fontId="21" fillId="0" borderId="23" xfId="10" quotePrefix="1" applyNumberFormat="1" applyFont="1" applyBorder="1" applyAlignment="1">
      <alignment horizontal="right" vertical="center"/>
    </xf>
    <xf numFmtId="185" fontId="21" fillId="0" borderId="24" xfId="10" quotePrefix="1" applyNumberFormat="1" applyFont="1" applyBorder="1" applyAlignment="1">
      <alignment horizontal="right" vertical="center"/>
    </xf>
    <xf numFmtId="38" fontId="23" fillId="0" borderId="14" xfId="1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38" fontId="21" fillId="0" borderId="2" xfId="10" applyFont="1" applyBorder="1" applyAlignment="1">
      <alignment vertical="center"/>
    </xf>
    <xf numFmtId="38" fontId="21" fillId="0" borderId="25" xfId="10" applyFont="1" applyBorder="1" applyAlignment="1">
      <alignment vertical="center"/>
    </xf>
    <xf numFmtId="185" fontId="21" fillId="0" borderId="26" xfId="0" applyNumberFormat="1" applyFont="1" applyBorder="1" applyAlignment="1">
      <alignment vertical="center"/>
    </xf>
    <xf numFmtId="185" fontId="21" fillId="0" borderId="27" xfId="0" applyNumberFormat="1" applyFont="1" applyBorder="1" applyAlignment="1">
      <alignment vertical="center"/>
    </xf>
    <xf numFmtId="185" fontId="21" fillId="0" borderId="28" xfId="0" applyNumberFormat="1" applyFont="1" applyBorder="1" applyAlignment="1">
      <alignment vertical="center"/>
    </xf>
    <xf numFmtId="0" fontId="21" fillId="0" borderId="29" xfId="0" applyFont="1" applyBorder="1" applyAlignment="1">
      <alignment vertical="center"/>
    </xf>
    <xf numFmtId="0" fontId="23" fillId="0" borderId="30" xfId="0" applyFont="1" applyBorder="1" applyAlignment="1">
      <alignment vertical="center"/>
    </xf>
    <xf numFmtId="0" fontId="21" fillId="0" borderId="31" xfId="0" applyFont="1" applyBorder="1" applyAlignment="1">
      <alignment vertical="center"/>
    </xf>
    <xf numFmtId="185" fontId="21" fillId="0" borderId="32" xfId="0" applyNumberFormat="1" applyFont="1" applyBorder="1" applyAlignment="1">
      <alignment vertical="center"/>
    </xf>
    <xf numFmtId="185" fontId="21" fillId="0" borderId="30" xfId="0" applyNumberFormat="1" applyFont="1" applyBorder="1" applyAlignment="1">
      <alignment vertical="center"/>
    </xf>
    <xf numFmtId="185" fontId="21" fillId="0" borderId="33" xfId="0" applyNumberFormat="1" applyFont="1" applyBorder="1" applyAlignment="1">
      <alignment vertical="center"/>
    </xf>
    <xf numFmtId="38" fontId="21" fillId="0" borderId="34" xfId="10" applyFont="1" applyBorder="1" applyAlignment="1">
      <alignment vertical="center"/>
    </xf>
    <xf numFmtId="0" fontId="11" fillId="0" borderId="35" xfId="0" applyFont="1" applyBorder="1" applyAlignment="1">
      <alignment vertical="center"/>
    </xf>
    <xf numFmtId="185" fontId="21" fillId="0" borderId="21" xfId="10" applyNumberFormat="1" applyFont="1" applyBorder="1" applyAlignment="1">
      <alignment vertical="center"/>
    </xf>
    <xf numFmtId="185" fontId="21" fillId="0" borderId="23" xfId="10" applyNumberFormat="1" applyFont="1" applyBorder="1" applyAlignment="1">
      <alignment vertical="center"/>
    </xf>
    <xf numFmtId="185" fontId="21" fillId="0" borderId="24" xfId="10" applyNumberFormat="1" applyFont="1" applyBorder="1" applyAlignment="1">
      <alignment vertical="center"/>
    </xf>
    <xf numFmtId="0" fontId="11" fillId="0" borderId="36" xfId="0" applyFont="1" applyBorder="1" applyAlignment="1">
      <alignment vertical="center"/>
    </xf>
    <xf numFmtId="185" fontId="21" fillId="0" borderId="37" xfId="0" applyNumberFormat="1" applyFont="1" applyBorder="1" applyAlignment="1">
      <alignment vertical="center"/>
    </xf>
    <xf numFmtId="185" fontId="21" fillId="0" borderId="38" xfId="0" applyNumberFormat="1" applyFont="1" applyBorder="1" applyAlignment="1">
      <alignment vertical="center"/>
    </xf>
    <xf numFmtId="185" fontId="21" fillId="0" borderId="39" xfId="0" applyNumberFormat="1" applyFont="1" applyBorder="1" applyAlignment="1">
      <alignment vertical="center"/>
    </xf>
    <xf numFmtId="0" fontId="21" fillId="0" borderId="40" xfId="0" applyFont="1" applyBorder="1" applyAlignment="1">
      <alignment vertical="center"/>
    </xf>
    <xf numFmtId="185" fontId="21" fillId="0" borderId="41" xfId="0" applyNumberFormat="1" applyFont="1" applyBorder="1" applyAlignment="1">
      <alignment vertical="center"/>
    </xf>
    <xf numFmtId="185" fontId="21" fillId="0" borderId="42" xfId="0" applyNumberFormat="1" applyFont="1" applyBorder="1" applyAlignment="1">
      <alignment vertical="center"/>
    </xf>
    <xf numFmtId="185" fontId="21" fillId="0" borderId="43" xfId="0" applyNumberFormat="1" applyFont="1" applyBorder="1" applyAlignment="1">
      <alignment vertical="center"/>
    </xf>
    <xf numFmtId="38" fontId="21" fillId="0" borderId="42" xfId="10" applyFont="1" applyBorder="1" applyAlignment="1">
      <alignment vertical="center"/>
    </xf>
    <xf numFmtId="38" fontId="21" fillId="0" borderId="15" xfId="10" applyFont="1" applyBorder="1" applyAlignment="1">
      <alignment vertical="center"/>
    </xf>
    <xf numFmtId="0" fontId="11" fillId="0" borderId="44" xfId="0" applyFont="1" applyBorder="1" applyAlignment="1">
      <alignment vertical="center"/>
    </xf>
    <xf numFmtId="0" fontId="23" fillId="0" borderId="32" xfId="0" applyFont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21" fillId="0" borderId="45" xfId="0" applyFont="1" applyBorder="1" applyAlignment="1">
      <alignment vertical="center"/>
    </xf>
    <xf numFmtId="38" fontId="21" fillId="0" borderId="46" xfId="10" applyFont="1" applyBorder="1" applyAlignment="1">
      <alignment vertical="center"/>
    </xf>
    <xf numFmtId="0" fontId="11" fillId="0" borderId="40" xfId="0" applyFont="1" applyBorder="1" applyAlignment="1">
      <alignment vertical="center"/>
    </xf>
    <xf numFmtId="38" fontId="21" fillId="0" borderId="47" xfId="10" applyFont="1" applyBorder="1" applyAlignment="1">
      <alignment vertical="center"/>
    </xf>
    <xf numFmtId="0" fontId="21" fillId="0" borderId="48" xfId="0" applyFont="1" applyBorder="1" applyAlignment="1">
      <alignment vertical="center"/>
    </xf>
    <xf numFmtId="0" fontId="23" fillId="0" borderId="47" xfId="0" applyFont="1" applyBorder="1" applyAlignment="1">
      <alignment vertical="center"/>
    </xf>
    <xf numFmtId="0" fontId="21" fillId="0" borderId="25" xfId="0" applyFont="1" applyBorder="1" applyAlignment="1">
      <alignment vertical="center"/>
    </xf>
    <xf numFmtId="0" fontId="22" fillId="0" borderId="49" xfId="0" applyFont="1" applyBorder="1" applyAlignment="1">
      <alignment vertical="center"/>
    </xf>
    <xf numFmtId="38" fontId="21" fillId="0" borderId="50" xfId="10" applyFont="1" applyBorder="1" applyAlignment="1">
      <alignment vertical="center"/>
    </xf>
    <xf numFmtId="38" fontId="21" fillId="0" borderId="51" xfId="10" applyFont="1" applyBorder="1" applyAlignment="1">
      <alignment vertical="center"/>
    </xf>
    <xf numFmtId="185" fontId="21" fillId="0" borderId="52" xfId="0" applyNumberFormat="1" applyFont="1" applyBorder="1" applyAlignment="1">
      <alignment vertical="center"/>
    </xf>
    <xf numFmtId="185" fontId="21" fillId="0" borderId="53" xfId="0" applyNumberFormat="1" applyFont="1" applyBorder="1" applyAlignment="1">
      <alignment vertical="center"/>
    </xf>
    <xf numFmtId="185" fontId="21" fillId="0" borderId="54" xfId="0" applyNumberFormat="1" applyFont="1" applyBorder="1" applyAlignment="1">
      <alignment vertical="center"/>
    </xf>
    <xf numFmtId="0" fontId="22" fillId="3" borderId="45" xfId="0" applyFont="1" applyFill="1" applyBorder="1" applyAlignment="1">
      <alignment vertical="center"/>
    </xf>
    <xf numFmtId="0" fontId="22" fillId="3" borderId="13" xfId="0" applyFont="1" applyFill="1" applyBorder="1" applyAlignment="1">
      <alignment vertical="center"/>
    </xf>
    <xf numFmtId="185" fontId="22" fillId="3" borderId="13" xfId="0" applyNumberFormat="1" applyFont="1" applyFill="1" applyBorder="1" applyAlignment="1">
      <alignment horizontal="center" vertical="center"/>
    </xf>
    <xf numFmtId="185" fontId="22" fillId="3" borderId="55" xfId="0" applyNumberFormat="1" applyFont="1" applyFill="1" applyBorder="1" applyAlignment="1">
      <alignment horizontal="center" vertical="center"/>
    </xf>
    <xf numFmtId="185" fontId="21" fillId="0" borderId="2" xfId="0" applyNumberFormat="1" applyFont="1" applyBorder="1" applyAlignment="1">
      <alignment vertical="center"/>
    </xf>
    <xf numFmtId="38" fontId="23" fillId="0" borderId="19" xfId="10" applyFont="1" applyBorder="1" applyAlignment="1">
      <alignment vertical="center"/>
    </xf>
    <xf numFmtId="38" fontId="21" fillId="0" borderId="18" xfId="10" applyFont="1" applyBorder="1" applyAlignment="1">
      <alignment vertical="center"/>
    </xf>
    <xf numFmtId="185" fontId="21" fillId="0" borderId="56" xfId="0" applyNumberFormat="1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38" fontId="21" fillId="0" borderId="22" xfId="10" applyFont="1" applyBorder="1" applyAlignment="1">
      <alignment vertical="center"/>
    </xf>
    <xf numFmtId="185" fontId="21" fillId="0" borderId="21" xfId="12" applyNumberFormat="1" applyFont="1" applyFill="1" applyBorder="1" applyAlignment="1">
      <alignment horizontal="right" vertical="center"/>
    </xf>
    <xf numFmtId="185" fontId="21" fillId="0" borderId="23" xfId="12" applyNumberFormat="1" applyFont="1" applyBorder="1" applyAlignment="1">
      <alignment horizontal="right" vertical="center"/>
    </xf>
    <xf numFmtId="185" fontId="21" fillId="0" borderId="21" xfId="12" applyNumberFormat="1" applyFont="1" applyBorder="1" applyAlignment="1">
      <alignment horizontal="right" vertical="center"/>
    </xf>
    <xf numFmtId="185" fontId="21" fillId="0" borderId="57" xfId="0" applyNumberFormat="1" applyFont="1" applyBorder="1" applyAlignment="1">
      <alignment vertical="center"/>
    </xf>
    <xf numFmtId="185" fontId="21" fillId="0" borderId="21" xfId="10" applyNumberFormat="1" applyFont="1" applyBorder="1" applyAlignment="1">
      <alignment horizontal="right" vertical="center"/>
    </xf>
    <xf numFmtId="185" fontId="21" fillId="0" borderId="57" xfId="10" applyNumberFormat="1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38" fontId="21" fillId="0" borderId="58" xfId="10" applyFont="1" applyBorder="1" applyAlignment="1">
      <alignment vertical="center"/>
    </xf>
    <xf numFmtId="185" fontId="21" fillId="0" borderId="13" xfId="0" applyNumberFormat="1" applyFont="1" applyBorder="1" applyAlignment="1">
      <alignment vertical="center"/>
    </xf>
    <xf numFmtId="38" fontId="23" fillId="0" borderId="30" xfId="10" applyFont="1" applyBorder="1" applyAlignment="1">
      <alignment vertical="center"/>
    </xf>
    <xf numFmtId="38" fontId="21" fillId="0" borderId="31" xfId="10" applyFont="1" applyBorder="1" applyAlignment="1">
      <alignment vertical="center"/>
    </xf>
    <xf numFmtId="185" fontId="21" fillId="0" borderId="47" xfId="0" applyNumberFormat="1" applyFont="1" applyBorder="1" applyAlignment="1">
      <alignment vertical="center"/>
    </xf>
    <xf numFmtId="38" fontId="23" fillId="0" borderId="23" xfId="10" applyFont="1" applyBorder="1" applyAlignment="1">
      <alignment vertical="center"/>
    </xf>
    <xf numFmtId="38" fontId="23" fillId="0" borderId="42" xfId="10" applyFont="1" applyBorder="1" applyAlignment="1">
      <alignment vertical="center"/>
    </xf>
    <xf numFmtId="38" fontId="21" fillId="0" borderId="40" xfId="10" applyFont="1" applyBorder="1" applyAlignment="1">
      <alignment vertical="center"/>
    </xf>
    <xf numFmtId="185" fontId="21" fillId="0" borderId="0" xfId="0" applyNumberFormat="1" applyFont="1" applyBorder="1" applyAlignment="1">
      <alignment vertical="center"/>
    </xf>
    <xf numFmtId="185" fontId="21" fillId="0" borderId="32" xfId="10" applyNumberFormat="1" applyFont="1" applyBorder="1" applyAlignment="1">
      <alignment vertical="center"/>
    </xf>
    <xf numFmtId="185" fontId="21" fillId="0" borderId="50" xfId="0" applyNumberFormat="1" applyFont="1" applyBorder="1" applyAlignment="1">
      <alignment vertical="center"/>
    </xf>
    <xf numFmtId="38" fontId="21" fillId="0" borderId="0" xfId="10" applyFont="1" applyBorder="1" applyAlignment="1">
      <alignment vertical="center"/>
    </xf>
    <xf numFmtId="185" fontId="21" fillId="0" borderId="59" xfId="0" applyNumberFormat="1" applyFont="1" applyBorder="1" applyAlignment="1">
      <alignment vertical="center"/>
    </xf>
    <xf numFmtId="185" fontId="21" fillId="0" borderId="60" xfId="0" applyNumberFormat="1" applyFont="1" applyBorder="1" applyAlignment="1">
      <alignment vertical="center"/>
    </xf>
    <xf numFmtId="0" fontId="23" fillId="0" borderId="49" xfId="0" applyFont="1" applyBorder="1" applyAlignment="1">
      <alignment vertical="center"/>
    </xf>
    <xf numFmtId="0" fontId="22" fillId="0" borderId="61" xfId="0" applyFont="1" applyBorder="1" applyAlignment="1">
      <alignment vertical="center"/>
    </xf>
    <xf numFmtId="38" fontId="21" fillId="0" borderId="59" xfId="10" applyFont="1" applyBorder="1" applyAlignment="1">
      <alignment vertical="center"/>
    </xf>
    <xf numFmtId="185" fontId="21" fillId="0" borderId="59" xfId="10" applyNumberFormat="1" applyFont="1" applyBorder="1" applyAlignment="1">
      <alignment vertical="center"/>
    </xf>
    <xf numFmtId="185" fontId="21" fillId="0" borderId="60" xfId="10" applyNumberFormat="1" applyFont="1" applyBorder="1" applyAlignment="1">
      <alignment vertical="center"/>
    </xf>
    <xf numFmtId="0" fontId="23" fillId="0" borderId="6" xfId="0" applyFont="1" applyBorder="1" applyAlignment="1">
      <alignment vertical="center"/>
    </xf>
    <xf numFmtId="0" fontId="22" fillId="0" borderId="6" xfId="0" applyFont="1" applyBorder="1" applyAlignment="1">
      <alignment vertical="center"/>
    </xf>
    <xf numFmtId="0" fontId="24" fillId="0" borderId="0" xfId="0" applyFont="1" applyBorder="1" applyAlignment="1">
      <alignment horizontal="centerContinuous" vertical="center"/>
    </xf>
    <xf numFmtId="0" fontId="24" fillId="0" borderId="0" xfId="0" applyFont="1" applyAlignment="1">
      <alignment horizontal="centerContinuous" vertical="center"/>
    </xf>
    <xf numFmtId="0" fontId="24" fillId="0" borderId="0" xfId="0" applyFont="1"/>
    <xf numFmtId="0" fontId="21" fillId="0" borderId="6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38" fontId="21" fillId="0" borderId="3" xfId="10" applyFont="1" applyBorder="1" applyAlignment="1">
      <alignment vertical="center"/>
    </xf>
    <xf numFmtId="38" fontId="21" fillId="0" borderId="5" xfId="10" applyFont="1" applyBorder="1" applyAlignment="1">
      <alignment vertical="center"/>
    </xf>
    <xf numFmtId="38" fontId="21" fillId="0" borderId="35" xfId="10" applyFont="1" applyBorder="1" applyAlignment="1">
      <alignment vertical="center"/>
    </xf>
    <xf numFmtId="38" fontId="21" fillId="0" borderId="45" xfId="10" applyFont="1" applyBorder="1" applyAlignment="1">
      <alignment vertical="center"/>
    </xf>
    <xf numFmtId="38" fontId="21" fillId="0" borderId="36" xfId="10" applyFont="1" applyBorder="1" applyAlignment="1">
      <alignment vertical="center"/>
    </xf>
    <xf numFmtId="0" fontId="21" fillId="0" borderId="35" xfId="0" applyFont="1" applyBorder="1" applyAlignment="1">
      <alignment vertical="center"/>
    </xf>
    <xf numFmtId="0" fontId="21" fillId="0" borderId="44" xfId="0" applyFont="1" applyBorder="1" applyAlignment="1">
      <alignment vertical="center"/>
    </xf>
    <xf numFmtId="0" fontId="21" fillId="0" borderId="49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185" fontId="21" fillId="0" borderId="55" xfId="0" applyNumberFormat="1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21" fillId="0" borderId="21" xfId="0" applyFont="1" applyBorder="1" applyAlignment="1">
      <alignment vertical="center"/>
    </xf>
    <xf numFmtId="185" fontId="21" fillId="0" borderId="21" xfId="0" applyNumberFormat="1" applyFont="1" applyFill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21" fillId="0" borderId="37" xfId="0" applyFont="1" applyBorder="1" applyAlignment="1">
      <alignment horizontal="center" vertical="center"/>
    </xf>
    <xf numFmtId="185" fontId="21" fillId="0" borderId="37" xfId="10" applyNumberFormat="1" applyFont="1" applyBorder="1" applyAlignment="1">
      <alignment horizontal="right" vertical="center"/>
    </xf>
    <xf numFmtId="185" fontId="21" fillId="0" borderId="39" xfId="10" applyNumberFormat="1" applyFont="1" applyBorder="1" applyAlignment="1">
      <alignment horizontal="right" vertical="center"/>
    </xf>
    <xf numFmtId="0" fontId="21" fillId="0" borderId="32" xfId="0" applyFont="1" applyBorder="1" applyAlignment="1">
      <alignment vertical="center"/>
    </xf>
    <xf numFmtId="185" fontId="21" fillId="0" borderId="32" xfId="10" applyNumberFormat="1" applyFont="1" applyBorder="1" applyAlignment="1">
      <alignment horizontal="right" vertical="center"/>
    </xf>
    <xf numFmtId="185" fontId="21" fillId="0" borderId="33" xfId="10" applyNumberFormat="1" applyFont="1" applyBorder="1" applyAlignment="1">
      <alignment horizontal="right" vertical="center"/>
    </xf>
    <xf numFmtId="185" fontId="21" fillId="0" borderId="24" xfId="10" applyNumberFormat="1" applyFont="1" applyBorder="1" applyAlignment="1">
      <alignment horizontal="right" vertical="center"/>
    </xf>
    <xf numFmtId="0" fontId="21" fillId="0" borderId="14" xfId="0" applyFont="1" applyBorder="1" applyAlignment="1">
      <alignment vertical="center"/>
    </xf>
    <xf numFmtId="185" fontId="21" fillId="0" borderId="14" xfId="10" applyNumberFormat="1" applyFont="1" applyBorder="1" applyAlignment="1">
      <alignment horizontal="right" vertical="center"/>
    </xf>
    <xf numFmtId="185" fontId="21" fillId="0" borderId="16" xfId="10" applyNumberFormat="1" applyFont="1" applyBorder="1" applyAlignment="1">
      <alignment horizontal="right" vertical="center"/>
    </xf>
    <xf numFmtId="185" fontId="21" fillId="0" borderId="26" xfId="10" applyNumberFormat="1" applyFont="1" applyBorder="1" applyAlignment="1">
      <alignment horizontal="right" vertical="center"/>
    </xf>
    <xf numFmtId="185" fontId="21" fillId="0" borderId="28" xfId="10" applyNumberFormat="1" applyFont="1" applyBorder="1" applyAlignment="1">
      <alignment horizontal="right" vertical="center"/>
    </xf>
    <xf numFmtId="0" fontId="22" fillId="0" borderId="2" xfId="0" applyFont="1" applyBorder="1" applyAlignment="1">
      <alignment vertical="center"/>
    </xf>
    <xf numFmtId="185" fontId="21" fillId="0" borderId="2" xfId="10" applyNumberFormat="1" applyFont="1" applyBorder="1" applyAlignment="1">
      <alignment horizontal="right" vertical="center"/>
    </xf>
    <xf numFmtId="185" fontId="21" fillId="0" borderId="62" xfId="10" applyNumberFormat="1" applyFont="1" applyBorder="1" applyAlignment="1">
      <alignment horizontal="right" vertical="center"/>
    </xf>
    <xf numFmtId="0" fontId="21" fillId="0" borderId="2" xfId="0" applyFont="1" applyBorder="1" applyAlignment="1">
      <alignment vertical="center"/>
    </xf>
    <xf numFmtId="185" fontId="21" fillId="0" borderId="41" xfId="10" applyNumberFormat="1" applyFont="1" applyBorder="1" applyAlignment="1">
      <alignment horizontal="right" vertical="center"/>
    </xf>
    <xf numFmtId="185" fontId="21" fillId="0" borderId="43" xfId="10" applyNumberFormat="1" applyFont="1" applyBorder="1" applyAlignment="1">
      <alignment horizontal="right" vertical="center"/>
    </xf>
    <xf numFmtId="0" fontId="21" fillId="0" borderId="37" xfId="0" applyFont="1" applyBorder="1" applyAlignment="1">
      <alignment vertical="center"/>
    </xf>
    <xf numFmtId="0" fontId="21" fillId="0" borderId="58" xfId="0" applyFont="1" applyBorder="1" applyAlignment="1">
      <alignment vertical="center"/>
    </xf>
    <xf numFmtId="0" fontId="21" fillId="0" borderId="63" xfId="0" applyFont="1" applyBorder="1" applyAlignment="1">
      <alignment vertical="center"/>
    </xf>
    <xf numFmtId="185" fontId="21" fillId="0" borderId="64" xfId="10" applyNumberFormat="1" applyFont="1" applyBorder="1" applyAlignment="1">
      <alignment horizontal="right" vertical="center"/>
    </xf>
    <xf numFmtId="185" fontId="21" fillId="0" borderId="65" xfId="10" applyNumberFormat="1" applyFont="1" applyBorder="1" applyAlignment="1">
      <alignment horizontal="right" vertical="center"/>
    </xf>
    <xf numFmtId="0" fontId="20" fillId="0" borderId="0" xfId="11" applyFont="1" applyFill="1" applyAlignment="1">
      <alignment horizontal="centerContinuous"/>
    </xf>
    <xf numFmtId="205" fontId="20" fillId="0" borderId="0" xfId="11" applyNumberFormat="1" applyFont="1" applyFill="1" applyAlignment="1">
      <alignment horizontal="centerContinuous"/>
    </xf>
    <xf numFmtId="0" fontId="20" fillId="0" borderId="0" xfId="11" applyFont="1" applyFill="1"/>
    <xf numFmtId="0" fontId="21" fillId="2" borderId="66" xfId="12" applyNumberFormat="1" applyFont="1" applyFill="1" applyBorder="1" applyAlignment="1">
      <alignment vertical="center"/>
    </xf>
    <xf numFmtId="214" fontId="22" fillId="2" borderId="7" xfId="0" applyNumberFormat="1" applyFont="1" applyFill="1" applyBorder="1" applyAlignment="1">
      <alignment horizontal="center" vertical="center"/>
    </xf>
    <xf numFmtId="214" fontId="22" fillId="2" borderId="67" xfId="0" applyNumberFormat="1" applyFont="1" applyFill="1" applyBorder="1" applyAlignment="1">
      <alignment horizontal="center" vertical="center"/>
    </xf>
    <xf numFmtId="214" fontId="22" fillId="2" borderId="68" xfId="0" applyNumberFormat="1" applyFont="1" applyFill="1" applyBorder="1" applyAlignment="1">
      <alignment horizontal="center" vertical="center"/>
    </xf>
    <xf numFmtId="169" fontId="21" fillId="0" borderId="0" xfId="12" applyFont="1" applyFill="1"/>
    <xf numFmtId="0" fontId="21" fillId="0" borderId="69" xfId="10" applyNumberFormat="1" applyFont="1" applyFill="1" applyBorder="1" applyAlignment="1">
      <alignment horizontal="center" vertical="center"/>
    </xf>
    <xf numFmtId="205" fontId="21" fillId="0" borderId="5" xfId="12" applyNumberFormat="1" applyFont="1" applyFill="1" applyBorder="1" applyAlignment="1">
      <alignment horizontal="right" vertical="center"/>
    </xf>
    <xf numFmtId="205" fontId="21" fillId="0" borderId="70" xfId="12" applyNumberFormat="1" applyFont="1" applyFill="1" applyBorder="1" applyAlignment="1">
      <alignment horizontal="right" vertical="center"/>
    </xf>
    <xf numFmtId="205" fontId="21" fillId="0" borderId="71" xfId="12" applyNumberFormat="1" applyFont="1" applyFill="1" applyBorder="1" applyAlignment="1">
      <alignment horizontal="right" vertical="center"/>
    </xf>
    <xf numFmtId="169" fontId="21" fillId="0" borderId="0" xfId="12" applyFont="1" applyFill="1" applyBorder="1" applyAlignment="1">
      <alignment vertical="center"/>
    </xf>
    <xf numFmtId="0" fontId="21" fillId="0" borderId="69" xfId="11" applyFont="1" applyFill="1" applyBorder="1" applyAlignment="1">
      <alignment horizontal="center" vertical="center"/>
    </xf>
    <xf numFmtId="206" fontId="21" fillId="0" borderId="5" xfId="12" applyNumberFormat="1" applyFont="1" applyFill="1" applyBorder="1" applyAlignment="1">
      <alignment horizontal="right" vertical="center"/>
    </xf>
    <xf numFmtId="206" fontId="21" fillId="0" borderId="70" xfId="12" applyNumberFormat="1" applyFont="1" applyFill="1" applyBorder="1" applyAlignment="1">
      <alignment horizontal="right" vertical="center"/>
    </xf>
    <xf numFmtId="206" fontId="21" fillId="0" borderId="71" xfId="12" applyNumberFormat="1" applyFont="1" applyFill="1" applyBorder="1" applyAlignment="1">
      <alignment horizontal="right" vertical="center"/>
    </xf>
    <xf numFmtId="206" fontId="21" fillId="0" borderId="0" xfId="12" applyNumberFormat="1" applyFont="1" applyFill="1" applyAlignment="1">
      <alignment vertical="center"/>
    </xf>
    <xf numFmtId="0" fontId="21" fillId="0" borderId="72" xfId="12" applyNumberFormat="1" applyFont="1" applyFill="1" applyBorder="1" applyAlignment="1">
      <alignment horizontal="center" vertical="center" wrapText="1"/>
    </xf>
    <xf numFmtId="205" fontId="21" fillId="0" borderId="3" xfId="12" applyNumberFormat="1" applyFont="1" applyFill="1" applyBorder="1" applyAlignment="1">
      <alignment horizontal="right" vertical="center"/>
    </xf>
    <xf numFmtId="205" fontId="21" fillId="0" borderId="73" xfId="12" applyNumberFormat="1" applyFont="1" applyFill="1" applyBorder="1" applyAlignment="1">
      <alignment horizontal="right" vertical="center"/>
    </xf>
    <xf numFmtId="205" fontId="21" fillId="0" borderId="74" xfId="12" applyNumberFormat="1" applyFont="1" applyFill="1" applyBorder="1" applyAlignment="1">
      <alignment horizontal="right" vertical="center"/>
    </xf>
    <xf numFmtId="169" fontId="21" fillId="0" borderId="0" xfId="12" applyFont="1" applyFill="1" applyAlignment="1">
      <alignment vertical="center"/>
    </xf>
    <xf numFmtId="206" fontId="21" fillId="0" borderId="75" xfId="12" applyNumberFormat="1" applyFont="1" applyFill="1" applyBorder="1" applyAlignment="1">
      <alignment horizontal="center" vertical="center" wrapText="1"/>
    </xf>
    <xf numFmtId="206" fontId="21" fillId="0" borderId="45" xfId="12" applyNumberFormat="1" applyFont="1" applyFill="1" applyBorder="1" applyAlignment="1">
      <alignment horizontal="right" vertical="center"/>
    </xf>
    <xf numFmtId="206" fontId="21" fillId="0" borderId="76" xfId="12" applyNumberFormat="1" applyFont="1" applyFill="1" applyBorder="1" applyAlignment="1">
      <alignment horizontal="right" vertical="center"/>
    </xf>
    <xf numFmtId="206" fontId="21" fillId="0" borderId="55" xfId="12" applyNumberFormat="1" applyFont="1" applyFill="1" applyBorder="1" applyAlignment="1">
      <alignment horizontal="right" vertical="center"/>
    </xf>
    <xf numFmtId="206" fontId="21" fillId="0" borderId="0" xfId="12" applyNumberFormat="1" applyFont="1" applyFill="1" applyBorder="1" applyAlignment="1">
      <alignment vertical="center"/>
    </xf>
    <xf numFmtId="0" fontId="21" fillId="0" borderId="69" xfId="12" applyNumberFormat="1" applyFont="1" applyFill="1" applyBorder="1" applyAlignment="1">
      <alignment horizontal="center" vertical="center" wrapText="1"/>
    </xf>
    <xf numFmtId="0" fontId="21" fillId="0" borderId="77" xfId="11" applyFont="1" applyFill="1" applyBorder="1" applyAlignment="1">
      <alignment horizontal="center" vertical="center" wrapText="1"/>
    </xf>
    <xf numFmtId="206" fontId="21" fillId="0" borderId="78" xfId="12" applyNumberFormat="1" applyFont="1" applyFill="1" applyBorder="1" applyAlignment="1">
      <alignment horizontal="right" vertical="center"/>
    </xf>
    <xf numFmtId="206" fontId="21" fillId="0" borderId="79" xfId="12" applyNumberFormat="1" applyFont="1" applyFill="1" applyBorder="1" applyAlignment="1">
      <alignment horizontal="right" vertical="center"/>
    </xf>
    <xf numFmtId="206" fontId="21" fillId="0" borderId="80" xfId="12" applyNumberFormat="1" applyFont="1" applyFill="1" applyBorder="1" applyAlignment="1">
      <alignment horizontal="right" vertical="center"/>
    </xf>
    <xf numFmtId="0" fontId="20" fillId="0" borderId="0" xfId="12" applyNumberFormat="1" applyFont="1" applyAlignment="1">
      <alignment horizontal="centerContinuous" vertical="center"/>
    </xf>
    <xf numFmtId="0" fontId="21" fillId="0" borderId="0" xfId="12" applyNumberFormat="1" applyFont="1" applyAlignment="1">
      <alignment horizontal="centerContinuous" vertical="center"/>
    </xf>
    <xf numFmtId="169" fontId="11" fillId="0" borderId="0" xfId="12" applyFont="1" applyAlignment="1">
      <alignment vertical="center"/>
    </xf>
    <xf numFmtId="185" fontId="23" fillId="0" borderId="81" xfId="12" applyNumberFormat="1" applyFont="1" applyFill="1" applyBorder="1" applyAlignment="1">
      <alignment vertical="center"/>
    </xf>
    <xf numFmtId="185" fontId="23" fillId="0" borderId="82" xfId="12" applyNumberFormat="1" applyFont="1" applyFill="1" applyBorder="1" applyAlignment="1">
      <alignment horizontal="right" vertical="center"/>
    </xf>
    <xf numFmtId="185" fontId="23" fillId="0" borderId="83" xfId="12" applyNumberFormat="1" applyFont="1" applyFill="1" applyBorder="1" applyAlignment="1">
      <alignment horizontal="right" vertical="center"/>
    </xf>
    <xf numFmtId="185" fontId="23" fillId="0" borderId="84" xfId="12" applyNumberFormat="1" applyFont="1" applyFill="1" applyBorder="1" applyAlignment="1">
      <alignment horizontal="right" vertical="center"/>
    </xf>
    <xf numFmtId="185" fontId="23" fillId="0" borderId="85" xfId="12" applyNumberFormat="1" applyFont="1" applyFill="1" applyBorder="1" applyAlignment="1">
      <alignment horizontal="right" vertical="center"/>
    </xf>
    <xf numFmtId="185" fontId="23" fillId="0" borderId="86" xfId="12" applyNumberFormat="1" applyFont="1" applyFill="1" applyBorder="1" applyAlignment="1">
      <alignment horizontal="right" vertical="center"/>
    </xf>
    <xf numFmtId="185" fontId="23" fillId="0" borderId="87" xfId="12" applyNumberFormat="1" applyFont="1" applyFill="1" applyBorder="1" applyAlignment="1">
      <alignment horizontal="right" vertical="center"/>
    </xf>
    <xf numFmtId="185" fontId="23" fillId="0" borderId="88" xfId="12" applyNumberFormat="1" applyFont="1" applyFill="1" applyBorder="1" applyAlignment="1">
      <alignment horizontal="right" vertical="center"/>
    </xf>
    <xf numFmtId="185" fontId="23" fillId="0" borderId="89" xfId="12" applyNumberFormat="1" applyFont="1" applyFill="1" applyBorder="1" applyAlignment="1">
      <alignment horizontal="right" vertical="center"/>
    </xf>
    <xf numFmtId="185" fontId="23" fillId="0" borderId="14" xfId="12" applyNumberFormat="1" applyFont="1" applyFill="1" applyBorder="1" applyAlignment="1">
      <alignment horizontal="right" vertical="center"/>
    </xf>
    <xf numFmtId="185" fontId="23" fillId="0" borderId="13" xfId="12" applyNumberFormat="1" applyFont="1" applyFill="1" applyBorder="1" applyAlignment="1">
      <alignment horizontal="right" vertical="center"/>
    </xf>
    <xf numFmtId="185" fontId="23" fillId="0" borderId="15" xfId="12" applyNumberFormat="1" applyFont="1" applyFill="1" applyBorder="1" applyAlignment="1">
      <alignment horizontal="right" vertical="center"/>
    </xf>
    <xf numFmtId="185" fontId="23" fillId="0" borderId="16" xfId="12" applyNumberFormat="1" applyFont="1" applyFill="1" applyBorder="1" applyAlignment="1">
      <alignment horizontal="right" vertical="center"/>
    </xf>
    <xf numFmtId="185" fontId="23" fillId="0" borderId="5" xfId="12" applyNumberFormat="1" applyFont="1" applyFill="1" applyBorder="1" applyAlignment="1">
      <alignment vertical="center"/>
    </xf>
    <xf numFmtId="185" fontId="23" fillId="0" borderId="19" xfId="12" applyNumberFormat="1" applyFont="1" applyFill="1" applyBorder="1" applyAlignment="1">
      <alignment horizontal="right" vertical="center"/>
    </xf>
    <xf numFmtId="185" fontId="23" fillId="0" borderId="20" xfId="12" applyNumberFormat="1" applyFont="1" applyFill="1" applyBorder="1" applyAlignment="1">
      <alignment horizontal="right" vertical="center"/>
    </xf>
    <xf numFmtId="185" fontId="23" fillId="0" borderId="41" xfId="12" applyNumberFormat="1" applyFont="1" applyFill="1" applyBorder="1" applyAlignment="1">
      <alignment horizontal="right" vertical="center"/>
    </xf>
    <xf numFmtId="185" fontId="23" fillId="0" borderId="0" xfId="12" applyNumberFormat="1" applyFont="1" applyFill="1" applyBorder="1" applyAlignment="1">
      <alignment horizontal="right" vertical="center"/>
    </xf>
    <xf numFmtId="185" fontId="23" fillId="0" borderId="42" xfId="12" applyNumberFormat="1" applyFont="1" applyFill="1" applyBorder="1" applyAlignment="1">
      <alignment horizontal="right" vertical="center"/>
    </xf>
    <xf numFmtId="185" fontId="23" fillId="0" borderId="43" xfId="12" applyNumberFormat="1" applyFont="1" applyFill="1" applyBorder="1" applyAlignment="1">
      <alignment horizontal="right" vertical="center"/>
    </xf>
    <xf numFmtId="185" fontId="23" fillId="0" borderId="3" xfId="12" applyNumberFormat="1" applyFont="1" applyFill="1" applyBorder="1" applyAlignment="1">
      <alignment vertical="center"/>
    </xf>
    <xf numFmtId="185" fontId="23" fillId="0" borderId="17" xfId="12" applyNumberFormat="1" applyFont="1" applyFill="1" applyBorder="1" applyAlignment="1">
      <alignment horizontal="right" vertical="center"/>
    </xf>
    <xf numFmtId="185" fontId="23" fillId="0" borderId="56" xfId="12" applyNumberFormat="1" applyFont="1" applyFill="1" applyBorder="1" applyAlignment="1">
      <alignment horizontal="right" vertical="center"/>
    </xf>
    <xf numFmtId="185" fontId="23" fillId="0" borderId="56" xfId="13" applyNumberFormat="1" applyFont="1" applyFill="1" applyBorder="1" applyAlignment="1">
      <alignment vertical="center"/>
    </xf>
    <xf numFmtId="185" fontId="23" fillId="0" borderId="0" xfId="12" applyNumberFormat="1" applyFont="1" applyFill="1" applyAlignment="1">
      <alignment vertical="center"/>
    </xf>
    <xf numFmtId="185" fontId="23" fillId="0" borderId="90" xfId="12" applyNumberFormat="1" applyFont="1" applyFill="1" applyBorder="1" applyAlignment="1">
      <alignment vertical="center"/>
    </xf>
    <xf numFmtId="185" fontId="23" fillId="0" borderId="91" xfId="12" applyNumberFormat="1" applyFont="1" applyFill="1" applyBorder="1" applyAlignment="1">
      <alignment vertical="center"/>
    </xf>
    <xf numFmtId="185" fontId="23" fillId="0" borderId="92" xfId="12" applyNumberFormat="1" applyFont="1" applyFill="1" applyBorder="1" applyAlignment="1">
      <alignment horizontal="right" vertical="center"/>
    </xf>
    <xf numFmtId="185" fontId="23" fillId="0" borderId="93" xfId="12" applyNumberFormat="1" applyFont="1" applyFill="1" applyBorder="1" applyAlignment="1">
      <alignment horizontal="right" vertical="center"/>
    </xf>
    <xf numFmtId="185" fontId="23" fillId="0" borderId="94" xfId="12" applyNumberFormat="1" applyFont="1" applyFill="1" applyBorder="1" applyAlignment="1">
      <alignment horizontal="right" vertical="center"/>
    </xf>
    <xf numFmtId="185" fontId="23" fillId="0" borderId="95" xfId="12" applyNumberFormat="1" applyFont="1" applyFill="1" applyBorder="1" applyAlignment="1">
      <alignment horizontal="right" vertical="center"/>
    </xf>
    <xf numFmtId="0" fontId="23" fillId="2" borderId="96" xfId="12" applyNumberFormat="1" applyFont="1" applyFill="1" applyBorder="1" applyAlignment="1">
      <alignment horizontal="centerContinuous" vertical="center"/>
    </xf>
    <xf numFmtId="0" fontId="23" fillId="2" borderId="97" xfId="12" applyNumberFormat="1" applyFont="1" applyFill="1" applyBorder="1" applyAlignment="1">
      <alignment horizontal="centerContinuous" vertical="center"/>
    </xf>
    <xf numFmtId="214" fontId="25" fillId="2" borderId="98" xfId="0" applyNumberFormat="1" applyFont="1" applyFill="1" applyBorder="1" applyAlignment="1">
      <alignment horizontal="center" vertical="center"/>
    </xf>
    <xf numFmtId="214" fontId="25" fillId="2" borderId="99" xfId="0" applyNumberFormat="1" applyFont="1" applyFill="1" applyBorder="1" applyAlignment="1">
      <alignment horizontal="center" vertical="center"/>
    </xf>
    <xf numFmtId="214" fontId="25" fillId="2" borderId="100" xfId="0" applyNumberFormat="1" applyFont="1" applyFill="1" applyBorder="1" applyAlignment="1">
      <alignment horizontal="center" vertical="center"/>
    </xf>
    <xf numFmtId="169" fontId="23" fillId="0" borderId="0" xfId="12" applyFont="1" applyAlignment="1">
      <alignment vertical="center"/>
    </xf>
    <xf numFmtId="185" fontId="23" fillId="0" borderId="83" xfId="13" applyNumberFormat="1" applyFont="1" applyFill="1" applyBorder="1" applyAlignment="1">
      <alignment vertical="center"/>
    </xf>
    <xf numFmtId="185" fontId="23" fillId="0" borderId="87" xfId="12" applyNumberFormat="1" applyFont="1" applyFill="1" applyBorder="1" applyAlignment="1">
      <alignment vertical="center"/>
    </xf>
    <xf numFmtId="185" fontId="23" fillId="0" borderId="101" xfId="12" applyNumberFormat="1" applyFont="1" applyFill="1" applyBorder="1" applyAlignment="1">
      <alignment vertical="center"/>
    </xf>
    <xf numFmtId="185" fontId="23" fillId="0" borderId="13" xfId="12" applyNumberFormat="1" applyFont="1" applyFill="1" applyBorder="1" applyAlignment="1">
      <alignment vertical="center"/>
    </xf>
    <xf numFmtId="185" fontId="23" fillId="0" borderId="87" xfId="13" applyNumberFormat="1" applyFont="1" applyFill="1" applyBorder="1" applyAlignment="1">
      <alignment vertical="center"/>
    </xf>
    <xf numFmtId="185" fontId="23" fillId="0" borderId="0" xfId="12" applyNumberFormat="1" applyFont="1" applyFill="1" applyBorder="1" applyAlignment="1">
      <alignment vertical="center"/>
    </xf>
    <xf numFmtId="185" fontId="23" fillId="0" borderId="57" xfId="12" applyNumberFormat="1" applyFont="1" applyFill="1" applyBorder="1" applyAlignment="1">
      <alignment vertical="center"/>
    </xf>
    <xf numFmtId="185" fontId="23" fillId="0" borderId="93" xfId="12" applyNumberFormat="1" applyFont="1" applyFill="1" applyBorder="1" applyAlignment="1">
      <alignment vertical="center"/>
    </xf>
    <xf numFmtId="185" fontId="11" fillId="0" borderId="0" xfId="12" applyNumberFormat="1" applyFont="1" applyFill="1" applyBorder="1" applyAlignment="1">
      <alignment horizontal="centerContinuous" vertical="center"/>
    </xf>
    <xf numFmtId="185" fontId="23" fillId="0" borderId="0" xfId="12" applyNumberFormat="1" applyFont="1" applyFill="1" applyBorder="1" applyAlignment="1">
      <alignment horizontal="centerContinuous" vertical="center"/>
    </xf>
    <xf numFmtId="185" fontId="20" fillId="0" borderId="0" xfId="12" applyNumberFormat="1" applyFont="1" applyFill="1" applyBorder="1" applyAlignment="1">
      <alignment horizontal="centerContinuous" vertical="center"/>
    </xf>
    <xf numFmtId="0" fontId="23" fillId="0" borderId="5" xfId="12" applyNumberFormat="1" applyFont="1" applyFill="1" applyBorder="1" applyAlignment="1">
      <alignment vertical="center"/>
    </xf>
    <xf numFmtId="0" fontId="23" fillId="0" borderId="87" xfId="12" applyNumberFormat="1" applyFont="1" applyFill="1" applyBorder="1" applyAlignment="1">
      <alignment vertical="center"/>
    </xf>
    <xf numFmtId="169" fontId="23" fillId="0" borderId="0" xfId="12" applyFont="1" applyFill="1" applyAlignment="1">
      <alignment vertical="center"/>
    </xf>
    <xf numFmtId="0" fontId="23" fillId="0" borderId="3" xfId="12" applyNumberFormat="1" applyFont="1" applyFill="1" applyBorder="1" applyAlignment="1">
      <alignment vertical="center"/>
    </xf>
    <xf numFmtId="0" fontId="23" fillId="0" borderId="3" xfId="13" applyNumberFormat="1" applyFont="1" applyFill="1" applyBorder="1" applyAlignment="1">
      <alignment vertical="center"/>
    </xf>
    <xf numFmtId="195" fontId="23" fillId="0" borderId="5" xfId="0" applyNumberFormat="1" applyFont="1" applyFill="1" applyBorder="1" applyAlignment="1">
      <alignment vertical="center"/>
    </xf>
    <xf numFmtId="195" fontId="23" fillId="0" borderId="102" xfId="12" applyNumberFormat="1" applyFont="1" applyFill="1" applyBorder="1" applyAlignment="1">
      <alignment vertical="center"/>
    </xf>
    <xf numFmtId="195" fontId="23" fillId="0" borderId="0" xfId="0" applyNumberFormat="1" applyFont="1" applyFill="1" applyAlignment="1">
      <alignment vertical="center"/>
    </xf>
    <xf numFmtId="195" fontId="23" fillId="0" borderId="103" xfId="12" applyNumberFormat="1" applyFont="1" applyFill="1" applyBorder="1" applyAlignment="1">
      <alignment vertical="center"/>
    </xf>
    <xf numFmtId="195" fontId="23" fillId="0" borderId="104" xfId="12" applyNumberFormat="1" applyFont="1" applyFill="1" applyBorder="1" applyAlignment="1">
      <alignment vertical="center"/>
    </xf>
    <xf numFmtId="0" fontId="23" fillId="0" borderId="47" xfId="12" applyNumberFormat="1" applyFont="1" applyFill="1" applyBorder="1" applyAlignment="1">
      <alignment vertical="center"/>
    </xf>
    <xf numFmtId="169" fontId="23" fillId="0" borderId="0" xfId="12" applyFont="1" applyFill="1" applyBorder="1" applyAlignment="1">
      <alignment vertical="center"/>
    </xf>
    <xf numFmtId="0" fontId="23" fillId="0" borderId="5" xfId="13" applyNumberFormat="1" applyFont="1" applyFill="1" applyBorder="1" applyAlignment="1">
      <alignment vertical="center"/>
    </xf>
    <xf numFmtId="169" fontId="23" fillId="0" borderId="0" xfId="13" applyFont="1" applyFill="1" applyAlignment="1">
      <alignment vertical="center"/>
    </xf>
    <xf numFmtId="195" fontId="23" fillId="0" borderId="105" xfId="12" applyNumberFormat="1" applyFont="1" applyFill="1" applyBorder="1" applyAlignment="1">
      <alignment vertical="center"/>
    </xf>
    <xf numFmtId="0" fontId="23" fillId="0" borderId="56" xfId="12" applyNumberFormat="1" applyFont="1" applyFill="1" applyBorder="1" applyAlignment="1">
      <alignment vertical="center"/>
    </xf>
    <xf numFmtId="0" fontId="23" fillId="0" borderId="78" xfId="13" applyNumberFormat="1" applyFont="1" applyFill="1" applyBorder="1" applyAlignment="1">
      <alignment vertical="center"/>
    </xf>
    <xf numFmtId="195" fontId="23" fillId="0" borderId="106" xfId="12" applyNumberFormat="1" applyFont="1" applyFill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21" fillId="0" borderId="23" xfId="0" applyFont="1" applyBorder="1" applyAlignment="1">
      <alignment vertical="center"/>
    </xf>
    <xf numFmtId="0" fontId="21" fillId="0" borderId="5" xfId="0" applyFont="1" applyFill="1" applyBorder="1" applyAlignment="1">
      <alignment vertical="center"/>
    </xf>
    <xf numFmtId="0" fontId="21" fillId="0" borderId="23" xfId="0" applyFont="1" applyFill="1" applyBorder="1" applyAlignment="1">
      <alignment vertical="center"/>
    </xf>
    <xf numFmtId="0" fontId="21" fillId="0" borderId="22" xfId="0" applyFont="1" applyFill="1" applyBorder="1" applyAlignment="1">
      <alignment vertical="center"/>
    </xf>
    <xf numFmtId="185" fontId="21" fillId="0" borderId="21" xfId="10" quotePrefix="1" applyNumberFormat="1" applyFont="1" applyFill="1" applyBorder="1" applyAlignment="1">
      <alignment horizontal="right" vertical="center"/>
    </xf>
    <xf numFmtId="185" fontId="21" fillId="0" borderId="23" xfId="10" quotePrefix="1" applyNumberFormat="1" applyFont="1" applyFill="1" applyBorder="1" applyAlignment="1">
      <alignment horizontal="right" vertical="center"/>
    </xf>
    <xf numFmtId="185" fontId="21" fillId="0" borderId="24" xfId="10" quotePrefix="1" applyNumberFormat="1" applyFont="1" applyFill="1" applyBorder="1" applyAlignment="1">
      <alignment horizontal="right" vertical="center"/>
    </xf>
    <xf numFmtId="0" fontId="21" fillId="0" borderId="0" xfId="0" applyFont="1" applyFill="1" applyAlignment="1">
      <alignment vertical="center"/>
    </xf>
    <xf numFmtId="0" fontId="21" fillId="0" borderId="30" xfId="0" applyFont="1" applyBorder="1" applyAlignment="1">
      <alignment vertical="center"/>
    </xf>
    <xf numFmtId="0" fontId="21" fillId="0" borderId="36" xfId="0" applyFont="1" applyBorder="1" applyAlignment="1">
      <alignment vertical="center"/>
    </xf>
    <xf numFmtId="38" fontId="21" fillId="0" borderId="34" xfId="10" applyFont="1" applyFill="1" applyBorder="1" applyAlignment="1">
      <alignment vertical="center"/>
    </xf>
    <xf numFmtId="185" fontId="21" fillId="0" borderId="23" xfId="0" applyNumberFormat="1" applyFont="1" applyFill="1" applyBorder="1" applyAlignment="1">
      <alignment vertical="center"/>
    </xf>
    <xf numFmtId="185" fontId="21" fillId="0" borderId="24" xfId="0" applyNumberFormat="1" applyFont="1" applyFill="1" applyBorder="1" applyAlignment="1">
      <alignment vertical="center"/>
    </xf>
    <xf numFmtId="0" fontId="21" fillId="0" borderId="47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185" fontId="21" fillId="0" borderId="0" xfId="0" applyNumberFormat="1" applyFont="1" applyAlignment="1">
      <alignment vertical="center"/>
    </xf>
    <xf numFmtId="38" fontId="21" fillId="0" borderId="19" xfId="10" applyFont="1" applyBorder="1" applyAlignment="1">
      <alignment vertical="center"/>
    </xf>
    <xf numFmtId="0" fontId="21" fillId="0" borderId="42" xfId="0" applyFont="1" applyBorder="1" applyAlignment="1">
      <alignment vertical="center"/>
    </xf>
    <xf numFmtId="0" fontId="21" fillId="0" borderId="38" xfId="0" applyFont="1" applyBorder="1" applyAlignment="1">
      <alignment vertical="center"/>
    </xf>
    <xf numFmtId="38" fontId="21" fillId="0" borderId="107" xfId="10" applyFont="1" applyBorder="1" applyAlignment="1">
      <alignment vertical="center"/>
    </xf>
    <xf numFmtId="185" fontId="21" fillId="0" borderId="108" xfId="0" applyNumberFormat="1" applyFont="1" applyBorder="1" applyAlignment="1">
      <alignment vertical="center"/>
    </xf>
    <xf numFmtId="38" fontId="21" fillId="0" borderId="30" xfId="10" applyFont="1" applyBorder="1" applyAlignment="1">
      <alignment vertical="center"/>
    </xf>
    <xf numFmtId="38" fontId="21" fillId="0" borderId="23" xfId="10" applyFont="1" applyBorder="1" applyAlignment="1">
      <alignment vertical="center"/>
    </xf>
    <xf numFmtId="38" fontId="21" fillId="0" borderId="109" xfId="10" applyFont="1" applyBorder="1" applyAlignment="1">
      <alignment vertical="center"/>
    </xf>
    <xf numFmtId="0" fontId="22" fillId="0" borderId="45" xfId="0" applyFont="1" applyBorder="1" applyAlignment="1">
      <alignment vertical="center"/>
    </xf>
    <xf numFmtId="0" fontId="21" fillId="0" borderId="81" xfId="0" applyFont="1" applyBorder="1" applyAlignment="1">
      <alignment vertical="center"/>
    </xf>
    <xf numFmtId="0" fontId="21" fillId="0" borderId="90" xfId="0" applyFont="1" applyBorder="1" applyAlignment="1">
      <alignment vertical="center"/>
    </xf>
    <xf numFmtId="185" fontId="21" fillId="0" borderId="86" xfId="10" applyNumberFormat="1" applyFont="1" applyBorder="1" applyAlignment="1">
      <alignment vertical="center"/>
    </xf>
    <xf numFmtId="185" fontId="21" fillId="0" borderId="86" xfId="10" applyNumberFormat="1" applyFont="1" applyBorder="1" applyAlignment="1">
      <alignment horizontal="right" vertical="center"/>
    </xf>
    <xf numFmtId="185" fontId="21" fillId="0" borderId="88" xfId="10" applyNumberFormat="1" applyFont="1" applyBorder="1" applyAlignment="1">
      <alignment vertical="center"/>
    </xf>
    <xf numFmtId="185" fontId="21" fillId="0" borderId="89" xfId="10" applyNumberFormat="1" applyFont="1" applyBorder="1" applyAlignment="1">
      <alignment vertical="center"/>
    </xf>
    <xf numFmtId="0" fontId="21" fillId="0" borderId="109" xfId="0" applyFont="1" applyBorder="1" applyAlignment="1">
      <alignment vertical="center"/>
    </xf>
    <xf numFmtId="185" fontId="21" fillId="0" borderId="41" xfId="10" applyNumberFormat="1" applyFont="1" applyBorder="1" applyAlignment="1">
      <alignment vertical="center"/>
    </xf>
    <xf numFmtId="185" fontId="21" fillId="0" borderId="42" xfId="10" applyNumberFormat="1" applyFont="1" applyBorder="1" applyAlignment="1">
      <alignment vertical="center"/>
    </xf>
    <xf numFmtId="185" fontId="21" fillId="0" borderId="43" xfId="10" applyNumberFormat="1" applyFont="1" applyBorder="1" applyAlignment="1">
      <alignment vertical="center"/>
    </xf>
    <xf numFmtId="185" fontId="21" fillId="0" borderId="14" xfId="10" applyNumberFormat="1" applyFont="1" applyBorder="1" applyAlignment="1">
      <alignment vertical="center"/>
    </xf>
    <xf numFmtId="185" fontId="21" fillId="0" borderId="15" xfId="10" applyNumberFormat="1" applyFont="1" applyBorder="1" applyAlignment="1">
      <alignment vertical="center"/>
    </xf>
    <xf numFmtId="185" fontId="21" fillId="0" borderId="16" xfId="10" applyNumberFormat="1" applyFont="1" applyBorder="1" applyAlignment="1">
      <alignment vertical="center"/>
    </xf>
    <xf numFmtId="0" fontId="26" fillId="0" borderId="3" xfId="0" applyFont="1" applyBorder="1" applyAlignment="1">
      <alignment vertical="center"/>
    </xf>
    <xf numFmtId="185" fontId="5" fillId="0" borderId="0" xfId="0" applyNumberFormat="1" applyFont="1" applyBorder="1" applyAlignment="1">
      <alignment vertical="center"/>
    </xf>
    <xf numFmtId="0" fontId="8" fillId="2" borderId="110" xfId="0" applyFont="1" applyFill="1" applyBorder="1" applyAlignment="1">
      <alignment horizontal="centerContinuous" vertical="center"/>
    </xf>
    <xf numFmtId="185" fontId="8" fillId="2" borderId="111" xfId="0" applyNumberFormat="1" applyFont="1" applyFill="1" applyBorder="1" applyAlignment="1">
      <alignment horizontal="center" vertical="center"/>
    </xf>
    <xf numFmtId="185" fontId="7" fillId="0" borderId="88" xfId="9" applyNumberFormat="1" applyFont="1" applyFill="1" applyBorder="1" applyAlignment="1">
      <alignment horizontal="right" vertical="center"/>
    </xf>
    <xf numFmtId="185" fontId="7" fillId="0" borderId="42" xfId="9" applyNumberFormat="1" applyFont="1" applyFill="1" applyBorder="1" applyAlignment="1">
      <alignment horizontal="right" vertical="center"/>
    </xf>
    <xf numFmtId="185" fontId="7" fillId="0" borderId="19" xfId="9" applyNumberFormat="1" applyFont="1" applyFill="1" applyBorder="1" applyAlignment="1">
      <alignment horizontal="right" vertical="center"/>
    </xf>
    <xf numFmtId="185" fontId="7" fillId="0" borderId="23" xfId="9" applyNumberFormat="1" applyFont="1" applyFill="1" applyBorder="1" applyAlignment="1">
      <alignment horizontal="right" vertical="center"/>
    </xf>
    <xf numFmtId="185" fontId="7" fillId="0" borderId="94" xfId="9" applyNumberFormat="1" applyFont="1" applyFill="1" applyBorder="1" applyAlignment="1">
      <alignment horizontal="right" vertical="center"/>
    </xf>
    <xf numFmtId="185" fontId="7" fillId="0" borderId="86" xfId="9" applyNumberFormat="1" applyFont="1" applyFill="1" applyBorder="1" applyAlignment="1">
      <alignment horizontal="right" vertical="center"/>
    </xf>
    <xf numFmtId="190" fontId="7" fillId="0" borderId="86" xfId="9" applyNumberFormat="1" applyFont="1" applyFill="1" applyBorder="1" applyAlignment="1">
      <alignment horizontal="right" vertical="center"/>
    </xf>
    <xf numFmtId="185" fontId="7" fillId="0" borderId="41" xfId="9" applyNumberFormat="1" applyFont="1" applyFill="1" applyBorder="1" applyAlignment="1">
      <alignment horizontal="right" vertical="center"/>
    </xf>
    <xf numFmtId="190" fontId="7" fillId="0" borderId="41" xfId="9" applyNumberFormat="1" applyFont="1" applyFill="1" applyBorder="1" applyAlignment="1">
      <alignment horizontal="right" vertical="center"/>
    </xf>
    <xf numFmtId="185" fontId="7" fillId="0" borderId="32" xfId="9" applyNumberFormat="1" applyFont="1" applyFill="1" applyBorder="1" applyAlignment="1">
      <alignment horizontal="right" vertical="center"/>
    </xf>
    <xf numFmtId="190" fontId="7" fillId="0" borderId="30" xfId="9" applyNumberFormat="1" applyFont="1" applyFill="1" applyBorder="1" applyAlignment="1">
      <alignment horizontal="right" vertical="center"/>
    </xf>
    <xf numFmtId="185" fontId="7" fillId="0" borderId="21" xfId="9" applyNumberFormat="1" applyFont="1" applyFill="1" applyBorder="1" applyAlignment="1">
      <alignment horizontal="right" vertical="center"/>
    </xf>
    <xf numFmtId="190" fontId="7" fillId="0" borderId="23" xfId="9" applyNumberFormat="1" applyFont="1" applyFill="1" applyBorder="1" applyAlignment="1">
      <alignment horizontal="right" vertical="center"/>
    </xf>
    <xf numFmtId="190" fontId="7" fillId="0" borderId="88" xfId="9" applyNumberFormat="1" applyFont="1" applyFill="1" applyBorder="1" applyAlignment="1">
      <alignment horizontal="right" vertical="center"/>
    </xf>
    <xf numFmtId="190" fontId="7" fillId="0" borderId="42" xfId="9" applyNumberFormat="1" applyFont="1" applyFill="1" applyBorder="1" applyAlignment="1">
      <alignment horizontal="right" vertical="center"/>
    </xf>
    <xf numFmtId="185" fontId="7" fillId="0" borderId="17" xfId="9" applyNumberFormat="1" applyFont="1" applyFill="1" applyBorder="1" applyAlignment="1">
      <alignment horizontal="right" vertical="center"/>
    </xf>
    <xf numFmtId="190" fontId="7" fillId="0" borderId="19" xfId="9" applyNumberFormat="1" applyFont="1" applyFill="1" applyBorder="1" applyAlignment="1">
      <alignment horizontal="right" vertical="center"/>
    </xf>
    <xf numFmtId="185" fontId="7" fillId="0" borderId="92" xfId="9" applyNumberFormat="1" applyFont="1" applyFill="1" applyBorder="1" applyAlignment="1">
      <alignment horizontal="right" vertical="center"/>
    </xf>
    <xf numFmtId="190" fontId="7" fillId="0" borderId="94" xfId="9" applyNumberFormat="1" applyFont="1" applyFill="1" applyBorder="1" applyAlignment="1">
      <alignment horizontal="right" vertical="center"/>
    </xf>
    <xf numFmtId="185" fontId="7" fillId="0" borderId="87" xfId="9" applyNumberFormat="1" applyFont="1" applyFill="1" applyBorder="1" applyAlignment="1">
      <alignment horizontal="right" vertical="center"/>
    </xf>
    <xf numFmtId="185" fontId="7" fillId="0" borderId="0" xfId="9" applyNumberFormat="1" applyFont="1" applyFill="1" applyBorder="1" applyAlignment="1">
      <alignment horizontal="right" vertical="center"/>
    </xf>
    <xf numFmtId="169" fontId="9" fillId="2" borderId="112" xfId="12" applyFont="1" applyFill="1" applyBorder="1" applyAlignment="1">
      <alignment horizontal="centerContinuous" vertical="center"/>
    </xf>
    <xf numFmtId="190" fontId="7" fillId="0" borderId="43" xfId="9" applyNumberFormat="1" applyFont="1" applyFill="1" applyBorder="1" applyAlignment="1">
      <alignment horizontal="right" vertical="center"/>
    </xf>
    <xf numFmtId="190" fontId="7" fillId="0" borderId="95" xfId="9" applyNumberFormat="1" applyFont="1" applyFill="1" applyBorder="1" applyAlignment="1">
      <alignment horizontal="right" vertical="center"/>
    </xf>
    <xf numFmtId="214" fontId="8" fillId="2" borderId="98" xfId="0" applyNumberFormat="1" applyFont="1" applyFill="1" applyBorder="1" applyAlignment="1">
      <alignment horizontal="centerContinuous" vertical="center"/>
    </xf>
    <xf numFmtId="214" fontId="8" fillId="2" borderId="110" xfId="0" applyNumberFormat="1" applyFont="1" applyFill="1" applyBorder="1" applyAlignment="1">
      <alignment horizontal="centerContinuous" vertical="center"/>
    </xf>
    <xf numFmtId="185" fontId="8" fillId="2" borderId="113" xfId="0" applyNumberFormat="1" applyFont="1" applyFill="1" applyBorder="1" applyAlignment="1">
      <alignment horizontal="center" vertical="center"/>
    </xf>
    <xf numFmtId="0" fontId="8" fillId="2" borderId="111" xfId="0" applyFont="1" applyFill="1" applyBorder="1" applyAlignment="1">
      <alignment horizontal="center" vertical="center"/>
    </xf>
    <xf numFmtId="0" fontId="8" fillId="2" borderId="114" xfId="0" applyFont="1" applyFill="1" applyBorder="1" applyAlignment="1">
      <alignment horizontal="center" vertical="center"/>
    </xf>
    <xf numFmtId="0" fontId="23" fillId="2" borderId="115" xfId="12" applyNumberFormat="1" applyFont="1" applyFill="1" applyBorder="1" applyAlignment="1">
      <alignment horizontal="centerContinuous" vertical="center"/>
    </xf>
    <xf numFmtId="190" fontId="7" fillId="0" borderId="24" xfId="9" applyNumberFormat="1" applyFont="1" applyFill="1" applyBorder="1" applyAlignment="1">
      <alignment horizontal="right" vertical="center"/>
    </xf>
    <xf numFmtId="190" fontId="7" fillId="0" borderId="89" xfId="9" applyNumberFormat="1" applyFont="1" applyFill="1" applyBorder="1" applyAlignment="1">
      <alignment horizontal="right" vertical="center"/>
    </xf>
    <xf numFmtId="190" fontId="7" fillId="0" borderId="39" xfId="9" applyNumberFormat="1" applyFont="1" applyFill="1" applyBorder="1" applyAlignment="1">
      <alignment horizontal="right" vertical="center"/>
    </xf>
    <xf numFmtId="0" fontId="23" fillId="2" borderId="116" xfId="12" applyNumberFormat="1" applyFont="1" applyFill="1" applyBorder="1" applyAlignment="1">
      <alignment horizontal="centerContinuous" vertical="center"/>
    </xf>
    <xf numFmtId="38" fontId="21" fillId="0" borderId="117" xfId="10" applyFont="1" applyBorder="1" applyAlignment="1">
      <alignment vertical="center"/>
    </xf>
    <xf numFmtId="185" fontId="21" fillId="0" borderId="118" xfId="0" applyNumberFormat="1" applyFont="1" applyBorder="1" applyAlignment="1">
      <alignment vertical="center"/>
    </xf>
    <xf numFmtId="185" fontId="21" fillId="0" borderId="119" xfId="0" applyNumberFormat="1" applyFont="1" applyBorder="1" applyAlignment="1">
      <alignment vertical="center"/>
    </xf>
    <xf numFmtId="185" fontId="21" fillId="0" borderId="120" xfId="0" applyNumberFormat="1" applyFont="1" applyBorder="1" applyAlignment="1">
      <alignment vertical="center"/>
    </xf>
    <xf numFmtId="0" fontId="27" fillId="0" borderId="48" xfId="0" applyFont="1" applyBorder="1" applyAlignment="1">
      <alignment vertical="center"/>
    </xf>
    <xf numFmtId="38" fontId="28" fillId="0" borderId="117" xfId="10" applyFont="1" applyBorder="1" applyAlignment="1">
      <alignment vertical="center"/>
    </xf>
    <xf numFmtId="0" fontId="28" fillId="0" borderId="45" xfId="0" applyFont="1" applyBorder="1" applyAlignment="1">
      <alignment vertical="center"/>
    </xf>
  </cellXfs>
  <cellStyles count="14">
    <cellStyle name="Calc Currency (0)" xfId="1"/>
    <cellStyle name="Comma [0]" xfId="10" builtinId="6"/>
    <cellStyle name="entry" xfId="2"/>
    <cellStyle name="Header1" xfId="3"/>
    <cellStyle name="Header2" xfId="4"/>
    <cellStyle name="Normal" xfId="0" builtinId="0"/>
    <cellStyle name="Percent" xfId="9" builtinId="5"/>
    <cellStyle name="price" xfId="5"/>
    <cellStyle name="revised" xfId="6"/>
    <cellStyle name="section" xfId="7"/>
    <cellStyle name="title" xfId="8"/>
    <cellStyle name="標準_2001年3月期決算補足資料（英語完成版）" xfId="11"/>
    <cellStyle name="標準_PROFIT &amp; LOSS" xfId="12"/>
    <cellStyle name="標準_連結財務データ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L71"/>
  <sheetViews>
    <sheetView showGridLines="0" tabSelected="1" zoomScale="75" zoomScaleNormal="75" workbookViewId="0">
      <selection activeCell="D2" sqref="D2"/>
    </sheetView>
  </sheetViews>
  <sheetFormatPr defaultColWidth="9" defaultRowHeight="13"/>
  <cols>
    <col min="1" max="1" width="0.7265625" style="3" customWidth="1"/>
    <col min="2" max="3" width="2.08984375" style="3" customWidth="1"/>
    <col min="4" max="4" width="30.26953125" style="3" customWidth="1"/>
    <col min="5" max="12" width="13.6328125" style="3" customWidth="1"/>
    <col min="13" max="16384" width="9" style="3"/>
  </cols>
  <sheetData>
    <row r="1" spans="2:12" s="42" customFormat="1" ht="18.75" customHeight="1">
      <c r="B1" s="40" t="s">
        <v>0</v>
      </c>
      <c r="C1" s="40"/>
      <c r="D1" s="40"/>
      <c r="E1" s="40"/>
      <c r="F1" s="40"/>
      <c r="G1" s="40"/>
      <c r="H1" s="40"/>
      <c r="I1" s="40"/>
      <c r="J1" s="41"/>
      <c r="K1" s="41"/>
      <c r="L1" s="41"/>
    </row>
    <row r="2" spans="2:12" ht="22.5" customHeight="1" thickBot="1">
      <c r="B2" s="4"/>
      <c r="C2" s="4"/>
      <c r="D2" s="4"/>
      <c r="E2" s="4"/>
      <c r="F2" s="4"/>
      <c r="G2" s="4"/>
      <c r="H2" s="4"/>
      <c r="I2" s="5"/>
      <c r="L2" s="16" t="s">
        <v>83</v>
      </c>
    </row>
    <row r="3" spans="2:12" s="42" customFormat="1" ht="15.65" customHeight="1" thickBot="1">
      <c r="B3" s="43" t="s">
        <v>229</v>
      </c>
      <c r="C3" s="44"/>
      <c r="D3" s="45"/>
      <c r="E3" s="46">
        <v>34759</v>
      </c>
      <c r="F3" s="46">
        <v>35125</v>
      </c>
      <c r="G3" s="46">
        <v>35490</v>
      </c>
      <c r="H3" s="46">
        <v>35855</v>
      </c>
      <c r="I3" s="46">
        <v>36220</v>
      </c>
      <c r="J3" s="46">
        <v>36586</v>
      </c>
      <c r="K3" s="47">
        <v>36951</v>
      </c>
      <c r="L3" s="48">
        <v>37316</v>
      </c>
    </row>
    <row r="4" spans="2:12" s="42" customFormat="1" ht="15.65" customHeight="1" thickTop="1">
      <c r="B4" s="49" t="s">
        <v>98</v>
      </c>
      <c r="C4" s="50"/>
      <c r="D4" s="50"/>
      <c r="E4" s="51">
        <v>172793</v>
      </c>
      <c r="F4" s="51">
        <v>236811</v>
      </c>
      <c r="G4" s="51">
        <v>227143</v>
      </c>
      <c r="H4" s="51">
        <v>265269</v>
      </c>
      <c r="I4" s="51">
        <v>278861</v>
      </c>
      <c r="J4" s="51">
        <v>266570</v>
      </c>
      <c r="K4" s="52">
        <v>274585</v>
      </c>
      <c r="L4" s="53">
        <v>274539</v>
      </c>
    </row>
    <row r="5" spans="2:12" s="42" customFormat="1" ht="15.65" customHeight="1">
      <c r="B5" s="54"/>
      <c r="C5" s="55" t="s">
        <v>1</v>
      </c>
      <c r="D5" s="56"/>
      <c r="E5" s="57">
        <v>69122</v>
      </c>
      <c r="F5" s="57">
        <v>101389</v>
      </c>
      <c r="G5" s="57">
        <v>83424</v>
      </c>
      <c r="H5" s="57">
        <v>101410</v>
      </c>
      <c r="I5" s="57">
        <v>97412</v>
      </c>
      <c r="J5" s="57">
        <v>90776</v>
      </c>
      <c r="K5" s="58">
        <v>87607</v>
      </c>
      <c r="L5" s="59">
        <v>82847</v>
      </c>
    </row>
    <row r="6" spans="2:12" s="42" customFormat="1" ht="15.65" customHeight="1">
      <c r="B6" s="54"/>
      <c r="C6" s="60" t="s">
        <v>199</v>
      </c>
      <c r="D6" s="61"/>
      <c r="E6" s="62">
        <v>59224</v>
      </c>
      <c r="F6" s="62">
        <v>83396</v>
      </c>
      <c r="G6" s="62">
        <v>80634</v>
      </c>
      <c r="H6" s="62">
        <v>91381</v>
      </c>
      <c r="I6" s="62">
        <v>109887</v>
      </c>
      <c r="J6" s="62">
        <v>106113</v>
      </c>
      <c r="K6" s="63">
        <v>130417</v>
      </c>
      <c r="L6" s="64">
        <v>126488</v>
      </c>
    </row>
    <row r="7" spans="2:12" s="42" customFormat="1" ht="15.65" customHeight="1">
      <c r="B7" s="54"/>
      <c r="C7" s="60" t="s">
        <v>200</v>
      </c>
      <c r="D7" s="61"/>
      <c r="E7" s="62">
        <v>34534</v>
      </c>
      <c r="F7" s="62">
        <v>46689</v>
      </c>
      <c r="G7" s="62">
        <v>59807</v>
      </c>
      <c r="H7" s="62">
        <v>62973</v>
      </c>
      <c r="I7" s="62">
        <v>58374</v>
      </c>
      <c r="J7" s="62">
        <v>43545</v>
      </c>
      <c r="K7" s="63">
        <v>31725</v>
      </c>
      <c r="L7" s="64">
        <v>35491</v>
      </c>
    </row>
    <row r="8" spans="2:12" s="42" customFormat="1" ht="15.65" customHeight="1">
      <c r="B8" s="54"/>
      <c r="C8" s="65" t="s">
        <v>153</v>
      </c>
      <c r="D8" s="61"/>
      <c r="E8" s="66"/>
      <c r="F8" s="66"/>
      <c r="G8" s="66"/>
      <c r="H8" s="66"/>
      <c r="I8" s="66"/>
      <c r="J8" s="66">
        <v>12613</v>
      </c>
      <c r="K8" s="67">
        <v>9287</v>
      </c>
      <c r="L8" s="68">
        <v>8327</v>
      </c>
    </row>
    <row r="9" spans="2:12" s="42" customFormat="1" ht="15.65" customHeight="1">
      <c r="B9" s="54"/>
      <c r="C9" s="65" t="s">
        <v>104</v>
      </c>
      <c r="D9" s="61"/>
      <c r="E9" s="66">
        <v>2206</v>
      </c>
      <c r="F9" s="66">
        <v>2268</v>
      </c>
      <c r="G9" s="66">
        <v>2576</v>
      </c>
      <c r="H9" s="66">
        <v>2943</v>
      </c>
      <c r="I9" s="66"/>
      <c r="J9" s="66"/>
      <c r="K9" s="67"/>
      <c r="L9" s="68"/>
    </row>
    <row r="10" spans="2:12" s="42" customFormat="1" ht="15.65" customHeight="1">
      <c r="B10" s="54"/>
      <c r="C10" s="65" t="s">
        <v>106</v>
      </c>
      <c r="D10" s="61"/>
      <c r="E10" s="62">
        <v>8035</v>
      </c>
      <c r="F10" s="62">
        <v>3506</v>
      </c>
      <c r="G10" s="62">
        <v>1135</v>
      </c>
      <c r="H10" s="62">
        <v>7081</v>
      </c>
      <c r="I10" s="62">
        <v>13720</v>
      </c>
      <c r="J10" s="62">
        <v>13931</v>
      </c>
      <c r="K10" s="63">
        <v>15667</v>
      </c>
      <c r="L10" s="64">
        <v>22434</v>
      </c>
    </row>
    <row r="11" spans="2:12" s="42" customFormat="1" ht="15.65" customHeight="1">
      <c r="B11" s="54"/>
      <c r="C11" s="69" t="s">
        <v>107</v>
      </c>
      <c r="E11" s="51">
        <v>-328</v>
      </c>
      <c r="F11" s="51">
        <v>-438</v>
      </c>
      <c r="G11" s="51">
        <v>-434</v>
      </c>
      <c r="H11" s="51">
        <v>-520</v>
      </c>
      <c r="I11" s="51">
        <v>-532</v>
      </c>
      <c r="J11" s="51">
        <v>-410</v>
      </c>
      <c r="K11" s="52">
        <v>-120</v>
      </c>
      <c r="L11" s="53">
        <v>-1050</v>
      </c>
    </row>
    <row r="12" spans="2:12" s="42" customFormat="1" ht="15.65" customHeight="1">
      <c r="B12" s="70" t="s">
        <v>2</v>
      </c>
      <c r="C12" s="71"/>
      <c r="D12" s="72"/>
      <c r="E12" s="73">
        <v>551174</v>
      </c>
      <c r="F12" s="73">
        <v>577234</v>
      </c>
      <c r="G12" s="73">
        <v>627242</v>
      </c>
      <c r="H12" s="73">
        <v>635423</v>
      </c>
      <c r="I12" s="73">
        <v>723943</v>
      </c>
      <c r="J12" s="73">
        <v>805082</v>
      </c>
      <c r="K12" s="74">
        <v>811832</v>
      </c>
      <c r="L12" s="75">
        <v>839200</v>
      </c>
    </row>
    <row r="13" spans="2:12" s="42" customFormat="1" ht="15.65" customHeight="1">
      <c r="B13" s="76"/>
      <c r="C13" s="77" t="s">
        <v>3</v>
      </c>
      <c r="D13" s="78"/>
      <c r="E13" s="79">
        <v>395644</v>
      </c>
      <c r="F13" s="79">
        <v>393923</v>
      </c>
      <c r="G13" s="79">
        <v>424748</v>
      </c>
      <c r="H13" s="79">
        <v>431702</v>
      </c>
      <c r="I13" s="79">
        <v>517381</v>
      </c>
      <c r="J13" s="79">
        <v>426163</v>
      </c>
      <c r="K13" s="80">
        <v>395094</v>
      </c>
      <c r="L13" s="81">
        <v>401645</v>
      </c>
    </row>
    <row r="14" spans="2:12" s="42" customFormat="1" ht="15.65" customHeight="1">
      <c r="B14" s="76"/>
      <c r="C14" s="82"/>
      <c r="D14" s="83" t="s">
        <v>4</v>
      </c>
      <c r="E14" s="84">
        <v>189375</v>
      </c>
      <c r="F14" s="84">
        <v>208484</v>
      </c>
      <c r="G14" s="84">
        <v>243205</v>
      </c>
      <c r="H14" s="84">
        <v>215976</v>
      </c>
      <c r="I14" s="84">
        <v>210189</v>
      </c>
      <c r="J14" s="84">
        <v>205449</v>
      </c>
      <c r="K14" s="85">
        <v>204477</v>
      </c>
      <c r="L14" s="86">
        <v>194116</v>
      </c>
    </row>
    <row r="15" spans="2:12" s="42" customFormat="1" ht="15.65" customHeight="1">
      <c r="B15" s="76"/>
      <c r="C15" s="82"/>
      <c r="D15" s="83" t="s">
        <v>5</v>
      </c>
      <c r="E15" s="84">
        <v>84230</v>
      </c>
      <c r="F15" s="84">
        <v>83122</v>
      </c>
      <c r="G15" s="84">
        <v>90653</v>
      </c>
      <c r="H15" s="84">
        <v>90047</v>
      </c>
      <c r="I15" s="84">
        <v>100742</v>
      </c>
      <c r="J15" s="84">
        <v>97247</v>
      </c>
      <c r="K15" s="85">
        <v>100893</v>
      </c>
      <c r="L15" s="86">
        <v>98445</v>
      </c>
    </row>
    <row r="16" spans="2:12" s="42" customFormat="1" ht="15.65" customHeight="1">
      <c r="B16" s="76"/>
      <c r="C16" s="82"/>
      <c r="D16" s="83" t="s">
        <v>111</v>
      </c>
      <c r="E16" s="84">
        <v>7736</v>
      </c>
      <c r="F16" s="84">
        <v>7250</v>
      </c>
      <c r="G16" s="84">
        <v>9685</v>
      </c>
      <c r="H16" s="84">
        <v>9783</v>
      </c>
      <c r="I16" s="84"/>
      <c r="J16" s="84"/>
      <c r="K16" s="85"/>
      <c r="L16" s="86"/>
    </row>
    <row r="17" spans="2:12" s="42" customFormat="1" ht="15.65" customHeight="1">
      <c r="B17" s="76"/>
      <c r="C17" s="82"/>
      <c r="D17" s="83" t="s">
        <v>112</v>
      </c>
      <c r="E17" s="84">
        <v>1</v>
      </c>
      <c r="F17" s="84">
        <v>1</v>
      </c>
      <c r="G17" s="84">
        <v>0</v>
      </c>
      <c r="H17" s="84">
        <v>11</v>
      </c>
      <c r="I17" s="84"/>
      <c r="J17" s="84"/>
      <c r="K17" s="85"/>
      <c r="L17" s="86"/>
    </row>
    <row r="18" spans="2:12" s="42" customFormat="1" ht="15.65" customHeight="1">
      <c r="B18" s="76"/>
      <c r="C18" s="82"/>
      <c r="D18" s="83" t="s">
        <v>6</v>
      </c>
      <c r="E18" s="84"/>
      <c r="F18" s="84"/>
      <c r="G18" s="84"/>
      <c r="H18" s="84"/>
      <c r="I18" s="84">
        <v>12411</v>
      </c>
      <c r="J18" s="84">
        <v>12487</v>
      </c>
      <c r="K18" s="85">
        <v>13798</v>
      </c>
      <c r="L18" s="86">
        <v>13179</v>
      </c>
    </row>
    <row r="19" spans="2:12" s="42" customFormat="1" ht="15.65" customHeight="1">
      <c r="B19" s="76"/>
      <c r="C19" s="82"/>
      <c r="D19" s="83" t="s">
        <v>7</v>
      </c>
      <c r="E19" s="84">
        <v>6208</v>
      </c>
      <c r="F19" s="84">
        <v>10200</v>
      </c>
      <c r="G19" s="84">
        <v>11195</v>
      </c>
      <c r="H19" s="84">
        <v>11056</v>
      </c>
      <c r="I19" s="84">
        <v>11998</v>
      </c>
      <c r="J19" s="84">
        <v>11115</v>
      </c>
      <c r="K19" s="85">
        <v>11105</v>
      </c>
      <c r="L19" s="86">
        <v>9881</v>
      </c>
    </row>
    <row r="20" spans="2:12" s="42" customFormat="1" ht="15.65" customHeight="1">
      <c r="B20" s="76"/>
      <c r="C20" s="82"/>
      <c r="D20" s="83" t="s">
        <v>113</v>
      </c>
      <c r="E20" s="62">
        <v>19025</v>
      </c>
      <c r="F20" s="62">
        <v>19025</v>
      </c>
      <c r="G20" s="62">
        <v>19025</v>
      </c>
      <c r="H20" s="62">
        <v>19025</v>
      </c>
      <c r="I20" s="62">
        <v>44081</v>
      </c>
      <c r="J20" s="62">
        <v>48370</v>
      </c>
      <c r="K20" s="63">
        <v>48512</v>
      </c>
      <c r="L20" s="86">
        <v>48513</v>
      </c>
    </row>
    <row r="21" spans="2:12" s="42" customFormat="1" ht="15.65" customHeight="1">
      <c r="B21" s="54"/>
      <c r="C21" s="82"/>
      <c r="D21" s="87" t="s">
        <v>114</v>
      </c>
      <c r="E21" s="88">
        <v>89067</v>
      </c>
      <c r="F21" s="88">
        <v>65840</v>
      </c>
      <c r="G21" s="88">
        <v>50982</v>
      </c>
      <c r="H21" s="88">
        <v>85802</v>
      </c>
      <c r="I21" s="88">
        <v>137957</v>
      </c>
      <c r="J21" s="88">
        <v>51493</v>
      </c>
      <c r="K21" s="89">
        <v>16308</v>
      </c>
      <c r="L21" s="90">
        <v>37509</v>
      </c>
    </row>
    <row r="22" spans="2:12" s="42" customFormat="1" ht="15.65" customHeight="1">
      <c r="B22" s="54"/>
      <c r="C22" s="77" t="s">
        <v>115</v>
      </c>
      <c r="D22" s="91"/>
      <c r="E22" s="92">
        <v>121494</v>
      </c>
      <c r="F22" s="92">
        <v>146016</v>
      </c>
      <c r="G22" s="92">
        <v>161493</v>
      </c>
      <c r="H22" s="92">
        <v>160380</v>
      </c>
      <c r="I22" s="92">
        <v>160496</v>
      </c>
      <c r="J22" s="92">
        <v>295966</v>
      </c>
      <c r="K22" s="93">
        <v>324410</v>
      </c>
      <c r="L22" s="94">
        <v>327614</v>
      </c>
    </row>
    <row r="23" spans="2:12" s="42" customFormat="1" ht="15.65" customHeight="1">
      <c r="B23" s="76"/>
      <c r="C23" s="95"/>
      <c r="D23" s="83" t="s">
        <v>116</v>
      </c>
      <c r="E23" s="62">
        <v>119657</v>
      </c>
      <c r="F23" s="62">
        <v>144037</v>
      </c>
      <c r="G23" s="62">
        <v>159306</v>
      </c>
      <c r="H23" s="62">
        <v>157977</v>
      </c>
      <c r="I23" s="62">
        <v>158035</v>
      </c>
      <c r="J23" s="62">
        <v>177654</v>
      </c>
      <c r="K23" s="63">
        <v>285263</v>
      </c>
      <c r="L23" s="64">
        <v>284453</v>
      </c>
    </row>
    <row r="24" spans="2:12" s="42" customFormat="1" ht="15.65" customHeight="1">
      <c r="B24" s="76"/>
      <c r="C24" s="95"/>
      <c r="D24" s="83" t="s">
        <v>8</v>
      </c>
      <c r="E24" s="62"/>
      <c r="F24" s="62"/>
      <c r="G24" s="62"/>
      <c r="H24" s="62"/>
      <c r="I24" s="62"/>
      <c r="J24" s="62">
        <v>115380</v>
      </c>
      <c r="K24" s="63">
        <v>36128</v>
      </c>
      <c r="L24" s="64">
        <v>40059</v>
      </c>
    </row>
    <row r="25" spans="2:12" s="42" customFormat="1" ht="15.65" customHeight="1">
      <c r="B25" s="76"/>
      <c r="C25" s="96"/>
      <c r="D25" s="97" t="s">
        <v>117</v>
      </c>
      <c r="E25" s="51">
        <v>1836</v>
      </c>
      <c r="F25" s="51">
        <v>1978</v>
      </c>
      <c r="G25" s="51">
        <v>2187</v>
      </c>
      <c r="H25" s="51">
        <v>2403</v>
      </c>
      <c r="I25" s="51">
        <v>2461</v>
      </c>
      <c r="J25" s="51">
        <v>2932</v>
      </c>
      <c r="K25" s="52">
        <v>3019</v>
      </c>
      <c r="L25" s="53">
        <v>3101</v>
      </c>
    </row>
    <row r="26" spans="2:12" s="42" customFormat="1" ht="15.65" customHeight="1">
      <c r="B26" s="54"/>
      <c r="C26" s="98" t="s">
        <v>9</v>
      </c>
      <c r="E26" s="79">
        <v>34034</v>
      </c>
      <c r="F26" s="79">
        <v>37294</v>
      </c>
      <c r="G26" s="79">
        <v>41000</v>
      </c>
      <c r="H26" s="79">
        <v>43340</v>
      </c>
      <c r="I26" s="79">
        <v>46065</v>
      </c>
      <c r="J26" s="79">
        <v>82951</v>
      </c>
      <c r="K26" s="80">
        <v>92327</v>
      </c>
      <c r="L26" s="81">
        <v>109940</v>
      </c>
    </row>
    <row r="27" spans="2:12" s="42" customFormat="1" ht="15.65" customHeight="1">
      <c r="B27" s="54"/>
      <c r="C27" s="82"/>
      <c r="D27" s="99" t="s">
        <v>119</v>
      </c>
      <c r="E27" s="62">
        <v>6264</v>
      </c>
      <c r="F27" s="62">
        <v>7193</v>
      </c>
      <c r="G27" s="62">
        <v>9794</v>
      </c>
      <c r="H27" s="62">
        <v>10261</v>
      </c>
      <c r="I27" s="62">
        <v>11814</v>
      </c>
      <c r="J27" s="62">
        <v>13537</v>
      </c>
      <c r="K27" s="63">
        <v>20610</v>
      </c>
      <c r="L27" s="64">
        <v>32986</v>
      </c>
    </row>
    <row r="28" spans="2:12" s="42" customFormat="1" ht="15.65" customHeight="1">
      <c r="B28" s="54"/>
      <c r="C28" s="82"/>
      <c r="D28" s="99" t="s">
        <v>124</v>
      </c>
      <c r="E28" s="62">
        <v>26756</v>
      </c>
      <c r="F28" s="62">
        <v>27812</v>
      </c>
      <c r="G28" s="62">
        <v>28445</v>
      </c>
      <c r="H28" s="62">
        <v>30322</v>
      </c>
      <c r="I28" s="62"/>
      <c r="J28" s="62"/>
      <c r="K28" s="63"/>
      <c r="L28" s="64"/>
    </row>
    <row r="29" spans="2:12" s="42" customFormat="1" ht="15.65" customHeight="1">
      <c r="B29" s="54"/>
      <c r="C29" s="82"/>
      <c r="D29" s="99" t="s">
        <v>154</v>
      </c>
      <c r="E29" s="62"/>
      <c r="F29" s="62"/>
      <c r="G29" s="62"/>
      <c r="H29" s="62"/>
      <c r="I29" s="62"/>
      <c r="J29" s="62">
        <v>33622</v>
      </c>
      <c r="K29" s="63">
        <v>37578</v>
      </c>
      <c r="L29" s="64">
        <v>41479</v>
      </c>
    </row>
    <row r="30" spans="2:12" s="42" customFormat="1" ht="15.65" customHeight="1">
      <c r="B30" s="54"/>
      <c r="C30" s="82"/>
      <c r="D30" s="99" t="s">
        <v>10</v>
      </c>
      <c r="E30" s="62">
        <v>1035</v>
      </c>
      <c r="F30" s="62">
        <v>2308</v>
      </c>
      <c r="G30" s="62">
        <v>2779</v>
      </c>
      <c r="H30" s="62">
        <v>3014</v>
      </c>
      <c r="I30" s="62">
        <v>34490</v>
      </c>
      <c r="J30" s="62">
        <v>36051</v>
      </c>
      <c r="K30" s="63">
        <v>35072</v>
      </c>
      <c r="L30" s="64">
        <v>36317</v>
      </c>
    </row>
    <row r="31" spans="2:12" s="42" customFormat="1" ht="15.65" customHeight="1">
      <c r="B31" s="100"/>
      <c r="C31" s="101"/>
      <c r="D31" s="102" t="s">
        <v>107</v>
      </c>
      <c r="E31" s="92">
        <v>-21</v>
      </c>
      <c r="F31" s="92">
        <v>-20</v>
      </c>
      <c r="G31" s="92">
        <v>-19</v>
      </c>
      <c r="H31" s="92">
        <v>-257</v>
      </c>
      <c r="I31" s="92">
        <v>-239</v>
      </c>
      <c r="J31" s="92">
        <v>-259</v>
      </c>
      <c r="K31" s="93">
        <v>-933</v>
      </c>
      <c r="L31" s="94">
        <v>-842</v>
      </c>
    </row>
    <row r="32" spans="2:12" s="42" customFormat="1" ht="15.65" customHeight="1">
      <c r="B32" s="70" t="s">
        <v>11</v>
      </c>
      <c r="C32" s="103"/>
      <c r="D32" s="78"/>
      <c r="E32" s="79"/>
      <c r="F32" s="79"/>
      <c r="G32" s="79"/>
      <c r="H32" s="79"/>
      <c r="I32" s="79"/>
      <c r="J32" s="79"/>
      <c r="K32" s="80">
        <v>19</v>
      </c>
      <c r="L32" s="81">
        <v>36</v>
      </c>
    </row>
    <row r="33" spans="2:12" s="42" customFormat="1" ht="15.65" customHeight="1">
      <c r="B33" s="104"/>
      <c r="C33" s="105" t="s">
        <v>12</v>
      </c>
      <c r="D33" s="106"/>
      <c r="E33" s="79"/>
      <c r="F33" s="79"/>
      <c r="G33" s="79"/>
      <c r="H33" s="79"/>
      <c r="I33" s="79"/>
      <c r="J33" s="79"/>
      <c r="K33" s="80">
        <v>19</v>
      </c>
      <c r="L33" s="81">
        <v>36</v>
      </c>
    </row>
    <row r="34" spans="2:12" s="42" customFormat="1" ht="15.65" customHeight="1" thickBot="1">
      <c r="B34" s="107" t="s">
        <v>126</v>
      </c>
      <c r="C34" s="108"/>
      <c r="D34" s="109"/>
      <c r="E34" s="110">
        <v>723967</v>
      </c>
      <c r="F34" s="110">
        <v>814046</v>
      </c>
      <c r="G34" s="110">
        <v>854386</v>
      </c>
      <c r="H34" s="110">
        <v>900693</v>
      </c>
      <c r="I34" s="110">
        <v>1002805</v>
      </c>
      <c r="J34" s="110">
        <v>1071652</v>
      </c>
      <c r="K34" s="111">
        <v>1086437</v>
      </c>
      <c r="L34" s="112">
        <v>1113776</v>
      </c>
    </row>
    <row r="35" spans="2:12" ht="16.5" customHeight="1" thickBot="1">
      <c r="B35" s="17"/>
      <c r="D35" s="17"/>
      <c r="E35" s="9"/>
      <c r="F35" s="9"/>
      <c r="G35" s="9"/>
      <c r="H35" s="9"/>
      <c r="I35" s="9"/>
      <c r="J35" s="9"/>
      <c r="K35" s="9"/>
      <c r="L35" s="16" t="s">
        <v>83</v>
      </c>
    </row>
    <row r="36" spans="2:12" s="42" customFormat="1" ht="15.65" customHeight="1" thickBot="1">
      <c r="B36" s="43" t="s">
        <v>127</v>
      </c>
      <c r="C36" s="44"/>
      <c r="D36" s="45"/>
      <c r="E36" s="46">
        <v>34759</v>
      </c>
      <c r="F36" s="46">
        <v>35125</v>
      </c>
      <c r="G36" s="46">
        <v>35490</v>
      </c>
      <c r="H36" s="46">
        <v>35855</v>
      </c>
      <c r="I36" s="46">
        <v>36220</v>
      </c>
      <c r="J36" s="46">
        <v>36586</v>
      </c>
      <c r="K36" s="47">
        <v>36951</v>
      </c>
      <c r="L36" s="48">
        <v>37316</v>
      </c>
    </row>
    <row r="37" spans="2:12" s="42" customFormat="1" ht="15.65" customHeight="1" thickTop="1">
      <c r="B37" s="113" t="s">
        <v>128</v>
      </c>
      <c r="C37" s="114"/>
      <c r="D37" s="114"/>
      <c r="E37" s="115"/>
      <c r="F37" s="115"/>
      <c r="G37" s="115"/>
      <c r="H37" s="115"/>
      <c r="I37" s="115"/>
      <c r="J37" s="115"/>
      <c r="K37" s="115"/>
      <c r="L37" s="116"/>
    </row>
    <row r="38" spans="2:12" s="42" customFormat="1" ht="15.65" customHeight="1">
      <c r="B38" s="70" t="s">
        <v>129</v>
      </c>
      <c r="C38" s="71"/>
      <c r="D38" s="72"/>
      <c r="E38" s="73">
        <v>205556</v>
      </c>
      <c r="F38" s="73">
        <v>193399</v>
      </c>
      <c r="G38" s="73">
        <v>233124</v>
      </c>
      <c r="H38" s="73">
        <v>258406</v>
      </c>
      <c r="I38" s="74">
        <v>192605</v>
      </c>
      <c r="J38" s="73">
        <v>222141</v>
      </c>
      <c r="K38" s="117">
        <v>240440</v>
      </c>
      <c r="L38" s="75">
        <v>283515</v>
      </c>
    </row>
    <row r="39" spans="2:12" s="42" customFormat="1" ht="15.65" customHeight="1">
      <c r="B39" s="49"/>
      <c r="C39" s="118" t="s">
        <v>13</v>
      </c>
      <c r="D39" s="119"/>
      <c r="E39" s="57">
        <v>50758</v>
      </c>
      <c r="F39" s="57">
        <v>46693</v>
      </c>
      <c r="G39" s="57">
        <v>57126</v>
      </c>
      <c r="H39" s="57">
        <v>62895</v>
      </c>
      <c r="I39" s="58">
        <v>67233</v>
      </c>
      <c r="J39" s="57">
        <v>84787</v>
      </c>
      <c r="K39" s="120">
        <v>74633</v>
      </c>
      <c r="L39" s="59">
        <v>82818</v>
      </c>
    </row>
    <row r="40" spans="2:12" s="42" customFormat="1" ht="15.65" customHeight="1">
      <c r="B40" s="54"/>
      <c r="C40" s="121" t="s">
        <v>130</v>
      </c>
      <c r="D40" s="122"/>
      <c r="E40" s="123">
        <v>48150</v>
      </c>
      <c r="F40" s="123">
        <v>150</v>
      </c>
      <c r="G40" s="123">
        <v>17490</v>
      </c>
      <c r="H40" s="123">
        <v>18210</v>
      </c>
      <c r="I40" s="124">
        <v>1200</v>
      </c>
      <c r="J40" s="125">
        <v>5840</v>
      </c>
      <c r="K40" s="126">
        <v>3150</v>
      </c>
      <c r="L40" s="64">
        <v>8950</v>
      </c>
    </row>
    <row r="41" spans="2:12" s="42" customFormat="1" ht="15.65" customHeight="1">
      <c r="B41" s="54"/>
      <c r="C41" s="121" t="s">
        <v>131</v>
      </c>
      <c r="D41" s="122"/>
      <c r="E41" s="62"/>
      <c r="F41" s="62"/>
      <c r="G41" s="62"/>
      <c r="H41" s="62">
        <v>28000</v>
      </c>
      <c r="I41" s="63"/>
      <c r="J41" s="62"/>
      <c r="K41" s="126">
        <v>5000</v>
      </c>
      <c r="L41" s="64">
        <v>25000</v>
      </c>
    </row>
    <row r="42" spans="2:12" s="42" customFormat="1" ht="15.65" customHeight="1">
      <c r="B42" s="54"/>
      <c r="C42" s="121" t="s">
        <v>132</v>
      </c>
      <c r="D42" s="122"/>
      <c r="E42" s="84">
        <v>62212</v>
      </c>
      <c r="F42" s="84">
        <v>90717</v>
      </c>
      <c r="G42" s="84">
        <v>85066</v>
      </c>
      <c r="H42" s="127">
        <v>82434</v>
      </c>
      <c r="I42" s="85">
        <v>47892</v>
      </c>
      <c r="J42" s="84">
        <v>23789</v>
      </c>
      <c r="K42" s="128">
        <v>72360</v>
      </c>
      <c r="L42" s="86">
        <v>23635</v>
      </c>
    </row>
    <row r="43" spans="2:12" s="42" customFormat="1" ht="15.65" customHeight="1">
      <c r="B43" s="54"/>
      <c r="C43" s="121" t="s">
        <v>133</v>
      </c>
      <c r="D43" s="122"/>
      <c r="E43" s="84"/>
      <c r="F43" s="84">
        <v>5000</v>
      </c>
      <c r="G43" s="84">
        <v>25000</v>
      </c>
      <c r="H43" s="127">
        <v>10000</v>
      </c>
      <c r="I43" s="85">
        <v>10000</v>
      </c>
      <c r="J43" s="84">
        <v>40000</v>
      </c>
      <c r="K43" s="128"/>
      <c r="L43" s="86">
        <v>70000</v>
      </c>
    </row>
    <row r="44" spans="2:12" s="42" customFormat="1" ht="15.65" customHeight="1">
      <c r="B44" s="54"/>
      <c r="C44" s="121" t="s">
        <v>14</v>
      </c>
      <c r="D44" s="122"/>
      <c r="E44" s="84">
        <v>14916</v>
      </c>
      <c r="F44" s="84">
        <v>23384</v>
      </c>
      <c r="G44" s="84">
        <v>15881</v>
      </c>
      <c r="H44" s="127">
        <v>26330</v>
      </c>
      <c r="I44" s="85"/>
      <c r="J44" s="84"/>
      <c r="K44" s="128"/>
      <c r="L44" s="86"/>
    </row>
    <row r="45" spans="2:12" s="42" customFormat="1" ht="15.65" customHeight="1">
      <c r="B45" s="54"/>
      <c r="C45" s="121" t="s">
        <v>15</v>
      </c>
      <c r="D45" s="122"/>
      <c r="E45" s="62">
        <v>8201</v>
      </c>
      <c r="F45" s="62">
        <v>6451</v>
      </c>
      <c r="G45" s="62">
        <v>11138</v>
      </c>
      <c r="H45" s="62">
        <v>7388</v>
      </c>
      <c r="I45" s="63">
        <v>12724</v>
      </c>
      <c r="J45" s="62">
        <v>17412</v>
      </c>
      <c r="K45" s="126">
        <v>13958</v>
      </c>
      <c r="L45" s="64">
        <v>11980</v>
      </c>
    </row>
    <row r="46" spans="2:12" s="42" customFormat="1" ht="15.65" customHeight="1">
      <c r="B46" s="54"/>
      <c r="C46" s="121" t="s">
        <v>135</v>
      </c>
      <c r="D46" s="122"/>
      <c r="E46" s="62">
        <v>2822</v>
      </c>
      <c r="F46" s="62">
        <v>2316</v>
      </c>
      <c r="G46" s="62">
        <v>3620</v>
      </c>
      <c r="H46" s="62">
        <v>2628</v>
      </c>
      <c r="I46" s="63"/>
      <c r="J46" s="62"/>
      <c r="K46" s="126"/>
      <c r="L46" s="64"/>
    </row>
    <row r="47" spans="2:12" s="42" customFormat="1" ht="15.65" customHeight="1">
      <c r="B47" s="54"/>
      <c r="C47" s="121" t="s">
        <v>137</v>
      </c>
      <c r="D47" s="122"/>
      <c r="E47" s="62">
        <v>9821</v>
      </c>
      <c r="F47" s="62">
        <v>9604</v>
      </c>
      <c r="G47" s="62">
        <v>9384</v>
      </c>
      <c r="H47" s="62">
        <v>9148</v>
      </c>
      <c r="I47" s="63"/>
      <c r="J47" s="62"/>
      <c r="K47" s="126"/>
      <c r="L47" s="64"/>
    </row>
    <row r="48" spans="2:12" s="42" customFormat="1" ht="15.65" customHeight="1">
      <c r="B48" s="54"/>
      <c r="C48" s="121" t="s">
        <v>138</v>
      </c>
      <c r="D48" s="122"/>
      <c r="E48" s="62">
        <v>6179</v>
      </c>
      <c r="F48" s="62">
        <v>5480</v>
      </c>
      <c r="G48" s="62">
        <v>5193</v>
      </c>
      <c r="H48" s="62">
        <v>5204</v>
      </c>
      <c r="I48" s="63"/>
      <c r="J48" s="62"/>
      <c r="K48" s="126"/>
      <c r="L48" s="64"/>
    </row>
    <row r="49" spans="2:12" s="42" customFormat="1" ht="15.65" customHeight="1">
      <c r="B49" s="54"/>
      <c r="C49" s="129" t="s">
        <v>139</v>
      </c>
      <c r="D49" s="130"/>
      <c r="E49" s="51">
        <v>2492</v>
      </c>
      <c r="F49" s="51">
        <v>3600</v>
      </c>
      <c r="G49" s="51">
        <v>3223</v>
      </c>
      <c r="H49" s="51">
        <v>6166</v>
      </c>
      <c r="I49" s="52">
        <v>53554</v>
      </c>
      <c r="J49" s="51">
        <v>50311</v>
      </c>
      <c r="K49" s="131">
        <v>71338</v>
      </c>
      <c r="L49" s="53">
        <v>61131</v>
      </c>
    </row>
    <row r="50" spans="2:12" s="42" customFormat="1" ht="15.65" customHeight="1">
      <c r="B50" s="70" t="s">
        <v>16</v>
      </c>
      <c r="C50" s="50"/>
      <c r="D50" s="130"/>
      <c r="E50" s="51">
        <v>468138</v>
      </c>
      <c r="F50" s="51">
        <v>438342</v>
      </c>
      <c r="G50" s="51">
        <v>427547</v>
      </c>
      <c r="H50" s="51">
        <v>435562</v>
      </c>
      <c r="I50" s="52">
        <v>440057</v>
      </c>
      <c r="J50" s="51">
        <v>484597</v>
      </c>
      <c r="K50" s="131">
        <v>456406</v>
      </c>
      <c r="L50" s="53">
        <v>415926</v>
      </c>
    </row>
    <row r="51" spans="2:12" s="42" customFormat="1" ht="15.65" customHeight="1">
      <c r="B51" s="54"/>
      <c r="C51" s="132" t="s">
        <v>17</v>
      </c>
      <c r="D51" s="133"/>
      <c r="E51" s="79">
        <v>85000</v>
      </c>
      <c r="F51" s="79">
        <v>100000</v>
      </c>
      <c r="G51" s="79">
        <v>110000</v>
      </c>
      <c r="H51" s="79">
        <v>185000</v>
      </c>
      <c r="I51" s="80">
        <v>235000</v>
      </c>
      <c r="J51" s="79">
        <v>255000</v>
      </c>
      <c r="K51" s="134">
        <v>285000</v>
      </c>
      <c r="L51" s="81">
        <v>245000</v>
      </c>
    </row>
    <row r="52" spans="2:12" s="42" customFormat="1" ht="15.65" customHeight="1">
      <c r="B52" s="54"/>
      <c r="C52" s="135" t="s">
        <v>18</v>
      </c>
      <c r="D52" s="122"/>
      <c r="E52" s="62">
        <v>311999</v>
      </c>
      <c r="F52" s="62">
        <v>264313</v>
      </c>
      <c r="G52" s="62">
        <v>242284</v>
      </c>
      <c r="H52" s="62">
        <v>179152</v>
      </c>
      <c r="I52" s="63">
        <v>137518</v>
      </c>
      <c r="J52" s="62">
        <v>127229</v>
      </c>
      <c r="K52" s="126">
        <v>64868</v>
      </c>
      <c r="L52" s="64">
        <v>54233</v>
      </c>
    </row>
    <row r="53" spans="2:12" s="42" customFormat="1" ht="15.65" customHeight="1">
      <c r="B53" s="54"/>
      <c r="C53" s="135" t="s">
        <v>141</v>
      </c>
      <c r="D53" s="122"/>
      <c r="E53" s="62">
        <v>52498</v>
      </c>
      <c r="F53" s="62">
        <v>55061</v>
      </c>
      <c r="G53" s="62">
        <v>56841</v>
      </c>
      <c r="H53" s="62">
        <v>57194</v>
      </c>
      <c r="I53" s="63">
        <v>57978</v>
      </c>
      <c r="J53" s="62">
        <v>99136</v>
      </c>
      <c r="K53" s="126"/>
      <c r="L53" s="64"/>
    </row>
    <row r="54" spans="2:12" s="42" customFormat="1" ht="15.65" customHeight="1">
      <c r="B54" s="54"/>
      <c r="C54" s="135" t="s">
        <v>167</v>
      </c>
      <c r="D54" s="122"/>
      <c r="E54" s="62"/>
      <c r="F54" s="62"/>
      <c r="G54" s="62"/>
      <c r="H54" s="62"/>
      <c r="I54" s="63"/>
      <c r="J54" s="62"/>
      <c r="K54" s="126">
        <v>105052</v>
      </c>
      <c r="L54" s="64">
        <v>108048</v>
      </c>
    </row>
    <row r="55" spans="2:12" s="42" customFormat="1" ht="15.65" customHeight="1">
      <c r="B55" s="54"/>
      <c r="C55" s="135" t="s">
        <v>168</v>
      </c>
      <c r="D55" s="122"/>
      <c r="E55" s="62">
        <v>936</v>
      </c>
      <c r="F55" s="62">
        <v>838</v>
      </c>
      <c r="G55" s="62">
        <v>957</v>
      </c>
      <c r="H55" s="62">
        <v>844</v>
      </c>
      <c r="I55" s="63">
        <v>966</v>
      </c>
      <c r="J55" s="62">
        <v>769</v>
      </c>
      <c r="K55" s="126">
        <v>984</v>
      </c>
      <c r="L55" s="64">
        <v>936</v>
      </c>
    </row>
    <row r="56" spans="2:12" s="42" customFormat="1" ht="15.65" customHeight="1">
      <c r="B56" s="54"/>
      <c r="C56" s="135" t="s">
        <v>142</v>
      </c>
      <c r="D56" s="122"/>
      <c r="E56" s="62">
        <v>17698</v>
      </c>
      <c r="F56" s="62">
        <v>18121</v>
      </c>
      <c r="G56" s="62">
        <v>17457</v>
      </c>
      <c r="H56" s="62">
        <v>13304</v>
      </c>
      <c r="I56" s="63"/>
      <c r="J56" s="62"/>
      <c r="K56" s="126"/>
      <c r="L56" s="64"/>
    </row>
    <row r="57" spans="2:12" s="42" customFormat="1" ht="15.65" customHeight="1">
      <c r="B57" s="54"/>
      <c r="C57" s="136" t="s">
        <v>19</v>
      </c>
      <c r="D57" s="137"/>
      <c r="E57" s="92">
        <v>5</v>
      </c>
      <c r="F57" s="92">
        <v>7</v>
      </c>
      <c r="G57" s="92">
        <v>6</v>
      </c>
      <c r="H57" s="92">
        <v>66</v>
      </c>
      <c r="I57" s="93">
        <v>8594</v>
      </c>
      <c r="J57" s="92">
        <v>2463</v>
      </c>
      <c r="K57" s="138">
        <v>501</v>
      </c>
      <c r="L57" s="94">
        <v>7708</v>
      </c>
    </row>
    <row r="58" spans="2:12" s="42" customFormat="1" ht="15.65" customHeight="1">
      <c r="B58" s="70" t="s">
        <v>20</v>
      </c>
      <c r="C58" s="103"/>
      <c r="D58" s="133"/>
      <c r="E58" s="139">
        <v>864</v>
      </c>
      <c r="F58" s="139">
        <v>907</v>
      </c>
      <c r="G58" s="139">
        <v>898</v>
      </c>
      <c r="H58" s="139">
        <v>925</v>
      </c>
      <c r="I58" s="80"/>
      <c r="J58" s="79"/>
      <c r="K58" s="134"/>
      <c r="L58" s="81"/>
    </row>
    <row r="59" spans="2:12" s="42" customFormat="1" ht="15.65" customHeight="1" thickBot="1">
      <c r="B59" s="107" t="s">
        <v>144</v>
      </c>
      <c r="C59" s="108"/>
      <c r="D59" s="109"/>
      <c r="E59" s="110">
        <v>674559</v>
      </c>
      <c r="F59" s="110">
        <v>632649</v>
      </c>
      <c r="G59" s="110">
        <v>661570</v>
      </c>
      <c r="H59" s="110">
        <v>694894</v>
      </c>
      <c r="I59" s="111">
        <v>632662</v>
      </c>
      <c r="J59" s="110">
        <v>706738</v>
      </c>
      <c r="K59" s="140">
        <v>696847</v>
      </c>
      <c r="L59" s="112">
        <v>699442</v>
      </c>
    </row>
    <row r="60" spans="2:12" s="42" customFormat="1" ht="15.65" customHeight="1">
      <c r="B60" s="49" t="s">
        <v>230</v>
      </c>
      <c r="C60" s="141"/>
      <c r="D60" s="141"/>
      <c r="E60" s="142"/>
      <c r="F60" s="142"/>
      <c r="G60" s="142"/>
      <c r="H60" s="142"/>
      <c r="I60" s="142"/>
      <c r="J60" s="142"/>
      <c r="K60" s="142"/>
      <c r="L60" s="143"/>
    </row>
    <row r="61" spans="2:12" s="42" customFormat="1" ht="15.65" customHeight="1" thickBot="1">
      <c r="B61" s="144" t="s">
        <v>231</v>
      </c>
      <c r="C61" s="108"/>
      <c r="D61" s="108"/>
      <c r="E61" s="110"/>
      <c r="F61" s="110"/>
      <c r="G61" s="110"/>
      <c r="H61" s="110"/>
      <c r="I61" s="110">
        <v>899</v>
      </c>
      <c r="J61" s="110">
        <v>1155</v>
      </c>
      <c r="K61" s="110">
        <v>1052</v>
      </c>
      <c r="L61" s="112">
        <v>1368</v>
      </c>
    </row>
    <row r="62" spans="2:12" s="42" customFormat="1" ht="15.65" customHeight="1">
      <c r="B62" s="145" t="s">
        <v>145</v>
      </c>
      <c r="C62" s="146"/>
      <c r="D62" s="146"/>
      <c r="E62" s="147"/>
      <c r="F62" s="147"/>
      <c r="G62" s="147"/>
      <c r="H62" s="147"/>
      <c r="I62" s="147"/>
      <c r="J62" s="147"/>
      <c r="K62" s="147"/>
      <c r="L62" s="148"/>
    </row>
    <row r="63" spans="2:12" s="42" customFormat="1" ht="15.65" customHeight="1">
      <c r="B63" s="149" t="s">
        <v>146</v>
      </c>
      <c r="C63" s="50"/>
      <c r="D63" s="130"/>
      <c r="E63" s="51">
        <v>10000</v>
      </c>
      <c r="F63" s="51">
        <v>67335</v>
      </c>
      <c r="G63" s="51">
        <v>67335</v>
      </c>
      <c r="H63" s="51">
        <v>67335</v>
      </c>
      <c r="I63" s="52">
        <v>142520</v>
      </c>
      <c r="J63" s="51">
        <v>142520</v>
      </c>
      <c r="K63" s="131">
        <v>142520</v>
      </c>
      <c r="L63" s="53">
        <v>142520</v>
      </c>
    </row>
    <row r="64" spans="2:12" s="42" customFormat="1" ht="15.65" customHeight="1">
      <c r="B64" s="149" t="s">
        <v>147</v>
      </c>
      <c r="C64" s="71"/>
      <c r="D64" s="72"/>
      <c r="E64" s="73" t="s">
        <v>82</v>
      </c>
      <c r="F64" s="73">
        <v>64115</v>
      </c>
      <c r="G64" s="73">
        <v>64115</v>
      </c>
      <c r="H64" s="73">
        <v>64115</v>
      </c>
      <c r="I64" s="74">
        <v>139300</v>
      </c>
      <c r="J64" s="73">
        <v>139300</v>
      </c>
      <c r="K64" s="117">
        <v>139300</v>
      </c>
      <c r="L64" s="75">
        <v>139300</v>
      </c>
    </row>
    <row r="65" spans="2:12" s="42" customFormat="1" ht="15.65" customHeight="1">
      <c r="B65" s="149" t="s">
        <v>148</v>
      </c>
      <c r="C65" s="71"/>
      <c r="D65" s="72"/>
      <c r="E65" s="73">
        <v>573</v>
      </c>
      <c r="F65" s="73">
        <v>686</v>
      </c>
      <c r="G65" s="73">
        <v>967</v>
      </c>
      <c r="H65" s="73">
        <v>1230</v>
      </c>
      <c r="I65" s="74"/>
      <c r="J65" s="73"/>
      <c r="K65" s="117"/>
      <c r="L65" s="75"/>
    </row>
    <row r="66" spans="2:12" s="42" customFormat="1" ht="15.65" customHeight="1">
      <c r="B66" s="149" t="s">
        <v>149</v>
      </c>
      <c r="C66" s="71"/>
      <c r="D66" s="72"/>
      <c r="E66" s="73">
        <v>38834</v>
      </c>
      <c r="F66" s="73">
        <v>49260</v>
      </c>
      <c r="G66" s="73">
        <v>60398</v>
      </c>
      <c r="H66" s="73">
        <v>73119</v>
      </c>
      <c r="I66" s="74"/>
      <c r="J66" s="73"/>
      <c r="K66" s="117"/>
      <c r="L66" s="75"/>
    </row>
    <row r="67" spans="2:12" s="42" customFormat="1" ht="15.65" customHeight="1">
      <c r="B67" s="149" t="s">
        <v>21</v>
      </c>
      <c r="C67" s="71"/>
      <c r="D67" s="72"/>
      <c r="E67" s="73" t="s">
        <v>82</v>
      </c>
      <c r="F67" s="73" t="s">
        <v>82</v>
      </c>
      <c r="G67" s="73" t="s">
        <v>82</v>
      </c>
      <c r="H67" s="73" t="s">
        <v>82</v>
      </c>
      <c r="I67" s="74">
        <v>87423</v>
      </c>
      <c r="J67" s="73">
        <v>81938</v>
      </c>
      <c r="K67" s="117">
        <v>105934</v>
      </c>
      <c r="L67" s="75">
        <v>130575</v>
      </c>
    </row>
    <row r="68" spans="2:12" s="42" customFormat="1" ht="15.65" customHeight="1">
      <c r="B68" s="149" t="s">
        <v>22</v>
      </c>
      <c r="C68" s="71"/>
      <c r="D68" s="72"/>
      <c r="E68" s="73"/>
      <c r="F68" s="73"/>
      <c r="G68" s="73"/>
      <c r="H68" s="73"/>
      <c r="I68" s="74"/>
      <c r="J68" s="73"/>
      <c r="K68" s="117">
        <v>783</v>
      </c>
      <c r="L68" s="75">
        <v>570</v>
      </c>
    </row>
    <row r="69" spans="2:12" s="42" customFormat="1" ht="15.65" customHeight="1">
      <c r="B69" s="150" t="s">
        <v>151</v>
      </c>
      <c r="C69" s="71"/>
      <c r="D69" s="72"/>
      <c r="E69" s="73">
        <v>49408</v>
      </c>
      <c r="F69" s="73">
        <v>181396</v>
      </c>
      <c r="G69" s="73">
        <v>192816</v>
      </c>
      <c r="H69" s="73">
        <v>205799</v>
      </c>
      <c r="I69" s="74">
        <v>369243</v>
      </c>
      <c r="J69" s="73">
        <v>363758</v>
      </c>
      <c r="K69" s="117">
        <v>388537</v>
      </c>
      <c r="L69" s="75">
        <v>412966</v>
      </c>
    </row>
    <row r="70" spans="2:12" s="42" customFormat="1" ht="15.65" customHeight="1">
      <c r="B70" s="70" t="s">
        <v>152</v>
      </c>
      <c r="C70" s="103"/>
      <c r="D70" s="133"/>
      <c r="E70" s="73">
        <v>723967</v>
      </c>
      <c r="F70" s="73">
        <v>814046</v>
      </c>
      <c r="G70" s="73">
        <v>854386</v>
      </c>
      <c r="H70" s="73">
        <v>900693</v>
      </c>
      <c r="I70" s="80"/>
      <c r="J70" s="79"/>
      <c r="K70" s="134"/>
      <c r="L70" s="81"/>
    </row>
    <row r="71" spans="2:12" s="42" customFormat="1" ht="15.65" customHeight="1" thickBot="1">
      <c r="B71" s="107" t="s">
        <v>23</v>
      </c>
      <c r="C71" s="108"/>
      <c r="D71" s="109"/>
      <c r="E71" s="110"/>
      <c r="F71" s="110"/>
      <c r="G71" s="110"/>
      <c r="H71" s="110"/>
      <c r="I71" s="111">
        <v>1002805</v>
      </c>
      <c r="J71" s="110">
        <v>1071652</v>
      </c>
      <c r="K71" s="140">
        <v>1086437</v>
      </c>
      <c r="L71" s="112">
        <v>1113776</v>
      </c>
    </row>
  </sheetData>
  <phoneticPr fontId="2"/>
  <printOptions horizontalCentered="1"/>
  <pageMargins left="0.78740157480314965" right="0.47244094488188981" top="0.78740157480314965" bottom="0.78740157480314965" header="0.51181102362204722" footer="0.51181102362204722"/>
  <pageSetup paperSize="9" scale="94" fitToHeight="0" orientation="landscape" verticalDpi="0" r:id="rId1"/>
  <headerFooter alignWithMargins="0"/>
  <rowBreaks count="1" manualBreakCount="1">
    <brk id="34" min="1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K37"/>
  <sheetViews>
    <sheetView showGridLines="0" zoomScale="75" zoomScaleNormal="75" workbookViewId="0">
      <selection activeCell="C19" sqref="C19"/>
    </sheetView>
  </sheetViews>
  <sheetFormatPr defaultColWidth="9" defaultRowHeight="12"/>
  <cols>
    <col min="1" max="1" width="1.08984375" style="37" customWidth="1"/>
    <col min="2" max="2" width="2.08984375" style="37" customWidth="1"/>
    <col min="3" max="3" width="36.453125" style="37" customWidth="1"/>
    <col min="4" max="11" width="14.6328125" style="37" customWidth="1"/>
    <col min="12" max="16384" width="9" style="37"/>
  </cols>
  <sheetData>
    <row r="1" spans="2:11" s="153" customFormat="1" ht="24" customHeight="1">
      <c r="B1" s="40" t="s">
        <v>201</v>
      </c>
      <c r="C1" s="151"/>
      <c r="D1" s="151"/>
      <c r="E1" s="151"/>
      <c r="F1" s="151"/>
      <c r="G1" s="151"/>
      <c r="H1" s="151"/>
      <c r="I1" s="152"/>
      <c r="J1" s="152"/>
      <c r="K1" s="152"/>
    </row>
    <row r="2" spans="2:11" ht="20.25" customHeight="1" thickBot="1">
      <c r="B2" s="38"/>
      <c r="C2" s="38"/>
      <c r="D2" s="38"/>
      <c r="E2" s="38"/>
      <c r="F2" s="38"/>
      <c r="G2" s="38"/>
      <c r="K2" s="39" t="s">
        <v>84</v>
      </c>
    </row>
    <row r="3" spans="2:11" s="42" customFormat="1" ht="15" customHeight="1" thickBot="1">
      <c r="B3" s="43"/>
      <c r="C3" s="45"/>
      <c r="D3" s="46">
        <v>34759</v>
      </c>
      <c r="E3" s="46">
        <v>35125</v>
      </c>
      <c r="F3" s="46">
        <v>35490</v>
      </c>
      <c r="G3" s="46">
        <v>35855</v>
      </c>
      <c r="H3" s="46">
        <v>36220</v>
      </c>
      <c r="I3" s="46">
        <v>36586</v>
      </c>
      <c r="J3" s="47">
        <v>36951</v>
      </c>
      <c r="K3" s="48">
        <v>37316</v>
      </c>
    </row>
    <row r="4" spans="2:11" s="42" customFormat="1" ht="15" customHeight="1" thickTop="1">
      <c r="B4" s="100" t="s">
        <v>157</v>
      </c>
      <c r="C4" s="130"/>
      <c r="D4" s="51">
        <v>479938</v>
      </c>
      <c r="E4" s="51">
        <v>562226</v>
      </c>
      <c r="F4" s="51">
        <v>611603</v>
      </c>
      <c r="G4" s="51">
        <v>676581</v>
      </c>
      <c r="H4" s="51">
        <v>710152</v>
      </c>
      <c r="I4" s="51">
        <v>725347</v>
      </c>
      <c r="J4" s="52">
        <v>801044</v>
      </c>
      <c r="K4" s="53">
        <v>801966</v>
      </c>
    </row>
    <row r="5" spans="2:11" s="42" customFormat="1" ht="15" customHeight="1">
      <c r="B5" s="154" t="s">
        <v>160</v>
      </c>
      <c r="C5" s="72"/>
      <c r="D5" s="73">
        <v>342906</v>
      </c>
      <c r="E5" s="73">
        <v>402580</v>
      </c>
      <c r="F5" s="73">
        <v>447184</v>
      </c>
      <c r="G5" s="73">
        <v>497712</v>
      </c>
      <c r="H5" s="73">
        <v>522190</v>
      </c>
      <c r="I5" s="73">
        <v>539715</v>
      </c>
      <c r="J5" s="74">
        <v>598244</v>
      </c>
      <c r="K5" s="75">
        <v>591300</v>
      </c>
    </row>
    <row r="6" spans="2:11" s="42" customFormat="1" ht="15" customHeight="1">
      <c r="B6" s="100" t="s">
        <v>161</v>
      </c>
      <c r="C6" s="72"/>
      <c r="D6" s="73">
        <v>137032</v>
      </c>
      <c r="E6" s="73">
        <v>159646</v>
      </c>
      <c r="F6" s="73">
        <v>164419</v>
      </c>
      <c r="G6" s="73">
        <v>178868</v>
      </c>
      <c r="H6" s="73">
        <v>187962</v>
      </c>
      <c r="I6" s="73">
        <v>185632</v>
      </c>
      <c r="J6" s="74">
        <v>202800</v>
      </c>
      <c r="K6" s="75">
        <v>210666</v>
      </c>
    </row>
    <row r="7" spans="2:11" s="42" customFormat="1" ht="15" customHeight="1">
      <c r="B7" s="155" t="s">
        <v>202</v>
      </c>
      <c r="C7" s="119"/>
      <c r="D7" s="57">
        <v>96047</v>
      </c>
      <c r="E7" s="57">
        <v>107311</v>
      </c>
      <c r="F7" s="57">
        <v>116842</v>
      </c>
      <c r="G7" s="57">
        <v>128638</v>
      </c>
      <c r="H7" s="57">
        <v>131129</v>
      </c>
      <c r="I7" s="57">
        <v>134894</v>
      </c>
      <c r="J7" s="58">
        <v>144022</v>
      </c>
      <c r="K7" s="59">
        <v>151220</v>
      </c>
    </row>
    <row r="8" spans="2:11" s="42" customFormat="1" ht="15" customHeight="1">
      <c r="B8" s="154" t="s">
        <v>203</v>
      </c>
      <c r="C8" s="72"/>
      <c r="D8" s="73">
        <v>40984</v>
      </c>
      <c r="E8" s="73">
        <v>52335</v>
      </c>
      <c r="F8" s="73">
        <v>47576</v>
      </c>
      <c r="G8" s="73">
        <v>50229</v>
      </c>
      <c r="H8" s="73">
        <v>56832</v>
      </c>
      <c r="I8" s="73">
        <v>50737</v>
      </c>
      <c r="J8" s="74">
        <v>58778</v>
      </c>
      <c r="K8" s="75">
        <v>59446</v>
      </c>
    </row>
    <row r="9" spans="2:11" s="42" customFormat="1" ht="15" customHeight="1">
      <c r="B9" s="156" t="s">
        <v>246</v>
      </c>
      <c r="C9" s="133"/>
      <c r="D9" s="79">
        <v>8291</v>
      </c>
      <c r="E9" s="79">
        <v>5685</v>
      </c>
      <c r="F9" s="79">
        <v>5325</v>
      </c>
      <c r="G9" s="79">
        <v>2294</v>
      </c>
      <c r="H9" s="79">
        <v>3157</v>
      </c>
      <c r="I9" s="79">
        <v>2153</v>
      </c>
      <c r="J9" s="80">
        <v>3141</v>
      </c>
      <c r="K9" s="81">
        <v>1908</v>
      </c>
    </row>
    <row r="10" spans="2:11" s="42" customFormat="1" ht="15" customHeight="1">
      <c r="B10" s="157"/>
      <c r="C10" s="158" t="s">
        <v>204</v>
      </c>
      <c r="D10" s="62">
        <v>1017</v>
      </c>
      <c r="E10" s="62">
        <v>361</v>
      </c>
      <c r="F10" s="62">
        <v>276</v>
      </c>
      <c r="G10" s="62"/>
      <c r="H10" s="62"/>
      <c r="I10" s="62"/>
      <c r="J10" s="63"/>
      <c r="K10" s="64"/>
    </row>
    <row r="11" spans="2:11" s="42" customFormat="1" ht="15" customHeight="1">
      <c r="B11" s="157"/>
      <c r="C11" s="158" t="s">
        <v>178</v>
      </c>
      <c r="D11" s="62"/>
      <c r="E11" s="62"/>
      <c r="F11" s="62"/>
      <c r="G11" s="62">
        <v>233</v>
      </c>
      <c r="H11" s="62">
        <v>605</v>
      </c>
      <c r="I11" s="62">
        <v>66</v>
      </c>
      <c r="J11" s="63">
        <v>109</v>
      </c>
      <c r="K11" s="64">
        <v>27</v>
      </c>
    </row>
    <row r="12" spans="2:11" s="42" customFormat="1" ht="15" customHeight="1">
      <c r="B12" s="157"/>
      <c r="C12" s="158" t="s">
        <v>205</v>
      </c>
      <c r="D12" s="62"/>
      <c r="E12" s="62"/>
      <c r="F12" s="62"/>
      <c r="G12" s="62">
        <v>54</v>
      </c>
      <c r="H12" s="62">
        <v>44</v>
      </c>
      <c r="I12" s="62">
        <v>63</v>
      </c>
      <c r="J12" s="63">
        <v>63</v>
      </c>
      <c r="K12" s="64">
        <v>102</v>
      </c>
    </row>
    <row r="13" spans="2:11" s="42" customFormat="1" ht="15" customHeight="1">
      <c r="B13" s="157"/>
      <c r="C13" s="158" t="s">
        <v>179</v>
      </c>
      <c r="D13" s="62">
        <v>5208</v>
      </c>
      <c r="E13" s="62">
        <v>4294</v>
      </c>
      <c r="F13" s="62">
        <v>3668</v>
      </c>
      <c r="G13" s="62">
        <v>870</v>
      </c>
      <c r="H13" s="62">
        <v>751</v>
      </c>
      <c r="I13" s="62">
        <v>1015</v>
      </c>
      <c r="J13" s="63">
        <v>960</v>
      </c>
      <c r="K13" s="64"/>
    </row>
    <row r="14" spans="2:11" s="42" customFormat="1" ht="15" customHeight="1">
      <c r="B14" s="157"/>
      <c r="C14" s="158" t="s">
        <v>192</v>
      </c>
      <c r="D14" s="62"/>
      <c r="E14" s="62"/>
      <c r="F14" s="62"/>
      <c r="G14" s="62"/>
      <c r="H14" s="62"/>
      <c r="I14" s="62"/>
      <c r="J14" s="63">
        <v>666</v>
      </c>
      <c r="K14" s="64"/>
    </row>
    <row r="15" spans="2:11" s="42" customFormat="1" ht="15" customHeight="1">
      <c r="B15" s="159"/>
      <c r="C15" s="160" t="s">
        <v>206</v>
      </c>
      <c r="D15" s="88">
        <v>2064</v>
      </c>
      <c r="E15" s="88">
        <v>1030</v>
      </c>
      <c r="F15" s="88">
        <v>1379</v>
      </c>
      <c r="G15" s="88">
        <v>1136</v>
      </c>
      <c r="H15" s="88">
        <v>1756</v>
      </c>
      <c r="I15" s="88">
        <v>1008</v>
      </c>
      <c r="J15" s="89">
        <v>1341</v>
      </c>
      <c r="K15" s="90">
        <v>1778</v>
      </c>
    </row>
    <row r="16" spans="2:11" s="42" customFormat="1" ht="15" customHeight="1">
      <c r="B16" s="156" t="s">
        <v>247</v>
      </c>
      <c r="C16" s="137"/>
      <c r="D16" s="92">
        <v>30572</v>
      </c>
      <c r="E16" s="92">
        <v>35199</v>
      </c>
      <c r="F16" s="92">
        <v>25646</v>
      </c>
      <c r="G16" s="92">
        <v>22325</v>
      </c>
      <c r="H16" s="92">
        <v>22243</v>
      </c>
      <c r="I16" s="92">
        <v>18195</v>
      </c>
      <c r="J16" s="93">
        <v>15836</v>
      </c>
      <c r="K16" s="94">
        <v>14192</v>
      </c>
    </row>
    <row r="17" spans="2:11" s="42" customFormat="1" ht="15" customHeight="1">
      <c r="B17" s="157"/>
      <c r="C17" s="158" t="s">
        <v>86</v>
      </c>
      <c r="D17" s="62">
        <v>20805</v>
      </c>
      <c r="E17" s="62">
        <v>16802</v>
      </c>
      <c r="F17" s="62">
        <v>13939</v>
      </c>
      <c r="G17" s="62">
        <v>10464</v>
      </c>
      <c r="H17" s="62">
        <v>11747</v>
      </c>
      <c r="I17" s="62">
        <v>10142</v>
      </c>
      <c r="J17" s="63">
        <v>9716</v>
      </c>
      <c r="K17" s="64">
        <v>8621</v>
      </c>
    </row>
    <row r="18" spans="2:11" s="42" customFormat="1" ht="15" customHeight="1">
      <c r="B18" s="157"/>
      <c r="C18" s="158" t="s">
        <v>207</v>
      </c>
      <c r="D18" s="62">
        <v>3281</v>
      </c>
      <c r="E18" s="62">
        <v>4304</v>
      </c>
      <c r="F18" s="62">
        <v>4802</v>
      </c>
      <c r="G18" s="62">
        <v>4984</v>
      </c>
      <c r="H18" s="62"/>
      <c r="I18" s="62"/>
      <c r="J18" s="63"/>
      <c r="K18" s="64"/>
    </row>
    <row r="19" spans="2:11" s="42" customFormat="1" ht="15" customHeight="1">
      <c r="B19" s="157"/>
      <c r="C19" s="158" t="s">
        <v>208</v>
      </c>
      <c r="D19" s="62"/>
      <c r="E19" s="62">
        <v>4365</v>
      </c>
      <c r="F19" s="62"/>
      <c r="G19" s="62"/>
      <c r="H19" s="62">
        <v>5148</v>
      </c>
      <c r="I19" s="62"/>
      <c r="J19" s="63"/>
      <c r="K19" s="64"/>
    </row>
    <row r="20" spans="2:11" s="42" customFormat="1" ht="15" customHeight="1">
      <c r="B20" s="157"/>
      <c r="C20" s="158" t="s">
        <v>209</v>
      </c>
      <c r="D20" s="62"/>
      <c r="E20" s="62"/>
      <c r="F20" s="62"/>
      <c r="G20" s="62"/>
      <c r="H20" s="62"/>
      <c r="I20" s="62">
        <v>3968</v>
      </c>
      <c r="J20" s="63">
        <v>2222</v>
      </c>
      <c r="K20" s="64"/>
    </row>
    <row r="21" spans="2:11" s="42" customFormat="1" ht="15" customHeight="1">
      <c r="B21" s="159"/>
      <c r="C21" s="160" t="s">
        <v>210</v>
      </c>
      <c r="D21" s="88">
        <v>6486</v>
      </c>
      <c r="E21" s="88">
        <v>9726</v>
      </c>
      <c r="F21" s="88">
        <v>6905</v>
      </c>
      <c r="G21" s="88">
        <v>6877</v>
      </c>
      <c r="H21" s="88">
        <v>5347</v>
      </c>
      <c r="I21" s="88">
        <v>4084</v>
      </c>
      <c r="J21" s="89">
        <v>3897</v>
      </c>
      <c r="K21" s="90">
        <v>5570</v>
      </c>
    </row>
    <row r="22" spans="2:11" s="42" customFormat="1" ht="15" customHeight="1">
      <c r="B22" s="154" t="s">
        <v>185</v>
      </c>
      <c r="C22" s="130"/>
      <c r="D22" s="51">
        <v>18703</v>
      </c>
      <c r="E22" s="51">
        <v>22821</v>
      </c>
      <c r="F22" s="51">
        <v>27254</v>
      </c>
      <c r="G22" s="51">
        <v>30198</v>
      </c>
      <c r="H22" s="51">
        <v>37747</v>
      </c>
      <c r="I22" s="51">
        <v>34696</v>
      </c>
      <c r="J22" s="52">
        <v>46083</v>
      </c>
      <c r="K22" s="53">
        <v>47162</v>
      </c>
    </row>
    <row r="23" spans="2:11" s="42" customFormat="1" ht="15" customHeight="1">
      <c r="B23" s="156" t="s">
        <v>211</v>
      </c>
      <c r="C23" s="133"/>
      <c r="D23" s="79" t="s">
        <v>82</v>
      </c>
      <c r="E23" s="79" t="s">
        <v>82</v>
      </c>
      <c r="F23" s="79">
        <v>2700</v>
      </c>
      <c r="G23" s="79" t="s">
        <v>82</v>
      </c>
      <c r="H23" s="79" t="s">
        <v>82</v>
      </c>
      <c r="I23" s="79" t="s">
        <v>82</v>
      </c>
      <c r="J23" s="80" t="s">
        <v>82</v>
      </c>
      <c r="K23" s="81"/>
    </row>
    <row r="24" spans="2:11" s="42" customFormat="1" ht="15" customHeight="1">
      <c r="B24" s="159"/>
      <c r="C24" s="160" t="s">
        <v>212</v>
      </c>
      <c r="D24" s="88"/>
      <c r="E24" s="88"/>
      <c r="F24" s="88">
        <v>2700</v>
      </c>
      <c r="G24" s="88"/>
      <c r="H24" s="88"/>
      <c r="I24" s="88"/>
      <c r="J24" s="89"/>
      <c r="K24" s="90"/>
    </row>
    <row r="25" spans="2:11" s="42" customFormat="1" ht="15" customHeight="1">
      <c r="B25" s="155" t="s">
        <v>213</v>
      </c>
      <c r="C25" s="78"/>
      <c r="D25" s="79">
        <v>938</v>
      </c>
      <c r="E25" s="79" t="s">
        <v>82</v>
      </c>
      <c r="F25" s="79" t="s">
        <v>82</v>
      </c>
      <c r="G25" s="79" t="s">
        <v>82</v>
      </c>
      <c r="H25" s="79" t="s">
        <v>82</v>
      </c>
      <c r="I25" s="79">
        <v>63873</v>
      </c>
      <c r="J25" s="80" t="s">
        <v>82</v>
      </c>
      <c r="K25" s="81"/>
    </row>
    <row r="26" spans="2:11" s="42" customFormat="1" ht="15" customHeight="1">
      <c r="B26" s="54"/>
      <c r="C26" s="161" t="s">
        <v>187</v>
      </c>
      <c r="D26" s="62">
        <v>938</v>
      </c>
      <c r="E26" s="62"/>
      <c r="F26" s="62"/>
      <c r="G26" s="62"/>
      <c r="H26" s="62"/>
      <c r="I26" s="62"/>
      <c r="J26" s="63"/>
      <c r="K26" s="64"/>
    </row>
    <row r="27" spans="2:11" s="42" customFormat="1" ht="15" customHeight="1">
      <c r="B27" s="54"/>
      <c r="C27" s="161" t="s">
        <v>194</v>
      </c>
      <c r="D27" s="62"/>
      <c r="E27" s="62"/>
      <c r="F27" s="62"/>
      <c r="G27" s="62"/>
      <c r="H27" s="62"/>
      <c r="I27" s="62">
        <v>23540</v>
      </c>
      <c r="J27" s="63"/>
      <c r="K27" s="64"/>
    </row>
    <row r="28" spans="2:11" s="42" customFormat="1" ht="15" customHeight="1">
      <c r="B28" s="100"/>
      <c r="C28" s="162" t="s">
        <v>91</v>
      </c>
      <c r="D28" s="51"/>
      <c r="E28" s="51"/>
      <c r="F28" s="51"/>
      <c r="G28" s="51"/>
      <c r="H28" s="51"/>
      <c r="I28" s="51">
        <v>40332</v>
      </c>
      <c r="J28" s="52"/>
      <c r="K28" s="53"/>
    </row>
    <row r="29" spans="2:11" s="42" customFormat="1" ht="15" customHeight="1">
      <c r="B29" s="154" t="s">
        <v>214</v>
      </c>
      <c r="C29" s="106"/>
      <c r="D29" s="73">
        <v>17765</v>
      </c>
      <c r="E29" s="73">
        <v>22821</v>
      </c>
      <c r="F29" s="73">
        <v>29954</v>
      </c>
      <c r="G29" s="73">
        <v>30198</v>
      </c>
      <c r="H29" s="73">
        <v>37747</v>
      </c>
      <c r="I29" s="73">
        <v>-29176</v>
      </c>
      <c r="J29" s="74">
        <v>46083</v>
      </c>
      <c r="K29" s="75">
        <v>47162</v>
      </c>
    </row>
    <row r="30" spans="2:11" s="42" customFormat="1" ht="15" customHeight="1">
      <c r="B30" s="154" t="s">
        <v>188</v>
      </c>
      <c r="C30" s="106"/>
      <c r="D30" s="73">
        <v>10520</v>
      </c>
      <c r="E30" s="73">
        <v>11136</v>
      </c>
      <c r="F30" s="73">
        <v>15830</v>
      </c>
      <c r="G30" s="73">
        <v>14659</v>
      </c>
      <c r="H30" s="73"/>
      <c r="I30" s="73"/>
      <c r="J30" s="74"/>
      <c r="K30" s="75"/>
    </row>
    <row r="31" spans="2:11" s="42" customFormat="1" ht="15" customHeight="1">
      <c r="B31" s="154" t="s">
        <v>215</v>
      </c>
      <c r="C31" s="106"/>
      <c r="D31" s="73"/>
      <c r="E31" s="73"/>
      <c r="F31" s="73"/>
      <c r="G31" s="73"/>
      <c r="H31" s="73">
        <v>21450</v>
      </c>
      <c r="I31" s="73">
        <v>19270</v>
      </c>
      <c r="J31" s="74">
        <v>22186</v>
      </c>
      <c r="K31" s="75">
        <v>22934</v>
      </c>
    </row>
    <row r="32" spans="2:11" s="42" customFormat="1" ht="15" customHeight="1">
      <c r="B32" s="154" t="s">
        <v>196</v>
      </c>
      <c r="C32" s="106"/>
      <c r="D32" s="73" t="s">
        <v>82</v>
      </c>
      <c r="E32" s="73" t="s">
        <v>82</v>
      </c>
      <c r="F32" s="73" t="s">
        <v>82</v>
      </c>
      <c r="G32" s="73" t="s">
        <v>82</v>
      </c>
      <c r="H32" s="73" t="s">
        <v>82</v>
      </c>
      <c r="I32" s="73">
        <v>-30278</v>
      </c>
      <c r="J32" s="74">
        <v>-789</v>
      </c>
      <c r="K32" s="75">
        <v>-2240</v>
      </c>
    </row>
    <row r="33" spans="2:11" s="42" customFormat="1" ht="15" customHeight="1">
      <c r="B33" s="154" t="s">
        <v>216</v>
      </c>
      <c r="C33" s="106"/>
      <c r="D33" s="73">
        <v>-22</v>
      </c>
      <c r="E33" s="73">
        <v>-57</v>
      </c>
      <c r="F33" s="73">
        <v>1</v>
      </c>
      <c r="G33" s="73">
        <v>-36</v>
      </c>
      <c r="H33" s="73">
        <v>16</v>
      </c>
      <c r="I33" s="73">
        <v>54</v>
      </c>
      <c r="J33" s="74">
        <v>234</v>
      </c>
      <c r="K33" s="75">
        <v>59</v>
      </c>
    </row>
    <row r="34" spans="2:11" s="42" customFormat="1" ht="15" customHeight="1">
      <c r="B34" s="155" t="s">
        <v>217</v>
      </c>
      <c r="C34" s="78"/>
      <c r="D34" s="79">
        <v>0</v>
      </c>
      <c r="E34" s="79">
        <v>0</v>
      </c>
      <c r="F34" s="79"/>
      <c r="G34" s="79">
        <v>0</v>
      </c>
      <c r="H34" s="79"/>
      <c r="I34" s="79"/>
      <c r="J34" s="80"/>
      <c r="K34" s="81"/>
    </row>
    <row r="35" spans="2:11" s="42" customFormat="1" ht="15" customHeight="1">
      <c r="B35" s="155" t="s">
        <v>218</v>
      </c>
      <c r="C35" s="78"/>
      <c r="D35" s="79">
        <v>-100</v>
      </c>
      <c r="E35" s="79">
        <v>43</v>
      </c>
      <c r="F35" s="79">
        <v>115</v>
      </c>
      <c r="G35" s="79">
        <v>109</v>
      </c>
      <c r="H35" s="79"/>
      <c r="I35" s="79"/>
      <c r="J35" s="80"/>
      <c r="K35" s="81"/>
    </row>
    <row r="36" spans="2:11" s="42" customFormat="1" ht="15" customHeight="1" thickBot="1">
      <c r="B36" s="163" t="s">
        <v>219</v>
      </c>
      <c r="C36" s="109"/>
      <c r="D36" s="110">
        <v>7121</v>
      </c>
      <c r="E36" s="110">
        <v>11671</v>
      </c>
      <c r="F36" s="110">
        <v>14240</v>
      </c>
      <c r="G36" s="110">
        <v>15612</v>
      </c>
      <c r="H36" s="110">
        <v>16312</v>
      </c>
      <c r="I36" s="110">
        <v>-18113</v>
      </c>
      <c r="J36" s="111">
        <v>24452</v>
      </c>
      <c r="K36" s="112">
        <v>26409</v>
      </c>
    </row>
    <row r="37" spans="2:11" ht="13">
      <c r="K37" s="335"/>
    </row>
  </sheetData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scale="84" orientation="landscape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F48"/>
  <sheetViews>
    <sheetView showGridLines="0" zoomScale="75" zoomScaleNormal="75" workbookViewId="0">
      <selection activeCell="C52" sqref="C52"/>
    </sheetView>
  </sheetViews>
  <sheetFormatPr defaultColWidth="9" defaultRowHeight="13"/>
  <cols>
    <col min="1" max="1" width="1" style="6" customWidth="1"/>
    <col min="2" max="2" width="2.36328125" style="6" customWidth="1"/>
    <col min="3" max="3" width="43.36328125" style="6" customWidth="1"/>
    <col min="4" max="6" width="14.08984375" style="11" customWidth="1"/>
    <col min="7" max="16384" width="9" style="6"/>
  </cols>
  <sheetData>
    <row r="1" spans="2:6" s="3" customFormat="1" ht="18">
      <c r="B1" s="40" t="s">
        <v>61</v>
      </c>
      <c r="C1" s="1"/>
      <c r="D1" s="7"/>
      <c r="E1" s="8"/>
      <c r="F1" s="8"/>
    </row>
    <row r="2" spans="2:6" s="3" customFormat="1" ht="19.5" customHeight="1" thickBot="1">
      <c r="B2" s="4"/>
      <c r="C2" s="4"/>
      <c r="D2" s="10"/>
      <c r="E2" s="9"/>
      <c r="F2" s="19" t="s">
        <v>84</v>
      </c>
    </row>
    <row r="3" spans="2:6" s="42" customFormat="1" ht="15" customHeight="1" thickBot="1">
      <c r="B3" s="43"/>
      <c r="C3" s="45"/>
      <c r="D3" s="46">
        <v>36586</v>
      </c>
      <c r="E3" s="46">
        <v>36951</v>
      </c>
      <c r="F3" s="48">
        <v>37316</v>
      </c>
    </row>
    <row r="4" spans="2:6" s="42" customFormat="1" ht="15" customHeight="1" thickTop="1">
      <c r="B4" s="14" t="s">
        <v>233</v>
      </c>
      <c r="C4" s="164"/>
      <c r="D4" s="131"/>
      <c r="E4" s="131"/>
      <c r="F4" s="165"/>
    </row>
    <row r="5" spans="2:6" s="42" customFormat="1" ht="15" customHeight="1">
      <c r="B5" s="54"/>
      <c r="C5" s="166" t="s">
        <v>24</v>
      </c>
      <c r="D5" s="57">
        <v>-29176</v>
      </c>
      <c r="E5" s="57">
        <v>46083</v>
      </c>
      <c r="F5" s="59">
        <v>47162</v>
      </c>
    </row>
    <row r="6" spans="2:6" s="42" customFormat="1" ht="15" customHeight="1">
      <c r="B6" s="54"/>
      <c r="C6" s="167" t="s">
        <v>25</v>
      </c>
      <c r="D6" s="62">
        <v>23540</v>
      </c>
      <c r="E6" s="62"/>
      <c r="F6" s="64"/>
    </row>
    <row r="7" spans="2:6" s="42" customFormat="1" ht="15" customHeight="1">
      <c r="B7" s="54"/>
      <c r="C7" s="167" t="s">
        <v>26</v>
      </c>
      <c r="D7" s="168">
        <v>40332</v>
      </c>
      <c r="E7" s="62"/>
      <c r="F7" s="64"/>
    </row>
    <row r="8" spans="2:6" s="42" customFormat="1" ht="15" customHeight="1">
      <c r="B8" s="54"/>
      <c r="C8" s="167" t="s">
        <v>27</v>
      </c>
      <c r="D8" s="168">
        <v>92019</v>
      </c>
      <c r="E8" s="126">
        <v>87822</v>
      </c>
      <c r="F8" s="64">
        <v>86804</v>
      </c>
    </row>
    <row r="9" spans="2:6" s="42" customFormat="1" ht="15" customHeight="1">
      <c r="B9" s="54"/>
      <c r="C9" s="167" t="s">
        <v>28</v>
      </c>
      <c r="D9" s="62">
        <v>40954</v>
      </c>
      <c r="E9" s="62">
        <v>51110</v>
      </c>
      <c r="F9" s="64">
        <v>58812</v>
      </c>
    </row>
    <row r="10" spans="2:6" s="42" customFormat="1" ht="15" customHeight="1">
      <c r="B10" s="54"/>
      <c r="C10" s="167" t="s">
        <v>29</v>
      </c>
      <c r="D10" s="62">
        <v>14043</v>
      </c>
      <c r="E10" s="62">
        <v>11120</v>
      </c>
      <c r="F10" s="64">
        <v>5475</v>
      </c>
    </row>
    <row r="11" spans="2:6" s="42" customFormat="1" ht="15" customHeight="1">
      <c r="B11" s="54"/>
      <c r="C11" s="167" t="s">
        <v>234</v>
      </c>
      <c r="D11" s="62">
        <v>5509</v>
      </c>
      <c r="E11" s="62">
        <v>2160</v>
      </c>
      <c r="F11" s="64">
        <v>2670</v>
      </c>
    </row>
    <row r="12" spans="2:6" s="42" customFormat="1" ht="15" customHeight="1">
      <c r="B12" s="54"/>
      <c r="C12" s="167" t="s">
        <v>30</v>
      </c>
      <c r="D12" s="62">
        <v>-5465</v>
      </c>
      <c r="E12" s="62"/>
      <c r="F12" s="64"/>
    </row>
    <row r="13" spans="2:6" s="42" customFormat="1" ht="15" customHeight="1">
      <c r="B13" s="54"/>
      <c r="C13" s="167" t="s">
        <v>31</v>
      </c>
      <c r="D13" s="62"/>
      <c r="E13" s="62">
        <v>3209</v>
      </c>
      <c r="F13" s="64">
        <v>2811</v>
      </c>
    </row>
    <row r="14" spans="2:6" s="42" customFormat="1" ht="15" customHeight="1">
      <c r="B14" s="54"/>
      <c r="C14" s="167" t="s">
        <v>32</v>
      </c>
      <c r="D14" s="62">
        <v>1585</v>
      </c>
      <c r="E14" s="62">
        <v>898</v>
      </c>
      <c r="F14" s="64">
        <v>1076</v>
      </c>
    </row>
    <row r="15" spans="2:6" s="42" customFormat="1" ht="15" customHeight="1">
      <c r="B15" s="54"/>
      <c r="C15" s="167" t="s">
        <v>248</v>
      </c>
      <c r="D15" s="62">
        <v>3773</v>
      </c>
      <c r="E15" s="62">
        <v>-17120</v>
      </c>
      <c r="F15" s="64">
        <v>5943</v>
      </c>
    </row>
    <row r="16" spans="2:6" s="42" customFormat="1" ht="15" customHeight="1">
      <c r="B16" s="54"/>
      <c r="C16" s="167" t="s">
        <v>33</v>
      </c>
      <c r="D16" s="62">
        <v>-3211</v>
      </c>
      <c r="E16" s="62">
        <v>12177</v>
      </c>
      <c r="F16" s="64">
        <v>-3249</v>
      </c>
    </row>
    <row r="17" spans="2:6" s="42" customFormat="1" ht="15" customHeight="1">
      <c r="B17" s="54"/>
      <c r="C17" s="167" t="s">
        <v>34</v>
      </c>
      <c r="D17" s="62">
        <v>3803</v>
      </c>
      <c r="E17" s="62">
        <v>4755</v>
      </c>
      <c r="F17" s="64">
        <v>-7312</v>
      </c>
    </row>
    <row r="18" spans="2:6" s="42" customFormat="1" ht="15" customHeight="1">
      <c r="B18" s="54"/>
      <c r="C18" s="167" t="s">
        <v>35</v>
      </c>
      <c r="D18" s="62">
        <v>10142</v>
      </c>
      <c r="E18" s="62">
        <v>9716</v>
      </c>
      <c r="F18" s="64">
        <v>8625</v>
      </c>
    </row>
    <row r="19" spans="2:6" s="42" customFormat="1" ht="15" customHeight="1">
      <c r="B19" s="54"/>
      <c r="C19" s="167" t="s">
        <v>36</v>
      </c>
      <c r="D19" s="127"/>
      <c r="E19" s="62">
        <v>3399</v>
      </c>
      <c r="F19" s="64">
        <v>-1442</v>
      </c>
    </row>
    <row r="20" spans="2:6" s="42" customFormat="1" ht="15" customHeight="1">
      <c r="B20" s="54"/>
      <c r="C20" s="169" t="s">
        <v>232</v>
      </c>
      <c r="D20" s="92">
        <v>1660</v>
      </c>
      <c r="E20" s="92">
        <v>13580</v>
      </c>
      <c r="F20" s="94">
        <v>-11971</v>
      </c>
    </row>
    <row r="21" spans="2:6" s="42" customFormat="1" ht="15" customHeight="1">
      <c r="B21" s="54"/>
      <c r="C21" s="170" t="s">
        <v>37</v>
      </c>
      <c r="D21" s="171">
        <v>199510</v>
      </c>
      <c r="E21" s="171">
        <v>228913</v>
      </c>
      <c r="F21" s="172">
        <v>195406</v>
      </c>
    </row>
    <row r="22" spans="2:6" s="42" customFormat="1" ht="15" customHeight="1">
      <c r="B22" s="54"/>
      <c r="C22" s="173" t="s">
        <v>249</v>
      </c>
      <c r="D22" s="174">
        <v>130</v>
      </c>
      <c r="E22" s="174">
        <v>181</v>
      </c>
      <c r="F22" s="175">
        <v>143</v>
      </c>
    </row>
    <row r="23" spans="2:6" s="42" customFormat="1" ht="15" customHeight="1">
      <c r="B23" s="54"/>
      <c r="C23" s="167" t="s">
        <v>38</v>
      </c>
      <c r="D23" s="127">
        <v>-10243</v>
      </c>
      <c r="E23" s="127">
        <v>-9884</v>
      </c>
      <c r="F23" s="176">
        <v>-8579</v>
      </c>
    </row>
    <row r="24" spans="2:6" s="42" customFormat="1" ht="15" customHeight="1">
      <c r="B24" s="76"/>
      <c r="C24" s="177" t="s">
        <v>39</v>
      </c>
      <c r="D24" s="178">
        <v>-14669</v>
      </c>
      <c r="E24" s="178">
        <v>-28589</v>
      </c>
      <c r="F24" s="179">
        <v>-25613</v>
      </c>
    </row>
    <row r="25" spans="2:6" s="42" customFormat="1" ht="15" customHeight="1">
      <c r="B25" s="100"/>
      <c r="C25" s="106" t="s">
        <v>40</v>
      </c>
      <c r="D25" s="180">
        <v>174727</v>
      </c>
      <c r="E25" s="180">
        <v>190620</v>
      </c>
      <c r="F25" s="181">
        <v>161357</v>
      </c>
    </row>
    <row r="26" spans="2:6" s="42" customFormat="1" ht="15" customHeight="1">
      <c r="B26" s="12" t="s">
        <v>41</v>
      </c>
      <c r="C26" s="182"/>
      <c r="D26" s="183"/>
      <c r="E26" s="183"/>
      <c r="F26" s="184"/>
    </row>
    <row r="27" spans="2:6" s="42" customFormat="1" ht="15" customHeight="1">
      <c r="B27" s="54"/>
      <c r="C27" s="173" t="s">
        <v>42</v>
      </c>
      <c r="D27" s="174">
        <v>-104670</v>
      </c>
      <c r="E27" s="174">
        <v>-82100</v>
      </c>
      <c r="F27" s="175">
        <v>-84252</v>
      </c>
    </row>
    <row r="28" spans="2:6" s="42" customFormat="1" ht="15" customHeight="1">
      <c r="B28" s="54"/>
      <c r="C28" s="167" t="s">
        <v>43</v>
      </c>
      <c r="D28" s="127">
        <v>-89453</v>
      </c>
      <c r="E28" s="127">
        <v>-96435</v>
      </c>
      <c r="F28" s="176">
        <v>-66493</v>
      </c>
    </row>
    <row r="29" spans="2:6" s="42" customFormat="1" ht="15" customHeight="1">
      <c r="B29" s="54"/>
      <c r="C29" s="167" t="s">
        <v>44</v>
      </c>
      <c r="D29" s="127">
        <v>1590</v>
      </c>
      <c r="E29" s="127">
        <v>14197</v>
      </c>
      <c r="F29" s="176">
        <v>7654</v>
      </c>
    </row>
    <row r="30" spans="2:6" s="42" customFormat="1" ht="15" customHeight="1">
      <c r="B30" s="54"/>
      <c r="C30" s="167" t="s">
        <v>45</v>
      </c>
      <c r="D30" s="127">
        <v>-3571</v>
      </c>
      <c r="E30" s="127">
        <v>-11868</v>
      </c>
      <c r="F30" s="176">
        <v>-18858</v>
      </c>
    </row>
    <row r="31" spans="2:6" s="42" customFormat="1" ht="15" customHeight="1">
      <c r="B31" s="54"/>
      <c r="C31" s="177" t="s">
        <v>46</v>
      </c>
      <c r="D31" s="178">
        <v>-2384</v>
      </c>
      <c r="E31" s="178">
        <v>3288</v>
      </c>
      <c r="F31" s="179">
        <v>-1183</v>
      </c>
    </row>
    <row r="32" spans="2:6" s="42" customFormat="1" ht="15" customHeight="1">
      <c r="B32" s="54"/>
      <c r="C32" s="106" t="s">
        <v>250</v>
      </c>
      <c r="D32" s="180">
        <v>-198489</v>
      </c>
      <c r="E32" s="180">
        <v>-172918</v>
      </c>
      <c r="F32" s="181">
        <v>-163132</v>
      </c>
    </row>
    <row r="33" spans="2:6" s="42" customFormat="1" ht="15" customHeight="1">
      <c r="B33" s="12" t="s">
        <v>47</v>
      </c>
      <c r="C33" s="185"/>
      <c r="D33" s="183"/>
      <c r="E33" s="183"/>
      <c r="F33" s="184"/>
    </row>
    <row r="34" spans="2:6" s="42" customFormat="1" ht="15" customHeight="1">
      <c r="B34" s="76"/>
      <c r="C34" s="167" t="s">
        <v>251</v>
      </c>
      <c r="D34" s="127">
        <v>59697</v>
      </c>
      <c r="E34" s="127">
        <v>29818</v>
      </c>
      <c r="F34" s="176">
        <v>29841</v>
      </c>
    </row>
    <row r="35" spans="2:6" s="42" customFormat="1" ht="15" customHeight="1">
      <c r="B35" s="76"/>
      <c r="C35" s="167" t="s">
        <v>48</v>
      </c>
      <c r="D35" s="127">
        <v>-10000</v>
      </c>
      <c r="E35" s="127">
        <v>-40000</v>
      </c>
      <c r="F35" s="176"/>
    </row>
    <row r="36" spans="2:6" s="42" customFormat="1" ht="15" customHeight="1">
      <c r="B36" s="76"/>
      <c r="C36" s="167" t="s">
        <v>49</v>
      </c>
      <c r="D36" s="127">
        <v>13500</v>
      </c>
      <c r="E36" s="127">
        <v>10000</v>
      </c>
      <c r="F36" s="176">
        <v>13000</v>
      </c>
    </row>
    <row r="37" spans="2:6" s="42" customFormat="1" ht="15" customHeight="1">
      <c r="B37" s="76"/>
      <c r="C37" s="167" t="s">
        <v>50</v>
      </c>
      <c r="D37" s="127">
        <v>-47892</v>
      </c>
      <c r="E37" s="127">
        <v>-23789</v>
      </c>
      <c r="F37" s="176">
        <v>-72360</v>
      </c>
    </row>
    <row r="38" spans="2:6" s="42" customFormat="1" ht="15" customHeight="1">
      <c r="B38" s="76"/>
      <c r="C38" s="169" t="s">
        <v>51</v>
      </c>
      <c r="D38" s="186"/>
      <c r="E38" s="186">
        <v>5000</v>
      </c>
      <c r="F38" s="187">
        <v>20000</v>
      </c>
    </row>
    <row r="39" spans="2:6" s="42" customFormat="1" ht="15" customHeight="1">
      <c r="B39" s="76"/>
      <c r="C39" s="167" t="s">
        <v>52</v>
      </c>
      <c r="D39" s="127">
        <v>4640</v>
      </c>
      <c r="E39" s="127">
        <v>-2790</v>
      </c>
      <c r="F39" s="176">
        <v>5681</v>
      </c>
    </row>
    <row r="40" spans="2:6" s="42" customFormat="1" ht="15" customHeight="1">
      <c r="B40" s="76"/>
      <c r="C40" s="167" t="s">
        <v>53</v>
      </c>
      <c r="D40" s="127">
        <v>-2809</v>
      </c>
      <c r="E40" s="127">
        <v>-2795</v>
      </c>
      <c r="F40" s="176">
        <v>-2791</v>
      </c>
    </row>
    <row r="41" spans="2:6" s="42" customFormat="1" ht="15" customHeight="1">
      <c r="B41" s="76"/>
      <c r="C41" s="188" t="s">
        <v>252</v>
      </c>
      <c r="D41" s="171">
        <v>-4</v>
      </c>
      <c r="E41" s="171">
        <v>-6</v>
      </c>
      <c r="F41" s="172">
        <v>-14</v>
      </c>
    </row>
    <row r="42" spans="2:6" s="42" customFormat="1" ht="15" customHeight="1">
      <c r="B42" s="100"/>
      <c r="C42" s="189" t="s">
        <v>54</v>
      </c>
      <c r="D42" s="178">
        <v>17130</v>
      </c>
      <c r="E42" s="178">
        <v>-24562</v>
      </c>
      <c r="F42" s="179">
        <v>-6644</v>
      </c>
    </row>
    <row r="43" spans="2:6" s="42" customFormat="1" ht="15" customHeight="1">
      <c r="B43" s="18" t="s">
        <v>55</v>
      </c>
      <c r="C43" s="106"/>
      <c r="D43" s="180">
        <v>-82</v>
      </c>
      <c r="E43" s="180">
        <v>13</v>
      </c>
      <c r="F43" s="181">
        <v>-6</v>
      </c>
    </row>
    <row r="44" spans="2:6" s="42" customFormat="1" ht="15" customHeight="1">
      <c r="B44" s="18" t="s">
        <v>56</v>
      </c>
      <c r="C44" s="106"/>
      <c r="D44" s="180">
        <v>-6714</v>
      </c>
      <c r="E44" s="180">
        <v>-6847</v>
      </c>
      <c r="F44" s="181">
        <v>-8426</v>
      </c>
    </row>
    <row r="45" spans="2:6" s="42" customFormat="1" ht="15" customHeight="1">
      <c r="B45" s="18" t="s">
        <v>57</v>
      </c>
      <c r="C45" s="106"/>
      <c r="D45" s="180">
        <v>97114</v>
      </c>
      <c r="E45" s="180">
        <v>90400</v>
      </c>
      <c r="F45" s="181">
        <v>87518</v>
      </c>
    </row>
    <row r="46" spans="2:6" s="42" customFormat="1" ht="15" customHeight="1">
      <c r="B46" s="36" t="s">
        <v>58</v>
      </c>
      <c r="C46" s="106"/>
      <c r="D46" s="180"/>
      <c r="E46" s="180">
        <v>3965</v>
      </c>
      <c r="F46" s="181">
        <v>3649</v>
      </c>
    </row>
    <row r="47" spans="2:6" s="42" customFormat="1" ht="15" customHeight="1" thickBot="1">
      <c r="B47" s="12" t="s">
        <v>59</v>
      </c>
      <c r="C47" s="78"/>
      <c r="D47" s="174">
        <v>90400</v>
      </c>
      <c r="E47" s="174">
        <v>87518</v>
      </c>
      <c r="F47" s="175">
        <v>82742</v>
      </c>
    </row>
    <row r="48" spans="2:6" s="42" customFormat="1" ht="15" customHeight="1" thickTop="1" thickBot="1">
      <c r="B48" s="13" t="s">
        <v>60</v>
      </c>
      <c r="C48" s="190"/>
      <c r="D48" s="191">
        <v>-23762</v>
      </c>
      <c r="E48" s="191">
        <v>17702</v>
      </c>
      <c r="F48" s="192">
        <v>-1775</v>
      </c>
    </row>
  </sheetData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scale="97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E9"/>
  <sheetViews>
    <sheetView showGridLines="0" workbookViewId="0"/>
  </sheetViews>
  <sheetFormatPr defaultColWidth="9" defaultRowHeight="13"/>
  <cols>
    <col min="1" max="1" width="1.6328125" style="31" customWidth="1"/>
    <col min="2" max="2" width="23.7265625" style="31" customWidth="1"/>
    <col min="3" max="5" width="14.6328125" style="34" customWidth="1"/>
    <col min="6" max="16384" width="9" style="31"/>
  </cols>
  <sheetData>
    <row r="1" spans="2:5" s="195" customFormat="1" ht="20.25" customHeight="1">
      <c r="B1" s="193" t="s">
        <v>62</v>
      </c>
      <c r="C1" s="194"/>
      <c r="D1" s="194"/>
      <c r="E1" s="194"/>
    </row>
    <row r="2" spans="2:5" s="32" customFormat="1" ht="23.25" customHeight="1" thickBot="1">
      <c r="C2" s="33"/>
      <c r="D2" s="33"/>
      <c r="E2" s="35" t="s">
        <v>84</v>
      </c>
    </row>
    <row r="3" spans="2:5" s="200" customFormat="1" ht="18.75" customHeight="1" thickBot="1">
      <c r="B3" s="196"/>
      <c r="C3" s="197">
        <v>36586</v>
      </c>
      <c r="D3" s="198">
        <v>36951</v>
      </c>
      <c r="E3" s="199">
        <v>37316</v>
      </c>
    </row>
    <row r="4" spans="2:5" s="205" customFormat="1" ht="26.25" customHeight="1" thickTop="1">
      <c r="B4" s="201" t="s">
        <v>63</v>
      </c>
      <c r="C4" s="202">
        <v>210375</v>
      </c>
      <c r="D4" s="203">
        <v>163655</v>
      </c>
      <c r="E4" s="204">
        <v>170577</v>
      </c>
    </row>
    <row r="5" spans="2:5" s="210" customFormat="1" ht="26.25" customHeight="1">
      <c r="B5" s="206"/>
      <c r="C5" s="207">
        <v>-10.6</v>
      </c>
      <c r="D5" s="208">
        <f>IF(ISERROR((D4-C4)/C4*100),"",(D4-C4)/C4*100)</f>
        <v>-22.207961972667857</v>
      </c>
      <c r="E5" s="209">
        <v>4.2</v>
      </c>
    </row>
    <row r="6" spans="2:5" s="215" customFormat="1" ht="26.25" customHeight="1">
      <c r="B6" s="211" t="s">
        <v>64</v>
      </c>
      <c r="C6" s="212">
        <v>152525</v>
      </c>
      <c r="D6" s="213">
        <v>152213</v>
      </c>
      <c r="E6" s="214">
        <v>153763</v>
      </c>
    </row>
    <row r="7" spans="2:5" s="220" customFormat="1" ht="26.25" customHeight="1">
      <c r="B7" s="216"/>
      <c r="C7" s="217" t="s">
        <v>65</v>
      </c>
      <c r="D7" s="218">
        <f>IF(ISERROR((D6-C6)/C6*100),"",(D6-C6)/C6*100)</f>
        <v>-0.20455663006064581</v>
      </c>
      <c r="E7" s="219">
        <v>1</v>
      </c>
    </row>
    <row r="8" spans="2:5" s="215" customFormat="1" ht="26.25" customHeight="1">
      <c r="B8" s="221" t="s">
        <v>66</v>
      </c>
      <c r="C8" s="202">
        <v>22684</v>
      </c>
      <c r="D8" s="203">
        <v>17956</v>
      </c>
      <c r="E8" s="204">
        <v>19073</v>
      </c>
    </row>
    <row r="9" spans="2:5" s="220" customFormat="1" ht="26.25" customHeight="1" thickBot="1">
      <c r="B9" s="222"/>
      <c r="C9" s="223">
        <v>61.6</v>
      </c>
      <c r="D9" s="224">
        <f>IF(ISERROR((D8-C8)/C8*100),"",(D8-C8)/C8*100)</f>
        <v>-20.842884852759656</v>
      </c>
      <c r="E9" s="225">
        <v>6.2</v>
      </c>
    </row>
  </sheetData>
  <phoneticPr fontId="2"/>
  <pageMargins left="0.78740157480314965" right="0.39370078740157483" top="0.59055118110236227" bottom="0.59055118110236227" header="0.51181102362204722" footer="0.39370078740157483"/>
  <pageSetup paperSize="9" orientation="portrait" horizontalDpi="4294967292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1:G28"/>
  <sheetViews>
    <sheetView showGridLines="0" workbookViewId="0">
      <selection activeCell="G4" sqref="G4"/>
    </sheetView>
  </sheetViews>
  <sheetFormatPr defaultColWidth="8" defaultRowHeight="11"/>
  <cols>
    <col min="1" max="1" width="0.90625" style="23" customWidth="1"/>
    <col min="2" max="2" width="1.453125" style="24" customWidth="1"/>
    <col min="3" max="3" width="27" style="24" customWidth="1"/>
    <col min="4" max="7" width="12.36328125" style="23" customWidth="1"/>
    <col min="8" max="16384" width="8" style="23"/>
  </cols>
  <sheetData>
    <row r="1" spans="2:7" s="228" customFormat="1" ht="20.25" customHeight="1">
      <c r="B1" s="226" t="s">
        <v>67</v>
      </c>
      <c r="C1" s="227"/>
      <c r="D1" s="227"/>
      <c r="E1" s="227"/>
      <c r="F1" s="227"/>
      <c r="G1" s="227"/>
    </row>
    <row r="2" spans="2:7" ht="12.75" customHeight="1" thickBot="1">
      <c r="G2" s="25" t="s">
        <v>84</v>
      </c>
    </row>
    <row r="3" spans="2:7" s="265" customFormat="1" ht="14.25" customHeight="1" thickBot="1">
      <c r="B3" s="260"/>
      <c r="C3" s="261"/>
      <c r="D3" s="262">
        <v>36220</v>
      </c>
      <c r="E3" s="263">
        <v>36586</v>
      </c>
      <c r="F3" s="263">
        <v>36951</v>
      </c>
      <c r="G3" s="264">
        <v>37316</v>
      </c>
    </row>
    <row r="4" spans="2:7" s="253" customFormat="1" ht="14.25" customHeight="1" thickTop="1">
      <c r="B4" s="229" t="s">
        <v>93</v>
      </c>
      <c r="C4" s="266"/>
      <c r="D4" s="230">
        <v>710152</v>
      </c>
      <c r="E4" s="231">
        <v>725347</v>
      </c>
      <c r="F4" s="232">
        <v>801044</v>
      </c>
      <c r="G4" s="233">
        <v>801966</v>
      </c>
    </row>
    <row r="5" spans="2:7" s="253" customFormat="1" ht="14.25" customHeight="1">
      <c r="B5" s="254"/>
      <c r="C5" s="267" t="s">
        <v>88</v>
      </c>
      <c r="D5" s="234">
        <v>593055</v>
      </c>
      <c r="E5" s="235">
        <v>586828</v>
      </c>
      <c r="F5" s="236">
        <v>650631</v>
      </c>
      <c r="G5" s="237">
        <v>624920</v>
      </c>
    </row>
    <row r="6" spans="2:7" s="253" customFormat="1" ht="14.25" customHeight="1">
      <c r="B6" s="254"/>
      <c r="C6" s="267" t="s">
        <v>89</v>
      </c>
      <c r="D6" s="234">
        <v>44024</v>
      </c>
      <c r="E6" s="235">
        <v>49108</v>
      </c>
      <c r="F6" s="236">
        <v>52110</v>
      </c>
      <c r="G6" s="237">
        <v>58243</v>
      </c>
    </row>
    <row r="7" spans="2:7" s="253" customFormat="1" ht="14.25" customHeight="1">
      <c r="B7" s="254"/>
      <c r="C7" s="267" t="s">
        <v>87</v>
      </c>
      <c r="D7" s="234">
        <v>103007</v>
      </c>
      <c r="E7" s="235">
        <v>103538</v>
      </c>
      <c r="F7" s="236">
        <v>142424</v>
      </c>
      <c r="G7" s="237">
        <v>209549</v>
      </c>
    </row>
    <row r="8" spans="2:7" s="253" customFormat="1" ht="14.25" customHeight="1">
      <c r="B8" s="268"/>
      <c r="C8" s="269" t="s">
        <v>90</v>
      </c>
      <c r="D8" s="238">
        <v>-29934</v>
      </c>
      <c r="E8" s="239">
        <v>-14128</v>
      </c>
      <c r="F8" s="240">
        <v>-44122</v>
      </c>
      <c r="G8" s="241">
        <v>-90747</v>
      </c>
    </row>
    <row r="9" spans="2:7" s="253" customFormat="1" ht="14.25" customHeight="1">
      <c r="B9" s="242" t="s">
        <v>176</v>
      </c>
      <c r="C9" s="270"/>
      <c r="D9" s="234">
        <v>56832</v>
      </c>
      <c r="E9" s="235">
        <v>50737</v>
      </c>
      <c r="F9" s="243">
        <v>58778</v>
      </c>
      <c r="G9" s="244">
        <v>59446</v>
      </c>
    </row>
    <row r="10" spans="2:7" s="253" customFormat="1" ht="14.25" customHeight="1">
      <c r="B10" s="254"/>
      <c r="C10" s="267" t="s">
        <v>88</v>
      </c>
      <c r="D10" s="234">
        <v>53298</v>
      </c>
      <c r="E10" s="235">
        <v>53450</v>
      </c>
      <c r="F10" s="236">
        <v>63135</v>
      </c>
      <c r="G10" s="237">
        <v>60435</v>
      </c>
    </row>
    <row r="11" spans="2:7" s="253" customFormat="1" ht="14.25" customHeight="1">
      <c r="B11" s="254"/>
      <c r="C11" s="267" t="s">
        <v>89</v>
      </c>
      <c r="D11" s="234">
        <v>6318</v>
      </c>
      <c r="E11" s="235">
        <v>4588</v>
      </c>
      <c r="F11" s="236">
        <v>604</v>
      </c>
      <c r="G11" s="237">
        <v>3325</v>
      </c>
    </row>
    <row r="12" spans="2:7" s="253" customFormat="1" ht="14.25" customHeight="1">
      <c r="B12" s="254"/>
      <c r="C12" s="267" t="s">
        <v>87</v>
      </c>
      <c r="D12" s="234">
        <v>7984</v>
      </c>
      <c r="E12" s="235">
        <v>6195</v>
      </c>
      <c r="F12" s="236">
        <v>11026</v>
      </c>
      <c r="G12" s="237">
        <v>12650</v>
      </c>
    </row>
    <row r="13" spans="2:7" s="253" customFormat="1" ht="14.25" customHeight="1">
      <c r="B13" s="254"/>
      <c r="C13" s="271" t="s">
        <v>90</v>
      </c>
      <c r="D13" s="245">
        <v>-10764</v>
      </c>
      <c r="E13" s="246">
        <v>-13494</v>
      </c>
      <c r="F13" s="247">
        <v>-15989</v>
      </c>
      <c r="G13" s="248">
        <v>-16965</v>
      </c>
    </row>
    <row r="14" spans="2:7" s="253" customFormat="1" ht="14.25" customHeight="1">
      <c r="B14" s="249" t="s">
        <v>94</v>
      </c>
      <c r="C14" s="252"/>
      <c r="D14" s="250"/>
      <c r="E14" s="251">
        <v>714882</v>
      </c>
      <c r="F14" s="243">
        <v>779418</v>
      </c>
      <c r="G14" s="244">
        <v>845399</v>
      </c>
    </row>
    <row r="15" spans="2:7" s="253" customFormat="1" ht="14.25" customHeight="1">
      <c r="B15" s="254"/>
      <c r="C15" s="267" t="s">
        <v>88</v>
      </c>
      <c r="D15" s="234"/>
      <c r="E15" s="235">
        <v>619497</v>
      </c>
      <c r="F15" s="236">
        <v>667847</v>
      </c>
      <c r="G15" s="237">
        <v>705792</v>
      </c>
    </row>
    <row r="16" spans="2:7" s="253" customFormat="1" ht="14.25" customHeight="1">
      <c r="B16" s="254"/>
      <c r="C16" s="267" t="s">
        <v>89</v>
      </c>
      <c r="D16" s="234"/>
      <c r="E16" s="235"/>
      <c r="F16" s="236"/>
      <c r="G16" s="237"/>
    </row>
    <row r="17" spans="2:7" s="253" customFormat="1" ht="14.25" customHeight="1">
      <c r="B17" s="268"/>
      <c r="C17" s="269" t="s">
        <v>87</v>
      </c>
      <c r="D17" s="238"/>
      <c r="E17" s="239">
        <v>95386</v>
      </c>
      <c r="F17" s="240">
        <v>111570</v>
      </c>
      <c r="G17" s="241">
        <v>139607</v>
      </c>
    </row>
    <row r="18" spans="2:7" s="253" customFormat="1" ht="14.25" customHeight="1">
      <c r="B18" s="242" t="s">
        <v>95</v>
      </c>
      <c r="C18" s="270"/>
      <c r="D18" s="234"/>
      <c r="E18" s="235">
        <v>1393245</v>
      </c>
      <c r="F18" s="236">
        <v>1420734</v>
      </c>
      <c r="G18" s="237">
        <v>1499034</v>
      </c>
    </row>
    <row r="19" spans="2:7" s="253" customFormat="1" ht="14.25" customHeight="1">
      <c r="B19" s="254"/>
      <c r="C19" s="267" t="s">
        <v>88</v>
      </c>
      <c r="D19" s="234"/>
      <c r="E19" s="235">
        <v>1365995</v>
      </c>
      <c r="F19" s="236">
        <v>1398342</v>
      </c>
      <c r="G19" s="237">
        <v>1463081</v>
      </c>
    </row>
    <row r="20" spans="2:7" s="253" customFormat="1" ht="14.25" customHeight="1">
      <c r="B20" s="254"/>
      <c r="C20" s="267" t="s">
        <v>89</v>
      </c>
      <c r="D20" s="234"/>
      <c r="E20" s="235"/>
      <c r="F20" s="236"/>
      <c r="G20" s="237"/>
    </row>
    <row r="21" spans="2:7" s="253" customFormat="1" ht="14.25" customHeight="1">
      <c r="B21" s="254"/>
      <c r="C21" s="271" t="s">
        <v>87</v>
      </c>
      <c r="D21" s="245"/>
      <c r="E21" s="246">
        <v>27250</v>
      </c>
      <c r="F21" s="247">
        <v>22392</v>
      </c>
      <c r="G21" s="248">
        <v>35952</v>
      </c>
    </row>
    <row r="22" spans="2:7" s="253" customFormat="1" ht="14.25" customHeight="1">
      <c r="B22" s="249" t="s">
        <v>68</v>
      </c>
      <c r="C22" s="252"/>
      <c r="D22" s="250"/>
      <c r="E22" s="251">
        <v>210375</v>
      </c>
      <c r="F22" s="243">
        <v>163655</v>
      </c>
      <c r="G22" s="244">
        <v>170577</v>
      </c>
    </row>
    <row r="23" spans="2:7" s="253" customFormat="1" ht="14.25" customHeight="1">
      <c r="B23" s="254"/>
      <c r="C23" s="272" t="s">
        <v>88</v>
      </c>
      <c r="D23" s="234"/>
      <c r="E23" s="235">
        <v>194741</v>
      </c>
      <c r="F23" s="236">
        <v>137548</v>
      </c>
      <c r="G23" s="237">
        <v>149475</v>
      </c>
    </row>
    <row r="24" spans="2:7" s="253" customFormat="1" ht="14.25" customHeight="1">
      <c r="B24" s="254"/>
      <c r="C24" s="267" t="s">
        <v>89</v>
      </c>
      <c r="D24" s="234"/>
      <c r="E24" s="235">
        <v>9887</v>
      </c>
      <c r="F24" s="236">
        <v>13781</v>
      </c>
      <c r="G24" s="237">
        <v>9457</v>
      </c>
    </row>
    <row r="25" spans="2:7" s="253" customFormat="1" ht="14.25" customHeight="1" thickBot="1">
      <c r="B25" s="255"/>
      <c r="C25" s="273" t="s">
        <v>87</v>
      </c>
      <c r="D25" s="256"/>
      <c r="E25" s="257">
        <v>5746</v>
      </c>
      <c r="F25" s="258">
        <v>12324</v>
      </c>
      <c r="G25" s="259">
        <v>11643</v>
      </c>
    </row>
    <row r="26" spans="2:7" s="27" customFormat="1" ht="15" customHeight="1">
      <c r="B26" s="28"/>
      <c r="C26" s="26"/>
      <c r="D26" s="22"/>
      <c r="E26" s="22"/>
      <c r="F26" s="22"/>
      <c r="G26" s="22"/>
    </row>
    <row r="27" spans="2:7" ht="12" customHeight="1"/>
    <row r="28" spans="2:7" ht="12" customHeight="1"/>
  </sheetData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4294967292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8"/>
  <sheetViews>
    <sheetView showGridLines="0" workbookViewId="0">
      <selection activeCell="I14" sqref="I14"/>
    </sheetView>
  </sheetViews>
  <sheetFormatPr defaultColWidth="8" defaultRowHeight="11"/>
  <cols>
    <col min="1" max="1" width="0.90625" style="23" customWidth="1"/>
    <col min="2" max="2" width="1.453125" style="24" customWidth="1"/>
    <col min="3" max="3" width="27" style="24" customWidth="1"/>
    <col min="4" max="4" width="13.6328125" style="23" customWidth="1"/>
    <col min="5" max="5" width="10.6328125" style="23" customWidth="1"/>
    <col min="6" max="6" width="13.6328125" style="23" customWidth="1"/>
    <col min="7" max="7" width="10.6328125" style="23" customWidth="1"/>
    <col min="8" max="16384" width="8" style="23"/>
  </cols>
  <sheetData>
    <row r="1" spans="2:7" s="253" customFormat="1" ht="19.5" customHeight="1">
      <c r="B1" s="276" t="s">
        <v>92</v>
      </c>
      <c r="C1" s="274"/>
      <c r="D1" s="275"/>
      <c r="E1" s="275"/>
      <c r="F1" s="275"/>
    </row>
    <row r="2" spans="2:7" s="30" customFormat="1" ht="17.25" customHeight="1" thickBot="1">
      <c r="B2" s="29"/>
      <c r="C2" s="29"/>
      <c r="D2" s="21"/>
      <c r="E2" s="20"/>
      <c r="F2" s="20" t="s">
        <v>84</v>
      </c>
    </row>
    <row r="3" spans="2:7" s="265" customFormat="1" ht="14.25" customHeight="1">
      <c r="B3" s="260"/>
      <c r="C3" s="261"/>
      <c r="D3" s="362">
        <v>36951</v>
      </c>
      <c r="E3" s="336"/>
      <c r="F3" s="363">
        <v>37316</v>
      </c>
      <c r="G3" s="359"/>
    </row>
    <row r="4" spans="2:7" s="265" customFormat="1" ht="14.25" customHeight="1" thickBot="1">
      <c r="B4" s="371"/>
      <c r="C4" s="367"/>
      <c r="D4" s="364" t="s">
        <v>220</v>
      </c>
      <c r="E4" s="365" t="s">
        <v>81</v>
      </c>
      <c r="F4" s="337" t="s">
        <v>221</v>
      </c>
      <c r="G4" s="366" t="s">
        <v>81</v>
      </c>
    </row>
    <row r="5" spans="2:7" s="279" customFormat="1" ht="14.25" customHeight="1" thickTop="1">
      <c r="B5" s="277" t="s">
        <v>69</v>
      </c>
      <c r="C5" s="278"/>
      <c r="D5" s="343">
        <v>8010</v>
      </c>
      <c r="E5" s="344">
        <v>1</v>
      </c>
      <c r="F5" s="338">
        <v>8019</v>
      </c>
      <c r="G5" s="360">
        <v>1</v>
      </c>
    </row>
    <row r="6" spans="2:7" s="284" customFormat="1" ht="14.25" customHeight="1">
      <c r="B6" s="282"/>
      <c r="C6" s="283" t="s">
        <v>70</v>
      </c>
      <c r="D6" s="343">
        <v>3479</v>
      </c>
      <c r="E6" s="344">
        <v>0.44</v>
      </c>
      <c r="F6" s="357">
        <v>3606</v>
      </c>
      <c r="G6" s="368">
        <v>0.45</v>
      </c>
    </row>
    <row r="7" spans="2:7" s="284" customFormat="1" ht="14.25" customHeight="1">
      <c r="B7" s="282"/>
      <c r="C7" s="285" t="s">
        <v>235</v>
      </c>
      <c r="D7" s="343">
        <v>2514</v>
      </c>
      <c r="E7" s="344">
        <v>0.31</v>
      </c>
      <c r="F7" s="357">
        <v>2300</v>
      </c>
      <c r="G7" s="368">
        <v>0.28999999999999998</v>
      </c>
    </row>
    <row r="8" spans="2:7" s="284" customFormat="1" ht="14.25" customHeight="1">
      <c r="B8" s="282"/>
      <c r="C8" s="286" t="s">
        <v>71</v>
      </c>
      <c r="D8" s="345">
        <v>2016</v>
      </c>
      <c r="E8" s="346">
        <v>0.25</v>
      </c>
      <c r="F8" s="358">
        <v>2112</v>
      </c>
      <c r="G8" s="370">
        <v>0.26</v>
      </c>
    </row>
    <row r="9" spans="2:7" s="288" customFormat="1" ht="14.25" customHeight="1">
      <c r="B9" s="280" t="s">
        <v>72</v>
      </c>
      <c r="C9" s="287"/>
      <c r="D9" s="347">
        <v>7794</v>
      </c>
      <c r="E9" s="348">
        <v>1</v>
      </c>
      <c r="F9" s="340">
        <v>8453</v>
      </c>
      <c r="G9" s="369">
        <v>1</v>
      </c>
    </row>
    <row r="10" spans="2:7" s="290" customFormat="1" ht="14.25" customHeight="1">
      <c r="B10" s="289"/>
      <c r="C10" s="283" t="s">
        <v>70</v>
      </c>
      <c r="D10" s="349">
        <v>4018</v>
      </c>
      <c r="E10" s="350">
        <v>0.51</v>
      </c>
      <c r="F10" s="341">
        <v>4367</v>
      </c>
      <c r="G10" s="368">
        <v>0.52</v>
      </c>
    </row>
    <row r="11" spans="2:7" s="290" customFormat="1" ht="14.25" customHeight="1">
      <c r="B11" s="289"/>
      <c r="C11" s="285" t="s">
        <v>235</v>
      </c>
      <c r="D11" s="343">
        <v>2011</v>
      </c>
      <c r="E11" s="351">
        <v>0.26</v>
      </c>
      <c r="F11" s="338">
        <v>2173</v>
      </c>
      <c r="G11" s="368">
        <v>0.26</v>
      </c>
    </row>
    <row r="12" spans="2:7" s="290" customFormat="1" ht="14.25" customHeight="1">
      <c r="B12" s="289"/>
      <c r="C12" s="291" t="s">
        <v>71</v>
      </c>
      <c r="D12" s="345">
        <v>1763</v>
      </c>
      <c r="E12" s="352">
        <v>0.23</v>
      </c>
      <c r="F12" s="339">
        <v>1912</v>
      </c>
      <c r="G12" s="370">
        <v>0.22</v>
      </c>
    </row>
    <row r="13" spans="2:7" s="290" customFormat="1" ht="14.25" customHeight="1">
      <c r="B13" s="281" t="s">
        <v>73</v>
      </c>
      <c r="C13" s="292"/>
      <c r="D13" s="353">
        <v>13989</v>
      </c>
      <c r="E13" s="354">
        <v>1</v>
      </c>
      <c r="F13" s="340">
        <v>14990</v>
      </c>
      <c r="G13" s="369">
        <v>1</v>
      </c>
    </row>
    <row r="14" spans="2:7" s="290" customFormat="1" ht="14.25" customHeight="1">
      <c r="B14" s="289"/>
      <c r="C14" s="283" t="s">
        <v>70</v>
      </c>
      <c r="D14" s="343">
        <v>9618</v>
      </c>
      <c r="E14" s="351">
        <v>0.68</v>
      </c>
      <c r="F14" s="338">
        <v>10179</v>
      </c>
      <c r="G14" s="368">
        <v>0.68</v>
      </c>
    </row>
    <row r="15" spans="2:7" s="290" customFormat="1" ht="14.25" customHeight="1">
      <c r="B15" s="289"/>
      <c r="C15" s="285" t="s">
        <v>235</v>
      </c>
      <c r="D15" s="343">
        <v>4003</v>
      </c>
      <c r="E15" s="351">
        <v>0.28000000000000003</v>
      </c>
      <c r="F15" s="338">
        <v>4071</v>
      </c>
      <c r="G15" s="368">
        <v>0.27</v>
      </c>
    </row>
    <row r="16" spans="2:7" s="290" customFormat="1" ht="14.25" customHeight="1" thickBot="1">
      <c r="B16" s="293"/>
      <c r="C16" s="294" t="s">
        <v>71</v>
      </c>
      <c r="D16" s="355">
        <v>613</v>
      </c>
      <c r="E16" s="356">
        <v>0.04</v>
      </c>
      <c r="F16" s="342">
        <v>739</v>
      </c>
      <c r="G16" s="361">
        <v>0.05</v>
      </c>
    </row>
    <row r="17" ht="12" customHeight="1"/>
    <row r="18" ht="12" customHeight="1"/>
  </sheetData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4294967292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1:L87"/>
  <sheetViews>
    <sheetView showGridLines="0" zoomScale="75" zoomScaleNormal="75" workbookViewId="0">
      <selection activeCell="D87" sqref="D87"/>
    </sheetView>
  </sheetViews>
  <sheetFormatPr defaultColWidth="9" defaultRowHeight="13"/>
  <cols>
    <col min="1" max="1" width="0.7265625" style="3" customWidth="1"/>
    <col min="2" max="3" width="2.08984375" style="3" customWidth="1"/>
    <col min="4" max="4" width="30.26953125" style="3" customWidth="1"/>
    <col min="5" max="12" width="13.6328125" style="3" customWidth="1"/>
    <col min="13" max="16384" width="9" style="3"/>
  </cols>
  <sheetData>
    <row r="1" spans="2:12" s="42" customFormat="1" ht="18.75" customHeight="1">
      <c r="B1" s="40" t="s">
        <v>97</v>
      </c>
      <c r="C1" s="40"/>
      <c r="D1" s="40"/>
      <c r="E1" s="40"/>
      <c r="F1" s="40"/>
      <c r="G1" s="40"/>
      <c r="H1" s="40"/>
      <c r="I1" s="40"/>
      <c r="J1" s="41"/>
      <c r="K1" s="41"/>
      <c r="L1" s="41"/>
    </row>
    <row r="2" spans="2:12" ht="17.5" customHeight="1" thickBot="1">
      <c r="B2" s="4"/>
      <c r="C2" s="4"/>
      <c r="D2" s="4"/>
      <c r="E2" s="4"/>
      <c r="F2" s="4"/>
      <c r="G2" s="4"/>
      <c r="H2" s="4"/>
      <c r="I2" s="5"/>
      <c r="L2" s="16" t="s">
        <v>84</v>
      </c>
    </row>
    <row r="3" spans="2:12" s="42" customFormat="1" ht="15.65" customHeight="1" thickBot="1">
      <c r="B3" s="43" t="s">
        <v>96</v>
      </c>
      <c r="C3" s="44"/>
      <c r="D3" s="45"/>
      <c r="E3" s="46">
        <v>34759</v>
      </c>
      <c r="F3" s="46">
        <v>35125</v>
      </c>
      <c r="G3" s="46">
        <v>35490</v>
      </c>
      <c r="H3" s="46">
        <v>35855</v>
      </c>
      <c r="I3" s="46">
        <v>36220</v>
      </c>
      <c r="J3" s="46">
        <v>36586</v>
      </c>
      <c r="K3" s="47">
        <v>36951</v>
      </c>
      <c r="L3" s="48">
        <v>37316</v>
      </c>
    </row>
    <row r="4" spans="2:12" s="42" customFormat="1" ht="15.65" customHeight="1" thickTop="1">
      <c r="B4" s="49" t="s">
        <v>98</v>
      </c>
      <c r="C4" s="50"/>
      <c r="D4" s="50"/>
      <c r="E4" s="51">
        <v>164759</v>
      </c>
      <c r="F4" s="51">
        <v>229996</v>
      </c>
      <c r="G4" s="51">
        <v>219823</v>
      </c>
      <c r="H4" s="51">
        <v>258629</v>
      </c>
      <c r="I4" s="51">
        <v>271348</v>
      </c>
      <c r="J4" s="51">
        <v>258700</v>
      </c>
      <c r="K4" s="52">
        <v>260977</v>
      </c>
      <c r="L4" s="53">
        <v>258313</v>
      </c>
    </row>
    <row r="5" spans="2:12" s="42" customFormat="1" ht="15.65" customHeight="1">
      <c r="B5" s="54"/>
      <c r="C5" s="295" t="s">
        <v>99</v>
      </c>
      <c r="D5" s="56"/>
      <c r="E5" s="57">
        <v>65292</v>
      </c>
      <c r="F5" s="57">
        <v>98204</v>
      </c>
      <c r="G5" s="57">
        <v>80387</v>
      </c>
      <c r="H5" s="57">
        <v>98341</v>
      </c>
      <c r="I5" s="57">
        <v>94039</v>
      </c>
      <c r="J5" s="57">
        <v>87276</v>
      </c>
      <c r="K5" s="58">
        <v>76680</v>
      </c>
      <c r="L5" s="59">
        <v>72653</v>
      </c>
    </row>
    <row r="6" spans="2:12" s="42" customFormat="1" ht="15.65" customHeight="1">
      <c r="B6" s="54"/>
      <c r="C6" s="296" t="s">
        <v>100</v>
      </c>
      <c r="D6" s="61"/>
      <c r="E6" s="62">
        <v>42</v>
      </c>
      <c r="F6" s="62">
        <v>78</v>
      </c>
      <c r="G6" s="62">
        <v>324</v>
      </c>
      <c r="H6" s="62">
        <v>85</v>
      </c>
      <c r="I6" s="62">
        <v>214</v>
      </c>
      <c r="J6" s="62">
        <v>0</v>
      </c>
      <c r="K6" s="63">
        <v>58</v>
      </c>
      <c r="L6" s="64">
        <v>13</v>
      </c>
    </row>
    <row r="7" spans="2:12" s="42" customFormat="1" ht="15.65" customHeight="1">
      <c r="B7" s="54"/>
      <c r="C7" s="296" t="s">
        <v>226</v>
      </c>
      <c r="D7" s="61"/>
      <c r="E7" s="62">
        <v>55531</v>
      </c>
      <c r="F7" s="62">
        <v>80170</v>
      </c>
      <c r="G7" s="62">
        <v>76673</v>
      </c>
      <c r="H7" s="62">
        <v>88765</v>
      </c>
      <c r="I7" s="62">
        <v>106871</v>
      </c>
      <c r="J7" s="62">
        <v>103544</v>
      </c>
      <c r="K7" s="63">
        <v>127156</v>
      </c>
      <c r="L7" s="64">
        <v>119182</v>
      </c>
    </row>
    <row r="8" spans="2:12" s="42" customFormat="1" ht="15.65" customHeight="1">
      <c r="B8" s="54"/>
      <c r="C8" s="296" t="s">
        <v>222</v>
      </c>
      <c r="D8" s="61"/>
      <c r="E8" s="62"/>
      <c r="F8" s="62"/>
      <c r="G8" s="62"/>
      <c r="H8" s="62"/>
      <c r="I8" s="62"/>
      <c r="J8" s="62"/>
      <c r="K8" s="63"/>
      <c r="L8" s="64">
        <v>18199</v>
      </c>
    </row>
    <row r="9" spans="2:12" s="42" customFormat="1" ht="15.65" customHeight="1">
      <c r="B9" s="54"/>
      <c r="C9" s="296" t="s">
        <v>101</v>
      </c>
      <c r="D9" s="61"/>
      <c r="E9" s="62">
        <v>27639</v>
      </c>
      <c r="F9" s="62">
        <v>39414</v>
      </c>
      <c r="G9" s="62">
        <v>54908</v>
      </c>
      <c r="H9" s="62">
        <v>59304</v>
      </c>
      <c r="I9" s="62">
        <v>54990</v>
      </c>
      <c r="J9" s="62">
        <v>39429</v>
      </c>
      <c r="K9" s="63">
        <v>28331</v>
      </c>
      <c r="L9" s="64">
        <v>30867</v>
      </c>
    </row>
    <row r="10" spans="2:12" s="42" customFormat="1" ht="15.65" customHeight="1">
      <c r="B10" s="54"/>
      <c r="C10" s="296" t="s">
        <v>102</v>
      </c>
      <c r="D10" s="61"/>
      <c r="E10" s="62">
        <v>6728</v>
      </c>
      <c r="F10" s="62">
        <v>7009</v>
      </c>
      <c r="G10" s="62">
        <v>4331</v>
      </c>
      <c r="H10" s="62">
        <v>2710</v>
      </c>
      <c r="I10" s="62">
        <v>2240</v>
      </c>
      <c r="J10" s="62">
        <v>3058</v>
      </c>
      <c r="K10" s="63">
        <v>2818</v>
      </c>
      <c r="L10" s="64">
        <v>2059</v>
      </c>
    </row>
    <row r="11" spans="2:12" s="42" customFormat="1" ht="15.65" customHeight="1">
      <c r="B11" s="54"/>
      <c r="C11" s="296" t="s">
        <v>103</v>
      </c>
      <c r="D11" s="61"/>
      <c r="E11" s="62">
        <v>141</v>
      </c>
      <c r="F11" s="62">
        <v>161</v>
      </c>
      <c r="G11" s="62">
        <v>154</v>
      </c>
      <c r="H11" s="62">
        <v>538</v>
      </c>
      <c r="I11" s="62">
        <v>70</v>
      </c>
      <c r="J11" s="62">
        <v>74</v>
      </c>
      <c r="K11" s="63">
        <v>244</v>
      </c>
      <c r="L11" s="64"/>
    </row>
    <row r="12" spans="2:12" s="42" customFormat="1" ht="15.65" customHeight="1">
      <c r="B12" s="54"/>
      <c r="C12" s="296" t="s">
        <v>104</v>
      </c>
      <c r="D12" s="61"/>
      <c r="E12" s="66">
        <v>2171</v>
      </c>
      <c r="F12" s="66">
        <v>2210</v>
      </c>
      <c r="G12" s="66">
        <v>2498</v>
      </c>
      <c r="H12" s="66">
        <v>2861</v>
      </c>
      <c r="I12" s="66">
        <v>3701</v>
      </c>
      <c r="J12" s="66">
        <v>4306</v>
      </c>
      <c r="K12" s="67">
        <v>4457</v>
      </c>
      <c r="L12" s="68">
        <v>4792</v>
      </c>
    </row>
    <row r="13" spans="2:12" s="42" customFormat="1" ht="15.65" customHeight="1">
      <c r="B13" s="54"/>
      <c r="C13" s="296" t="s">
        <v>105</v>
      </c>
      <c r="D13" s="61"/>
      <c r="E13" s="62">
        <v>4512</v>
      </c>
      <c r="F13" s="62">
        <v>2001</v>
      </c>
      <c r="G13" s="62"/>
      <c r="H13" s="62"/>
      <c r="I13" s="62"/>
      <c r="J13" s="62"/>
      <c r="K13" s="63"/>
      <c r="L13" s="64"/>
    </row>
    <row r="14" spans="2:12" s="303" customFormat="1" ht="15.65" customHeight="1">
      <c r="B14" s="297"/>
      <c r="C14" s="298" t="s">
        <v>153</v>
      </c>
      <c r="D14" s="299"/>
      <c r="E14" s="300"/>
      <c r="F14" s="300"/>
      <c r="G14" s="300"/>
      <c r="H14" s="300"/>
      <c r="I14" s="300"/>
      <c r="J14" s="300">
        <v>12105</v>
      </c>
      <c r="K14" s="301">
        <v>8450</v>
      </c>
      <c r="L14" s="302">
        <v>6412</v>
      </c>
    </row>
    <row r="15" spans="2:12" s="42" customFormat="1" ht="15.65" customHeight="1">
      <c r="B15" s="54"/>
      <c r="C15" s="296" t="s">
        <v>106</v>
      </c>
      <c r="D15" s="61"/>
      <c r="E15" s="62">
        <v>3006</v>
      </c>
      <c r="F15" s="62">
        <v>1163</v>
      </c>
      <c r="G15" s="62">
        <v>954</v>
      </c>
      <c r="H15" s="62">
        <v>6520</v>
      </c>
      <c r="I15" s="62">
        <v>9734</v>
      </c>
      <c r="J15" s="62">
        <v>9297</v>
      </c>
      <c r="K15" s="63">
        <v>12888</v>
      </c>
      <c r="L15" s="64">
        <v>5102</v>
      </c>
    </row>
    <row r="16" spans="2:12" s="42" customFormat="1" ht="15.65" customHeight="1">
      <c r="B16" s="54"/>
      <c r="C16" s="96" t="s">
        <v>107</v>
      </c>
      <c r="D16" s="189"/>
      <c r="E16" s="51">
        <v>-308</v>
      </c>
      <c r="F16" s="51">
        <v>-419</v>
      </c>
      <c r="G16" s="51">
        <v>-409</v>
      </c>
      <c r="H16" s="51">
        <v>-500</v>
      </c>
      <c r="I16" s="51">
        <v>-515</v>
      </c>
      <c r="J16" s="51">
        <v>-394</v>
      </c>
      <c r="K16" s="52">
        <v>-108</v>
      </c>
      <c r="L16" s="53">
        <v>-971</v>
      </c>
    </row>
    <row r="17" spans="2:12" s="42" customFormat="1" ht="15.65" customHeight="1">
      <c r="B17" s="70" t="s">
        <v>108</v>
      </c>
      <c r="C17" s="71"/>
      <c r="D17" s="72"/>
      <c r="E17" s="73">
        <v>553420</v>
      </c>
      <c r="F17" s="73">
        <v>579569</v>
      </c>
      <c r="G17" s="73">
        <v>629354</v>
      </c>
      <c r="H17" s="73">
        <v>637954</v>
      </c>
      <c r="I17" s="73">
        <v>726527</v>
      </c>
      <c r="J17" s="73">
        <v>806151</v>
      </c>
      <c r="K17" s="74">
        <v>814367</v>
      </c>
      <c r="L17" s="75">
        <v>844172</v>
      </c>
    </row>
    <row r="18" spans="2:12" s="42" customFormat="1" ht="15.65" customHeight="1">
      <c r="B18" s="76"/>
      <c r="C18" s="304" t="s">
        <v>109</v>
      </c>
      <c r="D18" s="78"/>
      <c r="E18" s="79">
        <v>395772</v>
      </c>
      <c r="F18" s="79">
        <v>394115</v>
      </c>
      <c r="G18" s="79">
        <v>424563</v>
      </c>
      <c r="H18" s="79">
        <v>431974</v>
      </c>
      <c r="I18" s="79">
        <v>517659</v>
      </c>
      <c r="J18" s="79">
        <v>426540</v>
      </c>
      <c r="K18" s="80">
        <v>394545</v>
      </c>
      <c r="L18" s="81">
        <v>400950</v>
      </c>
    </row>
    <row r="19" spans="2:12" s="42" customFormat="1" ht="15.65" customHeight="1">
      <c r="B19" s="76"/>
      <c r="C19" s="82"/>
      <c r="D19" s="161" t="s">
        <v>4</v>
      </c>
      <c r="E19" s="84">
        <v>189378</v>
      </c>
      <c r="F19" s="84">
        <v>208486</v>
      </c>
      <c r="G19" s="84">
        <v>243239</v>
      </c>
      <c r="H19" s="84">
        <v>215999</v>
      </c>
      <c r="I19" s="84">
        <v>210205</v>
      </c>
      <c r="J19" s="84">
        <v>205459</v>
      </c>
      <c r="K19" s="85">
        <v>204499</v>
      </c>
      <c r="L19" s="86">
        <v>194227</v>
      </c>
    </row>
    <row r="20" spans="2:12" s="42" customFormat="1" ht="15.65" customHeight="1">
      <c r="B20" s="76"/>
      <c r="C20" s="82"/>
      <c r="D20" s="161" t="s">
        <v>74</v>
      </c>
      <c r="E20" s="84">
        <v>82989</v>
      </c>
      <c r="F20" s="84">
        <v>82042</v>
      </c>
      <c r="G20" s="84">
        <v>88997</v>
      </c>
      <c r="H20" s="84">
        <v>88456</v>
      </c>
      <c r="I20" s="84">
        <v>99076</v>
      </c>
      <c r="J20" s="84">
        <v>95657</v>
      </c>
      <c r="K20" s="85">
        <v>99382</v>
      </c>
      <c r="L20" s="86">
        <v>96650</v>
      </c>
    </row>
    <row r="21" spans="2:12" s="42" customFormat="1" ht="15.65" customHeight="1">
      <c r="B21" s="76"/>
      <c r="C21" s="82"/>
      <c r="D21" s="161" t="s">
        <v>110</v>
      </c>
      <c r="E21" s="84">
        <v>1176</v>
      </c>
      <c r="F21" s="84">
        <v>1009</v>
      </c>
      <c r="G21" s="84">
        <v>1573</v>
      </c>
      <c r="H21" s="84">
        <v>1511</v>
      </c>
      <c r="I21" s="84">
        <v>1584</v>
      </c>
      <c r="J21" s="84">
        <v>1518</v>
      </c>
      <c r="K21" s="85">
        <v>1371</v>
      </c>
      <c r="L21" s="86">
        <v>1347</v>
      </c>
    </row>
    <row r="22" spans="2:12" s="42" customFormat="1" ht="15.65" customHeight="1">
      <c r="B22" s="76"/>
      <c r="C22" s="82"/>
      <c r="D22" s="161" t="s">
        <v>111</v>
      </c>
      <c r="E22" s="84">
        <v>7736</v>
      </c>
      <c r="F22" s="84">
        <v>7250</v>
      </c>
      <c r="G22" s="84">
        <v>9683</v>
      </c>
      <c r="H22" s="84">
        <v>9781</v>
      </c>
      <c r="I22" s="84">
        <v>12401</v>
      </c>
      <c r="J22" s="84">
        <v>12480</v>
      </c>
      <c r="K22" s="85">
        <v>13798</v>
      </c>
      <c r="L22" s="86">
        <v>13171</v>
      </c>
    </row>
    <row r="23" spans="2:12" s="42" customFormat="1" ht="15.65" customHeight="1">
      <c r="B23" s="76"/>
      <c r="C23" s="82"/>
      <c r="D23" s="161" t="s">
        <v>112</v>
      </c>
      <c r="E23" s="84">
        <v>1</v>
      </c>
      <c r="F23" s="84">
        <v>0</v>
      </c>
      <c r="G23" s="84">
        <v>0</v>
      </c>
      <c r="H23" s="84">
        <v>11</v>
      </c>
      <c r="I23" s="84">
        <v>7</v>
      </c>
      <c r="J23" s="84">
        <v>5</v>
      </c>
      <c r="K23" s="85"/>
      <c r="L23" s="86">
        <v>3</v>
      </c>
    </row>
    <row r="24" spans="2:12" s="42" customFormat="1" ht="15.65" customHeight="1">
      <c r="B24" s="76"/>
      <c r="C24" s="82"/>
      <c r="D24" s="161" t="s">
        <v>227</v>
      </c>
      <c r="E24" s="84">
        <v>6079</v>
      </c>
      <c r="F24" s="84">
        <v>10046</v>
      </c>
      <c r="G24" s="84">
        <v>10983</v>
      </c>
      <c r="H24" s="84">
        <v>10738</v>
      </c>
      <c r="I24" s="84">
        <v>11666</v>
      </c>
      <c r="J24" s="84">
        <v>10806</v>
      </c>
      <c r="K24" s="85">
        <v>10650</v>
      </c>
      <c r="L24" s="86">
        <v>9170</v>
      </c>
    </row>
    <row r="25" spans="2:12" s="42" customFormat="1" ht="15.65" customHeight="1">
      <c r="B25" s="76"/>
      <c r="C25" s="82"/>
      <c r="D25" s="161" t="s">
        <v>113</v>
      </c>
      <c r="E25" s="62">
        <v>19025</v>
      </c>
      <c r="F25" s="62">
        <v>19025</v>
      </c>
      <c r="G25" s="62">
        <v>19025</v>
      </c>
      <c r="H25" s="62">
        <v>19025</v>
      </c>
      <c r="I25" s="62">
        <v>44081</v>
      </c>
      <c r="J25" s="62">
        <v>48370</v>
      </c>
      <c r="K25" s="63">
        <v>48512</v>
      </c>
      <c r="L25" s="86">
        <v>48512</v>
      </c>
    </row>
    <row r="26" spans="2:12" s="42" customFormat="1" ht="15.65" customHeight="1">
      <c r="B26" s="54"/>
      <c r="C26" s="82"/>
      <c r="D26" s="305" t="s">
        <v>114</v>
      </c>
      <c r="E26" s="88">
        <v>89385</v>
      </c>
      <c r="F26" s="88">
        <v>66254</v>
      </c>
      <c r="G26" s="88">
        <v>51059</v>
      </c>
      <c r="H26" s="88">
        <v>86450</v>
      </c>
      <c r="I26" s="88">
        <v>138636</v>
      </c>
      <c r="J26" s="88">
        <v>52241</v>
      </c>
      <c r="K26" s="89">
        <v>16331</v>
      </c>
      <c r="L26" s="90">
        <v>37866</v>
      </c>
    </row>
    <row r="27" spans="2:12" s="42" customFormat="1" ht="15.65" customHeight="1">
      <c r="B27" s="54"/>
      <c r="C27" s="304" t="s">
        <v>115</v>
      </c>
      <c r="D27" s="91"/>
      <c r="E27" s="92">
        <v>121909</v>
      </c>
      <c r="F27" s="92">
        <v>146514</v>
      </c>
      <c r="G27" s="92">
        <v>162268</v>
      </c>
      <c r="H27" s="92">
        <v>161276</v>
      </c>
      <c r="I27" s="92">
        <v>161612</v>
      </c>
      <c r="J27" s="92">
        <v>296324</v>
      </c>
      <c r="K27" s="93">
        <v>325516</v>
      </c>
      <c r="L27" s="94">
        <v>329493</v>
      </c>
    </row>
    <row r="28" spans="2:12" s="42" customFormat="1" ht="15.65" customHeight="1">
      <c r="B28" s="76"/>
      <c r="C28" s="95"/>
      <c r="D28" s="161" t="s">
        <v>116</v>
      </c>
      <c r="E28" s="62">
        <v>120090</v>
      </c>
      <c r="F28" s="62">
        <v>144555</v>
      </c>
      <c r="G28" s="62">
        <v>160104</v>
      </c>
      <c r="H28" s="62">
        <v>158901</v>
      </c>
      <c r="I28" s="62">
        <v>159181</v>
      </c>
      <c r="J28" s="62">
        <v>178077</v>
      </c>
      <c r="K28" s="63">
        <v>286007</v>
      </c>
      <c r="L28" s="64">
        <v>285665</v>
      </c>
    </row>
    <row r="29" spans="2:12" s="42" customFormat="1" ht="15.65" customHeight="1">
      <c r="B29" s="76"/>
      <c r="C29" s="95"/>
      <c r="D29" s="161" t="s">
        <v>8</v>
      </c>
      <c r="E29" s="62"/>
      <c r="F29" s="62"/>
      <c r="G29" s="62"/>
      <c r="H29" s="62"/>
      <c r="I29" s="62"/>
      <c r="J29" s="62">
        <v>115346</v>
      </c>
      <c r="K29" s="63">
        <v>36592</v>
      </c>
      <c r="L29" s="64">
        <v>41029</v>
      </c>
    </row>
    <row r="30" spans="2:12" s="42" customFormat="1" ht="15.65" customHeight="1">
      <c r="B30" s="76"/>
      <c r="C30" s="96"/>
      <c r="D30" s="162" t="s">
        <v>117</v>
      </c>
      <c r="E30" s="51">
        <v>1818</v>
      </c>
      <c r="F30" s="51">
        <v>1958</v>
      </c>
      <c r="G30" s="51">
        <v>2163</v>
      </c>
      <c r="H30" s="51">
        <v>2374</v>
      </c>
      <c r="I30" s="51">
        <v>2431</v>
      </c>
      <c r="J30" s="51">
        <v>2900</v>
      </c>
      <c r="K30" s="52">
        <v>2915</v>
      </c>
      <c r="L30" s="53">
        <v>2798</v>
      </c>
    </row>
    <row r="31" spans="2:12" s="42" customFormat="1" ht="15.65" customHeight="1">
      <c r="B31" s="54"/>
      <c r="C31" s="173" t="s">
        <v>118</v>
      </c>
      <c r="E31" s="79">
        <v>35739</v>
      </c>
      <c r="F31" s="79">
        <v>38939</v>
      </c>
      <c r="G31" s="79">
        <v>42523</v>
      </c>
      <c r="H31" s="79">
        <v>44703</v>
      </c>
      <c r="I31" s="79">
        <v>47254</v>
      </c>
      <c r="J31" s="79">
        <v>83286</v>
      </c>
      <c r="K31" s="80">
        <v>94305</v>
      </c>
      <c r="L31" s="81">
        <v>113728</v>
      </c>
    </row>
    <row r="32" spans="2:12" s="42" customFormat="1" ht="15.65" customHeight="1">
      <c r="B32" s="54"/>
      <c r="C32" s="82"/>
      <c r="D32" s="61" t="s">
        <v>119</v>
      </c>
      <c r="E32" s="62">
        <v>2894</v>
      </c>
      <c r="F32" s="62">
        <v>3699</v>
      </c>
      <c r="G32" s="62">
        <v>5197</v>
      </c>
      <c r="H32" s="62">
        <v>5889</v>
      </c>
      <c r="I32" s="62">
        <v>6436</v>
      </c>
      <c r="J32" s="62">
        <v>6019</v>
      </c>
      <c r="K32" s="63">
        <v>8934</v>
      </c>
      <c r="L32" s="64">
        <v>21010</v>
      </c>
    </row>
    <row r="33" spans="2:12" s="42" customFormat="1" ht="15.65" customHeight="1">
      <c r="B33" s="54"/>
      <c r="C33" s="82"/>
      <c r="D33" s="61" t="s">
        <v>228</v>
      </c>
      <c r="E33" s="62">
        <v>5593</v>
      </c>
      <c r="F33" s="62">
        <v>5675</v>
      </c>
      <c r="G33" s="62">
        <v>6662</v>
      </c>
      <c r="H33" s="62">
        <v>6331</v>
      </c>
      <c r="I33" s="62">
        <v>7220</v>
      </c>
      <c r="J33" s="62">
        <v>9311</v>
      </c>
      <c r="K33" s="63">
        <v>16198</v>
      </c>
      <c r="L33" s="64">
        <v>20595</v>
      </c>
    </row>
    <row r="34" spans="2:12" s="42" customFormat="1" ht="15.65" customHeight="1">
      <c r="B34" s="54"/>
      <c r="C34" s="82"/>
      <c r="D34" s="61" t="s">
        <v>120</v>
      </c>
      <c r="E34" s="62">
        <v>9</v>
      </c>
      <c r="F34" s="62">
        <v>9</v>
      </c>
      <c r="G34" s="62">
        <v>314</v>
      </c>
      <c r="H34" s="62">
        <v>421</v>
      </c>
      <c r="I34" s="62">
        <v>409</v>
      </c>
      <c r="J34" s="62">
        <v>945</v>
      </c>
      <c r="K34" s="63">
        <v>1961</v>
      </c>
      <c r="L34" s="64">
        <v>2545</v>
      </c>
    </row>
    <row r="35" spans="2:12" s="42" customFormat="1" ht="15.65" customHeight="1">
      <c r="B35" s="54"/>
      <c r="C35" s="82"/>
      <c r="D35" s="61" t="s">
        <v>121</v>
      </c>
      <c r="E35" s="62"/>
      <c r="F35" s="62">
        <v>35</v>
      </c>
      <c r="G35" s="62">
        <v>183</v>
      </c>
      <c r="H35" s="62">
        <v>183</v>
      </c>
      <c r="I35" s="62">
        <v>485</v>
      </c>
      <c r="J35" s="62">
        <v>485</v>
      </c>
      <c r="K35" s="63">
        <v>602</v>
      </c>
      <c r="L35" s="64">
        <v>1485</v>
      </c>
    </row>
    <row r="36" spans="2:12" s="42" customFormat="1" ht="15.65" customHeight="1">
      <c r="B36" s="54"/>
      <c r="C36" s="82"/>
      <c r="D36" s="61" t="s">
        <v>122</v>
      </c>
      <c r="E36" s="62">
        <v>21</v>
      </c>
      <c r="F36" s="62">
        <v>20</v>
      </c>
      <c r="G36" s="62">
        <v>19</v>
      </c>
      <c r="H36" s="62">
        <v>257</v>
      </c>
      <c r="I36" s="62">
        <v>239</v>
      </c>
      <c r="J36" s="62">
        <v>259</v>
      </c>
      <c r="K36" s="63">
        <v>297</v>
      </c>
      <c r="L36" s="64">
        <v>236</v>
      </c>
    </row>
    <row r="37" spans="2:12" s="42" customFormat="1" ht="15.65" customHeight="1">
      <c r="B37" s="54"/>
      <c r="C37" s="82"/>
      <c r="D37" s="61" t="s">
        <v>123</v>
      </c>
      <c r="E37" s="62">
        <v>37</v>
      </c>
      <c r="F37" s="62">
        <v>35</v>
      </c>
      <c r="G37" s="62">
        <v>36</v>
      </c>
      <c r="H37" s="62">
        <v>43</v>
      </c>
      <c r="I37" s="62">
        <v>561</v>
      </c>
      <c r="J37" s="62">
        <v>499</v>
      </c>
      <c r="K37" s="63">
        <v>527</v>
      </c>
      <c r="L37" s="64">
        <v>510</v>
      </c>
    </row>
    <row r="38" spans="2:12" s="42" customFormat="1" ht="15.65" customHeight="1">
      <c r="B38" s="54"/>
      <c r="C38" s="82"/>
      <c r="D38" s="61" t="s">
        <v>124</v>
      </c>
      <c r="E38" s="62">
        <v>24926</v>
      </c>
      <c r="F38" s="62">
        <v>27432</v>
      </c>
      <c r="G38" s="62">
        <v>28017</v>
      </c>
      <c r="H38" s="62">
        <v>29849</v>
      </c>
      <c r="I38" s="62">
        <v>29897</v>
      </c>
      <c r="J38" s="62">
        <v>29602</v>
      </c>
      <c r="K38" s="63">
        <v>27355</v>
      </c>
      <c r="L38" s="64">
        <v>26498</v>
      </c>
    </row>
    <row r="39" spans="2:12" s="303" customFormat="1" ht="15.65" customHeight="1">
      <c r="B39" s="297"/>
      <c r="C39" s="306"/>
      <c r="D39" s="299" t="s">
        <v>154</v>
      </c>
      <c r="E39" s="168"/>
      <c r="F39" s="168"/>
      <c r="G39" s="168"/>
      <c r="H39" s="168"/>
      <c r="I39" s="168"/>
      <c r="J39" s="168">
        <v>32838</v>
      </c>
      <c r="K39" s="307">
        <v>36378</v>
      </c>
      <c r="L39" s="308">
        <v>39068</v>
      </c>
    </row>
    <row r="40" spans="2:12" s="42" customFormat="1" ht="15.65" customHeight="1">
      <c r="B40" s="54"/>
      <c r="C40" s="82"/>
      <c r="D40" s="61" t="s">
        <v>125</v>
      </c>
      <c r="E40" s="62">
        <v>2277</v>
      </c>
      <c r="F40" s="62">
        <v>2050</v>
      </c>
      <c r="G40" s="62">
        <v>2110</v>
      </c>
      <c r="H40" s="62">
        <v>1983</v>
      </c>
      <c r="I40" s="62">
        <v>2243</v>
      </c>
      <c r="J40" s="62">
        <v>3585</v>
      </c>
      <c r="K40" s="63">
        <v>2905</v>
      </c>
      <c r="L40" s="64">
        <v>2544</v>
      </c>
    </row>
    <row r="41" spans="2:12" s="42" customFormat="1" ht="15.65" customHeight="1">
      <c r="B41" s="100"/>
      <c r="C41" s="101"/>
      <c r="D41" s="91" t="s">
        <v>107</v>
      </c>
      <c r="E41" s="92">
        <v>-21</v>
      </c>
      <c r="F41" s="92">
        <v>-20</v>
      </c>
      <c r="G41" s="92">
        <v>-19</v>
      </c>
      <c r="H41" s="92">
        <v>-257</v>
      </c>
      <c r="I41" s="92">
        <v>-239</v>
      </c>
      <c r="J41" s="92">
        <v>-259</v>
      </c>
      <c r="K41" s="93">
        <v>-855</v>
      </c>
      <c r="L41" s="94">
        <v>-766</v>
      </c>
    </row>
    <row r="42" spans="2:12" s="42" customFormat="1" ht="15.65" customHeight="1">
      <c r="B42" s="70" t="s">
        <v>155</v>
      </c>
      <c r="C42" s="103"/>
      <c r="D42" s="78"/>
      <c r="E42" s="79"/>
      <c r="F42" s="79"/>
      <c r="G42" s="79"/>
      <c r="H42" s="79"/>
      <c r="I42" s="79"/>
      <c r="J42" s="79"/>
      <c r="K42" s="80">
        <v>19</v>
      </c>
      <c r="L42" s="81">
        <v>36</v>
      </c>
    </row>
    <row r="43" spans="2:12" s="42" customFormat="1" ht="15.65" customHeight="1">
      <c r="B43" s="104"/>
      <c r="C43" s="309" t="s">
        <v>12</v>
      </c>
      <c r="D43" s="106"/>
      <c r="E43" s="79"/>
      <c r="F43" s="79"/>
      <c r="G43" s="79"/>
      <c r="H43" s="79"/>
      <c r="I43" s="79"/>
      <c r="J43" s="79"/>
      <c r="K43" s="80">
        <v>19</v>
      </c>
      <c r="L43" s="81">
        <v>36</v>
      </c>
    </row>
    <row r="44" spans="2:12" s="42" customFormat="1" ht="15.65" customHeight="1" thickBot="1">
      <c r="B44" s="107" t="s">
        <v>126</v>
      </c>
      <c r="C44" s="108"/>
      <c r="D44" s="109"/>
      <c r="E44" s="110">
        <v>718180</v>
      </c>
      <c r="F44" s="110">
        <v>809565</v>
      </c>
      <c r="G44" s="110">
        <v>849177</v>
      </c>
      <c r="H44" s="110">
        <v>896583</v>
      </c>
      <c r="I44" s="110">
        <v>997875</v>
      </c>
      <c r="J44" s="110">
        <v>1064852</v>
      </c>
      <c r="K44" s="111">
        <v>1075363</v>
      </c>
      <c r="L44" s="112">
        <v>1102522</v>
      </c>
    </row>
    <row r="45" spans="2:12" s="42" customFormat="1" ht="15.65" customHeight="1" thickBot="1">
      <c r="B45" s="310"/>
      <c r="D45" s="310"/>
      <c r="E45" s="311"/>
      <c r="F45" s="311"/>
      <c r="G45" s="311"/>
      <c r="H45" s="311"/>
      <c r="I45" s="311"/>
      <c r="J45" s="311"/>
      <c r="K45" s="311"/>
      <c r="L45" s="311"/>
    </row>
    <row r="46" spans="2:12" s="42" customFormat="1" ht="15.65" customHeight="1" thickBot="1">
      <c r="B46" s="43" t="s">
        <v>127</v>
      </c>
      <c r="C46" s="44"/>
      <c r="D46" s="45"/>
      <c r="E46" s="46">
        <v>34759</v>
      </c>
      <c r="F46" s="46">
        <v>35125</v>
      </c>
      <c r="G46" s="46">
        <v>35490</v>
      </c>
      <c r="H46" s="46">
        <v>35855</v>
      </c>
      <c r="I46" s="46">
        <v>36220</v>
      </c>
      <c r="J46" s="46">
        <v>36586</v>
      </c>
      <c r="K46" s="47">
        <v>36951</v>
      </c>
      <c r="L46" s="48">
        <v>37316</v>
      </c>
    </row>
    <row r="47" spans="2:12" s="42" customFormat="1" ht="15.65" customHeight="1" thickTop="1">
      <c r="B47" s="113" t="s">
        <v>128</v>
      </c>
      <c r="C47" s="114"/>
      <c r="D47" s="114"/>
      <c r="E47" s="115"/>
      <c r="F47" s="115"/>
      <c r="G47" s="115"/>
      <c r="H47" s="115"/>
      <c r="I47" s="115"/>
      <c r="J47" s="115"/>
      <c r="K47" s="115"/>
      <c r="L47" s="116"/>
    </row>
    <row r="48" spans="2:12" s="42" customFormat="1" ht="15.65" customHeight="1">
      <c r="B48" s="70" t="s">
        <v>129</v>
      </c>
      <c r="C48" s="71"/>
      <c r="D48" s="72"/>
      <c r="E48" s="73">
        <v>200315</v>
      </c>
      <c r="F48" s="73">
        <v>189802</v>
      </c>
      <c r="G48" s="73">
        <v>228804</v>
      </c>
      <c r="H48" s="73">
        <v>255363</v>
      </c>
      <c r="I48" s="74">
        <v>188759</v>
      </c>
      <c r="J48" s="73">
        <v>217602</v>
      </c>
      <c r="K48" s="117">
        <v>233629</v>
      </c>
      <c r="L48" s="75">
        <v>280723</v>
      </c>
    </row>
    <row r="49" spans="2:12" s="42" customFormat="1" ht="15.65" customHeight="1">
      <c r="B49" s="49"/>
      <c r="C49" s="312" t="s">
        <v>253</v>
      </c>
      <c r="D49" s="119"/>
      <c r="E49" s="57">
        <v>47428</v>
      </c>
      <c r="F49" s="57">
        <v>44271</v>
      </c>
      <c r="G49" s="57">
        <v>54071</v>
      </c>
      <c r="H49" s="57">
        <v>61784</v>
      </c>
      <c r="I49" s="58">
        <v>66199</v>
      </c>
      <c r="J49" s="57">
        <v>83516</v>
      </c>
      <c r="K49" s="120">
        <v>75937</v>
      </c>
      <c r="L49" s="59">
        <v>85570</v>
      </c>
    </row>
    <row r="50" spans="2:12" s="42" customFormat="1" ht="15.65" customHeight="1">
      <c r="B50" s="54"/>
      <c r="C50" s="296" t="s">
        <v>130</v>
      </c>
      <c r="D50" s="122"/>
      <c r="E50" s="123">
        <v>46970</v>
      </c>
      <c r="F50" s="123"/>
      <c r="G50" s="123">
        <v>17000</v>
      </c>
      <c r="H50" s="123">
        <v>17840</v>
      </c>
      <c r="I50" s="124"/>
      <c r="J50" s="125">
        <v>4000</v>
      </c>
      <c r="K50" s="126"/>
      <c r="L50" s="64">
        <v>11304</v>
      </c>
    </row>
    <row r="51" spans="2:12" s="42" customFormat="1" ht="15.65" customHeight="1">
      <c r="B51" s="54"/>
      <c r="C51" s="296" t="s">
        <v>131</v>
      </c>
      <c r="D51" s="122"/>
      <c r="E51" s="62"/>
      <c r="F51" s="62"/>
      <c r="G51" s="62"/>
      <c r="H51" s="62">
        <v>28000</v>
      </c>
      <c r="I51" s="63"/>
      <c r="J51" s="62"/>
      <c r="K51" s="126">
        <v>5000</v>
      </c>
      <c r="L51" s="64">
        <v>25000</v>
      </c>
    </row>
    <row r="52" spans="2:12" s="42" customFormat="1" ht="15.65" customHeight="1">
      <c r="B52" s="54"/>
      <c r="C52" s="296" t="s">
        <v>132</v>
      </c>
      <c r="D52" s="122"/>
      <c r="E52" s="84">
        <v>62192</v>
      </c>
      <c r="F52" s="84">
        <v>90697</v>
      </c>
      <c r="G52" s="84">
        <v>85032</v>
      </c>
      <c r="H52" s="127">
        <v>82407</v>
      </c>
      <c r="I52" s="85">
        <v>47879</v>
      </c>
      <c r="J52" s="62">
        <v>23789</v>
      </c>
      <c r="K52" s="128">
        <v>72360</v>
      </c>
      <c r="L52" s="86">
        <v>23635</v>
      </c>
    </row>
    <row r="53" spans="2:12" s="42" customFormat="1" ht="15.65" customHeight="1">
      <c r="B53" s="54"/>
      <c r="C53" s="296" t="s">
        <v>133</v>
      </c>
      <c r="D53" s="122"/>
      <c r="E53" s="84"/>
      <c r="F53" s="84">
        <v>5000</v>
      </c>
      <c r="G53" s="84">
        <v>25000</v>
      </c>
      <c r="H53" s="127">
        <v>10000</v>
      </c>
      <c r="I53" s="85">
        <v>10000</v>
      </c>
      <c r="J53" s="84">
        <v>40000</v>
      </c>
      <c r="K53" s="128"/>
      <c r="L53" s="86">
        <v>70000</v>
      </c>
    </row>
    <row r="54" spans="2:12" s="42" customFormat="1" ht="15.65" customHeight="1">
      <c r="B54" s="54"/>
      <c r="C54" s="296" t="s">
        <v>254</v>
      </c>
      <c r="D54" s="122"/>
      <c r="E54" s="84">
        <v>14850</v>
      </c>
      <c r="F54" s="84">
        <v>23259</v>
      </c>
      <c r="G54" s="84">
        <v>15936</v>
      </c>
      <c r="H54" s="127">
        <v>26083</v>
      </c>
      <c r="I54" s="85">
        <v>31350</v>
      </c>
      <c r="J54" s="84">
        <v>26954</v>
      </c>
      <c r="K54" s="128">
        <v>32539</v>
      </c>
      <c r="L54" s="86">
        <v>29932</v>
      </c>
    </row>
    <row r="55" spans="2:12" s="42" customFormat="1" ht="15.65" customHeight="1">
      <c r="B55" s="54"/>
      <c r="C55" s="296" t="s">
        <v>134</v>
      </c>
      <c r="D55" s="122"/>
      <c r="E55" s="62">
        <v>7995</v>
      </c>
      <c r="F55" s="62">
        <v>6117</v>
      </c>
      <c r="G55" s="62">
        <v>10866</v>
      </c>
      <c r="H55" s="62">
        <v>7026</v>
      </c>
      <c r="I55" s="63">
        <v>12352</v>
      </c>
      <c r="J55" s="62">
        <v>17265</v>
      </c>
      <c r="K55" s="126">
        <v>12575</v>
      </c>
      <c r="L55" s="64">
        <v>9593</v>
      </c>
    </row>
    <row r="56" spans="2:12" s="42" customFormat="1" ht="15.65" customHeight="1">
      <c r="B56" s="54"/>
      <c r="C56" s="296" t="s">
        <v>135</v>
      </c>
      <c r="D56" s="122"/>
      <c r="E56" s="62">
        <v>2760</v>
      </c>
      <c r="F56" s="62">
        <v>2226</v>
      </c>
      <c r="G56" s="62">
        <v>3542</v>
      </c>
      <c r="H56" s="62">
        <v>2518</v>
      </c>
      <c r="I56" s="63"/>
      <c r="J56" s="62"/>
      <c r="K56" s="126"/>
      <c r="L56" s="64"/>
    </row>
    <row r="57" spans="2:12" s="42" customFormat="1" ht="15.65" customHeight="1">
      <c r="B57" s="54"/>
      <c r="C57" s="296" t="s">
        <v>136</v>
      </c>
      <c r="D57" s="122"/>
      <c r="E57" s="62">
        <v>1370</v>
      </c>
      <c r="F57" s="62">
        <v>2535</v>
      </c>
      <c r="G57" s="62">
        <v>2004</v>
      </c>
      <c r="H57" s="62">
        <v>4814</v>
      </c>
      <c r="I57" s="63">
        <v>2204</v>
      </c>
      <c r="J57" s="62">
        <v>3015</v>
      </c>
      <c r="K57" s="126">
        <v>6091</v>
      </c>
      <c r="L57" s="64">
        <v>4672</v>
      </c>
    </row>
    <row r="58" spans="2:12" s="42" customFormat="1" ht="15.65" customHeight="1">
      <c r="B58" s="54"/>
      <c r="C58" s="296" t="s">
        <v>137</v>
      </c>
      <c r="D58" s="122"/>
      <c r="E58" s="62">
        <v>9570</v>
      </c>
      <c r="F58" s="62">
        <v>9320</v>
      </c>
      <c r="G58" s="62">
        <v>9076</v>
      </c>
      <c r="H58" s="62">
        <v>8735</v>
      </c>
      <c r="I58" s="63">
        <v>7708</v>
      </c>
      <c r="J58" s="62">
        <v>7451</v>
      </c>
      <c r="K58" s="126">
        <v>6839</v>
      </c>
      <c r="L58" s="64">
        <v>6783</v>
      </c>
    </row>
    <row r="59" spans="2:12" s="42" customFormat="1" ht="15.65" customHeight="1">
      <c r="B59" s="54"/>
      <c r="C59" s="296" t="s">
        <v>138</v>
      </c>
      <c r="D59" s="122"/>
      <c r="E59" s="62">
        <v>6151</v>
      </c>
      <c r="F59" s="62">
        <v>5451</v>
      </c>
      <c r="G59" s="62">
        <v>5164</v>
      </c>
      <c r="H59" s="62">
        <v>5107</v>
      </c>
      <c r="I59" s="63">
        <v>10028</v>
      </c>
      <c r="J59" s="62">
        <v>10705</v>
      </c>
      <c r="K59" s="126">
        <v>12786</v>
      </c>
      <c r="L59" s="64">
        <v>13119</v>
      </c>
    </row>
    <row r="60" spans="2:12" s="42" customFormat="1" ht="15.65" customHeight="1">
      <c r="B60" s="54"/>
      <c r="C60" s="313" t="s">
        <v>224</v>
      </c>
      <c r="D60" s="137"/>
      <c r="E60" s="92">
        <v>1025</v>
      </c>
      <c r="F60" s="92">
        <v>922</v>
      </c>
      <c r="G60" s="92">
        <v>1111</v>
      </c>
      <c r="H60" s="92">
        <v>1046</v>
      </c>
      <c r="I60" s="93">
        <v>1035</v>
      </c>
      <c r="J60" s="92">
        <v>904</v>
      </c>
      <c r="K60" s="138">
        <v>9499</v>
      </c>
      <c r="L60" s="94"/>
    </row>
    <row r="61" spans="2:12" s="42" customFormat="1" ht="15.65" customHeight="1">
      <c r="B61" s="54"/>
      <c r="C61" s="314" t="s">
        <v>139</v>
      </c>
      <c r="D61" s="315"/>
      <c r="E61" s="88">
        <v>0</v>
      </c>
      <c r="F61" s="88">
        <v>0</v>
      </c>
      <c r="G61" s="88"/>
      <c r="H61" s="88"/>
      <c r="I61" s="89"/>
      <c r="J61" s="88"/>
      <c r="K61" s="316"/>
      <c r="L61" s="90">
        <v>1111</v>
      </c>
    </row>
    <row r="62" spans="2:12" s="42" customFormat="1" ht="15.65" customHeight="1">
      <c r="B62" s="70" t="s">
        <v>140</v>
      </c>
      <c r="C62" s="50"/>
      <c r="D62" s="130"/>
      <c r="E62" s="51">
        <v>467921</v>
      </c>
      <c r="F62" s="51">
        <v>438045</v>
      </c>
      <c r="G62" s="51">
        <v>427263</v>
      </c>
      <c r="H62" s="51">
        <v>435330</v>
      </c>
      <c r="I62" s="52">
        <v>439817</v>
      </c>
      <c r="J62" s="51">
        <v>484237</v>
      </c>
      <c r="K62" s="131">
        <v>455094</v>
      </c>
      <c r="L62" s="53">
        <v>413137</v>
      </c>
    </row>
    <row r="63" spans="2:12" s="42" customFormat="1" ht="15.65" customHeight="1">
      <c r="B63" s="54"/>
      <c r="C63" s="317" t="s">
        <v>17</v>
      </c>
      <c r="D63" s="133"/>
      <c r="E63" s="79">
        <v>85000</v>
      </c>
      <c r="F63" s="79">
        <v>100000</v>
      </c>
      <c r="G63" s="79">
        <v>110000</v>
      </c>
      <c r="H63" s="79">
        <v>185000</v>
      </c>
      <c r="I63" s="80">
        <v>235000</v>
      </c>
      <c r="J63" s="79">
        <v>255000</v>
      </c>
      <c r="K63" s="134">
        <v>285000</v>
      </c>
      <c r="L63" s="81">
        <v>245000</v>
      </c>
    </row>
    <row r="64" spans="2:12" s="42" customFormat="1" ht="15.65" customHeight="1">
      <c r="B64" s="54"/>
      <c r="C64" s="318" t="s">
        <v>18</v>
      </c>
      <c r="D64" s="122"/>
      <c r="E64" s="62">
        <v>311959</v>
      </c>
      <c r="F64" s="62">
        <v>264293</v>
      </c>
      <c r="G64" s="62">
        <v>242230</v>
      </c>
      <c r="H64" s="62">
        <v>179139</v>
      </c>
      <c r="I64" s="63">
        <v>137518</v>
      </c>
      <c r="J64" s="62">
        <v>127229</v>
      </c>
      <c r="K64" s="126">
        <v>64868</v>
      </c>
      <c r="L64" s="64">
        <v>54233</v>
      </c>
    </row>
    <row r="65" spans="2:12" s="42" customFormat="1" ht="15.65" customHeight="1">
      <c r="B65" s="54"/>
      <c r="C65" s="318" t="s">
        <v>141</v>
      </c>
      <c r="D65" s="122"/>
      <c r="E65" s="62">
        <v>52464</v>
      </c>
      <c r="F65" s="62">
        <v>55012</v>
      </c>
      <c r="G65" s="62">
        <v>56777</v>
      </c>
      <c r="H65" s="62">
        <v>57121</v>
      </c>
      <c r="I65" s="63">
        <v>57886</v>
      </c>
      <c r="J65" s="62">
        <v>98934</v>
      </c>
      <c r="K65" s="126"/>
      <c r="L65" s="64"/>
    </row>
    <row r="66" spans="2:12" s="42" customFormat="1" ht="15.65" customHeight="1">
      <c r="B66" s="54"/>
      <c r="C66" s="318" t="s">
        <v>167</v>
      </c>
      <c r="D66" s="122"/>
      <c r="E66" s="62"/>
      <c r="F66" s="62"/>
      <c r="G66" s="62"/>
      <c r="H66" s="62"/>
      <c r="I66" s="63"/>
      <c r="J66" s="62"/>
      <c r="K66" s="126">
        <v>104146</v>
      </c>
      <c r="L66" s="64">
        <v>106503</v>
      </c>
    </row>
    <row r="67" spans="2:12" s="42" customFormat="1" ht="15.65" customHeight="1">
      <c r="B67" s="54"/>
      <c r="C67" s="318" t="s">
        <v>168</v>
      </c>
      <c r="D67" s="122"/>
      <c r="E67" s="62">
        <v>794</v>
      </c>
      <c r="F67" s="62">
        <v>614</v>
      </c>
      <c r="G67" s="62">
        <v>795</v>
      </c>
      <c r="H67" s="62">
        <v>703</v>
      </c>
      <c r="I67" s="63">
        <v>821</v>
      </c>
      <c r="J67" s="62">
        <v>610</v>
      </c>
      <c r="K67" s="126">
        <v>755</v>
      </c>
      <c r="L67" s="64">
        <v>591</v>
      </c>
    </row>
    <row r="68" spans="2:12" s="42" customFormat="1" ht="15.65" customHeight="1">
      <c r="B68" s="54"/>
      <c r="C68" s="318" t="s">
        <v>142</v>
      </c>
      <c r="D68" s="122"/>
      <c r="E68" s="62">
        <v>17698</v>
      </c>
      <c r="F68" s="62">
        <v>18121</v>
      </c>
      <c r="G68" s="62">
        <v>17457</v>
      </c>
      <c r="H68" s="62">
        <v>13304</v>
      </c>
      <c r="I68" s="63">
        <v>8374</v>
      </c>
      <c r="J68" s="62">
        <v>2280</v>
      </c>
      <c r="K68" s="126"/>
      <c r="L68" s="64"/>
    </row>
    <row r="69" spans="2:12" s="42" customFormat="1" ht="15.65" customHeight="1">
      <c r="B69" s="54"/>
      <c r="C69" s="95" t="s">
        <v>143</v>
      </c>
      <c r="D69" s="137"/>
      <c r="E69" s="92">
        <v>4</v>
      </c>
      <c r="F69" s="92">
        <v>2</v>
      </c>
      <c r="G69" s="92">
        <v>1</v>
      </c>
      <c r="H69" s="92">
        <v>62</v>
      </c>
      <c r="I69" s="93">
        <v>216</v>
      </c>
      <c r="J69" s="92">
        <v>182</v>
      </c>
      <c r="K69" s="138">
        <v>323</v>
      </c>
      <c r="L69" s="94">
        <v>6809</v>
      </c>
    </row>
    <row r="70" spans="2:12" s="42" customFormat="1" ht="15.65" customHeight="1" thickBot="1">
      <c r="B70" s="107" t="s">
        <v>144</v>
      </c>
      <c r="C70" s="108"/>
      <c r="D70" s="109"/>
      <c r="E70" s="110">
        <v>668236</v>
      </c>
      <c r="F70" s="110">
        <v>627847</v>
      </c>
      <c r="G70" s="110">
        <v>656068</v>
      </c>
      <c r="H70" s="110">
        <v>690694</v>
      </c>
      <c r="I70" s="111">
        <v>628577</v>
      </c>
      <c r="J70" s="110">
        <v>701839</v>
      </c>
      <c r="K70" s="140">
        <v>688723</v>
      </c>
      <c r="L70" s="112">
        <v>693860</v>
      </c>
    </row>
    <row r="71" spans="2:12" s="42" customFormat="1" ht="15.65" customHeight="1">
      <c r="B71" s="145" t="s">
        <v>145</v>
      </c>
      <c r="C71" s="146"/>
      <c r="D71" s="146"/>
      <c r="E71" s="147"/>
      <c r="F71" s="147"/>
      <c r="G71" s="147"/>
      <c r="H71" s="147"/>
      <c r="I71" s="147"/>
      <c r="J71" s="147"/>
      <c r="K71" s="147"/>
      <c r="L71" s="148"/>
    </row>
    <row r="72" spans="2:12" s="42" customFormat="1" ht="15.65" customHeight="1">
      <c r="B72" s="154" t="s">
        <v>146</v>
      </c>
      <c r="C72" s="50"/>
      <c r="D72" s="130"/>
      <c r="E72" s="51">
        <v>10000</v>
      </c>
      <c r="F72" s="51">
        <v>67335</v>
      </c>
      <c r="G72" s="51">
        <v>67335</v>
      </c>
      <c r="H72" s="51">
        <v>67335</v>
      </c>
      <c r="I72" s="52">
        <v>142520</v>
      </c>
      <c r="J72" s="51">
        <v>142520</v>
      </c>
      <c r="K72" s="131">
        <v>142520</v>
      </c>
      <c r="L72" s="53">
        <v>142520</v>
      </c>
    </row>
    <row r="73" spans="2:12" s="42" customFormat="1" ht="15.65" customHeight="1">
      <c r="B73" s="154" t="s">
        <v>147</v>
      </c>
      <c r="C73" s="71"/>
      <c r="D73" s="72"/>
      <c r="E73" s="73"/>
      <c r="F73" s="73">
        <v>64115</v>
      </c>
      <c r="G73" s="73">
        <v>64115</v>
      </c>
      <c r="H73" s="73">
        <v>64115</v>
      </c>
      <c r="I73" s="74">
        <v>139300</v>
      </c>
      <c r="J73" s="73">
        <v>139300</v>
      </c>
      <c r="K73" s="117">
        <v>139300</v>
      </c>
      <c r="L73" s="75">
        <v>139300</v>
      </c>
    </row>
    <row r="74" spans="2:12" s="42" customFormat="1" ht="15.65" customHeight="1">
      <c r="B74" s="154" t="s">
        <v>148</v>
      </c>
      <c r="C74" s="71"/>
      <c r="D74" s="72"/>
      <c r="E74" s="73">
        <v>573</v>
      </c>
      <c r="F74" s="73">
        <v>686</v>
      </c>
      <c r="G74" s="73">
        <v>967</v>
      </c>
      <c r="H74" s="73">
        <v>1230</v>
      </c>
      <c r="I74" s="74">
        <v>1553</v>
      </c>
      <c r="J74" s="73">
        <v>1845</v>
      </c>
      <c r="K74" s="117">
        <v>2137</v>
      </c>
      <c r="L74" s="75">
        <v>2287</v>
      </c>
    </row>
    <row r="75" spans="2:12" s="42" customFormat="1" ht="15.65" customHeight="1">
      <c r="B75" s="155" t="s">
        <v>149</v>
      </c>
      <c r="C75" s="71"/>
      <c r="D75" s="72"/>
      <c r="E75" s="73">
        <v>39369</v>
      </c>
      <c r="F75" s="73">
        <v>49581</v>
      </c>
      <c r="G75" s="73">
        <v>60691</v>
      </c>
      <c r="H75" s="73">
        <v>73208</v>
      </c>
      <c r="I75" s="74">
        <v>85924</v>
      </c>
      <c r="J75" s="73">
        <v>79347</v>
      </c>
      <c r="K75" s="117">
        <v>101897</v>
      </c>
      <c r="L75" s="75">
        <v>123992</v>
      </c>
    </row>
    <row r="76" spans="2:12" s="42" customFormat="1" ht="15.65" customHeight="1">
      <c r="B76" s="76"/>
      <c r="C76" s="317" t="s">
        <v>150</v>
      </c>
      <c r="D76" s="133"/>
      <c r="E76" s="79">
        <v>31585</v>
      </c>
      <c r="F76" s="79">
        <v>37239</v>
      </c>
      <c r="G76" s="79">
        <v>45245</v>
      </c>
      <c r="H76" s="79">
        <v>56087</v>
      </c>
      <c r="I76" s="80">
        <v>67112</v>
      </c>
      <c r="J76" s="79">
        <v>71251</v>
      </c>
      <c r="K76" s="134">
        <v>73918</v>
      </c>
      <c r="L76" s="81"/>
    </row>
    <row r="77" spans="2:12" s="42" customFormat="1" ht="15.65" customHeight="1">
      <c r="B77" s="76"/>
      <c r="C77" s="82"/>
      <c r="D77" s="158" t="s">
        <v>156</v>
      </c>
      <c r="E77" s="62">
        <v>15585</v>
      </c>
      <c r="F77" s="62">
        <v>18239</v>
      </c>
      <c r="G77" s="62">
        <v>21245</v>
      </c>
      <c r="H77" s="62">
        <v>23087</v>
      </c>
      <c r="I77" s="63">
        <v>23112</v>
      </c>
      <c r="J77" s="62">
        <v>12251</v>
      </c>
      <c r="K77" s="126">
        <v>10710</v>
      </c>
      <c r="L77" s="64">
        <v>9003</v>
      </c>
    </row>
    <row r="78" spans="2:12" s="42" customFormat="1" ht="15.65" customHeight="1">
      <c r="B78" s="54"/>
      <c r="C78" s="82"/>
      <c r="D78" s="319" t="s">
        <v>75</v>
      </c>
      <c r="E78" s="92">
        <v>16000</v>
      </c>
      <c r="F78" s="92">
        <v>19000</v>
      </c>
      <c r="G78" s="92">
        <v>24000</v>
      </c>
      <c r="H78" s="92">
        <v>33000</v>
      </c>
      <c r="I78" s="93">
        <v>44000</v>
      </c>
      <c r="J78" s="92">
        <v>59000</v>
      </c>
      <c r="K78" s="138">
        <v>63000</v>
      </c>
      <c r="L78" s="94">
        <v>87000</v>
      </c>
    </row>
    <row r="79" spans="2:12" s="42" customFormat="1" ht="15.65" customHeight="1">
      <c r="B79" s="54"/>
      <c r="C79" s="96"/>
      <c r="D79" s="160" t="s">
        <v>225</v>
      </c>
      <c r="E79" s="88"/>
      <c r="F79" s="88"/>
      <c r="G79" s="88"/>
      <c r="H79" s="88"/>
      <c r="I79" s="89"/>
      <c r="J79" s="88"/>
      <c r="K79" s="316">
        <v>208</v>
      </c>
      <c r="L79" s="90">
        <v>337</v>
      </c>
    </row>
    <row r="80" spans="2:12" s="42" customFormat="1" ht="15.65" customHeight="1">
      <c r="B80" s="376"/>
      <c r="C80" s="96" t="s">
        <v>21</v>
      </c>
      <c r="D80" s="72"/>
      <c r="E80" s="73">
        <v>7784</v>
      </c>
      <c r="F80" s="73">
        <v>12342</v>
      </c>
      <c r="G80" s="73">
        <v>15445</v>
      </c>
      <c r="H80" s="73">
        <v>17120</v>
      </c>
      <c r="I80" s="74">
        <v>18812</v>
      </c>
      <c r="J80" s="73">
        <v>8095</v>
      </c>
      <c r="K80" s="117">
        <v>27979</v>
      </c>
      <c r="L80" s="75">
        <v>27651</v>
      </c>
    </row>
    <row r="81" spans="2:12" s="42" customFormat="1" ht="15.65" customHeight="1">
      <c r="B81" s="378" t="s">
        <v>245</v>
      </c>
      <c r="C81" s="50"/>
      <c r="D81" s="72"/>
      <c r="E81" s="73"/>
      <c r="F81" s="73"/>
      <c r="G81" s="73"/>
      <c r="H81" s="73"/>
      <c r="I81" s="74"/>
      <c r="J81" s="73"/>
      <c r="K81" s="117">
        <v>785</v>
      </c>
      <c r="L81" s="75">
        <v>561</v>
      </c>
    </row>
    <row r="82" spans="2:12" s="42" customFormat="1" ht="15.65" customHeight="1">
      <c r="B82" s="320" t="s">
        <v>151</v>
      </c>
      <c r="C82" s="71"/>
      <c r="D82" s="72"/>
      <c r="E82" s="73">
        <v>49943</v>
      </c>
      <c r="F82" s="73">
        <v>181718</v>
      </c>
      <c r="G82" s="73">
        <v>193108</v>
      </c>
      <c r="H82" s="73">
        <v>205888</v>
      </c>
      <c r="I82" s="74">
        <v>369298</v>
      </c>
      <c r="J82" s="73">
        <v>363012</v>
      </c>
      <c r="K82" s="117">
        <v>386640</v>
      </c>
      <c r="L82" s="75">
        <v>408661</v>
      </c>
    </row>
    <row r="83" spans="2:12" s="42" customFormat="1" ht="15.65" customHeight="1" thickBot="1">
      <c r="B83" s="107" t="s">
        <v>152</v>
      </c>
      <c r="C83" s="108"/>
      <c r="D83" s="109"/>
      <c r="E83" s="110">
        <v>718180</v>
      </c>
      <c r="F83" s="110">
        <v>809565</v>
      </c>
      <c r="G83" s="110">
        <v>849177</v>
      </c>
      <c r="H83" s="110">
        <v>896583</v>
      </c>
      <c r="I83" s="111">
        <v>997875</v>
      </c>
      <c r="J83" s="110">
        <v>1064852</v>
      </c>
      <c r="K83" s="140">
        <v>1075363</v>
      </c>
      <c r="L83" s="112">
        <v>1102522</v>
      </c>
    </row>
    <row r="86" spans="2:12" s="6" customFormat="1" ht="24" customHeight="1">
      <c r="B86" s="1"/>
      <c r="C86" s="1"/>
      <c r="D86" s="1"/>
      <c r="E86" s="1"/>
      <c r="F86" s="1"/>
      <c r="G86" s="1"/>
      <c r="H86" s="1"/>
      <c r="I86" s="2"/>
      <c r="J86" s="2"/>
      <c r="K86" s="2"/>
    </row>
    <row r="87" spans="2:12" s="6" customFormat="1" ht="20.25" customHeight="1">
      <c r="B87" s="15"/>
      <c r="C87" s="15"/>
      <c r="D87" s="15"/>
      <c r="E87" s="15"/>
      <c r="F87" s="15"/>
      <c r="G87" s="15"/>
      <c r="K87" s="16"/>
    </row>
  </sheetData>
  <phoneticPr fontId="2"/>
  <printOptions horizontalCentered="1"/>
  <pageMargins left="0.78740157480314965" right="0.47244094488188981" top="0.78740157480314965" bottom="0.78740157480314965" header="0.51181102362204722" footer="0.51181102362204722"/>
  <pageSetup paperSize="9" scale="77" fitToHeight="0" orientation="landscape" verticalDpi="0" r:id="rId1"/>
  <headerFooter alignWithMargins="0"/>
  <rowBreaks count="1" manualBreakCount="1">
    <brk id="44" min="1" max="1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06"/>
  <sheetViews>
    <sheetView showGridLines="0" zoomScale="75" zoomScaleNormal="75" workbookViewId="0">
      <selection activeCell="B70" sqref="B70"/>
    </sheetView>
  </sheetViews>
  <sheetFormatPr defaultColWidth="9" defaultRowHeight="13"/>
  <cols>
    <col min="1" max="1" width="1" style="3" customWidth="1"/>
    <col min="2" max="2" width="2.08984375" style="3" customWidth="1"/>
    <col min="3" max="3" width="33.453125" style="3" customWidth="1"/>
    <col min="4" max="11" width="13.6328125" style="3" customWidth="1"/>
    <col min="12" max="16384" width="9" style="3"/>
  </cols>
  <sheetData>
    <row r="1" spans="2:11" s="42" customFormat="1" ht="18.75" customHeight="1">
      <c r="B1" s="40" t="s">
        <v>76</v>
      </c>
      <c r="C1" s="40"/>
      <c r="D1" s="40"/>
      <c r="E1" s="40"/>
      <c r="F1" s="40"/>
      <c r="G1" s="40"/>
      <c r="H1" s="40"/>
      <c r="I1" s="41"/>
      <c r="J1" s="41"/>
      <c r="K1" s="41"/>
    </row>
    <row r="2" spans="2:11" ht="17.5" customHeight="1" thickBot="1">
      <c r="B2" s="15"/>
      <c r="C2" s="15"/>
      <c r="D2" s="15"/>
      <c r="E2" s="15"/>
      <c r="F2" s="15"/>
      <c r="G2" s="15"/>
      <c r="H2" s="6"/>
      <c r="I2" s="6"/>
      <c r="J2" s="6"/>
      <c r="K2" s="16" t="s">
        <v>84</v>
      </c>
    </row>
    <row r="3" spans="2:11" s="42" customFormat="1" ht="15.65" customHeight="1" thickBot="1">
      <c r="B3" s="43"/>
      <c r="C3" s="45"/>
      <c r="D3" s="46">
        <v>34759</v>
      </c>
      <c r="E3" s="46">
        <v>35125</v>
      </c>
      <c r="F3" s="46">
        <v>35490</v>
      </c>
      <c r="G3" s="46">
        <v>35855</v>
      </c>
      <c r="H3" s="46">
        <v>36220</v>
      </c>
      <c r="I3" s="46">
        <v>36586</v>
      </c>
      <c r="J3" s="47">
        <v>36951</v>
      </c>
      <c r="K3" s="48">
        <v>37316</v>
      </c>
    </row>
    <row r="4" spans="2:11" s="42" customFormat="1" ht="15.65" customHeight="1" thickTop="1">
      <c r="B4" s="321" t="s">
        <v>157</v>
      </c>
      <c r="C4" s="137"/>
      <c r="D4" s="92">
        <v>470518</v>
      </c>
      <c r="E4" s="92">
        <v>553563</v>
      </c>
      <c r="F4" s="92">
        <v>602836</v>
      </c>
      <c r="G4" s="92">
        <v>669228</v>
      </c>
      <c r="H4" s="92">
        <v>705464</v>
      </c>
      <c r="I4" s="92">
        <v>716430</v>
      </c>
      <c r="J4" s="93">
        <v>786730</v>
      </c>
      <c r="K4" s="94">
        <v>767836</v>
      </c>
    </row>
    <row r="5" spans="2:11" s="42" customFormat="1" ht="15.65" customHeight="1">
      <c r="B5" s="54"/>
      <c r="C5" s="158" t="s">
        <v>158</v>
      </c>
      <c r="D5" s="62">
        <v>261032</v>
      </c>
      <c r="E5" s="62">
        <v>302920</v>
      </c>
      <c r="F5" s="62">
        <v>339119</v>
      </c>
      <c r="G5" s="62">
        <v>373059</v>
      </c>
      <c r="H5" s="62">
        <v>383739</v>
      </c>
      <c r="I5" s="62"/>
      <c r="J5" s="63"/>
      <c r="K5" s="64"/>
    </row>
    <row r="6" spans="2:11" s="42" customFormat="1" ht="15.65" customHeight="1">
      <c r="B6" s="322"/>
      <c r="C6" s="158" t="s">
        <v>77</v>
      </c>
      <c r="D6" s="62">
        <v>159242</v>
      </c>
      <c r="E6" s="62">
        <v>193079</v>
      </c>
      <c r="F6" s="62">
        <v>195394</v>
      </c>
      <c r="G6" s="62">
        <v>213723</v>
      </c>
      <c r="H6" s="62">
        <v>228882</v>
      </c>
      <c r="I6" s="62"/>
      <c r="J6" s="63"/>
      <c r="K6" s="64"/>
    </row>
    <row r="7" spans="2:11" s="42" customFormat="1" ht="15.65" customHeight="1">
      <c r="B7" s="322"/>
      <c r="C7" s="158" t="s">
        <v>159</v>
      </c>
      <c r="D7" s="62">
        <v>50243</v>
      </c>
      <c r="E7" s="62">
        <v>57563</v>
      </c>
      <c r="F7" s="62">
        <v>68323</v>
      </c>
      <c r="G7" s="62">
        <v>82445</v>
      </c>
      <c r="H7" s="62">
        <v>92842</v>
      </c>
      <c r="I7" s="62"/>
      <c r="J7" s="63"/>
      <c r="K7" s="64"/>
    </row>
    <row r="8" spans="2:11" s="42" customFormat="1" ht="15.65" customHeight="1">
      <c r="B8" s="322"/>
      <c r="C8" s="158" t="s">
        <v>88</v>
      </c>
      <c r="D8" s="62"/>
      <c r="E8" s="62"/>
      <c r="F8" s="62"/>
      <c r="G8" s="62"/>
      <c r="H8" s="62"/>
      <c r="I8" s="62">
        <v>576252</v>
      </c>
      <c r="J8" s="63">
        <v>630945</v>
      </c>
      <c r="K8" s="64">
        <v>601447</v>
      </c>
    </row>
    <row r="9" spans="2:11" s="42" customFormat="1" ht="15.65" customHeight="1">
      <c r="B9" s="322"/>
      <c r="C9" s="158" t="s">
        <v>89</v>
      </c>
      <c r="D9" s="62"/>
      <c r="E9" s="62"/>
      <c r="F9" s="62"/>
      <c r="G9" s="62"/>
      <c r="H9" s="62"/>
      <c r="I9" s="62">
        <v>48751</v>
      </c>
      <c r="J9" s="63">
        <v>50146</v>
      </c>
      <c r="K9" s="64">
        <v>52929</v>
      </c>
    </row>
    <row r="10" spans="2:11" s="42" customFormat="1" ht="15.65" customHeight="1">
      <c r="B10" s="100"/>
      <c r="C10" s="160" t="s">
        <v>175</v>
      </c>
      <c r="D10" s="88"/>
      <c r="E10" s="88"/>
      <c r="F10" s="88"/>
      <c r="G10" s="88"/>
      <c r="H10" s="88"/>
      <c r="I10" s="88">
        <v>91425</v>
      </c>
      <c r="J10" s="89">
        <v>105639</v>
      </c>
      <c r="K10" s="90">
        <v>113458</v>
      </c>
    </row>
    <row r="11" spans="2:11" s="42" customFormat="1" ht="15.65" customHeight="1">
      <c r="B11" s="154" t="s">
        <v>160</v>
      </c>
      <c r="C11" s="72"/>
      <c r="D11" s="73">
        <v>336137</v>
      </c>
      <c r="E11" s="73">
        <v>396568</v>
      </c>
      <c r="F11" s="73">
        <v>440721</v>
      </c>
      <c r="G11" s="73">
        <v>493033</v>
      </c>
      <c r="H11" s="73">
        <v>521259</v>
      </c>
      <c r="I11" s="73">
        <v>534504</v>
      </c>
      <c r="J11" s="74">
        <v>595174</v>
      </c>
      <c r="K11" s="75">
        <v>576362</v>
      </c>
    </row>
    <row r="12" spans="2:11" s="42" customFormat="1" ht="15.65" customHeight="1">
      <c r="B12" s="100" t="s">
        <v>161</v>
      </c>
      <c r="C12" s="72"/>
      <c r="D12" s="73">
        <v>134381</v>
      </c>
      <c r="E12" s="73">
        <v>156995</v>
      </c>
      <c r="F12" s="73">
        <v>162114</v>
      </c>
      <c r="G12" s="73">
        <v>176194</v>
      </c>
      <c r="H12" s="73">
        <v>184205</v>
      </c>
      <c r="I12" s="73">
        <v>181925</v>
      </c>
      <c r="J12" s="74">
        <v>191556</v>
      </c>
      <c r="K12" s="75">
        <v>191473</v>
      </c>
    </row>
    <row r="13" spans="2:11" s="42" customFormat="1" ht="15.65" customHeight="1">
      <c r="B13" s="155" t="s">
        <v>162</v>
      </c>
      <c r="C13" s="119"/>
      <c r="D13" s="57">
        <v>93891</v>
      </c>
      <c r="E13" s="57">
        <v>105481</v>
      </c>
      <c r="F13" s="57">
        <v>114917</v>
      </c>
      <c r="G13" s="57">
        <v>126802</v>
      </c>
      <c r="H13" s="57">
        <v>127999</v>
      </c>
      <c r="I13" s="57">
        <v>131428</v>
      </c>
      <c r="J13" s="58">
        <v>133180</v>
      </c>
      <c r="K13" s="59">
        <v>135206</v>
      </c>
    </row>
    <row r="14" spans="2:11" s="42" customFormat="1" ht="15.65" customHeight="1">
      <c r="B14" s="54"/>
      <c r="C14" s="161" t="s">
        <v>163</v>
      </c>
      <c r="D14" s="323">
        <v>1473</v>
      </c>
      <c r="E14" s="323">
        <v>2307</v>
      </c>
      <c r="F14" s="323">
        <v>2337</v>
      </c>
      <c r="G14" s="324">
        <v>2800</v>
      </c>
      <c r="H14" s="323">
        <v>3513</v>
      </c>
      <c r="I14" s="323">
        <v>2707</v>
      </c>
      <c r="J14" s="325">
        <v>3113</v>
      </c>
      <c r="K14" s="326">
        <v>1536</v>
      </c>
    </row>
    <row r="15" spans="2:11" s="42" customFormat="1" ht="15.65" customHeight="1">
      <c r="B15" s="54"/>
      <c r="C15" s="327" t="s">
        <v>78</v>
      </c>
      <c r="D15" s="328">
        <v>186</v>
      </c>
      <c r="E15" s="328">
        <v>111</v>
      </c>
      <c r="F15" s="328">
        <v>19</v>
      </c>
      <c r="G15" s="186">
        <v>96</v>
      </c>
      <c r="H15" s="328">
        <v>27</v>
      </c>
      <c r="I15" s="328">
        <v>23</v>
      </c>
      <c r="J15" s="329">
        <v>245</v>
      </c>
      <c r="K15" s="330">
        <v>511</v>
      </c>
    </row>
    <row r="16" spans="2:11" s="42" customFormat="1" ht="15.65" customHeight="1">
      <c r="B16" s="54"/>
      <c r="C16" s="161" t="s">
        <v>164</v>
      </c>
      <c r="D16" s="84">
        <v>0</v>
      </c>
      <c r="E16" s="84"/>
      <c r="F16" s="84">
        <v>0</v>
      </c>
      <c r="G16" s="127">
        <v>0</v>
      </c>
      <c r="H16" s="84">
        <v>0</v>
      </c>
      <c r="I16" s="84">
        <v>1</v>
      </c>
      <c r="J16" s="85">
        <v>0</v>
      </c>
      <c r="K16" s="86">
        <v>1</v>
      </c>
    </row>
    <row r="17" spans="2:11" s="42" customFormat="1" ht="15.65" customHeight="1">
      <c r="B17" s="54"/>
      <c r="C17" s="161" t="s">
        <v>165</v>
      </c>
      <c r="D17" s="84">
        <v>444</v>
      </c>
      <c r="E17" s="84">
        <v>476</v>
      </c>
      <c r="F17" s="84">
        <v>500</v>
      </c>
      <c r="G17" s="127">
        <v>547</v>
      </c>
      <c r="H17" s="84">
        <v>561</v>
      </c>
      <c r="I17" s="84">
        <v>567</v>
      </c>
      <c r="J17" s="85">
        <v>566</v>
      </c>
      <c r="K17" s="86">
        <v>535</v>
      </c>
    </row>
    <row r="18" spans="2:11" s="42" customFormat="1" ht="15.65" customHeight="1">
      <c r="B18" s="54"/>
      <c r="C18" s="161" t="s">
        <v>166</v>
      </c>
      <c r="D18" s="84">
        <v>23484</v>
      </c>
      <c r="E18" s="84">
        <v>26465</v>
      </c>
      <c r="F18" s="84">
        <v>27598</v>
      </c>
      <c r="G18" s="127">
        <v>29740</v>
      </c>
      <c r="H18" s="84">
        <v>31286</v>
      </c>
      <c r="I18" s="84">
        <v>33030</v>
      </c>
      <c r="J18" s="85">
        <v>36341</v>
      </c>
      <c r="K18" s="86">
        <v>40816</v>
      </c>
    </row>
    <row r="19" spans="2:11" s="42" customFormat="1" ht="15.65" customHeight="1">
      <c r="B19" s="54"/>
      <c r="C19" s="161" t="s">
        <v>167</v>
      </c>
      <c r="D19" s="84">
        <v>2184</v>
      </c>
      <c r="E19" s="84">
        <v>1960</v>
      </c>
      <c r="F19" s="84">
        <v>1787</v>
      </c>
      <c r="G19" s="127">
        <v>1610</v>
      </c>
      <c r="H19" s="84">
        <v>1617</v>
      </c>
      <c r="I19" s="84">
        <v>1844</v>
      </c>
      <c r="J19" s="85"/>
      <c r="K19" s="86"/>
    </row>
    <row r="20" spans="2:11" s="42" customFormat="1" ht="15.65" customHeight="1">
      <c r="B20" s="54"/>
      <c r="C20" s="161" t="s">
        <v>167</v>
      </c>
      <c r="D20" s="84"/>
      <c r="E20" s="84"/>
      <c r="F20" s="84"/>
      <c r="G20" s="127"/>
      <c r="H20" s="84"/>
      <c r="I20" s="84"/>
      <c r="J20" s="85">
        <v>5604</v>
      </c>
      <c r="K20" s="86">
        <v>6843</v>
      </c>
    </row>
    <row r="21" spans="2:11" s="42" customFormat="1" ht="15.65" customHeight="1">
      <c r="B21" s="54"/>
      <c r="C21" s="161" t="s">
        <v>168</v>
      </c>
      <c r="D21" s="84">
        <v>157</v>
      </c>
      <c r="E21" s="84">
        <v>166</v>
      </c>
      <c r="F21" s="84">
        <v>180</v>
      </c>
      <c r="G21" s="127">
        <v>197</v>
      </c>
      <c r="H21" s="84">
        <v>198</v>
      </c>
      <c r="I21" s="84">
        <v>194</v>
      </c>
      <c r="J21" s="85">
        <v>203</v>
      </c>
      <c r="K21" s="86">
        <v>180</v>
      </c>
    </row>
    <row r="22" spans="2:11" s="42" customFormat="1" ht="15.65" customHeight="1">
      <c r="B22" s="54"/>
      <c r="C22" s="161" t="s">
        <v>79</v>
      </c>
      <c r="D22" s="84">
        <v>7494</v>
      </c>
      <c r="E22" s="84">
        <v>8402</v>
      </c>
      <c r="F22" s="84">
        <v>8830</v>
      </c>
      <c r="G22" s="127">
        <v>9147</v>
      </c>
      <c r="H22" s="84">
        <v>9456</v>
      </c>
      <c r="I22" s="84">
        <v>7424</v>
      </c>
      <c r="J22" s="85">
        <v>6773</v>
      </c>
      <c r="K22" s="86">
        <v>7329</v>
      </c>
    </row>
    <row r="23" spans="2:11" s="42" customFormat="1" ht="15.65" customHeight="1">
      <c r="B23" s="54"/>
      <c r="C23" s="161" t="s">
        <v>169</v>
      </c>
      <c r="D23" s="84">
        <v>1961</v>
      </c>
      <c r="E23" s="84">
        <v>2413</v>
      </c>
      <c r="F23" s="84">
        <v>2769</v>
      </c>
      <c r="G23" s="127">
        <v>2877</v>
      </c>
      <c r="H23" s="84">
        <v>2932</v>
      </c>
      <c r="I23" s="84">
        <v>2715</v>
      </c>
      <c r="J23" s="85">
        <v>2736</v>
      </c>
      <c r="K23" s="86">
        <v>2472</v>
      </c>
    </row>
    <row r="24" spans="2:11" s="42" customFormat="1" ht="15.65" customHeight="1">
      <c r="B24" s="54"/>
      <c r="C24" s="161" t="s">
        <v>170</v>
      </c>
      <c r="D24" s="84">
        <v>1052</v>
      </c>
      <c r="E24" s="84">
        <v>1405</v>
      </c>
      <c r="F24" s="84">
        <v>1688</v>
      </c>
      <c r="G24" s="127">
        <v>1908</v>
      </c>
      <c r="H24" s="84">
        <v>1982</v>
      </c>
      <c r="I24" s="84">
        <v>1952</v>
      </c>
      <c r="J24" s="85">
        <v>1811</v>
      </c>
      <c r="K24" s="86">
        <v>1607</v>
      </c>
    </row>
    <row r="25" spans="2:11" s="42" customFormat="1" ht="15.65" customHeight="1">
      <c r="B25" s="54"/>
      <c r="C25" s="161" t="s">
        <v>171</v>
      </c>
      <c r="D25" s="84">
        <v>9329</v>
      </c>
      <c r="E25" s="84">
        <v>9250</v>
      </c>
      <c r="F25" s="84">
        <v>10631</v>
      </c>
      <c r="G25" s="127">
        <v>11351</v>
      </c>
      <c r="H25" s="84">
        <v>11188</v>
      </c>
      <c r="I25" s="84">
        <v>10194</v>
      </c>
      <c r="J25" s="85">
        <v>9789</v>
      </c>
      <c r="K25" s="86">
        <v>9467</v>
      </c>
    </row>
    <row r="26" spans="2:11" s="42" customFormat="1" ht="15.65" customHeight="1">
      <c r="B26" s="54"/>
      <c r="C26" s="161" t="s">
        <v>239</v>
      </c>
      <c r="D26" s="84">
        <v>9496</v>
      </c>
      <c r="E26" s="84">
        <v>17222</v>
      </c>
      <c r="F26" s="84">
        <v>20166</v>
      </c>
      <c r="G26" s="127">
        <v>25060</v>
      </c>
      <c r="H26" s="84">
        <v>28410</v>
      </c>
      <c r="I26" s="84">
        <v>30962</v>
      </c>
      <c r="J26" s="85">
        <v>31411</v>
      </c>
      <c r="K26" s="86">
        <v>30283</v>
      </c>
    </row>
    <row r="27" spans="2:11" s="42" customFormat="1" ht="15.65" customHeight="1">
      <c r="B27" s="54"/>
      <c r="C27" s="161" t="s">
        <v>172</v>
      </c>
      <c r="D27" s="84">
        <v>1032</v>
      </c>
      <c r="E27" s="84">
        <v>837</v>
      </c>
      <c r="F27" s="84">
        <v>1030</v>
      </c>
      <c r="G27" s="127">
        <v>1222</v>
      </c>
      <c r="H27" s="84">
        <v>1219</v>
      </c>
      <c r="I27" s="84">
        <v>1153</v>
      </c>
      <c r="J27" s="85">
        <v>1055</v>
      </c>
      <c r="K27" s="86">
        <v>1047</v>
      </c>
    </row>
    <row r="28" spans="2:11" s="42" customFormat="1" ht="15.65" customHeight="1">
      <c r="B28" s="54"/>
      <c r="C28" s="161" t="s">
        <v>173</v>
      </c>
      <c r="D28" s="84">
        <v>3323</v>
      </c>
      <c r="E28" s="84">
        <v>3810</v>
      </c>
      <c r="F28" s="84">
        <v>3080</v>
      </c>
      <c r="G28" s="127">
        <v>3096</v>
      </c>
      <c r="H28" s="84">
        <v>3001</v>
      </c>
      <c r="I28" s="84">
        <v>2363</v>
      </c>
      <c r="J28" s="85">
        <v>2590</v>
      </c>
      <c r="K28" s="86">
        <v>1852</v>
      </c>
    </row>
    <row r="29" spans="2:11" s="42" customFormat="1" ht="15.65" customHeight="1">
      <c r="B29" s="54"/>
      <c r="C29" s="161" t="s">
        <v>174</v>
      </c>
      <c r="D29" s="84">
        <v>2246</v>
      </c>
      <c r="E29" s="84">
        <v>1496</v>
      </c>
      <c r="F29" s="84">
        <v>1535</v>
      </c>
      <c r="G29" s="127">
        <v>1469</v>
      </c>
      <c r="H29" s="84">
        <v>1944</v>
      </c>
      <c r="I29" s="84">
        <v>1414</v>
      </c>
      <c r="J29" s="85">
        <v>1402</v>
      </c>
      <c r="K29" s="86">
        <v>791</v>
      </c>
    </row>
    <row r="30" spans="2:11" s="42" customFormat="1" ht="15.65" customHeight="1">
      <c r="B30" s="54"/>
      <c r="C30" s="161" t="s">
        <v>240</v>
      </c>
      <c r="D30" s="84">
        <v>3336</v>
      </c>
      <c r="E30" s="84">
        <v>3520</v>
      </c>
      <c r="F30" s="84">
        <v>4787</v>
      </c>
      <c r="G30" s="127">
        <v>4453</v>
      </c>
      <c r="H30" s="84"/>
      <c r="I30" s="84"/>
      <c r="J30" s="85"/>
      <c r="K30" s="86"/>
    </row>
    <row r="31" spans="2:11" s="42" customFormat="1" ht="15.65" customHeight="1">
      <c r="B31" s="54"/>
      <c r="C31" s="161" t="s">
        <v>85</v>
      </c>
      <c r="D31" s="84">
        <v>8971</v>
      </c>
      <c r="E31" s="84">
        <v>6116</v>
      </c>
      <c r="F31" s="84">
        <v>6953</v>
      </c>
      <c r="G31" s="127">
        <v>7441</v>
      </c>
      <c r="H31" s="84">
        <v>7282</v>
      </c>
      <c r="I31" s="84">
        <v>6176</v>
      </c>
      <c r="J31" s="85">
        <v>5025</v>
      </c>
      <c r="K31" s="86">
        <v>5048</v>
      </c>
    </row>
    <row r="32" spans="2:11" s="42" customFormat="1" ht="15.65" customHeight="1">
      <c r="B32" s="54"/>
      <c r="C32" s="161" t="s">
        <v>241</v>
      </c>
      <c r="D32" s="84">
        <v>12354</v>
      </c>
      <c r="E32" s="84">
        <v>14391</v>
      </c>
      <c r="F32" s="84">
        <v>14783</v>
      </c>
      <c r="G32" s="127">
        <v>15874</v>
      </c>
      <c r="H32" s="84">
        <v>14041</v>
      </c>
      <c r="I32" s="84">
        <v>22702</v>
      </c>
      <c r="J32" s="85">
        <v>17917</v>
      </c>
      <c r="K32" s="86">
        <v>19210</v>
      </c>
    </row>
    <row r="33" spans="2:11" s="42" customFormat="1" ht="15.65" customHeight="1">
      <c r="B33" s="100"/>
      <c r="C33" s="162" t="s">
        <v>175</v>
      </c>
      <c r="D33" s="331">
        <v>5361</v>
      </c>
      <c r="E33" s="331">
        <v>5126</v>
      </c>
      <c r="F33" s="331">
        <v>6236</v>
      </c>
      <c r="G33" s="178">
        <v>7906</v>
      </c>
      <c r="H33" s="331">
        <v>9334</v>
      </c>
      <c r="I33" s="331">
        <v>5996</v>
      </c>
      <c r="J33" s="332">
        <v>6592</v>
      </c>
      <c r="K33" s="333">
        <v>5670</v>
      </c>
    </row>
    <row r="34" spans="2:11" s="42" customFormat="1" ht="15.65" customHeight="1">
      <c r="B34" s="154" t="s">
        <v>176</v>
      </c>
      <c r="C34" s="72"/>
      <c r="D34" s="73">
        <v>40489</v>
      </c>
      <c r="E34" s="73">
        <v>51513</v>
      </c>
      <c r="F34" s="73">
        <v>47197</v>
      </c>
      <c r="G34" s="180">
        <v>49392</v>
      </c>
      <c r="H34" s="73">
        <v>56205</v>
      </c>
      <c r="I34" s="73">
        <v>50497</v>
      </c>
      <c r="J34" s="74">
        <v>58376</v>
      </c>
      <c r="K34" s="75">
        <v>56266</v>
      </c>
    </row>
    <row r="35" spans="2:11" s="42" customFormat="1" ht="15.65" customHeight="1">
      <c r="B35" s="156" t="s">
        <v>177</v>
      </c>
      <c r="C35" s="133"/>
      <c r="D35" s="79">
        <v>8392</v>
      </c>
      <c r="E35" s="79">
        <v>5768</v>
      </c>
      <c r="F35" s="79">
        <v>5514</v>
      </c>
      <c r="G35" s="79">
        <v>2576</v>
      </c>
      <c r="H35" s="79">
        <v>3124</v>
      </c>
      <c r="I35" s="79">
        <v>2206</v>
      </c>
      <c r="J35" s="80">
        <v>3244</v>
      </c>
      <c r="K35" s="81">
        <v>1881</v>
      </c>
    </row>
    <row r="36" spans="2:11" s="42" customFormat="1" ht="15.65" customHeight="1">
      <c r="B36" s="157"/>
      <c r="C36" s="158" t="s">
        <v>178</v>
      </c>
      <c r="D36" s="62">
        <v>936</v>
      </c>
      <c r="E36" s="62">
        <v>238</v>
      </c>
      <c r="F36" s="62">
        <v>226</v>
      </c>
      <c r="G36" s="62">
        <v>225</v>
      </c>
      <c r="H36" s="62">
        <v>551</v>
      </c>
      <c r="I36" s="62">
        <v>62</v>
      </c>
      <c r="J36" s="63">
        <v>93</v>
      </c>
      <c r="K36" s="64">
        <v>33</v>
      </c>
    </row>
    <row r="37" spans="2:11" s="42" customFormat="1" ht="15.65" customHeight="1">
      <c r="B37" s="157"/>
      <c r="C37" s="158" t="s">
        <v>205</v>
      </c>
      <c r="D37" s="62">
        <v>45</v>
      </c>
      <c r="E37" s="62">
        <v>111</v>
      </c>
      <c r="F37" s="62">
        <v>52</v>
      </c>
      <c r="G37" s="62">
        <v>66</v>
      </c>
      <c r="H37" s="62">
        <v>56</v>
      </c>
      <c r="I37" s="62">
        <v>75</v>
      </c>
      <c r="J37" s="63">
        <v>91</v>
      </c>
      <c r="K37" s="64">
        <v>186</v>
      </c>
    </row>
    <row r="38" spans="2:11" s="42" customFormat="1" ht="15.65" customHeight="1">
      <c r="B38" s="157"/>
      <c r="C38" s="158" t="s">
        <v>179</v>
      </c>
      <c r="D38" s="62">
        <v>5307</v>
      </c>
      <c r="E38" s="62">
        <v>4408</v>
      </c>
      <c r="F38" s="62">
        <v>3763</v>
      </c>
      <c r="G38" s="62">
        <v>964</v>
      </c>
      <c r="H38" s="62">
        <v>790</v>
      </c>
      <c r="I38" s="62">
        <v>1057</v>
      </c>
      <c r="J38" s="63">
        <v>1172</v>
      </c>
      <c r="K38" s="64"/>
    </row>
    <row r="39" spans="2:11" s="42" customFormat="1" ht="15.65" customHeight="1">
      <c r="B39" s="157"/>
      <c r="C39" s="158" t="s">
        <v>192</v>
      </c>
      <c r="D39" s="62"/>
      <c r="E39" s="62"/>
      <c r="F39" s="62"/>
      <c r="G39" s="62"/>
      <c r="H39" s="62"/>
      <c r="I39" s="62"/>
      <c r="J39" s="63">
        <v>666</v>
      </c>
      <c r="K39" s="64">
        <v>15</v>
      </c>
    </row>
    <row r="40" spans="2:11" s="42" customFormat="1" ht="15.65" customHeight="1">
      <c r="B40" s="157"/>
      <c r="C40" s="372" t="s">
        <v>223</v>
      </c>
      <c r="D40" s="373"/>
      <c r="E40" s="373"/>
      <c r="F40" s="373"/>
      <c r="G40" s="373"/>
      <c r="H40" s="373"/>
      <c r="I40" s="373"/>
      <c r="J40" s="374"/>
      <c r="K40" s="375">
        <v>409</v>
      </c>
    </row>
    <row r="41" spans="2:11" s="42" customFormat="1" ht="15.65" customHeight="1">
      <c r="B41" s="159"/>
      <c r="C41" s="160" t="s">
        <v>87</v>
      </c>
      <c r="D41" s="88">
        <v>2104</v>
      </c>
      <c r="E41" s="88">
        <v>1009</v>
      </c>
      <c r="F41" s="88">
        <v>1471</v>
      </c>
      <c r="G41" s="88">
        <v>1320</v>
      </c>
      <c r="H41" s="88">
        <v>1725</v>
      </c>
      <c r="I41" s="88">
        <v>1011</v>
      </c>
      <c r="J41" s="89">
        <v>1220</v>
      </c>
      <c r="K41" s="90">
        <v>1237</v>
      </c>
    </row>
    <row r="42" spans="2:11" s="42" customFormat="1" ht="15.65" customHeight="1">
      <c r="B42" s="156" t="s">
        <v>180</v>
      </c>
      <c r="C42" s="137"/>
      <c r="D42" s="92">
        <v>30501</v>
      </c>
      <c r="E42" s="92">
        <v>35158</v>
      </c>
      <c r="F42" s="92">
        <v>25670</v>
      </c>
      <c r="G42" s="92">
        <v>22327</v>
      </c>
      <c r="H42" s="92">
        <v>22148</v>
      </c>
      <c r="I42" s="92">
        <v>18123</v>
      </c>
      <c r="J42" s="93">
        <v>16095</v>
      </c>
      <c r="K42" s="94">
        <v>14157</v>
      </c>
    </row>
    <row r="43" spans="2:11" s="42" customFormat="1" ht="15.65" customHeight="1">
      <c r="B43" s="157"/>
      <c r="C43" s="158" t="s">
        <v>86</v>
      </c>
      <c r="D43" s="62">
        <v>20781</v>
      </c>
      <c r="E43" s="62">
        <v>16791</v>
      </c>
      <c r="F43" s="62">
        <v>13930</v>
      </c>
      <c r="G43" s="62">
        <v>10453</v>
      </c>
      <c r="H43" s="62">
        <v>6061</v>
      </c>
      <c r="I43" s="62">
        <v>3828</v>
      </c>
      <c r="J43" s="63">
        <v>3184</v>
      </c>
      <c r="K43" s="64">
        <v>2484</v>
      </c>
    </row>
    <row r="44" spans="2:11" s="42" customFormat="1" ht="15.65" customHeight="1">
      <c r="B44" s="157"/>
      <c r="C44" s="158" t="s">
        <v>207</v>
      </c>
      <c r="D44" s="62">
        <v>3281</v>
      </c>
      <c r="E44" s="62">
        <v>4304</v>
      </c>
      <c r="F44" s="62">
        <v>4802</v>
      </c>
      <c r="G44" s="62">
        <v>4684</v>
      </c>
      <c r="H44" s="62">
        <v>5672</v>
      </c>
      <c r="I44" s="62">
        <v>6298</v>
      </c>
      <c r="J44" s="63">
        <v>6502</v>
      </c>
      <c r="K44" s="64">
        <v>6111</v>
      </c>
    </row>
    <row r="45" spans="2:11" s="42" customFormat="1" ht="15.65" customHeight="1">
      <c r="B45" s="157"/>
      <c r="C45" s="158" t="s">
        <v>181</v>
      </c>
      <c r="D45" s="62"/>
      <c r="E45" s="62"/>
      <c r="F45" s="62">
        <v>90</v>
      </c>
      <c r="G45" s="62"/>
      <c r="H45" s="62"/>
      <c r="I45" s="62">
        <v>3</v>
      </c>
      <c r="J45" s="63"/>
      <c r="K45" s="64"/>
    </row>
    <row r="46" spans="2:11" s="42" customFormat="1" ht="15.65" customHeight="1">
      <c r="B46" s="157"/>
      <c r="C46" s="158" t="s">
        <v>182</v>
      </c>
      <c r="D46" s="62">
        <v>156</v>
      </c>
      <c r="E46" s="62">
        <v>105</v>
      </c>
      <c r="F46" s="62">
        <v>246</v>
      </c>
      <c r="G46" s="62">
        <v>443</v>
      </c>
      <c r="H46" s="62">
        <v>323</v>
      </c>
      <c r="I46" s="62">
        <v>299</v>
      </c>
      <c r="J46" s="63">
        <v>160</v>
      </c>
      <c r="K46" s="64">
        <v>141</v>
      </c>
    </row>
    <row r="47" spans="2:11" s="42" customFormat="1" ht="15.65" customHeight="1">
      <c r="B47" s="157"/>
      <c r="C47" s="158" t="s">
        <v>255</v>
      </c>
      <c r="D47" s="62"/>
      <c r="E47" s="62">
        <v>4365</v>
      </c>
      <c r="F47" s="62"/>
      <c r="G47" s="62"/>
      <c r="H47" s="62">
        <v>5148</v>
      </c>
      <c r="I47" s="62"/>
      <c r="J47" s="63"/>
      <c r="K47" s="64"/>
    </row>
    <row r="48" spans="2:11" s="42" customFormat="1" ht="15.65" customHeight="1">
      <c r="B48" s="157"/>
      <c r="C48" s="158" t="s">
        <v>183</v>
      </c>
      <c r="D48" s="62">
        <v>2454</v>
      </c>
      <c r="E48" s="62">
        <v>2228</v>
      </c>
      <c r="F48" s="62">
        <v>1818</v>
      </c>
      <c r="G48" s="62">
        <v>624</v>
      </c>
      <c r="H48" s="62">
        <v>514</v>
      </c>
      <c r="I48" s="62">
        <v>612</v>
      </c>
      <c r="J48" s="63">
        <v>738</v>
      </c>
      <c r="K48" s="64"/>
    </row>
    <row r="49" spans="2:11" s="42" customFormat="1" ht="15.65" customHeight="1">
      <c r="B49" s="157"/>
      <c r="C49" s="158" t="s">
        <v>184</v>
      </c>
      <c r="D49" s="62">
        <v>1533</v>
      </c>
      <c r="E49" s="62">
        <v>2353</v>
      </c>
      <c r="F49" s="62">
        <v>1456</v>
      </c>
      <c r="G49" s="62">
        <v>1843</v>
      </c>
      <c r="H49" s="62">
        <v>2008</v>
      </c>
      <c r="I49" s="62">
        <v>987</v>
      </c>
      <c r="J49" s="63"/>
      <c r="K49" s="64"/>
    </row>
    <row r="50" spans="2:11" s="42" customFormat="1" ht="15.65" customHeight="1">
      <c r="B50" s="157"/>
      <c r="C50" s="158" t="s">
        <v>193</v>
      </c>
      <c r="D50" s="62"/>
      <c r="E50" s="62"/>
      <c r="F50" s="62"/>
      <c r="G50" s="62"/>
      <c r="H50" s="62"/>
      <c r="I50" s="62">
        <v>3967</v>
      </c>
      <c r="J50" s="63">
        <v>2183</v>
      </c>
      <c r="K50" s="64">
        <v>1287</v>
      </c>
    </row>
    <row r="51" spans="2:11" s="42" customFormat="1" ht="15.65" customHeight="1">
      <c r="B51" s="157"/>
      <c r="C51" s="377" t="s">
        <v>243</v>
      </c>
      <c r="D51" s="373"/>
      <c r="E51" s="373"/>
      <c r="F51" s="373"/>
      <c r="G51" s="373"/>
      <c r="H51" s="373"/>
      <c r="I51" s="373"/>
      <c r="J51" s="374"/>
      <c r="K51" s="375">
        <v>1777</v>
      </c>
    </row>
    <row r="52" spans="2:11" s="42" customFormat="1" ht="15.65" customHeight="1">
      <c r="B52" s="159"/>
      <c r="C52" s="160" t="s">
        <v>175</v>
      </c>
      <c r="D52" s="88">
        <v>2293</v>
      </c>
      <c r="E52" s="88">
        <v>5010</v>
      </c>
      <c r="F52" s="88">
        <v>3325</v>
      </c>
      <c r="G52" s="88">
        <v>3977</v>
      </c>
      <c r="H52" s="88">
        <v>2418</v>
      </c>
      <c r="I52" s="88">
        <v>2126</v>
      </c>
      <c r="J52" s="89">
        <v>3326</v>
      </c>
      <c r="K52" s="90">
        <v>2355</v>
      </c>
    </row>
    <row r="53" spans="2:11" s="42" customFormat="1" ht="15.65" customHeight="1">
      <c r="B53" s="154" t="s">
        <v>185</v>
      </c>
      <c r="C53" s="130"/>
      <c r="D53" s="51">
        <v>18381</v>
      </c>
      <c r="E53" s="51">
        <v>22123</v>
      </c>
      <c r="F53" s="51">
        <v>27040</v>
      </c>
      <c r="G53" s="51">
        <v>29641</v>
      </c>
      <c r="H53" s="51">
        <v>37181</v>
      </c>
      <c r="I53" s="51">
        <v>34580</v>
      </c>
      <c r="J53" s="52">
        <v>45525</v>
      </c>
      <c r="K53" s="53">
        <v>43990</v>
      </c>
    </row>
    <row r="54" spans="2:11" s="42" customFormat="1" ht="15.65" customHeight="1">
      <c r="B54" s="156" t="s">
        <v>244</v>
      </c>
      <c r="C54" s="133"/>
      <c r="D54" s="79"/>
      <c r="E54" s="79"/>
      <c r="F54" s="79">
        <v>2700</v>
      </c>
      <c r="G54" s="79"/>
      <c r="H54" s="79"/>
      <c r="I54" s="79"/>
      <c r="J54" s="80"/>
      <c r="K54" s="81"/>
    </row>
    <row r="55" spans="2:11" s="42" customFormat="1" ht="15.65" customHeight="1">
      <c r="B55" s="159"/>
      <c r="C55" s="160" t="s">
        <v>212</v>
      </c>
      <c r="D55" s="88"/>
      <c r="E55" s="88"/>
      <c r="F55" s="88">
        <v>2700</v>
      </c>
      <c r="G55" s="88"/>
      <c r="H55" s="88"/>
      <c r="I55" s="88"/>
      <c r="J55" s="89"/>
      <c r="K55" s="90"/>
    </row>
    <row r="56" spans="2:11" s="42" customFormat="1" ht="15.65" customHeight="1">
      <c r="B56" s="155" t="s">
        <v>186</v>
      </c>
      <c r="C56" s="78"/>
      <c r="D56" s="79">
        <v>938</v>
      </c>
      <c r="E56" s="79"/>
      <c r="F56" s="79"/>
      <c r="G56" s="79"/>
      <c r="H56" s="79"/>
      <c r="I56" s="79">
        <v>63999</v>
      </c>
      <c r="J56" s="80"/>
      <c r="K56" s="81"/>
    </row>
    <row r="57" spans="2:11" s="42" customFormat="1" ht="15.65" customHeight="1">
      <c r="B57" s="54"/>
      <c r="C57" s="161" t="s">
        <v>187</v>
      </c>
      <c r="D57" s="62">
        <v>938</v>
      </c>
      <c r="E57" s="62"/>
      <c r="F57" s="62"/>
      <c r="G57" s="62"/>
      <c r="H57" s="62"/>
      <c r="I57" s="62"/>
      <c r="J57" s="63"/>
      <c r="K57" s="64"/>
    </row>
    <row r="58" spans="2:11" s="42" customFormat="1" ht="15.65" customHeight="1">
      <c r="B58" s="54"/>
      <c r="C58" s="161" t="s">
        <v>194</v>
      </c>
      <c r="D58" s="62"/>
      <c r="E58" s="62"/>
      <c r="F58" s="62"/>
      <c r="G58" s="62"/>
      <c r="H58" s="62"/>
      <c r="I58" s="62">
        <v>23754</v>
      </c>
      <c r="J58" s="63"/>
      <c r="K58" s="64"/>
    </row>
    <row r="59" spans="2:11" s="42" customFormat="1" ht="15.65" customHeight="1">
      <c r="B59" s="100"/>
      <c r="C59" s="162" t="s">
        <v>195</v>
      </c>
      <c r="D59" s="51"/>
      <c r="E59" s="51"/>
      <c r="F59" s="51"/>
      <c r="G59" s="51"/>
      <c r="H59" s="51"/>
      <c r="I59" s="51">
        <v>40244</v>
      </c>
      <c r="J59" s="52"/>
      <c r="K59" s="53"/>
    </row>
    <row r="60" spans="2:11" s="42" customFormat="1" ht="15.65" customHeight="1">
      <c r="B60" s="154" t="s">
        <v>80</v>
      </c>
      <c r="C60" s="106"/>
      <c r="D60" s="73">
        <v>17442</v>
      </c>
      <c r="E60" s="73">
        <v>22123</v>
      </c>
      <c r="F60" s="73">
        <v>29740</v>
      </c>
      <c r="G60" s="73">
        <v>29641</v>
      </c>
      <c r="H60" s="73">
        <v>37181</v>
      </c>
      <c r="I60" s="73">
        <v>-29418</v>
      </c>
      <c r="J60" s="74">
        <v>45525</v>
      </c>
      <c r="K60" s="75">
        <v>43990</v>
      </c>
    </row>
    <row r="61" spans="2:11" s="42" customFormat="1" ht="15.65" customHeight="1">
      <c r="B61" s="154" t="s">
        <v>189</v>
      </c>
      <c r="C61" s="106"/>
      <c r="D61" s="73">
        <v>10235</v>
      </c>
      <c r="E61" s="73">
        <v>10673</v>
      </c>
      <c r="F61" s="73">
        <v>15535</v>
      </c>
      <c r="G61" s="73">
        <v>14240</v>
      </c>
      <c r="H61" s="73"/>
      <c r="I61" s="73"/>
      <c r="J61" s="74"/>
      <c r="K61" s="75"/>
    </row>
    <row r="62" spans="2:11" s="42" customFormat="1" ht="15.65" customHeight="1">
      <c r="B62" s="154" t="s">
        <v>236</v>
      </c>
      <c r="C62" s="106"/>
      <c r="D62" s="73"/>
      <c r="E62" s="73"/>
      <c r="F62" s="73"/>
      <c r="G62" s="73"/>
      <c r="H62" s="73">
        <v>20910</v>
      </c>
      <c r="I62" s="73">
        <v>18887</v>
      </c>
      <c r="J62" s="74">
        <v>20224</v>
      </c>
      <c r="K62" s="75">
        <v>19326</v>
      </c>
    </row>
    <row r="63" spans="2:11" s="42" customFormat="1" ht="15.65" customHeight="1">
      <c r="B63" s="154" t="s">
        <v>196</v>
      </c>
      <c r="C63" s="106"/>
      <c r="D63" s="73"/>
      <c r="E63" s="73"/>
      <c r="F63" s="73"/>
      <c r="G63" s="73"/>
      <c r="H63" s="73"/>
      <c r="I63" s="73">
        <v>-30308</v>
      </c>
      <c r="J63" s="74">
        <v>-455</v>
      </c>
      <c r="K63" s="75">
        <v>-489</v>
      </c>
    </row>
    <row r="64" spans="2:11" s="42" customFormat="1" ht="15.65" customHeight="1">
      <c r="B64" s="155" t="s">
        <v>197</v>
      </c>
      <c r="C64" s="78"/>
      <c r="D64" s="79">
        <v>7207</v>
      </c>
      <c r="E64" s="79">
        <v>11450</v>
      </c>
      <c r="F64" s="79">
        <v>14205</v>
      </c>
      <c r="G64" s="79">
        <v>15401</v>
      </c>
      <c r="H64" s="79">
        <v>16271</v>
      </c>
      <c r="I64" s="79">
        <v>-17996</v>
      </c>
      <c r="J64" s="80">
        <v>25757</v>
      </c>
      <c r="K64" s="81">
        <v>25153</v>
      </c>
    </row>
    <row r="65" spans="2:11" s="42" customFormat="1" ht="15.65" customHeight="1">
      <c r="B65" s="155" t="s">
        <v>190</v>
      </c>
      <c r="C65" s="78"/>
      <c r="D65" s="79">
        <v>1126</v>
      </c>
      <c r="E65" s="79">
        <v>1496</v>
      </c>
      <c r="F65" s="79">
        <v>2144</v>
      </c>
      <c r="G65" s="79">
        <v>2623</v>
      </c>
      <c r="H65" s="79">
        <v>4083</v>
      </c>
      <c r="I65" s="79">
        <v>4110</v>
      </c>
      <c r="J65" s="80">
        <v>3764</v>
      </c>
      <c r="K65" s="81">
        <v>3899</v>
      </c>
    </row>
    <row r="66" spans="2:11" s="42" customFormat="1" ht="15.65" customHeight="1">
      <c r="B66" s="155" t="s">
        <v>198</v>
      </c>
      <c r="C66" s="78"/>
      <c r="D66" s="79"/>
      <c r="E66" s="79"/>
      <c r="F66" s="79"/>
      <c r="G66" s="79"/>
      <c r="H66" s="79"/>
      <c r="I66" s="79">
        <v>14634</v>
      </c>
      <c r="J66" s="80"/>
      <c r="K66" s="81"/>
    </row>
    <row r="67" spans="2:11" s="42" customFormat="1" ht="15.65" customHeight="1">
      <c r="B67" s="334" t="s">
        <v>237</v>
      </c>
      <c r="C67" s="78"/>
      <c r="D67" s="79"/>
      <c r="E67" s="79"/>
      <c r="F67" s="79"/>
      <c r="G67" s="79"/>
      <c r="H67" s="79"/>
      <c r="I67" s="79">
        <v>8890</v>
      </c>
      <c r="J67" s="80"/>
      <c r="K67" s="81"/>
    </row>
    <row r="68" spans="2:11" s="42" customFormat="1" ht="15.65" customHeight="1">
      <c r="B68" s="155" t="s">
        <v>238</v>
      </c>
      <c r="C68" s="78"/>
      <c r="D68" s="79">
        <v>500</v>
      </c>
      <c r="E68" s="79">
        <v>550</v>
      </c>
      <c r="F68" s="79">
        <v>822</v>
      </c>
      <c r="G68" s="79">
        <v>822</v>
      </c>
      <c r="H68" s="79">
        <v>1402</v>
      </c>
      <c r="I68" s="79">
        <v>1402</v>
      </c>
      <c r="J68" s="80">
        <v>1402</v>
      </c>
      <c r="K68" s="81">
        <v>1402</v>
      </c>
    </row>
    <row r="69" spans="2:11" s="42" customFormat="1" ht="15.65" customHeight="1">
      <c r="B69" s="155" t="s">
        <v>191</v>
      </c>
      <c r="C69" s="78"/>
      <c r="D69" s="79">
        <v>50</v>
      </c>
      <c r="E69" s="79">
        <v>55</v>
      </c>
      <c r="F69" s="79">
        <v>82</v>
      </c>
      <c r="G69" s="79">
        <v>82</v>
      </c>
      <c r="H69" s="79">
        <v>140</v>
      </c>
      <c r="I69" s="79">
        <v>140</v>
      </c>
      <c r="J69" s="80">
        <v>140</v>
      </c>
      <c r="K69" s="81"/>
    </row>
    <row r="70" spans="2:11" s="42" customFormat="1" ht="15.65" customHeight="1" thickBot="1">
      <c r="B70" s="163" t="s">
        <v>242</v>
      </c>
      <c r="C70" s="109"/>
      <c r="D70" s="110">
        <v>7784</v>
      </c>
      <c r="E70" s="110">
        <v>12342</v>
      </c>
      <c r="F70" s="110">
        <v>15445</v>
      </c>
      <c r="G70" s="110">
        <v>17120</v>
      </c>
      <c r="H70" s="110">
        <v>18812</v>
      </c>
      <c r="I70" s="110">
        <v>8095</v>
      </c>
      <c r="J70" s="111">
        <v>27979</v>
      </c>
      <c r="K70" s="112">
        <v>27651</v>
      </c>
    </row>
    <row r="71" spans="2:11" ht="15.65" customHeight="1"/>
    <row r="72" spans="2:11" ht="15.65" customHeight="1"/>
    <row r="73" spans="2:11" ht="15.65" customHeight="1"/>
    <row r="74" spans="2:11" ht="15.65" customHeight="1"/>
    <row r="75" spans="2:11" ht="15.65" customHeight="1"/>
    <row r="76" spans="2:11" ht="15.65" customHeight="1"/>
    <row r="77" spans="2:11" ht="15.65" customHeight="1"/>
    <row r="78" spans="2:11" ht="15.65" customHeight="1"/>
    <row r="79" spans="2:11" ht="15.65" customHeight="1"/>
    <row r="80" spans="2:11" ht="15.65" customHeight="1"/>
    <row r="81" ht="15.65" customHeight="1"/>
    <row r="82" ht="15.65" customHeight="1"/>
    <row r="83" ht="15.65" customHeight="1"/>
    <row r="84" ht="15.65" customHeight="1"/>
    <row r="85" ht="15.65" customHeight="1"/>
    <row r="86" ht="15.65" customHeight="1"/>
    <row r="87" ht="15.65" customHeight="1"/>
    <row r="88" ht="15.65" customHeight="1"/>
    <row r="89" ht="15.65" customHeight="1"/>
    <row r="90" ht="15.65" customHeight="1"/>
    <row r="91" ht="15.65" customHeight="1"/>
    <row r="92" ht="15.65" customHeight="1"/>
    <row r="93" ht="15.65" customHeight="1"/>
    <row r="94" ht="15.65" customHeight="1"/>
    <row r="95" ht="15.65" customHeight="1"/>
    <row r="96" ht="15.65" customHeight="1"/>
    <row r="97" ht="15.65" customHeight="1"/>
    <row r="98" ht="15.65" customHeight="1"/>
    <row r="99" ht="15.65" customHeight="1"/>
    <row r="100" ht="15.65" customHeight="1"/>
    <row r="101" ht="15.65" customHeight="1"/>
    <row r="102" ht="15.65" customHeight="1"/>
    <row r="105" s="6" customFormat="1" ht="24" customHeight="1"/>
    <row r="106" s="6" customFormat="1" ht="20.25" customHeight="1"/>
  </sheetData>
  <phoneticPr fontId="2"/>
  <printOptions horizontalCentered="1"/>
  <pageMargins left="0.78740157480314965" right="0.47244094488188981" top="0.78740157480314965" bottom="0.78740157480314965" header="0.51181102362204722" footer="0.51181102362204722"/>
  <pageSetup paperSize="9" scale="93" fitToHeight="0" orientation="landscape" verticalDpi="0" r:id="rId1"/>
  <headerFooter alignWithMargins="0"/>
  <rowBreaks count="1" manualBreakCount="1">
    <brk id="3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BS (Consolidated)</vt:lpstr>
      <vt:lpstr>PL (Consolidated)</vt:lpstr>
      <vt:lpstr>Cash Flow Statements</vt:lpstr>
      <vt:lpstr>Capital Expenditures</vt:lpstr>
      <vt:lpstr>Segment Information</vt:lpstr>
      <vt:lpstr>Information by Sector</vt:lpstr>
      <vt:lpstr>BS (Non-Consolidated)</vt:lpstr>
      <vt:lpstr>PL (Non-Consolidated)</vt:lpstr>
      <vt:lpstr>'BS (Consolidated)'!Print_Area</vt:lpstr>
      <vt:lpstr>'BS (Non-Consolidated)'!Print_Area</vt:lpstr>
      <vt:lpstr>'Capital Expenditures'!Print_Area</vt:lpstr>
      <vt:lpstr>'Cash Flow Statements'!Print_Area</vt:lpstr>
      <vt:lpstr>'Information by Sector'!Print_Area</vt:lpstr>
      <vt:lpstr>'PL (Consolidated)'!Print_Area</vt:lpstr>
      <vt:lpstr>'Segment Information'!Print_Area</vt:lpstr>
      <vt:lpstr>'PL (Non-Consolidated)'!Print_Titles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Kunihiko CHOGO</dc:creator>
  <cp:lastModifiedBy>Carina Negreanu</cp:lastModifiedBy>
  <cp:lastPrinted>2002-04-29T09:36:45Z</cp:lastPrinted>
  <dcterms:created xsi:type="dcterms:W3CDTF">2000-05-30T23:54:54Z</dcterms:created>
  <dcterms:modified xsi:type="dcterms:W3CDTF">2020-01-27T12:42:25Z</dcterms:modified>
</cp:coreProperties>
</file>