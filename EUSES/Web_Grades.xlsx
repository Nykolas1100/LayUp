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9880D9-D728-453D-9B32-2648E56EECAB}" xr6:coauthVersionLast="45" xr6:coauthVersionMax="45" xr10:uidLastSave="{00000000-0000-0000-0000-000000000000}"/>
  <bookViews>
    <workbookView xWindow="2660" yWindow="2660" windowWidth="28800" windowHeight="15460"/>
  </bookViews>
  <sheets>
    <sheet name="Section 1" sheetId="1" r:id="rId1"/>
    <sheet name="Section 2" sheetId="2" r:id="rId2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1" l="1"/>
  <c r="G4" i="1"/>
  <c r="AC4" i="1"/>
  <c r="F4" i="1" s="1"/>
  <c r="BH4" i="1"/>
  <c r="H4" i="1" s="1"/>
  <c r="CK4" i="1"/>
  <c r="C5" i="1"/>
  <c r="AC5" i="1"/>
  <c r="F5" i="1" s="1"/>
  <c r="BH5" i="1"/>
  <c r="H5" i="1" s="1"/>
  <c r="CK5" i="1"/>
  <c r="G5" i="1" s="1"/>
  <c r="C6" i="1"/>
  <c r="I6" i="1" s="1"/>
  <c r="F6" i="1"/>
  <c r="G6" i="1"/>
  <c r="H6" i="1"/>
  <c r="AC6" i="1"/>
  <c r="BH6" i="1"/>
  <c r="CK6" i="1"/>
  <c r="C7" i="1"/>
  <c r="AC7" i="1"/>
  <c r="F7" i="1" s="1"/>
  <c r="BH7" i="1"/>
  <c r="H7" i="1" s="1"/>
  <c r="CK7" i="1"/>
  <c r="G7" i="1" s="1"/>
  <c r="C8" i="1"/>
  <c r="AC8" i="1"/>
  <c r="F8" i="1" s="1"/>
  <c r="BH8" i="1"/>
  <c r="H8" i="1" s="1"/>
  <c r="CK8" i="1"/>
  <c r="G8" i="1" s="1"/>
  <c r="C9" i="1"/>
  <c r="F9" i="1"/>
  <c r="G9" i="1"/>
  <c r="I9" i="1" s="1"/>
  <c r="H9" i="1"/>
  <c r="AC9" i="1"/>
  <c r="BH9" i="1"/>
  <c r="CK9" i="1"/>
  <c r="C10" i="1"/>
  <c r="H10" i="1"/>
  <c r="AC10" i="1"/>
  <c r="F10" i="1" s="1"/>
  <c r="I10" i="1" s="1"/>
  <c r="BH10" i="1"/>
  <c r="CK10" i="1"/>
  <c r="G10" i="1" s="1"/>
  <c r="C11" i="1"/>
  <c r="I11" i="1" s="1"/>
  <c r="F11" i="1"/>
  <c r="G11" i="1"/>
  <c r="H11" i="1"/>
  <c r="AC11" i="1"/>
  <c r="BH11" i="1"/>
  <c r="CK11" i="1"/>
  <c r="C12" i="1"/>
  <c r="AC12" i="1"/>
  <c r="F12" i="1" s="1"/>
  <c r="BH12" i="1"/>
  <c r="H12" i="1" s="1"/>
  <c r="CK12" i="1"/>
  <c r="G12" i="1" s="1"/>
  <c r="C13" i="1"/>
  <c r="AC13" i="1"/>
  <c r="F13" i="1" s="1"/>
  <c r="BH13" i="1"/>
  <c r="H13" i="1" s="1"/>
  <c r="CK13" i="1"/>
  <c r="G13" i="1" s="1"/>
  <c r="C14" i="1"/>
  <c r="F14" i="1"/>
  <c r="G14" i="1"/>
  <c r="I14" i="1" s="1"/>
  <c r="H14" i="1"/>
  <c r="AC14" i="1"/>
  <c r="BH14" i="1"/>
  <c r="CK14" i="1"/>
  <c r="C15" i="1"/>
  <c r="H15" i="1"/>
  <c r="AC15" i="1"/>
  <c r="F15" i="1" s="1"/>
  <c r="BH15" i="1"/>
  <c r="CK15" i="1"/>
  <c r="G15" i="1" s="1"/>
  <c r="C16" i="1"/>
  <c r="I16" i="1" s="1"/>
  <c r="F16" i="1"/>
  <c r="G16" i="1"/>
  <c r="H16" i="1"/>
  <c r="AC16" i="1"/>
  <c r="BH16" i="1"/>
  <c r="CK16" i="1"/>
  <c r="C17" i="1"/>
  <c r="AC17" i="1"/>
  <c r="F17" i="1" s="1"/>
  <c r="BH17" i="1"/>
  <c r="H17" i="1" s="1"/>
  <c r="CK17" i="1"/>
  <c r="G17" i="1" s="1"/>
  <c r="C18" i="1"/>
  <c r="AC18" i="1"/>
  <c r="F18" i="1" s="1"/>
  <c r="BH18" i="1"/>
  <c r="H18" i="1" s="1"/>
  <c r="CK18" i="1"/>
  <c r="G18" i="1" s="1"/>
  <c r="C19" i="1"/>
  <c r="F19" i="1"/>
  <c r="G19" i="1"/>
  <c r="I19" i="1" s="1"/>
  <c r="H19" i="1"/>
  <c r="AC19" i="1"/>
  <c r="BH19" i="1"/>
  <c r="CK19" i="1"/>
  <c r="C20" i="1"/>
  <c r="H20" i="1"/>
  <c r="AC20" i="1"/>
  <c r="F20" i="1" s="1"/>
  <c r="BH20" i="1"/>
  <c r="CK20" i="1"/>
  <c r="G20" i="1" s="1"/>
  <c r="C21" i="1"/>
  <c r="I21" i="1" s="1"/>
  <c r="F21" i="1"/>
  <c r="G21" i="1"/>
  <c r="H21" i="1"/>
  <c r="AC21" i="1"/>
  <c r="BH21" i="1"/>
  <c r="CK21" i="1"/>
  <c r="C22" i="1"/>
  <c r="AC22" i="1"/>
  <c r="F22" i="1" s="1"/>
  <c r="BH22" i="1"/>
  <c r="H22" i="1" s="1"/>
  <c r="CK22" i="1"/>
  <c r="G22" i="1" s="1"/>
  <c r="C23" i="1"/>
  <c r="AC23" i="1"/>
  <c r="F23" i="1" s="1"/>
  <c r="BH23" i="1"/>
  <c r="H23" i="1" s="1"/>
  <c r="CK23" i="1"/>
  <c r="G23" i="1" s="1"/>
  <c r="C24" i="1"/>
  <c r="F24" i="1"/>
  <c r="G24" i="1"/>
  <c r="I24" i="1" s="1"/>
  <c r="H24" i="1"/>
  <c r="AC24" i="1"/>
  <c r="BH24" i="1"/>
  <c r="CK24" i="1"/>
  <c r="C25" i="1"/>
  <c r="H25" i="1"/>
  <c r="AC25" i="1"/>
  <c r="F25" i="1" s="1"/>
  <c r="BH25" i="1"/>
  <c r="CK25" i="1"/>
  <c r="G25" i="1" s="1"/>
  <c r="C26" i="1"/>
  <c r="I26" i="1" s="1"/>
  <c r="F26" i="1"/>
  <c r="G26" i="1"/>
  <c r="H26" i="1"/>
  <c r="AC26" i="1"/>
  <c r="BH26" i="1"/>
  <c r="CK26" i="1"/>
  <c r="C27" i="1"/>
  <c r="AC27" i="1"/>
  <c r="F27" i="1" s="1"/>
  <c r="BH27" i="1"/>
  <c r="H27" i="1" s="1"/>
  <c r="CK27" i="1"/>
  <c r="G27" i="1" s="1"/>
  <c r="C28" i="1"/>
  <c r="AC28" i="1"/>
  <c r="F28" i="1" s="1"/>
  <c r="BH28" i="1"/>
  <c r="H28" i="1" s="1"/>
  <c r="CK28" i="1"/>
  <c r="G28" i="1" s="1"/>
  <c r="C29" i="1"/>
  <c r="F29" i="1"/>
  <c r="G29" i="1"/>
  <c r="I29" i="1" s="1"/>
  <c r="H29" i="1"/>
  <c r="AC29" i="1"/>
  <c r="BH29" i="1"/>
  <c r="CK29" i="1"/>
  <c r="C30" i="1"/>
  <c r="H30" i="1"/>
  <c r="AC30" i="1"/>
  <c r="F30" i="1" s="1"/>
  <c r="BH30" i="1"/>
  <c r="CK30" i="1"/>
  <c r="G30" i="1" s="1"/>
  <c r="C31" i="1"/>
  <c r="I31" i="1" s="1"/>
  <c r="F31" i="1"/>
  <c r="G31" i="1"/>
  <c r="H31" i="1"/>
  <c r="AC31" i="1"/>
  <c r="BH31" i="1"/>
  <c r="CK31" i="1"/>
  <c r="C32" i="1"/>
  <c r="AC32" i="1"/>
  <c r="F32" i="1" s="1"/>
  <c r="BH32" i="1"/>
  <c r="H32" i="1" s="1"/>
  <c r="CK32" i="1"/>
  <c r="G32" i="1" s="1"/>
  <c r="C33" i="1"/>
  <c r="AC33" i="1"/>
  <c r="F33" i="1" s="1"/>
  <c r="BH33" i="1"/>
  <c r="H33" i="1" s="1"/>
  <c r="CK33" i="1"/>
  <c r="G33" i="1" s="1"/>
  <c r="C34" i="1"/>
  <c r="F34" i="1"/>
  <c r="G34" i="1"/>
  <c r="I34" i="1" s="1"/>
  <c r="H34" i="1"/>
  <c r="AC34" i="1"/>
  <c r="BH34" i="1"/>
  <c r="CK34" i="1"/>
  <c r="C35" i="1"/>
  <c r="H35" i="1"/>
  <c r="AC35" i="1"/>
  <c r="F35" i="1" s="1"/>
  <c r="BH35" i="1"/>
  <c r="CK35" i="1"/>
  <c r="G35" i="1" s="1"/>
  <c r="C36" i="1"/>
  <c r="I36" i="1" s="1"/>
  <c r="F36" i="1"/>
  <c r="G36" i="1"/>
  <c r="H36" i="1"/>
  <c r="AC36" i="1"/>
  <c r="BH36" i="1"/>
  <c r="CK36" i="1"/>
  <c r="C37" i="1"/>
  <c r="AC37" i="1"/>
  <c r="F37" i="1" s="1"/>
  <c r="BH37" i="1"/>
  <c r="H37" i="1" s="1"/>
  <c r="CK37" i="1"/>
  <c r="G37" i="1" s="1"/>
  <c r="C38" i="1"/>
  <c r="AC38" i="1"/>
  <c r="F38" i="1" s="1"/>
  <c r="BH38" i="1"/>
  <c r="H38" i="1" s="1"/>
  <c r="CK38" i="1"/>
  <c r="G38" i="1" s="1"/>
  <c r="C39" i="1"/>
  <c r="F39" i="1"/>
  <c r="G39" i="1"/>
  <c r="I39" i="1" s="1"/>
  <c r="H39" i="1"/>
  <c r="AC39" i="1"/>
  <c r="BH39" i="1"/>
  <c r="CK39" i="1"/>
  <c r="C40" i="1"/>
  <c r="H40" i="1"/>
  <c r="AC40" i="1"/>
  <c r="F40" i="1" s="1"/>
  <c r="BH40" i="1"/>
  <c r="CK40" i="1"/>
  <c r="G40" i="1" s="1"/>
  <c r="C41" i="1"/>
  <c r="I41" i="1" s="1"/>
  <c r="F41" i="1"/>
  <c r="G41" i="1"/>
  <c r="H41" i="1"/>
  <c r="AC41" i="1"/>
  <c r="BH41" i="1"/>
  <c r="CK41" i="1"/>
  <c r="C42" i="1"/>
  <c r="AC42" i="1"/>
  <c r="F42" i="1" s="1"/>
  <c r="BH42" i="1"/>
  <c r="H42" i="1" s="1"/>
  <c r="CK42" i="1"/>
  <c r="G42" i="1" s="1"/>
  <c r="C43" i="1"/>
  <c r="AC43" i="1"/>
  <c r="F43" i="1" s="1"/>
  <c r="BH43" i="1"/>
  <c r="H43" i="1" s="1"/>
  <c r="CK43" i="1"/>
  <c r="G43" i="1" s="1"/>
  <c r="C44" i="1"/>
  <c r="F44" i="1"/>
  <c r="G44" i="1"/>
  <c r="I44" i="1" s="1"/>
  <c r="H44" i="1"/>
  <c r="AC44" i="1"/>
  <c r="BH44" i="1"/>
  <c r="CK44" i="1"/>
  <c r="C45" i="1"/>
  <c r="H45" i="1"/>
  <c r="AC45" i="1"/>
  <c r="F45" i="1" s="1"/>
  <c r="BH45" i="1"/>
  <c r="CK45" i="1"/>
  <c r="G45" i="1" s="1"/>
  <c r="C46" i="1"/>
  <c r="I46" i="1" s="1"/>
  <c r="F46" i="1"/>
  <c r="G46" i="1"/>
  <c r="H46" i="1"/>
  <c r="AC46" i="1"/>
  <c r="BH46" i="1"/>
  <c r="CK46" i="1"/>
  <c r="C47" i="1"/>
  <c r="AC47" i="1"/>
  <c r="F47" i="1" s="1"/>
  <c r="BH47" i="1"/>
  <c r="H47" i="1" s="1"/>
  <c r="CK47" i="1"/>
  <c r="G47" i="1" s="1"/>
  <c r="C48" i="1"/>
  <c r="AC48" i="1"/>
  <c r="F48" i="1" s="1"/>
  <c r="BH48" i="1"/>
  <c r="H48" i="1" s="1"/>
  <c r="CK48" i="1"/>
  <c r="G48" i="1" s="1"/>
  <c r="C49" i="1"/>
  <c r="F49" i="1"/>
  <c r="G49" i="1"/>
  <c r="I49" i="1" s="1"/>
  <c r="H49" i="1"/>
  <c r="AC49" i="1"/>
  <c r="BH49" i="1"/>
  <c r="CK49" i="1"/>
  <c r="C50" i="1"/>
  <c r="H50" i="1"/>
  <c r="AC50" i="1"/>
  <c r="F50" i="1" s="1"/>
  <c r="BH50" i="1"/>
  <c r="CK50" i="1"/>
  <c r="G50" i="1" s="1"/>
  <c r="C51" i="1"/>
  <c r="I51" i="1" s="1"/>
  <c r="F51" i="1"/>
  <c r="G51" i="1"/>
  <c r="H51" i="1"/>
  <c r="AC51" i="1"/>
  <c r="BH51" i="1"/>
  <c r="CK51" i="1"/>
  <c r="D52" i="1"/>
  <c r="K52" i="1"/>
  <c r="L52" i="1"/>
  <c r="M52" i="1"/>
  <c r="O52" i="1"/>
  <c r="P52" i="1"/>
  <c r="Q52" i="1"/>
  <c r="R52" i="1"/>
  <c r="S52" i="1"/>
  <c r="T52" i="1"/>
  <c r="U52" i="1"/>
  <c r="V52" i="1"/>
  <c r="W52" i="1"/>
  <c r="AC52" i="1"/>
  <c r="F52" i="1" s="1"/>
  <c r="AE52" i="1"/>
  <c r="AF52" i="1"/>
  <c r="AG52" i="1"/>
  <c r="AH52" i="1"/>
  <c r="AI52" i="1"/>
  <c r="AJ52" i="1"/>
  <c r="AK52" i="1"/>
  <c r="AL52" i="1"/>
  <c r="AM52" i="1"/>
  <c r="AN52" i="1"/>
  <c r="AO52" i="1"/>
  <c r="AQ52" i="1"/>
  <c r="AS52" i="1"/>
  <c r="AT52" i="1"/>
  <c r="AV52" i="1"/>
  <c r="AW52" i="1"/>
  <c r="AX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4" i="2"/>
  <c r="H4" i="2"/>
  <c r="AD4" i="2"/>
  <c r="F4" i="2" s="1"/>
  <c r="BJ4" i="2"/>
  <c r="CM4" i="2"/>
  <c r="CM47" i="2" s="1"/>
  <c r="G47" i="2" s="1"/>
  <c r="C5" i="2"/>
  <c r="F5" i="2"/>
  <c r="AD5" i="2"/>
  <c r="BJ5" i="2"/>
  <c r="H5" i="2" s="1"/>
  <c r="CM5" i="2"/>
  <c r="G5" i="2" s="1"/>
  <c r="C6" i="2"/>
  <c r="F6" i="2"/>
  <c r="I6" i="2" s="1"/>
  <c r="AD6" i="2"/>
  <c r="BJ6" i="2"/>
  <c r="H6" i="2" s="1"/>
  <c r="CM6" i="2"/>
  <c r="G6" i="2" s="1"/>
  <c r="C7" i="2"/>
  <c r="G7" i="2"/>
  <c r="H7" i="2"/>
  <c r="AD7" i="2"/>
  <c r="F7" i="2" s="1"/>
  <c r="BJ7" i="2"/>
  <c r="CM7" i="2"/>
  <c r="C8" i="2"/>
  <c r="AD8" i="2"/>
  <c r="F8" i="2" s="1"/>
  <c r="BJ8" i="2"/>
  <c r="BJ47" i="2" s="1"/>
  <c r="H47" i="2" s="1"/>
  <c r="CM8" i="2"/>
  <c r="G8" i="2" s="1"/>
  <c r="C9" i="2"/>
  <c r="H9" i="2"/>
  <c r="AD9" i="2"/>
  <c r="F9" i="2" s="1"/>
  <c r="BJ9" i="2"/>
  <c r="CM9" i="2"/>
  <c r="G9" i="2" s="1"/>
  <c r="C10" i="2"/>
  <c r="F10" i="2"/>
  <c r="I10" i="2" s="1"/>
  <c r="AD10" i="2"/>
  <c r="BJ10" i="2"/>
  <c r="H10" i="2" s="1"/>
  <c r="CM10" i="2"/>
  <c r="G10" i="2" s="1"/>
  <c r="C11" i="2"/>
  <c r="F11" i="2"/>
  <c r="AD11" i="2"/>
  <c r="BJ11" i="2"/>
  <c r="H11" i="2" s="1"/>
  <c r="CM11" i="2"/>
  <c r="G11" i="2" s="1"/>
  <c r="C12" i="2"/>
  <c r="G12" i="2"/>
  <c r="H12" i="2"/>
  <c r="AD12" i="2"/>
  <c r="F12" i="2" s="1"/>
  <c r="BJ12" i="2"/>
  <c r="CM12" i="2"/>
  <c r="C13" i="2"/>
  <c r="AD13" i="2"/>
  <c r="F13" i="2" s="1"/>
  <c r="BJ13" i="2"/>
  <c r="H13" i="2" s="1"/>
  <c r="CM13" i="2"/>
  <c r="G13" i="2" s="1"/>
  <c r="C14" i="2"/>
  <c r="H14" i="2"/>
  <c r="AD14" i="2"/>
  <c r="F14" i="2" s="1"/>
  <c r="BJ14" i="2"/>
  <c r="CM14" i="2"/>
  <c r="G14" i="2" s="1"/>
  <c r="C15" i="2"/>
  <c r="F15" i="2"/>
  <c r="AD15" i="2"/>
  <c r="BJ15" i="2"/>
  <c r="H15" i="2" s="1"/>
  <c r="CM15" i="2"/>
  <c r="G15" i="2" s="1"/>
  <c r="C16" i="2"/>
  <c r="F16" i="2"/>
  <c r="AD16" i="2"/>
  <c r="BJ16" i="2"/>
  <c r="H16" i="2" s="1"/>
  <c r="CM16" i="2"/>
  <c r="G16" i="2" s="1"/>
  <c r="C17" i="2"/>
  <c r="G17" i="2"/>
  <c r="H17" i="2"/>
  <c r="AD17" i="2"/>
  <c r="F17" i="2" s="1"/>
  <c r="BJ17" i="2"/>
  <c r="CM17" i="2"/>
  <c r="C18" i="2"/>
  <c r="I18" i="2" s="1"/>
  <c r="AD18" i="2"/>
  <c r="F18" i="2" s="1"/>
  <c r="BJ18" i="2"/>
  <c r="H18" i="2" s="1"/>
  <c r="CM18" i="2"/>
  <c r="G18" i="2" s="1"/>
  <c r="C19" i="2"/>
  <c r="H19" i="2"/>
  <c r="AD19" i="2"/>
  <c r="F19" i="2" s="1"/>
  <c r="BJ19" i="2"/>
  <c r="CM19" i="2"/>
  <c r="G19" i="2" s="1"/>
  <c r="C20" i="2"/>
  <c r="F20" i="2"/>
  <c r="AD20" i="2"/>
  <c r="BJ20" i="2"/>
  <c r="H20" i="2" s="1"/>
  <c r="CM20" i="2"/>
  <c r="G20" i="2" s="1"/>
  <c r="C21" i="2"/>
  <c r="F21" i="2"/>
  <c r="AD21" i="2"/>
  <c r="BJ21" i="2"/>
  <c r="H21" i="2" s="1"/>
  <c r="CM21" i="2"/>
  <c r="G21" i="2" s="1"/>
  <c r="C22" i="2"/>
  <c r="I22" i="2" s="1"/>
  <c r="G22" i="2"/>
  <c r="H22" i="2"/>
  <c r="AD22" i="2"/>
  <c r="F22" i="2" s="1"/>
  <c r="BJ22" i="2"/>
  <c r="CM22" i="2"/>
  <c r="C23" i="2"/>
  <c r="G23" i="2"/>
  <c r="AD23" i="2"/>
  <c r="F23" i="2" s="1"/>
  <c r="BJ23" i="2"/>
  <c r="H23" i="2" s="1"/>
  <c r="CM23" i="2"/>
  <c r="C24" i="2"/>
  <c r="H24" i="2"/>
  <c r="AD24" i="2"/>
  <c r="F24" i="2" s="1"/>
  <c r="BJ24" i="2"/>
  <c r="CM24" i="2"/>
  <c r="G24" i="2" s="1"/>
  <c r="C25" i="2"/>
  <c r="F25" i="2"/>
  <c r="AD25" i="2"/>
  <c r="BJ25" i="2"/>
  <c r="H25" i="2" s="1"/>
  <c r="CM25" i="2"/>
  <c r="G25" i="2" s="1"/>
  <c r="C26" i="2"/>
  <c r="F26" i="2"/>
  <c r="AD26" i="2"/>
  <c r="BJ26" i="2"/>
  <c r="H26" i="2" s="1"/>
  <c r="CM26" i="2"/>
  <c r="G26" i="2" s="1"/>
  <c r="C27" i="2"/>
  <c r="G27" i="2"/>
  <c r="H27" i="2"/>
  <c r="AD27" i="2"/>
  <c r="F27" i="2" s="1"/>
  <c r="BJ27" i="2"/>
  <c r="CM27" i="2"/>
  <c r="C28" i="2"/>
  <c r="G28" i="2"/>
  <c r="AD28" i="2"/>
  <c r="F28" i="2" s="1"/>
  <c r="BJ28" i="2"/>
  <c r="H28" i="2" s="1"/>
  <c r="CM28" i="2"/>
  <c r="C29" i="2"/>
  <c r="H29" i="2"/>
  <c r="AD29" i="2"/>
  <c r="F29" i="2" s="1"/>
  <c r="BJ29" i="2"/>
  <c r="CM29" i="2"/>
  <c r="G29" i="2" s="1"/>
  <c r="C30" i="2"/>
  <c r="F30" i="2"/>
  <c r="AD30" i="2"/>
  <c r="BJ30" i="2"/>
  <c r="H30" i="2" s="1"/>
  <c r="CM30" i="2"/>
  <c r="G30" i="2" s="1"/>
  <c r="C31" i="2"/>
  <c r="F31" i="2"/>
  <c r="AD31" i="2"/>
  <c r="BJ31" i="2"/>
  <c r="H31" i="2" s="1"/>
  <c r="CM31" i="2"/>
  <c r="G31" i="2" s="1"/>
  <c r="C32" i="2"/>
  <c r="G32" i="2"/>
  <c r="H32" i="2"/>
  <c r="AD32" i="2"/>
  <c r="F32" i="2" s="1"/>
  <c r="BJ32" i="2"/>
  <c r="CM32" i="2"/>
  <c r="C33" i="2"/>
  <c r="G33" i="2"/>
  <c r="AD33" i="2"/>
  <c r="F33" i="2" s="1"/>
  <c r="BJ33" i="2"/>
  <c r="H33" i="2" s="1"/>
  <c r="CM33" i="2"/>
  <c r="C34" i="2"/>
  <c r="H34" i="2"/>
  <c r="AD34" i="2"/>
  <c r="F34" i="2" s="1"/>
  <c r="BJ34" i="2"/>
  <c r="CM34" i="2"/>
  <c r="G34" i="2" s="1"/>
  <c r="C35" i="2"/>
  <c r="F35" i="2"/>
  <c r="AD35" i="2"/>
  <c r="BJ35" i="2"/>
  <c r="H35" i="2" s="1"/>
  <c r="CM35" i="2"/>
  <c r="G35" i="2" s="1"/>
  <c r="C36" i="2"/>
  <c r="F36" i="2"/>
  <c r="AD36" i="2"/>
  <c r="BJ36" i="2"/>
  <c r="H36" i="2" s="1"/>
  <c r="CM36" i="2"/>
  <c r="G36" i="2" s="1"/>
  <c r="C37" i="2"/>
  <c r="G37" i="2"/>
  <c r="H37" i="2"/>
  <c r="AD37" i="2"/>
  <c r="F37" i="2" s="1"/>
  <c r="BJ37" i="2"/>
  <c r="CM37" i="2"/>
  <c r="C38" i="2"/>
  <c r="G38" i="2"/>
  <c r="AD38" i="2"/>
  <c r="F38" i="2" s="1"/>
  <c r="BJ38" i="2"/>
  <c r="H38" i="2" s="1"/>
  <c r="CM38" i="2"/>
  <c r="C39" i="2"/>
  <c r="H39" i="2"/>
  <c r="AD39" i="2"/>
  <c r="F39" i="2" s="1"/>
  <c r="BJ39" i="2"/>
  <c r="CM39" i="2"/>
  <c r="G39" i="2" s="1"/>
  <c r="C40" i="2"/>
  <c r="F40" i="2"/>
  <c r="AD40" i="2"/>
  <c r="BJ40" i="2"/>
  <c r="H40" i="2" s="1"/>
  <c r="CM40" i="2"/>
  <c r="G40" i="2" s="1"/>
  <c r="C41" i="2"/>
  <c r="F41" i="2"/>
  <c r="I41" i="2" s="1"/>
  <c r="AD41" i="2"/>
  <c r="BJ41" i="2"/>
  <c r="H41" i="2" s="1"/>
  <c r="CM41" i="2"/>
  <c r="G41" i="2" s="1"/>
  <c r="C42" i="2"/>
  <c r="G42" i="2"/>
  <c r="H42" i="2"/>
  <c r="AD42" i="2"/>
  <c r="F42" i="2" s="1"/>
  <c r="BJ42" i="2"/>
  <c r="CM42" i="2"/>
  <c r="C43" i="2"/>
  <c r="G43" i="2"/>
  <c r="AD43" i="2"/>
  <c r="F43" i="2" s="1"/>
  <c r="BJ43" i="2"/>
  <c r="H43" i="2" s="1"/>
  <c r="CM43" i="2"/>
  <c r="C44" i="2"/>
  <c r="H44" i="2"/>
  <c r="AD44" i="2"/>
  <c r="F44" i="2" s="1"/>
  <c r="BJ44" i="2"/>
  <c r="CM44" i="2"/>
  <c r="G44" i="2" s="1"/>
  <c r="C45" i="2"/>
  <c r="I45" i="2" s="1"/>
  <c r="F45" i="2"/>
  <c r="AD45" i="2"/>
  <c r="BJ45" i="2"/>
  <c r="H45" i="2" s="1"/>
  <c r="CM45" i="2"/>
  <c r="G45" i="2" s="1"/>
  <c r="C46" i="2"/>
  <c r="F46" i="2"/>
  <c r="AD46" i="2"/>
  <c r="BJ46" i="2"/>
  <c r="H46" i="2" s="1"/>
  <c r="CM46" i="2"/>
  <c r="G46" i="2" s="1"/>
  <c r="D47" i="2"/>
  <c r="K47" i="2"/>
  <c r="L47" i="2"/>
  <c r="M47" i="2"/>
  <c r="O47" i="2"/>
  <c r="P47" i="2"/>
  <c r="Q47" i="2"/>
  <c r="R47" i="2"/>
  <c r="S47" i="2"/>
  <c r="T47" i="2"/>
  <c r="U47" i="2"/>
  <c r="V47" i="2"/>
  <c r="W47" i="2"/>
  <c r="AG47" i="2"/>
  <c r="AH47" i="2"/>
  <c r="AI47" i="2"/>
  <c r="AJ47" i="2"/>
  <c r="AK47" i="2"/>
  <c r="AL47" i="2"/>
  <c r="AM47" i="2"/>
  <c r="AN47" i="2"/>
  <c r="AO47" i="2"/>
  <c r="AP47" i="2"/>
  <c r="AQ47" i="2"/>
  <c r="AR47" i="2"/>
  <c r="AS47" i="2"/>
  <c r="AU47" i="2"/>
  <c r="AV47" i="2"/>
  <c r="AX47" i="2"/>
  <c r="AY47" i="2"/>
  <c r="AZ47" i="2"/>
  <c r="BL47" i="2"/>
  <c r="BM47" i="2"/>
  <c r="BN47" i="2"/>
  <c r="BO47" i="2"/>
  <c r="BP47" i="2"/>
  <c r="BQ47" i="2"/>
  <c r="BR47" i="2"/>
  <c r="BS47" i="2"/>
  <c r="BT47" i="2"/>
  <c r="BU47" i="2"/>
  <c r="BV47" i="2"/>
  <c r="BW47" i="2"/>
  <c r="BX47" i="2"/>
  <c r="BY47" i="2"/>
  <c r="BZ47" i="2"/>
  <c r="CA47" i="2"/>
  <c r="CB47" i="2"/>
  <c r="CC47" i="2"/>
  <c r="I29" i="2" l="1"/>
  <c r="I18" i="1"/>
  <c r="I33" i="1"/>
  <c r="I13" i="2"/>
  <c r="I37" i="2"/>
  <c r="I9" i="2"/>
  <c r="I40" i="1"/>
  <c r="I47" i="1"/>
  <c r="I16" i="2"/>
  <c r="I13" i="1"/>
  <c r="I22" i="1"/>
  <c r="I20" i="1"/>
  <c r="I37" i="1"/>
  <c r="I25" i="1"/>
  <c r="I36" i="2"/>
  <c r="I28" i="2"/>
  <c r="I35" i="2"/>
  <c r="I12" i="1"/>
  <c r="I33" i="2"/>
  <c r="I48" i="1"/>
  <c r="I7" i="1"/>
  <c r="I44" i="2"/>
  <c r="I25" i="2"/>
  <c r="I5" i="2"/>
  <c r="I17" i="2"/>
  <c r="I40" i="2"/>
  <c r="I24" i="2"/>
  <c r="I32" i="1"/>
  <c r="I32" i="2"/>
  <c r="I4" i="2"/>
  <c r="I15" i="2"/>
  <c r="I7" i="2"/>
  <c r="I42" i="2"/>
  <c r="I38" i="2"/>
  <c r="I45" i="1"/>
  <c r="I38" i="1"/>
  <c r="I4" i="1"/>
  <c r="I27" i="2"/>
  <c r="I23" i="1"/>
  <c r="I21" i="2"/>
  <c r="I17" i="1"/>
  <c r="I39" i="2"/>
  <c r="I20" i="2"/>
  <c r="I50" i="1"/>
  <c r="I43" i="1"/>
  <c r="I43" i="2"/>
  <c r="I12" i="2"/>
  <c r="I35" i="1"/>
  <c r="I28" i="1"/>
  <c r="I31" i="2"/>
  <c r="I5" i="1"/>
  <c r="I19" i="2"/>
  <c r="I42" i="1"/>
  <c r="I46" i="2"/>
  <c r="I23" i="2"/>
  <c r="I11" i="2"/>
  <c r="I27" i="1"/>
  <c r="I34" i="2"/>
  <c r="I30" i="1"/>
  <c r="I30" i="2"/>
  <c r="I26" i="2"/>
  <c r="I14" i="2"/>
  <c r="I15" i="1"/>
  <c r="I8" i="1"/>
  <c r="G4" i="2"/>
  <c r="H8" i="2"/>
  <c r="I8" i="2" s="1"/>
  <c r="I52" i="1" l="1"/>
</calcChain>
</file>

<file path=xl/sharedStrings.xml><?xml version="1.0" encoding="utf-8"?>
<sst xmlns="http://schemas.openxmlformats.org/spreadsheetml/2006/main" count="450" uniqueCount="116">
  <si>
    <t>0246</t>
  </si>
  <si>
    <t>0956</t>
  </si>
  <si>
    <t>0705</t>
  </si>
  <si>
    <t>0905</t>
  </si>
  <si>
    <t>0535</t>
  </si>
  <si>
    <t>0842</t>
  </si>
  <si>
    <t>0660</t>
  </si>
  <si>
    <t>0871</t>
  </si>
  <si>
    <t>0983</t>
  </si>
  <si>
    <t>Systems Understanding Aid</t>
  </si>
  <si>
    <t>Part #1</t>
  </si>
  <si>
    <t>Part #2</t>
  </si>
  <si>
    <t>Part #3</t>
  </si>
  <si>
    <t>#1</t>
  </si>
  <si>
    <t>#2</t>
  </si>
  <si>
    <t>#3</t>
  </si>
  <si>
    <t>#4</t>
  </si>
  <si>
    <t>#5</t>
  </si>
  <si>
    <t>#6</t>
  </si>
  <si>
    <t>Session</t>
  </si>
  <si>
    <t>1-17</t>
  </si>
  <si>
    <t>2-20</t>
  </si>
  <si>
    <t>4-23</t>
  </si>
  <si>
    <t>4-20</t>
  </si>
  <si>
    <t>6-27</t>
  </si>
  <si>
    <t>Homework</t>
  </si>
  <si>
    <t>2344</t>
  </si>
  <si>
    <t>1496</t>
  </si>
  <si>
    <t>2805</t>
  </si>
  <si>
    <t>4458</t>
  </si>
  <si>
    <t>7474</t>
  </si>
  <si>
    <t>4632</t>
  </si>
  <si>
    <t>7647</t>
  </si>
  <si>
    <t>2908</t>
  </si>
  <si>
    <t>0511</t>
  </si>
  <si>
    <t>8713</t>
  </si>
  <si>
    <t>2389</t>
  </si>
  <si>
    <t>5737</t>
  </si>
  <si>
    <t>8781</t>
  </si>
  <si>
    <t>5586</t>
  </si>
  <si>
    <t>5079</t>
  </si>
  <si>
    <t>5748</t>
  </si>
  <si>
    <t>2718</t>
  </si>
  <si>
    <t>5789</t>
  </si>
  <si>
    <t>6332</t>
  </si>
  <si>
    <t>9887</t>
  </si>
  <si>
    <t>9707</t>
  </si>
  <si>
    <t>4999</t>
  </si>
  <si>
    <t>4008</t>
  </si>
  <si>
    <t>8930</t>
  </si>
  <si>
    <t>7742</t>
  </si>
  <si>
    <t>1364</t>
  </si>
  <si>
    <t>5525</t>
  </si>
  <si>
    <t>3102</t>
  </si>
  <si>
    <t>1821</t>
  </si>
  <si>
    <t>1148</t>
  </si>
  <si>
    <t>2958</t>
  </si>
  <si>
    <t>9685</t>
  </si>
  <si>
    <t>2714</t>
  </si>
  <si>
    <t>5444</t>
  </si>
  <si>
    <t>8630</t>
  </si>
  <si>
    <t>6452</t>
  </si>
  <si>
    <t>3299</t>
  </si>
  <si>
    <t>8237</t>
  </si>
  <si>
    <t>1909</t>
  </si>
  <si>
    <t>6837</t>
  </si>
  <si>
    <t>5829</t>
  </si>
  <si>
    <t>0694</t>
  </si>
  <si>
    <t>1612</t>
  </si>
  <si>
    <t>#7</t>
  </si>
  <si>
    <t>#8</t>
  </si>
  <si>
    <t>#9</t>
  </si>
  <si>
    <t>7-35</t>
  </si>
  <si>
    <t>8-27</t>
  </si>
  <si>
    <t>8-31</t>
  </si>
  <si>
    <t>7182</t>
  </si>
  <si>
    <t>9-26</t>
  </si>
  <si>
    <t>9-33</t>
  </si>
  <si>
    <t>10-25</t>
  </si>
  <si>
    <t>13-31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</si>
  <si>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</si>
  <si>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</si>
  <si>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</si>
  <si>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</si>
  <si>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</si>
  <si>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</si>
  <si>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</si>
  <si>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</si>
  <si>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</si>
  <si>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11-22</t>
  </si>
  <si>
    <t>3-27</t>
  </si>
  <si>
    <t>12-26</t>
  </si>
  <si>
    <t>n/a</t>
  </si>
  <si>
    <t>Quizzes</t>
  </si>
  <si>
    <t>12-28</t>
  </si>
  <si>
    <t>Total</t>
  </si>
  <si>
    <t>#19</t>
  </si>
  <si>
    <t>#20</t>
  </si>
  <si>
    <t>#21</t>
  </si>
  <si>
    <t>#22</t>
  </si>
  <si>
    <t>#23</t>
  </si>
  <si>
    <t>#24</t>
  </si>
  <si>
    <t>#25</t>
  </si>
  <si>
    <t>#26</t>
  </si>
  <si>
    <t>#27</t>
  </si>
  <si>
    <t>#28</t>
  </si>
  <si>
    <t>#29</t>
  </si>
  <si>
    <t>#30</t>
  </si>
  <si>
    <t>Exams</t>
  </si>
  <si>
    <t>13-25</t>
  </si>
  <si>
    <t>13-26</t>
  </si>
  <si>
    <t>SUA</t>
  </si>
  <si>
    <t>Midterm</t>
  </si>
  <si>
    <t>Final</t>
  </si>
  <si>
    <t>Participation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</si>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</sst>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.0"/>
  </numFmts>
  <fonts count="4" x14ac:knownFonts="1">
    <font>
      <sz val="10"/>
      <name val="Arial"/>
    </font>
    <font>
      <sz val="10"/>
      <name val="Comic Sans MS"/>
      <family val="4"/>
    </font>
    <font>
      <b/>
      <sz val="10"/>
      <name val="Comic Sans MS"/>
      <family val="4"/>
    </font>
    <font>
      <b/>
      <u/>
      <sz val="10"/>
      <name val="Comic Sans MS"/>
      <family val="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1" fillId="0" borderId="0" xfId="0" applyNumberFormat="1" applyFont="1"/>
    <xf numFmtId="49" fontId="2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1" fillId="0" borderId="0" xfId="0" applyNumberFormat="1" applyFont="1"/>
    <xf numFmtId="2" fontId="1" fillId="0" borderId="0" xfId="0" applyNumberFormat="1" applyFont="1"/>
    <xf numFmtId="16" fontId="2" fillId="0" borderId="0" xfId="0" quotePrefix="1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49" fontId="0" fillId="0" borderId="0" xfId="0" applyNumberFormat="1"/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/>
    </xf>
    <xf numFmtId="1" fontId="1" fillId="0" borderId="0" xfId="0" applyNumberFormat="1" applyFont="1" applyAlignment="1">
      <alignment horizontal="center" vertical="center"/>
    </xf>
    <xf numFmtId="172" fontId="1" fillId="0" borderId="0" xfId="0" applyNumberFormat="1" applyFont="1"/>
    <xf numFmtId="1" fontId="1" fillId="0" borderId="0" xfId="0" applyNumberFormat="1" applyFont="1" applyAlignment="1">
      <alignment horizontal="center" vertical="top" textRotation="180"/>
    </xf>
    <xf numFmtId="0" fontId="0" fillId="0" borderId="0" xfId="0" applyAlignment="1">
      <alignment horizontal="center" vertical="top" textRotation="180"/>
    </xf>
    <xf numFmtId="1" fontId="1" fillId="0" borderId="0" xfId="0" applyNumberFormat="1" applyFont="1" applyAlignment="1"/>
    <xf numFmtId="1" fontId="1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/>
    </xf>
    <xf numFmtId="1" fontId="1" fillId="0" borderId="0" xfId="0" applyNumberFormat="1" applyFont="1" applyAlignment="1">
      <alignment horizontal="right"/>
    </xf>
    <xf numFmtId="0" fontId="1" fillId="0" borderId="0" xfId="0" applyFont="1"/>
    <xf numFmtId="0" fontId="1" fillId="0" borderId="0" xfId="0" applyFont="1" applyAlignment="1"/>
    <xf numFmtId="172" fontId="3" fillId="0" borderId="0" xfId="0" applyNumberFormat="1" applyFont="1" applyAlignment="1">
      <alignment horizontal="center"/>
    </xf>
    <xf numFmtId="0" fontId="3" fillId="0" borderId="0" xfId="0" applyFont="1" applyFill="1" applyAlignment="1">
      <alignment horizontal="center" wrapText="1"/>
    </xf>
    <xf numFmtId="172" fontId="0" fillId="0" borderId="0" xfId="0" applyNumberFormat="1"/>
    <xf numFmtId="0" fontId="0" fillId="0" borderId="0" xfId="0" applyFill="1"/>
    <xf numFmtId="1" fontId="1" fillId="0" borderId="0" xfId="0" applyNumberFormat="1" applyFont="1" applyFill="1"/>
    <xf numFmtId="1" fontId="1" fillId="0" borderId="0" xfId="0" quotePrefix="1" applyNumberFormat="1" applyFont="1"/>
    <xf numFmtId="0" fontId="1" fillId="0" borderId="0" xfId="0" applyFont="1" applyFill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537"/>
  <sheetViews>
    <sheetView tabSelected="1" workbookViewId="0"/>
  </sheetViews>
  <sheetFormatPr defaultColWidth="10" defaultRowHeight="15.5" x14ac:dyDescent="0.45"/>
  <cols>
    <col min="1" max="2" width="5.81640625" style="1" customWidth="1"/>
    <col min="3" max="3" width="6.7265625" style="20" customWidth="1"/>
    <col min="4" max="4" width="10" style="13" customWidth="1"/>
    <col min="5" max="7" width="10" style="20" customWidth="1"/>
    <col min="8" max="8" width="12.26953125" style="20" customWidth="1"/>
    <col min="9" max="9" width="10" style="20" customWidth="1"/>
    <col min="10" max="10" width="6.453125" style="20" customWidth="1"/>
    <col min="11" max="13" width="8.453125" style="20" bestFit="1" customWidth="1"/>
    <col min="14" max="36" width="6.453125" style="20" customWidth="1"/>
    <col min="37" max="37" width="6.453125" style="21" customWidth="1"/>
    <col min="38" max="42" width="6.453125" style="20" customWidth="1"/>
    <col min="43" max="43" width="6.453125" style="21" customWidth="1"/>
    <col min="44" max="177" width="6.453125" style="20" customWidth="1"/>
    <col min="178" max="16384" width="10" style="20"/>
  </cols>
  <sheetData>
    <row r="1" spans="1:89" ht="16.5" x14ac:dyDescent="0.5">
      <c r="BJ1" s="30" t="s">
        <v>25</v>
      </c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</row>
    <row r="2" spans="1:89" s="18" customFormat="1" ht="16.5" customHeight="1" x14ac:dyDescent="0.5">
      <c r="A2" s="2"/>
      <c r="B2" s="2"/>
      <c r="D2" s="30" t="s">
        <v>108</v>
      </c>
      <c r="E2" s="30"/>
      <c r="F2" s="31" t="s">
        <v>115</v>
      </c>
      <c r="G2" s="31"/>
      <c r="H2" s="31"/>
      <c r="K2" s="30" t="s">
        <v>9</v>
      </c>
      <c r="L2" s="30"/>
      <c r="M2" s="30"/>
      <c r="O2" s="30" t="s">
        <v>93</v>
      </c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4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4"/>
      <c r="BI2" s="4"/>
      <c r="BJ2" s="7" t="s">
        <v>20</v>
      </c>
      <c r="BK2" s="8" t="s">
        <v>21</v>
      </c>
      <c r="BL2" s="8" t="s">
        <v>22</v>
      </c>
      <c r="BM2" s="8" t="s">
        <v>23</v>
      </c>
      <c r="BN2" s="8" t="s">
        <v>24</v>
      </c>
      <c r="BO2" s="8" t="s">
        <v>72</v>
      </c>
      <c r="BP2" s="8" t="s">
        <v>73</v>
      </c>
      <c r="BQ2" s="8" t="s">
        <v>74</v>
      </c>
      <c r="BR2" s="8" t="s">
        <v>76</v>
      </c>
      <c r="BS2" s="8" t="s">
        <v>77</v>
      </c>
      <c r="BT2" s="8" t="s">
        <v>78</v>
      </c>
      <c r="BU2" s="8" t="s">
        <v>79</v>
      </c>
      <c r="BV2" s="8" t="s">
        <v>89</v>
      </c>
      <c r="BW2" s="8" t="s">
        <v>90</v>
      </c>
      <c r="BX2" s="8" t="s">
        <v>91</v>
      </c>
      <c r="BY2" s="8" t="s">
        <v>94</v>
      </c>
      <c r="BZ2" s="8" t="s">
        <v>109</v>
      </c>
      <c r="CA2" s="8" t="s">
        <v>110</v>
      </c>
    </row>
    <row r="3" spans="1:89" s="4" customFormat="1" ht="16.5" x14ac:dyDescent="0.5">
      <c r="A3" s="3"/>
      <c r="B3" s="3"/>
      <c r="C3" s="4" t="s">
        <v>111</v>
      </c>
      <c r="D3" s="22" t="s">
        <v>112</v>
      </c>
      <c r="E3" s="4" t="s">
        <v>113</v>
      </c>
      <c r="F3" s="23" t="s">
        <v>93</v>
      </c>
      <c r="G3" s="4" t="s">
        <v>25</v>
      </c>
      <c r="H3" s="4" t="s">
        <v>114</v>
      </c>
      <c r="I3" s="4" t="s">
        <v>95</v>
      </c>
      <c r="K3" s="4" t="s">
        <v>10</v>
      </c>
      <c r="L3" s="4" t="s">
        <v>11</v>
      </c>
      <c r="M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69</v>
      </c>
      <c r="V3" s="4" t="s">
        <v>70</v>
      </c>
      <c r="W3" s="4" t="s">
        <v>71</v>
      </c>
      <c r="X3" s="4" t="s">
        <v>80</v>
      </c>
      <c r="Y3" s="4" t="s">
        <v>81</v>
      </c>
      <c r="Z3" s="4" t="s">
        <v>82</v>
      </c>
      <c r="AA3" s="4" t="s">
        <v>83</v>
      </c>
      <c r="AB3" s="4" t="s">
        <v>84</v>
      </c>
      <c r="AC3" s="4" t="s">
        <v>95</v>
      </c>
      <c r="AE3" s="4" t="s">
        <v>14</v>
      </c>
      <c r="AF3" s="4" t="s">
        <v>15</v>
      </c>
      <c r="AG3" s="4" t="s">
        <v>16</v>
      </c>
      <c r="AH3" s="4" t="s">
        <v>17</v>
      </c>
      <c r="AI3" s="4" t="s">
        <v>18</v>
      </c>
      <c r="AJ3" s="4" t="s">
        <v>69</v>
      </c>
      <c r="AK3" s="4" t="s">
        <v>70</v>
      </c>
      <c r="AL3" s="4" t="s">
        <v>71</v>
      </c>
      <c r="AM3" s="4" t="s">
        <v>80</v>
      </c>
      <c r="AN3" s="4" t="s">
        <v>81</v>
      </c>
      <c r="AO3" s="4" t="s">
        <v>82</v>
      </c>
      <c r="AP3" s="4" t="s">
        <v>83</v>
      </c>
      <c r="AQ3" s="4" t="s">
        <v>84</v>
      </c>
      <c r="AR3" s="4" t="s">
        <v>85</v>
      </c>
      <c r="AS3" s="4" t="s">
        <v>86</v>
      </c>
      <c r="AT3" s="4" t="s">
        <v>87</v>
      </c>
      <c r="AU3" s="4" t="s">
        <v>88</v>
      </c>
      <c r="AV3" s="4" t="s">
        <v>96</v>
      </c>
      <c r="AW3" s="4" t="s">
        <v>97</v>
      </c>
      <c r="AX3" s="4" t="s">
        <v>98</v>
      </c>
      <c r="AY3" s="4" t="s">
        <v>99</v>
      </c>
      <c r="AZ3" s="4" t="s">
        <v>100</v>
      </c>
      <c r="BA3" s="4" t="s">
        <v>101</v>
      </c>
      <c r="BB3" s="4" t="s">
        <v>102</v>
      </c>
      <c r="BC3" s="4" t="s">
        <v>103</v>
      </c>
      <c r="BD3" s="4" t="s">
        <v>104</v>
      </c>
      <c r="BE3" s="4" t="s">
        <v>105</v>
      </c>
      <c r="BF3" s="4" t="s">
        <v>106</v>
      </c>
      <c r="BG3" s="4" t="s">
        <v>107</v>
      </c>
      <c r="BH3" s="4" t="s">
        <v>95</v>
      </c>
      <c r="BJ3" s="4" t="s">
        <v>13</v>
      </c>
      <c r="BK3" s="4" t="s">
        <v>14</v>
      </c>
      <c r="BL3" s="4" t="s">
        <v>15</v>
      </c>
      <c r="BM3" s="4" t="s">
        <v>16</v>
      </c>
      <c r="BN3" s="4" t="s">
        <v>17</v>
      </c>
      <c r="BO3" s="4" t="s">
        <v>18</v>
      </c>
      <c r="BP3" s="4" t="s">
        <v>69</v>
      </c>
      <c r="BQ3" s="4" t="s">
        <v>70</v>
      </c>
      <c r="BR3" s="4" t="s">
        <v>71</v>
      </c>
      <c r="BS3" s="4" t="s">
        <v>80</v>
      </c>
      <c r="BT3" s="4" t="s">
        <v>81</v>
      </c>
      <c r="BU3" s="4" t="s">
        <v>82</v>
      </c>
      <c r="BV3" s="4" t="s">
        <v>83</v>
      </c>
      <c r="BW3" s="4" t="s">
        <v>84</v>
      </c>
      <c r="BX3" s="4" t="s">
        <v>85</v>
      </c>
      <c r="BY3" s="4" t="s">
        <v>86</v>
      </c>
      <c r="BZ3" s="4" t="s">
        <v>87</v>
      </c>
      <c r="CA3" s="4" t="s">
        <v>88</v>
      </c>
      <c r="CB3" s="4" t="s">
        <v>96</v>
      </c>
      <c r="CC3" s="4" t="s">
        <v>97</v>
      </c>
      <c r="CD3" s="4" t="s">
        <v>98</v>
      </c>
      <c r="CE3" s="4" t="s">
        <v>99</v>
      </c>
      <c r="CF3" s="4" t="s">
        <v>100</v>
      </c>
      <c r="CG3" s="4" t="s">
        <v>101</v>
      </c>
      <c r="CH3" s="4" t="s">
        <v>102</v>
      </c>
      <c r="CI3" s="4" t="s">
        <v>103</v>
      </c>
      <c r="CJ3" s="4" t="s">
        <v>104</v>
      </c>
      <c r="CK3" s="4" t="s">
        <v>95</v>
      </c>
    </row>
    <row r="4" spans="1:89" s="5" customFormat="1" x14ac:dyDescent="0.45">
      <c r="A4" s="1">
        <v>1242</v>
      </c>
      <c r="B4" s="1"/>
      <c r="C4" s="5">
        <f t="shared" ref="C4:C51" si="0">SUM(K4:M4)</f>
        <v>156</v>
      </c>
      <c r="D4" s="13">
        <v>126</v>
      </c>
      <c r="F4" s="5">
        <f t="shared" ref="F4:F52" si="1">AC4</f>
        <v>99</v>
      </c>
      <c r="G4" s="5">
        <f t="shared" ref="G4:G51" si="2">CK4</f>
        <v>63</v>
      </c>
      <c r="H4" s="5">
        <f t="shared" ref="H4:H51" si="3">IF(BH4&lt;120, BH4, 120)</f>
        <v>88</v>
      </c>
      <c r="I4" s="5">
        <f t="shared" ref="I4:I50" si="4">SUM(C4:H4)</f>
        <v>532</v>
      </c>
      <c r="K4" s="5">
        <v>58</v>
      </c>
      <c r="L4" s="5">
        <v>58</v>
      </c>
      <c r="M4" s="5">
        <v>40</v>
      </c>
      <c r="O4" s="5">
        <v>12</v>
      </c>
      <c r="P4" s="5">
        <v>9</v>
      </c>
      <c r="Q4" s="5">
        <v>9</v>
      </c>
      <c r="R4" s="5">
        <v>15</v>
      </c>
      <c r="S4" s="5">
        <v>9</v>
      </c>
      <c r="T4" s="5">
        <v>12</v>
      </c>
      <c r="U4" s="5">
        <v>9</v>
      </c>
      <c r="V4" s="5">
        <v>12</v>
      </c>
      <c r="W4" s="5">
        <v>12</v>
      </c>
      <c r="AC4" s="5">
        <f t="shared" ref="AC4:AC51" si="5">SUM(O4:AB4)</f>
        <v>99</v>
      </c>
      <c r="AE4" s="5">
        <v>3</v>
      </c>
      <c r="AF4" s="5">
        <v>5</v>
      </c>
      <c r="AG4" s="5">
        <v>5</v>
      </c>
      <c r="AH4" s="5">
        <v>5</v>
      </c>
      <c r="AI4" s="5">
        <v>5</v>
      </c>
      <c r="AJ4" s="5">
        <v>5</v>
      </c>
      <c r="AK4" s="12">
        <v>5</v>
      </c>
      <c r="AL4" s="5">
        <v>5</v>
      </c>
      <c r="AM4" s="5">
        <v>5</v>
      </c>
      <c r="AN4" s="5">
        <v>5</v>
      </c>
      <c r="AO4" s="5">
        <v>5</v>
      </c>
      <c r="AP4" s="5">
        <v>5</v>
      </c>
      <c r="AQ4" s="10">
        <v>5</v>
      </c>
      <c r="AR4" s="17" t="s">
        <v>92</v>
      </c>
      <c r="AS4" s="5">
        <v>5</v>
      </c>
      <c r="AT4" s="5">
        <v>5</v>
      </c>
      <c r="AU4" s="17" t="s">
        <v>92</v>
      </c>
      <c r="AV4" s="5">
        <v>5</v>
      </c>
      <c r="AW4" s="5">
        <v>5</v>
      </c>
      <c r="AX4" s="5">
        <v>5</v>
      </c>
      <c r="BH4" s="5">
        <f t="shared" ref="BH4:BH51" si="6">SUM(AE4:BG4)</f>
        <v>88</v>
      </c>
      <c r="BJ4" s="5">
        <v>3</v>
      </c>
      <c r="BK4" s="5">
        <v>3</v>
      </c>
      <c r="BL4" s="5">
        <v>3</v>
      </c>
      <c r="BM4" s="5">
        <v>0</v>
      </c>
      <c r="BN4" s="5">
        <v>4</v>
      </c>
      <c r="BO4" s="5">
        <v>4</v>
      </c>
      <c r="BP4" s="5">
        <v>4</v>
      </c>
      <c r="BQ4" s="5">
        <v>4</v>
      </c>
      <c r="BR4" s="5">
        <v>4</v>
      </c>
      <c r="BS4" s="5">
        <v>4</v>
      </c>
      <c r="BT4" s="5">
        <v>3</v>
      </c>
      <c r="BU4" s="5">
        <v>4</v>
      </c>
      <c r="BV4" s="5">
        <v>4</v>
      </c>
      <c r="BW4" s="5">
        <v>4</v>
      </c>
      <c r="BX4" s="5">
        <v>3</v>
      </c>
      <c r="BY4" s="5">
        <v>4</v>
      </c>
      <c r="BZ4" s="5">
        <v>4</v>
      </c>
      <c r="CA4" s="5">
        <v>4</v>
      </c>
      <c r="CK4" s="5">
        <f t="shared" ref="CK4:CK51" si="7">SUM(BJ4:CJ4)</f>
        <v>63</v>
      </c>
    </row>
    <row r="5" spans="1:89" s="5" customFormat="1" x14ac:dyDescent="0.45">
      <c r="A5" s="1">
        <v>1530</v>
      </c>
      <c r="B5" s="1"/>
      <c r="C5" s="5">
        <f t="shared" si="0"/>
        <v>146</v>
      </c>
      <c r="D5" s="13">
        <v>105.5</v>
      </c>
      <c r="F5" s="5">
        <f t="shared" si="1"/>
        <v>81</v>
      </c>
      <c r="G5" s="5">
        <f t="shared" si="2"/>
        <v>54</v>
      </c>
      <c r="H5" s="5">
        <f t="shared" si="3"/>
        <v>75</v>
      </c>
      <c r="I5" s="5">
        <f t="shared" si="4"/>
        <v>461.5</v>
      </c>
      <c r="K5" s="5">
        <v>54</v>
      </c>
      <c r="L5" s="5">
        <v>55</v>
      </c>
      <c r="M5" s="5">
        <v>37</v>
      </c>
      <c r="O5" s="5">
        <v>9</v>
      </c>
      <c r="P5" s="5">
        <v>12</v>
      </c>
      <c r="Q5" s="5">
        <v>15</v>
      </c>
      <c r="R5" s="5">
        <v>3</v>
      </c>
      <c r="S5" s="5">
        <v>3</v>
      </c>
      <c r="T5" s="5">
        <v>15</v>
      </c>
      <c r="U5" s="5">
        <v>12</v>
      </c>
      <c r="V5" s="5">
        <v>3</v>
      </c>
      <c r="W5" s="5">
        <v>9</v>
      </c>
      <c r="AC5" s="5">
        <f t="shared" si="5"/>
        <v>81</v>
      </c>
      <c r="AE5" s="5">
        <v>3</v>
      </c>
      <c r="AF5" s="5">
        <v>5</v>
      </c>
      <c r="AG5" s="5">
        <v>5</v>
      </c>
      <c r="AH5" s="5">
        <v>5</v>
      </c>
      <c r="AI5" s="5">
        <v>5</v>
      </c>
      <c r="AJ5" s="5">
        <v>5</v>
      </c>
      <c r="AK5" s="12">
        <v>5</v>
      </c>
      <c r="AL5" s="5">
        <v>5</v>
      </c>
      <c r="AM5" s="5">
        <v>5</v>
      </c>
      <c r="AN5" s="5">
        <v>5</v>
      </c>
      <c r="AO5" s="5">
        <v>5</v>
      </c>
      <c r="AP5" s="5">
        <v>4</v>
      </c>
      <c r="AQ5" s="10">
        <v>5</v>
      </c>
      <c r="AR5" s="17" t="s">
        <v>92</v>
      </c>
      <c r="AS5" s="5">
        <v>5</v>
      </c>
      <c r="AT5" s="5">
        <v>5</v>
      </c>
      <c r="AU5" s="17" t="s">
        <v>92</v>
      </c>
      <c r="AV5" s="5">
        <v>0</v>
      </c>
      <c r="AW5" s="5">
        <v>0</v>
      </c>
      <c r="AX5" s="5">
        <v>3</v>
      </c>
      <c r="BH5" s="5">
        <f t="shared" si="6"/>
        <v>75</v>
      </c>
      <c r="BJ5" s="5">
        <v>0</v>
      </c>
      <c r="BK5" s="5">
        <v>4</v>
      </c>
      <c r="BL5" s="5">
        <v>2</v>
      </c>
      <c r="BM5" s="5">
        <v>4</v>
      </c>
      <c r="BN5" s="5">
        <v>4</v>
      </c>
      <c r="BO5" s="5">
        <v>4</v>
      </c>
      <c r="BP5" s="5">
        <v>4</v>
      </c>
      <c r="BQ5" s="5">
        <v>0</v>
      </c>
      <c r="BR5" s="5">
        <v>4</v>
      </c>
      <c r="BS5" s="5">
        <v>4</v>
      </c>
      <c r="BT5" s="5">
        <v>4</v>
      </c>
      <c r="BU5" s="5">
        <v>4</v>
      </c>
      <c r="BV5" s="5">
        <v>4</v>
      </c>
      <c r="BW5" s="5">
        <v>4</v>
      </c>
      <c r="BX5" s="5">
        <v>0</v>
      </c>
      <c r="BY5" s="5">
        <v>0</v>
      </c>
      <c r="BZ5" s="5">
        <v>4</v>
      </c>
      <c r="CA5" s="5">
        <v>4</v>
      </c>
      <c r="CK5" s="5">
        <f t="shared" si="7"/>
        <v>54</v>
      </c>
    </row>
    <row r="6" spans="1:89" s="5" customFormat="1" x14ac:dyDescent="0.45">
      <c r="A6" s="1">
        <v>1716</v>
      </c>
      <c r="B6" s="1"/>
      <c r="C6" s="5">
        <f t="shared" si="0"/>
        <v>151</v>
      </c>
      <c r="D6" s="13">
        <v>118.5</v>
      </c>
      <c r="F6" s="5">
        <f t="shared" si="1"/>
        <v>117</v>
      </c>
      <c r="G6" s="5">
        <f t="shared" si="2"/>
        <v>64</v>
      </c>
      <c r="H6" s="5">
        <f t="shared" si="3"/>
        <v>85</v>
      </c>
      <c r="I6" s="5">
        <f t="shared" si="4"/>
        <v>535.5</v>
      </c>
      <c r="K6" s="5">
        <v>55</v>
      </c>
      <c r="L6" s="5">
        <v>56</v>
      </c>
      <c r="M6" s="5">
        <v>40</v>
      </c>
      <c r="O6" s="5">
        <v>12</v>
      </c>
      <c r="P6" s="5">
        <v>15</v>
      </c>
      <c r="Q6" s="5">
        <v>15</v>
      </c>
      <c r="R6" s="5">
        <v>15</v>
      </c>
      <c r="S6" s="5">
        <v>12</v>
      </c>
      <c r="T6" s="5">
        <v>15</v>
      </c>
      <c r="U6" s="5">
        <v>9</v>
      </c>
      <c r="V6" s="5">
        <v>12</v>
      </c>
      <c r="W6" s="5">
        <v>12</v>
      </c>
      <c r="AC6" s="5">
        <f t="shared" si="5"/>
        <v>117</v>
      </c>
      <c r="AE6" s="5">
        <v>5</v>
      </c>
      <c r="AF6" s="5">
        <v>5</v>
      </c>
      <c r="AG6" s="5">
        <v>5</v>
      </c>
      <c r="AH6" s="5">
        <v>5</v>
      </c>
      <c r="AI6" s="5">
        <v>5</v>
      </c>
      <c r="AJ6" s="5">
        <v>5</v>
      </c>
      <c r="AK6" s="12">
        <v>5</v>
      </c>
      <c r="AL6" s="5">
        <v>5</v>
      </c>
      <c r="AM6" s="5">
        <v>5</v>
      </c>
      <c r="AN6" s="5">
        <v>5</v>
      </c>
      <c r="AO6" s="5">
        <v>5</v>
      </c>
      <c r="AP6" s="5">
        <v>5</v>
      </c>
      <c r="AQ6" s="10">
        <v>5</v>
      </c>
      <c r="AR6" s="17" t="s">
        <v>92</v>
      </c>
      <c r="AS6" s="5">
        <v>5</v>
      </c>
      <c r="AT6" s="5">
        <v>5</v>
      </c>
      <c r="AU6" s="17" t="s">
        <v>92</v>
      </c>
      <c r="AV6" s="5">
        <v>0</v>
      </c>
      <c r="AW6" s="5">
        <v>5</v>
      </c>
      <c r="AX6" s="5">
        <v>5</v>
      </c>
      <c r="BH6" s="5">
        <f t="shared" si="6"/>
        <v>85</v>
      </c>
      <c r="BJ6" s="5">
        <v>2</v>
      </c>
      <c r="BK6" s="5">
        <v>3</v>
      </c>
      <c r="BL6" s="5">
        <v>4</v>
      </c>
      <c r="BM6" s="5">
        <v>4</v>
      </c>
      <c r="BN6" s="5">
        <v>4</v>
      </c>
      <c r="BO6" s="5">
        <v>4</v>
      </c>
      <c r="BP6" s="5">
        <v>4</v>
      </c>
      <c r="BQ6" s="5">
        <v>4</v>
      </c>
      <c r="BR6" s="5">
        <v>4</v>
      </c>
      <c r="BS6" s="5">
        <v>4</v>
      </c>
      <c r="BT6" s="5">
        <v>3</v>
      </c>
      <c r="BU6" s="5">
        <v>4</v>
      </c>
      <c r="BV6" s="5">
        <v>4</v>
      </c>
      <c r="BW6" s="5">
        <v>4</v>
      </c>
      <c r="BX6" s="5">
        <v>0</v>
      </c>
      <c r="BY6" s="5">
        <v>4</v>
      </c>
      <c r="BZ6" s="5">
        <v>4</v>
      </c>
      <c r="CA6" s="5">
        <v>4</v>
      </c>
      <c r="CK6" s="5">
        <f t="shared" si="7"/>
        <v>64</v>
      </c>
    </row>
    <row r="7" spans="1:89" s="5" customFormat="1" x14ac:dyDescent="0.45">
      <c r="A7" s="1">
        <v>2363</v>
      </c>
      <c r="B7" s="1"/>
      <c r="C7" s="5">
        <f t="shared" si="0"/>
        <v>148</v>
      </c>
      <c r="D7" s="13">
        <v>71.5</v>
      </c>
      <c r="F7" s="5">
        <f t="shared" si="1"/>
        <v>75</v>
      </c>
      <c r="G7" s="5">
        <f t="shared" si="2"/>
        <v>50</v>
      </c>
      <c r="H7" s="5">
        <f t="shared" si="3"/>
        <v>63</v>
      </c>
      <c r="I7" s="5">
        <f t="shared" si="4"/>
        <v>407.5</v>
      </c>
      <c r="K7" s="5">
        <v>58</v>
      </c>
      <c r="L7" s="5">
        <v>54</v>
      </c>
      <c r="M7" s="5">
        <v>36</v>
      </c>
      <c r="O7" s="5">
        <v>0</v>
      </c>
      <c r="P7" s="5">
        <v>9</v>
      </c>
      <c r="Q7" s="5">
        <v>15</v>
      </c>
      <c r="R7" s="5">
        <v>12</v>
      </c>
      <c r="S7" s="5">
        <v>9</v>
      </c>
      <c r="T7" s="5">
        <v>9</v>
      </c>
      <c r="U7" s="5">
        <v>9</v>
      </c>
      <c r="V7" s="5">
        <v>9</v>
      </c>
      <c r="W7" s="5">
        <v>3</v>
      </c>
      <c r="AC7" s="5">
        <f t="shared" si="5"/>
        <v>75</v>
      </c>
      <c r="AE7" s="5">
        <v>3</v>
      </c>
      <c r="AF7" s="5">
        <v>3</v>
      </c>
      <c r="AG7" s="5">
        <v>5</v>
      </c>
      <c r="AH7" s="5">
        <v>5</v>
      </c>
      <c r="AI7" s="5">
        <v>3</v>
      </c>
      <c r="AJ7" s="5">
        <v>5</v>
      </c>
      <c r="AK7" s="12">
        <v>5</v>
      </c>
      <c r="AL7" s="5">
        <v>4</v>
      </c>
      <c r="AM7" s="5">
        <v>0</v>
      </c>
      <c r="AN7" s="5">
        <v>4</v>
      </c>
      <c r="AO7" s="5">
        <v>3</v>
      </c>
      <c r="AP7" s="5">
        <v>0</v>
      </c>
      <c r="AQ7" s="10">
        <v>5</v>
      </c>
      <c r="AR7" s="17" t="s">
        <v>92</v>
      </c>
      <c r="AS7" s="5">
        <v>0</v>
      </c>
      <c r="AT7" s="5">
        <v>5</v>
      </c>
      <c r="AU7" s="17" t="s">
        <v>92</v>
      </c>
      <c r="AV7" s="5">
        <v>4</v>
      </c>
      <c r="AW7" s="5">
        <v>5</v>
      </c>
      <c r="AX7" s="5">
        <v>4</v>
      </c>
      <c r="BH7" s="5">
        <f t="shared" si="6"/>
        <v>63</v>
      </c>
      <c r="BJ7" s="5">
        <v>4</v>
      </c>
      <c r="BK7" s="5">
        <v>3</v>
      </c>
      <c r="BL7" s="5">
        <v>3</v>
      </c>
      <c r="BM7" s="5">
        <v>4</v>
      </c>
      <c r="BN7" s="5">
        <v>4</v>
      </c>
      <c r="BO7" s="5">
        <v>0</v>
      </c>
      <c r="BP7" s="5">
        <v>3</v>
      </c>
      <c r="BQ7" s="5">
        <v>0</v>
      </c>
      <c r="BR7" s="5">
        <v>4</v>
      </c>
      <c r="BS7" s="5">
        <v>2</v>
      </c>
      <c r="BT7" s="5">
        <v>3</v>
      </c>
      <c r="BU7" s="5">
        <v>4</v>
      </c>
      <c r="BV7" s="5">
        <v>4</v>
      </c>
      <c r="BW7" s="5">
        <v>4</v>
      </c>
      <c r="BX7" s="5">
        <v>0</v>
      </c>
      <c r="BY7" s="5">
        <v>4</v>
      </c>
      <c r="BZ7" s="5">
        <v>0</v>
      </c>
      <c r="CA7" s="5">
        <v>4</v>
      </c>
      <c r="CK7" s="5">
        <f t="shared" si="7"/>
        <v>50</v>
      </c>
    </row>
    <row r="8" spans="1:89" s="5" customFormat="1" x14ac:dyDescent="0.45">
      <c r="A8" s="1">
        <v>2402</v>
      </c>
      <c r="B8" s="1"/>
      <c r="C8" s="5">
        <f t="shared" si="0"/>
        <v>132</v>
      </c>
      <c r="D8" s="13">
        <v>113</v>
      </c>
      <c r="F8" s="5">
        <f t="shared" si="1"/>
        <v>84</v>
      </c>
      <c r="G8" s="5">
        <f t="shared" si="2"/>
        <v>67</v>
      </c>
      <c r="H8" s="5">
        <f t="shared" si="3"/>
        <v>82</v>
      </c>
      <c r="I8" s="5">
        <f t="shared" si="4"/>
        <v>478</v>
      </c>
      <c r="K8" s="5">
        <v>51</v>
      </c>
      <c r="L8" s="5">
        <v>49</v>
      </c>
      <c r="M8" s="5">
        <v>32</v>
      </c>
      <c r="O8" s="5">
        <v>9</v>
      </c>
      <c r="P8" s="5">
        <v>6</v>
      </c>
      <c r="Q8" s="5">
        <v>9</v>
      </c>
      <c r="R8" s="5">
        <v>15</v>
      </c>
      <c r="S8" s="5">
        <v>6</v>
      </c>
      <c r="T8" s="5">
        <v>15</v>
      </c>
      <c r="U8" s="5">
        <v>3</v>
      </c>
      <c r="V8" s="5">
        <v>12</v>
      </c>
      <c r="W8" s="5">
        <v>9</v>
      </c>
      <c r="AC8" s="5">
        <f t="shared" si="5"/>
        <v>84</v>
      </c>
      <c r="AE8" s="5">
        <v>5</v>
      </c>
      <c r="AF8" s="5">
        <v>5</v>
      </c>
      <c r="AG8" s="5">
        <v>5</v>
      </c>
      <c r="AH8" s="5">
        <v>3</v>
      </c>
      <c r="AI8" s="5">
        <v>5</v>
      </c>
      <c r="AJ8" s="5">
        <v>5</v>
      </c>
      <c r="AK8" s="12">
        <v>5</v>
      </c>
      <c r="AL8" s="5">
        <v>4</v>
      </c>
      <c r="AM8" s="5">
        <v>3</v>
      </c>
      <c r="AN8" s="5">
        <v>5</v>
      </c>
      <c r="AO8" s="5">
        <v>4</v>
      </c>
      <c r="AP8" s="5">
        <v>5</v>
      </c>
      <c r="AQ8" s="16">
        <v>5</v>
      </c>
      <c r="AR8" s="17" t="s">
        <v>92</v>
      </c>
      <c r="AS8" s="5">
        <v>5</v>
      </c>
      <c r="AT8" s="5">
        <v>5</v>
      </c>
      <c r="AU8" s="17" t="s">
        <v>92</v>
      </c>
      <c r="AV8" s="5">
        <v>3</v>
      </c>
      <c r="AW8" s="5">
        <v>5</v>
      </c>
      <c r="AX8" s="5">
        <v>5</v>
      </c>
      <c r="BH8" s="5">
        <f t="shared" si="6"/>
        <v>82</v>
      </c>
      <c r="BJ8" s="5">
        <v>4</v>
      </c>
      <c r="BK8" s="5">
        <v>4</v>
      </c>
      <c r="BL8" s="5">
        <v>3</v>
      </c>
      <c r="BM8" s="5">
        <v>4</v>
      </c>
      <c r="BN8" s="5">
        <v>2</v>
      </c>
      <c r="BO8" s="5">
        <v>4</v>
      </c>
      <c r="BP8" s="5">
        <v>4</v>
      </c>
      <c r="BQ8" s="5">
        <v>3</v>
      </c>
      <c r="BR8" s="5">
        <v>4</v>
      </c>
      <c r="BS8" s="5">
        <v>4</v>
      </c>
      <c r="BT8" s="5">
        <v>4</v>
      </c>
      <c r="BU8" s="5">
        <v>4</v>
      </c>
      <c r="BV8" s="5">
        <v>4</v>
      </c>
      <c r="BW8" s="5">
        <v>4</v>
      </c>
      <c r="BX8" s="5">
        <v>3</v>
      </c>
      <c r="BY8" s="5">
        <v>4</v>
      </c>
      <c r="BZ8" s="5">
        <v>4</v>
      </c>
      <c r="CA8" s="5">
        <v>4</v>
      </c>
      <c r="CK8" s="5">
        <f t="shared" si="7"/>
        <v>67</v>
      </c>
    </row>
    <row r="9" spans="1:89" s="5" customFormat="1" x14ac:dyDescent="0.45">
      <c r="A9" s="1">
        <v>2625</v>
      </c>
      <c r="B9" s="1"/>
      <c r="C9" s="5">
        <f t="shared" si="0"/>
        <v>155</v>
      </c>
      <c r="D9" s="13">
        <v>89.5</v>
      </c>
      <c r="F9" s="5">
        <f t="shared" si="1"/>
        <v>72</v>
      </c>
      <c r="G9" s="5">
        <f t="shared" si="2"/>
        <v>54</v>
      </c>
      <c r="H9" s="5">
        <f t="shared" si="3"/>
        <v>68</v>
      </c>
      <c r="I9" s="5">
        <f t="shared" si="4"/>
        <v>438.5</v>
      </c>
      <c r="K9" s="5">
        <v>57</v>
      </c>
      <c r="L9" s="5">
        <v>58</v>
      </c>
      <c r="M9" s="5">
        <v>40</v>
      </c>
      <c r="O9" s="5">
        <v>15</v>
      </c>
      <c r="P9" s="5">
        <v>9</v>
      </c>
      <c r="Q9" s="5">
        <v>15</v>
      </c>
      <c r="R9" s="5">
        <v>9</v>
      </c>
      <c r="S9" s="5">
        <v>0</v>
      </c>
      <c r="T9" s="5">
        <v>9</v>
      </c>
      <c r="U9" s="5">
        <v>3</v>
      </c>
      <c r="V9" s="5">
        <v>6</v>
      </c>
      <c r="W9" s="5">
        <v>6</v>
      </c>
      <c r="AC9" s="5">
        <f t="shared" si="5"/>
        <v>72</v>
      </c>
      <c r="AE9" s="5">
        <v>5</v>
      </c>
      <c r="AF9" s="5">
        <v>5</v>
      </c>
      <c r="AG9" s="5">
        <v>5</v>
      </c>
      <c r="AH9" s="5">
        <v>5</v>
      </c>
      <c r="AI9" s="5">
        <v>5</v>
      </c>
      <c r="AJ9" s="5">
        <v>5</v>
      </c>
      <c r="AK9" s="12">
        <v>5</v>
      </c>
      <c r="AL9" s="5">
        <v>0</v>
      </c>
      <c r="AM9" s="5">
        <v>0</v>
      </c>
      <c r="AN9" s="5">
        <v>5</v>
      </c>
      <c r="AO9" s="5">
        <v>4</v>
      </c>
      <c r="AP9" s="5">
        <v>5</v>
      </c>
      <c r="AQ9" s="10">
        <v>5</v>
      </c>
      <c r="AR9" s="17" t="s">
        <v>92</v>
      </c>
      <c r="AS9" s="5">
        <v>0</v>
      </c>
      <c r="AT9" s="5">
        <v>0</v>
      </c>
      <c r="AU9" s="17" t="s">
        <v>92</v>
      </c>
      <c r="AV9" s="5">
        <v>5</v>
      </c>
      <c r="AW9" s="5">
        <v>4</v>
      </c>
      <c r="AX9" s="5">
        <v>5</v>
      </c>
      <c r="BH9" s="5">
        <f t="shared" si="6"/>
        <v>68</v>
      </c>
      <c r="BJ9" s="5">
        <v>3</v>
      </c>
      <c r="BK9" s="5">
        <v>4</v>
      </c>
      <c r="BL9" s="5">
        <v>4</v>
      </c>
      <c r="BM9" s="5">
        <v>4</v>
      </c>
      <c r="BN9" s="5">
        <v>4</v>
      </c>
      <c r="BO9" s="5">
        <v>4</v>
      </c>
      <c r="BP9" s="5">
        <v>0</v>
      </c>
      <c r="BQ9" s="5">
        <v>0</v>
      </c>
      <c r="BR9" s="5">
        <v>0</v>
      </c>
      <c r="BS9" s="5">
        <v>4</v>
      </c>
      <c r="BT9" s="5">
        <v>3</v>
      </c>
      <c r="BU9" s="5">
        <v>4</v>
      </c>
      <c r="BV9" s="5">
        <v>4</v>
      </c>
      <c r="BW9" s="5">
        <v>0</v>
      </c>
      <c r="BX9" s="5">
        <v>4</v>
      </c>
      <c r="BY9" s="5">
        <v>4</v>
      </c>
      <c r="BZ9" s="5">
        <v>4</v>
      </c>
      <c r="CA9" s="5">
        <v>4</v>
      </c>
      <c r="CK9" s="5">
        <f t="shared" si="7"/>
        <v>54</v>
      </c>
    </row>
    <row r="10" spans="1:89" s="5" customFormat="1" x14ac:dyDescent="0.45">
      <c r="A10" s="1">
        <v>2798</v>
      </c>
      <c r="B10" s="1"/>
      <c r="C10" s="5">
        <f t="shared" si="0"/>
        <v>157</v>
      </c>
      <c r="D10" s="13">
        <v>128.5</v>
      </c>
      <c r="F10" s="5">
        <f t="shared" si="1"/>
        <v>105</v>
      </c>
      <c r="G10" s="5">
        <f t="shared" si="2"/>
        <v>68</v>
      </c>
      <c r="H10" s="5">
        <f t="shared" si="3"/>
        <v>75</v>
      </c>
      <c r="I10" s="5">
        <f t="shared" si="4"/>
        <v>533.5</v>
      </c>
      <c r="K10" s="5">
        <v>59</v>
      </c>
      <c r="L10" s="5">
        <v>58</v>
      </c>
      <c r="M10" s="5">
        <v>40</v>
      </c>
      <c r="O10" s="5">
        <v>6</v>
      </c>
      <c r="P10" s="5">
        <v>12</v>
      </c>
      <c r="Q10" s="5">
        <v>15</v>
      </c>
      <c r="R10" s="5">
        <v>15</v>
      </c>
      <c r="S10" s="5">
        <v>12</v>
      </c>
      <c r="T10" s="5">
        <v>15</v>
      </c>
      <c r="U10" s="5">
        <v>15</v>
      </c>
      <c r="V10" s="5">
        <v>15</v>
      </c>
      <c r="W10" s="5">
        <v>0</v>
      </c>
      <c r="AC10" s="5">
        <f t="shared" si="5"/>
        <v>105</v>
      </c>
      <c r="AE10" s="5">
        <v>5</v>
      </c>
      <c r="AF10" s="5">
        <v>3</v>
      </c>
      <c r="AG10" s="5">
        <v>5</v>
      </c>
      <c r="AH10" s="5">
        <v>5</v>
      </c>
      <c r="AI10" s="5">
        <v>5</v>
      </c>
      <c r="AJ10" s="5">
        <v>5</v>
      </c>
      <c r="AK10" s="12">
        <v>5</v>
      </c>
      <c r="AL10" s="5">
        <v>5</v>
      </c>
      <c r="AM10" s="5">
        <v>5</v>
      </c>
      <c r="AN10" s="5">
        <v>3</v>
      </c>
      <c r="AO10" s="5">
        <v>5</v>
      </c>
      <c r="AP10" s="5">
        <v>4</v>
      </c>
      <c r="AQ10" s="10">
        <v>5</v>
      </c>
      <c r="AR10" s="17" t="s">
        <v>92</v>
      </c>
      <c r="AS10" s="5">
        <v>5</v>
      </c>
      <c r="AT10" s="5">
        <v>5</v>
      </c>
      <c r="AU10" s="17" t="s">
        <v>92</v>
      </c>
      <c r="AV10" s="5">
        <v>0</v>
      </c>
      <c r="AW10" s="5">
        <v>0</v>
      </c>
      <c r="AX10" s="5">
        <v>5</v>
      </c>
      <c r="BH10" s="5">
        <f t="shared" si="6"/>
        <v>75</v>
      </c>
      <c r="BJ10" s="5">
        <v>3</v>
      </c>
      <c r="BK10" s="5">
        <v>3</v>
      </c>
      <c r="BL10" s="5">
        <v>4</v>
      </c>
      <c r="BM10" s="5">
        <v>4</v>
      </c>
      <c r="BN10" s="5">
        <v>4</v>
      </c>
      <c r="BO10" s="5">
        <v>4</v>
      </c>
      <c r="BP10" s="5">
        <v>4</v>
      </c>
      <c r="BQ10" s="5">
        <v>4</v>
      </c>
      <c r="BR10" s="5">
        <v>3</v>
      </c>
      <c r="BS10" s="5">
        <v>4</v>
      </c>
      <c r="BT10" s="5">
        <v>3</v>
      </c>
      <c r="BU10" s="5">
        <v>4</v>
      </c>
      <c r="BV10" s="5">
        <v>4</v>
      </c>
      <c r="BW10" s="5">
        <v>4</v>
      </c>
      <c r="BX10" s="5">
        <v>4</v>
      </c>
      <c r="BY10" s="5">
        <v>4</v>
      </c>
      <c r="BZ10" s="5">
        <v>4</v>
      </c>
      <c r="CA10" s="5">
        <v>4</v>
      </c>
      <c r="CK10" s="5">
        <f t="shared" si="7"/>
        <v>68</v>
      </c>
    </row>
    <row r="11" spans="1:89" s="5" customFormat="1" x14ac:dyDescent="0.45">
      <c r="A11" s="1">
        <v>2898</v>
      </c>
      <c r="B11" s="1"/>
      <c r="C11" s="5">
        <f t="shared" si="0"/>
        <v>143</v>
      </c>
      <c r="D11" s="13">
        <v>79</v>
      </c>
      <c r="F11" s="5">
        <f t="shared" si="1"/>
        <v>51</v>
      </c>
      <c r="G11" s="5">
        <f t="shared" si="2"/>
        <v>39</v>
      </c>
      <c r="H11" s="5">
        <f t="shared" si="3"/>
        <v>41</v>
      </c>
      <c r="I11" s="5">
        <f t="shared" si="4"/>
        <v>353</v>
      </c>
      <c r="K11" s="5">
        <v>53</v>
      </c>
      <c r="L11" s="5">
        <v>51</v>
      </c>
      <c r="M11" s="5">
        <v>39</v>
      </c>
      <c r="O11" s="5">
        <v>6</v>
      </c>
      <c r="P11" s="5">
        <v>0</v>
      </c>
      <c r="Q11" s="5">
        <v>12</v>
      </c>
      <c r="R11" s="5">
        <v>9</v>
      </c>
      <c r="S11" s="5">
        <v>0</v>
      </c>
      <c r="T11" s="5">
        <v>12</v>
      </c>
      <c r="U11" s="5">
        <v>12</v>
      </c>
      <c r="V11" s="5">
        <v>0</v>
      </c>
      <c r="W11" s="5">
        <v>0</v>
      </c>
      <c r="AC11" s="5">
        <f t="shared" si="5"/>
        <v>51</v>
      </c>
      <c r="AE11" s="5">
        <v>3</v>
      </c>
      <c r="AF11" s="5">
        <v>3</v>
      </c>
      <c r="AG11" s="5">
        <v>0</v>
      </c>
      <c r="AH11" s="5">
        <v>3</v>
      </c>
      <c r="AI11" s="5">
        <v>3</v>
      </c>
      <c r="AJ11" s="5">
        <v>5</v>
      </c>
      <c r="AK11" s="12">
        <v>5</v>
      </c>
      <c r="AL11" s="5">
        <v>5</v>
      </c>
      <c r="AM11" s="5">
        <v>0</v>
      </c>
      <c r="AN11" s="5">
        <v>5</v>
      </c>
      <c r="AO11" s="5">
        <v>3</v>
      </c>
      <c r="AP11" s="5">
        <v>3</v>
      </c>
      <c r="AQ11" s="10">
        <v>3</v>
      </c>
      <c r="AR11" s="17" t="s">
        <v>92</v>
      </c>
      <c r="AS11" s="5">
        <v>0</v>
      </c>
      <c r="AT11" s="5">
        <v>0</v>
      </c>
      <c r="AU11" s="17" t="s">
        <v>92</v>
      </c>
      <c r="AV11" s="5">
        <v>0</v>
      </c>
      <c r="AW11" s="5">
        <v>0</v>
      </c>
      <c r="AX11" s="5">
        <v>0</v>
      </c>
      <c r="BH11" s="5">
        <f t="shared" si="6"/>
        <v>41</v>
      </c>
      <c r="BJ11" s="5">
        <v>3</v>
      </c>
      <c r="BK11" s="5">
        <v>4</v>
      </c>
      <c r="BL11" s="5">
        <v>0</v>
      </c>
      <c r="BM11" s="5">
        <v>4</v>
      </c>
      <c r="BN11" s="5">
        <v>4</v>
      </c>
      <c r="BO11" s="5">
        <v>4</v>
      </c>
      <c r="BP11" s="5">
        <v>2</v>
      </c>
      <c r="BQ11" s="5">
        <v>3</v>
      </c>
      <c r="BR11" s="5">
        <v>0</v>
      </c>
      <c r="BS11" s="5">
        <v>4</v>
      </c>
      <c r="BT11" s="5">
        <v>3</v>
      </c>
      <c r="BU11" s="5">
        <v>4</v>
      </c>
      <c r="BV11" s="5">
        <v>4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K11" s="5">
        <f t="shared" si="7"/>
        <v>39</v>
      </c>
    </row>
    <row r="12" spans="1:89" s="5" customFormat="1" x14ac:dyDescent="0.45">
      <c r="A12" s="1">
        <v>2906</v>
      </c>
      <c r="B12" s="1"/>
      <c r="C12" s="5">
        <f>SUM(K12:M12)</f>
        <v>154</v>
      </c>
      <c r="D12" s="13">
        <v>117.5</v>
      </c>
      <c r="F12" s="5">
        <f t="shared" si="1"/>
        <v>84</v>
      </c>
      <c r="G12" s="5">
        <f t="shared" si="2"/>
        <v>45</v>
      </c>
      <c r="H12" s="5">
        <f t="shared" si="3"/>
        <v>58</v>
      </c>
      <c r="I12" s="5">
        <f t="shared" si="4"/>
        <v>458.5</v>
      </c>
      <c r="K12" s="5">
        <v>57</v>
      </c>
      <c r="L12" s="5">
        <v>59</v>
      </c>
      <c r="M12" s="5">
        <v>38</v>
      </c>
      <c r="O12" s="5">
        <v>6</v>
      </c>
      <c r="P12" s="5">
        <v>0</v>
      </c>
      <c r="Q12" s="5">
        <v>15</v>
      </c>
      <c r="R12" s="5">
        <v>15</v>
      </c>
      <c r="S12" s="5">
        <v>6</v>
      </c>
      <c r="T12" s="5">
        <v>12</v>
      </c>
      <c r="U12" s="5">
        <v>9</v>
      </c>
      <c r="V12" s="5">
        <v>9</v>
      </c>
      <c r="W12" s="5">
        <v>12</v>
      </c>
      <c r="AC12" s="5">
        <f t="shared" si="5"/>
        <v>84</v>
      </c>
      <c r="AE12" s="5">
        <v>0</v>
      </c>
      <c r="AF12" s="5">
        <v>4</v>
      </c>
      <c r="AG12" s="5">
        <v>0</v>
      </c>
      <c r="AH12" s="5">
        <v>5</v>
      </c>
      <c r="AI12" s="5">
        <v>5</v>
      </c>
      <c r="AJ12" s="5">
        <v>0</v>
      </c>
      <c r="AK12" s="12">
        <v>5</v>
      </c>
      <c r="AL12" s="5">
        <v>4</v>
      </c>
      <c r="AM12" s="5">
        <v>5</v>
      </c>
      <c r="AN12" s="5">
        <v>0</v>
      </c>
      <c r="AO12" s="5">
        <v>5</v>
      </c>
      <c r="AP12" s="5">
        <v>5</v>
      </c>
      <c r="AQ12" s="10">
        <v>5</v>
      </c>
      <c r="AR12" s="17" t="s">
        <v>92</v>
      </c>
      <c r="AS12" s="5">
        <v>5</v>
      </c>
      <c r="AT12" s="5">
        <v>0</v>
      </c>
      <c r="AU12" s="17" t="s">
        <v>92</v>
      </c>
      <c r="AV12" s="5">
        <v>5</v>
      </c>
      <c r="AW12" s="5">
        <v>5</v>
      </c>
      <c r="AX12" s="5">
        <v>0</v>
      </c>
      <c r="BH12" s="5">
        <f t="shared" si="6"/>
        <v>58</v>
      </c>
      <c r="BJ12" s="5">
        <v>0</v>
      </c>
      <c r="BK12" s="5">
        <v>4</v>
      </c>
      <c r="BL12" s="5">
        <v>0</v>
      </c>
      <c r="BM12" s="5">
        <v>4</v>
      </c>
      <c r="BN12" s="5">
        <v>3</v>
      </c>
      <c r="BO12" s="5">
        <v>0</v>
      </c>
      <c r="BP12" s="5">
        <v>4</v>
      </c>
      <c r="BQ12" s="5">
        <v>0</v>
      </c>
      <c r="BR12" s="5">
        <v>4</v>
      </c>
      <c r="BS12" s="5">
        <v>3</v>
      </c>
      <c r="BT12" s="5">
        <v>3</v>
      </c>
      <c r="BU12" s="5">
        <v>0</v>
      </c>
      <c r="BV12" s="5">
        <v>4</v>
      </c>
      <c r="BW12" s="5">
        <v>4</v>
      </c>
      <c r="BX12" s="5">
        <v>0</v>
      </c>
      <c r="BY12" s="5">
        <v>4</v>
      </c>
      <c r="BZ12" s="5">
        <v>4</v>
      </c>
      <c r="CA12" s="5">
        <v>4</v>
      </c>
      <c r="CK12" s="5">
        <f t="shared" si="7"/>
        <v>45</v>
      </c>
    </row>
    <row r="13" spans="1:89" s="5" customFormat="1" x14ac:dyDescent="0.45">
      <c r="A13" s="1">
        <v>3460</v>
      </c>
      <c r="B13" s="1"/>
      <c r="C13" s="5">
        <f t="shared" si="0"/>
        <v>156</v>
      </c>
      <c r="D13" s="13">
        <v>113.5</v>
      </c>
      <c r="F13" s="5">
        <f t="shared" si="1"/>
        <v>99</v>
      </c>
      <c r="G13" s="5">
        <f t="shared" si="2"/>
        <v>58</v>
      </c>
      <c r="H13" s="5">
        <f t="shared" si="3"/>
        <v>78</v>
      </c>
      <c r="I13" s="5">
        <f t="shared" si="4"/>
        <v>504.5</v>
      </c>
      <c r="K13" s="5">
        <v>59</v>
      </c>
      <c r="L13" s="5">
        <v>57</v>
      </c>
      <c r="M13" s="5">
        <v>40</v>
      </c>
      <c r="O13" s="5">
        <v>12</v>
      </c>
      <c r="P13" s="5">
        <v>9</v>
      </c>
      <c r="Q13" s="5">
        <v>12</v>
      </c>
      <c r="R13" s="5">
        <v>15</v>
      </c>
      <c r="S13" s="5">
        <v>12</v>
      </c>
      <c r="T13" s="5">
        <v>15</v>
      </c>
      <c r="U13" s="5">
        <v>9</v>
      </c>
      <c r="V13" s="5">
        <v>9</v>
      </c>
      <c r="W13" s="5">
        <v>6</v>
      </c>
      <c r="AC13" s="5">
        <f t="shared" si="5"/>
        <v>99</v>
      </c>
      <c r="AE13" s="5">
        <v>5</v>
      </c>
      <c r="AF13" s="5">
        <v>3</v>
      </c>
      <c r="AG13" s="5">
        <v>0</v>
      </c>
      <c r="AH13" s="5">
        <v>5</v>
      </c>
      <c r="AI13" s="5">
        <v>5</v>
      </c>
      <c r="AJ13" s="5">
        <v>5</v>
      </c>
      <c r="AK13" s="12">
        <v>5</v>
      </c>
      <c r="AL13" s="5">
        <v>5</v>
      </c>
      <c r="AM13" s="5">
        <v>5</v>
      </c>
      <c r="AN13" s="5">
        <v>5</v>
      </c>
      <c r="AO13" s="5">
        <v>5</v>
      </c>
      <c r="AP13" s="5">
        <v>5</v>
      </c>
      <c r="AQ13" s="10">
        <v>5</v>
      </c>
      <c r="AR13" s="17" t="s">
        <v>92</v>
      </c>
      <c r="AS13" s="5">
        <v>0</v>
      </c>
      <c r="AT13" s="5">
        <v>5</v>
      </c>
      <c r="AU13" s="17" t="s">
        <v>92</v>
      </c>
      <c r="AV13" s="5">
        <v>5</v>
      </c>
      <c r="AW13" s="5">
        <v>5</v>
      </c>
      <c r="AX13" s="5">
        <v>5</v>
      </c>
      <c r="BH13" s="5">
        <f t="shared" si="6"/>
        <v>78</v>
      </c>
      <c r="BJ13" s="5">
        <v>4</v>
      </c>
      <c r="BK13" s="5">
        <v>3</v>
      </c>
      <c r="BL13" s="5">
        <v>3</v>
      </c>
      <c r="BM13" s="5">
        <v>4</v>
      </c>
      <c r="BN13" s="5">
        <v>2</v>
      </c>
      <c r="BO13" s="5">
        <v>4</v>
      </c>
      <c r="BP13" s="5">
        <v>2</v>
      </c>
      <c r="BQ13" s="5">
        <v>4</v>
      </c>
      <c r="BR13" s="5">
        <v>4</v>
      </c>
      <c r="BS13" s="5">
        <v>3</v>
      </c>
      <c r="BT13" s="5">
        <v>2</v>
      </c>
      <c r="BU13" s="5">
        <v>4</v>
      </c>
      <c r="BV13" s="5">
        <v>4</v>
      </c>
      <c r="BW13" s="5">
        <v>0</v>
      </c>
      <c r="BX13" s="5">
        <v>3</v>
      </c>
      <c r="BY13" s="5">
        <v>4</v>
      </c>
      <c r="BZ13" s="5">
        <v>4</v>
      </c>
      <c r="CA13" s="5">
        <v>4</v>
      </c>
      <c r="CK13" s="5">
        <f t="shared" si="7"/>
        <v>58</v>
      </c>
    </row>
    <row r="14" spans="1:89" s="5" customFormat="1" x14ac:dyDescent="0.45">
      <c r="A14" s="1">
        <v>3719</v>
      </c>
      <c r="B14" s="1"/>
      <c r="C14" s="5">
        <f t="shared" si="0"/>
        <v>154</v>
      </c>
      <c r="D14" s="13">
        <v>116</v>
      </c>
      <c r="F14" s="5">
        <f t="shared" si="1"/>
        <v>108</v>
      </c>
      <c r="G14" s="5">
        <f t="shared" si="2"/>
        <v>62</v>
      </c>
      <c r="H14" s="5">
        <f t="shared" si="3"/>
        <v>90</v>
      </c>
      <c r="I14" s="5">
        <f t="shared" si="4"/>
        <v>530</v>
      </c>
      <c r="K14" s="5">
        <v>58</v>
      </c>
      <c r="L14" s="5">
        <v>56</v>
      </c>
      <c r="M14" s="5">
        <v>40</v>
      </c>
      <c r="O14" s="5">
        <v>9</v>
      </c>
      <c r="P14" s="5">
        <v>15</v>
      </c>
      <c r="Q14" s="5">
        <v>15</v>
      </c>
      <c r="R14" s="5">
        <v>15</v>
      </c>
      <c r="S14" s="5">
        <v>12</v>
      </c>
      <c r="T14" s="5">
        <v>12</v>
      </c>
      <c r="U14" s="5">
        <v>3</v>
      </c>
      <c r="V14" s="5">
        <v>12</v>
      </c>
      <c r="W14" s="5">
        <v>15</v>
      </c>
      <c r="AC14" s="5">
        <f t="shared" si="5"/>
        <v>108</v>
      </c>
      <c r="AE14" s="5">
        <v>5</v>
      </c>
      <c r="AF14" s="5">
        <v>5</v>
      </c>
      <c r="AG14" s="5">
        <v>5</v>
      </c>
      <c r="AH14" s="5">
        <v>5</v>
      </c>
      <c r="AI14" s="5">
        <v>5</v>
      </c>
      <c r="AJ14" s="5">
        <v>5</v>
      </c>
      <c r="AK14" s="12">
        <v>5</v>
      </c>
      <c r="AL14" s="5">
        <v>5</v>
      </c>
      <c r="AM14" s="5">
        <v>5</v>
      </c>
      <c r="AN14" s="5">
        <v>5</v>
      </c>
      <c r="AO14" s="5">
        <v>5</v>
      </c>
      <c r="AP14" s="5">
        <v>5</v>
      </c>
      <c r="AQ14" s="10">
        <v>5</v>
      </c>
      <c r="AR14" s="17" t="s">
        <v>92</v>
      </c>
      <c r="AS14" s="5">
        <v>5</v>
      </c>
      <c r="AT14" s="5">
        <v>5</v>
      </c>
      <c r="AU14" s="17" t="s">
        <v>92</v>
      </c>
      <c r="AV14" s="5">
        <v>5</v>
      </c>
      <c r="AW14" s="5">
        <v>5</v>
      </c>
      <c r="AX14" s="5">
        <v>5</v>
      </c>
      <c r="BH14" s="5">
        <f t="shared" si="6"/>
        <v>90</v>
      </c>
      <c r="BJ14" s="5">
        <v>4</v>
      </c>
      <c r="BK14" s="5">
        <v>4</v>
      </c>
      <c r="BL14" s="5">
        <v>4</v>
      </c>
      <c r="BM14" s="5">
        <v>4</v>
      </c>
      <c r="BN14" s="5">
        <v>4</v>
      </c>
      <c r="BO14" s="5">
        <v>4</v>
      </c>
      <c r="BP14" s="5">
        <v>3</v>
      </c>
      <c r="BQ14" s="5">
        <v>4</v>
      </c>
      <c r="BR14" s="5">
        <v>0</v>
      </c>
      <c r="BS14" s="5">
        <v>3</v>
      </c>
      <c r="BT14" s="5">
        <v>4</v>
      </c>
      <c r="BU14" s="5">
        <v>4</v>
      </c>
      <c r="BV14" s="5">
        <v>4</v>
      </c>
      <c r="BW14" s="5">
        <v>0</v>
      </c>
      <c r="BX14" s="5">
        <v>4</v>
      </c>
      <c r="BY14" s="5">
        <v>4</v>
      </c>
      <c r="BZ14" s="5">
        <v>4</v>
      </c>
      <c r="CA14" s="5">
        <v>4</v>
      </c>
      <c r="CK14" s="5">
        <f t="shared" si="7"/>
        <v>62</v>
      </c>
    </row>
    <row r="15" spans="1:89" s="5" customFormat="1" x14ac:dyDescent="0.45">
      <c r="A15" s="1">
        <v>3787</v>
      </c>
      <c r="B15" s="1"/>
      <c r="C15" s="5">
        <f t="shared" si="0"/>
        <v>145</v>
      </c>
      <c r="D15" s="13">
        <v>117</v>
      </c>
      <c r="F15" s="5">
        <f t="shared" si="1"/>
        <v>93</v>
      </c>
      <c r="G15" s="5">
        <f t="shared" si="2"/>
        <v>62</v>
      </c>
      <c r="H15" s="5">
        <f t="shared" si="3"/>
        <v>79</v>
      </c>
      <c r="I15" s="5">
        <f t="shared" si="4"/>
        <v>496</v>
      </c>
      <c r="K15" s="5">
        <v>52</v>
      </c>
      <c r="L15" s="5">
        <v>57</v>
      </c>
      <c r="M15" s="5">
        <v>36</v>
      </c>
      <c r="O15" s="5">
        <v>9</v>
      </c>
      <c r="P15" s="5">
        <v>9</v>
      </c>
      <c r="Q15" s="5">
        <v>12</v>
      </c>
      <c r="R15" s="5">
        <v>15</v>
      </c>
      <c r="S15" s="5">
        <v>9</v>
      </c>
      <c r="T15" s="5">
        <v>15</v>
      </c>
      <c r="U15" s="5">
        <v>6</v>
      </c>
      <c r="V15" s="5">
        <v>6</v>
      </c>
      <c r="W15" s="5">
        <v>12</v>
      </c>
      <c r="AC15" s="5">
        <f t="shared" si="5"/>
        <v>93</v>
      </c>
      <c r="AE15" s="5">
        <v>5</v>
      </c>
      <c r="AF15" s="5">
        <v>5</v>
      </c>
      <c r="AG15" s="5">
        <v>5</v>
      </c>
      <c r="AH15" s="5">
        <v>5</v>
      </c>
      <c r="AI15" s="5">
        <v>5</v>
      </c>
      <c r="AJ15" s="5">
        <v>5</v>
      </c>
      <c r="AK15" s="12">
        <v>5</v>
      </c>
      <c r="AL15" s="5">
        <v>5</v>
      </c>
      <c r="AM15" s="5">
        <v>0</v>
      </c>
      <c r="AN15" s="5">
        <v>4</v>
      </c>
      <c r="AO15" s="5">
        <v>5</v>
      </c>
      <c r="AP15" s="5">
        <v>4</v>
      </c>
      <c r="AQ15" s="10">
        <v>5</v>
      </c>
      <c r="AR15" s="17" t="s">
        <v>92</v>
      </c>
      <c r="AS15" s="5">
        <v>5</v>
      </c>
      <c r="AT15" s="5">
        <v>4</v>
      </c>
      <c r="AU15" s="17" t="s">
        <v>92</v>
      </c>
      <c r="AV15" s="5">
        <v>2</v>
      </c>
      <c r="AW15" s="5">
        <v>5</v>
      </c>
      <c r="AX15" s="5">
        <v>5</v>
      </c>
      <c r="BH15" s="5">
        <f t="shared" si="6"/>
        <v>79</v>
      </c>
      <c r="BJ15" s="5">
        <v>4</v>
      </c>
      <c r="BK15" s="5">
        <v>4</v>
      </c>
      <c r="BL15" s="5">
        <v>4</v>
      </c>
      <c r="BM15" s="5">
        <v>4</v>
      </c>
      <c r="BN15" s="5">
        <v>2</v>
      </c>
      <c r="BO15" s="5">
        <v>4</v>
      </c>
      <c r="BP15" s="5">
        <v>4</v>
      </c>
      <c r="BQ15" s="5">
        <v>3</v>
      </c>
      <c r="BR15" s="5">
        <v>3</v>
      </c>
      <c r="BS15" s="5">
        <v>2</v>
      </c>
      <c r="BT15" s="5">
        <v>4</v>
      </c>
      <c r="BU15" s="5">
        <v>4</v>
      </c>
      <c r="BV15" s="5">
        <v>4</v>
      </c>
      <c r="BW15" s="5">
        <v>4</v>
      </c>
      <c r="BX15" s="5">
        <v>0</v>
      </c>
      <c r="BY15" s="5">
        <v>4</v>
      </c>
      <c r="BZ15" s="5">
        <v>4</v>
      </c>
      <c r="CA15" s="5">
        <v>4</v>
      </c>
      <c r="CK15" s="5">
        <f t="shared" si="7"/>
        <v>62</v>
      </c>
    </row>
    <row r="16" spans="1:89" s="5" customFormat="1" x14ac:dyDescent="0.45">
      <c r="A16" s="1">
        <v>4121</v>
      </c>
      <c r="B16" s="1"/>
      <c r="C16" s="5">
        <f t="shared" si="0"/>
        <v>154</v>
      </c>
      <c r="D16" s="13">
        <v>123</v>
      </c>
      <c r="F16" s="5">
        <f t="shared" si="1"/>
        <v>93</v>
      </c>
      <c r="G16" s="5">
        <f t="shared" si="2"/>
        <v>66</v>
      </c>
      <c r="H16" s="5">
        <f t="shared" si="3"/>
        <v>71</v>
      </c>
      <c r="I16" s="5">
        <f t="shared" si="4"/>
        <v>507</v>
      </c>
      <c r="K16" s="5">
        <v>58</v>
      </c>
      <c r="L16" s="5">
        <v>56</v>
      </c>
      <c r="M16" s="5">
        <v>40</v>
      </c>
      <c r="O16" s="5">
        <v>6</v>
      </c>
      <c r="P16" s="5">
        <v>9</v>
      </c>
      <c r="Q16" s="5">
        <v>12</v>
      </c>
      <c r="R16" s="5">
        <v>15</v>
      </c>
      <c r="S16" s="5">
        <v>15</v>
      </c>
      <c r="T16" s="5">
        <v>15</v>
      </c>
      <c r="U16" s="5">
        <v>9</v>
      </c>
      <c r="V16" s="5">
        <v>0</v>
      </c>
      <c r="W16" s="5">
        <v>12</v>
      </c>
      <c r="AC16" s="5">
        <f t="shared" si="5"/>
        <v>93</v>
      </c>
      <c r="AE16" s="5">
        <v>5</v>
      </c>
      <c r="AF16" s="5">
        <v>5</v>
      </c>
      <c r="AG16" s="5">
        <v>3</v>
      </c>
      <c r="AH16" s="5">
        <v>5</v>
      </c>
      <c r="AI16" s="5">
        <v>5</v>
      </c>
      <c r="AJ16" s="5">
        <v>5</v>
      </c>
      <c r="AK16" s="12">
        <v>5</v>
      </c>
      <c r="AL16" s="5">
        <v>0</v>
      </c>
      <c r="AM16" s="5">
        <v>5</v>
      </c>
      <c r="AN16" s="5">
        <v>0</v>
      </c>
      <c r="AO16" s="5">
        <v>5</v>
      </c>
      <c r="AP16" s="5">
        <v>5</v>
      </c>
      <c r="AQ16" s="10">
        <v>5</v>
      </c>
      <c r="AR16" s="17" t="s">
        <v>92</v>
      </c>
      <c r="AS16" s="5">
        <v>0</v>
      </c>
      <c r="AT16" s="5">
        <v>5</v>
      </c>
      <c r="AU16" s="17" t="s">
        <v>92</v>
      </c>
      <c r="AV16" s="5">
        <v>5</v>
      </c>
      <c r="AW16" s="5">
        <v>3</v>
      </c>
      <c r="AX16" s="5">
        <v>5</v>
      </c>
      <c r="BH16" s="5">
        <f t="shared" si="6"/>
        <v>71</v>
      </c>
      <c r="BJ16" s="5">
        <v>4</v>
      </c>
      <c r="BK16" s="5">
        <v>4</v>
      </c>
      <c r="BL16" s="5">
        <v>4</v>
      </c>
      <c r="BM16" s="5">
        <v>4</v>
      </c>
      <c r="BN16" s="5">
        <v>4</v>
      </c>
      <c r="BO16" s="5">
        <v>4</v>
      </c>
      <c r="BP16" s="5">
        <v>4</v>
      </c>
      <c r="BQ16" s="5">
        <v>4</v>
      </c>
      <c r="BR16" s="5">
        <v>4</v>
      </c>
      <c r="BS16" s="5">
        <v>2</v>
      </c>
      <c r="BT16" s="5">
        <v>4</v>
      </c>
      <c r="BU16" s="5">
        <v>4</v>
      </c>
      <c r="BV16" s="5">
        <v>0</v>
      </c>
      <c r="BW16" s="5">
        <v>4</v>
      </c>
      <c r="BX16" s="5">
        <v>4</v>
      </c>
      <c r="BY16" s="5">
        <v>4</v>
      </c>
      <c r="BZ16" s="5">
        <v>4</v>
      </c>
      <c r="CA16" s="5">
        <v>4</v>
      </c>
      <c r="CK16" s="5">
        <f t="shared" si="7"/>
        <v>66</v>
      </c>
    </row>
    <row r="17" spans="1:89" s="5" customFormat="1" x14ac:dyDescent="0.45">
      <c r="A17" s="1">
        <v>4186</v>
      </c>
      <c r="B17" s="1"/>
      <c r="C17" s="5">
        <f t="shared" si="0"/>
        <v>142</v>
      </c>
      <c r="D17" s="13">
        <v>114</v>
      </c>
      <c r="F17" s="5">
        <f t="shared" si="1"/>
        <v>75</v>
      </c>
      <c r="G17" s="5">
        <f t="shared" si="2"/>
        <v>53</v>
      </c>
      <c r="H17" s="5">
        <f t="shared" si="3"/>
        <v>71</v>
      </c>
      <c r="I17" s="5">
        <f t="shared" si="4"/>
        <v>455</v>
      </c>
      <c r="K17" s="5">
        <v>54</v>
      </c>
      <c r="L17" s="5">
        <v>51</v>
      </c>
      <c r="M17" s="5">
        <v>37</v>
      </c>
      <c r="O17" s="5">
        <v>3</v>
      </c>
      <c r="P17" s="5">
        <v>12</v>
      </c>
      <c r="Q17" s="5">
        <v>12</v>
      </c>
      <c r="R17" s="5">
        <v>12</v>
      </c>
      <c r="S17" s="5">
        <v>9</v>
      </c>
      <c r="T17" s="5">
        <v>12</v>
      </c>
      <c r="U17" s="5">
        <v>9</v>
      </c>
      <c r="V17" s="5">
        <v>0</v>
      </c>
      <c r="W17" s="5">
        <v>6</v>
      </c>
      <c r="AC17" s="5">
        <f t="shared" si="5"/>
        <v>75</v>
      </c>
      <c r="AE17" s="5">
        <v>0</v>
      </c>
      <c r="AF17" s="5">
        <v>3</v>
      </c>
      <c r="AG17" s="5">
        <v>5</v>
      </c>
      <c r="AH17" s="5">
        <v>5</v>
      </c>
      <c r="AI17" s="5">
        <v>5</v>
      </c>
      <c r="AJ17" s="5">
        <v>5</v>
      </c>
      <c r="AK17" s="12">
        <v>5</v>
      </c>
      <c r="AL17" s="5">
        <v>5</v>
      </c>
      <c r="AM17" s="5">
        <v>5</v>
      </c>
      <c r="AN17" s="5">
        <v>5</v>
      </c>
      <c r="AO17" s="5">
        <v>5</v>
      </c>
      <c r="AP17" s="5">
        <v>0</v>
      </c>
      <c r="AQ17" s="10">
        <v>5</v>
      </c>
      <c r="AR17" s="17" t="s">
        <v>92</v>
      </c>
      <c r="AS17" s="5">
        <v>5</v>
      </c>
      <c r="AT17" s="5">
        <v>4</v>
      </c>
      <c r="AU17" s="17" t="s">
        <v>92</v>
      </c>
      <c r="AV17" s="5">
        <v>4</v>
      </c>
      <c r="AW17" s="5">
        <v>5</v>
      </c>
      <c r="AX17" s="5">
        <v>0</v>
      </c>
      <c r="BH17" s="5">
        <f t="shared" si="6"/>
        <v>71</v>
      </c>
      <c r="BJ17" s="5">
        <v>0</v>
      </c>
      <c r="BK17" s="5">
        <v>3</v>
      </c>
      <c r="BL17" s="5">
        <v>4</v>
      </c>
      <c r="BM17" s="5">
        <v>4</v>
      </c>
      <c r="BN17" s="5">
        <v>0</v>
      </c>
      <c r="BO17" s="5">
        <v>0</v>
      </c>
      <c r="BP17" s="5">
        <v>3</v>
      </c>
      <c r="BQ17" s="5">
        <v>4</v>
      </c>
      <c r="BR17" s="5">
        <v>4</v>
      </c>
      <c r="BS17" s="5">
        <v>4</v>
      </c>
      <c r="BT17" s="5">
        <v>4</v>
      </c>
      <c r="BU17" s="5">
        <v>4</v>
      </c>
      <c r="BV17" s="5">
        <v>4</v>
      </c>
      <c r="BW17" s="5">
        <v>4</v>
      </c>
      <c r="BX17" s="5">
        <v>3</v>
      </c>
      <c r="BY17" s="5">
        <v>4</v>
      </c>
      <c r="BZ17" s="5">
        <v>4</v>
      </c>
      <c r="CA17" s="5">
        <v>0</v>
      </c>
      <c r="CK17" s="5">
        <f t="shared" si="7"/>
        <v>53</v>
      </c>
    </row>
    <row r="18" spans="1:89" s="5" customFormat="1" x14ac:dyDescent="0.45">
      <c r="A18" s="1">
        <v>4444</v>
      </c>
      <c r="B18" s="1"/>
      <c r="C18" s="5">
        <f t="shared" si="0"/>
        <v>154</v>
      </c>
      <c r="D18" s="13">
        <v>79.5</v>
      </c>
      <c r="F18" s="5">
        <f t="shared" si="1"/>
        <v>63</v>
      </c>
      <c r="G18" s="5">
        <f t="shared" si="2"/>
        <v>57</v>
      </c>
      <c r="H18" s="5">
        <f t="shared" si="3"/>
        <v>74</v>
      </c>
      <c r="I18" s="5">
        <f t="shared" si="4"/>
        <v>427.5</v>
      </c>
      <c r="K18" s="5">
        <v>56</v>
      </c>
      <c r="L18" s="5">
        <v>58</v>
      </c>
      <c r="M18" s="5">
        <v>40</v>
      </c>
      <c r="O18" s="5">
        <v>9</v>
      </c>
      <c r="P18" s="5">
        <v>9</v>
      </c>
      <c r="Q18" s="5">
        <v>12</v>
      </c>
      <c r="R18" s="5">
        <v>9</v>
      </c>
      <c r="S18" s="5">
        <v>0</v>
      </c>
      <c r="T18" s="5">
        <v>6</v>
      </c>
      <c r="U18" s="5">
        <v>6</v>
      </c>
      <c r="V18" s="5">
        <v>6</v>
      </c>
      <c r="W18" s="5">
        <v>6</v>
      </c>
      <c r="AC18" s="5">
        <f t="shared" si="5"/>
        <v>63</v>
      </c>
      <c r="AE18" s="5">
        <v>5</v>
      </c>
      <c r="AF18" s="5">
        <v>5</v>
      </c>
      <c r="AG18" s="5">
        <v>5</v>
      </c>
      <c r="AH18" s="5">
        <v>5</v>
      </c>
      <c r="AI18" s="5">
        <v>5</v>
      </c>
      <c r="AJ18" s="5">
        <v>5</v>
      </c>
      <c r="AK18" s="12">
        <v>5</v>
      </c>
      <c r="AL18" s="5">
        <v>5</v>
      </c>
      <c r="AM18" s="5">
        <v>0</v>
      </c>
      <c r="AN18" s="5">
        <v>3</v>
      </c>
      <c r="AO18" s="5">
        <v>3</v>
      </c>
      <c r="AP18" s="5">
        <v>5</v>
      </c>
      <c r="AQ18" s="10">
        <v>5</v>
      </c>
      <c r="AR18" s="17" t="s">
        <v>92</v>
      </c>
      <c r="AS18" s="5">
        <v>0</v>
      </c>
      <c r="AT18" s="5">
        <v>5</v>
      </c>
      <c r="AU18" s="17" t="s">
        <v>92</v>
      </c>
      <c r="AV18" s="5">
        <v>3</v>
      </c>
      <c r="AW18" s="5">
        <v>5</v>
      </c>
      <c r="AX18" s="5">
        <v>5</v>
      </c>
      <c r="BH18" s="5">
        <f t="shared" si="6"/>
        <v>74</v>
      </c>
      <c r="BJ18" s="5">
        <v>4</v>
      </c>
      <c r="BK18" s="5">
        <v>4</v>
      </c>
      <c r="BL18" s="5">
        <v>4</v>
      </c>
      <c r="BM18" s="5">
        <v>4</v>
      </c>
      <c r="BN18" s="5">
        <v>2</v>
      </c>
      <c r="BO18" s="5">
        <v>4</v>
      </c>
      <c r="BP18" s="5">
        <v>4</v>
      </c>
      <c r="BQ18" s="5">
        <v>4</v>
      </c>
      <c r="BR18" s="5">
        <v>0</v>
      </c>
      <c r="BS18" s="5">
        <v>4</v>
      </c>
      <c r="BT18" s="5">
        <v>0</v>
      </c>
      <c r="BU18" s="5">
        <v>4</v>
      </c>
      <c r="BV18" s="5">
        <v>4</v>
      </c>
      <c r="BW18" s="5">
        <v>3</v>
      </c>
      <c r="BX18" s="5">
        <v>0</v>
      </c>
      <c r="BY18" s="5">
        <v>4</v>
      </c>
      <c r="BZ18" s="5">
        <v>4</v>
      </c>
      <c r="CA18" s="5">
        <v>4</v>
      </c>
      <c r="CK18" s="5">
        <f t="shared" si="7"/>
        <v>57</v>
      </c>
    </row>
    <row r="19" spans="1:89" s="5" customFormat="1" x14ac:dyDescent="0.45">
      <c r="A19" s="1">
        <v>4809</v>
      </c>
      <c r="B19" s="1"/>
      <c r="C19" s="5">
        <f t="shared" si="0"/>
        <v>153</v>
      </c>
      <c r="D19" s="13">
        <v>131.5</v>
      </c>
      <c r="F19" s="5">
        <f t="shared" si="1"/>
        <v>102</v>
      </c>
      <c r="G19" s="5">
        <f t="shared" si="2"/>
        <v>68</v>
      </c>
      <c r="H19" s="5">
        <f t="shared" si="3"/>
        <v>83</v>
      </c>
      <c r="I19" s="5">
        <f>SUM(C19:H19)</f>
        <v>537.5</v>
      </c>
      <c r="K19" s="5">
        <v>58</v>
      </c>
      <c r="L19" s="5">
        <v>55</v>
      </c>
      <c r="M19" s="5">
        <v>40</v>
      </c>
      <c r="O19" s="5">
        <v>15</v>
      </c>
      <c r="P19" s="5">
        <v>9</v>
      </c>
      <c r="Q19" s="5">
        <v>12</v>
      </c>
      <c r="R19" s="5">
        <v>15</v>
      </c>
      <c r="S19" s="5">
        <v>12</v>
      </c>
      <c r="T19" s="5">
        <v>12</v>
      </c>
      <c r="U19" s="5">
        <v>9</v>
      </c>
      <c r="V19" s="5">
        <v>9</v>
      </c>
      <c r="W19" s="5">
        <v>9</v>
      </c>
      <c r="AC19" s="5">
        <f t="shared" si="5"/>
        <v>102</v>
      </c>
      <c r="AE19" s="5">
        <v>5</v>
      </c>
      <c r="AF19" s="5">
        <v>5</v>
      </c>
      <c r="AG19" s="5">
        <v>5</v>
      </c>
      <c r="AH19" s="5">
        <v>5</v>
      </c>
      <c r="AI19" s="5">
        <v>5</v>
      </c>
      <c r="AJ19" s="5">
        <v>4</v>
      </c>
      <c r="AK19" s="12">
        <v>5</v>
      </c>
      <c r="AL19" s="5">
        <v>5</v>
      </c>
      <c r="AM19" s="5">
        <v>4</v>
      </c>
      <c r="AN19" s="5">
        <v>4</v>
      </c>
      <c r="AO19" s="5">
        <v>5</v>
      </c>
      <c r="AP19" s="5">
        <v>5</v>
      </c>
      <c r="AQ19" s="16">
        <v>3</v>
      </c>
      <c r="AR19" s="17" t="s">
        <v>92</v>
      </c>
      <c r="AS19" s="5">
        <v>5</v>
      </c>
      <c r="AT19" s="5">
        <v>5</v>
      </c>
      <c r="AU19" s="17" t="s">
        <v>92</v>
      </c>
      <c r="AV19" s="5">
        <v>4</v>
      </c>
      <c r="AW19" s="5">
        <v>4</v>
      </c>
      <c r="AX19" s="5">
        <v>5</v>
      </c>
      <c r="BH19" s="5">
        <f t="shared" si="6"/>
        <v>83</v>
      </c>
      <c r="BJ19" s="5">
        <v>4</v>
      </c>
      <c r="BK19" s="5">
        <v>3</v>
      </c>
      <c r="BL19" s="5">
        <v>3</v>
      </c>
      <c r="BM19" s="5">
        <v>4</v>
      </c>
      <c r="BN19" s="5">
        <v>4</v>
      </c>
      <c r="BO19" s="5">
        <v>4</v>
      </c>
      <c r="BP19" s="5">
        <v>4</v>
      </c>
      <c r="BQ19" s="5">
        <v>4</v>
      </c>
      <c r="BR19" s="5">
        <v>4</v>
      </c>
      <c r="BS19" s="5">
        <v>2</v>
      </c>
      <c r="BT19" s="5">
        <v>4</v>
      </c>
      <c r="BU19" s="5">
        <v>4</v>
      </c>
      <c r="BV19" s="5">
        <v>4</v>
      </c>
      <c r="BW19" s="5">
        <v>4</v>
      </c>
      <c r="BX19" s="5">
        <v>4</v>
      </c>
      <c r="BY19" s="5">
        <v>4</v>
      </c>
      <c r="BZ19" s="5">
        <v>4</v>
      </c>
      <c r="CA19" s="5">
        <v>4</v>
      </c>
      <c r="CK19" s="5">
        <f t="shared" si="7"/>
        <v>68</v>
      </c>
    </row>
    <row r="20" spans="1:89" s="5" customFormat="1" x14ac:dyDescent="0.45">
      <c r="A20" s="1">
        <v>4972</v>
      </c>
      <c r="B20" s="1"/>
      <c r="C20" s="5">
        <f t="shared" si="0"/>
        <v>144</v>
      </c>
      <c r="D20" s="13">
        <v>105.5</v>
      </c>
      <c r="F20" s="5">
        <f t="shared" si="1"/>
        <v>75</v>
      </c>
      <c r="G20" s="5">
        <f t="shared" si="2"/>
        <v>54</v>
      </c>
      <c r="H20" s="5">
        <f t="shared" si="3"/>
        <v>67</v>
      </c>
      <c r="I20" s="5">
        <f>SUM(C20:H20)</f>
        <v>445.5</v>
      </c>
      <c r="K20" s="5">
        <v>51</v>
      </c>
      <c r="L20" s="5">
        <v>56</v>
      </c>
      <c r="M20" s="5">
        <v>37</v>
      </c>
      <c r="O20" s="5">
        <v>9</v>
      </c>
      <c r="P20" s="5">
        <v>0</v>
      </c>
      <c r="Q20" s="5">
        <v>9</v>
      </c>
      <c r="R20" s="5">
        <v>15</v>
      </c>
      <c r="S20" s="5">
        <v>9</v>
      </c>
      <c r="T20" s="5">
        <v>9</v>
      </c>
      <c r="U20" s="5">
        <v>12</v>
      </c>
      <c r="V20" s="5">
        <v>0</v>
      </c>
      <c r="W20" s="5">
        <v>12</v>
      </c>
      <c r="AC20" s="5">
        <f t="shared" si="5"/>
        <v>75</v>
      </c>
      <c r="AE20" s="5">
        <v>5</v>
      </c>
      <c r="AF20" s="5">
        <v>0</v>
      </c>
      <c r="AG20" s="5">
        <v>0</v>
      </c>
      <c r="AH20" s="5">
        <v>5</v>
      </c>
      <c r="AI20" s="5">
        <v>5</v>
      </c>
      <c r="AJ20" s="5">
        <v>5</v>
      </c>
      <c r="AK20" s="12">
        <v>5</v>
      </c>
      <c r="AL20" s="5">
        <v>5</v>
      </c>
      <c r="AM20" s="5">
        <v>5</v>
      </c>
      <c r="AN20" s="5">
        <v>0</v>
      </c>
      <c r="AO20" s="5">
        <v>5</v>
      </c>
      <c r="AP20" s="5">
        <v>5</v>
      </c>
      <c r="AQ20" s="16">
        <v>5</v>
      </c>
      <c r="AR20" s="17" t="s">
        <v>92</v>
      </c>
      <c r="AS20" s="5">
        <v>0</v>
      </c>
      <c r="AT20" s="5">
        <v>4</v>
      </c>
      <c r="AU20" s="17" t="s">
        <v>92</v>
      </c>
      <c r="AV20" s="5">
        <v>3</v>
      </c>
      <c r="AW20" s="5">
        <v>5</v>
      </c>
      <c r="AX20" s="5">
        <v>5</v>
      </c>
      <c r="BH20" s="5">
        <f t="shared" si="6"/>
        <v>67</v>
      </c>
      <c r="BJ20" s="5">
        <v>3</v>
      </c>
      <c r="BK20" s="5">
        <v>3</v>
      </c>
      <c r="BL20" s="5">
        <v>0</v>
      </c>
      <c r="BM20" s="5">
        <v>4</v>
      </c>
      <c r="BN20" s="5">
        <v>4</v>
      </c>
      <c r="BO20" s="5">
        <v>4</v>
      </c>
      <c r="BP20" s="5">
        <v>4</v>
      </c>
      <c r="BQ20" s="5">
        <v>4</v>
      </c>
      <c r="BR20" s="5">
        <v>0</v>
      </c>
      <c r="BS20" s="5">
        <v>0</v>
      </c>
      <c r="BT20" s="5">
        <v>2</v>
      </c>
      <c r="BU20" s="5">
        <v>4</v>
      </c>
      <c r="BV20" s="5">
        <v>4</v>
      </c>
      <c r="BW20" s="5">
        <v>4</v>
      </c>
      <c r="BX20" s="5">
        <v>3</v>
      </c>
      <c r="BY20" s="5">
        <v>3</v>
      </c>
      <c r="BZ20" s="5">
        <v>4</v>
      </c>
      <c r="CA20" s="5">
        <v>4</v>
      </c>
      <c r="CK20" s="5">
        <f t="shared" si="7"/>
        <v>54</v>
      </c>
    </row>
    <row r="21" spans="1:89" s="5" customFormat="1" x14ac:dyDescent="0.45">
      <c r="A21" s="1">
        <v>5345</v>
      </c>
      <c r="B21" s="1"/>
      <c r="C21" s="5">
        <f t="shared" si="0"/>
        <v>156</v>
      </c>
      <c r="D21" s="13">
        <v>124</v>
      </c>
      <c r="F21" s="5">
        <f t="shared" si="1"/>
        <v>87</v>
      </c>
      <c r="G21" s="5">
        <f t="shared" si="2"/>
        <v>59</v>
      </c>
      <c r="H21" s="5">
        <f t="shared" si="3"/>
        <v>84</v>
      </c>
      <c r="I21" s="5">
        <f t="shared" si="4"/>
        <v>510</v>
      </c>
      <c r="K21" s="5">
        <v>58</v>
      </c>
      <c r="L21" s="5">
        <v>59</v>
      </c>
      <c r="M21" s="5">
        <v>39</v>
      </c>
      <c r="O21" s="5">
        <v>9</v>
      </c>
      <c r="P21" s="5">
        <v>12</v>
      </c>
      <c r="Q21" s="5">
        <v>9</v>
      </c>
      <c r="R21" s="5">
        <v>12</v>
      </c>
      <c r="S21" s="5">
        <v>6</v>
      </c>
      <c r="T21" s="5">
        <v>15</v>
      </c>
      <c r="U21" s="5">
        <v>9</v>
      </c>
      <c r="V21" s="5">
        <v>6</v>
      </c>
      <c r="W21" s="5">
        <v>9</v>
      </c>
      <c r="AC21" s="5">
        <f t="shared" si="5"/>
        <v>87</v>
      </c>
      <c r="AE21" s="5">
        <v>5</v>
      </c>
      <c r="AF21" s="5">
        <v>5</v>
      </c>
      <c r="AG21" s="5">
        <v>5</v>
      </c>
      <c r="AH21" s="5">
        <v>5</v>
      </c>
      <c r="AI21" s="5">
        <v>5</v>
      </c>
      <c r="AJ21" s="5">
        <v>5</v>
      </c>
      <c r="AK21" s="12">
        <v>5</v>
      </c>
      <c r="AL21" s="5">
        <v>5</v>
      </c>
      <c r="AM21" s="5">
        <v>5</v>
      </c>
      <c r="AN21" s="5">
        <v>3</v>
      </c>
      <c r="AO21" s="5">
        <v>5</v>
      </c>
      <c r="AP21" s="5">
        <v>5</v>
      </c>
      <c r="AQ21" s="16">
        <v>3</v>
      </c>
      <c r="AR21" s="17" t="s">
        <v>92</v>
      </c>
      <c r="AS21" s="5">
        <v>5</v>
      </c>
      <c r="AT21" s="5">
        <v>5</v>
      </c>
      <c r="AU21" s="17" t="s">
        <v>92</v>
      </c>
      <c r="AV21" s="5">
        <v>3</v>
      </c>
      <c r="AW21" s="5">
        <v>5</v>
      </c>
      <c r="AX21" s="5">
        <v>5</v>
      </c>
      <c r="BH21" s="5">
        <f t="shared" si="6"/>
        <v>84</v>
      </c>
      <c r="BJ21" s="5">
        <v>4</v>
      </c>
      <c r="BK21" s="5">
        <v>3</v>
      </c>
      <c r="BL21" s="5">
        <v>4</v>
      </c>
      <c r="BM21" s="5">
        <v>4</v>
      </c>
      <c r="BN21" s="5">
        <v>3</v>
      </c>
      <c r="BO21" s="5">
        <v>4</v>
      </c>
      <c r="BP21" s="5">
        <v>4</v>
      </c>
      <c r="BQ21" s="5">
        <v>4</v>
      </c>
      <c r="BR21" s="5">
        <v>0</v>
      </c>
      <c r="BS21" s="5">
        <v>4</v>
      </c>
      <c r="BT21" s="5">
        <v>3</v>
      </c>
      <c r="BU21" s="5">
        <v>4</v>
      </c>
      <c r="BV21" s="5">
        <v>4</v>
      </c>
      <c r="BW21" s="5">
        <v>0</v>
      </c>
      <c r="BX21" s="5">
        <v>2</v>
      </c>
      <c r="BY21" s="5">
        <v>4</v>
      </c>
      <c r="BZ21" s="5">
        <v>4</v>
      </c>
      <c r="CA21" s="5">
        <v>4</v>
      </c>
      <c r="CK21" s="5">
        <f t="shared" si="7"/>
        <v>59</v>
      </c>
    </row>
    <row r="22" spans="1:89" s="5" customFormat="1" x14ac:dyDescent="0.45">
      <c r="A22" s="1">
        <v>5526</v>
      </c>
      <c r="B22" s="1"/>
      <c r="C22" s="5">
        <f t="shared" si="0"/>
        <v>149</v>
      </c>
      <c r="D22" s="13">
        <v>106.5</v>
      </c>
      <c r="F22" s="5">
        <f t="shared" si="1"/>
        <v>84</v>
      </c>
      <c r="G22" s="5">
        <f t="shared" si="2"/>
        <v>58</v>
      </c>
      <c r="H22" s="5">
        <f t="shared" si="3"/>
        <v>79</v>
      </c>
      <c r="I22" s="5">
        <f t="shared" si="4"/>
        <v>476.5</v>
      </c>
      <c r="K22" s="5">
        <v>49</v>
      </c>
      <c r="L22" s="5">
        <v>60</v>
      </c>
      <c r="M22" s="5">
        <v>40</v>
      </c>
      <c r="O22" s="5">
        <v>9</v>
      </c>
      <c r="P22" s="5">
        <v>15</v>
      </c>
      <c r="Q22" s="5">
        <v>12</v>
      </c>
      <c r="R22" s="5">
        <v>0</v>
      </c>
      <c r="S22" s="5">
        <v>9</v>
      </c>
      <c r="T22" s="5">
        <v>12</v>
      </c>
      <c r="U22" s="5">
        <v>15</v>
      </c>
      <c r="V22" s="5">
        <v>3</v>
      </c>
      <c r="W22" s="5">
        <v>9</v>
      </c>
      <c r="AC22" s="5">
        <f t="shared" si="5"/>
        <v>84</v>
      </c>
      <c r="AE22" s="5">
        <v>5</v>
      </c>
      <c r="AF22" s="5">
        <v>5</v>
      </c>
      <c r="AG22" s="5">
        <v>5</v>
      </c>
      <c r="AH22" s="5">
        <v>4</v>
      </c>
      <c r="AI22" s="5">
        <v>5</v>
      </c>
      <c r="AJ22" s="5">
        <v>5</v>
      </c>
      <c r="AK22" s="12">
        <v>5</v>
      </c>
      <c r="AL22" s="5">
        <v>5</v>
      </c>
      <c r="AM22" s="5">
        <v>3</v>
      </c>
      <c r="AN22" s="5">
        <v>0</v>
      </c>
      <c r="AO22" s="5">
        <v>3</v>
      </c>
      <c r="AP22" s="5">
        <v>5</v>
      </c>
      <c r="AQ22" s="10">
        <v>5</v>
      </c>
      <c r="AR22" s="17" t="s">
        <v>92</v>
      </c>
      <c r="AS22" s="5">
        <v>5</v>
      </c>
      <c r="AT22" s="5">
        <v>5</v>
      </c>
      <c r="AU22" s="17" t="s">
        <v>92</v>
      </c>
      <c r="AV22" s="5">
        <v>5</v>
      </c>
      <c r="AW22" s="5">
        <v>4</v>
      </c>
      <c r="AX22" s="5">
        <v>5</v>
      </c>
      <c r="BH22" s="5">
        <f t="shared" si="6"/>
        <v>79</v>
      </c>
      <c r="BJ22" s="5">
        <v>3</v>
      </c>
      <c r="BK22" s="5">
        <v>3</v>
      </c>
      <c r="BL22" s="5">
        <v>3</v>
      </c>
      <c r="BM22" s="5">
        <v>4</v>
      </c>
      <c r="BN22" s="5">
        <v>2</v>
      </c>
      <c r="BO22" s="5">
        <v>4</v>
      </c>
      <c r="BP22" s="5">
        <v>4</v>
      </c>
      <c r="BQ22" s="5">
        <v>3</v>
      </c>
      <c r="BR22" s="5">
        <v>4</v>
      </c>
      <c r="BS22" s="5">
        <v>0</v>
      </c>
      <c r="BT22" s="5">
        <v>0</v>
      </c>
      <c r="BU22" s="5">
        <v>4</v>
      </c>
      <c r="BV22" s="5">
        <v>4</v>
      </c>
      <c r="BW22" s="5">
        <v>4</v>
      </c>
      <c r="BX22" s="5">
        <v>4</v>
      </c>
      <c r="BY22" s="5">
        <v>4</v>
      </c>
      <c r="BZ22" s="5">
        <v>4</v>
      </c>
      <c r="CA22" s="5">
        <v>4</v>
      </c>
      <c r="CK22" s="5">
        <f t="shared" si="7"/>
        <v>58</v>
      </c>
    </row>
    <row r="23" spans="1:89" s="5" customFormat="1" x14ac:dyDescent="0.45">
      <c r="A23" s="1">
        <v>6195</v>
      </c>
      <c r="B23" s="1"/>
      <c r="C23" s="5">
        <f t="shared" si="0"/>
        <v>150</v>
      </c>
      <c r="D23" s="13">
        <v>114.5</v>
      </c>
      <c r="F23" s="5">
        <f t="shared" si="1"/>
        <v>99</v>
      </c>
      <c r="G23" s="5">
        <f t="shared" si="2"/>
        <v>57</v>
      </c>
      <c r="H23" s="5">
        <f t="shared" si="3"/>
        <v>85</v>
      </c>
      <c r="I23" s="5">
        <f t="shared" si="4"/>
        <v>505.5</v>
      </c>
      <c r="K23" s="5">
        <v>54</v>
      </c>
      <c r="L23" s="5">
        <v>56</v>
      </c>
      <c r="M23" s="5">
        <v>40</v>
      </c>
      <c r="O23" s="5">
        <v>15</v>
      </c>
      <c r="P23" s="5">
        <v>15</v>
      </c>
      <c r="Q23" s="5">
        <v>12</v>
      </c>
      <c r="R23" s="5">
        <v>15</v>
      </c>
      <c r="S23" s="5">
        <v>6</v>
      </c>
      <c r="T23" s="5">
        <v>15</v>
      </c>
      <c r="U23" s="5">
        <v>15</v>
      </c>
      <c r="V23" s="5">
        <v>6</v>
      </c>
      <c r="W23" s="5">
        <v>0</v>
      </c>
      <c r="AC23" s="5">
        <f t="shared" si="5"/>
        <v>99</v>
      </c>
      <c r="AE23" s="5">
        <v>5</v>
      </c>
      <c r="AF23" s="5">
        <v>5</v>
      </c>
      <c r="AG23" s="5">
        <v>5</v>
      </c>
      <c r="AH23" s="5">
        <v>5</v>
      </c>
      <c r="AI23" s="5">
        <v>5</v>
      </c>
      <c r="AJ23" s="5">
        <v>5</v>
      </c>
      <c r="AK23" s="12">
        <v>5</v>
      </c>
      <c r="AL23" s="5">
        <v>5</v>
      </c>
      <c r="AM23" s="5">
        <v>5</v>
      </c>
      <c r="AN23" s="5">
        <v>5</v>
      </c>
      <c r="AO23" s="5">
        <v>5</v>
      </c>
      <c r="AP23" s="5">
        <v>5</v>
      </c>
      <c r="AQ23" s="10">
        <v>5</v>
      </c>
      <c r="AR23" s="17" t="s">
        <v>92</v>
      </c>
      <c r="AS23" s="5">
        <v>5</v>
      </c>
      <c r="AT23" s="5">
        <v>5</v>
      </c>
      <c r="AU23" s="17" t="s">
        <v>92</v>
      </c>
      <c r="AV23" s="5">
        <v>5</v>
      </c>
      <c r="AW23" s="5">
        <v>0</v>
      </c>
      <c r="AX23" s="5">
        <v>5</v>
      </c>
      <c r="BH23" s="5">
        <f t="shared" si="6"/>
        <v>85</v>
      </c>
      <c r="BJ23" s="5">
        <v>2</v>
      </c>
      <c r="BK23" s="5">
        <v>2</v>
      </c>
      <c r="BL23" s="5">
        <v>2</v>
      </c>
      <c r="BM23" s="5">
        <v>4</v>
      </c>
      <c r="BN23" s="5">
        <v>4</v>
      </c>
      <c r="BO23" s="5">
        <v>4</v>
      </c>
      <c r="BP23" s="5">
        <v>0</v>
      </c>
      <c r="BQ23" s="5">
        <v>4</v>
      </c>
      <c r="BR23" s="5">
        <v>4</v>
      </c>
      <c r="BS23" s="5">
        <v>4</v>
      </c>
      <c r="BT23" s="5">
        <v>3</v>
      </c>
      <c r="BU23" s="5">
        <v>4</v>
      </c>
      <c r="BV23" s="5">
        <v>4</v>
      </c>
      <c r="BW23" s="5">
        <v>4</v>
      </c>
      <c r="BX23" s="5">
        <v>4</v>
      </c>
      <c r="BY23" s="5">
        <v>4</v>
      </c>
      <c r="BZ23" s="5">
        <v>0</v>
      </c>
      <c r="CA23" s="5">
        <v>4</v>
      </c>
      <c r="CK23" s="5">
        <f t="shared" si="7"/>
        <v>57</v>
      </c>
    </row>
    <row r="24" spans="1:89" s="5" customFormat="1" x14ac:dyDescent="0.45">
      <c r="A24" s="1">
        <v>6322</v>
      </c>
      <c r="B24" s="1"/>
      <c r="C24" s="5">
        <f t="shared" si="0"/>
        <v>139</v>
      </c>
      <c r="D24" s="13">
        <v>102.5</v>
      </c>
      <c r="F24" s="5">
        <f t="shared" si="1"/>
        <v>96</v>
      </c>
      <c r="G24" s="5">
        <f t="shared" si="2"/>
        <v>64</v>
      </c>
      <c r="H24" s="5">
        <f t="shared" si="3"/>
        <v>89</v>
      </c>
      <c r="I24" s="5">
        <f>SUM(C24:H24)</f>
        <v>490.5</v>
      </c>
      <c r="K24" s="5">
        <v>47</v>
      </c>
      <c r="L24" s="5">
        <v>55</v>
      </c>
      <c r="M24" s="5">
        <v>37</v>
      </c>
      <c r="O24" s="5">
        <v>9</v>
      </c>
      <c r="P24" s="5">
        <v>15</v>
      </c>
      <c r="Q24" s="5">
        <v>12</v>
      </c>
      <c r="R24" s="5">
        <v>15</v>
      </c>
      <c r="S24" s="5">
        <v>9</v>
      </c>
      <c r="T24" s="5">
        <v>6</v>
      </c>
      <c r="U24" s="5">
        <v>9</v>
      </c>
      <c r="V24" s="5">
        <v>12</v>
      </c>
      <c r="W24" s="5">
        <v>9</v>
      </c>
      <c r="AC24" s="5">
        <f t="shared" si="5"/>
        <v>96</v>
      </c>
      <c r="AE24" s="5">
        <v>5</v>
      </c>
      <c r="AF24" s="5">
        <v>5</v>
      </c>
      <c r="AG24" s="5">
        <v>5</v>
      </c>
      <c r="AH24" s="5">
        <v>5</v>
      </c>
      <c r="AI24" s="5">
        <v>5</v>
      </c>
      <c r="AJ24" s="5">
        <v>5</v>
      </c>
      <c r="AK24" s="12">
        <v>5</v>
      </c>
      <c r="AL24" s="5">
        <v>5</v>
      </c>
      <c r="AM24" s="5">
        <v>5</v>
      </c>
      <c r="AN24" s="5">
        <v>5</v>
      </c>
      <c r="AO24" s="5">
        <v>5</v>
      </c>
      <c r="AP24" s="5">
        <v>5</v>
      </c>
      <c r="AQ24" s="16">
        <v>5</v>
      </c>
      <c r="AR24" s="17" t="s">
        <v>92</v>
      </c>
      <c r="AS24" s="5">
        <v>5</v>
      </c>
      <c r="AT24" s="5">
        <v>5</v>
      </c>
      <c r="AU24" s="17" t="s">
        <v>92</v>
      </c>
      <c r="AV24" s="5">
        <v>4</v>
      </c>
      <c r="AW24" s="5">
        <v>5</v>
      </c>
      <c r="AX24" s="5">
        <v>5</v>
      </c>
      <c r="BH24" s="5">
        <f t="shared" si="6"/>
        <v>89</v>
      </c>
      <c r="BJ24" s="5">
        <v>4</v>
      </c>
      <c r="BK24" s="5">
        <v>4</v>
      </c>
      <c r="BL24" s="5">
        <v>3</v>
      </c>
      <c r="BM24" s="5">
        <v>4</v>
      </c>
      <c r="BN24" s="5">
        <v>3</v>
      </c>
      <c r="BO24" s="5">
        <v>4</v>
      </c>
      <c r="BP24" s="5">
        <v>2</v>
      </c>
      <c r="BQ24" s="5">
        <v>4</v>
      </c>
      <c r="BR24" s="5">
        <v>4</v>
      </c>
      <c r="BS24" s="5">
        <v>3</v>
      </c>
      <c r="BT24" s="5">
        <v>2</v>
      </c>
      <c r="BU24" s="5">
        <v>4</v>
      </c>
      <c r="BV24" s="5">
        <v>4</v>
      </c>
      <c r="BW24" s="5">
        <v>4</v>
      </c>
      <c r="BX24" s="5">
        <v>3</v>
      </c>
      <c r="BY24" s="5">
        <v>4</v>
      </c>
      <c r="BZ24" s="5">
        <v>4</v>
      </c>
      <c r="CA24" s="5">
        <v>4</v>
      </c>
      <c r="CK24" s="5">
        <f t="shared" si="7"/>
        <v>64</v>
      </c>
    </row>
    <row r="25" spans="1:89" s="5" customFormat="1" x14ac:dyDescent="0.45">
      <c r="A25" s="1">
        <v>6325</v>
      </c>
      <c r="B25" s="1"/>
      <c r="C25" s="5">
        <f t="shared" si="0"/>
        <v>141</v>
      </c>
      <c r="D25" s="13">
        <v>93.5</v>
      </c>
      <c r="F25" s="5">
        <f t="shared" si="1"/>
        <v>69</v>
      </c>
      <c r="G25" s="5">
        <f t="shared" si="2"/>
        <v>69</v>
      </c>
      <c r="H25" s="5">
        <f t="shared" si="3"/>
        <v>63</v>
      </c>
      <c r="I25" s="5">
        <f t="shared" si="4"/>
        <v>435.5</v>
      </c>
      <c r="K25" s="5">
        <v>54</v>
      </c>
      <c r="L25" s="5">
        <v>48</v>
      </c>
      <c r="M25" s="5">
        <v>39</v>
      </c>
      <c r="O25" s="5">
        <v>9</v>
      </c>
      <c r="P25" s="5">
        <v>12</v>
      </c>
      <c r="Q25" s="5">
        <v>0</v>
      </c>
      <c r="R25" s="5">
        <v>9</v>
      </c>
      <c r="S25" s="5">
        <v>3</v>
      </c>
      <c r="T25" s="5">
        <v>12</v>
      </c>
      <c r="U25" s="5">
        <v>12</v>
      </c>
      <c r="V25" s="5">
        <v>9</v>
      </c>
      <c r="W25" s="5">
        <v>3</v>
      </c>
      <c r="AC25" s="5">
        <f t="shared" si="5"/>
        <v>69</v>
      </c>
      <c r="AE25" s="5">
        <v>3</v>
      </c>
      <c r="AF25" s="5">
        <v>3</v>
      </c>
      <c r="AG25" s="5">
        <v>5</v>
      </c>
      <c r="AH25" s="5">
        <v>3</v>
      </c>
      <c r="AI25" s="5">
        <v>3</v>
      </c>
      <c r="AJ25" s="5">
        <v>5</v>
      </c>
      <c r="AK25" s="12">
        <v>5</v>
      </c>
      <c r="AL25" s="5">
        <v>3</v>
      </c>
      <c r="AM25" s="5">
        <v>3</v>
      </c>
      <c r="AN25" s="5">
        <v>0</v>
      </c>
      <c r="AO25" s="5">
        <v>3</v>
      </c>
      <c r="AP25" s="5">
        <v>3</v>
      </c>
      <c r="AQ25" s="10">
        <v>3</v>
      </c>
      <c r="AR25" s="17" t="s">
        <v>92</v>
      </c>
      <c r="AS25" s="5">
        <v>3</v>
      </c>
      <c r="AT25" s="5">
        <v>5</v>
      </c>
      <c r="AU25" s="17" t="s">
        <v>92</v>
      </c>
      <c r="AV25" s="5">
        <v>3</v>
      </c>
      <c r="AW25" s="5">
        <v>5</v>
      </c>
      <c r="AX25" s="5">
        <v>5</v>
      </c>
      <c r="BH25" s="5">
        <f t="shared" si="6"/>
        <v>63</v>
      </c>
      <c r="BJ25" s="5">
        <v>4</v>
      </c>
      <c r="BK25" s="5">
        <v>4</v>
      </c>
      <c r="BL25" s="5">
        <v>3</v>
      </c>
      <c r="BM25" s="5">
        <v>4</v>
      </c>
      <c r="BN25" s="5">
        <v>3</v>
      </c>
      <c r="BO25" s="5">
        <v>4</v>
      </c>
      <c r="BP25" s="5">
        <v>4</v>
      </c>
      <c r="BQ25" s="5">
        <v>4</v>
      </c>
      <c r="BR25" s="5">
        <v>4</v>
      </c>
      <c r="BS25" s="5">
        <v>4</v>
      </c>
      <c r="BT25" s="5">
        <v>3</v>
      </c>
      <c r="BU25" s="5">
        <v>4</v>
      </c>
      <c r="BV25" s="5">
        <v>4</v>
      </c>
      <c r="BW25" s="5">
        <v>4</v>
      </c>
      <c r="BX25" s="5">
        <v>4</v>
      </c>
      <c r="BY25" s="5">
        <v>4</v>
      </c>
      <c r="BZ25" s="5">
        <v>4</v>
      </c>
      <c r="CA25" s="5">
        <v>4</v>
      </c>
      <c r="CK25" s="5">
        <f t="shared" si="7"/>
        <v>69</v>
      </c>
    </row>
    <row r="26" spans="1:89" s="5" customFormat="1" x14ac:dyDescent="0.45">
      <c r="A26" s="1">
        <v>6567</v>
      </c>
      <c r="B26" s="1"/>
      <c r="C26" s="5">
        <f t="shared" si="0"/>
        <v>92</v>
      </c>
      <c r="D26" s="13">
        <v>103.5</v>
      </c>
      <c r="F26" s="5">
        <f t="shared" si="1"/>
        <v>102</v>
      </c>
      <c r="G26" s="5">
        <f t="shared" si="2"/>
        <v>58</v>
      </c>
      <c r="H26" s="5">
        <f t="shared" si="3"/>
        <v>50</v>
      </c>
      <c r="I26" s="5">
        <f t="shared" si="4"/>
        <v>405.5</v>
      </c>
      <c r="K26" s="5">
        <v>32</v>
      </c>
      <c r="L26" s="5">
        <v>33</v>
      </c>
      <c r="M26" s="5">
        <v>27</v>
      </c>
      <c r="O26" s="5">
        <v>9</v>
      </c>
      <c r="P26" s="5">
        <v>6</v>
      </c>
      <c r="Q26" s="5">
        <v>15</v>
      </c>
      <c r="R26" s="5">
        <v>15</v>
      </c>
      <c r="S26" s="5">
        <v>9</v>
      </c>
      <c r="T26" s="5">
        <v>15</v>
      </c>
      <c r="U26" s="5">
        <v>12</v>
      </c>
      <c r="V26" s="5">
        <v>6</v>
      </c>
      <c r="W26" s="5">
        <v>15</v>
      </c>
      <c r="AC26" s="5">
        <f t="shared" si="5"/>
        <v>102</v>
      </c>
      <c r="AE26" s="5">
        <v>3</v>
      </c>
      <c r="AF26" s="5">
        <v>4</v>
      </c>
      <c r="AG26" s="5">
        <v>0</v>
      </c>
      <c r="AH26" s="5">
        <v>0</v>
      </c>
      <c r="AI26" s="5">
        <v>0</v>
      </c>
      <c r="AJ26" s="5">
        <v>5</v>
      </c>
      <c r="AK26" s="12">
        <v>5</v>
      </c>
      <c r="AL26" s="5">
        <v>0</v>
      </c>
      <c r="AM26" s="5">
        <v>0</v>
      </c>
      <c r="AN26" s="5">
        <v>5</v>
      </c>
      <c r="AO26" s="5">
        <v>0</v>
      </c>
      <c r="AP26" s="5">
        <v>4</v>
      </c>
      <c r="AQ26" s="10">
        <v>4</v>
      </c>
      <c r="AR26" s="17" t="s">
        <v>92</v>
      </c>
      <c r="AS26" s="5">
        <v>0</v>
      </c>
      <c r="AT26" s="5">
        <v>5</v>
      </c>
      <c r="AU26" s="17" t="s">
        <v>92</v>
      </c>
      <c r="AV26" s="5">
        <v>5</v>
      </c>
      <c r="AW26" s="5">
        <v>5</v>
      </c>
      <c r="AX26" s="5">
        <v>5</v>
      </c>
      <c r="BH26" s="5">
        <f t="shared" si="6"/>
        <v>50</v>
      </c>
      <c r="BJ26" s="5">
        <v>4</v>
      </c>
      <c r="BK26" s="5">
        <v>4</v>
      </c>
      <c r="BL26" s="5">
        <v>0</v>
      </c>
      <c r="BM26" s="5">
        <v>4</v>
      </c>
      <c r="BN26" s="5">
        <v>3</v>
      </c>
      <c r="BO26" s="5">
        <v>4</v>
      </c>
      <c r="BP26" s="5">
        <v>3</v>
      </c>
      <c r="BQ26" s="5">
        <v>4</v>
      </c>
      <c r="BR26" s="5">
        <v>3</v>
      </c>
      <c r="BS26" s="5">
        <v>3</v>
      </c>
      <c r="BT26" s="5">
        <v>4</v>
      </c>
      <c r="BU26" s="5">
        <v>4</v>
      </c>
      <c r="BV26" s="5">
        <v>0</v>
      </c>
      <c r="BW26" s="5">
        <v>4</v>
      </c>
      <c r="BX26" s="5">
        <v>3</v>
      </c>
      <c r="BY26" s="5">
        <v>3</v>
      </c>
      <c r="BZ26" s="5">
        <v>4</v>
      </c>
      <c r="CA26" s="5">
        <v>4</v>
      </c>
      <c r="CK26" s="5">
        <f t="shared" si="7"/>
        <v>58</v>
      </c>
    </row>
    <row r="27" spans="1:89" s="5" customFormat="1" x14ac:dyDescent="0.45">
      <c r="A27" s="1">
        <v>6619</v>
      </c>
      <c r="B27" s="1"/>
      <c r="C27" s="5">
        <f t="shared" si="0"/>
        <v>158</v>
      </c>
      <c r="D27" s="13">
        <v>126.5</v>
      </c>
      <c r="F27" s="5">
        <f t="shared" si="1"/>
        <v>108</v>
      </c>
      <c r="G27" s="5">
        <f t="shared" si="2"/>
        <v>69</v>
      </c>
      <c r="H27" s="5">
        <f t="shared" si="3"/>
        <v>84</v>
      </c>
      <c r="I27" s="5">
        <f t="shared" si="4"/>
        <v>545.5</v>
      </c>
      <c r="K27" s="5">
        <v>59</v>
      </c>
      <c r="L27" s="5">
        <v>59</v>
      </c>
      <c r="M27" s="5">
        <v>40</v>
      </c>
      <c r="O27" s="5">
        <v>12</v>
      </c>
      <c r="P27" s="5">
        <v>15</v>
      </c>
      <c r="Q27" s="5">
        <v>12</v>
      </c>
      <c r="R27" s="5">
        <v>15</v>
      </c>
      <c r="S27" s="5">
        <v>12</v>
      </c>
      <c r="T27" s="5">
        <v>12</v>
      </c>
      <c r="U27" s="5">
        <v>15</v>
      </c>
      <c r="V27" s="5">
        <v>3</v>
      </c>
      <c r="W27" s="5">
        <v>12</v>
      </c>
      <c r="AC27" s="5">
        <f t="shared" si="5"/>
        <v>108</v>
      </c>
      <c r="AE27" s="5">
        <v>5</v>
      </c>
      <c r="AF27" s="5">
        <v>5</v>
      </c>
      <c r="AG27" s="5">
        <v>5</v>
      </c>
      <c r="AH27" s="5">
        <v>5</v>
      </c>
      <c r="AI27" s="5">
        <v>5</v>
      </c>
      <c r="AJ27" s="5">
        <v>5</v>
      </c>
      <c r="AK27" s="12">
        <v>5</v>
      </c>
      <c r="AL27" s="5">
        <v>5</v>
      </c>
      <c r="AM27" s="5">
        <v>3</v>
      </c>
      <c r="AN27" s="5">
        <v>5</v>
      </c>
      <c r="AO27" s="5">
        <v>3</v>
      </c>
      <c r="AP27" s="5">
        <v>5</v>
      </c>
      <c r="AQ27" s="10">
        <v>5</v>
      </c>
      <c r="AR27" s="17" t="s">
        <v>92</v>
      </c>
      <c r="AS27" s="5">
        <v>5</v>
      </c>
      <c r="AT27" s="5">
        <v>5</v>
      </c>
      <c r="AU27" s="17" t="s">
        <v>92</v>
      </c>
      <c r="AV27" s="5">
        <v>5</v>
      </c>
      <c r="AW27" s="5">
        <v>3</v>
      </c>
      <c r="AX27" s="5">
        <v>5</v>
      </c>
      <c r="BH27" s="5">
        <f t="shared" si="6"/>
        <v>84</v>
      </c>
      <c r="BJ27" s="5">
        <v>4</v>
      </c>
      <c r="BK27" s="5">
        <v>4</v>
      </c>
      <c r="BL27" s="5">
        <v>4</v>
      </c>
      <c r="BM27" s="5">
        <v>4</v>
      </c>
      <c r="BN27" s="5">
        <v>4</v>
      </c>
      <c r="BO27" s="5">
        <v>4</v>
      </c>
      <c r="BP27" s="5">
        <v>4</v>
      </c>
      <c r="BQ27" s="5">
        <v>4</v>
      </c>
      <c r="BR27" s="5">
        <v>4</v>
      </c>
      <c r="BS27" s="5">
        <v>2</v>
      </c>
      <c r="BT27" s="5">
        <v>4</v>
      </c>
      <c r="BU27" s="5">
        <v>4</v>
      </c>
      <c r="BV27" s="5">
        <v>4</v>
      </c>
      <c r="BW27" s="5">
        <v>4</v>
      </c>
      <c r="BX27" s="5">
        <v>3</v>
      </c>
      <c r="BY27" s="5">
        <v>4</v>
      </c>
      <c r="BZ27" s="5">
        <v>4</v>
      </c>
      <c r="CA27" s="5">
        <v>4</v>
      </c>
      <c r="CK27" s="5">
        <f t="shared" si="7"/>
        <v>69</v>
      </c>
    </row>
    <row r="28" spans="1:89" s="5" customFormat="1" x14ac:dyDescent="0.45">
      <c r="A28" s="1">
        <v>6899</v>
      </c>
      <c r="B28" s="1"/>
      <c r="C28" s="5">
        <f t="shared" si="0"/>
        <v>152</v>
      </c>
      <c r="D28" s="13">
        <v>100.5</v>
      </c>
      <c r="F28" s="5">
        <f t="shared" si="1"/>
        <v>108</v>
      </c>
      <c r="G28" s="5">
        <f t="shared" si="2"/>
        <v>67</v>
      </c>
      <c r="H28" s="5">
        <f t="shared" si="3"/>
        <v>73</v>
      </c>
      <c r="I28" s="5">
        <f t="shared" si="4"/>
        <v>500.5</v>
      </c>
      <c r="K28" s="5">
        <v>56</v>
      </c>
      <c r="L28" s="5">
        <v>56</v>
      </c>
      <c r="M28" s="5">
        <v>40</v>
      </c>
      <c r="O28" s="5">
        <v>12</v>
      </c>
      <c r="P28" s="5">
        <v>15</v>
      </c>
      <c r="Q28" s="5">
        <v>15</v>
      </c>
      <c r="R28" s="5">
        <v>15</v>
      </c>
      <c r="S28" s="5">
        <v>12</v>
      </c>
      <c r="T28" s="5">
        <v>12</v>
      </c>
      <c r="U28" s="5">
        <v>12</v>
      </c>
      <c r="V28" s="5">
        <v>9</v>
      </c>
      <c r="W28" s="5">
        <v>6</v>
      </c>
      <c r="AC28" s="5">
        <f t="shared" si="5"/>
        <v>108</v>
      </c>
      <c r="AE28" s="5">
        <v>3</v>
      </c>
      <c r="AF28" s="5">
        <v>3</v>
      </c>
      <c r="AG28" s="5">
        <v>5</v>
      </c>
      <c r="AH28" s="5">
        <v>5</v>
      </c>
      <c r="AI28" s="5">
        <v>3</v>
      </c>
      <c r="AJ28" s="5">
        <v>5</v>
      </c>
      <c r="AK28" s="12">
        <v>5</v>
      </c>
      <c r="AL28" s="5">
        <v>5</v>
      </c>
      <c r="AM28" s="5">
        <v>3</v>
      </c>
      <c r="AN28" s="5">
        <v>3</v>
      </c>
      <c r="AO28" s="5">
        <v>5</v>
      </c>
      <c r="AP28" s="5">
        <v>3</v>
      </c>
      <c r="AQ28" s="10">
        <v>5</v>
      </c>
      <c r="AR28" s="17" t="s">
        <v>92</v>
      </c>
      <c r="AS28" s="5">
        <v>3</v>
      </c>
      <c r="AT28" s="5">
        <v>4</v>
      </c>
      <c r="AU28" s="17" t="s">
        <v>92</v>
      </c>
      <c r="AV28" s="5">
        <v>3</v>
      </c>
      <c r="AW28" s="5">
        <v>5</v>
      </c>
      <c r="AX28" s="5">
        <v>5</v>
      </c>
      <c r="BH28" s="5">
        <f t="shared" si="6"/>
        <v>73</v>
      </c>
      <c r="BJ28" s="5">
        <v>3</v>
      </c>
      <c r="BK28" s="5">
        <v>4</v>
      </c>
      <c r="BL28" s="5">
        <v>3</v>
      </c>
      <c r="BM28" s="5">
        <v>4</v>
      </c>
      <c r="BN28" s="5">
        <v>4</v>
      </c>
      <c r="BO28" s="5">
        <v>4</v>
      </c>
      <c r="BP28" s="5">
        <v>4</v>
      </c>
      <c r="BQ28" s="5">
        <v>4</v>
      </c>
      <c r="BR28" s="5">
        <v>4</v>
      </c>
      <c r="BS28" s="5">
        <v>3</v>
      </c>
      <c r="BT28" s="5">
        <v>3</v>
      </c>
      <c r="BU28" s="5">
        <v>4</v>
      </c>
      <c r="BV28" s="5">
        <v>4</v>
      </c>
      <c r="BW28" s="5">
        <v>4</v>
      </c>
      <c r="BX28" s="5">
        <v>3</v>
      </c>
      <c r="BY28" s="5">
        <v>4</v>
      </c>
      <c r="BZ28" s="5">
        <v>4</v>
      </c>
      <c r="CA28" s="5">
        <v>4</v>
      </c>
      <c r="CK28" s="5">
        <f t="shared" si="7"/>
        <v>67</v>
      </c>
    </row>
    <row r="29" spans="1:89" s="5" customFormat="1" x14ac:dyDescent="0.45">
      <c r="A29" s="1">
        <v>7119</v>
      </c>
      <c r="B29" s="1"/>
      <c r="C29" s="5">
        <f>SUM(K29:M29)</f>
        <v>153</v>
      </c>
      <c r="D29" s="13">
        <v>110</v>
      </c>
      <c r="F29" s="5">
        <f t="shared" si="1"/>
        <v>129</v>
      </c>
      <c r="G29" s="5">
        <f t="shared" si="2"/>
        <v>64</v>
      </c>
      <c r="H29" s="5">
        <f t="shared" si="3"/>
        <v>78</v>
      </c>
      <c r="I29" s="5">
        <f t="shared" si="4"/>
        <v>534</v>
      </c>
      <c r="K29" s="5">
        <v>59</v>
      </c>
      <c r="L29" s="5">
        <v>54</v>
      </c>
      <c r="M29" s="5">
        <v>40</v>
      </c>
      <c r="O29" s="5">
        <v>15</v>
      </c>
      <c r="P29" s="5">
        <v>12</v>
      </c>
      <c r="Q29" s="5">
        <v>15</v>
      </c>
      <c r="R29" s="5">
        <v>15</v>
      </c>
      <c r="S29" s="5">
        <v>12</v>
      </c>
      <c r="T29" s="5">
        <v>15</v>
      </c>
      <c r="U29" s="5">
        <v>15</v>
      </c>
      <c r="V29" s="5">
        <v>15</v>
      </c>
      <c r="W29" s="5">
        <v>15</v>
      </c>
      <c r="AC29" s="5">
        <f t="shared" si="5"/>
        <v>129</v>
      </c>
      <c r="AE29" s="5">
        <v>5</v>
      </c>
      <c r="AF29" s="5">
        <v>5</v>
      </c>
      <c r="AG29" s="5">
        <v>5</v>
      </c>
      <c r="AH29" s="5">
        <v>5</v>
      </c>
      <c r="AI29" s="5">
        <v>5</v>
      </c>
      <c r="AJ29" s="5">
        <v>5</v>
      </c>
      <c r="AK29" s="12">
        <v>5</v>
      </c>
      <c r="AL29" s="5">
        <v>5</v>
      </c>
      <c r="AM29" s="5">
        <v>3</v>
      </c>
      <c r="AN29" s="5">
        <v>0</v>
      </c>
      <c r="AO29" s="5">
        <v>5</v>
      </c>
      <c r="AP29" s="5">
        <v>5</v>
      </c>
      <c r="AQ29" s="10">
        <v>5</v>
      </c>
      <c r="AR29" s="17" t="s">
        <v>92</v>
      </c>
      <c r="AS29" s="5">
        <v>5</v>
      </c>
      <c r="AT29" s="5">
        <v>5</v>
      </c>
      <c r="AU29" s="17" t="s">
        <v>92</v>
      </c>
      <c r="AV29" s="5">
        <v>0</v>
      </c>
      <c r="AW29" s="5">
        <v>5</v>
      </c>
      <c r="AX29" s="5">
        <v>5</v>
      </c>
      <c r="BH29" s="5">
        <f t="shared" si="6"/>
        <v>78</v>
      </c>
      <c r="BJ29" s="5">
        <v>3</v>
      </c>
      <c r="BK29" s="5">
        <v>4</v>
      </c>
      <c r="BL29" s="5">
        <v>3</v>
      </c>
      <c r="BM29" s="5">
        <v>4</v>
      </c>
      <c r="BN29" s="5">
        <v>0</v>
      </c>
      <c r="BO29" s="5">
        <v>4</v>
      </c>
      <c r="BP29" s="5">
        <v>4</v>
      </c>
      <c r="BQ29" s="5">
        <v>4</v>
      </c>
      <c r="BR29" s="5">
        <v>4</v>
      </c>
      <c r="BS29" s="5">
        <v>3</v>
      </c>
      <c r="BT29" s="5">
        <v>3</v>
      </c>
      <c r="BU29" s="5">
        <v>4</v>
      </c>
      <c r="BV29" s="5">
        <v>4</v>
      </c>
      <c r="BW29" s="5">
        <v>4</v>
      </c>
      <c r="BX29" s="5">
        <v>4</v>
      </c>
      <c r="BY29" s="5">
        <v>4</v>
      </c>
      <c r="BZ29" s="5">
        <v>4</v>
      </c>
      <c r="CA29" s="5">
        <v>4</v>
      </c>
      <c r="CK29" s="5">
        <f t="shared" si="7"/>
        <v>64</v>
      </c>
    </row>
    <row r="30" spans="1:89" s="5" customFormat="1" x14ac:dyDescent="0.45">
      <c r="A30" s="1">
        <v>7219</v>
      </c>
      <c r="B30" s="1"/>
      <c r="C30" s="5">
        <f t="shared" si="0"/>
        <v>147</v>
      </c>
      <c r="D30" s="13">
        <v>116</v>
      </c>
      <c r="F30" s="5">
        <f t="shared" si="1"/>
        <v>87</v>
      </c>
      <c r="G30" s="5">
        <f t="shared" si="2"/>
        <v>64</v>
      </c>
      <c r="H30" s="5">
        <f t="shared" si="3"/>
        <v>51</v>
      </c>
      <c r="I30" s="5">
        <f>SUM(C30:H30)</f>
        <v>465</v>
      </c>
      <c r="K30" s="5">
        <v>51</v>
      </c>
      <c r="L30" s="5">
        <v>57</v>
      </c>
      <c r="M30" s="5">
        <v>39</v>
      </c>
      <c r="O30" s="5">
        <v>6</v>
      </c>
      <c r="P30" s="5">
        <v>15</v>
      </c>
      <c r="Q30" s="5">
        <v>9</v>
      </c>
      <c r="R30" s="5">
        <v>15</v>
      </c>
      <c r="S30" s="5">
        <v>15</v>
      </c>
      <c r="T30" s="5">
        <v>9</v>
      </c>
      <c r="U30" s="5">
        <v>9</v>
      </c>
      <c r="V30" s="5">
        <v>6</v>
      </c>
      <c r="W30" s="5">
        <v>3</v>
      </c>
      <c r="AC30" s="5">
        <f t="shared" si="5"/>
        <v>87</v>
      </c>
      <c r="AE30" s="5">
        <v>3</v>
      </c>
      <c r="AF30" s="5">
        <v>0</v>
      </c>
      <c r="AG30" s="5">
        <v>3</v>
      </c>
      <c r="AH30" s="5">
        <v>3</v>
      </c>
      <c r="AI30" s="5">
        <v>3</v>
      </c>
      <c r="AJ30" s="5">
        <v>5</v>
      </c>
      <c r="AK30" s="12">
        <v>5</v>
      </c>
      <c r="AL30" s="5">
        <v>0</v>
      </c>
      <c r="AM30" s="5">
        <v>3</v>
      </c>
      <c r="AN30" s="5">
        <v>0</v>
      </c>
      <c r="AO30" s="5">
        <v>0</v>
      </c>
      <c r="AP30" s="5">
        <v>5</v>
      </c>
      <c r="AQ30" s="16">
        <v>5</v>
      </c>
      <c r="AR30" s="17" t="s">
        <v>92</v>
      </c>
      <c r="AS30" s="5">
        <v>3</v>
      </c>
      <c r="AT30" s="5">
        <v>5</v>
      </c>
      <c r="AU30" s="17" t="s">
        <v>92</v>
      </c>
      <c r="AV30" s="5">
        <v>3</v>
      </c>
      <c r="AW30" s="5">
        <v>5</v>
      </c>
      <c r="AX30" s="5">
        <v>0</v>
      </c>
      <c r="BH30" s="5">
        <f t="shared" si="6"/>
        <v>51</v>
      </c>
      <c r="BJ30" s="5">
        <v>4</v>
      </c>
      <c r="BK30" s="5">
        <v>3</v>
      </c>
      <c r="BL30" s="5">
        <v>3</v>
      </c>
      <c r="BM30" s="5">
        <v>4</v>
      </c>
      <c r="BN30" s="5">
        <v>4</v>
      </c>
      <c r="BO30" s="5">
        <v>4</v>
      </c>
      <c r="BP30" s="5">
        <v>4</v>
      </c>
      <c r="BQ30" s="5">
        <v>2</v>
      </c>
      <c r="BR30" s="5">
        <v>3</v>
      </c>
      <c r="BS30" s="5">
        <v>4</v>
      </c>
      <c r="BT30" s="5">
        <v>4</v>
      </c>
      <c r="BU30" s="5">
        <v>4</v>
      </c>
      <c r="BV30" s="5">
        <v>4</v>
      </c>
      <c r="BW30" s="5">
        <v>4</v>
      </c>
      <c r="BX30" s="5">
        <v>2</v>
      </c>
      <c r="BY30" s="5">
        <v>3</v>
      </c>
      <c r="BZ30" s="5">
        <v>4</v>
      </c>
      <c r="CA30" s="5">
        <v>4</v>
      </c>
      <c r="CK30" s="5">
        <f>SUM(BJ30:CJ30)</f>
        <v>64</v>
      </c>
    </row>
    <row r="31" spans="1:89" s="5" customFormat="1" x14ac:dyDescent="0.45">
      <c r="A31" s="1">
        <v>7278</v>
      </c>
      <c r="B31" s="1"/>
      <c r="C31" s="5">
        <f t="shared" si="0"/>
        <v>155</v>
      </c>
      <c r="D31" s="13">
        <v>111.5</v>
      </c>
      <c r="F31" s="5">
        <f t="shared" si="1"/>
        <v>108</v>
      </c>
      <c r="G31" s="5">
        <f t="shared" si="2"/>
        <v>68</v>
      </c>
      <c r="H31" s="5">
        <f t="shared" si="3"/>
        <v>85</v>
      </c>
      <c r="I31" s="5">
        <f t="shared" si="4"/>
        <v>527.5</v>
      </c>
      <c r="K31" s="5">
        <v>55</v>
      </c>
      <c r="L31" s="5">
        <v>60</v>
      </c>
      <c r="M31" s="5">
        <v>40</v>
      </c>
      <c r="O31" s="5">
        <v>12</v>
      </c>
      <c r="P31" s="5">
        <v>15</v>
      </c>
      <c r="Q31" s="5">
        <v>15</v>
      </c>
      <c r="R31" s="5">
        <v>15</v>
      </c>
      <c r="S31" s="5">
        <v>12</v>
      </c>
      <c r="T31" s="5">
        <v>15</v>
      </c>
      <c r="U31" s="5">
        <v>6</v>
      </c>
      <c r="V31" s="5">
        <v>6</v>
      </c>
      <c r="W31" s="5">
        <v>12</v>
      </c>
      <c r="AC31" s="5">
        <f t="shared" si="5"/>
        <v>108</v>
      </c>
      <c r="AE31" s="5">
        <v>5</v>
      </c>
      <c r="AF31" s="5">
        <v>5</v>
      </c>
      <c r="AG31" s="5">
        <v>5</v>
      </c>
      <c r="AH31" s="5">
        <v>5</v>
      </c>
      <c r="AI31" s="5">
        <v>5</v>
      </c>
      <c r="AJ31" s="5">
        <v>5</v>
      </c>
      <c r="AK31" s="12">
        <v>5</v>
      </c>
      <c r="AL31" s="5">
        <v>5</v>
      </c>
      <c r="AM31" s="5">
        <v>5</v>
      </c>
      <c r="AN31" s="5">
        <v>5</v>
      </c>
      <c r="AO31" s="5">
        <v>5</v>
      </c>
      <c r="AP31" s="5">
        <v>5</v>
      </c>
      <c r="AQ31" s="10">
        <v>0</v>
      </c>
      <c r="AR31" s="17" t="s">
        <v>92</v>
      </c>
      <c r="AS31" s="5">
        <v>5</v>
      </c>
      <c r="AT31" s="5">
        <v>5</v>
      </c>
      <c r="AU31" s="17" t="s">
        <v>92</v>
      </c>
      <c r="AV31" s="5">
        <v>5</v>
      </c>
      <c r="AW31" s="5">
        <v>5</v>
      </c>
      <c r="AX31" s="5">
        <v>5</v>
      </c>
      <c r="BH31" s="5">
        <f t="shared" si="6"/>
        <v>85</v>
      </c>
      <c r="BJ31" s="5">
        <v>3</v>
      </c>
      <c r="BK31" s="5">
        <v>4</v>
      </c>
      <c r="BL31" s="5">
        <v>4</v>
      </c>
      <c r="BM31" s="5">
        <v>4</v>
      </c>
      <c r="BN31" s="5">
        <v>4</v>
      </c>
      <c r="BO31" s="5">
        <v>4</v>
      </c>
      <c r="BP31" s="5">
        <v>4</v>
      </c>
      <c r="BQ31" s="5">
        <v>4</v>
      </c>
      <c r="BR31" s="5">
        <v>4</v>
      </c>
      <c r="BS31" s="5">
        <v>4</v>
      </c>
      <c r="BT31" s="5">
        <v>3</v>
      </c>
      <c r="BU31" s="5">
        <v>4</v>
      </c>
      <c r="BV31" s="5">
        <v>4</v>
      </c>
      <c r="BW31" s="5">
        <v>4</v>
      </c>
      <c r="BX31" s="5">
        <v>3</v>
      </c>
      <c r="BY31" s="5">
        <v>3</v>
      </c>
      <c r="BZ31" s="5">
        <v>4</v>
      </c>
      <c r="CA31" s="5">
        <v>4</v>
      </c>
      <c r="CK31" s="5">
        <f t="shared" si="7"/>
        <v>68</v>
      </c>
    </row>
    <row r="32" spans="1:89" s="5" customFormat="1" x14ac:dyDescent="0.45">
      <c r="A32" s="1">
        <v>7640</v>
      </c>
      <c r="B32" s="1"/>
      <c r="C32" s="5">
        <f t="shared" si="0"/>
        <v>152</v>
      </c>
      <c r="D32" s="13">
        <v>90</v>
      </c>
      <c r="F32" s="5">
        <f t="shared" si="1"/>
        <v>72</v>
      </c>
      <c r="G32" s="5">
        <f t="shared" si="2"/>
        <v>54</v>
      </c>
      <c r="H32" s="5">
        <f t="shared" si="3"/>
        <v>60</v>
      </c>
      <c r="I32" s="5">
        <f>SUM(C32:H32)</f>
        <v>428</v>
      </c>
      <c r="K32" s="5">
        <v>54</v>
      </c>
      <c r="L32" s="5">
        <v>58</v>
      </c>
      <c r="M32" s="5">
        <v>40</v>
      </c>
      <c r="O32" s="5">
        <v>12</v>
      </c>
      <c r="P32" s="5">
        <v>6</v>
      </c>
      <c r="Q32" s="5">
        <v>9</v>
      </c>
      <c r="R32" s="5">
        <v>6</v>
      </c>
      <c r="S32" s="5">
        <v>3</v>
      </c>
      <c r="T32" s="5">
        <v>9</v>
      </c>
      <c r="U32" s="5">
        <v>6</v>
      </c>
      <c r="V32" s="5">
        <v>6</v>
      </c>
      <c r="W32" s="5">
        <v>15</v>
      </c>
      <c r="AC32" s="5">
        <f t="shared" si="5"/>
        <v>72</v>
      </c>
      <c r="AE32" s="5">
        <v>5</v>
      </c>
      <c r="AF32" s="5">
        <v>5</v>
      </c>
      <c r="AG32" s="5">
        <v>3</v>
      </c>
      <c r="AH32" s="5">
        <v>4</v>
      </c>
      <c r="AI32" s="5">
        <v>0</v>
      </c>
      <c r="AJ32" s="5">
        <v>5</v>
      </c>
      <c r="AK32" s="12">
        <v>5</v>
      </c>
      <c r="AL32" s="5">
        <v>3</v>
      </c>
      <c r="AM32" s="5">
        <v>2</v>
      </c>
      <c r="AN32" s="5">
        <v>0</v>
      </c>
      <c r="AO32" s="5">
        <v>3</v>
      </c>
      <c r="AP32" s="5">
        <v>3</v>
      </c>
      <c r="AQ32" s="16">
        <v>5</v>
      </c>
      <c r="AR32" s="17" t="s">
        <v>92</v>
      </c>
      <c r="AS32" s="5">
        <v>3</v>
      </c>
      <c r="AT32" s="5">
        <v>5</v>
      </c>
      <c r="AU32" s="17" t="s">
        <v>92</v>
      </c>
      <c r="AV32" s="5">
        <v>3</v>
      </c>
      <c r="AW32" s="5">
        <v>3</v>
      </c>
      <c r="AX32" s="5">
        <v>3</v>
      </c>
      <c r="BH32" s="5">
        <f t="shared" si="6"/>
        <v>60</v>
      </c>
      <c r="BJ32" s="5">
        <v>0</v>
      </c>
      <c r="BK32" s="5">
        <v>2</v>
      </c>
      <c r="BL32" s="5">
        <v>3</v>
      </c>
      <c r="BM32" s="5">
        <v>4</v>
      </c>
      <c r="BN32" s="5">
        <v>4</v>
      </c>
      <c r="BO32" s="5">
        <v>4</v>
      </c>
      <c r="BP32" s="5">
        <v>0</v>
      </c>
      <c r="BQ32" s="5">
        <v>2</v>
      </c>
      <c r="BR32" s="5">
        <v>4</v>
      </c>
      <c r="BS32" s="5">
        <v>4</v>
      </c>
      <c r="BT32" s="5">
        <v>3</v>
      </c>
      <c r="BU32" s="5">
        <v>3</v>
      </c>
      <c r="BV32" s="5">
        <v>4</v>
      </c>
      <c r="BW32" s="5">
        <v>4</v>
      </c>
      <c r="BX32" s="5">
        <v>2</v>
      </c>
      <c r="BY32" s="5">
        <v>3</v>
      </c>
      <c r="BZ32" s="5">
        <v>4</v>
      </c>
      <c r="CA32" s="5">
        <v>4</v>
      </c>
      <c r="CK32" s="5">
        <f t="shared" si="7"/>
        <v>54</v>
      </c>
    </row>
    <row r="33" spans="1:89" s="5" customFormat="1" x14ac:dyDescent="0.45">
      <c r="A33" s="1">
        <v>7716</v>
      </c>
      <c r="B33" s="1"/>
      <c r="C33" s="5">
        <f t="shared" si="0"/>
        <v>148</v>
      </c>
      <c r="D33" s="13">
        <v>120</v>
      </c>
      <c r="F33" s="5">
        <f t="shared" si="1"/>
        <v>78</v>
      </c>
      <c r="G33" s="5">
        <f t="shared" si="2"/>
        <v>66</v>
      </c>
      <c r="H33" s="5">
        <f t="shared" si="3"/>
        <v>68</v>
      </c>
      <c r="I33" s="5">
        <f t="shared" si="4"/>
        <v>480</v>
      </c>
      <c r="K33" s="5">
        <v>55</v>
      </c>
      <c r="L33" s="5">
        <v>54</v>
      </c>
      <c r="M33" s="5">
        <v>39</v>
      </c>
      <c r="O33" s="5">
        <v>3</v>
      </c>
      <c r="P33" s="5">
        <v>15</v>
      </c>
      <c r="Q33" s="5">
        <v>6</v>
      </c>
      <c r="R33" s="5">
        <v>15</v>
      </c>
      <c r="S33" s="5">
        <v>6</v>
      </c>
      <c r="T33" s="5">
        <v>9</v>
      </c>
      <c r="U33" s="5">
        <v>6</v>
      </c>
      <c r="V33" s="5">
        <v>6</v>
      </c>
      <c r="W33" s="5">
        <v>12</v>
      </c>
      <c r="AC33" s="5">
        <f t="shared" si="5"/>
        <v>78</v>
      </c>
      <c r="AE33" s="5">
        <v>3</v>
      </c>
      <c r="AF33" s="5">
        <v>3</v>
      </c>
      <c r="AG33" s="5">
        <v>5</v>
      </c>
      <c r="AH33" s="5">
        <v>3</v>
      </c>
      <c r="AI33" s="5">
        <v>3</v>
      </c>
      <c r="AJ33" s="5">
        <v>5</v>
      </c>
      <c r="AK33" s="12">
        <v>5</v>
      </c>
      <c r="AL33" s="5">
        <v>3</v>
      </c>
      <c r="AM33" s="5">
        <v>3</v>
      </c>
      <c r="AN33" s="5">
        <v>5</v>
      </c>
      <c r="AO33" s="5">
        <v>3</v>
      </c>
      <c r="AP33" s="5">
        <v>3</v>
      </c>
      <c r="AQ33" s="10">
        <v>5</v>
      </c>
      <c r="AR33" s="17" t="s">
        <v>92</v>
      </c>
      <c r="AS33" s="5">
        <v>3</v>
      </c>
      <c r="AT33" s="5">
        <v>5</v>
      </c>
      <c r="AU33" s="17" t="s">
        <v>92</v>
      </c>
      <c r="AV33" s="5">
        <v>3</v>
      </c>
      <c r="AW33" s="5">
        <v>5</v>
      </c>
      <c r="AX33" s="5">
        <v>3</v>
      </c>
      <c r="BH33" s="5">
        <f t="shared" si="6"/>
        <v>68</v>
      </c>
      <c r="BJ33" s="5">
        <v>3</v>
      </c>
      <c r="BK33" s="5">
        <v>4</v>
      </c>
      <c r="BL33" s="5">
        <v>4</v>
      </c>
      <c r="BM33" s="5">
        <v>4</v>
      </c>
      <c r="BN33" s="5">
        <v>3</v>
      </c>
      <c r="BO33" s="5">
        <v>4</v>
      </c>
      <c r="BP33" s="5">
        <v>2</v>
      </c>
      <c r="BQ33" s="5">
        <v>4</v>
      </c>
      <c r="BR33" s="5">
        <v>4</v>
      </c>
      <c r="BS33" s="5">
        <v>4</v>
      </c>
      <c r="BT33" s="5">
        <v>3</v>
      </c>
      <c r="BU33" s="5">
        <v>4</v>
      </c>
      <c r="BV33" s="5">
        <v>4</v>
      </c>
      <c r="BW33" s="5">
        <v>4</v>
      </c>
      <c r="BX33" s="5">
        <v>3</v>
      </c>
      <c r="BY33" s="5">
        <v>4</v>
      </c>
      <c r="BZ33" s="5">
        <v>4</v>
      </c>
      <c r="CA33" s="5">
        <v>4</v>
      </c>
      <c r="CK33" s="5">
        <f t="shared" si="7"/>
        <v>66</v>
      </c>
    </row>
    <row r="34" spans="1:89" s="5" customFormat="1" x14ac:dyDescent="0.45">
      <c r="A34" s="1">
        <v>8141</v>
      </c>
      <c r="B34" s="1"/>
      <c r="C34" s="5">
        <f t="shared" si="0"/>
        <v>154</v>
      </c>
      <c r="D34" s="13">
        <v>121</v>
      </c>
      <c r="F34" s="5">
        <f t="shared" si="1"/>
        <v>99</v>
      </c>
      <c r="G34" s="5">
        <f t="shared" si="2"/>
        <v>58</v>
      </c>
      <c r="H34" s="5">
        <f t="shared" si="3"/>
        <v>85</v>
      </c>
      <c r="I34" s="5">
        <f t="shared" si="4"/>
        <v>517</v>
      </c>
      <c r="K34" s="5">
        <v>58</v>
      </c>
      <c r="L34" s="5">
        <v>57</v>
      </c>
      <c r="M34" s="5">
        <v>39</v>
      </c>
      <c r="O34" s="5">
        <v>9</v>
      </c>
      <c r="P34" s="5">
        <v>12</v>
      </c>
      <c r="Q34" s="5">
        <v>15</v>
      </c>
      <c r="R34" s="5">
        <v>15</v>
      </c>
      <c r="S34" s="5">
        <v>6</v>
      </c>
      <c r="T34" s="5">
        <v>12</v>
      </c>
      <c r="U34" s="5">
        <v>12</v>
      </c>
      <c r="V34" s="5">
        <v>6</v>
      </c>
      <c r="W34" s="5">
        <v>12</v>
      </c>
      <c r="AC34" s="5">
        <f t="shared" si="5"/>
        <v>99</v>
      </c>
      <c r="AE34" s="5">
        <v>5</v>
      </c>
      <c r="AF34" s="5">
        <v>5</v>
      </c>
      <c r="AG34" s="5">
        <v>5</v>
      </c>
      <c r="AH34" s="5">
        <v>5</v>
      </c>
      <c r="AI34" s="5">
        <v>5</v>
      </c>
      <c r="AJ34" s="5">
        <v>5</v>
      </c>
      <c r="AK34" s="12">
        <v>5</v>
      </c>
      <c r="AL34" s="5">
        <v>5</v>
      </c>
      <c r="AM34" s="5">
        <v>5</v>
      </c>
      <c r="AN34" s="5">
        <v>5</v>
      </c>
      <c r="AO34" s="5">
        <v>5</v>
      </c>
      <c r="AP34" s="5">
        <v>5</v>
      </c>
      <c r="AQ34" s="10">
        <v>5</v>
      </c>
      <c r="AR34" s="17" t="s">
        <v>92</v>
      </c>
      <c r="AS34" s="5">
        <v>0</v>
      </c>
      <c r="AT34" s="5">
        <v>5</v>
      </c>
      <c r="AU34" s="17" t="s">
        <v>92</v>
      </c>
      <c r="AV34" s="5">
        <v>5</v>
      </c>
      <c r="AW34" s="5">
        <v>5</v>
      </c>
      <c r="AX34" s="5">
        <v>5</v>
      </c>
      <c r="BH34" s="5">
        <f t="shared" si="6"/>
        <v>85</v>
      </c>
      <c r="BJ34" s="5">
        <v>2</v>
      </c>
      <c r="BK34" s="5">
        <v>3</v>
      </c>
      <c r="BL34" s="5">
        <v>2</v>
      </c>
      <c r="BM34" s="5">
        <v>4</v>
      </c>
      <c r="BN34" s="5">
        <v>4</v>
      </c>
      <c r="BO34" s="5">
        <v>4</v>
      </c>
      <c r="BP34" s="5">
        <v>2</v>
      </c>
      <c r="BQ34" s="5">
        <v>4</v>
      </c>
      <c r="BR34" s="5">
        <v>4</v>
      </c>
      <c r="BS34" s="5">
        <v>3</v>
      </c>
      <c r="BT34" s="5">
        <v>3</v>
      </c>
      <c r="BU34" s="5">
        <v>4</v>
      </c>
      <c r="BV34" s="5">
        <v>4</v>
      </c>
      <c r="BW34" s="5">
        <v>0</v>
      </c>
      <c r="BX34" s="5">
        <v>3</v>
      </c>
      <c r="BY34" s="5">
        <v>4</v>
      </c>
      <c r="BZ34" s="5">
        <v>4</v>
      </c>
      <c r="CA34" s="5">
        <v>4</v>
      </c>
      <c r="CK34" s="5">
        <f t="shared" si="7"/>
        <v>58</v>
      </c>
    </row>
    <row r="35" spans="1:89" s="5" customFormat="1" x14ac:dyDescent="0.45">
      <c r="A35" s="1">
        <v>8224</v>
      </c>
      <c r="B35" s="1"/>
      <c r="C35" s="5">
        <f t="shared" si="0"/>
        <v>113</v>
      </c>
      <c r="D35" s="13">
        <v>109</v>
      </c>
      <c r="F35" s="5">
        <f t="shared" si="1"/>
        <v>84</v>
      </c>
      <c r="G35" s="5">
        <f t="shared" si="2"/>
        <v>60</v>
      </c>
      <c r="H35" s="5">
        <f t="shared" si="3"/>
        <v>83</v>
      </c>
      <c r="I35" s="5">
        <f t="shared" si="4"/>
        <v>449</v>
      </c>
      <c r="K35" s="5">
        <v>30</v>
      </c>
      <c r="L35" s="5">
        <v>53</v>
      </c>
      <c r="M35" s="5">
        <v>30</v>
      </c>
      <c r="O35" s="5">
        <v>9</v>
      </c>
      <c r="P35" s="5">
        <v>9</v>
      </c>
      <c r="Q35" s="5">
        <v>6</v>
      </c>
      <c r="R35" s="5">
        <v>12</v>
      </c>
      <c r="S35" s="5">
        <v>9</v>
      </c>
      <c r="T35" s="5">
        <v>15</v>
      </c>
      <c r="U35" s="5">
        <v>9</v>
      </c>
      <c r="V35" s="5">
        <v>9</v>
      </c>
      <c r="W35" s="5">
        <v>6</v>
      </c>
      <c r="AC35" s="5">
        <f t="shared" si="5"/>
        <v>84</v>
      </c>
      <c r="AE35" s="5">
        <v>5</v>
      </c>
      <c r="AF35" s="5">
        <v>5</v>
      </c>
      <c r="AG35" s="5">
        <v>5</v>
      </c>
      <c r="AH35" s="5">
        <v>5</v>
      </c>
      <c r="AI35" s="5">
        <v>5</v>
      </c>
      <c r="AJ35" s="5">
        <v>5</v>
      </c>
      <c r="AK35" s="12">
        <v>5</v>
      </c>
      <c r="AL35" s="5">
        <v>5</v>
      </c>
      <c r="AM35" s="5">
        <v>5</v>
      </c>
      <c r="AN35" s="5">
        <v>5</v>
      </c>
      <c r="AO35" s="5">
        <v>5</v>
      </c>
      <c r="AP35" s="5">
        <v>5</v>
      </c>
      <c r="AQ35" s="16">
        <v>5</v>
      </c>
      <c r="AR35" s="17" t="s">
        <v>92</v>
      </c>
      <c r="AS35" s="5">
        <v>0</v>
      </c>
      <c r="AT35" s="5">
        <v>4</v>
      </c>
      <c r="AU35" s="17" t="s">
        <v>92</v>
      </c>
      <c r="AV35" s="5">
        <v>5</v>
      </c>
      <c r="AW35" s="5">
        <v>4</v>
      </c>
      <c r="AX35" s="5">
        <v>5</v>
      </c>
      <c r="BH35" s="5">
        <f t="shared" si="6"/>
        <v>83</v>
      </c>
      <c r="BJ35" s="5">
        <v>3</v>
      </c>
      <c r="BK35" s="5">
        <v>4</v>
      </c>
      <c r="BL35" s="5">
        <v>4</v>
      </c>
      <c r="BM35" s="5">
        <v>4</v>
      </c>
      <c r="BN35" s="5">
        <v>2</v>
      </c>
      <c r="BO35" s="5">
        <v>4</v>
      </c>
      <c r="BP35" s="5">
        <v>4</v>
      </c>
      <c r="BQ35" s="5">
        <v>3</v>
      </c>
      <c r="BR35" s="5">
        <v>4</v>
      </c>
      <c r="BS35" s="5">
        <v>3</v>
      </c>
      <c r="BT35" s="5">
        <v>2</v>
      </c>
      <c r="BU35" s="5">
        <v>4</v>
      </c>
      <c r="BV35" s="5">
        <v>4</v>
      </c>
      <c r="BW35" s="5">
        <v>0</v>
      </c>
      <c r="BX35" s="5">
        <v>4</v>
      </c>
      <c r="BY35" s="5">
        <v>3</v>
      </c>
      <c r="BZ35" s="5">
        <v>4</v>
      </c>
      <c r="CA35" s="5">
        <v>4</v>
      </c>
      <c r="CK35" s="5">
        <f t="shared" si="7"/>
        <v>60</v>
      </c>
    </row>
    <row r="36" spans="1:89" s="5" customFormat="1" x14ac:dyDescent="0.45">
      <c r="A36" s="1">
        <v>8717</v>
      </c>
      <c r="B36" s="1"/>
      <c r="C36" s="5">
        <f t="shared" si="0"/>
        <v>141</v>
      </c>
      <c r="D36" s="13">
        <v>105</v>
      </c>
      <c r="F36" s="5">
        <f t="shared" si="1"/>
        <v>63</v>
      </c>
      <c r="G36" s="5">
        <f t="shared" si="2"/>
        <v>23</v>
      </c>
      <c r="H36" s="5">
        <f t="shared" si="3"/>
        <v>39</v>
      </c>
      <c r="I36" s="5">
        <f t="shared" si="4"/>
        <v>371</v>
      </c>
      <c r="K36" s="5">
        <v>49</v>
      </c>
      <c r="L36" s="5">
        <v>52</v>
      </c>
      <c r="M36" s="5">
        <v>40</v>
      </c>
      <c r="O36" s="5">
        <v>6</v>
      </c>
      <c r="P36" s="5">
        <v>12</v>
      </c>
      <c r="Q36" s="5">
        <v>15</v>
      </c>
      <c r="R36" s="5">
        <v>12</v>
      </c>
      <c r="S36" s="5">
        <v>9</v>
      </c>
      <c r="T36" s="5">
        <v>9</v>
      </c>
      <c r="U36" s="5">
        <v>0</v>
      </c>
      <c r="V36" s="5">
        <v>0</v>
      </c>
      <c r="W36" s="5">
        <v>0</v>
      </c>
      <c r="AC36" s="5">
        <f t="shared" si="5"/>
        <v>63</v>
      </c>
      <c r="AE36" s="5">
        <v>5</v>
      </c>
      <c r="AF36" s="5">
        <v>3</v>
      </c>
      <c r="AG36" s="5">
        <v>3</v>
      </c>
      <c r="AH36" s="5">
        <v>3</v>
      </c>
      <c r="AI36" s="5">
        <v>3</v>
      </c>
      <c r="AJ36" s="5">
        <v>3</v>
      </c>
      <c r="AK36" s="12">
        <v>5</v>
      </c>
      <c r="AL36" s="5">
        <v>3</v>
      </c>
      <c r="AM36" s="5">
        <v>3</v>
      </c>
      <c r="AN36" s="5">
        <v>0</v>
      </c>
      <c r="AO36" s="5">
        <v>3</v>
      </c>
      <c r="AP36" s="5">
        <v>5</v>
      </c>
      <c r="AQ36" s="16">
        <v>0</v>
      </c>
      <c r="AR36" s="17" t="s">
        <v>92</v>
      </c>
      <c r="AS36" s="5">
        <v>0</v>
      </c>
      <c r="AT36" s="5">
        <v>0</v>
      </c>
      <c r="AU36" s="17" t="s">
        <v>92</v>
      </c>
      <c r="AV36" s="5">
        <v>0</v>
      </c>
      <c r="AW36" s="5">
        <v>0</v>
      </c>
      <c r="AX36" s="5">
        <v>0</v>
      </c>
      <c r="BH36" s="5">
        <f t="shared" si="6"/>
        <v>39</v>
      </c>
      <c r="BJ36" s="5">
        <v>3</v>
      </c>
      <c r="BK36" s="5">
        <v>4</v>
      </c>
      <c r="BL36" s="5">
        <v>3</v>
      </c>
      <c r="BM36" s="5">
        <v>4</v>
      </c>
      <c r="BN36" s="5">
        <v>3</v>
      </c>
      <c r="BO36" s="5">
        <v>4</v>
      </c>
      <c r="BP36" s="5">
        <v>0</v>
      </c>
      <c r="BQ36" s="5">
        <v>0</v>
      </c>
      <c r="BR36" s="5">
        <v>0</v>
      </c>
      <c r="BS36" s="5">
        <v>0</v>
      </c>
      <c r="BT36" s="5">
        <v>2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K36" s="5">
        <f t="shared" si="7"/>
        <v>23</v>
      </c>
    </row>
    <row r="37" spans="1:89" s="5" customFormat="1" x14ac:dyDescent="0.45">
      <c r="A37" s="1">
        <v>8721</v>
      </c>
      <c r="B37" s="1"/>
      <c r="C37" s="5">
        <f t="shared" si="0"/>
        <v>154</v>
      </c>
      <c r="D37" s="13">
        <v>122.5</v>
      </c>
      <c r="F37" s="5">
        <f t="shared" si="1"/>
        <v>93</v>
      </c>
      <c r="G37" s="5">
        <f t="shared" si="2"/>
        <v>66</v>
      </c>
      <c r="H37" s="5">
        <f t="shared" si="3"/>
        <v>84</v>
      </c>
      <c r="I37" s="5">
        <f t="shared" si="4"/>
        <v>519.5</v>
      </c>
      <c r="K37" s="5">
        <v>59</v>
      </c>
      <c r="L37" s="5">
        <v>55</v>
      </c>
      <c r="M37" s="5">
        <v>40</v>
      </c>
      <c r="O37" s="5">
        <v>6</v>
      </c>
      <c r="P37" s="5">
        <v>12</v>
      </c>
      <c r="Q37" s="5">
        <v>12</v>
      </c>
      <c r="R37" s="5">
        <v>15</v>
      </c>
      <c r="S37" s="5">
        <v>9</v>
      </c>
      <c r="T37" s="5">
        <v>9</v>
      </c>
      <c r="U37" s="5">
        <v>9</v>
      </c>
      <c r="V37" s="5">
        <v>9</v>
      </c>
      <c r="W37" s="5">
        <v>12</v>
      </c>
      <c r="AC37" s="5">
        <f t="shared" si="5"/>
        <v>93</v>
      </c>
      <c r="AE37" s="5">
        <v>3</v>
      </c>
      <c r="AF37" s="5">
        <v>5</v>
      </c>
      <c r="AG37" s="5">
        <v>5</v>
      </c>
      <c r="AH37" s="5">
        <v>5</v>
      </c>
      <c r="AI37" s="5">
        <v>5</v>
      </c>
      <c r="AJ37" s="5">
        <v>5</v>
      </c>
      <c r="AK37" s="12">
        <v>5</v>
      </c>
      <c r="AL37" s="5">
        <v>5</v>
      </c>
      <c r="AM37" s="5">
        <v>5</v>
      </c>
      <c r="AN37" s="5">
        <v>3</v>
      </c>
      <c r="AO37" s="5">
        <v>5</v>
      </c>
      <c r="AP37" s="5">
        <v>5</v>
      </c>
      <c r="AQ37" s="16">
        <v>5</v>
      </c>
      <c r="AR37" s="17" t="s">
        <v>92</v>
      </c>
      <c r="AS37" s="5">
        <v>5</v>
      </c>
      <c r="AT37" s="5">
        <v>5</v>
      </c>
      <c r="AU37" s="17" t="s">
        <v>92</v>
      </c>
      <c r="AV37" s="5">
        <v>3</v>
      </c>
      <c r="AW37" s="5">
        <v>5</v>
      </c>
      <c r="AX37" s="5">
        <v>5</v>
      </c>
      <c r="BH37" s="5">
        <f t="shared" si="6"/>
        <v>84</v>
      </c>
      <c r="BJ37" s="5">
        <v>3</v>
      </c>
      <c r="BK37" s="5">
        <v>4</v>
      </c>
      <c r="BL37" s="5">
        <v>3</v>
      </c>
      <c r="BM37" s="5">
        <v>4</v>
      </c>
      <c r="BN37" s="5">
        <v>3</v>
      </c>
      <c r="BO37" s="5">
        <v>4</v>
      </c>
      <c r="BP37" s="5">
        <v>4</v>
      </c>
      <c r="BQ37" s="5">
        <v>4</v>
      </c>
      <c r="BR37" s="5">
        <v>4</v>
      </c>
      <c r="BS37" s="5">
        <v>4</v>
      </c>
      <c r="BT37" s="5">
        <v>2</v>
      </c>
      <c r="BU37" s="5">
        <v>4</v>
      </c>
      <c r="BV37" s="5">
        <v>4</v>
      </c>
      <c r="BW37" s="5">
        <v>4</v>
      </c>
      <c r="BX37" s="5">
        <v>3</v>
      </c>
      <c r="BY37" s="5">
        <v>4</v>
      </c>
      <c r="BZ37" s="5">
        <v>4</v>
      </c>
      <c r="CA37" s="5">
        <v>4</v>
      </c>
      <c r="CK37" s="5">
        <f t="shared" si="7"/>
        <v>66</v>
      </c>
    </row>
    <row r="38" spans="1:89" s="5" customFormat="1" x14ac:dyDescent="0.45">
      <c r="A38" s="1">
        <v>8856</v>
      </c>
      <c r="B38" s="1"/>
      <c r="C38" s="5">
        <f t="shared" si="0"/>
        <v>121</v>
      </c>
      <c r="D38" s="13">
        <v>67</v>
      </c>
      <c r="F38" s="5">
        <f t="shared" si="1"/>
        <v>15</v>
      </c>
      <c r="G38" s="5">
        <f t="shared" si="2"/>
        <v>33</v>
      </c>
      <c r="H38" s="5">
        <f t="shared" si="3"/>
        <v>33</v>
      </c>
      <c r="I38" s="5">
        <f t="shared" si="4"/>
        <v>269</v>
      </c>
      <c r="K38" s="5">
        <v>53</v>
      </c>
      <c r="L38" s="5">
        <v>40</v>
      </c>
      <c r="M38" s="5">
        <v>28</v>
      </c>
      <c r="O38" s="5">
        <v>6</v>
      </c>
      <c r="P38" s="5">
        <v>0</v>
      </c>
      <c r="Q38" s="5">
        <v>0</v>
      </c>
      <c r="R38" s="5">
        <v>9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AC38" s="5">
        <f t="shared" si="5"/>
        <v>15</v>
      </c>
      <c r="AE38" s="5">
        <v>0</v>
      </c>
      <c r="AF38" s="5">
        <v>5</v>
      </c>
      <c r="AG38" s="5">
        <v>5</v>
      </c>
      <c r="AH38" s="5">
        <v>5</v>
      </c>
      <c r="AI38" s="5">
        <v>0</v>
      </c>
      <c r="AJ38" s="5">
        <v>0</v>
      </c>
      <c r="AK38" s="12">
        <v>5</v>
      </c>
      <c r="AL38" s="5">
        <v>5</v>
      </c>
      <c r="AM38" s="5">
        <v>0</v>
      </c>
      <c r="AN38" s="5">
        <v>0</v>
      </c>
      <c r="AO38" s="5">
        <v>5</v>
      </c>
      <c r="AP38" s="5">
        <v>3</v>
      </c>
      <c r="AQ38" s="10">
        <v>0</v>
      </c>
      <c r="AR38" s="17" t="s">
        <v>92</v>
      </c>
      <c r="AS38" s="5">
        <v>0</v>
      </c>
      <c r="AT38" s="5">
        <v>0</v>
      </c>
      <c r="AU38" s="17" t="s">
        <v>92</v>
      </c>
      <c r="AV38" s="5">
        <v>0</v>
      </c>
      <c r="AW38" s="5">
        <v>0</v>
      </c>
      <c r="AX38" s="5">
        <v>0</v>
      </c>
      <c r="BH38" s="5">
        <f t="shared" si="6"/>
        <v>33</v>
      </c>
      <c r="BJ38" s="5">
        <v>0</v>
      </c>
      <c r="BK38" s="5">
        <v>4</v>
      </c>
      <c r="BL38" s="5">
        <v>4</v>
      </c>
      <c r="BM38" s="5">
        <v>4</v>
      </c>
      <c r="BN38" s="5">
        <v>4</v>
      </c>
      <c r="BO38" s="5">
        <v>0</v>
      </c>
      <c r="BP38" s="5">
        <v>2</v>
      </c>
      <c r="BQ38" s="5">
        <v>4</v>
      </c>
      <c r="BR38" s="5">
        <v>0</v>
      </c>
      <c r="BS38" s="5">
        <v>4</v>
      </c>
      <c r="BT38" s="5">
        <v>3</v>
      </c>
      <c r="BU38" s="5">
        <v>4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K38" s="5">
        <f t="shared" si="7"/>
        <v>33</v>
      </c>
    </row>
    <row r="39" spans="1:89" s="5" customFormat="1" x14ac:dyDescent="0.45">
      <c r="A39" s="1">
        <v>9648</v>
      </c>
      <c r="B39" s="1"/>
      <c r="C39" s="5">
        <f t="shared" si="0"/>
        <v>156</v>
      </c>
      <c r="D39" s="13">
        <v>102</v>
      </c>
      <c r="F39" s="5">
        <f t="shared" si="1"/>
        <v>96</v>
      </c>
      <c r="G39" s="5">
        <f t="shared" si="2"/>
        <v>68</v>
      </c>
      <c r="H39" s="5">
        <f t="shared" si="3"/>
        <v>72</v>
      </c>
      <c r="I39" s="5">
        <f t="shared" si="4"/>
        <v>494</v>
      </c>
      <c r="K39" s="5">
        <v>59</v>
      </c>
      <c r="L39" s="5">
        <v>57</v>
      </c>
      <c r="M39" s="5">
        <v>40</v>
      </c>
      <c r="O39" s="5">
        <v>15</v>
      </c>
      <c r="P39" s="5">
        <v>9</v>
      </c>
      <c r="Q39" s="5">
        <v>15</v>
      </c>
      <c r="R39" s="5">
        <v>15</v>
      </c>
      <c r="S39" s="5">
        <v>9</v>
      </c>
      <c r="T39" s="5">
        <v>6</v>
      </c>
      <c r="U39" s="5">
        <v>6</v>
      </c>
      <c r="V39" s="5">
        <v>9</v>
      </c>
      <c r="W39" s="5">
        <v>12</v>
      </c>
      <c r="AC39" s="5">
        <f t="shared" si="5"/>
        <v>96</v>
      </c>
      <c r="AE39" s="5">
        <v>5</v>
      </c>
      <c r="AF39" s="5">
        <v>3</v>
      </c>
      <c r="AG39" s="5">
        <v>5</v>
      </c>
      <c r="AH39" s="5">
        <v>5</v>
      </c>
      <c r="AI39" s="5">
        <v>5</v>
      </c>
      <c r="AJ39" s="5">
        <v>5</v>
      </c>
      <c r="AK39" s="12">
        <v>5</v>
      </c>
      <c r="AL39" s="5">
        <v>5</v>
      </c>
      <c r="AM39" s="5">
        <v>5</v>
      </c>
      <c r="AN39" s="5">
        <v>5</v>
      </c>
      <c r="AO39" s="5">
        <v>3</v>
      </c>
      <c r="AP39" s="5">
        <v>3</v>
      </c>
      <c r="AQ39" s="10">
        <v>5</v>
      </c>
      <c r="AR39" s="17" t="s">
        <v>92</v>
      </c>
      <c r="AS39" s="5">
        <v>0</v>
      </c>
      <c r="AT39" s="5">
        <v>5</v>
      </c>
      <c r="AU39" s="17" t="s">
        <v>92</v>
      </c>
      <c r="AV39" s="5">
        <v>0</v>
      </c>
      <c r="AW39" s="5">
        <v>3</v>
      </c>
      <c r="AX39" s="5">
        <v>5</v>
      </c>
      <c r="BH39" s="5">
        <f t="shared" si="6"/>
        <v>72</v>
      </c>
      <c r="BJ39" s="5">
        <v>4</v>
      </c>
      <c r="BK39" s="5">
        <v>4</v>
      </c>
      <c r="BL39" s="5">
        <v>4</v>
      </c>
      <c r="BM39" s="5">
        <v>4</v>
      </c>
      <c r="BN39" s="5">
        <v>4</v>
      </c>
      <c r="BO39" s="5">
        <v>4</v>
      </c>
      <c r="BP39" s="5">
        <v>3</v>
      </c>
      <c r="BQ39" s="5">
        <v>4</v>
      </c>
      <c r="BR39" s="5">
        <v>4</v>
      </c>
      <c r="BS39" s="5">
        <v>4</v>
      </c>
      <c r="BT39" s="5">
        <v>4</v>
      </c>
      <c r="BU39" s="5">
        <v>4</v>
      </c>
      <c r="BV39" s="5">
        <v>4</v>
      </c>
      <c r="BW39" s="5">
        <v>2</v>
      </c>
      <c r="BX39" s="5">
        <v>4</v>
      </c>
      <c r="BY39" s="5">
        <v>3</v>
      </c>
      <c r="BZ39" s="5">
        <v>4</v>
      </c>
      <c r="CA39" s="5">
        <v>4</v>
      </c>
      <c r="CK39" s="5">
        <f t="shared" si="7"/>
        <v>68</v>
      </c>
    </row>
    <row r="40" spans="1:89" s="5" customFormat="1" x14ac:dyDescent="0.45">
      <c r="A40" s="1">
        <v>9653</v>
      </c>
      <c r="B40" s="1"/>
      <c r="C40" s="5">
        <f t="shared" si="0"/>
        <v>144</v>
      </c>
      <c r="D40" s="13">
        <v>82.5</v>
      </c>
      <c r="F40" s="5">
        <f t="shared" si="1"/>
        <v>60</v>
      </c>
      <c r="G40" s="5">
        <f t="shared" si="2"/>
        <v>63</v>
      </c>
      <c r="H40" s="5">
        <f t="shared" si="3"/>
        <v>71</v>
      </c>
      <c r="I40" s="5">
        <f t="shared" si="4"/>
        <v>420.5</v>
      </c>
      <c r="K40" s="5">
        <v>52</v>
      </c>
      <c r="L40" s="5">
        <v>52</v>
      </c>
      <c r="M40" s="5">
        <v>40</v>
      </c>
      <c r="O40" s="5">
        <v>9</v>
      </c>
      <c r="P40" s="5">
        <v>12</v>
      </c>
      <c r="Q40" s="5">
        <v>9</v>
      </c>
      <c r="R40" s="5">
        <v>0</v>
      </c>
      <c r="S40" s="5">
        <v>3</v>
      </c>
      <c r="T40" s="5">
        <v>9</v>
      </c>
      <c r="U40" s="5">
        <v>6</v>
      </c>
      <c r="V40" s="5">
        <v>3</v>
      </c>
      <c r="W40" s="5">
        <v>9</v>
      </c>
      <c r="AC40" s="5">
        <f t="shared" si="5"/>
        <v>60</v>
      </c>
      <c r="AE40" s="5">
        <v>3</v>
      </c>
      <c r="AF40" s="5">
        <v>3</v>
      </c>
      <c r="AG40" s="5">
        <v>5</v>
      </c>
      <c r="AH40" s="5">
        <v>5</v>
      </c>
      <c r="AI40" s="5">
        <v>5</v>
      </c>
      <c r="AJ40" s="5">
        <v>4</v>
      </c>
      <c r="AK40" s="12">
        <v>0</v>
      </c>
      <c r="AL40" s="5">
        <v>5</v>
      </c>
      <c r="AM40" s="5">
        <v>3</v>
      </c>
      <c r="AN40" s="5">
        <v>3</v>
      </c>
      <c r="AO40" s="5">
        <v>3</v>
      </c>
      <c r="AP40" s="5">
        <v>5</v>
      </c>
      <c r="AQ40" s="10">
        <v>4</v>
      </c>
      <c r="AR40" s="17" t="s">
        <v>92</v>
      </c>
      <c r="AS40" s="5">
        <v>3</v>
      </c>
      <c r="AT40" s="5">
        <v>5</v>
      </c>
      <c r="AU40" s="17" t="s">
        <v>92</v>
      </c>
      <c r="AV40" s="5">
        <v>5</v>
      </c>
      <c r="AW40" s="5">
        <v>5</v>
      </c>
      <c r="AX40" s="5">
        <v>5</v>
      </c>
      <c r="BH40" s="5">
        <f t="shared" si="6"/>
        <v>71</v>
      </c>
      <c r="BJ40" s="5">
        <v>4</v>
      </c>
      <c r="BK40" s="5">
        <v>4</v>
      </c>
      <c r="BL40" s="5">
        <v>4</v>
      </c>
      <c r="BM40" s="5">
        <v>4</v>
      </c>
      <c r="BN40" s="5">
        <v>2</v>
      </c>
      <c r="BO40" s="5">
        <v>4</v>
      </c>
      <c r="BP40" s="5">
        <v>3</v>
      </c>
      <c r="BQ40" s="5">
        <v>4</v>
      </c>
      <c r="BR40" s="5">
        <v>4</v>
      </c>
      <c r="BS40" s="5">
        <v>3</v>
      </c>
      <c r="BT40" s="5">
        <v>2</v>
      </c>
      <c r="BU40" s="5">
        <v>4</v>
      </c>
      <c r="BV40" s="5">
        <v>4</v>
      </c>
      <c r="BW40" s="5">
        <v>4</v>
      </c>
      <c r="BX40" s="5">
        <v>2</v>
      </c>
      <c r="BY40" s="5">
        <v>3</v>
      </c>
      <c r="BZ40" s="5">
        <v>4</v>
      </c>
      <c r="CA40" s="5">
        <v>4</v>
      </c>
      <c r="CK40" s="5">
        <f t="shared" si="7"/>
        <v>63</v>
      </c>
    </row>
    <row r="41" spans="1:89" s="5" customFormat="1" x14ac:dyDescent="0.45">
      <c r="A41" s="1">
        <v>9790</v>
      </c>
      <c r="B41" s="1"/>
      <c r="C41" s="5">
        <f t="shared" si="0"/>
        <v>154</v>
      </c>
      <c r="D41" s="13">
        <v>95</v>
      </c>
      <c r="F41" s="5">
        <f t="shared" si="1"/>
        <v>90</v>
      </c>
      <c r="G41" s="5">
        <f t="shared" si="2"/>
        <v>66</v>
      </c>
      <c r="H41" s="5">
        <f t="shared" si="3"/>
        <v>85</v>
      </c>
      <c r="I41" s="5">
        <f t="shared" si="4"/>
        <v>490</v>
      </c>
      <c r="K41" s="5">
        <v>56</v>
      </c>
      <c r="L41" s="5">
        <v>59</v>
      </c>
      <c r="M41" s="5">
        <v>39</v>
      </c>
      <c r="O41" s="5">
        <v>6</v>
      </c>
      <c r="P41" s="5">
        <v>12</v>
      </c>
      <c r="Q41" s="5">
        <v>12</v>
      </c>
      <c r="R41" s="5">
        <v>12</v>
      </c>
      <c r="S41" s="5">
        <v>9</v>
      </c>
      <c r="T41" s="5">
        <v>9</v>
      </c>
      <c r="U41" s="5">
        <v>15</v>
      </c>
      <c r="V41" s="5">
        <v>6</v>
      </c>
      <c r="W41" s="5">
        <v>9</v>
      </c>
      <c r="AC41" s="5">
        <f t="shared" si="5"/>
        <v>90</v>
      </c>
      <c r="AE41" s="5">
        <v>5</v>
      </c>
      <c r="AF41" s="5">
        <v>5</v>
      </c>
      <c r="AG41" s="5">
        <v>5</v>
      </c>
      <c r="AH41" s="5">
        <v>5</v>
      </c>
      <c r="AI41" s="5">
        <v>5</v>
      </c>
      <c r="AJ41" s="5">
        <v>5</v>
      </c>
      <c r="AK41" s="12">
        <v>5</v>
      </c>
      <c r="AL41" s="5">
        <v>5</v>
      </c>
      <c r="AM41" s="5">
        <v>5</v>
      </c>
      <c r="AN41" s="5">
        <v>5</v>
      </c>
      <c r="AO41" s="5">
        <v>5</v>
      </c>
      <c r="AP41" s="5">
        <v>5</v>
      </c>
      <c r="AQ41" s="10">
        <v>5</v>
      </c>
      <c r="AR41" s="17" t="s">
        <v>92</v>
      </c>
      <c r="AS41" s="5">
        <v>5</v>
      </c>
      <c r="AT41" s="5">
        <v>5</v>
      </c>
      <c r="AU41" s="17" t="s">
        <v>92</v>
      </c>
      <c r="AV41" s="5">
        <v>5</v>
      </c>
      <c r="AW41" s="5">
        <v>5</v>
      </c>
      <c r="AX41" s="5">
        <v>0</v>
      </c>
      <c r="BH41" s="5">
        <f t="shared" si="6"/>
        <v>85</v>
      </c>
      <c r="BJ41" s="5">
        <v>3</v>
      </c>
      <c r="BK41" s="5">
        <v>3</v>
      </c>
      <c r="BL41" s="5">
        <v>3</v>
      </c>
      <c r="BM41" s="5">
        <v>4</v>
      </c>
      <c r="BN41" s="5">
        <v>4</v>
      </c>
      <c r="BO41" s="5">
        <v>4</v>
      </c>
      <c r="BP41" s="5">
        <v>4</v>
      </c>
      <c r="BQ41" s="5">
        <v>4</v>
      </c>
      <c r="BR41" s="5">
        <v>4</v>
      </c>
      <c r="BS41" s="5">
        <v>4</v>
      </c>
      <c r="BT41" s="5">
        <v>3</v>
      </c>
      <c r="BU41" s="5">
        <v>4</v>
      </c>
      <c r="BV41" s="5">
        <v>4</v>
      </c>
      <c r="BW41" s="5">
        <v>3</v>
      </c>
      <c r="BX41" s="5">
        <v>3</v>
      </c>
      <c r="BY41" s="5">
        <v>4</v>
      </c>
      <c r="BZ41" s="5">
        <v>4</v>
      </c>
      <c r="CA41" s="5">
        <v>4</v>
      </c>
      <c r="CK41" s="5">
        <f t="shared" si="7"/>
        <v>66</v>
      </c>
    </row>
    <row r="42" spans="1:89" s="5" customFormat="1" x14ac:dyDescent="0.45">
      <c r="A42" s="1" t="s">
        <v>0</v>
      </c>
      <c r="B42" s="1"/>
      <c r="C42" s="5">
        <f>SUM(K42:M42)</f>
        <v>153</v>
      </c>
      <c r="D42" s="13">
        <v>102.5</v>
      </c>
      <c r="F42" s="5">
        <f>AC42</f>
        <v>88.5</v>
      </c>
      <c r="G42" s="5">
        <f>CK42</f>
        <v>56</v>
      </c>
      <c r="H42" s="5">
        <f>IF(BH42&lt;120, BH42, 120)</f>
        <v>70</v>
      </c>
      <c r="I42" s="5">
        <f>SUM(C42:H42)</f>
        <v>470</v>
      </c>
      <c r="K42" s="5">
        <v>53</v>
      </c>
      <c r="L42" s="5">
        <v>60</v>
      </c>
      <c r="M42" s="5">
        <v>40</v>
      </c>
      <c r="O42" s="5">
        <v>12</v>
      </c>
      <c r="P42" s="5">
        <v>9</v>
      </c>
      <c r="Q42" s="5">
        <v>15</v>
      </c>
      <c r="R42" s="13">
        <v>10.5</v>
      </c>
      <c r="S42" s="5">
        <v>6</v>
      </c>
      <c r="T42" s="5">
        <v>15</v>
      </c>
      <c r="U42" s="5">
        <v>12</v>
      </c>
      <c r="V42" s="5">
        <v>0</v>
      </c>
      <c r="W42" s="5">
        <v>9</v>
      </c>
      <c r="AC42" s="5">
        <f t="shared" si="5"/>
        <v>88.5</v>
      </c>
      <c r="AE42" s="5">
        <v>3</v>
      </c>
      <c r="AF42" s="5">
        <v>5</v>
      </c>
      <c r="AG42" s="5">
        <v>5</v>
      </c>
      <c r="AH42" s="5">
        <v>5</v>
      </c>
      <c r="AI42" s="5">
        <v>5</v>
      </c>
      <c r="AJ42" s="5">
        <v>5</v>
      </c>
      <c r="AK42" s="12">
        <v>5</v>
      </c>
      <c r="AL42" s="5">
        <v>3</v>
      </c>
      <c r="AM42" s="5">
        <v>5</v>
      </c>
      <c r="AN42" s="5">
        <v>5</v>
      </c>
      <c r="AO42" s="5">
        <v>4</v>
      </c>
      <c r="AP42" s="5">
        <v>4</v>
      </c>
      <c r="AQ42" s="10">
        <v>4</v>
      </c>
      <c r="AR42" s="17" t="s">
        <v>92</v>
      </c>
      <c r="AS42" s="5">
        <v>0</v>
      </c>
      <c r="AT42" s="5">
        <v>5</v>
      </c>
      <c r="AU42" s="17" t="s">
        <v>92</v>
      </c>
      <c r="AV42" s="5">
        <v>3</v>
      </c>
      <c r="AW42" s="5">
        <v>4</v>
      </c>
      <c r="AX42" s="5">
        <v>0</v>
      </c>
      <c r="BH42" s="5">
        <f>SUM(AE42:BG42)</f>
        <v>70</v>
      </c>
      <c r="BJ42" s="5">
        <v>3</v>
      </c>
      <c r="BK42" s="5">
        <v>2</v>
      </c>
      <c r="BL42" s="5">
        <v>4</v>
      </c>
      <c r="BM42" s="5">
        <v>4</v>
      </c>
      <c r="BN42" s="5">
        <v>4</v>
      </c>
      <c r="BO42" s="5">
        <v>4</v>
      </c>
      <c r="BP42" s="5">
        <v>4</v>
      </c>
      <c r="BQ42" s="5">
        <v>3</v>
      </c>
      <c r="BR42" s="5">
        <v>3</v>
      </c>
      <c r="BS42" s="5">
        <v>3</v>
      </c>
      <c r="BT42" s="5">
        <v>0</v>
      </c>
      <c r="BU42" s="5">
        <v>4</v>
      </c>
      <c r="BV42" s="5">
        <v>4</v>
      </c>
      <c r="BW42" s="5">
        <v>0</v>
      </c>
      <c r="BX42" s="5">
        <v>3</v>
      </c>
      <c r="BY42" s="5">
        <v>3</v>
      </c>
      <c r="BZ42" s="5">
        <v>4</v>
      </c>
      <c r="CA42" s="5">
        <v>4</v>
      </c>
      <c r="CK42" s="5">
        <f t="shared" si="7"/>
        <v>56</v>
      </c>
    </row>
    <row r="43" spans="1:89" s="5" customFormat="1" x14ac:dyDescent="0.45">
      <c r="A43" s="1" t="s">
        <v>4</v>
      </c>
      <c r="B43" s="1"/>
      <c r="C43" s="5">
        <f t="shared" si="0"/>
        <v>152</v>
      </c>
      <c r="D43" s="13">
        <v>104</v>
      </c>
      <c r="F43" s="5">
        <f t="shared" si="1"/>
        <v>81</v>
      </c>
      <c r="G43" s="5">
        <f t="shared" si="2"/>
        <v>63</v>
      </c>
      <c r="H43" s="5">
        <f t="shared" si="3"/>
        <v>81</v>
      </c>
      <c r="I43" s="5">
        <f t="shared" si="4"/>
        <v>481</v>
      </c>
      <c r="K43" s="5">
        <v>55</v>
      </c>
      <c r="L43" s="5">
        <v>57</v>
      </c>
      <c r="M43" s="5">
        <v>40</v>
      </c>
      <c r="O43" s="5">
        <v>0</v>
      </c>
      <c r="P43" s="5">
        <v>9</v>
      </c>
      <c r="Q43" s="5">
        <v>15</v>
      </c>
      <c r="R43" s="5">
        <v>12</v>
      </c>
      <c r="S43" s="5">
        <v>12</v>
      </c>
      <c r="T43" s="5">
        <v>12</v>
      </c>
      <c r="U43" s="5">
        <v>9</v>
      </c>
      <c r="V43" s="5">
        <v>3</v>
      </c>
      <c r="W43" s="5">
        <v>9</v>
      </c>
      <c r="AC43" s="5">
        <f t="shared" si="5"/>
        <v>81</v>
      </c>
      <c r="AE43" s="5">
        <v>4</v>
      </c>
      <c r="AF43" s="5">
        <v>5</v>
      </c>
      <c r="AG43" s="5">
        <v>5</v>
      </c>
      <c r="AH43" s="5">
        <v>5</v>
      </c>
      <c r="AI43" s="5">
        <v>5</v>
      </c>
      <c r="AJ43" s="5">
        <v>5</v>
      </c>
      <c r="AK43" s="12">
        <v>5</v>
      </c>
      <c r="AL43" s="5">
        <v>5</v>
      </c>
      <c r="AM43" s="5">
        <v>5</v>
      </c>
      <c r="AN43" s="5">
        <v>5</v>
      </c>
      <c r="AO43" s="5">
        <v>3</v>
      </c>
      <c r="AP43" s="5">
        <v>5</v>
      </c>
      <c r="AQ43" s="16">
        <v>5</v>
      </c>
      <c r="AR43" s="17" t="s">
        <v>92</v>
      </c>
      <c r="AS43" s="5">
        <v>3</v>
      </c>
      <c r="AT43" s="5">
        <v>5</v>
      </c>
      <c r="AU43" s="17" t="s">
        <v>92</v>
      </c>
      <c r="AV43" s="5">
        <v>5</v>
      </c>
      <c r="AW43" s="5">
        <v>3</v>
      </c>
      <c r="AX43" s="5">
        <v>3</v>
      </c>
      <c r="BH43" s="5">
        <f t="shared" si="6"/>
        <v>81</v>
      </c>
      <c r="BJ43" s="5">
        <v>3</v>
      </c>
      <c r="BK43" s="5">
        <v>2</v>
      </c>
      <c r="BL43" s="5">
        <v>4</v>
      </c>
      <c r="BM43" s="5">
        <v>4</v>
      </c>
      <c r="BN43" s="5">
        <v>3</v>
      </c>
      <c r="BO43" s="5">
        <v>4</v>
      </c>
      <c r="BP43" s="5">
        <v>3</v>
      </c>
      <c r="BQ43" s="5">
        <v>4</v>
      </c>
      <c r="BR43" s="5">
        <v>4</v>
      </c>
      <c r="BS43" s="5">
        <v>4</v>
      </c>
      <c r="BT43" s="5">
        <v>2</v>
      </c>
      <c r="BU43" s="5">
        <v>4</v>
      </c>
      <c r="BV43" s="5">
        <v>4</v>
      </c>
      <c r="BW43" s="5">
        <v>4</v>
      </c>
      <c r="BX43" s="5">
        <v>3</v>
      </c>
      <c r="BY43" s="5">
        <v>3</v>
      </c>
      <c r="BZ43" s="5">
        <v>4</v>
      </c>
      <c r="CA43" s="5">
        <v>4</v>
      </c>
      <c r="CK43" s="5">
        <f t="shared" si="7"/>
        <v>63</v>
      </c>
    </row>
    <row r="44" spans="1:89" s="5" customFormat="1" x14ac:dyDescent="0.45">
      <c r="A44" s="1" t="s">
        <v>6</v>
      </c>
      <c r="B44" s="1"/>
      <c r="C44" s="5">
        <f t="shared" si="0"/>
        <v>129</v>
      </c>
      <c r="D44" s="13">
        <v>103.5</v>
      </c>
      <c r="F44" s="5">
        <f t="shared" si="1"/>
        <v>69</v>
      </c>
      <c r="G44" s="5">
        <f t="shared" si="2"/>
        <v>53</v>
      </c>
      <c r="H44" s="5">
        <f t="shared" si="3"/>
        <v>75</v>
      </c>
      <c r="I44" s="5">
        <f t="shared" si="4"/>
        <v>429.5</v>
      </c>
      <c r="K44" s="5">
        <v>40</v>
      </c>
      <c r="L44" s="5">
        <v>52</v>
      </c>
      <c r="M44" s="5">
        <v>37</v>
      </c>
      <c r="O44" s="5">
        <v>12</v>
      </c>
      <c r="P44" s="5">
        <v>9</v>
      </c>
      <c r="Q44" s="5">
        <v>15</v>
      </c>
      <c r="R44" s="5">
        <v>15</v>
      </c>
      <c r="S44" s="5">
        <v>0</v>
      </c>
      <c r="T44" s="5">
        <v>9</v>
      </c>
      <c r="U44" s="5">
        <v>0</v>
      </c>
      <c r="V44" s="5">
        <v>9</v>
      </c>
      <c r="W44" s="5">
        <v>0</v>
      </c>
      <c r="AC44" s="5">
        <f t="shared" si="5"/>
        <v>69</v>
      </c>
      <c r="AE44" s="5">
        <v>5</v>
      </c>
      <c r="AF44" s="5">
        <v>5</v>
      </c>
      <c r="AG44" s="5">
        <v>5</v>
      </c>
      <c r="AH44" s="5">
        <v>5</v>
      </c>
      <c r="AI44" s="5">
        <v>5</v>
      </c>
      <c r="AJ44" s="5">
        <v>5</v>
      </c>
      <c r="AK44" s="12">
        <v>5</v>
      </c>
      <c r="AL44" s="5">
        <v>5</v>
      </c>
      <c r="AM44" s="5">
        <v>5</v>
      </c>
      <c r="AN44" s="5">
        <v>5</v>
      </c>
      <c r="AO44" s="5">
        <v>5</v>
      </c>
      <c r="AP44" s="5">
        <v>5</v>
      </c>
      <c r="AQ44" s="16">
        <v>0</v>
      </c>
      <c r="AR44" s="17" t="s">
        <v>92</v>
      </c>
      <c r="AS44" s="5">
        <v>0</v>
      </c>
      <c r="AT44" s="5">
        <v>5</v>
      </c>
      <c r="AU44" s="17" t="s">
        <v>92</v>
      </c>
      <c r="AV44" s="5">
        <v>5</v>
      </c>
      <c r="AW44" s="5">
        <v>0</v>
      </c>
      <c r="AX44" s="5">
        <v>5</v>
      </c>
      <c r="BH44" s="5">
        <f t="shared" si="6"/>
        <v>75</v>
      </c>
      <c r="BJ44" s="5">
        <v>4</v>
      </c>
      <c r="BK44" s="5">
        <v>4</v>
      </c>
      <c r="BL44" s="5">
        <v>3</v>
      </c>
      <c r="BM44" s="5">
        <v>4</v>
      </c>
      <c r="BN44" s="5">
        <v>4</v>
      </c>
      <c r="BO44" s="5">
        <v>0</v>
      </c>
      <c r="BP44" s="5">
        <v>4</v>
      </c>
      <c r="BQ44" s="5">
        <v>0</v>
      </c>
      <c r="BR44" s="5">
        <v>4</v>
      </c>
      <c r="BS44" s="5">
        <v>4</v>
      </c>
      <c r="BT44" s="5">
        <v>3</v>
      </c>
      <c r="BU44" s="5">
        <v>4</v>
      </c>
      <c r="BV44" s="5">
        <v>4</v>
      </c>
      <c r="BW44" s="5">
        <v>0</v>
      </c>
      <c r="BX44" s="5">
        <v>3</v>
      </c>
      <c r="BY44" s="5">
        <v>4</v>
      </c>
      <c r="BZ44" s="5">
        <v>0</v>
      </c>
      <c r="CA44" s="5">
        <v>4</v>
      </c>
      <c r="CK44" s="5">
        <f t="shared" si="7"/>
        <v>53</v>
      </c>
    </row>
    <row r="45" spans="1:89" s="5" customFormat="1" x14ac:dyDescent="0.45">
      <c r="A45" s="1" t="s">
        <v>67</v>
      </c>
      <c r="B45" s="1"/>
      <c r="C45" s="5">
        <f t="shared" si="0"/>
        <v>152</v>
      </c>
      <c r="D45" s="13">
        <v>93</v>
      </c>
      <c r="F45" s="5">
        <f t="shared" si="1"/>
        <v>57</v>
      </c>
      <c r="G45" s="5">
        <f t="shared" si="2"/>
        <v>50</v>
      </c>
      <c r="H45" s="5">
        <f t="shared" si="3"/>
        <v>54</v>
      </c>
      <c r="I45" s="5">
        <f t="shared" si="4"/>
        <v>406</v>
      </c>
      <c r="K45" s="5">
        <v>55</v>
      </c>
      <c r="L45" s="5">
        <v>58</v>
      </c>
      <c r="M45" s="5">
        <v>39</v>
      </c>
      <c r="O45" s="5">
        <v>6</v>
      </c>
      <c r="P45" s="5">
        <v>9</v>
      </c>
      <c r="Q45" s="5">
        <v>6</v>
      </c>
      <c r="R45" s="5">
        <v>9</v>
      </c>
      <c r="S45" s="5">
        <v>6</v>
      </c>
      <c r="T45" s="5">
        <v>9</v>
      </c>
      <c r="U45" s="5">
        <v>6</v>
      </c>
      <c r="V45" s="5">
        <v>0</v>
      </c>
      <c r="W45" s="5">
        <v>6</v>
      </c>
      <c r="AC45" s="5">
        <f t="shared" si="5"/>
        <v>57</v>
      </c>
      <c r="AE45" s="5">
        <v>3</v>
      </c>
      <c r="AF45" s="5">
        <v>3</v>
      </c>
      <c r="AG45" s="5">
        <v>0</v>
      </c>
      <c r="AH45" s="5">
        <v>3</v>
      </c>
      <c r="AI45" s="5">
        <v>3</v>
      </c>
      <c r="AJ45" s="5">
        <v>5</v>
      </c>
      <c r="AK45" s="12">
        <v>5</v>
      </c>
      <c r="AL45" s="5">
        <v>3</v>
      </c>
      <c r="AM45" s="5">
        <v>3</v>
      </c>
      <c r="AN45" s="5">
        <v>0</v>
      </c>
      <c r="AO45" s="5">
        <v>3</v>
      </c>
      <c r="AP45" s="5">
        <v>3</v>
      </c>
      <c r="AQ45" s="10">
        <v>3</v>
      </c>
      <c r="AR45" s="17" t="s">
        <v>92</v>
      </c>
      <c r="AS45" s="5">
        <v>3</v>
      </c>
      <c r="AT45" s="5">
        <v>5</v>
      </c>
      <c r="AU45" s="17" t="s">
        <v>92</v>
      </c>
      <c r="AV45" s="5">
        <v>3</v>
      </c>
      <c r="AW45" s="5">
        <v>3</v>
      </c>
      <c r="AX45" s="5">
        <v>3</v>
      </c>
      <c r="BH45" s="5">
        <f t="shared" si="6"/>
        <v>54</v>
      </c>
      <c r="BJ45" s="5">
        <v>0</v>
      </c>
      <c r="BK45" s="5">
        <v>2</v>
      </c>
      <c r="BL45" s="5">
        <v>3</v>
      </c>
      <c r="BM45" s="5">
        <v>4</v>
      </c>
      <c r="BN45" s="5">
        <v>4</v>
      </c>
      <c r="BO45" s="5">
        <v>4</v>
      </c>
      <c r="BP45" s="5">
        <v>0</v>
      </c>
      <c r="BQ45" s="5">
        <v>3</v>
      </c>
      <c r="BR45" s="5">
        <v>3</v>
      </c>
      <c r="BS45" s="5">
        <v>2</v>
      </c>
      <c r="BT45" s="5">
        <v>2</v>
      </c>
      <c r="BU45" s="5">
        <v>0</v>
      </c>
      <c r="BV45" s="5">
        <v>4</v>
      </c>
      <c r="BW45" s="5">
        <v>4</v>
      </c>
      <c r="BX45" s="5">
        <v>3</v>
      </c>
      <c r="BY45" s="5">
        <v>4</v>
      </c>
      <c r="BZ45" s="5">
        <v>4</v>
      </c>
      <c r="CA45" s="5">
        <v>4</v>
      </c>
      <c r="CK45" s="5">
        <f t="shared" si="7"/>
        <v>50</v>
      </c>
    </row>
    <row r="46" spans="1:89" s="5" customFormat="1" x14ac:dyDescent="0.45">
      <c r="A46" s="1" t="s">
        <v>2</v>
      </c>
      <c r="B46" s="1"/>
      <c r="C46" s="5">
        <f t="shared" si="0"/>
        <v>157</v>
      </c>
      <c r="D46" s="13">
        <v>114.5</v>
      </c>
      <c r="F46" s="5">
        <f t="shared" si="1"/>
        <v>99</v>
      </c>
      <c r="G46" s="5">
        <f t="shared" si="2"/>
        <v>59</v>
      </c>
      <c r="H46" s="5">
        <f t="shared" si="3"/>
        <v>39</v>
      </c>
      <c r="I46" s="5">
        <f t="shared" si="4"/>
        <v>468.5</v>
      </c>
      <c r="K46" s="5">
        <v>59</v>
      </c>
      <c r="L46" s="5">
        <v>58</v>
      </c>
      <c r="M46" s="5">
        <v>40</v>
      </c>
      <c r="O46" s="5">
        <v>9</v>
      </c>
      <c r="P46" s="5">
        <v>15</v>
      </c>
      <c r="Q46" s="5">
        <v>9</v>
      </c>
      <c r="R46" s="5">
        <v>15</v>
      </c>
      <c r="S46" s="5">
        <v>6</v>
      </c>
      <c r="T46" s="5">
        <v>15</v>
      </c>
      <c r="U46" s="5">
        <v>15</v>
      </c>
      <c r="V46" s="5">
        <v>6</v>
      </c>
      <c r="W46" s="5">
        <v>9</v>
      </c>
      <c r="AC46" s="5">
        <f t="shared" si="5"/>
        <v>99</v>
      </c>
      <c r="AE46" s="5">
        <v>3</v>
      </c>
      <c r="AF46" s="5">
        <v>0</v>
      </c>
      <c r="AG46" s="5">
        <v>0</v>
      </c>
      <c r="AH46" s="5">
        <v>0</v>
      </c>
      <c r="AI46" s="5">
        <v>0</v>
      </c>
      <c r="AJ46" s="5">
        <v>5</v>
      </c>
      <c r="AK46" s="12">
        <v>5</v>
      </c>
      <c r="AL46" s="5">
        <v>3</v>
      </c>
      <c r="AM46" s="5">
        <v>3</v>
      </c>
      <c r="AN46" s="5">
        <v>3</v>
      </c>
      <c r="AO46" s="5">
        <v>3</v>
      </c>
      <c r="AP46" s="5">
        <v>3</v>
      </c>
      <c r="AQ46" s="10">
        <v>3</v>
      </c>
      <c r="AR46" s="17" t="s">
        <v>92</v>
      </c>
      <c r="AS46" s="5">
        <v>0</v>
      </c>
      <c r="AT46" s="5">
        <v>5</v>
      </c>
      <c r="AU46" s="17" t="s">
        <v>92</v>
      </c>
      <c r="AV46" s="5">
        <v>0</v>
      </c>
      <c r="AW46" s="5">
        <v>3</v>
      </c>
      <c r="AX46" s="5">
        <v>0</v>
      </c>
      <c r="BH46" s="5">
        <f t="shared" si="6"/>
        <v>39</v>
      </c>
      <c r="BJ46" s="5">
        <v>3</v>
      </c>
      <c r="BK46" s="5">
        <v>2</v>
      </c>
      <c r="BL46" s="5">
        <v>2</v>
      </c>
      <c r="BM46" s="5">
        <v>4</v>
      </c>
      <c r="BN46" s="5">
        <v>3</v>
      </c>
      <c r="BO46" s="5">
        <v>4</v>
      </c>
      <c r="BP46" s="5">
        <v>4</v>
      </c>
      <c r="BQ46" s="5">
        <v>3</v>
      </c>
      <c r="BR46" s="5">
        <v>4</v>
      </c>
      <c r="BS46" s="5">
        <v>4</v>
      </c>
      <c r="BT46" s="5">
        <v>4</v>
      </c>
      <c r="BU46" s="5">
        <v>4</v>
      </c>
      <c r="BV46" s="5">
        <v>4</v>
      </c>
      <c r="BW46" s="5">
        <v>4</v>
      </c>
      <c r="BX46" s="5">
        <v>3</v>
      </c>
      <c r="BY46" s="5">
        <v>3</v>
      </c>
      <c r="BZ46" s="5">
        <v>0</v>
      </c>
      <c r="CA46" s="5">
        <v>4</v>
      </c>
      <c r="CK46" s="5">
        <f t="shared" si="7"/>
        <v>59</v>
      </c>
    </row>
    <row r="47" spans="1:89" s="5" customFormat="1" x14ac:dyDescent="0.45">
      <c r="A47" s="1" t="s">
        <v>5</v>
      </c>
      <c r="B47" s="1"/>
      <c r="C47" s="5">
        <f t="shared" si="0"/>
        <v>156</v>
      </c>
      <c r="D47" s="13">
        <v>129</v>
      </c>
      <c r="F47" s="5">
        <f t="shared" si="1"/>
        <v>105</v>
      </c>
      <c r="G47" s="5">
        <f t="shared" si="2"/>
        <v>68</v>
      </c>
      <c r="H47" s="5">
        <f t="shared" si="3"/>
        <v>90</v>
      </c>
      <c r="I47" s="5">
        <f t="shared" si="4"/>
        <v>548</v>
      </c>
      <c r="K47" s="5">
        <v>57</v>
      </c>
      <c r="L47" s="5">
        <v>59</v>
      </c>
      <c r="M47" s="5">
        <v>40</v>
      </c>
      <c r="O47" s="5">
        <v>12</v>
      </c>
      <c r="P47" s="5">
        <v>12</v>
      </c>
      <c r="Q47" s="5">
        <v>12</v>
      </c>
      <c r="R47" s="5">
        <v>15</v>
      </c>
      <c r="S47" s="5">
        <v>9</v>
      </c>
      <c r="T47" s="5">
        <v>15</v>
      </c>
      <c r="U47" s="5">
        <v>9</v>
      </c>
      <c r="V47" s="5">
        <v>12</v>
      </c>
      <c r="W47" s="5">
        <v>9</v>
      </c>
      <c r="AC47" s="5">
        <f t="shared" si="5"/>
        <v>105</v>
      </c>
      <c r="AE47" s="5">
        <v>5</v>
      </c>
      <c r="AF47" s="5">
        <v>5</v>
      </c>
      <c r="AG47" s="5">
        <v>5</v>
      </c>
      <c r="AH47" s="5">
        <v>5</v>
      </c>
      <c r="AI47" s="5">
        <v>5</v>
      </c>
      <c r="AJ47" s="5">
        <v>5</v>
      </c>
      <c r="AK47" s="12">
        <v>5</v>
      </c>
      <c r="AL47" s="5">
        <v>5</v>
      </c>
      <c r="AM47" s="5">
        <v>5</v>
      </c>
      <c r="AN47" s="5">
        <v>5</v>
      </c>
      <c r="AO47" s="5">
        <v>5</v>
      </c>
      <c r="AP47" s="5">
        <v>5</v>
      </c>
      <c r="AQ47" s="16">
        <v>5</v>
      </c>
      <c r="AR47" s="17" t="s">
        <v>92</v>
      </c>
      <c r="AS47" s="5">
        <v>5</v>
      </c>
      <c r="AT47" s="5">
        <v>5</v>
      </c>
      <c r="AU47" s="17" t="s">
        <v>92</v>
      </c>
      <c r="AV47" s="5">
        <v>5</v>
      </c>
      <c r="AW47" s="5">
        <v>5</v>
      </c>
      <c r="AX47" s="5">
        <v>5</v>
      </c>
      <c r="BH47" s="5">
        <f t="shared" si="6"/>
        <v>90</v>
      </c>
      <c r="BJ47" s="5">
        <v>3</v>
      </c>
      <c r="BK47" s="5">
        <v>2</v>
      </c>
      <c r="BL47" s="5">
        <v>4</v>
      </c>
      <c r="BM47" s="5">
        <v>4</v>
      </c>
      <c r="BN47" s="5">
        <v>4</v>
      </c>
      <c r="BO47" s="5">
        <v>4</v>
      </c>
      <c r="BP47" s="5">
        <v>4</v>
      </c>
      <c r="BQ47" s="5">
        <v>4</v>
      </c>
      <c r="BR47" s="5">
        <v>4</v>
      </c>
      <c r="BS47" s="5">
        <v>4</v>
      </c>
      <c r="BT47" s="5">
        <v>4</v>
      </c>
      <c r="BU47" s="5">
        <v>4</v>
      </c>
      <c r="BV47" s="5">
        <v>4</v>
      </c>
      <c r="BW47" s="5">
        <v>4</v>
      </c>
      <c r="BX47" s="5">
        <v>3</v>
      </c>
      <c r="BY47" s="5">
        <v>4</v>
      </c>
      <c r="BZ47" s="5">
        <v>4</v>
      </c>
      <c r="CA47" s="5">
        <v>4</v>
      </c>
      <c r="CK47" s="5">
        <f t="shared" si="7"/>
        <v>68</v>
      </c>
    </row>
    <row r="48" spans="1:89" s="5" customFormat="1" x14ac:dyDescent="0.45">
      <c r="A48" s="1" t="s">
        <v>7</v>
      </c>
      <c r="B48" s="1"/>
      <c r="C48" s="5">
        <f t="shared" si="0"/>
        <v>104</v>
      </c>
      <c r="D48" s="13">
        <v>104</v>
      </c>
      <c r="F48" s="5">
        <f t="shared" si="1"/>
        <v>69</v>
      </c>
      <c r="G48" s="5">
        <f t="shared" si="2"/>
        <v>41</v>
      </c>
      <c r="H48" s="5">
        <f t="shared" si="3"/>
        <v>62</v>
      </c>
      <c r="I48" s="5">
        <f t="shared" si="4"/>
        <v>380</v>
      </c>
      <c r="K48" s="5">
        <v>49</v>
      </c>
      <c r="L48" s="5">
        <v>55</v>
      </c>
      <c r="M48" s="5">
        <v>0</v>
      </c>
      <c r="O48" s="5">
        <v>9</v>
      </c>
      <c r="P48" s="5">
        <v>15</v>
      </c>
      <c r="Q48" s="5">
        <v>12</v>
      </c>
      <c r="R48" s="5">
        <v>12</v>
      </c>
      <c r="S48" s="5">
        <v>0</v>
      </c>
      <c r="T48" s="5">
        <v>0</v>
      </c>
      <c r="U48" s="5">
        <v>12</v>
      </c>
      <c r="V48" s="5">
        <v>0</v>
      </c>
      <c r="W48" s="5">
        <v>9</v>
      </c>
      <c r="AC48" s="5">
        <f t="shared" si="5"/>
        <v>69</v>
      </c>
      <c r="AE48" s="5">
        <v>3</v>
      </c>
      <c r="AF48" s="5">
        <v>3</v>
      </c>
      <c r="AG48" s="5">
        <v>5</v>
      </c>
      <c r="AH48" s="5">
        <v>3</v>
      </c>
      <c r="AI48" s="5">
        <v>3</v>
      </c>
      <c r="AJ48" s="5">
        <v>5</v>
      </c>
      <c r="AK48" s="12">
        <v>5</v>
      </c>
      <c r="AL48" s="5">
        <v>0</v>
      </c>
      <c r="AM48" s="5">
        <v>0</v>
      </c>
      <c r="AN48" s="5">
        <v>5</v>
      </c>
      <c r="AO48" s="5">
        <v>0</v>
      </c>
      <c r="AP48" s="5">
        <v>5</v>
      </c>
      <c r="AQ48" s="16">
        <v>5</v>
      </c>
      <c r="AR48" s="17" t="s">
        <v>92</v>
      </c>
      <c r="AS48" s="5">
        <v>5</v>
      </c>
      <c r="AT48" s="5">
        <v>0</v>
      </c>
      <c r="AU48" s="17" t="s">
        <v>92</v>
      </c>
      <c r="AV48" s="5">
        <v>5</v>
      </c>
      <c r="AW48" s="5">
        <v>5</v>
      </c>
      <c r="AX48" s="5">
        <v>5</v>
      </c>
      <c r="BH48" s="5">
        <f t="shared" si="6"/>
        <v>62</v>
      </c>
      <c r="BJ48" s="5">
        <v>3</v>
      </c>
      <c r="BK48" s="5">
        <v>3</v>
      </c>
      <c r="BL48" s="5">
        <v>3</v>
      </c>
      <c r="BM48" s="5">
        <v>4</v>
      </c>
      <c r="BN48" s="5">
        <v>4</v>
      </c>
      <c r="BO48" s="5">
        <v>4</v>
      </c>
      <c r="BP48" s="5">
        <v>0</v>
      </c>
      <c r="BQ48" s="5">
        <v>0</v>
      </c>
      <c r="BR48" s="5">
        <v>0</v>
      </c>
      <c r="BS48" s="5">
        <v>4</v>
      </c>
      <c r="BT48" s="5">
        <v>0</v>
      </c>
      <c r="BU48" s="5">
        <v>4</v>
      </c>
      <c r="BV48" s="5">
        <v>4</v>
      </c>
      <c r="BW48" s="5">
        <v>0</v>
      </c>
      <c r="BX48" s="5">
        <v>0</v>
      </c>
      <c r="BY48" s="5">
        <v>0</v>
      </c>
      <c r="BZ48" s="5">
        <v>4</v>
      </c>
      <c r="CA48" s="5">
        <v>4</v>
      </c>
      <c r="CK48" s="5">
        <f t="shared" si="7"/>
        <v>41</v>
      </c>
    </row>
    <row r="49" spans="1:89" s="5" customFormat="1" x14ac:dyDescent="0.45">
      <c r="A49" s="1" t="s">
        <v>3</v>
      </c>
      <c r="B49" s="1"/>
      <c r="C49" s="5">
        <f t="shared" si="0"/>
        <v>155</v>
      </c>
      <c r="D49" s="13">
        <v>113</v>
      </c>
      <c r="F49" s="5">
        <f t="shared" si="1"/>
        <v>90</v>
      </c>
      <c r="G49" s="5">
        <f t="shared" si="2"/>
        <v>56</v>
      </c>
      <c r="H49" s="5">
        <f t="shared" si="3"/>
        <v>85</v>
      </c>
      <c r="I49" s="5">
        <f t="shared" si="4"/>
        <v>499</v>
      </c>
      <c r="K49" s="5">
        <v>57</v>
      </c>
      <c r="L49" s="5">
        <v>59</v>
      </c>
      <c r="M49" s="5">
        <v>39</v>
      </c>
      <c r="O49" s="5">
        <v>9</v>
      </c>
      <c r="P49" s="5">
        <v>12</v>
      </c>
      <c r="Q49" s="5">
        <v>15</v>
      </c>
      <c r="R49" s="5">
        <v>15</v>
      </c>
      <c r="S49" s="5">
        <v>6</v>
      </c>
      <c r="T49" s="5">
        <v>9</v>
      </c>
      <c r="U49" s="5">
        <v>9</v>
      </c>
      <c r="V49" s="5">
        <v>3</v>
      </c>
      <c r="W49" s="5">
        <v>12</v>
      </c>
      <c r="AC49" s="5">
        <f t="shared" si="5"/>
        <v>90</v>
      </c>
      <c r="AE49" s="5">
        <v>5</v>
      </c>
      <c r="AF49" s="5">
        <v>5</v>
      </c>
      <c r="AG49" s="5">
        <v>5</v>
      </c>
      <c r="AH49" s="5">
        <v>5</v>
      </c>
      <c r="AI49" s="5">
        <v>5</v>
      </c>
      <c r="AJ49" s="5">
        <v>5</v>
      </c>
      <c r="AK49" s="12">
        <v>5</v>
      </c>
      <c r="AL49" s="5">
        <v>5</v>
      </c>
      <c r="AM49" s="5">
        <v>5</v>
      </c>
      <c r="AN49" s="5">
        <v>5</v>
      </c>
      <c r="AO49" s="5">
        <v>5</v>
      </c>
      <c r="AP49" s="5">
        <v>5</v>
      </c>
      <c r="AQ49" s="10">
        <v>5</v>
      </c>
      <c r="AR49" s="17" t="s">
        <v>92</v>
      </c>
      <c r="AS49" s="5">
        <v>0</v>
      </c>
      <c r="AT49" s="5">
        <v>5</v>
      </c>
      <c r="AU49" s="17" t="s">
        <v>92</v>
      </c>
      <c r="AV49" s="5">
        <v>5</v>
      </c>
      <c r="AW49" s="5">
        <v>5</v>
      </c>
      <c r="AX49" s="5">
        <v>5</v>
      </c>
      <c r="BH49" s="5">
        <f t="shared" si="6"/>
        <v>85</v>
      </c>
      <c r="BJ49" s="5">
        <v>3</v>
      </c>
      <c r="BK49" s="5">
        <v>3</v>
      </c>
      <c r="BL49" s="5">
        <v>4</v>
      </c>
      <c r="BM49" s="5">
        <v>4</v>
      </c>
      <c r="BN49" s="5">
        <v>4</v>
      </c>
      <c r="BO49" s="5">
        <v>4</v>
      </c>
      <c r="BP49" s="5">
        <v>3</v>
      </c>
      <c r="BQ49" s="5">
        <v>0</v>
      </c>
      <c r="BR49" s="5">
        <v>4</v>
      </c>
      <c r="BS49" s="5">
        <v>3</v>
      </c>
      <c r="BT49" s="5">
        <v>0</v>
      </c>
      <c r="BU49" s="5">
        <v>4</v>
      </c>
      <c r="BV49" s="5">
        <v>4</v>
      </c>
      <c r="BW49" s="5">
        <v>4</v>
      </c>
      <c r="BX49" s="5">
        <v>0</v>
      </c>
      <c r="BY49" s="5">
        <v>4</v>
      </c>
      <c r="BZ49" s="5">
        <v>4</v>
      </c>
      <c r="CA49" s="5">
        <v>4</v>
      </c>
      <c r="CK49" s="5">
        <f t="shared" si="7"/>
        <v>56</v>
      </c>
    </row>
    <row r="50" spans="1:89" s="5" customFormat="1" x14ac:dyDescent="0.45">
      <c r="A50" s="1" t="s">
        <v>1</v>
      </c>
      <c r="B50" s="1"/>
      <c r="C50" s="5">
        <f t="shared" si="0"/>
        <v>145</v>
      </c>
      <c r="D50" s="13">
        <v>119</v>
      </c>
      <c r="F50" s="5">
        <f t="shared" si="1"/>
        <v>63</v>
      </c>
      <c r="G50" s="5">
        <f t="shared" si="2"/>
        <v>58</v>
      </c>
      <c r="H50" s="5">
        <f t="shared" si="3"/>
        <v>74</v>
      </c>
      <c r="I50" s="5">
        <f t="shared" si="4"/>
        <v>459</v>
      </c>
      <c r="K50" s="5">
        <v>55</v>
      </c>
      <c r="L50" s="5">
        <v>55</v>
      </c>
      <c r="M50" s="5">
        <v>35</v>
      </c>
      <c r="O50" s="5">
        <v>9</v>
      </c>
      <c r="P50" s="5">
        <v>15</v>
      </c>
      <c r="Q50" s="5">
        <v>6</v>
      </c>
      <c r="R50" s="5">
        <v>9</v>
      </c>
      <c r="S50" s="5">
        <v>0</v>
      </c>
      <c r="T50" s="5">
        <v>9</v>
      </c>
      <c r="U50" s="5">
        <v>0</v>
      </c>
      <c r="V50" s="5">
        <v>12</v>
      </c>
      <c r="W50" s="5">
        <v>3</v>
      </c>
      <c r="AC50" s="5">
        <f t="shared" si="5"/>
        <v>63</v>
      </c>
      <c r="AE50" s="5">
        <v>3</v>
      </c>
      <c r="AF50" s="5">
        <v>5</v>
      </c>
      <c r="AG50" s="5">
        <v>5</v>
      </c>
      <c r="AH50" s="5">
        <v>5</v>
      </c>
      <c r="AI50" s="5">
        <v>5</v>
      </c>
      <c r="AJ50" s="5">
        <v>5</v>
      </c>
      <c r="AK50" s="12">
        <v>5</v>
      </c>
      <c r="AL50" s="5">
        <v>5</v>
      </c>
      <c r="AM50" s="5">
        <v>0</v>
      </c>
      <c r="AN50" s="5">
        <v>5</v>
      </c>
      <c r="AO50" s="5">
        <v>3</v>
      </c>
      <c r="AP50" s="5">
        <v>5</v>
      </c>
      <c r="AQ50" s="10">
        <v>3</v>
      </c>
      <c r="AR50" s="17" t="s">
        <v>92</v>
      </c>
      <c r="AS50" s="5">
        <v>0</v>
      </c>
      <c r="AT50" s="5">
        <v>5</v>
      </c>
      <c r="AU50" s="17" t="s">
        <v>92</v>
      </c>
      <c r="AV50" s="5">
        <v>5</v>
      </c>
      <c r="AW50" s="5">
        <v>5</v>
      </c>
      <c r="AX50" s="5">
        <v>5</v>
      </c>
      <c r="BH50" s="5">
        <f t="shared" si="6"/>
        <v>74</v>
      </c>
      <c r="BJ50" s="5">
        <v>1</v>
      </c>
      <c r="BK50" s="5">
        <v>3</v>
      </c>
      <c r="BL50" s="5">
        <v>3</v>
      </c>
      <c r="BM50" s="5">
        <v>4</v>
      </c>
      <c r="BN50" s="5">
        <v>4</v>
      </c>
      <c r="BO50" s="5">
        <v>4</v>
      </c>
      <c r="BP50" s="5">
        <v>3</v>
      </c>
      <c r="BQ50" s="5">
        <v>4</v>
      </c>
      <c r="BR50" s="5">
        <v>0</v>
      </c>
      <c r="BS50" s="5">
        <v>4</v>
      </c>
      <c r="BT50" s="5">
        <v>4</v>
      </c>
      <c r="BU50" s="5">
        <v>4</v>
      </c>
      <c r="BV50" s="5">
        <v>4</v>
      </c>
      <c r="BW50" s="5">
        <v>4</v>
      </c>
      <c r="BX50" s="5">
        <v>4</v>
      </c>
      <c r="BY50" s="5">
        <v>0</v>
      </c>
      <c r="BZ50" s="5">
        <v>4</v>
      </c>
      <c r="CA50" s="5">
        <v>4</v>
      </c>
      <c r="CK50" s="5">
        <f t="shared" si="7"/>
        <v>58</v>
      </c>
    </row>
    <row r="51" spans="1:89" s="5" customFormat="1" x14ac:dyDescent="0.45">
      <c r="A51" s="1" t="s">
        <v>8</v>
      </c>
      <c r="B51" s="1"/>
      <c r="C51" s="5">
        <f t="shared" si="0"/>
        <v>146</v>
      </c>
      <c r="D51" s="13">
        <v>136</v>
      </c>
      <c r="F51" s="5">
        <f t="shared" si="1"/>
        <v>90</v>
      </c>
      <c r="G51" s="5">
        <f t="shared" si="2"/>
        <v>65</v>
      </c>
      <c r="H51" s="5">
        <f t="shared" si="3"/>
        <v>87</v>
      </c>
      <c r="I51" s="5">
        <f>SUM(C51:H51)</f>
        <v>524</v>
      </c>
      <c r="K51" s="5">
        <v>55</v>
      </c>
      <c r="L51" s="5">
        <v>54</v>
      </c>
      <c r="M51" s="5">
        <v>37</v>
      </c>
      <c r="O51" s="5">
        <v>9</v>
      </c>
      <c r="P51" s="5">
        <v>9</v>
      </c>
      <c r="Q51" s="5">
        <v>12</v>
      </c>
      <c r="R51" s="5">
        <v>15</v>
      </c>
      <c r="S51" s="5">
        <v>12</v>
      </c>
      <c r="T51" s="5">
        <v>12</v>
      </c>
      <c r="U51" s="5">
        <v>6</v>
      </c>
      <c r="V51" s="5">
        <v>3</v>
      </c>
      <c r="W51" s="5">
        <v>12</v>
      </c>
      <c r="AC51" s="5">
        <f t="shared" si="5"/>
        <v>90</v>
      </c>
      <c r="AE51" s="5">
        <v>5</v>
      </c>
      <c r="AF51" s="5">
        <v>3</v>
      </c>
      <c r="AG51" s="5">
        <v>5</v>
      </c>
      <c r="AH51" s="5">
        <v>5</v>
      </c>
      <c r="AI51" s="5">
        <v>5</v>
      </c>
      <c r="AJ51" s="5">
        <v>5</v>
      </c>
      <c r="AK51" s="12">
        <v>5</v>
      </c>
      <c r="AL51" s="5">
        <v>5</v>
      </c>
      <c r="AM51" s="5">
        <v>5</v>
      </c>
      <c r="AN51" s="5">
        <v>5</v>
      </c>
      <c r="AO51" s="5">
        <v>5</v>
      </c>
      <c r="AP51" s="5">
        <v>5</v>
      </c>
      <c r="AQ51" s="16">
        <v>5</v>
      </c>
      <c r="AR51" s="17" t="s">
        <v>92</v>
      </c>
      <c r="AS51" s="5">
        <v>5</v>
      </c>
      <c r="AT51" s="5">
        <v>5</v>
      </c>
      <c r="AU51" s="17" t="s">
        <v>92</v>
      </c>
      <c r="AV51" s="5">
        <v>4</v>
      </c>
      <c r="AW51" s="5">
        <v>5</v>
      </c>
      <c r="AX51" s="5">
        <v>5</v>
      </c>
      <c r="BH51" s="5">
        <f t="shared" si="6"/>
        <v>87</v>
      </c>
      <c r="BJ51" s="5">
        <v>4</v>
      </c>
      <c r="BK51" s="5">
        <v>2</v>
      </c>
      <c r="BL51" s="5">
        <v>4</v>
      </c>
      <c r="BM51" s="5">
        <v>4</v>
      </c>
      <c r="BN51" s="5">
        <v>4</v>
      </c>
      <c r="BO51" s="5">
        <v>4</v>
      </c>
      <c r="BP51" s="5">
        <v>3</v>
      </c>
      <c r="BQ51" s="5">
        <v>4</v>
      </c>
      <c r="BR51" s="5">
        <v>4</v>
      </c>
      <c r="BS51" s="5">
        <v>3</v>
      </c>
      <c r="BT51" s="5">
        <v>2</v>
      </c>
      <c r="BU51" s="5">
        <v>4</v>
      </c>
      <c r="BV51" s="5">
        <v>4</v>
      </c>
      <c r="BW51" s="5">
        <v>4</v>
      </c>
      <c r="BX51" s="5">
        <v>3</v>
      </c>
      <c r="BY51" s="5">
        <v>4</v>
      </c>
      <c r="BZ51" s="5">
        <v>4</v>
      </c>
      <c r="CA51" s="5">
        <v>4</v>
      </c>
      <c r="CK51" s="5">
        <f t="shared" si="7"/>
        <v>65</v>
      </c>
    </row>
    <row r="52" spans="1:89" s="5" customFormat="1" x14ac:dyDescent="0.45">
      <c r="A52" s="1"/>
      <c r="B52" s="1"/>
      <c r="D52" s="13">
        <f>AVERAGE(D4:D51)</f>
        <v>108.13541666666667</v>
      </c>
      <c r="F52" s="5">
        <f t="shared" si="1"/>
        <v>85.71875</v>
      </c>
      <c r="I52" s="5">
        <f>AVERAGE(I4:I51)</f>
        <v>470.83333333333331</v>
      </c>
      <c r="K52" s="5">
        <f>AVERAGE(K4:K51)</f>
        <v>53.791666666666664</v>
      </c>
      <c r="L52" s="5">
        <f>AVERAGE(L4:L51)</f>
        <v>55.104166666666664</v>
      </c>
      <c r="M52" s="5">
        <f>AVERAGE(M4:M51)</f>
        <v>37.395833333333336</v>
      </c>
      <c r="O52" s="6">
        <f t="shared" ref="O52:W52" si="8">AVERAGE(O4:O51)</f>
        <v>9</v>
      </c>
      <c r="P52" s="6">
        <f t="shared" si="8"/>
        <v>10.5</v>
      </c>
      <c r="Q52" s="6">
        <f t="shared" si="8"/>
        <v>11.625</v>
      </c>
      <c r="R52" s="6">
        <f t="shared" si="8"/>
        <v>12.46875</v>
      </c>
      <c r="S52" s="6">
        <f t="shared" si="8"/>
        <v>7.5</v>
      </c>
      <c r="T52" s="6">
        <f t="shared" si="8"/>
        <v>11.25</v>
      </c>
      <c r="U52" s="6">
        <f t="shared" si="8"/>
        <v>8.75</v>
      </c>
      <c r="V52" s="6">
        <f t="shared" si="8"/>
        <v>6.3125</v>
      </c>
      <c r="W52" s="6">
        <f t="shared" si="8"/>
        <v>8.3125</v>
      </c>
      <c r="X52" s="6"/>
      <c r="AC52" s="5">
        <f>AVERAGE(AC4:AC51)</f>
        <v>85.71875</v>
      </c>
      <c r="AE52" s="6">
        <f>AVERAGE(AE4:AE51)</f>
        <v>4</v>
      </c>
      <c r="AF52" s="6">
        <f t="shared" ref="AF52:AX52" si="9">AVERAGE(AF4:AF51)</f>
        <v>4.0625</v>
      </c>
      <c r="AG52" s="6">
        <f t="shared" si="9"/>
        <v>4.104166666666667</v>
      </c>
      <c r="AH52" s="6">
        <f t="shared" si="9"/>
        <v>4.416666666666667</v>
      </c>
      <c r="AI52" s="6">
        <f t="shared" si="9"/>
        <v>4.208333333333333</v>
      </c>
      <c r="AJ52" s="6">
        <f t="shared" si="9"/>
        <v>4.708333333333333</v>
      </c>
      <c r="AK52" s="6">
        <f t="shared" si="9"/>
        <v>4.895833333333333</v>
      </c>
      <c r="AL52" s="6">
        <f t="shared" si="9"/>
        <v>4.125</v>
      </c>
      <c r="AM52" s="6">
        <f t="shared" si="9"/>
        <v>3.4791666666666665</v>
      </c>
      <c r="AN52" s="6">
        <f t="shared" si="9"/>
        <v>3.5</v>
      </c>
      <c r="AO52" s="6">
        <f t="shared" si="9"/>
        <v>4</v>
      </c>
      <c r="AP52" s="5">
        <v>5</v>
      </c>
      <c r="AQ52" s="6">
        <f t="shared" si="9"/>
        <v>4.229166666666667</v>
      </c>
      <c r="AS52" s="6">
        <f t="shared" si="9"/>
        <v>2.7916666666666665</v>
      </c>
      <c r="AT52" s="6">
        <f t="shared" si="9"/>
        <v>4.270833333333333</v>
      </c>
      <c r="AV52" s="6">
        <f t="shared" si="9"/>
        <v>3.3958333333333335</v>
      </c>
      <c r="AW52" s="6">
        <f t="shared" si="9"/>
        <v>3.875</v>
      </c>
      <c r="AX52" s="6">
        <f t="shared" si="9"/>
        <v>3.8333333333333335</v>
      </c>
      <c r="BJ52" s="6">
        <f t="shared" ref="BJ52:BU52" si="10">AVERAGE(BJ4:BJ51)</f>
        <v>2.8958333333333335</v>
      </c>
      <c r="BK52" s="6">
        <f t="shared" si="10"/>
        <v>3.3333333333333335</v>
      </c>
      <c r="BL52" s="6">
        <f t="shared" si="10"/>
        <v>3.1041666666666665</v>
      </c>
      <c r="BM52" s="6">
        <f t="shared" si="10"/>
        <v>3.9166666666666665</v>
      </c>
      <c r="BN52" s="6">
        <f t="shared" si="10"/>
        <v>3.3333333333333335</v>
      </c>
      <c r="BO52" s="6">
        <f t="shared" si="10"/>
        <v>3.5833333333333335</v>
      </c>
      <c r="BP52" s="6">
        <f t="shared" si="10"/>
        <v>3.0416666666666665</v>
      </c>
      <c r="BQ52" s="6">
        <f t="shared" si="10"/>
        <v>3.0833333333333335</v>
      </c>
      <c r="BR52" s="6">
        <f t="shared" si="10"/>
        <v>3.0416666666666665</v>
      </c>
      <c r="BS52" s="6">
        <f t="shared" si="10"/>
        <v>3.2291666666666665</v>
      </c>
      <c r="BT52" s="6">
        <f t="shared" si="10"/>
        <v>2.7708333333333335</v>
      </c>
      <c r="BU52" s="6">
        <f t="shared" si="10"/>
        <v>3.7291666666666665</v>
      </c>
      <c r="BV52" s="6">
        <f t="shared" ref="BV52:CA52" si="11">AVERAGE(BV4:BV51)</f>
        <v>3.6666666666666665</v>
      </c>
      <c r="BW52" s="6">
        <f t="shared" si="11"/>
        <v>2.9166666666666665</v>
      </c>
      <c r="BX52" s="6">
        <f t="shared" si="11"/>
        <v>2.4791666666666665</v>
      </c>
      <c r="BY52" s="6">
        <f t="shared" si="11"/>
        <v>3.2708333333333335</v>
      </c>
      <c r="BZ52" s="6">
        <f t="shared" si="11"/>
        <v>3.4166666666666665</v>
      </c>
      <c r="CA52" s="6">
        <f t="shared" si="11"/>
        <v>3.6666666666666665</v>
      </c>
    </row>
    <row r="53" spans="1:89" s="5" customFormat="1" x14ac:dyDescent="0.45">
      <c r="A53" s="1"/>
      <c r="B53" s="1"/>
      <c r="D53" s="13"/>
      <c r="AK53" s="16"/>
      <c r="AQ53" s="16"/>
    </row>
    <row r="54" spans="1:89" s="5" customFormat="1" x14ac:dyDescent="0.45">
      <c r="A54" s="1"/>
      <c r="B54" s="1"/>
      <c r="D54" s="13"/>
      <c r="AK54" s="16"/>
      <c r="AQ54" s="16"/>
    </row>
    <row r="55" spans="1:89" s="5" customFormat="1" x14ac:dyDescent="0.45">
      <c r="A55" s="1"/>
      <c r="B55" s="1"/>
      <c r="D55" s="13"/>
      <c r="AK55" s="16"/>
      <c r="AQ55" s="16"/>
    </row>
    <row r="56" spans="1:89" s="5" customFormat="1" x14ac:dyDescent="0.45">
      <c r="A56" s="1"/>
      <c r="B56" s="1"/>
      <c r="D56" s="13"/>
      <c r="AK56" s="16"/>
      <c r="AQ56" s="16"/>
    </row>
    <row r="57" spans="1:89" s="5" customFormat="1" x14ac:dyDescent="0.45">
      <c r="A57" s="1"/>
      <c r="B57" s="1"/>
      <c r="D57" s="13"/>
      <c r="AK57" s="16"/>
      <c r="AQ57" s="16"/>
    </row>
    <row r="58" spans="1:89" s="5" customFormat="1" x14ac:dyDescent="0.45">
      <c r="A58" s="1"/>
      <c r="B58" s="1"/>
      <c r="D58" s="13"/>
      <c r="AK58" s="16"/>
      <c r="AQ58" s="16"/>
    </row>
    <row r="59" spans="1:89" s="5" customFormat="1" x14ac:dyDescent="0.45">
      <c r="A59" s="1"/>
      <c r="B59" s="1"/>
      <c r="D59" s="13"/>
      <c r="AK59" s="16"/>
      <c r="AQ59" s="16"/>
    </row>
    <row r="60" spans="1:89" s="5" customFormat="1" x14ac:dyDescent="0.45">
      <c r="A60" s="1"/>
      <c r="B60" s="1"/>
      <c r="D60" s="13"/>
      <c r="AK60" s="16"/>
      <c r="AQ60" s="16"/>
    </row>
    <row r="61" spans="1:89" s="5" customFormat="1" x14ac:dyDescent="0.45">
      <c r="A61" s="1"/>
      <c r="B61" s="1"/>
      <c r="D61" s="13"/>
      <c r="AK61" s="16"/>
      <c r="AQ61" s="16"/>
    </row>
    <row r="62" spans="1:89" s="5" customFormat="1" x14ac:dyDescent="0.45">
      <c r="A62" s="1"/>
      <c r="B62" s="1"/>
      <c r="D62" s="13"/>
      <c r="AK62" s="16"/>
      <c r="AQ62" s="16"/>
    </row>
    <row r="63" spans="1:89" s="5" customFormat="1" x14ac:dyDescent="0.45">
      <c r="A63" s="1"/>
      <c r="B63" s="1"/>
      <c r="D63" s="13"/>
      <c r="AK63" s="16"/>
      <c r="AQ63" s="16"/>
    </row>
    <row r="64" spans="1:89" s="5" customFormat="1" x14ac:dyDescent="0.45">
      <c r="A64" s="1"/>
      <c r="B64" s="1"/>
      <c r="D64" s="13"/>
      <c r="AK64" s="16"/>
      <c r="AQ64" s="16"/>
    </row>
    <row r="65" spans="1:43" s="5" customFormat="1" x14ac:dyDescent="0.45">
      <c r="A65" s="1"/>
      <c r="B65" s="1"/>
      <c r="D65" s="13"/>
      <c r="AK65" s="16"/>
      <c r="AQ65" s="16"/>
    </row>
    <row r="66" spans="1:43" s="5" customFormat="1" x14ac:dyDescent="0.45">
      <c r="A66" s="1"/>
      <c r="B66" s="1"/>
      <c r="D66" s="13"/>
      <c r="AK66" s="16"/>
      <c r="AQ66" s="16"/>
    </row>
    <row r="67" spans="1:43" s="5" customFormat="1" x14ac:dyDescent="0.45">
      <c r="A67" s="1"/>
      <c r="B67" s="1"/>
      <c r="D67" s="13"/>
      <c r="AK67" s="16"/>
      <c r="AQ67" s="16"/>
    </row>
    <row r="68" spans="1:43" s="5" customFormat="1" x14ac:dyDescent="0.45">
      <c r="A68" s="1"/>
      <c r="B68" s="1"/>
      <c r="D68" s="13"/>
      <c r="AK68" s="16"/>
      <c r="AQ68" s="16"/>
    </row>
    <row r="69" spans="1:43" s="5" customFormat="1" x14ac:dyDescent="0.45">
      <c r="A69" s="1"/>
      <c r="B69" s="1"/>
      <c r="D69" s="13"/>
      <c r="AK69" s="16"/>
      <c r="AQ69" s="16"/>
    </row>
    <row r="70" spans="1:43" s="5" customFormat="1" x14ac:dyDescent="0.45">
      <c r="A70" s="1"/>
      <c r="B70" s="1"/>
      <c r="D70" s="13"/>
      <c r="AK70" s="16"/>
      <c r="AQ70" s="16"/>
    </row>
    <row r="71" spans="1:43" s="5" customFormat="1" x14ac:dyDescent="0.45">
      <c r="A71" s="1"/>
      <c r="B71" s="1"/>
      <c r="D71" s="13"/>
      <c r="AK71" s="16"/>
      <c r="AQ71" s="16"/>
    </row>
    <row r="72" spans="1:43" s="5" customFormat="1" x14ac:dyDescent="0.45">
      <c r="A72" s="1"/>
      <c r="B72" s="1"/>
      <c r="D72" s="13"/>
      <c r="AK72" s="16"/>
      <c r="AQ72" s="16"/>
    </row>
    <row r="73" spans="1:43" s="5" customFormat="1" x14ac:dyDescent="0.45">
      <c r="A73" s="1"/>
      <c r="B73" s="1"/>
      <c r="D73" s="13"/>
      <c r="AK73" s="16"/>
      <c r="AQ73" s="16"/>
    </row>
    <row r="74" spans="1:43" s="5" customFormat="1" x14ac:dyDescent="0.45">
      <c r="A74" s="1"/>
      <c r="B74" s="1"/>
      <c r="D74" s="13"/>
      <c r="AK74" s="16"/>
      <c r="AQ74" s="16"/>
    </row>
    <row r="75" spans="1:43" s="5" customFormat="1" x14ac:dyDescent="0.45">
      <c r="A75" s="1"/>
      <c r="B75" s="1"/>
      <c r="D75" s="13"/>
      <c r="AK75" s="16"/>
      <c r="AQ75" s="16"/>
    </row>
    <row r="76" spans="1:43" s="5" customFormat="1" x14ac:dyDescent="0.45">
      <c r="A76" s="1"/>
      <c r="B76" s="1"/>
      <c r="D76" s="13"/>
      <c r="AK76" s="16"/>
      <c r="AQ76" s="16"/>
    </row>
    <row r="77" spans="1:43" s="5" customFormat="1" x14ac:dyDescent="0.45">
      <c r="A77" s="1"/>
      <c r="B77" s="1"/>
      <c r="D77" s="13"/>
      <c r="AK77" s="16"/>
      <c r="AQ77" s="16"/>
    </row>
    <row r="78" spans="1:43" s="5" customFormat="1" x14ac:dyDescent="0.45">
      <c r="A78" s="1"/>
      <c r="B78" s="1"/>
      <c r="D78" s="13"/>
      <c r="AK78" s="16"/>
      <c r="AQ78" s="16"/>
    </row>
    <row r="79" spans="1:43" s="5" customFormat="1" x14ac:dyDescent="0.45">
      <c r="A79" s="1"/>
      <c r="B79" s="1"/>
      <c r="D79" s="13"/>
      <c r="AK79" s="16"/>
      <c r="AQ79" s="16"/>
    </row>
    <row r="80" spans="1:43" s="5" customFormat="1" x14ac:dyDescent="0.45">
      <c r="A80" s="1"/>
      <c r="B80" s="1"/>
      <c r="D80" s="13"/>
      <c r="AK80" s="16"/>
      <c r="AQ80" s="16"/>
    </row>
    <row r="81" spans="1:43" s="5" customFormat="1" x14ac:dyDescent="0.45">
      <c r="A81" s="1"/>
      <c r="B81" s="1"/>
      <c r="D81" s="13"/>
      <c r="AK81" s="16"/>
      <c r="AQ81" s="16"/>
    </row>
    <row r="82" spans="1:43" s="5" customFormat="1" x14ac:dyDescent="0.45">
      <c r="A82" s="1"/>
      <c r="B82" s="1"/>
      <c r="D82" s="13"/>
      <c r="AK82" s="16"/>
      <c r="AQ82" s="16"/>
    </row>
    <row r="83" spans="1:43" s="5" customFormat="1" x14ac:dyDescent="0.45">
      <c r="A83" s="1"/>
      <c r="B83" s="1"/>
      <c r="D83" s="13"/>
      <c r="AK83" s="16"/>
      <c r="AQ83" s="16"/>
    </row>
    <row r="84" spans="1:43" s="5" customFormat="1" x14ac:dyDescent="0.45">
      <c r="A84" s="1"/>
      <c r="B84" s="1"/>
      <c r="D84" s="13"/>
      <c r="AK84" s="16"/>
      <c r="AQ84" s="16"/>
    </row>
    <row r="85" spans="1:43" s="5" customFormat="1" x14ac:dyDescent="0.45">
      <c r="A85" s="1"/>
      <c r="B85" s="1"/>
      <c r="D85" s="13"/>
      <c r="AK85" s="16"/>
      <c r="AQ85" s="16"/>
    </row>
    <row r="86" spans="1:43" s="5" customFormat="1" x14ac:dyDescent="0.45">
      <c r="A86" s="1"/>
      <c r="B86" s="1"/>
      <c r="D86" s="13"/>
      <c r="AK86" s="16"/>
      <c r="AQ86" s="16"/>
    </row>
    <row r="87" spans="1:43" s="5" customFormat="1" x14ac:dyDescent="0.45">
      <c r="A87" s="1"/>
      <c r="B87" s="1"/>
      <c r="D87" s="13"/>
      <c r="AK87" s="16"/>
      <c r="AQ87" s="16"/>
    </row>
    <row r="88" spans="1:43" s="5" customFormat="1" x14ac:dyDescent="0.45">
      <c r="A88" s="1"/>
      <c r="B88" s="1"/>
      <c r="D88" s="13"/>
      <c r="AK88" s="16"/>
      <c r="AQ88" s="16"/>
    </row>
    <row r="89" spans="1:43" s="5" customFormat="1" x14ac:dyDescent="0.45">
      <c r="A89" s="1"/>
      <c r="B89" s="1"/>
      <c r="D89" s="13"/>
      <c r="AK89" s="16"/>
      <c r="AQ89" s="16"/>
    </row>
    <row r="90" spans="1:43" s="5" customFormat="1" x14ac:dyDescent="0.45">
      <c r="A90" s="1"/>
      <c r="B90" s="1"/>
      <c r="D90" s="13"/>
      <c r="AK90" s="16"/>
      <c r="AQ90" s="16"/>
    </row>
    <row r="91" spans="1:43" s="5" customFormat="1" x14ac:dyDescent="0.45">
      <c r="A91" s="1"/>
      <c r="B91" s="1"/>
      <c r="D91" s="13"/>
      <c r="AK91" s="16"/>
      <c r="AQ91" s="16"/>
    </row>
    <row r="92" spans="1:43" s="5" customFormat="1" x14ac:dyDescent="0.45">
      <c r="A92" s="1"/>
      <c r="B92" s="1"/>
      <c r="D92" s="13"/>
      <c r="AK92" s="16"/>
      <c r="AQ92" s="16"/>
    </row>
    <row r="93" spans="1:43" s="5" customFormat="1" x14ac:dyDescent="0.45">
      <c r="A93" s="1"/>
      <c r="B93" s="1"/>
      <c r="D93" s="13"/>
      <c r="AK93" s="16"/>
      <c r="AQ93" s="16"/>
    </row>
    <row r="94" spans="1:43" s="5" customFormat="1" x14ac:dyDescent="0.45">
      <c r="A94" s="1"/>
      <c r="B94" s="1"/>
      <c r="D94" s="13"/>
      <c r="AK94" s="16"/>
      <c r="AQ94" s="16"/>
    </row>
    <row r="95" spans="1:43" s="5" customFormat="1" x14ac:dyDescent="0.45">
      <c r="A95" s="1"/>
      <c r="B95" s="1"/>
      <c r="D95" s="13"/>
      <c r="AK95" s="16"/>
      <c r="AQ95" s="16"/>
    </row>
    <row r="96" spans="1:43" s="5" customFormat="1" x14ac:dyDescent="0.45">
      <c r="A96" s="1"/>
      <c r="B96" s="1"/>
      <c r="D96" s="13"/>
      <c r="AK96" s="16"/>
      <c r="AQ96" s="16"/>
    </row>
    <row r="97" spans="1:43" s="5" customFormat="1" x14ac:dyDescent="0.45">
      <c r="A97" s="1"/>
      <c r="B97" s="1"/>
      <c r="D97" s="13"/>
      <c r="AK97" s="16"/>
      <c r="AQ97" s="16"/>
    </row>
    <row r="98" spans="1:43" s="5" customFormat="1" x14ac:dyDescent="0.45">
      <c r="A98" s="1"/>
      <c r="B98" s="1"/>
      <c r="D98" s="13"/>
      <c r="AK98" s="16"/>
      <c r="AQ98" s="16"/>
    </row>
    <row r="99" spans="1:43" s="5" customFormat="1" x14ac:dyDescent="0.45">
      <c r="A99" s="1"/>
      <c r="B99" s="1"/>
      <c r="D99" s="13"/>
      <c r="AK99" s="16"/>
      <c r="AQ99" s="16"/>
    </row>
    <row r="100" spans="1:43" s="5" customFormat="1" x14ac:dyDescent="0.45">
      <c r="A100" s="1"/>
      <c r="B100" s="1"/>
      <c r="D100" s="13"/>
      <c r="AK100" s="16"/>
      <c r="AQ100" s="16"/>
    </row>
    <row r="101" spans="1:43" s="5" customFormat="1" x14ac:dyDescent="0.45">
      <c r="A101" s="1"/>
      <c r="B101" s="1"/>
      <c r="D101" s="13"/>
      <c r="AK101" s="16"/>
      <c r="AQ101" s="16"/>
    </row>
    <row r="102" spans="1:43" s="5" customFormat="1" x14ac:dyDescent="0.45">
      <c r="A102" s="1"/>
      <c r="B102" s="1"/>
      <c r="D102" s="13"/>
      <c r="AK102" s="16"/>
      <c r="AQ102" s="16"/>
    </row>
    <row r="103" spans="1:43" s="5" customFormat="1" x14ac:dyDescent="0.45">
      <c r="A103" s="1"/>
      <c r="B103" s="1"/>
      <c r="D103" s="13"/>
      <c r="AK103" s="16"/>
      <c r="AQ103" s="16"/>
    </row>
    <row r="104" spans="1:43" s="5" customFormat="1" x14ac:dyDescent="0.45">
      <c r="A104" s="1"/>
      <c r="B104" s="1"/>
      <c r="D104" s="13"/>
      <c r="AK104" s="16"/>
      <c r="AQ104" s="16"/>
    </row>
    <row r="105" spans="1:43" s="5" customFormat="1" x14ac:dyDescent="0.45">
      <c r="A105" s="1"/>
      <c r="B105" s="1"/>
      <c r="D105" s="13"/>
      <c r="AK105" s="16"/>
      <c r="AQ105" s="16"/>
    </row>
    <row r="106" spans="1:43" s="5" customFormat="1" x14ac:dyDescent="0.45">
      <c r="A106" s="1"/>
      <c r="B106" s="1"/>
      <c r="D106" s="13"/>
      <c r="AK106" s="16"/>
      <c r="AQ106" s="16"/>
    </row>
    <row r="107" spans="1:43" s="5" customFormat="1" x14ac:dyDescent="0.45">
      <c r="A107" s="1"/>
      <c r="B107" s="1"/>
      <c r="D107" s="13"/>
      <c r="AK107" s="16"/>
      <c r="AQ107" s="16"/>
    </row>
    <row r="108" spans="1:43" s="5" customFormat="1" x14ac:dyDescent="0.45">
      <c r="A108" s="1"/>
      <c r="B108" s="1"/>
      <c r="D108" s="13"/>
      <c r="AK108" s="16"/>
      <c r="AQ108" s="16"/>
    </row>
    <row r="109" spans="1:43" s="5" customFormat="1" x14ac:dyDescent="0.45">
      <c r="A109" s="1"/>
      <c r="B109" s="1"/>
      <c r="D109" s="13"/>
      <c r="AK109" s="16"/>
      <c r="AQ109" s="16"/>
    </row>
    <row r="110" spans="1:43" s="5" customFormat="1" x14ac:dyDescent="0.45">
      <c r="A110" s="1"/>
      <c r="B110" s="1"/>
      <c r="D110" s="13"/>
      <c r="AK110" s="16"/>
      <c r="AQ110" s="16"/>
    </row>
    <row r="111" spans="1:43" s="5" customFormat="1" x14ac:dyDescent="0.45">
      <c r="A111" s="1"/>
      <c r="B111" s="1"/>
      <c r="D111" s="13"/>
      <c r="AK111" s="16"/>
      <c r="AQ111" s="16"/>
    </row>
    <row r="112" spans="1:43" s="5" customFormat="1" x14ac:dyDescent="0.45">
      <c r="A112" s="1"/>
      <c r="B112" s="1"/>
      <c r="D112" s="13"/>
      <c r="AK112" s="16"/>
      <c r="AQ112" s="16"/>
    </row>
    <row r="113" spans="1:43" s="5" customFormat="1" x14ac:dyDescent="0.45">
      <c r="A113" s="1"/>
      <c r="B113" s="1"/>
      <c r="D113" s="13"/>
      <c r="AK113" s="16"/>
      <c r="AQ113" s="16"/>
    </row>
    <row r="114" spans="1:43" s="5" customFormat="1" x14ac:dyDescent="0.45">
      <c r="A114" s="1"/>
      <c r="B114" s="1"/>
      <c r="D114" s="13"/>
      <c r="AK114" s="16"/>
      <c r="AQ114" s="16"/>
    </row>
    <row r="115" spans="1:43" s="5" customFormat="1" x14ac:dyDescent="0.45">
      <c r="A115" s="1"/>
      <c r="B115" s="1"/>
      <c r="D115" s="13"/>
      <c r="AK115" s="16"/>
      <c r="AQ115" s="16"/>
    </row>
    <row r="116" spans="1:43" s="5" customFormat="1" x14ac:dyDescent="0.45">
      <c r="A116" s="1"/>
      <c r="B116" s="1"/>
      <c r="D116" s="13"/>
      <c r="AK116" s="16"/>
      <c r="AQ116" s="16"/>
    </row>
    <row r="117" spans="1:43" s="5" customFormat="1" x14ac:dyDescent="0.45">
      <c r="A117" s="1"/>
      <c r="B117" s="1"/>
      <c r="D117" s="13"/>
      <c r="AK117" s="16"/>
      <c r="AQ117" s="16"/>
    </row>
    <row r="118" spans="1:43" s="5" customFormat="1" x14ac:dyDescent="0.45">
      <c r="A118" s="1"/>
      <c r="B118" s="1"/>
      <c r="D118" s="13"/>
      <c r="AK118" s="16"/>
      <c r="AQ118" s="16"/>
    </row>
    <row r="119" spans="1:43" s="5" customFormat="1" x14ac:dyDescent="0.45">
      <c r="A119" s="1"/>
      <c r="B119" s="1"/>
      <c r="D119" s="13"/>
      <c r="AK119" s="16"/>
      <c r="AQ119" s="16"/>
    </row>
    <row r="120" spans="1:43" s="5" customFormat="1" x14ac:dyDescent="0.45">
      <c r="A120" s="1"/>
      <c r="B120" s="1"/>
      <c r="D120" s="13"/>
      <c r="AK120" s="16"/>
      <c r="AQ120" s="16"/>
    </row>
    <row r="121" spans="1:43" s="5" customFormat="1" x14ac:dyDescent="0.45">
      <c r="A121" s="1"/>
      <c r="B121" s="1"/>
      <c r="D121" s="13"/>
      <c r="AK121" s="16"/>
      <c r="AQ121" s="16"/>
    </row>
    <row r="122" spans="1:43" s="5" customFormat="1" x14ac:dyDescent="0.45">
      <c r="A122" s="1"/>
      <c r="B122" s="1"/>
      <c r="D122" s="13"/>
      <c r="AK122" s="16"/>
      <c r="AQ122" s="16"/>
    </row>
    <row r="123" spans="1:43" s="5" customFormat="1" x14ac:dyDescent="0.45">
      <c r="A123" s="1"/>
      <c r="B123" s="1"/>
      <c r="D123" s="13"/>
      <c r="AK123" s="16"/>
      <c r="AQ123" s="16"/>
    </row>
    <row r="124" spans="1:43" s="5" customFormat="1" x14ac:dyDescent="0.45">
      <c r="A124" s="1"/>
      <c r="B124" s="1"/>
      <c r="D124" s="13"/>
      <c r="AK124" s="16"/>
      <c r="AQ124" s="16"/>
    </row>
    <row r="125" spans="1:43" s="5" customFormat="1" x14ac:dyDescent="0.45">
      <c r="A125" s="1"/>
      <c r="B125" s="1"/>
      <c r="D125" s="13"/>
      <c r="AK125" s="16"/>
      <c r="AQ125" s="16"/>
    </row>
    <row r="126" spans="1:43" s="5" customFormat="1" x14ac:dyDescent="0.45">
      <c r="A126" s="1"/>
      <c r="B126" s="1"/>
      <c r="D126" s="13"/>
      <c r="AK126" s="16"/>
      <c r="AQ126" s="16"/>
    </row>
    <row r="127" spans="1:43" s="5" customFormat="1" x14ac:dyDescent="0.45">
      <c r="A127" s="1"/>
      <c r="B127" s="1"/>
      <c r="D127" s="13"/>
      <c r="AK127" s="16"/>
      <c r="AQ127" s="16"/>
    </row>
    <row r="128" spans="1:43" s="5" customFormat="1" x14ac:dyDescent="0.45">
      <c r="A128" s="1"/>
      <c r="B128" s="1"/>
      <c r="D128" s="13"/>
      <c r="AK128" s="16"/>
      <c r="AQ128" s="16"/>
    </row>
    <row r="129" spans="1:43" s="5" customFormat="1" x14ac:dyDescent="0.45">
      <c r="A129" s="1"/>
      <c r="B129" s="1"/>
      <c r="D129" s="13"/>
      <c r="AK129" s="16"/>
      <c r="AQ129" s="16"/>
    </row>
    <row r="130" spans="1:43" s="5" customFormat="1" x14ac:dyDescent="0.45">
      <c r="A130" s="1"/>
      <c r="B130" s="1"/>
      <c r="D130" s="13"/>
      <c r="AK130" s="16"/>
      <c r="AQ130" s="16"/>
    </row>
    <row r="131" spans="1:43" s="5" customFormat="1" x14ac:dyDescent="0.45">
      <c r="A131" s="1"/>
      <c r="B131" s="1"/>
      <c r="D131" s="13"/>
      <c r="AK131" s="16"/>
      <c r="AQ131" s="16"/>
    </row>
    <row r="132" spans="1:43" s="5" customFormat="1" x14ac:dyDescent="0.45">
      <c r="A132" s="1"/>
      <c r="B132" s="1"/>
      <c r="D132" s="13"/>
      <c r="AK132" s="16"/>
      <c r="AQ132" s="16"/>
    </row>
    <row r="133" spans="1:43" s="5" customFormat="1" x14ac:dyDescent="0.45">
      <c r="A133" s="1"/>
      <c r="B133" s="1"/>
      <c r="D133" s="13"/>
      <c r="AK133" s="16"/>
      <c r="AQ133" s="16"/>
    </row>
    <row r="134" spans="1:43" s="5" customFormat="1" x14ac:dyDescent="0.45">
      <c r="A134" s="1"/>
      <c r="B134" s="1"/>
      <c r="D134" s="13"/>
      <c r="AK134" s="16"/>
      <c r="AQ134" s="16"/>
    </row>
    <row r="135" spans="1:43" s="5" customFormat="1" x14ac:dyDescent="0.45">
      <c r="A135" s="1"/>
      <c r="B135" s="1"/>
      <c r="D135" s="13"/>
      <c r="AK135" s="16"/>
      <c r="AQ135" s="16"/>
    </row>
    <row r="136" spans="1:43" s="5" customFormat="1" x14ac:dyDescent="0.45">
      <c r="A136" s="1"/>
      <c r="B136" s="1"/>
      <c r="D136" s="13"/>
      <c r="AK136" s="16"/>
      <c r="AQ136" s="16"/>
    </row>
    <row r="137" spans="1:43" s="5" customFormat="1" x14ac:dyDescent="0.45">
      <c r="A137" s="1"/>
      <c r="B137" s="1"/>
      <c r="D137" s="13"/>
      <c r="AK137" s="16"/>
      <c r="AQ137" s="16"/>
    </row>
    <row r="138" spans="1:43" s="5" customFormat="1" x14ac:dyDescent="0.45">
      <c r="A138" s="1"/>
      <c r="B138" s="1"/>
      <c r="D138" s="13"/>
      <c r="AK138" s="16"/>
      <c r="AQ138" s="16"/>
    </row>
    <row r="139" spans="1:43" s="5" customFormat="1" x14ac:dyDescent="0.45">
      <c r="A139" s="1"/>
      <c r="B139" s="1"/>
      <c r="D139" s="13"/>
      <c r="AK139" s="16"/>
      <c r="AQ139" s="16"/>
    </row>
    <row r="140" spans="1:43" s="5" customFormat="1" x14ac:dyDescent="0.45">
      <c r="A140" s="1"/>
      <c r="B140" s="1"/>
      <c r="D140" s="13"/>
      <c r="AK140" s="16"/>
      <c r="AQ140" s="16"/>
    </row>
    <row r="141" spans="1:43" s="5" customFormat="1" x14ac:dyDescent="0.45">
      <c r="A141" s="1"/>
      <c r="B141" s="1"/>
      <c r="D141" s="13"/>
      <c r="AK141" s="16"/>
      <c r="AQ141" s="16"/>
    </row>
    <row r="142" spans="1:43" s="5" customFormat="1" x14ac:dyDescent="0.45">
      <c r="A142" s="1"/>
      <c r="B142" s="1"/>
      <c r="D142" s="13"/>
      <c r="AK142" s="16"/>
      <c r="AQ142" s="16"/>
    </row>
    <row r="143" spans="1:43" s="5" customFormat="1" x14ac:dyDescent="0.45">
      <c r="A143" s="1"/>
      <c r="B143" s="1"/>
      <c r="D143" s="13"/>
      <c r="AK143" s="16"/>
      <c r="AQ143" s="16"/>
    </row>
    <row r="144" spans="1:43" s="5" customFormat="1" x14ac:dyDescent="0.45">
      <c r="A144" s="1"/>
      <c r="B144" s="1"/>
      <c r="D144" s="13"/>
      <c r="AK144" s="16"/>
      <c r="AQ144" s="16"/>
    </row>
    <row r="145" spans="1:43" s="5" customFormat="1" x14ac:dyDescent="0.45">
      <c r="A145" s="1"/>
      <c r="B145" s="1"/>
      <c r="D145" s="13"/>
      <c r="AK145" s="16"/>
      <c r="AQ145" s="16"/>
    </row>
    <row r="146" spans="1:43" s="5" customFormat="1" x14ac:dyDescent="0.45">
      <c r="A146" s="1"/>
      <c r="B146" s="1"/>
      <c r="D146" s="13"/>
      <c r="AK146" s="16"/>
      <c r="AQ146" s="16"/>
    </row>
    <row r="147" spans="1:43" s="5" customFormat="1" x14ac:dyDescent="0.45">
      <c r="A147" s="1"/>
      <c r="B147" s="1"/>
      <c r="D147" s="13"/>
      <c r="AK147" s="16"/>
      <c r="AQ147" s="16"/>
    </row>
    <row r="148" spans="1:43" s="5" customFormat="1" x14ac:dyDescent="0.45">
      <c r="A148" s="1"/>
      <c r="B148" s="1"/>
      <c r="D148" s="13"/>
      <c r="AK148" s="16"/>
      <c r="AQ148" s="16"/>
    </row>
    <row r="149" spans="1:43" s="5" customFormat="1" x14ac:dyDescent="0.45">
      <c r="A149" s="1"/>
      <c r="B149" s="1"/>
      <c r="D149" s="13"/>
      <c r="AK149" s="16"/>
      <c r="AQ149" s="16"/>
    </row>
    <row r="150" spans="1:43" s="5" customFormat="1" x14ac:dyDescent="0.45">
      <c r="A150" s="1"/>
      <c r="B150" s="1"/>
      <c r="D150" s="13"/>
      <c r="AK150" s="16"/>
      <c r="AQ150" s="16"/>
    </row>
    <row r="151" spans="1:43" s="5" customFormat="1" x14ac:dyDescent="0.45">
      <c r="A151" s="1"/>
      <c r="B151" s="1"/>
      <c r="D151" s="13"/>
      <c r="AK151" s="16"/>
      <c r="AQ151" s="16"/>
    </row>
    <row r="152" spans="1:43" s="5" customFormat="1" x14ac:dyDescent="0.45">
      <c r="A152" s="1"/>
      <c r="B152" s="1"/>
      <c r="D152" s="13"/>
      <c r="AK152" s="16"/>
      <c r="AQ152" s="16"/>
    </row>
    <row r="153" spans="1:43" s="5" customFormat="1" x14ac:dyDescent="0.45">
      <c r="A153" s="1"/>
      <c r="B153" s="1"/>
      <c r="D153" s="13"/>
      <c r="AK153" s="16"/>
      <c r="AQ153" s="16"/>
    </row>
    <row r="154" spans="1:43" s="5" customFormat="1" x14ac:dyDescent="0.45">
      <c r="A154" s="1"/>
      <c r="B154" s="1"/>
      <c r="D154" s="13"/>
      <c r="AK154" s="16"/>
      <c r="AQ154" s="16"/>
    </row>
    <row r="155" spans="1:43" s="5" customFormat="1" x14ac:dyDescent="0.45">
      <c r="A155" s="1"/>
      <c r="B155" s="1"/>
      <c r="D155" s="13"/>
      <c r="AK155" s="16"/>
      <c r="AQ155" s="16"/>
    </row>
    <row r="156" spans="1:43" s="5" customFormat="1" x14ac:dyDescent="0.45">
      <c r="A156" s="1"/>
      <c r="B156" s="1"/>
      <c r="D156" s="13"/>
      <c r="AK156" s="16"/>
      <c r="AQ156" s="16"/>
    </row>
    <row r="157" spans="1:43" s="5" customFormat="1" x14ac:dyDescent="0.45">
      <c r="A157" s="1"/>
      <c r="B157" s="1"/>
      <c r="D157" s="13"/>
      <c r="AK157" s="16"/>
      <c r="AQ157" s="16"/>
    </row>
    <row r="158" spans="1:43" s="5" customFormat="1" x14ac:dyDescent="0.45">
      <c r="A158" s="1"/>
      <c r="B158" s="1"/>
      <c r="D158" s="13"/>
      <c r="AK158" s="16"/>
      <c r="AQ158" s="16"/>
    </row>
    <row r="159" spans="1:43" s="5" customFormat="1" x14ac:dyDescent="0.45">
      <c r="A159" s="1"/>
      <c r="B159" s="1"/>
      <c r="D159" s="13"/>
      <c r="AK159" s="16"/>
      <c r="AQ159" s="16"/>
    </row>
    <row r="160" spans="1:43" s="5" customFormat="1" x14ac:dyDescent="0.45">
      <c r="A160" s="1"/>
      <c r="B160" s="1"/>
      <c r="D160" s="13"/>
      <c r="AK160" s="16"/>
      <c r="AQ160" s="16"/>
    </row>
    <row r="161" spans="1:43" s="5" customFormat="1" x14ac:dyDescent="0.45">
      <c r="A161" s="1"/>
      <c r="B161" s="1"/>
      <c r="D161" s="13"/>
      <c r="AK161" s="16"/>
      <c r="AQ161" s="16"/>
    </row>
    <row r="162" spans="1:43" s="5" customFormat="1" x14ac:dyDescent="0.45">
      <c r="A162" s="1"/>
      <c r="B162" s="1"/>
      <c r="D162" s="13"/>
      <c r="AK162" s="16"/>
      <c r="AQ162" s="16"/>
    </row>
    <row r="163" spans="1:43" s="5" customFormat="1" x14ac:dyDescent="0.45">
      <c r="A163" s="1"/>
      <c r="B163" s="1"/>
      <c r="D163" s="13"/>
      <c r="AK163" s="16"/>
      <c r="AQ163" s="16"/>
    </row>
    <row r="164" spans="1:43" s="5" customFormat="1" x14ac:dyDescent="0.45">
      <c r="A164" s="1"/>
      <c r="B164" s="1"/>
      <c r="D164" s="13"/>
      <c r="AK164" s="16"/>
      <c r="AQ164" s="16"/>
    </row>
    <row r="165" spans="1:43" s="5" customFormat="1" x14ac:dyDescent="0.45">
      <c r="A165" s="1"/>
      <c r="B165" s="1"/>
      <c r="D165" s="13"/>
      <c r="AK165" s="16"/>
      <c r="AQ165" s="16"/>
    </row>
    <row r="166" spans="1:43" s="5" customFormat="1" x14ac:dyDescent="0.45">
      <c r="A166" s="1"/>
      <c r="B166" s="1"/>
      <c r="D166" s="13"/>
      <c r="AK166" s="16"/>
      <c r="AQ166" s="16"/>
    </row>
    <row r="167" spans="1:43" s="5" customFormat="1" x14ac:dyDescent="0.45">
      <c r="A167" s="1"/>
      <c r="B167" s="1"/>
      <c r="D167" s="13"/>
      <c r="AK167" s="16"/>
      <c r="AQ167" s="16"/>
    </row>
    <row r="168" spans="1:43" s="5" customFormat="1" x14ac:dyDescent="0.45">
      <c r="A168" s="1"/>
      <c r="B168" s="1"/>
      <c r="D168" s="13"/>
      <c r="AK168" s="16"/>
      <c r="AQ168" s="16"/>
    </row>
    <row r="169" spans="1:43" s="5" customFormat="1" x14ac:dyDescent="0.45">
      <c r="A169" s="1"/>
      <c r="B169" s="1"/>
      <c r="D169" s="13"/>
      <c r="AK169" s="16"/>
      <c r="AQ169" s="16"/>
    </row>
    <row r="170" spans="1:43" s="5" customFormat="1" x14ac:dyDescent="0.45">
      <c r="A170" s="1"/>
      <c r="B170" s="1"/>
      <c r="D170" s="13"/>
      <c r="AK170" s="16"/>
      <c r="AQ170" s="16"/>
    </row>
    <row r="171" spans="1:43" s="5" customFormat="1" x14ac:dyDescent="0.45">
      <c r="A171" s="1"/>
      <c r="B171" s="1"/>
      <c r="D171" s="13"/>
      <c r="AK171" s="16"/>
      <c r="AQ171" s="16"/>
    </row>
    <row r="172" spans="1:43" s="5" customFormat="1" x14ac:dyDescent="0.45">
      <c r="A172" s="1"/>
      <c r="B172" s="1"/>
      <c r="D172" s="13"/>
      <c r="AK172" s="16"/>
      <c r="AQ172" s="16"/>
    </row>
    <row r="173" spans="1:43" s="5" customFormat="1" x14ac:dyDescent="0.45">
      <c r="A173" s="1"/>
      <c r="B173" s="1"/>
      <c r="D173" s="13"/>
      <c r="AK173" s="16"/>
      <c r="AQ173" s="16"/>
    </row>
    <row r="174" spans="1:43" s="5" customFormat="1" x14ac:dyDescent="0.45">
      <c r="A174" s="1"/>
      <c r="B174" s="1"/>
      <c r="D174" s="13"/>
      <c r="AK174" s="16"/>
      <c r="AQ174" s="16"/>
    </row>
    <row r="175" spans="1:43" s="5" customFormat="1" x14ac:dyDescent="0.45">
      <c r="A175" s="1"/>
      <c r="B175" s="1"/>
      <c r="D175" s="13"/>
      <c r="AK175" s="16"/>
      <c r="AQ175" s="16"/>
    </row>
    <row r="176" spans="1:43" s="5" customFormat="1" x14ac:dyDescent="0.45">
      <c r="A176" s="1"/>
      <c r="B176" s="1"/>
      <c r="D176" s="13"/>
      <c r="AK176" s="16"/>
      <c r="AQ176" s="16"/>
    </row>
    <row r="177" spans="1:43" s="5" customFormat="1" x14ac:dyDescent="0.45">
      <c r="A177" s="1"/>
      <c r="B177" s="1"/>
      <c r="D177" s="13"/>
      <c r="AK177" s="16"/>
      <c r="AQ177" s="16"/>
    </row>
    <row r="178" spans="1:43" s="5" customFormat="1" x14ac:dyDescent="0.45">
      <c r="A178" s="1"/>
      <c r="B178" s="1"/>
      <c r="D178" s="13"/>
      <c r="AK178" s="16"/>
      <c r="AQ178" s="16"/>
    </row>
    <row r="179" spans="1:43" s="5" customFormat="1" x14ac:dyDescent="0.45">
      <c r="A179" s="1"/>
      <c r="B179" s="1"/>
      <c r="D179" s="13"/>
      <c r="AK179" s="16"/>
      <c r="AQ179" s="16"/>
    </row>
    <row r="180" spans="1:43" s="5" customFormat="1" x14ac:dyDescent="0.45">
      <c r="A180" s="1"/>
      <c r="B180" s="1"/>
      <c r="D180" s="13"/>
      <c r="AK180" s="16"/>
      <c r="AQ180" s="16"/>
    </row>
    <row r="181" spans="1:43" s="5" customFormat="1" x14ac:dyDescent="0.45">
      <c r="A181" s="1"/>
      <c r="B181" s="1"/>
      <c r="D181" s="13"/>
      <c r="AK181" s="16"/>
      <c r="AQ181" s="16"/>
    </row>
    <row r="182" spans="1:43" s="5" customFormat="1" x14ac:dyDescent="0.45">
      <c r="A182" s="1"/>
      <c r="B182" s="1"/>
      <c r="D182" s="13"/>
      <c r="AK182" s="16"/>
      <c r="AQ182" s="16"/>
    </row>
    <row r="183" spans="1:43" s="5" customFormat="1" x14ac:dyDescent="0.45">
      <c r="A183" s="1"/>
      <c r="B183" s="1"/>
      <c r="D183" s="13"/>
      <c r="AK183" s="16"/>
      <c r="AQ183" s="16"/>
    </row>
    <row r="184" spans="1:43" s="5" customFormat="1" x14ac:dyDescent="0.45">
      <c r="A184" s="1"/>
      <c r="B184" s="1"/>
      <c r="D184" s="13"/>
      <c r="AK184" s="16"/>
      <c r="AQ184" s="16"/>
    </row>
    <row r="185" spans="1:43" s="5" customFormat="1" x14ac:dyDescent="0.45">
      <c r="A185" s="1"/>
      <c r="B185" s="1"/>
      <c r="D185" s="13"/>
      <c r="AK185" s="16"/>
      <c r="AQ185" s="16"/>
    </row>
    <row r="186" spans="1:43" s="5" customFormat="1" x14ac:dyDescent="0.45">
      <c r="A186" s="1"/>
      <c r="B186" s="1"/>
      <c r="D186" s="13"/>
      <c r="AK186" s="16"/>
      <c r="AQ186" s="16"/>
    </row>
    <row r="187" spans="1:43" s="5" customFormat="1" x14ac:dyDescent="0.45">
      <c r="A187" s="1"/>
      <c r="B187" s="1"/>
      <c r="D187" s="13"/>
      <c r="AK187" s="16"/>
      <c r="AQ187" s="16"/>
    </row>
    <row r="188" spans="1:43" s="5" customFormat="1" x14ac:dyDescent="0.45">
      <c r="A188" s="1"/>
      <c r="B188" s="1"/>
      <c r="D188" s="13"/>
      <c r="AK188" s="16"/>
      <c r="AQ188" s="16"/>
    </row>
    <row r="189" spans="1:43" s="5" customFormat="1" x14ac:dyDescent="0.45">
      <c r="A189" s="1"/>
      <c r="B189" s="1"/>
      <c r="D189" s="13"/>
      <c r="AK189" s="16"/>
      <c r="AQ189" s="16"/>
    </row>
    <row r="190" spans="1:43" s="5" customFormat="1" x14ac:dyDescent="0.45">
      <c r="A190" s="1"/>
      <c r="B190" s="1"/>
      <c r="D190" s="13"/>
      <c r="AK190" s="16"/>
      <c r="AQ190" s="16"/>
    </row>
    <row r="191" spans="1:43" s="5" customFormat="1" x14ac:dyDescent="0.45">
      <c r="A191" s="1"/>
      <c r="B191" s="1"/>
      <c r="D191" s="13"/>
      <c r="AK191" s="16"/>
      <c r="AQ191" s="16"/>
    </row>
    <row r="192" spans="1:43" s="5" customFormat="1" x14ac:dyDescent="0.45">
      <c r="A192" s="1"/>
      <c r="B192" s="1"/>
      <c r="D192" s="13"/>
      <c r="AK192" s="16"/>
      <c r="AQ192" s="16"/>
    </row>
    <row r="193" spans="1:43" s="5" customFormat="1" x14ac:dyDescent="0.45">
      <c r="A193" s="1"/>
      <c r="B193" s="1"/>
      <c r="D193" s="13"/>
      <c r="AK193" s="16"/>
      <c r="AQ193" s="16"/>
    </row>
    <row r="194" spans="1:43" s="5" customFormat="1" x14ac:dyDescent="0.45">
      <c r="A194" s="1"/>
      <c r="B194" s="1"/>
      <c r="D194" s="13"/>
      <c r="AK194" s="16"/>
      <c r="AQ194" s="16"/>
    </row>
    <row r="195" spans="1:43" s="5" customFormat="1" x14ac:dyDescent="0.45">
      <c r="A195" s="1"/>
      <c r="B195" s="1"/>
      <c r="D195" s="13"/>
      <c r="AK195" s="16"/>
      <c r="AQ195" s="16"/>
    </row>
    <row r="196" spans="1:43" s="5" customFormat="1" x14ac:dyDescent="0.45">
      <c r="A196" s="1"/>
      <c r="B196" s="1"/>
      <c r="D196" s="13"/>
      <c r="AK196" s="16"/>
      <c r="AQ196" s="16"/>
    </row>
    <row r="197" spans="1:43" s="5" customFormat="1" x14ac:dyDescent="0.45">
      <c r="A197" s="1"/>
      <c r="B197" s="1"/>
      <c r="D197" s="13"/>
      <c r="AK197" s="16"/>
      <c r="AQ197" s="16"/>
    </row>
    <row r="198" spans="1:43" s="5" customFormat="1" x14ac:dyDescent="0.45">
      <c r="A198" s="1"/>
      <c r="B198" s="1"/>
      <c r="D198" s="13"/>
      <c r="AK198" s="16"/>
      <c r="AQ198" s="16"/>
    </row>
    <row r="199" spans="1:43" s="5" customFormat="1" x14ac:dyDescent="0.45">
      <c r="A199" s="1"/>
      <c r="B199" s="1"/>
      <c r="D199" s="13"/>
      <c r="AK199" s="16"/>
      <c r="AQ199" s="16"/>
    </row>
    <row r="200" spans="1:43" s="5" customFormat="1" x14ac:dyDescent="0.45">
      <c r="A200" s="1"/>
      <c r="B200" s="1"/>
      <c r="D200" s="13"/>
      <c r="AK200" s="16"/>
      <c r="AQ200" s="16"/>
    </row>
    <row r="201" spans="1:43" s="5" customFormat="1" x14ac:dyDescent="0.45">
      <c r="A201" s="1"/>
      <c r="B201" s="1"/>
      <c r="D201" s="13"/>
      <c r="AK201" s="16"/>
      <c r="AQ201" s="16"/>
    </row>
    <row r="202" spans="1:43" s="5" customFormat="1" x14ac:dyDescent="0.45">
      <c r="A202" s="1"/>
      <c r="B202" s="1"/>
      <c r="D202" s="13"/>
      <c r="AK202" s="16"/>
      <c r="AQ202" s="16"/>
    </row>
    <row r="203" spans="1:43" s="5" customFormat="1" x14ac:dyDescent="0.45">
      <c r="A203" s="1"/>
      <c r="B203" s="1"/>
      <c r="D203" s="13"/>
      <c r="AK203" s="16"/>
      <c r="AQ203" s="16"/>
    </row>
    <row r="204" spans="1:43" s="5" customFormat="1" x14ac:dyDescent="0.45">
      <c r="A204" s="1"/>
      <c r="B204" s="1"/>
      <c r="D204" s="13"/>
      <c r="AK204" s="16"/>
      <c r="AQ204" s="16"/>
    </row>
    <row r="205" spans="1:43" s="5" customFormat="1" x14ac:dyDescent="0.45">
      <c r="A205" s="1"/>
      <c r="B205" s="1"/>
      <c r="D205" s="13"/>
      <c r="AK205" s="16"/>
      <c r="AQ205" s="16"/>
    </row>
    <row r="206" spans="1:43" s="5" customFormat="1" x14ac:dyDescent="0.45">
      <c r="A206" s="1"/>
      <c r="B206" s="1"/>
      <c r="D206" s="13"/>
      <c r="AK206" s="16"/>
      <c r="AQ206" s="16"/>
    </row>
    <row r="207" spans="1:43" s="5" customFormat="1" x14ac:dyDescent="0.45">
      <c r="A207" s="1"/>
      <c r="B207" s="1"/>
      <c r="D207" s="13"/>
      <c r="AK207" s="16"/>
      <c r="AQ207" s="16"/>
    </row>
    <row r="208" spans="1:43" s="5" customFormat="1" x14ac:dyDescent="0.45">
      <c r="A208" s="1"/>
      <c r="B208" s="1"/>
      <c r="D208" s="13"/>
      <c r="AK208" s="16"/>
      <c r="AQ208" s="16"/>
    </row>
    <row r="209" spans="1:43" s="5" customFormat="1" x14ac:dyDescent="0.45">
      <c r="A209" s="1"/>
      <c r="B209" s="1"/>
      <c r="D209" s="13"/>
      <c r="AK209" s="16"/>
      <c r="AQ209" s="16"/>
    </row>
    <row r="210" spans="1:43" s="5" customFormat="1" x14ac:dyDescent="0.45">
      <c r="A210" s="1"/>
      <c r="B210" s="1"/>
      <c r="D210" s="13"/>
      <c r="AK210" s="16"/>
      <c r="AQ210" s="16"/>
    </row>
    <row r="211" spans="1:43" s="5" customFormat="1" x14ac:dyDescent="0.45">
      <c r="A211" s="1"/>
      <c r="B211" s="1"/>
      <c r="D211" s="13"/>
      <c r="AK211" s="16"/>
      <c r="AQ211" s="16"/>
    </row>
    <row r="212" spans="1:43" s="5" customFormat="1" x14ac:dyDescent="0.45">
      <c r="A212" s="1"/>
      <c r="B212" s="1"/>
      <c r="D212" s="13"/>
      <c r="AK212" s="16"/>
      <c r="AQ212" s="16"/>
    </row>
    <row r="213" spans="1:43" s="5" customFormat="1" x14ac:dyDescent="0.45">
      <c r="A213" s="1"/>
      <c r="B213" s="1"/>
      <c r="D213" s="13"/>
      <c r="AK213" s="16"/>
      <c r="AQ213" s="16"/>
    </row>
    <row r="214" spans="1:43" s="5" customFormat="1" x14ac:dyDescent="0.45">
      <c r="A214" s="1"/>
      <c r="B214" s="1"/>
      <c r="D214" s="13"/>
      <c r="AK214" s="16"/>
      <c r="AQ214" s="16"/>
    </row>
    <row r="215" spans="1:43" s="5" customFormat="1" x14ac:dyDescent="0.45">
      <c r="A215" s="1"/>
      <c r="B215" s="1"/>
      <c r="D215" s="13"/>
      <c r="AK215" s="16"/>
      <c r="AQ215" s="16"/>
    </row>
    <row r="216" spans="1:43" s="5" customFormat="1" x14ac:dyDescent="0.45">
      <c r="A216" s="1"/>
      <c r="B216" s="1"/>
      <c r="D216" s="13"/>
      <c r="AK216" s="16"/>
      <c r="AQ216" s="16"/>
    </row>
    <row r="217" spans="1:43" s="5" customFormat="1" x14ac:dyDescent="0.45">
      <c r="A217" s="1"/>
      <c r="B217" s="1"/>
      <c r="D217" s="13"/>
      <c r="AK217" s="16"/>
      <c r="AQ217" s="16"/>
    </row>
    <row r="218" spans="1:43" s="5" customFormat="1" x14ac:dyDescent="0.45">
      <c r="A218" s="1"/>
      <c r="B218" s="1"/>
      <c r="D218" s="13"/>
      <c r="AK218" s="16"/>
      <c r="AQ218" s="16"/>
    </row>
    <row r="219" spans="1:43" s="5" customFormat="1" x14ac:dyDescent="0.45">
      <c r="A219" s="1"/>
      <c r="B219" s="1"/>
      <c r="D219" s="13"/>
      <c r="AK219" s="16"/>
      <c r="AQ219" s="16"/>
    </row>
    <row r="220" spans="1:43" s="5" customFormat="1" x14ac:dyDescent="0.45">
      <c r="A220" s="1"/>
      <c r="B220" s="1"/>
      <c r="D220" s="13"/>
      <c r="AK220" s="16"/>
      <c r="AQ220" s="16"/>
    </row>
    <row r="221" spans="1:43" s="5" customFormat="1" x14ac:dyDescent="0.45">
      <c r="A221" s="1"/>
      <c r="B221" s="1"/>
      <c r="D221" s="13"/>
      <c r="AK221" s="16"/>
      <c r="AQ221" s="16"/>
    </row>
    <row r="222" spans="1:43" s="5" customFormat="1" x14ac:dyDescent="0.45">
      <c r="A222" s="1"/>
      <c r="B222" s="1"/>
      <c r="D222" s="13"/>
      <c r="AK222" s="16"/>
      <c r="AQ222" s="16"/>
    </row>
    <row r="223" spans="1:43" s="5" customFormat="1" x14ac:dyDescent="0.45">
      <c r="A223" s="1"/>
      <c r="B223" s="1"/>
      <c r="D223" s="13"/>
      <c r="AK223" s="16"/>
      <c r="AQ223" s="16"/>
    </row>
    <row r="224" spans="1:43" s="5" customFormat="1" x14ac:dyDescent="0.45">
      <c r="A224" s="1"/>
      <c r="B224" s="1"/>
      <c r="D224" s="13"/>
      <c r="AK224" s="16"/>
      <c r="AQ224" s="16"/>
    </row>
    <row r="225" spans="1:43" s="5" customFormat="1" x14ac:dyDescent="0.45">
      <c r="A225" s="1"/>
      <c r="B225" s="1"/>
      <c r="D225" s="13"/>
      <c r="AK225" s="16"/>
      <c r="AQ225" s="16"/>
    </row>
    <row r="226" spans="1:43" s="5" customFormat="1" x14ac:dyDescent="0.45">
      <c r="A226" s="1"/>
      <c r="B226" s="1"/>
      <c r="D226" s="13"/>
      <c r="AK226" s="16"/>
      <c r="AQ226" s="16"/>
    </row>
    <row r="227" spans="1:43" s="5" customFormat="1" x14ac:dyDescent="0.45">
      <c r="A227" s="1"/>
      <c r="B227" s="1"/>
      <c r="D227" s="13"/>
      <c r="AK227" s="16"/>
      <c r="AQ227" s="16"/>
    </row>
    <row r="228" spans="1:43" s="5" customFormat="1" x14ac:dyDescent="0.45">
      <c r="A228" s="1"/>
      <c r="B228" s="1"/>
      <c r="D228" s="13"/>
      <c r="AK228" s="16"/>
      <c r="AQ228" s="16"/>
    </row>
    <row r="229" spans="1:43" s="5" customFormat="1" x14ac:dyDescent="0.45">
      <c r="A229" s="1"/>
      <c r="B229" s="1"/>
      <c r="D229" s="13"/>
      <c r="AK229" s="16"/>
      <c r="AQ229" s="16"/>
    </row>
    <row r="230" spans="1:43" s="5" customFormat="1" x14ac:dyDescent="0.45">
      <c r="A230" s="1"/>
      <c r="B230" s="1"/>
      <c r="D230" s="13"/>
      <c r="AK230" s="16"/>
      <c r="AQ230" s="16"/>
    </row>
    <row r="231" spans="1:43" s="5" customFormat="1" x14ac:dyDescent="0.45">
      <c r="A231" s="1"/>
      <c r="B231" s="1"/>
      <c r="D231" s="13"/>
      <c r="AK231" s="16"/>
      <c r="AQ231" s="16"/>
    </row>
    <row r="232" spans="1:43" s="5" customFormat="1" x14ac:dyDescent="0.45">
      <c r="A232" s="1"/>
      <c r="B232" s="1"/>
      <c r="D232" s="13"/>
      <c r="AK232" s="16"/>
      <c r="AQ232" s="16"/>
    </row>
    <row r="233" spans="1:43" s="5" customFormat="1" x14ac:dyDescent="0.45">
      <c r="A233" s="1"/>
      <c r="B233" s="1"/>
      <c r="D233" s="13"/>
      <c r="AK233" s="16"/>
      <c r="AQ233" s="16"/>
    </row>
    <row r="234" spans="1:43" s="5" customFormat="1" x14ac:dyDescent="0.45">
      <c r="A234" s="1"/>
      <c r="B234" s="1"/>
      <c r="D234" s="13"/>
      <c r="AK234" s="16"/>
      <c r="AQ234" s="16"/>
    </row>
    <row r="235" spans="1:43" s="5" customFormat="1" x14ac:dyDescent="0.45">
      <c r="A235" s="1"/>
      <c r="B235" s="1"/>
      <c r="D235" s="13"/>
      <c r="AK235" s="16"/>
      <c r="AQ235" s="16"/>
    </row>
    <row r="236" spans="1:43" s="5" customFormat="1" x14ac:dyDescent="0.45">
      <c r="A236" s="1"/>
      <c r="B236" s="1"/>
      <c r="D236" s="13"/>
      <c r="AK236" s="16"/>
      <c r="AQ236" s="16"/>
    </row>
    <row r="237" spans="1:43" s="5" customFormat="1" x14ac:dyDescent="0.45">
      <c r="A237" s="1"/>
      <c r="B237" s="1"/>
      <c r="D237" s="13"/>
      <c r="AK237" s="16"/>
      <c r="AQ237" s="16"/>
    </row>
    <row r="238" spans="1:43" s="5" customFormat="1" x14ac:dyDescent="0.45">
      <c r="A238" s="1"/>
      <c r="B238" s="1"/>
      <c r="D238" s="13"/>
      <c r="AK238" s="16"/>
      <c r="AQ238" s="16"/>
    </row>
    <row r="239" spans="1:43" s="5" customFormat="1" x14ac:dyDescent="0.45">
      <c r="A239" s="1"/>
      <c r="B239" s="1"/>
      <c r="D239" s="13"/>
      <c r="AK239" s="16"/>
      <c r="AQ239" s="16"/>
    </row>
    <row r="240" spans="1:43" s="5" customFormat="1" x14ac:dyDescent="0.45">
      <c r="A240" s="1"/>
      <c r="B240" s="1"/>
      <c r="D240" s="13"/>
      <c r="AK240" s="16"/>
      <c r="AQ240" s="16"/>
    </row>
    <row r="241" spans="1:43" s="5" customFormat="1" x14ac:dyDescent="0.45">
      <c r="A241" s="1"/>
      <c r="B241" s="1"/>
      <c r="D241" s="13"/>
      <c r="AK241" s="16"/>
      <c r="AQ241" s="16"/>
    </row>
    <row r="242" spans="1:43" s="5" customFormat="1" x14ac:dyDescent="0.45">
      <c r="A242" s="1"/>
      <c r="B242" s="1"/>
      <c r="D242" s="13"/>
      <c r="AK242" s="16"/>
      <c r="AQ242" s="16"/>
    </row>
    <row r="243" spans="1:43" s="5" customFormat="1" x14ac:dyDescent="0.45">
      <c r="A243" s="1"/>
      <c r="B243" s="1"/>
      <c r="D243" s="13"/>
      <c r="AK243" s="16"/>
      <c r="AQ243" s="16"/>
    </row>
    <row r="244" spans="1:43" s="5" customFormat="1" x14ac:dyDescent="0.45">
      <c r="A244" s="1"/>
      <c r="B244" s="1"/>
      <c r="D244" s="13"/>
      <c r="AK244" s="16"/>
      <c r="AQ244" s="16"/>
    </row>
    <row r="245" spans="1:43" s="5" customFormat="1" x14ac:dyDescent="0.45">
      <c r="A245" s="1"/>
      <c r="B245" s="1"/>
      <c r="D245" s="13"/>
      <c r="AK245" s="16"/>
      <c r="AQ245" s="16"/>
    </row>
    <row r="246" spans="1:43" s="5" customFormat="1" x14ac:dyDescent="0.45">
      <c r="A246" s="1"/>
      <c r="B246" s="1"/>
      <c r="D246" s="13"/>
      <c r="AK246" s="16"/>
      <c r="AQ246" s="16"/>
    </row>
    <row r="247" spans="1:43" s="5" customFormat="1" x14ac:dyDescent="0.45">
      <c r="A247" s="1"/>
      <c r="B247" s="1"/>
      <c r="D247" s="13"/>
      <c r="AK247" s="16"/>
      <c r="AQ247" s="16"/>
    </row>
    <row r="248" spans="1:43" s="5" customFormat="1" x14ac:dyDescent="0.45">
      <c r="A248" s="1"/>
      <c r="B248" s="1"/>
      <c r="D248" s="13"/>
      <c r="AK248" s="16"/>
      <c r="AQ248" s="16"/>
    </row>
    <row r="249" spans="1:43" s="5" customFormat="1" x14ac:dyDescent="0.45">
      <c r="A249" s="1"/>
      <c r="B249" s="1"/>
      <c r="D249" s="13"/>
      <c r="AK249" s="16"/>
      <c r="AQ249" s="16"/>
    </row>
    <row r="250" spans="1:43" s="5" customFormat="1" x14ac:dyDescent="0.45">
      <c r="A250" s="1"/>
      <c r="B250" s="1"/>
      <c r="D250" s="13"/>
      <c r="AK250" s="16"/>
      <c r="AQ250" s="16"/>
    </row>
    <row r="251" spans="1:43" s="5" customFormat="1" x14ac:dyDescent="0.45">
      <c r="A251" s="1"/>
      <c r="B251" s="1"/>
      <c r="D251" s="13"/>
      <c r="AK251" s="16"/>
      <c r="AQ251" s="16"/>
    </row>
    <row r="252" spans="1:43" s="5" customFormat="1" x14ac:dyDescent="0.45">
      <c r="A252" s="1"/>
      <c r="B252" s="1"/>
      <c r="D252" s="13"/>
      <c r="AK252" s="16"/>
      <c r="AQ252" s="16"/>
    </row>
    <row r="253" spans="1:43" s="5" customFormat="1" x14ac:dyDescent="0.45">
      <c r="A253" s="1"/>
      <c r="B253" s="1"/>
      <c r="D253" s="13"/>
      <c r="AK253" s="16"/>
      <c r="AQ253" s="16"/>
    </row>
    <row r="254" spans="1:43" s="5" customFormat="1" x14ac:dyDescent="0.45">
      <c r="A254" s="1"/>
      <c r="B254" s="1"/>
      <c r="D254" s="13"/>
      <c r="AK254" s="16"/>
      <c r="AQ254" s="16"/>
    </row>
    <row r="255" spans="1:43" s="5" customFormat="1" x14ac:dyDescent="0.45">
      <c r="A255" s="1"/>
      <c r="B255" s="1"/>
      <c r="D255" s="13"/>
      <c r="AK255" s="16"/>
      <c r="AQ255" s="16"/>
    </row>
    <row r="256" spans="1:43" s="5" customFormat="1" x14ac:dyDescent="0.45">
      <c r="A256" s="1"/>
      <c r="B256" s="1"/>
      <c r="D256" s="13"/>
      <c r="AK256" s="16"/>
      <c r="AQ256" s="16"/>
    </row>
    <row r="257" spans="1:43" s="5" customFormat="1" x14ac:dyDescent="0.45">
      <c r="A257" s="1"/>
      <c r="B257" s="1"/>
      <c r="D257" s="13"/>
      <c r="AK257" s="16"/>
      <c r="AQ257" s="16"/>
    </row>
    <row r="258" spans="1:43" s="5" customFormat="1" x14ac:dyDescent="0.45">
      <c r="A258" s="1"/>
      <c r="B258" s="1"/>
      <c r="D258" s="13"/>
      <c r="AK258" s="16"/>
      <c r="AQ258" s="16"/>
    </row>
    <row r="259" spans="1:43" s="5" customFormat="1" x14ac:dyDescent="0.45">
      <c r="A259" s="1"/>
      <c r="B259" s="1"/>
      <c r="D259" s="13"/>
      <c r="AK259" s="16"/>
      <c r="AQ259" s="16"/>
    </row>
    <row r="260" spans="1:43" s="5" customFormat="1" x14ac:dyDescent="0.45">
      <c r="A260" s="1"/>
      <c r="B260" s="1"/>
      <c r="D260" s="13"/>
      <c r="AK260" s="16"/>
      <c r="AQ260" s="16"/>
    </row>
    <row r="261" spans="1:43" s="5" customFormat="1" x14ac:dyDescent="0.45">
      <c r="A261" s="1"/>
      <c r="B261" s="1"/>
      <c r="D261" s="13"/>
      <c r="AK261" s="16"/>
      <c r="AQ261" s="16"/>
    </row>
    <row r="262" spans="1:43" s="5" customFormat="1" x14ac:dyDescent="0.45">
      <c r="A262" s="1"/>
      <c r="B262" s="1"/>
      <c r="D262" s="13"/>
      <c r="AK262" s="16"/>
      <c r="AQ262" s="16"/>
    </row>
    <row r="263" spans="1:43" s="5" customFormat="1" x14ac:dyDescent="0.45">
      <c r="A263" s="1"/>
      <c r="B263" s="1"/>
      <c r="D263" s="13"/>
      <c r="AK263" s="16"/>
      <c r="AQ263" s="16"/>
    </row>
    <row r="264" spans="1:43" s="5" customFormat="1" x14ac:dyDescent="0.45">
      <c r="A264" s="1"/>
      <c r="B264" s="1"/>
      <c r="D264" s="13"/>
      <c r="AK264" s="16"/>
      <c r="AQ264" s="16"/>
    </row>
    <row r="265" spans="1:43" s="5" customFormat="1" x14ac:dyDescent="0.45">
      <c r="A265" s="1"/>
      <c r="B265" s="1"/>
      <c r="D265" s="13"/>
      <c r="AK265" s="16"/>
      <c r="AQ265" s="16"/>
    </row>
    <row r="266" spans="1:43" s="5" customFormat="1" x14ac:dyDescent="0.45">
      <c r="A266" s="1"/>
      <c r="B266" s="1"/>
      <c r="D266" s="13"/>
      <c r="AK266" s="16"/>
      <c r="AQ266" s="16"/>
    </row>
    <row r="267" spans="1:43" s="5" customFormat="1" x14ac:dyDescent="0.45">
      <c r="A267" s="1"/>
      <c r="B267" s="1"/>
      <c r="D267" s="13"/>
      <c r="AK267" s="16"/>
      <c r="AQ267" s="16"/>
    </row>
    <row r="268" spans="1:43" s="5" customFormat="1" x14ac:dyDescent="0.45">
      <c r="A268" s="1"/>
      <c r="B268" s="1"/>
      <c r="D268" s="13"/>
      <c r="AK268" s="16"/>
      <c r="AQ268" s="16"/>
    </row>
    <row r="269" spans="1:43" s="5" customFormat="1" x14ac:dyDescent="0.45">
      <c r="A269" s="1"/>
      <c r="B269" s="1"/>
      <c r="D269" s="13"/>
      <c r="AK269" s="16"/>
      <c r="AQ269" s="16"/>
    </row>
    <row r="270" spans="1:43" s="5" customFormat="1" x14ac:dyDescent="0.45">
      <c r="A270" s="1"/>
      <c r="B270" s="1"/>
      <c r="D270" s="13"/>
      <c r="AK270" s="16"/>
      <c r="AQ270" s="16"/>
    </row>
    <row r="271" spans="1:43" s="5" customFormat="1" x14ac:dyDescent="0.45">
      <c r="A271" s="1"/>
      <c r="B271" s="1"/>
      <c r="D271" s="13"/>
      <c r="AK271" s="16"/>
      <c r="AQ271" s="16"/>
    </row>
    <row r="272" spans="1:43" s="5" customFormat="1" x14ac:dyDescent="0.45">
      <c r="A272" s="1"/>
      <c r="B272" s="1"/>
      <c r="D272" s="13"/>
      <c r="AK272" s="16"/>
      <c r="AQ272" s="16"/>
    </row>
    <row r="273" spans="1:43" s="5" customFormat="1" x14ac:dyDescent="0.45">
      <c r="A273" s="1"/>
      <c r="B273" s="1"/>
      <c r="D273" s="13"/>
      <c r="AK273" s="16"/>
      <c r="AQ273" s="16"/>
    </row>
    <row r="274" spans="1:43" s="5" customFormat="1" x14ac:dyDescent="0.45">
      <c r="A274" s="1"/>
      <c r="B274" s="1"/>
      <c r="D274" s="13"/>
      <c r="AK274" s="16"/>
      <c r="AQ274" s="16"/>
    </row>
    <row r="275" spans="1:43" s="5" customFormat="1" x14ac:dyDescent="0.45">
      <c r="A275" s="1"/>
      <c r="B275" s="1"/>
      <c r="D275" s="13"/>
      <c r="AK275" s="16"/>
      <c r="AQ275" s="16"/>
    </row>
    <row r="276" spans="1:43" s="5" customFormat="1" x14ac:dyDescent="0.45">
      <c r="A276" s="1"/>
      <c r="B276" s="1"/>
      <c r="D276" s="13"/>
      <c r="AK276" s="16"/>
      <c r="AQ276" s="16"/>
    </row>
    <row r="277" spans="1:43" s="5" customFormat="1" x14ac:dyDescent="0.45">
      <c r="A277" s="1"/>
      <c r="B277" s="1"/>
      <c r="D277" s="13"/>
      <c r="AK277" s="16"/>
      <c r="AQ277" s="16"/>
    </row>
    <row r="278" spans="1:43" s="5" customFormat="1" x14ac:dyDescent="0.45">
      <c r="A278" s="1"/>
      <c r="B278" s="1"/>
      <c r="D278" s="13"/>
      <c r="AK278" s="16"/>
      <c r="AQ278" s="16"/>
    </row>
    <row r="279" spans="1:43" s="5" customFormat="1" x14ac:dyDescent="0.45">
      <c r="A279" s="1"/>
      <c r="B279" s="1"/>
      <c r="D279" s="13"/>
      <c r="AK279" s="16"/>
      <c r="AQ279" s="16"/>
    </row>
    <row r="280" spans="1:43" s="5" customFormat="1" x14ac:dyDescent="0.45">
      <c r="A280" s="1"/>
      <c r="B280" s="1"/>
      <c r="D280" s="13"/>
      <c r="AK280" s="16"/>
      <c r="AQ280" s="16"/>
    </row>
    <row r="281" spans="1:43" s="5" customFormat="1" x14ac:dyDescent="0.45">
      <c r="A281" s="1"/>
      <c r="B281" s="1"/>
      <c r="D281" s="13"/>
      <c r="AK281" s="16"/>
      <c r="AQ281" s="16"/>
    </row>
    <row r="282" spans="1:43" s="5" customFormat="1" x14ac:dyDescent="0.45">
      <c r="A282" s="1"/>
      <c r="B282" s="1"/>
      <c r="D282" s="13"/>
      <c r="AK282" s="16"/>
      <c r="AQ282" s="16"/>
    </row>
    <row r="283" spans="1:43" s="5" customFormat="1" x14ac:dyDescent="0.45">
      <c r="A283" s="1"/>
      <c r="B283" s="1"/>
      <c r="D283" s="13"/>
      <c r="AK283" s="16"/>
      <c r="AQ283" s="16"/>
    </row>
    <row r="284" spans="1:43" s="5" customFormat="1" x14ac:dyDescent="0.45">
      <c r="A284" s="1"/>
      <c r="B284" s="1"/>
      <c r="D284" s="13"/>
      <c r="AK284" s="16"/>
      <c r="AQ284" s="16"/>
    </row>
    <row r="285" spans="1:43" s="5" customFormat="1" x14ac:dyDescent="0.45">
      <c r="A285" s="1"/>
      <c r="B285" s="1"/>
      <c r="D285" s="13"/>
      <c r="AK285" s="16"/>
      <c r="AQ285" s="16"/>
    </row>
    <row r="286" spans="1:43" s="5" customFormat="1" x14ac:dyDescent="0.45">
      <c r="A286" s="1"/>
      <c r="B286" s="1"/>
      <c r="D286" s="13"/>
      <c r="AK286" s="16"/>
      <c r="AQ286" s="16"/>
    </row>
    <row r="287" spans="1:43" s="5" customFormat="1" x14ac:dyDescent="0.45">
      <c r="A287" s="1"/>
      <c r="B287" s="1"/>
      <c r="D287" s="13"/>
      <c r="AK287" s="16"/>
      <c r="AQ287" s="16"/>
    </row>
    <row r="288" spans="1:43" s="5" customFormat="1" x14ac:dyDescent="0.45">
      <c r="A288" s="1"/>
      <c r="B288" s="1"/>
      <c r="D288" s="13"/>
      <c r="AK288" s="16"/>
      <c r="AQ288" s="16"/>
    </row>
    <row r="289" spans="1:43" s="5" customFormat="1" x14ac:dyDescent="0.45">
      <c r="A289" s="1"/>
      <c r="B289" s="1"/>
      <c r="D289" s="13"/>
      <c r="AK289" s="16"/>
      <c r="AQ289" s="16"/>
    </row>
    <row r="290" spans="1:43" s="5" customFormat="1" x14ac:dyDescent="0.45">
      <c r="A290" s="1"/>
      <c r="B290" s="1"/>
      <c r="D290" s="13"/>
      <c r="AK290" s="16"/>
      <c r="AQ290" s="16"/>
    </row>
    <row r="291" spans="1:43" s="5" customFormat="1" x14ac:dyDescent="0.45">
      <c r="A291" s="1"/>
      <c r="B291" s="1"/>
      <c r="D291" s="13"/>
      <c r="AK291" s="16"/>
      <c r="AQ291" s="16"/>
    </row>
    <row r="292" spans="1:43" s="5" customFormat="1" x14ac:dyDescent="0.45">
      <c r="A292" s="1"/>
      <c r="B292" s="1"/>
      <c r="D292" s="13"/>
      <c r="AK292" s="16"/>
      <c r="AQ292" s="16"/>
    </row>
    <row r="293" spans="1:43" s="5" customFormat="1" x14ac:dyDescent="0.45">
      <c r="A293" s="1"/>
      <c r="B293" s="1"/>
      <c r="D293" s="13"/>
      <c r="AK293" s="16"/>
      <c r="AQ293" s="16"/>
    </row>
    <row r="294" spans="1:43" s="5" customFormat="1" x14ac:dyDescent="0.45">
      <c r="A294" s="1"/>
      <c r="B294" s="1"/>
      <c r="D294" s="13"/>
      <c r="AK294" s="16"/>
      <c r="AQ294" s="16"/>
    </row>
    <row r="295" spans="1:43" s="5" customFormat="1" x14ac:dyDescent="0.45">
      <c r="A295" s="1"/>
      <c r="B295" s="1"/>
      <c r="D295" s="13"/>
      <c r="AK295" s="16"/>
      <c r="AQ295" s="16"/>
    </row>
    <row r="296" spans="1:43" s="5" customFormat="1" x14ac:dyDescent="0.45">
      <c r="A296" s="1"/>
      <c r="B296" s="1"/>
      <c r="D296" s="13"/>
      <c r="AK296" s="16"/>
      <c r="AQ296" s="16"/>
    </row>
    <row r="297" spans="1:43" s="5" customFormat="1" x14ac:dyDescent="0.45">
      <c r="A297" s="1"/>
      <c r="B297" s="1"/>
      <c r="D297" s="13"/>
      <c r="AK297" s="16"/>
      <c r="AQ297" s="16"/>
    </row>
    <row r="298" spans="1:43" s="5" customFormat="1" x14ac:dyDescent="0.45">
      <c r="A298" s="1"/>
      <c r="B298" s="1"/>
      <c r="D298" s="13"/>
      <c r="AK298" s="16"/>
      <c r="AQ298" s="16"/>
    </row>
    <row r="299" spans="1:43" s="5" customFormat="1" x14ac:dyDescent="0.45">
      <c r="A299" s="1"/>
      <c r="B299" s="1"/>
      <c r="D299" s="13"/>
      <c r="AK299" s="16"/>
      <c r="AQ299" s="16"/>
    </row>
    <row r="300" spans="1:43" s="5" customFormat="1" x14ac:dyDescent="0.45">
      <c r="A300" s="1"/>
      <c r="B300" s="1"/>
      <c r="D300" s="13"/>
      <c r="AK300" s="16"/>
      <c r="AQ300" s="16"/>
    </row>
    <row r="301" spans="1:43" s="5" customFormat="1" x14ac:dyDescent="0.45">
      <c r="A301" s="1"/>
      <c r="B301" s="1"/>
      <c r="D301" s="13"/>
      <c r="AK301" s="16"/>
      <c r="AQ301" s="16"/>
    </row>
    <row r="302" spans="1:43" s="5" customFormat="1" x14ac:dyDescent="0.45">
      <c r="A302" s="1"/>
      <c r="B302" s="1"/>
      <c r="D302" s="13"/>
      <c r="AK302" s="16"/>
      <c r="AQ302" s="16"/>
    </row>
    <row r="303" spans="1:43" s="5" customFormat="1" x14ac:dyDescent="0.45">
      <c r="A303" s="1"/>
      <c r="B303" s="1"/>
      <c r="D303" s="13"/>
      <c r="AK303" s="16"/>
      <c r="AQ303" s="16"/>
    </row>
    <row r="304" spans="1:43" s="5" customFormat="1" x14ac:dyDescent="0.45">
      <c r="A304" s="1"/>
      <c r="B304" s="1"/>
      <c r="D304" s="13"/>
      <c r="AK304" s="16"/>
      <c r="AQ304" s="16"/>
    </row>
    <row r="305" spans="1:43" s="5" customFormat="1" x14ac:dyDescent="0.45">
      <c r="A305" s="1"/>
      <c r="B305" s="1"/>
      <c r="D305" s="13"/>
      <c r="AK305" s="16"/>
      <c r="AQ305" s="16"/>
    </row>
    <row r="306" spans="1:43" s="5" customFormat="1" x14ac:dyDescent="0.45">
      <c r="A306" s="1"/>
      <c r="B306" s="1"/>
      <c r="D306" s="13"/>
      <c r="AK306" s="16"/>
      <c r="AQ306" s="16"/>
    </row>
    <row r="307" spans="1:43" s="5" customFormat="1" x14ac:dyDescent="0.45">
      <c r="A307" s="1"/>
      <c r="B307" s="1"/>
      <c r="D307" s="13"/>
      <c r="AK307" s="16"/>
      <c r="AQ307" s="16"/>
    </row>
    <row r="308" spans="1:43" s="5" customFormat="1" x14ac:dyDescent="0.45">
      <c r="A308" s="1"/>
      <c r="B308" s="1"/>
      <c r="D308" s="13"/>
      <c r="AK308" s="16"/>
      <c r="AQ308" s="16"/>
    </row>
    <row r="309" spans="1:43" s="5" customFormat="1" x14ac:dyDescent="0.45">
      <c r="A309" s="1"/>
      <c r="B309" s="1"/>
      <c r="D309" s="13"/>
      <c r="AK309" s="16"/>
      <c r="AQ309" s="16"/>
    </row>
    <row r="310" spans="1:43" s="5" customFormat="1" x14ac:dyDescent="0.45">
      <c r="A310" s="1"/>
      <c r="B310" s="1"/>
      <c r="D310" s="13"/>
      <c r="AK310" s="16"/>
      <c r="AQ310" s="16"/>
    </row>
    <row r="311" spans="1:43" s="5" customFormat="1" x14ac:dyDescent="0.45">
      <c r="A311" s="1"/>
      <c r="B311" s="1"/>
      <c r="D311" s="13"/>
      <c r="AK311" s="16"/>
      <c r="AQ311" s="16"/>
    </row>
    <row r="312" spans="1:43" s="5" customFormat="1" x14ac:dyDescent="0.45">
      <c r="A312" s="1"/>
      <c r="B312" s="1"/>
      <c r="D312" s="13"/>
      <c r="AK312" s="16"/>
      <c r="AQ312" s="16"/>
    </row>
    <row r="313" spans="1:43" s="5" customFormat="1" x14ac:dyDescent="0.45">
      <c r="A313" s="1"/>
      <c r="B313" s="1"/>
      <c r="D313" s="13"/>
      <c r="AK313" s="16"/>
      <c r="AQ313" s="16"/>
    </row>
    <row r="314" spans="1:43" s="5" customFormat="1" x14ac:dyDescent="0.45">
      <c r="A314" s="1"/>
      <c r="B314" s="1"/>
      <c r="D314" s="13"/>
      <c r="AK314" s="16"/>
      <c r="AQ314" s="16"/>
    </row>
    <row r="315" spans="1:43" s="5" customFormat="1" x14ac:dyDescent="0.45">
      <c r="A315" s="1"/>
      <c r="B315" s="1"/>
      <c r="D315" s="13"/>
      <c r="AK315" s="16"/>
      <c r="AQ315" s="16"/>
    </row>
    <row r="316" spans="1:43" s="5" customFormat="1" x14ac:dyDescent="0.45">
      <c r="A316" s="1"/>
      <c r="B316" s="1"/>
      <c r="D316" s="13"/>
      <c r="AK316" s="16"/>
      <c r="AQ316" s="16"/>
    </row>
    <row r="317" spans="1:43" s="5" customFormat="1" x14ac:dyDescent="0.45">
      <c r="A317" s="1"/>
      <c r="B317" s="1"/>
      <c r="D317" s="13"/>
      <c r="AK317" s="16"/>
      <c r="AQ317" s="16"/>
    </row>
    <row r="318" spans="1:43" s="5" customFormat="1" x14ac:dyDescent="0.45">
      <c r="A318" s="1"/>
      <c r="B318" s="1"/>
      <c r="D318" s="13"/>
      <c r="AK318" s="16"/>
      <c r="AQ318" s="16"/>
    </row>
    <row r="319" spans="1:43" s="5" customFormat="1" x14ac:dyDescent="0.45">
      <c r="A319" s="1"/>
      <c r="B319" s="1"/>
      <c r="D319" s="13"/>
      <c r="AK319" s="16"/>
      <c r="AQ319" s="16"/>
    </row>
    <row r="320" spans="1:43" s="5" customFormat="1" x14ac:dyDescent="0.45">
      <c r="A320" s="1"/>
      <c r="B320" s="1"/>
      <c r="D320" s="13"/>
      <c r="AK320" s="16"/>
      <c r="AQ320" s="16"/>
    </row>
    <row r="321" spans="1:43" s="5" customFormat="1" x14ac:dyDescent="0.45">
      <c r="A321" s="1"/>
      <c r="B321" s="1"/>
      <c r="D321" s="13"/>
      <c r="AK321" s="16"/>
      <c r="AQ321" s="16"/>
    </row>
    <row r="322" spans="1:43" s="5" customFormat="1" x14ac:dyDescent="0.45">
      <c r="A322" s="1"/>
      <c r="B322" s="1"/>
      <c r="D322" s="13"/>
      <c r="AK322" s="16"/>
      <c r="AQ322" s="16"/>
    </row>
    <row r="323" spans="1:43" s="5" customFormat="1" x14ac:dyDescent="0.45">
      <c r="A323" s="1"/>
      <c r="B323" s="1"/>
      <c r="D323" s="13"/>
      <c r="AK323" s="16"/>
      <c r="AQ323" s="16"/>
    </row>
    <row r="324" spans="1:43" s="5" customFormat="1" x14ac:dyDescent="0.45">
      <c r="A324" s="1"/>
      <c r="B324" s="1"/>
      <c r="D324" s="13"/>
      <c r="AK324" s="16"/>
      <c r="AQ324" s="16"/>
    </row>
    <row r="325" spans="1:43" s="5" customFormat="1" x14ac:dyDescent="0.45">
      <c r="A325" s="1"/>
      <c r="B325" s="1"/>
      <c r="D325" s="13"/>
      <c r="AK325" s="16"/>
      <c r="AQ325" s="16"/>
    </row>
    <row r="326" spans="1:43" s="5" customFormat="1" x14ac:dyDescent="0.45">
      <c r="A326" s="1"/>
      <c r="B326" s="1"/>
      <c r="D326" s="13"/>
      <c r="AK326" s="16"/>
      <c r="AQ326" s="16"/>
    </row>
    <row r="327" spans="1:43" s="5" customFormat="1" x14ac:dyDescent="0.45">
      <c r="A327" s="1"/>
      <c r="B327" s="1"/>
      <c r="D327" s="13"/>
      <c r="AK327" s="16"/>
      <c r="AQ327" s="16"/>
    </row>
    <row r="328" spans="1:43" s="5" customFormat="1" x14ac:dyDescent="0.45">
      <c r="A328" s="1"/>
      <c r="B328" s="1"/>
      <c r="D328" s="13"/>
      <c r="AK328" s="16"/>
      <c r="AQ328" s="16"/>
    </row>
    <row r="329" spans="1:43" s="5" customFormat="1" x14ac:dyDescent="0.45">
      <c r="A329" s="1"/>
      <c r="B329" s="1"/>
      <c r="D329" s="13"/>
      <c r="AK329" s="16"/>
      <c r="AQ329" s="16"/>
    </row>
    <row r="330" spans="1:43" s="5" customFormat="1" x14ac:dyDescent="0.45">
      <c r="A330" s="1"/>
      <c r="B330" s="1"/>
      <c r="D330" s="13"/>
      <c r="AK330" s="16"/>
      <c r="AQ330" s="16"/>
    </row>
    <row r="331" spans="1:43" s="5" customFormat="1" x14ac:dyDescent="0.45">
      <c r="A331" s="1"/>
      <c r="B331" s="1"/>
      <c r="D331" s="13"/>
      <c r="AK331" s="16"/>
      <c r="AQ331" s="16"/>
    </row>
    <row r="332" spans="1:43" s="5" customFormat="1" x14ac:dyDescent="0.45">
      <c r="A332" s="1"/>
      <c r="B332" s="1"/>
      <c r="D332" s="13"/>
      <c r="AK332" s="16"/>
      <c r="AQ332" s="16"/>
    </row>
    <row r="333" spans="1:43" s="5" customFormat="1" x14ac:dyDescent="0.45">
      <c r="A333" s="1"/>
      <c r="B333" s="1"/>
      <c r="D333" s="13"/>
      <c r="AK333" s="16"/>
      <c r="AQ333" s="16"/>
    </row>
    <row r="334" spans="1:43" s="5" customFormat="1" x14ac:dyDescent="0.45">
      <c r="A334" s="1"/>
      <c r="B334" s="1"/>
      <c r="D334" s="13"/>
      <c r="AK334" s="16"/>
      <c r="AQ334" s="16"/>
    </row>
    <row r="335" spans="1:43" s="5" customFormat="1" x14ac:dyDescent="0.45">
      <c r="A335" s="1"/>
      <c r="B335" s="1"/>
      <c r="D335" s="13"/>
      <c r="AK335" s="16"/>
      <c r="AQ335" s="16"/>
    </row>
    <row r="336" spans="1:43" s="5" customFormat="1" x14ac:dyDescent="0.45">
      <c r="A336" s="1"/>
      <c r="B336" s="1"/>
      <c r="D336" s="13"/>
      <c r="AK336" s="16"/>
      <c r="AQ336" s="16"/>
    </row>
    <row r="337" spans="1:43" s="5" customFormat="1" x14ac:dyDescent="0.45">
      <c r="A337" s="1"/>
      <c r="B337" s="1"/>
      <c r="D337" s="13"/>
      <c r="AK337" s="16"/>
      <c r="AQ337" s="16"/>
    </row>
    <row r="338" spans="1:43" s="5" customFormat="1" x14ac:dyDescent="0.45">
      <c r="A338" s="1"/>
      <c r="B338" s="1"/>
      <c r="D338" s="13"/>
      <c r="AK338" s="16"/>
      <c r="AQ338" s="16"/>
    </row>
    <row r="339" spans="1:43" s="5" customFormat="1" x14ac:dyDescent="0.45">
      <c r="A339" s="1"/>
      <c r="B339" s="1"/>
      <c r="D339" s="13"/>
      <c r="AK339" s="16"/>
      <c r="AQ339" s="16"/>
    </row>
    <row r="340" spans="1:43" s="5" customFormat="1" x14ac:dyDescent="0.45">
      <c r="A340" s="1"/>
      <c r="B340" s="1"/>
      <c r="D340" s="13"/>
      <c r="AK340" s="16"/>
      <c r="AQ340" s="16"/>
    </row>
    <row r="341" spans="1:43" s="5" customFormat="1" x14ac:dyDescent="0.45">
      <c r="A341" s="1"/>
      <c r="B341" s="1"/>
      <c r="D341" s="13"/>
      <c r="AK341" s="16"/>
      <c r="AQ341" s="16"/>
    </row>
    <row r="342" spans="1:43" s="5" customFormat="1" x14ac:dyDescent="0.45">
      <c r="A342" s="1"/>
      <c r="B342" s="1"/>
      <c r="D342" s="13"/>
      <c r="AK342" s="16"/>
      <c r="AQ342" s="16"/>
    </row>
    <row r="343" spans="1:43" s="5" customFormat="1" x14ac:dyDescent="0.45">
      <c r="A343" s="1"/>
      <c r="B343" s="1"/>
      <c r="D343" s="13"/>
      <c r="AK343" s="16"/>
      <c r="AQ343" s="16"/>
    </row>
    <row r="344" spans="1:43" s="5" customFormat="1" x14ac:dyDescent="0.45">
      <c r="A344" s="1"/>
      <c r="B344" s="1"/>
      <c r="D344" s="13"/>
      <c r="AK344" s="16"/>
      <c r="AQ344" s="16"/>
    </row>
    <row r="345" spans="1:43" s="5" customFormat="1" x14ac:dyDescent="0.45">
      <c r="A345" s="1"/>
      <c r="B345" s="1"/>
      <c r="D345" s="13"/>
      <c r="AK345" s="16"/>
      <c r="AQ345" s="16"/>
    </row>
    <row r="346" spans="1:43" s="5" customFormat="1" x14ac:dyDescent="0.45">
      <c r="A346" s="1"/>
      <c r="B346" s="1"/>
      <c r="D346" s="13"/>
      <c r="AK346" s="16"/>
      <c r="AQ346" s="16"/>
    </row>
    <row r="347" spans="1:43" s="5" customFormat="1" x14ac:dyDescent="0.45">
      <c r="A347" s="1"/>
      <c r="B347" s="1"/>
      <c r="D347" s="13"/>
      <c r="AK347" s="16"/>
      <c r="AQ347" s="16"/>
    </row>
    <row r="348" spans="1:43" s="5" customFormat="1" x14ac:dyDescent="0.45">
      <c r="A348" s="1"/>
      <c r="B348" s="1"/>
      <c r="D348" s="13"/>
      <c r="AK348" s="16"/>
      <c r="AQ348" s="16"/>
    </row>
    <row r="349" spans="1:43" s="5" customFormat="1" x14ac:dyDescent="0.45">
      <c r="A349" s="1"/>
      <c r="B349" s="1"/>
      <c r="D349" s="13"/>
      <c r="AK349" s="16"/>
      <c r="AQ349" s="16"/>
    </row>
    <row r="350" spans="1:43" s="5" customFormat="1" x14ac:dyDescent="0.45">
      <c r="A350" s="1"/>
      <c r="B350" s="1"/>
      <c r="D350" s="13"/>
      <c r="AK350" s="16"/>
      <c r="AQ350" s="16"/>
    </row>
    <row r="351" spans="1:43" s="5" customFormat="1" x14ac:dyDescent="0.45">
      <c r="A351" s="1"/>
      <c r="B351" s="1"/>
      <c r="D351" s="13"/>
      <c r="AK351" s="16"/>
      <c r="AQ351" s="16"/>
    </row>
    <row r="352" spans="1:43" s="5" customFormat="1" x14ac:dyDescent="0.45">
      <c r="A352" s="1"/>
      <c r="B352" s="1"/>
      <c r="D352" s="13"/>
      <c r="AK352" s="16"/>
      <c r="AQ352" s="16"/>
    </row>
    <row r="353" spans="1:43" s="5" customFormat="1" x14ac:dyDescent="0.45">
      <c r="A353" s="1"/>
      <c r="B353" s="1"/>
      <c r="D353" s="13"/>
      <c r="AK353" s="16"/>
      <c r="AQ353" s="16"/>
    </row>
    <row r="354" spans="1:43" s="5" customFormat="1" x14ac:dyDescent="0.45">
      <c r="A354" s="1"/>
      <c r="B354" s="1"/>
      <c r="D354" s="13"/>
      <c r="AK354" s="16"/>
      <c r="AQ354" s="16"/>
    </row>
    <row r="355" spans="1:43" s="5" customFormat="1" x14ac:dyDescent="0.45">
      <c r="A355" s="1"/>
      <c r="B355" s="1"/>
      <c r="D355" s="13"/>
      <c r="AK355" s="16"/>
      <c r="AQ355" s="16"/>
    </row>
    <row r="356" spans="1:43" s="5" customFormat="1" x14ac:dyDescent="0.45">
      <c r="A356" s="1"/>
      <c r="B356" s="1"/>
      <c r="D356" s="13"/>
      <c r="AK356" s="16"/>
      <c r="AQ356" s="16"/>
    </row>
    <row r="357" spans="1:43" s="5" customFormat="1" x14ac:dyDescent="0.45">
      <c r="A357" s="1"/>
      <c r="B357" s="1"/>
      <c r="D357" s="13"/>
      <c r="AK357" s="16"/>
      <c r="AQ357" s="16"/>
    </row>
    <row r="358" spans="1:43" s="5" customFormat="1" x14ac:dyDescent="0.45">
      <c r="A358" s="1"/>
      <c r="B358" s="1"/>
      <c r="D358" s="13"/>
      <c r="AK358" s="16"/>
      <c r="AQ358" s="16"/>
    </row>
    <row r="359" spans="1:43" s="5" customFormat="1" x14ac:dyDescent="0.45">
      <c r="A359" s="1"/>
      <c r="B359" s="1"/>
      <c r="D359" s="13"/>
      <c r="AK359" s="16"/>
      <c r="AQ359" s="16"/>
    </row>
    <row r="360" spans="1:43" s="5" customFormat="1" x14ac:dyDescent="0.45">
      <c r="A360" s="1"/>
      <c r="B360" s="1"/>
      <c r="D360" s="13"/>
      <c r="AK360" s="16"/>
      <c r="AQ360" s="16"/>
    </row>
    <row r="361" spans="1:43" s="5" customFormat="1" x14ac:dyDescent="0.45">
      <c r="A361" s="1"/>
      <c r="B361" s="1"/>
      <c r="D361" s="13"/>
      <c r="AK361" s="16"/>
      <c r="AQ361" s="16"/>
    </row>
    <row r="362" spans="1:43" s="5" customFormat="1" x14ac:dyDescent="0.45">
      <c r="A362" s="1"/>
      <c r="B362" s="1"/>
      <c r="D362" s="13"/>
      <c r="AK362" s="16"/>
      <c r="AQ362" s="16"/>
    </row>
    <row r="363" spans="1:43" s="5" customFormat="1" x14ac:dyDescent="0.45">
      <c r="A363" s="1"/>
      <c r="B363" s="1"/>
      <c r="D363" s="13"/>
      <c r="AK363" s="16"/>
      <c r="AQ363" s="16"/>
    </row>
    <row r="364" spans="1:43" s="5" customFormat="1" x14ac:dyDescent="0.45">
      <c r="A364" s="1"/>
      <c r="B364" s="1"/>
      <c r="D364" s="13"/>
      <c r="AK364" s="16"/>
      <c r="AQ364" s="16"/>
    </row>
    <row r="365" spans="1:43" s="5" customFormat="1" x14ac:dyDescent="0.45">
      <c r="A365" s="1"/>
      <c r="B365" s="1"/>
      <c r="D365" s="13"/>
      <c r="AK365" s="16"/>
      <c r="AQ365" s="16"/>
    </row>
    <row r="366" spans="1:43" s="5" customFormat="1" x14ac:dyDescent="0.45">
      <c r="A366" s="1"/>
      <c r="B366" s="1"/>
      <c r="D366" s="13"/>
      <c r="AK366" s="16"/>
      <c r="AQ366" s="16"/>
    </row>
    <row r="367" spans="1:43" s="5" customFormat="1" x14ac:dyDescent="0.45">
      <c r="A367" s="1"/>
      <c r="B367" s="1"/>
      <c r="D367" s="13"/>
      <c r="AK367" s="16"/>
      <c r="AQ367" s="16"/>
    </row>
    <row r="368" spans="1:43" s="5" customFormat="1" x14ac:dyDescent="0.45">
      <c r="A368" s="1"/>
      <c r="B368" s="1"/>
      <c r="D368" s="13"/>
      <c r="AK368" s="16"/>
      <c r="AQ368" s="16"/>
    </row>
    <row r="369" spans="1:43" s="5" customFormat="1" x14ac:dyDescent="0.45">
      <c r="A369" s="1"/>
      <c r="B369" s="1"/>
      <c r="D369" s="13"/>
      <c r="AK369" s="16"/>
      <c r="AQ369" s="16"/>
    </row>
    <row r="370" spans="1:43" s="5" customFormat="1" x14ac:dyDescent="0.45">
      <c r="A370" s="1"/>
      <c r="B370" s="1"/>
      <c r="D370" s="13"/>
      <c r="AK370" s="16"/>
      <c r="AQ370" s="16"/>
    </row>
    <row r="371" spans="1:43" s="5" customFormat="1" x14ac:dyDescent="0.45">
      <c r="A371" s="1"/>
      <c r="B371" s="1"/>
      <c r="D371" s="13"/>
      <c r="AK371" s="16"/>
      <c r="AQ371" s="16"/>
    </row>
    <row r="372" spans="1:43" s="5" customFormat="1" x14ac:dyDescent="0.45">
      <c r="A372" s="1"/>
      <c r="B372" s="1"/>
      <c r="D372" s="13"/>
      <c r="AK372" s="16"/>
      <c r="AQ372" s="16"/>
    </row>
    <row r="373" spans="1:43" s="5" customFormat="1" x14ac:dyDescent="0.45">
      <c r="A373" s="1"/>
      <c r="B373" s="1"/>
      <c r="D373" s="13"/>
      <c r="AK373" s="16"/>
      <c r="AQ373" s="16"/>
    </row>
    <row r="374" spans="1:43" s="5" customFormat="1" x14ac:dyDescent="0.45">
      <c r="A374" s="1"/>
      <c r="B374" s="1"/>
      <c r="D374" s="13"/>
      <c r="AK374" s="16"/>
      <c r="AQ374" s="16"/>
    </row>
    <row r="375" spans="1:43" s="5" customFormat="1" x14ac:dyDescent="0.45">
      <c r="A375" s="1"/>
      <c r="B375" s="1"/>
      <c r="D375" s="13"/>
      <c r="AK375" s="16"/>
      <c r="AQ375" s="16"/>
    </row>
    <row r="376" spans="1:43" s="5" customFormat="1" x14ac:dyDescent="0.45">
      <c r="A376" s="1"/>
      <c r="B376" s="1"/>
      <c r="D376" s="13"/>
      <c r="AK376" s="16"/>
      <c r="AQ376" s="16"/>
    </row>
    <row r="377" spans="1:43" s="5" customFormat="1" x14ac:dyDescent="0.45">
      <c r="A377" s="1"/>
      <c r="B377" s="1"/>
      <c r="D377" s="13"/>
      <c r="AK377" s="16"/>
      <c r="AQ377" s="16"/>
    </row>
    <row r="378" spans="1:43" s="5" customFormat="1" x14ac:dyDescent="0.45">
      <c r="A378" s="1"/>
      <c r="B378" s="1"/>
      <c r="D378" s="13"/>
      <c r="AK378" s="16"/>
      <c r="AQ378" s="16"/>
    </row>
    <row r="379" spans="1:43" s="5" customFormat="1" x14ac:dyDescent="0.45">
      <c r="A379" s="1"/>
      <c r="B379" s="1"/>
      <c r="D379" s="13"/>
      <c r="AK379" s="16"/>
      <c r="AQ379" s="16"/>
    </row>
    <row r="380" spans="1:43" s="5" customFormat="1" x14ac:dyDescent="0.45">
      <c r="A380" s="1"/>
      <c r="B380" s="1"/>
      <c r="D380" s="13"/>
      <c r="AK380" s="16"/>
      <c r="AQ380" s="16"/>
    </row>
    <row r="381" spans="1:43" s="5" customFormat="1" x14ac:dyDescent="0.45">
      <c r="A381" s="1"/>
      <c r="B381" s="1"/>
      <c r="D381" s="13"/>
      <c r="AK381" s="16"/>
      <c r="AQ381" s="16"/>
    </row>
    <row r="382" spans="1:43" s="5" customFormat="1" x14ac:dyDescent="0.45">
      <c r="A382" s="1"/>
      <c r="B382" s="1"/>
      <c r="D382" s="13"/>
      <c r="AK382" s="16"/>
      <c r="AQ382" s="16"/>
    </row>
    <row r="383" spans="1:43" s="5" customFormat="1" x14ac:dyDescent="0.45">
      <c r="A383" s="1"/>
      <c r="B383" s="1"/>
      <c r="D383" s="13"/>
      <c r="AK383" s="16"/>
      <c r="AQ383" s="16"/>
    </row>
    <row r="384" spans="1:43" s="5" customFormat="1" x14ac:dyDescent="0.45">
      <c r="A384" s="1"/>
      <c r="B384" s="1"/>
      <c r="D384" s="13"/>
      <c r="AK384" s="16"/>
      <c r="AQ384" s="16"/>
    </row>
    <row r="385" spans="1:43" s="5" customFormat="1" x14ac:dyDescent="0.45">
      <c r="A385" s="1"/>
      <c r="B385" s="1"/>
      <c r="D385" s="13"/>
      <c r="AK385" s="16"/>
      <c r="AQ385" s="16"/>
    </row>
    <row r="386" spans="1:43" s="5" customFormat="1" x14ac:dyDescent="0.45">
      <c r="A386" s="1"/>
      <c r="B386" s="1"/>
      <c r="D386" s="13"/>
      <c r="AK386" s="16"/>
      <c r="AQ386" s="16"/>
    </row>
    <row r="387" spans="1:43" s="5" customFormat="1" x14ac:dyDescent="0.45">
      <c r="A387" s="1"/>
      <c r="B387" s="1"/>
      <c r="D387" s="13"/>
      <c r="AK387" s="16"/>
      <c r="AQ387" s="16"/>
    </row>
    <row r="388" spans="1:43" s="5" customFormat="1" x14ac:dyDescent="0.45">
      <c r="A388" s="1"/>
      <c r="B388" s="1"/>
      <c r="D388" s="13"/>
      <c r="AK388" s="16"/>
      <c r="AQ388" s="16"/>
    </row>
    <row r="389" spans="1:43" s="5" customFormat="1" x14ac:dyDescent="0.45">
      <c r="A389" s="1"/>
      <c r="B389" s="1"/>
      <c r="D389" s="13"/>
      <c r="AK389" s="16"/>
      <c r="AQ389" s="16"/>
    </row>
    <row r="390" spans="1:43" s="5" customFormat="1" x14ac:dyDescent="0.45">
      <c r="A390" s="1"/>
      <c r="B390" s="1"/>
      <c r="D390" s="13"/>
      <c r="AK390" s="16"/>
      <c r="AQ390" s="16"/>
    </row>
    <row r="391" spans="1:43" s="5" customFormat="1" x14ac:dyDescent="0.45">
      <c r="A391" s="1"/>
      <c r="B391" s="1"/>
      <c r="D391" s="13"/>
      <c r="AK391" s="16"/>
      <c r="AQ391" s="16"/>
    </row>
    <row r="392" spans="1:43" s="5" customFormat="1" x14ac:dyDescent="0.45">
      <c r="A392" s="1"/>
      <c r="B392" s="1"/>
      <c r="D392" s="13"/>
      <c r="AK392" s="16"/>
      <c r="AQ392" s="16"/>
    </row>
    <row r="393" spans="1:43" s="5" customFormat="1" x14ac:dyDescent="0.45">
      <c r="A393" s="1"/>
      <c r="B393" s="1"/>
      <c r="D393" s="13"/>
      <c r="AK393" s="16"/>
      <c r="AQ393" s="16"/>
    </row>
    <row r="394" spans="1:43" s="5" customFormat="1" x14ac:dyDescent="0.45">
      <c r="A394" s="1"/>
      <c r="B394" s="1"/>
      <c r="D394" s="13"/>
      <c r="AK394" s="16"/>
      <c r="AQ394" s="16"/>
    </row>
    <row r="395" spans="1:43" s="5" customFormat="1" x14ac:dyDescent="0.45">
      <c r="A395" s="1"/>
      <c r="B395" s="1"/>
      <c r="D395" s="13"/>
      <c r="AK395" s="16"/>
      <c r="AQ395" s="16"/>
    </row>
    <row r="396" spans="1:43" s="5" customFormat="1" x14ac:dyDescent="0.45">
      <c r="A396" s="1"/>
      <c r="B396" s="1"/>
      <c r="D396" s="13"/>
      <c r="AK396" s="16"/>
      <c r="AQ396" s="16"/>
    </row>
    <row r="397" spans="1:43" s="5" customFormat="1" x14ac:dyDescent="0.45">
      <c r="A397" s="1"/>
      <c r="B397" s="1"/>
      <c r="D397" s="13"/>
      <c r="AK397" s="16"/>
      <c r="AQ397" s="16"/>
    </row>
    <row r="398" spans="1:43" s="5" customFormat="1" x14ac:dyDescent="0.45">
      <c r="A398" s="1"/>
      <c r="B398" s="1"/>
      <c r="D398" s="13"/>
      <c r="AK398" s="16"/>
      <c r="AQ398" s="16"/>
    </row>
    <row r="399" spans="1:43" s="5" customFormat="1" x14ac:dyDescent="0.45">
      <c r="A399" s="1"/>
      <c r="B399" s="1"/>
      <c r="D399" s="13"/>
      <c r="AK399" s="16"/>
      <c r="AQ399" s="16"/>
    </row>
    <row r="400" spans="1:43" s="5" customFormat="1" x14ac:dyDescent="0.45">
      <c r="A400" s="1"/>
      <c r="B400" s="1"/>
      <c r="D400" s="13"/>
      <c r="AK400" s="16"/>
      <c r="AQ400" s="16"/>
    </row>
    <row r="401" spans="1:43" s="5" customFormat="1" x14ac:dyDescent="0.45">
      <c r="A401" s="1"/>
      <c r="B401" s="1"/>
      <c r="D401" s="13"/>
      <c r="AK401" s="16"/>
      <c r="AQ401" s="16"/>
    </row>
    <row r="402" spans="1:43" s="5" customFormat="1" x14ac:dyDescent="0.45">
      <c r="A402" s="1"/>
      <c r="B402" s="1"/>
      <c r="D402" s="13"/>
      <c r="AK402" s="16"/>
      <c r="AQ402" s="16"/>
    </row>
    <row r="403" spans="1:43" s="5" customFormat="1" x14ac:dyDescent="0.45">
      <c r="A403" s="1"/>
      <c r="B403" s="1"/>
      <c r="D403" s="13"/>
      <c r="AK403" s="16"/>
      <c r="AQ403" s="16"/>
    </row>
    <row r="404" spans="1:43" s="5" customFormat="1" x14ac:dyDescent="0.45">
      <c r="A404" s="1"/>
      <c r="B404" s="1"/>
      <c r="D404" s="13"/>
      <c r="AK404" s="16"/>
      <c r="AQ404" s="16"/>
    </row>
    <row r="405" spans="1:43" s="5" customFormat="1" x14ac:dyDescent="0.45">
      <c r="A405" s="1"/>
      <c r="B405" s="1"/>
      <c r="D405" s="13"/>
      <c r="AK405" s="16"/>
      <c r="AQ405" s="16"/>
    </row>
    <row r="406" spans="1:43" s="5" customFormat="1" x14ac:dyDescent="0.45">
      <c r="A406" s="1"/>
      <c r="B406" s="1"/>
      <c r="D406" s="13"/>
      <c r="AK406" s="16"/>
      <c r="AQ406" s="16"/>
    </row>
    <row r="407" spans="1:43" s="5" customFormat="1" x14ac:dyDescent="0.45">
      <c r="A407" s="1"/>
      <c r="B407" s="1"/>
      <c r="D407" s="13"/>
      <c r="AK407" s="16"/>
      <c r="AQ407" s="16"/>
    </row>
    <row r="408" spans="1:43" s="5" customFormat="1" x14ac:dyDescent="0.45">
      <c r="A408" s="1"/>
      <c r="B408" s="1"/>
      <c r="D408" s="13"/>
      <c r="AK408" s="16"/>
      <c r="AQ408" s="16"/>
    </row>
    <row r="409" spans="1:43" s="5" customFormat="1" x14ac:dyDescent="0.45">
      <c r="A409" s="1"/>
      <c r="B409" s="1"/>
      <c r="D409" s="13"/>
      <c r="AK409" s="16"/>
      <c r="AQ409" s="16"/>
    </row>
    <row r="410" spans="1:43" s="5" customFormat="1" x14ac:dyDescent="0.45">
      <c r="A410" s="1"/>
      <c r="B410" s="1"/>
      <c r="D410" s="13"/>
      <c r="AK410" s="16"/>
      <c r="AQ410" s="16"/>
    </row>
    <row r="411" spans="1:43" s="5" customFormat="1" x14ac:dyDescent="0.45">
      <c r="A411" s="1"/>
      <c r="B411" s="1"/>
      <c r="D411" s="13"/>
      <c r="AK411" s="16"/>
      <c r="AQ411" s="16"/>
    </row>
    <row r="412" spans="1:43" s="5" customFormat="1" x14ac:dyDescent="0.45">
      <c r="A412" s="1"/>
      <c r="B412" s="1"/>
      <c r="D412" s="13"/>
      <c r="AK412" s="16"/>
      <c r="AQ412" s="16"/>
    </row>
    <row r="413" spans="1:43" s="5" customFormat="1" x14ac:dyDescent="0.45">
      <c r="A413" s="1"/>
      <c r="B413" s="1"/>
      <c r="D413" s="13"/>
      <c r="AK413" s="16"/>
      <c r="AQ413" s="16"/>
    </row>
    <row r="414" spans="1:43" s="5" customFormat="1" x14ac:dyDescent="0.45">
      <c r="A414" s="1"/>
      <c r="B414" s="1"/>
      <c r="D414" s="13"/>
      <c r="AK414" s="16"/>
      <c r="AQ414" s="16"/>
    </row>
    <row r="415" spans="1:43" s="5" customFormat="1" x14ac:dyDescent="0.45">
      <c r="A415" s="1"/>
      <c r="B415" s="1"/>
      <c r="D415" s="13"/>
      <c r="AK415" s="16"/>
      <c r="AQ415" s="16"/>
    </row>
    <row r="416" spans="1:43" s="5" customFormat="1" x14ac:dyDescent="0.45">
      <c r="A416" s="1"/>
      <c r="B416" s="1"/>
      <c r="D416" s="13"/>
      <c r="AK416" s="16"/>
      <c r="AQ416" s="16"/>
    </row>
    <row r="417" spans="1:43" s="5" customFormat="1" x14ac:dyDescent="0.45">
      <c r="A417" s="1"/>
      <c r="B417" s="1"/>
      <c r="D417" s="13"/>
      <c r="AK417" s="16"/>
      <c r="AQ417" s="16"/>
    </row>
    <row r="418" spans="1:43" s="5" customFormat="1" x14ac:dyDescent="0.45">
      <c r="A418" s="1"/>
      <c r="B418" s="1"/>
      <c r="D418" s="13"/>
      <c r="AK418" s="16"/>
      <c r="AQ418" s="16"/>
    </row>
    <row r="419" spans="1:43" s="5" customFormat="1" x14ac:dyDescent="0.45">
      <c r="A419" s="1"/>
      <c r="B419" s="1"/>
      <c r="D419" s="13"/>
      <c r="AK419" s="16"/>
      <c r="AQ419" s="16"/>
    </row>
    <row r="420" spans="1:43" s="5" customFormat="1" x14ac:dyDescent="0.45">
      <c r="A420" s="1"/>
      <c r="B420" s="1"/>
      <c r="D420" s="13"/>
      <c r="AK420" s="16"/>
      <c r="AQ420" s="16"/>
    </row>
    <row r="421" spans="1:43" s="5" customFormat="1" x14ac:dyDescent="0.45">
      <c r="A421" s="1"/>
      <c r="B421" s="1"/>
      <c r="D421" s="13"/>
      <c r="AK421" s="16"/>
      <c r="AQ421" s="16"/>
    </row>
    <row r="422" spans="1:43" s="5" customFormat="1" x14ac:dyDescent="0.45">
      <c r="A422" s="1"/>
      <c r="B422" s="1"/>
      <c r="D422" s="13"/>
      <c r="AK422" s="16"/>
      <c r="AQ422" s="16"/>
    </row>
    <row r="423" spans="1:43" s="5" customFormat="1" x14ac:dyDescent="0.45">
      <c r="A423" s="1"/>
      <c r="B423" s="1"/>
      <c r="D423" s="13"/>
      <c r="AK423" s="16"/>
      <c r="AQ423" s="16"/>
    </row>
    <row r="424" spans="1:43" s="5" customFormat="1" x14ac:dyDescent="0.45">
      <c r="A424" s="1"/>
      <c r="B424" s="1"/>
      <c r="D424" s="13"/>
      <c r="AK424" s="16"/>
      <c r="AQ424" s="16"/>
    </row>
    <row r="425" spans="1:43" s="5" customFormat="1" x14ac:dyDescent="0.45">
      <c r="A425" s="1"/>
      <c r="B425" s="1"/>
      <c r="D425" s="13"/>
      <c r="AK425" s="16"/>
      <c r="AQ425" s="16"/>
    </row>
    <row r="426" spans="1:43" s="5" customFormat="1" x14ac:dyDescent="0.45">
      <c r="A426" s="1"/>
      <c r="B426" s="1"/>
      <c r="D426" s="13"/>
      <c r="AK426" s="16"/>
      <c r="AQ426" s="16"/>
    </row>
    <row r="427" spans="1:43" s="5" customFormat="1" x14ac:dyDescent="0.45">
      <c r="A427" s="1"/>
      <c r="B427" s="1"/>
      <c r="D427" s="13"/>
      <c r="AK427" s="16"/>
      <c r="AQ427" s="16"/>
    </row>
    <row r="428" spans="1:43" s="5" customFormat="1" x14ac:dyDescent="0.45">
      <c r="A428" s="1"/>
      <c r="B428" s="1"/>
      <c r="D428" s="13"/>
      <c r="AK428" s="16"/>
      <c r="AQ428" s="16"/>
    </row>
    <row r="429" spans="1:43" s="5" customFormat="1" x14ac:dyDescent="0.45">
      <c r="A429" s="1"/>
      <c r="B429" s="1"/>
      <c r="D429" s="13"/>
      <c r="AK429" s="16"/>
      <c r="AQ429" s="16"/>
    </row>
    <row r="430" spans="1:43" s="5" customFormat="1" x14ac:dyDescent="0.45">
      <c r="A430" s="1"/>
      <c r="B430" s="1"/>
      <c r="D430" s="13"/>
      <c r="AK430" s="16"/>
      <c r="AQ430" s="16"/>
    </row>
    <row r="431" spans="1:43" s="5" customFormat="1" x14ac:dyDescent="0.45">
      <c r="A431" s="1"/>
      <c r="B431" s="1"/>
      <c r="D431" s="13"/>
      <c r="AK431" s="16"/>
      <c r="AQ431" s="16"/>
    </row>
    <row r="432" spans="1:43" s="5" customFormat="1" x14ac:dyDescent="0.45">
      <c r="A432" s="1"/>
      <c r="B432" s="1"/>
      <c r="D432" s="13"/>
      <c r="AK432" s="16"/>
      <c r="AQ432" s="16"/>
    </row>
    <row r="433" spans="1:43" s="5" customFormat="1" x14ac:dyDescent="0.45">
      <c r="A433" s="1"/>
      <c r="B433" s="1"/>
      <c r="D433" s="13"/>
      <c r="AK433" s="16"/>
      <c r="AQ433" s="16"/>
    </row>
    <row r="434" spans="1:43" s="5" customFormat="1" x14ac:dyDescent="0.45">
      <c r="A434" s="1"/>
      <c r="B434" s="1"/>
      <c r="D434" s="13"/>
      <c r="AK434" s="16"/>
      <c r="AQ434" s="16"/>
    </row>
    <row r="435" spans="1:43" s="5" customFormat="1" x14ac:dyDescent="0.45">
      <c r="A435" s="1"/>
      <c r="B435" s="1"/>
      <c r="D435" s="13"/>
      <c r="AK435" s="16"/>
      <c r="AQ435" s="16"/>
    </row>
    <row r="436" spans="1:43" s="5" customFormat="1" x14ac:dyDescent="0.45">
      <c r="A436" s="1"/>
      <c r="B436" s="1"/>
      <c r="D436" s="13"/>
      <c r="AK436" s="16"/>
      <c r="AQ436" s="16"/>
    </row>
    <row r="437" spans="1:43" s="5" customFormat="1" x14ac:dyDescent="0.45">
      <c r="A437" s="1"/>
      <c r="B437" s="1"/>
      <c r="D437" s="13"/>
      <c r="AK437" s="16"/>
      <c r="AQ437" s="16"/>
    </row>
    <row r="438" spans="1:43" s="5" customFormat="1" x14ac:dyDescent="0.45">
      <c r="A438" s="1"/>
      <c r="B438" s="1"/>
      <c r="D438" s="13"/>
      <c r="AK438" s="16"/>
      <c r="AQ438" s="16"/>
    </row>
    <row r="439" spans="1:43" s="5" customFormat="1" x14ac:dyDescent="0.45">
      <c r="A439" s="1"/>
      <c r="B439" s="1"/>
      <c r="D439" s="13"/>
      <c r="AK439" s="16"/>
      <c r="AQ439" s="16"/>
    </row>
    <row r="440" spans="1:43" s="5" customFormat="1" x14ac:dyDescent="0.45">
      <c r="A440" s="1"/>
      <c r="B440" s="1"/>
      <c r="D440" s="13"/>
      <c r="AK440" s="16"/>
      <c r="AQ440" s="16"/>
    </row>
    <row r="441" spans="1:43" s="5" customFormat="1" x14ac:dyDescent="0.45">
      <c r="A441" s="1"/>
      <c r="B441" s="1"/>
      <c r="D441" s="13"/>
      <c r="AK441" s="16"/>
      <c r="AQ441" s="16"/>
    </row>
    <row r="442" spans="1:43" s="5" customFormat="1" x14ac:dyDescent="0.45">
      <c r="A442" s="1"/>
      <c r="B442" s="1"/>
      <c r="D442" s="13"/>
      <c r="AK442" s="16"/>
      <c r="AQ442" s="16"/>
    </row>
    <row r="443" spans="1:43" s="5" customFormat="1" x14ac:dyDescent="0.45">
      <c r="A443" s="1"/>
      <c r="B443" s="1"/>
      <c r="D443" s="13"/>
      <c r="AK443" s="16"/>
      <c r="AQ443" s="16"/>
    </row>
    <row r="444" spans="1:43" s="5" customFormat="1" x14ac:dyDescent="0.45">
      <c r="A444" s="1"/>
      <c r="B444" s="1"/>
      <c r="D444" s="13"/>
      <c r="AK444" s="16"/>
      <c r="AQ444" s="16"/>
    </row>
    <row r="445" spans="1:43" s="5" customFormat="1" x14ac:dyDescent="0.45">
      <c r="A445" s="1"/>
      <c r="B445" s="1"/>
      <c r="D445" s="13"/>
      <c r="AK445" s="16"/>
      <c r="AQ445" s="16"/>
    </row>
    <row r="446" spans="1:43" s="5" customFormat="1" x14ac:dyDescent="0.45">
      <c r="A446" s="1"/>
      <c r="B446" s="1"/>
      <c r="D446" s="13"/>
      <c r="AK446" s="16"/>
      <c r="AQ446" s="16"/>
    </row>
    <row r="447" spans="1:43" s="5" customFormat="1" x14ac:dyDescent="0.45">
      <c r="A447" s="1"/>
      <c r="B447" s="1"/>
      <c r="D447" s="13"/>
      <c r="AK447" s="16"/>
      <c r="AQ447" s="16"/>
    </row>
    <row r="448" spans="1:43" s="5" customFormat="1" x14ac:dyDescent="0.45">
      <c r="A448" s="1"/>
      <c r="B448" s="1"/>
      <c r="D448" s="13"/>
      <c r="AK448" s="16"/>
      <c r="AQ448" s="16"/>
    </row>
    <row r="449" spans="1:43" s="5" customFormat="1" x14ac:dyDescent="0.45">
      <c r="A449" s="1"/>
      <c r="B449" s="1"/>
      <c r="D449" s="13"/>
      <c r="AK449" s="16"/>
      <c r="AQ449" s="16"/>
    </row>
    <row r="450" spans="1:43" s="5" customFormat="1" x14ac:dyDescent="0.45">
      <c r="A450" s="1"/>
      <c r="B450" s="1"/>
      <c r="D450" s="13"/>
      <c r="AK450" s="16"/>
      <c r="AQ450" s="16"/>
    </row>
    <row r="451" spans="1:43" s="5" customFormat="1" x14ac:dyDescent="0.45">
      <c r="A451" s="1"/>
      <c r="B451" s="1"/>
      <c r="D451" s="13"/>
      <c r="AK451" s="16"/>
      <c r="AQ451" s="16"/>
    </row>
    <row r="452" spans="1:43" s="5" customFormat="1" x14ac:dyDescent="0.45">
      <c r="A452" s="1"/>
      <c r="B452" s="1"/>
      <c r="D452" s="13"/>
      <c r="AK452" s="16"/>
      <c r="AQ452" s="16"/>
    </row>
    <row r="453" spans="1:43" s="5" customFormat="1" x14ac:dyDescent="0.45">
      <c r="A453" s="1"/>
      <c r="B453" s="1"/>
      <c r="D453" s="13"/>
      <c r="AK453" s="16"/>
      <c r="AQ453" s="16"/>
    </row>
    <row r="454" spans="1:43" s="5" customFormat="1" x14ac:dyDescent="0.45">
      <c r="A454" s="1"/>
      <c r="B454" s="1"/>
      <c r="D454" s="13"/>
      <c r="AK454" s="16"/>
      <c r="AQ454" s="16"/>
    </row>
    <row r="455" spans="1:43" s="5" customFormat="1" x14ac:dyDescent="0.45">
      <c r="A455" s="1"/>
      <c r="B455" s="1"/>
      <c r="D455" s="13"/>
      <c r="AK455" s="16"/>
      <c r="AQ455" s="16"/>
    </row>
    <row r="456" spans="1:43" s="5" customFormat="1" x14ac:dyDescent="0.45">
      <c r="A456" s="1"/>
      <c r="B456" s="1"/>
      <c r="D456" s="13"/>
      <c r="AK456" s="16"/>
      <c r="AQ456" s="16"/>
    </row>
    <row r="457" spans="1:43" s="5" customFormat="1" x14ac:dyDescent="0.45">
      <c r="A457" s="1"/>
      <c r="B457" s="1"/>
      <c r="D457" s="13"/>
      <c r="AK457" s="16"/>
      <c r="AQ457" s="16"/>
    </row>
    <row r="458" spans="1:43" s="5" customFormat="1" x14ac:dyDescent="0.45">
      <c r="A458" s="1"/>
      <c r="B458" s="1"/>
      <c r="D458" s="13"/>
      <c r="AK458" s="16"/>
      <c r="AQ458" s="16"/>
    </row>
    <row r="459" spans="1:43" s="5" customFormat="1" x14ac:dyDescent="0.45">
      <c r="A459" s="1"/>
      <c r="B459" s="1"/>
      <c r="D459" s="13"/>
      <c r="AK459" s="16"/>
      <c r="AQ459" s="16"/>
    </row>
    <row r="460" spans="1:43" s="5" customFormat="1" x14ac:dyDescent="0.45">
      <c r="A460" s="1"/>
      <c r="B460" s="1"/>
      <c r="D460" s="13"/>
      <c r="AK460" s="16"/>
      <c r="AQ460" s="16"/>
    </row>
    <row r="461" spans="1:43" s="5" customFormat="1" x14ac:dyDescent="0.45">
      <c r="A461" s="1"/>
      <c r="B461" s="1"/>
      <c r="D461" s="13"/>
      <c r="AK461" s="16"/>
      <c r="AQ461" s="16"/>
    </row>
    <row r="462" spans="1:43" s="5" customFormat="1" x14ac:dyDescent="0.45">
      <c r="A462" s="1"/>
      <c r="B462" s="1"/>
      <c r="D462" s="13"/>
      <c r="AK462" s="16"/>
      <c r="AQ462" s="16"/>
    </row>
    <row r="463" spans="1:43" s="5" customFormat="1" x14ac:dyDescent="0.45">
      <c r="A463" s="1"/>
      <c r="B463" s="1"/>
      <c r="D463" s="13"/>
      <c r="AK463" s="16"/>
      <c r="AQ463" s="16"/>
    </row>
    <row r="464" spans="1:43" s="5" customFormat="1" x14ac:dyDescent="0.45">
      <c r="A464" s="1"/>
      <c r="B464" s="1"/>
      <c r="D464" s="13"/>
      <c r="AK464" s="16"/>
      <c r="AQ464" s="16"/>
    </row>
    <row r="465" spans="1:43" s="5" customFormat="1" x14ac:dyDescent="0.45">
      <c r="A465" s="1"/>
      <c r="B465" s="1"/>
      <c r="D465" s="13"/>
      <c r="AK465" s="16"/>
      <c r="AQ465" s="16"/>
    </row>
    <row r="466" spans="1:43" s="5" customFormat="1" x14ac:dyDescent="0.45">
      <c r="A466" s="1"/>
      <c r="B466" s="1"/>
      <c r="D466" s="13"/>
      <c r="AK466" s="16"/>
      <c r="AQ466" s="16"/>
    </row>
    <row r="467" spans="1:43" s="5" customFormat="1" x14ac:dyDescent="0.45">
      <c r="A467" s="1"/>
      <c r="B467" s="1"/>
      <c r="D467" s="13"/>
      <c r="AK467" s="16"/>
      <c r="AQ467" s="16"/>
    </row>
    <row r="468" spans="1:43" s="5" customFormat="1" x14ac:dyDescent="0.45">
      <c r="A468" s="1"/>
      <c r="B468" s="1"/>
      <c r="D468" s="13"/>
      <c r="AK468" s="16"/>
      <c r="AQ468" s="16"/>
    </row>
    <row r="469" spans="1:43" s="5" customFormat="1" x14ac:dyDescent="0.45">
      <c r="A469" s="1"/>
      <c r="B469" s="1"/>
      <c r="D469" s="13"/>
      <c r="AK469" s="16"/>
      <c r="AQ469" s="16"/>
    </row>
    <row r="470" spans="1:43" s="5" customFormat="1" x14ac:dyDescent="0.45">
      <c r="A470" s="1"/>
      <c r="B470" s="1"/>
      <c r="D470" s="13"/>
      <c r="AK470" s="16"/>
      <c r="AQ470" s="16"/>
    </row>
    <row r="471" spans="1:43" s="5" customFormat="1" x14ac:dyDescent="0.45">
      <c r="A471" s="1"/>
      <c r="B471" s="1"/>
      <c r="D471" s="13"/>
      <c r="AK471" s="16"/>
      <c r="AQ471" s="16"/>
    </row>
    <row r="472" spans="1:43" s="5" customFormat="1" x14ac:dyDescent="0.45">
      <c r="A472" s="1"/>
      <c r="B472" s="1"/>
      <c r="D472" s="13"/>
      <c r="AK472" s="16"/>
      <c r="AQ472" s="16"/>
    </row>
    <row r="473" spans="1:43" s="5" customFormat="1" x14ac:dyDescent="0.45">
      <c r="A473" s="1"/>
      <c r="B473" s="1"/>
      <c r="D473" s="13"/>
      <c r="AK473" s="16"/>
      <c r="AQ473" s="16"/>
    </row>
    <row r="474" spans="1:43" s="5" customFormat="1" x14ac:dyDescent="0.45">
      <c r="A474" s="1"/>
      <c r="B474" s="1"/>
      <c r="D474" s="13"/>
      <c r="AK474" s="16"/>
      <c r="AQ474" s="16"/>
    </row>
    <row r="475" spans="1:43" s="5" customFormat="1" x14ac:dyDescent="0.45">
      <c r="A475" s="1"/>
      <c r="B475" s="1"/>
      <c r="D475" s="13"/>
      <c r="AK475" s="16"/>
      <c r="AQ475" s="16"/>
    </row>
    <row r="476" spans="1:43" s="5" customFormat="1" x14ac:dyDescent="0.45">
      <c r="A476" s="1"/>
      <c r="B476" s="1"/>
      <c r="D476" s="13"/>
      <c r="AK476" s="16"/>
      <c r="AQ476" s="16"/>
    </row>
    <row r="477" spans="1:43" s="5" customFormat="1" x14ac:dyDescent="0.45">
      <c r="A477" s="1"/>
      <c r="B477" s="1"/>
      <c r="D477" s="13"/>
      <c r="AK477" s="16"/>
      <c r="AQ477" s="16"/>
    </row>
    <row r="478" spans="1:43" s="5" customFormat="1" x14ac:dyDescent="0.45">
      <c r="A478" s="1"/>
      <c r="B478" s="1"/>
      <c r="D478" s="13"/>
      <c r="AK478" s="16"/>
      <c r="AQ478" s="16"/>
    </row>
    <row r="479" spans="1:43" s="5" customFormat="1" x14ac:dyDescent="0.45">
      <c r="A479" s="1"/>
      <c r="B479" s="1"/>
      <c r="D479" s="13"/>
      <c r="AK479" s="16"/>
      <c r="AQ479" s="16"/>
    </row>
    <row r="480" spans="1:43" s="5" customFormat="1" x14ac:dyDescent="0.45">
      <c r="A480" s="1"/>
      <c r="B480" s="1"/>
      <c r="D480" s="13"/>
      <c r="AK480" s="16"/>
      <c r="AQ480" s="16"/>
    </row>
    <row r="481" spans="1:43" s="5" customFormat="1" x14ac:dyDescent="0.45">
      <c r="A481" s="1"/>
      <c r="B481" s="1"/>
      <c r="D481" s="13"/>
      <c r="AK481" s="16"/>
      <c r="AQ481" s="16"/>
    </row>
    <row r="482" spans="1:43" s="5" customFormat="1" x14ac:dyDescent="0.45">
      <c r="A482" s="1"/>
      <c r="B482" s="1"/>
      <c r="D482" s="13"/>
      <c r="AK482" s="16"/>
      <c r="AQ482" s="16"/>
    </row>
    <row r="483" spans="1:43" s="5" customFormat="1" x14ac:dyDescent="0.45">
      <c r="A483" s="1"/>
      <c r="B483" s="1"/>
      <c r="D483" s="13"/>
      <c r="AK483" s="16"/>
      <c r="AQ483" s="16"/>
    </row>
    <row r="484" spans="1:43" s="5" customFormat="1" x14ac:dyDescent="0.45">
      <c r="A484" s="1"/>
      <c r="B484" s="1"/>
      <c r="D484" s="13"/>
      <c r="AK484" s="16"/>
      <c r="AQ484" s="16"/>
    </row>
    <row r="485" spans="1:43" s="5" customFormat="1" x14ac:dyDescent="0.45">
      <c r="A485" s="1"/>
      <c r="B485" s="1"/>
      <c r="D485" s="13"/>
      <c r="AK485" s="16"/>
      <c r="AQ485" s="16"/>
    </row>
    <row r="486" spans="1:43" s="5" customFormat="1" x14ac:dyDescent="0.45">
      <c r="A486" s="1"/>
      <c r="B486" s="1"/>
      <c r="D486" s="13"/>
      <c r="AK486" s="16"/>
      <c r="AQ486" s="16"/>
    </row>
    <row r="487" spans="1:43" s="5" customFormat="1" x14ac:dyDescent="0.45">
      <c r="A487" s="1"/>
      <c r="B487" s="1"/>
      <c r="D487" s="13"/>
      <c r="AK487" s="16"/>
      <c r="AQ487" s="16"/>
    </row>
    <row r="488" spans="1:43" s="5" customFormat="1" x14ac:dyDescent="0.45">
      <c r="A488" s="1"/>
      <c r="B488" s="1"/>
      <c r="D488" s="13"/>
      <c r="AK488" s="16"/>
      <c r="AQ488" s="16"/>
    </row>
    <row r="489" spans="1:43" s="5" customFormat="1" x14ac:dyDescent="0.45">
      <c r="A489" s="1"/>
      <c r="B489" s="1"/>
      <c r="D489" s="13"/>
      <c r="AK489" s="16"/>
      <c r="AQ489" s="16"/>
    </row>
    <row r="490" spans="1:43" s="5" customFormat="1" x14ac:dyDescent="0.45">
      <c r="A490" s="1"/>
      <c r="B490" s="1"/>
      <c r="D490" s="13"/>
      <c r="AK490" s="16"/>
      <c r="AQ490" s="16"/>
    </row>
    <row r="491" spans="1:43" s="5" customFormat="1" x14ac:dyDescent="0.45">
      <c r="A491" s="1"/>
      <c r="B491" s="1"/>
      <c r="D491" s="13"/>
      <c r="AK491" s="16"/>
      <c r="AQ491" s="16"/>
    </row>
    <row r="492" spans="1:43" s="5" customFormat="1" x14ac:dyDescent="0.45">
      <c r="A492" s="1"/>
      <c r="B492" s="1"/>
      <c r="D492" s="13"/>
      <c r="AK492" s="16"/>
      <c r="AQ492" s="16"/>
    </row>
    <row r="493" spans="1:43" s="5" customFormat="1" x14ac:dyDescent="0.45">
      <c r="A493" s="1"/>
      <c r="B493" s="1"/>
      <c r="D493" s="13"/>
      <c r="AK493" s="16"/>
      <c r="AQ493" s="16"/>
    </row>
    <row r="494" spans="1:43" s="5" customFormat="1" x14ac:dyDescent="0.45">
      <c r="A494" s="1"/>
      <c r="B494" s="1"/>
      <c r="D494" s="13"/>
      <c r="AK494" s="16"/>
      <c r="AQ494" s="16"/>
    </row>
    <row r="495" spans="1:43" s="5" customFormat="1" x14ac:dyDescent="0.45">
      <c r="A495" s="1"/>
      <c r="B495" s="1"/>
      <c r="D495" s="13"/>
      <c r="AK495" s="16"/>
      <c r="AQ495" s="16"/>
    </row>
    <row r="496" spans="1:43" s="5" customFormat="1" x14ac:dyDescent="0.45">
      <c r="A496" s="1"/>
      <c r="B496" s="1"/>
      <c r="D496" s="13"/>
      <c r="AK496" s="16"/>
      <c r="AQ496" s="16"/>
    </row>
    <row r="497" spans="1:43" s="5" customFormat="1" x14ac:dyDescent="0.45">
      <c r="A497" s="1"/>
      <c r="B497" s="1"/>
      <c r="D497" s="13"/>
      <c r="AK497" s="16"/>
      <c r="AQ497" s="16"/>
    </row>
    <row r="498" spans="1:43" s="5" customFormat="1" x14ac:dyDescent="0.45">
      <c r="A498" s="1"/>
      <c r="B498" s="1"/>
      <c r="D498" s="13"/>
      <c r="AK498" s="16"/>
      <c r="AQ498" s="16"/>
    </row>
    <row r="499" spans="1:43" s="5" customFormat="1" x14ac:dyDescent="0.45">
      <c r="A499" s="1"/>
      <c r="B499" s="1"/>
      <c r="D499" s="13"/>
      <c r="AK499" s="16"/>
      <c r="AQ499" s="16"/>
    </row>
    <row r="500" spans="1:43" s="5" customFormat="1" x14ac:dyDescent="0.45">
      <c r="A500" s="1"/>
      <c r="B500" s="1"/>
      <c r="D500" s="13"/>
      <c r="AK500" s="16"/>
      <c r="AQ500" s="16"/>
    </row>
    <row r="501" spans="1:43" s="5" customFormat="1" x14ac:dyDescent="0.45">
      <c r="A501" s="1"/>
      <c r="B501" s="1"/>
      <c r="D501" s="13"/>
      <c r="AK501" s="16"/>
      <c r="AQ501" s="16"/>
    </row>
    <row r="502" spans="1:43" s="5" customFormat="1" x14ac:dyDescent="0.45">
      <c r="A502" s="1"/>
      <c r="B502" s="1"/>
      <c r="D502" s="13"/>
      <c r="AK502" s="16"/>
      <c r="AQ502" s="16"/>
    </row>
    <row r="503" spans="1:43" s="5" customFormat="1" x14ac:dyDescent="0.45">
      <c r="A503" s="1"/>
      <c r="B503" s="1"/>
      <c r="D503" s="13"/>
      <c r="AK503" s="16"/>
      <c r="AQ503" s="16"/>
    </row>
    <row r="504" spans="1:43" s="5" customFormat="1" x14ac:dyDescent="0.45">
      <c r="A504" s="1"/>
      <c r="B504" s="1"/>
      <c r="D504" s="13"/>
      <c r="AK504" s="16"/>
      <c r="AQ504" s="16"/>
    </row>
    <row r="505" spans="1:43" s="5" customFormat="1" x14ac:dyDescent="0.45">
      <c r="A505" s="1"/>
      <c r="B505" s="1"/>
      <c r="D505" s="13"/>
      <c r="AK505" s="16"/>
      <c r="AQ505" s="16"/>
    </row>
    <row r="506" spans="1:43" s="5" customFormat="1" x14ac:dyDescent="0.45">
      <c r="A506" s="1"/>
      <c r="B506" s="1"/>
      <c r="D506" s="13"/>
      <c r="AK506" s="16"/>
      <c r="AQ506" s="16"/>
    </row>
    <row r="507" spans="1:43" s="5" customFormat="1" x14ac:dyDescent="0.45">
      <c r="A507" s="1"/>
      <c r="B507" s="1"/>
      <c r="D507" s="13"/>
      <c r="AK507" s="16"/>
      <c r="AQ507" s="16"/>
    </row>
    <row r="508" spans="1:43" s="5" customFormat="1" x14ac:dyDescent="0.45">
      <c r="A508" s="1"/>
      <c r="B508" s="1"/>
      <c r="D508" s="13"/>
      <c r="AK508" s="16"/>
      <c r="AQ508" s="16"/>
    </row>
    <row r="509" spans="1:43" s="5" customFormat="1" x14ac:dyDescent="0.45">
      <c r="A509" s="1"/>
      <c r="B509" s="1"/>
      <c r="D509" s="13"/>
      <c r="AK509" s="16"/>
      <c r="AQ509" s="16"/>
    </row>
    <row r="510" spans="1:43" s="5" customFormat="1" x14ac:dyDescent="0.45">
      <c r="A510" s="1"/>
      <c r="B510" s="1"/>
      <c r="D510" s="13"/>
      <c r="AK510" s="16"/>
      <c r="AQ510" s="16"/>
    </row>
    <row r="511" spans="1:43" s="5" customFormat="1" x14ac:dyDescent="0.45">
      <c r="A511" s="1"/>
      <c r="B511" s="1"/>
      <c r="D511" s="13"/>
      <c r="AK511" s="16"/>
      <c r="AQ511" s="16"/>
    </row>
    <row r="512" spans="1:43" s="5" customFormat="1" x14ac:dyDescent="0.45">
      <c r="A512" s="1"/>
      <c r="B512" s="1"/>
      <c r="D512" s="13"/>
      <c r="AK512" s="16"/>
      <c r="AQ512" s="16"/>
    </row>
    <row r="513" spans="1:43" s="5" customFormat="1" x14ac:dyDescent="0.45">
      <c r="A513" s="1"/>
      <c r="B513" s="1"/>
      <c r="D513" s="13"/>
      <c r="AK513" s="16"/>
      <c r="AQ513" s="16"/>
    </row>
    <row r="514" spans="1:43" s="5" customFormat="1" x14ac:dyDescent="0.45">
      <c r="A514" s="1"/>
      <c r="B514" s="1"/>
      <c r="D514" s="13"/>
      <c r="AK514" s="16"/>
      <c r="AQ514" s="16"/>
    </row>
    <row r="515" spans="1:43" s="5" customFormat="1" x14ac:dyDescent="0.45">
      <c r="A515" s="1"/>
      <c r="B515" s="1"/>
      <c r="D515" s="13"/>
      <c r="AK515" s="16"/>
      <c r="AQ515" s="16"/>
    </row>
    <row r="516" spans="1:43" s="5" customFormat="1" x14ac:dyDescent="0.45">
      <c r="A516" s="1"/>
      <c r="B516" s="1"/>
      <c r="D516" s="13"/>
      <c r="AK516" s="16"/>
      <c r="AQ516" s="16"/>
    </row>
    <row r="517" spans="1:43" s="5" customFormat="1" x14ac:dyDescent="0.45">
      <c r="A517" s="1"/>
      <c r="B517" s="1"/>
      <c r="D517" s="13"/>
      <c r="AK517" s="16"/>
      <c r="AQ517" s="16"/>
    </row>
    <row r="518" spans="1:43" s="5" customFormat="1" x14ac:dyDescent="0.45">
      <c r="A518" s="1"/>
      <c r="B518" s="1"/>
      <c r="D518" s="13"/>
      <c r="AK518" s="16"/>
      <c r="AQ518" s="16"/>
    </row>
    <row r="519" spans="1:43" s="5" customFormat="1" x14ac:dyDescent="0.45">
      <c r="A519" s="1"/>
      <c r="B519" s="1"/>
      <c r="D519" s="13"/>
      <c r="AK519" s="16"/>
      <c r="AQ519" s="16"/>
    </row>
    <row r="520" spans="1:43" s="5" customFormat="1" x14ac:dyDescent="0.45">
      <c r="A520" s="1"/>
      <c r="B520" s="1"/>
      <c r="D520" s="13"/>
      <c r="AK520" s="16"/>
      <c r="AQ520" s="16"/>
    </row>
    <row r="521" spans="1:43" s="5" customFormat="1" x14ac:dyDescent="0.45">
      <c r="A521" s="1"/>
      <c r="B521" s="1"/>
      <c r="D521" s="13"/>
      <c r="AK521" s="16"/>
      <c r="AQ521" s="16"/>
    </row>
    <row r="522" spans="1:43" s="5" customFormat="1" x14ac:dyDescent="0.45">
      <c r="A522" s="1"/>
      <c r="B522" s="1"/>
      <c r="D522" s="13"/>
      <c r="AK522" s="16"/>
      <c r="AQ522" s="16"/>
    </row>
    <row r="523" spans="1:43" s="5" customFormat="1" x14ac:dyDescent="0.45">
      <c r="A523" s="1"/>
      <c r="B523" s="1"/>
      <c r="D523" s="13"/>
      <c r="AK523" s="16"/>
      <c r="AQ523" s="16"/>
    </row>
    <row r="524" spans="1:43" s="5" customFormat="1" x14ac:dyDescent="0.45">
      <c r="A524" s="1"/>
      <c r="B524" s="1"/>
      <c r="D524" s="13"/>
      <c r="AK524" s="16"/>
      <c r="AQ524" s="16"/>
    </row>
    <row r="525" spans="1:43" s="5" customFormat="1" x14ac:dyDescent="0.45">
      <c r="A525" s="1"/>
      <c r="B525" s="1"/>
      <c r="D525" s="13"/>
      <c r="AK525" s="16"/>
      <c r="AQ525" s="16"/>
    </row>
    <row r="526" spans="1:43" s="5" customFormat="1" x14ac:dyDescent="0.45">
      <c r="A526" s="1"/>
      <c r="B526" s="1"/>
      <c r="D526" s="13"/>
      <c r="AK526" s="16"/>
      <c r="AQ526" s="16"/>
    </row>
    <row r="527" spans="1:43" s="5" customFormat="1" x14ac:dyDescent="0.45">
      <c r="A527" s="1"/>
      <c r="B527" s="1"/>
      <c r="D527" s="13"/>
      <c r="AK527" s="16"/>
      <c r="AQ527" s="16"/>
    </row>
    <row r="528" spans="1:43" s="5" customFormat="1" x14ac:dyDescent="0.45">
      <c r="A528" s="1"/>
      <c r="B528" s="1"/>
      <c r="D528" s="13"/>
      <c r="AK528" s="16"/>
      <c r="AQ528" s="16"/>
    </row>
    <row r="529" spans="1:43" s="5" customFormat="1" x14ac:dyDescent="0.45">
      <c r="A529" s="1"/>
      <c r="B529" s="1"/>
      <c r="D529" s="13"/>
      <c r="AK529" s="16"/>
      <c r="AQ529" s="16"/>
    </row>
    <row r="530" spans="1:43" s="5" customFormat="1" x14ac:dyDescent="0.45">
      <c r="A530" s="1"/>
      <c r="B530" s="1"/>
      <c r="D530" s="13"/>
      <c r="AK530" s="16"/>
      <c r="AQ530" s="16"/>
    </row>
    <row r="531" spans="1:43" s="5" customFormat="1" x14ac:dyDescent="0.45">
      <c r="A531" s="1"/>
      <c r="B531" s="1"/>
      <c r="D531" s="13"/>
      <c r="AK531" s="16"/>
      <c r="AQ531" s="16"/>
    </row>
    <row r="532" spans="1:43" s="5" customFormat="1" x14ac:dyDescent="0.45">
      <c r="A532" s="1"/>
      <c r="B532" s="1"/>
      <c r="D532" s="13"/>
      <c r="AK532" s="16"/>
      <c r="AQ532" s="16"/>
    </row>
    <row r="533" spans="1:43" s="5" customFormat="1" x14ac:dyDescent="0.45">
      <c r="A533" s="1"/>
      <c r="B533" s="1"/>
      <c r="D533" s="13"/>
      <c r="AK533" s="16"/>
      <c r="AQ533" s="16"/>
    </row>
    <row r="534" spans="1:43" s="5" customFormat="1" x14ac:dyDescent="0.45">
      <c r="A534" s="1"/>
      <c r="B534" s="1"/>
      <c r="D534" s="13"/>
      <c r="AK534" s="16"/>
      <c r="AQ534" s="16"/>
    </row>
    <row r="535" spans="1:43" s="5" customFormat="1" x14ac:dyDescent="0.45">
      <c r="A535" s="1"/>
      <c r="B535" s="1"/>
      <c r="D535" s="13"/>
      <c r="AK535" s="16"/>
      <c r="AQ535" s="16"/>
    </row>
    <row r="536" spans="1:43" s="5" customFormat="1" x14ac:dyDescent="0.45">
      <c r="A536" s="1"/>
      <c r="B536" s="1"/>
      <c r="D536" s="13"/>
      <c r="AK536" s="16"/>
      <c r="AQ536" s="16"/>
    </row>
    <row r="537" spans="1:43" s="5" customFormat="1" x14ac:dyDescent="0.45">
      <c r="A537" s="1"/>
      <c r="B537" s="1"/>
      <c r="D537" s="13"/>
      <c r="AK537" s="16"/>
      <c r="AQ537" s="16"/>
    </row>
  </sheetData>
  <mergeCells count="6">
    <mergeCell ref="O2:AB2"/>
    <mergeCell ref="AE2:BG2"/>
    <mergeCell ref="BJ1:CJ1"/>
    <mergeCell ref="D2:E2"/>
    <mergeCell ref="F2:H2"/>
    <mergeCell ref="K2:M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909"/>
  <sheetViews>
    <sheetView workbookViewId="0"/>
  </sheetViews>
  <sheetFormatPr defaultRowHeight="12.5" x14ac:dyDescent="0.25"/>
  <cols>
    <col min="1" max="2" width="5.81640625" style="9" customWidth="1"/>
    <col min="3" max="3" width="6.7265625" customWidth="1"/>
    <col min="4" max="4" width="8.453125" style="24" customWidth="1"/>
    <col min="5" max="5" width="8.7265625" customWidth="1"/>
    <col min="6" max="6" width="9.453125" style="25" customWidth="1"/>
    <col min="7" max="7" width="10.1796875" customWidth="1"/>
    <col min="8" max="8" width="12.453125" customWidth="1"/>
    <col min="9" max="9" width="9.7265625" customWidth="1"/>
    <col min="10" max="10" width="5.7265625" customWidth="1"/>
    <col min="11" max="13" width="9.81640625" customWidth="1"/>
    <col min="14" max="14" width="3" customWidth="1"/>
    <col min="15" max="15" width="9.453125" bestFit="1" customWidth="1"/>
    <col min="16" max="29" width="6.453125" customWidth="1"/>
    <col min="30" max="30" width="7.54296875" customWidth="1"/>
    <col min="31" max="31" width="3" customWidth="1"/>
    <col min="32" max="38" width="5.26953125" customWidth="1"/>
    <col min="39" max="39" width="5.26953125" style="11" customWidth="1"/>
    <col min="40" max="61" width="5.26953125" customWidth="1"/>
    <col min="62" max="62" width="7.54296875" customWidth="1"/>
    <col min="63" max="63" width="3" customWidth="1"/>
    <col min="64" max="66" width="5.81640625" bestFit="1" customWidth="1"/>
    <col min="67" max="73" width="5.26953125" customWidth="1"/>
    <col min="74" max="76" width="7" bestFit="1" customWidth="1"/>
    <col min="77" max="77" width="5.26953125" customWidth="1"/>
    <col min="78" max="81" width="7" bestFit="1" customWidth="1"/>
    <col min="82" max="90" width="5.26953125" customWidth="1"/>
    <col min="91" max="91" width="8.26953125" bestFit="1" customWidth="1"/>
    <col min="92" max="92" width="3" customWidth="1"/>
  </cols>
  <sheetData>
    <row r="1" spans="1:91" ht="16.5" x14ac:dyDescent="0.5">
      <c r="BL1" s="30" t="s">
        <v>25</v>
      </c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</row>
    <row r="2" spans="1:91" s="18" customFormat="1" ht="18" customHeight="1" x14ac:dyDescent="0.5">
      <c r="A2" s="2"/>
      <c r="B2" s="2"/>
      <c r="D2" s="30" t="s">
        <v>108</v>
      </c>
      <c r="E2" s="30"/>
      <c r="F2" s="31" t="s">
        <v>115</v>
      </c>
      <c r="G2" s="31"/>
      <c r="H2" s="31"/>
      <c r="K2" s="30" t="s">
        <v>9</v>
      </c>
      <c r="L2" s="30"/>
      <c r="M2" s="30"/>
      <c r="O2" s="30" t="s">
        <v>93</v>
      </c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F2" s="30" t="s">
        <v>19</v>
      </c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4"/>
      <c r="BK2" s="4"/>
      <c r="BL2" s="8" t="s">
        <v>20</v>
      </c>
      <c r="BM2" s="8" t="s">
        <v>21</v>
      </c>
      <c r="BN2" s="8" t="s">
        <v>22</v>
      </c>
      <c r="BO2" s="8" t="s">
        <v>23</v>
      </c>
      <c r="BP2" s="8" t="s">
        <v>24</v>
      </c>
      <c r="BQ2" s="8" t="s">
        <v>72</v>
      </c>
      <c r="BR2" s="8" t="s">
        <v>73</v>
      </c>
      <c r="BS2" s="8" t="s">
        <v>74</v>
      </c>
      <c r="BT2" s="8" t="s">
        <v>76</v>
      </c>
      <c r="BU2" s="8" t="s">
        <v>77</v>
      </c>
      <c r="BV2" s="8" t="s">
        <v>78</v>
      </c>
      <c r="BW2" s="8" t="s">
        <v>79</v>
      </c>
      <c r="BX2" s="8" t="s">
        <v>89</v>
      </c>
      <c r="BY2" s="8" t="s">
        <v>90</v>
      </c>
      <c r="BZ2" s="8" t="s">
        <v>91</v>
      </c>
      <c r="CA2" s="8" t="s">
        <v>94</v>
      </c>
      <c r="CB2" s="8" t="s">
        <v>109</v>
      </c>
      <c r="CC2" s="8" t="s">
        <v>110</v>
      </c>
    </row>
    <row r="3" spans="1:91" s="4" customFormat="1" ht="16.5" customHeight="1" x14ac:dyDescent="0.5">
      <c r="A3" s="3"/>
      <c r="B3" s="3"/>
      <c r="C3" s="4" t="s">
        <v>111</v>
      </c>
      <c r="D3" s="22" t="s">
        <v>112</v>
      </c>
      <c r="E3" s="4" t="s">
        <v>113</v>
      </c>
      <c r="F3" s="23" t="s">
        <v>93</v>
      </c>
      <c r="G3" s="4" t="s">
        <v>25</v>
      </c>
      <c r="H3" s="4" t="s">
        <v>114</v>
      </c>
      <c r="I3" s="4" t="s">
        <v>95</v>
      </c>
      <c r="K3" s="4" t="s">
        <v>10</v>
      </c>
      <c r="L3" s="4" t="s">
        <v>11</v>
      </c>
      <c r="M3" s="4" t="s">
        <v>12</v>
      </c>
      <c r="O3" s="4" t="s">
        <v>13</v>
      </c>
      <c r="P3" s="4" t="s">
        <v>14</v>
      </c>
      <c r="Q3" s="4" t="s">
        <v>15</v>
      </c>
      <c r="R3" s="4" t="s">
        <v>16</v>
      </c>
      <c r="S3" s="4" t="s">
        <v>17</v>
      </c>
      <c r="T3" s="4" t="s">
        <v>18</v>
      </c>
      <c r="U3" s="4" t="s">
        <v>69</v>
      </c>
      <c r="V3" s="4" t="s">
        <v>70</v>
      </c>
      <c r="W3" s="4" t="s">
        <v>71</v>
      </c>
      <c r="X3" s="4" t="s">
        <v>80</v>
      </c>
      <c r="Y3" s="4" t="s">
        <v>81</v>
      </c>
      <c r="Z3" s="4" t="s">
        <v>82</v>
      </c>
      <c r="AA3" s="4" t="s">
        <v>83</v>
      </c>
      <c r="AB3" s="4" t="s">
        <v>84</v>
      </c>
      <c r="AC3" s="4" t="s">
        <v>85</v>
      </c>
      <c r="AD3" s="4" t="s">
        <v>95</v>
      </c>
      <c r="AF3" s="4" t="s">
        <v>13</v>
      </c>
      <c r="AG3" s="4" t="s">
        <v>14</v>
      </c>
      <c r="AH3" s="4" t="s">
        <v>15</v>
      </c>
      <c r="AI3" s="4" t="s">
        <v>16</v>
      </c>
      <c r="AJ3" s="4" t="s">
        <v>17</v>
      </c>
      <c r="AK3" s="4" t="s">
        <v>18</v>
      </c>
      <c r="AL3" s="4" t="s">
        <v>69</v>
      </c>
      <c r="AM3" s="4" t="s">
        <v>70</v>
      </c>
      <c r="AN3" s="4" t="s">
        <v>71</v>
      </c>
      <c r="AO3" s="4" t="s">
        <v>80</v>
      </c>
      <c r="AP3" s="4" t="s">
        <v>81</v>
      </c>
      <c r="AQ3" s="4" t="s">
        <v>82</v>
      </c>
      <c r="AR3" s="4" t="s">
        <v>83</v>
      </c>
      <c r="AS3" s="4" t="s">
        <v>84</v>
      </c>
      <c r="AT3" s="4" t="s">
        <v>85</v>
      </c>
      <c r="AU3" s="4" t="s">
        <v>86</v>
      </c>
      <c r="AV3" s="4" t="s">
        <v>87</v>
      </c>
      <c r="AW3" s="4" t="s">
        <v>88</v>
      </c>
      <c r="AX3" s="4" t="s">
        <v>96</v>
      </c>
      <c r="AY3" s="4" t="s">
        <v>97</v>
      </c>
      <c r="AZ3" s="4" t="s">
        <v>98</v>
      </c>
      <c r="BA3" s="4" t="s">
        <v>99</v>
      </c>
      <c r="BB3" s="4" t="s">
        <v>100</v>
      </c>
      <c r="BC3" s="4" t="s">
        <v>101</v>
      </c>
      <c r="BD3" s="4" t="s">
        <v>102</v>
      </c>
      <c r="BE3" s="4" t="s">
        <v>103</v>
      </c>
      <c r="BF3" s="4" t="s">
        <v>104</v>
      </c>
      <c r="BG3" s="4" t="s">
        <v>105</v>
      </c>
      <c r="BH3" s="4" t="s">
        <v>106</v>
      </c>
      <c r="BI3" s="4" t="s">
        <v>107</v>
      </c>
      <c r="BJ3" s="4" t="s">
        <v>95</v>
      </c>
      <c r="BL3" s="4" t="s">
        <v>13</v>
      </c>
      <c r="BM3" s="4" t="s">
        <v>14</v>
      </c>
      <c r="BN3" s="4" t="s">
        <v>15</v>
      </c>
      <c r="BO3" s="4" t="s">
        <v>16</v>
      </c>
      <c r="BP3" s="4" t="s">
        <v>17</v>
      </c>
      <c r="BQ3" s="4" t="s">
        <v>18</v>
      </c>
      <c r="BR3" s="4" t="s">
        <v>69</v>
      </c>
      <c r="BS3" s="4" t="s">
        <v>70</v>
      </c>
      <c r="BT3" s="4" t="s">
        <v>71</v>
      </c>
      <c r="BU3" s="4" t="s">
        <v>80</v>
      </c>
      <c r="BV3" s="4" t="s">
        <v>81</v>
      </c>
      <c r="BW3" s="4" t="s">
        <v>82</v>
      </c>
      <c r="BX3" s="4" t="s">
        <v>83</v>
      </c>
      <c r="BY3" s="4" t="s">
        <v>84</v>
      </c>
      <c r="BZ3" s="4" t="s">
        <v>85</v>
      </c>
      <c r="CA3" s="4" t="s">
        <v>86</v>
      </c>
      <c r="CB3" s="4" t="s">
        <v>87</v>
      </c>
      <c r="CC3" s="4" t="s">
        <v>88</v>
      </c>
      <c r="CD3" s="4" t="s">
        <v>96</v>
      </c>
      <c r="CE3" s="4" t="s">
        <v>97</v>
      </c>
      <c r="CF3" s="4" t="s">
        <v>98</v>
      </c>
      <c r="CG3" s="4" t="s">
        <v>99</v>
      </c>
      <c r="CH3" s="4" t="s">
        <v>100</v>
      </c>
      <c r="CI3" s="4" t="s">
        <v>101</v>
      </c>
      <c r="CJ3" s="4" t="s">
        <v>102</v>
      </c>
      <c r="CK3" s="4" t="s">
        <v>103</v>
      </c>
      <c r="CL3" s="4" t="s">
        <v>104</v>
      </c>
      <c r="CM3" s="4" t="s">
        <v>95</v>
      </c>
    </row>
    <row r="4" spans="1:91" s="5" customFormat="1" ht="15.5" x14ac:dyDescent="0.45">
      <c r="A4" s="1" t="s">
        <v>34</v>
      </c>
      <c r="B4" s="1"/>
      <c r="C4" s="5">
        <f t="shared" ref="C4:C46" si="0">SUM(K4:M4)</f>
        <v>154</v>
      </c>
      <c r="D4" s="13">
        <v>129.5</v>
      </c>
      <c r="F4" s="26">
        <f t="shared" ref="F4:F46" si="1">AD4</f>
        <v>93</v>
      </c>
      <c r="G4" s="5">
        <f t="shared" ref="G4:G47" si="2">CM4</f>
        <v>63</v>
      </c>
      <c r="H4" s="5">
        <f t="shared" ref="H4:H47" si="3">IF(BJ4&lt;120, BJ4,120)</f>
        <v>80</v>
      </c>
      <c r="I4" s="5">
        <f t="shared" ref="I4:I46" si="4">SUM(C4:H4)</f>
        <v>519.5</v>
      </c>
      <c r="K4" s="5">
        <v>58</v>
      </c>
      <c r="L4" s="5">
        <v>56</v>
      </c>
      <c r="M4" s="5">
        <v>40</v>
      </c>
      <c r="O4" s="5">
        <v>12</v>
      </c>
      <c r="P4" s="5">
        <v>12</v>
      </c>
      <c r="Q4" s="5">
        <v>15</v>
      </c>
      <c r="R4" s="5">
        <v>12</v>
      </c>
      <c r="S4" s="5">
        <v>12</v>
      </c>
      <c r="T4" s="5">
        <v>9</v>
      </c>
      <c r="U4" s="5">
        <v>9</v>
      </c>
      <c r="V4" s="5">
        <v>12</v>
      </c>
      <c r="W4" s="5">
        <v>0</v>
      </c>
      <c r="AD4" s="5">
        <f t="shared" ref="AD4:AD46" si="5">SUM(O4:AC4)</f>
        <v>93</v>
      </c>
      <c r="AG4" s="5">
        <v>5</v>
      </c>
      <c r="AH4" s="5">
        <v>5</v>
      </c>
      <c r="AI4" s="5">
        <v>5</v>
      </c>
      <c r="AJ4" s="5">
        <v>5</v>
      </c>
      <c r="AK4" s="5">
        <v>5</v>
      </c>
      <c r="AL4" s="5">
        <v>5</v>
      </c>
      <c r="AM4" s="10">
        <v>5</v>
      </c>
      <c r="AN4" s="5">
        <v>5</v>
      </c>
      <c r="AO4" s="5">
        <v>5</v>
      </c>
      <c r="AP4" s="5">
        <v>5</v>
      </c>
      <c r="AQ4" s="5">
        <v>5</v>
      </c>
      <c r="AR4" s="5">
        <v>5</v>
      </c>
      <c r="AS4" s="10">
        <v>5</v>
      </c>
      <c r="AT4" s="17" t="s">
        <v>92</v>
      </c>
      <c r="AU4" s="5">
        <v>0</v>
      </c>
      <c r="AV4" s="5">
        <v>5</v>
      </c>
      <c r="AW4" s="17" t="s">
        <v>92</v>
      </c>
      <c r="AX4" s="5">
        <v>5</v>
      </c>
      <c r="AY4" s="5">
        <v>0</v>
      </c>
      <c r="AZ4" s="5">
        <v>5</v>
      </c>
      <c r="BJ4" s="5">
        <f t="shared" ref="BJ4:BJ46" si="6">SUM(AG4:BI4)</f>
        <v>80</v>
      </c>
      <c r="BL4" s="5">
        <v>4</v>
      </c>
      <c r="BM4" s="5">
        <v>3</v>
      </c>
      <c r="BN4" s="5">
        <v>3</v>
      </c>
      <c r="BO4" s="5">
        <v>4</v>
      </c>
      <c r="BP4" s="5">
        <v>4</v>
      </c>
      <c r="BQ4" s="5">
        <v>4</v>
      </c>
      <c r="BR4" s="5">
        <v>4</v>
      </c>
      <c r="BS4" s="5">
        <v>4</v>
      </c>
      <c r="BT4" s="5">
        <v>4</v>
      </c>
      <c r="BU4" s="5">
        <v>3</v>
      </c>
      <c r="BV4" s="5">
        <v>3</v>
      </c>
      <c r="BW4" s="5">
        <v>4</v>
      </c>
      <c r="BX4" s="5">
        <v>4</v>
      </c>
      <c r="BY4" s="5">
        <v>0</v>
      </c>
      <c r="BZ4" s="5">
        <v>3</v>
      </c>
      <c r="CA4" s="5">
        <v>4</v>
      </c>
      <c r="CB4" s="5">
        <v>4</v>
      </c>
      <c r="CC4" s="27">
        <v>4</v>
      </c>
      <c r="CM4" s="5">
        <f t="shared" ref="CM4:CM46" si="7">SUM(BL4:CL4)</f>
        <v>63</v>
      </c>
    </row>
    <row r="5" spans="1:91" s="5" customFormat="1" ht="15.5" x14ac:dyDescent="0.45">
      <c r="A5" s="1" t="s">
        <v>55</v>
      </c>
      <c r="B5" s="1"/>
      <c r="C5" s="5">
        <f t="shared" si="0"/>
        <v>154</v>
      </c>
      <c r="D5" s="13">
        <v>111.5</v>
      </c>
      <c r="F5" s="26">
        <f t="shared" si="1"/>
        <v>87</v>
      </c>
      <c r="G5" s="5">
        <f t="shared" si="2"/>
        <v>57</v>
      </c>
      <c r="H5" s="5">
        <f t="shared" si="3"/>
        <v>90</v>
      </c>
      <c r="I5" s="5">
        <f t="shared" si="4"/>
        <v>499.5</v>
      </c>
      <c r="K5" s="5">
        <v>55</v>
      </c>
      <c r="L5" s="5">
        <v>59</v>
      </c>
      <c r="M5" s="5">
        <v>40</v>
      </c>
      <c r="O5" s="5">
        <v>12</v>
      </c>
      <c r="P5" s="5">
        <v>9</v>
      </c>
      <c r="Q5" s="5">
        <v>15</v>
      </c>
      <c r="R5" s="5">
        <v>9</v>
      </c>
      <c r="S5" s="5">
        <v>9</v>
      </c>
      <c r="T5" s="5">
        <v>9</v>
      </c>
      <c r="U5" s="5">
        <v>3</v>
      </c>
      <c r="V5" s="5">
        <v>9</v>
      </c>
      <c r="W5" s="5">
        <v>12</v>
      </c>
      <c r="AD5" s="5">
        <f t="shared" si="5"/>
        <v>87</v>
      </c>
      <c r="AG5" s="5">
        <v>5</v>
      </c>
      <c r="AH5" s="5">
        <v>5</v>
      </c>
      <c r="AI5" s="5">
        <v>5</v>
      </c>
      <c r="AJ5" s="5">
        <v>5</v>
      </c>
      <c r="AK5" s="5">
        <v>5</v>
      </c>
      <c r="AL5" s="5">
        <v>5</v>
      </c>
      <c r="AM5" s="19">
        <v>5</v>
      </c>
      <c r="AN5" s="5">
        <v>5</v>
      </c>
      <c r="AO5" s="5">
        <v>5</v>
      </c>
      <c r="AP5" s="5">
        <v>5</v>
      </c>
      <c r="AQ5" s="5">
        <v>5</v>
      </c>
      <c r="AR5" s="5">
        <v>5</v>
      </c>
      <c r="AS5" s="10">
        <v>5</v>
      </c>
      <c r="AT5" s="17" t="s">
        <v>92</v>
      </c>
      <c r="AU5" s="5">
        <v>5</v>
      </c>
      <c r="AV5" s="5">
        <v>5</v>
      </c>
      <c r="AW5" s="17" t="s">
        <v>92</v>
      </c>
      <c r="AX5" s="5">
        <v>5</v>
      </c>
      <c r="AY5" s="5">
        <v>5</v>
      </c>
      <c r="AZ5" s="5">
        <v>5</v>
      </c>
      <c r="BJ5" s="5">
        <f t="shared" si="6"/>
        <v>90</v>
      </c>
      <c r="BL5" s="5">
        <v>3</v>
      </c>
      <c r="BM5" s="5">
        <v>3</v>
      </c>
      <c r="BN5" s="5">
        <v>4</v>
      </c>
      <c r="BO5" s="5">
        <v>4</v>
      </c>
      <c r="BP5" s="5">
        <v>3</v>
      </c>
      <c r="BQ5" s="5">
        <v>4</v>
      </c>
      <c r="BR5" s="5">
        <v>4</v>
      </c>
      <c r="BS5" s="5">
        <v>3</v>
      </c>
      <c r="BT5" s="5">
        <v>4</v>
      </c>
      <c r="BU5" s="5">
        <v>2</v>
      </c>
      <c r="BV5" s="5">
        <v>0</v>
      </c>
      <c r="BW5" s="5">
        <v>4</v>
      </c>
      <c r="BX5" s="5">
        <v>4</v>
      </c>
      <c r="BY5" s="5">
        <v>4</v>
      </c>
      <c r="BZ5" s="5">
        <v>3</v>
      </c>
      <c r="CA5" s="5">
        <v>4</v>
      </c>
      <c r="CB5" s="5">
        <v>4</v>
      </c>
      <c r="CC5" s="5">
        <v>0</v>
      </c>
      <c r="CM5" s="5">
        <f t="shared" si="7"/>
        <v>57</v>
      </c>
    </row>
    <row r="6" spans="1:91" s="5" customFormat="1" ht="15.5" x14ac:dyDescent="0.45">
      <c r="A6" s="1" t="s">
        <v>51</v>
      </c>
      <c r="B6" s="1"/>
      <c r="C6" s="5">
        <f t="shared" si="0"/>
        <v>152</v>
      </c>
      <c r="D6" s="13">
        <v>121.5</v>
      </c>
      <c r="F6" s="26">
        <f t="shared" si="1"/>
        <v>99</v>
      </c>
      <c r="G6" s="5">
        <f t="shared" si="2"/>
        <v>55</v>
      </c>
      <c r="H6" s="5">
        <f t="shared" si="3"/>
        <v>77</v>
      </c>
      <c r="I6" s="5">
        <f t="shared" si="4"/>
        <v>504.5</v>
      </c>
      <c r="K6" s="5">
        <v>57</v>
      </c>
      <c r="L6" s="5">
        <v>57</v>
      </c>
      <c r="M6" s="5">
        <v>38</v>
      </c>
      <c r="O6" s="5">
        <v>12</v>
      </c>
      <c r="P6" s="5">
        <v>6</v>
      </c>
      <c r="Q6" s="5">
        <v>15</v>
      </c>
      <c r="R6" s="5">
        <v>12</v>
      </c>
      <c r="S6" s="5">
        <v>15</v>
      </c>
      <c r="T6" s="5">
        <v>9</v>
      </c>
      <c r="U6" s="5">
        <v>12</v>
      </c>
      <c r="V6" s="5">
        <v>3</v>
      </c>
      <c r="W6" s="5">
        <v>15</v>
      </c>
      <c r="AD6" s="5">
        <f t="shared" si="5"/>
        <v>99</v>
      </c>
      <c r="AG6" s="5">
        <v>5</v>
      </c>
      <c r="AH6" s="5">
        <v>5</v>
      </c>
      <c r="AI6" s="5">
        <v>5</v>
      </c>
      <c r="AJ6" s="5">
        <v>5</v>
      </c>
      <c r="AK6" s="5">
        <v>5</v>
      </c>
      <c r="AL6" s="5">
        <v>5</v>
      </c>
      <c r="AM6" s="19">
        <v>5</v>
      </c>
      <c r="AN6" s="5">
        <v>4</v>
      </c>
      <c r="AO6" s="5">
        <v>3</v>
      </c>
      <c r="AP6" s="5">
        <v>5</v>
      </c>
      <c r="AQ6" s="5">
        <v>4</v>
      </c>
      <c r="AR6" s="5">
        <v>5</v>
      </c>
      <c r="AS6" s="10">
        <v>5</v>
      </c>
      <c r="AT6" s="17" t="s">
        <v>92</v>
      </c>
      <c r="AU6" s="5">
        <v>3</v>
      </c>
      <c r="AV6" s="5">
        <v>5</v>
      </c>
      <c r="AW6" s="17" t="s">
        <v>92</v>
      </c>
      <c r="AX6" s="5">
        <v>0</v>
      </c>
      <c r="AY6" s="5">
        <v>3</v>
      </c>
      <c r="AZ6" s="5">
        <v>5</v>
      </c>
      <c r="BJ6" s="5">
        <f t="shared" si="6"/>
        <v>77</v>
      </c>
      <c r="BL6" s="5">
        <v>0</v>
      </c>
      <c r="BM6" s="5">
        <v>4</v>
      </c>
      <c r="BN6" s="5">
        <v>3</v>
      </c>
      <c r="BO6" s="5">
        <v>4</v>
      </c>
      <c r="BP6" s="5">
        <v>4</v>
      </c>
      <c r="BQ6" s="5">
        <v>4</v>
      </c>
      <c r="BR6" s="5">
        <v>3</v>
      </c>
      <c r="BS6" s="5">
        <v>0</v>
      </c>
      <c r="BT6" s="5">
        <v>4</v>
      </c>
      <c r="BU6" s="5">
        <v>4</v>
      </c>
      <c r="BV6" s="5">
        <v>2</v>
      </c>
      <c r="BW6" s="5">
        <v>4</v>
      </c>
      <c r="BX6" s="5">
        <v>4</v>
      </c>
      <c r="BY6" s="5">
        <v>4</v>
      </c>
      <c r="BZ6" s="5">
        <v>3</v>
      </c>
      <c r="CA6" s="5">
        <v>0</v>
      </c>
      <c r="CB6" s="5">
        <v>4</v>
      </c>
      <c r="CC6" s="27">
        <v>4</v>
      </c>
      <c r="CM6" s="5">
        <f t="shared" si="7"/>
        <v>55</v>
      </c>
    </row>
    <row r="7" spans="1:91" s="5" customFormat="1" ht="15.5" x14ac:dyDescent="0.45">
      <c r="A7" s="1" t="s">
        <v>27</v>
      </c>
      <c r="B7" s="1"/>
      <c r="C7" s="5">
        <f t="shared" si="0"/>
        <v>154</v>
      </c>
      <c r="D7" s="13">
        <v>111.5</v>
      </c>
      <c r="F7" s="26">
        <f t="shared" si="1"/>
        <v>108</v>
      </c>
      <c r="G7" s="5">
        <f t="shared" si="2"/>
        <v>56</v>
      </c>
      <c r="H7" s="5">
        <f t="shared" si="3"/>
        <v>88</v>
      </c>
      <c r="I7" s="5">
        <f t="shared" si="4"/>
        <v>517.5</v>
      </c>
      <c r="K7" s="5">
        <v>57</v>
      </c>
      <c r="L7" s="5">
        <v>58</v>
      </c>
      <c r="M7" s="5">
        <v>39</v>
      </c>
      <c r="O7" s="5">
        <v>15</v>
      </c>
      <c r="P7" s="5">
        <v>9</v>
      </c>
      <c r="Q7" s="5">
        <v>15</v>
      </c>
      <c r="R7" s="5">
        <v>15</v>
      </c>
      <c r="S7" s="5">
        <v>15</v>
      </c>
      <c r="T7" s="5">
        <v>12</v>
      </c>
      <c r="U7" s="5">
        <v>6</v>
      </c>
      <c r="V7" s="5">
        <v>15</v>
      </c>
      <c r="W7" s="5">
        <v>6</v>
      </c>
      <c r="AD7" s="5">
        <f t="shared" si="5"/>
        <v>108</v>
      </c>
      <c r="AG7" s="5">
        <v>5</v>
      </c>
      <c r="AH7" s="5">
        <v>5</v>
      </c>
      <c r="AI7" s="5">
        <v>5</v>
      </c>
      <c r="AJ7" s="5">
        <v>5</v>
      </c>
      <c r="AK7" s="5">
        <v>5</v>
      </c>
      <c r="AL7" s="5">
        <v>5</v>
      </c>
      <c r="AM7" s="10">
        <v>5</v>
      </c>
      <c r="AN7" s="5">
        <v>5</v>
      </c>
      <c r="AO7" s="5">
        <v>3</v>
      </c>
      <c r="AP7" s="5">
        <v>5</v>
      </c>
      <c r="AQ7" s="5">
        <v>5</v>
      </c>
      <c r="AR7" s="5">
        <v>5</v>
      </c>
      <c r="AS7" s="10">
        <v>5</v>
      </c>
      <c r="AT7" s="17" t="s">
        <v>92</v>
      </c>
      <c r="AU7" s="5">
        <v>5</v>
      </c>
      <c r="AV7" s="5">
        <v>5</v>
      </c>
      <c r="AW7" s="17" t="s">
        <v>92</v>
      </c>
      <c r="AX7" s="5">
        <v>5</v>
      </c>
      <c r="AY7" s="5">
        <v>5</v>
      </c>
      <c r="AZ7" s="5">
        <v>5</v>
      </c>
      <c r="BJ7" s="5">
        <f t="shared" si="6"/>
        <v>88</v>
      </c>
      <c r="BL7" s="5">
        <v>4</v>
      </c>
      <c r="BM7" s="5">
        <v>2</v>
      </c>
      <c r="BN7" s="5">
        <v>3</v>
      </c>
      <c r="BO7" s="5">
        <v>4</v>
      </c>
      <c r="BP7" s="5">
        <v>4</v>
      </c>
      <c r="BQ7" s="5">
        <v>4</v>
      </c>
      <c r="BR7" s="5">
        <v>2</v>
      </c>
      <c r="BS7" s="5">
        <v>0</v>
      </c>
      <c r="BT7" s="5">
        <v>4</v>
      </c>
      <c r="BU7" s="5">
        <v>2</v>
      </c>
      <c r="BV7" s="5">
        <v>0</v>
      </c>
      <c r="BW7" s="5">
        <v>4</v>
      </c>
      <c r="BX7" s="5">
        <v>4</v>
      </c>
      <c r="BY7" s="5">
        <v>4</v>
      </c>
      <c r="BZ7" s="5">
        <v>3</v>
      </c>
      <c r="CA7" s="5">
        <v>4</v>
      </c>
      <c r="CB7" s="5">
        <v>4</v>
      </c>
      <c r="CC7" s="27">
        <v>4</v>
      </c>
      <c r="CM7" s="5">
        <f t="shared" si="7"/>
        <v>56</v>
      </c>
    </row>
    <row r="8" spans="1:91" s="5" customFormat="1" ht="15.5" x14ac:dyDescent="0.45">
      <c r="A8" s="1" t="s">
        <v>68</v>
      </c>
      <c r="B8" s="1"/>
      <c r="C8" s="5">
        <f t="shared" si="0"/>
        <v>150</v>
      </c>
      <c r="D8" s="13">
        <v>91.5</v>
      </c>
      <c r="F8" s="26">
        <f t="shared" si="1"/>
        <v>66</v>
      </c>
      <c r="G8" s="5">
        <f t="shared" si="2"/>
        <v>59</v>
      </c>
      <c r="H8" s="5">
        <f t="shared" si="3"/>
        <v>83</v>
      </c>
      <c r="I8" s="5">
        <f t="shared" si="4"/>
        <v>449.5</v>
      </c>
      <c r="K8" s="5">
        <v>52</v>
      </c>
      <c r="L8" s="5">
        <v>58</v>
      </c>
      <c r="M8" s="5">
        <v>40</v>
      </c>
      <c r="O8" s="5">
        <v>9</v>
      </c>
      <c r="P8" s="5">
        <v>6</v>
      </c>
      <c r="Q8" s="5">
        <v>12</v>
      </c>
      <c r="R8" s="5">
        <v>15</v>
      </c>
      <c r="S8" s="5">
        <v>3</v>
      </c>
      <c r="T8" s="5">
        <v>6</v>
      </c>
      <c r="U8" s="5">
        <v>3</v>
      </c>
      <c r="V8" s="5">
        <v>3</v>
      </c>
      <c r="W8" s="5">
        <v>9</v>
      </c>
      <c r="AD8" s="5">
        <f t="shared" si="5"/>
        <v>66</v>
      </c>
      <c r="AG8" s="5">
        <v>4</v>
      </c>
      <c r="AH8" s="5">
        <v>5</v>
      </c>
      <c r="AI8" s="5">
        <v>5</v>
      </c>
      <c r="AJ8" s="5">
        <v>5</v>
      </c>
      <c r="AK8" s="5">
        <v>5</v>
      </c>
      <c r="AL8" s="5">
        <v>5</v>
      </c>
      <c r="AM8" s="19">
        <v>5</v>
      </c>
      <c r="AN8" s="5">
        <v>5</v>
      </c>
      <c r="AO8" s="5">
        <v>0</v>
      </c>
      <c r="AP8" s="5">
        <v>5</v>
      </c>
      <c r="AQ8" s="5">
        <v>5</v>
      </c>
      <c r="AR8" s="5">
        <v>5</v>
      </c>
      <c r="AS8" s="10">
        <v>5</v>
      </c>
      <c r="AT8" s="17" t="s">
        <v>92</v>
      </c>
      <c r="AU8" s="5">
        <v>5</v>
      </c>
      <c r="AV8" s="5">
        <v>4</v>
      </c>
      <c r="AW8" s="17" t="s">
        <v>92</v>
      </c>
      <c r="AX8" s="5">
        <v>5</v>
      </c>
      <c r="AY8" s="5">
        <v>5</v>
      </c>
      <c r="AZ8" s="5">
        <v>5</v>
      </c>
      <c r="BJ8" s="5">
        <f t="shared" si="6"/>
        <v>83</v>
      </c>
      <c r="BL8" s="5">
        <v>3</v>
      </c>
      <c r="BM8" s="5">
        <v>4</v>
      </c>
      <c r="BN8" s="5">
        <v>4</v>
      </c>
      <c r="BO8" s="5">
        <v>4</v>
      </c>
      <c r="BP8" s="5">
        <v>2</v>
      </c>
      <c r="BQ8" s="5">
        <v>4</v>
      </c>
      <c r="BR8" s="5">
        <v>2</v>
      </c>
      <c r="BS8" s="5">
        <v>4</v>
      </c>
      <c r="BT8" s="5">
        <v>3</v>
      </c>
      <c r="BU8" s="5">
        <v>2</v>
      </c>
      <c r="BV8" s="5">
        <v>3</v>
      </c>
      <c r="BW8" s="5">
        <v>4</v>
      </c>
      <c r="BX8" s="5">
        <v>4</v>
      </c>
      <c r="BY8" s="5">
        <v>4</v>
      </c>
      <c r="BZ8" s="5">
        <v>0</v>
      </c>
      <c r="CA8" s="5">
        <v>4</v>
      </c>
      <c r="CB8" s="5">
        <v>4</v>
      </c>
      <c r="CC8" s="27">
        <v>4</v>
      </c>
      <c r="CM8" s="5">
        <f t="shared" si="7"/>
        <v>59</v>
      </c>
    </row>
    <row r="9" spans="1:91" s="5" customFormat="1" ht="15.5" x14ac:dyDescent="0.45">
      <c r="A9" s="1" t="s">
        <v>54</v>
      </c>
      <c r="B9" s="1"/>
      <c r="C9" s="5">
        <f t="shared" si="0"/>
        <v>146</v>
      </c>
      <c r="D9" s="13">
        <v>79</v>
      </c>
      <c r="F9" s="26">
        <f t="shared" si="1"/>
        <v>60</v>
      </c>
      <c r="G9" s="5">
        <f t="shared" si="2"/>
        <v>29</v>
      </c>
      <c r="H9" s="5">
        <f t="shared" si="3"/>
        <v>32</v>
      </c>
      <c r="I9" s="5">
        <f t="shared" si="4"/>
        <v>346</v>
      </c>
      <c r="K9" s="5">
        <v>54</v>
      </c>
      <c r="L9" s="5">
        <v>53</v>
      </c>
      <c r="M9" s="5">
        <v>39</v>
      </c>
      <c r="O9" s="5">
        <v>0</v>
      </c>
      <c r="P9" s="5">
        <v>3</v>
      </c>
      <c r="Q9" s="5">
        <v>12</v>
      </c>
      <c r="R9" s="5">
        <v>12</v>
      </c>
      <c r="S9" s="5">
        <v>6</v>
      </c>
      <c r="T9" s="5">
        <v>3</v>
      </c>
      <c r="U9" s="5">
        <v>0</v>
      </c>
      <c r="V9" s="5">
        <v>9</v>
      </c>
      <c r="W9" s="5">
        <v>15</v>
      </c>
      <c r="AD9" s="5">
        <f t="shared" si="5"/>
        <v>60</v>
      </c>
      <c r="AG9" s="5">
        <v>3</v>
      </c>
      <c r="AH9" s="5">
        <v>0</v>
      </c>
      <c r="AI9" s="5">
        <v>0</v>
      </c>
      <c r="AJ9" s="5">
        <v>0</v>
      </c>
      <c r="AK9" s="5">
        <v>5</v>
      </c>
      <c r="AL9" s="5">
        <v>3</v>
      </c>
      <c r="AM9" s="19">
        <v>3</v>
      </c>
      <c r="AN9" s="5">
        <v>3</v>
      </c>
      <c r="AO9" s="5">
        <v>3</v>
      </c>
      <c r="AP9" s="5">
        <v>0</v>
      </c>
      <c r="AQ9" s="5">
        <v>3</v>
      </c>
      <c r="AR9" s="5">
        <v>0</v>
      </c>
      <c r="AS9" s="10">
        <v>3</v>
      </c>
      <c r="AT9" s="17" t="s">
        <v>92</v>
      </c>
      <c r="AU9" s="5">
        <v>3</v>
      </c>
      <c r="AV9" s="5">
        <v>0</v>
      </c>
      <c r="AW9" s="17" t="s">
        <v>92</v>
      </c>
      <c r="AX9" s="5">
        <v>0</v>
      </c>
      <c r="AY9" s="5">
        <v>3</v>
      </c>
      <c r="AZ9" s="5">
        <v>0</v>
      </c>
      <c r="BJ9" s="5">
        <f t="shared" si="6"/>
        <v>32</v>
      </c>
      <c r="BL9" s="5">
        <v>3</v>
      </c>
      <c r="BM9" s="5">
        <v>0</v>
      </c>
      <c r="BN9" s="5">
        <v>4</v>
      </c>
      <c r="BO9" s="5">
        <v>0</v>
      </c>
      <c r="BP9" s="5">
        <v>0</v>
      </c>
      <c r="BQ9" s="5">
        <v>4</v>
      </c>
      <c r="BR9" s="5">
        <v>0</v>
      </c>
      <c r="BS9" s="5">
        <v>3</v>
      </c>
      <c r="BT9" s="5">
        <v>0</v>
      </c>
      <c r="BU9" s="5">
        <v>0</v>
      </c>
      <c r="BV9" s="5">
        <v>0</v>
      </c>
      <c r="BW9" s="5">
        <v>0</v>
      </c>
      <c r="BX9" s="5">
        <v>4</v>
      </c>
      <c r="BY9" s="5">
        <v>4</v>
      </c>
      <c r="BZ9" s="5">
        <v>3</v>
      </c>
      <c r="CA9" s="5">
        <v>0</v>
      </c>
      <c r="CB9" s="5">
        <v>4</v>
      </c>
      <c r="CC9" s="5">
        <v>0</v>
      </c>
      <c r="CM9" s="5">
        <f t="shared" si="7"/>
        <v>29</v>
      </c>
    </row>
    <row r="10" spans="1:91" s="5" customFormat="1" ht="15.5" x14ac:dyDescent="0.45">
      <c r="A10" s="1" t="s">
        <v>64</v>
      </c>
      <c r="B10" s="1"/>
      <c r="C10" s="5">
        <f t="shared" si="0"/>
        <v>155</v>
      </c>
      <c r="D10" s="13">
        <v>112.5</v>
      </c>
      <c r="F10" s="26">
        <f t="shared" si="1"/>
        <v>96</v>
      </c>
      <c r="G10" s="5">
        <f t="shared" si="2"/>
        <v>69</v>
      </c>
      <c r="H10" s="5">
        <f t="shared" si="3"/>
        <v>84</v>
      </c>
      <c r="I10" s="5">
        <f t="shared" si="4"/>
        <v>516.5</v>
      </c>
      <c r="K10" s="5">
        <v>56</v>
      </c>
      <c r="L10" s="5">
        <v>59</v>
      </c>
      <c r="M10" s="5">
        <v>40</v>
      </c>
      <c r="O10" s="5">
        <v>12</v>
      </c>
      <c r="P10" s="5">
        <v>9</v>
      </c>
      <c r="Q10" s="5">
        <v>15</v>
      </c>
      <c r="R10" s="5">
        <v>15</v>
      </c>
      <c r="S10" s="5">
        <v>9</v>
      </c>
      <c r="T10" s="5">
        <v>15</v>
      </c>
      <c r="U10" s="5">
        <v>6</v>
      </c>
      <c r="V10" s="5">
        <v>0</v>
      </c>
      <c r="W10" s="5">
        <v>15</v>
      </c>
      <c r="AD10" s="5">
        <f t="shared" si="5"/>
        <v>96</v>
      </c>
      <c r="AG10" s="5">
        <v>5</v>
      </c>
      <c r="AH10" s="5">
        <v>5</v>
      </c>
      <c r="AI10" s="5">
        <v>5</v>
      </c>
      <c r="AJ10" s="5">
        <v>5</v>
      </c>
      <c r="AK10" s="5">
        <v>5</v>
      </c>
      <c r="AL10" s="5">
        <v>5</v>
      </c>
      <c r="AM10" s="19">
        <v>5</v>
      </c>
      <c r="AN10" s="5">
        <v>3</v>
      </c>
      <c r="AO10" s="5">
        <v>3</v>
      </c>
      <c r="AP10" s="5">
        <v>5</v>
      </c>
      <c r="AQ10" s="5">
        <v>5</v>
      </c>
      <c r="AR10" s="5">
        <v>5</v>
      </c>
      <c r="AS10" s="5">
        <v>5</v>
      </c>
      <c r="AT10" s="17" t="s">
        <v>92</v>
      </c>
      <c r="AU10" s="5">
        <v>5</v>
      </c>
      <c r="AV10" s="5">
        <v>5</v>
      </c>
      <c r="AW10" s="17" t="s">
        <v>92</v>
      </c>
      <c r="AX10" s="5">
        <v>5</v>
      </c>
      <c r="AY10" s="5">
        <v>3</v>
      </c>
      <c r="AZ10" s="5">
        <v>5</v>
      </c>
      <c r="BJ10" s="5">
        <f t="shared" si="6"/>
        <v>84</v>
      </c>
      <c r="BL10" s="5">
        <v>4</v>
      </c>
      <c r="BM10" s="5">
        <v>4</v>
      </c>
      <c r="BN10" s="5">
        <v>4</v>
      </c>
      <c r="BO10" s="5">
        <v>4</v>
      </c>
      <c r="BP10" s="5">
        <v>3</v>
      </c>
      <c r="BQ10" s="5">
        <v>4</v>
      </c>
      <c r="BR10" s="5">
        <v>4</v>
      </c>
      <c r="BS10" s="5">
        <v>3</v>
      </c>
      <c r="BT10" s="5">
        <v>4</v>
      </c>
      <c r="BU10" s="5">
        <v>4</v>
      </c>
      <c r="BV10" s="5">
        <v>3</v>
      </c>
      <c r="BW10" s="5">
        <v>4</v>
      </c>
      <c r="BX10" s="5">
        <v>4</v>
      </c>
      <c r="BY10" s="5">
        <v>4</v>
      </c>
      <c r="BZ10" s="5">
        <v>4</v>
      </c>
      <c r="CA10" s="5">
        <v>4</v>
      </c>
      <c r="CB10" s="5">
        <v>4</v>
      </c>
      <c r="CC10" s="27">
        <v>4</v>
      </c>
      <c r="CM10" s="5">
        <f t="shared" si="7"/>
        <v>69</v>
      </c>
    </row>
    <row r="11" spans="1:91" s="5" customFormat="1" ht="15" customHeight="1" x14ac:dyDescent="0.45">
      <c r="A11" s="1" t="s">
        <v>26</v>
      </c>
      <c r="B11" s="1"/>
      <c r="C11" s="5">
        <f>SUM(K11:M11)</f>
        <v>152</v>
      </c>
      <c r="D11" s="13">
        <v>104.5</v>
      </c>
      <c r="F11" s="26">
        <f>AD11</f>
        <v>69</v>
      </c>
      <c r="G11" s="5">
        <f>CM11</f>
        <v>65</v>
      </c>
      <c r="H11" s="5">
        <f t="shared" si="3"/>
        <v>81</v>
      </c>
      <c r="I11" s="5">
        <f t="shared" si="4"/>
        <v>471.5</v>
      </c>
      <c r="K11" s="5">
        <v>56</v>
      </c>
      <c r="L11" s="5">
        <v>56</v>
      </c>
      <c r="M11" s="5">
        <v>40</v>
      </c>
      <c r="O11" s="5">
        <v>6</v>
      </c>
      <c r="P11" s="5">
        <v>0</v>
      </c>
      <c r="Q11" s="5">
        <v>12</v>
      </c>
      <c r="R11" s="5">
        <v>12</v>
      </c>
      <c r="S11" s="5">
        <v>6</v>
      </c>
      <c r="T11" s="5">
        <v>9</v>
      </c>
      <c r="U11" s="5">
        <v>9</v>
      </c>
      <c r="V11" s="5">
        <v>6</v>
      </c>
      <c r="W11" s="5">
        <v>9</v>
      </c>
      <c r="AD11" s="5">
        <f>SUM(O11:AC11)</f>
        <v>69</v>
      </c>
      <c r="AG11" s="5">
        <v>5</v>
      </c>
      <c r="AH11" s="5">
        <v>5</v>
      </c>
      <c r="AI11" s="5">
        <v>5</v>
      </c>
      <c r="AJ11" s="5">
        <v>5</v>
      </c>
      <c r="AK11" s="5">
        <v>4</v>
      </c>
      <c r="AL11" s="5">
        <v>5</v>
      </c>
      <c r="AM11" s="10">
        <v>5</v>
      </c>
      <c r="AN11" s="5">
        <v>5</v>
      </c>
      <c r="AO11" s="5">
        <v>5</v>
      </c>
      <c r="AP11" s="5">
        <v>5</v>
      </c>
      <c r="AQ11" s="5">
        <v>5</v>
      </c>
      <c r="AR11" s="5">
        <v>4</v>
      </c>
      <c r="AS11" s="10">
        <v>5</v>
      </c>
      <c r="AT11" s="17" t="s">
        <v>92</v>
      </c>
      <c r="AU11" s="5">
        <v>0</v>
      </c>
      <c r="AV11" s="5">
        <v>3</v>
      </c>
      <c r="AW11" s="17" t="s">
        <v>92</v>
      </c>
      <c r="AX11" s="5">
        <v>5</v>
      </c>
      <c r="AY11" s="5">
        <v>5</v>
      </c>
      <c r="AZ11" s="5">
        <v>5</v>
      </c>
      <c r="BJ11" s="5">
        <f>SUM(AG11:BI11)</f>
        <v>81</v>
      </c>
      <c r="BL11" s="5">
        <v>4</v>
      </c>
      <c r="BM11" s="5">
        <v>3</v>
      </c>
      <c r="BN11" s="5">
        <v>4</v>
      </c>
      <c r="BO11" s="5">
        <v>4</v>
      </c>
      <c r="BP11" s="5">
        <v>4</v>
      </c>
      <c r="BQ11" s="5">
        <v>4</v>
      </c>
      <c r="BR11" s="5">
        <v>4</v>
      </c>
      <c r="BS11" s="5">
        <v>4</v>
      </c>
      <c r="BT11" s="5">
        <v>4</v>
      </c>
      <c r="BU11" s="5">
        <v>4</v>
      </c>
      <c r="BV11" s="5">
        <v>3</v>
      </c>
      <c r="BW11" s="5">
        <v>4</v>
      </c>
      <c r="BX11" s="5">
        <v>4</v>
      </c>
      <c r="BY11" s="5">
        <v>0</v>
      </c>
      <c r="BZ11" s="5">
        <v>3</v>
      </c>
      <c r="CA11" s="5">
        <v>4</v>
      </c>
      <c r="CB11" s="5">
        <v>4</v>
      </c>
      <c r="CC11" s="27">
        <v>4</v>
      </c>
      <c r="CM11" s="5">
        <f>SUM(BL11:CL11)</f>
        <v>65</v>
      </c>
    </row>
    <row r="12" spans="1:91" s="5" customFormat="1" ht="15.5" x14ac:dyDescent="0.45">
      <c r="A12" s="1" t="s">
        <v>36</v>
      </c>
      <c r="B12" s="1"/>
      <c r="C12" s="5">
        <f t="shared" si="0"/>
        <v>155</v>
      </c>
      <c r="D12" s="13">
        <v>116</v>
      </c>
      <c r="F12" s="26">
        <f t="shared" si="1"/>
        <v>111</v>
      </c>
      <c r="G12" s="5">
        <f t="shared" si="2"/>
        <v>66</v>
      </c>
      <c r="H12" s="5">
        <f t="shared" si="3"/>
        <v>68</v>
      </c>
      <c r="I12" s="5">
        <f t="shared" si="4"/>
        <v>516</v>
      </c>
      <c r="K12" s="5">
        <v>57</v>
      </c>
      <c r="L12" s="5">
        <v>59</v>
      </c>
      <c r="M12" s="5">
        <v>39</v>
      </c>
      <c r="O12" s="5">
        <v>15</v>
      </c>
      <c r="P12" s="5">
        <v>9</v>
      </c>
      <c r="Q12" s="5">
        <v>12</v>
      </c>
      <c r="R12" s="5">
        <v>15</v>
      </c>
      <c r="S12" s="5">
        <v>15</v>
      </c>
      <c r="T12" s="5">
        <v>15</v>
      </c>
      <c r="U12" s="5">
        <v>9</v>
      </c>
      <c r="V12" s="5">
        <v>9</v>
      </c>
      <c r="W12" s="5">
        <v>12</v>
      </c>
      <c r="AD12" s="5">
        <f t="shared" si="5"/>
        <v>111</v>
      </c>
      <c r="AG12" s="5">
        <v>3</v>
      </c>
      <c r="AH12" s="5">
        <v>3</v>
      </c>
      <c r="AI12" s="5">
        <v>5</v>
      </c>
      <c r="AJ12" s="5">
        <v>0</v>
      </c>
      <c r="AK12" s="5">
        <v>5</v>
      </c>
      <c r="AL12" s="5">
        <v>5</v>
      </c>
      <c r="AM12" s="10">
        <v>3</v>
      </c>
      <c r="AN12" s="5">
        <v>3</v>
      </c>
      <c r="AO12" s="5">
        <v>5</v>
      </c>
      <c r="AP12" s="5">
        <v>3</v>
      </c>
      <c r="AQ12" s="5">
        <v>3</v>
      </c>
      <c r="AR12" s="5">
        <v>5</v>
      </c>
      <c r="AS12" s="10">
        <v>3</v>
      </c>
      <c r="AT12" s="17" t="s">
        <v>92</v>
      </c>
      <c r="AU12" s="5">
        <v>3</v>
      </c>
      <c r="AV12" s="5">
        <v>5</v>
      </c>
      <c r="AW12" s="17" t="s">
        <v>92</v>
      </c>
      <c r="AX12" s="5">
        <v>5</v>
      </c>
      <c r="AY12" s="5">
        <v>4</v>
      </c>
      <c r="AZ12" s="5">
        <v>5</v>
      </c>
      <c r="BJ12" s="5">
        <f t="shared" si="6"/>
        <v>68</v>
      </c>
      <c r="BL12" s="5">
        <v>3</v>
      </c>
      <c r="BM12" s="5">
        <v>2</v>
      </c>
      <c r="BN12" s="5">
        <v>4</v>
      </c>
      <c r="BO12" s="5">
        <v>4</v>
      </c>
      <c r="BP12" s="5">
        <v>4</v>
      </c>
      <c r="BQ12" s="5">
        <v>4</v>
      </c>
      <c r="BR12" s="5">
        <v>4</v>
      </c>
      <c r="BS12" s="5">
        <v>4</v>
      </c>
      <c r="BT12" s="5">
        <v>4</v>
      </c>
      <c r="BU12" s="5">
        <v>3</v>
      </c>
      <c r="BV12" s="5">
        <v>3</v>
      </c>
      <c r="BW12" s="5">
        <v>4</v>
      </c>
      <c r="BX12" s="5">
        <v>4</v>
      </c>
      <c r="BY12" s="5">
        <v>4</v>
      </c>
      <c r="BZ12" s="5">
        <v>3</v>
      </c>
      <c r="CA12" s="5">
        <v>4</v>
      </c>
      <c r="CB12" s="5">
        <v>4</v>
      </c>
      <c r="CC12" s="27">
        <v>4</v>
      </c>
      <c r="CM12" s="5">
        <f t="shared" si="7"/>
        <v>66</v>
      </c>
    </row>
    <row r="13" spans="1:91" s="5" customFormat="1" ht="15.5" x14ac:dyDescent="0.45">
      <c r="A13" s="1" t="s">
        <v>58</v>
      </c>
      <c r="B13" s="1"/>
      <c r="C13" s="5">
        <f t="shared" si="0"/>
        <v>142</v>
      </c>
      <c r="D13" s="13">
        <v>100.5</v>
      </c>
      <c r="F13" s="26">
        <f t="shared" si="1"/>
        <v>87</v>
      </c>
      <c r="G13" s="5">
        <f t="shared" si="2"/>
        <v>64</v>
      </c>
      <c r="H13" s="5">
        <f t="shared" si="3"/>
        <v>67</v>
      </c>
      <c r="I13" s="5">
        <f t="shared" si="4"/>
        <v>460.5</v>
      </c>
      <c r="K13" s="5">
        <v>56</v>
      </c>
      <c r="L13" s="5">
        <v>46</v>
      </c>
      <c r="M13" s="5">
        <v>40</v>
      </c>
      <c r="O13" s="5">
        <v>9</v>
      </c>
      <c r="P13" s="5">
        <v>6</v>
      </c>
      <c r="Q13" s="5">
        <v>12</v>
      </c>
      <c r="R13" s="5">
        <v>12</v>
      </c>
      <c r="S13" s="5">
        <v>9</v>
      </c>
      <c r="T13" s="5">
        <v>12</v>
      </c>
      <c r="U13" s="5">
        <v>9</v>
      </c>
      <c r="V13" s="5">
        <v>6</v>
      </c>
      <c r="W13" s="5">
        <v>12</v>
      </c>
      <c r="AD13" s="5">
        <f t="shared" si="5"/>
        <v>87</v>
      </c>
      <c r="AG13" s="5">
        <v>3</v>
      </c>
      <c r="AH13" s="5">
        <v>5</v>
      </c>
      <c r="AI13" s="5">
        <v>3</v>
      </c>
      <c r="AJ13" s="5">
        <v>5</v>
      </c>
      <c r="AK13" s="5">
        <v>5</v>
      </c>
      <c r="AL13" s="5">
        <v>5</v>
      </c>
      <c r="AM13" s="19">
        <v>5</v>
      </c>
      <c r="AN13" s="5">
        <v>4</v>
      </c>
      <c r="AO13" s="5">
        <v>4</v>
      </c>
      <c r="AP13" s="5">
        <v>5</v>
      </c>
      <c r="AQ13" s="5">
        <v>0</v>
      </c>
      <c r="AR13" s="5">
        <v>5</v>
      </c>
      <c r="AS13" s="10">
        <v>5</v>
      </c>
      <c r="AT13" s="17" t="s">
        <v>92</v>
      </c>
      <c r="AU13" s="5">
        <v>0</v>
      </c>
      <c r="AV13" s="5">
        <v>5</v>
      </c>
      <c r="AW13" s="17" t="s">
        <v>92</v>
      </c>
      <c r="AX13" s="5">
        <v>5</v>
      </c>
      <c r="AY13" s="5">
        <v>0</v>
      </c>
      <c r="AZ13" s="5">
        <v>3</v>
      </c>
      <c r="BJ13" s="5">
        <f t="shared" si="6"/>
        <v>67</v>
      </c>
      <c r="BL13" s="5">
        <v>4</v>
      </c>
      <c r="BM13" s="5">
        <v>4</v>
      </c>
      <c r="BN13" s="5">
        <v>3</v>
      </c>
      <c r="BO13" s="5">
        <v>4</v>
      </c>
      <c r="BP13" s="5">
        <v>4</v>
      </c>
      <c r="BQ13" s="5">
        <v>4</v>
      </c>
      <c r="BR13" s="5">
        <v>4</v>
      </c>
      <c r="BS13" s="5">
        <v>4</v>
      </c>
      <c r="BT13" s="5">
        <v>4</v>
      </c>
      <c r="BU13" s="5">
        <v>3</v>
      </c>
      <c r="BV13" s="5">
        <v>3</v>
      </c>
      <c r="BW13" s="5">
        <v>4</v>
      </c>
      <c r="BX13" s="5">
        <v>4</v>
      </c>
      <c r="BY13" s="5">
        <v>0</v>
      </c>
      <c r="BZ13" s="5">
        <v>3</v>
      </c>
      <c r="CA13" s="5">
        <v>4</v>
      </c>
      <c r="CB13" s="5">
        <v>4</v>
      </c>
      <c r="CC13" s="27">
        <v>4</v>
      </c>
      <c r="CM13" s="5">
        <f t="shared" si="7"/>
        <v>64</v>
      </c>
    </row>
    <row r="14" spans="1:91" s="5" customFormat="1" ht="15.5" x14ac:dyDescent="0.45">
      <c r="A14" s="1" t="s">
        <v>42</v>
      </c>
      <c r="B14" s="1"/>
      <c r="C14" s="5">
        <f t="shared" si="0"/>
        <v>156</v>
      </c>
      <c r="D14" s="13">
        <v>127.5</v>
      </c>
      <c r="F14" s="26">
        <f t="shared" si="1"/>
        <v>108</v>
      </c>
      <c r="G14" s="5">
        <f t="shared" si="2"/>
        <v>69</v>
      </c>
      <c r="H14" s="5">
        <f t="shared" si="3"/>
        <v>88</v>
      </c>
      <c r="I14" s="5">
        <f t="shared" si="4"/>
        <v>548.5</v>
      </c>
      <c r="K14" s="5">
        <v>57</v>
      </c>
      <c r="L14" s="5">
        <v>59</v>
      </c>
      <c r="M14" s="5">
        <v>40</v>
      </c>
      <c r="O14" s="5">
        <v>15</v>
      </c>
      <c r="P14" s="5">
        <v>6</v>
      </c>
      <c r="Q14" s="5">
        <v>15</v>
      </c>
      <c r="R14" s="5">
        <v>12</v>
      </c>
      <c r="S14" s="5">
        <v>9</v>
      </c>
      <c r="T14" s="5">
        <v>12</v>
      </c>
      <c r="U14" s="5">
        <v>12</v>
      </c>
      <c r="V14" s="5">
        <v>12</v>
      </c>
      <c r="W14" s="5">
        <v>15</v>
      </c>
      <c r="AD14" s="5">
        <f t="shared" si="5"/>
        <v>108</v>
      </c>
      <c r="AG14" s="5">
        <v>3</v>
      </c>
      <c r="AH14" s="5">
        <v>5</v>
      </c>
      <c r="AI14" s="5">
        <v>5</v>
      </c>
      <c r="AJ14" s="5">
        <v>5</v>
      </c>
      <c r="AK14" s="5">
        <v>5</v>
      </c>
      <c r="AL14" s="5">
        <v>5</v>
      </c>
      <c r="AM14" s="19">
        <v>5</v>
      </c>
      <c r="AN14" s="5">
        <v>5</v>
      </c>
      <c r="AO14" s="5">
        <v>5</v>
      </c>
      <c r="AP14" s="5">
        <v>5</v>
      </c>
      <c r="AQ14" s="5">
        <v>5</v>
      </c>
      <c r="AR14" s="5">
        <v>5</v>
      </c>
      <c r="AS14" s="19">
        <v>5</v>
      </c>
      <c r="AT14" s="17" t="s">
        <v>92</v>
      </c>
      <c r="AU14" s="5">
        <v>5</v>
      </c>
      <c r="AV14" s="5">
        <v>5</v>
      </c>
      <c r="AW14" s="17" t="s">
        <v>92</v>
      </c>
      <c r="AX14" s="5">
        <v>5</v>
      </c>
      <c r="AY14" s="5">
        <v>5</v>
      </c>
      <c r="AZ14" s="5">
        <v>5</v>
      </c>
      <c r="BJ14" s="5">
        <f t="shared" si="6"/>
        <v>88</v>
      </c>
      <c r="BL14" s="5">
        <v>4</v>
      </c>
      <c r="BM14" s="5">
        <v>4</v>
      </c>
      <c r="BN14" s="5">
        <v>4</v>
      </c>
      <c r="BO14" s="5">
        <v>4</v>
      </c>
      <c r="BP14" s="5">
        <v>4</v>
      </c>
      <c r="BQ14" s="5">
        <v>4</v>
      </c>
      <c r="BR14" s="5">
        <v>4</v>
      </c>
      <c r="BS14" s="5">
        <v>4</v>
      </c>
      <c r="BT14" s="5">
        <v>4</v>
      </c>
      <c r="BU14" s="5">
        <v>4</v>
      </c>
      <c r="BV14" s="5">
        <v>3</v>
      </c>
      <c r="BW14" s="5">
        <v>4</v>
      </c>
      <c r="BX14" s="5">
        <v>4</v>
      </c>
      <c r="BY14" s="5">
        <v>4</v>
      </c>
      <c r="BZ14" s="5">
        <v>2</v>
      </c>
      <c r="CA14" s="5">
        <v>4</v>
      </c>
      <c r="CB14" s="5">
        <v>4</v>
      </c>
      <c r="CC14" s="27">
        <v>4</v>
      </c>
      <c r="CM14" s="5">
        <f t="shared" si="7"/>
        <v>69</v>
      </c>
    </row>
    <row r="15" spans="1:91" s="5" customFormat="1" ht="15.5" x14ac:dyDescent="0.45">
      <c r="A15" s="1" t="s">
        <v>28</v>
      </c>
      <c r="B15" s="1"/>
      <c r="C15" s="5">
        <f t="shared" si="0"/>
        <v>156</v>
      </c>
      <c r="D15" s="13">
        <v>124.5</v>
      </c>
      <c r="F15" s="26">
        <f t="shared" si="1"/>
        <v>99</v>
      </c>
      <c r="G15" s="5">
        <f t="shared" si="2"/>
        <v>60</v>
      </c>
      <c r="H15" s="5">
        <f t="shared" si="3"/>
        <v>82</v>
      </c>
      <c r="I15" s="5">
        <f t="shared" si="4"/>
        <v>521.5</v>
      </c>
      <c r="K15" s="5">
        <v>60</v>
      </c>
      <c r="L15" s="5">
        <v>58</v>
      </c>
      <c r="M15" s="5">
        <v>38</v>
      </c>
      <c r="O15" s="5">
        <v>9</v>
      </c>
      <c r="P15" s="5">
        <v>9</v>
      </c>
      <c r="Q15" s="5">
        <v>15</v>
      </c>
      <c r="R15" s="5">
        <v>9</v>
      </c>
      <c r="S15" s="5">
        <v>12</v>
      </c>
      <c r="T15" s="5">
        <v>15</v>
      </c>
      <c r="U15" s="5">
        <v>12</v>
      </c>
      <c r="V15" s="5">
        <v>6</v>
      </c>
      <c r="W15" s="5">
        <v>12</v>
      </c>
      <c r="AD15" s="5">
        <f t="shared" si="5"/>
        <v>99</v>
      </c>
      <c r="AG15" s="5">
        <v>3</v>
      </c>
      <c r="AH15" s="5">
        <v>5</v>
      </c>
      <c r="AI15" s="5">
        <v>5</v>
      </c>
      <c r="AJ15" s="5">
        <v>5</v>
      </c>
      <c r="AK15" s="5">
        <v>5</v>
      </c>
      <c r="AL15" s="5">
        <v>5</v>
      </c>
      <c r="AM15" s="10">
        <v>5</v>
      </c>
      <c r="AN15" s="5">
        <v>5</v>
      </c>
      <c r="AO15" s="5">
        <v>5</v>
      </c>
      <c r="AP15" s="5">
        <v>5</v>
      </c>
      <c r="AQ15" s="5">
        <v>5</v>
      </c>
      <c r="AR15" s="5">
        <v>5</v>
      </c>
      <c r="AS15" s="10">
        <v>5</v>
      </c>
      <c r="AT15" s="17" t="s">
        <v>92</v>
      </c>
      <c r="AU15" s="5">
        <v>5</v>
      </c>
      <c r="AV15" s="5">
        <v>5</v>
      </c>
      <c r="AW15" s="17" t="s">
        <v>92</v>
      </c>
      <c r="AX15" s="5">
        <v>5</v>
      </c>
      <c r="AY15" s="5">
        <v>4</v>
      </c>
      <c r="AZ15" s="5">
        <v>0</v>
      </c>
      <c r="BJ15" s="5">
        <f t="shared" si="6"/>
        <v>82</v>
      </c>
      <c r="BL15" s="5">
        <v>4</v>
      </c>
      <c r="BM15" s="5">
        <v>3</v>
      </c>
      <c r="BN15" s="5">
        <v>3</v>
      </c>
      <c r="BO15" s="5">
        <v>4</v>
      </c>
      <c r="BP15" s="5">
        <v>3</v>
      </c>
      <c r="BQ15" s="5">
        <v>4</v>
      </c>
      <c r="BR15" s="5">
        <v>3</v>
      </c>
      <c r="BS15" s="5">
        <v>4</v>
      </c>
      <c r="BT15" s="5">
        <v>4</v>
      </c>
      <c r="BU15" s="5">
        <v>0</v>
      </c>
      <c r="BV15" s="5">
        <v>2</v>
      </c>
      <c r="BW15" s="5">
        <v>4</v>
      </c>
      <c r="BX15" s="5">
        <v>4</v>
      </c>
      <c r="BY15" s="5">
        <v>4</v>
      </c>
      <c r="BZ15" s="5">
        <v>2</v>
      </c>
      <c r="CA15" s="5">
        <v>4</v>
      </c>
      <c r="CB15" s="5">
        <v>4</v>
      </c>
      <c r="CC15" s="27">
        <v>4</v>
      </c>
      <c r="CM15" s="5">
        <f t="shared" si="7"/>
        <v>60</v>
      </c>
    </row>
    <row r="16" spans="1:91" s="5" customFormat="1" ht="15.5" x14ac:dyDescent="0.45">
      <c r="A16" s="1" t="s">
        <v>33</v>
      </c>
      <c r="B16" s="1"/>
      <c r="C16" s="5">
        <f t="shared" si="0"/>
        <v>152</v>
      </c>
      <c r="D16" s="13">
        <v>117</v>
      </c>
      <c r="F16" s="26">
        <f t="shared" si="1"/>
        <v>90</v>
      </c>
      <c r="G16" s="5">
        <f t="shared" si="2"/>
        <v>65</v>
      </c>
      <c r="H16" s="5">
        <f t="shared" si="3"/>
        <v>88</v>
      </c>
      <c r="I16" s="5">
        <f t="shared" si="4"/>
        <v>512</v>
      </c>
      <c r="K16" s="5">
        <v>60</v>
      </c>
      <c r="L16" s="5">
        <v>54</v>
      </c>
      <c r="M16" s="5">
        <v>38</v>
      </c>
      <c r="O16" s="5">
        <v>15</v>
      </c>
      <c r="P16" s="5">
        <v>9</v>
      </c>
      <c r="Q16" s="5">
        <v>15</v>
      </c>
      <c r="R16" s="5">
        <v>9</v>
      </c>
      <c r="S16" s="5">
        <v>9</v>
      </c>
      <c r="T16" s="5">
        <v>12</v>
      </c>
      <c r="U16" s="5">
        <v>9</v>
      </c>
      <c r="V16" s="5">
        <v>6</v>
      </c>
      <c r="W16" s="5">
        <v>6</v>
      </c>
      <c r="AD16" s="5">
        <f t="shared" si="5"/>
        <v>90</v>
      </c>
      <c r="AG16" s="5">
        <v>5</v>
      </c>
      <c r="AH16" s="5">
        <v>5</v>
      </c>
      <c r="AI16" s="5">
        <v>5</v>
      </c>
      <c r="AJ16" s="5">
        <v>5</v>
      </c>
      <c r="AK16" s="5">
        <v>5</v>
      </c>
      <c r="AL16" s="5">
        <v>5</v>
      </c>
      <c r="AM16" s="10">
        <v>5</v>
      </c>
      <c r="AN16" s="5">
        <v>3</v>
      </c>
      <c r="AO16" s="5">
        <v>5</v>
      </c>
      <c r="AP16" s="5">
        <v>5</v>
      </c>
      <c r="AQ16" s="5">
        <v>5</v>
      </c>
      <c r="AR16" s="5">
        <v>5</v>
      </c>
      <c r="AS16" s="10">
        <v>5</v>
      </c>
      <c r="AT16" s="17" t="s">
        <v>92</v>
      </c>
      <c r="AU16" s="5">
        <v>5</v>
      </c>
      <c r="AV16" s="5">
        <v>5</v>
      </c>
      <c r="AW16" s="17" t="s">
        <v>92</v>
      </c>
      <c r="AX16" s="5">
        <v>5</v>
      </c>
      <c r="AY16" s="5">
        <v>5</v>
      </c>
      <c r="AZ16" s="5">
        <v>5</v>
      </c>
      <c r="BJ16" s="5">
        <f t="shared" si="6"/>
        <v>88</v>
      </c>
      <c r="BL16" s="5">
        <v>4</v>
      </c>
      <c r="BM16" s="5">
        <v>4</v>
      </c>
      <c r="BN16" s="5">
        <v>3</v>
      </c>
      <c r="BO16" s="5">
        <v>4</v>
      </c>
      <c r="BP16" s="5">
        <v>3</v>
      </c>
      <c r="BQ16" s="5">
        <v>4</v>
      </c>
      <c r="BR16" s="5">
        <v>3</v>
      </c>
      <c r="BS16" s="5">
        <v>4</v>
      </c>
      <c r="BT16" s="5">
        <v>3</v>
      </c>
      <c r="BU16" s="5">
        <v>4</v>
      </c>
      <c r="BV16" s="5">
        <v>3</v>
      </c>
      <c r="BW16" s="5">
        <v>4</v>
      </c>
      <c r="BX16" s="5">
        <v>4</v>
      </c>
      <c r="BY16" s="5">
        <v>4</v>
      </c>
      <c r="BZ16" s="5">
        <v>2</v>
      </c>
      <c r="CA16" s="5">
        <v>4</v>
      </c>
      <c r="CB16" s="5">
        <v>4</v>
      </c>
      <c r="CC16" s="27">
        <v>4</v>
      </c>
      <c r="CM16" s="5">
        <f t="shared" si="7"/>
        <v>65</v>
      </c>
    </row>
    <row r="17" spans="1:91" s="5" customFormat="1" ht="15.5" x14ac:dyDescent="0.45">
      <c r="A17" s="1" t="s">
        <v>56</v>
      </c>
      <c r="B17" s="1"/>
      <c r="C17" s="5">
        <f t="shared" si="0"/>
        <v>146</v>
      </c>
      <c r="D17" s="13">
        <v>114</v>
      </c>
      <c r="F17" s="26">
        <f t="shared" si="1"/>
        <v>84</v>
      </c>
      <c r="G17" s="5">
        <f t="shared" si="2"/>
        <v>65</v>
      </c>
      <c r="H17" s="5">
        <f t="shared" si="3"/>
        <v>90</v>
      </c>
      <c r="I17" s="5">
        <f t="shared" si="4"/>
        <v>499</v>
      </c>
      <c r="K17" s="5">
        <v>53</v>
      </c>
      <c r="L17" s="5">
        <v>56</v>
      </c>
      <c r="M17" s="5">
        <v>37</v>
      </c>
      <c r="O17" s="5">
        <v>6</v>
      </c>
      <c r="P17" s="5">
        <v>9</v>
      </c>
      <c r="Q17" s="5">
        <v>15</v>
      </c>
      <c r="R17" s="5">
        <v>9</v>
      </c>
      <c r="S17" s="5">
        <v>12</v>
      </c>
      <c r="T17" s="5">
        <v>6</v>
      </c>
      <c r="U17" s="5">
        <v>12</v>
      </c>
      <c r="V17" s="5">
        <v>6</v>
      </c>
      <c r="W17" s="5">
        <v>9</v>
      </c>
      <c r="AD17" s="5">
        <f t="shared" si="5"/>
        <v>84</v>
      </c>
      <c r="AG17" s="5">
        <v>5</v>
      </c>
      <c r="AH17" s="5">
        <v>5</v>
      </c>
      <c r="AI17" s="5">
        <v>5</v>
      </c>
      <c r="AJ17" s="5">
        <v>5</v>
      </c>
      <c r="AK17" s="5">
        <v>5</v>
      </c>
      <c r="AL17" s="5">
        <v>5</v>
      </c>
      <c r="AM17" s="19">
        <v>5</v>
      </c>
      <c r="AN17" s="5">
        <v>5</v>
      </c>
      <c r="AO17" s="5">
        <v>5</v>
      </c>
      <c r="AP17" s="5">
        <v>5</v>
      </c>
      <c r="AQ17" s="5">
        <v>5</v>
      </c>
      <c r="AR17" s="5">
        <v>5</v>
      </c>
      <c r="AS17" s="10">
        <v>5</v>
      </c>
      <c r="AT17" s="17" t="s">
        <v>92</v>
      </c>
      <c r="AU17" s="5">
        <v>5</v>
      </c>
      <c r="AV17" s="5">
        <v>5</v>
      </c>
      <c r="AW17" s="17" t="s">
        <v>92</v>
      </c>
      <c r="AX17" s="5">
        <v>5</v>
      </c>
      <c r="AY17" s="5">
        <v>5</v>
      </c>
      <c r="AZ17" s="5">
        <v>5</v>
      </c>
      <c r="BJ17" s="5">
        <f t="shared" si="6"/>
        <v>90</v>
      </c>
      <c r="BL17" s="5">
        <v>3</v>
      </c>
      <c r="BM17" s="5">
        <v>4</v>
      </c>
      <c r="BN17" s="5">
        <v>4</v>
      </c>
      <c r="BO17" s="5">
        <v>4</v>
      </c>
      <c r="BP17" s="5">
        <v>4</v>
      </c>
      <c r="BQ17" s="5">
        <v>4</v>
      </c>
      <c r="BR17" s="5">
        <v>4</v>
      </c>
      <c r="BS17" s="5">
        <v>4</v>
      </c>
      <c r="BT17" s="5">
        <v>4</v>
      </c>
      <c r="BU17" s="5">
        <v>2</v>
      </c>
      <c r="BV17" s="5">
        <v>2</v>
      </c>
      <c r="BW17" s="5">
        <v>4</v>
      </c>
      <c r="BX17" s="5">
        <v>4</v>
      </c>
      <c r="BY17" s="5">
        <v>4</v>
      </c>
      <c r="BZ17" s="5">
        <v>2</v>
      </c>
      <c r="CA17" s="5">
        <v>4</v>
      </c>
      <c r="CB17" s="5">
        <v>4</v>
      </c>
      <c r="CC17" s="27">
        <v>4</v>
      </c>
      <c r="CM17" s="5">
        <f t="shared" si="7"/>
        <v>65</v>
      </c>
    </row>
    <row r="18" spans="1:91" s="5" customFormat="1" ht="15.5" x14ac:dyDescent="0.45">
      <c r="A18" s="1" t="s">
        <v>53</v>
      </c>
      <c r="B18" s="1"/>
      <c r="C18" s="5">
        <f t="shared" si="0"/>
        <v>149</v>
      </c>
      <c r="D18" s="13">
        <v>114</v>
      </c>
      <c r="F18" s="26">
        <f t="shared" si="1"/>
        <v>84</v>
      </c>
      <c r="G18" s="5">
        <f t="shared" si="2"/>
        <v>62</v>
      </c>
      <c r="H18" s="5">
        <f t="shared" si="3"/>
        <v>88</v>
      </c>
      <c r="I18" s="5">
        <f t="shared" si="4"/>
        <v>497</v>
      </c>
      <c r="K18" s="5">
        <v>55</v>
      </c>
      <c r="L18" s="5">
        <v>55</v>
      </c>
      <c r="M18" s="5">
        <v>39</v>
      </c>
      <c r="O18" s="5">
        <v>15</v>
      </c>
      <c r="P18" s="5">
        <v>6</v>
      </c>
      <c r="Q18" s="5">
        <v>12</v>
      </c>
      <c r="R18" s="5">
        <v>12</v>
      </c>
      <c r="S18" s="5">
        <v>12</v>
      </c>
      <c r="T18" s="5">
        <v>6</v>
      </c>
      <c r="U18" s="5">
        <v>9</v>
      </c>
      <c r="V18" s="5">
        <v>9</v>
      </c>
      <c r="W18" s="5">
        <v>3</v>
      </c>
      <c r="AD18" s="5">
        <f t="shared" si="5"/>
        <v>84</v>
      </c>
      <c r="AG18" s="5">
        <v>5</v>
      </c>
      <c r="AH18" s="5">
        <v>5</v>
      </c>
      <c r="AI18" s="5">
        <v>5</v>
      </c>
      <c r="AJ18" s="5">
        <v>5</v>
      </c>
      <c r="AK18" s="5">
        <v>5</v>
      </c>
      <c r="AL18" s="5">
        <v>5</v>
      </c>
      <c r="AM18" s="19">
        <v>5</v>
      </c>
      <c r="AN18" s="5">
        <v>5</v>
      </c>
      <c r="AO18" s="5">
        <v>5</v>
      </c>
      <c r="AP18" s="5">
        <v>5</v>
      </c>
      <c r="AQ18" s="5">
        <v>5</v>
      </c>
      <c r="AR18" s="5">
        <v>5</v>
      </c>
      <c r="AS18" s="10">
        <v>5</v>
      </c>
      <c r="AT18" s="17" t="s">
        <v>92</v>
      </c>
      <c r="AU18" s="5">
        <v>3</v>
      </c>
      <c r="AV18" s="5">
        <v>5</v>
      </c>
      <c r="AW18" s="17" t="s">
        <v>92</v>
      </c>
      <c r="AX18" s="5">
        <v>5</v>
      </c>
      <c r="AY18" s="5">
        <v>5</v>
      </c>
      <c r="AZ18" s="5">
        <v>5</v>
      </c>
      <c r="BJ18" s="5">
        <f t="shared" si="6"/>
        <v>88</v>
      </c>
      <c r="BL18" s="5">
        <v>0</v>
      </c>
      <c r="BM18" s="5">
        <v>3</v>
      </c>
      <c r="BN18" s="5">
        <v>4</v>
      </c>
      <c r="BO18" s="5">
        <v>4</v>
      </c>
      <c r="BP18" s="5">
        <v>4</v>
      </c>
      <c r="BQ18" s="5">
        <v>4</v>
      </c>
      <c r="BR18" s="5">
        <v>4</v>
      </c>
      <c r="BS18" s="5">
        <v>4</v>
      </c>
      <c r="BT18" s="5">
        <v>4</v>
      </c>
      <c r="BU18" s="5">
        <v>3</v>
      </c>
      <c r="BV18" s="5">
        <v>4</v>
      </c>
      <c r="BW18" s="5">
        <v>4</v>
      </c>
      <c r="BX18" s="5">
        <v>4</v>
      </c>
      <c r="BY18" s="5">
        <v>0</v>
      </c>
      <c r="BZ18" s="5">
        <v>4</v>
      </c>
      <c r="CA18" s="5">
        <v>4</v>
      </c>
      <c r="CB18" s="5">
        <v>4</v>
      </c>
      <c r="CC18" s="27">
        <v>4</v>
      </c>
      <c r="CM18" s="5">
        <f t="shared" si="7"/>
        <v>62</v>
      </c>
    </row>
    <row r="19" spans="1:91" s="5" customFormat="1" ht="15.5" x14ac:dyDescent="0.45">
      <c r="A19" s="1" t="s">
        <v>62</v>
      </c>
      <c r="B19" s="1"/>
      <c r="C19" s="5">
        <f t="shared" si="0"/>
        <v>151</v>
      </c>
      <c r="D19" s="13">
        <v>110.5</v>
      </c>
      <c r="F19" s="26">
        <f t="shared" si="1"/>
        <v>93</v>
      </c>
      <c r="G19" s="5">
        <f t="shared" si="2"/>
        <v>64</v>
      </c>
      <c r="H19" s="5">
        <f t="shared" si="3"/>
        <v>84</v>
      </c>
      <c r="I19" s="5">
        <f t="shared" si="4"/>
        <v>502.5</v>
      </c>
      <c r="K19" s="5">
        <v>57</v>
      </c>
      <c r="L19" s="5">
        <v>54</v>
      </c>
      <c r="M19" s="5">
        <v>40</v>
      </c>
      <c r="O19" s="5">
        <v>6</v>
      </c>
      <c r="P19" s="5">
        <v>6</v>
      </c>
      <c r="Q19" s="5">
        <v>15</v>
      </c>
      <c r="R19" s="5">
        <v>12</v>
      </c>
      <c r="S19" s="5">
        <v>9</v>
      </c>
      <c r="T19" s="5">
        <v>9</v>
      </c>
      <c r="U19" s="5">
        <v>9</v>
      </c>
      <c r="V19" s="5">
        <v>15</v>
      </c>
      <c r="W19" s="5">
        <v>12</v>
      </c>
      <c r="AD19" s="5">
        <f t="shared" si="5"/>
        <v>93</v>
      </c>
      <c r="AG19" s="5">
        <v>5</v>
      </c>
      <c r="AH19" s="5">
        <v>5</v>
      </c>
      <c r="AI19" s="5">
        <v>4</v>
      </c>
      <c r="AJ19" s="5">
        <v>4</v>
      </c>
      <c r="AK19" s="5">
        <v>5</v>
      </c>
      <c r="AL19" s="5">
        <v>5</v>
      </c>
      <c r="AM19" s="19">
        <v>4</v>
      </c>
      <c r="AN19" s="5">
        <v>5</v>
      </c>
      <c r="AO19" s="5">
        <v>3</v>
      </c>
      <c r="AP19" s="5">
        <v>5</v>
      </c>
      <c r="AQ19" s="5">
        <v>5</v>
      </c>
      <c r="AR19" s="5">
        <v>5</v>
      </c>
      <c r="AS19" s="5">
        <v>5</v>
      </c>
      <c r="AT19" s="17" t="s">
        <v>92</v>
      </c>
      <c r="AU19" s="5">
        <v>5</v>
      </c>
      <c r="AV19" s="5">
        <v>4</v>
      </c>
      <c r="AW19" s="17" t="s">
        <v>92</v>
      </c>
      <c r="AX19" s="5">
        <v>5</v>
      </c>
      <c r="AY19" s="5">
        <v>5</v>
      </c>
      <c r="AZ19" s="5">
        <v>5</v>
      </c>
      <c r="BJ19" s="5">
        <f t="shared" si="6"/>
        <v>84</v>
      </c>
      <c r="BL19" s="5">
        <v>2</v>
      </c>
      <c r="BM19" s="5">
        <v>3</v>
      </c>
      <c r="BN19" s="5">
        <v>3</v>
      </c>
      <c r="BO19" s="5">
        <v>4</v>
      </c>
      <c r="BP19" s="5">
        <v>3</v>
      </c>
      <c r="BQ19" s="5">
        <v>4</v>
      </c>
      <c r="BR19" s="5">
        <v>4</v>
      </c>
      <c r="BS19" s="5">
        <v>4</v>
      </c>
      <c r="BT19" s="5">
        <v>4</v>
      </c>
      <c r="BU19" s="5">
        <v>3</v>
      </c>
      <c r="BV19" s="5">
        <v>3</v>
      </c>
      <c r="BW19" s="5">
        <v>4</v>
      </c>
      <c r="BX19" s="5">
        <v>4</v>
      </c>
      <c r="BY19" s="5">
        <v>4</v>
      </c>
      <c r="BZ19" s="5">
        <v>4</v>
      </c>
      <c r="CA19" s="5">
        <v>3</v>
      </c>
      <c r="CB19" s="5">
        <v>4</v>
      </c>
      <c r="CC19" s="27">
        <v>4</v>
      </c>
      <c r="CM19" s="5">
        <f t="shared" si="7"/>
        <v>64</v>
      </c>
    </row>
    <row r="20" spans="1:91" s="5" customFormat="1" ht="15.5" x14ac:dyDescent="0.45">
      <c r="A20" s="1" t="s">
        <v>48</v>
      </c>
      <c r="B20" s="1"/>
      <c r="C20" s="5">
        <f t="shared" si="0"/>
        <v>158</v>
      </c>
      <c r="D20" s="13">
        <v>144</v>
      </c>
      <c r="F20" s="26">
        <f t="shared" si="1"/>
        <v>99</v>
      </c>
      <c r="G20" s="5">
        <f t="shared" si="2"/>
        <v>69</v>
      </c>
      <c r="H20" s="5">
        <f t="shared" si="3"/>
        <v>85</v>
      </c>
      <c r="I20" s="5">
        <f t="shared" si="4"/>
        <v>555</v>
      </c>
      <c r="K20" s="5">
        <v>59</v>
      </c>
      <c r="L20" s="5">
        <v>59</v>
      </c>
      <c r="M20" s="5">
        <v>40</v>
      </c>
      <c r="O20" s="5">
        <v>12</v>
      </c>
      <c r="P20" s="5">
        <v>6</v>
      </c>
      <c r="Q20" s="5">
        <v>15</v>
      </c>
      <c r="R20" s="5">
        <v>12</v>
      </c>
      <c r="S20" s="5">
        <v>15</v>
      </c>
      <c r="T20" s="5">
        <v>15</v>
      </c>
      <c r="U20" s="5">
        <v>9</v>
      </c>
      <c r="V20" s="5">
        <v>6</v>
      </c>
      <c r="W20" s="5">
        <v>9</v>
      </c>
      <c r="AD20" s="5">
        <f t="shared" si="5"/>
        <v>99</v>
      </c>
      <c r="AG20" s="5">
        <v>5</v>
      </c>
      <c r="AH20" s="5">
        <v>5</v>
      </c>
      <c r="AI20" s="5">
        <v>5</v>
      </c>
      <c r="AJ20" s="5">
        <v>5</v>
      </c>
      <c r="AK20" s="5">
        <v>5</v>
      </c>
      <c r="AL20" s="5">
        <v>5</v>
      </c>
      <c r="AM20" s="19">
        <v>5</v>
      </c>
      <c r="AN20" s="5">
        <v>5</v>
      </c>
      <c r="AO20" s="5">
        <v>5</v>
      </c>
      <c r="AP20" s="5">
        <v>5</v>
      </c>
      <c r="AQ20" s="5">
        <v>5</v>
      </c>
      <c r="AR20" s="5">
        <v>5</v>
      </c>
      <c r="AS20" s="10">
        <v>5</v>
      </c>
      <c r="AT20" s="17" t="s">
        <v>92</v>
      </c>
      <c r="AU20" s="5">
        <v>5</v>
      </c>
      <c r="AV20" s="5">
        <v>5</v>
      </c>
      <c r="AW20" s="17" t="s">
        <v>92</v>
      </c>
      <c r="AX20" s="5">
        <v>3</v>
      </c>
      <c r="AY20" s="5">
        <v>4</v>
      </c>
      <c r="AZ20" s="5">
        <v>3</v>
      </c>
      <c r="BJ20" s="5">
        <f t="shared" si="6"/>
        <v>85</v>
      </c>
      <c r="BL20" s="5">
        <v>4</v>
      </c>
      <c r="BM20" s="5">
        <v>4</v>
      </c>
      <c r="BN20" s="5">
        <v>4</v>
      </c>
      <c r="BO20" s="5">
        <v>4</v>
      </c>
      <c r="BP20" s="5">
        <v>4</v>
      </c>
      <c r="BQ20" s="5">
        <v>4</v>
      </c>
      <c r="BR20" s="5">
        <v>4</v>
      </c>
      <c r="BS20" s="5">
        <v>4</v>
      </c>
      <c r="BT20" s="5">
        <v>4</v>
      </c>
      <c r="BU20" s="5">
        <v>2</v>
      </c>
      <c r="BV20" s="5">
        <v>4</v>
      </c>
      <c r="BW20" s="5">
        <v>4</v>
      </c>
      <c r="BX20" s="5">
        <v>4</v>
      </c>
      <c r="BY20" s="5">
        <v>4</v>
      </c>
      <c r="BZ20" s="5">
        <v>3</v>
      </c>
      <c r="CA20" s="5">
        <v>4</v>
      </c>
      <c r="CB20" s="5">
        <v>4</v>
      </c>
      <c r="CC20" s="27">
        <v>4</v>
      </c>
      <c r="CM20" s="5">
        <f t="shared" si="7"/>
        <v>69</v>
      </c>
    </row>
    <row r="21" spans="1:91" s="5" customFormat="1" ht="15.5" x14ac:dyDescent="0.45">
      <c r="A21" s="1" t="s">
        <v>29</v>
      </c>
      <c r="B21" s="1"/>
      <c r="C21" s="5">
        <f t="shared" si="0"/>
        <v>117</v>
      </c>
      <c r="D21" s="13">
        <v>96.5</v>
      </c>
      <c r="F21" s="26">
        <f t="shared" si="1"/>
        <v>51</v>
      </c>
      <c r="G21" s="5">
        <f t="shared" si="2"/>
        <v>36</v>
      </c>
      <c r="H21" s="5">
        <f t="shared" si="3"/>
        <v>65</v>
      </c>
      <c r="I21" s="5">
        <f t="shared" si="4"/>
        <v>365.5</v>
      </c>
      <c r="K21" s="5">
        <v>42</v>
      </c>
      <c r="L21" s="5">
        <v>41</v>
      </c>
      <c r="M21" s="5">
        <v>34</v>
      </c>
      <c r="O21" s="5">
        <v>12</v>
      </c>
      <c r="P21" s="5">
        <v>0</v>
      </c>
      <c r="Q21" s="5">
        <v>0</v>
      </c>
      <c r="R21" s="5">
        <v>9</v>
      </c>
      <c r="S21" s="5">
        <v>12</v>
      </c>
      <c r="T21" s="5">
        <v>6</v>
      </c>
      <c r="U21" s="5">
        <v>9</v>
      </c>
      <c r="V21" s="5">
        <v>3</v>
      </c>
      <c r="W21" s="5">
        <v>0</v>
      </c>
      <c r="AD21" s="5">
        <f t="shared" si="5"/>
        <v>51</v>
      </c>
      <c r="AG21" s="5">
        <v>0</v>
      </c>
      <c r="AH21" s="5">
        <v>5</v>
      </c>
      <c r="AI21" s="5">
        <v>0</v>
      </c>
      <c r="AJ21" s="5">
        <v>5</v>
      </c>
      <c r="AK21" s="5">
        <v>0</v>
      </c>
      <c r="AL21" s="5">
        <v>5</v>
      </c>
      <c r="AM21" s="10">
        <v>5</v>
      </c>
      <c r="AN21" s="5">
        <v>5</v>
      </c>
      <c r="AO21" s="5">
        <v>5</v>
      </c>
      <c r="AP21" s="5">
        <v>5</v>
      </c>
      <c r="AQ21" s="5">
        <v>5</v>
      </c>
      <c r="AR21" s="5">
        <v>5</v>
      </c>
      <c r="AS21" s="10">
        <v>5</v>
      </c>
      <c r="AT21" s="17" t="s">
        <v>92</v>
      </c>
      <c r="AU21" s="5">
        <v>5</v>
      </c>
      <c r="AV21" s="5">
        <v>0</v>
      </c>
      <c r="AW21" s="17" t="s">
        <v>92</v>
      </c>
      <c r="AX21" s="5">
        <v>5</v>
      </c>
      <c r="AY21" s="5">
        <v>0</v>
      </c>
      <c r="AZ21" s="5">
        <v>5</v>
      </c>
      <c r="BJ21" s="5">
        <f t="shared" si="6"/>
        <v>65</v>
      </c>
      <c r="BL21" s="5">
        <v>0</v>
      </c>
      <c r="BM21" s="5">
        <v>4</v>
      </c>
      <c r="BN21" s="5">
        <v>3</v>
      </c>
      <c r="BO21" s="5">
        <v>0</v>
      </c>
      <c r="BP21" s="5">
        <v>0</v>
      </c>
      <c r="BQ21" s="5">
        <v>4</v>
      </c>
      <c r="BR21" s="5">
        <v>4</v>
      </c>
      <c r="BS21" s="5">
        <v>0</v>
      </c>
      <c r="BT21" s="5">
        <v>0</v>
      </c>
      <c r="BU21" s="5">
        <v>4</v>
      </c>
      <c r="BV21" s="5">
        <v>2</v>
      </c>
      <c r="BW21" s="5">
        <v>4</v>
      </c>
      <c r="BX21" s="5">
        <v>4</v>
      </c>
      <c r="BY21" s="5">
        <v>0</v>
      </c>
      <c r="BZ21" s="5">
        <v>0</v>
      </c>
      <c r="CA21" s="5">
        <v>3</v>
      </c>
      <c r="CB21" s="5">
        <v>0</v>
      </c>
      <c r="CC21" s="27">
        <v>4</v>
      </c>
      <c r="CM21" s="5">
        <f t="shared" si="7"/>
        <v>36</v>
      </c>
    </row>
    <row r="22" spans="1:91" s="5" customFormat="1" ht="15.5" x14ac:dyDescent="0.45">
      <c r="A22" s="1" t="s">
        <v>31</v>
      </c>
      <c r="B22" s="1"/>
      <c r="C22" s="5">
        <f t="shared" si="0"/>
        <v>147</v>
      </c>
      <c r="D22" s="13">
        <v>101</v>
      </c>
      <c r="F22" s="26">
        <f t="shared" si="1"/>
        <v>84</v>
      </c>
      <c r="G22" s="5">
        <f t="shared" si="2"/>
        <v>60</v>
      </c>
      <c r="H22" s="5">
        <f t="shared" si="3"/>
        <v>79</v>
      </c>
      <c r="I22" s="5">
        <f t="shared" si="4"/>
        <v>471</v>
      </c>
      <c r="K22" s="5">
        <v>54</v>
      </c>
      <c r="L22" s="5">
        <v>54</v>
      </c>
      <c r="M22" s="5">
        <v>39</v>
      </c>
      <c r="O22" s="5">
        <v>12</v>
      </c>
      <c r="P22" s="5">
        <v>15</v>
      </c>
      <c r="Q22" s="5">
        <v>0</v>
      </c>
      <c r="R22" s="5">
        <v>12</v>
      </c>
      <c r="S22" s="5">
        <v>12</v>
      </c>
      <c r="T22" s="5">
        <v>9</v>
      </c>
      <c r="U22" s="5">
        <v>6</v>
      </c>
      <c r="V22" s="5">
        <v>12</v>
      </c>
      <c r="W22" s="5">
        <v>6</v>
      </c>
      <c r="AD22" s="5">
        <f t="shared" si="5"/>
        <v>84</v>
      </c>
      <c r="AG22" s="5">
        <v>5</v>
      </c>
      <c r="AH22" s="5">
        <v>5</v>
      </c>
      <c r="AI22" s="5">
        <v>5</v>
      </c>
      <c r="AJ22" s="5">
        <v>3</v>
      </c>
      <c r="AK22" s="5">
        <v>5</v>
      </c>
      <c r="AL22" s="5">
        <v>5</v>
      </c>
      <c r="AM22" s="10">
        <v>5</v>
      </c>
      <c r="AN22" s="5">
        <v>5</v>
      </c>
      <c r="AO22" s="5">
        <v>4</v>
      </c>
      <c r="AP22" s="5">
        <v>0</v>
      </c>
      <c r="AQ22" s="5">
        <v>4</v>
      </c>
      <c r="AR22" s="5">
        <v>5</v>
      </c>
      <c r="AS22" s="10">
        <v>5</v>
      </c>
      <c r="AT22" s="17" t="s">
        <v>92</v>
      </c>
      <c r="AU22" s="5">
        <v>5</v>
      </c>
      <c r="AV22" s="5">
        <v>5</v>
      </c>
      <c r="AW22" s="17" t="s">
        <v>92</v>
      </c>
      <c r="AX22" s="5">
        <v>5</v>
      </c>
      <c r="AY22" s="5">
        <v>3</v>
      </c>
      <c r="AZ22" s="5">
        <v>5</v>
      </c>
      <c r="BJ22" s="5">
        <f t="shared" si="6"/>
        <v>79</v>
      </c>
      <c r="BL22" s="5">
        <v>4</v>
      </c>
      <c r="BM22" s="5">
        <v>4</v>
      </c>
      <c r="BN22" s="5">
        <v>3</v>
      </c>
      <c r="BO22" s="5">
        <v>4</v>
      </c>
      <c r="BP22" s="5">
        <v>4</v>
      </c>
      <c r="BQ22" s="5">
        <v>4</v>
      </c>
      <c r="BR22" s="5">
        <v>4</v>
      </c>
      <c r="BS22" s="5">
        <v>4</v>
      </c>
      <c r="BT22" s="5">
        <v>3</v>
      </c>
      <c r="BU22" s="5">
        <v>0</v>
      </c>
      <c r="BV22" s="5">
        <v>2</v>
      </c>
      <c r="BW22" s="5">
        <v>4</v>
      </c>
      <c r="BX22" s="5">
        <v>4</v>
      </c>
      <c r="BY22" s="5">
        <v>4</v>
      </c>
      <c r="BZ22" s="5">
        <v>0</v>
      </c>
      <c r="CA22" s="5">
        <v>4</v>
      </c>
      <c r="CB22" s="5">
        <v>4</v>
      </c>
      <c r="CC22" s="27">
        <v>4</v>
      </c>
      <c r="CM22" s="5">
        <f t="shared" si="7"/>
        <v>60</v>
      </c>
    </row>
    <row r="23" spans="1:91" s="5" customFormat="1" ht="15.5" x14ac:dyDescent="0.45">
      <c r="A23" s="1" t="s">
        <v>47</v>
      </c>
      <c r="B23" s="1"/>
      <c r="C23" s="5">
        <f t="shared" si="0"/>
        <v>150</v>
      </c>
      <c r="D23" s="13">
        <v>104.5</v>
      </c>
      <c r="F23" s="26">
        <f t="shared" si="1"/>
        <v>75</v>
      </c>
      <c r="G23" s="5">
        <f t="shared" si="2"/>
        <v>65</v>
      </c>
      <c r="H23" s="5">
        <f t="shared" si="3"/>
        <v>85</v>
      </c>
      <c r="I23" s="5">
        <f t="shared" si="4"/>
        <v>479.5</v>
      </c>
      <c r="K23" s="5">
        <v>55</v>
      </c>
      <c r="L23" s="5">
        <v>55</v>
      </c>
      <c r="M23" s="5">
        <v>40</v>
      </c>
      <c r="O23" s="5">
        <v>12</v>
      </c>
      <c r="P23" s="5">
        <v>12</v>
      </c>
      <c r="Q23" s="5">
        <v>12</v>
      </c>
      <c r="R23" s="5">
        <v>12</v>
      </c>
      <c r="S23" s="5">
        <v>6</v>
      </c>
      <c r="T23" s="5">
        <v>12</v>
      </c>
      <c r="U23" s="5">
        <v>9</v>
      </c>
      <c r="V23" s="5">
        <v>0</v>
      </c>
      <c r="W23" s="5">
        <v>0</v>
      </c>
      <c r="AD23" s="5">
        <f t="shared" si="5"/>
        <v>75</v>
      </c>
      <c r="AG23" s="5">
        <v>5</v>
      </c>
      <c r="AH23" s="5">
        <v>5</v>
      </c>
      <c r="AI23" s="5">
        <v>5</v>
      </c>
      <c r="AJ23" s="5">
        <v>5</v>
      </c>
      <c r="AK23" s="5">
        <v>4</v>
      </c>
      <c r="AL23" s="5">
        <v>5</v>
      </c>
      <c r="AM23" s="19">
        <v>5</v>
      </c>
      <c r="AN23" s="5">
        <v>5</v>
      </c>
      <c r="AO23" s="5">
        <v>5</v>
      </c>
      <c r="AP23" s="5">
        <v>5</v>
      </c>
      <c r="AQ23" s="5">
        <v>5</v>
      </c>
      <c r="AR23" s="5">
        <v>5</v>
      </c>
      <c r="AS23" s="10">
        <v>5</v>
      </c>
      <c r="AT23" s="17" t="s">
        <v>92</v>
      </c>
      <c r="AU23" s="5">
        <v>3</v>
      </c>
      <c r="AV23" s="5">
        <v>3</v>
      </c>
      <c r="AW23" s="17" t="s">
        <v>92</v>
      </c>
      <c r="AX23" s="5">
        <v>5</v>
      </c>
      <c r="AY23" s="5">
        <v>5</v>
      </c>
      <c r="AZ23" s="5">
        <v>5</v>
      </c>
      <c r="BJ23" s="5">
        <f t="shared" si="6"/>
        <v>85</v>
      </c>
      <c r="BL23" s="5">
        <v>3</v>
      </c>
      <c r="BM23" s="5">
        <v>4</v>
      </c>
      <c r="BN23" s="5">
        <v>3</v>
      </c>
      <c r="BO23" s="5">
        <v>4</v>
      </c>
      <c r="BP23" s="5">
        <v>3</v>
      </c>
      <c r="BQ23" s="5">
        <v>4</v>
      </c>
      <c r="BR23" s="5">
        <v>4</v>
      </c>
      <c r="BS23" s="5">
        <v>4</v>
      </c>
      <c r="BT23" s="5">
        <v>4</v>
      </c>
      <c r="BU23" s="5">
        <v>4</v>
      </c>
      <c r="BV23" s="5">
        <v>4</v>
      </c>
      <c r="BW23" s="5">
        <v>4</v>
      </c>
      <c r="BX23" s="5">
        <v>4</v>
      </c>
      <c r="BY23" s="5">
        <v>4</v>
      </c>
      <c r="BZ23" s="5">
        <v>0</v>
      </c>
      <c r="CA23" s="5">
        <v>4</v>
      </c>
      <c r="CB23" s="5">
        <v>4</v>
      </c>
      <c r="CC23" s="27">
        <v>4</v>
      </c>
      <c r="CM23" s="5">
        <f t="shared" si="7"/>
        <v>65</v>
      </c>
    </row>
    <row r="24" spans="1:91" s="5" customFormat="1" ht="15.5" x14ac:dyDescent="0.45">
      <c r="A24" s="1" t="s">
        <v>40</v>
      </c>
      <c r="B24" s="1"/>
      <c r="C24" s="5">
        <f t="shared" si="0"/>
        <v>153</v>
      </c>
      <c r="D24" s="13">
        <v>124.5</v>
      </c>
      <c r="F24" s="26">
        <f t="shared" si="1"/>
        <v>108</v>
      </c>
      <c r="G24" s="5">
        <f t="shared" si="2"/>
        <v>70</v>
      </c>
      <c r="H24" s="5">
        <f t="shared" si="3"/>
        <v>84</v>
      </c>
      <c r="I24" s="5">
        <f t="shared" si="4"/>
        <v>539.5</v>
      </c>
      <c r="K24" s="5">
        <v>56</v>
      </c>
      <c r="L24" s="5">
        <v>57</v>
      </c>
      <c r="M24" s="5">
        <v>40</v>
      </c>
      <c r="O24" s="5">
        <v>12</v>
      </c>
      <c r="P24" s="5">
        <v>9</v>
      </c>
      <c r="Q24" s="5">
        <v>15</v>
      </c>
      <c r="R24" s="5">
        <v>9</v>
      </c>
      <c r="S24" s="5">
        <v>12</v>
      </c>
      <c r="T24" s="5">
        <v>12</v>
      </c>
      <c r="U24" s="5">
        <v>12</v>
      </c>
      <c r="V24" s="5">
        <v>12</v>
      </c>
      <c r="W24" s="5">
        <v>15</v>
      </c>
      <c r="AD24" s="5">
        <f t="shared" si="5"/>
        <v>108</v>
      </c>
      <c r="AG24" s="5">
        <v>5</v>
      </c>
      <c r="AH24" s="5">
        <v>5</v>
      </c>
      <c r="AI24" s="5">
        <v>5</v>
      </c>
      <c r="AJ24" s="5">
        <v>5</v>
      </c>
      <c r="AK24" s="5">
        <v>5</v>
      </c>
      <c r="AL24" s="5">
        <v>5</v>
      </c>
      <c r="AM24" s="10">
        <v>5</v>
      </c>
      <c r="AN24" s="5">
        <v>5</v>
      </c>
      <c r="AO24" s="5">
        <v>5</v>
      </c>
      <c r="AP24" s="5">
        <v>5</v>
      </c>
      <c r="AQ24" s="5">
        <v>5</v>
      </c>
      <c r="AR24" s="5">
        <v>5</v>
      </c>
      <c r="AS24" s="10">
        <v>5</v>
      </c>
      <c r="AT24" s="17" t="s">
        <v>92</v>
      </c>
      <c r="AU24" s="5">
        <v>0</v>
      </c>
      <c r="AV24" s="5">
        <v>4</v>
      </c>
      <c r="AW24" s="17" t="s">
        <v>92</v>
      </c>
      <c r="AX24" s="5">
        <v>5</v>
      </c>
      <c r="AY24" s="5">
        <v>5</v>
      </c>
      <c r="AZ24" s="5">
        <v>5</v>
      </c>
      <c r="BJ24" s="5">
        <f t="shared" si="6"/>
        <v>84</v>
      </c>
      <c r="BL24" s="5">
        <v>4</v>
      </c>
      <c r="BM24" s="5">
        <v>4</v>
      </c>
      <c r="BN24" s="5">
        <v>4</v>
      </c>
      <c r="BO24" s="5">
        <v>4</v>
      </c>
      <c r="BP24" s="5">
        <v>4</v>
      </c>
      <c r="BQ24" s="5">
        <v>4</v>
      </c>
      <c r="BR24" s="5">
        <v>4</v>
      </c>
      <c r="BS24" s="5">
        <v>4</v>
      </c>
      <c r="BT24" s="5">
        <v>4</v>
      </c>
      <c r="BU24" s="5">
        <v>4</v>
      </c>
      <c r="BV24" s="5">
        <v>3</v>
      </c>
      <c r="BW24" s="5">
        <v>4</v>
      </c>
      <c r="BX24" s="5">
        <v>4</v>
      </c>
      <c r="BY24" s="5">
        <v>4</v>
      </c>
      <c r="BZ24" s="5">
        <v>3</v>
      </c>
      <c r="CA24" s="5">
        <v>4</v>
      </c>
      <c r="CB24" s="5">
        <v>4</v>
      </c>
      <c r="CC24" s="27">
        <v>4</v>
      </c>
      <c r="CM24" s="5">
        <f t="shared" si="7"/>
        <v>70</v>
      </c>
    </row>
    <row r="25" spans="1:91" s="5" customFormat="1" ht="15.5" x14ac:dyDescent="0.45">
      <c r="A25" s="1" t="s">
        <v>59</v>
      </c>
      <c r="B25" s="1"/>
      <c r="C25" s="5">
        <f t="shared" si="0"/>
        <v>148</v>
      </c>
      <c r="D25" s="13">
        <v>116</v>
      </c>
      <c r="F25" s="26">
        <f t="shared" si="1"/>
        <v>99</v>
      </c>
      <c r="G25" s="5">
        <f t="shared" si="2"/>
        <v>64</v>
      </c>
      <c r="H25" s="5">
        <f t="shared" si="3"/>
        <v>78</v>
      </c>
      <c r="I25" s="5">
        <f t="shared" si="4"/>
        <v>505</v>
      </c>
      <c r="K25" s="5">
        <v>49</v>
      </c>
      <c r="L25" s="5">
        <v>60</v>
      </c>
      <c r="M25" s="5">
        <v>39</v>
      </c>
      <c r="O25" s="5">
        <v>12</v>
      </c>
      <c r="P25" s="5">
        <v>9</v>
      </c>
      <c r="Q25" s="5">
        <v>12</v>
      </c>
      <c r="R25" s="5">
        <v>15</v>
      </c>
      <c r="S25" s="5">
        <v>9</v>
      </c>
      <c r="T25" s="5">
        <v>12</v>
      </c>
      <c r="U25" s="5">
        <v>6</v>
      </c>
      <c r="V25" s="5">
        <v>9</v>
      </c>
      <c r="W25" s="5">
        <v>15</v>
      </c>
      <c r="AD25" s="5">
        <f t="shared" si="5"/>
        <v>99</v>
      </c>
      <c r="AG25" s="5">
        <v>3</v>
      </c>
      <c r="AH25" s="5">
        <v>3</v>
      </c>
      <c r="AI25" s="5">
        <v>3</v>
      </c>
      <c r="AJ25" s="5">
        <v>3</v>
      </c>
      <c r="AK25" s="5">
        <v>5</v>
      </c>
      <c r="AL25" s="5">
        <v>5</v>
      </c>
      <c r="AM25" s="19">
        <v>3</v>
      </c>
      <c r="AN25" s="5">
        <v>5</v>
      </c>
      <c r="AO25" s="5">
        <v>5</v>
      </c>
      <c r="AP25" s="5">
        <v>5</v>
      </c>
      <c r="AQ25" s="5">
        <v>5</v>
      </c>
      <c r="AR25" s="5">
        <v>3</v>
      </c>
      <c r="AS25" s="5">
        <v>5</v>
      </c>
      <c r="AT25" s="17" t="s">
        <v>92</v>
      </c>
      <c r="AU25" s="5">
        <v>5</v>
      </c>
      <c r="AV25" s="5">
        <v>5</v>
      </c>
      <c r="AW25" s="17" t="s">
        <v>92</v>
      </c>
      <c r="AX25" s="5">
        <v>5</v>
      </c>
      <c r="AY25" s="5">
        <v>5</v>
      </c>
      <c r="AZ25" s="5">
        <v>5</v>
      </c>
      <c r="BJ25" s="5">
        <f t="shared" si="6"/>
        <v>78</v>
      </c>
      <c r="BL25" s="5">
        <v>4</v>
      </c>
      <c r="BM25" s="5">
        <v>4</v>
      </c>
      <c r="BN25" s="5">
        <v>3</v>
      </c>
      <c r="BO25" s="5">
        <v>4</v>
      </c>
      <c r="BP25" s="5">
        <v>4</v>
      </c>
      <c r="BQ25" s="5">
        <v>4</v>
      </c>
      <c r="BR25" s="5">
        <v>2</v>
      </c>
      <c r="BS25" s="5">
        <v>4</v>
      </c>
      <c r="BT25" s="5">
        <v>4</v>
      </c>
      <c r="BU25" s="5">
        <v>3</v>
      </c>
      <c r="BV25" s="5">
        <v>2</v>
      </c>
      <c r="BW25" s="5">
        <v>4</v>
      </c>
      <c r="BX25" s="5">
        <v>4</v>
      </c>
      <c r="BY25" s="5">
        <v>4</v>
      </c>
      <c r="BZ25" s="5">
        <v>3</v>
      </c>
      <c r="CA25" s="5">
        <v>3</v>
      </c>
      <c r="CB25" s="5">
        <v>4</v>
      </c>
      <c r="CC25" s="27">
        <v>4</v>
      </c>
      <c r="CM25" s="5">
        <f t="shared" si="7"/>
        <v>64</v>
      </c>
    </row>
    <row r="26" spans="1:91" s="5" customFormat="1" ht="15.5" x14ac:dyDescent="0.45">
      <c r="A26" s="1" t="s">
        <v>52</v>
      </c>
      <c r="B26" s="1"/>
      <c r="C26" s="5">
        <f t="shared" si="0"/>
        <v>157</v>
      </c>
      <c r="D26" s="13">
        <v>126</v>
      </c>
      <c r="F26" s="26">
        <f t="shared" si="1"/>
        <v>105</v>
      </c>
      <c r="G26" s="5">
        <f t="shared" si="2"/>
        <v>68</v>
      </c>
      <c r="H26" s="5">
        <f t="shared" si="3"/>
        <v>87</v>
      </c>
      <c r="I26" s="5">
        <f t="shared" si="4"/>
        <v>543</v>
      </c>
      <c r="K26" s="5">
        <v>58</v>
      </c>
      <c r="L26" s="5">
        <v>59</v>
      </c>
      <c r="M26" s="5">
        <v>40</v>
      </c>
      <c r="O26" s="5">
        <v>12</v>
      </c>
      <c r="P26" s="5">
        <v>9</v>
      </c>
      <c r="Q26" s="5">
        <v>15</v>
      </c>
      <c r="R26" s="5">
        <v>12</v>
      </c>
      <c r="S26" s="5">
        <v>12</v>
      </c>
      <c r="T26" s="5">
        <v>9</v>
      </c>
      <c r="U26" s="5">
        <v>9</v>
      </c>
      <c r="V26" s="5">
        <v>15</v>
      </c>
      <c r="W26" s="5">
        <v>12</v>
      </c>
      <c r="AD26" s="5">
        <f t="shared" si="5"/>
        <v>105</v>
      </c>
      <c r="AG26" s="5">
        <v>5</v>
      </c>
      <c r="AH26" s="5">
        <v>5</v>
      </c>
      <c r="AI26" s="5">
        <v>5</v>
      </c>
      <c r="AJ26" s="5">
        <v>5</v>
      </c>
      <c r="AK26" s="5">
        <v>5</v>
      </c>
      <c r="AL26" s="5">
        <v>5</v>
      </c>
      <c r="AM26" s="19">
        <v>5</v>
      </c>
      <c r="AN26" s="5">
        <v>5</v>
      </c>
      <c r="AO26" s="5">
        <v>3</v>
      </c>
      <c r="AP26" s="5">
        <v>4</v>
      </c>
      <c r="AQ26" s="5">
        <v>5</v>
      </c>
      <c r="AR26" s="5">
        <v>5</v>
      </c>
      <c r="AS26" s="10">
        <v>5</v>
      </c>
      <c r="AT26" s="17" t="s">
        <v>92</v>
      </c>
      <c r="AU26" s="5">
        <v>5</v>
      </c>
      <c r="AV26" s="5">
        <v>5</v>
      </c>
      <c r="AW26" s="17" t="s">
        <v>92</v>
      </c>
      <c r="AX26" s="5">
        <v>5</v>
      </c>
      <c r="AY26" s="5">
        <v>5</v>
      </c>
      <c r="AZ26" s="5">
        <v>5</v>
      </c>
      <c r="BJ26" s="5">
        <f t="shared" si="6"/>
        <v>87</v>
      </c>
      <c r="BL26" s="5">
        <v>4</v>
      </c>
      <c r="BM26" s="5">
        <v>4</v>
      </c>
      <c r="BN26" s="5">
        <v>4</v>
      </c>
      <c r="BO26" s="5">
        <v>4</v>
      </c>
      <c r="BP26" s="5">
        <v>4</v>
      </c>
      <c r="BQ26" s="5">
        <v>4</v>
      </c>
      <c r="BR26" s="5">
        <v>3</v>
      </c>
      <c r="BS26" s="5">
        <v>4</v>
      </c>
      <c r="BT26" s="5">
        <v>4</v>
      </c>
      <c r="BU26" s="5">
        <v>3</v>
      </c>
      <c r="BV26" s="5">
        <v>3</v>
      </c>
      <c r="BW26" s="5">
        <v>4</v>
      </c>
      <c r="BX26" s="5">
        <v>4</v>
      </c>
      <c r="BY26" s="5">
        <v>4</v>
      </c>
      <c r="BZ26" s="5">
        <v>3</v>
      </c>
      <c r="CA26" s="5">
        <v>4</v>
      </c>
      <c r="CB26" s="5">
        <v>4</v>
      </c>
      <c r="CC26" s="27">
        <v>4</v>
      </c>
      <c r="CM26" s="5">
        <f t="shared" si="7"/>
        <v>68</v>
      </c>
    </row>
    <row r="27" spans="1:91" s="5" customFormat="1" ht="15.5" x14ac:dyDescent="0.45">
      <c r="A27" s="1" t="s">
        <v>39</v>
      </c>
      <c r="B27" s="1"/>
      <c r="C27" s="5">
        <f t="shared" si="0"/>
        <v>154</v>
      </c>
      <c r="D27" s="13">
        <v>103</v>
      </c>
      <c r="F27" s="26">
        <f t="shared" si="1"/>
        <v>75</v>
      </c>
      <c r="G27" s="5">
        <f t="shared" si="2"/>
        <v>58</v>
      </c>
      <c r="H27" s="5">
        <f t="shared" si="3"/>
        <v>71</v>
      </c>
      <c r="I27" s="5">
        <f t="shared" si="4"/>
        <v>461</v>
      </c>
      <c r="K27" s="5">
        <v>57</v>
      </c>
      <c r="L27" s="5">
        <v>58</v>
      </c>
      <c r="M27" s="5">
        <v>39</v>
      </c>
      <c r="O27" s="5">
        <v>9</v>
      </c>
      <c r="P27" s="5">
        <v>9</v>
      </c>
      <c r="Q27" s="5">
        <v>9</v>
      </c>
      <c r="R27" s="5">
        <v>6</v>
      </c>
      <c r="S27" s="5">
        <v>6</v>
      </c>
      <c r="T27" s="5">
        <v>12</v>
      </c>
      <c r="U27" s="5">
        <v>9</v>
      </c>
      <c r="V27" s="5">
        <v>6</v>
      </c>
      <c r="W27" s="5">
        <v>9</v>
      </c>
      <c r="AD27" s="5">
        <f t="shared" si="5"/>
        <v>75</v>
      </c>
      <c r="AG27" s="5">
        <v>3</v>
      </c>
      <c r="AH27" s="5">
        <v>5</v>
      </c>
      <c r="AI27" s="5">
        <v>5</v>
      </c>
      <c r="AJ27" s="5">
        <v>5</v>
      </c>
      <c r="AK27" s="5">
        <v>5</v>
      </c>
      <c r="AL27" s="5">
        <v>5</v>
      </c>
      <c r="AM27" s="10">
        <v>3</v>
      </c>
      <c r="AN27" s="5">
        <v>5</v>
      </c>
      <c r="AO27" s="5">
        <v>0</v>
      </c>
      <c r="AP27" s="5">
        <v>5</v>
      </c>
      <c r="AQ27" s="5">
        <v>4</v>
      </c>
      <c r="AR27" s="5">
        <v>3</v>
      </c>
      <c r="AS27" s="10">
        <v>3</v>
      </c>
      <c r="AT27" s="17" t="s">
        <v>92</v>
      </c>
      <c r="AU27" s="5">
        <v>0</v>
      </c>
      <c r="AV27" s="5">
        <v>5</v>
      </c>
      <c r="AW27" s="17" t="s">
        <v>92</v>
      </c>
      <c r="AX27" s="5">
        <v>5</v>
      </c>
      <c r="AY27" s="5">
        <v>5</v>
      </c>
      <c r="AZ27" s="5">
        <v>5</v>
      </c>
      <c r="BJ27" s="5">
        <f t="shared" si="6"/>
        <v>71</v>
      </c>
      <c r="BL27" s="5">
        <v>4</v>
      </c>
      <c r="BM27" s="5">
        <v>2</v>
      </c>
      <c r="BN27" s="5">
        <v>4</v>
      </c>
      <c r="BO27" s="5">
        <v>4</v>
      </c>
      <c r="BP27" s="5">
        <v>4</v>
      </c>
      <c r="BQ27" s="5">
        <v>4</v>
      </c>
      <c r="BR27" s="5">
        <v>2</v>
      </c>
      <c r="BS27" s="5">
        <v>0</v>
      </c>
      <c r="BT27" s="5">
        <v>2</v>
      </c>
      <c r="BU27" s="5">
        <v>4</v>
      </c>
      <c r="BV27" s="5">
        <v>3</v>
      </c>
      <c r="BW27" s="5">
        <v>4</v>
      </c>
      <c r="BX27" s="5">
        <v>4</v>
      </c>
      <c r="BY27" s="5">
        <v>4</v>
      </c>
      <c r="BZ27" s="5">
        <v>2</v>
      </c>
      <c r="CA27" s="5">
        <v>3</v>
      </c>
      <c r="CB27" s="5">
        <v>4</v>
      </c>
      <c r="CC27" s="27">
        <v>4</v>
      </c>
      <c r="CM27" s="5">
        <f t="shared" si="7"/>
        <v>58</v>
      </c>
    </row>
    <row r="28" spans="1:91" s="5" customFormat="1" ht="15.5" x14ac:dyDescent="0.45">
      <c r="A28" s="1" t="s">
        <v>37</v>
      </c>
      <c r="B28" s="1"/>
      <c r="C28" s="5">
        <f t="shared" si="0"/>
        <v>154</v>
      </c>
      <c r="D28" s="13">
        <v>109</v>
      </c>
      <c r="F28" s="26">
        <f t="shared" si="1"/>
        <v>93</v>
      </c>
      <c r="G28" s="5">
        <f t="shared" si="2"/>
        <v>65</v>
      </c>
      <c r="H28" s="5">
        <f t="shared" si="3"/>
        <v>78</v>
      </c>
      <c r="I28" s="5">
        <f t="shared" si="4"/>
        <v>499</v>
      </c>
      <c r="K28" s="5">
        <v>58</v>
      </c>
      <c r="L28" s="5">
        <v>57</v>
      </c>
      <c r="M28" s="5">
        <v>39</v>
      </c>
      <c r="O28" s="5">
        <v>12</v>
      </c>
      <c r="P28" s="5">
        <v>12</v>
      </c>
      <c r="Q28" s="5">
        <v>15</v>
      </c>
      <c r="R28" s="5">
        <v>12</v>
      </c>
      <c r="S28" s="5">
        <v>12</v>
      </c>
      <c r="T28" s="5">
        <v>12</v>
      </c>
      <c r="U28" s="5">
        <v>6</v>
      </c>
      <c r="V28" s="5">
        <v>6</v>
      </c>
      <c r="W28" s="5">
        <v>6</v>
      </c>
      <c r="AD28" s="5">
        <f t="shared" si="5"/>
        <v>93</v>
      </c>
      <c r="AG28" s="5">
        <v>5</v>
      </c>
      <c r="AH28" s="5">
        <v>5</v>
      </c>
      <c r="AI28" s="5">
        <v>5</v>
      </c>
      <c r="AJ28" s="5">
        <v>5</v>
      </c>
      <c r="AK28" s="5">
        <v>5</v>
      </c>
      <c r="AL28" s="5">
        <v>5</v>
      </c>
      <c r="AM28" s="10">
        <v>3</v>
      </c>
      <c r="AN28" s="5">
        <v>5</v>
      </c>
      <c r="AO28" s="5">
        <v>3</v>
      </c>
      <c r="AP28" s="5">
        <v>5</v>
      </c>
      <c r="AQ28" s="5">
        <v>5</v>
      </c>
      <c r="AR28" s="5">
        <v>3</v>
      </c>
      <c r="AS28" s="10">
        <v>3</v>
      </c>
      <c r="AT28" s="17" t="s">
        <v>92</v>
      </c>
      <c r="AU28" s="5">
        <v>3</v>
      </c>
      <c r="AV28" s="5">
        <v>5</v>
      </c>
      <c r="AW28" s="17" t="s">
        <v>92</v>
      </c>
      <c r="AX28" s="5">
        <v>5</v>
      </c>
      <c r="AY28" s="5">
        <v>3</v>
      </c>
      <c r="AZ28" s="5">
        <v>5</v>
      </c>
      <c r="BJ28" s="5">
        <f t="shared" si="6"/>
        <v>78</v>
      </c>
      <c r="BL28" s="5">
        <v>4</v>
      </c>
      <c r="BM28" s="5">
        <v>4</v>
      </c>
      <c r="BN28" s="5">
        <v>2</v>
      </c>
      <c r="BO28" s="5">
        <v>4</v>
      </c>
      <c r="BP28" s="5">
        <v>4</v>
      </c>
      <c r="BQ28" s="5">
        <v>4</v>
      </c>
      <c r="BR28" s="5">
        <v>4</v>
      </c>
      <c r="BS28" s="5">
        <v>0</v>
      </c>
      <c r="BT28" s="5">
        <v>4</v>
      </c>
      <c r="BU28" s="5">
        <v>4</v>
      </c>
      <c r="BV28" s="5">
        <v>3</v>
      </c>
      <c r="BW28" s="5">
        <v>4</v>
      </c>
      <c r="BX28" s="5">
        <v>4</v>
      </c>
      <c r="BY28" s="5">
        <v>4</v>
      </c>
      <c r="BZ28" s="5">
        <v>4</v>
      </c>
      <c r="CA28" s="5">
        <v>4</v>
      </c>
      <c r="CB28" s="5">
        <v>4</v>
      </c>
      <c r="CC28" s="27">
        <v>4</v>
      </c>
      <c r="CM28" s="5">
        <f t="shared" si="7"/>
        <v>65</v>
      </c>
    </row>
    <row r="29" spans="1:91" s="5" customFormat="1" ht="15.5" x14ac:dyDescent="0.45">
      <c r="A29" s="1" t="s">
        <v>41</v>
      </c>
      <c r="B29" s="1"/>
      <c r="C29" s="5">
        <f t="shared" si="0"/>
        <v>155</v>
      </c>
      <c r="D29" s="13">
        <v>118</v>
      </c>
      <c r="F29" s="26">
        <f t="shared" si="1"/>
        <v>99</v>
      </c>
      <c r="G29" s="5">
        <f t="shared" si="2"/>
        <v>68</v>
      </c>
      <c r="H29" s="5">
        <f t="shared" si="3"/>
        <v>88</v>
      </c>
      <c r="I29" s="5">
        <f t="shared" si="4"/>
        <v>528</v>
      </c>
      <c r="K29" s="5">
        <v>56</v>
      </c>
      <c r="L29" s="5">
        <v>59</v>
      </c>
      <c r="M29" s="5">
        <v>40</v>
      </c>
      <c r="O29" s="5">
        <v>15</v>
      </c>
      <c r="P29" s="5">
        <v>9</v>
      </c>
      <c r="Q29" s="5">
        <v>15</v>
      </c>
      <c r="R29" s="5">
        <v>12</v>
      </c>
      <c r="S29" s="5">
        <v>12</v>
      </c>
      <c r="T29" s="5">
        <v>6</v>
      </c>
      <c r="U29" s="5">
        <v>9</v>
      </c>
      <c r="V29" s="5">
        <v>6</v>
      </c>
      <c r="W29" s="5">
        <v>15</v>
      </c>
      <c r="AD29" s="5">
        <f t="shared" si="5"/>
        <v>99</v>
      </c>
      <c r="AG29" s="5">
        <v>5</v>
      </c>
      <c r="AH29" s="5">
        <v>5</v>
      </c>
      <c r="AI29" s="5">
        <v>3</v>
      </c>
      <c r="AJ29" s="5">
        <v>5</v>
      </c>
      <c r="AK29" s="5">
        <v>5</v>
      </c>
      <c r="AL29" s="5">
        <v>5</v>
      </c>
      <c r="AM29" s="19">
        <v>5</v>
      </c>
      <c r="AN29" s="5">
        <v>5</v>
      </c>
      <c r="AO29" s="5">
        <v>5</v>
      </c>
      <c r="AP29" s="5">
        <v>5</v>
      </c>
      <c r="AQ29" s="5">
        <v>5</v>
      </c>
      <c r="AR29" s="5">
        <v>5</v>
      </c>
      <c r="AS29" s="10">
        <v>5</v>
      </c>
      <c r="AT29" s="17" t="s">
        <v>92</v>
      </c>
      <c r="AU29" s="5">
        <v>5</v>
      </c>
      <c r="AV29" s="5">
        <v>5</v>
      </c>
      <c r="AW29" s="17" t="s">
        <v>92</v>
      </c>
      <c r="AX29" s="5">
        <v>5</v>
      </c>
      <c r="AY29" s="5">
        <v>5</v>
      </c>
      <c r="AZ29" s="5">
        <v>5</v>
      </c>
      <c r="BJ29" s="5">
        <f t="shared" si="6"/>
        <v>88</v>
      </c>
      <c r="BL29" s="5">
        <v>4</v>
      </c>
      <c r="BM29" s="5">
        <v>4</v>
      </c>
      <c r="BN29" s="5">
        <v>2</v>
      </c>
      <c r="BO29" s="5">
        <v>4</v>
      </c>
      <c r="BP29" s="5">
        <v>4</v>
      </c>
      <c r="BQ29" s="5">
        <v>4</v>
      </c>
      <c r="BR29" s="5">
        <v>4</v>
      </c>
      <c r="BS29" s="5">
        <v>4</v>
      </c>
      <c r="BT29" s="5">
        <v>3</v>
      </c>
      <c r="BU29" s="5">
        <v>4</v>
      </c>
      <c r="BV29" s="5">
        <v>4</v>
      </c>
      <c r="BW29" s="5">
        <v>4</v>
      </c>
      <c r="BX29" s="5">
        <v>4</v>
      </c>
      <c r="BY29" s="5">
        <v>4</v>
      </c>
      <c r="BZ29" s="5">
        <v>3</v>
      </c>
      <c r="CA29" s="5">
        <v>4</v>
      </c>
      <c r="CB29" s="5">
        <v>4</v>
      </c>
      <c r="CC29" s="27">
        <v>4</v>
      </c>
      <c r="CM29" s="5">
        <f t="shared" si="7"/>
        <v>68</v>
      </c>
    </row>
    <row r="30" spans="1:91" s="5" customFormat="1" ht="15.5" x14ac:dyDescent="0.45">
      <c r="A30" s="1" t="s">
        <v>43</v>
      </c>
      <c r="B30" s="1"/>
      <c r="C30" s="5">
        <f t="shared" si="0"/>
        <v>156</v>
      </c>
      <c r="D30" s="13">
        <v>118</v>
      </c>
      <c r="F30" s="26">
        <f t="shared" si="1"/>
        <v>114</v>
      </c>
      <c r="G30" s="5">
        <f t="shared" si="2"/>
        <v>69</v>
      </c>
      <c r="H30" s="5">
        <f t="shared" si="3"/>
        <v>86</v>
      </c>
      <c r="I30" s="5">
        <f t="shared" si="4"/>
        <v>543</v>
      </c>
      <c r="K30" s="5">
        <v>58</v>
      </c>
      <c r="L30" s="5">
        <v>59</v>
      </c>
      <c r="M30" s="5">
        <v>39</v>
      </c>
      <c r="O30" s="5">
        <v>15</v>
      </c>
      <c r="P30" s="5">
        <v>6</v>
      </c>
      <c r="Q30" s="5">
        <v>15</v>
      </c>
      <c r="R30" s="5">
        <v>12</v>
      </c>
      <c r="S30" s="5">
        <v>12</v>
      </c>
      <c r="T30" s="5">
        <v>12</v>
      </c>
      <c r="U30" s="5">
        <v>15</v>
      </c>
      <c r="V30" s="5">
        <v>12</v>
      </c>
      <c r="W30" s="5">
        <v>15</v>
      </c>
      <c r="AD30" s="5">
        <f t="shared" si="5"/>
        <v>114</v>
      </c>
      <c r="AG30" s="5">
        <v>5</v>
      </c>
      <c r="AH30" s="5">
        <v>5</v>
      </c>
      <c r="AI30" s="5">
        <v>5</v>
      </c>
      <c r="AJ30" s="5">
        <v>5</v>
      </c>
      <c r="AK30" s="5">
        <v>4</v>
      </c>
      <c r="AL30" s="5">
        <v>5</v>
      </c>
      <c r="AM30" s="19">
        <v>5</v>
      </c>
      <c r="AN30" s="5">
        <v>4</v>
      </c>
      <c r="AO30" s="5">
        <v>5</v>
      </c>
      <c r="AP30" s="5">
        <v>5</v>
      </c>
      <c r="AQ30" s="5">
        <v>5</v>
      </c>
      <c r="AR30" s="5">
        <v>5</v>
      </c>
      <c r="AS30" s="10">
        <v>5</v>
      </c>
      <c r="AT30" s="17" t="s">
        <v>92</v>
      </c>
      <c r="AU30" s="5">
        <v>5</v>
      </c>
      <c r="AV30" s="5">
        <v>5</v>
      </c>
      <c r="AW30" s="17" t="s">
        <v>92</v>
      </c>
      <c r="AX30" s="5">
        <v>3</v>
      </c>
      <c r="AY30" s="5">
        <v>5</v>
      </c>
      <c r="AZ30" s="5">
        <v>5</v>
      </c>
      <c r="BJ30" s="5">
        <f t="shared" si="6"/>
        <v>86</v>
      </c>
      <c r="BL30" s="5">
        <v>4</v>
      </c>
      <c r="BM30" s="5">
        <v>4</v>
      </c>
      <c r="BN30" s="5">
        <v>4</v>
      </c>
      <c r="BO30" s="5">
        <v>4</v>
      </c>
      <c r="BP30" s="5">
        <v>3</v>
      </c>
      <c r="BQ30" s="5">
        <v>4</v>
      </c>
      <c r="BR30" s="5">
        <v>4</v>
      </c>
      <c r="BS30" s="5">
        <v>4</v>
      </c>
      <c r="BT30" s="5">
        <v>3</v>
      </c>
      <c r="BU30" s="5">
        <v>4</v>
      </c>
      <c r="BV30" s="5">
        <v>4</v>
      </c>
      <c r="BW30" s="5">
        <v>4</v>
      </c>
      <c r="BX30" s="5">
        <v>4</v>
      </c>
      <c r="BY30" s="5">
        <v>4</v>
      </c>
      <c r="BZ30" s="5">
        <v>3</v>
      </c>
      <c r="CA30" s="5">
        <v>4</v>
      </c>
      <c r="CB30" s="5">
        <v>4</v>
      </c>
      <c r="CC30" s="27">
        <v>4</v>
      </c>
      <c r="CM30" s="5">
        <f t="shared" si="7"/>
        <v>69</v>
      </c>
    </row>
    <row r="31" spans="1:91" s="5" customFormat="1" ht="15.5" x14ac:dyDescent="0.45">
      <c r="A31" s="1" t="s">
        <v>66</v>
      </c>
      <c r="B31" s="1"/>
      <c r="C31" s="5">
        <f t="shared" si="0"/>
        <v>142</v>
      </c>
      <c r="D31" s="13">
        <v>94</v>
      </c>
      <c r="F31" s="26">
        <f t="shared" si="1"/>
        <v>69</v>
      </c>
      <c r="G31" s="5">
        <f t="shared" si="2"/>
        <v>69</v>
      </c>
      <c r="H31" s="5">
        <f t="shared" si="3"/>
        <v>88</v>
      </c>
      <c r="I31" s="5">
        <f t="shared" si="4"/>
        <v>462</v>
      </c>
      <c r="K31" s="5">
        <v>60</v>
      </c>
      <c r="L31" s="5">
        <v>60</v>
      </c>
      <c r="M31" s="5">
        <v>22</v>
      </c>
      <c r="O31" s="5">
        <v>12</v>
      </c>
      <c r="P31" s="5">
        <v>6</v>
      </c>
      <c r="Q31" s="5">
        <v>12</v>
      </c>
      <c r="R31" s="5">
        <v>9</v>
      </c>
      <c r="S31" s="5">
        <v>9</v>
      </c>
      <c r="T31" s="5">
        <v>0</v>
      </c>
      <c r="U31" s="5">
        <v>6</v>
      </c>
      <c r="V31" s="5">
        <v>3</v>
      </c>
      <c r="W31" s="5">
        <v>12</v>
      </c>
      <c r="AD31" s="5">
        <f t="shared" si="5"/>
        <v>69</v>
      </c>
      <c r="AG31" s="5">
        <v>5</v>
      </c>
      <c r="AH31" s="5">
        <v>5</v>
      </c>
      <c r="AI31" s="5">
        <v>5</v>
      </c>
      <c r="AJ31" s="5">
        <v>5</v>
      </c>
      <c r="AK31" s="5">
        <v>5</v>
      </c>
      <c r="AL31" s="5">
        <v>5</v>
      </c>
      <c r="AM31" s="19">
        <v>5</v>
      </c>
      <c r="AN31" s="5">
        <v>5</v>
      </c>
      <c r="AO31" s="5">
        <v>5</v>
      </c>
      <c r="AP31" s="5">
        <v>5</v>
      </c>
      <c r="AQ31" s="5">
        <v>3</v>
      </c>
      <c r="AR31" s="5">
        <v>5</v>
      </c>
      <c r="AS31" s="5">
        <v>5</v>
      </c>
      <c r="AT31" s="17" t="s">
        <v>92</v>
      </c>
      <c r="AU31" s="5">
        <v>5</v>
      </c>
      <c r="AV31" s="5">
        <v>5</v>
      </c>
      <c r="AW31" s="17" t="s">
        <v>92</v>
      </c>
      <c r="AX31" s="5">
        <v>5</v>
      </c>
      <c r="AY31" s="5">
        <v>5</v>
      </c>
      <c r="AZ31" s="5">
        <v>5</v>
      </c>
      <c r="BJ31" s="5">
        <f t="shared" si="6"/>
        <v>88</v>
      </c>
      <c r="BL31" s="5">
        <v>4</v>
      </c>
      <c r="BM31" s="5">
        <v>3</v>
      </c>
      <c r="BN31" s="5">
        <v>2</v>
      </c>
      <c r="BO31" s="5">
        <v>4</v>
      </c>
      <c r="BP31" s="5">
        <v>4</v>
      </c>
      <c r="BQ31" s="5">
        <v>4</v>
      </c>
      <c r="BR31" s="5">
        <v>4</v>
      </c>
      <c r="BS31" s="5">
        <v>4</v>
      </c>
      <c r="BT31" s="5">
        <v>4</v>
      </c>
      <c r="BU31" s="5">
        <v>4</v>
      </c>
      <c r="BV31" s="5">
        <v>4</v>
      </c>
      <c r="BW31" s="5">
        <v>4</v>
      </c>
      <c r="BX31" s="5">
        <v>4</v>
      </c>
      <c r="BY31" s="5">
        <v>4</v>
      </c>
      <c r="BZ31" s="5">
        <v>4</v>
      </c>
      <c r="CA31" s="5">
        <v>4</v>
      </c>
      <c r="CB31" s="5">
        <v>4</v>
      </c>
      <c r="CC31" s="27">
        <v>4</v>
      </c>
      <c r="CM31" s="5">
        <f t="shared" si="7"/>
        <v>69</v>
      </c>
    </row>
    <row r="32" spans="1:91" s="5" customFormat="1" ht="15.5" x14ac:dyDescent="0.45">
      <c r="A32" s="1" t="s">
        <v>44</v>
      </c>
      <c r="B32" s="1"/>
      <c r="C32" s="5">
        <f t="shared" si="0"/>
        <v>150</v>
      </c>
      <c r="D32" s="13">
        <v>115</v>
      </c>
      <c r="F32" s="26">
        <f t="shared" si="1"/>
        <v>96</v>
      </c>
      <c r="G32" s="5">
        <f t="shared" si="2"/>
        <v>68</v>
      </c>
      <c r="H32" s="5">
        <f t="shared" si="3"/>
        <v>90</v>
      </c>
      <c r="I32" s="5">
        <f t="shared" si="4"/>
        <v>519</v>
      </c>
      <c r="K32" s="5">
        <v>58</v>
      </c>
      <c r="L32" s="5">
        <v>55</v>
      </c>
      <c r="M32" s="5">
        <v>37</v>
      </c>
      <c r="O32" s="5">
        <v>15</v>
      </c>
      <c r="P32" s="5">
        <v>12</v>
      </c>
      <c r="Q32" s="5">
        <v>12</v>
      </c>
      <c r="R32" s="5">
        <v>9</v>
      </c>
      <c r="S32" s="5">
        <v>9</v>
      </c>
      <c r="T32" s="5">
        <v>9</v>
      </c>
      <c r="U32" s="5">
        <v>9</v>
      </c>
      <c r="V32" s="5">
        <v>12</v>
      </c>
      <c r="W32" s="5">
        <v>9</v>
      </c>
      <c r="AD32" s="5">
        <f t="shared" si="5"/>
        <v>96</v>
      </c>
      <c r="AG32" s="5">
        <v>5</v>
      </c>
      <c r="AH32" s="5">
        <v>5</v>
      </c>
      <c r="AI32" s="5">
        <v>5</v>
      </c>
      <c r="AJ32" s="5">
        <v>5</v>
      </c>
      <c r="AK32" s="5">
        <v>5</v>
      </c>
      <c r="AL32" s="5">
        <v>5</v>
      </c>
      <c r="AM32" s="19">
        <v>5</v>
      </c>
      <c r="AN32" s="5">
        <v>5</v>
      </c>
      <c r="AO32" s="5">
        <v>5</v>
      </c>
      <c r="AP32" s="5">
        <v>5</v>
      </c>
      <c r="AQ32" s="5">
        <v>5</v>
      </c>
      <c r="AR32" s="5">
        <v>5</v>
      </c>
      <c r="AS32" s="10">
        <v>5</v>
      </c>
      <c r="AT32" s="17" t="s">
        <v>92</v>
      </c>
      <c r="AU32" s="5">
        <v>5</v>
      </c>
      <c r="AV32" s="5">
        <v>5</v>
      </c>
      <c r="AW32" s="17" t="s">
        <v>92</v>
      </c>
      <c r="AX32" s="5">
        <v>5</v>
      </c>
      <c r="AY32" s="5">
        <v>5</v>
      </c>
      <c r="AZ32" s="5">
        <v>5</v>
      </c>
      <c r="BJ32" s="5">
        <f t="shared" si="6"/>
        <v>90</v>
      </c>
      <c r="BL32" s="5">
        <v>4</v>
      </c>
      <c r="BM32" s="5">
        <v>4</v>
      </c>
      <c r="BN32" s="5">
        <v>4</v>
      </c>
      <c r="BO32" s="5">
        <v>4</v>
      </c>
      <c r="BP32" s="5">
        <v>4</v>
      </c>
      <c r="BQ32" s="5">
        <v>4</v>
      </c>
      <c r="BR32" s="5">
        <v>4</v>
      </c>
      <c r="BS32" s="5">
        <v>4</v>
      </c>
      <c r="BT32" s="5">
        <v>4</v>
      </c>
      <c r="BU32" s="5">
        <v>4</v>
      </c>
      <c r="BV32" s="5">
        <v>0</v>
      </c>
      <c r="BW32" s="5">
        <v>4</v>
      </c>
      <c r="BX32" s="5">
        <v>4</v>
      </c>
      <c r="BY32" s="5">
        <v>4</v>
      </c>
      <c r="BZ32" s="5">
        <v>4</v>
      </c>
      <c r="CA32" s="5">
        <v>4</v>
      </c>
      <c r="CB32" s="5">
        <v>4</v>
      </c>
      <c r="CC32" s="27">
        <v>4</v>
      </c>
      <c r="CM32" s="5">
        <f t="shared" si="7"/>
        <v>68</v>
      </c>
    </row>
    <row r="33" spans="1:91" s="5" customFormat="1" ht="15.5" x14ac:dyDescent="0.45">
      <c r="A33" s="1" t="s">
        <v>61</v>
      </c>
      <c r="B33" s="1"/>
      <c r="C33" s="5">
        <f t="shared" si="0"/>
        <v>160</v>
      </c>
      <c r="D33" s="13">
        <v>112</v>
      </c>
      <c r="F33" s="26">
        <f t="shared" si="1"/>
        <v>87</v>
      </c>
      <c r="G33" s="5">
        <f t="shared" si="2"/>
        <v>64</v>
      </c>
      <c r="H33" s="5">
        <f t="shared" si="3"/>
        <v>81</v>
      </c>
      <c r="I33" s="5">
        <f t="shared" si="4"/>
        <v>504</v>
      </c>
      <c r="K33" s="5">
        <v>60</v>
      </c>
      <c r="L33" s="5">
        <v>60</v>
      </c>
      <c r="M33" s="5">
        <v>40</v>
      </c>
      <c r="O33" s="5">
        <v>6</v>
      </c>
      <c r="P33" s="5">
        <v>6</v>
      </c>
      <c r="Q33" s="5">
        <v>6</v>
      </c>
      <c r="R33" s="5">
        <v>12</v>
      </c>
      <c r="S33" s="5">
        <v>12</v>
      </c>
      <c r="T33" s="5">
        <v>9</v>
      </c>
      <c r="U33" s="5">
        <v>9</v>
      </c>
      <c r="V33" s="5">
        <v>12</v>
      </c>
      <c r="W33" s="5">
        <v>15</v>
      </c>
      <c r="AD33" s="5">
        <f t="shared" si="5"/>
        <v>87</v>
      </c>
      <c r="AG33" s="5">
        <v>3</v>
      </c>
      <c r="AH33" s="5">
        <v>4</v>
      </c>
      <c r="AI33" s="5">
        <v>5</v>
      </c>
      <c r="AJ33" s="5">
        <v>5</v>
      </c>
      <c r="AK33" s="5">
        <v>4</v>
      </c>
      <c r="AL33" s="5">
        <v>5</v>
      </c>
      <c r="AM33" s="19">
        <v>3</v>
      </c>
      <c r="AN33" s="5">
        <v>5</v>
      </c>
      <c r="AO33" s="5">
        <v>5</v>
      </c>
      <c r="AP33" s="5">
        <v>3</v>
      </c>
      <c r="AQ33" s="5">
        <v>5</v>
      </c>
      <c r="AR33" s="5">
        <v>5</v>
      </c>
      <c r="AS33" s="5">
        <v>5</v>
      </c>
      <c r="AT33" s="17" t="s">
        <v>92</v>
      </c>
      <c r="AU33" s="5">
        <v>5</v>
      </c>
      <c r="AV33" s="5">
        <v>5</v>
      </c>
      <c r="AW33" s="17" t="s">
        <v>92</v>
      </c>
      <c r="AX33" s="5">
        <v>4</v>
      </c>
      <c r="AY33" s="5">
        <v>5</v>
      </c>
      <c r="AZ33" s="5">
        <v>5</v>
      </c>
      <c r="BJ33" s="5">
        <f t="shared" si="6"/>
        <v>81</v>
      </c>
      <c r="BL33" s="5">
        <v>4</v>
      </c>
      <c r="BM33" s="5">
        <v>4</v>
      </c>
      <c r="BN33" s="5">
        <v>4</v>
      </c>
      <c r="BO33" s="5">
        <v>4</v>
      </c>
      <c r="BP33" s="5">
        <v>4</v>
      </c>
      <c r="BQ33" s="5">
        <v>4</v>
      </c>
      <c r="BR33" s="5">
        <v>0</v>
      </c>
      <c r="BS33" s="5">
        <v>4</v>
      </c>
      <c r="BT33" s="5">
        <v>3</v>
      </c>
      <c r="BU33" s="5">
        <v>4</v>
      </c>
      <c r="BV33" s="5">
        <v>5</v>
      </c>
      <c r="BW33" s="5">
        <v>4</v>
      </c>
      <c r="BX33" s="5">
        <v>0</v>
      </c>
      <c r="BY33" s="5">
        <v>4</v>
      </c>
      <c r="BZ33" s="5">
        <v>4</v>
      </c>
      <c r="CA33" s="5">
        <v>4</v>
      </c>
      <c r="CB33" s="5">
        <v>4</v>
      </c>
      <c r="CC33" s="27">
        <v>4</v>
      </c>
      <c r="CM33" s="5">
        <f t="shared" si="7"/>
        <v>64</v>
      </c>
    </row>
    <row r="34" spans="1:91" s="5" customFormat="1" ht="15.5" x14ac:dyDescent="0.45">
      <c r="A34" s="1" t="s">
        <v>65</v>
      </c>
      <c r="B34" s="1"/>
      <c r="C34" s="5">
        <f t="shared" si="0"/>
        <v>157</v>
      </c>
      <c r="D34" s="13">
        <v>122.5</v>
      </c>
      <c r="F34" s="26">
        <f t="shared" si="1"/>
        <v>111</v>
      </c>
      <c r="G34" s="5">
        <f t="shared" si="2"/>
        <v>69</v>
      </c>
      <c r="H34" s="5">
        <f t="shared" si="3"/>
        <v>74</v>
      </c>
      <c r="I34" s="5">
        <f t="shared" si="4"/>
        <v>533.5</v>
      </c>
      <c r="K34" s="5">
        <v>58</v>
      </c>
      <c r="L34" s="5">
        <v>59</v>
      </c>
      <c r="M34" s="5">
        <v>40</v>
      </c>
      <c r="O34" s="5">
        <v>12</v>
      </c>
      <c r="P34" s="5">
        <v>9</v>
      </c>
      <c r="Q34" s="5">
        <v>15</v>
      </c>
      <c r="R34" s="5">
        <v>12</v>
      </c>
      <c r="S34" s="5">
        <v>15</v>
      </c>
      <c r="T34" s="5">
        <v>12</v>
      </c>
      <c r="U34" s="5">
        <v>9</v>
      </c>
      <c r="V34" s="5">
        <v>15</v>
      </c>
      <c r="W34" s="5">
        <v>12</v>
      </c>
      <c r="AD34" s="5">
        <f t="shared" si="5"/>
        <v>111</v>
      </c>
      <c r="AG34" s="5">
        <v>5</v>
      </c>
      <c r="AH34" s="5">
        <v>5</v>
      </c>
      <c r="AI34" s="5">
        <v>5</v>
      </c>
      <c r="AJ34" s="5">
        <v>5</v>
      </c>
      <c r="AK34" s="5">
        <v>3</v>
      </c>
      <c r="AL34" s="5">
        <v>5</v>
      </c>
      <c r="AM34" s="19">
        <v>5</v>
      </c>
      <c r="AN34" s="5">
        <v>3</v>
      </c>
      <c r="AO34" s="5">
        <v>3</v>
      </c>
      <c r="AP34" s="5">
        <v>3</v>
      </c>
      <c r="AQ34" s="5">
        <v>5</v>
      </c>
      <c r="AR34" s="5">
        <v>5</v>
      </c>
      <c r="AS34" s="5">
        <v>5</v>
      </c>
      <c r="AT34" s="17" t="s">
        <v>92</v>
      </c>
      <c r="AU34" s="5">
        <v>3</v>
      </c>
      <c r="AV34" s="5">
        <v>5</v>
      </c>
      <c r="AW34" s="17" t="s">
        <v>92</v>
      </c>
      <c r="AX34" s="5">
        <v>3</v>
      </c>
      <c r="AY34" s="5">
        <v>3</v>
      </c>
      <c r="AZ34" s="5">
        <v>3</v>
      </c>
      <c r="BJ34" s="5">
        <f t="shared" si="6"/>
        <v>74</v>
      </c>
      <c r="BL34" s="5">
        <v>4</v>
      </c>
      <c r="BM34" s="5">
        <v>4</v>
      </c>
      <c r="BN34" s="5">
        <v>3</v>
      </c>
      <c r="BO34" s="5">
        <v>4</v>
      </c>
      <c r="BP34" s="5">
        <v>4</v>
      </c>
      <c r="BQ34" s="5">
        <v>4</v>
      </c>
      <c r="BR34" s="5">
        <v>4</v>
      </c>
      <c r="BS34" s="5">
        <v>4</v>
      </c>
      <c r="BT34" s="5">
        <v>4</v>
      </c>
      <c r="BU34" s="5">
        <v>4</v>
      </c>
      <c r="BV34" s="5">
        <v>3</v>
      </c>
      <c r="BW34" s="5">
        <v>4</v>
      </c>
      <c r="BX34" s="5">
        <v>4</v>
      </c>
      <c r="BY34" s="5">
        <v>4</v>
      </c>
      <c r="BZ34" s="5">
        <v>3</v>
      </c>
      <c r="CA34" s="5">
        <v>4</v>
      </c>
      <c r="CB34" s="5">
        <v>4</v>
      </c>
      <c r="CC34" s="27">
        <v>4</v>
      </c>
      <c r="CM34" s="5">
        <f t="shared" si="7"/>
        <v>69</v>
      </c>
    </row>
    <row r="35" spans="1:91" s="5" customFormat="1" ht="15.5" x14ac:dyDescent="0.45">
      <c r="A35" s="1" t="s">
        <v>75</v>
      </c>
      <c r="B35" s="1"/>
      <c r="C35" s="5">
        <f t="shared" si="0"/>
        <v>157</v>
      </c>
      <c r="D35" s="13">
        <v>117.5</v>
      </c>
      <c r="F35" s="26">
        <f t="shared" si="1"/>
        <v>87</v>
      </c>
      <c r="G35" s="5">
        <f t="shared" si="2"/>
        <v>67</v>
      </c>
      <c r="H35" s="5">
        <f t="shared" si="3"/>
        <v>88</v>
      </c>
      <c r="I35" s="5">
        <f t="shared" si="4"/>
        <v>516.5</v>
      </c>
      <c r="K35" s="5">
        <v>60</v>
      </c>
      <c r="L35" s="5">
        <v>57</v>
      </c>
      <c r="M35" s="5">
        <v>40</v>
      </c>
      <c r="O35" s="5">
        <v>6</v>
      </c>
      <c r="P35" s="5">
        <v>9</v>
      </c>
      <c r="Q35" s="5">
        <v>15</v>
      </c>
      <c r="R35" s="5">
        <v>15</v>
      </c>
      <c r="S35" s="5">
        <v>6</v>
      </c>
      <c r="T35" s="5">
        <v>3</v>
      </c>
      <c r="U35" s="5">
        <v>15</v>
      </c>
      <c r="V35" s="5">
        <v>15</v>
      </c>
      <c r="W35" s="5">
        <v>3</v>
      </c>
      <c r="AD35" s="5">
        <f t="shared" si="5"/>
        <v>87</v>
      </c>
      <c r="AG35" s="5">
        <v>5</v>
      </c>
      <c r="AH35" s="5">
        <v>5</v>
      </c>
      <c r="AI35" s="5">
        <v>5</v>
      </c>
      <c r="AJ35" s="5">
        <v>5</v>
      </c>
      <c r="AK35" s="5">
        <v>5</v>
      </c>
      <c r="AL35" s="5">
        <v>5</v>
      </c>
      <c r="AM35" s="19">
        <v>5</v>
      </c>
      <c r="AN35" s="5">
        <v>5</v>
      </c>
      <c r="AO35" s="5">
        <v>5</v>
      </c>
      <c r="AP35" s="5">
        <v>5</v>
      </c>
      <c r="AQ35" s="5">
        <v>3</v>
      </c>
      <c r="AR35" s="5">
        <v>5</v>
      </c>
      <c r="AS35" s="10">
        <v>5</v>
      </c>
      <c r="AT35" s="17" t="s">
        <v>92</v>
      </c>
      <c r="AU35" s="5">
        <v>5</v>
      </c>
      <c r="AV35" s="5">
        <v>5</v>
      </c>
      <c r="AW35" s="17" t="s">
        <v>92</v>
      </c>
      <c r="AX35" s="5">
        <v>5</v>
      </c>
      <c r="AY35" s="5">
        <v>5</v>
      </c>
      <c r="AZ35" s="5">
        <v>5</v>
      </c>
      <c r="BJ35" s="5">
        <f t="shared" si="6"/>
        <v>88</v>
      </c>
      <c r="BL35" s="5">
        <v>4</v>
      </c>
      <c r="BM35" s="5">
        <v>4</v>
      </c>
      <c r="BN35" s="5">
        <v>4</v>
      </c>
      <c r="BO35" s="5">
        <v>4</v>
      </c>
      <c r="BP35" s="5">
        <v>4</v>
      </c>
      <c r="BQ35" s="5">
        <v>4</v>
      </c>
      <c r="BR35" s="5">
        <v>4</v>
      </c>
      <c r="BS35" s="5">
        <v>4</v>
      </c>
      <c r="BT35" s="5">
        <v>4</v>
      </c>
      <c r="BU35" s="5">
        <v>3</v>
      </c>
      <c r="BV35" s="5">
        <v>2</v>
      </c>
      <c r="BW35" s="5">
        <v>4</v>
      </c>
      <c r="BX35" s="5">
        <v>4</v>
      </c>
      <c r="BY35" s="5">
        <v>4</v>
      </c>
      <c r="BZ35" s="5">
        <v>3</v>
      </c>
      <c r="CA35" s="5">
        <v>3</v>
      </c>
      <c r="CB35" s="5">
        <v>4</v>
      </c>
      <c r="CC35" s="27">
        <v>4</v>
      </c>
      <c r="CM35" s="5">
        <f t="shared" si="7"/>
        <v>67</v>
      </c>
    </row>
    <row r="36" spans="1:91" s="5" customFormat="1" ht="15.5" x14ac:dyDescent="0.45">
      <c r="A36" s="1" t="s">
        <v>30</v>
      </c>
      <c r="B36" s="1"/>
      <c r="C36" s="5">
        <f t="shared" si="0"/>
        <v>147</v>
      </c>
      <c r="D36" s="13">
        <v>117.5</v>
      </c>
      <c r="F36" s="26">
        <f t="shared" si="1"/>
        <v>93</v>
      </c>
      <c r="G36" s="5">
        <f t="shared" si="2"/>
        <v>68</v>
      </c>
      <c r="H36" s="5">
        <f t="shared" si="3"/>
        <v>86</v>
      </c>
      <c r="I36" s="5">
        <f t="shared" si="4"/>
        <v>511.5</v>
      </c>
      <c r="K36" s="5">
        <v>53</v>
      </c>
      <c r="L36" s="5">
        <v>57</v>
      </c>
      <c r="M36" s="5">
        <v>37</v>
      </c>
      <c r="O36" s="5">
        <v>9</v>
      </c>
      <c r="P36" s="5">
        <v>9</v>
      </c>
      <c r="Q36" s="5">
        <v>12</v>
      </c>
      <c r="R36" s="5">
        <v>12</v>
      </c>
      <c r="S36" s="5">
        <v>12</v>
      </c>
      <c r="T36" s="5">
        <v>12</v>
      </c>
      <c r="U36" s="5">
        <v>9</v>
      </c>
      <c r="V36" s="5">
        <v>9</v>
      </c>
      <c r="W36" s="5">
        <v>9</v>
      </c>
      <c r="AD36" s="5">
        <f t="shared" si="5"/>
        <v>93</v>
      </c>
      <c r="AG36" s="5">
        <v>3</v>
      </c>
      <c r="AH36" s="5">
        <v>5</v>
      </c>
      <c r="AI36" s="5">
        <v>5</v>
      </c>
      <c r="AJ36" s="5">
        <v>5</v>
      </c>
      <c r="AK36" s="5">
        <v>5</v>
      </c>
      <c r="AL36" s="5">
        <v>5</v>
      </c>
      <c r="AM36" s="19">
        <v>5</v>
      </c>
      <c r="AN36" s="5">
        <v>5</v>
      </c>
      <c r="AO36" s="5">
        <v>5</v>
      </c>
      <c r="AP36" s="5">
        <v>5</v>
      </c>
      <c r="AQ36" s="5">
        <v>5</v>
      </c>
      <c r="AR36" s="5">
        <v>3</v>
      </c>
      <c r="AS36" s="19">
        <v>5</v>
      </c>
      <c r="AT36" s="17" t="s">
        <v>92</v>
      </c>
      <c r="AU36" s="5">
        <v>5</v>
      </c>
      <c r="AV36" s="5">
        <v>5</v>
      </c>
      <c r="AW36" s="17" t="s">
        <v>92</v>
      </c>
      <c r="AX36" s="5">
        <v>5</v>
      </c>
      <c r="AY36" s="5">
        <v>5</v>
      </c>
      <c r="AZ36" s="5">
        <v>5</v>
      </c>
      <c r="BJ36" s="5">
        <f t="shared" si="6"/>
        <v>86</v>
      </c>
      <c r="BL36" s="5">
        <v>4</v>
      </c>
      <c r="BM36" s="5">
        <v>2</v>
      </c>
      <c r="BN36" s="5">
        <v>3</v>
      </c>
      <c r="BO36" s="5">
        <v>4</v>
      </c>
      <c r="BP36" s="5">
        <v>4</v>
      </c>
      <c r="BQ36" s="5">
        <v>4</v>
      </c>
      <c r="BR36" s="5">
        <v>4</v>
      </c>
      <c r="BS36" s="5">
        <v>4</v>
      </c>
      <c r="BT36" s="5">
        <v>4</v>
      </c>
      <c r="BU36" s="5">
        <v>4</v>
      </c>
      <c r="BV36" s="5">
        <v>3</v>
      </c>
      <c r="BW36" s="5">
        <v>4</v>
      </c>
      <c r="BX36" s="5">
        <v>4</v>
      </c>
      <c r="BY36" s="5">
        <v>4</v>
      </c>
      <c r="BZ36" s="5">
        <v>4</v>
      </c>
      <c r="CA36" s="5">
        <v>4</v>
      </c>
      <c r="CB36" s="5">
        <v>4</v>
      </c>
      <c r="CC36" s="27">
        <v>4</v>
      </c>
      <c r="CM36" s="5">
        <f t="shared" si="7"/>
        <v>68</v>
      </c>
    </row>
    <row r="37" spans="1:91" s="5" customFormat="1" ht="15.5" x14ac:dyDescent="0.45">
      <c r="A37" s="1" t="s">
        <v>32</v>
      </c>
      <c r="B37" s="1"/>
      <c r="C37" s="5">
        <f t="shared" si="0"/>
        <v>158</v>
      </c>
      <c r="D37" s="13">
        <v>102.5</v>
      </c>
      <c r="F37" s="26">
        <f t="shared" si="1"/>
        <v>84</v>
      </c>
      <c r="G37" s="5">
        <f t="shared" si="2"/>
        <v>62</v>
      </c>
      <c r="H37" s="5">
        <f t="shared" si="3"/>
        <v>78</v>
      </c>
      <c r="I37" s="5">
        <f t="shared" si="4"/>
        <v>484.5</v>
      </c>
      <c r="K37" s="5">
        <v>59</v>
      </c>
      <c r="L37" s="5">
        <v>59</v>
      </c>
      <c r="M37" s="5">
        <v>40</v>
      </c>
      <c r="O37" s="5">
        <v>9</v>
      </c>
      <c r="P37" s="5">
        <v>3</v>
      </c>
      <c r="Q37" s="5">
        <v>12</v>
      </c>
      <c r="R37" s="5">
        <v>15</v>
      </c>
      <c r="S37" s="5">
        <v>15</v>
      </c>
      <c r="T37" s="5">
        <v>9</v>
      </c>
      <c r="U37" s="5">
        <v>6</v>
      </c>
      <c r="V37" s="5">
        <v>0</v>
      </c>
      <c r="W37" s="5">
        <v>15</v>
      </c>
      <c r="AD37" s="5">
        <f t="shared" si="5"/>
        <v>84</v>
      </c>
      <c r="AG37" s="5">
        <v>5</v>
      </c>
      <c r="AH37" s="5">
        <v>5</v>
      </c>
      <c r="AI37" s="5">
        <v>5</v>
      </c>
      <c r="AJ37" s="5">
        <v>5</v>
      </c>
      <c r="AK37" s="5">
        <v>5</v>
      </c>
      <c r="AL37" s="5">
        <v>5</v>
      </c>
      <c r="AM37" s="10">
        <v>5</v>
      </c>
      <c r="AN37" s="5">
        <v>5</v>
      </c>
      <c r="AO37" s="5">
        <v>0</v>
      </c>
      <c r="AP37" s="5">
        <v>5</v>
      </c>
      <c r="AQ37" s="5">
        <v>3</v>
      </c>
      <c r="AR37" s="5">
        <v>5</v>
      </c>
      <c r="AS37" s="10">
        <v>3</v>
      </c>
      <c r="AT37" s="17" t="s">
        <v>92</v>
      </c>
      <c r="AU37" s="5">
        <v>5</v>
      </c>
      <c r="AV37" s="5">
        <v>4</v>
      </c>
      <c r="AW37" s="17" t="s">
        <v>92</v>
      </c>
      <c r="AX37" s="5">
        <v>3</v>
      </c>
      <c r="AY37" s="5">
        <v>5</v>
      </c>
      <c r="AZ37" s="5">
        <v>5</v>
      </c>
      <c r="BJ37" s="5">
        <f t="shared" si="6"/>
        <v>78</v>
      </c>
      <c r="BL37" s="5">
        <v>4</v>
      </c>
      <c r="BM37" s="5">
        <v>3</v>
      </c>
      <c r="BN37" s="5">
        <v>3</v>
      </c>
      <c r="BO37" s="5">
        <v>4</v>
      </c>
      <c r="BP37" s="5">
        <v>0</v>
      </c>
      <c r="BQ37" s="5">
        <v>4</v>
      </c>
      <c r="BR37" s="5">
        <v>4</v>
      </c>
      <c r="BS37" s="5">
        <v>2</v>
      </c>
      <c r="BT37" s="5">
        <v>3</v>
      </c>
      <c r="BU37" s="5">
        <v>4</v>
      </c>
      <c r="BV37" s="5">
        <v>4</v>
      </c>
      <c r="BW37" s="5">
        <v>4</v>
      </c>
      <c r="BX37" s="5">
        <v>4</v>
      </c>
      <c r="BY37" s="5">
        <v>4</v>
      </c>
      <c r="BZ37" s="5">
        <v>3</v>
      </c>
      <c r="CA37" s="5">
        <v>4</v>
      </c>
      <c r="CB37" s="5">
        <v>4</v>
      </c>
      <c r="CC37" s="27">
        <v>4</v>
      </c>
      <c r="CM37" s="5">
        <f t="shared" si="7"/>
        <v>62</v>
      </c>
    </row>
    <row r="38" spans="1:91" s="5" customFormat="1" ht="15.5" x14ac:dyDescent="0.45">
      <c r="A38" s="1" t="s">
        <v>50</v>
      </c>
      <c r="B38" s="1"/>
      <c r="C38" s="5">
        <f t="shared" si="0"/>
        <v>140</v>
      </c>
      <c r="D38" s="13">
        <v>97.5</v>
      </c>
      <c r="F38" s="26">
        <f t="shared" si="1"/>
        <v>75</v>
      </c>
      <c r="G38" s="5">
        <f t="shared" si="2"/>
        <v>52</v>
      </c>
      <c r="H38" s="5">
        <f t="shared" si="3"/>
        <v>66</v>
      </c>
      <c r="I38" s="5">
        <f t="shared" si="4"/>
        <v>430.5</v>
      </c>
      <c r="K38" s="5">
        <v>49</v>
      </c>
      <c r="L38" s="5">
        <v>57</v>
      </c>
      <c r="M38" s="5">
        <v>34</v>
      </c>
      <c r="O38" s="5">
        <v>9</v>
      </c>
      <c r="P38" s="5">
        <v>0</v>
      </c>
      <c r="Q38" s="5">
        <v>15</v>
      </c>
      <c r="R38" s="5">
        <v>9</v>
      </c>
      <c r="S38" s="5">
        <v>6</v>
      </c>
      <c r="T38" s="5">
        <v>15</v>
      </c>
      <c r="U38" s="5">
        <v>9</v>
      </c>
      <c r="V38" s="5">
        <v>9</v>
      </c>
      <c r="W38" s="5">
        <v>3</v>
      </c>
      <c r="AD38" s="5">
        <f t="shared" si="5"/>
        <v>75</v>
      </c>
      <c r="AG38" s="5">
        <v>3</v>
      </c>
      <c r="AH38" s="5">
        <v>5</v>
      </c>
      <c r="AI38" s="5">
        <v>5</v>
      </c>
      <c r="AJ38" s="5">
        <v>3</v>
      </c>
      <c r="AK38" s="5">
        <v>3</v>
      </c>
      <c r="AL38" s="5">
        <v>5</v>
      </c>
      <c r="AM38" s="19">
        <v>5</v>
      </c>
      <c r="AN38" s="5">
        <v>5</v>
      </c>
      <c r="AO38" s="5">
        <v>5</v>
      </c>
      <c r="AP38" s="5">
        <v>0</v>
      </c>
      <c r="AQ38" s="5">
        <v>3</v>
      </c>
      <c r="AR38" s="5">
        <v>5</v>
      </c>
      <c r="AS38" s="10">
        <v>3</v>
      </c>
      <c r="AT38" s="17" t="s">
        <v>92</v>
      </c>
      <c r="AU38" s="5">
        <v>0</v>
      </c>
      <c r="AV38" s="5">
        <v>3</v>
      </c>
      <c r="AW38" s="17" t="s">
        <v>92</v>
      </c>
      <c r="AX38" s="5">
        <v>5</v>
      </c>
      <c r="AY38" s="5">
        <v>3</v>
      </c>
      <c r="AZ38" s="5">
        <v>5</v>
      </c>
      <c r="BJ38" s="5">
        <f t="shared" si="6"/>
        <v>66</v>
      </c>
      <c r="BL38" s="5">
        <v>3</v>
      </c>
      <c r="BM38" s="5">
        <v>3</v>
      </c>
      <c r="BN38" s="5">
        <v>3</v>
      </c>
      <c r="BO38" s="5">
        <v>0</v>
      </c>
      <c r="BP38" s="5">
        <v>0</v>
      </c>
      <c r="BQ38" s="5">
        <v>4</v>
      </c>
      <c r="BR38" s="5">
        <v>2</v>
      </c>
      <c r="BS38" s="5">
        <v>3</v>
      </c>
      <c r="BT38" s="5">
        <v>4</v>
      </c>
      <c r="BU38" s="5">
        <v>3</v>
      </c>
      <c r="BV38" s="5">
        <v>2</v>
      </c>
      <c r="BW38" s="5">
        <v>4</v>
      </c>
      <c r="BX38" s="5">
        <v>4</v>
      </c>
      <c r="BY38" s="5">
        <v>4</v>
      </c>
      <c r="BZ38" s="5">
        <v>2</v>
      </c>
      <c r="CA38" s="5">
        <v>3</v>
      </c>
      <c r="CB38" s="5">
        <v>4</v>
      </c>
      <c r="CC38" s="27">
        <v>4</v>
      </c>
      <c r="CM38" s="5">
        <f t="shared" si="7"/>
        <v>52</v>
      </c>
    </row>
    <row r="39" spans="1:91" s="5" customFormat="1" ht="15.5" x14ac:dyDescent="0.45">
      <c r="A39" s="1" t="s">
        <v>63</v>
      </c>
      <c r="B39" s="1"/>
      <c r="C39" s="5">
        <f t="shared" si="0"/>
        <v>156</v>
      </c>
      <c r="D39" s="13">
        <v>126.5</v>
      </c>
      <c r="F39" s="26">
        <f t="shared" si="1"/>
        <v>117</v>
      </c>
      <c r="G39" s="5">
        <f t="shared" si="2"/>
        <v>69</v>
      </c>
      <c r="H39" s="5">
        <f t="shared" si="3"/>
        <v>88</v>
      </c>
      <c r="I39" s="5">
        <f t="shared" si="4"/>
        <v>556.5</v>
      </c>
      <c r="K39" s="5">
        <v>57</v>
      </c>
      <c r="L39" s="5">
        <v>59</v>
      </c>
      <c r="M39" s="5">
        <v>40</v>
      </c>
      <c r="O39" s="5">
        <v>15</v>
      </c>
      <c r="P39" s="5">
        <v>15</v>
      </c>
      <c r="Q39" s="5">
        <v>12</v>
      </c>
      <c r="R39" s="5">
        <v>15</v>
      </c>
      <c r="S39" s="5">
        <v>12</v>
      </c>
      <c r="T39" s="5">
        <v>12</v>
      </c>
      <c r="U39" s="5">
        <v>12</v>
      </c>
      <c r="V39" s="5">
        <v>15</v>
      </c>
      <c r="W39" s="5">
        <v>9</v>
      </c>
      <c r="AD39" s="5">
        <f t="shared" si="5"/>
        <v>117</v>
      </c>
      <c r="AG39" s="5">
        <v>5</v>
      </c>
      <c r="AH39" s="5">
        <v>5</v>
      </c>
      <c r="AI39" s="5">
        <v>5</v>
      </c>
      <c r="AJ39" s="5">
        <v>5</v>
      </c>
      <c r="AK39" s="5">
        <v>5</v>
      </c>
      <c r="AL39" s="5">
        <v>5</v>
      </c>
      <c r="AM39" s="19">
        <v>5</v>
      </c>
      <c r="AN39" s="5">
        <v>5</v>
      </c>
      <c r="AO39" s="5">
        <v>5</v>
      </c>
      <c r="AP39" s="5">
        <v>5</v>
      </c>
      <c r="AQ39" s="5">
        <v>5</v>
      </c>
      <c r="AR39" s="5">
        <v>5</v>
      </c>
      <c r="AS39" s="5">
        <v>5</v>
      </c>
      <c r="AT39" s="17" t="s">
        <v>92</v>
      </c>
      <c r="AU39" s="5">
        <v>5</v>
      </c>
      <c r="AV39" s="5">
        <v>5</v>
      </c>
      <c r="AW39" s="17" t="s">
        <v>92</v>
      </c>
      <c r="AX39" s="5">
        <v>3</v>
      </c>
      <c r="AY39" s="5">
        <v>5</v>
      </c>
      <c r="AZ39" s="5">
        <v>5</v>
      </c>
      <c r="BJ39" s="5">
        <f t="shared" si="6"/>
        <v>88</v>
      </c>
      <c r="BL39" s="5">
        <v>4</v>
      </c>
      <c r="BM39" s="5">
        <v>2</v>
      </c>
      <c r="BN39" s="5">
        <v>3</v>
      </c>
      <c r="BO39" s="5">
        <v>4</v>
      </c>
      <c r="BP39" s="5">
        <v>4</v>
      </c>
      <c r="BQ39" s="5">
        <v>4</v>
      </c>
      <c r="BR39" s="5">
        <v>4</v>
      </c>
      <c r="BS39" s="5">
        <v>4</v>
      </c>
      <c r="BT39" s="5">
        <v>4</v>
      </c>
      <c r="BU39" s="5">
        <v>4</v>
      </c>
      <c r="BV39" s="5">
        <v>4</v>
      </c>
      <c r="BW39" s="5">
        <v>4</v>
      </c>
      <c r="BX39" s="5">
        <v>4</v>
      </c>
      <c r="BY39" s="5">
        <v>4</v>
      </c>
      <c r="BZ39" s="5">
        <v>4</v>
      </c>
      <c r="CA39" s="5">
        <v>4</v>
      </c>
      <c r="CB39" s="5">
        <v>4</v>
      </c>
      <c r="CC39" s="27">
        <v>4</v>
      </c>
      <c r="CM39" s="5">
        <f t="shared" si="7"/>
        <v>69</v>
      </c>
    </row>
    <row r="40" spans="1:91" s="5" customFormat="1" ht="15.5" x14ac:dyDescent="0.45">
      <c r="A40" s="1" t="s">
        <v>60</v>
      </c>
      <c r="B40" s="1"/>
      <c r="C40" s="5">
        <f t="shared" si="0"/>
        <v>156</v>
      </c>
      <c r="D40" s="13">
        <v>98</v>
      </c>
      <c r="F40" s="26">
        <f t="shared" si="1"/>
        <v>72</v>
      </c>
      <c r="G40" s="5">
        <f t="shared" si="2"/>
        <v>53</v>
      </c>
      <c r="H40" s="5">
        <f t="shared" si="3"/>
        <v>67</v>
      </c>
      <c r="I40" s="5">
        <f t="shared" si="4"/>
        <v>446</v>
      </c>
      <c r="K40" s="5">
        <v>60</v>
      </c>
      <c r="L40" s="5">
        <v>58</v>
      </c>
      <c r="M40" s="5">
        <v>38</v>
      </c>
      <c r="O40" s="5">
        <v>12</v>
      </c>
      <c r="P40" s="5">
        <v>9</v>
      </c>
      <c r="Q40" s="5">
        <v>15</v>
      </c>
      <c r="R40" s="5">
        <v>9</v>
      </c>
      <c r="S40" s="5">
        <v>6</v>
      </c>
      <c r="T40" s="5">
        <v>6</v>
      </c>
      <c r="U40" s="5">
        <v>9</v>
      </c>
      <c r="V40" s="5">
        <v>0</v>
      </c>
      <c r="W40" s="5">
        <v>6</v>
      </c>
      <c r="AD40" s="5">
        <f t="shared" si="5"/>
        <v>72</v>
      </c>
      <c r="AG40" s="5">
        <v>3</v>
      </c>
      <c r="AH40" s="5">
        <v>5</v>
      </c>
      <c r="AI40" s="5">
        <v>5</v>
      </c>
      <c r="AJ40" s="5">
        <v>5</v>
      </c>
      <c r="AK40" s="5">
        <v>5</v>
      </c>
      <c r="AL40" s="5">
        <v>5</v>
      </c>
      <c r="AM40" s="19">
        <v>0</v>
      </c>
      <c r="AN40" s="5">
        <v>5</v>
      </c>
      <c r="AO40" s="5">
        <v>3</v>
      </c>
      <c r="AP40" s="5">
        <v>5</v>
      </c>
      <c r="AQ40" s="5">
        <v>5</v>
      </c>
      <c r="AR40" s="5">
        <v>3</v>
      </c>
      <c r="AS40" s="5">
        <v>5</v>
      </c>
      <c r="AT40" s="17" t="s">
        <v>92</v>
      </c>
      <c r="AU40" s="5">
        <v>5</v>
      </c>
      <c r="AV40" s="5">
        <v>0</v>
      </c>
      <c r="AW40" s="17" t="s">
        <v>92</v>
      </c>
      <c r="AX40" s="5">
        <v>0</v>
      </c>
      <c r="AY40" s="5">
        <v>5</v>
      </c>
      <c r="AZ40" s="5">
        <v>3</v>
      </c>
      <c r="BJ40" s="5">
        <f t="shared" si="6"/>
        <v>67</v>
      </c>
      <c r="BL40" s="5">
        <v>3</v>
      </c>
      <c r="BM40" s="5">
        <v>4</v>
      </c>
      <c r="BN40" s="5">
        <v>3</v>
      </c>
      <c r="BO40" s="5">
        <v>4</v>
      </c>
      <c r="BP40" s="5">
        <v>4</v>
      </c>
      <c r="BQ40" s="5">
        <v>0</v>
      </c>
      <c r="BR40" s="5">
        <v>3</v>
      </c>
      <c r="BS40" s="5">
        <v>0</v>
      </c>
      <c r="BT40" s="5">
        <v>2</v>
      </c>
      <c r="BU40" s="5">
        <v>4</v>
      </c>
      <c r="BV40" s="5">
        <v>3</v>
      </c>
      <c r="BW40" s="5">
        <v>4</v>
      </c>
      <c r="BX40" s="5">
        <v>4</v>
      </c>
      <c r="BY40" s="5">
        <v>3</v>
      </c>
      <c r="BZ40" s="5">
        <v>0</v>
      </c>
      <c r="CA40" s="5">
        <v>4</v>
      </c>
      <c r="CB40" s="5">
        <v>4</v>
      </c>
      <c r="CC40" s="27">
        <v>4</v>
      </c>
      <c r="CM40" s="5">
        <f t="shared" si="7"/>
        <v>53</v>
      </c>
    </row>
    <row r="41" spans="1:91" s="5" customFormat="1" ht="15.5" x14ac:dyDescent="0.45">
      <c r="A41" s="1" t="s">
        <v>35</v>
      </c>
      <c r="B41" s="1"/>
      <c r="C41" s="5">
        <f t="shared" si="0"/>
        <v>145</v>
      </c>
      <c r="D41" s="13">
        <v>119</v>
      </c>
      <c r="F41" s="26">
        <f t="shared" si="1"/>
        <v>90</v>
      </c>
      <c r="G41" s="5">
        <f t="shared" si="2"/>
        <v>55</v>
      </c>
      <c r="H41" s="5">
        <f t="shared" si="3"/>
        <v>81</v>
      </c>
      <c r="I41" s="5">
        <f t="shared" si="4"/>
        <v>490</v>
      </c>
      <c r="K41" s="5">
        <v>48</v>
      </c>
      <c r="L41" s="5">
        <v>58</v>
      </c>
      <c r="M41" s="5">
        <v>39</v>
      </c>
      <c r="O41" s="5">
        <v>12</v>
      </c>
      <c r="P41" s="5">
        <v>12</v>
      </c>
      <c r="Q41" s="5">
        <v>12</v>
      </c>
      <c r="R41" s="5">
        <v>0</v>
      </c>
      <c r="S41" s="5">
        <v>12</v>
      </c>
      <c r="T41" s="5">
        <v>9</v>
      </c>
      <c r="U41" s="5">
        <v>12</v>
      </c>
      <c r="V41" s="5">
        <v>6</v>
      </c>
      <c r="W41" s="5">
        <v>15</v>
      </c>
      <c r="AD41" s="5">
        <f t="shared" si="5"/>
        <v>90</v>
      </c>
      <c r="AG41" s="5">
        <v>5</v>
      </c>
      <c r="AH41" s="5">
        <v>5</v>
      </c>
      <c r="AI41" s="5">
        <v>5</v>
      </c>
      <c r="AJ41" s="5">
        <v>5</v>
      </c>
      <c r="AK41" s="5">
        <v>5</v>
      </c>
      <c r="AL41" s="5">
        <v>5</v>
      </c>
      <c r="AM41" s="19">
        <v>5</v>
      </c>
      <c r="AN41" s="5">
        <v>5</v>
      </c>
      <c r="AO41" s="5">
        <v>5</v>
      </c>
      <c r="AP41" s="5">
        <v>5</v>
      </c>
      <c r="AQ41" s="5">
        <v>3</v>
      </c>
      <c r="AR41" s="5">
        <v>5</v>
      </c>
      <c r="AS41" s="19">
        <v>4</v>
      </c>
      <c r="AT41" s="17" t="s">
        <v>92</v>
      </c>
      <c r="AU41" s="5">
        <v>0</v>
      </c>
      <c r="AV41" s="5">
        <v>4</v>
      </c>
      <c r="AW41" s="17" t="s">
        <v>92</v>
      </c>
      <c r="AX41" s="5">
        <v>5</v>
      </c>
      <c r="AY41" s="5">
        <v>5</v>
      </c>
      <c r="AZ41" s="5">
        <v>5</v>
      </c>
      <c r="BJ41" s="5">
        <f t="shared" si="6"/>
        <v>81</v>
      </c>
      <c r="BL41" s="5">
        <v>2</v>
      </c>
      <c r="BM41" s="5">
        <v>3</v>
      </c>
      <c r="BN41" s="5">
        <v>4</v>
      </c>
      <c r="BO41" s="5">
        <v>4</v>
      </c>
      <c r="BP41" s="5">
        <v>4</v>
      </c>
      <c r="BQ41" s="5">
        <v>4</v>
      </c>
      <c r="BR41" s="5">
        <v>4</v>
      </c>
      <c r="BS41" s="5">
        <v>3</v>
      </c>
      <c r="BT41" s="5">
        <v>0</v>
      </c>
      <c r="BU41" s="5">
        <v>3</v>
      </c>
      <c r="BV41" s="5">
        <v>2</v>
      </c>
      <c r="BW41" s="5">
        <v>4</v>
      </c>
      <c r="BX41" s="5">
        <v>4</v>
      </c>
      <c r="BY41" s="5">
        <v>0</v>
      </c>
      <c r="BZ41" s="5">
        <v>2</v>
      </c>
      <c r="CA41" s="5">
        <v>4</v>
      </c>
      <c r="CB41" s="5">
        <v>4</v>
      </c>
      <c r="CC41" s="27">
        <v>4</v>
      </c>
      <c r="CM41" s="5">
        <f t="shared" si="7"/>
        <v>55</v>
      </c>
    </row>
    <row r="42" spans="1:91" s="5" customFormat="1" ht="15.5" x14ac:dyDescent="0.45">
      <c r="A42" s="1" t="s">
        <v>38</v>
      </c>
      <c r="B42" s="1"/>
      <c r="C42" s="5">
        <f t="shared" si="0"/>
        <v>138</v>
      </c>
      <c r="D42" s="13">
        <v>103.5</v>
      </c>
      <c r="F42" s="26">
        <f t="shared" si="1"/>
        <v>90</v>
      </c>
      <c r="G42" s="5">
        <f t="shared" si="2"/>
        <v>54</v>
      </c>
      <c r="H42" s="5">
        <f t="shared" si="3"/>
        <v>49</v>
      </c>
      <c r="I42" s="5">
        <f t="shared" si="4"/>
        <v>434.5</v>
      </c>
      <c r="K42" s="5">
        <v>53</v>
      </c>
      <c r="L42" s="5">
        <v>52</v>
      </c>
      <c r="M42" s="5">
        <v>33</v>
      </c>
      <c r="O42" s="5">
        <v>9</v>
      </c>
      <c r="P42" s="5">
        <v>6</v>
      </c>
      <c r="Q42" s="5">
        <v>12</v>
      </c>
      <c r="R42" s="5">
        <v>15</v>
      </c>
      <c r="S42" s="5">
        <v>9</v>
      </c>
      <c r="T42" s="5">
        <v>12</v>
      </c>
      <c r="U42" s="5">
        <v>6</v>
      </c>
      <c r="V42" s="5">
        <v>9</v>
      </c>
      <c r="W42" s="5">
        <v>12</v>
      </c>
      <c r="AD42" s="5">
        <f t="shared" si="5"/>
        <v>90</v>
      </c>
      <c r="AG42" s="5">
        <v>3</v>
      </c>
      <c r="AH42" s="5">
        <v>5</v>
      </c>
      <c r="AI42" s="5">
        <v>3</v>
      </c>
      <c r="AJ42" s="5">
        <v>3</v>
      </c>
      <c r="AK42" s="5">
        <v>5</v>
      </c>
      <c r="AL42" s="5">
        <v>5</v>
      </c>
      <c r="AM42" s="10">
        <v>3</v>
      </c>
      <c r="AN42" s="5">
        <v>3</v>
      </c>
      <c r="AO42" s="5">
        <v>0</v>
      </c>
      <c r="AP42" s="5">
        <v>0</v>
      </c>
      <c r="AQ42" s="5">
        <v>5</v>
      </c>
      <c r="AR42" s="5">
        <v>0</v>
      </c>
      <c r="AS42" s="10">
        <v>4</v>
      </c>
      <c r="AT42" s="17" t="s">
        <v>92</v>
      </c>
      <c r="AU42" s="5">
        <v>3</v>
      </c>
      <c r="AV42" s="5">
        <v>4</v>
      </c>
      <c r="AW42" s="17" t="s">
        <v>92</v>
      </c>
      <c r="AX42" s="5">
        <v>0</v>
      </c>
      <c r="AY42" s="5">
        <v>0</v>
      </c>
      <c r="AZ42" s="5">
        <v>3</v>
      </c>
      <c r="BJ42" s="5">
        <f t="shared" si="6"/>
        <v>49</v>
      </c>
      <c r="BL42" s="5">
        <v>4</v>
      </c>
      <c r="BM42" s="5">
        <v>4</v>
      </c>
      <c r="BN42" s="5">
        <v>4</v>
      </c>
      <c r="BO42" s="5">
        <v>0</v>
      </c>
      <c r="BP42" s="5">
        <v>4</v>
      </c>
      <c r="BQ42" s="5">
        <v>4</v>
      </c>
      <c r="BR42" s="5">
        <v>3</v>
      </c>
      <c r="BS42" s="5">
        <v>3</v>
      </c>
      <c r="BT42" s="5">
        <v>0</v>
      </c>
      <c r="BU42" s="5">
        <v>2</v>
      </c>
      <c r="BV42" s="5">
        <v>0</v>
      </c>
      <c r="BW42" s="5">
        <v>4</v>
      </c>
      <c r="BX42" s="5">
        <v>4</v>
      </c>
      <c r="BY42" s="5">
        <v>4</v>
      </c>
      <c r="BZ42" s="5">
        <v>2</v>
      </c>
      <c r="CA42" s="5">
        <v>4</v>
      </c>
      <c r="CB42" s="5">
        <v>4</v>
      </c>
      <c r="CC42" s="27">
        <v>4</v>
      </c>
      <c r="CM42" s="5">
        <f t="shared" si="7"/>
        <v>54</v>
      </c>
    </row>
    <row r="43" spans="1:91" s="5" customFormat="1" ht="15.5" x14ac:dyDescent="0.45">
      <c r="A43" s="1" t="s">
        <v>49</v>
      </c>
      <c r="B43" s="1"/>
      <c r="C43" s="5">
        <f t="shared" si="0"/>
        <v>145</v>
      </c>
      <c r="D43" s="13">
        <v>92</v>
      </c>
      <c r="F43" s="26">
        <f t="shared" si="1"/>
        <v>75</v>
      </c>
      <c r="G43" s="5">
        <f t="shared" si="2"/>
        <v>56</v>
      </c>
      <c r="H43" s="5">
        <f t="shared" si="3"/>
        <v>78</v>
      </c>
      <c r="I43" s="5">
        <f t="shared" si="4"/>
        <v>446</v>
      </c>
      <c r="K43" s="5">
        <v>52</v>
      </c>
      <c r="L43" s="5">
        <v>54</v>
      </c>
      <c r="M43" s="5">
        <v>39</v>
      </c>
      <c r="O43" s="5">
        <v>9</v>
      </c>
      <c r="P43" s="5">
        <v>12</v>
      </c>
      <c r="Q43" s="5">
        <v>15</v>
      </c>
      <c r="R43" s="5">
        <v>12</v>
      </c>
      <c r="S43" s="5">
        <v>9</v>
      </c>
      <c r="T43" s="5">
        <v>3</v>
      </c>
      <c r="U43" s="5">
        <v>0</v>
      </c>
      <c r="V43" s="5">
        <v>3</v>
      </c>
      <c r="W43" s="5">
        <v>12</v>
      </c>
      <c r="AD43" s="5">
        <f t="shared" si="5"/>
        <v>75</v>
      </c>
      <c r="AG43" s="5">
        <v>4</v>
      </c>
      <c r="AH43" s="5">
        <v>3</v>
      </c>
      <c r="AI43" s="5">
        <v>5</v>
      </c>
      <c r="AJ43" s="5">
        <v>5</v>
      </c>
      <c r="AK43" s="5">
        <v>5</v>
      </c>
      <c r="AL43" s="5">
        <v>5</v>
      </c>
      <c r="AM43" s="19">
        <v>4</v>
      </c>
      <c r="AN43" s="5">
        <v>5</v>
      </c>
      <c r="AO43" s="5">
        <v>3</v>
      </c>
      <c r="AP43" s="5">
        <v>3</v>
      </c>
      <c r="AQ43" s="5">
        <v>5</v>
      </c>
      <c r="AR43" s="5">
        <v>3</v>
      </c>
      <c r="AS43" s="10">
        <v>5</v>
      </c>
      <c r="AT43" s="17" t="s">
        <v>92</v>
      </c>
      <c r="AU43" s="5">
        <v>5</v>
      </c>
      <c r="AV43" s="5">
        <v>5</v>
      </c>
      <c r="AW43" s="17" t="s">
        <v>92</v>
      </c>
      <c r="AX43" s="5">
        <v>3</v>
      </c>
      <c r="AY43" s="5">
        <v>5</v>
      </c>
      <c r="AZ43" s="5">
        <v>5</v>
      </c>
      <c r="BJ43" s="5">
        <f t="shared" si="6"/>
        <v>78</v>
      </c>
      <c r="BL43" s="5">
        <v>3</v>
      </c>
      <c r="BM43" s="5">
        <v>3</v>
      </c>
      <c r="BN43" s="5">
        <v>4</v>
      </c>
      <c r="BO43" s="5">
        <v>4</v>
      </c>
      <c r="BP43" s="5">
        <v>0</v>
      </c>
      <c r="BQ43" s="5">
        <v>4</v>
      </c>
      <c r="BR43" s="5">
        <v>2</v>
      </c>
      <c r="BS43" s="5">
        <v>3</v>
      </c>
      <c r="BT43" s="5">
        <v>4</v>
      </c>
      <c r="BU43" s="5">
        <v>3</v>
      </c>
      <c r="BV43" s="5">
        <v>0</v>
      </c>
      <c r="BW43" s="5">
        <v>4</v>
      </c>
      <c r="BX43" s="5">
        <v>4</v>
      </c>
      <c r="BY43" s="5">
        <v>4</v>
      </c>
      <c r="BZ43" s="5">
        <v>3</v>
      </c>
      <c r="CA43" s="5">
        <v>3</v>
      </c>
      <c r="CB43" s="5">
        <v>4</v>
      </c>
      <c r="CC43" s="27">
        <v>4</v>
      </c>
      <c r="CM43" s="5">
        <f t="shared" si="7"/>
        <v>56</v>
      </c>
    </row>
    <row r="44" spans="1:91" s="5" customFormat="1" ht="15.5" x14ac:dyDescent="0.45">
      <c r="A44" s="1" t="s">
        <v>57</v>
      </c>
      <c r="B44" s="1"/>
      <c r="C44" s="5">
        <f t="shared" si="0"/>
        <v>156</v>
      </c>
      <c r="D44" s="13">
        <v>123</v>
      </c>
      <c r="F44" s="26">
        <f t="shared" si="1"/>
        <v>99</v>
      </c>
      <c r="G44" s="5">
        <f t="shared" si="2"/>
        <v>66</v>
      </c>
      <c r="H44" s="5">
        <f t="shared" si="3"/>
        <v>79</v>
      </c>
      <c r="I44" s="5">
        <f t="shared" si="4"/>
        <v>523</v>
      </c>
      <c r="K44" s="5">
        <v>57</v>
      </c>
      <c r="L44" s="5">
        <v>59</v>
      </c>
      <c r="M44" s="5">
        <v>40</v>
      </c>
      <c r="O44" s="5">
        <v>15</v>
      </c>
      <c r="P44" s="5">
        <v>9</v>
      </c>
      <c r="Q44" s="5">
        <v>15</v>
      </c>
      <c r="R44" s="5">
        <v>9</v>
      </c>
      <c r="S44" s="5">
        <v>9</v>
      </c>
      <c r="T44" s="5">
        <v>9</v>
      </c>
      <c r="U44" s="5">
        <v>9</v>
      </c>
      <c r="V44" s="5">
        <v>9</v>
      </c>
      <c r="W44" s="5">
        <v>15</v>
      </c>
      <c r="AD44" s="5">
        <f t="shared" si="5"/>
        <v>99</v>
      </c>
      <c r="AG44" s="5">
        <v>5</v>
      </c>
      <c r="AH44" s="5">
        <v>3</v>
      </c>
      <c r="AI44" s="5">
        <v>3</v>
      </c>
      <c r="AJ44" s="5">
        <v>3</v>
      </c>
      <c r="AK44" s="5">
        <v>5</v>
      </c>
      <c r="AL44" s="5">
        <v>5</v>
      </c>
      <c r="AM44" s="19">
        <v>5</v>
      </c>
      <c r="AN44" s="5">
        <v>5</v>
      </c>
      <c r="AO44" s="5">
        <v>5</v>
      </c>
      <c r="AP44" s="5">
        <v>5</v>
      </c>
      <c r="AQ44" s="5">
        <v>3</v>
      </c>
      <c r="AR44" s="5">
        <v>3</v>
      </c>
      <c r="AS44" s="10">
        <v>5</v>
      </c>
      <c r="AT44" s="17" t="s">
        <v>92</v>
      </c>
      <c r="AU44" s="5">
        <v>5</v>
      </c>
      <c r="AV44" s="5">
        <v>5</v>
      </c>
      <c r="AW44" s="17" t="s">
        <v>92</v>
      </c>
      <c r="AX44" s="5">
        <v>4</v>
      </c>
      <c r="AY44" s="5">
        <v>5</v>
      </c>
      <c r="AZ44" s="5">
        <v>5</v>
      </c>
      <c r="BJ44" s="5">
        <f t="shared" si="6"/>
        <v>79</v>
      </c>
      <c r="BL44" s="5">
        <v>4</v>
      </c>
      <c r="BM44" s="5">
        <v>4</v>
      </c>
      <c r="BN44" s="5">
        <v>4</v>
      </c>
      <c r="BO44" s="5">
        <v>4</v>
      </c>
      <c r="BP44" s="5">
        <v>4</v>
      </c>
      <c r="BQ44" s="5">
        <v>4</v>
      </c>
      <c r="BR44" s="5">
        <v>2</v>
      </c>
      <c r="BS44" s="5">
        <v>4</v>
      </c>
      <c r="BT44" s="5">
        <v>4</v>
      </c>
      <c r="BU44" s="5">
        <v>3</v>
      </c>
      <c r="BV44" s="5">
        <v>3</v>
      </c>
      <c r="BW44" s="5">
        <v>4</v>
      </c>
      <c r="BX44" s="5">
        <v>4</v>
      </c>
      <c r="BY44" s="5">
        <v>3</v>
      </c>
      <c r="BZ44" s="5">
        <v>3</v>
      </c>
      <c r="CA44" s="5">
        <v>4</v>
      </c>
      <c r="CB44" s="5">
        <v>4</v>
      </c>
      <c r="CC44" s="27">
        <v>4</v>
      </c>
      <c r="CM44" s="5">
        <f t="shared" si="7"/>
        <v>66</v>
      </c>
    </row>
    <row r="45" spans="1:91" s="5" customFormat="1" ht="15.5" x14ac:dyDescent="0.45">
      <c r="A45" s="1" t="s">
        <v>46</v>
      </c>
      <c r="B45" s="1"/>
      <c r="C45" s="5">
        <f t="shared" si="0"/>
        <v>142</v>
      </c>
      <c r="D45" s="13">
        <v>121</v>
      </c>
      <c r="F45" s="26">
        <f t="shared" si="1"/>
        <v>105</v>
      </c>
      <c r="G45" s="5">
        <f t="shared" si="2"/>
        <v>69</v>
      </c>
      <c r="H45" s="5">
        <f t="shared" si="3"/>
        <v>32</v>
      </c>
      <c r="I45" s="5">
        <f t="shared" si="4"/>
        <v>469</v>
      </c>
      <c r="K45" s="5">
        <v>55</v>
      </c>
      <c r="L45" s="5">
        <v>48</v>
      </c>
      <c r="M45" s="5">
        <v>39</v>
      </c>
      <c r="O45" s="5">
        <v>12</v>
      </c>
      <c r="P45" s="5">
        <v>9</v>
      </c>
      <c r="Q45" s="5">
        <v>15</v>
      </c>
      <c r="R45" s="5">
        <v>15</v>
      </c>
      <c r="S45" s="5">
        <v>15</v>
      </c>
      <c r="T45" s="5">
        <v>15</v>
      </c>
      <c r="U45" s="5">
        <v>9</v>
      </c>
      <c r="V45" s="5">
        <v>6</v>
      </c>
      <c r="W45" s="5">
        <v>9</v>
      </c>
      <c r="AD45" s="5">
        <f t="shared" si="5"/>
        <v>105</v>
      </c>
      <c r="AG45" s="5">
        <v>3</v>
      </c>
      <c r="AH45" s="5">
        <v>0</v>
      </c>
      <c r="AI45" s="5">
        <v>0</v>
      </c>
      <c r="AJ45" s="5">
        <v>3</v>
      </c>
      <c r="AK45" s="5">
        <v>3</v>
      </c>
      <c r="AL45" s="5">
        <v>4</v>
      </c>
      <c r="AM45" s="19">
        <v>3</v>
      </c>
      <c r="AN45" s="5">
        <v>0</v>
      </c>
      <c r="AO45" s="5">
        <v>3</v>
      </c>
      <c r="AP45" s="5">
        <v>0</v>
      </c>
      <c r="AQ45" s="5">
        <v>0</v>
      </c>
      <c r="AR45" s="5">
        <v>5</v>
      </c>
      <c r="AS45" s="10">
        <v>3</v>
      </c>
      <c r="AT45" s="17" t="s">
        <v>92</v>
      </c>
      <c r="AU45" s="5">
        <v>5</v>
      </c>
      <c r="AV45" s="5">
        <v>0</v>
      </c>
      <c r="AW45" s="17" t="s">
        <v>92</v>
      </c>
      <c r="AX45" s="5">
        <v>0</v>
      </c>
      <c r="AY45" s="5">
        <v>0</v>
      </c>
      <c r="AZ45" s="5">
        <v>0</v>
      </c>
      <c r="BJ45" s="5">
        <f t="shared" si="6"/>
        <v>32</v>
      </c>
      <c r="BL45" s="5">
        <v>4</v>
      </c>
      <c r="BM45" s="5">
        <v>3</v>
      </c>
      <c r="BN45" s="5">
        <v>4</v>
      </c>
      <c r="BO45" s="5">
        <v>4</v>
      </c>
      <c r="BP45" s="5">
        <v>4</v>
      </c>
      <c r="BQ45" s="5">
        <v>4</v>
      </c>
      <c r="BR45" s="5">
        <v>3</v>
      </c>
      <c r="BS45" s="5">
        <v>4</v>
      </c>
      <c r="BT45" s="5">
        <v>4</v>
      </c>
      <c r="BU45" s="5">
        <v>4</v>
      </c>
      <c r="BV45" s="5">
        <v>3</v>
      </c>
      <c r="BW45" s="5">
        <v>4</v>
      </c>
      <c r="BX45" s="5">
        <v>4</v>
      </c>
      <c r="BY45" s="5">
        <v>4</v>
      </c>
      <c r="BZ45" s="5">
        <v>4</v>
      </c>
      <c r="CA45" s="5">
        <v>4</v>
      </c>
      <c r="CB45" s="5">
        <v>4</v>
      </c>
      <c r="CC45" s="27">
        <v>4</v>
      </c>
      <c r="CM45" s="5">
        <f t="shared" si="7"/>
        <v>69</v>
      </c>
    </row>
    <row r="46" spans="1:91" s="5" customFormat="1" ht="15.5" x14ac:dyDescent="0.45">
      <c r="A46" s="1" t="s">
        <v>45</v>
      </c>
      <c r="B46" s="1"/>
      <c r="C46" s="5">
        <f t="shared" si="0"/>
        <v>154</v>
      </c>
      <c r="D46" s="13">
        <v>120.5</v>
      </c>
      <c r="F46" s="26">
        <f t="shared" si="1"/>
        <v>96</v>
      </c>
      <c r="G46" s="5">
        <f t="shared" si="2"/>
        <v>59</v>
      </c>
      <c r="H46" s="5">
        <f t="shared" si="3"/>
        <v>84</v>
      </c>
      <c r="I46" s="5">
        <f t="shared" si="4"/>
        <v>513.5</v>
      </c>
      <c r="K46" s="5">
        <v>57</v>
      </c>
      <c r="L46" s="5">
        <v>57</v>
      </c>
      <c r="M46" s="5">
        <v>40</v>
      </c>
      <c r="O46" s="5">
        <v>12</v>
      </c>
      <c r="P46" s="5">
        <v>9</v>
      </c>
      <c r="Q46" s="5">
        <v>15</v>
      </c>
      <c r="R46" s="5">
        <v>9</v>
      </c>
      <c r="S46" s="5">
        <v>6</v>
      </c>
      <c r="T46" s="5">
        <v>6</v>
      </c>
      <c r="U46" s="5">
        <v>12</v>
      </c>
      <c r="V46" s="5">
        <v>12</v>
      </c>
      <c r="W46" s="5">
        <v>15</v>
      </c>
      <c r="AD46" s="5">
        <f t="shared" si="5"/>
        <v>96</v>
      </c>
      <c r="AG46" s="5">
        <v>5</v>
      </c>
      <c r="AH46" s="5">
        <v>5</v>
      </c>
      <c r="AI46" s="5">
        <v>5</v>
      </c>
      <c r="AJ46" s="5">
        <v>5</v>
      </c>
      <c r="AK46" s="5">
        <v>5</v>
      </c>
      <c r="AL46" s="5">
        <v>0</v>
      </c>
      <c r="AM46" s="19">
        <v>5</v>
      </c>
      <c r="AN46" s="5">
        <v>5</v>
      </c>
      <c r="AO46" s="5">
        <v>5</v>
      </c>
      <c r="AP46" s="5">
        <v>4</v>
      </c>
      <c r="AQ46" s="5">
        <v>5</v>
      </c>
      <c r="AR46" s="5">
        <v>5</v>
      </c>
      <c r="AS46" s="10">
        <v>5</v>
      </c>
      <c r="AT46" s="17" t="s">
        <v>92</v>
      </c>
      <c r="AU46" s="5">
        <v>5</v>
      </c>
      <c r="AV46" s="5">
        <v>5</v>
      </c>
      <c r="AW46" s="17" t="s">
        <v>92</v>
      </c>
      <c r="AX46" s="5">
        <v>5</v>
      </c>
      <c r="AY46" s="5">
        <v>5</v>
      </c>
      <c r="AZ46" s="5">
        <v>5</v>
      </c>
      <c r="BJ46" s="5">
        <f t="shared" si="6"/>
        <v>84</v>
      </c>
      <c r="BL46" s="5">
        <v>3</v>
      </c>
      <c r="BM46" s="5">
        <v>4</v>
      </c>
      <c r="BN46" s="5">
        <v>4</v>
      </c>
      <c r="BO46" s="5">
        <v>4</v>
      </c>
      <c r="BP46" s="5">
        <v>4</v>
      </c>
      <c r="BQ46" s="5">
        <v>0</v>
      </c>
      <c r="BR46" s="5">
        <v>0</v>
      </c>
      <c r="BS46" s="5">
        <v>3</v>
      </c>
      <c r="BT46" s="5">
        <v>4</v>
      </c>
      <c r="BU46" s="5">
        <v>4</v>
      </c>
      <c r="BV46" s="5">
        <v>3</v>
      </c>
      <c r="BW46" s="5">
        <v>4</v>
      </c>
      <c r="BX46" s="5">
        <v>4</v>
      </c>
      <c r="BY46" s="5">
        <v>4</v>
      </c>
      <c r="BZ46" s="5">
        <v>2</v>
      </c>
      <c r="CA46" s="5">
        <v>4</v>
      </c>
      <c r="CB46" s="5">
        <v>4</v>
      </c>
      <c r="CC46" s="27">
        <v>4</v>
      </c>
      <c r="CM46" s="5">
        <f t="shared" si="7"/>
        <v>59</v>
      </c>
    </row>
    <row r="47" spans="1:91" s="5" customFormat="1" ht="15.5" x14ac:dyDescent="0.45">
      <c r="A47" s="1"/>
      <c r="B47" s="1"/>
      <c r="D47" s="13">
        <f>AVERAGE(D4:D46)</f>
        <v>112.27906976744185</v>
      </c>
      <c r="F47" s="26"/>
      <c r="G47" s="5">
        <f t="shared" si="2"/>
        <v>61.860465116279073</v>
      </c>
      <c r="H47" s="5">
        <f t="shared" si="3"/>
        <v>78.255813953488371</v>
      </c>
      <c r="K47" s="5">
        <f>AVERAGE(K4:K46)</f>
        <v>55.767441860465119</v>
      </c>
      <c r="L47" s="5">
        <f>AVERAGE(L4:L46)</f>
        <v>56.372093023255815</v>
      </c>
      <c r="M47" s="5">
        <f>AVERAGE(M4:M46)</f>
        <v>38.465116279069768</v>
      </c>
      <c r="O47" s="6">
        <f t="shared" ref="O47:W47" si="8">AVERAGE(O4:O46)</f>
        <v>11.093023255813954</v>
      </c>
      <c r="P47" s="6">
        <f t="shared" si="8"/>
        <v>8.0232558139534884</v>
      </c>
      <c r="Q47" s="6">
        <f t="shared" si="8"/>
        <v>12.906976744186046</v>
      </c>
      <c r="R47" s="6">
        <f t="shared" si="8"/>
        <v>11.44186046511628</v>
      </c>
      <c r="S47" s="6">
        <f t="shared" si="8"/>
        <v>10.325581395348838</v>
      </c>
      <c r="T47" s="6">
        <f t="shared" si="8"/>
        <v>9.6976744186046506</v>
      </c>
      <c r="U47" s="6">
        <f t="shared" si="8"/>
        <v>8.5813953488372086</v>
      </c>
      <c r="V47" s="6">
        <f t="shared" si="8"/>
        <v>8.0930232558139537</v>
      </c>
      <c r="W47" s="6">
        <f t="shared" si="8"/>
        <v>10.116279069767442</v>
      </c>
      <c r="AG47" s="6">
        <f>AVERAGE(AG4:AG46)</f>
        <v>4.2325581395348841</v>
      </c>
      <c r="AH47" s="6">
        <f t="shared" ref="AH47:AZ47" si="9">AVERAGE(AH4:AH46)</f>
        <v>4.558139534883721</v>
      </c>
      <c r="AI47" s="6">
        <f t="shared" si="9"/>
        <v>4.3953488372093021</v>
      </c>
      <c r="AJ47" s="6">
        <f t="shared" si="9"/>
        <v>4.4651162790697674</v>
      </c>
      <c r="AK47" s="6">
        <f t="shared" si="9"/>
        <v>4.6511627906976747</v>
      </c>
      <c r="AL47" s="6">
        <f t="shared" si="9"/>
        <v>4.8139534883720927</v>
      </c>
      <c r="AM47" s="6">
        <f t="shared" si="9"/>
        <v>4.4651162790697674</v>
      </c>
      <c r="AN47" s="6">
        <f t="shared" si="9"/>
        <v>4.5348837209302326</v>
      </c>
      <c r="AO47" s="6">
        <f t="shared" si="9"/>
        <v>3.9767441860465116</v>
      </c>
      <c r="AP47" s="6">
        <f t="shared" si="9"/>
        <v>4.1860465116279073</v>
      </c>
      <c r="AQ47" s="6">
        <f t="shared" si="9"/>
        <v>4.3255813953488369</v>
      </c>
      <c r="AR47" s="6">
        <f t="shared" si="9"/>
        <v>4.4186046511627906</v>
      </c>
      <c r="AS47" s="6">
        <f t="shared" si="9"/>
        <v>4.6279069767441863</v>
      </c>
      <c r="AT47" s="15"/>
      <c r="AU47" s="6">
        <f t="shared" si="9"/>
        <v>3.8139534883720931</v>
      </c>
      <c r="AV47" s="6">
        <f t="shared" si="9"/>
        <v>4.2558139534883717</v>
      </c>
      <c r="AW47" s="14"/>
      <c r="AX47" s="6">
        <f t="shared" si="9"/>
        <v>4.0930232558139537</v>
      </c>
      <c r="AY47" s="6">
        <f t="shared" si="9"/>
        <v>4.0232558139534884</v>
      </c>
      <c r="AZ47" s="6">
        <f t="shared" si="9"/>
        <v>4.4186046511627906</v>
      </c>
      <c r="BJ47" s="5">
        <f>AVERAGE(BJ4:BJ46)</f>
        <v>78.255813953488371</v>
      </c>
      <c r="BL47" s="6">
        <f t="shared" ref="BL47:BV47" si="10">AVERAGE(BL4:BL46)</f>
        <v>3.3953488372093021</v>
      </c>
      <c r="BM47" s="6">
        <f t="shared" si="10"/>
        <v>3.3953488372093021</v>
      </c>
      <c r="BN47" s="6">
        <f t="shared" si="10"/>
        <v>3.4651162790697674</v>
      </c>
      <c r="BO47" s="6">
        <f t="shared" si="10"/>
        <v>3.6279069767441858</v>
      </c>
      <c r="BP47" s="6">
        <f t="shared" si="10"/>
        <v>3.3255813953488373</v>
      </c>
      <c r="BQ47" s="6">
        <f t="shared" si="10"/>
        <v>3.8139534883720931</v>
      </c>
      <c r="BR47" s="6">
        <f t="shared" si="10"/>
        <v>3.2325581395348837</v>
      </c>
      <c r="BS47" s="6">
        <f t="shared" si="10"/>
        <v>3.2093023255813953</v>
      </c>
      <c r="BT47" s="6">
        <f t="shared" si="10"/>
        <v>3.3720930232558142</v>
      </c>
      <c r="BU47" s="6">
        <f t="shared" si="10"/>
        <v>3.1627906976744184</v>
      </c>
      <c r="BV47" s="6">
        <f t="shared" si="10"/>
        <v>2.6046511627906979</v>
      </c>
      <c r="BW47" s="6">
        <f t="shared" ref="BW47:CC47" si="11">AVERAGE(BW4:BW46)</f>
        <v>3.9069767441860463</v>
      </c>
      <c r="BX47" s="6">
        <f t="shared" si="11"/>
        <v>3.9069767441860463</v>
      </c>
      <c r="BY47" s="6">
        <f t="shared" si="11"/>
        <v>3.3953488372093021</v>
      </c>
      <c r="BZ47" s="6">
        <f t="shared" si="11"/>
        <v>2.6744186046511627</v>
      </c>
      <c r="CA47" s="6">
        <f t="shared" si="11"/>
        <v>3.6511627906976742</v>
      </c>
      <c r="CB47" s="6">
        <f t="shared" si="11"/>
        <v>3.9069767441860463</v>
      </c>
      <c r="CC47" s="6">
        <f t="shared" si="11"/>
        <v>3.8139534883720931</v>
      </c>
      <c r="CM47" s="5">
        <f>AVERAGE(CM4:CM46)</f>
        <v>61.860465116279073</v>
      </c>
    </row>
    <row r="48" spans="1:91" s="5" customFormat="1" ht="15.5" x14ac:dyDescent="0.45">
      <c r="A48" s="1"/>
      <c r="B48" s="1"/>
      <c r="D48" s="13"/>
      <c r="F48" s="26"/>
      <c r="AM48" s="19"/>
      <c r="AT48" s="15"/>
      <c r="AW48" s="14"/>
    </row>
    <row r="49" spans="1:49" s="5" customFormat="1" ht="15.5" x14ac:dyDescent="0.45">
      <c r="A49" s="1"/>
      <c r="B49" s="1"/>
      <c r="D49" s="13"/>
      <c r="F49" s="26"/>
      <c r="AM49" s="19"/>
      <c r="AT49" s="15"/>
      <c r="AW49" s="14"/>
    </row>
    <row r="50" spans="1:49" s="5" customFormat="1" ht="15.5" x14ac:dyDescent="0.45">
      <c r="A50" s="1"/>
      <c r="B50" s="1"/>
      <c r="D50" s="13"/>
      <c r="F50" s="26"/>
      <c r="AM50" s="19"/>
      <c r="AT50" s="15"/>
      <c r="AW50" s="14"/>
    </row>
    <row r="51" spans="1:49" s="5" customFormat="1" ht="15.5" x14ac:dyDescent="0.45">
      <c r="A51" s="1"/>
      <c r="B51" s="1"/>
      <c r="D51" s="13"/>
      <c r="F51" s="26"/>
      <c r="AM51" s="19"/>
      <c r="AT51" s="15"/>
      <c r="AW51" s="14"/>
    </row>
    <row r="52" spans="1:49" s="5" customFormat="1" ht="15.5" x14ac:dyDescent="0.45">
      <c r="A52" s="1"/>
      <c r="B52" s="1"/>
      <c r="D52" s="13"/>
      <c r="F52" s="26"/>
      <c r="AM52" s="19"/>
    </row>
    <row r="53" spans="1:49" s="5" customFormat="1" ht="15.5" x14ac:dyDescent="0.45">
      <c r="A53" s="1"/>
      <c r="B53" s="1"/>
      <c r="D53" s="13"/>
      <c r="F53" s="26"/>
      <c r="AM53" s="19"/>
    </row>
    <row r="54" spans="1:49" s="5" customFormat="1" ht="15.5" x14ac:dyDescent="0.45">
      <c r="A54" s="1"/>
      <c r="B54" s="1"/>
      <c r="D54" s="13"/>
      <c r="F54" s="26"/>
      <c r="AM54" s="19"/>
    </row>
    <row r="55" spans="1:49" s="5" customFormat="1" ht="15.5" x14ac:dyDescent="0.45">
      <c r="A55" s="1"/>
      <c r="B55" s="1"/>
      <c r="D55" s="13"/>
      <c r="F55" s="26"/>
      <c r="AM55" s="19"/>
    </row>
    <row r="56" spans="1:49" s="5" customFormat="1" ht="15.5" x14ac:dyDescent="0.45">
      <c r="A56" s="1"/>
      <c r="B56" s="1"/>
      <c r="D56" s="13"/>
      <c r="F56" s="26"/>
      <c r="AM56" s="19"/>
    </row>
    <row r="57" spans="1:49" s="5" customFormat="1" ht="15.5" x14ac:dyDescent="0.45">
      <c r="A57" s="1"/>
      <c r="B57" s="1"/>
      <c r="D57" s="13"/>
      <c r="F57" s="26"/>
      <c r="AM57" s="19"/>
    </row>
    <row r="58" spans="1:49" s="5" customFormat="1" ht="15.5" x14ac:dyDescent="0.45">
      <c r="A58" s="1"/>
      <c r="B58" s="1"/>
      <c r="D58" s="13"/>
      <c r="F58" s="26"/>
      <c r="AM58" s="19"/>
    </row>
    <row r="59" spans="1:49" s="5" customFormat="1" ht="15.5" x14ac:dyDescent="0.45">
      <c r="A59" s="1"/>
      <c r="B59" s="1"/>
      <c r="D59" s="13"/>
      <c r="F59" s="26"/>
      <c r="AM59" s="19"/>
    </row>
    <row r="60" spans="1:49" s="5" customFormat="1" ht="15.5" x14ac:dyDescent="0.45">
      <c r="A60" s="1"/>
      <c r="B60" s="1"/>
      <c r="D60" s="13"/>
      <c r="F60" s="26"/>
      <c r="AM60" s="19"/>
    </row>
    <row r="61" spans="1:49" s="5" customFormat="1" ht="15.5" x14ac:dyDescent="0.45">
      <c r="A61" s="1"/>
      <c r="B61" s="1"/>
      <c r="D61" s="13"/>
      <c r="F61" s="26"/>
      <c r="AM61" s="19"/>
    </row>
    <row r="62" spans="1:49" s="5" customFormat="1" ht="15.5" x14ac:dyDescent="0.45">
      <c r="A62" s="1"/>
      <c r="B62" s="1"/>
      <c r="D62" s="13"/>
      <c r="F62" s="26"/>
      <c r="AM62" s="19"/>
    </row>
    <row r="63" spans="1:49" s="5" customFormat="1" ht="15.5" x14ac:dyDescent="0.45">
      <c r="A63" s="1"/>
      <c r="B63" s="1"/>
      <c r="D63" s="13"/>
      <c r="F63" s="26"/>
      <c r="AM63" s="19"/>
    </row>
    <row r="64" spans="1:49" s="5" customFormat="1" ht="15.5" x14ac:dyDescent="0.45">
      <c r="A64" s="1"/>
      <c r="B64" s="1"/>
      <c r="D64" s="13"/>
      <c r="F64" s="26"/>
      <c r="AM64" s="19"/>
    </row>
    <row r="65" spans="1:39" s="5" customFormat="1" ht="15.5" x14ac:dyDescent="0.45">
      <c r="A65" s="1"/>
      <c r="B65" s="1"/>
      <c r="D65" s="13"/>
      <c r="F65" s="26"/>
      <c r="AM65" s="19"/>
    </row>
    <row r="66" spans="1:39" s="5" customFormat="1" ht="15.5" x14ac:dyDescent="0.45">
      <c r="A66" s="1"/>
      <c r="B66" s="1"/>
      <c r="D66" s="13"/>
      <c r="F66" s="26"/>
      <c r="AM66" s="19"/>
    </row>
    <row r="67" spans="1:39" s="5" customFormat="1" ht="15.5" x14ac:dyDescent="0.45">
      <c r="A67" s="1"/>
      <c r="B67" s="1"/>
      <c r="D67" s="13"/>
      <c r="F67" s="26"/>
      <c r="AM67" s="19"/>
    </row>
    <row r="68" spans="1:39" s="5" customFormat="1" ht="15.5" x14ac:dyDescent="0.45">
      <c r="A68" s="1"/>
      <c r="B68" s="1"/>
      <c r="D68" s="13"/>
      <c r="F68" s="26"/>
      <c r="AM68" s="19"/>
    </row>
    <row r="69" spans="1:39" s="5" customFormat="1" ht="15.5" x14ac:dyDescent="0.45">
      <c r="A69" s="1"/>
      <c r="B69" s="1"/>
      <c r="D69" s="13"/>
      <c r="F69" s="26"/>
      <c r="AM69" s="19"/>
    </row>
    <row r="70" spans="1:39" s="5" customFormat="1" ht="15.5" x14ac:dyDescent="0.45">
      <c r="A70" s="1"/>
      <c r="B70" s="1"/>
      <c r="D70" s="13"/>
      <c r="F70" s="26"/>
      <c r="AM70" s="19"/>
    </row>
    <row r="71" spans="1:39" s="5" customFormat="1" ht="15.5" x14ac:dyDescent="0.45">
      <c r="A71" s="1"/>
      <c r="B71" s="1"/>
      <c r="D71" s="13"/>
      <c r="F71" s="26"/>
      <c r="AM71" s="19"/>
    </row>
    <row r="72" spans="1:39" s="5" customFormat="1" ht="15.5" x14ac:dyDescent="0.45">
      <c r="A72" s="1"/>
      <c r="B72" s="1"/>
      <c r="D72" s="13"/>
      <c r="F72" s="26"/>
      <c r="AM72" s="19"/>
    </row>
    <row r="73" spans="1:39" s="5" customFormat="1" ht="15.5" x14ac:dyDescent="0.45">
      <c r="A73" s="1"/>
      <c r="B73" s="1"/>
      <c r="D73" s="13"/>
      <c r="F73" s="26"/>
      <c r="AM73" s="19"/>
    </row>
    <row r="74" spans="1:39" s="5" customFormat="1" ht="15.5" x14ac:dyDescent="0.45">
      <c r="A74" s="1"/>
      <c r="B74" s="1"/>
      <c r="D74" s="13"/>
      <c r="F74" s="26"/>
      <c r="AM74" s="19"/>
    </row>
    <row r="75" spans="1:39" s="5" customFormat="1" ht="15.5" x14ac:dyDescent="0.45">
      <c r="A75" s="1"/>
      <c r="B75" s="1"/>
      <c r="D75" s="13"/>
      <c r="F75" s="26"/>
      <c r="AM75" s="19"/>
    </row>
    <row r="76" spans="1:39" s="5" customFormat="1" ht="15.5" x14ac:dyDescent="0.45">
      <c r="A76" s="1"/>
      <c r="B76" s="1"/>
      <c r="D76" s="13"/>
      <c r="F76" s="26"/>
      <c r="AM76" s="19"/>
    </row>
    <row r="77" spans="1:39" s="5" customFormat="1" ht="15.5" x14ac:dyDescent="0.45">
      <c r="A77" s="1"/>
      <c r="B77" s="1"/>
      <c r="D77" s="13"/>
      <c r="F77" s="26"/>
      <c r="AM77" s="19"/>
    </row>
    <row r="78" spans="1:39" s="5" customFormat="1" ht="15.5" x14ac:dyDescent="0.45">
      <c r="A78" s="1"/>
      <c r="B78" s="1"/>
      <c r="D78" s="13"/>
      <c r="F78" s="26"/>
      <c r="AM78" s="19"/>
    </row>
    <row r="79" spans="1:39" s="5" customFormat="1" ht="15.5" x14ac:dyDescent="0.45">
      <c r="A79" s="1"/>
      <c r="B79" s="1"/>
      <c r="D79" s="13"/>
      <c r="F79" s="26"/>
      <c r="AM79" s="19"/>
    </row>
    <row r="80" spans="1:39" s="5" customFormat="1" ht="15.5" x14ac:dyDescent="0.45">
      <c r="A80" s="1"/>
      <c r="B80" s="1"/>
      <c r="D80" s="13"/>
      <c r="F80" s="26"/>
      <c r="AM80" s="19"/>
    </row>
    <row r="81" spans="1:39" s="5" customFormat="1" ht="15.5" x14ac:dyDescent="0.45">
      <c r="A81" s="1"/>
      <c r="B81" s="1"/>
      <c r="D81" s="13"/>
      <c r="F81" s="26"/>
      <c r="AM81" s="19"/>
    </row>
    <row r="82" spans="1:39" s="5" customFormat="1" ht="15.5" x14ac:dyDescent="0.45">
      <c r="A82" s="1"/>
      <c r="B82" s="1"/>
      <c r="D82" s="13"/>
      <c r="F82" s="26"/>
      <c r="AM82" s="19"/>
    </row>
    <row r="83" spans="1:39" s="5" customFormat="1" ht="15.5" x14ac:dyDescent="0.45">
      <c r="A83" s="1"/>
      <c r="B83" s="1"/>
      <c r="D83" s="13"/>
      <c r="F83" s="26"/>
      <c r="AM83" s="19"/>
    </row>
    <row r="84" spans="1:39" s="5" customFormat="1" ht="15.5" x14ac:dyDescent="0.45">
      <c r="A84" s="1"/>
      <c r="B84" s="1"/>
      <c r="D84" s="13"/>
      <c r="F84" s="26"/>
      <c r="AM84" s="19"/>
    </row>
    <row r="85" spans="1:39" s="5" customFormat="1" ht="15.5" x14ac:dyDescent="0.45">
      <c r="A85" s="1"/>
      <c r="B85" s="1"/>
      <c r="D85" s="13"/>
      <c r="F85" s="26"/>
      <c r="AM85" s="19"/>
    </row>
    <row r="86" spans="1:39" s="5" customFormat="1" ht="15.5" x14ac:dyDescent="0.45">
      <c r="A86" s="1"/>
      <c r="B86" s="1"/>
      <c r="D86" s="13"/>
      <c r="F86" s="26"/>
      <c r="AM86" s="19"/>
    </row>
    <row r="87" spans="1:39" s="5" customFormat="1" ht="15.5" x14ac:dyDescent="0.45">
      <c r="A87" s="1"/>
      <c r="B87" s="1"/>
      <c r="D87" s="13"/>
      <c r="F87" s="26"/>
      <c r="AM87" s="19"/>
    </row>
    <row r="88" spans="1:39" s="5" customFormat="1" ht="15.5" x14ac:dyDescent="0.45">
      <c r="A88" s="1"/>
      <c r="B88" s="1"/>
      <c r="D88" s="13"/>
      <c r="F88" s="26"/>
      <c r="AM88" s="19"/>
    </row>
    <row r="89" spans="1:39" s="5" customFormat="1" ht="15.5" x14ac:dyDescent="0.45">
      <c r="A89" s="1"/>
      <c r="B89" s="1"/>
      <c r="D89" s="13"/>
      <c r="F89" s="26"/>
      <c r="AM89" s="19"/>
    </row>
    <row r="90" spans="1:39" s="5" customFormat="1" ht="15.5" x14ac:dyDescent="0.45">
      <c r="A90" s="1"/>
      <c r="B90" s="1"/>
      <c r="D90" s="13"/>
      <c r="F90" s="26"/>
      <c r="AM90" s="19"/>
    </row>
    <row r="91" spans="1:39" s="5" customFormat="1" ht="15.5" x14ac:dyDescent="0.45">
      <c r="A91" s="1"/>
      <c r="B91" s="1"/>
      <c r="D91" s="13"/>
      <c r="F91" s="26"/>
      <c r="AM91" s="19"/>
    </row>
    <row r="92" spans="1:39" s="5" customFormat="1" ht="15.5" x14ac:dyDescent="0.45">
      <c r="A92" s="1"/>
      <c r="B92" s="1"/>
      <c r="D92" s="13"/>
      <c r="F92" s="26"/>
      <c r="AM92" s="19"/>
    </row>
    <row r="93" spans="1:39" s="5" customFormat="1" ht="15.5" x14ac:dyDescent="0.45">
      <c r="A93" s="1"/>
      <c r="B93" s="1"/>
      <c r="D93" s="13"/>
      <c r="F93" s="26"/>
      <c r="AM93" s="19"/>
    </row>
    <row r="94" spans="1:39" s="5" customFormat="1" ht="15.5" x14ac:dyDescent="0.45">
      <c r="A94" s="1"/>
      <c r="B94" s="1"/>
      <c r="D94" s="13"/>
      <c r="F94" s="26"/>
      <c r="AM94" s="19"/>
    </row>
    <row r="95" spans="1:39" s="5" customFormat="1" ht="15.5" x14ac:dyDescent="0.45">
      <c r="A95" s="1"/>
      <c r="B95" s="1"/>
      <c r="D95" s="13"/>
      <c r="F95" s="26"/>
      <c r="AM95" s="19"/>
    </row>
    <row r="96" spans="1:39" s="5" customFormat="1" ht="15.5" x14ac:dyDescent="0.45">
      <c r="A96" s="1"/>
      <c r="B96" s="1"/>
      <c r="D96" s="13"/>
      <c r="F96" s="26"/>
      <c r="AM96" s="19"/>
    </row>
    <row r="97" spans="1:39" s="5" customFormat="1" ht="15.5" x14ac:dyDescent="0.45">
      <c r="A97" s="1"/>
      <c r="B97" s="1"/>
      <c r="D97" s="13"/>
      <c r="F97" s="26"/>
      <c r="AM97" s="19"/>
    </row>
    <row r="98" spans="1:39" s="5" customFormat="1" ht="15.5" x14ac:dyDescent="0.45">
      <c r="A98" s="1"/>
      <c r="B98" s="1"/>
      <c r="D98" s="13"/>
      <c r="F98" s="26"/>
      <c r="AM98" s="19"/>
    </row>
    <row r="99" spans="1:39" s="5" customFormat="1" ht="15.5" x14ac:dyDescent="0.45">
      <c r="A99" s="1"/>
      <c r="B99" s="1"/>
      <c r="D99" s="13"/>
      <c r="F99" s="26"/>
      <c r="AM99" s="19"/>
    </row>
    <row r="100" spans="1:39" s="5" customFormat="1" ht="15.5" x14ac:dyDescent="0.45">
      <c r="A100" s="1"/>
      <c r="B100" s="1"/>
      <c r="D100" s="13"/>
      <c r="F100" s="26"/>
      <c r="AM100" s="19"/>
    </row>
    <row r="101" spans="1:39" s="5" customFormat="1" ht="15.5" x14ac:dyDescent="0.45">
      <c r="A101" s="1"/>
      <c r="B101" s="1"/>
      <c r="D101" s="13"/>
      <c r="F101" s="26"/>
      <c r="AM101" s="19"/>
    </row>
    <row r="102" spans="1:39" s="5" customFormat="1" ht="15.5" x14ac:dyDescent="0.45">
      <c r="A102" s="1"/>
      <c r="B102" s="1"/>
      <c r="D102" s="13"/>
      <c r="F102" s="26"/>
      <c r="AM102" s="19"/>
    </row>
    <row r="103" spans="1:39" s="5" customFormat="1" ht="15.5" x14ac:dyDescent="0.45">
      <c r="A103" s="1"/>
      <c r="B103" s="1"/>
      <c r="D103" s="13"/>
      <c r="F103" s="26"/>
      <c r="AM103" s="19"/>
    </row>
    <row r="104" spans="1:39" s="5" customFormat="1" ht="15.5" x14ac:dyDescent="0.45">
      <c r="A104" s="1"/>
      <c r="B104" s="1"/>
      <c r="D104" s="13"/>
      <c r="F104" s="26"/>
      <c r="AM104" s="19"/>
    </row>
    <row r="105" spans="1:39" s="5" customFormat="1" ht="15.5" x14ac:dyDescent="0.45">
      <c r="A105" s="1"/>
      <c r="B105" s="1"/>
      <c r="D105" s="13"/>
      <c r="F105" s="26"/>
      <c r="AM105" s="19"/>
    </row>
    <row r="106" spans="1:39" s="5" customFormat="1" ht="15.5" x14ac:dyDescent="0.45">
      <c r="A106" s="1"/>
      <c r="B106" s="1"/>
      <c r="D106" s="13"/>
      <c r="F106" s="26"/>
      <c r="AM106" s="19"/>
    </row>
    <row r="107" spans="1:39" s="5" customFormat="1" ht="15.5" x14ac:dyDescent="0.45">
      <c r="A107" s="1"/>
      <c r="B107" s="1"/>
      <c r="D107" s="13"/>
      <c r="F107" s="26"/>
      <c r="AM107" s="19"/>
    </row>
    <row r="108" spans="1:39" s="5" customFormat="1" ht="15.5" x14ac:dyDescent="0.45">
      <c r="A108" s="1"/>
      <c r="B108" s="1"/>
      <c r="D108" s="13"/>
      <c r="F108" s="26"/>
      <c r="AM108" s="19"/>
    </row>
    <row r="109" spans="1:39" s="5" customFormat="1" ht="15.5" x14ac:dyDescent="0.45">
      <c r="A109" s="1"/>
      <c r="B109" s="1"/>
      <c r="D109" s="13"/>
      <c r="F109" s="26"/>
      <c r="AM109" s="19"/>
    </row>
    <row r="110" spans="1:39" s="5" customFormat="1" ht="15.5" x14ac:dyDescent="0.45">
      <c r="A110" s="1"/>
      <c r="B110" s="1"/>
      <c r="D110" s="13"/>
      <c r="F110" s="26"/>
      <c r="AM110" s="19"/>
    </row>
    <row r="111" spans="1:39" s="5" customFormat="1" ht="15.5" x14ac:dyDescent="0.45">
      <c r="A111" s="1"/>
      <c r="B111" s="1"/>
      <c r="D111" s="13"/>
      <c r="F111" s="26"/>
      <c r="AM111" s="19"/>
    </row>
    <row r="112" spans="1:39" s="5" customFormat="1" ht="15.5" x14ac:dyDescent="0.45">
      <c r="A112" s="1"/>
      <c r="B112" s="1"/>
      <c r="D112" s="13"/>
      <c r="F112" s="26"/>
      <c r="AM112" s="19"/>
    </row>
    <row r="113" spans="1:39" s="5" customFormat="1" ht="15.5" x14ac:dyDescent="0.45">
      <c r="A113" s="1"/>
      <c r="B113" s="1"/>
      <c r="D113" s="13"/>
      <c r="F113" s="26"/>
      <c r="AM113" s="19"/>
    </row>
    <row r="114" spans="1:39" s="5" customFormat="1" ht="15.5" x14ac:dyDescent="0.45">
      <c r="A114" s="1"/>
      <c r="B114" s="1"/>
      <c r="D114" s="13"/>
      <c r="F114" s="26"/>
      <c r="AM114" s="19"/>
    </row>
    <row r="115" spans="1:39" s="5" customFormat="1" ht="15.5" x14ac:dyDescent="0.45">
      <c r="A115" s="1"/>
      <c r="B115" s="1"/>
      <c r="D115" s="13"/>
      <c r="F115" s="26"/>
      <c r="AM115" s="19"/>
    </row>
    <row r="116" spans="1:39" s="5" customFormat="1" ht="15.5" x14ac:dyDescent="0.45">
      <c r="A116" s="1"/>
      <c r="B116" s="1"/>
      <c r="D116" s="13"/>
      <c r="F116" s="26"/>
      <c r="AM116" s="19"/>
    </row>
    <row r="117" spans="1:39" s="5" customFormat="1" ht="15.5" x14ac:dyDescent="0.45">
      <c r="A117" s="1"/>
      <c r="B117" s="1"/>
      <c r="D117" s="13"/>
      <c r="F117" s="26"/>
      <c r="AM117" s="19"/>
    </row>
    <row r="118" spans="1:39" s="5" customFormat="1" ht="15.5" x14ac:dyDescent="0.45">
      <c r="A118" s="1"/>
      <c r="B118" s="1"/>
      <c r="D118" s="13"/>
      <c r="F118" s="26"/>
      <c r="AM118" s="19"/>
    </row>
    <row r="119" spans="1:39" s="5" customFormat="1" ht="15.5" x14ac:dyDescent="0.45">
      <c r="A119" s="1"/>
      <c r="B119" s="1"/>
      <c r="D119" s="13"/>
      <c r="F119" s="26"/>
      <c r="AM119" s="19"/>
    </row>
    <row r="120" spans="1:39" s="5" customFormat="1" ht="15.5" x14ac:dyDescent="0.45">
      <c r="A120" s="1"/>
      <c r="B120" s="1"/>
      <c r="D120" s="13"/>
      <c r="F120" s="26"/>
      <c r="AM120" s="19"/>
    </row>
    <row r="121" spans="1:39" s="5" customFormat="1" ht="15.5" x14ac:dyDescent="0.45">
      <c r="A121" s="1"/>
      <c r="B121" s="1"/>
      <c r="D121" s="13"/>
      <c r="F121" s="26"/>
      <c r="AM121" s="19"/>
    </row>
    <row r="122" spans="1:39" s="5" customFormat="1" ht="15.5" x14ac:dyDescent="0.45">
      <c r="A122" s="1"/>
      <c r="B122" s="1"/>
      <c r="D122" s="13"/>
      <c r="F122" s="26"/>
      <c r="AM122" s="19"/>
    </row>
    <row r="123" spans="1:39" s="5" customFormat="1" ht="15.5" x14ac:dyDescent="0.45">
      <c r="A123" s="1"/>
      <c r="B123" s="1"/>
      <c r="D123" s="13"/>
      <c r="F123" s="26"/>
      <c r="AM123" s="19"/>
    </row>
    <row r="124" spans="1:39" s="5" customFormat="1" ht="15.5" x14ac:dyDescent="0.45">
      <c r="A124" s="1"/>
      <c r="B124" s="1"/>
      <c r="D124" s="13"/>
      <c r="F124" s="26"/>
      <c r="AM124" s="19"/>
    </row>
    <row r="125" spans="1:39" s="5" customFormat="1" ht="15.5" x14ac:dyDescent="0.45">
      <c r="A125" s="1"/>
      <c r="B125" s="1"/>
      <c r="D125" s="13"/>
      <c r="F125" s="26"/>
      <c r="AM125" s="19"/>
    </row>
    <row r="126" spans="1:39" s="5" customFormat="1" ht="15.5" x14ac:dyDescent="0.45">
      <c r="A126" s="1"/>
      <c r="B126" s="1"/>
      <c r="D126" s="13"/>
      <c r="F126" s="26"/>
      <c r="AM126" s="19"/>
    </row>
    <row r="127" spans="1:39" s="5" customFormat="1" ht="15.5" x14ac:dyDescent="0.45">
      <c r="A127" s="1"/>
      <c r="B127" s="1"/>
      <c r="D127" s="13"/>
      <c r="F127" s="26"/>
      <c r="AM127" s="19"/>
    </row>
    <row r="128" spans="1:39" s="5" customFormat="1" ht="15.5" x14ac:dyDescent="0.45">
      <c r="A128" s="1"/>
      <c r="B128" s="1"/>
      <c r="D128" s="13"/>
      <c r="F128" s="26"/>
      <c r="AM128" s="19"/>
    </row>
    <row r="129" spans="1:39" s="5" customFormat="1" ht="15.5" x14ac:dyDescent="0.45">
      <c r="A129" s="1"/>
      <c r="B129" s="1"/>
      <c r="D129" s="13"/>
      <c r="F129" s="26"/>
      <c r="AM129" s="19"/>
    </row>
    <row r="130" spans="1:39" s="5" customFormat="1" ht="15.5" x14ac:dyDescent="0.45">
      <c r="A130" s="1"/>
      <c r="B130" s="1"/>
      <c r="D130" s="13"/>
      <c r="F130" s="26"/>
      <c r="AM130" s="19"/>
    </row>
    <row r="131" spans="1:39" s="5" customFormat="1" ht="15.5" x14ac:dyDescent="0.45">
      <c r="A131" s="1"/>
      <c r="B131" s="1"/>
      <c r="D131" s="13"/>
      <c r="F131" s="26"/>
      <c r="AM131" s="19"/>
    </row>
    <row r="132" spans="1:39" s="5" customFormat="1" ht="15.5" x14ac:dyDescent="0.45">
      <c r="A132" s="1"/>
      <c r="B132" s="1"/>
      <c r="D132" s="13"/>
      <c r="F132" s="26"/>
      <c r="AM132" s="19"/>
    </row>
    <row r="133" spans="1:39" s="5" customFormat="1" ht="15.5" x14ac:dyDescent="0.45">
      <c r="A133" s="1"/>
      <c r="B133" s="1"/>
      <c r="D133" s="13"/>
      <c r="F133" s="26"/>
      <c r="AM133" s="19"/>
    </row>
    <row r="134" spans="1:39" s="5" customFormat="1" ht="15.5" x14ac:dyDescent="0.45">
      <c r="A134" s="1"/>
      <c r="B134" s="1"/>
      <c r="D134" s="13"/>
      <c r="F134" s="26"/>
      <c r="AM134" s="19"/>
    </row>
    <row r="135" spans="1:39" s="5" customFormat="1" ht="15.5" x14ac:dyDescent="0.45">
      <c r="A135" s="1"/>
      <c r="B135" s="1"/>
      <c r="D135" s="13"/>
      <c r="F135" s="26"/>
      <c r="AM135" s="19"/>
    </row>
    <row r="136" spans="1:39" s="5" customFormat="1" ht="15.5" x14ac:dyDescent="0.45">
      <c r="A136" s="1"/>
      <c r="B136" s="1"/>
      <c r="D136" s="13"/>
      <c r="F136" s="26"/>
      <c r="AM136" s="19"/>
    </row>
    <row r="137" spans="1:39" s="5" customFormat="1" ht="15.5" x14ac:dyDescent="0.45">
      <c r="A137" s="1"/>
      <c r="B137" s="1"/>
      <c r="D137" s="13"/>
      <c r="F137" s="26"/>
      <c r="AM137" s="19"/>
    </row>
    <row r="138" spans="1:39" s="5" customFormat="1" ht="15.5" x14ac:dyDescent="0.45">
      <c r="A138" s="1"/>
      <c r="B138" s="1"/>
      <c r="D138" s="13"/>
      <c r="F138" s="26"/>
      <c r="AM138" s="19"/>
    </row>
    <row r="139" spans="1:39" s="5" customFormat="1" ht="15.5" x14ac:dyDescent="0.45">
      <c r="A139" s="1"/>
      <c r="B139" s="1"/>
      <c r="D139" s="13"/>
      <c r="F139" s="26"/>
      <c r="AM139" s="19"/>
    </row>
    <row r="140" spans="1:39" s="5" customFormat="1" ht="15.5" x14ac:dyDescent="0.45">
      <c r="A140" s="1"/>
      <c r="B140" s="1"/>
      <c r="D140" s="13"/>
      <c r="F140" s="26"/>
      <c r="AM140" s="19"/>
    </row>
    <row r="141" spans="1:39" s="5" customFormat="1" ht="15.5" x14ac:dyDescent="0.45">
      <c r="A141" s="1"/>
      <c r="B141" s="1"/>
      <c r="D141" s="13"/>
      <c r="F141" s="26"/>
      <c r="AM141" s="19"/>
    </row>
    <row r="142" spans="1:39" s="5" customFormat="1" ht="15.5" x14ac:dyDescent="0.45">
      <c r="A142" s="1"/>
      <c r="B142" s="1"/>
      <c r="D142" s="13"/>
      <c r="F142" s="26"/>
      <c r="AM142" s="19"/>
    </row>
    <row r="143" spans="1:39" s="5" customFormat="1" ht="15.5" x14ac:dyDescent="0.45">
      <c r="A143" s="1"/>
      <c r="B143" s="1"/>
      <c r="D143" s="13"/>
      <c r="F143" s="26"/>
      <c r="AM143" s="19"/>
    </row>
    <row r="144" spans="1:39" s="5" customFormat="1" ht="15.5" x14ac:dyDescent="0.45">
      <c r="A144" s="1"/>
      <c r="B144" s="1"/>
      <c r="D144" s="13"/>
      <c r="F144" s="26"/>
      <c r="AM144" s="19"/>
    </row>
    <row r="145" spans="1:39" s="5" customFormat="1" ht="15.5" x14ac:dyDescent="0.45">
      <c r="A145" s="1"/>
      <c r="B145" s="1"/>
      <c r="D145" s="13"/>
      <c r="F145" s="26"/>
      <c r="AM145" s="19"/>
    </row>
    <row r="146" spans="1:39" s="5" customFormat="1" ht="15.5" x14ac:dyDescent="0.45">
      <c r="A146" s="1"/>
      <c r="B146" s="1"/>
      <c r="D146" s="13"/>
      <c r="F146" s="26"/>
      <c r="AM146" s="19"/>
    </row>
    <row r="147" spans="1:39" s="5" customFormat="1" ht="15.5" x14ac:dyDescent="0.45">
      <c r="A147" s="1"/>
      <c r="B147" s="1"/>
      <c r="D147" s="13"/>
      <c r="F147" s="26"/>
      <c r="AM147" s="19"/>
    </row>
    <row r="148" spans="1:39" s="5" customFormat="1" ht="15.5" x14ac:dyDescent="0.45">
      <c r="A148" s="1"/>
      <c r="B148" s="1"/>
      <c r="D148" s="13"/>
      <c r="F148" s="26"/>
      <c r="AM148" s="19"/>
    </row>
    <row r="149" spans="1:39" s="5" customFormat="1" ht="15.5" x14ac:dyDescent="0.45">
      <c r="A149" s="1"/>
      <c r="B149" s="1"/>
      <c r="D149" s="13"/>
      <c r="F149" s="26"/>
      <c r="AM149" s="19"/>
    </row>
    <row r="150" spans="1:39" s="5" customFormat="1" ht="15.5" x14ac:dyDescent="0.45">
      <c r="A150" s="1"/>
      <c r="B150" s="1"/>
      <c r="D150" s="13"/>
      <c r="F150" s="26"/>
      <c r="AM150" s="19"/>
    </row>
    <row r="151" spans="1:39" s="5" customFormat="1" ht="15.5" x14ac:dyDescent="0.45">
      <c r="A151" s="1"/>
      <c r="B151" s="1"/>
      <c r="D151" s="13"/>
      <c r="F151" s="26"/>
      <c r="AM151" s="19"/>
    </row>
    <row r="152" spans="1:39" s="5" customFormat="1" ht="15.5" x14ac:dyDescent="0.45">
      <c r="A152" s="1"/>
      <c r="B152" s="1"/>
      <c r="D152" s="13"/>
      <c r="F152" s="26"/>
      <c r="AM152" s="19"/>
    </row>
    <row r="153" spans="1:39" s="5" customFormat="1" ht="15.5" x14ac:dyDescent="0.45">
      <c r="A153" s="1"/>
      <c r="B153" s="1"/>
      <c r="D153" s="13"/>
      <c r="F153" s="26"/>
      <c r="AM153" s="19"/>
    </row>
    <row r="154" spans="1:39" s="5" customFormat="1" ht="15.5" x14ac:dyDescent="0.45">
      <c r="A154" s="1"/>
      <c r="B154" s="1"/>
      <c r="D154" s="13"/>
      <c r="F154" s="26"/>
      <c r="AM154" s="19"/>
    </row>
    <row r="155" spans="1:39" s="5" customFormat="1" ht="15.5" x14ac:dyDescent="0.45">
      <c r="A155" s="1"/>
      <c r="B155" s="1"/>
      <c r="D155" s="13"/>
      <c r="F155" s="26"/>
      <c r="AM155" s="19"/>
    </row>
    <row r="156" spans="1:39" s="5" customFormat="1" ht="15.5" x14ac:dyDescent="0.45">
      <c r="A156" s="1"/>
      <c r="B156" s="1"/>
      <c r="D156" s="13"/>
      <c r="F156" s="26"/>
      <c r="AM156" s="19"/>
    </row>
    <row r="157" spans="1:39" s="5" customFormat="1" ht="15.5" x14ac:dyDescent="0.45">
      <c r="A157" s="1"/>
      <c r="B157" s="1"/>
      <c r="D157" s="13"/>
      <c r="F157" s="26"/>
      <c r="AM157" s="19"/>
    </row>
    <row r="158" spans="1:39" s="5" customFormat="1" ht="15.5" x14ac:dyDescent="0.45">
      <c r="A158" s="1"/>
      <c r="B158" s="1"/>
      <c r="D158" s="13"/>
      <c r="F158" s="26"/>
      <c r="AM158" s="19"/>
    </row>
    <row r="159" spans="1:39" s="5" customFormat="1" ht="15.5" x14ac:dyDescent="0.45">
      <c r="A159" s="1"/>
      <c r="B159" s="1"/>
      <c r="D159" s="13"/>
      <c r="F159" s="26"/>
      <c r="AM159" s="19"/>
    </row>
    <row r="160" spans="1:39" s="5" customFormat="1" ht="15.5" x14ac:dyDescent="0.45">
      <c r="A160" s="1"/>
      <c r="B160" s="1"/>
      <c r="D160" s="13"/>
      <c r="F160" s="26"/>
      <c r="AM160" s="19"/>
    </row>
    <row r="161" spans="1:39" s="5" customFormat="1" ht="15.5" x14ac:dyDescent="0.45">
      <c r="A161" s="1"/>
      <c r="B161" s="1"/>
      <c r="D161" s="13"/>
      <c r="F161" s="26"/>
      <c r="AM161" s="19"/>
    </row>
    <row r="162" spans="1:39" s="5" customFormat="1" ht="15.5" x14ac:dyDescent="0.45">
      <c r="A162" s="1"/>
      <c r="B162" s="1"/>
      <c r="D162" s="13"/>
      <c r="F162" s="26"/>
      <c r="AM162" s="19"/>
    </row>
    <row r="163" spans="1:39" s="5" customFormat="1" ht="15.5" x14ac:dyDescent="0.45">
      <c r="A163" s="1"/>
      <c r="B163" s="1"/>
      <c r="D163" s="13"/>
      <c r="F163" s="26"/>
      <c r="AM163" s="19"/>
    </row>
    <row r="164" spans="1:39" s="5" customFormat="1" ht="15.5" x14ac:dyDescent="0.45">
      <c r="A164" s="1"/>
      <c r="B164" s="1"/>
      <c r="D164" s="13"/>
      <c r="F164" s="26"/>
      <c r="AM164" s="19"/>
    </row>
    <row r="165" spans="1:39" s="5" customFormat="1" ht="15.5" x14ac:dyDescent="0.45">
      <c r="A165" s="1"/>
      <c r="B165" s="1"/>
      <c r="D165" s="13"/>
      <c r="F165" s="26"/>
      <c r="AM165" s="19"/>
    </row>
    <row r="166" spans="1:39" s="5" customFormat="1" ht="15.5" x14ac:dyDescent="0.45">
      <c r="A166" s="1"/>
      <c r="B166" s="1"/>
      <c r="D166" s="13"/>
      <c r="F166" s="26"/>
      <c r="AM166" s="19"/>
    </row>
    <row r="167" spans="1:39" s="5" customFormat="1" ht="15.5" x14ac:dyDescent="0.45">
      <c r="A167" s="1"/>
      <c r="B167" s="1"/>
      <c r="D167" s="13"/>
      <c r="F167" s="26"/>
      <c r="AM167" s="19"/>
    </row>
    <row r="168" spans="1:39" s="5" customFormat="1" ht="15.5" x14ac:dyDescent="0.45">
      <c r="A168" s="1"/>
      <c r="B168" s="1"/>
      <c r="D168" s="13"/>
      <c r="F168" s="26"/>
      <c r="AM168" s="19"/>
    </row>
    <row r="169" spans="1:39" s="5" customFormat="1" ht="15.5" x14ac:dyDescent="0.45">
      <c r="A169" s="1"/>
      <c r="B169" s="1"/>
      <c r="D169" s="13"/>
      <c r="F169" s="26"/>
      <c r="AM169" s="19"/>
    </row>
    <row r="170" spans="1:39" s="5" customFormat="1" ht="15.5" x14ac:dyDescent="0.45">
      <c r="A170" s="1"/>
      <c r="B170" s="1"/>
      <c r="D170" s="13"/>
      <c r="F170" s="26"/>
      <c r="AM170" s="19"/>
    </row>
    <row r="171" spans="1:39" s="5" customFormat="1" ht="15.5" x14ac:dyDescent="0.45">
      <c r="A171" s="1"/>
      <c r="B171" s="1"/>
      <c r="D171" s="13"/>
      <c r="F171" s="26"/>
      <c r="AM171" s="19"/>
    </row>
    <row r="172" spans="1:39" s="5" customFormat="1" ht="15.5" x14ac:dyDescent="0.45">
      <c r="A172" s="1"/>
      <c r="B172" s="1"/>
      <c r="D172" s="13"/>
      <c r="F172" s="26"/>
      <c r="AM172" s="19"/>
    </row>
    <row r="173" spans="1:39" s="5" customFormat="1" ht="15.5" x14ac:dyDescent="0.45">
      <c r="A173" s="1"/>
      <c r="B173" s="1"/>
      <c r="D173" s="13"/>
      <c r="F173" s="26"/>
      <c r="AM173" s="19"/>
    </row>
    <row r="174" spans="1:39" s="5" customFormat="1" ht="15.5" x14ac:dyDescent="0.45">
      <c r="A174" s="1"/>
      <c r="B174" s="1"/>
      <c r="D174" s="13"/>
      <c r="F174" s="26"/>
      <c r="AM174" s="19"/>
    </row>
    <row r="175" spans="1:39" s="5" customFormat="1" ht="15.5" x14ac:dyDescent="0.45">
      <c r="A175" s="1"/>
      <c r="B175" s="1"/>
      <c r="D175" s="13"/>
      <c r="F175" s="26"/>
      <c r="AM175" s="19"/>
    </row>
    <row r="176" spans="1:39" s="5" customFormat="1" ht="15.5" x14ac:dyDescent="0.45">
      <c r="A176" s="1"/>
      <c r="B176" s="1"/>
      <c r="D176" s="13"/>
      <c r="F176" s="26"/>
      <c r="AM176" s="19"/>
    </row>
    <row r="177" spans="1:39" s="5" customFormat="1" ht="15.5" x14ac:dyDescent="0.45">
      <c r="A177" s="1"/>
      <c r="B177" s="1"/>
      <c r="D177" s="13"/>
      <c r="F177" s="26"/>
      <c r="AM177" s="19"/>
    </row>
    <row r="178" spans="1:39" s="5" customFormat="1" ht="15.5" x14ac:dyDescent="0.45">
      <c r="A178" s="1"/>
      <c r="B178" s="1"/>
      <c r="D178" s="13"/>
      <c r="F178" s="26"/>
      <c r="AM178" s="19"/>
    </row>
    <row r="179" spans="1:39" s="5" customFormat="1" ht="15.5" x14ac:dyDescent="0.45">
      <c r="A179" s="1"/>
      <c r="B179" s="1"/>
      <c r="D179" s="13"/>
      <c r="F179" s="26"/>
      <c r="AM179" s="19"/>
    </row>
    <row r="180" spans="1:39" s="5" customFormat="1" ht="15.5" x14ac:dyDescent="0.45">
      <c r="A180" s="1"/>
      <c r="B180" s="1"/>
      <c r="D180" s="13"/>
      <c r="F180" s="26"/>
      <c r="AM180" s="19"/>
    </row>
    <row r="181" spans="1:39" s="5" customFormat="1" ht="15.5" x14ac:dyDescent="0.45">
      <c r="A181" s="1"/>
      <c r="B181" s="1"/>
      <c r="D181" s="13"/>
      <c r="F181" s="26"/>
      <c r="AM181" s="19"/>
    </row>
    <row r="182" spans="1:39" s="5" customFormat="1" ht="15.5" x14ac:dyDescent="0.45">
      <c r="A182" s="1"/>
      <c r="B182" s="1"/>
      <c r="D182" s="13"/>
      <c r="F182" s="26"/>
      <c r="AM182" s="19"/>
    </row>
    <row r="183" spans="1:39" s="5" customFormat="1" ht="15.5" x14ac:dyDescent="0.45">
      <c r="A183" s="1"/>
      <c r="B183" s="1"/>
      <c r="D183" s="13"/>
      <c r="F183" s="26"/>
      <c r="AM183" s="19"/>
    </row>
    <row r="184" spans="1:39" s="5" customFormat="1" ht="15.5" x14ac:dyDescent="0.45">
      <c r="A184" s="1"/>
      <c r="B184" s="1"/>
      <c r="D184" s="13"/>
      <c r="F184" s="26"/>
      <c r="AM184" s="19"/>
    </row>
    <row r="185" spans="1:39" s="5" customFormat="1" ht="15.5" x14ac:dyDescent="0.45">
      <c r="A185" s="1"/>
      <c r="B185" s="1"/>
      <c r="D185" s="13"/>
      <c r="F185" s="26"/>
      <c r="AM185" s="19"/>
    </row>
    <row r="186" spans="1:39" s="5" customFormat="1" ht="15.5" x14ac:dyDescent="0.45">
      <c r="A186" s="1"/>
      <c r="B186" s="1"/>
      <c r="D186" s="13"/>
      <c r="F186" s="26"/>
      <c r="AM186" s="19"/>
    </row>
    <row r="187" spans="1:39" s="5" customFormat="1" ht="15.5" x14ac:dyDescent="0.45">
      <c r="A187" s="1"/>
      <c r="B187" s="1"/>
      <c r="D187" s="13"/>
      <c r="F187" s="26"/>
      <c r="AM187" s="19"/>
    </row>
    <row r="188" spans="1:39" s="5" customFormat="1" ht="15.5" x14ac:dyDescent="0.45">
      <c r="A188" s="1"/>
      <c r="B188" s="1"/>
      <c r="D188" s="13"/>
      <c r="F188" s="26"/>
      <c r="AM188" s="19"/>
    </row>
    <row r="189" spans="1:39" s="5" customFormat="1" ht="15.5" x14ac:dyDescent="0.45">
      <c r="A189" s="1"/>
      <c r="B189" s="1"/>
      <c r="D189" s="13"/>
      <c r="F189" s="26"/>
      <c r="AM189" s="19"/>
    </row>
    <row r="190" spans="1:39" s="5" customFormat="1" ht="15.5" x14ac:dyDescent="0.45">
      <c r="A190" s="1"/>
      <c r="B190" s="1"/>
      <c r="D190" s="13"/>
      <c r="F190" s="26"/>
      <c r="AM190" s="19"/>
    </row>
    <row r="191" spans="1:39" s="5" customFormat="1" ht="15.5" x14ac:dyDescent="0.45">
      <c r="A191" s="1"/>
      <c r="B191" s="1"/>
      <c r="D191" s="13"/>
      <c r="F191" s="26"/>
      <c r="AM191" s="19"/>
    </row>
    <row r="192" spans="1:39" s="5" customFormat="1" ht="15.5" x14ac:dyDescent="0.45">
      <c r="A192" s="1"/>
      <c r="B192" s="1"/>
      <c r="D192" s="13"/>
      <c r="F192" s="26"/>
      <c r="AM192" s="19"/>
    </row>
    <row r="193" spans="1:39" s="5" customFormat="1" ht="15.5" x14ac:dyDescent="0.45">
      <c r="A193" s="1"/>
      <c r="B193" s="1"/>
      <c r="D193" s="13"/>
      <c r="F193" s="26"/>
      <c r="AM193" s="19"/>
    </row>
    <row r="194" spans="1:39" s="5" customFormat="1" ht="15.5" x14ac:dyDescent="0.45">
      <c r="A194" s="1"/>
      <c r="B194" s="1"/>
      <c r="D194" s="13"/>
      <c r="F194" s="26"/>
      <c r="AM194" s="19"/>
    </row>
    <row r="195" spans="1:39" s="5" customFormat="1" ht="15.5" x14ac:dyDescent="0.45">
      <c r="A195" s="1"/>
      <c r="B195" s="1"/>
      <c r="D195" s="13"/>
      <c r="F195" s="26"/>
      <c r="AM195" s="19"/>
    </row>
    <row r="196" spans="1:39" s="5" customFormat="1" ht="15.5" x14ac:dyDescent="0.45">
      <c r="A196" s="1"/>
      <c r="B196" s="1"/>
      <c r="D196" s="13"/>
      <c r="F196" s="26"/>
      <c r="AM196" s="19"/>
    </row>
    <row r="197" spans="1:39" s="5" customFormat="1" ht="15.5" x14ac:dyDescent="0.45">
      <c r="A197" s="1"/>
      <c r="B197" s="1"/>
      <c r="D197" s="13"/>
      <c r="F197" s="26"/>
      <c r="AM197" s="19"/>
    </row>
    <row r="198" spans="1:39" s="5" customFormat="1" ht="15.5" x14ac:dyDescent="0.45">
      <c r="A198" s="1"/>
      <c r="B198" s="1"/>
      <c r="D198" s="13"/>
      <c r="F198" s="26"/>
      <c r="AM198" s="19"/>
    </row>
    <row r="199" spans="1:39" s="5" customFormat="1" ht="15.5" x14ac:dyDescent="0.45">
      <c r="A199" s="1"/>
      <c r="B199" s="1"/>
      <c r="D199" s="13"/>
      <c r="F199" s="26"/>
      <c r="AM199" s="19"/>
    </row>
    <row r="200" spans="1:39" s="5" customFormat="1" ht="15.5" x14ac:dyDescent="0.45">
      <c r="A200" s="1"/>
      <c r="B200" s="1"/>
      <c r="D200" s="13"/>
      <c r="F200" s="26"/>
      <c r="AM200" s="19"/>
    </row>
    <row r="201" spans="1:39" s="5" customFormat="1" ht="15.5" x14ac:dyDescent="0.45">
      <c r="A201" s="1"/>
      <c r="B201" s="1"/>
      <c r="D201" s="13"/>
      <c r="F201" s="26"/>
      <c r="AM201" s="19"/>
    </row>
    <row r="202" spans="1:39" s="5" customFormat="1" ht="15.5" x14ac:dyDescent="0.45">
      <c r="A202" s="1"/>
      <c r="B202" s="1"/>
      <c r="D202" s="13"/>
      <c r="F202" s="26"/>
      <c r="AM202" s="19"/>
    </row>
    <row r="203" spans="1:39" s="5" customFormat="1" ht="15.5" x14ac:dyDescent="0.45">
      <c r="A203" s="1"/>
      <c r="B203" s="1"/>
      <c r="D203" s="13"/>
      <c r="F203" s="26"/>
      <c r="AM203" s="19"/>
    </row>
    <row r="204" spans="1:39" s="5" customFormat="1" ht="15.5" x14ac:dyDescent="0.45">
      <c r="A204" s="1"/>
      <c r="B204" s="1"/>
      <c r="D204" s="13"/>
      <c r="F204" s="26"/>
      <c r="AM204" s="19"/>
    </row>
    <row r="205" spans="1:39" s="5" customFormat="1" ht="15.5" x14ac:dyDescent="0.45">
      <c r="A205" s="1"/>
      <c r="B205" s="1"/>
      <c r="D205" s="13"/>
      <c r="F205" s="26"/>
      <c r="AM205" s="19"/>
    </row>
    <row r="206" spans="1:39" s="5" customFormat="1" ht="15.5" x14ac:dyDescent="0.45">
      <c r="A206" s="1"/>
      <c r="B206" s="1"/>
      <c r="D206" s="13"/>
      <c r="F206" s="26"/>
      <c r="AM206" s="19"/>
    </row>
    <row r="207" spans="1:39" s="5" customFormat="1" ht="15.5" x14ac:dyDescent="0.45">
      <c r="A207" s="1"/>
      <c r="B207" s="1"/>
      <c r="D207" s="13"/>
      <c r="F207" s="26"/>
      <c r="AM207" s="19"/>
    </row>
    <row r="208" spans="1:39" s="5" customFormat="1" ht="15.5" x14ac:dyDescent="0.45">
      <c r="A208" s="1"/>
      <c r="B208" s="1"/>
      <c r="D208" s="13"/>
      <c r="F208" s="26"/>
      <c r="AM208" s="19"/>
    </row>
    <row r="209" spans="1:39" s="5" customFormat="1" ht="15.5" x14ac:dyDescent="0.45">
      <c r="A209" s="1"/>
      <c r="B209" s="1"/>
      <c r="D209" s="13"/>
      <c r="F209" s="26"/>
      <c r="AM209" s="19"/>
    </row>
    <row r="210" spans="1:39" s="5" customFormat="1" ht="15.5" x14ac:dyDescent="0.45">
      <c r="A210" s="1"/>
      <c r="B210" s="1"/>
      <c r="D210" s="13"/>
      <c r="F210" s="26"/>
      <c r="AM210" s="19"/>
    </row>
    <row r="211" spans="1:39" s="5" customFormat="1" ht="15.5" x14ac:dyDescent="0.45">
      <c r="A211" s="1"/>
      <c r="B211" s="1"/>
      <c r="D211" s="13"/>
      <c r="F211" s="26"/>
      <c r="AM211" s="19"/>
    </row>
    <row r="212" spans="1:39" s="5" customFormat="1" ht="15.5" x14ac:dyDescent="0.45">
      <c r="A212" s="1"/>
      <c r="B212" s="1"/>
      <c r="D212" s="13"/>
      <c r="F212" s="26"/>
      <c r="AM212" s="19"/>
    </row>
    <row r="213" spans="1:39" s="5" customFormat="1" ht="15.5" x14ac:dyDescent="0.45">
      <c r="A213" s="1"/>
      <c r="B213" s="1"/>
      <c r="D213" s="13"/>
      <c r="F213" s="26"/>
      <c r="AM213" s="19"/>
    </row>
    <row r="214" spans="1:39" s="5" customFormat="1" ht="15.5" x14ac:dyDescent="0.45">
      <c r="A214" s="1"/>
      <c r="B214" s="1"/>
      <c r="D214" s="13"/>
      <c r="F214" s="26"/>
      <c r="AM214" s="19"/>
    </row>
    <row r="215" spans="1:39" s="5" customFormat="1" ht="15.5" x14ac:dyDescent="0.45">
      <c r="A215" s="1"/>
      <c r="B215" s="1"/>
      <c r="D215" s="13"/>
      <c r="F215" s="26"/>
      <c r="AM215" s="19"/>
    </row>
    <row r="216" spans="1:39" s="5" customFormat="1" ht="15.5" x14ac:dyDescent="0.45">
      <c r="A216" s="1"/>
      <c r="B216" s="1"/>
      <c r="D216" s="13"/>
      <c r="F216" s="26"/>
      <c r="AM216" s="19"/>
    </row>
    <row r="217" spans="1:39" s="5" customFormat="1" ht="15.5" x14ac:dyDescent="0.45">
      <c r="A217" s="1"/>
      <c r="B217" s="1"/>
      <c r="D217" s="13"/>
      <c r="F217" s="26"/>
      <c r="AM217" s="19"/>
    </row>
    <row r="218" spans="1:39" s="5" customFormat="1" ht="15.5" x14ac:dyDescent="0.45">
      <c r="A218" s="1"/>
      <c r="B218" s="1"/>
      <c r="D218" s="13"/>
      <c r="F218" s="26"/>
      <c r="AM218" s="19"/>
    </row>
    <row r="219" spans="1:39" s="5" customFormat="1" ht="15.5" x14ac:dyDescent="0.45">
      <c r="A219" s="1"/>
      <c r="B219" s="1"/>
      <c r="D219" s="13"/>
      <c r="F219" s="26"/>
      <c r="AM219" s="19"/>
    </row>
    <row r="220" spans="1:39" s="5" customFormat="1" ht="15.5" x14ac:dyDescent="0.45">
      <c r="A220" s="1"/>
      <c r="B220" s="1"/>
      <c r="D220" s="13"/>
      <c r="F220" s="26"/>
      <c r="AM220" s="19"/>
    </row>
    <row r="221" spans="1:39" s="5" customFormat="1" ht="15.5" x14ac:dyDescent="0.45">
      <c r="A221" s="1"/>
      <c r="B221" s="1"/>
      <c r="D221" s="13"/>
      <c r="F221" s="26"/>
      <c r="AM221" s="19"/>
    </row>
    <row r="222" spans="1:39" s="5" customFormat="1" ht="15.5" x14ac:dyDescent="0.45">
      <c r="A222" s="1"/>
      <c r="B222" s="1"/>
      <c r="D222" s="13"/>
      <c r="F222" s="26"/>
      <c r="AM222" s="19"/>
    </row>
    <row r="223" spans="1:39" s="5" customFormat="1" ht="15.5" x14ac:dyDescent="0.45">
      <c r="A223" s="1"/>
      <c r="B223" s="1"/>
      <c r="D223" s="13"/>
      <c r="F223" s="26"/>
      <c r="AM223" s="19"/>
    </row>
    <row r="224" spans="1:39" s="5" customFormat="1" ht="15.5" x14ac:dyDescent="0.45">
      <c r="A224" s="1"/>
      <c r="B224" s="1"/>
      <c r="D224" s="13"/>
      <c r="F224" s="26"/>
      <c r="AM224" s="19"/>
    </row>
    <row r="225" spans="1:39" s="5" customFormat="1" ht="15.5" x14ac:dyDescent="0.45">
      <c r="A225" s="1"/>
      <c r="B225" s="1"/>
      <c r="D225" s="13"/>
      <c r="F225" s="26"/>
      <c r="AM225" s="19"/>
    </row>
    <row r="226" spans="1:39" s="5" customFormat="1" ht="15.5" x14ac:dyDescent="0.45">
      <c r="A226" s="1"/>
      <c r="B226" s="1"/>
      <c r="D226" s="13"/>
      <c r="F226" s="26"/>
      <c r="AM226" s="19"/>
    </row>
    <row r="227" spans="1:39" s="5" customFormat="1" ht="15.5" x14ac:dyDescent="0.45">
      <c r="A227" s="1"/>
      <c r="B227" s="1"/>
      <c r="D227" s="13"/>
      <c r="F227" s="26"/>
      <c r="AM227" s="19"/>
    </row>
    <row r="228" spans="1:39" s="5" customFormat="1" ht="15.5" x14ac:dyDescent="0.45">
      <c r="A228" s="1"/>
      <c r="B228" s="1"/>
      <c r="D228" s="13"/>
      <c r="F228" s="26"/>
      <c r="AM228" s="19"/>
    </row>
    <row r="229" spans="1:39" s="5" customFormat="1" ht="15.5" x14ac:dyDescent="0.45">
      <c r="A229" s="1"/>
      <c r="B229" s="1"/>
      <c r="D229" s="13"/>
      <c r="F229" s="26"/>
      <c r="AM229" s="19"/>
    </row>
    <row r="230" spans="1:39" s="5" customFormat="1" ht="15.5" x14ac:dyDescent="0.45">
      <c r="A230" s="1"/>
      <c r="B230" s="1"/>
      <c r="D230" s="13"/>
      <c r="F230" s="26"/>
      <c r="AM230" s="19"/>
    </row>
    <row r="231" spans="1:39" s="5" customFormat="1" ht="15.5" x14ac:dyDescent="0.45">
      <c r="A231" s="1"/>
      <c r="B231" s="1"/>
      <c r="D231" s="13"/>
      <c r="F231" s="26"/>
      <c r="AM231" s="19"/>
    </row>
    <row r="232" spans="1:39" s="5" customFormat="1" ht="15.5" x14ac:dyDescent="0.45">
      <c r="A232" s="1"/>
      <c r="B232" s="1"/>
      <c r="D232" s="13"/>
      <c r="F232" s="26"/>
      <c r="AM232" s="19"/>
    </row>
    <row r="233" spans="1:39" s="5" customFormat="1" ht="15.5" x14ac:dyDescent="0.45">
      <c r="A233" s="1"/>
      <c r="B233" s="1"/>
      <c r="D233" s="13"/>
      <c r="F233" s="26"/>
      <c r="AM233" s="19"/>
    </row>
    <row r="234" spans="1:39" s="5" customFormat="1" ht="15.5" x14ac:dyDescent="0.45">
      <c r="A234" s="1"/>
      <c r="B234" s="1"/>
      <c r="D234" s="13"/>
      <c r="F234" s="26"/>
      <c r="AM234" s="19"/>
    </row>
    <row r="235" spans="1:39" s="5" customFormat="1" ht="15.5" x14ac:dyDescent="0.45">
      <c r="A235" s="1"/>
      <c r="B235" s="1"/>
      <c r="D235" s="13"/>
      <c r="F235" s="26"/>
      <c r="AM235" s="19"/>
    </row>
    <row r="236" spans="1:39" s="5" customFormat="1" ht="15.5" x14ac:dyDescent="0.45">
      <c r="A236" s="1"/>
      <c r="B236" s="1"/>
      <c r="D236" s="13"/>
      <c r="F236" s="26"/>
      <c r="AM236" s="19"/>
    </row>
    <row r="237" spans="1:39" s="5" customFormat="1" ht="15.5" x14ac:dyDescent="0.45">
      <c r="A237" s="1"/>
      <c r="B237" s="1"/>
      <c r="D237" s="13"/>
      <c r="F237" s="26"/>
      <c r="AM237" s="19"/>
    </row>
    <row r="238" spans="1:39" s="5" customFormat="1" ht="15.5" x14ac:dyDescent="0.45">
      <c r="A238" s="1"/>
      <c r="B238" s="1"/>
      <c r="D238" s="13"/>
      <c r="F238" s="26"/>
      <c r="AM238" s="19"/>
    </row>
    <row r="239" spans="1:39" s="5" customFormat="1" ht="15.5" x14ac:dyDescent="0.45">
      <c r="A239" s="1"/>
      <c r="B239" s="1"/>
      <c r="D239" s="13"/>
      <c r="F239" s="26"/>
      <c r="AM239" s="19"/>
    </row>
    <row r="240" spans="1:39" s="5" customFormat="1" ht="15.5" x14ac:dyDescent="0.45">
      <c r="A240" s="1"/>
      <c r="B240" s="1"/>
      <c r="D240" s="13"/>
      <c r="F240" s="26"/>
      <c r="AM240" s="19"/>
    </row>
    <row r="241" spans="1:39" s="5" customFormat="1" ht="15.5" x14ac:dyDescent="0.45">
      <c r="A241" s="1"/>
      <c r="B241" s="1"/>
      <c r="D241" s="13"/>
      <c r="F241" s="26"/>
      <c r="AM241" s="19"/>
    </row>
    <row r="242" spans="1:39" s="5" customFormat="1" ht="15.5" x14ac:dyDescent="0.45">
      <c r="A242" s="1"/>
      <c r="B242" s="1"/>
      <c r="D242" s="13"/>
      <c r="F242" s="26"/>
      <c r="AM242" s="19"/>
    </row>
    <row r="243" spans="1:39" s="5" customFormat="1" ht="15.5" x14ac:dyDescent="0.45">
      <c r="A243" s="1"/>
      <c r="B243" s="1"/>
      <c r="D243" s="13"/>
      <c r="F243" s="26"/>
      <c r="AM243" s="19"/>
    </row>
    <row r="244" spans="1:39" s="5" customFormat="1" ht="15.5" x14ac:dyDescent="0.45">
      <c r="A244" s="1"/>
      <c r="B244" s="1"/>
      <c r="D244" s="13"/>
      <c r="F244" s="26"/>
      <c r="AM244" s="19"/>
    </row>
    <row r="245" spans="1:39" s="5" customFormat="1" ht="15.5" x14ac:dyDescent="0.45">
      <c r="A245" s="1"/>
      <c r="B245" s="1"/>
      <c r="D245" s="13"/>
      <c r="F245" s="26"/>
      <c r="AM245" s="19"/>
    </row>
    <row r="246" spans="1:39" s="5" customFormat="1" ht="15.5" x14ac:dyDescent="0.45">
      <c r="A246" s="1"/>
      <c r="B246" s="1"/>
      <c r="D246" s="13"/>
      <c r="F246" s="26"/>
      <c r="AM246" s="19"/>
    </row>
    <row r="247" spans="1:39" s="5" customFormat="1" ht="15.5" x14ac:dyDescent="0.45">
      <c r="A247" s="1"/>
      <c r="B247" s="1"/>
      <c r="D247" s="13"/>
      <c r="F247" s="26"/>
      <c r="AM247" s="19"/>
    </row>
    <row r="248" spans="1:39" s="5" customFormat="1" ht="15.5" x14ac:dyDescent="0.45">
      <c r="A248" s="1"/>
      <c r="B248" s="1"/>
      <c r="D248" s="13"/>
      <c r="F248" s="26"/>
      <c r="AM248" s="19"/>
    </row>
    <row r="249" spans="1:39" s="5" customFormat="1" ht="15.5" x14ac:dyDescent="0.45">
      <c r="A249" s="1"/>
      <c r="B249" s="1"/>
      <c r="D249" s="13"/>
      <c r="F249" s="26"/>
      <c r="AM249" s="19"/>
    </row>
    <row r="250" spans="1:39" s="5" customFormat="1" ht="15.5" x14ac:dyDescent="0.45">
      <c r="A250" s="1"/>
      <c r="B250" s="1"/>
      <c r="D250" s="13"/>
      <c r="F250" s="26"/>
      <c r="AM250" s="19"/>
    </row>
    <row r="251" spans="1:39" s="5" customFormat="1" ht="15.5" x14ac:dyDescent="0.45">
      <c r="A251" s="1"/>
      <c r="B251" s="1"/>
      <c r="D251" s="13"/>
      <c r="F251" s="26"/>
      <c r="AM251" s="19"/>
    </row>
    <row r="252" spans="1:39" s="5" customFormat="1" ht="15.5" x14ac:dyDescent="0.45">
      <c r="A252" s="1"/>
      <c r="B252" s="1"/>
      <c r="D252" s="13"/>
      <c r="F252" s="26"/>
      <c r="AM252" s="19"/>
    </row>
    <row r="253" spans="1:39" s="5" customFormat="1" ht="15.5" x14ac:dyDescent="0.45">
      <c r="A253" s="1"/>
      <c r="B253" s="1"/>
      <c r="D253" s="13"/>
      <c r="F253" s="26"/>
      <c r="AM253" s="19"/>
    </row>
    <row r="254" spans="1:39" s="5" customFormat="1" ht="15.5" x14ac:dyDescent="0.45">
      <c r="A254" s="1"/>
      <c r="B254" s="1"/>
      <c r="D254" s="13"/>
      <c r="F254" s="26"/>
      <c r="AM254" s="19"/>
    </row>
    <row r="255" spans="1:39" s="5" customFormat="1" ht="15.5" x14ac:dyDescent="0.45">
      <c r="A255" s="1"/>
      <c r="B255" s="1"/>
      <c r="D255" s="13"/>
      <c r="F255" s="26"/>
      <c r="AM255" s="19"/>
    </row>
    <row r="256" spans="1:39" s="5" customFormat="1" ht="15.5" x14ac:dyDescent="0.45">
      <c r="A256" s="1"/>
      <c r="B256" s="1"/>
      <c r="D256" s="13"/>
      <c r="F256" s="26"/>
      <c r="AM256" s="19"/>
    </row>
    <row r="257" spans="1:39" s="5" customFormat="1" ht="15.5" x14ac:dyDescent="0.45">
      <c r="A257" s="1"/>
      <c r="B257" s="1"/>
      <c r="D257" s="13"/>
      <c r="F257" s="26"/>
      <c r="AM257" s="19"/>
    </row>
    <row r="258" spans="1:39" s="5" customFormat="1" ht="15.5" x14ac:dyDescent="0.45">
      <c r="A258" s="1"/>
      <c r="B258" s="1"/>
      <c r="D258" s="13"/>
      <c r="F258" s="26"/>
      <c r="AM258" s="19"/>
    </row>
    <row r="259" spans="1:39" s="5" customFormat="1" ht="15.5" x14ac:dyDescent="0.45">
      <c r="A259" s="1"/>
      <c r="B259" s="1"/>
      <c r="D259" s="13"/>
      <c r="F259" s="26"/>
      <c r="AM259" s="19"/>
    </row>
    <row r="260" spans="1:39" s="5" customFormat="1" ht="15.5" x14ac:dyDescent="0.45">
      <c r="A260" s="1"/>
      <c r="B260" s="1"/>
      <c r="D260" s="13"/>
      <c r="F260" s="26"/>
      <c r="AM260" s="19"/>
    </row>
    <row r="261" spans="1:39" s="5" customFormat="1" ht="15.5" x14ac:dyDescent="0.45">
      <c r="A261" s="1"/>
      <c r="B261" s="1"/>
      <c r="D261" s="13"/>
      <c r="F261" s="26"/>
      <c r="AM261" s="19"/>
    </row>
    <row r="262" spans="1:39" s="5" customFormat="1" ht="15.5" x14ac:dyDescent="0.45">
      <c r="A262" s="1"/>
      <c r="B262" s="1"/>
      <c r="D262" s="13"/>
      <c r="F262" s="26"/>
      <c r="AM262" s="19"/>
    </row>
    <row r="263" spans="1:39" s="5" customFormat="1" ht="15.5" x14ac:dyDescent="0.45">
      <c r="A263" s="1"/>
      <c r="B263" s="1"/>
      <c r="D263" s="13"/>
      <c r="F263" s="26"/>
      <c r="AM263" s="19"/>
    </row>
    <row r="264" spans="1:39" s="5" customFormat="1" ht="15.5" x14ac:dyDescent="0.45">
      <c r="A264" s="1"/>
      <c r="B264" s="1"/>
      <c r="D264" s="13"/>
      <c r="F264" s="26"/>
      <c r="AM264" s="19"/>
    </row>
    <row r="265" spans="1:39" s="5" customFormat="1" ht="15.5" x14ac:dyDescent="0.45">
      <c r="A265" s="1"/>
      <c r="B265" s="1"/>
      <c r="D265" s="13"/>
      <c r="F265" s="26"/>
      <c r="AM265" s="19"/>
    </row>
    <row r="266" spans="1:39" s="5" customFormat="1" ht="15.5" x14ac:dyDescent="0.45">
      <c r="A266" s="1"/>
      <c r="B266" s="1"/>
      <c r="D266" s="13"/>
      <c r="F266" s="26"/>
      <c r="AM266" s="19"/>
    </row>
    <row r="267" spans="1:39" s="5" customFormat="1" ht="15.5" x14ac:dyDescent="0.45">
      <c r="A267" s="1"/>
      <c r="B267" s="1"/>
      <c r="D267" s="13"/>
      <c r="F267" s="26"/>
      <c r="AM267" s="19"/>
    </row>
    <row r="268" spans="1:39" s="5" customFormat="1" ht="15.5" x14ac:dyDescent="0.45">
      <c r="A268" s="1"/>
      <c r="B268" s="1"/>
      <c r="D268" s="13"/>
      <c r="F268" s="26"/>
      <c r="AM268" s="19"/>
    </row>
    <row r="269" spans="1:39" s="5" customFormat="1" ht="15.5" x14ac:dyDescent="0.45">
      <c r="A269" s="1"/>
      <c r="B269" s="1"/>
      <c r="D269" s="13"/>
      <c r="F269" s="26"/>
      <c r="AM269" s="19"/>
    </row>
    <row r="270" spans="1:39" s="5" customFormat="1" ht="15.5" x14ac:dyDescent="0.45">
      <c r="A270" s="1"/>
      <c r="B270" s="1"/>
      <c r="D270" s="13"/>
      <c r="F270" s="26"/>
      <c r="AM270" s="19"/>
    </row>
    <row r="271" spans="1:39" s="5" customFormat="1" ht="15.5" x14ac:dyDescent="0.45">
      <c r="A271" s="1"/>
      <c r="B271" s="1"/>
      <c r="D271" s="13"/>
      <c r="F271" s="26"/>
      <c r="AM271" s="19"/>
    </row>
    <row r="272" spans="1:39" s="5" customFormat="1" ht="15.5" x14ac:dyDescent="0.45">
      <c r="A272" s="1"/>
      <c r="B272" s="1"/>
      <c r="D272" s="13"/>
      <c r="F272" s="26"/>
      <c r="AM272" s="19"/>
    </row>
    <row r="273" spans="1:39" s="5" customFormat="1" ht="15.5" x14ac:dyDescent="0.45">
      <c r="A273" s="1"/>
      <c r="B273" s="1"/>
      <c r="D273" s="13"/>
      <c r="F273" s="26"/>
      <c r="AM273" s="19"/>
    </row>
    <row r="274" spans="1:39" s="5" customFormat="1" ht="15.5" x14ac:dyDescent="0.45">
      <c r="A274" s="1"/>
      <c r="B274" s="1"/>
      <c r="D274" s="13"/>
      <c r="F274" s="26"/>
      <c r="AM274" s="19"/>
    </row>
    <row r="275" spans="1:39" s="5" customFormat="1" ht="15.5" x14ac:dyDescent="0.45">
      <c r="A275" s="1"/>
      <c r="B275" s="1"/>
      <c r="D275" s="13"/>
      <c r="F275" s="26"/>
      <c r="AM275" s="19"/>
    </row>
    <row r="276" spans="1:39" s="5" customFormat="1" ht="15.5" x14ac:dyDescent="0.45">
      <c r="A276" s="1"/>
      <c r="B276" s="1"/>
      <c r="D276" s="13"/>
      <c r="F276" s="26"/>
      <c r="AM276" s="19"/>
    </row>
    <row r="277" spans="1:39" s="5" customFormat="1" ht="15.5" x14ac:dyDescent="0.45">
      <c r="A277" s="1"/>
      <c r="B277" s="1"/>
      <c r="D277" s="13"/>
      <c r="F277" s="26"/>
      <c r="AM277" s="19"/>
    </row>
    <row r="278" spans="1:39" s="5" customFormat="1" ht="15.5" x14ac:dyDescent="0.45">
      <c r="A278" s="1"/>
      <c r="B278" s="1"/>
      <c r="D278" s="13"/>
      <c r="F278" s="26"/>
      <c r="AM278" s="19"/>
    </row>
    <row r="279" spans="1:39" s="5" customFormat="1" ht="15.5" x14ac:dyDescent="0.45">
      <c r="A279" s="1"/>
      <c r="B279" s="1"/>
      <c r="D279" s="13"/>
      <c r="F279" s="26"/>
      <c r="AM279" s="19"/>
    </row>
    <row r="280" spans="1:39" s="5" customFormat="1" ht="15.5" x14ac:dyDescent="0.45">
      <c r="A280" s="1"/>
      <c r="B280" s="1"/>
      <c r="D280" s="13"/>
      <c r="F280" s="26"/>
      <c r="AM280" s="19"/>
    </row>
    <row r="281" spans="1:39" s="5" customFormat="1" ht="15.5" x14ac:dyDescent="0.45">
      <c r="A281" s="1"/>
      <c r="B281" s="1"/>
      <c r="D281" s="13"/>
      <c r="F281" s="26"/>
      <c r="AM281" s="19"/>
    </row>
    <row r="282" spans="1:39" s="5" customFormat="1" ht="15.5" x14ac:dyDescent="0.45">
      <c r="A282" s="1"/>
      <c r="B282" s="1"/>
      <c r="D282" s="13"/>
      <c r="F282" s="26"/>
      <c r="AM282" s="19"/>
    </row>
    <row r="283" spans="1:39" s="5" customFormat="1" ht="15.5" x14ac:dyDescent="0.45">
      <c r="A283" s="1"/>
      <c r="B283" s="1"/>
      <c r="D283" s="13"/>
      <c r="F283" s="26"/>
      <c r="AM283" s="19"/>
    </row>
    <row r="284" spans="1:39" s="5" customFormat="1" ht="15.5" x14ac:dyDescent="0.45">
      <c r="A284" s="1"/>
      <c r="B284" s="1"/>
      <c r="D284" s="13"/>
      <c r="F284" s="26"/>
      <c r="AM284" s="19"/>
    </row>
    <row r="285" spans="1:39" s="5" customFormat="1" ht="15.5" x14ac:dyDescent="0.45">
      <c r="A285" s="1"/>
      <c r="B285" s="1"/>
      <c r="D285" s="13"/>
      <c r="F285" s="26"/>
      <c r="AM285" s="19"/>
    </row>
    <row r="286" spans="1:39" s="5" customFormat="1" ht="15.5" x14ac:dyDescent="0.45">
      <c r="A286" s="1"/>
      <c r="B286" s="1"/>
      <c r="D286" s="13"/>
      <c r="F286" s="26"/>
      <c r="AM286" s="19"/>
    </row>
    <row r="287" spans="1:39" s="5" customFormat="1" ht="15.5" x14ac:dyDescent="0.45">
      <c r="A287" s="1"/>
      <c r="B287" s="1"/>
      <c r="D287" s="13"/>
      <c r="F287" s="26"/>
      <c r="AM287" s="19"/>
    </row>
    <row r="288" spans="1:39" s="5" customFormat="1" ht="15.5" x14ac:dyDescent="0.45">
      <c r="A288" s="1"/>
      <c r="B288" s="1"/>
      <c r="D288" s="13"/>
      <c r="F288" s="26"/>
      <c r="AM288" s="19"/>
    </row>
    <row r="289" spans="1:39" s="5" customFormat="1" ht="15.5" x14ac:dyDescent="0.45">
      <c r="A289" s="1"/>
      <c r="B289" s="1"/>
      <c r="D289" s="13"/>
      <c r="F289" s="26"/>
      <c r="AM289" s="19"/>
    </row>
    <row r="290" spans="1:39" s="5" customFormat="1" ht="15.5" x14ac:dyDescent="0.45">
      <c r="A290" s="1"/>
      <c r="B290" s="1"/>
      <c r="D290" s="13"/>
      <c r="F290" s="26"/>
      <c r="AM290" s="19"/>
    </row>
    <row r="291" spans="1:39" s="5" customFormat="1" ht="15.5" x14ac:dyDescent="0.45">
      <c r="A291" s="1"/>
      <c r="B291" s="1"/>
      <c r="D291" s="13"/>
      <c r="F291" s="26"/>
      <c r="AM291" s="19"/>
    </row>
    <row r="292" spans="1:39" s="5" customFormat="1" ht="15.5" x14ac:dyDescent="0.45">
      <c r="A292" s="1"/>
      <c r="B292" s="1"/>
      <c r="D292" s="13"/>
      <c r="F292" s="26"/>
      <c r="AM292" s="19"/>
    </row>
    <row r="293" spans="1:39" s="5" customFormat="1" ht="15.5" x14ac:dyDescent="0.45">
      <c r="A293" s="1"/>
      <c r="B293" s="1"/>
      <c r="D293" s="13"/>
      <c r="F293" s="26"/>
      <c r="AM293" s="19"/>
    </row>
    <row r="294" spans="1:39" s="5" customFormat="1" ht="15.5" x14ac:dyDescent="0.45">
      <c r="A294" s="1"/>
      <c r="B294" s="1"/>
      <c r="D294" s="13"/>
      <c r="F294" s="26"/>
      <c r="AM294" s="19"/>
    </row>
    <row r="295" spans="1:39" s="5" customFormat="1" ht="15.5" x14ac:dyDescent="0.45">
      <c r="A295" s="1"/>
      <c r="B295" s="1"/>
      <c r="D295" s="13"/>
      <c r="F295" s="26"/>
      <c r="AM295" s="19"/>
    </row>
    <row r="296" spans="1:39" s="5" customFormat="1" ht="15.5" x14ac:dyDescent="0.45">
      <c r="A296" s="1"/>
      <c r="B296" s="1"/>
      <c r="D296" s="13"/>
      <c r="F296" s="26"/>
      <c r="AM296" s="19"/>
    </row>
    <row r="297" spans="1:39" s="5" customFormat="1" ht="15.5" x14ac:dyDescent="0.45">
      <c r="A297" s="1"/>
      <c r="B297" s="1"/>
      <c r="D297" s="13"/>
      <c r="F297" s="26"/>
      <c r="AM297" s="19"/>
    </row>
    <row r="298" spans="1:39" s="5" customFormat="1" ht="15.5" x14ac:dyDescent="0.45">
      <c r="A298" s="1"/>
      <c r="B298" s="1"/>
      <c r="D298" s="13"/>
      <c r="F298" s="26"/>
      <c r="AM298" s="19"/>
    </row>
    <row r="299" spans="1:39" s="5" customFormat="1" ht="15.5" x14ac:dyDescent="0.45">
      <c r="A299" s="1"/>
      <c r="B299" s="1"/>
      <c r="D299" s="13"/>
      <c r="F299" s="26"/>
      <c r="AM299" s="19"/>
    </row>
    <row r="300" spans="1:39" s="5" customFormat="1" ht="15.5" x14ac:dyDescent="0.45">
      <c r="A300" s="1"/>
      <c r="B300" s="1"/>
      <c r="D300" s="13"/>
      <c r="F300" s="26"/>
      <c r="AM300" s="19"/>
    </row>
    <row r="301" spans="1:39" s="5" customFormat="1" ht="15.5" x14ac:dyDescent="0.45">
      <c r="A301" s="1"/>
      <c r="B301" s="1"/>
      <c r="D301" s="13"/>
      <c r="F301" s="26"/>
      <c r="AM301" s="19"/>
    </row>
    <row r="302" spans="1:39" s="5" customFormat="1" ht="15.5" x14ac:dyDescent="0.45">
      <c r="A302" s="1"/>
      <c r="B302" s="1"/>
      <c r="D302" s="13"/>
      <c r="F302" s="26"/>
      <c r="AM302" s="19"/>
    </row>
    <row r="303" spans="1:39" s="5" customFormat="1" ht="15.5" x14ac:dyDescent="0.45">
      <c r="A303" s="1"/>
      <c r="B303" s="1"/>
      <c r="D303" s="13"/>
      <c r="F303" s="26"/>
      <c r="AM303" s="19"/>
    </row>
    <row r="304" spans="1:39" s="5" customFormat="1" ht="15.5" x14ac:dyDescent="0.45">
      <c r="A304" s="1"/>
      <c r="B304" s="1"/>
      <c r="D304" s="13"/>
      <c r="F304" s="26"/>
      <c r="AM304" s="19"/>
    </row>
    <row r="305" spans="1:39" s="5" customFormat="1" ht="15.5" x14ac:dyDescent="0.45">
      <c r="A305" s="1"/>
      <c r="B305" s="1"/>
      <c r="D305" s="13"/>
      <c r="F305" s="26"/>
      <c r="AM305" s="19"/>
    </row>
    <row r="306" spans="1:39" s="5" customFormat="1" ht="15.5" x14ac:dyDescent="0.45">
      <c r="A306" s="1"/>
      <c r="B306" s="1"/>
      <c r="D306" s="13"/>
      <c r="F306" s="26"/>
      <c r="AM306" s="19"/>
    </row>
    <row r="307" spans="1:39" s="5" customFormat="1" ht="15.5" x14ac:dyDescent="0.45">
      <c r="A307" s="1"/>
      <c r="B307" s="1"/>
      <c r="D307" s="13"/>
      <c r="F307" s="26"/>
      <c r="AM307" s="19"/>
    </row>
    <row r="308" spans="1:39" s="5" customFormat="1" ht="15.5" x14ac:dyDescent="0.45">
      <c r="A308" s="1"/>
      <c r="B308" s="1"/>
      <c r="D308" s="13"/>
      <c r="F308" s="26"/>
      <c r="AM308" s="19"/>
    </row>
    <row r="309" spans="1:39" s="5" customFormat="1" ht="15.5" x14ac:dyDescent="0.45">
      <c r="A309" s="1"/>
      <c r="B309" s="1"/>
      <c r="D309" s="13"/>
      <c r="F309" s="26"/>
      <c r="AM309" s="19"/>
    </row>
    <row r="310" spans="1:39" s="5" customFormat="1" ht="15.5" x14ac:dyDescent="0.45">
      <c r="A310" s="1"/>
      <c r="B310" s="1"/>
      <c r="D310" s="13"/>
      <c r="F310" s="26"/>
      <c r="AM310" s="19"/>
    </row>
    <row r="311" spans="1:39" s="5" customFormat="1" ht="15.5" x14ac:dyDescent="0.45">
      <c r="A311" s="1"/>
      <c r="B311" s="1"/>
      <c r="D311" s="13"/>
      <c r="F311" s="26"/>
      <c r="AM311" s="19"/>
    </row>
    <row r="312" spans="1:39" s="5" customFormat="1" ht="15.5" x14ac:dyDescent="0.45">
      <c r="A312" s="1"/>
      <c r="B312" s="1"/>
      <c r="D312" s="13"/>
      <c r="F312" s="26"/>
      <c r="AM312" s="19"/>
    </row>
    <row r="313" spans="1:39" s="5" customFormat="1" ht="15.5" x14ac:dyDescent="0.45">
      <c r="A313" s="1"/>
      <c r="B313" s="1"/>
      <c r="D313" s="13"/>
      <c r="F313" s="26"/>
      <c r="AM313" s="19"/>
    </row>
    <row r="314" spans="1:39" s="5" customFormat="1" ht="15.5" x14ac:dyDescent="0.45">
      <c r="A314" s="1"/>
      <c r="B314" s="1"/>
      <c r="D314" s="13"/>
      <c r="F314" s="26"/>
      <c r="AM314" s="19"/>
    </row>
    <row r="315" spans="1:39" s="5" customFormat="1" ht="15.5" x14ac:dyDescent="0.45">
      <c r="A315" s="1"/>
      <c r="B315" s="1"/>
      <c r="D315" s="13"/>
      <c r="F315" s="26"/>
      <c r="AM315" s="19"/>
    </row>
    <row r="316" spans="1:39" s="5" customFormat="1" ht="15.5" x14ac:dyDescent="0.45">
      <c r="A316" s="1"/>
      <c r="B316" s="1"/>
      <c r="D316" s="13"/>
      <c r="F316" s="26"/>
      <c r="AM316" s="19"/>
    </row>
    <row r="317" spans="1:39" s="5" customFormat="1" ht="15.5" x14ac:dyDescent="0.45">
      <c r="A317" s="1"/>
      <c r="B317" s="1"/>
      <c r="D317" s="13"/>
      <c r="F317" s="26"/>
      <c r="AM317" s="19"/>
    </row>
    <row r="318" spans="1:39" s="5" customFormat="1" ht="15.5" x14ac:dyDescent="0.45">
      <c r="A318" s="1"/>
      <c r="B318" s="1"/>
      <c r="D318" s="13"/>
      <c r="F318" s="26"/>
      <c r="AM318" s="19"/>
    </row>
    <row r="319" spans="1:39" s="5" customFormat="1" ht="15.5" x14ac:dyDescent="0.45">
      <c r="A319" s="1"/>
      <c r="B319" s="1"/>
      <c r="D319" s="13"/>
      <c r="F319" s="26"/>
      <c r="AM319" s="19"/>
    </row>
    <row r="320" spans="1:39" s="5" customFormat="1" ht="15.5" x14ac:dyDescent="0.45">
      <c r="A320" s="1"/>
      <c r="B320" s="1"/>
      <c r="D320" s="13"/>
      <c r="F320" s="26"/>
      <c r="AM320" s="19"/>
    </row>
    <row r="321" spans="1:39" s="5" customFormat="1" ht="15.5" x14ac:dyDescent="0.45">
      <c r="A321" s="1"/>
      <c r="B321" s="1"/>
      <c r="D321" s="13"/>
      <c r="F321" s="26"/>
      <c r="AM321" s="19"/>
    </row>
    <row r="322" spans="1:39" s="5" customFormat="1" ht="15.5" x14ac:dyDescent="0.45">
      <c r="A322" s="1"/>
      <c r="B322" s="1"/>
      <c r="D322" s="13"/>
      <c r="F322" s="26"/>
      <c r="AM322" s="19"/>
    </row>
    <row r="323" spans="1:39" s="5" customFormat="1" ht="15.5" x14ac:dyDescent="0.45">
      <c r="A323" s="1"/>
      <c r="B323" s="1"/>
      <c r="D323" s="13"/>
      <c r="F323" s="26"/>
      <c r="AM323" s="19"/>
    </row>
    <row r="324" spans="1:39" s="5" customFormat="1" ht="15.5" x14ac:dyDescent="0.45">
      <c r="A324" s="1"/>
      <c r="B324" s="1"/>
      <c r="D324" s="13"/>
      <c r="F324" s="26"/>
      <c r="AM324" s="19"/>
    </row>
    <row r="325" spans="1:39" s="5" customFormat="1" ht="15.5" x14ac:dyDescent="0.45">
      <c r="A325" s="1"/>
      <c r="B325" s="1"/>
      <c r="D325" s="13"/>
      <c r="F325" s="26"/>
      <c r="AM325" s="19"/>
    </row>
    <row r="326" spans="1:39" s="5" customFormat="1" ht="15.5" x14ac:dyDescent="0.45">
      <c r="A326" s="1"/>
      <c r="B326" s="1"/>
      <c r="D326" s="13"/>
      <c r="F326" s="26"/>
      <c r="AM326" s="19"/>
    </row>
    <row r="327" spans="1:39" s="5" customFormat="1" ht="15.5" x14ac:dyDescent="0.45">
      <c r="A327" s="1"/>
      <c r="B327" s="1"/>
      <c r="D327" s="13"/>
      <c r="F327" s="26"/>
      <c r="AM327" s="19"/>
    </row>
    <row r="328" spans="1:39" s="5" customFormat="1" ht="15.5" x14ac:dyDescent="0.45">
      <c r="A328" s="1"/>
      <c r="B328" s="1"/>
      <c r="D328" s="13"/>
      <c r="F328" s="26"/>
      <c r="AM328" s="19"/>
    </row>
    <row r="329" spans="1:39" s="5" customFormat="1" ht="15.5" x14ac:dyDescent="0.45">
      <c r="A329" s="1"/>
      <c r="B329" s="1"/>
      <c r="D329" s="13"/>
      <c r="F329" s="26"/>
      <c r="AM329" s="19"/>
    </row>
    <row r="330" spans="1:39" s="5" customFormat="1" ht="15.5" x14ac:dyDescent="0.45">
      <c r="A330" s="1"/>
      <c r="B330" s="1"/>
      <c r="D330" s="13"/>
      <c r="F330" s="26"/>
      <c r="AM330" s="19"/>
    </row>
    <row r="331" spans="1:39" s="5" customFormat="1" ht="15.5" x14ac:dyDescent="0.45">
      <c r="A331" s="1"/>
      <c r="B331" s="1"/>
      <c r="D331" s="13"/>
      <c r="F331" s="26"/>
      <c r="AM331" s="19"/>
    </row>
    <row r="332" spans="1:39" s="5" customFormat="1" ht="15.5" x14ac:dyDescent="0.45">
      <c r="A332" s="1"/>
      <c r="B332" s="1"/>
      <c r="D332" s="13"/>
      <c r="F332" s="26"/>
      <c r="AM332" s="19"/>
    </row>
    <row r="333" spans="1:39" s="5" customFormat="1" ht="15.5" x14ac:dyDescent="0.45">
      <c r="A333" s="1"/>
      <c r="B333" s="1"/>
      <c r="D333" s="13"/>
      <c r="F333" s="26"/>
      <c r="AM333" s="19"/>
    </row>
    <row r="334" spans="1:39" s="5" customFormat="1" ht="15.5" x14ac:dyDescent="0.45">
      <c r="A334" s="1"/>
      <c r="B334" s="1"/>
      <c r="D334" s="13"/>
      <c r="F334" s="26"/>
      <c r="AM334" s="19"/>
    </row>
    <row r="335" spans="1:39" s="5" customFormat="1" ht="15.5" x14ac:dyDescent="0.45">
      <c r="A335" s="1"/>
      <c r="B335" s="1"/>
      <c r="D335" s="13"/>
      <c r="F335" s="26"/>
      <c r="AM335" s="19"/>
    </row>
    <row r="336" spans="1:39" s="5" customFormat="1" ht="15.5" x14ac:dyDescent="0.45">
      <c r="A336" s="1"/>
      <c r="B336" s="1"/>
      <c r="D336" s="13"/>
      <c r="F336" s="26"/>
      <c r="AM336" s="19"/>
    </row>
    <row r="337" spans="1:39" s="5" customFormat="1" ht="15.5" x14ac:dyDescent="0.45">
      <c r="A337" s="1"/>
      <c r="B337" s="1"/>
      <c r="D337" s="13"/>
      <c r="F337" s="26"/>
      <c r="AM337" s="19"/>
    </row>
    <row r="338" spans="1:39" s="5" customFormat="1" ht="15.5" x14ac:dyDescent="0.45">
      <c r="A338" s="1"/>
      <c r="B338" s="1"/>
      <c r="D338" s="13"/>
      <c r="F338" s="26"/>
      <c r="AM338" s="19"/>
    </row>
    <row r="339" spans="1:39" s="5" customFormat="1" ht="15.5" x14ac:dyDescent="0.45">
      <c r="A339" s="1"/>
      <c r="B339" s="1"/>
      <c r="D339" s="13"/>
      <c r="F339" s="26"/>
      <c r="AM339" s="19"/>
    </row>
    <row r="340" spans="1:39" s="5" customFormat="1" ht="15.5" x14ac:dyDescent="0.45">
      <c r="A340" s="1"/>
      <c r="B340" s="1"/>
      <c r="D340" s="13"/>
      <c r="F340" s="26"/>
      <c r="AM340" s="19"/>
    </row>
    <row r="341" spans="1:39" s="5" customFormat="1" ht="15.5" x14ac:dyDescent="0.45">
      <c r="A341" s="1"/>
      <c r="B341" s="1"/>
      <c r="D341" s="13"/>
      <c r="F341" s="26"/>
      <c r="AM341" s="19"/>
    </row>
    <row r="342" spans="1:39" s="5" customFormat="1" ht="15.5" x14ac:dyDescent="0.45">
      <c r="A342" s="1"/>
      <c r="B342" s="1"/>
      <c r="D342" s="13"/>
      <c r="F342" s="26"/>
      <c r="AM342" s="19"/>
    </row>
    <row r="343" spans="1:39" s="5" customFormat="1" ht="15.5" x14ac:dyDescent="0.45">
      <c r="A343" s="1"/>
      <c r="B343" s="1"/>
      <c r="D343" s="13"/>
      <c r="F343" s="26"/>
      <c r="AM343" s="19"/>
    </row>
    <row r="344" spans="1:39" s="5" customFormat="1" ht="15.5" x14ac:dyDescent="0.45">
      <c r="A344" s="1"/>
      <c r="B344" s="1"/>
      <c r="D344" s="13"/>
      <c r="F344" s="26"/>
      <c r="AM344" s="19"/>
    </row>
    <row r="345" spans="1:39" s="5" customFormat="1" ht="15.5" x14ac:dyDescent="0.45">
      <c r="A345" s="1"/>
      <c r="B345" s="1"/>
      <c r="D345" s="13"/>
      <c r="F345" s="26"/>
      <c r="AM345" s="19"/>
    </row>
    <row r="346" spans="1:39" s="5" customFormat="1" ht="15.5" x14ac:dyDescent="0.45">
      <c r="A346" s="1"/>
      <c r="B346" s="1"/>
      <c r="D346" s="13"/>
      <c r="F346" s="26"/>
      <c r="AM346" s="19"/>
    </row>
    <row r="347" spans="1:39" s="5" customFormat="1" ht="15.5" x14ac:dyDescent="0.45">
      <c r="A347" s="1"/>
      <c r="B347" s="1"/>
      <c r="D347" s="13"/>
      <c r="F347" s="26"/>
      <c r="AM347" s="19"/>
    </row>
    <row r="348" spans="1:39" s="5" customFormat="1" ht="15.5" x14ac:dyDescent="0.45">
      <c r="A348" s="1"/>
      <c r="B348" s="1"/>
      <c r="D348" s="13"/>
      <c r="F348" s="26"/>
      <c r="AM348" s="19"/>
    </row>
    <row r="349" spans="1:39" s="5" customFormat="1" ht="15.5" x14ac:dyDescent="0.45">
      <c r="A349" s="1"/>
      <c r="B349" s="1"/>
      <c r="D349" s="13"/>
      <c r="F349" s="26"/>
      <c r="AM349" s="19"/>
    </row>
    <row r="350" spans="1:39" s="5" customFormat="1" ht="15.5" x14ac:dyDescent="0.45">
      <c r="A350" s="1"/>
      <c r="B350" s="1"/>
      <c r="D350" s="13"/>
      <c r="F350" s="26"/>
      <c r="AM350" s="19"/>
    </row>
    <row r="351" spans="1:39" s="5" customFormat="1" ht="15.5" x14ac:dyDescent="0.45">
      <c r="A351" s="1"/>
      <c r="B351" s="1"/>
      <c r="D351" s="13"/>
      <c r="F351" s="26"/>
      <c r="AM351" s="19"/>
    </row>
    <row r="352" spans="1:39" s="5" customFormat="1" ht="15.5" x14ac:dyDescent="0.45">
      <c r="A352" s="1"/>
      <c r="B352" s="1"/>
      <c r="D352" s="13"/>
      <c r="F352" s="26"/>
      <c r="AM352" s="19"/>
    </row>
    <row r="353" spans="1:39" s="5" customFormat="1" ht="15.5" x14ac:dyDescent="0.45">
      <c r="A353" s="1"/>
      <c r="B353" s="1"/>
      <c r="D353" s="13"/>
      <c r="F353" s="26"/>
      <c r="AM353" s="19"/>
    </row>
    <row r="354" spans="1:39" s="5" customFormat="1" ht="15.5" x14ac:dyDescent="0.45">
      <c r="A354" s="1"/>
      <c r="B354" s="1"/>
      <c r="D354" s="13"/>
      <c r="F354" s="26"/>
      <c r="AM354" s="19"/>
    </row>
    <row r="355" spans="1:39" s="5" customFormat="1" ht="15.5" x14ac:dyDescent="0.45">
      <c r="A355" s="1"/>
      <c r="B355" s="1"/>
      <c r="D355" s="13"/>
      <c r="F355" s="26"/>
      <c r="AM355" s="19"/>
    </row>
    <row r="356" spans="1:39" s="5" customFormat="1" ht="15.5" x14ac:dyDescent="0.45">
      <c r="A356" s="1"/>
      <c r="B356" s="1"/>
      <c r="D356" s="13"/>
      <c r="F356" s="26"/>
      <c r="AM356" s="19"/>
    </row>
    <row r="357" spans="1:39" s="5" customFormat="1" ht="15.5" x14ac:dyDescent="0.45">
      <c r="A357" s="1"/>
      <c r="B357" s="1"/>
      <c r="D357" s="13"/>
      <c r="F357" s="26"/>
      <c r="AM357" s="19"/>
    </row>
    <row r="358" spans="1:39" s="5" customFormat="1" ht="15.5" x14ac:dyDescent="0.45">
      <c r="A358" s="1"/>
      <c r="B358" s="1"/>
      <c r="D358" s="13"/>
      <c r="F358" s="26"/>
      <c r="AM358" s="19"/>
    </row>
    <row r="359" spans="1:39" s="5" customFormat="1" ht="15.5" x14ac:dyDescent="0.45">
      <c r="A359" s="1"/>
      <c r="B359" s="1"/>
      <c r="D359" s="13"/>
      <c r="F359" s="26"/>
      <c r="AM359" s="19"/>
    </row>
    <row r="360" spans="1:39" s="5" customFormat="1" ht="15.5" x14ac:dyDescent="0.45">
      <c r="A360" s="1"/>
      <c r="B360" s="1"/>
      <c r="D360" s="13"/>
      <c r="F360" s="26"/>
      <c r="AM360" s="19"/>
    </row>
    <row r="361" spans="1:39" s="5" customFormat="1" ht="15.5" x14ac:dyDescent="0.45">
      <c r="A361" s="1"/>
      <c r="B361" s="1"/>
      <c r="D361" s="13"/>
      <c r="F361" s="26"/>
      <c r="AM361" s="19"/>
    </row>
    <row r="362" spans="1:39" s="5" customFormat="1" ht="15.5" x14ac:dyDescent="0.45">
      <c r="A362" s="1"/>
      <c r="B362" s="1"/>
      <c r="D362" s="13"/>
      <c r="F362" s="26"/>
      <c r="AM362" s="19"/>
    </row>
    <row r="363" spans="1:39" s="5" customFormat="1" ht="15.5" x14ac:dyDescent="0.45">
      <c r="A363" s="1"/>
      <c r="B363" s="1"/>
      <c r="D363" s="13"/>
      <c r="F363" s="26"/>
      <c r="AM363" s="19"/>
    </row>
    <row r="364" spans="1:39" s="5" customFormat="1" ht="15.5" x14ac:dyDescent="0.45">
      <c r="A364" s="1"/>
      <c r="B364" s="1"/>
      <c r="D364" s="13"/>
      <c r="F364" s="26"/>
      <c r="AM364" s="19"/>
    </row>
    <row r="365" spans="1:39" s="5" customFormat="1" ht="15.5" x14ac:dyDescent="0.45">
      <c r="A365" s="1"/>
      <c r="B365" s="1"/>
      <c r="D365" s="13"/>
      <c r="F365" s="26"/>
      <c r="AM365" s="19"/>
    </row>
    <row r="366" spans="1:39" s="5" customFormat="1" ht="15.5" x14ac:dyDescent="0.45">
      <c r="A366" s="1"/>
      <c r="B366" s="1"/>
      <c r="D366" s="13"/>
      <c r="F366" s="26"/>
      <c r="AM366" s="19"/>
    </row>
    <row r="367" spans="1:39" s="5" customFormat="1" ht="15.5" x14ac:dyDescent="0.45">
      <c r="A367" s="1"/>
      <c r="B367" s="1"/>
      <c r="D367" s="13"/>
      <c r="F367" s="26"/>
      <c r="AM367" s="19"/>
    </row>
    <row r="368" spans="1:39" s="5" customFormat="1" ht="15.5" x14ac:dyDescent="0.45">
      <c r="A368" s="1"/>
      <c r="B368" s="1"/>
      <c r="D368" s="13"/>
      <c r="F368" s="26"/>
      <c r="AM368" s="19"/>
    </row>
    <row r="369" spans="1:39" s="5" customFormat="1" ht="15.5" x14ac:dyDescent="0.45">
      <c r="A369" s="1"/>
      <c r="B369" s="1"/>
      <c r="D369" s="13"/>
      <c r="F369" s="26"/>
      <c r="AM369" s="19"/>
    </row>
    <row r="370" spans="1:39" s="5" customFormat="1" ht="15.5" x14ac:dyDescent="0.45">
      <c r="A370" s="1"/>
      <c r="B370" s="1"/>
      <c r="D370" s="13"/>
      <c r="F370" s="26"/>
      <c r="AM370" s="19"/>
    </row>
    <row r="371" spans="1:39" s="5" customFormat="1" ht="15.5" x14ac:dyDescent="0.45">
      <c r="A371" s="1"/>
      <c r="B371" s="1"/>
      <c r="D371" s="13"/>
      <c r="F371" s="26"/>
      <c r="AM371" s="19"/>
    </row>
    <row r="372" spans="1:39" s="5" customFormat="1" ht="15.5" x14ac:dyDescent="0.45">
      <c r="A372" s="1"/>
      <c r="B372" s="1"/>
      <c r="D372" s="13"/>
      <c r="F372" s="26"/>
      <c r="AM372" s="19"/>
    </row>
    <row r="373" spans="1:39" s="5" customFormat="1" ht="15.5" x14ac:dyDescent="0.45">
      <c r="A373" s="1"/>
      <c r="B373" s="1"/>
      <c r="D373" s="13"/>
      <c r="F373" s="26"/>
      <c r="AM373" s="19"/>
    </row>
    <row r="374" spans="1:39" s="5" customFormat="1" ht="15.5" x14ac:dyDescent="0.45">
      <c r="A374" s="1"/>
      <c r="B374" s="1"/>
      <c r="D374" s="13"/>
      <c r="F374" s="26"/>
      <c r="AM374" s="19"/>
    </row>
    <row r="375" spans="1:39" s="5" customFormat="1" ht="15.5" x14ac:dyDescent="0.45">
      <c r="A375" s="1"/>
      <c r="B375" s="1"/>
      <c r="D375" s="13"/>
      <c r="F375" s="26"/>
      <c r="AM375" s="19"/>
    </row>
    <row r="376" spans="1:39" s="5" customFormat="1" ht="15.5" x14ac:dyDescent="0.45">
      <c r="A376" s="1"/>
      <c r="B376" s="1"/>
      <c r="D376" s="13"/>
      <c r="F376" s="26"/>
      <c r="AM376" s="19"/>
    </row>
    <row r="377" spans="1:39" s="5" customFormat="1" ht="15.5" x14ac:dyDescent="0.45">
      <c r="A377" s="1"/>
      <c r="B377" s="1"/>
      <c r="D377" s="13"/>
      <c r="F377" s="26"/>
      <c r="AM377" s="19"/>
    </row>
    <row r="378" spans="1:39" s="5" customFormat="1" ht="15.5" x14ac:dyDescent="0.45">
      <c r="A378" s="1"/>
      <c r="B378" s="1"/>
      <c r="D378" s="13"/>
      <c r="F378" s="26"/>
      <c r="AM378" s="19"/>
    </row>
    <row r="379" spans="1:39" s="5" customFormat="1" ht="15.5" x14ac:dyDescent="0.45">
      <c r="A379" s="1"/>
      <c r="B379" s="1"/>
      <c r="D379" s="13"/>
      <c r="F379" s="26"/>
      <c r="AM379" s="19"/>
    </row>
    <row r="380" spans="1:39" s="5" customFormat="1" ht="15.5" x14ac:dyDescent="0.45">
      <c r="A380" s="1"/>
      <c r="B380" s="1"/>
      <c r="D380" s="13"/>
      <c r="F380" s="26"/>
      <c r="AM380" s="19"/>
    </row>
    <row r="381" spans="1:39" s="5" customFormat="1" ht="15.5" x14ac:dyDescent="0.45">
      <c r="A381" s="1"/>
      <c r="B381" s="1"/>
      <c r="D381" s="13"/>
      <c r="F381" s="26"/>
      <c r="AM381" s="19"/>
    </row>
    <row r="382" spans="1:39" s="5" customFormat="1" ht="15.5" x14ac:dyDescent="0.45">
      <c r="A382" s="1"/>
      <c r="B382" s="1"/>
      <c r="D382" s="13"/>
      <c r="F382" s="26"/>
      <c r="AM382" s="19"/>
    </row>
    <row r="383" spans="1:39" s="5" customFormat="1" ht="15.5" x14ac:dyDescent="0.45">
      <c r="A383" s="1"/>
      <c r="B383" s="1"/>
      <c r="D383" s="13"/>
      <c r="F383" s="26"/>
      <c r="AM383" s="19"/>
    </row>
    <row r="384" spans="1:39" s="5" customFormat="1" ht="15.5" x14ac:dyDescent="0.45">
      <c r="A384" s="1"/>
      <c r="B384" s="1"/>
      <c r="D384" s="13"/>
      <c r="F384" s="26"/>
      <c r="AM384" s="19"/>
    </row>
    <row r="385" spans="1:39" s="5" customFormat="1" ht="15.5" x14ac:dyDescent="0.45">
      <c r="A385" s="1"/>
      <c r="B385" s="1"/>
      <c r="D385" s="13"/>
      <c r="F385" s="26"/>
      <c r="AM385" s="19"/>
    </row>
    <row r="386" spans="1:39" s="5" customFormat="1" ht="15.5" x14ac:dyDescent="0.45">
      <c r="A386" s="1"/>
      <c r="B386" s="1"/>
      <c r="D386" s="13"/>
      <c r="F386" s="26"/>
      <c r="AM386" s="19"/>
    </row>
    <row r="387" spans="1:39" s="5" customFormat="1" ht="15.5" x14ac:dyDescent="0.45">
      <c r="A387" s="1"/>
      <c r="B387" s="1"/>
      <c r="D387" s="13"/>
      <c r="F387" s="26"/>
      <c r="AM387" s="19"/>
    </row>
    <row r="388" spans="1:39" s="5" customFormat="1" ht="15.5" x14ac:dyDescent="0.45">
      <c r="A388" s="1"/>
      <c r="B388" s="1"/>
      <c r="D388" s="13"/>
      <c r="F388" s="26"/>
      <c r="AM388" s="19"/>
    </row>
    <row r="389" spans="1:39" s="5" customFormat="1" ht="15.5" x14ac:dyDescent="0.45">
      <c r="A389" s="1"/>
      <c r="B389" s="1"/>
      <c r="D389" s="13"/>
      <c r="F389" s="26"/>
      <c r="AM389" s="19"/>
    </row>
    <row r="390" spans="1:39" s="5" customFormat="1" ht="15.5" x14ac:dyDescent="0.45">
      <c r="A390" s="1"/>
      <c r="B390" s="1"/>
      <c r="D390" s="13"/>
      <c r="F390" s="26"/>
      <c r="AM390" s="19"/>
    </row>
    <row r="391" spans="1:39" s="5" customFormat="1" ht="15.5" x14ac:dyDescent="0.45">
      <c r="A391" s="1"/>
      <c r="B391" s="1"/>
      <c r="D391" s="13"/>
      <c r="F391" s="26"/>
      <c r="AM391" s="19"/>
    </row>
    <row r="392" spans="1:39" s="5" customFormat="1" ht="15.5" x14ac:dyDescent="0.45">
      <c r="A392" s="1"/>
      <c r="B392" s="1"/>
      <c r="D392" s="13"/>
      <c r="F392" s="26"/>
      <c r="AM392" s="19"/>
    </row>
    <row r="393" spans="1:39" s="5" customFormat="1" ht="15.5" x14ac:dyDescent="0.45">
      <c r="A393" s="1"/>
      <c r="B393" s="1"/>
      <c r="D393" s="13"/>
      <c r="F393" s="26"/>
      <c r="AM393" s="19"/>
    </row>
    <row r="394" spans="1:39" s="5" customFormat="1" ht="15.5" x14ac:dyDescent="0.45">
      <c r="A394" s="1"/>
      <c r="B394" s="1"/>
      <c r="D394" s="13"/>
      <c r="F394" s="26"/>
      <c r="AM394" s="19"/>
    </row>
    <row r="395" spans="1:39" s="5" customFormat="1" ht="15.5" x14ac:dyDescent="0.45">
      <c r="A395" s="1"/>
      <c r="B395" s="1"/>
      <c r="D395" s="13"/>
      <c r="F395" s="26"/>
      <c r="AM395" s="19"/>
    </row>
    <row r="396" spans="1:39" s="5" customFormat="1" ht="15.5" x14ac:dyDescent="0.45">
      <c r="A396" s="1"/>
      <c r="B396" s="1"/>
      <c r="D396" s="13"/>
      <c r="F396" s="26"/>
      <c r="AM396" s="19"/>
    </row>
    <row r="397" spans="1:39" s="5" customFormat="1" ht="15.5" x14ac:dyDescent="0.45">
      <c r="A397" s="1"/>
      <c r="B397" s="1"/>
      <c r="D397" s="13"/>
      <c r="F397" s="26"/>
      <c r="AM397" s="19"/>
    </row>
    <row r="398" spans="1:39" s="5" customFormat="1" ht="15.5" x14ac:dyDescent="0.45">
      <c r="A398" s="1"/>
      <c r="B398" s="1"/>
      <c r="D398" s="13"/>
      <c r="F398" s="26"/>
      <c r="AM398" s="19"/>
    </row>
    <row r="399" spans="1:39" s="5" customFormat="1" ht="15.5" x14ac:dyDescent="0.45">
      <c r="A399" s="1"/>
      <c r="B399" s="1"/>
      <c r="D399" s="13"/>
      <c r="F399" s="26"/>
      <c r="AM399" s="19"/>
    </row>
    <row r="400" spans="1:39" s="5" customFormat="1" ht="15.5" x14ac:dyDescent="0.45">
      <c r="A400" s="1"/>
      <c r="B400" s="1"/>
      <c r="D400" s="13"/>
      <c r="F400" s="26"/>
      <c r="AM400" s="19"/>
    </row>
    <row r="401" spans="1:39" s="5" customFormat="1" ht="15.5" x14ac:dyDescent="0.45">
      <c r="A401" s="1"/>
      <c r="B401" s="1"/>
      <c r="D401" s="13"/>
      <c r="F401" s="26"/>
      <c r="AM401" s="19"/>
    </row>
    <row r="402" spans="1:39" s="5" customFormat="1" ht="15.5" x14ac:dyDescent="0.45">
      <c r="A402" s="1"/>
      <c r="B402" s="1"/>
      <c r="D402" s="13"/>
      <c r="F402" s="26"/>
      <c r="AM402" s="19"/>
    </row>
    <row r="403" spans="1:39" s="5" customFormat="1" ht="15.5" x14ac:dyDescent="0.45">
      <c r="A403" s="1"/>
      <c r="B403" s="1"/>
      <c r="D403" s="13"/>
      <c r="F403" s="26"/>
      <c r="AM403" s="19"/>
    </row>
    <row r="404" spans="1:39" s="5" customFormat="1" ht="15.5" x14ac:dyDescent="0.45">
      <c r="A404" s="1"/>
      <c r="B404" s="1"/>
      <c r="D404" s="13"/>
      <c r="F404" s="26"/>
      <c r="AM404" s="19"/>
    </row>
    <row r="405" spans="1:39" s="5" customFormat="1" ht="15.5" x14ac:dyDescent="0.45">
      <c r="A405" s="1"/>
      <c r="B405" s="1"/>
      <c r="D405" s="13"/>
      <c r="F405" s="26"/>
      <c r="AM405" s="19"/>
    </row>
    <row r="406" spans="1:39" s="5" customFormat="1" ht="15.5" x14ac:dyDescent="0.45">
      <c r="A406" s="1"/>
      <c r="B406" s="1"/>
      <c r="D406" s="13"/>
      <c r="F406" s="26"/>
      <c r="AM406" s="19"/>
    </row>
    <row r="407" spans="1:39" s="5" customFormat="1" ht="15.5" x14ac:dyDescent="0.45">
      <c r="A407" s="1"/>
      <c r="B407" s="1"/>
      <c r="D407" s="13"/>
      <c r="F407" s="26"/>
      <c r="AM407" s="19"/>
    </row>
    <row r="408" spans="1:39" s="5" customFormat="1" ht="15.5" x14ac:dyDescent="0.45">
      <c r="A408" s="1"/>
      <c r="B408" s="1"/>
      <c r="D408" s="13"/>
      <c r="F408" s="26"/>
      <c r="AM408" s="19"/>
    </row>
    <row r="409" spans="1:39" s="5" customFormat="1" ht="15.5" x14ac:dyDescent="0.45">
      <c r="A409" s="1"/>
      <c r="B409" s="1"/>
      <c r="D409" s="13"/>
      <c r="F409" s="26"/>
      <c r="AM409" s="19"/>
    </row>
    <row r="410" spans="1:39" s="5" customFormat="1" ht="15.5" x14ac:dyDescent="0.45">
      <c r="A410" s="1"/>
      <c r="B410" s="1"/>
      <c r="D410" s="13"/>
      <c r="F410" s="26"/>
      <c r="AM410" s="19"/>
    </row>
    <row r="411" spans="1:39" s="5" customFormat="1" ht="15.5" x14ac:dyDescent="0.45">
      <c r="A411" s="1"/>
      <c r="B411" s="1"/>
      <c r="D411" s="13"/>
      <c r="F411" s="26"/>
      <c r="AM411" s="19"/>
    </row>
    <row r="412" spans="1:39" s="5" customFormat="1" ht="15.5" x14ac:dyDescent="0.45">
      <c r="A412" s="1"/>
      <c r="B412" s="1"/>
      <c r="D412" s="13"/>
      <c r="F412" s="26"/>
      <c r="AM412" s="19"/>
    </row>
    <row r="413" spans="1:39" s="5" customFormat="1" ht="15.5" x14ac:dyDescent="0.45">
      <c r="A413" s="1"/>
      <c r="B413" s="1"/>
      <c r="D413" s="13"/>
      <c r="F413" s="26"/>
      <c r="AM413" s="19"/>
    </row>
    <row r="414" spans="1:39" s="5" customFormat="1" ht="15.5" x14ac:dyDescent="0.45">
      <c r="A414" s="1"/>
      <c r="B414" s="1"/>
      <c r="D414" s="13"/>
      <c r="F414" s="26"/>
      <c r="AM414" s="19"/>
    </row>
    <row r="415" spans="1:39" s="5" customFormat="1" ht="15.5" x14ac:dyDescent="0.45">
      <c r="A415" s="1"/>
      <c r="B415" s="1"/>
      <c r="D415" s="13"/>
      <c r="F415" s="26"/>
      <c r="AM415" s="19"/>
    </row>
    <row r="416" spans="1:39" s="5" customFormat="1" ht="15.5" x14ac:dyDescent="0.45">
      <c r="A416" s="1"/>
      <c r="B416" s="1"/>
      <c r="D416" s="13"/>
      <c r="F416" s="26"/>
      <c r="AM416" s="19"/>
    </row>
    <row r="417" spans="1:39" s="5" customFormat="1" ht="15.5" x14ac:dyDescent="0.45">
      <c r="A417" s="1"/>
      <c r="B417" s="1"/>
      <c r="D417" s="13"/>
      <c r="F417" s="26"/>
      <c r="AM417" s="19"/>
    </row>
    <row r="418" spans="1:39" s="5" customFormat="1" ht="15.5" x14ac:dyDescent="0.45">
      <c r="A418" s="1"/>
      <c r="B418" s="1"/>
      <c r="D418" s="13"/>
      <c r="F418" s="26"/>
      <c r="AM418" s="19"/>
    </row>
    <row r="419" spans="1:39" s="5" customFormat="1" ht="15.5" x14ac:dyDescent="0.45">
      <c r="A419" s="1"/>
      <c r="B419" s="1"/>
      <c r="D419" s="13"/>
      <c r="F419" s="26"/>
      <c r="AM419" s="19"/>
    </row>
    <row r="420" spans="1:39" s="5" customFormat="1" ht="15.5" x14ac:dyDescent="0.45">
      <c r="A420" s="1"/>
      <c r="B420" s="1"/>
      <c r="D420" s="13"/>
      <c r="F420" s="26"/>
      <c r="AM420" s="19"/>
    </row>
    <row r="421" spans="1:39" s="5" customFormat="1" ht="15.5" x14ac:dyDescent="0.45">
      <c r="A421" s="1"/>
      <c r="B421" s="1"/>
      <c r="D421" s="13"/>
      <c r="F421" s="26"/>
      <c r="AM421" s="19"/>
    </row>
    <row r="422" spans="1:39" s="5" customFormat="1" ht="15.5" x14ac:dyDescent="0.45">
      <c r="A422" s="1"/>
      <c r="B422" s="1"/>
      <c r="D422" s="13"/>
      <c r="F422" s="26"/>
      <c r="AM422" s="19"/>
    </row>
    <row r="423" spans="1:39" s="5" customFormat="1" ht="15.5" x14ac:dyDescent="0.45">
      <c r="A423" s="1"/>
      <c r="B423" s="1"/>
      <c r="D423" s="13"/>
      <c r="F423" s="26"/>
      <c r="AM423" s="19"/>
    </row>
    <row r="424" spans="1:39" s="5" customFormat="1" ht="15.5" x14ac:dyDescent="0.45">
      <c r="A424" s="1"/>
      <c r="B424" s="1"/>
      <c r="D424" s="13"/>
      <c r="F424" s="26"/>
      <c r="AM424" s="19"/>
    </row>
    <row r="425" spans="1:39" s="5" customFormat="1" ht="15.5" x14ac:dyDescent="0.45">
      <c r="A425" s="1"/>
      <c r="B425" s="1"/>
      <c r="D425" s="13"/>
      <c r="F425" s="26"/>
      <c r="AM425" s="19"/>
    </row>
    <row r="426" spans="1:39" s="5" customFormat="1" ht="15.5" x14ac:dyDescent="0.45">
      <c r="A426" s="1"/>
      <c r="B426" s="1"/>
      <c r="D426" s="13"/>
      <c r="F426" s="26"/>
      <c r="AM426" s="19"/>
    </row>
    <row r="427" spans="1:39" s="5" customFormat="1" ht="15.5" x14ac:dyDescent="0.45">
      <c r="A427" s="1"/>
      <c r="B427" s="1"/>
      <c r="D427" s="13"/>
      <c r="F427" s="26"/>
      <c r="AM427" s="19"/>
    </row>
    <row r="428" spans="1:39" s="5" customFormat="1" ht="15.5" x14ac:dyDescent="0.45">
      <c r="A428" s="1"/>
      <c r="B428" s="1"/>
      <c r="D428" s="13"/>
      <c r="F428" s="26"/>
      <c r="AM428" s="19"/>
    </row>
    <row r="429" spans="1:39" s="5" customFormat="1" ht="15.5" x14ac:dyDescent="0.45">
      <c r="A429" s="1"/>
      <c r="B429" s="1"/>
      <c r="D429" s="13"/>
      <c r="F429" s="26"/>
      <c r="AM429" s="19"/>
    </row>
    <row r="430" spans="1:39" s="5" customFormat="1" ht="15.5" x14ac:dyDescent="0.45">
      <c r="A430" s="1"/>
      <c r="B430" s="1"/>
      <c r="D430" s="13"/>
      <c r="F430" s="26"/>
      <c r="AM430" s="19"/>
    </row>
    <row r="431" spans="1:39" s="5" customFormat="1" ht="15.5" x14ac:dyDescent="0.45">
      <c r="A431" s="1"/>
      <c r="B431" s="1"/>
      <c r="D431" s="13"/>
      <c r="F431" s="26"/>
      <c r="AM431" s="19"/>
    </row>
    <row r="432" spans="1:39" s="5" customFormat="1" ht="15.5" x14ac:dyDescent="0.45">
      <c r="A432" s="1"/>
      <c r="B432" s="1"/>
      <c r="D432" s="13"/>
      <c r="F432" s="26"/>
      <c r="AM432" s="19"/>
    </row>
    <row r="433" spans="1:39" s="5" customFormat="1" ht="15.5" x14ac:dyDescent="0.45">
      <c r="A433" s="1"/>
      <c r="B433" s="1"/>
      <c r="D433" s="13"/>
      <c r="F433" s="26"/>
      <c r="AM433" s="19"/>
    </row>
    <row r="434" spans="1:39" s="5" customFormat="1" ht="15.5" x14ac:dyDescent="0.45">
      <c r="A434" s="1"/>
      <c r="B434" s="1"/>
      <c r="D434" s="13"/>
      <c r="F434" s="26"/>
      <c r="AM434" s="19"/>
    </row>
    <row r="435" spans="1:39" s="5" customFormat="1" ht="15.5" x14ac:dyDescent="0.45">
      <c r="A435" s="1"/>
      <c r="B435" s="1"/>
      <c r="D435" s="13"/>
      <c r="F435" s="26"/>
      <c r="AM435" s="19"/>
    </row>
    <row r="436" spans="1:39" s="5" customFormat="1" ht="15.5" x14ac:dyDescent="0.45">
      <c r="A436" s="1"/>
      <c r="B436" s="1"/>
      <c r="D436" s="13"/>
      <c r="F436" s="26"/>
      <c r="AM436" s="19"/>
    </row>
    <row r="437" spans="1:39" s="5" customFormat="1" ht="15.5" x14ac:dyDescent="0.45">
      <c r="A437" s="1"/>
      <c r="B437" s="1"/>
      <c r="D437" s="13"/>
      <c r="F437" s="26"/>
      <c r="AM437" s="19"/>
    </row>
    <row r="438" spans="1:39" s="5" customFormat="1" ht="15.5" x14ac:dyDescent="0.45">
      <c r="A438" s="1"/>
      <c r="B438" s="1"/>
      <c r="D438" s="13"/>
      <c r="F438" s="26"/>
      <c r="AM438" s="19"/>
    </row>
    <row r="439" spans="1:39" s="5" customFormat="1" ht="15.5" x14ac:dyDescent="0.45">
      <c r="A439" s="1"/>
      <c r="B439" s="1"/>
      <c r="D439" s="13"/>
      <c r="F439" s="26"/>
      <c r="AM439" s="19"/>
    </row>
    <row r="440" spans="1:39" s="5" customFormat="1" ht="15.5" x14ac:dyDescent="0.45">
      <c r="A440" s="1"/>
      <c r="B440" s="1"/>
      <c r="D440" s="13"/>
      <c r="F440" s="26"/>
      <c r="AM440" s="19"/>
    </row>
    <row r="441" spans="1:39" s="5" customFormat="1" ht="15.5" x14ac:dyDescent="0.45">
      <c r="A441" s="1"/>
      <c r="B441" s="1"/>
      <c r="D441" s="13"/>
      <c r="F441" s="26"/>
      <c r="AM441" s="19"/>
    </row>
    <row r="442" spans="1:39" s="5" customFormat="1" ht="15.5" x14ac:dyDescent="0.45">
      <c r="A442" s="1"/>
      <c r="B442" s="1"/>
      <c r="D442" s="13"/>
      <c r="F442" s="26"/>
      <c r="AM442" s="19"/>
    </row>
    <row r="443" spans="1:39" s="5" customFormat="1" ht="15.5" x14ac:dyDescent="0.45">
      <c r="A443" s="1"/>
      <c r="B443" s="1"/>
      <c r="D443" s="13"/>
      <c r="F443" s="26"/>
      <c r="AM443" s="19"/>
    </row>
    <row r="444" spans="1:39" s="5" customFormat="1" ht="15.5" x14ac:dyDescent="0.45">
      <c r="A444" s="1"/>
      <c r="B444" s="1"/>
      <c r="D444" s="13"/>
      <c r="F444" s="26"/>
      <c r="AM444" s="19"/>
    </row>
    <row r="445" spans="1:39" s="5" customFormat="1" ht="15.5" x14ac:dyDescent="0.45">
      <c r="A445" s="1"/>
      <c r="B445" s="1"/>
      <c r="D445" s="13"/>
      <c r="F445" s="26"/>
      <c r="AM445" s="19"/>
    </row>
    <row r="446" spans="1:39" s="5" customFormat="1" ht="15.5" x14ac:dyDescent="0.45">
      <c r="A446" s="1"/>
      <c r="B446" s="1"/>
      <c r="D446" s="13"/>
      <c r="F446" s="26"/>
      <c r="AM446" s="19"/>
    </row>
    <row r="447" spans="1:39" s="5" customFormat="1" ht="15.5" x14ac:dyDescent="0.45">
      <c r="A447" s="1"/>
      <c r="B447" s="1"/>
      <c r="D447" s="13"/>
      <c r="F447" s="26"/>
      <c r="AM447" s="19"/>
    </row>
    <row r="448" spans="1:39" s="5" customFormat="1" ht="15.5" x14ac:dyDescent="0.45">
      <c r="A448" s="1"/>
      <c r="B448" s="1"/>
      <c r="D448" s="13"/>
      <c r="F448" s="26"/>
      <c r="AM448" s="19"/>
    </row>
    <row r="449" spans="1:39" s="5" customFormat="1" ht="15.5" x14ac:dyDescent="0.45">
      <c r="A449" s="1"/>
      <c r="B449" s="1"/>
      <c r="D449" s="13"/>
      <c r="F449" s="26"/>
      <c r="AM449" s="19"/>
    </row>
    <row r="450" spans="1:39" s="5" customFormat="1" ht="15.5" x14ac:dyDescent="0.45">
      <c r="A450" s="1"/>
      <c r="B450" s="1"/>
      <c r="D450" s="13"/>
      <c r="F450" s="26"/>
      <c r="AM450" s="19"/>
    </row>
    <row r="451" spans="1:39" s="5" customFormat="1" ht="15.5" x14ac:dyDescent="0.45">
      <c r="A451" s="1"/>
      <c r="B451" s="1"/>
      <c r="D451" s="13"/>
      <c r="F451" s="26"/>
      <c r="AM451" s="19"/>
    </row>
    <row r="452" spans="1:39" s="5" customFormat="1" ht="15.5" x14ac:dyDescent="0.45">
      <c r="A452" s="1"/>
      <c r="B452" s="1"/>
      <c r="D452" s="13"/>
      <c r="F452" s="26"/>
      <c r="AM452" s="19"/>
    </row>
    <row r="453" spans="1:39" s="5" customFormat="1" ht="15.5" x14ac:dyDescent="0.45">
      <c r="A453" s="1"/>
      <c r="B453" s="1"/>
      <c r="D453" s="13"/>
      <c r="F453" s="26"/>
      <c r="AM453" s="19"/>
    </row>
    <row r="454" spans="1:39" s="5" customFormat="1" ht="15.5" x14ac:dyDescent="0.45">
      <c r="A454" s="1"/>
      <c r="B454" s="1"/>
      <c r="D454" s="13"/>
      <c r="F454" s="26"/>
      <c r="AM454" s="19"/>
    </row>
    <row r="455" spans="1:39" s="5" customFormat="1" ht="15.5" x14ac:dyDescent="0.45">
      <c r="A455" s="1"/>
      <c r="B455" s="1"/>
      <c r="D455" s="13"/>
      <c r="F455" s="26"/>
      <c r="AM455" s="19"/>
    </row>
    <row r="456" spans="1:39" s="5" customFormat="1" ht="15.5" x14ac:dyDescent="0.45">
      <c r="A456" s="1"/>
      <c r="B456" s="1"/>
      <c r="D456" s="13"/>
      <c r="F456" s="26"/>
      <c r="AM456" s="19"/>
    </row>
    <row r="457" spans="1:39" s="5" customFormat="1" ht="15.5" x14ac:dyDescent="0.45">
      <c r="A457" s="1"/>
      <c r="B457" s="1"/>
      <c r="D457" s="13"/>
      <c r="F457" s="26"/>
      <c r="AM457" s="19"/>
    </row>
    <row r="458" spans="1:39" s="5" customFormat="1" ht="15.5" x14ac:dyDescent="0.45">
      <c r="A458" s="1"/>
      <c r="B458" s="1"/>
      <c r="D458" s="13"/>
      <c r="F458" s="26"/>
      <c r="AM458" s="19"/>
    </row>
    <row r="459" spans="1:39" s="5" customFormat="1" ht="15.5" x14ac:dyDescent="0.45">
      <c r="A459" s="1"/>
      <c r="B459" s="1"/>
      <c r="D459" s="13"/>
      <c r="F459" s="26"/>
      <c r="AM459" s="19"/>
    </row>
    <row r="460" spans="1:39" s="5" customFormat="1" ht="15.5" x14ac:dyDescent="0.45">
      <c r="A460" s="1"/>
      <c r="B460" s="1"/>
      <c r="D460" s="13"/>
      <c r="F460" s="26"/>
      <c r="AM460" s="19"/>
    </row>
    <row r="461" spans="1:39" s="5" customFormat="1" ht="15.5" x14ac:dyDescent="0.45">
      <c r="A461" s="1"/>
      <c r="B461" s="1"/>
      <c r="D461" s="13"/>
      <c r="F461" s="26"/>
      <c r="AM461" s="19"/>
    </row>
    <row r="462" spans="1:39" s="5" customFormat="1" ht="15.5" x14ac:dyDescent="0.45">
      <c r="A462" s="1"/>
      <c r="B462" s="1"/>
      <c r="D462" s="13"/>
      <c r="F462" s="26"/>
      <c r="AM462" s="19"/>
    </row>
    <row r="463" spans="1:39" s="5" customFormat="1" ht="15.5" x14ac:dyDescent="0.45">
      <c r="A463" s="1"/>
      <c r="B463" s="1"/>
      <c r="D463" s="13"/>
      <c r="F463" s="26"/>
      <c r="AM463" s="19"/>
    </row>
    <row r="464" spans="1:39" s="5" customFormat="1" ht="15.5" x14ac:dyDescent="0.45">
      <c r="A464" s="1"/>
      <c r="B464" s="1"/>
      <c r="D464" s="13"/>
      <c r="F464" s="26"/>
      <c r="AM464" s="19"/>
    </row>
    <row r="465" spans="1:39" s="5" customFormat="1" ht="15.5" x14ac:dyDescent="0.45">
      <c r="A465" s="1"/>
      <c r="B465" s="1"/>
      <c r="D465" s="13"/>
      <c r="F465" s="26"/>
      <c r="AM465" s="19"/>
    </row>
    <row r="466" spans="1:39" s="5" customFormat="1" ht="15.5" x14ac:dyDescent="0.45">
      <c r="A466" s="1"/>
      <c r="B466" s="1"/>
      <c r="D466" s="13"/>
      <c r="F466" s="26"/>
      <c r="AM466" s="19"/>
    </row>
    <row r="467" spans="1:39" s="5" customFormat="1" ht="15.5" x14ac:dyDescent="0.45">
      <c r="A467" s="1"/>
      <c r="B467" s="1"/>
      <c r="D467" s="13"/>
      <c r="F467" s="26"/>
      <c r="AM467" s="19"/>
    </row>
    <row r="468" spans="1:39" s="5" customFormat="1" ht="15.5" x14ac:dyDescent="0.45">
      <c r="A468" s="1"/>
      <c r="B468" s="1"/>
      <c r="D468" s="13"/>
      <c r="F468" s="26"/>
      <c r="AM468" s="19"/>
    </row>
    <row r="469" spans="1:39" s="5" customFormat="1" ht="15.5" x14ac:dyDescent="0.45">
      <c r="A469" s="1"/>
      <c r="B469" s="1"/>
      <c r="D469" s="13"/>
      <c r="F469" s="26"/>
      <c r="AM469" s="19"/>
    </row>
    <row r="470" spans="1:39" s="5" customFormat="1" ht="15.5" x14ac:dyDescent="0.45">
      <c r="A470" s="1"/>
      <c r="B470" s="1"/>
      <c r="D470" s="13"/>
      <c r="F470" s="26"/>
      <c r="AM470" s="19"/>
    </row>
    <row r="471" spans="1:39" s="5" customFormat="1" ht="15.5" x14ac:dyDescent="0.45">
      <c r="A471" s="1"/>
      <c r="B471" s="1"/>
      <c r="D471" s="13"/>
      <c r="F471" s="26"/>
      <c r="AM471" s="19"/>
    </row>
    <row r="472" spans="1:39" s="5" customFormat="1" ht="15.5" x14ac:dyDescent="0.45">
      <c r="A472" s="1"/>
      <c r="B472" s="1"/>
      <c r="D472" s="13"/>
      <c r="F472" s="26"/>
      <c r="AM472" s="19"/>
    </row>
    <row r="473" spans="1:39" s="5" customFormat="1" ht="15.5" x14ac:dyDescent="0.45">
      <c r="A473" s="1"/>
      <c r="B473" s="1"/>
      <c r="D473" s="13"/>
      <c r="F473" s="26"/>
      <c r="AM473" s="19"/>
    </row>
    <row r="474" spans="1:39" s="5" customFormat="1" ht="15.5" x14ac:dyDescent="0.45">
      <c r="A474" s="1"/>
      <c r="B474" s="1"/>
      <c r="D474" s="13"/>
      <c r="F474" s="26"/>
      <c r="AM474" s="19"/>
    </row>
    <row r="475" spans="1:39" s="5" customFormat="1" ht="15.5" x14ac:dyDescent="0.45">
      <c r="A475" s="1"/>
      <c r="B475" s="1"/>
      <c r="D475" s="13"/>
      <c r="F475" s="26"/>
      <c r="AM475" s="19"/>
    </row>
    <row r="476" spans="1:39" s="5" customFormat="1" ht="15.5" x14ac:dyDescent="0.45">
      <c r="A476" s="1"/>
      <c r="B476" s="1"/>
      <c r="D476" s="13"/>
      <c r="F476" s="26"/>
      <c r="AM476" s="19"/>
    </row>
    <row r="477" spans="1:39" s="5" customFormat="1" ht="15.5" x14ac:dyDescent="0.45">
      <c r="A477" s="1"/>
      <c r="B477" s="1"/>
      <c r="D477" s="13"/>
      <c r="F477" s="26"/>
      <c r="AM477" s="19"/>
    </row>
    <row r="478" spans="1:39" s="5" customFormat="1" ht="15.5" x14ac:dyDescent="0.45">
      <c r="A478" s="1"/>
      <c r="B478" s="1"/>
      <c r="D478" s="13"/>
      <c r="F478" s="26"/>
      <c r="AM478" s="19"/>
    </row>
    <row r="479" spans="1:39" s="5" customFormat="1" ht="15.5" x14ac:dyDescent="0.45">
      <c r="A479" s="1"/>
      <c r="B479" s="1"/>
      <c r="D479" s="13"/>
      <c r="F479" s="26"/>
      <c r="AM479" s="19"/>
    </row>
    <row r="480" spans="1:39" s="5" customFormat="1" ht="15.5" x14ac:dyDescent="0.45">
      <c r="A480" s="1"/>
      <c r="B480" s="1"/>
      <c r="D480" s="13"/>
      <c r="F480" s="26"/>
      <c r="AM480" s="19"/>
    </row>
    <row r="481" spans="1:39" s="5" customFormat="1" ht="15.5" x14ac:dyDescent="0.45">
      <c r="A481" s="1"/>
      <c r="B481" s="1"/>
      <c r="D481" s="13"/>
      <c r="F481" s="26"/>
      <c r="AM481" s="19"/>
    </row>
    <row r="482" spans="1:39" s="5" customFormat="1" ht="15.5" x14ac:dyDescent="0.45">
      <c r="A482" s="1"/>
      <c r="B482" s="1"/>
      <c r="D482" s="13"/>
      <c r="F482" s="26"/>
      <c r="AM482" s="19"/>
    </row>
    <row r="483" spans="1:39" s="5" customFormat="1" ht="15.5" x14ac:dyDescent="0.45">
      <c r="A483" s="1"/>
      <c r="B483" s="1"/>
      <c r="D483" s="13"/>
      <c r="F483" s="26"/>
      <c r="AM483" s="19"/>
    </row>
    <row r="484" spans="1:39" s="5" customFormat="1" ht="15.5" x14ac:dyDescent="0.45">
      <c r="A484" s="1"/>
      <c r="B484" s="1"/>
      <c r="D484" s="13"/>
      <c r="F484" s="26"/>
      <c r="AM484" s="19"/>
    </row>
    <row r="485" spans="1:39" s="5" customFormat="1" ht="15.5" x14ac:dyDescent="0.45">
      <c r="A485" s="1"/>
      <c r="B485" s="1"/>
      <c r="D485" s="13"/>
      <c r="F485" s="26"/>
      <c r="AM485" s="19"/>
    </row>
    <row r="486" spans="1:39" s="5" customFormat="1" ht="15.5" x14ac:dyDescent="0.45">
      <c r="A486" s="1"/>
      <c r="B486" s="1"/>
      <c r="D486" s="13"/>
      <c r="F486" s="26"/>
      <c r="AM486" s="19"/>
    </row>
    <row r="487" spans="1:39" s="5" customFormat="1" ht="15.5" x14ac:dyDescent="0.45">
      <c r="A487" s="1"/>
      <c r="B487" s="1"/>
      <c r="D487" s="13"/>
      <c r="F487" s="26"/>
      <c r="AM487" s="19"/>
    </row>
    <row r="488" spans="1:39" s="5" customFormat="1" ht="15.5" x14ac:dyDescent="0.45">
      <c r="A488" s="1"/>
      <c r="B488" s="1"/>
      <c r="D488" s="13"/>
      <c r="F488" s="26"/>
      <c r="AM488" s="19"/>
    </row>
    <row r="489" spans="1:39" s="5" customFormat="1" ht="15.5" x14ac:dyDescent="0.45">
      <c r="A489" s="1"/>
      <c r="B489" s="1"/>
      <c r="D489" s="13"/>
      <c r="F489" s="26"/>
      <c r="AM489" s="19"/>
    </row>
    <row r="490" spans="1:39" s="5" customFormat="1" ht="15.5" x14ac:dyDescent="0.45">
      <c r="A490" s="1"/>
      <c r="B490" s="1"/>
      <c r="D490" s="13"/>
      <c r="F490" s="26"/>
      <c r="AM490" s="19"/>
    </row>
    <row r="491" spans="1:39" s="5" customFormat="1" ht="15.5" x14ac:dyDescent="0.45">
      <c r="A491" s="1"/>
      <c r="B491" s="1"/>
      <c r="D491" s="13"/>
      <c r="F491" s="26"/>
      <c r="AM491" s="19"/>
    </row>
    <row r="492" spans="1:39" s="5" customFormat="1" ht="15.5" x14ac:dyDescent="0.45">
      <c r="A492" s="1"/>
      <c r="B492" s="1"/>
      <c r="D492" s="13"/>
      <c r="F492" s="26"/>
      <c r="AM492" s="19"/>
    </row>
    <row r="493" spans="1:39" s="5" customFormat="1" ht="15.5" x14ac:dyDescent="0.45">
      <c r="A493" s="1"/>
      <c r="B493" s="1"/>
      <c r="D493" s="13"/>
      <c r="F493" s="26"/>
      <c r="AM493" s="19"/>
    </row>
    <row r="494" spans="1:39" s="5" customFormat="1" ht="15.5" x14ac:dyDescent="0.45">
      <c r="A494" s="1"/>
      <c r="B494" s="1"/>
      <c r="D494" s="13"/>
      <c r="F494" s="26"/>
      <c r="AM494" s="19"/>
    </row>
    <row r="495" spans="1:39" s="5" customFormat="1" ht="15.5" x14ac:dyDescent="0.45">
      <c r="A495" s="1"/>
      <c r="B495" s="1"/>
      <c r="D495" s="13"/>
      <c r="F495" s="26"/>
      <c r="AM495" s="19"/>
    </row>
    <row r="496" spans="1:39" s="5" customFormat="1" ht="15.5" x14ac:dyDescent="0.45">
      <c r="A496" s="1"/>
      <c r="B496" s="1"/>
      <c r="D496" s="13"/>
      <c r="F496" s="26"/>
      <c r="AM496" s="19"/>
    </row>
    <row r="497" spans="1:39" s="5" customFormat="1" ht="15.5" x14ac:dyDescent="0.45">
      <c r="A497" s="1"/>
      <c r="B497" s="1"/>
      <c r="D497" s="13"/>
      <c r="F497" s="26"/>
      <c r="AM497" s="19"/>
    </row>
    <row r="498" spans="1:39" s="5" customFormat="1" ht="15.5" x14ac:dyDescent="0.45">
      <c r="A498" s="1"/>
      <c r="B498" s="1"/>
      <c r="D498" s="13"/>
      <c r="F498" s="26"/>
      <c r="AM498" s="19"/>
    </row>
    <row r="499" spans="1:39" s="5" customFormat="1" ht="15.5" x14ac:dyDescent="0.45">
      <c r="A499" s="1"/>
      <c r="B499" s="1"/>
      <c r="D499" s="13"/>
      <c r="F499" s="26"/>
      <c r="AM499" s="19"/>
    </row>
    <row r="500" spans="1:39" s="5" customFormat="1" ht="15.5" x14ac:dyDescent="0.45">
      <c r="A500" s="1"/>
      <c r="B500" s="1"/>
      <c r="D500" s="13"/>
      <c r="F500" s="26"/>
      <c r="AM500" s="19"/>
    </row>
    <row r="501" spans="1:39" s="5" customFormat="1" ht="15.5" x14ac:dyDescent="0.45">
      <c r="A501" s="1"/>
      <c r="B501" s="1"/>
      <c r="D501" s="13"/>
      <c r="F501" s="26"/>
      <c r="AM501" s="19"/>
    </row>
    <row r="502" spans="1:39" s="5" customFormat="1" ht="15.5" x14ac:dyDescent="0.45">
      <c r="A502" s="1"/>
      <c r="B502" s="1"/>
      <c r="D502" s="13"/>
      <c r="F502" s="26"/>
      <c r="AM502" s="19"/>
    </row>
    <row r="503" spans="1:39" s="5" customFormat="1" ht="15.5" x14ac:dyDescent="0.45">
      <c r="A503" s="1"/>
      <c r="B503" s="1"/>
      <c r="D503" s="13"/>
      <c r="F503" s="26"/>
      <c r="AM503" s="19"/>
    </row>
    <row r="504" spans="1:39" s="5" customFormat="1" ht="15.5" x14ac:dyDescent="0.45">
      <c r="A504" s="1"/>
      <c r="B504" s="1"/>
      <c r="D504" s="13"/>
      <c r="F504" s="26"/>
      <c r="AM504" s="19"/>
    </row>
    <row r="505" spans="1:39" s="5" customFormat="1" ht="15.5" x14ac:dyDescent="0.45">
      <c r="A505" s="1"/>
      <c r="B505" s="1"/>
      <c r="D505" s="13"/>
      <c r="F505" s="26"/>
      <c r="AM505" s="19"/>
    </row>
    <row r="506" spans="1:39" s="5" customFormat="1" ht="15.5" x14ac:dyDescent="0.45">
      <c r="A506" s="1"/>
      <c r="B506" s="1"/>
      <c r="D506" s="13"/>
      <c r="F506" s="26"/>
      <c r="AM506" s="19"/>
    </row>
    <row r="507" spans="1:39" s="5" customFormat="1" ht="15.5" x14ac:dyDescent="0.45">
      <c r="A507" s="1"/>
      <c r="B507" s="1"/>
      <c r="D507" s="13"/>
      <c r="F507" s="26"/>
      <c r="AM507" s="19"/>
    </row>
    <row r="508" spans="1:39" s="5" customFormat="1" ht="15.5" x14ac:dyDescent="0.45">
      <c r="A508" s="1"/>
      <c r="B508" s="1"/>
      <c r="D508" s="13"/>
      <c r="F508" s="26"/>
      <c r="AM508" s="19"/>
    </row>
    <row r="509" spans="1:39" s="5" customFormat="1" ht="15.5" x14ac:dyDescent="0.45">
      <c r="A509" s="1"/>
      <c r="B509" s="1"/>
      <c r="D509" s="13"/>
      <c r="F509" s="26"/>
      <c r="AM509" s="19"/>
    </row>
    <row r="510" spans="1:39" s="5" customFormat="1" ht="15.5" x14ac:dyDescent="0.45">
      <c r="A510" s="1"/>
      <c r="B510" s="1"/>
      <c r="D510" s="13"/>
      <c r="F510" s="26"/>
      <c r="AM510" s="19"/>
    </row>
    <row r="511" spans="1:39" s="5" customFormat="1" ht="15.5" x14ac:dyDescent="0.45">
      <c r="A511" s="1"/>
      <c r="B511" s="1"/>
      <c r="D511" s="13"/>
      <c r="F511" s="26"/>
      <c r="AM511" s="19"/>
    </row>
    <row r="512" spans="1:39" s="5" customFormat="1" ht="15.5" x14ac:dyDescent="0.45">
      <c r="A512" s="1"/>
      <c r="B512" s="1"/>
      <c r="D512" s="13"/>
      <c r="F512" s="26"/>
      <c r="AM512" s="19"/>
    </row>
    <row r="513" spans="1:39" s="5" customFormat="1" ht="15.5" x14ac:dyDescent="0.45">
      <c r="A513" s="1"/>
      <c r="B513" s="1"/>
      <c r="D513" s="13"/>
      <c r="F513" s="26"/>
      <c r="AM513" s="19"/>
    </row>
    <row r="514" spans="1:39" s="5" customFormat="1" ht="15.5" x14ac:dyDescent="0.45">
      <c r="A514" s="1"/>
      <c r="B514" s="1"/>
      <c r="D514" s="13"/>
      <c r="F514" s="26"/>
      <c r="AM514" s="19"/>
    </row>
    <row r="515" spans="1:39" s="5" customFormat="1" ht="15.5" x14ac:dyDescent="0.45">
      <c r="A515" s="1"/>
      <c r="B515" s="1"/>
      <c r="D515" s="13"/>
      <c r="F515" s="26"/>
      <c r="AM515" s="19"/>
    </row>
    <row r="516" spans="1:39" s="5" customFormat="1" ht="15.5" x14ac:dyDescent="0.45">
      <c r="A516" s="1"/>
      <c r="B516" s="1"/>
      <c r="D516" s="13"/>
      <c r="F516" s="26"/>
      <c r="AM516" s="19"/>
    </row>
    <row r="517" spans="1:39" s="20" customFormat="1" ht="15.5" x14ac:dyDescent="0.45">
      <c r="A517" s="1"/>
      <c r="B517" s="1"/>
      <c r="D517" s="13"/>
      <c r="F517" s="28"/>
      <c r="AM517" s="29"/>
    </row>
    <row r="518" spans="1:39" s="20" customFormat="1" ht="15.5" x14ac:dyDescent="0.45">
      <c r="A518" s="1"/>
      <c r="B518" s="1"/>
      <c r="D518" s="13"/>
      <c r="F518" s="28"/>
      <c r="AM518" s="29"/>
    </row>
    <row r="519" spans="1:39" s="20" customFormat="1" ht="15.5" x14ac:dyDescent="0.45">
      <c r="A519" s="1"/>
      <c r="B519" s="1"/>
      <c r="D519" s="13"/>
      <c r="F519" s="28"/>
      <c r="AM519" s="29"/>
    </row>
    <row r="520" spans="1:39" s="20" customFormat="1" ht="15.5" x14ac:dyDescent="0.45">
      <c r="A520" s="1"/>
      <c r="B520" s="1"/>
      <c r="D520" s="13"/>
      <c r="F520" s="28"/>
      <c r="AM520" s="29"/>
    </row>
    <row r="521" spans="1:39" s="20" customFormat="1" ht="15.5" x14ac:dyDescent="0.45">
      <c r="A521" s="1"/>
      <c r="B521" s="1"/>
      <c r="D521" s="13"/>
      <c r="F521" s="28"/>
      <c r="AM521" s="29"/>
    </row>
    <row r="522" spans="1:39" s="20" customFormat="1" ht="15.5" x14ac:dyDescent="0.45">
      <c r="A522" s="1"/>
      <c r="B522" s="1"/>
      <c r="D522" s="13"/>
      <c r="F522" s="28"/>
      <c r="AM522" s="29"/>
    </row>
    <row r="523" spans="1:39" s="20" customFormat="1" ht="15.5" x14ac:dyDescent="0.45">
      <c r="A523" s="1"/>
      <c r="B523" s="1"/>
      <c r="D523" s="13"/>
      <c r="F523" s="28"/>
      <c r="AM523" s="29"/>
    </row>
    <row r="524" spans="1:39" s="20" customFormat="1" ht="15.5" x14ac:dyDescent="0.45">
      <c r="A524" s="1"/>
      <c r="B524" s="1"/>
      <c r="D524" s="13"/>
      <c r="F524" s="28"/>
      <c r="AM524" s="29"/>
    </row>
    <row r="525" spans="1:39" s="20" customFormat="1" ht="15.5" x14ac:dyDescent="0.45">
      <c r="A525" s="1"/>
      <c r="B525" s="1"/>
      <c r="D525" s="13"/>
      <c r="F525" s="28"/>
      <c r="AM525" s="29"/>
    </row>
    <row r="526" spans="1:39" s="20" customFormat="1" ht="15.5" x14ac:dyDescent="0.45">
      <c r="A526" s="1"/>
      <c r="B526" s="1"/>
      <c r="D526" s="13"/>
      <c r="F526" s="28"/>
      <c r="AM526" s="29"/>
    </row>
    <row r="527" spans="1:39" s="20" customFormat="1" ht="15.5" x14ac:dyDescent="0.45">
      <c r="A527" s="1"/>
      <c r="B527" s="1"/>
      <c r="D527" s="13"/>
      <c r="F527" s="28"/>
      <c r="AM527" s="29"/>
    </row>
    <row r="528" spans="1:39" s="20" customFormat="1" ht="15.5" x14ac:dyDescent="0.45">
      <c r="A528" s="1"/>
      <c r="B528" s="1"/>
      <c r="D528" s="13"/>
      <c r="F528" s="28"/>
      <c r="AM528" s="29"/>
    </row>
    <row r="529" spans="1:39" s="20" customFormat="1" ht="15.5" x14ac:dyDescent="0.45">
      <c r="A529" s="1"/>
      <c r="B529" s="1"/>
      <c r="D529" s="13"/>
      <c r="F529" s="28"/>
      <c r="AM529" s="29"/>
    </row>
    <row r="530" spans="1:39" s="20" customFormat="1" ht="15.5" x14ac:dyDescent="0.45">
      <c r="A530" s="1"/>
      <c r="B530" s="1"/>
      <c r="D530" s="13"/>
      <c r="F530" s="28"/>
      <c r="AM530" s="29"/>
    </row>
    <row r="531" spans="1:39" s="20" customFormat="1" ht="15.5" x14ac:dyDescent="0.45">
      <c r="A531" s="1"/>
      <c r="B531" s="1"/>
      <c r="D531" s="13"/>
      <c r="F531" s="28"/>
      <c r="AM531" s="29"/>
    </row>
    <row r="532" spans="1:39" s="20" customFormat="1" ht="15.5" x14ac:dyDescent="0.45">
      <c r="A532" s="1"/>
      <c r="B532" s="1"/>
      <c r="D532" s="13"/>
      <c r="F532" s="28"/>
      <c r="AM532" s="29"/>
    </row>
    <row r="533" spans="1:39" s="20" customFormat="1" ht="15.5" x14ac:dyDescent="0.45">
      <c r="A533" s="1"/>
      <c r="B533" s="1"/>
      <c r="D533" s="13"/>
      <c r="F533" s="28"/>
      <c r="AM533" s="29"/>
    </row>
    <row r="534" spans="1:39" s="20" customFormat="1" ht="15.5" x14ac:dyDescent="0.45">
      <c r="A534" s="1"/>
      <c r="B534" s="1"/>
      <c r="D534" s="13"/>
      <c r="F534" s="28"/>
      <c r="AM534" s="29"/>
    </row>
    <row r="535" spans="1:39" s="20" customFormat="1" ht="15.5" x14ac:dyDescent="0.45">
      <c r="A535" s="1"/>
      <c r="B535" s="1"/>
      <c r="D535" s="13"/>
      <c r="F535" s="28"/>
      <c r="AM535" s="29"/>
    </row>
    <row r="536" spans="1:39" s="20" customFormat="1" ht="15.5" x14ac:dyDescent="0.45">
      <c r="A536" s="1"/>
      <c r="B536" s="1"/>
      <c r="D536" s="13"/>
      <c r="F536" s="28"/>
      <c r="AM536" s="29"/>
    </row>
    <row r="537" spans="1:39" s="20" customFormat="1" ht="15.5" x14ac:dyDescent="0.45">
      <c r="A537" s="1"/>
      <c r="B537" s="1"/>
      <c r="D537" s="13"/>
      <c r="F537" s="28"/>
      <c r="AM537" s="29"/>
    </row>
    <row r="538" spans="1:39" s="20" customFormat="1" ht="15.5" x14ac:dyDescent="0.45">
      <c r="A538" s="1"/>
      <c r="B538" s="1"/>
      <c r="D538" s="13"/>
      <c r="F538" s="28"/>
      <c r="AM538" s="29"/>
    </row>
    <row r="539" spans="1:39" s="20" customFormat="1" ht="15.5" x14ac:dyDescent="0.45">
      <c r="A539" s="1"/>
      <c r="B539" s="1"/>
      <c r="D539" s="13"/>
      <c r="F539" s="28"/>
      <c r="AM539" s="29"/>
    </row>
    <row r="540" spans="1:39" s="20" customFormat="1" ht="15.5" x14ac:dyDescent="0.45">
      <c r="A540" s="1"/>
      <c r="B540" s="1"/>
      <c r="D540" s="13"/>
      <c r="F540" s="28"/>
      <c r="AM540" s="29"/>
    </row>
    <row r="541" spans="1:39" s="20" customFormat="1" ht="15.5" x14ac:dyDescent="0.45">
      <c r="A541" s="1"/>
      <c r="B541" s="1"/>
      <c r="D541" s="13"/>
      <c r="F541" s="28"/>
      <c r="AM541" s="29"/>
    </row>
    <row r="542" spans="1:39" s="20" customFormat="1" ht="15.5" x14ac:dyDescent="0.45">
      <c r="A542" s="1"/>
      <c r="B542" s="1"/>
      <c r="D542" s="13"/>
      <c r="F542" s="28"/>
      <c r="AM542" s="29"/>
    </row>
    <row r="543" spans="1:39" s="20" customFormat="1" ht="15.5" x14ac:dyDescent="0.45">
      <c r="A543" s="1"/>
      <c r="B543" s="1"/>
      <c r="D543" s="13"/>
      <c r="F543" s="28"/>
      <c r="AM543" s="29"/>
    </row>
    <row r="544" spans="1:39" s="20" customFormat="1" ht="15.5" x14ac:dyDescent="0.45">
      <c r="A544" s="1"/>
      <c r="B544" s="1"/>
      <c r="D544" s="13"/>
      <c r="F544" s="28"/>
      <c r="AM544" s="29"/>
    </row>
    <row r="545" spans="1:39" s="20" customFormat="1" ht="15.5" x14ac:dyDescent="0.45">
      <c r="A545" s="1"/>
      <c r="B545" s="1"/>
      <c r="D545" s="13"/>
      <c r="F545" s="28"/>
      <c r="AM545" s="29"/>
    </row>
    <row r="546" spans="1:39" s="20" customFormat="1" ht="15.5" x14ac:dyDescent="0.45">
      <c r="A546" s="1"/>
      <c r="B546" s="1"/>
      <c r="D546" s="13"/>
      <c r="F546" s="28"/>
      <c r="AM546" s="29"/>
    </row>
    <row r="547" spans="1:39" s="20" customFormat="1" ht="15.5" x14ac:dyDescent="0.45">
      <c r="A547" s="1"/>
      <c r="B547" s="1"/>
      <c r="D547" s="13"/>
      <c r="F547" s="28"/>
      <c r="AM547" s="29"/>
    </row>
    <row r="548" spans="1:39" s="20" customFormat="1" ht="15.5" x14ac:dyDescent="0.45">
      <c r="A548" s="1"/>
      <c r="B548" s="1"/>
      <c r="D548" s="13"/>
      <c r="F548" s="28"/>
      <c r="AM548" s="29"/>
    </row>
    <row r="549" spans="1:39" s="20" customFormat="1" ht="15.5" x14ac:dyDescent="0.45">
      <c r="A549" s="1"/>
      <c r="B549" s="1"/>
      <c r="D549" s="13"/>
      <c r="F549" s="28"/>
      <c r="AM549" s="29"/>
    </row>
    <row r="550" spans="1:39" s="20" customFormat="1" ht="15.5" x14ac:dyDescent="0.45">
      <c r="A550" s="1"/>
      <c r="B550" s="1"/>
      <c r="D550" s="13"/>
      <c r="F550" s="28"/>
      <c r="AM550" s="29"/>
    </row>
    <row r="551" spans="1:39" s="20" customFormat="1" ht="15.5" x14ac:dyDescent="0.45">
      <c r="A551" s="1"/>
      <c r="B551" s="1"/>
      <c r="D551" s="13"/>
      <c r="F551" s="28"/>
      <c r="AM551" s="29"/>
    </row>
    <row r="552" spans="1:39" s="20" customFormat="1" ht="15.5" x14ac:dyDescent="0.45">
      <c r="A552" s="1"/>
      <c r="B552" s="1"/>
      <c r="D552" s="13"/>
      <c r="F552" s="28"/>
      <c r="AM552" s="29"/>
    </row>
    <row r="553" spans="1:39" s="20" customFormat="1" ht="15.5" x14ac:dyDescent="0.45">
      <c r="A553" s="1"/>
      <c r="B553" s="1"/>
      <c r="D553" s="13"/>
      <c r="F553" s="28"/>
      <c r="AM553" s="29"/>
    </row>
    <row r="554" spans="1:39" s="20" customFormat="1" ht="15.5" x14ac:dyDescent="0.45">
      <c r="A554" s="1"/>
      <c r="B554" s="1"/>
      <c r="D554" s="13"/>
      <c r="F554" s="28"/>
      <c r="AM554" s="29"/>
    </row>
    <row r="555" spans="1:39" s="20" customFormat="1" ht="15.5" x14ac:dyDescent="0.45">
      <c r="A555" s="1"/>
      <c r="B555" s="1"/>
      <c r="D555" s="13"/>
      <c r="F555" s="28"/>
      <c r="AM555" s="29"/>
    </row>
    <row r="556" spans="1:39" s="20" customFormat="1" ht="15.5" x14ac:dyDescent="0.45">
      <c r="A556" s="1"/>
      <c r="B556" s="1"/>
      <c r="D556" s="13"/>
      <c r="F556" s="28"/>
      <c r="AM556" s="29"/>
    </row>
    <row r="557" spans="1:39" s="20" customFormat="1" ht="15.5" x14ac:dyDescent="0.45">
      <c r="A557" s="1"/>
      <c r="B557" s="1"/>
      <c r="D557" s="13"/>
      <c r="F557" s="28"/>
      <c r="AM557" s="29"/>
    </row>
    <row r="558" spans="1:39" s="20" customFormat="1" ht="15.5" x14ac:dyDescent="0.45">
      <c r="A558" s="1"/>
      <c r="B558" s="1"/>
      <c r="D558" s="13"/>
      <c r="F558" s="28"/>
      <c r="AM558" s="29"/>
    </row>
    <row r="559" spans="1:39" s="20" customFormat="1" ht="15.5" x14ac:dyDescent="0.45">
      <c r="A559" s="1"/>
      <c r="B559" s="1"/>
      <c r="D559" s="13"/>
      <c r="F559" s="28"/>
      <c r="AM559" s="29"/>
    </row>
    <row r="560" spans="1:39" s="20" customFormat="1" ht="15.5" x14ac:dyDescent="0.45">
      <c r="A560" s="1"/>
      <c r="B560" s="1"/>
      <c r="D560" s="13"/>
      <c r="F560" s="28"/>
      <c r="AM560" s="29"/>
    </row>
    <row r="561" spans="1:39" s="20" customFormat="1" ht="15.5" x14ac:dyDescent="0.45">
      <c r="A561" s="1"/>
      <c r="B561" s="1"/>
      <c r="D561" s="13"/>
      <c r="F561" s="28"/>
      <c r="AM561" s="29"/>
    </row>
    <row r="562" spans="1:39" s="20" customFormat="1" ht="15.5" x14ac:dyDescent="0.45">
      <c r="A562" s="1"/>
      <c r="B562" s="1"/>
      <c r="D562" s="13"/>
      <c r="F562" s="28"/>
      <c r="AM562" s="29"/>
    </row>
    <row r="563" spans="1:39" s="20" customFormat="1" ht="15.5" x14ac:dyDescent="0.45">
      <c r="A563" s="1"/>
      <c r="B563" s="1"/>
      <c r="D563" s="13"/>
      <c r="F563" s="28"/>
      <c r="AM563" s="29"/>
    </row>
    <row r="564" spans="1:39" s="20" customFormat="1" ht="15.5" x14ac:dyDescent="0.45">
      <c r="A564" s="1"/>
      <c r="B564" s="1"/>
      <c r="D564" s="13"/>
      <c r="F564" s="28"/>
      <c r="AM564" s="29"/>
    </row>
    <row r="565" spans="1:39" s="20" customFormat="1" ht="15.5" x14ac:dyDescent="0.45">
      <c r="A565" s="1"/>
      <c r="B565" s="1"/>
      <c r="D565" s="13"/>
      <c r="F565" s="28"/>
      <c r="AM565" s="29"/>
    </row>
    <row r="566" spans="1:39" s="20" customFormat="1" ht="15.5" x14ac:dyDescent="0.45">
      <c r="A566" s="1"/>
      <c r="B566" s="1"/>
      <c r="D566" s="13"/>
      <c r="F566" s="28"/>
      <c r="AM566" s="29"/>
    </row>
    <row r="567" spans="1:39" s="20" customFormat="1" ht="15.5" x14ac:dyDescent="0.45">
      <c r="A567" s="1"/>
      <c r="B567" s="1"/>
      <c r="D567" s="13"/>
      <c r="F567" s="28"/>
      <c r="AM567" s="29"/>
    </row>
    <row r="568" spans="1:39" s="20" customFormat="1" ht="15.5" x14ac:dyDescent="0.45">
      <c r="A568" s="1"/>
      <c r="B568" s="1"/>
      <c r="D568" s="13"/>
      <c r="F568" s="28"/>
      <c r="AM568" s="29"/>
    </row>
    <row r="569" spans="1:39" s="20" customFormat="1" ht="15.5" x14ac:dyDescent="0.45">
      <c r="A569" s="1"/>
      <c r="B569" s="1"/>
      <c r="D569" s="13"/>
      <c r="F569" s="28"/>
      <c r="AM569" s="29"/>
    </row>
    <row r="570" spans="1:39" s="20" customFormat="1" ht="15.5" x14ac:dyDescent="0.45">
      <c r="A570" s="1"/>
      <c r="B570" s="1"/>
      <c r="D570" s="13"/>
      <c r="F570" s="28"/>
      <c r="AM570" s="29"/>
    </row>
    <row r="571" spans="1:39" s="20" customFormat="1" ht="15.5" x14ac:dyDescent="0.45">
      <c r="A571" s="1"/>
      <c r="B571" s="1"/>
      <c r="D571" s="13"/>
      <c r="F571" s="28"/>
      <c r="AM571" s="29"/>
    </row>
    <row r="572" spans="1:39" s="20" customFormat="1" ht="15.5" x14ac:dyDescent="0.45">
      <c r="A572" s="1"/>
      <c r="B572" s="1"/>
      <c r="D572" s="13"/>
      <c r="F572" s="28"/>
      <c r="AM572" s="29"/>
    </row>
    <row r="573" spans="1:39" s="20" customFormat="1" ht="15.5" x14ac:dyDescent="0.45">
      <c r="A573" s="1"/>
      <c r="B573" s="1"/>
      <c r="D573" s="13"/>
      <c r="F573" s="28"/>
      <c r="AM573" s="29"/>
    </row>
    <row r="574" spans="1:39" s="20" customFormat="1" ht="15.5" x14ac:dyDescent="0.45">
      <c r="A574" s="1"/>
      <c r="B574" s="1"/>
      <c r="D574" s="13"/>
      <c r="F574" s="28"/>
      <c r="AM574" s="29"/>
    </row>
    <row r="575" spans="1:39" s="20" customFormat="1" ht="15.5" x14ac:dyDescent="0.45">
      <c r="A575" s="1"/>
      <c r="B575" s="1"/>
      <c r="D575" s="13"/>
      <c r="F575" s="28"/>
      <c r="AM575" s="29"/>
    </row>
    <row r="576" spans="1:39" s="20" customFormat="1" ht="15.5" x14ac:dyDescent="0.45">
      <c r="A576" s="1"/>
      <c r="B576" s="1"/>
      <c r="D576" s="13"/>
      <c r="F576" s="28"/>
      <c r="AM576" s="29"/>
    </row>
    <row r="577" spans="1:39" s="20" customFormat="1" ht="15.5" x14ac:dyDescent="0.45">
      <c r="A577" s="1"/>
      <c r="B577" s="1"/>
      <c r="D577" s="13"/>
      <c r="F577" s="28"/>
      <c r="AM577" s="29"/>
    </row>
    <row r="578" spans="1:39" s="20" customFormat="1" ht="15.5" x14ac:dyDescent="0.45">
      <c r="A578" s="1"/>
      <c r="B578" s="1"/>
      <c r="D578" s="13"/>
      <c r="F578" s="28"/>
      <c r="AM578" s="29"/>
    </row>
    <row r="579" spans="1:39" s="20" customFormat="1" ht="15.5" x14ac:dyDescent="0.45">
      <c r="A579" s="1"/>
      <c r="B579" s="1"/>
      <c r="D579" s="13"/>
      <c r="F579" s="28"/>
      <c r="AM579" s="29"/>
    </row>
    <row r="580" spans="1:39" s="20" customFormat="1" ht="15.5" x14ac:dyDescent="0.45">
      <c r="A580" s="1"/>
      <c r="B580" s="1"/>
      <c r="D580" s="13"/>
      <c r="F580" s="28"/>
      <c r="AM580" s="29"/>
    </row>
    <row r="581" spans="1:39" s="20" customFormat="1" ht="15.5" x14ac:dyDescent="0.45">
      <c r="A581" s="1"/>
      <c r="B581" s="1"/>
      <c r="D581" s="13"/>
      <c r="F581" s="28"/>
      <c r="AM581" s="29"/>
    </row>
    <row r="582" spans="1:39" s="20" customFormat="1" ht="15.5" x14ac:dyDescent="0.45">
      <c r="A582" s="1"/>
      <c r="B582" s="1"/>
      <c r="D582" s="13"/>
      <c r="F582" s="28"/>
      <c r="AM582" s="29"/>
    </row>
    <row r="583" spans="1:39" s="20" customFormat="1" ht="15.5" x14ac:dyDescent="0.45">
      <c r="A583" s="1"/>
      <c r="B583" s="1"/>
      <c r="D583" s="13"/>
      <c r="F583" s="28"/>
      <c r="AM583" s="29"/>
    </row>
    <row r="584" spans="1:39" s="20" customFormat="1" ht="15.5" x14ac:dyDescent="0.45">
      <c r="A584" s="1"/>
      <c r="B584" s="1"/>
      <c r="D584" s="13"/>
      <c r="F584" s="28"/>
      <c r="AM584" s="29"/>
    </row>
    <row r="585" spans="1:39" s="20" customFormat="1" ht="15.5" x14ac:dyDescent="0.45">
      <c r="A585" s="1"/>
      <c r="B585" s="1"/>
      <c r="D585" s="13"/>
      <c r="F585" s="28"/>
      <c r="AM585" s="29"/>
    </row>
    <row r="586" spans="1:39" s="20" customFormat="1" ht="15.5" x14ac:dyDescent="0.45">
      <c r="A586" s="1"/>
      <c r="B586" s="1"/>
      <c r="D586" s="13"/>
      <c r="F586" s="28"/>
      <c r="AM586" s="29"/>
    </row>
    <row r="587" spans="1:39" s="20" customFormat="1" ht="15.5" x14ac:dyDescent="0.45">
      <c r="A587" s="1"/>
      <c r="B587" s="1"/>
      <c r="D587" s="13"/>
      <c r="F587" s="28"/>
      <c r="AM587" s="29"/>
    </row>
    <row r="588" spans="1:39" s="20" customFormat="1" ht="15.5" x14ac:dyDescent="0.45">
      <c r="A588" s="1"/>
      <c r="B588" s="1"/>
      <c r="D588" s="13"/>
      <c r="F588" s="28"/>
      <c r="AM588" s="29"/>
    </row>
    <row r="589" spans="1:39" s="20" customFormat="1" ht="15.5" x14ac:dyDescent="0.45">
      <c r="A589" s="1"/>
      <c r="B589" s="1"/>
      <c r="D589" s="13"/>
      <c r="F589" s="28"/>
      <c r="AM589" s="29"/>
    </row>
    <row r="590" spans="1:39" s="20" customFormat="1" ht="15.5" x14ac:dyDescent="0.45">
      <c r="A590" s="1"/>
      <c r="B590" s="1"/>
      <c r="D590" s="13"/>
      <c r="F590" s="28"/>
      <c r="AM590" s="29"/>
    </row>
    <row r="591" spans="1:39" s="20" customFormat="1" ht="15.5" x14ac:dyDescent="0.45">
      <c r="A591" s="1"/>
      <c r="B591" s="1"/>
      <c r="D591" s="13"/>
      <c r="F591" s="28"/>
      <c r="AM591" s="29"/>
    </row>
    <row r="592" spans="1:39" s="20" customFormat="1" ht="15.5" x14ac:dyDescent="0.45">
      <c r="A592" s="1"/>
      <c r="B592" s="1"/>
      <c r="D592" s="13"/>
      <c r="F592" s="28"/>
      <c r="AM592" s="29"/>
    </row>
    <row r="593" spans="1:39" s="20" customFormat="1" ht="15.5" x14ac:dyDescent="0.45">
      <c r="A593" s="1"/>
      <c r="B593" s="1"/>
      <c r="D593" s="13"/>
      <c r="F593" s="28"/>
      <c r="AM593" s="29"/>
    </row>
    <row r="594" spans="1:39" s="20" customFormat="1" ht="15.5" x14ac:dyDescent="0.45">
      <c r="A594" s="1"/>
      <c r="B594" s="1"/>
      <c r="D594" s="13"/>
      <c r="F594" s="28"/>
      <c r="AM594" s="29"/>
    </row>
    <row r="595" spans="1:39" s="20" customFormat="1" ht="15.5" x14ac:dyDescent="0.45">
      <c r="A595" s="1"/>
      <c r="B595" s="1"/>
      <c r="D595" s="13"/>
      <c r="F595" s="28"/>
      <c r="AM595" s="29"/>
    </row>
    <row r="596" spans="1:39" s="20" customFormat="1" ht="15.5" x14ac:dyDescent="0.45">
      <c r="A596" s="1"/>
      <c r="B596" s="1"/>
      <c r="D596" s="13"/>
      <c r="F596" s="28"/>
      <c r="AM596" s="29"/>
    </row>
    <row r="597" spans="1:39" s="20" customFormat="1" ht="15.5" x14ac:dyDescent="0.45">
      <c r="A597" s="1"/>
      <c r="B597" s="1"/>
      <c r="D597" s="13"/>
      <c r="F597" s="28"/>
      <c r="AM597" s="29"/>
    </row>
    <row r="598" spans="1:39" s="20" customFormat="1" ht="15.5" x14ac:dyDescent="0.45">
      <c r="A598" s="1"/>
      <c r="B598" s="1"/>
      <c r="D598" s="13"/>
      <c r="F598" s="28"/>
      <c r="AM598" s="29"/>
    </row>
    <row r="599" spans="1:39" s="20" customFormat="1" ht="15.5" x14ac:dyDescent="0.45">
      <c r="A599" s="1"/>
      <c r="B599" s="1"/>
      <c r="D599" s="13"/>
      <c r="F599" s="28"/>
      <c r="AM599" s="29"/>
    </row>
    <row r="600" spans="1:39" s="20" customFormat="1" ht="15.5" x14ac:dyDescent="0.45">
      <c r="A600" s="1"/>
      <c r="B600" s="1"/>
      <c r="D600" s="13"/>
      <c r="F600" s="28"/>
      <c r="AM600" s="29"/>
    </row>
    <row r="601" spans="1:39" s="20" customFormat="1" ht="15.5" x14ac:dyDescent="0.45">
      <c r="A601" s="1"/>
      <c r="B601" s="1"/>
      <c r="D601" s="13"/>
      <c r="F601" s="28"/>
      <c r="AM601" s="29"/>
    </row>
    <row r="602" spans="1:39" s="20" customFormat="1" ht="15.5" x14ac:dyDescent="0.45">
      <c r="A602" s="1"/>
      <c r="B602" s="1"/>
      <c r="D602" s="13"/>
      <c r="F602" s="28"/>
      <c r="AM602" s="29"/>
    </row>
    <row r="603" spans="1:39" s="20" customFormat="1" ht="15.5" x14ac:dyDescent="0.45">
      <c r="A603" s="1"/>
      <c r="B603" s="1"/>
      <c r="D603" s="13"/>
      <c r="F603" s="28"/>
      <c r="AM603" s="29"/>
    </row>
    <row r="604" spans="1:39" s="20" customFormat="1" ht="15.5" x14ac:dyDescent="0.45">
      <c r="A604" s="1"/>
      <c r="B604" s="1"/>
      <c r="D604" s="13"/>
      <c r="F604" s="28"/>
      <c r="AM604" s="29"/>
    </row>
    <row r="605" spans="1:39" s="20" customFormat="1" ht="15.5" x14ac:dyDescent="0.45">
      <c r="A605" s="1"/>
      <c r="B605" s="1"/>
      <c r="D605" s="13"/>
      <c r="F605" s="28"/>
      <c r="AM605" s="29"/>
    </row>
    <row r="606" spans="1:39" s="20" customFormat="1" ht="15.5" x14ac:dyDescent="0.45">
      <c r="A606" s="1"/>
      <c r="B606" s="1"/>
      <c r="D606" s="13"/>
      <c r="F606" s="28"/>
      <c r="AM606" s="29"/>
    </row>
    <row r="607" spans="1:39" s="20" customFormat="1" ht="15.5" x14ac:dyDescent="0.45">
      <c r="A607" s="1"/>
      <c r="B607" s="1"/>
      <c r="D607" s="13"/>
      <c r="F607" s="28"/>
      <c r="AM607" s="29"/>
    </row>
    <row r="608" spans="1:39" s="20" customFormat="1" ht="15.5" x14ac:dyDescent="0.45">
      <c r="A608" s="1"/>
      <c r="B608" s="1"/>
      <c r="D608" s="13"/>
      <c r="F608" s="28"/>
      <c r="AM608" s="29"/>
    </row>
    <row r="609" spans="1:39" s="20" customFormat="1" ht="15.5" x14ac:dyDescent="0.45">
      <c r="A609" s="1"/>
      <c r="B609" s="1"/>
      <c r="D609" s="13"/>
      <c r="F609" s="28"/>
      <c r="AM609" s="29"/>
    </row>
    <row r="610" spans="1:39" s="20" customFormat="1" ht="15.5" x14ac:dyDescent="0.45">
      <c r="A610" s="1"/>
      <c r="B610" s="1"/>
      <c r="D610" s="13"/>
      <c r="F610" s="28"/>
      <c r="AM610" s="29"/>
    </row>
    <row r="611" spans="1:39" s="20" customFormat="1" ht="15.5" x14ac:dyDescent="0.45">
      <c r="A611" s="1"/>
      <c r="B611" s="1"/>
      <c r="D611" s="13"/>
      <c r="F611" s="28"/>
      <c r="AM611" s="29"/>
    </row>
    <row r="612" spans="1:39" s="20" customFormat="1" ht="15.5" x14ac:dyDescent="0.45">
      <c r="A612" s="1"/>
      <c r="B612" s="1"/>
      <c r="D612" s="13"/>
      <c r="F612" s="28"/>
      <c r="AM612" s="29"/>
    </row>
    <row r="613" spans="1:39" s="20" customFormat="1" ht="15.5" x14ac:dyDescent="0.45">
      <c r="A613" s="1"/>
      <c r="B613" s="1"/>
      <c r="D613" s="13"/>
      <c r="F613" s="28"/>
      <c r="AM613" s="29"/>
    </row>
    <row r="614" spans="1:39" s="20" customFormat="1" ht="15.5" x14ac:dyDescent="0.45">
      <c r="A614" s="1"/>
      <c r="B614" s="1"/>
      <c r="D614" s="13"/>
      <c r="F614" s="28"/>
      <c r="AM614" s="29"/>
    </row>
    <row r="615" spans="1:39" s="20" customFormat="1" ht="15.5" x14ac:dyDescent="0.45">
      <c r="A615" s="1"/>
      <c r="B615" s="1"/>
      <c r="D615" s="13"/>
      <c r="F615" s="28"/>
      <c r="AM615" s="29"/>
    </row>
    <row r="616" spans="1:39" s="20" customFormat="1" ht="15.5" x14ac:dyDescent="0.45">
      <c r="A616" s="1"/>
      <c r="B616" s="1"/>
      <c r="D616" s="13"/>
      <c r="F616" s="28"/>
      <c r="AM616" s="29"/>
    </row>
    <row r="617" spans="1:39" s="20" customFormat="1" ht="15.5" x14ac:dyDescent="0.45">
      <c r="A617" s="1"/>
      <c r="B617" s="1"/>
      <c r="D617" s="13"/>
      <c r="F617" s="28"/>
      <c r="AM617" s="29"/>
    </row>
    <row r="618" spans="1:39" s="20" customFormat="1" ht="15.5" x14ac:dyDescent="0.45">
      <c r="A618" s="1"/>
      <c r="B618" s="1"/>
      <c r="D618" s="13"/>
      <c r="F618" s="28"/>
      <c r="AM618" s="29"/>
    </row>
    <row r="619" spans="1:39" s="20" customFormat="1" ht="15.5" x14ac:dyDescent="0.45">
      <c r="A619" s="1"/>
      <c r="B619" s="1"/>
      <c r="D619" s="13"/>
      <c r="F619" s="28"/>
      <c r="AM619" s="29"/>
    </row>
    <row r="620" spans="1:39" s="20" customFormat="1" ht="15.5" x14ac:dyDescent="0.45">
      <c r="A620" s="1"/>
      <c r="B620" s="1"/>
      <c r="D620" s="13"/>
      <c r="F620" s="28"/>
      <c r="AM620" s="29"/>
    </row>
    <row r="621" spans="1:39" s="20" customFormat="1" ht="15.5" x14ac:dyDescent="0.45">
      <c r="A621" s="1"/>
      <c r="B621" s="1"/>
      <c r="D621" s="13"/>
      <c r="F621" s="28"/>
      <c r="AM621" s="29"/>
    </row>
    <row r="622" spans="1:39" s="20" customFormat="1" ht="15.5" x14ac:dyDescent="0.45">
      <c r="A622" s="1"/>
      <c r="B622" s="1"/>
      <c r="D622" s="13"/>
      <c r="F622" s="28"/>
      <c r="AM622" s="29"/>
    </row>
    <row r="623" spans="1:39" s="20" customFormat="1" ht="15.5" x14ac:dyDescent="0.45">
      <c r="A623" s="1"/>
      <c r="B623" s="1"/>
      <c r="D623" s="13"/>
      <c r="F623" s="28"/>
      <c r="AM623" s="29"/>
    </row>
    <row r="624" spans="1:39" s="20" customFormat="1" ht="15.5" x14ac:dyDescent="0.45">
      <c r="A624" s="1"/>
      <c r="B624" s="1"/>
      <c r="D624" s="13"/>
      <c r="F624" s="28"/>
      <c r="AM624" s="29"/>
    </row>
    <row r="625" spans="1:39" s="20" customFormat="1" ht="15.5" x14ac:dyDescent="0.45">
      <c r="A625" s="1"/>
      <c r="B625" s="1"/>
      <c r="D625" s="13"/>
      <c r="F625" s="28"/>
      <c r="AM625" s="29"/>
    </row>
    <row r="626" spans="1:39" s="20" customFormat="1" ht="15.5" x14ac:dyDescent="0.45">
      <c r="A626" s="1"/>
      <c r="B626" s="1"/>
      <c r="D626" s="13"/>
      <c r="F626" s="28"/>
      <c r="AM626" s="29"/>
    </row>
    <row r="627" spans="1:39" s="20" customFormat="1" ht="15.5" x14ac:dyDescent="0.45">
      <c r="A627" s="1"/>
      <c r="B627" s="1"/>
      <c r="D627" s="13"/>
      <c r="F627" s="28"/>
      <c r="AM627" s="29"/>
    </row>
    <row r="628" spans="1:39" s="20" customFormat="1" ht="15.5" x14ac:dyDescent="0.45">
      <c r="A628" s="1"/>
      <c r="B628" s="1"/>
      <c r="D628" s="13"/>
      <c r="F628" s="28"/>
      <c r="AM628" s="29"/>
    </row>
    <row r="629" spans="1:39" s="20" customFormat="1" ht="15.5" x14ac:dyDescent="0.45">
      <c r="A629" s="1"/>
      <c r="B629" s="1"/>
      <c r="D629" s="13"/>
      <c r="F629" s="28"/>
      <c r="AM629" s="29"/>
    </row>
    <row r="630" spans="1:39" s="20" customFormat="1" ht="15.5" x14ac:dyDescent="0.45">
      <c r="A630" s="1"/>
      <c r="B630" s="1"/>
      <c r="D630" s="13"/>
      <c r="F630" s="28"/>
      <c r="AM630" s="29"/>
    </row>
    <row r="631" spans="1:39" s="20" customFormat="1" ht="15.5" x14ac:dyDescent="0.45">
      <c r="A631" s="1"/>
      <c r="B631" s="1"/>
      <c r="D631" s="13"/>
      <c r="F631" s="28"/>
      <c r="AM631" s="29"/>
    </row>
    <row r="632" spans="1:39" s="20" customFormat="1" ht="15.5" x14ac:dyDescent="0.45">
      <c r="A632" s="1"/>
      <c r="B632" s="1"/>
      <c r="D632" s="13"/>
      <c r="F632" s="28"/>
      <c r="AM632" s="29"/>
    </row>
    <row r="633" spans="1:39" s="20" customFormat="1" ht="15.5" x14ac:dyDescent="0.45">
      <c r="A633" s="1"/>
      <c r="B633" s="1"/>
      <c r="D633" s="13"/>
      <c r="F633" s="28"/>
      <c r="AM633" s="29"/>
    </row>
    <row r="634" spans="1:39" s="20" customFormat="1" ht="15.5" x14ac:dyDescent="0.45">
      <c r="A634" s="1"/>
      <c r="B634" s="1"/>
      <c r="D634" s="13"/>
      <c r="F634" s="28"/>
      <c r="AM634" s="29"/>
    </row>
    <row r="635" spans="1:39" s="20" customFormat="1" ht="15.5" x14ac:dyDescent="0.45">
      <c r="A635" s="1"/>
      <c r="B635" s="1"/>
      <c r="D635" s="13"/>
      <c r="F635" s="28"/>
      <c r="AM635" s="29"/>
    </row>
    <row r="636" spans="1:39" s="20" customFormat="1" ht="15.5" x14ac:dyDescent="0.45">
      <c r="A636" s="1"/>
      <c r="B636" s="1"/>
      <c r="D636" s="13"/>
      <c r="F636" s="28"/>
      <c r="AM636" s="29"/>
    </row>
    <row r="637" spans="1:39" s="20" customFormat="1" ht="15.5" x14ac:dyDescent="0.45">
      <c r="A637" s="1"/>
      <c r="B637" s="1"/>
      <c r="D637" s="13"/>
      <c r="F637" s="28"/>
      <c r="AM637" s="29"/>
    </row>
    <row r="638" spans="1:39" s="20" customFormat="1" ht="15.5" x14ac:dyDescent="0.45">
      <c r="A638" s="1"/>
      <c r="B638" s="1"/>
      <c r="D638" s="13"/>
      <c r="F638" s="28"/>
      <c r="AM638" s="29"/>
    </row>
    <row r="639" spans="1:39" s="20" customFormat="1" ht="15.5" x14ac:dyDescent="0.45">
      <c r="A639" s="1"/>
      <c r="B639" s="1"/>
      <c r="D639" s="13"/>
      <c r="F639" s="28"/>
      <c r="AM639" s="29"/>
    </row>
    <row r="640" spans="1:39" s="20" customFormat="1" ht="15.5" x14ac:dyDescent="0.45">
      <c r="A640" s="1"/>
      <c r="B640" s="1"/>
      <c r="D640" s="13"/>
      <c r="F640" s="28"/>
      <c r="AM640" s="29"/>
    </row>
    <row r="641" spans="1:39" s="20" customFormat="1" ht="15.5" x14ac:dyDescent="0.45">
      <c r="A641" s="1"/>
      <c r="B641" s="1"/>
      <c r="D641" s="13"/>
      <c r="F641" s="28"/>
      <c r="AM641" s="29"/>
    </row>
    <row r="642" spans="1:39" s="20" customFormat="1" ht="15.5" x14ac:dyDescent="0.45">
      <c r="A642" s="1"/>
      <c r="B642" s="1"/>
      <c r="D642" s="13"/>
      <c r="F642" s="28"/>
      <c r="AM642" s="29"/>
    </row>
    <row r="643" spans="1:39" s="20" customFormat="1" ht="15.5" x14ac:dyDescent="0.45">
      <c r="A643" s="1"/>
      <c r="B643" s="1"/>
      <c r="D643" s="13"/>
      <c r="F643" s="28"/>
      <c r="AM643" s="29"/>
    </row>
    <row r="644" spans="1:39" s="20" customFormat="1" ht="15.5" x14ac:dyDescent="0.45">
      <c r="A644" s="1"/>
      <c r="B644" s="1"/>
      <c r="D644" s="13"/>
      <c r="F644" s="28"/>
      <c r="AM644" s="29"/>
    </row>
    <row r="645" spans="1:39" s="20" customFormat="1" ht="15.5" x14ac:dyDescent="0.45">
      <c r="A645" s="1"/>
      <c r="B645" s="1"/>
      <c r="D645" s="13"/>
      <c r="F645" s="28"/>
      <c r="AM645" s="29"/>
    </row>
    <row r="646" spans="1:39" s="20" customFormat="1" ht="15.5" x14ac:dyDescent="0.45">
      <c r="A646" s="1"/>
      <c r="B646" s="1"/>
      <c r="D646" s="13"/>
      <c r="F646" s="28"/>
      <c r="AM646" s="29"/>
    </row>
    <row r="647" spans="1:39" s="20" customFormat="1" ht="15.5" x14ac:dyDescent="0.45">
      <c r="A647" s="1"/>
      <c r="B647" s="1"/>
      <c r="D647" s="13"/>
      <c r="F647" s="28"/>
      <c r="AM647" s="29"/>
    </row>
    <row r="648" spans="1:39" s="20" customFormat="1" ht="15.5" x14ac:dyDescent="0.45">
      <c r="A648" s="1"/>
      <c r="B648" s="1"/>
      <c r="D648" s="13"/>
      <c r="F648" s="28"/>
      <c r="AM648" s="29"/>
    </row>
    <row r="649" spans="1:39" s="20" customFormat="1" ht="15.5" x14ac:dyDescent="0.45">
      <c r="A649" s="1"/>
      <c r="B649" s="1"/>
      <c r="D649" s="13"/>
      <c r="F649" s="28"/>
      <c r="AM649" s="29"/>
    </row>
    <row r="650" spans="1:39" s="20" customFormat="1" ht="15.5" x14ac:dyDescent="0.45">
      <c r="A650" s="1"/>
      <c r="B650" s="1"/>
      <c r="D650" s="13"/>
      <c r="F650" s="28"/>
      <c r="AM650" s="29"/>
    </row>
    <row r="651" spans="1:39" s="20" customFormat="1" ht="15.5" x14ac:dyDescent="0.45">
      <c r="A651" s="1"/>
      <c r="B651" s="1"/>
      <c r="D651" s="13"/>
      <c r="F651" s="28"/>
      <c r="AM651" s="29"/>
    </row>
    <row r="652" spans="1:39" s="20" customFormat="1" ht="15.5" x14ac:dyDescent="0.45">
      <c r="A652" s="1"/>
      <c r="B652" s="1"/>
      <c r="D652" s="13"/>
      <c r="F652" s="28"/>
      <c r="AM652" s="29"/>
    </row>
    <row r="653" spans="1:39" s="20" customFormat="1" ht="15.5" x14ac:dyDescent="0.45">
      <c r="A653" s="1"/>
      <c r="B653" s="1"/>
      <c r="D653" s="13"/>
      <c r="F653" s="28"/>
      <c r="AM653" s="29"/>
    </row>
    <row r="654" spans="1:39" s="20" customFormat="1" ht="15.5" x14ac:dyDescent="0.45">
      <c r="A654" s="1"/>
      <c r="B654" s="1"/>
      <c r="D654" s="13"/>
      <c r="F654" s="28"/>
      <c r="AM654" s="29"/>
    </row>
    <row r="655" spans="1:39" s="20" customFormat="1" ht="15.5" x14ac:dyDescent="0.45">
      <c r="A655" s="1"/>
      <c r="B655" s="1"/>
      <c r="D655" s="13"/>
      <c r="F655" s="28"/>
      <c r="AM655" s="29"/>
    </row>
    <row r="656" spans="1:39" s="20" customFormat="1" ht="15.5" x14ac:dyDescent="0.45">
      <c r="A656" s="1"/>
      <c r="B656" s="1"/>
      <c r="D656" s="13"/>
      <c r="F656" s="28"/>
      <c r="AM656" s="29"/>
    </row>
    <row r="657" spans="1:39" s="20" customFormat="1" ht="15.5" x14ac:dyDescent="0.45">
      <c r="A657" s="1"/>
      <c r="B657" s="1"/>
      <c r="D657" s="13"/>
      <c r="F657" s="28"/>
      <c r="AM657" s="29"/>
    </row>
    <row r="658" spans="1:39" s="20" customFormat="1" ht="15.5" x14ac:dyDescent="0.45">
      <c r="A658" s="1"/>
      <c r="B658" s="1"/>
      <c r="D658" s="13"/>
      <c r="F658" s="28"/>
      <c r="AM658" s="29"/>
    </row>
    <row r="659" spans="1:39" s="20" customFormat="1" ht="15.5" x14ac:dyDescent="0.45">
      <c r="A659" s="1"/>
      <c r="B659" s="1"/>
      <c r="D659" s="13"/>
      <c r="F659" s="28"/>
      <c r="AM659" s="29"/>
    </row>
    <row r="660" spans="1:39" s="20" customFormat="1" ht="15.5" x14ac:dyDescent="0.45">
      <c r="A660" s="1"/>
      <c r="B660" s="1"/>
      <c r="D660" s="13"/>
      <c r="F660" s="28"/>
      <c r="AM660" s="29"/>
    </row>
    <row r="661" spans="1:39" s="20" customFormat="1" ht="15.5" x14ac:dyDescent="0.45">
      <c r="A661" s="1"/>
      <c r="B661" s="1"/>
      <c r="D661" s="13"/>
      <c r="F661" s="28"/>
      <c r="AM661" s="29"/>
    </row>
    <row r="662" spans="1:39" s="20" customFormat="1" ht="15.5" x14ac:dyDescent="0.45">
      <c r="A662" s="1"/>
      <c r="B662" s="1"/>
      <c r="D662" s="13"/>
      <c r="F662" s="28"/>
      <c r="AM662" s="29"/>
    </row>
    <row r="663" spans="1:39" s="20" customFormat="1" ht="15.5" x14ac:dyDescent="0.45">
      <c r="A663" s="1"/>
      <c r="B663" s="1"/>
      <c r="D663" s="13"/>
      <c r="F663" s="28"/>
      <c r="AM663" s="29"/>
    </row>
    <row r="664" spans="1:39" s="20" customFormat="1" ht="15.5" x14ac:dyDescent="0.45">
      <c r="A664" s="1"/>
      <c r="B664" s="1"/>
      <c r="D664" s="13"/>
      <c r="F664" s="28"/>
      <c r="AM664" s="29"/>
    </row>
    <row r="665" spans="1:39" s="20" customFormat="1" ht="15.5" x14ac:dyDescent="0.45">
      <c r="A665" s="1"/>
      <c r="B665" s="1"/>
      <c r="D665" s="13"/>
      <c r="F665" s="28"/>
      <c r="AM665" s="29"/>
    </row>
    <row r="666" spans="1:39" s="20" customFormat="1" ht="15.5" x14ac:dyDescent="0.45">
      <c r="A666" s="1"/>
      <c r="B666" s="1"/>
      <c r="D666" s="13"/>
      <c r="F666" s="28"/>
      <c r="AM666" s="29"/>
    </row>
    <row r="667" spans="1:39" s="20" customFormat="1" ht="15.5" x14ac:dyDescent="0.45">
      <c r="A667" s="1"/>
      <c r="B667" s="1"/>
      <c r="D667" s="13"/>
      <c r="F667" s="28"/>
      <c r="AM667" s="29"/>
    </row>
    <row r="668" spans="1:39" s="20" customFormat="1" ht="15.5" x14ac:dyDescent="0.45">
      <c r="A668" s="1"/>
      <c r="B668" s="1"/>
      <c r="D668" s="13"/>
      <c r="F668" s="28"/>
      <c r="AM668" s="29"/>
    </row>
    <row r="669" spans="1:39" s="20" customFormat="1" ht="15.5" x14ac:dyDescent="0.45">
      <c r="A669" s="1"/>
      <c r="B669" s="1"/>
      <c r="D669" s="13"/>
      <c r="F669" s="28"/>
      <c r="AM669" s="29"/>
    </row>
    <row r="670" spans="1:39" s="20" customFormat="1" ht="15.5" x14ac:dyDescent="0.45">
      <c r="A670" s="1"/>
      <c r="B670" s="1"/>
      <c r="D670" s="13"/>
      <c r="F670" s="28"/>
      <c r="AM670" s="29"/>
    </row>
    <row r="671" spans="1:39" s="20" customFormat="1" ht="15.5" x14ac:dyDescent="0.45">
      <c r="A671" s="1"/>
      <c r="B671" s="1"/>
      <c r="D671" s="13"/>
      <c r="F671" s="28"/>
      <c r="AM671" s="29"/>
    </row>
    <row r="672" spans="1:39" s="20" customFormat="1" ht="15.5" x14ac:dyDescent="0.45">
      <c r="A672" s="1"/>
      <c r="B672" s="1"/>
      <c r="D672" s="13"/>
      <c r="F672" s="28"/>
      <c r="AM672" s="29"/>
    </row>
    <row r="673" spans="1:39" s="20" customFormat="1" ht="15.5" x14ac:dyDescent="0.45">
      <c r="A673" s="1"/>
      <c r="B673" s="1"/>
      <c r="D673" s="13"/>
      <c r="F673" s="28"/>
      <c r="AM673" s="29"/>
    </row>
    <row r="674" spans="1:39" s="20" customFormat="1" ht="15.5" x14ac:dyDescent="0.45">
      <c r="A674" s="1"/>
      <c r="B674" s="1"/>
      <c r="D674" s="13"/>
      <c r="F674" s="28"/>
      <c r="AM674" s="29"/>
    </row>
    <row r="675" spans="1:39" s="20" customFormat="1" ht="15.5" x14ac:dyDescent="0.45">
      <c r="A675" s="1"/>
      <c r="B675" s="1"/>
      <c r="D675" s="13"/>
      <c r="F675" s="28"/>
      <c r="AM675" s="29"/>
    </row>
    <row r="676" spans="1:39" s="20" customFormat="1" ht="15.5" x14ac:dyDescent="0.45">
      <c r="A676" s="1"/>
      <c r="B676" s="1"/>
      <c r="D676" s="13"/>
      <c r="F676" s="28"/>
      <c r="AM676" s="29"/>
    </row>
    <row r="677" spans="1:39" s="20" customFormat="1" ht="15.5" x14ac:dyDescent="0.45">
      <c r="A677" s="1"/>
      <c r="B677" s="1"/>
      <c r="D677" s="13"/>
      <c r="F677" s="28"/>
      <c r="AM677" s="29"/>
    </row>
    <row r="678" spans="1:39" s="20" customFormat="1" ht="15.5" x14ac:dyDescent="0.45">
      <c r="A678" s="1"/>
      <c r="B678" s="1"/>
      <c r="D678" s="13"/>
      <c r="F678" s="28"/>
      <c r="AM678" s="29"/>
    </row>
    <row r="679" spans="1:39" s="20" customFormat="1" ht="15.5" x14ac:dyDescent="0.45">
      <c r="A679" s="1"/>
      <c r="B679" s="1"/>
      <c r="D679" s="13"/>
      <c r="F679" s="28"/>
      <c r="AM679" s="29"/>
    </row>
    <row r="680" spans="1:39" s="20" customFormat="1" ht="15.5" x14ac:dyDescent="0.45">
      <c r="A680" s="1"/>
      <c r="B680" s="1"/>
      <c r="D680" s="13"/>
      <c r="F680" s="28"/>
      <c r="AM680" s="29"/>
    </row>
    <row r="681" spans="1:39" s="20" customFormat="1" ht="15.5" x14ac:dyDescent="0.45">
      <c r="A681" s="1"/>
      <c r="B681" s="1"/>
      <c r="D681" s="13"/>
      <c r="F681" s="28"/>
      <c r="AM681" s="29"/>
    </row>
    <row r="682" spans="1:39" s="20" customFormat="1" ht="15.5" x14ac:dyDescent="0.45">
      <c r="A682" s="1"/>
      <c r="B682" s="1"/>
      <c r="D682" s="13"/>
      <c r="F682" s="28"/>
      <c r="AM682" s="29"/>
    </row>
    <row r="683" spans="1:39" s="20" customFormat="1" ht="15.5" x14ac:dyDescent="0.45">
      <c r="A683" s="1"/>
      <c r="B683" s="1"/>
      <c r="D683" s="13"/>
      <c r="F683" s="28"/>
      <c r="AM683" s="29"/>
    </row>
    <row r="684" spans="1:39" s="20" customFormat="1" ht="15.5" x14ac:dyDescent="0.45">
      <c r="A684" s="1"/>
      <c r="B684" s="1"/>
      <c r="D684" s="13"/>
      <c r="F684" s="28"/>
      <c r="AM684" s="29"/>
    </row>
    <row r="685" spans="1:39" s="20" customFormat="1" ht="15.5" x14ac:dyDescent="0.45">
      <c r="A685" s="1"/>
      <c r="B685" s="1"/>
      <c r="D685" s="13"/>
      <c r="F685" s="28"/>
      <c r="AM685" s="29"/>
    </row>
    <row r="686" spans="1:39" s="20" customFormat="1" ht="15.5" x14ac:dyDescent="0.45">
      <c r="A686" s="1"/>
      <c r="B686" s="1"/>
      <c r="D686" s="13"/>
      <c r="F686" s="28"/>
      <c r="AM686" s="29"/>
    </row>
    <row r="687" spans="1:39" s="20" customFormat="1" ht="15.5" x14ac:dyDescent="0.45">
      <c r="A687" s="1"/>
      <c r="B687" s="1"/>
      <c r="D687" s="13"/>
      <c r="F687" s="28"/>
      <c r="AM687" s="29"/>
    </row>
    <row r="688" spans="1:39" s="20" customFormat="1" ht="15.5" x14ac:dyDescent="0.45">
      <c r="A688" s="1"/>
      <c r="B688" s="1"/>
      <c r="D688" s="13"/>
      <c r="F688" s="28"/>
      <c r="AM688" s="29"/>
    </row>
    <row r="689" spans="1:39" s="20" customFormat="1" ht="15.5" x14ac:dyDescent="0.45">
      <c r="A689" s="1"/>
      <c r="B689" s="1"/>
      <c r="D689" s="13"/>
      <c r="F689" s="28"/>
      <c r="AM689" s="29"/>
    </row>
    <row r="690" spans="1:39" s="20" customFormat="1" ht="15.5" x14ac:dyDescent="0.45">
      <c r="A690" s="1"/>
      <c r="B690" s="1"/>
      <c r="D690" s="13"/>
      <c r="F690" s="28"/>
      <c r="AM690" s="29"/>
    </row>
    <row r="691" spans="1:39" s="20" customFormat="1" ht="15.5" x14ac:dyDescent="0.45">
      <c r="A691" s="1"/>
      <c r="B691" s="1"/>
      <c r="D691" s="13"/>
      <c r="F691" s="28"/>
      <c r="AM691" s="29"/>
    </row>
    <row r="692" spans="1:39" s="20" customFormat="1" ht="15.5" x14ac:dyDescent="0.45">
      <c r="A692" s="1"/>
      <c r="B692" s="1"/>
      <c r="D692" s="13"/>
      <c r="F692" s="28"/>
      <c r="AM692" s="29"/>
    </row>
    <row r="693" spans="1:39" s="20" customFormat="1" ht="15.5" x14ac:dyDescent="0.45">
      <c r="A693" s="1"/>
      <c r="B693" s="1"/>
      <c r="D693" s="13"/>
      <c r="F693" s="28"/>
      <c r="AM693" s="29"/>
    </row>
    <row r="694" spans="1:39" s="20" customFormat="1" ht="15.5" x14ac:dyDescent="0.45">
      <c r="A694" s="1"/>
      <c r="B694" s="1"/>
      <c r="D694" s="13"/>
      <c r="F694" s="28"/>
      <c r="AM694" s="29"/>
    </row>
    <row r="695" spans="1:39" s="20" customFormat="1" ht="15.5" x14ac:dyDescent="0.45">
      <c r="A695" s="1"/>
      <c r="B695" s="1"/>
      <c r="D695" s="13"/>
      <c r="F695" s="28"/>
      <c r="AM695" s="29"/>
    </row>
    <row r="696" spans="1:39" s="20" customFormat="1" ht="15.5" x14ac:dyDescent="0.45">
      <c r="A696" s="1"/>
      <c r="B696" s="1"/>
      <c r="D696" s="13"/>
      <c r="F696" s="28"/>
      <c r="AM696" s="29"/>
    </row>
    <row r="697" spans="1:39" s="20" customFormat="1" ht="15.5" x14ac:dyDescent="0.45">
      <c r="A697" s="1"/>
      <c r="B697" s="1"/>
      <c r="D697" s="13"/>
      <c r="F697" s="28"/>
      <c r="AM697" s="29"/>
    </row>
    <row r="698" spans="1:39" s="20" customFormat="1" ht="15.5" x14ac:dyDescent="0.45">
      <c r="A698" s="1"/>
      <c r="B698" s="1"/>
      <c r="D698" s="13"/>
      <c r="F698" s="28"/>
      <c r="AM698" s="29"/>
    </row>
    <row r="699" spans="1:39" s="20" customFormat="1" ht="15.5" x14ac:dyDescent="0.45">
      <c r="A699" s="1"/>
      <c r="B699" s="1"/>
      <c r="D699" s="13"/>
      <c r="F699" s="28"/>
      <c r="AM699" s="29"/>
    </row>
    <row r="700" spans="1:39" s="20" customFormat="1" ht="15.5" x14ac:dyDescent="0.45">
      <c r="A700" s="1"/>
      <c r="B700" s="1"/>
      <c r="D700" s="13"/>
      <c r="F700" s="28"/>
      <c r="AM700" s="29"/>
    </row>
    <row r="701" spans="1:39" s="20" customFormat="1" ht="15.5" x14ac:dyDescent="0.45">
      <c r="A701" s="1"/>
      <c r="B701" s="1"/>
      <c r="D701" s="13"/>
      <c r="F701" s="28"/>
      <c r="AM701" s="29"/>
    </row>
    <row r="702" spans="1:39" s="20" customFormat="1" ht="15.5" x14ac:dyDescent="0.45">
      <c r="A702" s="1"/>
      <c r="B702" s="1"/>
      <c r="D702" s="13"/>
      <c r="F702" s="28"/>
      <c r="AM702" s="29"/>
    </row>
    <row r="703" spans="1:39" s="20" customFormat="1" ht="15.5" x14ac:dyDescent="0.45">
      <c r="A703" s="1"/>
      <c r="B703" s="1"/>
      <c r="D703" s="13"/>
      <c r="F703" s="28"/>
      <c r="AM703" s="29"/>
    </row>
    <row r="704" spans="1:39" s="20" customFormat="1" ht="15.5" x14ac:dyDescent="0.45">
      <c r="A704" s="1"/>
      <c r="B704" s="1"/>
      <c r="D704" s="13"/>
      <c r="F704" s="28"/>
      <c r="AM704" s="29"/>
    </row>
    <row r="705" spans="1:39" s="20" customFormat="1" ht="15.5" x14ac:dyDescent="0.45">
      <c r="A705" s="1"/>
      <c r="B705" s="1"/>
      <c r="D705" s="13"/>
      <c r="F705" s="28"/>
      <c r="AM705" s="29"/>
    </row>
    <row r="706" spans="1:39" s="20" customFormat="1" ht="15.5" x14ac:dyDescent="0.45">
      <c r="A706" s="1"/>
      <c r="B706" s="1"/>
      <c r="D706" s="13"/>
      <c r="F706" s="28"/>
      <c r="AM706" s="29"/>
    </row>
    <row r="707" spans="1:39" s="20" customFormat="1" ht="15.5" x14ac:dyDescent="0.45">
      <c r="A707" s="1"/>
      <c r="B707" s="1"/>
      <c r="D707" s="13"/>
      <c r="F707" s="28"/>
      <c r="AM707" s="29"/>
    </row>
    <row r="708" spans="1:39" s="20" customFormat="1" ht="15.5" x14ac:dyDescent="0.45">
      <c r="A708" s="1"/>
      <c r="B708" s="1"/>
      <c r="D708" s="13"/>
      <c r="F708" s="28"/>
      <c r="AM708" s="29"/>
    </row>
    <row r="709" spans="1:39" s="20" customFormat="1" ht="15.5" x14ac:dyDescent="0.45">
      <c r="A709" s="1"/>
      <c r="B709" s="1"/>
      <c r="D709" s="13"/>
      <c r="F709" s="28"/>
      <c r="AM709" s="29"/>
    </row>
    <row r="710" spans="1:39" s="20" customFormat="1" ht="15.5" x14ac:dyDescent="0.45">
      <c r="A710" s="1"/>
      <c r="B710" s="1"/>
      <c r="D710" s="13"/>
      <c r="F710" s="28"/>
      <c r="AM710" s="29"/>
    </row>
    <row r="711" spans="1:39" s="20" customFormat="1" ht="15.5" x14ac:dyDescent="0.45">
      <c r="A711" s="1"/>
      <c r="B711" s="1"/>
      <c r="D711" s="13"/>
      <c r="F711" s="28"/>
      <c r="AM711" s="29"/>
    </row>
    <row r="712" spans="1:39" s="20" customFormat="1" ht="15.5" x14ac:dyDescent="0.45">
      <c r="A712" s="1"/>
      <c r="B712" s="1"/>
      <c r="D712" s="13"/>
      <c r="F712" s="28"/>
      <c r="AM712" s="29"/>
    </row>
    <row r="713" spans="1:39" s="20" customFormat="1" ht="15.5" x14ac:dyDescent="0.45">
      <c r="A713" s="1"/>
      <c r="B713" s="1"/>
      <c r="D713" s="13"/>
      <c r="F713" s="28"/>
      <c r="AM713" s="29"/>
    </row>
    <row r="714" spans="1:39" s="20" customFormat="1" ht="15.5" x14ac:dyDescent="0.45">
      <c r="A714" s="1"/>
      <c r="B714" s="1"/>
      <c r="D714" s="13"/>
      <c r="F714" s="28"/>
      <c r="AM714" s="29"/>
    </row>
    <row r="715" spans="1:39" s="20" customFormat="1" ht="15.5" x14ac:dyDescent="0.45">
      <c r="A715" s="1"/>
      <c r="B715" s="1"/>
      <c r="D715" s="13"/>
      <c r="F715" s="28"/>
      <c r="AM715" s="29"/>
    </row>
    <row r="716" spans="1:39" s="20" customFormat="1" ht="15.5" x14ac:dyDescent="0.45">
      <c r="A716" s="1"/>
      <c r="B716" s="1"/>
      <c r="D716" s="13"/>
      <c r="F716" s="28"/>
      <c r="AM716" s="29"/>
    </row>
    <row r="717" spans="1:39" s="20" customFormat="1" ht="15.5" x14ac:dyDescent="0.45">
      <c r="A717" s="1"/>
      <c r="B717" s="1"/>
      <c r="D717" s="13"/>
      <c r="F717" s="28"/>
      <c r="AM717" s="29"/>
    </row>
    <row r="718" spans="1:39" s="20" customFormat="1" ht="15.5" x14ac:dyDescent="0.45">
      <c r="A718" s="1"/>
      <c r="B718" s="1"/>
      <c r="D718" s="13"/>
      <c r="F718" s="28"/>
      <c r="AM718" s="29"/>
    </row>
    <row r="719" spans="1:39" s="20" customFormat="1" ht="15.5" x14ac:dyDescent="0.45">
      <c r="A719" s="1"/>
      <c r="B719" s="1"/>
      <c r="D719" s="13"/>
      <c r="F719" s="28"/>
      <c r="AM719" s="29"/>
    </row>
    <row r="720" spans="1:39" s="20" customFormat="1" ht="15.5" x14ac:dyDescent="0.45">
      <c r="A720" s="1"/>
      <c r="B720" s="1"/>
      <c r="D720" s="13"/>
      <c r="F720" s="28"/>
      <c r="AM720" s="29"/>
    </row>
    <row r="721" spans="1:39" s="20" customFormat="1" ht="15.5" x14ac:dyDescent="0.45">
      <c r="A721" s="1"/>
      <c r="B721" s="1"/>
      <c r="D721" s="13"/>
      <c r="F721" s="28"/>
      <c r="AM721" s="29"/>
    </row>
    <row r="722" spans="1:39" s="20" customFormat="1" ht="15.5" x14ac:dyDescent="0.45">
      <c r="A722" s="1"/>
      <c r="B722" s="1"/>
      <c r="D722" s="13"/>
      <c r="F722" s="28"/>
      <c r="AM722" s="29"/>
    </row>
    <row r="723" spans="1:39" s="20" customFormat="1" ht="15.5" x14ac:dyDescent="0.45">
      <c r="A723" s="1"/>
      <c r="B723" s="1"/>
      <c r="D723" s="13"/>
      <c r="F723" s="28"/>
      <c r="AM723" s="29"/>
    </row>
    <row r="724" spans="1:39" s="20" customFormat="1" ht="15.5" x14ac:dyDescent="0.45">
      <c r="A724" s="1"/>
      <c r="B724" s="1"/>
      <c r="D724" s="13"/>
      <c r="F724" s="28"/>
      <c r="AM724" s="29"/>
    </row>
    <row r="725" spans="1:39" s="20" customFormat="1" ht="15.5" x14ac:dyDescent="0.45">
      <c r="A725" s="1"/>
      <c r="B725" s="1"/>
      <c r="D725" s="13"/>
      <c r="F725" s="28"/>
      <c r="AM725" s="29"/>
    </row>
    <row r="726" spans="1:39" s="20" customFormat="1" ht="15.5" x14ac:dyDescent="0.45">
      <c r="A726" s="1"/>
      <c r="B726" s="1"/>
      <c r="D726" s="13"/>
      <c r="F726" s="28"/>
      <c r="AM726" s="29"/>
    </row>
    <row r="727" spans="1:39" s="20" customFormat="1" ht="15.5" x14ac:dyDescent="0.45">
      <c r="A727" s="1"/>
      <c r="B727" s="1"/>
      <c r="D727" s="13"/>
      <c r="F727" s="28"/>
      <c r="AM727" s="29"/>
    </row>
    <row r="728" spans="1:39" s="20" customFormat="1" ht="15.5" x14ac:dyDescent="0.45">
      <c r="A728" s="1"/>
      <c r="B728" s="1"/>
      <c r="D728" s="13"/>
      <c r="F728" s="28"/>
      <c r="AM728" s="29"/>
    </row>
    <row r="729" spans="1:39" s="20" customFormat="1" ht="15.5" x14ac:dyDescent="0.45">
      <c r="A729" s="1"/>
      <c r="B729" s="1"/>
      <c r="D729" s="13"/>
      <c r="F729" s="28"/>
      <c r="AM729" s="29"/>
    </row>
    <row r="730" spans="1:39" s="20" customFormat="1" ht="15.5" x14ac:dyDescent="0.45">
      <c r="A730" s="1"/>
      <c r="B730" s="1"/>
      <c r="D730" s="13"/>
      <c r="F730" s="28"/>
      <c r="AM730" s="29"/>
    </row>
    <row r="731" spans="1:39" s="20" customFormat="1" ht="15.5" x14ac:dyDescent="0.45">
      <c r="A731" s="1"/>
      <c r="B731" s="1"/>
      <c r="D731" s="13"/>
      <c r="F731" s="28"/>
      <c r="AM731" s="29"/>
    </row>
    <row r="732" spans="1:39" s="20" customFormat="1" ht="15.5" x14ac:dyDescent="0.45">
      <c r="A732" s="1"/>
      <c r="B732" s="1"/>
      <c r="D732" s="13"/>
      <c r="F732" s="28"/>
      <c r="AM732" s="29"/>
    </row>
    <row r="733" spans="1:39" s="20" customFormat="1" ht="15.5" x14ac:dyDescent="0.45">
      <c r="A733" s="1"/>
      <c r="B733" s="1"/>
      <c r="D733" s="13"/>
      <c r="F733" s="28"/>
      <c r="AM733" s="29"/>
    </row>
    <row r="734" spans="1:39" s="20" customFormat="1" ht="15.5" x14ac:dyDescent="0.45">
      <c r="A734" s="1"/>
      <c r="B734" s="1"/>
      <c r="D734" s="13"/>
      <c r="F734" s="28"/>
      <c r="AM734" s="29"/>
    </row>
    <row r="735" spans="1:39" s="20" customFormat="1" ht="15.5" x14ac:dyDescent="0.45">
      <c r="A735" s="1"/>
      <c r="B735" s="1"/>
      <c r="D735" s="13"/>
      <c r="F735" s="28"/>
      <c r="AM735" s="29"/>
    </row>
    <row r="736" spans="1:39" s="20" customFormat="1" ht="15.5" x14ac:dyDescent="0.45">
      <c r="A736" s="1"/>
      <c r="B736" s="1"/>
      <c r="D736" s="13"/>
      <c r="F736" s="28"/>
      <c r="AM736" s="29"/>
    </row>
    <row r="737" spans="1:39" s="20" customFormat="1" ht="15.5" x14ac:dyDescent="0.45">
      <c r="A737" s="1"/>
      <c r="B737" s="1"/>
      <c r="D737" s="13"/>
      <c r="F737" s="28"/>
      <c r="AM737" s="29"/>
    </row>
    <row r="738" spans="1:39" s="20" customFormat="1" ht="15.5" x14ac:dyDescent="0.45">
      <c r="A738" s="1"/>
      <c r="B738" s="1"/>
      <c r="D738" s="13"/>
      <c r="F738" s="28"/>
      <c r="AM738" s="29"/>
    </row>
    <row r="739" spans="1:39" s="20" customFormat="1" ht="15.5" x14ac:dyDescent="0.45">
      <c r="A739" s="1"/>
      <c r="B739" s="1"/>
      <c r="D739" s="13"/>
      <c r="F739" s="28"/>
      <c r="AM739" s="29"/>
    </row>
    <row r="740" spans="1:39" s="20" customFormat="1" ht="15.5" x14ac:dyDescent="0.45">
      <c r="A740" s="1"/>
      <c r="B740" s="1"/>
      <c r="D740" s="13"/>
      <c r="F740" s="28"/>
      <c r="AM740" s="29"/>
    </row>
    <row r="741" spans="1:39" s="20" customFormat="1" ht="15.5" x14ac:dyDescent="0.45">
      <c r="A741" s="1"/>
      <c r="B741" s="1"/>
      <c r="D741" s="13"/>
      <c r="F741" s="28"/>
      <c r="AM741" s="29"/>
    </row>
    <row r="742" spans="1:39" s="20" customFormat="1" ht="15.5" x14ac:dyDescent="0.45">
      <c r="A742" s="1"/>
      <c r="B742" s="1"/>
      <c r="D742" s="13"/>
      <c r="F742" s="28"/>
      <c r="AM742" s="29"/>
    </row>
    <row r="743" spans="1:39" s="20" customFormat="1" ht="15.5" x14ac:dyDescent="0.45">
      <c r="A743" s="1"/>
      <c r="B743" s="1"/>
      <c r="D743" s="13"/>
      <c r="F743" s="28"/>
      <c r="AM743" s="29"/>
    </row>
    <row r="744" spans="1:39" s="20" customFormat="1" ht="15.5" x14ac:dyDescent="0.45">
      <c r="A744" s="1"/>
      <c r="B744" s="1"/>
      <c r="D744" s="13"/>
      <c r="F744" s="28"/>
      <c r="AM744" s="29"/>
    </row>
    <row r="745" spans="1:39" s="20" customFormat="1" ht="15.5" x14ac:dyDescent="0.45">
      <c r="A745" s="1"/>
      <c r="B745" s="1"/>
      <c r="D745" s="13"/>
      <c r="F745" s="28"/>
      <c r="AM745" s="29"/>
    </row>
    <row r="746" spans="1:39" s="20" customFormat="1" ht="15.5" x14ac:dyDescent="0.45">
      <c r="A746" s="1"/>
      <c r="B746" s="1"/>
      <c r="D746" s="13"/>
      <c r="F746" s="28"/>
      <c r="AM746" s="29"/>
    </row>
    <row r="747" spans="1:39" s="20" customFormat="1" ht="15.5" x14ac:dyDescent="0.45">
      <c r="A747" s="1"/>
      <c r="B747" s="1"/>
      <c r="D747" s="13"/>
      <c r="F747" s="28"/>
      <c r="AM747" s="29"/>
    </row>
    <row r="748" spans="1:39" s="20" customFormat="1" ht="15.5" x14ac:dyDescent="0.45">
      <c r="A748" s="1"/>
      <c r="B748" s="1"/>
      <c r="D748" s="13"/>
      <c r="F748" s="28"/>
      <c r="AM748" s="29"/>
    </row>
    <row r="749" spans="1:39" s="20" customFormat="1" ht="15.5" x14ac:dyDescent="0.45">
      <c r="A749" s="1"/>
      <c r="B749" s="1"/>
      <c r="D749" s="13"/>
      <c r="F749" s="28"/>
      <c r="AM749" s="29"/>
    </row>
    <row r="750" spans="1:39" s="20" customFormat="1" ht="15.5" x14ac:dyDescent="0.45">
      <c r="A750" s="1"/>
      <c r="B750" s="1"/>
      <c r="D750" s="13"/>
      <c r="F750" s="28"/>
      <c r="AM750" s="29"/>
    </row>
    <row r="751" spans="1:39" s="20" customFormat="1" ht="15.5" x14ac:dyDescent="0.45">
      <c r="A751" s="1"/>
      <c r="B751" s="1"/>
      <c r="D751" s="13"/>
      <c r="F751" s="28"/>
      <c r="AM751" s="29"/>
    </row>
    <row r="752" spans="1:39" s="20" customFormat="1" ht="15.5" x14ac:dyDescent="0.45">
      <c r="A752" s="1"/>
      <c r="B752" s="1"/>
      <c r="D752" s="13"/>
      <c r="F752" s="28"/>
      <c r="AM752" s="29"/>
    </row>
    <row r="753" spans="1:39" s="20" customFormat="1" ht="15.5" x14ac:dyDescent="0.45">
      <c r="A753" s="1"/>
      <c r="B753" s="1"/>
      <c r="D753" s="13"/>
      <c r="F753" s="28"/>
      <c r="AM753" s="29"/>
    </row>
    <row r="754" spans="1:39" s="20" customFormat="1" ht="15.5" x14ac:dyDescent="0.45">
      <c r="A754" s="1"/>
      <c r="B754" s="1"/>
      <c r="D754" s="13"/>
      <c r="F754" s="28"/>
      <c r="AM754" s="29"/>
    </row>
    <row r="755" spans="1:39" s="20" customFormat="1" ht="15.5" x14ac:dyDescent="0.45">
      <c r="A755" s="1"/>
      <c r="B755" s="1"/>
      <c r="D755" s="13"/>
      <c r="F755" s="28"/>
      <c r="AM755" s="29"/>
    </row>
    <row r="756" spans="1:39" s="20" customFormat="1" ht="15.5" x14ac:dyDescent="0.45">
      <c r="A756" s="1"/>
      <c r="B756" s="1"/>
      <c r="D756" s="13"/>
      <c r="F756" s="28"/>
      <c r="AM756" s="29"/>
    </row>
    <row r="757" spans="1:39" s="20" customFormat="1" ht="15.5" x14ac:dyDescent="0.45">
      <c r="A757" s="1"/>
      <c r="B757" s="1"/>
      <c r="D757" s="13"/>
      <c r="F757" s="28"/>
      <c r="AM757" s="29"/>
    </row>
    <row r="758" spans="1:39" s="20" customFormat="1" ht="15.5" x14ac:dyDescent="0.45">
      <c r="A758" s="1"/>
      <c r="B758" s="1"/>
      <c r="D758" s="13"/>
      <c r="F758" s="28"/>
      <c r="AM758" s="29"/>
    </row>
    <row r="759" spans="1:39" s="20" customFormat="1" ht="15.5" x14ac:dyDescent="0.45">
      <c r="A759" s="1"/>
      <c r="B759" s="1"/>
      <c r="D759" s="13"/>
      <c r="F759" s="28"/>
      <c r="AM759" s="29"/>
    </row>
    <row r="760" spans="1:39" s="20" customFormat="1" ht="15.5" x14ac:dyDescent="0.45">
      <c r="A760" s="1"/>
      <c r="B760" s="1"/>
      <c r="D760" s="13"/>
      <c r="F760" s="28"/>
      <c r="AM760" s="29"/>
    </row>
    <row r="761" spans="1:39" s="20" customFormat="1" ht="15.5" x14ac:dyDescent="0.45">
      <c r="A761" s="1"/>
      <c r="B761" s="1"/>
      <c r="D761" s="13"/>
      <c r="F761" s="28"/>
      <c r="AM761" s="29"/>
    </row>
    <row r="762" spans="1:39" s="20" customFormat="1" ht="15.5" x14ac:dyDescent="0.45">
      <c r="A762" s="1"/>
      <c r="B762" s="1"/>
      <c r="D762" s="13"/>
      <c r="F762" s="28"/>
      <c r="AM762" s="29"/>
    </row>
    <row r="763" spans="1:39" s="20" customFormat="1" ht="15.5" x14ac:dyDescent="0.45">
      <c r="A763" s="1"/>
      <c r="B763" s="1"/>
      <c r="D763" s="13"/>
      <c r="F763" s="28"/>
      <c r="AM763" s="29"/>
    </row>
    <row r="764" spans="1:39" s="20" customFormat="1" ht="15.5" x14ac:dyDescent="0.45">
      <c r="A764" s="1"/>
      <c r="B764" s="1"/>
      <c r="D764" s="13"/>
      <c r="F764" s="28"/>
      <c r="AM764" s="29"/>
    </row>
    <row r="765" spans="1:39" s="20" customFormat="1" ht="15.5" x14ac:dyDescent="0.45">
      <c r="A765" s="1"/>
      <c r="B765" s="1"/>
      <c r="D765" s="13"/>
      <c r="F765" s="28"/>
      <c r="AM765" s="29"/>
    </row>
    <row r="766" spans="1:39" s="20" customFormat="1" ht="15.5" x14ac:dyDescent="0.45">
      <c r="A766" s="1"/>
      <c r="B766" s="1"/>
      <c r="D766" s="13"/>
      <c r="F766" s="28"/>
      <c r="AM766" s="29"/>
    </row>
    <row r="767" spans="1:39" s="20" customFormat="1" ht="15.5" x14ac:dyDescent="0.45">
      <c r="A767" s="1"/>
      <c r="B767" s="1"/>
      <c r="D767" s="13"/>
      <c r="F767" s="28"/>
      <c r="AM767" s="29"/>
    </row>
    <row r="768" spans="1:39" s="20" customFormat="1" ht="15.5" x14ac:dyDescent="0.45">
      <c r="A768" s="1"/>
      <c r="B768" s="1"/>
      <c r="D768" s="13"/>
      <c r="F768" s="28"/>
      <c r="AM768" s="29"/>
    </row>
    <row r="769" spans="1:39" s="20" customFormat="1" ht="15.5" x14ac:dyDescent="0.45">
      <c r="A769" s="1"/>
      <c r="B769" s="1"/>
      <c r="D769" s="13"/>
      <c r="F769" s="28"/>
      <c r="AM769" s="29"/>
    </row>
    <row r="770" spans="1:39" s="20" customFormat="1" ht="15.5" x14ac:dyDescent="0.45">
      <c r="A770" s="1"/>
      <c r="B770" s="1"/>
      <c r="D770" s="13"/>
      <c r="F770" s="28"/>
      <c r="AM770" s="29"/>
    </row>
    <row r="771" spans="1:39" s="20" customFormat="1" ht="15.5" x14ac:dyDescent="0.45">
      <c r="A771" s="1"/>
      <c r="B771" s="1"/>
      <c r="D771" s="13"/>
      <c r="F771" s="28"/>
      <c r="AM771" s="29"/>
    </row>
    <row r="772" spans="1:39" s="20" customFormat="1" ht="15.5" x14ac:dyDescent="0.45">
      <c r="A772" s="1"/>
      <c r="B772" s="1"/>
      <c r="D772" s="13"/>
      <c r="F772" s="28"/>
      <c r="AM772" s="29"/>
    </row>
    <row r="773" spans="1:39" s="20" customFormat="1" ht="15.5" x14ac:dyDescent="0.45">
      <c r="A773" s="1"/>
      <c r="B773" s="1"/>
      <c r="D773" s="13"/>
      <c r="F773" s="28"/>
      <c r="AM773" s="29"/>
    </row>
    <row r="774" spans="1:39" s="20" customFormat="1" ht="15.5" x14ac:dyDescent="0.45">
      <c r="A774" s="1"/>
      <c r="B774" s="1"/>
      <c r="D774" s="13"/>
      <c r="F774" s="28"/>
      <c r="AM774" s="29"/>
    </row>
    <row r="775" spans="1:39" s="20" customFormat="1" ht="15.5" x14ac:dyDescent="0.45">
      <c r="A775" s="1"/>
      <c r="B775" s="1"/>
      <c r="D775" s="13"/>
      <c r="F775" s="28"/>
      <c r="AM775" s="29"/>
    </row>
    <row r="776" spans="1:39" s="20" customFormat="1" ht="15.5" x14ac:dyDescent="0.45">
      <c r="A776" s="1"/>
      <c r="B776" s="1"/>
      <c r="D776" s="13"/>
      <c r="F776" s="28"/>
      <c r="AM776" s="29"/>
    </row>
    <row r="777" spans="1:39" s="20" customFormat="1" ht="15.5" x14ac:dyDescent="0.45">
      <c r="A777" s="1"/>
      <c r="B777" s="1"/>
      <c r="D777" s="13"/>
      <c r="F777" s="28"/>
      <c r="AM777" s="29"/>
    </row>
    <row r="778" spans="1:39" s="20" customFormat="1" ht="15.5" x14ac:dyDescent="0.45">
      <c r="A778" s="1"/>
      <c r="B778" s="1"/>
      <c r="D778" s="13"/>
      <c r="F778" s="28"/>
      <c r="AM778" s="29"/>
    </row>
    <row r="779" spans="1:39" s="20" customFormat="1" ht="15.5" x14ac:dyDescent="0.45">
      <c r="A779" s="1"/>
      <c r="B779" s="1"/>
      <c r="D779" s="13"/>
      <c r="F779" s="28"/>
      <c r="AM779" s="29"/>
    </row>
    <row r="780" spans="1:39" s="20" customFormat="1" ht="15.5" x14ac:dyDescent="0.45">
      <c r="A780" s="1"/>
      <c r="B780" s="1"/>
      <c r="D780" s="13"/>
      <c r="F780" s="28"/>
      <c r="AM780" s="29"/>
    </row>
    <row r="781" spans="1:39" s="20" customFormat="1" ht="15.5" x14ac:dyDescent="0.45">
      <c r="A781" s="1"/>
      <c r="B781" s="1"/>
      <c r="D781" s="13"/>
      <c r="F781" s="28"/>
      <c r="AM781" s="29"/>
    </row>
    <row r="782" spans="1:39" s="20" customFormat="1" ht="15.5" x14ac:dyDescent="0.45">
      <c r="A782" s="1"/>
      <c r="B782" s="1"/>
      <c r="D782" s="13"/>
      <c r="F782" s="28"/>
      <c r="AM782" s="29"/>
    </row>
    <row r="783" spans="1:39" s="20" customFormat="1" ht="15.5" x14ac:dyDescent="0.45">
      <c r="A783" s="1"/>
      <c r="B783" s="1"/>
      <c r="D783" s="13"/>
      <c r="F783" s="28"/>
      <c r="AM783" s="29"/>
    </row>
    <row r="784" spans="1:39" s="20" customFormat="1" ht="15.5" x14ac:dyDescent="0.45">
      <c r="A784" s="1"/>
      <c r="B784" s="1"/>
      <c r="D784" s="13"/>
      <c r="F784" s="28"/>
      <c r="AM784" s="29"/>
    </row>
    <row r="785" spans="1:39" s="20" customFormat="1" ht="15.5" x14ac:dyDescent="0.45">
      <c r="A785" s="1"/>
      <c r="B785" s="1"/>
      <c r="D785" s="13"/>
      <c r="F785" s="28"/>
      <c r="AM785" s="29"/>
    </row>
    <row r="786" spans="1:39" s="20" customFormat="1" ht="15.5" x14ac:dyDescent="0.45">
      <c r="A786" s="1"/>
      <c r="B786" s="1"/>
      <c r="D786" s="13"/>
      <c r="F786" s="28"/>
      <c r="AM786" s="29"/>
    </row>
    <row r="787" spans="1:39" s="20" customFormat="1" ht="15.5" x14ac:dyDescent="0.45">
      <c r="A787" s="1"/>
      <c r="B787" s="1"/>
      <c r="D787" s="13"/>
      <c r="F787" s="28"/>
      <c r="AM787" s="29"/>
    </row>
    <row r="788" spans="1:39" s="20" customFormat="1" ht="15.5" x14ac:dyDescent="0.45">
      <c r="A788" s="1"/>
      <c r="B788" s="1"/>
      <c r="D788" s="13"/>
      <c r="F788" s="28"/>
      <c r="AM788" s="29"/>
    </row>
    <row r="789" spans="1:39" s="20" customFormat="1" ht="15.5" x14ac:dyDescent="0.45">
      <c r="A789" s="1"/>
      <c r="B789" s="1"/>
      <c r="D789" s="13"/>
      <c r="F789" s="28"/>
      <c r="AM789" s="29"/>
    </row>
    <row r="790" spans="1:39" s="20" customFormat="1" ht="15.5" x14ac:dyDescent="0.45">
      <c r="A790" s="1"/>
      <c r="B790" s="1"/>
      <c r="D790" s="13"/>
      <c r="F790" s="28"/>
      <c r="AM790" s="29"/>
    </row>
    <row r="791" spans="1:39" s="20" customFormat="1" ht="15.5" x14ac:dyDescent="0.45">
      <c r="A791" s="1"/>
      <c r="B791" s="1"/>
      <c r="D791" s="13"/>
      <c r="F791" s="28"/>
      <c r="AM791" s="29"/>
    </row>
    <row r="792" spans="1:39" s="20" customFormat="1" ht="15.5" x14ac:dyDescent="0.45">
      <c r="A792" s="1"/>
      <c r="B792" s="1"/>
      <c r="D792" s="13"/>
      <c r="F792" s="28"/>
      <c r="AM792" s="29"/>
    </row>
    <row r="793" spans="1:39" s="20" customFormat="1" ht="15.5" x14ac:dyDescent="0.45">
      <c r="A793" s="1"/>
      <c r="B793" s="1"/>
      <c r="D793" s="13"/>
      <c r="F793" s="28"/>
      <c r="AM793" s="29"/>
    </row>
    <row r="794" spans="1:39" s="20" customFormat="1" ht="15.5" x14ac:dyDescent="0.45">
      <c r="A794" s="1"/>
      <c r="B794" s="1"/>
      <c r="D794" s="13"/>
      <c r="F794" s="28"/>
      <c r="AM794" s="29"/>
    </row>
    <row r="795" spans="1:39" s="20" customFormat="1" ht="15.5" x14ac:dyDescent="0.45">
      <c r="A795" s="1"/>
      <c r="B795" s="1"/>
      <c r="D795" s="13"/>
      <c r="F795" s="28"/>
      <c r="AM795" s="29"/>
    </row>
    <row r="796" spans="1:39" s="20" customFormat="1" ht="15.5" x14ac:dyDescent="0.45">
      <c r="A796" s="1"/>
      <c r="B796" s="1"/>
      <c r="D796" s="13"/>
      <c r="F796" s="28"/>
      <c r="AM796" s="29"/>
    </row>
    <row r="797" spans="1:39" s="20" customFormat="1" ht="15.5" x14ac:dyDescent="0.45">
      <c r="A797" s="1"/>
      <c r="B797" s="1"/>
      <c r="D797" s="13"/>
      <c r="F797" s="28"/>
      <c r="AM797" s="29"/>
    </row>
    <row r="798" spans="1:39" s="20" customFormat="1" ht="15.5" x14ac:dyDescent="0.45">
      <c r="A798" s="1"/>
      <c r="B798" s="1"/>
      <c r="D798" s="13"/>
      <c r="F798" s="28"/>
      <c r="AM798" s="29"/>
    </row>
    <row r="799" spans="1:39" s="20" customFormat="1" ht="15.5" x14ac:dyDescent="0.45">
      <c r="A799" s="1"/>
      <c r="B799" s="1"/>
      <c r="D799" s="13"/>
      <c r="F799" s="28"/>
      <c r="AM799" s="29"/>
    </row>
    <row r="800" spans="1:39" s="20" customFormat="1" ht="15.5" x14ac:dyDescent="0.45">
      <c r="A800" s="1"/>
      <c r="B800" s="1"/>
      <c r="D800" s="13"/>
      <c r="F800" s="28"/>
      <c r="AM800" s="29"/>
    </row>
    <row r="801" spans="1:39" s="20" customFormat="1" ht="15.5" x14ac:dyDescent="0.45">
      <c r="A801" s="1"/>
      <c r="B801" s="1"/>
      <c r="D801" s="13"/>
      <c r="F801" s="28"/>
      <c r="AM801" s="29"/>
    </row>
    <row r="802" spans="1:39" s="20" customFormat="1" ht="15.5" x14ac:dyDescent="0.45">
      <c r="A802" s="1"/>
      <c r="B802" s="1"/>
      <c r="D802" s="13"/>
      <c r="F802" s="28"/>
      <c r="AM802" s="29"/>
    </row>
    <row r="803" spans="1:39" s="20" customFormat="1" ht="15.5" x14ac:dyDescent="0.45">
      <c r="A803" s="1"/>
      <c r="B803" s="1"/>
      <c r="D803" s="13"/>
      <c r="F803" s="28"/>
      <c r="AM803" s="29"/>
    </row>
    <row r="804" spans="1:39" s="20" customFormat="1" ht="15.5" x14ac:dyDescent="0.45">
      <c r="A804" s="1"/>
      <c r="B804" s="1"/>
      <c r="D804" s="13"/>
      <c r="F804" s="28"/>
      <c r="AM804" s="29"/>
    </row>
    <row r="805" spans="1:39" s="20" customFormat="1" ht="15.5" x14ac:dyDescent="0.45">
      <c r="A805" s="1"/>
      <c r="B805" s="1"/>
      <c r="D805" s="13"/>
      <c r="F805" s="28"/>
      <c r="AM805" s="29"/>
    </row>
    <row r="806" spans="1:39" s="20" customFormat="1" ht="15.5" x14ac:dyDescent="0.45">
      <c r="A806" s="1"/>
      <c r="B806" s="1"/>
      <c r="D806" s="13"/>
      <c r="F806" s="28"/>
      <c r="AM806" s="29"/>
    </row>
    <row r="807" spans="1:39" s="20" customFormat="1" ht="15.5" x14ac:dyDescent="0.45">
      <c r="A807" s="1"/>
      <c r="B807" s="1"/>
      <c r="D807" s="13"/>
      <c r="F807" s="28"/>
      <c r="AM807" s="29"/>
    </row>
    <row r="808" spans="1:39" s="20" customFormat="1" ht="15.5" x14ac:dyDescent="0.45">
      <c r="A808" s="1"/>
      <c r="B808" s="1"/>
      <c r="D808" s="13"/>
      <c r="F808" s="28"/>
      <c r="AM808" s="29"/>
    </row>
    <row r="809" spans="1:39" s="20" customFormat="1" ht="15.5" x14ac:dyDescent="0.45">
      <c r="A809" s="1"/>
      <c r="B809" s="1"/>
      <c r="D809" s="13"/>
      <c r="F809" s="28"/>
      <c r="AM809" s="29"/>
    </row>
    <row r="810" spans="1:39" s="20" customFormat="1" ht="15.5" x14ac:dyDescent="0.45">
      <c r="A810" s="1"/>
      <c r="B810" s="1"/>
      <c r="D810" s="13"/>
      <c r="F810" s="28"/>
      <c r="AM810" s="29"/>
    </row>
    <row r="811" spans="1:39" s="20" customFormat="1" ht="15.5" x14ac:dyDescent="0.45">
      <c r="A811" s="1"/>
      <c r="B811" s="1"/>
      <c r="D811" s="13"/>
      <c r="F811" s="28"/>
      <c r="AM811" s="29"/>
    </row>
    <row r="812" spans="1:39" s="20" customFormat="1" ht="15.5" x14ac:dyDescent="0.45">
      <c r="A812" s="1"/>
      <c r="B812" s="1"/>
      <c r="D812" s="13"/>
      <c r="F812" s="28"/>
      <c r="AM812" s="29"/>
    </row>
    <row r="813" spans="1:39" s="20" customFormat="1" ht="15.5" x14ac:dyDescent="0.45">
      <c r="A813" s="1"/>
      <c r="B813" s="1"/>
      <c r="D813" s="13"/>
      <c r="F813" s="28"/>
      <c r="AM813" s="29"/>
    </row>
    <row r="814" spans="1:39" s="20" customFormat="1" ht="15.5" x14ac:dyDescent="0.45">
      <c r="A814" s="1"/>
      <c r="B814" s="1"/>
      <c r="D814" s="13"/>
      <c r="F814" s="28"/>
      <c r="AM814" s="29"/>
    </row>
    <row r="815" spans="1:39" s="20" customFormat="1" ht="15.5" x14ac:dyDescent="0.45">
      <c r="A815" s="1"/>
      <c r="B815" s="1"/>
      <c r="D815" s="13"/>
      <c r="F815" s="28"/>
      <c r="AM815" s="29"/>
    </row>
    <row r="816" spans="1:39" s="20" customFormat="1" ht="15.5" x14ac:dyDescent="0.45">
      <c r="A816" s="1"/>
      <c r="B816" s="1"/>
      <c r="D816" s="13"/>
      <c r="F816" s="28"/>
      <c r="AM816" s="29"/>
    </row>
    <row r="817" spans="1:39" s="20" customFormat="1" ht="15.5" x14ac:dyDescent="0.45">
      <c r="A817" s="1"/>
      <c r="B817" s="1"/>
      <c r="D817" s="13"/>
      <c r="F817" s="28"/>
      <c r="AM817" s="29"/>
    </row>
    <row r="818" spans="1:39" s="20" customFormat="1" ht="15.5" x14ac:dyDescent="0.45">
      <c r="A818" s="1"/>
      <c r="B818" s="1"/>
      <c r="D818" s="13"/>
      <c r="F818" s="28"/>
      <c r="AM818" s="29"/>
    </row>
    <row r="819" spans="1:39" s="20" customFormat="1" ht="15.5" x14ac:dyDescent="0.45">
      <c r="A819" s="1"/>
      <c r="B819" s="1"/>
      <c r="D819" s="13"/>
      <c r="F819" s="28"/>
      <c r="AM819" s="29"/>
    </row>
    <row r="820" spans="1:39" s="20" customFormat="1" ht="15.5" x14ac:dyDescent="0.45">
      <c r="A820" s="1"/>
      <c r="B820" s="1"/>
      <c r="D820" s="13"/>
      <c r="F820" s="28"/>
      <c r="AM820" s="29"/>
    </row>
    <row r="821" spans="1:39" s="20" customFormat="1" ht="15.5" x14ac:dyDescent="0.45">
      <c r="A821" s="1"/>
      <c r="B821" s="1"/>
      <c r="D821" s="13"/>
      <c r="F821" s="28"/>
      <c r="AM821" s="29"/>
    </row>
    <row r="822" spans="1:39" s="20" customFormat="1" ht="15.5" x14ac:dyDescent="0.45">
      <c r="A822" s="1"/>
      <c r="B822" s="1"/>
      <c r="D822" s="13"/>
      <c r="F822" s="28"/>
      <c r="AM822" s="29"/>
    </row>
    <row r="823" spans="1:39" s="20" customFormat="1" ht="15.5" x14ac:dyDescent="0.45">
      <c r="A823" s="1"/>
      <c r="B823" s="1"/>
      <c r="D823" s="13"/>
      <c r="F823" s="28"/>
      <c r="AM823" s="29"/>
    </row>
    <row r="824" spans="1:39" s="20" customFormat="1" ht="15.5" x14ac:dyDescent="0.45">
      <c r="A824" s="1"/>
      <c r="B824" s="1"/>
      <c r="D824" s="13"/>
      <c r="F824" s="28"/>
      <c r="AM824" s="29"/>
    </row>
    <row r="825" spans="1:39" s="20" customFormat="1" ht="15.5" x14ac:dyDescent="0.45">
      <c r="A825" s="1"/>
      <c r="B825" s="1"/>
      <c r="D825" s="13"/>
      <c r="F825" s="28"/>
      <c r="AM825" s="29"/>
    </row>
    <row r="826" spans="1:39" s="20" customFormat="1" ht="15.5" x14ac:dyDescent="0.45">
      <c r="A826" s="1"/>
      <c r="B826" s="1"/>
      <c r="D826" s="13"/>
      <c r="F826" s="28"/>
      <c r="AM826" s="29"/>
    </row>
    <row r="827" spans="1:39" s="20" customFormat="1" ht="15.5" x14ac:dyDescent="0.45">
      <c r="A827" s="1"/>
      <c r="B827" s="1"/>
      <c r="D827" s="13"/>
      <c r="F827" s="28"/>
      <c r="AM827" s="29"/>
    </row>
    <row r="828" spans="1:39" s="20" customFormat="1" ht="15.5" x14ac:dyDescent="0.45">
      <c r="A828" s="1"/>
      <c r="B828" s="1"/>
      <c r="D828" s="13"/>
      <c r="F828" s="28"/>
      <c r="AM828" s="29"/>
    </row>
    <row r="829" spans="1:39" s="20" customFormat="1" ht="15.5" x14ac:dyDescent="0.45">
      <c r="A829" s="1"/>
      <c r="B829" s="1"/>
      <c r="D829" s="13"/>
      <c r="F829" s="28"/>
      <c r="AM829" s="29"/>
    </row>
    <row r="830" spans="1:39" s="20" customFormat="1" ht="15.5" x14ac:dyDescent="0.45">
      <c r="A830" s="1"/>
      <c r="B830" s="1"/>
      <c r="D830" s="13"/>
      <c r="F830" s="28"/>
      <c r="AM830" s="29"/>
    </row>
    <row r="831" spans="1:39" s="20" customFormat="1" ht="15.5" x14ac:dyDescent="0.45">
      <c r="A831" s="1"/>
      <c r="B831" s="1"/>
      <c r="D831" s="13"/>
      <c r="F831" s="28"/>
      <c r="AM831" s="29"/>
    </row>
    <row r="832" spans="1:39" s="20" customFormat="1" ht="15.5" x14ac:dyDescent="0.45">
      <c r="A832" s="1"/>
      <c r="B832" s="1"/>
      <c r="D832" s="13"/>
      <c r="F832" s="28"/>
      <c r="AM832" s="29"/>
    </row>
    <row r="833" spans="1:39" s="20" customFormat="1" ht="15.5" x14ac:dyDescent="0.45">
      <c r="A833" s="1"/>
      <c r="B833" s="1"/>
      <c r="D833" s="13"/>
      <c r="F833" s="28"/>
      <c r="AM833" s="29"/>
    </row>
    <row r="834" spans="1:39" s="20" customFormat="1" ht="15.5" x14ac:dyDescent="0.45">
      <c r="A834" s="1"/>
      <c r="B834" s="1"/>
      <c r="D834" s="13"/>
      <c r="F834" s="28"/>
      <c r="AM834" s="29"/>
    </row>
    <row r="835" spans="1:39" s="20" customFormat="1" ht="15.5" x14ac:dyDescent="0.45">
      <c r="A835" s="1"/>
      <c r="B835" s="1"/>
      <c r="D835" s="13"/>
      <c r="F835" s="28"/>
      <c r="AM835" s="29"/>
    </row>
    <row r="836" spans="1:39" s="20" customFormat="1" ht="15.5" x14ac:dyDescent="0.45">
      <c r="A836" s="1"/>
      <c r="B836" s="1"/>
      <c r="D836" s="13"/>
      <c r="F836" s="28"/>
      <c r="AM836" s="29"/>
    </row>
    <row r="837" spans="1:39" s="20" customFormat="1" ht="15.5" x14ac:dyDescent="0.45">
      <c r="A837" s="1"/>
      <c r="B837" s="1"/>
      <c r="D837" s="13"/>
      <c r="F837" s="28"/>
      <c r="AM837" s="29"/>
    </row>
    <row r="838" spans="1:39" s="20" customFormat="1" ht="15.5" x14ac:dyDescent="0.45">
      <c r="A838" s="1"/>
      <c r="B838" s="1"/>
      <c r="D838" s="13"/>
      <c r="F838" s="28"/>
      <c r="AM838" s="29"/>
    </row>
    <row r="839" spans="1:39" s="20" customFormat="1" ht="15.5" x14ac:dyDescent="0.45">
      <c r="A839" s="1"/>
      <c r="B839" s="1"/>
      <c r="D839" s="13"/>
      <c r="F839" s="28"/>
      <c r="AM839" s="29"/>
    </row>
    <row r="840" spans="1:39" s="20" customFormat="1" ht="15.5" x14ac:dyDescent="0.45">
      <c r="A840" s="1"/>
      <c r="B840" s="1"/>
      <c r="D840" s="13"/>
      <c r="F840" s="28"/>
      <c r="AM840" s="29"/>
    </row>
    <row r="841" spans="1:39" s="20" customFormat="1" ht="15.5" x14ac:dyDescent="0.45">
      <c r="A841" s="1"/>
      <c r="B841" s="1"/>
      <c r="D841" s="13"/>
      <c r="F841" s="28"/>
      <c r="AM841" s="29"/>
    </row>
    <row r="842" spans="1:39" s="20" customFormat="1" ht="15.5" x14ac:dyDescent="0.45">
      <c r="A842" s="1"/>
      <c r="B842" s="1"/>
      <c r="D842" s="13"/>
      <c r="F842" s="28"/>
      <c r="AM842" s="29"/>
    </row>
    <row r="843" spans="1:39" s="20" customFormat="1" ht="15.5" x14ac:dyDescent="0.45">
      <c r="A843" s="1"/>
      <c r="B843" s="1"/>
      <c r="D843" s="13"/>
      <c r="F843" s="28"/>
      <c r="AM843" s="29"/>
    </row>
    <row r="844" spans="1:39" s="20" customFormat="1" ht="15.5" x14ac:dyDescent="0.45">
      <c r="A844" s="1"/>
      <c r="B844" s="1"/>
      <c r="D844" s="13"/>
      <c r="F844" s="28"/>
      <c r="AM844" s="29"/>
    </row>
    <row r="845" spans="1:39" s="20" customFormat="1" ht="15.5" x14ac:dyDescent="0.45">
      <c r="A845" s="1"/>
      <c r="B845" s="1"/>
      <c r="D845" s="13"/>
      <c r="F845" s="28"/>
      <c r="AM845" s="29"/>
    </row>
    <row r="846" spans="1:39" s="20" customFormat="1" ht="15.5" x14ac:dyDescent="0.45">
      <c r="A846" s="1"/>
      <c r="B846" s="1"/>
      <c r="D846" s="13"/>
      <c r="F846" s="28"/>
      <c r="AM846" s="29"/>
    </row>
    <row r="847" spans="1:39" s="20" customFormat="1" ht="15.5" x14ac:dyDescent="0.45">
      <c r="A847" s="1"/>
      <c r="B847" s="1"/>
      <c r="D847" s="13"/>
      <c r="F847" s="28"/>
      <c r="AM847" s="29"/>
    </row>
    <row r="848" spans="1:39" s="20" customFormat="1" ht="15.5" x14ac:dyDescent="0.45">
      <c r="A848" s="1"/>
      <c r="B848" s="1"/>
      <c r="D848" s="13"/>
      <c r="F848" s="28"/>
      <c r="AM848" s="29"/>
    </row>
    <row r="849" spans="1:39" s="20" customFormat="1" ht="15.5" x14ac:dyDescent="0.45">
      <c r="A849" s="1"/>
      <c r="B849" s="1"/>
      <c r="D849" s="13"/>
      <c r="F849" s="28"/>
      <c r="AM849" s="29"/>
    </row>
    <row r="850" spans="1:39" s="20" customFormat="1" ht="15.5" x14ac:dyDescent="0.45">
      <c r="A850" s="1"/>
      <c r="B850" s="1"/>
      <c r="D850" s="13"/>
      <c r="F850" s="28"/>
      <c r="AM850" s="29"/>
    </row>
    <row r="851" spans="1:39" s="20" customFormat="1" ht="15.5" x14ac:dyDescent="0.45">
      <c r="A851" s="1"/>
      <c r="B851" s="1"/>
      <c r="D851" s="13"/>
      <c r="F851" s="28"/>
      <c r="AM851" s="29"/>
    </row>
    <row r="852" spans="1:39" s="20" customFormat="1" ht="15.5" x14ac:dyDescent="0.45">
      <c r="A852" s="1"/>
      <c r="B852" s="1"/>
      <c r="D852" s="13"/>
      <c r="F852" s="28"/>
      <c r="AM852" s="29"/>
    </row>
    <row r="853" spans="1:39" s="20" customFormat="1" ht="15.5" x14ac:dyDescent="0.45">
      <c r="A853" s="1"/>
      <c r="B853" s="1"/>
      <c r="D853" s="13"/>
      <c r="F853" s="28"/>
      <c r="AM853" s="29"/>
    </row>
    <row r="854" spans="1:39" s="20" customFormat="1" ht="15.5" x14ac:dyDescent="0.45">
      <c r="A854" s="1"/>
      <c r="B854" s="1"/>
      <c r="D854" s="13"/>
      <c r="F854" s="28"/>
      <c r="AM854" s="29"/>
    </row>
    <row r="855" spans="1:39" s="20" customFormat="1" ht="15.5" x14ac:dyDescent="0.45">
      <c r="A855" s="1"/>
      <c r="B855" s="1"/>
      <c r="D855" s="13"/>
      <c r="F855" s="28"/>
      <c r="AM855" s="29"/>
    </row>
    <row r="856" spans="1:39" s="20" customFormat="1" ht="15.5" x14ac:dyDescent="0.45">
      <c r="A856" s="1"/>
      <c r="B856" s="1"/>
      <c r="D856" s="13"/>
      <c r="F856" s="28"/>
      <c r="AM856" s="29"/>
    </row>
    <row r="857" spans="1:39" s="20" customFormat="1" ht="15.5" x14ac:dyDescent="0.45">
      <c r="A857" s="1"/>
      <c r="B857" s="1"/>
      <c r="D857" s="13"/>
      <c r="F857" s="28"/>
      <c r="AM857" s="29"/>
    </row>
    <row r="858" spans="1:39" s="20" customFormat="1" ht="15.5" x14ac:dyDescent="0.45">
      <c r="A858" s="1"/>
      <c r="B858" s="1"/>
      <c r="D858" s="13"/>
      <c r="F858" s="28"/>
      <c r="AM858" s="29"/>
    </row>
    <row r="859" spans="1:39" s="20" customFormat="1" ht="15.5" x14ac:dyDescent="0.45">
      <c r="A859" s="1"/>
      <c r="B859" s="1"/>
      <c r="D859" s="13"/>
      <c r="F859" s="28"/>
      <c r="AM859" s="29"/>
    </row>
    <row r="860" spans="1:39" s="20" customFormat="1" ht="15.5" x14ac:dyDescent="0.45">
      <c r="A860" s="1"/>
      <c r="B860" s="1"/>
      <c r="D860" s="13"/>
      <c r="F860" s="28"/>
      <c r="AM860" s="29"/>
    </row>
    <row r="861" spans="1:39" s="20" customFormat="1" ht="15.5" x14ac:dyDescent="0.45">
      <c r="A861" s="1"/>
      <c r="B861" s="1"/>
      <c r="D861" s="13"/>
      <c r="F861" s="28"/>
      <c r="AM861" s="29"/>
    </row>
    <row r="862" spans="1:39" s="20" customFormat="1" ht="15.5" x14ac:dyDescent="0.45">
      <c r="A862" s="1"/>
      <c r="B862" s="1"/>
      <c r="D862" s="13"/>
      <c r="F862" s="28"/>
      <c r="AM862" s="29"/>
    </row>
    <row r="863" spans="1:39" s="20" customFormat="1" ht="15.5" x14ac:dyDescent="0.45">
      <c r="A863" s="1"/>
      <c r="B863" s="1"/>
      <c r="D863" s="13"/>
      <c r="F863" s="28"/>
      <c r="AM863" s="29"/>
    </row>
    <row r="864" spans="1:39" s="20" customFormat="1" ht="15.5" x14ac:dyDescent="0.45">
      <c r="A864" s="1"/>
      <c r="B864" s="1"/>
      <c r="D864" s="13"/>
      <c r="F864" s="28"/>
      <c r="AM864" s="29"/>
    </row>
    <row r="865" spans="1:39" s="20" customFormat="1" ht="15.5" x14ac:dyDescent="0.45">
      <c r="A865" s="1"/>
      <c r="B865" s="1"/>
      <c r="D865" s="13"/>
      <c r="F865" s="28"/>
      <c r="AM865" s="29"/>
    </row>
    <row r="866" spans="1:39" s="20" customFormat="1" ht="15.5" x14ac:dyDescent="0.45">
      <c r="A866" s="1"/>
      <c r="B866" s="1"/>
      <c r="D866" s="13"/>
      <c r="F866" s="28"/>
      <c r="AM866" s="29"/>
    </row>
    <row r="867" spans="1:39" s="20" customFormat="1" ht="15.5" x14ac:dyDescent="0.45">
      <c r="A867" s="1"/>
      <c r="B867" s="1"/>
      <c r="D867" s="13"/>
      <c r="F867" s="28"/>
      <c r="AM867" s="29"/>
    </row>
    <row r="868" spans="1:39" s="20" customFormat="1" ht="15.5" x14ac:dyDescent="0.45">
      <c r="A868" s="1"/>
      <c r="B868" s="1"/>
      <c r="D868" s="13"/>
      <c r="F868" s="28"/>
      <c r="AM868" s="29"/>
    </row>
    <row r="869" spans="1:39" s="20" customFormat="1" ht="15.5" x14ac:dyDescent="0.45">
      <c r="A869" s="1"/>
      <c r="B869" s="1"/>
      <c r="D869" s="13"/>
      <c r="F869" s="28"/>
      <c r="AM869" s="29"/>
    </row>
    <row r="870" spans="1:39" s="20" customFormat="1" ht="15.5" x14ac:dyDescent="0.45">
      <c r="A870" s="1"/>
      <c r="B870" s="1"/>
      <c r="D870" s="13"/>
      <c r="F870" s="28"/>
      <c r="AM870" s="29"/>
    </row>
    <row r="871" spans="1:39" s="20" customFormat="1" ht="15.5" x14ac:dyDescent="0.45">
      <c r="A871" s="1"/>
      <c r="B871" s="1"/>
      <c r="D871" s="13"/>
      <c r="F871" s="28"/>
      <c r="AM871" s="29"/>
    </row>
    <row r="872" spans="1:39" s="20" customFormat="1" ht="15.5" x14ac:dyDescent="0.45">
      <c r="A872" s="1"/>
      <c r="B872" s="1"/>
      <c r="D872" s="13"/>
      <c r="F872" s="28"/>
      <c r="AM872" s="29"/>
    </row>
    <row r="873" spans="1:39" s="20" customFormat="1" ht="15.5" x14ac:dyDescent="0.45">
      <c r="A873" s="1"/>
      <c r="B873" s="1"/>
      <c r="D873" s="13"/>
      <c r="F873" s="28"/>
      <c r="AM873" s="29"/>
    </row>
    <row r="874" spans="1:39" s="20" customFormat="1" ht="15.5" x14ac:dyDescent="0.45">
      <c r="A874" s="1"/>
      <c r="B874" s="1"/>
      <c r="D874" s="13"/>
      <c r="F874" s="28"/>
      <c r="AM874" s="29"/>
    </row>
    <row r="875" spans="1:39" s="20" customFormat="1" ht="15.5" x14ac:dyDescent="0.45">
      <c r="A875" s="1"/>
      <c r="B875" s="1"/>
      <c r="D875" s="13"/>
      <c r="F875" s="28"/>
      <c r="AM875" s="29"/>
    </row>
    <row r="876" spans="1:39" s="20" customFormat="1" ht="15.5" x14ac:dyDescent="0.45">
      <c r="A876" s="1"/>
      <c r="B876" s="1"/>
      <c r="D876" s="13"/>
      <c r="F876" s="28"/>
      <c r="AM876" s="29"/>
    </row>
    <row r="877" spans="1:39" s="20" customFormat="1" ht="15.5" x14ac:dyDescent="0.45">
      <c r="A877" s="1"/>
      <c r="B877" s="1"/>
      <c r="D877" s="13"/>
      <c r="F877" s="28"/>
      <c r="AM877" s="29"/>
    </row>
    <row r="878" spans="1:39" s="20" customFormat="1" ht="15.5" x14ac:dyDescent="0.45">
      <c r="A878" s="1"/>
      <c r="B878" s="1"/>
      <c r="D878" s="13"/>
      <c r="F878" s="28"/>
      <c r="AM878" s="29"/>
    </row>
    <row r="879" spans="1:39" s="20" customFormat="1" ht="15.5" x14ac:dyDescent="0.45">
      <c r="A879" s="1"/>
      <c r="B879" s="1"/>
      <c r="D879" s="13"/>
      <c r="F879" s="28"/>
      <c r="AM879" s="29"/>
    </row>
    <row r="880" spans="1:39" s="20" customFormat="1" ht="15.5" x14ac:dyDescent="0.45">
      <c r="A880" s="1"/>
      <c r="B880" s="1"/>
      <c r="D880" s="13"/>
      <c r="F880" s="28"/>
      <c r="AM880" s="29"/>
    </row>
    <row r="881" spans="1:39" s="20" customFormat="1" ht="15.5" x14ac:dyDescent="0.45">
      <c r="A881" s="1"/>
      <c r="B881" s="1"/>
      <c r="D881" s="13"/>
      <c r="F881" s="28"/>
      <c r="AM881" s="29"/>
    </row>
    <row r="882" spans="1:39" s="20" customFormat="1" ht="15.5" x14ac:dyDescent="0.45">
      <c r="A882" s="1"/>
      <c r="B882" s="1"/>
      <c r="D882" s="13"/>
      <c r="F882" s="28"/>
      <c r="AM882" s="29"/>
    </row>
    <row r="883" spans="1:39" s="20" customFormat="1" ht="15.5" x14ac:dyDescent="0.45">
      <c r="A883" s="1"/>
      <c r="B883" s="1"/>
      <c r="D883" s="13"/>
      <c r="F883" s="28"/>
      <c r="AM883" s="29"/>
    </row>
    <row r="884" spans="1:39" s="20" customFormat="1" ht="15.5" x14ac:dyDescent="0.45">
      <c r="A884" s="1"/>
      <c r="B884" s="1"/>
      <c r="D884" s="13"/>
      <c r="F884" s="28"/>
      <c r="AM884" s="29"/>
    </row>
    <row r="885" spans="1:39" s="20" customFormat="1" ht="15.5" x14ac:dyDescent="0.45">
      <c r="A885" s="1"/>
      <c r="B885" s="1"/>
      <c r="D885" s="13"/>
      <c r="F885" s="28"/>
      <c r="AM885" s="29"/>
    </row>
    <row r="886" spans="1:39" s="20" customFormat="1" ht="15.5" x14ac:dyDescent="0.45">
      <c r="A886" s="1"/>
      <c r="B886" s="1"/>
      <c r="D886" s="13"/>
      <c r="F886" s="28"/>
      <c r="AM886" s="29"/>
    </row>
    <row r="887" spans="1:39" s="20" customFormat="1" ht="15.5" x14ac:dyDescent="0.45">
      <c r="A887" s="1"/>
      <c r="B887" s="1"/>
      <c r="D887" s="13"/>
      <c r="F887" s="28"/>
      <c r="AM887" s="29"/>
    </row>
    <row r="888" spans="1:39" s="20" customFormat="1" ht="15.5" x14ac:dyDescent="0.45">
      <c r="A888" s="1"/>
      <c r="B888" s="1"/>
      <c r="D888" s="13"/>
      <c r="F888" s="28"/>
      <c r="AM888" s="29"/>
    </row>
    <row r="889" spans="1:39" s="20" customFormat="1" ht="15.5" x14ac:dyDescent="0.45">
      <c r="A889" s="1"/>
      <c r="B889" s="1"/>
      <c r="D889" s="13"/>
      <c r="F889" s="28"/>
      <c r="AM889" s="29"/>
    </row>
    <row r="890" spans="1:39" s="20" customFormat="1" ht="15.5" x14ac:dyDescent="0.45">
      <c r="A890" s="1"/>
      <c r="B890" s="1"/>
      <c r="D890" s="13"/>
      <c r="F890" s="28"/>
      <c r="AM890" s="29"/>
    </row>
    <row r="891" spans="1:39" s="20" customFormat="1" ht="15.5" x14ac:dyDescent="0.45">
      <c r="A891" s="1"/>
      <c r="B891" s="1"/>
      <c r="D891" s="13"/>
      <c r="F891" s="28"/>
      <c r="AM891" s="29"/>
    </row>
    <row r="892" spans="1:39" s="20" customFormat="1" ht="15.5" x14ac:dyDescent="0.45">
      <c r="A892" s="1"/>
      <c r="B892" s="1"/>
      <c r="D892" s="13"/>
      <c r="F892" s="28"/>
      <c r="AM892" s="29"/>
    </row>
    <row r="893" spans="1:39" s="20" customFormat="1" ht="15.5" x14ac:dyDescent="0.45">
      <c r="A893" s="1"/>
      <c r="B893" s="1"/>
      <c r="D893" s="13"/>
      <c r="F893" s="28"/>
      <c r="AM893" s="29"/>
    </row>
    <row r="894" spans="1:39" s="20" customFormat="1" ht="15.5" x14ac:dyDescent="0.45">
      <c r="A894" s="1"/>
      <c r="B894" s="1"/>
      <c r="D894" s="13"/>
      <c r="F894" s="28"/>
      <c r="AM894" s="29"/>
    </row>
    <row r="895" spans="1:39" s="20" customFormat="1" ht="15.5" x14ac:dyDescent="0.45">
      <c r="A895" s="1"/>
      <c r="B895" s="1"/>
      <c r="D895" s="13"/>
      <c r="F895" s="28"/>
      <c r="AM895" s="29"/>
    </row>
    <row r="896" spans="1:39" s="20" customFormat="1" ht="15.5" x14ac:dyDescent="0.45">
      <c r="A896" s="1"/>
      <c r="B896" s="1"/>
      <c r="D896" s="13"/>
      <c r="F896" s="28"/>
      <c r="AM896" s="29"/>
    </row>
    <row r="897" spans="1:39" s="20" customFormat="1" ht="15.5" x14ac:dyDescent="0.45">
      <c r="A897" s="1"/>
      <c r="B897" s="1"/>
      <c r="D897" s="13"/>
      <c r="F897" s="28"/>
      <c r="AM897" s="29"/>
    </row>
    <row r="898" spans="1:39" s="20" customFormat="1" ht="15.5" x14ac:dyDescent="0.45">
      <c r="A898" s="1"/>
      <c r="B898" s="1"/>
      <c r="D898" s="13"/>
      <c r="F898" s="28"/>
      <c r="AM898" s="29"/>
    </row>
    <row r="899" spans="1:39" s="20" customFormat="1" ht="15.5" x14ac:dyDescent="0.45">
      <c r="A899" s="1"/>
      <c r="B899" s="1"/>
      <c r="D899" s="13"/>
      <c r="F899" s="28"/>
      <c r="AM899" s="29"/>
    </row>
    <row r="900" spans="1:39" s="20" customFormat="1" ht="15.5" x14ac:dyDescent="0.45">
      <c r="A900" s="1"/>
      <c r="B900" s="1"/>
      <c r="D900" s="13"/>
      <c r="F900" s="28"/>
      <c r="AM900" s="29"/>
    </row>
    <row r="901" spans="1:39" s="20" customFormat="1" ht="15.5" x14ac:dyDescent="0.45">
      <c r="A901" s="1"/>
      <c r="B901" s="1"/>
      <c r="D901" s="13"/>
      <c r="F901" s="28"/>
      <c r="AM901" s="29"/>
    </row>
    <row r="902" spans="1:39" s="20" customFormat="1" ht="15.5" x14ac:dyDescent="0.45">
      <c r="A902" s="1"/>
      <c r="B902" s="1"/>
      <c r="D902" s="13"/>
      <c r="F902" s="28"/>
      <c r="AM902" s="29"/>
    </row>
    <row r="903" spans="1:39" s="20" customFormat="1" ht="15.5" x14ac:dyDescent="0.45">
      <c r="A903" s="1"/>
      <c r="B903" s="1"/>
      <c r="D903" s="13"/>
      <c r="F903" s="28"/>
      <c r="AM903" s="29"/>
    </row>
    <row r="904" spans="1:39" s="20" customFormat="1" ht="15.5" x14ac:dyDescent="0.45">
      <c r="A904" s="1"/>
      <c r="B904" s="1"/>
      <c r="D904" s="13"/>
      <c r="F904" s="28"/>
      <c r="AM904" s="29"/>
    </row>
    <row r="905" spans="1:39" s="20" customFormat="1" ht="15.5" x14ac:dyDescent="0.45">
      <c r="A905" s="1"/>
      <c r="B905" s="1"/>
      <c r="D905" s="13"/>
      <c r="F905" s="28"/>
      <c r="AM905" s="29"/>
    </row>
    <row r="906" spans="1:39" s="20" customFormat="1" ht="15.5" x14ac:dyDescent="0.45">
      <c r="A906" s="1"/>
      <c r="B906" s="1"/>
      <c r="D906" s="13"/>
      <c r="F906" s="28"/>
      <c r="AM906" s="29"/>
    </row>
    <row r="907" spans="1:39" s="20" customFormat="1" ht="15.5" x14ac:dyDescent="0.45">
      <c r="A907" s="1"/>
      <c r="B907" s="1"/>
      <c r="D907" s="13"/>
      <c r="F907" s="28"/>
      <c r="AM907" s="29"/>
    </row>
    <row r="908" spans="1:39" s="20" customFormat="1" ht="15.5" x14ac:dyDescent="0.45">
      <c r="A908" s="1"/>
      <c r="B908" s="1"/>
      <c r="D908" s="13"/>
      <c r="F908" s="28"/>
      <c r="AM908" s="29"/>
    </row>
    <row r="909" spans="1:39" s="20" customFormat="1" ht="15.5" x14ac:dyDescent="0.45">
      <c r="A909" s="1"/>
      <c r="B909" s="1"/>
      <c r="D909" s="13"/>
      <c r="F909" s="28"/>
      <c r="AM909" s="29"/>
    </row>
  </sheetData>
  <mergeCells count="6">
    <mergeCell ref="BL1:CM1"/>
    <mergeCell ref="D2:E2"/>
    <mergeCell ref="F2:H2"/>
    <mergeCell ref="K2:M2"/>
    <mergeCell ref="O2:AD2"/>
    <mergeCell ref="AF2:BI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 1</vt:lpstr>
      <vt:lpstr>Section 2</vt:lpstr>
    </vt:vector>
  </TitlesOfParts>
  <Company>MSU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arens</dc:creator>
  <cp:lastModifiedBy>Carina Negreanu</cp:lastModifiedBy>
  <dcterms:created xsi:type="dcterms:W3CDTF">2004-02-03T15:14:14Z</dcterms:created>
  <dcterms:modified xsi:type="dcterms:W3CDTF">2020-01-27T12:50:32Z</dcterms:modified>
</cp:coreProperties>
</file>