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300AD4-43E6-43FA-82CA-8C68F82D9DDE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definedNames>
    <definedName name="_xlnm.Print_Area" localSheetId="0">Sheet1!$B$2:$G$42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2" i="1" l="1"/>
  <c r="G32" i="1"/>
  <c r="D34" i="1" s="1"/>
  <c r="D37" i="1" s="1"/>
</calcChain>
</file>

<file path=xl/sharedStrings.xml><?xml version="1.0" encoding="utf-8"?>
<sst xmlns="http://schemas.openxmlformats.org/spreadsheetml/2006/main" count="37" uniqueCount="35">
  <si>
    <t>Advanced LIGO UK financial report</t>
  </si>
  <si>
    <t>Work Package 3</t>
  </si>
  <si>
    <t>Number</t>
  </si>
  <si>
    <t>Item</t>
  </si>
  <si>
    <t>Totals</t>
  </si>
  <si>
    <t>Current anticipated reserve (+ve) or overspend (-ve)</t>
  </si>
  <si>
    <t>Noise prototypes</t>
  </si>
  <si>
    <t>Models</t>
  </si>
  <si>
    <t>frames</t>
  </si>
  <si>
    <t>masses</t>
  </si>
  <si>
    <t>other components</t>
  </si>
  <si>
    <t>main quads</t>
  </si>
  <si>
    <t>structures</t>
  </si>
  <si>
    <t>blades</t>
  </si>
  <si>
    <t>wires</t>
  </si>
  <si>
    <t>other parts</t>
  </si>
  <si>
    <t>OSEMs</t>
  </si>
  <si>
    <t>parts</t>
  </si>
  <si>
    <t>assembly</t>
  </si>
  <si>
    <t>k GBP</t>
  </si>
  <si>
    <t>Total approved WA drawdown</t>
  </si>
  <si>
    <t>Nett balance (+ve good, -ve bad)</t>
  </si>
  <si>
    <t>approx % complete</t>
  </si>
  <si>
    <t>consumables</t>
  </si>
  <si>
    <t>travel</t>
  </si>
  <si>
    <t>exceptional</t>
  </si>
  <si>
    <t>Original estimate less WA, no VAT</t>
  </si>
  <si>
    <t>Spend to date less VAT</t>
  </si>
  <si>
    <t>Current est cost to completion, no VAT</t>
  </si>
  <si>
    <t>Unrefundable VAT</t>
  </si>
  <si>
    <t>est</t>
  </si>
  <si>
    <t>so far</t>
  </si>
  <si>
    <t>est to completion</t>
  </si>
  <si>
    <t>ALUK FINANCIAL REPORT</t>
  </si>
  <si>
    <t>IGRQA0002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</si>
</sst>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6" xfId="0" applyFont="1" applyBorder="1"/>
    <xf numFmtId="0" fontId="1" fillId="0" borderId="11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9" xfId="0" applyFont="1" applyBorder="1"/>
    <xf numFmtId="0" fontId="1" fillId="0" borderId="1" xfId="0" applyFont="1" applyBorder="1"/>
    <xf numFmtId="0" fontId="1" fillId="0" borderId="8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42"/>
  <sheetViews>
    <sheetView showGridLines="0" tabSelected="1" workbookViewId="0">
      <selection activeCell="G43" sqref="G43"/>
    </sheetView>
  </sheetViews>
  <sheetFormatPr defaultRowHeight="12.5" x14ac:dyDescent="0.25"/>
  <cols>
    <col min="1" max="1" width="5.453125" customWidth="1"/>
    <col min="3" max="3" width="33.81640625" customWidth="1"/>
    <col min="4" max="4" width="12.453125" customWidth="1"/>
    <col min="7" max="7" width="15.54296875" customWidth="1"/>
  </cols>
  <sheetData>
    <row r="1" spans="2:7" ht="13" thickBot="1" x14ac:dyDescent="0.3"/>
    <row r="2" spans="2:7" x14ac:dyDescent="0.25">
      <c r="B2" s="30" t="s">
        <v>0</v>
      </c>
      <c r="C2" s="31"/>
      <c r="D2" s="31"/>
      <c r="E2" s="31"/>
      <c r="F2" s="31"/>
      <c r="G2" s="32"/>
    </row>
    <row r="3" spans="2:7" x14ac:dyDescent="0.25">
      <c r="B3" s="33"/>
      <c r="C3" s="34"/>
      <c r="D3" s="34"/>
      <c r="E3" s="34"/>
      <c r="F3" s="34"/>
      <c r="G3" s="35"/>
    </row>
    <row r="4" spans="2:7" x14ac:dyDescent="0.25">
      <c r="B4" s="36" t="s">
        <v>1</v>
      </c>
      <c r="C4" s="37"/>
      <c r="D4" s="37"/>
      <c r="E4" s="37"/>
      <c r="F4" s="37"/>
      <c r="G4" s="38"/>
    </row>
    <row r="5" spans="2:7" ht="13" thickBot="1" x14ac:dyDescent="0.3">
      <c r="B5" s="39"/>
      <c r="C5" s="40"/>
      <c r="D5" s="40"/>
      <c r="E5" s="40"/>
      <c r="F5" s="40"/>
      <c r="G5" s="41"/>
    </row>
    <row r="6" spans="2:7" ht="13" x14ac:dyDescent="0.3">
      <c r="B6" s="42" t="s">
        <v>2</v>
      </c>
      <c r="C6" s="44" t="s">
        <v>3</v>
      </c>
      <c r="D6" s="29" t="s">
        <v>19</v>
      </c>
      <c r="E6" s="29"/>
      <c r="F6" s="8"/>
      <c r="G6" s="27" t="s">
        <v>19</v>
      </c>
    </row>
    <row r="7" spans="2:7" s="1" customFormat="1" ht="40.5" customHeight="1" x14ac:dyDescent="0.3">
      <c r="B7" s="43"/>
      <c r="C7" s="45"/>
      <c r="D7" s="17" t="s">
        <v>26</v>
      </c>
      <c r="E7" s="17" t="s">
        <v>27</v>
      </c>
      <c r="F7" s="17" t="s">
        <v>22</v>
      </c>
      <c r="G7" s="18" t="s">
        <v>28</v>
      </c>
    </row>
    <row r="8" spans="2:7" x14ac:dyDescent="0.25">
      <c r="B8" s="2"/>
      <c r="C8" s="6"/>
      <c r="D8" s="6"/>
      <c r="E8" s="6"/>
      <c r="F8" s="6"/>
      <c r="G8" s="7"/>
    </row>
    <row r="9" spans="2:7" ht="13" x14ac:dyDescent="0.3">
      <c r="B9" s="28">
        <v>1</v>
      </c>
      <c r="C9" s="8" t="s">
        <v>6</v>
      </c>
      <c r="D9" s="6"/>
      <c r="E9" s="6"/>
      <c r="F9" s="6"/>
      <c r="G9" s="7"/>
    </row>
    <row r="10" spans="2:7" x14ac:dyDescent="0.25">
      <c r="B10" s="2">
        <v>1.1000000000000001</v>
      </c>
      <c r="C10" s="6" t="s">
        <v>7</v>
      </c>
      <c r="D10" s="6">
        <v>10</v>
      </c>
      <c r="E10" s="6">
        <v>4</v>
      </c>
      <c r="F10" s="6">
        <v>100</v>
      </c>
      <c r="G10" s="7">
        <v>4</v>
      </c>
    </row>
    <row r="11" spans="2:7" x14ac:dyDescent="0.25">
      <c r="B11" s="2">
        <v>1.2</v>
      </c>
      <c r="C11" s="6" t="s">
        <v>8</v>
      </c>
      <c r="D11" s="6">
        <v>5</v>
      </c>
      <c r="E11" s="6">
        <v>6</v>
      </c>
      <c r="F11" s="6">
        <v>100</v>
      </c>
      <c r="G11" s="7">
        <v>6</v>
      </c>
    </row>
    <row r="12" spans="2:7" x14ac:dyDescent="0.25">
      <c r="B12" s="2">
        <v>1.3</v>
      </c>
      <c r="C12" s="6" t="s">
        <v>9</v>
      </c>
      <c r="D12" s="6">
        <v>5</v>
      </c>
      <c r="E12" s="6">
        <v>4</v>
      </c>
      <c r="F12" s="6">
        <v>30</v>
      </c>
      <c r="G12" s="7">
        <v>15</v>
      </c>
    </row>
    <row r="13" spans="2:7" x14ac:dyDescent="0.25">
      <c r="B13" s="2">
        <v>1.4</v>
      </c>
      <c r="C13" s="6" t="s">
        <v>10</v>
      </c>
      <c r="D13" s="6">
        <v>5</v>
      </c>
      <c r="E13" s="6">
        <v>0</v>
      </c>
      <c r="F13" s="6">
        <v>0</v>
      </c>
      <c r="G13" s="7">
        <v>7</v>
      </c>
    </row>
    <row r="14" spans="2:7" x14ac:dyDescent="0.25">
      <c r="B14" s="2"/>
      <c r="C14" s="6"/>
      <c r="D14" s="6"/>
      <c r="E14" s="6"/>
      <c r="F14" s="6"/>
      <c r="G14" s="7"/>
    </row>
    <row r="15" spans="2:7" ht="13" x14ac:dyDescent="0.3">
      <c r="B15" s="28">
        <v>2</v>
      </c>
      <c r="C15" s="8" t="s">
        <v>11</v>
      </c>
      <c r="D15" s="6"/>
      <c r="E15" s="6"/>
      <c r="F15" s="6"/>
      <c r="G15" s="7"/>
    </row>
    <row r="16" spans="2:7" x14ac:dyDescent="0.25">
      <c r="B16" s="2">
        <v>2.1</v>
      </c>
      <c r="C16" s="6" t="s">
        <v>12</v>
      </c>
      <c r="D16" s="6">
        <v>1000</v>
      </c>
      <c r="E16" s="6">
        <v>650</v>
      </c>
      <c r="F16" s="6">
        <v>60</v>
      </c>
      <c r="G16" s="7">
        <v>1100</v>
      </c>
    </row>
    <row r="17" spans="2:7" x14ac:dyDescent="0.25">
      <c r="B17" s="2">
        <v>2.2000000000000002</v>
      </c>
      <c r="C17" s="6" t="s">
        <v>9</v>
      </c>
      <c r="D17" s="6">
        <v>1000</v>
      </c>
      <c r="E17" s="6">
        <v>0</v>
      </c>
      <c r="F17" s="6">
        <v>0</v>
      </c>
      <c r="G17" s="7">
        <v>950</v>
      </c>
    </row>
    <row r="18" spans="2:7" x14ac:dyDescent="0.25">
      <c r="B18" s="2">
        <v>2.2999999999999998</v>
      </c>
      <c r="C18" s="6" t="s">
        <v>13</v>
      </c>
      <c r="D18" s="6">
        <v>20</v>
      </c>
      <c r="E18" s="6">
        <v>10</v>
      </c>
      <c r="F18" s="6">
        <v>40</v>
      </c>
      <c r="G18" s="7">
        <v>25</v>
      </c>
    </row>
    <row r="19" spans="2:7" x14ac:dyDescent="0.25">
      <c r="B19" s="2">
        <v>2.4</v>
      </c>
      <c r="C19" s="6" t="s">
        <v>14</v>
      </c>
      <c r="D19" s="6">
        <v>20</v>
      </c>
      <c r="E19" s="6">
        <v>0</v>
      </c>
      <c r="F19" s="6">
        <v>0</v>
      </c>
      <c r="G19" s="7">
        <v>22</v>
      </c>
    </row>
    <row r="20" spans="2:7" x14ac:dyDescent="0.25">
      <c r="B20" s="2">
        <v>2.5</v>
      </c>
      <c r="C20" s="6" t="s">
        <v>15</v>
      </c>
      <c r="D20" s="6">
        <v>20</v>
      </c>
      <c r="E20" s="6">
        <v>0</v>
      </c>
      <c r="F20" s="6">
        <v>0</v>
      </c>
      <c r="G20" s="7">
        <v>20</v>
      </c>
    </row>
    <row r="21" spans="2:7" x14ac:dyDescent="0.25">
      <c r="B21" s="2"/>
      <c r="C21" s="6"/>
      <c r="D21" s="6"/>
      <c r="E21" s="6"/>
      <c r="F21" s="6"/>
      <c r="G21" s="7"/>
    </row>
    <row r="22" spans="2:7" ht="13" x14ac:dyDescent="0.3">
      <c r="B22" s="28">
        <v>3</v>
      </c>
      <c r="C22" s="8" t="s">
        <v>16</v>
      </c>
      <c r="D22" s="6"/>
      <c r="E22" s="6"/>
      <c r="F22" s="6"/>
      <c r="G22" s="7"/>
    </row>
    <row r="23" spans="2:7" x14ac:dyDescent="0.25">
      <c r="B23" s="2">
        <v>3.1</v>
      </c>
      <c r="C23" s="6" t="s">
        <v>17</v>
      </c>
      <c r="D23" s="6">
        <v>500</v>
      </c>
      <c r="E23" s="6">
        <v>0</v>
      </c>
      <c r="F23" s="6">
        <v>0</v>
      </c>
      <c r="G23" s="7">
        <v>500</v>
      </c>
    </row>
    <row r="24" spans="2:7" x14ac:dyDescent="0.25">
      <c r="B24" s="2">
        <v>3.2</v>
      </c>
      <c r="C24" s="6" t="s">
        <v>18</v>
      </c>
      <c r="D24" s="6">
        <v>500</v>
      </c>
      <c r="E24" s="6">
        <v>0</v>
      </c>
      <c r="F24" s="6">
        <v>0</v>
      </c>
      <c r="G24" s="7">
        <v>500</v>
      </c>
    </row>
    <row r="25" spans="2:7" x14ac:dyDescent="0.25">
      <c r="B25" s="2"/>
      <c r="C25" s="6"/>
      <c r="D25" s="6"/>
      <c r="E25" s="6"/>
      <c r="F25" s="6"/>
      <c r="G25" s="7"/>
    </row>
    <row r="26" spans="2:7" x14ac:dyDescent="0.25">
      <c r="B26" s="2"/>
      <c r="C26" s="6" t="s">
        <v>23</v>
      </c>
      <c r="D26" s="6">
        <v>16.565000000000001</v>
      </c>
      <c r="E26" s="6">
        <v>5</v>
      </c>
      <c r="F26" s="6">
        <v>30</v>
      </c>
      <c r="G26" s="7">
        <v>16.5</v>
      </c>
    </row>
    <row r="27" spans="2:7" x14ac:dyDescent="0.25">
      <c r="B27" s="2"/>
      <c r="C27" s="6" t="s">
        <v>24</v>
      </c>
      <c r="D27" s="6">
        <v>161.11600000000001</v>
      </c>
      <c r="E27" s="6">
        <v>23.6</v>
      </c>
      <c r="F27" s="6">
        <v>20</v>
      </c>
      <c r="G27" s="7">
        <v>161.1</v>
      </c>
    </row>
    <row r="28" spans="2:7" x14ac:dyDescent="0.25">
      <c r="B28" s="2"/>
      <c r="C28" s="6" t="s">
        <v>25</v>
      </c>
      <c r="D28" s="6">
        <v>0.91400000000000003</v>
      </c>
      <c r="E28" s="6">
        <v>0.2</v>
      </c>
      <c r="F28" s="6">
        <v>20</v>
      </c>
      <c r="G28" s="7">
        <v>0.91400000000000003</v>
      </c>
    </row>
    <row r="29" spans="2:7" x14ac:dyDescent="0.25">
      <c r="B29" s="2"/>
      <c r="C29" s="6"/>
      <c r="D29" s="6"/>
      <c r="E29" s="6"/>
      <c r="F29" s="6"/>
      <c r="G29" s="7"/>
    </row>
    <row r="30" spans="2:7" x14ac:dyDescent="0.25">
      <c r="B30" s="2"/>
      <c r="C30" s="6"/>
      <c r="D30" s="6"/>
      <c r="E30" s="6"/>
      <c r="F30" s="6"/>
      <c r="G30" s="7"/>
    </row>
    <row r="31" spans="2:7" x14ac:dyDescent="0.25">
      <c r="B31" s="10"/>
      <c r="C31" s="11"/>
      <c r="D31" s="11"/>
      <c r="E31" s="11"/>
      <c r="F31" s="11"/>
      <c r="G31" s="12"/>
    </row>
    <row r="32" spans="2:7" ht="13" x14ac:dyDescent="0.3">
      <c r="B32" s="13" t="s">
        <v>4</v>
      </c>
      <c r="C32" s="14"/>
      <c r="D32" s="20">
        <f>SUM(D8:D31)</f>
        <v>3263.5950000000003</v>
      </c>
      <c r="E32" s="14"/>
      <c r="F32" s="14"/>
      <c r="G32" s="19">
        <f>SUM(G8:G31)</f>
        <v>3327.5140000000001</v>
      </c>
    </row>
    <row r="33" spans="2:7" x14ac:dyDescent="0.25">
      <c r="B33" s="2"/>
      <c r="C33" s="3"/>
      <c r="D33" s="3"/>
      <c r="E33" s="3"/>
      <c r="F33" s="3"/>
      <c r="G33" s="4"/>
    </row>
    <row r="34" spans="2:7" x14ac:dyDescent="0.25">
      <c r="B34" s="2" t="s">
        <v>5</v>
      </c>
      <c r="C34" s="3"/>
      <c r="D34" s="3">
        <f>D32-G32</f>
        <v>-63.918999999999869</v>
      </c>
      <c r="E34" s="3"/>
      <c r="F34" s="3"/>
      <c r="G34" s="4"/>
    </row>
    <row r="35" spans="2:7" x14ac:dyDescent="0.25">
      <c r="B35" s="2" t="s">
        <v>20</v>
      </c>
      <c r="C35" s="3"/>
      <c r="D35" s="3">
        <v>60</v>
      </c>
      <c r="E35" s="3"/>
      <c r="F35" s="3"/>
      <c r="G35" s="4"/>
    </row>
    <row r="36" spans="2:7" x14ac:dyDescent="0.25">
      <c r="B36" s="2"/>
      <c r="C36" s="3"/>
      <c r="D36" s="3"/>
      <c r="E36" s="3"/>
      <c r="F36" s="3"/>
      <c r="G36" s="4"/>
    </row>
    <row r="37" spans="2:7" x14ac:dyDescent="0.25">
      <c r="B37" s="10" t="s">
        <v>21</v>
      </c>
      <c r="C37" s="15"/>
      <c r="D37" s="15">
        <f>SUM(D34:D36)</f>
        <v>-3.918999999999869</v>
      </c>
      <c r="E37" s="15"/>
      <c r="F37" s="15"/>
      <c r="G37" s="16"/>
    </row>
    <row r="38" spans="2:7" x14ac:dyDescent="0.25">
      <c r="B38" s="2"/>
      <c r="C38" s="3"/>
      <c r="D38" s="3"/>
      <c r="E38" s="3"/>
      <c r="F38" s="3"/>
      <c r="G38" s="4"/>
    </row>
    <row r="39" spans="2:7" x14ac:dyDescent="0.25">
      <c r="B39" s="2"/>
      <c r="C39" s="3"/>
      <c r="D39" s="14" t="s">
        <v>30</v>
      </c>
      <c r="E39" s="14" t="s">
        <v>31</v>
      </c>
      <c r="F39" s="14"/>
      <c r="G39" s="9" t="s">
        <v>32</v>
      </c>
    </row>
    <row r="40" spans="2:7" ht="13" thickBot="1" x14ac:dyDescent="0.3">
      <c r="B40" s="23"/>
      <c r="C40" s="24" t="s">
        <v>29</v>
      </c>
      <c r="D40" s="25">
        <v>0</v>
      </c>
      <c r="E40" s="25">
        <v>0.3</v>
      </c>
      <c r="F40" s="25"/>
      <c r="G40" s="26">
        <v>2</v>
      </c>
    </row>
    <row r="41" spans="2:7" x14ac:dyDescent="0.25">
      <c r="B41" s="2"/>
      <c r="C41" s="3"/>
      <c r="D41" s="3"/>
      <c r="E41" s="3"/>
      <c r="F41" s="3"/>
      <c r="G41" s="4"/>
    </row>
    <row r="42" spans="2:7" ht="13" thickBot="1" x14ac:dyDescent="0.3">
      <c r="B42" s="21" t="s">
        <v>33</v>
      </c>
      <c r="C42" s="5"/>
      <c r="D42" s="5"/>
      <c r="E42" s="5"/>
      <c r="F42" s="5"/>
      <c r="G42" s="22" t="s">
        <v>34</v>
      </c>
    </row>
  </sheetData>
  <mergeCells count="5">
    <mergeCell ref="D6:E6"/>
    <mergeCell ref="B2:G3"/>
    <mergeCell ref="B4:G5"/>
    <mergeCell ref="B6:B7"/>
    <mergeCell ref="C6:C7"/>
  </mergeCells>
  <phoneticPr fontId="0" type="noConversion"/>
  <pageMargins left="0.75" right="0.75" top="1" bottom="1" header="0.5" footer="0.5"/>
  <pageSetup paperSize="9" scale="9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CCLRC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rjg24</dc:creator>
  <cp:lastModifiedBy>Carina Negreanu</cp:lastModifiedBy>
  <cp:lastPrinted>2003-07-30T13:38:17Z</cp:lastPrinted>
  <dcterms:created xsi:type="dcterms:W3CDTF">2003-05-08T10:16:07Z</dcterms:created>
  <dcterms:modified xsi:type="dcterms:W3CDTF">2020-01-27T11:34:50Z</dcterms:modified>
</cp:coreProperties>
</file>