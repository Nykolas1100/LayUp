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672BB90-6805-4BFD-912B-8C59CF257DFC}"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unnamed">Sheet1!$K$3:$K$23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 i="1" l="1"/>
  <c r="R3" i="1"/>
  <c r="V3" i="1"/>
  <c r="N4" i="1"/>
  <c r="R4" i="1"/>
  <c r="V4" i="1"/>
  <c r="B5" i="1"/>
  <c r="C5" i="1"/>
  <c r="D5" i="1"/>
  <c r="F5" i="1"/>
  <c r="G5" i="1"/>
  <c r="H5" i="1"/>
  <c r="L5" i="1"/>
  <c r="M5" i="1"/>
  <c r="N5" i="1"/>
  <c r="L51" i="1" s="1"/>
  <c r="P5" i="1"/>
  <c r="P26" i="1" s="1"/>
  <c r="Q5" i="1"/>
  <c r="Q26" i="1" s="1"/>
  <c r="R5" i="1"/>
  <c r="T5" i="1"/>
  <c r="V5" i="1" s="1"/>
  <c r="U5" i="1"/>
  <c r="U26" i="1" s="1"/>
  <c r="R6" i="1"/>
  <c r="L7" i="1"/>
  <c r="M7" i="1"/>
  <c r="N7" i="1"/>
  <c r="P7" i="1"/>
  <c r="R7" i="1"/>
  <c r="T7" i="1"/>
  <c r="U7" i="1"/>
  <c r="U25" i="1" s="1"/>
  <c r="V7" i="1"/>
  <c r="N8" i="1"/>
  <c r="N25" i="1" s="1"/>
  <c r="L53" i="1" s="1"/>
  <c r="R8" i="1"/>
  <c r="R25" i="1" s="1"/>
  <c r="V8" i="1"/>
  <c r="B9" i="1"/>
  <c r="F9" i="1"/>
  <c r="F10" i="1" s="1"/>
  <c r="N9" i="1"/>
  <c r="N23" i="1" s="1"/>
  <c r="R9" i="1"/>
  <c r="R23" i="1" s="1"/>
  <c r="V9" i="1"/>
  <c r="V23" i="1" s="1"/>
  <c r="B10" i="1"/>
  <c r="C10" i="1"/>
  <c r="D10" i="1"/>
  <c r="G10" i="1"/>
  <c r="H10" i="1"/>
  <c r="N10" i="1"/>
  <c r="R10" i="1"/>
  <c r="V10" i="1"/>
  <c r="N11" i="1"/>
  <c r="R11" i="1"/>
  <c r="V11" i="1"/>
  <c r="N12" i="1"/>
  <c r="R12" i="1"/>
  <c r="V12" i="1"/>
  <c r="V24" i="1" s="1"/>
  <c r="U51" i="1" s="1"/>
  <c r="F13" i="1"/>
  <c r="F15" i="1" s="1"/>
  <c r="G13" i="1"/>
  <c r="G15" i="1" s="1"/>
  <c r="N13" i="1"/>
  <c r="R13" i="1"/>
  <c r="V13" i="1"/>
  <c r="N14" i="1"/>
  <c r="N26" i="1" s="1"/>
  <c r="R14" i="1"/>
  <c r="R26" i="1" s="1"/>
  <c r="V14" i="1"/>
  <c r="B15" i="1"/>
  <c r="C15" i="1"/>
  <c r="L15" i="1"/>
  <c r="L30" i="1" s="1"/>
  <c r="M15" i="1"/>
  <c r="M30" i="1" s="1"/>
  <c r="P15" i="1"/>
  <c r="P37" i="1" s="1"/>
  <c r="Q15" i="1"/>
  <c r="Q30" i="1" s="1"/>
  <c r="T15" i="1"/>
  <c r="T30" i="1" s="1"/>
  <c r="U15" i="1"/>
  <c r="U30" i="1" s="1"/>
  <c r="L16" i="1"/>
  <c r="P16" i="1"/>
  <c r="T16" i="1"/>
  <c r="B17" i="1"/>
  <c r="C17" i="1"/>
  <c r="D17" i="1"/>
  <c r="F17" i="1"/>
  <c r="G17" i="1"/>
  <c r="G20" i="1" s="1"/>
  <c r="H17" i="1"/>
  <c r="N17" i="1"/>
  <c r="R17" i="1"/>
  <c r="V17" i="1"/>
  <c r="B18" i="1"/>
  <c r="B20" i="1" s="1"/>
  <c r="C18" i="1"/>
  <c r="C20" i="1" s="1"/>
  <c r="F18" i="1"/>
  <c r="F20" i="1" s="1"/>
  <c r="G18" i="1"/>
  <c r="N18" i="1"/>
  <c r="R18" i="1"/>
  <c r="V18" i="1"/>
  <c r="M19" i="1"/>
  <c r="M36" i="1" s="1"/>
  <c r="N19" i="1"/>
  <c r="Q19" i="1"/>
  <c r="Q35" i="1" s="1"/>
  <c r="R19" i="1"/>
  <c r="U19" i="1"/>
  <c r="V19" i="1"/>
  <c r="N20" i="1"/>
  <c r="Q20" i="1"/>
  <c r="R20" i="1"/>
  <c r="V20" i="1"/>
  <c r="N21" i="1"/>
  <c r="R21" i="1"/>
  <c r="V21" i="1"/>
  <c r="B23" i="1"/>
  <c r="B24" i="1" s="1"/>
  <c r="C23" i="1"/>
  <c r="C24" i="1" s="1"/>
  <c r="D23" i="1"/>
  <c r="D24" i="1" s="1"/>
  <c r="F23" i="1"/>
  <c r="F24" i="1" s="1"/>
  <c r="G23" i="1"/>
  <c r="G24" i="1" s="1"/>
  <c r="H23" i="1"/>
  <c r="H24" i="1" s="1"/>
  <c r="L23" i="1"/>
  <c r="M23" i="1"/>
  <c r="P23" i="1"/>
  <c r="Q23" i="1"/>
  <c r="T23" i="1"/>
  <c r="U23" i="1"/>
  <c r="L24" i="1"/>
  <c r="M24" i="1"/>
  <c r="N24" i="1"/>
  <c r="L52" i="1" s="1"/>
  <c r="P24" i="1"/>
  <c r="Q24" i="1"/>
  <c r="R24" i="1"/>
  <c r="V51" i="1" s="1"/>
  <c r="T24" i="1"/>
  <c r="U24" i="1"/>
  <c r="L25" i="1"/>
  <c r="M25" i="1"/>
  <c r="P25" i="1"/>
  <c r="Q25" i="1"/>
  <c r="T25" i="1"/>
  <c r="V25" i="1"/>
  <c r="B26" i="1"/>
  <c r="C26" i="1"/>
  <c r="D26" i="1"/>
  <c r="F26" i="1"/>
  <c r="G26" i="1"/>
  <c r="G28" i="1" s="1"/>
  <c r="H26" i="1"/>
  <c r="H28" i="1" s="1"/>
  <c r="L26" i="1"/>
  <c r="M26" i="1"/>
  <c r="L27" i="1"/>
  <c r="M27" i="1"/>
  <c r="P27" i="1"/>
  <c r="Q27" i="1"/>
  <c r="T27" i="1"/>
  <c r="U27" i="1"/>
  <c r="B28" i="1"/>
  <c r="C28" i="1"/>
  <c r="D28" i="1"/>
  <c r="F28" i="1"/>
  <c r="L28" i="1"/>
  <c r="M28" i="1"/>
  <c r="P28" i="1"/>
  <c r="Q28" i="1"/>
  <c r="T28" i="1"/>
  <c r="U28" i="1"/>
  <c r="L29" i="1"/>
  <c r="M29" i="1"/>
  <c r="P29" i="1"/>
  <c r="Q29" i="1"/>
  <c r="T29" i="1"/>
  <c r="U29" i="1"/>
  <c r="F31" i="1"/>
  <c r="F32" i="1" s="1"/>
  <c r="G31" i="1"/>
  <c r="G32" i="1" s="1"/>
  <c r="H31" i="1"/>
  <c r="H32" i="1" s="1"/>
  <c r="L31" i="1"/>
  <c r="M31" i="1"/>
  <c r="P31" i="1"/>
  <c r="Q31" i="1"/>
  <c r="T31" i="1"/>
  <c r="U31" i="1"/>
  <c r="B32" i="1"/>
  <c r="C32" i="1"/>
  <c r="D32" i="1"/>
  <c r="L32" i="1"/>
  <c r="M32" i="1"/>
  <c r="Q32" i="1"/>
  <c r="U32" i="1"/>
  <c r="B34" i="1"/>
  <c r="B36" i="1" s="1"/>
  <c r="C34" i="1"/>
  <c r="C51" i="1" s="1"/>
  <c r="D34" i="1"/>
  <c r="D51" i="1" s="1"/>
  <c r="F34" i="1"/>
  <c r="F51" i="1" s="1"/>
  <c r="L34" i="1"/>
  <c r="M34" i="1"/>
  <c r="P34" i="1"/>
  <c r="P35" i="1" s="1"/>
  <c r="Q34" i="1"/>
  <c r="T34" i="1"/>
  <c r="T35" i="1" s="1"/>
  <c r="U34" i="1"/>
  <c r="U35" i="1" s="1"/>
  <c r="B35" i="1"/>
  <c r="B47" i="1" s="1"/>
  <c r="C35" i="1"/>
  <c r="D35" i="1"/>
  <c r="F35" i="1"/>
  <c r="G35" i="1"/>
  <c r="H35" i="1"/>
  <c r="H55" i="1" s="1"/>
  <c r="L35" i="1"/>
  <c r="L36" i="1"/>
  <c r="P36" i="1"/>
  <c r="Q36" i="1"/>
  <c r="T36" i="1"/>
  <c r="U36" i="1"/>
  <c r="L38" i="1"/>
  <c r="P38" i="1"/>
  <c r="P39" i="1" s="1"/>
  <c r="T38" i="1"/>
  <c r="L40" i="1"/>
  <c r="L45" i="1"/>
  <c r="C47" i="1"/>
  <c r="D47" i="1"/>
  <c r="D48" i="1" s="1"/>
  <c r="F47" i="1"/>
  <c r="F48" i="1" s="1"/>
  <c r="G47" i="1"/>
  <c r="G48" i="1" s="1"/>
  <c r="H47" i="1"/>
  <c r="H62" i="1" s="1"/>
  <c r="G61" i="1" s="1"/>
  <c r="C48" i="1"/>
  <c r="V49" i="1"/>
  <c r="V50" i="1"/>
  <c r="M51" i="1"/>
  <c r="U52" i="1"/>
  <c r="B55" i="1"/>
  <c r="C55" i="1"/>
  <c r="D55" i="1"/>
  <c r="F55" i="1"/>
  <c r="G55" i="1"/>
  <c r="B58" i="1"/>
  <c r="C58" i="1"/>
  <c r="D58" i="1"/>
  <c r="F58" i="1"/>
  <c r="G58" i="1"/>
  <c r="H58" i="1"/>
  <c r="D61" i="1"/>
  <c r="H61" i="1"/>
  <c r="C62" i="1"/>
  <c r="B61" i="1" s="1"/>
  <c r="V26" i="1" l="1"/>
  <c r="U50" i="1"/>
  <c r="W51" i="1"/>
  <c r="N51" i="1"/>
  <c r="R32" i="1"/>
  <c r="T39" i="1"/>
  <c r="R30" i="1"/>
  <c r="F53" i="1"/>
  <c r="F57" i="1"/>
  <c r="F59" i="1" s="1"/>
  <c r="F66" i="1" s="1"/>
  <c r="R35" i="1"/>
  <c r="N30" i="1"/>
  <c r="L56" i="1" s="1"/>
  <c r="C57" i="1"/>
  <c r="C59" i="1" s="1"/>
  <c r="C66" i="1" s="1"/>
  <c r="C53" i="1"/>
  <c r="N53" i="1"/>
  <c r="N36" i="1"/>
  <c r="L64" i="1" s="1"/>
  <c r="D57" i="1"/>
  <c r="D59" i="1" s="1"/>
  <c r="D66" i="1" s="1"/>
  <c r="C65" i="1" s="1"/>
  <c r="D53" i="1"/>
  <c r="M53" i="1"/>
  <c r="V52" i="1"/>
  <c r="W52" i="1" s="1"/>
  <c r="B48" i="1"/>
  <c r="B62" i="1"/>
  <c r="B63" i="1" s="1"/>
  <c r="B51" i="1"/>
  <c r="M35" i="1"/>
  <c r="M50" i="1"/>
  <c r="L50" i="1"/>
  <c r="N50" i="1" s="1"/>
  <c r="T32" i="1"/>
  <c r="V15" i="1"/>
  <c r="M52" i="1"/>
  <c r="N52" i="1" s="1"/>
  <c r="R27" i="1"/>
  <c r="V27" i="1"/>
  <c r="U60" i="1" s="1"/>
  <c r="U49" i="1"/>
  <c r="W49" i="1" s="1"/>
  <c r="M45" i="1"/>
  <c r="N45" i="1" s="1"/>
  <c r="V34" i="1"/>
  <c r="P32" i="1"/>
  <c r="V28" i="1"/>
  <c r="U59" i="1" s="1"/>
  <c r="R15" i="1"/>
  <c r="F36" i="1"/>
  <c r="N27" i="1"/>
  <c r="L61" i="1" s="1"/>
  <c r="T37" i="1"/>
  <c r="C36" i="1"/>
  <c r="R34" i="1"/>
  <c r="R28" i="1"/>
  <c r="N15" i="1"/>
  <c r="C63" i="1"/>
  <c r="D36" i="1"/>
  <c r="N28" i="1"/>
  <c r="L60" i="1" s="1"/>
  <c r="N34" i="1"/>
  <c r="T26" i="1"/>
  <c r="H48" i="1"/>
  <c r="P30" i="1"/>
  <c r="G62" i="1"/>
  <c r="F62" i="1"/>
  <c r="L37" i="1"/>
  <c r="L39" i="1" s="1"/>
  <c r="H34" i="1"/>
  <c r="D62" i="1"/>
  <c r="C61" i="1" s="1"/>
  <c r="G34" i="1"/>
  <c r="V35" i="1" l="1"/>
  <c r="U62" i="1" s="1"/>
  <c r="U38" i="1"/>
  <c r="V38" i="1"/>
  <c r="V55" i="1"/>
  <c r="M56" i="1"/>
  <c r="N56" i="1" s="1"/>
  <c r="B65" i="1"/>
  <c r="C67" i="1"/>
  <c r="C69" i="1" s="1"/>
  <c r="M61" i="1"/>
  <c r="V60" i="1"/>
  <c r="M38" i="1"/>
  <c r="M39" i="1" s="1"/>
  <c r="N38" i="1"/>
  <c r="N39" i="1" s="1"/>
  <c r="V36" i="1"/>
  <c r="U63" i="1" s="1"/>
  <c r="U48" i="1"/>
  <c r="W48" i="1" s="1"/>
  <c r="V37" i="1"/>
  <c r="V32" i="1"/>
  <c r="U57" i="1" s="1"/>
  <c r="W57" i="1" s="1"/>
  <c r="U16" i="1"/>
  <c r="U37" i="1" s="1"/>
  <c r="V29" i="1"/>
  <c r="U54" i="1" s="1"/>
  <c r="N37" i="1"/>
  <c r="M16" i="1"/>
  <c r="M37" i="1" s="1"/>
  <c r="L49" i="1"/>
  <c r="N32" i="1"/>
  <c r="L58" i="1" s="1"/>
  <c r="N29" i="1"/>
  <c r="L55" i="1" s="1"/>
  <c r="N31" i="1"/>
  <c r="L57" i="1" s="1"/>
  <c r="N35" i="1"/>
  <c r="L63" i="1" s="1"/>
  <c r="R38" i="1"/>
  <c r="R39" i="1" s="1"/>
  <c r="Q38" i="1"/>
  <c r="G63" i="1"/>
  <c r="F61" i="1"/>
  <c r="F63" i="1" s="1"/>
  <c r="W60" i="1"/>
  <c r="V59" i="1"/>
  <c r="M60" i="1"/>
  <c r="N60" i="1" s="1"/>
  <c r="V31" i="1"/>
  <c r="U56" i="1" s="1"/>
  <c r="B57" i="1"/>
  <c r="B59" i="1" s="1"/>
  <c r="B66" i="1" s="1"/>
  <c r="B67" i="1" s="1"/>
  <c r="B69" i="1" s="1"/>
  <c r="B53" i="1"/>
  <c r="G51" i="1"/>
  <c r="G36" i="1"/>
  <c r="H51" i="1"/>
  <c r="H36" i="1"/>
  <c r="M49" i="1"/>
  <c r="M54" i="1" s="1"/>
  <c r="R36" i="1"/>
  <c r="V48" i="1"/>
  <c r="V53" i="1" s="1"/>
  <c r="R37" i="1"/>
  <c r="R29" i="1"/>
  <c r="R31" i="1"/>
  <c r="Q16" i="1"/>
  <c r="Q37" i="1" s="1"/>
  <c r="W50" i="1"/>
  <c r="V62" i="1"/>
  <c r="M63" i="1"/>
  <c r="V30" i="1"/>
  <c r="U55" i="1" s="1"/>
  <c r="W55" i="1" s="1"/>
  <c r="V57" i="1"/>
  <c r="M58" i="1"/>
  <c r="N61" i="1"/>
  <c r="W59" i="1"/>
  <c r="U53" i="1" l="1"/>
  <c r="W53" i="1" s="1"/>
  <c r="V39" i="1"/>
  <c r="M57" i="1"/>
  <c r="N57" i="1" s="1"/>
  <c r="V56" i="1"/>
  <c r="W56" i="1" s="1"/>
  <c r="N58" i="1"/>
  <c r="H53" i="1"/>
  <c r="H57" i="1"/>
  <c r="H59" i="1" s="1"/>
  <c r="H66" i="1" s="1"/>
  <c r="G65" i="1" s="1"/>
  <c r="U39" i="1"/>
  <c r="G57" i="1"/>
  <c r="G59" i="1" s="1"/>
  <c r="G66" i="1" s="1"/>
  <c r="G53" i="1"/>
  <c r="Q39" i="1"/>
  <c r="M55" i="1"/>
  <c r="N55" i="1" s="1"/>
  <c r="V54" i="1"/>
  <c r="W54" i="1" s="1"/>
  <c r="N63" i="1"/>
  <c r="V63" i="1"/>
  <c r="W63" i="1" s="1"/>
  <c r="M64" i="1"/>
  <c r="N64" i="1" s="1"/>
  <c r="N49" i="1"/>
  <c r="L54" i="1"/>
  <c r="N54" i="1" s="1"/>
  <c r="W62" i="1"/>
  <c r="F65" i="1" l="1"/>
  <c r="F67" i="1" s="1"/>
  <c r="F69" i="1" s="1"/>
  <c r="G67" i="1"/>
  <c r="G69" i="1" s="1"/>
</calcChain>
</file>

<file path=xl/sharedStrings.xml><?xml version="1.0" encoding="utf-8"?>
<sst xmlns="http://schemas.openxmlformats.org/spreadsheetml/2006/main" count="174" uniqueCount="174">
  <si>
    <t>Albertsons</t>
  </si>
  <si>
    <t>Safeway</t>
  </si>
  <si>
    <t>HPQ</t>
  </si>
  <si>
    <t>Dell</t>
  </si>
  <si>
    <t>HPQ++</t>
  </si>
  <si>
    <t>8/2003</t>
  </si>
  <si>
    <t>5/2003</t>
  </si>
  <si>
    <t xml:space="preserve"> </t>
  </si>
  <si>
    <t>8/2003</t>
  </si>
  <si>
    <t>5/2003</t>
  </si>
  <si>
    <t xml:space="preserve"> </t>
  </si>
  <si>
    <t>8/2003</t>
  </si>
  <si>
    <t>5/2003</t>
  </si>
  <si>
    <t>Current Assets</t>
  </si>
  <si>
    <t>Current Assets</t>
  </si>
  <si>
    <t>Current Liabilities</t>
  </si>
  <si>
    <t>Total Assets</t>
  </si>
  <si>
    <t>Current Ratio</t>
  </si>
  <si>
    <t>Beginning Assets</t>
  </si>
  <si>
    <t>Ending Inventory</t>
  </si>
  <si>
    <t>Receivables</t>
  </si>
  <si>
    <t>Beginning Inventory</t>
  </si>
  <si>
    <t>Revenue for Period</t>
  </si>
  <si>
    <t>Cost of Sales</t>
  </si>
  <si>
    <t>Days in period</t>
  </si>
  <si>
    <t>Current Liabilities</t>
  </si>
  <si>
    <t>DSO</t>
  </si>
  <si>
    <t>Days in period</t>
  </si>
  <si>
    <t>Gross Profit</t>
  </si>
  <si>
    <t>Cost of Sales</t>
  </si>
  <si>
    <t>Receivables</t>
  </si>
  <si>
    <t>Beginning Inventory</t>
  </si>
  <si>
    <t>n/a</t>
  </si>
  <si>
    <t>n/a</t>
  </si>
  <si>
    <t>Reported Net Earnings</t>
  </si>
  <si>
    <t>Ending Inventory</t>
  </si>
  <si>
    <t>Revenue for Period</t>
  </si>
  <si>
    <t>Inventory Turnover</t>
  </si>
  <si>
    <t>Sales</t>
  </si>
  <si>
    <t>Sales [n-1]th year</t>
  </si>
  <si>
    <t>Revenue for Period</t>
  </si>
  <si>
    <t>Shareholders Equity</t>
  </si>
  <si>
    <t>Beginning Assets</t>
  </si>
  <si>
    <t>n/a</t>
  </si>
  <si>
    <t>n/a</t>
  </si>
  <si>
    <t>SG&amp;A</t>
  </si>
  <si>
    <t>Ending Assets</t>
  </si>
  <si>
    <t>Price [12/31/200X]</t>
  </si>
  <si>
    <t>Asset Turnover</t>
  </si>
  <si>
    <t>Shares</t>
  </si>
  <si>
    <t>R&amp;D costs</t>
  </si>
  <si>
    <t>Reported Net Earnings</t>
  </si>
  <si>
    <t>Ending Assets</t>
  </si>
  <si>
    <t>Curr A/Curr Lia</t>
  </si>
  <si>
    <t>Current Ratio</t>
  </si>
  <si>
    <t xml:space="preserve"> </t>
  </si>
  <si>
    <t>ROA</t>
  </si>
  <si>
    <t>AR/revenue * Days</t>
  </si>
  <si>
    <t>DaysReceivable</t>
  </si>
  <si>
    <t xml:space="preserve"> </t>
  </si>
  <si>
    <t>2*COGS/(avg inv)</t>
  </si>
  <si>
    <t>Inventory Turnover</t>
  </si>
  <si>
    <t>Reported Net Earnings</t>
  </si>
  <si>
    <t>2*rev/(avg assets)</t>
  </si>
  <si>
    <t>Asset Turnover</t>
  </si>
  <si>
    <t>Shareholders Equity</t>
  </si>
  <si>
    <t>Net ear/assets</t>
  </si>
  <si>
    <t>ROA</t>
  </si>
  <si>
    <t>ROE</t>
  </si>
  <si>
    <t>Net ear/equity</t>
  </si>
  <si>
    <t>ROE</t>
  </si>
  <si>
    <t>Gross profit/sales</t>
  </si>
  <si>
    <t>Gross Margin %</t>
  </si>
  <si>
    <t>Gross Profit</t>
  </si>
  <si>
    <t>Net ear/sales</t>
  </si>
  <si>
    <t>Profit Margin %</t>
  </si>
  <si>
    <t>Sales</t>
  </si>
  <si>
    <t>G&amp;A/sales</t>
  </si>
  <si>
    <t>G&amp;A %</t>
  </si>
  <si>
    <t>Gross Margin %</t>
  </si>
  <si>
    <t>R&amp;D%</t>
  </si>
  <si>
    <t>Marketing %</t>
  </si>
  <si>
    <t>Reported Net Earnings</t>
  </si>
  <si>
    <t>Net ear/shares</t>
  </si>
  <si>
    <t>EPS</t>
  </si>
  <si>
    <t>Sales</t>
  </si>
  <si>
    <t>price/eps</t>
  </si>
  <si>
    <t>P/E</t>
  </si>
  <si>
    <t>Profit Margin %</t>
  </si>
  <si>
    <t>price/sales per share</t>
  </si>
  <si>
    <t>P/S</t>
  </si>
  <si>
    <t>(sales[n]-sales[n-1])/sales[n-1]</t>
  </si>
  <si>
    <t>Sales Growth</t>
  </si>
  <si>
    <t>R&amp;D</t>
  </si>
  <si>
    <t>eps[n]-eps[n-1]/eps[n-1]</t>
  </si>
  <si>
    <t>Profit Growth Rate</t>
  </si>
  <si>
    <t>Sales</t>
  </si>
  <si>
    <t>Profit gro/sales growth</t>
  </si>
  <si>
    <t>Earnings Leverage</t>
  </si>
  <si>
    <t>R&amp;D Expense</t>
  </si>
  <si>
    <t>Market Cap</t>
  </si>
  <si>
    <t>Marketing</t>
  </si>
  <si>
    <t>Sales</t>
  </si>
  <si>
    <t>During the three and six months ended August 1, 2003, selling, general and administrative expenses increased in absolute dollars when compared to the same periods last year. This increase was commensurate with the corresponding increase in net revenue as Dell continues to invest in global expansion efforts as part of its strategy to profitably gain market share. However, due to strong revenue growth Dell was able to achieve lower selling, general and administrative expenses as a percentage of net revenue of 8.4% during the second quarter of fiscal 2004, down from 8.6% in the second quarter of fiscal 2003.</t>
  </si>
  <si>
    <t>G&amp;A</t>
  </si>
  <si>
    <t>Sales</t>
  </si>
  <si>
    <t>(Avg over 2 Qtrs)</t>
  </si>
  <si>
    <t>HPQ</t>
  </si>
  <si>
    <t>DELL</t>
  </si>
  <si>
    <t>Ratios</t>
  </si>
  <si>
    <t>G&amp;A %</t>
  </si>
  <si>
    <t>(Avg over 2 Qtrs)</t>
  </si>
  <si>
    <t>HPQ</t>
  </si>
  <si>
    <t>DELL</t>
  </si>
  <si>
    <t>Ratios</t>
  </si>
  <si>
    <t>Sales</t>
  </si>
  <si>
    <t>Sales</t>
  </si>
  <si>
    <t>Net Income</t>
  </si>
  <si>
    <t>Price</t>
  </si>
  <si>
    <t>Net Income</t>
  </si>
  <si>
    <t>Assets</t>
  </si>
  <si>
    <t>Reported Net Earnings</t>
  </si>
  <si>
    <t>Assets</t>
  </si>
  <si>
    <t>Days Receivable</t>
  </si>
  <si>
    <t>Shares</t>
  </si>
  <si>
    <t>Days Receivable</t>
  </si>
  <si>
    <t>Inventory Turnover</t>
  </si>
  <si>
    <t>P/E</t>
  </si>
  <si>
    <t>Inventory Turnover</t>
  </si>
  <si>
    <t>Asset/Sales</t>
  </si>
  <si>
    <t xml:space="preserve"> </t>
  </si>
  <si>
    <t>Asset/Sales</t>
  </si>
  <si>
    <t>Gross Margin %</t>
  </si>
  <si>
    <t>P/S</t>
  </si>
  <si>
    <t>Gross Margin %</t>
  </si>
  <si>
    <t>Profit Margin %</t>
  </si>
  <si>
    <t xml:space="preserve"> </t>
  </si>
  <si>
    <t>Profit Margin %</t>
  </si>
  <si>
    <t>SG&amp;A %</t>
  </si>
  <si>
    <t>Reported Net Earnings</t>
  </si>
  <si>
    <t>SG&amp;A %</t>
  </si>
  <si>
    <t>R&amp;D%</t>
  </si>
  <si>
    <t>Shares</t>
  </si>
  <si>
    <t>R&amp;D%</t>
  </si>
  <si>
    <t>EPS</t>
  </si>
  <si>
    <t>ROE</t>
  </si>
  <si>
    <t>ROE</t>
  </si>
  <si>
    <t>ROA</t>
  </si>
  <si>
    <t>Sales [n-1]</t>
  </si>
  <si>
    <t>ROA</t>
  </si>
  <si>
    <t xml:space="preserve"> </t>
  </si>
  <si>
    <t>Sales [n]</t>
  </si>
  <si>
    <t>(Trailing) P/E</t>
  </si>
  <si>
    <t>Sales Growth</t>
  </si>
  <si>
    <t xml:space="preserve"> </t>
  </si>
  <si>
    <t xml:space="preserve"> </t>
  </si>
  <si>
    <t>(Trailing) P/E</t>
  </si>
  <si>
    <t>(Trailing) P/S</t>
  </si>
  <si>
    <t>(Trailing) P/S</t>
  </si>
  <si>
    <t>EPS [n-1]</t>
  </si>
  <si>
    <t>EPS [n]</t>
  </si>
  <si>
    <t>Profit Growth Rate</t>
  </si>
  <si>
    <t>Earnings Leverage</t>
  </si>
  <si>
    <t xml:space="preserve"> </t>
  </si>
  <si>
    <t xml:space="preserve"> </t>
  </si>
  <si>
    <t>WMT</t>
  </si>
  <si>
    <t>TGT</t>
  </si>
  <si>
    <t>ROE</t>
  </si>
  <si>
    <t>ROA</t>
  </si>
  <si>
    <t>Profit Margin</t>
  </si>
  <si>
    <t>Current Ratio</t>
  </si>
  <si>
    <t>Sales</t>
  </si>
  <si>
    <t>Net Income</t>
  </si>
  <si>
    <t>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</si>
</sst>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
    <numFmt numFmtId="173" formatCode="0.0%"/>
  </numFmts>
  <fonts count="9">
    <font>
      <sz val="10"/>
      <name val="Arial"/>
    </font>
    <font>
      <b/>
      <sz val="16"/>
      <color indexed="8"/>
      <name val="Albany"/>
      <family val="2"/>
    </font>
    <font>
      <sz val="10"/>
      <color indexed="8"/>
      <name val="Arial"/>
    </font>
    <font>
      <b/>
      <sz val="14"/>
      <color indexed="8"/>
      <name val="Albany"/>
      <family val="2"/>
    </font>
    <font>
      <b/>
      <sz val="10"/>
      <color indexed="8"/>
      <name val="Albany"/>
      <family val="2"/>
    </font>
    <font>
      <b/>
      <sz val="10"/>
      <color indexed="8"/>
      <name val="Verdana"/>
    </font>
    <font>
      <sz val="10"/>
      <color indexed="8"/>
      <name val="Albany"/>
      <family val="2"/>
    </font>
    <font>
      <i/>
      <sz val="10"/>
      <color indexed="8"/>
      <name val="Arial"/>
    </font>
    <font>
      <b/>
      <sz val="10"/>
      <color indexed="8"/>
      <name val="Arial"/>
    </font>
  </fonts>
  <fills count="8">
    <fill>
      <patternFill patternType="none"/>
    </fill>
    <fill>
      <patternFill patternType="gray125"/>
    </fill>
    <fill>
      <patternFill patternType="solid">
        <fgColor indexed="9"/>
        <bgColor indexed="12"/>
      </patternFill>
    </fill>
    <fill>
      <patternFill patternType="solid">
        <fgColor indexed="14"/>
        <bgColor indexed="15"/>
      </patternFill>
    </fill>
    <fill>
      <patternFill patternType="solid">
        <fgColor indexed="10"/>
        <bgColor indexed="12"/>
      </patternFill>
    </fill>
    <fill>
      <patternFill patternType="solid">
        <fgColor indexed="12"/>
        <bgColor indexed="10"/>
      </patternFill>
    </fill>
    <fill>
      <patternFill patternType="solid">
        <fgColor indexed="13"/>
        <bgColor indexed="10"/>
      </patternFill>
    </fill>
    <fill>
      <patternFill patternType="solid">
        <fgColor indexed="11"/>
        <bgColor indexed="13"/>
      </patternFill>
    </fill>
  </fills>
  <borders count="9">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6" fillId="0" borderId="0" xfId="0" applyFont="1"/>
    <xf numFmtId="0" fontId="4" fillId="2" borderId="0" xfId="0" applyFont="1" applyFill="1"/>
    <xf numFmtId="0" fontId="6" fillId="3" borderId="0" xfId="0" applyFont="1" applyFill="1"/>
    <xf numFmtId="10" fontId="6" fillId="3" borderId="0" xfId="0" applyNumberFormat="1" applyFont="1" applyFill="1"/>
    <xf numFmtId="0" fontId="2" fillId="4" borderId="1" xfId="0" applyFont="1" applyFill="1" applyBorder="1"/>
    <xf numFmtId="0" fontId="4" fillId="5" borderId="2" xfId="0" applyFont="1" applyFill="1" applyBorder="1" applyAlignment="1">
      <alignment horizontal="center"/>
    </xf>
    <xf numFmtId="0" fontId="4" fillId="6" borderId="2" xfId="0" applyFont="1" applyFill="1" applyBorder="1" applyAlignment="1">
      <alignment horizontal="center"/>
    </xf>
    <xf numFmtId="0" fontId="4" fillId="7" borderId="3" xfId="0" applyFont="1" applyFill="1" applyBorder="1" applyAlignment="1">
      <alignment horizontal="center"/>
    </xf>
    <xf numFmtId="0" fontId="7" fillId="4" borderId="4" xfId="0" applyFont="1" applyFill="1" applyBorder="1" applyAlignment="1">
      <alignment horizontal="right"/>
    </xf>
    <xf numFmtId="0" fontId="2" fillId="5" borderId="0" xfId="0" applyFont="1" applyFill="1"/>
    <xf numFmtId="0" fontId="2" fillId="6" borderId="0" xfId="0" applyFont="1" applyFill="1"/>
    <xf numFmtId="0" fontId="2" fillId="7" borderId="5" xfId="0" applyFont="1" applyFill="1" applyBorder="1"/>
    <xf numFmtId="172" fontId="2" fillId="5" borderId="0" xfId="0" applyNumberFormat="1" applyFont="1" applyFill="1"/>
    <xf numFmtId="172" fontId="2" fillId="6" borderId="0" xfId="0" applyNumberFormat="1" applyFont="1" applyFill="1"/>
    <xf numFmtId="172" fontId="6" fillId="5" borderId="0" xfId="0" applyNumberFormat="1" applyFont="1" applyFill="1"/>
    <xf numFmtId="172" fontId="6" fillId="6" borderId="0" xfId="0" applyNumberFormat="1" applyFont="1" applyFill="1"/>
    <xf numFmtId="173" fontId="6" fillId="5" borderId="0" xfId="0" applyNumberFormat="1" applyFont="1" applyFill="1"/>
    <xf numFmtId="173" fontId="6" fillId="6" borderId="0" xfId="0" applyNumberFormat="1" applyFont="1" applyFill="1"/>
    <xf numFmtId="173" fontId="2" fillId="5" borderId="0" xfId="0" applyNumberFormat="1" applyFont="1" applyFill="1"/>
    <xf numFmtId="173" fontId="2" fillId="6" borderId="0" xfId="0" applyNumberFormat="1" applyFont="1" applyFill="1"/>
    <xf numFmtId="0" fontId="7" fillId="4" borderId="6" xfId="0" applyFont="1" applyFill="1" applyBorder="1" applyAlignment="1">
      <alignment horizontal="right"/>
    </xf>
    <xf numFmtId="172" fontId="2" fillId="5" borderId="7" xfId="0" applyNumberFormat="1" applyFont="1" applyFill="1" applyBorder="1"/>
    <xf numFmtId="172" fontId="2" fillId="6" borderId="7" xfId="0" applyNumberFormat="1" applyFont="1" applyFill="1" applyBorder="1"/>
    <xf numFmtId="0" fontId="2" fillId="7" borderId="8" xfId="0" applyFont="1" applyFill="1" applyBorder="1"/>
    <xf numFmtId="0" fontId="8"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CCFFFF"/>
      <rgbColor rgb="00D9D9D9"/>
      <rgbColor rgb="00E6E64C"/>
      <rgbColor rgb="00E6E6FF"/>
      <rgbColor rgb="00FFCC99"/>
      <rgbColor rgb="00FFFFCC"/>
      <rgbColor rgb="00FF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69"/>
  <sheetViews>
    <sheetView tabSelected="1" topLeftCell="J1" workbookViewId="0">
      <selection activeCell="O26" sqref="O26"/>
    </sheetView>
  </sheetViews>
  <sheetFormatPr defaultRowHeight="12.5"/>
  <cols>
    <col min="1" max="10" width="11.26953125" customWidth="1"/>
    <col min="11" max="11" width="17.26953125" customWidth="1"/>
    <col min="12" max="12" width="11.26953125" customWidth="1"/>
    <col min="13" max="13" width="9.36328125" customWidth="1"/>
    <col min="14" max="14" width="8.54296875" customWidth="1"/>
    <col min="15" max="256" width="11.26953125" customWidth="1"/>
  </cols>
  <sheetData>
    <row r="1" spans="1:255" s="2" customFormat="1" ht="20">
      <c r="A1" s="1"/>
      <c r="B1" s="1" t="s">
        <v>0</v>
      </c>
      <c r="C1" s="1"/>
      <c r="D1" s="1"/>
      <c r="E1" s="1"/>
      <c r="F1" s="1" t="s">
        <v>1</v>
      </c>
      <c r="G1" s="1"/>
      <c r="H1" s="1"/>
      <c r="I1" s="1"/>
      <c r="J1" s="1"/>
      <c r="K1" s="1"/>
      <c r="L1" s="1" t="s">
        <v>2</v>
      </c>
      <c r="M1" s="1"/>
      <c r="N1" s="1"/>
      <c r="O1" s="1"/>
      <c r="P1" s="1" t="s">
        <v>3</v>
      </c>
      <c r="Q1" s="1"/>
      <c r="R1" s="1"/>
      <c r="S1" s="1"/>
      <c r="T1" s="1" t="s">
        <v>4</v>
      </c>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row>
    <row r="2" spans="1:255" s="2" customFormat="1" ht="20">
      <c r="B2" s="1">
        <v>2003</v>
      </c>
      <c r="C2" s="1">
        <v>2002</v>
      </c>
      <c r="D2" s="1">
        <v>2001</v>
      </c>
      <c r="E2" s="1"/>
      <c r="F2" s="1">
        <v>2003</v>
      </c>
      <c r="G2" s="1">
        <v>2002</v>
      </c>
      <c r="H2" s="1">
        <v>2001</v>
      </c>
      <c r="J2" s="1"/>
      <c r="K2" s="1"/>
      <c r="L2" s="3" t="s">
        <v>5</v>
      </c>
      <c r="M2" s="3" t="s">
        <v>6</v>
      </c>
      <c r="N2" s="1" t="s">
        <v>7</v>
      </c>
      <c r="O2" s="1"/>
      <c r="P2" s="3" t="s">
        <v>8</v>
      </c>
      <c r="Q2" s="3" t="s">
        <v>9</v>
      </c>
      <c r="R2" s="1" t="s">
        <v>10</v>
      </c>
      <c r="S2" s="1"/>
      <c r="T2" s="3" t="s">
        <v>11</v>
      </c>
      <c r="U2" s="3" t="s">
        <v>12</v>
      </c>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row>
    <row r="3" spans="1:255" s="2" customFormat="1">
      <c r="A3" s="2" t="s">
        <v>13</v>
      </c>
      <c r="B3" s="2">
        <v>4268</v>
      </c>
      <c r="C3" s="2">
        <v>4623</v>
      </c>
      <c r="D3" s="2">
        <v>4300</v>
      </c>
      <c r="F3" s="2">
        <v>4259.1000000000004</v>
      </c>
      <c r="G3" s="2">
        <v>3311.8</v>
      </c>
      <c r="H3" s="2">
        <v>3223.5</v>
      </c>
      <c r="K3" s="2" t="s">
        <v>14</v>
      </c>
      <c r="L3" s="2">
        <v>37248</v>
      </c>
      <c r="M3" s="2">
        <v>38439</v>
      </c>
      <c r="N3" s="2">
        <f>(L3+M3)/2</f>
        <v>37843.5</v>
      </c>
      <c r="P3" s="2">
        <v>9607</v>
      </c>
      <c r="Q3" s="2">
        <v>9020</v>
      </c>
      <c r="R3" s="2">
        <f>(P3+Q3)/2</f>
        <v>9313.5</v>
      </c>
      <c r="T3" s="2">
        <v>37248</v>
      </c>
      <c r="U3" s="2">
        <v>38439</v>
      </c>
      <c r="V3" s="2">
        <f>(T3+U3)/2</f>
        <v>37843.5</v>
      </c>
    </row>
    <row r="4" spans="1:255" s="2" customFormat="1">
      <c r="A4" s="2" t="s">
        <v>15</v>
      </c>
      <c r="B4" s="2">
        <v>3448</v>
      </c>
      <c r="C4" s="2">
        <v>3596</v>
      </c>
      <c r="D4" s="2">
        <v>3395</v>
      </c>
      <c r="F4" s="2">
        <v>3936.3</v>
      </c>
      <c r="G4" s="2">
        <v>3882.6</v>
      </c>
      <c r="H4" s="2">
        <v>3779.5</v>
      </c>
      <c r="K4" s="2" t="s">
        <v>16</v>
      </c>
      <c r="L4" s="2">
        <v>71539</v>
      </c>
      <c r="M4" s="2">
        <v>72839</v>
      </c>
      <c r="N4" s="2">
        <f>(L4+M4)/2</f>
        <v>72189</v>
      </c>
      <c r="P4" s="2">
        <v>16540</v>
      </c>
      <c r="Q4" s="2">
        <v>15712</v>
      </c>
      <c r="R4" s="2">
        <f>(P4+Q4)/2</f>
        <v>16126</v>
      </c>
      <c r="T4" s="2">
        <v>71539</v>
      </c>
      <c r="U4" s="2">
        <v>72839</v>
      </c>
      <c r="V4" s="2">
        <f>(T4+U4)/2</f>
        <v>72189</v>
      </c>
    </row>
    <row r="5" spans="1:255" s="2" customFormat="1" ht="13.5">
      <c r="A5" s="4" t="s">
        <v>17</v>
      </c>
      <c r="B5" s="5">
        <f>B3/B4</f>
        <v>1.2378190255220418</v>
      </c>
      <c r="C5" s="5">
        <f>C3/C4</f>
        <v>1.28559510567297</v>
      </c>
      <c r="D5" s="5">
        <f>D3/D4</f>
        <v>1.2665684830633284</v>
      </c>
      <c r="E5" s="4"/>
      <c r="F5" s="5">
        <f>F3/F4</f>
        <v>1.0820059446688515</v>
      </c>
      <c r="G5" s="5">
        <f>G3/G4</f>
        <v>0.8529851130685624</v>
      </c>
      <c r="H5" s="5">
        <f>H3/H4</f>
        <v>0.85289059399391454</v>
      </c>
      <c r="I5" s="4"/>
      <c r="J5" s="4"/>
      <c r="K5" s="2" t="s">
        <v>18</v>
      </c>
      <c r="L5" s="6">
        <f>M4</f>
        <v>72839</v>
      </c>
      <c r="M5" s="6">
        <f>N4</f>
        <v>72189</v>
      </c>
      <c r="N5" s="2">
        <f>(L5+M5)/2</f>
        <v>72514</v>
      </c>
      <c r="O5" s="6"/>
      <c r="P5" s="6">
        <f>Q4</f>
        <v>15712</v>
      </c>
      <c r="Q5" s="6">
        <f>R4</f>
        <v>16126</v>
      </c>
      <c r="R5" s="2">
        <f>(P5+Q5)/2</f>
        <v>15919</v>
      </c>
      <c r="S5" s="4"/>
      <c r="T5" s="6">
        <f>U4</f>
        <v>72839</v>
      </c>
      <c r="U5" s="6">
        <f>V4</f>
        <v>72189</v>
      </c>
      <c r="V5" s="2">
        <f>(T5+U5)/2</f>
        <v>72514</v>
      </c>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row>
    <row r="6" spans="1:255" s="2" customFormat="1">
      <c r="K6" s="2" t="s">
        <v>19</v>
      </c>
      <c r="L6" s="6">
        <v>6142</v>
      </c>
      <c r="M6" s="6">
        <v>5743</v>
      </c>
      <c r="N6" s="6">
        <v>5797</v>
      </c>
      <c r="O6" s="6"/>
      <c r="P6" s="6">
        <v>358</v>
      </c>
      <c r="Q6" s="6">
        <v>264</v>
      </c>
      <c r="R6" s="6">
        <f>Q6</f>
        <v>264</v>
      </c>
      <c r="T6" s="6">
        <v>6142</v>
      </c>
      <c r="U6" s="6">
        <v>5743</v>
      </c>
      <c r="V6" s="6">
        <v>5797</v>
      </c>
    </row>
    <row r="7" spans="1:255" s="2" customFormat="1">
      <c r="A7" s="2" t="s">
        <v>20</v>
      </c>
      <c r="B7" s="2">
        <v>647</v>
      </c>
      <c r="C7" s="2">
        <v>681</v>
      </c>
      <c r="D7" s="2">
        <v>547</v>
      </c>
      <c r="F7" s="2">
        <v>413.1</v>
      </c>
      <c r="G7" s="2">
        <v>391.4</v>
      </c>
      <c r="H7" s="2">
        <v>374.5</v>
      </c>
      <c r="K7" s="2" t="s">
        <v>21</v>
      </c>
      <c r="L7" s="6">
        <f>M6</f>
        <v>5743</v>
      </c>
      <c r="M7" s="6">
        <f>N6</f>
        <v>5797</v>
      </c>
      <c r="N7" s="6">
        <f>N6</f>
        <v>5797</v>
      </c>
      <c r="O7" s="6"/>
      <c r="P7" s="6">
        <f>Q6</f>
        <v>264</v>
      </c>
      <c r="Q7" s="6">
        <v>306</v>
      </c>
      <c r="R7" s="6">
        <f>R6</f>
        <v>264</v>
      </c>
      <c r="T7" s="6">
        <f>U6</f>
        <v>5743</v>
      </c>
      <c r="U7" s="6">
        <f>V6</f>
        <v>5797</v>
      </c>
      <c r="V7" s="6">
        <f>V6</f>
        <v>5797</v>
      </c>
    </row>
    <row r="8" spans="1:255" s="2" customFormat="1">
      <c r="A8" s="2" t="s">
        <v>22</v>
      </c>
      <c r="B8" s="2">
        <v>35626</v>
      </c>
      <c r="C8" s="6">
        <v>37931</v>
      </c>
      <c r="D8" s="2">
        <v>36762</v>
      </c>
      <c r="F8" s="2">
        <v>32399.200000000001</v>
      </c>
      <c r="G8" s="6">
        <v>34301</v>
      </c>
      <c r="H8" s="2">
        <v>31976.9</v>
      </c>
      <c r="K8" s="2" t="s">
        <v>23</v>
      </c>
      <c r="L8" s="6">
        <v>12809</v>
      </c>
      <c r="M8" s="6">
        <v>13103</v>
      </c>
      <c r="N8" s="6">
        <f>L8+M8</f>
        <v>25912</v>
      </c>
      <c r="O8" s="6"/>
      <c r="P8" s="6">
        <v>8000</v>
      </c>
      <c r="Q8" s="6">
        <v>7784</v>
      </c>
      <c r="R8" s="6">
        <f>P8+Q8</f>
        <v>15784</v>
      </c>
      <c r="T8" s="6">
        <v>12809</v>
      </c>
      <c r="U8" s="6">
        <v>13103</v>
      </c>
      <c r="V8" s="6">
        <f>T8+U8</f>
        <v>25912</v>
      </c>
    </row>
    <row r="9" spans="1:255" s="2" customFormat="1">
      <c r="A9" s="2" t="s">
        <v>24</v>
      </c>
      <c r="B9" s="2">
        <f>52*7</f>
        <v>364</v>
      </c>
      <c r="C9" s="2">
        <v>364</v>
      </c>
      <c r="D9" s="2">
        <v>364</v>
      </c>
      <c r="F9" s="2">
        <f>52*7</f>
        <v>364</v>
      </c>
      <c r="G9" s="2">
        <v>364</v>
      </c>
      <c r="H9" s="2">
        <v>364</v>
      </c>
      <c r="K9" s="2" t="s">
        <v>25</v>
      </c>
      <c r="L9" s="6">
        <v>24097</v>
      </c>
      <c r="M9" s="6">
        <v>25179</v>
      </c>
      <c r="N9" s="2">
        <f>(L9+M9)/2</f>
        <v>24638</v>
      </c>
      <c r="O9" s="6"/>
      <c r="P9" s="6">
        <v>9264</v>
      </c>
      <c r="Q9" s="6">
        <v>8869</v>
      </c>
      <c r="R9" s="2">
        <f>(P9+Q9)/2</f>
        <v>9066.5</v>
      </c>
      <c r="T9" s="6">
        <v>24097</v>
      </c>
      <c r="U9" s="6">
        <v>25179</v>
      </c>
      <c r="V9" s="2">
        <f>(T9+U9)/2</f>
        <v>24638</v>
      </c>
    </row>
    <row r="10" spans="1:255" s="2" customFormat="1" ht="13">
      <c r="A10" s="4" t="s">
        <v>26</v>
      </c>
      <c r="B10" s="4">
        <f>(B7/B8)*B9</f>
        <v>6.6105653174647729</v>
      </c>
      <c r="C10" s="4">
        <f>(C7/C8)*C9</f>
        <v>6.5351295773905242</v>
      </c>
      <c r="D10" s="4">
        <f>(D7/D8)*D9</f>
        <v>5.4161362276263532</v>
      </c>
      <c r="E10" s="4"/>
      <c r="F10" s="4">
        <f>(F7/F8)*F9</f>
        <v>4.6411145954221098</v>
      </c>
      <c r="G10" s="4">
        <f>(G7/G8)*G9</f>
        <v>4.153511559429754</v>
      </c>
      <c r="H10" s="4">
        <f>(H7/H8)*H9</f>
        <v>4.2630148638548446</v>
      </c>
      <c r="I10" s="4"/>
      <c r="J10" s="4"/>
      <c r="K10" s="2" t="s">
        <v>27</v>
      </c>
      <c r="L10" s="6">
        <v>90</v>
      </c>
      <c r="M10" s="6">
        <v>90</v>
      </c>
      <c r="N10" s="6">
        <f>L10+M10</f>
        <v>180</v>
      </c>
      <c r="O10" s="6"/>
      <c r="P10" s="6">
        <v>90</v>
      </c>
      <c r="Q10" s="6">
        <v>90</v>
      </c>
      <c r="R10" s="6">
        <f>P10+Q10</f>
        <v>180</v>
      </c>
      <c r="S10" s="4"/>
      <c r="T10" s="6">
        <v>90</v>
      </c>
      <c r="U10" s="6">
        <v>90</v>
      </c>
      <c r="V10" s="6">
        <f>T10+U10</f>
        <v>180</v>
      </c>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row>
    <row r="11" spans="1:255" s="2" customFormat="1">
      <c r="K11" s="2" t="s">
        <v>28</v>
      </c>
      <c r="L11" s="6">
        <v>4539</v>
      </c>
      <c r="M11" s="6">
        <v>4563</v>
      </c>
      <c r="N11" s="6">
        <f>L11+M11</f>
        <v>9102</v>
      </c>
      <c r="O11" s="6"/>
      <c r="P11" s="6">
        <v>1778</v>
      </c>
      <c r="Q11" s="6">
        <v>1748</v>
      </c>
      <c r="R11" s="6">
        <f>P11+Q11</f>
        <v>3526</v>
      </c>
      <c r="T11" s="6">
        <v>4539</v>
      </c>
      <c r="U11" s="6">
        <v>4563</v>
      </c>
      <c r="V11" s="6">
        <f>T11+U11</f>
        <v>9102</v>
      </c>
    </row>
    <row r="12" spans="1:255" s="2" customFormat="1">
      <c r="A12" s="2" t="s">
        <v>29</v>
      </c>
      <c r="B12" s="2">
        <v>24276</v>
      </c>
      <c r="C12" s="2">
        <v>26129</v>
      </c>
      <c r="D12" s="2">
        <v>25335</v>
      </c>
      <c r="F12" s="2">
        <v>21482.5</v>
      </c>
      <c r="G12" s="2">
        <v>22891.4</v>
      </c>
      <c r="H12" s="2">
        <v>21770.9</v>
      </c>
      <c r="K12" s="2" t="s">
        <v>30</v>
      </c>
      <c r="L12" s="6">
        <v>7629</v>
      </c>
      <c r="M12" s="6">
        <v>7900</v>
      </c>
      <c r="N12" s="2">
        <f>(L12+M12)/2</f>
        <v>7764.5</v>
      </c>
      <c r="O12" s="6"/>
      <c r="P12" s="6">
        <v>2883</v>
      </c>
      <c r="Q12" s="6">
        <v>2656</v>
      </c>
      <c r="R12" s="2">
        <f>(P12+Q12)/2</f>
        <v>2769.5</v>
      </c>
      <c r="T12" s="6">
        <v>7629</v>
      </c>
      <c r="U12" s="6">
        <v>7900</v>
      </c>
      <c r="V12" s="2">
        <f>(T12+U12)/2</f>
        <v>7764.5</v>
      </c>
    </row>
    <row r="13" spans="1:255" s="2" customFormat="1">
      <c r="A13" s="2" t="s">
        <v>31</v>
      </c>
      <c r="B13" s="2">
        <v>3196</v>
      </c>
      <c r="C13" s="2">
        <v>3364</v>
      </c>
      <c r="D13" s="2" t="s">
        <v>32</v>
      </c>
      <c r="F13" s="2">
        <f>G14</f>
        <v>2576.8000000000002</v>
      </c>
      <c r="G13" s="2">
        <f>H14</f>
        <v>2508.1999999999998</v>
      </c>
      <c r="H13" s="2" t="s">
        <v>33</v>
      </c>
      <c r="K13" s="2" t="s">
        <v>34</v>
      </c>
      <c r="L13" s="6">
        <v>297</v>
      </c>
      <c r="M13" s="6">
        <v>659</v>
      </c>
      <c r="N13" s="6">
        <f>L13+M13</f>
        <v>956</v>
      </c>
      <c r="O13" s="6"/>
      <c r="P13" s="6">
        <v>621</v>
      </c>
      <c r="Q13" s="6">
        <v>598</v>
      </c>
      <c r="R13" s="6">
        <f>P13+Q13</f>
        <v>1219</v>
      </c>
      <c r="T13" s="6">
        <v>279</v>
      </c>
      <c r="U13" s="6">
        <v>659</v>
      </c>
      <c r="V13" s="6">
        <f>T13+U13</f>
        <v>938</v>
      </c>
    </row>
    <row r="14" spans="1:255" s="2" customFormat="1">
      <c r="A14" s="2" t="s">
        <v>35</v>
      </c>
      <c r="B14" s="2">
        <v>2973</v>
      </c>
      <c r="C14" s="2">
        <v>3196</v>
      </c>
      <c r="D14" s="2">
        <v>3364</v>
      </c>
      <c r="F14" s="2">
        <v>2493</v>
      </c>
      <c r="G14" s="2">
        <v>2576.8000000000002</v>
      </c>
      <c r="H14" s="2">
        <v>2508.1999999999998</v>
      </c>
      <c r="K14" s="2" t="s">
        <v>36</v>
      </c>
      <c r="L14" s="6">
        <v>17348</v>
      </c>
      <c r="M14" s="6">
        <v>17983</v>
      </c>
      <c r="N14" s="6">
        <f>L14+M14</f>
        <v>35331</v>
      </c>
      <c r="O14" s="6"/>
      <c r="P14" s="6">
        <v>9778</v>
      </c>
      <c r="Q14" s="6">
        <v>9532</v>
      </c>
      <c r="R14" s="6">
        <f>P14+Q14</f>
        <v>19310</v>
      </c>
      <c r="T14" s="6">
        <v>17348</v>
      </c>
      <c r="U14" s="6">
        <v>17983</v>
      </c>
      <c r="V14" s="6">
        <f>T14+U14</f>
        <v>35331</v>
      </c>
    </row>
    <row r="15" spans="1:255" s="2" customFormat="1" ht="13">
      <c r="A15" s="4" t="s">
        <v>37</v>
      </c>
      <c r="B15" s="4">
        <f>(2*B12)/(B13+B14)</f>
        <v>7.8703193386286268</v>
      </c>
      <c r="C15" s="4">
        <f>(2*C12)/(C13+C14)</f>
        <v>7.9661585365853655</v>
      </c>
      <c r="D15" s="4"/>
      <c r="E15" s="4"/>
      <c r="F15" s="4">
        <f>(2*F12)/(F13+F14)</f>
        <v>8.4746932817862639</v>
      </c>
      <c r="G15" s="4">
        <f>(2*G12)/(G13+G14)</f>
        <v>9.003500491642086</v>
      </c>
      <c r="H15" s="4"/>
      <c r="I15" s="4"/>
      <c r="J15" s="4"/>
      <c r="K15" s="2" t="s">
        <v>38</v>
      </c>
      <c r="L15" s="6">
        <f>L14</f>
        <v>17348</v>
      </c>
      <c r="M15" s="6">
        <f>M14</f>
        <v>17983</v>
      </c>
      <c r="N15" s="6">
        <f>L15+M15</f>
        <v>35331</v>
      </c>
      <c r="O15" s="6"/>
      <c r="P15" s="6">
        <f>P14</f>
        <v>9778</v>
      </c>
      <c r="Q15" s="6">
        <f>Q14</f>
        <v>9532</v>
      </c>
      <c r="R15" s="6">
        <f>P15+Q15</f>
        <v>19310</v>
      </c>
      <c r="S15" s="4"/>
      <c r="T15" s="6">
        <f>T14</f>
        <v>17348</v>
      </c>
      <c r="U15" s="6">
        <f>U14</f>
        <v>17983</v>
      </c>
      <c r="V15" s="6">
        <f>T15+U15</f>
        <v>35331</v>
      </c>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row>
    <row r="16" spans="1:255" s="2" customFormat="1">
      <c r="K16" s="2" t="s">
        <v>39</v>
      </c>
      <c r="L16" s="6">
        <f>M15</f>
        <v>17983</v>
      </c>
      <c r="M16" s="6">
        <f>N15</f>
        <v>35331</v>
      </c>
      <c r="N16" s="6"/>
      <c r="O16" s="6"/>
      <c r="P16" s="6">
        <f>Q15</f>
        <v>9532</v>
      </c>
      <c r="Q16" s="6">
        <f>R15</f>
        <v>19310</v>
      </c>
      <c r="R16" s="6"/>
      <c r="T16" s="6">
        <f>U15</f>
        <v>17983</v>
      </c>
      <c r="U16" s="6">
        <f>V15</f>
        <v>35331</v>
      </c>
      <c r="V16" s="6"/>
    </row>
    <row r="17" spans="1:255" s="2" customFormat="1">
      <c r="A17" s="2" t="s">
        <v>40</v>
      </c>
      <c r="B17" s="2">
        <f>B8</f>
        <v>35626</v>
      </c>
      <c r="C17" s="2">
        <f>C8</f>
        <v>37931</v>
      </c>
      <c r="D17" s="2">
        <f>D8</f>
        <v>36762</v>
      </c>
      <c r="F17" s="2">
        <f>F8</f>
        <v>32399.200000000001</v>
      </c>
      <c r="G17" s="2">
        <f>G8</f>
        <v>34301</v>
      </c>
      <c r="H17" s="2">
        <f>H8</f>
        <v>31976.9</v>
      </c>
      <c r="K17" s="2" t="s">
        <v>41</v>
      </c>
      <c r="L17" s="6">
        <v>36866</v>
      </c>
      <c r="M17" s="6">
        <v>36892</v>
      </c>
      <c r="N17" s="2">
        <f>(L17+M17)/2</f>
        <v>36879</v>
      </c>
      <c r="O17" s="6"/>
      <c r="P17" s="6">
        <v>5506</v>
      </c>
      <c r="Q17" s="6">
        <v>5076</v>
      </c>
      <c r="R17" s="2">
        <f>(P17+Q17)/2</f>
        <v>5291</v>
      </c>
      <c r="T17" s="6">
        <v>36866</v>
      </c>
      <c r="U17" s="6">
        <v>36892</v>
      </c>
      <c r="V17" s="2">
        <f>(T17+U17)/2</f>
        <v>36879</v>
      </c>
    </row>
    <row r="18" spans="1:255" s="2" customFormat="1">
      <c r="A18" s="2" t="s">
        <v>42</v>
      </c>
      <c r="B18" s="2">
        <f>C19</f>
        <v>15967</v>
      </c>
      <c r="C18" s="2">
        <f>D19</f>
        <v>16078</v>
      </c>
      <c r="D18" s="2" t="s">
        <v>43</v>
      </c>
      <c r="F18" s="2">
        <f>G19</f>
        <v>17462.599999999999</v>
      </c>
      <c r="G18" s="2">
        <f>H19</f>
        <v>15965.3</v>
      </c>
      <c r="H18" s="2" t="s">
        <v>44</v>
      </c>
      <c r="K18" s="2" t="s">
        <v>45</v>
      </c>
      <c r="L18" s="6">
        <v>2785</v>
      </c>
      <c r="M18" s="6">
        <v>2795</v>
      </c>
      <c r="N18" s="6">
        <f>L18+M18</f>
        <v>5580</v>
      </c>
      <c r="O18" s="6"/>
      <c r="P18" s="6">
        <v>822</v>
      </c>
      <c r="Q18" s="6">
        <v>826</v>
      </c>
      <c r="R18" s="6">
        <f>P18+Q18</f>
        <v>1648</v>
      </c>
      <c r="T18" s="6">
        <v>2785</v>
      </c>
      <c r="U18" s="6">
        <v>2795</v>
      </c>
      <c r="V18" s="6">
        <f>T18+U18</f>
        <v>5580</v>
      </c>
    </row>
    <row r="19" spans="1:255" s="2" customFormat="1">
      <c r="A19" s="2" t="s">
        <v>46</v>
      </c>
      <c r="B19" s="2">
        <v>15211</v>
      </c>
      <c r="C19" s="2">
        <v>15967</v>
      </c>
      <c r="D19" s="2">
        <v>16078</v>
      </c>
      <c r="F19" s="2">
        <v>16047.3</v>
      </c>
      <c r="G19" s="2">
        <v>17462.599999999999</v>
      </c>
      <c r="H19" s="2">
        <v>15965.3</v>
      </c>
      <c r="K19" s="2" t="s">
        <v>47</v>
      </c>
      <c r="L19" s="6">
        <v>20.64</v>
      </c>
      <c r="M19" s="6">
        <f>L19</f>
        <v>20.64</v>
      </c>
      <c r="N19" s="6">
        <f>M19</f>
        <v>20.64</v>
      </c>
      <c r="O19" s="6"/>
      <c r="P19" s="6">
        <v>34.04</v>
      </c>
      <c r="Q19" s="6">
        <f>P19</f>
        <v>34.04</v>
      </c>
      <c r="R19" s="6">
        <f>Q19</f>
        <v>34.04</v>
      </c>
      <c r="T19" s="6">
        <v>20.64</v>
      </c>
      <c r="U19" s="6">
        <f>T19</f>
        <v>20.64</v>
      </c>
      <c r="V19" s="6">
        <f>U19</f>
        <v>20.64</v>
      </c>
    </row>
    <row r="20" spans="1:255" s="2" customFormat="1" ht="13">
      <c r="A20" s="4" t="s">
        <v>48</v>
      </c>
      <c r="B20" s="4">
        <f>(2*B17)/(B18+B19)</f>
        <v>2.2853293989351466</v>
      </c>
      <c r="C20" s="4">
        <f>(2*C17)/(C18+C19)</f>
        <v>2.3673584022468406</v>
      </c>
      <c r="D20" s="4"/>
      <c r="E20" s="4"/>
      <c r="F20" s="4">
        <f>(2*F17)/(F18+F19)</f>
        <v>1.9337091426712707</v>
      </c>
      <c r="G20" s="4">
        <f>(2*G17)/(G18+G19)</f>
        <v>2.0522378013575491</v>
      </c>
      <c r="H20" s="4"/>
      <c r="I20" s="4"/>
      <c r="J20" s="4"/>
      <c r="K20" s="2" t="s">
        <v>49</v>
      </c>
      <c r="L20" s="6">
        <v>3048</v>
      </c>
      <c r="M20" s="6">
        <v>3047</v>
      </c>
      <c r="N20" s="6">
        <f>M20</f>
        <v>3047</v>
      </c>
      <c r="O20" s="6"/>
      <c r="P20" s="2">
        <v>2563.7093770000001</v>
      </c>
      <c r="Q20" s="6">
        <f>P20</f>
        <v>2563.7093770000001</v>
      </c>
      <c r="R20" s="6">
        <f>Q20</f>
        <v>2563.7093770000001</v>
      </c>
      <c r="S20" s="4"/>
      <c r="T20" s="6">
        <v>3048</v>
      </c>
      <c r="U20" s="6">
        <v>3047</v>
      </c>
      <c r="V20" s="6">
        <f>U20</f>
        <v>3047</v>
      </c>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row>
    <row r="21" spans="1:255" s="2" customFormat="1">
      <c r="K21" s="2" t="s">
        <v>50</v>
      </c>
      <c r="L21" s="6">
        <v>896</v>
      </c>
      <c r="M21" s="6">
        <v>941</v>
      </c>
      <c r="N21" s="6">
        <f>L21+M21</f>
        <v>1837</v>
      </c>
      <c r="O21" s="6"/>
      <c r="P21" s="6">
        <v>116</v>
      </c>
      <c r="Q21" s="6">
        <v>111</v>
      </c>
      <c r="R21" s="6">
        <f>P21+Q21</f>
        <v>227</v>
      </c>
      <c r="T21" s="6">
        <v>896</v>
      </c>
      <c r="U21" s="6">
        <v>941</v>
      </c>
      <c r="V21" s="6">
        <f>T21+U21</f>
        <v>1837</v>
      </c>
    </row>
    <row r="22" spans="1:255" s="2" customFormat="1">
      <c r="A22" s="2" t="s">
        <v>51</v>
      </c>
      <c r="B22" s="2">
        <v>485</v>
      </c>
      <c r="C22" s="2">
        <v>501</v>
      </c>
      <c r="D22" s="2">
        <v>765</v>
      </c>
      <c r="F22" s="2">
        <v>-828.1</v>
      </c>
      <c r="G22" s="2">
        <v>1253.9000000000001</v>
      </c>
      <c r="H22" s="2">
        <v>1091.9000000000001</v>
      </c>
      <c r="L22" s="6"/>
      <c r="M22" s="6"/>
      <c r="N22" s="6"/>
      <c r="O22" s="6"/>
      <c r="P22" s="6"/>
      <c r="Q22" s="6"/>
      <c r="R22" s="6"/>
      <c r="T22" s="6"/>
      <c r="U22" s="6"/>
      <c r="V22" s="6"/>
    </row>
    <row r="23" spans="1:255" s="2" customFormat="1" ht="13">
      <c r="A23" s="2" t="s">
        <v>52</v>
      </c>
      <c r="B23" s="2">
        <f>B19</f>
        <v>15211</v>
      </c>
      <c r="C23" s="2">
        <f>C19</f>
        <v>15967</v>
      </c>
      <c r="D23" s="2">
        <f>D19</f>
        <v>16078</v>
      </c>
      <c r="F23" s="2">
        <f>F19</f>
        <v>16047.3</v>
      </c>
      <c r="G23" s="2">
        <f>G19</f>
        <v>17462.599999999999</v>
      </c>
      <c r="H23" s="2">
        <f>H19</f>
        <v>15965.3</v>
      </c>
      <c r="J23" s="2" t="s">
        <v>53</v>
      </c>
      <c r="K23" s="7" t="s">
        <v>54</v>
      </c>
      <c r="L23" s="8">
        <f>L3/L9</f>
        <v>1.5457525833091257</v>
      </c>
      <c r="M23" s="8">
        <f>M3/M9</f>
        <v>1.5266293339687835</v>
      </c>
      <c r="N23" s="8">
        <f>N3/N9</f>
        <v>1.5359810049517006</v>
      </c>
      <c r="O23" s="8" t="s">
        <v>55</v>
      </c>
      <c r="P23" s="8">
        <f>P3/P9</f>
        <v>1.0370250431778929</v>
      </c>
      <c r="Q23" s="8">
        <f>Q3/Q9</f>
        <v>1.017025594768294</v>
      </c>
      <c r="R23" s="8">
        <f>R3/R9</f>
        <v>1.0272431478519826</v>
      </c>
      <c r="T23" s="8">
        <f>T3/T9</f>
        <v>1.5457525833091257</v>
      </c>
      <c r="U23" s="8">
        <f>U3/U9</f>
        <v>1.5266293339687835</v>
      </c>
      <c r="V23" s="8">
        <f>V3/V9</f>
        <v>1.5359810049517006</v>
      </c>
    </row>
    <row r="24" spans="1:255" s="2" customFormat="1" ht="13">
      <c r="A24" s="4" t="s">
        <v>56</v>
      </c>
      <c r="B24" s="4">
        <f>B22/B23*100</f>
        <v>3.1884820195910852</v>
      </c>
      <c r="C24" s="4">
        <f>C22/C23*100</f>
        <v>3.1377215506983149</v>
      </c>
      <c r="D24" s="4">
        <f>D22/D23*100</f>
        <v>4.7580544843886052</v>
      </c>
      <c r="E24" s="4"/>
      <c r="F24" s="4">
        <f>F22/F23*100</f>
        <v>-5.1603696572009001</v>
      </c>
      <c r="G24" s="4">
        <f>G22/G23*100</f>
        <v>7.1804885870374413</v>
      </c>
      <c r="H24" s="4">
        <f>H22/H23*100</f>
        <v>6.8392075313335816</v>
      </c>
      <c r="I24" s="4"/>
      <c r="J24" s="2" t="s">
        <v>57</v>
      </c>
      <c r="K24" s="7" t="s">
        <v>58</v>
      </c>
      <c r="L24" s="8">
        <f>(L12/L14)*L10</f>
        <v>39.578625778187693</v>
      </c>
      <c r="M24" s="8">
        <f>(M12/M14)*L10</f>
        <v>39.537340821887341</v>
      </c>
      <c r="N24" s="8">
        <f>(N12/N14)*N10</f>
        <v>39.557612295151571</v>
      </c>
      <c r="O24" s="8" t="s">
        <v>59</v>
      </c>
      <c r="P24" s="8">
        <f>(P12/P14)*P10</f>
        <v>26.53610145223972</v>
      </c>
      <c r="Q24" s="8">
        <f>(Q12/Q14)*Q10</f>
        <v>25.077633235417544</v>
      </c>
      <c r="R24" s="8">
        <f>(R12/R14)*R10</f>
        <v>25.816157431382702</v>
      </c>
      <c r="S24" s="4"/>
      <c r="T24" s="8">
        <f>(T12/T14)*T10</f>
        <v>39.578625778187693</v>
      </c>
      <c r="U24" s="8">
        <f>(U12/U14)*T10</f>
        <v>39.537340821887341</v>
      </c>
      <c r="V24" s="8">
        <f>(V12/V14)*V10</f>
        <v>39.557612295151571</v>
      </c>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row>
    <row r="25" spans="1:255" s="2" customFormat="1" ht="13">
      <c r="J25" s="6" t="s">
        <v>60</v>
      </c>
      <c r="K25" s="7" t="s">
        <v>61</v>
      </c>
      <c r="L25" s="8">
        <f>(2*L8)/(L6+L7)</f>
        <v>2.1554901135885571</v>
      </c>
      <c r="M25" s="8">
        <f>(2*M8)/(M6+M7)</f>
        <v>2.2708838821490467</v>
      </c>
      <c r="N25" s="8">
        <f>(2*N8)/(N6+N7)</f>
        <v>4.4698982232189062</v>
      </c>
      <c r="O25" s="8"/>
      <c r="P25" s="8">
        <f>(2*P8)/(P6+P7)</f>
        <v>25.723472668810288</v>
      </c>
      <c r="Q25" s="8">
        <f>(2*Q8)/(Q6+Q7)</f>
        <v>27.312280701754386</v>
      </c>
      <c r="R25" s="8">
        <f>(2*R8)/(R6+R7)</f>
        <v>59.787878787878789</v>
      </c>
      <c r="T25" s="8">
        <f>(2*T8)/(T6+T7)</f>
        <v>2.1554901135885571</v>
      </c>
      <c r="U25" s="8">
        <f>(2*U8)/(U6+U7)</f>
        <v>2.2708838821490467</v>
      </c>
      <c r="V25" s="8">
        <f>(2*V8)/(V6+V7)</f>
        <v>4.4698982232189062</v>
      </c>
    </row>
    <row r="26" spans="1:255" s="2" customFormat="1" ht="13">
      <c r="A26" s="2" t="s">
        <v>62</v>
      </c>
      <c r="B26" s="2">
        <f>B22</f>
        <v>485</v>
      </c>
      <c r="C26" s="2">
        <f>C22</f>
        <v>501</v>
      </c>
      <c r="D26" s="2">
        <f>D22</f>
        <v>765</v>
      </c>
      <c r="F26" s="2">
        <f>F22</f>
        <v>-828.1</v>
      </c>
      <c r="G26" s="2">
        <f>G22</f>
        <v>1253.9000000000001</v>
      </c>
      <c r="H26" s="2">
        <f>H22</f>
        <v>1091.9000000000001</v>
      </c>
      <c r="J26" s="6" t="s">
        <v>63</v>
      </c>
      <c r="K26" s="7" t="s">
        <v>64</v>
      </c>
      <c r="L26" s="8">
        <f>(2*L14)/(L4+L5)</f>
        <v>0.24031362118882379</v>
      </c>
      <c r="M26" s="8">
        <f>(2*M14)/(M4+M5)</f>
        <v>0.24799349091209974</v>
      </c>
      <c r="N26" s="8">
        <f>(2*N14)/(N4+N5)</f>
        <v>0.48832436093239256</v>
      </c>
      <c r="O26" s="8"/>
      <c r="P26" s="8">
        <f>(2*P14)/(P4+P5)</f>
        <v>0.60634999379883414</v>
      </c>
      <c r="Q26" s="8">
        <f>(2*Q14)/(Q4+Q5)</f>
        <v>0.59878133048558324</v>
      </c>
      <c r="R26" s="8">
        <f>(2*R14)/(R4+R5)</f>
        <v>1.2051802153222031</v>
      </c>
      <c r="T26" s="8">
        <f>(2*T14)/(T4+T5)</f>
        <v>0.24031362118882379</v>
      </c>
      <c r="U26" s="8">
        <f>(2*U14)/(U4+U5)</f>
        <v>0.24799349091209974</v>
      </c>
      <c r="V26" s="8">
        <f>(2*V14)/(V4+V5)</f>
        <v>0.48832436093239256</v>
      </c>
    </row>
    <row r="27" spans="1:255" s="2" customFormat="1" ht="13">
      <c r="A27" s="2" t="s">
        <v>65</v>
      </c>
      <c r="B27" s="2">
        <v>5197</v>
      </c>
      <c r="C27" s="2">
        <v>5915</v>
      </c>
      <c r="D27" s="2">
        <v>6594</v>
      </c>
      <c r="F27" s="2">
        <v>3627.5</v>
      </c>
      <c r="G27" s="2">
        <v>5889.6</v>
      </c>
      <c r="H27" s="2">
        <v>5389.8</v>
      </c>
      <c r="J27" s="2" t="s">
        <v>66</v>
      </c>
      <c r="K27" s="7" t="s">
        <v>67</v>
      </c>
      <c r="L27" s="9">
        <f>L13/L4</f>
        <v>4.1515816547617384E-3</v>
      </c>
      <c r="M27" s="9">
        <f>M13/M4</f>
        <v>9.0473510070154719E-3</v>
      </c>
      <c r="N27" s="9">
        <f>N13/N4</f>
        <v>1.3243014863760406E-2</v>
      </c>
      <c r="O27" s="9"/>
      <c r="P27" s="9">
        <f>P13/P4</f>
        <v>3.7545344619105199E-2</v>
      </c>
      <c r="Q27" s="9">
        <f>Q13/Q4</f>
        <v>3.8060081466395113E-2</v>
      </c>
      <c r="R27" s="9">
        <f>R13/R4</f>
        <v>7.5592211335731116E-2</v>
      </c>
      <c r="T27" s="9">
        <f>T13/T4</f>
        <v>3.899970645382239E-3</v>
      </c>
      <c r="U27" s="9">
        <f>U13/U4</f>
        <v>9.0473510070154719E-3</v>
      </c>
      <c r="V27" s="9">
        <f>V13/V4</f>
        <v>1.2993669395614291E-2</v>
      </c>
    </row>
    <row r="28" spans="1:255" s="2" customFormat="1" ht="13">
      <c r="A28" s="4" t="s">
        <v>68</v>
      </c>
      <c r="B28" s="4">
        <f>B26/B27*100</f>
        <v>9.3323071002501443</v>
      </c>
      <c r="C28" s="4">
        <f>C26/C27*100</f>
        <v>8.4699915469146241</v>
      </c>
      <c r="D28" s="4">
        <f>D26/D27*100</f>
        <v>11.601455868971792</v>
      </c>
      <c r="E28" s="4"/>
      <c r="F28" s="4">
        <f>F26/F27*100</f>
        <v>-22.828394210889041</v>
      </c>
      <c r="G28" s="4">
        <f>G26/G27*100</f>
        <v>21.290070632980168</v>
      </c>
      <c r="H28" s="4">
        <f>H26/H27*100</f>
        <v>20.258636684107017</v>
      </c>
      <c r="I28" s="4"/>
      <c r="J28" s="2" t="s">
        <v>69</v>
      </c>
      <c r="K28" s="7" t="s">
        <v>70</v>
      </c>
      <c r="L28" s="9">
        <f>L13/L17</f>
        <v>8.0562035479845931E-3</v>
      </c>
      <c r="M28" s="9">
        <f>M13/M17</f>
        <v>1.7862951317358777E-2</v>
      </c>
      <c r="N28" s="9">
        <f>N13/N17</f>
        <v>2.5922611784484396E-2</v>
      </c>
      <c r="O28" s="9"/>
      <c r="P28" s="9">
        <f>P13/P17</f>
        <v>0.11278605158009444</v>
      </c>
      <c r="Q28" s="9">
        <f>Q13/Q17</f>
        <v>0.11780929866036249</v>
      </c>
      <c r="R28" s="9">
        <f>R13/R17</f>
        <v>0.23039123039123038</v>
      </c>
      <c r="S28" s="4"/>
      <c r="T28" s="9">
        <f>T13/T17</f>
        <v>7.5679487875006781E-3</v>
      </c>
      <c r="U28" s="9">
        <f>U13/U17</f>
        <v>1.7862951317358777E-2</v>
      </c>
      <c r="V28" s="9">
        <f>V13/V17</f>
        <v>2.5434529135822555E-2</v>
      </c>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row>
    <row r="29" spans="1:255" s="2" customFormat="1" ht="13">
      <c r="J29" s="2" t="s">
        <v>71</v>
      </c>
      <c r="K29" s="7" t="s">
        <v>72</v>
      </c>
      <c r="L29" s="9">
        <f>L11/L15</f>
        <v>0.26164399354392437</v>
      </c>
      <c r="M29" s="9">
        <f>M11/M15</f>
        <v>0.25373964299616303</v>
      </c>
      <c r="N29" s="9">
        <f>N11/N15</f>
        <v>0.25762078627833912</v>
      </c>
      <c r="O29" s="9"/>
      <c r="P29" s="9">
        <f>P11/P15</f>
        <v>0.18183677643689916</v>
      </c>
      <c r="Q29" s="9">
        <f>Q11/Q15</f>
        <v>0.18338229122954258</v>
      </c>
      <c r="R29" s="9">
        <f>R11/R15</f>
        <v>0.18259968928016571</v>
      </c>
      <c r="T29" s="9">
        <f>T11/T15</f>
        <v>0.26164399354392437</v>
      </c>
      <c r="U29" s="9">
        <f>U11/U15</f>
        <v>0.25373964299616303</v>
      </c>
      <c r="V29" s="9">
        <f>V11/V15</f>
        <v>0.25762078627833912</v>
      </c>
    </row>
    <row r="30" spans="1:255" s="2" customFormat="1" ht="13">
      <c r="A30" s="2" t="s">
        <v>73</v>
      </c>
      <c r="B30" s="2">
        <v>11350</v>
      </c>
      <c r="C30" s="2">
        <v>11802</v>
      </c>
      <c r="D30" s="2">
        <v>11427</v>
      </c>
      <c r="F30" s="2">
        <v>10916.7</v>
      </c>
      <c r="G30" s="2">
        <v>11409.6</v>
      </c>
      <c r="H30" s="2">
        <v>10206</v>
      </c>
      <c r="J30" s="6" t="s">
        <v>74</v>
      </c>
      <c r="K30" s="7" t="s">
        <v>75</v>
      </c>
      <c r="L30" s="9">
        <f>L13/L15</f>
        <v>1.7120129121512565E-2</v>
      </c>
      <c r="M30" s="9">
        <f>M13/M15</f>
        <v>3.6645720958683202E-2</v>
      </c>
      <c r="N30" s="9">
        <f>N13/N15</f>
        <v>2.7058390648439047E-2</v>
      </c>
      <c r="O30" s="9"/>
      <c r="P30" s="9">
        <f>P13/P15</f>
        <v>6.3509920229085706E-2</v>
      </c>
      <c r="Q30" s="9">
        <f>Q13/Q15</f>
        <v>6.2736046999580367E-2</v>
      </c>
      <c r="R30" s="9">
        <f>R13/R15</f>
        <v>6.3127912998446403E-2</v>
      </c>
      <c r="T30" s="9">
        <f>T13/T15</f>
        <v>1.6082545538390593E-2</v>
      </c>
      <c r="U30" s="9">
        <f>U13/U15</f>
        <v>3.6645720958683202E-2</v>
      </c>
      <c r="V30" s="9">
        <f>V13/V15</f>
        <v>2.6548923042087686E-2</v>
      </c>
    </row>
    <row r="31" spans="1:255" s="2" customFormat="1" ht="13">
      <c r="A31" s="2" t="s">
        <v>76</v>
      </c>
      <c r="B31" s="2">
        <v>35626</v>
      </c>
      <c r="C31" s="2">
        <v>37931</v>
      </c>
      <c r="D31" s="2">
        <v>36762</v>
      </c>
      <c r="F31" s="2">
        <f>F17</f>
        <v>32399.200000000001</v>
      </c>
      <c r="G31" s="2">
        <f>G17</f>
        <v>34301</v>
      </c>
      <c r="H31" s="2">
        <f>H17</f>
        <v>31976.9</v>
      </c>
      <c r="J31" s="2" t="s">
        <v>77</v>
      </c>
      <c r="K31" s="7" t="s">
        <v>78</v>
      </c>
      <c r="L31" s="9">
        <f>L18/L15</f>
        <v>0.1605372377219276</v>
      </c>
      <c r="M31" s="9">
        <f>M18/M15</f>
        <v>0.15542456764722237</v>
      </c>
      <c r="N31" s="9">
        <f>N18/N15</f>
        <v>0.15793495796892248</v>
      </c>
      <c r="O31" s="9"/>
      <c r="P31" s="9">
        <f>P18/P15</f>
        <v>8.4066271221108615E-2</v>
      </c>
      <c r="Q31" s="9">
        <f>Q18/Q15</f>
        <v>8.6655476290390263E-2</v>
      </c>
      <c r="R31" s="9">
        <f>R18/R15</f>
        <v>8.534438114966339E-2</v>
      </c>
      <c r="T31" s="9">
        <f>T18/T15</f>
        <v>0.1605372377219276</v>
      </c>
      <c r="U31" s="9">
        <f>U18/U15</f>
        <v>0.15542456764722237</v>
      </c>
      <c r="V31" s="9">
        <f>V18/V15</f>
        <v>0.15793495796892248</v>
      </c>
    </row>
    <row r="32" spans="1:255" s="2" customFormat="1" ht="13">
      <c r="A32" s="4" t="s">
        <v>79</v>
      </c>
      <c r="B32" s="4">
        <f>B30/B31*100</f>
        <v>31.85875484196935</v>
      </c>
      <c r="C32" s="4">
        <f>C30/C31*100</f>
        <v>31.114391922174473</v>
      </c>
      <c r="D32" s="4">
        <f>D30/D31*100</f>
        <v>31.08372776236331</v>
      </c>
      <c r="E32" s="4"/>
      <c r="F32" s="4">
        <f>F30/F31*100</f>
        <v>33.694350477789577</v>
      </c>
      <c r="G32" s="4">
        <f>G30/G31*100</f>
        <v>33.263170169965889</v>
      </c>
      <c r="H32" s="4">
        <f>H30/H31*100</f>
        <v>31.916789932732691</v>
      </c>
      <c r="I32" s="4"/>
      <c r="K32" s="7" t="s">
        <v>80</v>
      </c>
      <c r="L32" s="9">
        <f>L21/L15</f>
        <v>5.1648605026516026E-2</v>
      </c>
      <c r="M32" s="9">
        <f>M21/M15</f>
        <v>5.2327197909136404E-2</v>
      </c>
      <c r="N32" s="9">
        <f>N21/N15</f>
        <v>5.1993999603747419E-2</v>
      </c>
      <c r="O32" s="9"/>
      <c r="P32" s="9">
        <f>P21/P15</f>
        <v>1.1863366741664962E-2</v>
      </c>
      <c r="Q32" s="9">
        <f>Q21/Q15</f>
        <v>1.1644985312631138E-2</v>
      </c>
      <c r="R32" s="9">
        <f>R21/R15</f>
        <v>1.1755567063697566E-2</v>
      </c>
      <c r="S32" s="4"/>
      <c r="T32" s="9">
        <f>T21/T15</f>
        <v>5.1648605026516026E-2</v>
      </c>
      <c r="U32" s="9">
        <f>U21/U15</f>
        <v>5.2327197909136404E-2</v>
      </c>
      <c r="V32" s="9">
        <f>V21/V15</f>
        <v>5.1993999603747419E-2</v>
      </c>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row>
    <row r="33" spans="1:255" s="2" customFormat="1" ht="13">
      <c r="K33" s="7" t="s">
        <v>81</v>
      </c>
      <c r="L33" s="8"/>
      <c r="M33" s="8"/>
      <c r="N33" s="8"/>
      <c r="O33" s="8"/>
      <c r="P33" s="8"/>
      <c r="Q33" s="8"/>
      <c r="R33" s="8"/>
      <c r="T33" s="8"/>
      <c r="U33" s="8"/>
      <c r="V33" s="8"/>
    </row>
    <row r="34" spans="1:255" s="2" customFormat="1" ht="13">
      <c r="A34" s="2" t="s">
        <v>82</v>
      </c>
      <c r="B34" s="2">
        <f>B26</f>
        <v>485</v>
      </c>
      <c r="C34" s="2">
        <f>C26</f>
        <v>501</v>
      </c>
      <c r="D34" s="2">
        <f>D26</f>
        <v>765</v>
      </c>
      <c r="F34" s="2">
        <f>F26</f>
        <v>-828.1</v>
      </c>
      <c r="G34" s="2">
        <f>G26</f>
        <v>1253.9000000000001</v>
      </c>
      <c r="H34" s="2">
        <f>H26</f>
        <v>1091.9000000000001</v>
      </c>
      <c r="J34" s="2" t="s">
        <v>83</v>
      </c>
      <c r="K34" s="7" t="s">
        <v>84</v>
      </c>
      <c r="L34" s="8">
        <f>L13/L20</f>
        <v>9.7440944881889757E-2</v>
      </c>
      <c r="M34" s="8">
        <f>M13/M20</f>
        <v>0.21627830653101413</v>
      </c>
      <c r="N34" s="8">
        <f>N13/N20</f>
        <v>0.31375123071873973</v>
      </c>
      <c r="O34" s="8"/>
      <c r="P34" s="8">
        <f>P13/P20</f>
        <v>0.24222714382964944</v>
      </c>
      <c r="Q34" s="8">
        <f>Q13/Q20</f>
        <v>0.23325576813225501</v>
      </c>
      <c r="R34" s="8">
        <f>R13/R20</f>
        <v>0.47548291196190445</v>
      </c>
      <c r="T34" s="8">
        <f>T13/T20</f>
        <v>9.1535433070866146E-2</v>
      </c>
      <c r="U34" s="8">
        <f>U13/U20</f>
        <v>0.21627830653101413</v>
      </c>
      <c r="V34" s="8">
        <f>V13/V20</f>
        <v>0.30784378076796848</v>
      </c>
    </row>
    <row r="35" spans="1:255" s="2" customFormat="1" ht="13">
      <c r="A35" s="2" t="s">
        <v>85</v>
      </c>
      <c r="B35" s="2">
        <f>B31</f>
        <v>35626</v>
      </c>
      <c r="C35" s="2">
        <f>C31</f>
        <v>37931</v>
      </c>
      <c r="D35" s="2">
        <f>D31</f>
        <v>36762</v>
      </c>
      <c r="F35" s="2">
        <f>F31</f>
        <v>32399.200000000001</v>
      </c>
      <c r="G35" s="2">
        <f>G31</f>
        <v>34301</v>
      </c>
      <c r="H35" s="2">
        <f>H31</f>
        <v>31976.9</v>
      </c>
      <c r="J35" s="6" t="s">
        <v>86</v>
      </c>
      <c r="K35" s="7" t="s">
        <v>87</v>
      </c>
      <c r="L35" s="8">
        <f>L19/(L34*4)</f>
        <v>52.95515151515152</v>
      </c>
      <c r="M35" s="8">
        <f>M19/(M34*4)</f>
        <v>23.858148710166919</v>
      </c>
      <c r="N35" s="8">
        <f>N19/(N34*2)</f>
        <v>32.89230125523013</v>
      </c>
      <c r="O35" s="8"/>
      <c r="P35" s="8">
        <f>P19/(P34*4)</f>
        <v>35.132313684814818</v>
      </c>
      <c r="Q35" s="8">
        <f>Q19/(Q34*4)</f>
        <v>36.483556518846157</v>
      </c>
      <c r="R35" s="8">
        <f>R19/(R34*2)</f>
        <v>35.795187527924533</v>
      </c>
      <c r="T35" s="8">
        <f>T19/(T34*4)</f>
        <v>56.371612903225802</v>
      </c>
      <c r="U35" s="8">
        <f>U19/(U34*4)</f>
        <v>23.858148710166919</v>
      </c>
      <c r="V35" s="8">
        <f>V19/(V34*2)</f>
        <v>33.523496801705761</v>
      </c>
    </row>
    <row r="36" spans="1:255" s="2" customFormat="1" ht="13">
      <c r="A36" s="4" t="s">
        <v>88</v>
      </c>
      <c r="B36" s="4">
        <f>B34/B35*100</f>
        <v>1.3613652950092627</v>
      </c>
      <c r="C36" s="4">
        <f>C34/C35*100</f>
        <v>1.3208193825630752</v>
      </c>
      <c r="D36" s="4">
        <f>D34/D35*100</f>
        <v>2.0809531581524401</v>
      </c>
      <c r="E36" s="4"/>
      <c r="F36" s="4">
        <f>F34/F35*100</f>
        <v>-2.5559273068470825</v>
      </c>
      <c r="G36" s="4">
        <f>G34/G35*100</f>
        <v>3.6555785545610919</v>
      </c>
      <c r="H36" s="4">
        <f>H34/H35*100</f>
        <v>3.4146524522389603</v>
      </c>
      <c r="I36" s="4"/>
      <c r="J36" s="2" t="s">
        <v>89</v>
      </c>
      <c r="K36" s="7" t="s">
        <v>90</v>
      </c>
      <c r="L36" s="8">
        <f>L19/(L15/L20)</f>
        <v>3.6263961263546229</v>
      </c>
      <c r="M36" s="8">
        <f>M19/(M15/M20)</f>
        <v>3.4971962408941781</v>
      </c>
      <c r="N36" s="8">
        <f>N19/(N15/N20)</f>
        <v>1.7800254733803176</v>
      </c>
      <c r="O36" s="8"/>
      <c r="P36" s="8">
        <f>P19/(P15/P20)</f>
        <v>8.9250017583432193</v>
      </c>
      <c r="Q36" s="8">
        <f>Q19/(Q15/Q20)</f>
        <v>9.1553364659127148</v>
      </c>
      <c r="R36" s="8">
        <f>R19/(R15/R20)</f>
        <v>4.5193509680517865</v>
      </c>
      <c r="S36" s="4"/>
      <c r="T36" s="8">
        <f>T19/(T15/T20)</f>
        <v>3.6263961263546229</v>
      </c>
      <c r="U36" s="8">
        <f>U19/(U15/U20)</f>
        <v>3.4971962408941781</v>
      </c>
      <c r="V36" s="8">
        <f>V19/(V15/V20)</f>
        <v>1.7800254733803176</v>
      </c>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row>
    <row r="37" spans="1:255" s="2" customFormat="1" ht="13">
      <c r="J37" s="2" t="s">
        <v>91</v>
      </c>
      <c r="K37" s="7" t="s">
        <v>92</v>
      </c>
      <c r="L37" s="9">
        <f>(L15-L16)/L16</f>
        <v>-3.531112717566591E-2</v>
      </c>
      <c r="M37" s="9">
        <f>(M15-M16)/M16</f>
        <v>-0.49101355749908016</v>
      </c>
      <c r="N37" s="9" t="e">
        <f>(N15-N16)/N16</f>
        <v>#DIV/0!</v>
      </c>
      <c r="O37" s="9"/>
      <c r="P37" s="9">
        <f>(P15-P16)/P16</f>
        <v>2.580780528745279E-2</v>
      </c>
      <c r="Q37" s="9">
        <f>(Q15-Q16)/Q16</f>
        <v>-0.50636975660279648</v>
      </c>
      <c r="R37" s="9" t="e">
        <f>(R15-R16)/R16</f>
        <v>#DIV/0!</v>
      </c>
      <c r="T37" s="9">
        <f>(T15-T16)/T16</f>
        <v>-3.531112717566591E-2</v>
      </c>
      <c r="U37" s="9">
        <f>(U15-U16)/U16</f>
        <v>-0.49101355749908016</v>
      </c>
      <c r="V37" s="9" t="e">
        <f>(V15-V16)/V16</f>
        <v>#DIV/0!</v>
      </c>
    </row>
    <row r="38" spans="1:255" s="2" customFormat="1" ht="13">
      <c r="A38" s="2" t="s">
        <v>93</v>
      </c>
      <c r="J38" s="6" t="s">
        <v>94</v>
      </c>
      <c r="K38" s="7" t="s">
        <v>95</v>
      </c>
      <c r="L38" s="9">
        <f>(L34-M34)/M34</f>
        <v>-0.5494650090210651</v>
      </c>
      <c r="M38" s="9">
        <f>(M34-N34)/N34</f>
        <v>-0.31066945606694552</v>
      </c>
      <c r="N38" s="9" t="e">
        <f>(N34-O34)/O34</f>
        <v>#DIV/0!</v>
      </c>
      <c r="O38" s="9"/>
      <c r="P38" s="9">
        <f>(P34-Q34)/Q34</f>
        <v>3.8461538461538464E-2</v>
      </c>
      <c r="Q38" s="9">
        <f>(Q34-R34)/R34</f>
        <v>-0.50943396226415094</v>
      </c>
      <c r="R38" s="9" t="e">
        <f>(R34-S34)/S34</f>
        <v>#DIV/0!</v>
      </c>
      <c r="T38" s="9">
        <f>(T34-U34)/U34</f>
        <v>-0.57677015998948544</v>
      </c>
      <c r="U38" s="9">
        <f>(U34-V34)/V34</f>
        <v>-0.29744136460554366</v>
      </c>
      <c r="V38" s="9" t="e">
        <f>(V34-W34)/W34</f>
        <v>#DIV/0!</v>
      </c>
    </row>
    <row r="39" spans="1:255" s="2" customFormat="1" ht="13">
      <c r="A39" s="2" t="s">
        <v>96</v>
      </c>
      <c r="J39" s="6" t="s">
        <v>97</v>
      </c>
      <c r="K39" s="7" t="s">
        <v>98</v>
      </c>
      <c r="L39" s="8">
        <f>L38/L37</f>
        <v>15.5606759956312</v>
      </c>
      <c r="M39" s="8">
        <f>M38/M37</f>
        <v>0.63271054601690402</v>
      </c>
      <c r="N39" s="8" t="e">
        <f>N38/N37</f>
        <v>#DIV/0!</v>
      </c>
      <c r="O39" s="8"/>
      <c r="P39" s="8">
        <f>P38/P37</f>
        <v>1.4903064415259537</v>
      </c>
      <c r="Q39" s="8">
        <f>Q38/Q37</f>
        <v>1.0060513204459762</v>
      </c>
      <c r="R39" s="8" t="e">
        <f>R38/R37</f>
        <v>#DIV/0!</v>
      </c>
      <c r="T39" s="8">
        <f>T38/T37</f>
        <v>16.333949271009317</v>
      </c>
      <c r="U39" s="8">
        <f>U38/U37</f>
        <v>0.60577016675573336</v>
      </c>
      <c r="V39" s="8" t="e">
        <f>V38/V37</f>
        <v>#DIV/0!</v>
      </c>
    </row>
    <row r="40" spans="1:255" s="2" customFormat="1">
      <c r="A40" s="2" t="s">
        <v>99</v>
      </c>
      <c r="K40" s="2" t="s">
        <v>100</v>
      </c>
      <c r="L40" s="2">
        <f>L20*L19</f>
        <v>62910.720000000001</v>
      </c>
    </row>
    <row r="41" spans="1:255" s="2" customFormat="1"/>
    <row r="42" spans="1:255" s="2" customFormat="1">
      <c r="A42" s="2" t="s">
        <v>101</v>
      </c>
    </row>
    <row r="43" spans="1:255" s="2" customFormat="1">
      <c r="A43" s="2" t="s">
        <v>102</v>
      </c>
      <c r="K43" s="2" t="s">
        <v>103</v>
      </c>
    </row>
    <row r="44" spans="1:255" s="2" customFormat="1"/>
    <row r="45" spans="1:255" s="2" customFormat="1">
      <c r="K45" s="2">
        <v>14768</v>
      </c>
      <c r="L45" s="2">
        <f>L5-K45</f>
        <v>58071</v>
      </c>
      <c r="M45" s="2">
        <f>N14</f>
        <v>35331</v>
      </c>
      <c r="N45" s="2">
        <f>L45/M45</f>
        <v>1.6436274093572216</v>
      </c>
    </row>
    <row r="46" spans="1:255" s="2" customFormat="1" ht="13">
      <c r="A46" s="2" t="s">
        <v>104</v>
      </c>
      <c r="B46" s="2">
        <v>8604</v>
      </c>
      <c r="C46" s="2">
        <v>9064</v>
      </c>
      <c r="D46" s="2">
        <v>8740</v>
      </c>
      <c r="F46" s="2">
        <v>7718.9</v>
      </c>
      <c r="G46" s="2">
        <v>7875.1</v>
      </c>
      <c r="H46" s="2">
        <v>7086.6</v>
      </c>
      <c r="J46" s="4"/>
    </row>
    <row r="47" spans="1:255" s="2" customFormat="1" ht="13">
      <c r="A47" s="2" t="s">
        <v>105</v>
      </c>
      <c r="B47" s="2">
        <f>B35</f>
        <v>35626</v>
      </c>
      <c r="C47" s="2">
        <f>C35</f>
        <v>37931</v>
      </c>
      <c r="D47" s="2">
        <f>D35</f>
        <v>36762</v>
      </c>
      <c r="F47" s="2">
        <f>F35</f>
        <v>32399.200000000001</v>
      </c>
      <c r="G47" s="2">
        <f>G35</f>
        <v>34301</v>
      </c>
      <c r="H47" s="2">
        <f>H35</f>
        <v>31976.9</v>
      </c>
      <c r="T47" s="10" t="s">
        <v>106</v>
      </c>
      <c r="U47" s="11" t="s">
        <v>107</v>
      </c>
      <c r="V47" s="12" t="s">
        <v>108</v>
      </c>
      <c r="W47" s="13" t="s">
        <v>109</v>
      </c>
    </row>
    <row r="48" spans="1:255" s="2" customFormat="1" ht="13">
      <c r="A48" s="4" t="s">
        <v>110</v>
      </c>
      <c r="B48" s="4">
        <f>B46/B47*100</f>
        <v>24.150901027339582</v>
      </c>
      <c r="C48" s="4">
        <f>C46/C47*100</f>
        <v>23.896021723656112</v>
      </c>
      <c r="D48" s="4">
        <f>D46/D47*100</f>
        <v>23.774549806865785</v>
      </c>
      <c r="E48" s="4"/>
      <c r="F48" s="4">
        <f>F46/F47*100</f>
        <v>23.824353687745376</v>
      </c>
      <c r="G48" s="4">
        <f>G46/G47*100</f>
        <v>22.958805865718201</v>
      </c>
      <c r="H48" s="4">
        <f>H46/H47*100</f>
        <v>22.161622921546492</v>
      </c>
      <c r="I48" s="4"/>
      <c r="K48" s="10" t="s">
        <v>111</v>
      </c>
      <c r="L48" s="11" t="s">
        <v>112</v>
      </c>
      <c r="M48" s="12" t="s">
        <v>113</v>
      </c>
      <c r="N48" s="13" t="s">
        <v>114</v>
      </c>
      <c r="O48" s="4"/>
      <c r="P48" s="4"/>
      <c r="Q48" s="4"/>
      <c r="R48" s="4"/>
      <c r="S48" s="4"/>
      <c r="T48" s="14" t="s">
        <v>115</v>
      </c>
      <c r="U48" s="15">
        <f>V15</f>
        <v>35331</v>
      </c>
      <c r="V48" s="16">
        <f>R15</f>
        <v>19310</v>
      </c>
      <c r="W48" s="17">
        <f t="shared" ref="W48:W57" si="0">U48/V48</f>
        <v>1.8296737441740032</v>
      </c>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row>
    <row r="49" spans="1:255" s="2" customFormat="1" ht="13">
      <c r="K49" s="14" t="s">
        <v>116</v>
      </c>
      <c r="L49" s="15">
        <f>N15</f>
        <v>35331</v>
      </c>
      <c r="M49" s="16">
        <f>R15</f>
        <v>19310</v>
      </c>
      <c r="N49" s="17">
        <f t="shared" ref="N49:N58" si="1">L49/M49</f>
        <v>1.8296737441740032</v>
      </c>
      <c r="T49" s="14" t="s">
        <v>117</v>
      </c>
      <c r="U49" s="15">
        <f>V13</f>
        <v>938</v>
      </c>
      <c r="V49" s="16">
        <f>R12</f>
        <v>2769.5</v>
      </c>
      <c r="W49" s="17">
        <f t="shared" si="0"/>
        <v>0.3386892940964073</v>
      </c>
    </row>
    <row r="50" spans="1:255" s="2" customFormat="1" ht="13">
      <c r="A50" s="2" t="s">
        <v>118</v>
      </c>
      <c r="B50" s="2">
        <v>21.98</v>
      </c>
      <c r="C50" s="2">
        <v>22</v>
      </c>
      <c r="D50" s="2">
        <v>22</v>
      </c>
      <c r="F50" s="2">
        <v>24.83</v>
      </c>
      <c r="G50" s="2">
        <v>25</v>
      </c>
      <c r="H50" s="2">
        <v>25</v>
      </c>
      <c r="K50" s="14" t="s">
        <v>119</v>
      </c>
      <c r="L50" s="15">
        <f>N13</f>
        <v>956</v>
      </c>
      <c r="M50" s="16">
        <f>R13</f>
        <v>1219</v>
      </c>
      <c r="N50" s="17">
        <f t="shared" si="1"/>
        <v>0.78424938474159145</v>
      </c>
      <c r="T50" s="14" t="s">
        <v>120</v>
      </c>
      <c r="U50" s="15">
        <f>V5</f>
        <v>72514</v>
      </c>
      <c r="V50" s="16">
        <f>R4</f>
        <v>16126</v>
      </c>
      <c r="W50" s="17">
        <f t="shared" si="0"/>
        <v>4.4967133821158374</v>
      </c>
    </row>
    <row r="51" spans="1:255" s="2" customFormat="1" ht="13">
      <c r="A51" s="2" t="s">
        <v>121</v>
      </c>
      <c r="B51" s="2">
        <f>B34</f>
        <v>485</v>
      </c>
      <c r="C51" s="2">
        <f>C34</f>
        <v>501</v>
      </c>
      <c r="D51" s="2">
        <f>D34</f>
        <v>765</v>
      </c>
      <c r="F51" s="2">
        <f>F34</f>
        <v>-828.1</v>
      </c>
      <c r="G51" s="2">
        <f>G34</f>
        <v>1253.9000000000001</v>
      </c>
      <c r="H51" s="2">
        <f>H34</f>
        <v>1091.9000000000001</v>
      </c>
      <c r="J51" s="4"/>
      <c r="K51" s="14" t="s">
        <v>122</v>
      </c>
      <c r="L51" s="15">
        <f>N5</f>
        <v>72514</v>
      </c>
      <c r="M51" s="16">
        <f>R4</f>
        <v>16126</v>
      </c>
      <c r="N51" s="17">
        <f t="shared" si="1"/>
        <v>4.4967133821158374</v>
      </c>
      <c r="T51" s="14" t="s">
        <v>123</v>
      </c>
      <c r="U51" s="18">
        <f>V24</f>
        <v>39.557612295151571</v>
      </c>
      <c r="V51" s="19">
        <f>R24</f>
        <v>25.816157431382702</v>
      </c>
      <c r="W51" s="17">
        <f t="shared" si="0"/>
        <v>1.5322811847693665</v>
      </c>
    </row>
    <row r="52" spans="1:255" s="2" customFormat="1" ht="13">
      <c r="A52" s="2" t="s">
        <v>124</v>
      </c>
      <c r="B52" s="2">
        <v>372</v>
      </c>
      <c r="C52" s="2">
        <v>407</v>
      </c>
      <c r="D52" s="2">
        <v>405</v>
      </c>
      <c r="F52" s="2">
        <v>441</v>
      </c>
      <c r="G52" s="2">
        <v>488.1</v>
      </c>
      <c r="H52" s="2">
        <v>568.4</v>
      </c>
      <c r="K52" s="14" t="s">
        <v>125</v>
      </c>
      <c r="L52" s="18">
        <f>N24</f>
        <v>39.557612295151571</v>
      </c>
      <c r="M52" s="19">
        <f>R24</f>
        <v>25.816157431382702</v>
      </c>
      <c r="N52" s="17">
        <f t="shared" si="1"/>
        <v>1.5322811847693665</v>
      </c>
      <c r="T52" s="14" t="s">
        <v>126</v>
      </c>
      <c r="U52" s="20">
        <f>V25</f>
        <v>4.4698982232189062</v>
      </c>
      <c r="V52" s="21">
        <f>R25</f>
        <v>59.787878787878789</v>
      </c>
      <c r="W52" s="17">
        <f t="shared" si="0"/>
        <v>7.4762615999099793E-2</v>
      </c>
    </row>
    <row r="53" spans="1:255" s="2" customFormat="1" ht="13">
      <c r="A53" s="4" t="s">
        <v>127</v>
      </c>
      <c r="B53" s="4">
        <f>B50/(B51/B52)</f>
        <v>16.858886597938145</v>
      </c>
      <c r="C53" s="4">
        <f>C50/(C51/C52)</f>
        <v>17.872255489021956</v>
      </c>
      <c r="D53" s="4">
        <f>D50/(D51/D52)</f>
        <v>11.647058823529411</v>
      </c>
      <c r="E53" s="4"/>
      <c r="F53" s="4">
        <f>F50/(F51/F52)</f>
        <v>-13.223076923076922</v>
      </c>
      <c r="G53" s="4">
        <f>G50/(G51/G52)</f>
        <v>9.7316372916500509</v>
      </c>
      <c r="H53" s="4">
        <f>H50/(H51/H52)</f>
        <v>13.014012272186095</v>
      </c>
      <c r="I53" s="4"/>
      <c r="J53" s="4"/>
      <c r="K53" s="14" t="s">
        <v>128</v>
      </c>
      <c r="L53" s="20">
        <f>N25</f>
        <v>4.4698982232189062</v>
      </c>
      <c r="M53" s="21">
        <f>R25</f>
        <v>59.787878787878789</v>
      </c>
      <c r="N53" s="17">
        <f t="shared" si="1"/>
        <v>7.4762615999099793E-2</v>
      </c>
      <c r="O53" s="4"/>
      <c r="P53" s="4"/>
      <c r="Q53" s="4"/>
      <c r="R53" s="4"/>
      <c r="S53" s="4"/>
      <c r="T53" s="14" t="s">
        <v>129</v>
      </c>
      <c r="U53" s="15">
        <f>U50/U48</f>
        <v>2.0524185559423738</v>
      </c>
      <c r="V53" s="16">
        <f>V50/V48</f>
        <v>0.83511134127395137</v>
      </c>
      <c r="W53" s="17">
        <f t="shared" si="0"/>
        <v>2.4576585833590001</v>
      </c>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row>
    <row r="54" spans="1:255" s="2" customFormat="1" ht="13">
      <c r="A54" s="2" t="s">
        <v>130</v>
      </c>
      <c r="K54" s="14" t="s">
        <v>131</v>
      </c>
      <c r="L54" s="15">
        <f>L51/L49</f>
        <v>2.0524185559423738</v>
      </c>
      <c r="M54" s="16">
        <f>M51/M49</f>
        <v>0.83511134127395137</v>
      </c>
      <c r="N54" s="17">
        <f t="shared" si="1"/>
        <v>2.4576585833590001</v>
      </c>
      <c r="T54" s="14" t="s">
        <v>132</v>
      </c>
      <c r="U54" s="22">
        <f>V29</f>
        <v>0.25762078627833912</v>
      </c>
      <c r="V54" s="23">
        <f>R29</f>
        <v>0.18259968928016571</v>
      </c>
      <c r="W54" s="17">
        <f t="shared" si="0"/>
        <v>1.4108500802707682</v>
      </c>
    </row>
    <row r="55" spans="1:255" s="2" customFormat="1" ht="13">
      <c r="A55" s="4" t="s">
        <v>133</v>
      </c>
      <c r="B55" s="4">
        <f>B50/(B35/B52)</f>
        <v>0.22951103126929773</v>
      </c>
      <c r="C55" s="4">
        <f>C50/(C35/C52)</f>
        <v>0.23606021460019508</v>
      </c>
      <c r="D55" s="4">
        <f>D50/(D35/D52)</f>
        <v>0.2423698384201077</v>
      </c>
      <c r="E55" s="4"/>
      <c r="F55" s="4">
        <f>F50/(F35/F52)</f>
        <v>0.33797223388231806</v>
      </c>
      <c r="G55" s="4">
        <f>G50/(G35/G52)</f>
        <v>0.35574764584122914</v>
      </c>
      <c r="H55" s="4">
        <f>H50/(H35/H52)</f>
        <v>0.44438328918688169</v>
      </c>
      <c r="I55" s="4"/>
      <c r="K55" s="14" t="s">
        <v>134</v>
      </c>
      <c r="L55" s="22">
        <f>N29</f>
        <v>0.25762078627833912</v>
      </c>
      <c r="M55" s="23">
        <f>R29</f>
        <v>0.18259968928016571</v>
      </c>
      <c r="N55" s="17">
        <f t="shared" si="1"/>
        <v>1.4108500802707682</v>
      </c>
      <c r="O55" s="4"/>
      <c r="P55" s="4"/>
      <c r="Q55" s="4"/>
      <c r="R55" s="4"/>
      <c r="S55" s="4"/>
      <c r="T55" s="14" t="s">
        <v>135</v>
      </c>
      <c r="U55" s="24">
        <f>V30</f>
        <v>2.6548923042087686E-2</v>
      </c>
      <c r="V55" s="25">
        <f>R30</f>
        <v>6.3127912998446403E-2</v>
      </c>
      <c r="W55" s="17">
        <f t="shared" si="0"/>
        <v>0.42055759142142179</v>
      </c>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row>
    <row r="56" spans="1:255" s="2" customFormat="1" ht="13">
      <c r="A56" s="2" t="s">
        <v>136</v>
      </c>
      <c r="K56" s="14" t="s">
        <v>137</v>
      </c>
      <c r="L56" s="24">
        <f>N30</f>
        <v>2.7058390648439047E-2</v>
      </c>
      <c r="M56" s="25">
        <f>R30</f>
        <v>6.3127912998446403E-2</v>
      </c>
      <c r="N56" s="17">
        <f t="shared" si="1"/>
        <v>0.42862799296255782</v>
      </c>
      <c r="T56" s="14" t="s">
        <v>138</v>
      </c>
      <c r="U56" s="24">
        <f>V31</f>
        <v>0.15793495796892248</v>
      </c>
      <c r="V56" s="25">
        <f>R31</f>
        <v>8.534438114966339E-2</v>
      </c>
      <c r="W56" s="17">
        <f t="shared" si="0"/>
        <v>1.8505607029004205</v>
      </c>
    </row>
    <row r="57" spans="1:255" s="2" customFormat="1" ht="13">
      <c r="A57" s="2" t="s">
        <v>139</v>
      </c>
      <c r="B57" s="2">
        <f t="shared" ref="B57:D58" si="2">B51</f>
        <v>485</v>
      </c>
      <c r="C57" s="2">
        <f t="shared" si="2"/>
        <v>501</v>
      </c>
      <c r="D57" s="2">
        <f t="shared" si="2"/>
        <v>765</v>
      </c>
      <c r="F57" s="2">
        <f t="shared" ref="F57:H58" si="3">F51</f>
        <v>-828.1</v>
      </c>
      <c r="G57" s="2">
        <f t="shared" si="3"/>
        <v>1253.9000000000001</v>
      </c>
      <c r="H57" s="2">
        <f t="shared" si="3"/>
        <v>1091.9000000000001</v>
      </c>
      <c r="J57" s="4"/>
      <c r="K57" s="14" t="s">
        <v>140</v>
      </c>
      <c r="L57" s="24">
        <f>N31</f>
        <v>0.15793495796892248</v>
      </c>
      <c r="M57" s="25">
        <f>R31</f>
        <v>8.534438114966339E-2</v>
      </c>
      <c r="N57" s="17">
        <f t="shared" si="1"/>
        <v>1.8505607029004205</v>
      </c>
      <c r="T57" s="14" t="s">
        <v>141</v>
      </c>
      <c r="U57" s="24">
        <f>V32</f>
        <v>5.1993999603747419E-2</v>
      </c>
      <c r="V57" s="25">
        <f>R32</f>
        <v>1.1755567063697566E-2</v>
      </c>
      <c r="W57" s="17">
        <f t="shared" si="0"/>
        <v>4.4229256931645935</v>
      </c>
    </row>
    <row r="58" spans="1:255" s="2" customFormat="1" ht="13">
      <c r="A58" s="2" t="s">
        <v>142</v>
      </c>
      <c r="B58" s="2">
        <f t="shared" si="2"/>
        <v>372</v>
      </c>
      <c r="C58" s="2">
        <f t="shared" si="2"/>
        <v>407</v>
      </c>
      <c r="D58" s="2">
        <f t="shared" si="2"/>
        <v>405</v>
      </c>
      <c r="F58" s="2">
        <f t="shared" si="3"/>
        <v>441</v>
      </c>
      <c r="G58" s="2">
        <f t="shared" si="3"/>
        <v>488.1</v>
      </c>
      <c r="H58" s="2">
        <f t="shared" si="3"/>
        <v>568.4</v>
      </c>
      <c r="K58" s="14" t="s">
        <v>143</v>
      </c>
      <c r="L58" s="24">
        <f>N32</f>
        <v>5.1993999603747419E-2</v>
      </c>
      <c r="M58" s="25">
        <f>R32</f>
        <v>1.1755567063697566E-2</v>
      </c>
      <c r="N58" s="17">
        <f t="shared" si="1"/>
        <v>4.4229256931645935</v>
      </c>
      <c r="T58" s="14"/>
      <c r="U58" s="22"/>
      <c r="V58" s="23"/>
      <c r="W58" s="17"/>
    </row>
    <row r="59" spans="1:255" s="2" customFormat="1" ht="13">
      <c r="A59" s="4" t="s">
        <v>144</v>
      </c>
      <c r="B59" s="4">
        <f>B57/B58</f>
        <v>1.303763440860215</v>
      </c>
      <c r="C59" s="4">
        <f>C57/C58</f>
        <v>1.230958230958231</v>
      </c>
      <c r="D59" s="4">
        <f>D57/D58</f>
        <v>1.8888888888888888</v>
      </c>
      <c r="E59" s="4"/>
      <c r="F59" s="4">
        <f>F57/F58</f>
        <v>-1.8777777777777778</v>
      </c>
      <c r="G59" s="4">
        <f>G57/G58</f>
        <v>2.5689407908215531</v>
      </c>
      <c r="H59" s="4">
        <f>H57/H58</f>
        <v>1.9210063335679102</v>
      </c>
      <c r="I59" s="4"/>
      <c r="K59" s="14"/>
      <c r="L59" s="22"/>
      <c r="M59" s="23"/>
      <c r="N59" s="17"/>
      <c r="O59" s="4"/>
      <c r="P59" s="4"/>
      <c r="Q59" s="4"/>
      <c r="R59" s="4"/>
      <c r="S59" s="4"/>
      <c r="T59" s="14" t="s">
        <v>145</v>
      </c>
      <c r="U59" s="24">
        <f>V28</f>
        <v>2.5434529135822555E-2</v>
      </c>
      <c r="V59" s="25">
        <f>R28</f>
        <v>0.23039123039123038</v>
      </c>
      <c r="W59" s="17">
        <f>U59/V59</f>
        <v>0.11039712359117075</v>
      </c>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row>
    <row r="60" spans="1:255" s="2" customFormat="1" ht="13">
      <c r="K60" s="14" t="s">
        <v>146</v>
      </c>
      <c r="L60" s="24">
        <f>N28</f>
        <v>2.5922611784484396E-2</v>
      </c>
      <c r="M60" s="25">
        <f>R28</f>
        <v>0.23039123039123038</v>
      </c>
      <c r="N60" s="17">
        <f>L60/M60</f>
        <v>0.11251561850016976</v>
      </c>
      <c r="T60" s="14" t="s">
        <v>147</v>
      </c>
      <c r="U60" s="24">
        <f>V27</f>
        <v>1.2993669395614291E-2</v>
      </c>
      <c r="V60" s="25">
        <f>R27</f>
        <v>7.5592211335731116E-2</v>
      </c>
      <c r="W60" s="17">
        <f>U60/V60</f>
        <v>0.17189164288242498</v>
      </c>
    </row>
    <row r="61" spans="1:255" s="2" customFormat="1" ht="13">
      <c r="A61" s="2" t="s">
        <v>148</v>
      </c>
      <c r="B61" s="2">
        <f>C62</f>
        <v>37931</v>
      </c>
      <c r="C61" s="2">
        <f>D62</f>
        <v>36762</v>
      </c>
      <c r="D61" s="2">
        <f>E62</f>
        <v>0</v>
      </c>
      <c r="F61" s="2">
        <f>G62</f>
        <v>34301</v>
      </c>
      <c r="G61" s="2">
        <f>H62</f>
        <v>31976.9</v>
      </c>
      <c r="H61" s="2">
        <f>I62</f>
        <v>0</v>
      </c>
      <c r="J61" s="4"/>
      <c r="K61" s="14" t="s">
        <v>149</v>
      </c>
      <c r="L61" s="24">
        <f>N27</f>
        <v>1.3243014863760406E-2</v>
      </c>
      <c r="M61" s="25">
        <f>R27</f>
        <v>7.5592211335731116E-2</v>
      </c>
      <c r="N61" s="17">
        <f>L61/M61</f>
        <v>0.17519020319360157</v>
      </c>
      <c r="O61" s="2" t="s">
        <v>150</v>
      </c>
      <c r="T61" s="14"/>
      <c r="U61" s="15"/>
      <c r="V61" s="16"/>
      <c r="W61" s="17"/>
    </row>
    <row r="62" spans="1:255" s="2" customFormat="1" ht="13">
      <c r="A62" s="2" t="s">
        <v>151</v>
      </c>
      <c r="B62" s="2">
        <f>B47</f>
        <v>35626</v>
      </c>
      <c r="C62" s="2">
        <f>C47</f>
        <v>37931</v>
      </c>
      <c r="D62" s="2">
        <f>D47</f>
        <v>36762</v>
      </c>
      <c r="F62" s="2">
        <f>F47</f>
        <v>32399.200000000001</v>
      </c>
      <c r="G62" s="2">
        <f>G47</f>
        <v>34301</v>
      </c>
      <c r="H62" s="2">
        <f>H47</f>
        <v>31976.9</v>
      </c>
      <c r="K62" s="14"/>
      <c r="L62" s="15"/>
      <c r="M62" s="16"/>
      <c r="N62" s="17"/>
      <c r="T62" s="14" t="s">
        <v>152</v>
      </c>
      <c r="U62" s="20">
        <f>V35</f>
        <v>33.523496801705761</v>
      </c>
      <c r="V62" s="21">
        <f>R35</f>
        <v>35.795187527924533</v>
      </c>
      <c r="W62" s="17">
        <f>U62/V62</f>
        <v>0.93653642058875708</v>
      </c>
    </row>
    <row r="63" spans="1:255" s="2" customFormat="1" ht="13">
      <c r="A63" s="4" t="s">
        <v>153</v>
      </c>
      <c r="B63" s="4">
        <f>(B62-B61)/B61*100</f>
        <v>-6.0768237062033696</v>
      </c>
      <c r="C63" s="4">
        <f>(C62-C61)/C61*100</f>
        <v>3.179914041673467</v>
      </c>
      <c r="D63" s="4" t="s">
        <v>154</v>
      </c>
      <c r="E63" s="4"/>
      <c r="F63" s="4">
        <f>(F62-F61)/F61*100</f>
        <v>-5.5444447683740972</v>
      </c>
      <c r="G63" s="4">
        <f>(G62-G61)/G61*100</f>
        <v>7.2680591301845965</v>
      </c>
      <c r="H63" s="4" t="s">
        <v>155</v>
      </c>
      <c r="I63" s="4"/>
      <c r="K63" s="14" t="s">
        <v>156</v>
      </c>
      <c r="L63" s="20">
        <f>N35</f>
        <v>32.89230125523013</v>
      </c>
      <c r="M63" s="21">
        <f>R35</f>
        <v>35.795187527924533</v>
      </c>
      <c r="N63" s="17">
        <f>L63/M63</f>
        <v>0.9189028896571696</v>
      </c>
      <c r="O63" s="4"/>
      <c r="P63" s="4"/>
      <c r="Q63" s="4"/>
      <c r="R63" s="4"/>
      <c r="S63" s="4"/>
      <c r="T63" s="26" t="s">
        <v>157</v>
      </c>
      <c r="U63" s="27">
        <f>V36</f>
        <v>1.7800254733803176</v>
      </c>
      <c r="V63" s="28">
        <f>R36</f>
        <v>4.5193509680517865</v>
      </c>
      <c r="W63" s="29">
        <f>U63/V63</f>
        <v>0.39386750132124737</v>
      </c>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row>
    <row r="64" spans="1:255" s="2" customFormat="1" ht="13">
      <c r="K64" s="26" t="s">
        <v>158</v>
      </c>
      <c r="L64" s="27">
        <f>N36</f>
        <v>1.7800254733803176</v>
      </c>
      <c r="M64" s="28">
        <f>R36</f>
        <v>4.5193509680517865</v>
      </c>
      <c r="N64" s="29">
        <f>L64/M64</f>
        <v>0.39386750132124737</v>
      </c>
    </row>
    <row r="65" spans="1:255" s="2" customFormat="1" ht="13">
      <c r="A65" s="2" t="s">
        <v>159</v>
      </c>
      <c r="B65" s="2">
        <f>C66</f>
        <v>1.230958230958231</v>
      </c>
      <c r="C65" s="2">
        <f>D66</f>
        <v>1.8888888888888888</v>
      </c>
      <c r="F65" s="2">
        <f>G66</f>
        <v>2.5689407908215531</v>
      </c>
      <c r="G65" s="2">
        <f>H66</f>
        <v>1.9210063335679102</v>
      </c>
      <c r="J65" s="4"/>
    </row>
    <row r="66" spans="1:255" s="2" customFormat="1">
      <c r="A66" s="2" t="s">
        <v>160</v>
      </c>
      <c r="B66" s="2">
        <f>B59</f>
        <v>1.303763440860215</v>
      </c>
      <c r="C66" s="2">
        <f>C59</f>
        <v>1.230958230958231</v>
      </c>
      <c r="D66" s="2">
        <f>D59</f>
        <v>1.8888888888888888</v>
      </c>
      <c r="F66" s="2">
        <f>F59</f>
        <v>-1.8777777777777778</v>
      </c>
      <c r="G66" s="2">
        <f>G59</f>
        <v>2.5689407908215531</v>
      </c>
      <c r="H66" s="2">
        <f>H59</f>
        <v>1.9210063335679102</v>
      </c>
    </row>
    <row r="67" spans="1:255" s="2" customFormat="1" ht="13">
      <c r="A67" s="4" t="s">
        <v>161</v>
      </c>
      <c r="B67" s="4">
        <f>(B66-B65)/B65*100</f>
        <v>5.9145150559096802</v>
      </c>
      <c r="C67" s="4">
        <f>(C66-C65)/C65*100</f>
        <v>-34.831623066917182</v>
      </c>
      <c r="D67" s="4"/>
      <c r="E67" s="4"/>
      <c r="F67" s="4">
        <f>(F66-F65)/F65*100</f>
        <v>-173.09540899061594</v>
      </c>
      <c r="G67" s="4">
        <f>(G66-G65)/G65*100</f>
        <v>33.728907913084591</v>
      </c>
      <c r="H67" s="4"/>
      <c r="I67" s="4"/>
      <c r="J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row>
    <row r="68" spans="1:255" s="2" customFormat="1"/>
    <row r="69" spans="1:255" s="2" customFormat="1" ht="13">
      <c r="A69" s="4" t="s">
        <v>162</v>
      </c>
      <c r="B69" s="4">
        <f>B67/B63</f>
        <v>-0.97329054484039079</v>
      </c>
      <c r="C69" s="4">
        <f>C67/C63</f>
        <v>-10.953636673960732</v>
      </c>
      <c r="D69" s="4" t="s">
        <v>163</v>
      </c>
      <c r="E69" s="4"/>
      <c r="F69" s="4">
        <f>F67/F63</f>
        <v>31.219611020018508</v>
      </c>
      <c r="G69" s="4">
        <f>G67/G63</f>
        <v>4.6407035645880788</v>
      </c>
      <c r="H69" s="4" t="s">
        <v>164</v>
      </c>
      <c r="I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row>
  </sheetData>
  <pageMargins left="0.78749999999999998" right="0.78749999999999998" top="0.78749999999999998" bottom="0.78749999999999998" header="0.5" footer="0.5"/>
  <pageSetup orientation="portrait" useFirstPageNumber="1" horizontalDpi="300" verticalDpi="300"/>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D3" sqref="D3"/>
    </sheetView>
  </sheetViews>
  <sheetFormatPr defaultRowHeight="12.5"/>
  <cols>
    <col min="1" max="256" width="11.26953125" customWidth="1"/>
  </cols>
  <sheetData>
    <row r="1" spans="1:4" s="2" customFormat="1"/>
    <row r="2" spans="1:4" s="2" customFormat="1"/>
    <row r="3" spans="1:4" s="2" customFormat="1" ht="13">
      <c r="B3" s="30" t="s">
        <v>165</v>
      </c>
      <c r="C3" s="30"/>
      <c r="D3" s="30" t="s">
        <v>166</v>
      </c>
    </row>
    <row r="4" spans="1:4" s="2" customFormat="1"/>
    <row r="5" spans="1:4" s="2" customFormat="1">
      <c r="A5" s="2" t="s">
        <v>167</v>
      </c>
      <c r="B5" s="2">
        <v>21.45</v>
      </c>
      <c r="D5" s="2">
        <v>17.97</v>
      </c>
    </row>
    <row r="6" spans="1:4" s="2" customFormat="1">
      <c r="A6" s="2" t="s">
        <v>168</v>
      </c>
      <c r="B6" s="2">
        <v>9.1199999999999992</v>
      </c>
      <c r="D6" s="2">
        <v>5.83</v>
      </c>
    </row>
    <row r="7" spans="1:4" s="2" customFormat="1">
      <c r="A7" s="2" t="s">
        <v>169</v>
      </c>
      <c r="B7" s="2">
        <v>3.44</v>
      </c>
      <c r="D7" s="2">
        <v>3.67</v>
      </c>
    </row>
    <row r="8" spans="1:4" s="2" customFormat="1">
      <c r="A8" s="2" t="s">
        <v>170</v>
      </c>
      <c r="B8" s="2">
        <v>0.97899999999999998</v>
      </c>
      <c r="D8" s="2">
        <v>1.72</v>
      </c>
    </row>
    <row r="9" spans="1:4" s="2" customFormat="1">
      <c r="A9" s="2" t="s">
        <v>171</v>
      </c>
      <c r="B9" s="2">
        <v>246.52</v>
      </c>
      <c r="D9" s="2">
        <v>43920</v>
      </c>
    </row>
    <row r="10" spans="1:4" s="2" customFormat="1">
      <c r="A10" s="2" t="s">
        <v>172</v>
      </c>
      <c r="B10" s="2">
        <v>8.4600000000000009</v>
      </c>
      <c r="D10" s="2">
        <v>1670</v>
      </c>
    </row>
    <row r="11" spans="1:4" s="2" customFormat="1">
      <c r="A11" s="2" t="s">
        <v>173</v>
      </c>
      <c r="B11" s="2">
        <v>29.9</v>
      </c>
      <c r="D11" s="2">
        <v>21.4</v>
      </c>
    </row>
  </sheetData>
  <pageMargins left="0.78749999999999998" right="0.78749999999999998" top="0.78749999999999998" bottom="0.78749999999999998" header="0.5" footer="0.5"/>
  <pageSetup firstPageNumber="0" orientation="portrait" horizontalDpi="300" verticalDpi="300"/>
  <headerFooter alignWithMargins="0">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cols>
    <col min="1" max="256" width="11.26953125" customWidth="1"/>
  </cols>
  <sheetData>
    <row r="1" s="2" customFormat="1"/>
  </sheetData>
  <pageMargins left="0.78749999999999998" right="0.78749999999999998" top="0.78749999999999998" bottom="0.78749999999999998" header="0.5" footer="0.5"/>
  <pageSetup firstPageNumber="0" orientation="portrait" horizontalDpi="300" verticalDpi="300"/>
  <headerFooter alignWithMargins="0">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685</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unnamed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Carina Negreanu</cp:lastModifiedBy>
  <cp:revision>12</cp:revision>
  <cp:lastPrinted>1601-01-01T04:00:00Z</cp:lastPrinted>
  <dcterms:created xsi:type="dcterms:W3CDTF">2003-09-15T19:38:04Z</dcterms:created>
  <dcterms:modified xsi:type="dcterms:W3CDTF">2020-01-27T10:24:38Z</dcterms:modified>
</cp:coreProperties>
</file>