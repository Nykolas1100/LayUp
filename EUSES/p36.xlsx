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8961B7-324E-44FF-8F85-DBE8CB93EE3E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1" l="1"/>
  <c r="H9" i="1"/>
  <c r="I9" i="1"/>
  <c r="J9" i="1"/>
  <c r="K9" i="1"/>
  <c r="G10" i="1"/>
  <c r="H10" i="1"/>
  <c r="I10" i="1"/>
  <c r="J10" i="1"/>
  <c r="K10" i="1"/>
  <c r="G11" i="1"/>
  <c r="H11" i="1"/>
  <c r="I11" i="1" s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 s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 s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 s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 s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 s="1"/>
  <c r="J31" i="1"/>
  <c r="K31" i="1"/>
  <c r="G32" i="1"/>
  <c r="H32" i="1"/>
  <c r="I32" i="1"/>
  <c r="J32" i="1"/>
  <c r="K32" i="1"/>
  <c r="G33" i="1"/>
  <c r="H33" i="1"/>
  <c r="I33" i="1"/>
  <c r="J33" i="1"/>
  <c r="K33" i="1"/>
  <c r="G34" i="1"/>
  <c r="H34" i="1"/>
  <c r="I34" i="1"/>
  <c r="J34" i="1"/>
  <c r="K34" i="1"/>
  <c r="G35" i="1"/>
  <c r="H35" i="1"/>
  <c r="I35" i="1" s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H42" i="1"/>
  <c r="I42" i="1"/>
  <c r="J42" i="1"/>
  <c r="K42" i="1" s="1"/>
  <c r="G43" i="1"/>
  <c r="H43" i="1"/>
  <c r="I43" i="1"/>
  <c r="J43" i="1"/>
  <c r="K43" i="1"/>
  <c r="G44" i="1"/>
  <c r="H44" i="1"/>
  <c r="I44" i="1"/>
  <c r="J44" i="1"/>
  <c r="K44" i="1"/>
  <c r="G45" i="1"/>
  <c r="H45" i="1"/>
  <c r="I45" i="1"/>
  <c r="J45" i="1"/>
  <c r="K45" i="1" s="1"/>
  <c r="G46" i="1"/>
  <c r="H46" i="1"/>
  <c r="I46" i="1"/>
  <c r="J46" i="1"/>
  <c r="K46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 s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 s="1"/>
  <c r="G55" i="1"/>
  <c r="H55" i="1"/>
  <c r="I55" i="1"/>
  <c r="J55" i="1"/>
  <c r="K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 s="1"/>
  <c r="G59" i="1"/>
  <c r="H59" i="1"/>
  <c r="I59" i="1"/>
  <c r="J59" i="1"/>
  <c r="K59" i="1"/>
  <c r="G60" i="1"/>
  <c r="H60" i="1"/>
  <c r="I60" i="1"/>
  <c r="J60" i="1"/>
  <c r="K60" i="1"/>
  <c r="G61" i="1"/>
  <c r="H61" i="1"/>
  <c r="I61" i="1"/>
  <c r="J61" i="1"/>
  <c r="K61" i="1"/>
  <c r="G62" i="1"/>
  <c r="H62" i="1"/>
  <c r="I62" i="1"/>
  <c r="J62" i="1"/>
  <c r="K62" i="1" s="1"/>
  <c r="G63" i="1"/>
  <c r="H63" i="1"/>
  <c r="I63" i="1"/>
  <c r="J63" i="1"/>
  <c r="K63" i="1"/>
  <c r="G64" i="1"/>
  <c r="H64" i="1"/>
  <c r="I64" i="1"/>
  <c r="J64" i="1"/>
  <c r="K64" i="1"/>
  <c r="G65" i="1"/>
  <c r="H65" i="1"/>
  <c r="I65" i="1"/>
  <c r="J65" i="1"/>
  <c r="K65" i="1"/>
  <c r="G66" i="1"/>
  <c r="H66" i="1"/>
  <c r="I66" i="1"/>
  <c r="J66" i="1"/>
  <c r="K66" i="1" s="1"/>
  <c r="G67" i="1"/>
  <c r="H67" i="1"/>
  <c r="I67" i="1"/>
  <c r="J67" i="1"/>
  <c r="K67" i="1" s="1"/>
  <c r="G68" i="1"/>
  <c r="H68" i="1"/>
  <c r="I68" i="1"/>
  <c r="J68" i="1"/>
  <c r="K68" i="1"/>
  <c r="G69" i="1"/>
  <c r="H69" i="1"/>
  <c r="I69" i="1"/>
  <c r="J69" i="1"/>
  <c r="K69" i="1"/>
  <c r="G70" i="1"/>
  <c r="H70" i="1"/>
  <c r="I70" i="1"/>
  <c r="J70" i="1"/>
  <c r="K70" i="1" s="1"/>
  <c r="G71" i="1"/>
  <c r="H71" i="1"/>
  <c r="I71" i="1"/>
  <c r="J71" i="1"/>
  <c r="K71" i="1"/>
  <c r="G72" i="1"/>
  <c r="H72" i="1"/>
  <c r="I72" i="1"/>
  <c r="J72" i="1"/>
  <c r="K72" i="1"/>
  <c r="G73" i="1"/>
  <c r="H73" i="1"/>
  <c r="I73" i="1"/>
  <c r="J73" i="1"/>
  <c r="K73" i="1"/>
  <c r="G74" i="1"/>
  <c r="H74" i="1"/>
  <c r="I74" i="1"/>
  <c r="J74" i="1"/>
  <c r="K74" i="1" s="1"/>
  <c r="G75" i="1"/>
  <c r="H75" i="1"/>
  <c r="I75" i="1"/>
  <c r="J75" i="1"/>
  <c r="K75" i="1"/>
  <c r="G76" i="1"/>
  <c r="H76" i="1"/>
  <c r="I76" i="1"/>
  <c r="J76" i="1"/>
  <c r="K76" i="1"/>
  <c r="G77" i="1"/>
  <c r="H77" i="1"/>
  <c r="I77" i="1"/>
  <c r="J77" i="1"/>
  <c r="K77" i="1"/>
  <c r="G78" i="1"/>
  <c r="H78" i="1"/>
  <c r="I78" i="1"/>
  <c r="J78" i="1"/>
  <c r="K78" i="1" s="1"/>
  <c r="G79" i="1"/>
  <c r="H79" i="1"/>
  <c r="I79" i="1"/>
  <c r="J79" i="1"/>
  <c r="K79" i="1"/>
  <c r="G80" i="1"/>
  <c r="H80" i="1"/>
  <c r="I80" i="1"/>
  <c r="J80" i="1"/>
  <c r="K80" i="1"/>
  <c r="G81" i="1"/>
  <c r="H81" i="1"/>
  <c r="I81" i="1"/>
  <c r="J81" i="1"/>
  <c r="K81" i="1" s="1"/>
  <c r="G82" i="1"/>
  <c r="H82" i="1"/>
  <c r="I82" i="1"/>
  <c r="J82" i="1"/>
  <c r="K82" i="1" s="1"/>
  <c r="G83" i="1"/>
  <c r="H83" i="1"/>
  <c r="I83" i="1"/>
  <c r="J83" i="1"/>
  <c r="K83" i="1"/>
  <c r="G84" i="1"/>
  <c r="H84" i="1"/>
  <c r="I84" i="1"/>
  <c r="J84" i="1"/>
  <c r="K84" i="1"/>
  <c r="G85" i="1"/>
  <c r="H85" i="1"/>
  <c r="I85" i="1"/>
  <c r="J85" i="1"/>
  <c r="K85" i="1"/>
  <c r="G86" i="1"/>
  <c r="H86" i="1"/>
  <c r="I86" i="1"/>
  <c r="J86" i="1"/>
  <c r="K86" i="1" s="1"/>
  <c r="G87" i="1"/>
  <c r="H87" i="1"/>
  <c r="I87" i="1"/>
  <c r="J87" i="1"/>
  <c r="K87" i="1"/>
  <c r="G88" i="1"/>
  <c r="H88" i="1"/>
  <c r="I88" i="1"/>
  <c r="J88" i="1"/>
  <c r="K88" i="1"/>
  <c r="G89" i="1"/>
  <c r="H89" i="1"/>
  <c r="I89" i="1"/>
  <c r="J89" i="1"/>
  <c r="K89" i="1"/>
  <c r="G90" i="1"/>
  <c r="H90" i="1"/>
  <c r="I90" i="1"/>
  <c r="J90" i="1"/>
  <c r="K90" i="1" s="1"/>
  <c r="G91" i="1"/>
  <c r="H91" i="1"/>
  <c r="I91" i="1"/>
  <c r="J91" i="1"/>
  <c r="K91" i="1"/>
  <c r="G92" i="1"/>
  <c r="H92" i="1"/>
  <c r="I92" i="1"/>
  <c r="J92" i="1"/>
  <c r="K92" i="1"/>
  <c r="G93" i="1"/>
  <c r="H93" i="1"/>
  <c r="I93" i="1"/>
  <c r="J93" i="1"/>
  <c r="K93" i="1"/>
  <c r="G94" i="1"/>
  <c r="H94" i="1"/>
  <c r="I94" i="1"/>
  <c r="J94" i="1"/>
  <c r="K94" i="1" s="1"/>
  <c r="G95" i="1"/>
  <c r="H95" i="1"/>
  <c r="I95" i="1"/>
  <c r="J95" i="1"/>
  <c r="K95" i="1"/>
  <c r="G96" i="1"/>
  <c r="H96" i="1"/>
  <c r="I96" i="1"/>
  <c r="J96" i="1"/>
  <c r="K96" i="1"/>
  <c r="G97" i="1"/>
  <c r="I97" i="1" s="1"/>
  <c r="H97" i="1"/>
  <c r="J97" i="1"/>
  <c r="K97" i="1"/>
  <c r="G98" i="1"/>
  <c r="H98" i="1"/>
  <c r="I98" i="1"/>
  <c r="J98" i="1"/>
  <c r="K98" i="1" s="1"/>
  <c r="G99" i="1"/>
  <c r="H99" i="1"/>
  <c r="I99" i="1"/>
  <c r="J99" i="1"/>
  <c r="K99" i="1"/>
  <c r="G100" i="1"/>
  <c r="H100" i="1"/>
  <c r="I100" i="1"/>
  <c r="J100" i="1"/>
  <c r="K100" i="1"/>
  <c r="G101" i="1"/>
  <c r="I101" i="1" s="1"/>
  <c r="H101" i="1"/>
  <c r="J101" i="1"/>
  <c r="K101" i="1"/>
  <c r="G102" i="1"/>
  <c r="H102" i="1"/>
  <c r="I102" i="1"/>
  <c r="J102" i="1"/>
  <c r="K102" i="1" s="1"/>
  <c r="G103" i="1"/>
  <c r="H103" i="1"/>
  <c r="I103" i="1"/>
  <c r="J103" i="1"/>
  <c r="K103" i="1"/>
  <c r="G104" i="1"/>
  <c r="H104" i="1"/>
  <c r="I104" i="1"/>
  <c r="J104" i="1"/>
  <c r="K104" i="1"/>
  <c r="G105" i="1"/>
  <c r="I105" i="1" s="1"/>
  <c r="H105" i="1"/>
  <c r="J105" i="1"/>
  <c r="K105" i="1" s="1"/>
  <c r="G106" i="1"/>
  <c r="H106" i="1"/>
  <c r="I106" i="1"/>
  <c r="J106" i="1"/>
  <c r="K106" i="1" s="1"/>
  <c r="G107" i="1"/>
  <c r="H107" i="1"/>
  <c r="I107" i="1"/>
  <c r="J107" i="1"/>
  <c r="K107" i="1"/>
  <c r="G108" i="1"/>
  <c r="H108" i="1"/>
  <c r="I108" i="1"/>
  <c r="J108" i="1"/>
  <c r="K108" i="1"/>
  <c r="G109" i="1"/>
  <c r="I109" i="1" s="1"/>
  <c r="H109" i="1"/>
  <c r="J109" i="1"/>
  <c r="K109" i="1" s="1"/>
  <c r="G110" i="1"/>
  <c r="H110" i="1"/>
  <c r="I110" i="1"/>
  <c r="J110" i="1"/>
  <c r="K110" i="1" s="1"/>
  <c r="G111" i="1"/>
  <c r="H111" i="1"/>
  <c r="I111" i="1"/>
  <c r="J111" i="1"/>
  <c r="K111" i="1"/>
  <c r="G112" i="1"/>
  <c r="H112" i="1"/>
  <c r="I112" i="1"/>
  <c r="J112" i="1"/>
  <c r="K112" i="1"/>
  <c r="G113" i="1"/>
  <c r="I113" i="1" s="1"/>
  <c r="H113" i="1"/>
  <c r="J113" i="1"/>
  <c r="K113" i="1"/>
  <c r="G114" i="1"/>
  <c r="H114" i="1"/>
  <c r="I114" i="1"/>
  <c r="J114" i="1"/>
  <c r="K114" i="1" s="1"/>
  <c r="F115" i="1"/>
  <c r="L115" i="1"/>
  <c r="G115" i="1" s="1"/>
  <c r="M115" i="1"/>
  <c r="H115" i="1" s="1"/>
  <c r="N115" i="1"/>
  <c r="J115" i="1" s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I115" i="1" l="1"/>
  <c r="K115" i="1"/>
</calcChain>
</file>

<file path=xl/sharedStrings.xml><?xml version="1.0" encoding="utf-8"?>
<sst xmlns="http://schemas.openxmlformats.org/spreadsheetml/2006/main" count="365" uniqueCount="162">
  <si>
    <t>200101</t>
  </si>
  <si>
    <t>200102</t>
  </si>
  <si>
    <t>200103</t>
  </si>
  <si>
    <t>200104</t>
  </si>
  <si>
    <t>200105</t>
  </si>
  <si>
    <t>200201</t>
  </si>
  <si>
    <t>200202</t>
  </si>
  <si>
    <t>200301</t>
  </si>
  <si>
    <t>200302</t>
  </si>
  <si>
    <t>200303</t>
  </si>
  <si>
    <t>200401</t>
  </si>
  <si>
    <t>200402</t>
  </si>
  <si>
    <t>200500</t>
  </si>
  <si>
    <t>200600</t>
  </si>
  <si>
    <t>200700</t>
  </si>
  <si>
    <t>200801</t>
  </si>
  <si>
    <t>200802</t>
  </si>
  <si>
    <t>200900</t>
  </si>
  <si>
    <t>201000</t>
  </si>
  <si>
    <t>201100</t>
  </si>
  <si>
    <t>201202</t>
  </si>
  <si>
    <t>201203</t>
  </si>
  <si>
    <t>201204</t>
  </si>
  <si>
    <t>201300</t>
  </si>
  <si>
    <t>201400</t>
  </si>
  <si>
    <t>201500</t>
  </si>
  <si>
    <t>201600</t>
  </si>
  <si>
    <t>201801</t>
  </si>
  <si>
    <t>201802</t>
  </si>
  <si>
    <t>201900</t>
  </si>
  <si>
    <t>202001</t>
  </si>
  <si>
    <t>202002</t>
  </si>
  <si>
    <t>1</t>
  </si>
  <si>
    <t>2</t>
  </si>
  <si>
    <t>3</t>
  </si>
  <si>
    <t>4</t>
  </si>
  <si>
    <t>5</t>
  </si>
  <si>
    <t>311619</t>
  </si>
  <si>
    <t>234440</t>
  </si>
  <si>
    <t>383629</t>
  </si>
  <si>
    <t>191748</t>
  </si>
  <si>
    <t>319396</t>
  </si>
  <si>
    <t>338907</t>
  </si>
  <si>
    <t>770223</t>
  </si>
  <si>
    <t>518157</t>
  </si>
  <si>
    <t>203821</t>
  </si>
  <si>
    <t>176855</t>
  </si>
  <si>
    <t>212215</t>
  </si>
  <si>
    <t>823892</t>
  </si>
  <si>
    <t>135883</t>
  </si>
  <si>
    <t>229068</t>
  </si>
  <si>
    <t>499944</t>
  </si>
  <si>
    <t>1300390</t>
  </si>
  <si>
    <t>380754</t>
  </si>
  <si>
    <t>893774</t>
  </si>
  <si>
    <t>613672</t>
  </si>
  <si>
    <t>497643</t>
  </si>
  <si>
    <t>632162</t>
  </si>
  <si>
    <t>579026</t>
  </si>
  <si>
    <t>74957</t>
  </si>
  <si>
    <t>154090</t>
  </si>
  <si>
    <t>390674</t>
  </si>
  <si>
    <t>126931</t>
  </si>
  <si>
    <t>310584</t>
  </si>
  <si>
    <t>369016</t>
  </si>
  <si>
    <t>219704</t>
  </si>
  <si>
    <t>1185780</t>
  </si>
  <si>
    <t>1366962</t>
  </si>
  <si>
    <t>243428</t>
  </si>
  <si>
    <t>175573</t>
  </si>
  <si>
    <t>156104</t>
  </si>
  <si>
    <t>265291</t>
  </si>
  <si>
    <t>114543</t>
  </si>
  <si>
    <t>239969</t>
  </si>
  <si>
    <t>242897</t>
  </si>
  <si>
    <t>268668</t>
  </si>
  <si>
    <t>1228719</t>
  </si>
  <si>
    <t>151194</t>
  </si>
  <si>
    <t>188864</t>
  </si>
  <si>
    <t>43647</t>
  </si>
  <si>
    <t>1423508</t>
  </si>
  <si>
    <t>220679</t>
  </si>
  <si>
    <t>103377</t>
  </si>
  <si>
    <t>330792</t>
  </si>
  <si>
    <t>1275448</t>
  </si>
  <si>
    <t>1096246</t>
  </si>
  <si>
    <t>314703</t>
  </si>
  <si>
    <t>453814</t>
  </si>
  <si>
    <t>289960</t>
  </si>
  <si>
    <t>238549</t>
  </si>
  <si>
    <t>468897</t>
  </si>
  <si>
    <t>404302</t>
  </si>
  <si>
    <t>379605</t>
  </si>
  <si>
    <t>773986</t>
  </si>
  <si>
    <t>630997</t>
  </si>
  <si>
    <t>453997</t>
  </si>
  <si>
    <t>315480</t>
  </si>
  <si>
    <t>243786</t>
  </si>
  <si>
    <t>501909</t>
  </si>
  <si>
    <t>336586</t>
  </si>
  <si>
    <t>214224</t>
  </si>
  <si>
    <t>144592</t>
  </si>
  <si>
    <t>159288</t>
  </si>
  <si>
    <t>273223</t>
  </si>
  <si>
    <t>240150</t>
  </si>
  <si>
    <t>566371</t>
  </si>
  <si>
    <t>213982</t>
  </si>
  <si>
    <t>279479</t>
  </si>
  <si>
    <t>345719</t>
  </si>
  <si>
    <t>266127</t>
  </si>
  <si>
    <t>175391</t>
  </si>
  <si>
    <t>374931</t>
  </si>
  <si>
    <t>409578</t>
  </si>
  <si>
    <t>223227</t>
  </si>
  <si>
    <t>158060</t>
  </si>
  <si>
    <t>211156</t>
  </si>
  <si>
    <t>625846</t>
  </si>
  <si>
    <t>279146</t>
  </si>
  <si>
    <t>328075</t>
  </si>
  <si>
    <t>278713</t>
  </si>
  <si>
    <t>128489</t>
  </si>
  <si>
    <t>152686</t>
  </si>
  <si>
    <t>242145</t>
  </si>
  <si>
    <t>0</t>
  </si>
  <si>
    <t>1361710</t>
  </si>
  <si>
    <t>1072168</t>
  </si>
  <si>
    <t>282874</t>
  </si>
  <si>
    <t>118260</t>
  </si>
  <si>
    <t>190758</t>
  </si>
  <si>
    <t>177109</t>
  </si>
  <si>
    <t>307707</t>
  </si>
  <si>
    <t>383473</t>
  </si>
  <si>
    <t>192499</t>
  </si>
  <si>
    <t>198384</t>
  </si>
  <si>
    <t>101746</t>
  </si>
  <si>
    <t>379289</t>
  </si>
  <si>
    <t>232418</t>
  </si>
  <si>
    <t>-- developed by Proximity -- http://proximityone.com -- based on Census 2000 Summary File 3 data</t>
  </si>
  <si>
    <t>Population 3 Years and Older</t>
  </si>
  <si>
    <t>Total</t>
  </si>
  <si>
    <t>Public</t>
  </si>
  <si>
    <t>Private</t>
  </si>
  <si>
    <t>Kindergarten</t>
  </si>
  <si>
    <t>Grades 1 to 4</t>
  </si>
  <si>
    <t>Grades 5 to 8</t>
  </si>
  <si>
    <t>Grades 9 to 12</t>
  </si>
  <si>
    <t>College, Undergraduate</t>
  </si>
  <si>
    <t>College, Graduate</t>
  </si>
  <si>
    <t>Not Enrolled</t>
  </si>
  <si>
    <t xml:space="preserve">Enrolled in School                  </t>
  </si>
  <si>
    <t>Total Population</t>
  </si>
  <si>
    <t>School Enrollment Characteristics for Alexandria, VA by Census Tract and Block Group</t>
  </si>
  <si>
    <t>Total Housing Units</t>
  </si>
  <si>
    <t>Census Block Group</t>
  </si>
  <si>
    <t>Census Tract</t>
  </si>
  <si>
    <t>Land Area (Square Meters)</t>
  </si>
  <si>
    <t>PK-12</t>
  </si>
  <si>
    <t>Nursery School, Preschool</t>
  </si>
  <si>
    <t>% Private</t>
  </si>
  <si>
    <t>% Public</t>
  </si>
  <si>
    <t>Data provided in this report may be used for non-income generating and non-profit applications.</t>
  </si>
  <si>
    <t>All uses of these data should cite the above source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</si>
</sst>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i/>
      <sz val="8"/>
      <name val="Arial"/>
      <family val="2"/>
    </font>
    <font>
      <sz val="8"/>
      <color indexed="9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right"/>
    </xf>
    <xf numFmtId="1" fontId="1" fillId="0" borderId="0" xfId="0" applyNumberFormat="1" applyFont="1"/>
    <xf numFmtId="1" fontId="0" fillId="0" borderId="0" xfId="0" quotePrefix="1" applyNumberFormat="1"/>
    <xf numFmtId="1" fontId="0" fillId="0" borderId="0" xfId="0" applyNumberFormat="1" applyAlignment="1">
      <alignment horizontal="center"/>
    </xf>
    <xf numFmtId="1" fontId="0" fillId="5" borderId="6" xfId="0" applyNumberFormat="1" applyFill="1" applyBorder="1" applyAlignment="1">
      <alignment horizontal="center"/>
    </xf>
    <xf numFmtId="2" fontId="0" fillId="0" borderId="0" xfId="0" applyNumberFormat="1"/>
    <xf numFmtId="2" fontId="0" fillId="5" borderId="6" xfId="0" applyNumberFormat="1" applyFill="1" applyBorder="1" applyAlignment="1">
      <alignment horizontal="center"/>
    </xf>
    <xf numFmtId="2" fontId="0" fillId="5" borderId="6" xfId="0" quotePrefix="1" applyNumberFormat="1" applyFill="1" applyBorder="1" applyAlignment="1">
      <alignment horizontal="center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3" borderId="7" xfId="0" applyNumberForma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" fontId="2" fillId="2" borderId="0" xfId="0" applyNumberFormat="1" applyFont="1" applyFill="1" applyAlignment="1">
      <alignment horizontal="center"/>
    </xf>
    <xf numFmtId="1" fontId="0" fillId="5" borderId="2" xfId="0" applyNumberFormat="1" applyFill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5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5"/>
  <sheetViews>
    <sheetView tabSelected="1" workbookViewId="0">
      <selection activeCell="I15" sqref="I15"/>
    </sheetView>
  </sheetViews>
  <sheetFormatPr defaultRowHeight="10" x14ac:dyDescent="0.2"/>
  <cols>
    <col min="1" max="1" width="7.6640625" style="1" customWidth="1"/>
    <col min="2" max="2" width="7.33203125" style="1" customWidth="1"/>
    <col min="3" max="3" width="14.77734375" style="1" customWidth="1"/>
    <col min="4" max="5" width="9.77734375" style="2" customWidth="1"/>
    <col min="6" max="8" width="9.77734375" style="1" customWidth="1"/>
    <col min="9" max="9" width="9.77734375" style="8" customWidth="1"/>
    <col min="10" max="10" width="9.77734375" style="1" customWidth="1"/>
    <col min="11" max="11" width="9.77734375" style="8" customWidth="1"/>
    <col min="12" max="33" width="9.77734375" style="1" customWidth="1"/>
    <col min="34" max="34" width="9.77734375" style="1" hidden="1" customWidth="1"/>
  </cols>
  <sheetData>
    <row r="1" spans="1:34" x14ac:dyDescent="0.2">
      <c r="A1" s="1" t="s">
        <v>151</v>
      </c>
    </row>
    <row r="2" spans="1:34" x14ac:dyDescent="0.2">
      <c r="A2" s="5" t="s">
        <v>137</v>
      </c>
      <c r="C2" s="4"/>
    </row>
    <row r="3" spans="1:34" x14ac:dyDescent="0.2">
      <c r="A3" s="1" t="s">
        <v>160</v>
      </c>
      <c r="C3" s="4"/>
    </row>
    <row r="4" spans="1:34" x14ac:dyDescent="0.2">
      <c r="A4" s="1" t="s">
        <v>161</v>
      </c>
      <c r="C4" s="4"/>
    </row>
    <row r="5" spans="1:34" x14ac:dyDescent="0.2">
      <c r="A5" s="12" t="s">
        <v>154</v>
      </c>
      <c r="B5" s="12" t="s">
        <v>153</v>
      </c>
      <c r="C5" s="11" t="s">
        <v>155</v>
      </c>
      <c r="D5" s="20" t="s">
        <v>150</v>
      </c>
      <c r="E5" s="20" t="s">
        <v>152</v>
      </c>
      <c r="F5" s="21" t="s">
        <v>138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spans="1:34" x14ac:dyDescent="0.2">
      <c r="A6" s="12"/>
      <c r="B6" s="12"/>
      <c r="C6" s="11"/>
      <c r="D6" s="20"/>
      <c r="E6" s="20"/>
      <c r="F6" s="22" t="s">
        <v>139</v>
      </c>
      <c r="G6" s="13" t="s">
        <v>149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ht="11.25" customHeight="1" x14ac:dyDescent="0.2">
      <c r="A7" s="12"/>
      <c r="B7" s="12"/>
      <c r="C7" s="11"/>
      <c r="D7" s="20"/>
      <c r="E7" s="20"/>
      <c r="F7" s="23"/>
      <c r="G7" s="15" t="s">
        <v>156</v>
      </c>
      <c r="H7" s="16"/>
      <c r="I7" s="16"/>
      <c r="J7" s="16"/>
      <c r="K7" s="16"/>
      <c r="L7" s="15" t="s">
        <v>157</v>
      </c>
      <c r="M7" s="16"/>
      <c r="N7" s="16"/>
      <c r="O7" s="16" t="s">
        <v>142</v>
      </c>
      <c r="P7" s="16"/>
      <c r="Q7" s="16"/>
      <c r="R7" s="16" t="s">
        <v>143</v>
      </c>
      <c r="S7" s="16"/>
      <c r="T7" s="16"/>
      <c r="U7" s="16" t="s">
        <v>144</v>
      </c>
      <c r="V7" s="16"/>
      <c r="W7" s="16"/>
      <c r="X7" s="16" t="s">
        <v>145</v>
      </c>
      <c r="Y7" s="16"/>
      <c r="Z7" s="16"/>
      <c r="AA7" s="16" t="s">
        <v>146</v>
      </c>
      <c r="AB7" s="16"/>
      <c r="AC7" s="16"/>
      <c r="AD7" s="16" t="s">
        <v>147</v>
      </c>
      <c r="AE7" s="16"/>
      <c r="AF7" s="17"/>
      <c r="AG7" s="18" t="s">
        <v>148</v>
      </c>
      <c r="AH7" s="6"/>
    </row>
    <row r="8" spans="1:34" x14ac:dyDescent="0.2">
      <c r="A8" s="12"/>
      <c r="B8" s="12"/>
      <c r="C8" s="11"/>
      <c r="D8" s="20"/>
      <c r="E8" s="20"/>
      <c r="F8" s="24"/>
      <c r="G8" s="7" t="s">
        <v>139</v>
      </c>
      <c r="H8" s="7" t="s">
        <v>140</v>
      </c>
      <c r="I8" s="9" t="s">
        <v>159</v>
      </c>
      <c r="J8" s="7" t="s">
        <v>141</v>
      </c>
      <c r="K8" s="10" t="s">
        <v>158</v>
      </c>
      <c r="L8" s="7" t="s">
        <v>139</v>
      </c>
      <c r="M8" s="7" t="s">
        <v>140</v>
      </c>
      <c r="N8" s="7" t="s">
        <v>141</v>
      </c>
      <c r="O8" s="7" t="s">
        <v>139</v>
      </c>
      <c r="P8" s="7" t="s">
        <v>140</v>
      </c>
      <c r="Q8" s="7" t="s">
        <v>141</v>
      </c>
      <c r="R8" s="7" t="s">
        <v>139</v>
      </c>
      <c r="S8" s="7" t="s">
        <v>140</v>
      </c>
      <c r="T8" s="7" t="s">
        <v>141</v>
      </c>
      <c r="U8" s="7" t="s">
        <v>139</v>
      </c>
      <c r="V8" s="7" t="s">
        <v>140</v>
      </c>
      <c r="W8" s="7" t="s">
        <v>141</v>
      </c>
      <c r="X8" s="7" t="s">
        <v>139</v>
      </c>
      <c r="Y8" s="7" t="s">
        <v>140</v>
      </c>
      <c r="Z8" s="7" t="s">
        <v>141</v>
      </c>
      <c r="AA8" s="7" t="s">
        <v>139</v>
      </c>
      <c r="AB8" s="7" t="s">
        <v>140</v>
      </c>
      <c r="AC8" s="7" t="s">
        <v>141</v>
      </c>
      <c r="AD8" s="7" t="s">
        <v>139</v>
      </c>
      <c r="AE8" s="7" t="s">
        <v>140</v>
      </c>
      <c r="AF8" s="7" t="s">
        <v>141</v>
      </c>
      <c r="AG8" s="19"/>
    </row>
    <row r="9" spans="1:34" x14ac:dyDescent="0.2">
      <c r="A9" s="1" t="s">
        <v>0</v>
      </c>
      <c r="B9" s="1" t="s">
        <v>32</v>
      </c>
      <c r="C9" s="1" t="s">
        <v>37</v>
      </c>
      <c r="D9" s="3">
        <v>836</v>
      </c>
      <c r="E9" s="2">
        <v>335</v>
      </c>
      <c r="F9" s="1">
        <v>674</v>
      </c>
      <c r="G9" s="1">
        <f>+L9+O9+R9+U9+X9</f>
        <v>130</v>
      </c>
      <c r="H9" s="1">
        <f>+M9+P9+S9+V9+Y9</f>
        <v>119</v>
      </c>
      <c r="I9" s="8">
        <f>+IF(G9&gt;0,100*H9/G9,0)</f>
        <v>91.538461538461533</v>
      </c>
      <c r="J9" s="1">
        <f>+N9+Q9+T9+W9+Z9</f>
        <v>11</v>
      </c>
      <c r="K9" s="8">
        <f>+IF(G9&gt;0,100*J9/G9,0)</f>
        <v>8.4615384615384617</v>
      </c>
      <c r="L9" s="1">
        <v>11</v>
      </c>
      <c r="M9" s="1">
        <v>11</v>
      </c>
      <c r="N9" s="1">
        <v>0</v>
      </c>
      <c r="O9" s="1">
        <v>15</v>
      </c>
      <c r="P9" s="1">
        <v>15</v>
      </c>
      <c r="Q9" s="1">
        <v>0</v>
      </c>
      <c r="R9" s="1">
        <v>17</v>
      </c>
      <c r="S9" s="1">
        <v>17</v>
      </c>
      <c r="T9" s="1">
        <v>0</v>
      </c>
      <c r="U9" s="1">
        <v>36</v>
      </c>
      <c r="V9" s="1">
        <v>36</v>
      </c>
      <c r="W9" s="1">
        <v>0</v>
      </c>
      <c r="X9" s="1">
        <v>51</v>
      </c>
      <c r="Y9" s="1">
        <v>40</v>
      </c>
      <c r="Z9" s="1">
        <v>11</v>
      </c>
      <c r="AA9" s="1">
        <v>61</v>
      </c>
      <c r="AB9" s="1">
        <v>61</v>
      </c>
      <c r="AC9" s="1">
        <v>0</v>
      </c>
      <c r="AD9" s="1">
        <v>6</v>
      </c>
      <c r="AE9" s="1">
        <v>6</v>
      </c>
      <c r="AF9" s="1">
        <v>0</v>
      </c>
      <c r="AG9" s="1">
        <v>477</v>
      </c>
      <c r="AH9" s="1">
        <v>272</v>
      </c>
    </row>
    <row r="10" spans="1:34" x14ac:dyDescent="0.2">
      <c r="A10" s="1" t="s">
        <v>0</v>
      </c>
      <c r="B10" s="1" t="s">
        <v>33</v>
      </c>
      <c r="C10" s="1" t="s">
        <v>38</v>
      </c>
      <c r="D10" s="3">
        <v>1773</v>
      </c>
      <c r="E10" s="2">
        <v>972</v>
      </c>
      <c r="F10" s="1">
        <v>1743</v>
      </c>
      <c r="G10" s="1">
        <f t="shared" ref="G10:G73" si="0">+L10+O10+R10+U10+X10</f>
        <v>175</v>
      </c>
      <c r="H10" s="1">
        <f t="shared" ref="H10:H73" si="1">+M10+P10+S10+V10+Y10</f>
        <v>157</v>
      </c>
      <c r="I10" s="8">
        <f t="shared" ref="I10:I73" si="2">+IF(G10&gt;0,100*H10/G10,0)</f>
        <v>89.714285714285708</v>
      </c>
      <c r="J10" s="1">
        <f t="shared" ref="J10:J73" si="3">+N10+Q10+T10+W10+Z10</f>
        <v>18</v>
      </c>
      <c r="K10" s="8">
        <f t="shared" ref="K10:K73" si="4">+IF(G10&gt;0,100*J10/G10,0)</f>
        <v>10.285714285714286</v>
      </c>
      <c r="L10" s="1">
        <v>18</v>
      </c>
      <c r="M10" s="1">
        <v>0</v>
      </c>
      <c r="N10" s="1">
        <v>18</v>
      </c>
      <c r="O10" s="1">
        <v>0</v>
      </c>
      <c r="P10" s="1">
        <v>0</v>
      </c>
      <c r="Q10" s="1">
        <v>0</v>
      </c>
      <c r="R10" s="1">
        <v>68</v>
      </c>
      <c r="S10" s="1">
        <v>68</v>
      </c>
      <c r="T10" s="1">
        <v>0</v>
      </c>
      <c r="U10" s="1">
        <v>35</v>
      </c>
      <c r="V10" s="1">
        <v>35</v>
      </c>
      <c r="W10" s="1">
        <v>0</v>
      </c>
      <c r="X10" s="1">
        <v>54</v>
      </c>
      <c r="Y10" s="1">
        <v>54</v>
      </c>
      <c r="Z10" s="1">
        <v>0</v>
      </c>
      <c r="AA10" s="1">
        <v>166</v>
      </c>
      <c r="AB10" s="1">
        <v>93</v>
      </c>
      <c r="AC10" s="1">
        <v>73</v>
      </c>
      <c r="AD10" s="1">
        <v>129</v>
      </c>
      <c r="AE10" s="1">
        <v>73</v>
      </c>
      <c r="AF10" s="1">
        <v>56</v>
      </c>
      <c r="AG10" s="1">
        <v>1273</v>
      </c>
      <c r="AH10" s="1">
        <v>583</v>
      </c>
    </row>
    <row r="11" spans="1:34" x14ac:dyDescent="0.2">
      <c r="A11" s="1" t="s">
        <v>0</v>
      </c>
      <c r="B11" s="1" t="s">
        <v>34</v>
      </c>
      <c r="C11" s="1" t="s">
        <v>39</v>
      </c>
      <c r="D11" s="2">
        <v>2663</v>
      </c>
      <c r="E11" s="2">
        <v>1719</v>
      </c>
      <c r="F11" s="1">
        <v>2632</v>
      </c>
      <c r="G11" s="1">
        <f t="shared" si="0"/>
        <v>81</v>
      </c>
      <c r="H11" s="1">
        <f t="shared" si="1"/>
        <v>34</v>
      </c>
      <c r="I11" s="8">
        <f t="shared" si="2"/>
        <v>41.97530864197531</v>
      </c>
      <c r="J11" s="1">
        <f t="shared" si="3"/>
        <v>47</v>
      </c>
      <c r="K11" s="8">
        <f t="shared" si="4"/>
        <v>58.02469135802469</v>
      </c>
      <c r="L11" s="1">
        <v>38</v>
      </c>
      <c r="M11" s="1">
        <v>0</v>
      </c>
      <c r="N11" s="1">
        <v>38</v>
      </c>
      <c r="O11" s="1">
        <v>7</v>
      </c>
      <c r="P11" s="1">
        <v>7</v>
      </c>
      <c r="Q11" s="1">
        <v>0</v>
      </c>
      <c r="R11" s="1">
        <v>19</v>
      </c>
      <c r="S11" s="1">
        <v>19</v>
      </c>
      <c r="T11" s="1">
        <v>0</v>
      </c>
      <c r="U11" s="1">
        <v>17</v>
      </c>
      <c r="V11" s="1">
        <v>8</v>
      </c>
      <c r="W11" s="1">
        <v>9</v>
      </c>
      <c r="X11" s="1">
        <v>0</v>
      </c>
      <c r="Y11" s="1">
        <v>0</v>
      </c>
      <c r="Z11" s="1">
        <v>0</v>
      </c>
      <c r="AA11" s="1">
        <v>217</v>
      </c>
      <c r="AB11" s="1">
        <v>180</v>
      </c>
      <c r="AC11" s="1">
        <v>37</v>
      </c>
      <c r="AD11" s="1">
        <v>152</v>
      </c>
      <c r="AE11" s="1">
        <v>83</v>
      </c>
      <c r="AF11" s="1">
        <v>69</v>
      </c>
      <c r="AG11" s="1">
        <v>2182</v>
      </c>
      <c r="AH11" s="1">
        <v>1003</v>
      </c>
    </row>
    <row r="12" spans="1:34" x14ac:dyDescent="0.2">
      <c r="A12" s="1" t="s">
        <v>0</v>
      </c>
      <c r="B12" s="1" t="s">
        <v>35</v>
      </c>
      <c r="C12" s="1" t="s">
        <v>40</v>
      </c>
      <c r="D12" s="2">
        <v>1620</v>
      </c>
      <c r="E12" s="2">
        <v>915</v>
      </c>
      <c r="F12" s="1">
        <v>1589</v>
      </c>
      <c r="G12" s="1">
        <f t="shared" si="0"/>
        <v>104</v>
      </c>
      <c r="H12" s="1">
        <f t="shared" si="1"/>
        <v>54</v>
      </c>
      <c r="I12" s="8">
        <f t="shared" si="2"/>
        <v>51.92307692307692</v>
      </c>
      <c r="J12" s="1">
        <f t="shared" si="3"/>
        <v>50</v>
      </c>
      <c r="K12" s="8">
        <f t="shared" si="4"/>
        <v>48.07692307692308</v>
      </c>
      <c r="L12" s="1">
        <v>17</v>
      </c>
      <c r="M12" s="1">
        <v>0</v>
      </c>
      <c r="N12" s="1">
        <v>17</v>
      </c>
      <c r="O12" s="1">
        <v>14</v>
      </c>
      <c r="P12" s="1">
        <v>14</v>
      </c>
      <c r="Q12" s="1">
        <v>0</v>
      </c>
      <c r="R12" s="1">
        <v>26</v>
      </c>
      <c r="S12" s="1">
        <v>26</v>
      </c>
      <c r="T12" s="1">
        <v>0</v>
      </c>
      <c r="U12" s="1">
        <v>32</v>
      </c>
      <c r="V12" s="1">
        <v>7</v>
      </c>
      <c r="W12" s="1">
        <v>25</v>
      </c>
      <c r="X12" s="1">
        <v>15</v>
      </c>
      <c r="Y12" s="1">
        <v>7</v>
      </c>
      <c r="Z12" s="1">
        <v>8</v>
      </c>
      <c r="AA12" s="1">
        <v>91</v>
      </c>
      <c r="AB12" s="1">
        <v>55</v>
      </c>
      <c r="AC12" s="1">
        <v>36</v>
      </c>
      <c r="AD12" s="1">
        <v>74</v>
      </c>
      <c r="AE12" s="1">
        <v>42</v>
      </c>
      <c r="AF12" s="1">
        <v>32</v>
      </c>
      <c r="AG12" s="1">
        <v>1320</v>
      </c>
      <c r="AH12" s="1">
        <v>522</v>
      </c>
    </row>
    <row r="13" spans="1:34" x14ac:dyDescent="0.2">
      <c r="A13" s="1" t="s">
        <v>0</v>
      </c>
      <c r="B13" s="1" t="s">
        <v>36</v>
      </c>
      <c r="C13" s="1" t="s">
        <v>41</v>
      </c>
      <c r="D13" s="2">
        <v>738</v>
      </c>
      <c r="E13" s="2">
        <v>419</v>
      </c>
      <c r="F13" s="1">
        <v>679</v>
      </c>
      <c r="G13" s="1">
        <f t="shared" si="0"/>
        <v>0</v>
      </c>
      <c r="H13" s="1">
        <f t="shared" si="1"/>
        <v>0</v>
      </c>
      <c r="I13" s="8">
        <f t="shared" si="2"/>
        <v>0</v>
      </c>
      <c r="J13" s="1">
        <f t="shared" si="3"/>
        <v>0</v>
      </c>
      <c r="K13" s="8">
        <f t="shared" si="4"/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10</v>
      </c>
      <c r="AE13" s="1">
        <v>0</v>
      </c>
      <c r="AF13" s="1">
        <v>10</v>
      </c>
      <c r="AG13" s="1">
        <v>669</v>
      </c>
      <c r="AH13" s="1">
        <v>171</v>
      </c>
    </row>
    <row r="14" spans="1:34" x14ac:dyDescent="0.2">
      <c r="A14" s="1" t="s">
        <v>1</v>
      </c>
      <c r="B14" s="1" t="s">
        <v>32</v>
      </c>
      <c r="C14" s="1" t="s">
        <v>42</v>
      </c>
      <c r="D14" s="2">
        <v>583</v>
      </c>
      <c r="E14" s="2">
        <v>226</v>
      </c>
      <c r="F14" s="1">
        <v>535</v>
      </c>
      <c r="G14" s="1">
        <f t="shared" si="0"/>
        <v>80</v>
      </c>
      <c r="H14" s="1">
        <f t="shared" si="1"/>
        <v>68</v>
      </c>
      <c r="I14" s="8">
        <f t="shared" si="2"/>
        <v>85</v>
      </c>
      <c r="J14" s="1">
        <f t="shared" si="3"/>
        <v>12</v>
      </c>
      <c r="K14" s="8">
        <f t="shared" si="4"/>
        <v>15</v>
      </c>
      <c r="L14" s="1">
        <v>8</v>
      </c>
      <c r="M14" s="1">
        <v>5</v>
      </c>
      <c r="N14" s="1">
        <v>3</v>
      </c>
      <c r="O14" s="1">
        <v>0</v>
      </c>
      <c r="P14" s="1">
        <v>0</v>
      </c>
      <c r="Q14" s="1">
        <v>0</v>
      </c>
      <c r="R14" s="1">
        <v>20</v>
      </c>
      <c r="S14" s="1">
        <v>20</v>
      </c>
      <c r="T14" s="1">
        <v>0</v>
      </c>
      <c r="U14" s="1">
        <v>29</v>
      </c>
      <c r="V14" s="1">
        <v>29</v>
      </c>
      <c r="W14" s="1">
        <v>0</v>
      </c>
      <c r="X14" s="1">
        <v>23</v>
      </c>
      <c r="Y14" s="1">
        <v>14</v>
      </c>
      <c r="Z14" s="1">
        <v>9</v>
      </c>
      <c r="AA14" s="1">
        <v>23</v>
      </c>
      <c r="AB14" s="1">
        <v>20</v>
      </c>
      <c r="AC14" s="1">
        <v>3</v>
      </c>
      <c r="AD14" s="1">
        <v>22</v>
      </c>
      <c r="AE14" s="1">
        <v>9</v>
      </c>
      <c r="AF14" s="1">
        <v>13</v>
      </c>
      <c r="AG14" s="1">
        <v>410</v>
      </c>
      <c r="AH14" s="1">
        <v>216</v>
      </c>
    </row>
    <row r="15" spans="1:34" x14ac:dyDescent="0.2">
      <c r="A15" s="1" t="s">
        <v>1</v>
      </c>
      <c r="B15" s="1" t="s">
        <v>33</v>
      </c>
      <c r="C15" s="1" t="s">
        <v>43</v>
      </c>
      <c r="D15" s="2">
        <v>3438</v>
      </c>
      <c r="E15" s="2">
        <v>1557</v>
      </c>
      <c r="F15" s="1">
        <v>3307</v>
      </c>
      <c r="G15" s="1">
        <f t="shared" si="0"/>
        <v>498</v>
      </c>
      <c r="H15" s="1">
        <f t="shared" si="1"/>
        <v>477</v>
      </c>
      <c r="I15" s="8">
        <f t="shared" si="2"/>
        <v>95.783132530120483</v>
      </c>
      <c r="J15" s="1">
        <f t="shared" si="3"/>
        <v>21</v>
      </c>
      <c r="K15" s="8">
        <f t="shared" si="4"/>
        <v>4.2168674698795181</v>
      </c>
      <c r="L15" s="1">
        <v>42</v>
      </c>
      <c r="M15" s="1">
        <v>38</v>
      </c>
      <c r="N15" s="1">
        <v>4</v>
      </c>
      <c r="O15" s="1">
        <v>46</v>
      </c>
      <c r="P15" s="1">
        <v>43</v>
      </c>
      <c r="Q15" s="1">
        <v>3</v>
      </c>
      <c r="R15" s="1">
        <v>141</v>
      </c>
      <c r="S15" s="1">
        <v>141</v>
      </c>
      <c r="T15" s="1">
        <v>0</v>
      </c>
      <c r="U15" s="1">
        <v>135</v>
      </c>
      <c r="V15" s="1">
        <v>129</v>
      </c>
      <c r="W15" s="1">
        <v>6</v>
      </c>
      <c r="X15" s="1">
        <v>134</v>
      </c>
      <c r="Y15" s="1">
        <v>126</v>
      </c>
      <c r="Z15" s="1">
        <v>8</v>
      </c>
      <c r="AA15" s="1">
        <v>294</v>
      </c>
      <c r="AB15" s="1">
        <v>266</v>
      </c>
      <c r="AC15" s="1">
        <v>28</v>
      </c>
      <c r="AD15" s="1">
        <v>83</v>
      </c>
      <c r="AE15" s="1">
        <v>48</v>
      </c>
      <c r="AF15" s="1">
        <v>35</v>
      </c>
      <c r="AG15" s="1">
        <v>2432</v>
      </c>
      <c r="AH15" s="1">
        <v>1240</v>
      </c>
    </row>
    <row r="16" spans="1:34" x14ac:dyDescent="0.2">
      <c r="A16" s="1" t="s">
        <v>2</v>
      </c>
      <c r="B16" s="1" t="s">
        <v>32</v>
      </c>
      <c r="C16" s="1" t="s">
        <v>44</v>
      </c>
      <c r="D16" s="2">
        <v>837</v>
      </c>
      <c r="E16" s="2">
        <v>351</v>
      </c>
      <c r="F16" s="1">
        <v>742</v>
      </c>
      <c r="G16" s="1">
        <f t="shared" si="0"/>
        <v>115</v>
      </c>
      <c r="H16" s="1">
        <f t="shared" si="1"/>
        <v>86</v>
      </c>
      <c r="I16" s="8">
        <f t="shared" si="2"/>
        <v>74.782608695652172</v>
      </c>
      <c r="J16" s="1">
        <f t="shared" si="3"/>
        <v>29</v>
      </c>
      <c r="K16" s="8">
        <f t="shared" si="4"/>
        <v>25.217391304347824</v>
      </c>
      <c r="L16" s="1">
        <v>28</v>
      </c>
      <c r="M16" s="1">
        <v>6</v>
      </c>
      <c r="N16" s="1">
        <v>22</v>
      </c>
      <c r="O16" s="1">
        <v>11</v>
      </c>
      <c r="P16" s="1">
        <v>11</v>
      </c>
      <c r="Q16" s="1">
        <v>0</v>
      </c>
      <c r="R16" s="1">
        <v>35</v>
      </c>
      <c r="S16" s="1">
        <v>28</v>
      </c>
      <c r="T16" s="1">
        <v>7</v>
      </c>
      <c r="U16" s="1">
        <v>14</v>
      </c>
      <c r="V16" s="1">
        <v>14</v>
      </c>
      <c r="W16" s="1">
        <v>0</v>
      </c>
      <c r="X16" s="1">
        <v>27</v>
      </c>
      <c r="Y16" s="1">
        <v>27</v>
      </c>
      <c r="Z16" s="1">
        <v>0</v>
      </c>
      <c r="AA16" s="1">
        <v>12</v>
      </c>
      <c r="AB16" s="1">
        <v>0</v>
      </c>
      <c r="AC16" s="1">
        <v>12</v>
      </c>
      <c r="AD16" s="1">
        <v>18</v>
      </c>
      <c r="AE16" s="1">
        <v>0</v>
      </c>
      <c r="AF16" s="1">
        <v>18</v>
      </c>
      <c r="AG16" s="1">
        <v>597</v>
      </c>
      <c r="AH16" s="1">
        <v>261</v>
      </c>
    </row>
    <row r="17" spans="1:34" x14ac:dyDescent="0.2">
      <c r="A17" s="1" t="s">
        <v>2</v>
      </c>
      <c r="B17" s="1" t="s">
        <v>33</v>
      </c>
      <c r="C17" s="1" t="s">
        <v>45</v>
      </c>
      <c r="D17" s="2">
        <v>2340</v>
      </c>
      <c r="E17" s="2">
        <v>878</v>
      </c>
      <c r="F17" s="1">
        <v>2244</v>
      </c>
      <c r="G17" s="1">
        <f t="shared" si="0"/>
        <v>457</v>
      </c>
      <c r="H17" s="1">
        <f t="shared" si="1"/>
        <v>363</v>
      </c>
      <c r="I17" s="8">
        <f t="shared" si="2"/>
        <v>79.431072210065651</v>
      </c>
      <c r="J17" s="1">
        <f t="shared" si="3"/>
        <v>94</v>
      </c>
      <c r="K17" s="8">
        <f t="shared" si="4"/>
        <v>20.568927789934353</v>
      </c>
      <c r="L17" s="1">
        <v>63</v>
      </c>
      <c r="M17" s="1">
        <v>17</v>
      </c>
      <c r="N17" s="1">
        <v>46</v>
      </c>
      <c r="O17" s="1">
        <v>55</v>
      </c>
      <c r="P17" s="1">
        <v>31</v>
      </c>
      <c r="Q17" s="1">
        <v>24</v>
      </c>
      <c r="R17" s="1">
        <v>144</v>
      </c>
      <c r="S17" s="1">
        <v>127</v>
      </c>
      <c r="T17" s="1">
        <v>17</v>
      </c>
      <c r="U17" s="1">
        <v>40</v>
      </c>
      <c r="V17" s="1">
        <v>40</v>
      </c>
      <c r="W17" s="1">
        <v>0</v>
      </c>
      <c r="X17" s="1">
        <v>155</v>
      </c>
      <c r="Y17" s="1">
        <v>148</v>
      </c>
      <c r="Z17" s="1">
        <v>7</v>
      </c>
      <c r="AA17" s="1">
        <v>83</v>
      </c>
      <c r="AB17" s="1">
        <v>74</v>
      </c>
      <c r="AC17" s="1">
        <v>9</v>
      </c>
      <c r="AD17" s="1">
        <v>6</v>
      </c>
      <c r="AE17" s="1">
        <v>0</v>
      </c>
      <c r="AF17" s="1">
        <v>6</v>
      </c>
      <c r="AG17" s="1">
        <v>1698</v>
      </c>
      <c r="AH17" s="1">
        <v>822</v>
      </c>
    </row>
    <row r="18" spans="1:34" x14ac:dyDescent="0.2">
      <c r="A18" s="1" t="s">
        <v>2</v>
      </c>
      <c r="B18" s="1" t="s">
        <v>34</v>
      </c>
      <c r="C18" s="1" t="s">
        <v>46</v>
      </c>
      <c r="D18" s="2">
        <v>2385</v>
      </c>
      <c r="E18" s="2">
        <v>972</v>
      </c>
      <c r="F18" s="1">
        <v>2252</v>
      </c>
      <c r="G18" s="1">
        <f t="shared" si="0"/>
        <v>529</v>
      </c>
      <c r="H18" s="1">
        <f t="shared" si="1"/>
        <v>474</v>
      </c>
      <c r="I18" s="8">
        <f t="shared" si="2"/>
        <v>89.603024574669192</v>
      </c>
      <c r="J18" s="1">
        <f t="shared" si="3"/>
        <v>55</v>
      </c>
      <c r="K18" s="8">
        <f t="shared" si="4"/>
        <v>10.396975425330814</v>
      </c>
      <c r="L18" s="1">
        <v>45</v>
      </c>
      <c r="M18" s="1">
        <v>19</v>
      </c>
      <c r="N18" s="1">
        <v>26</v>
      </c>
      <c r="O18" s="1">
        <v>26</v>
      </c>
      <c r="P18" s="1">
        <v>26</v>
      </c>
      <c r="Q18" s="1">
        <v>0</v>
      </c>
      <c r="R18" s="1">
        <v>157</v>
      </c>
      <c r="S18" s="1">
        <v>157</v>
      </c>
      <c r="T18" s="1">
        <v>0</v>
      </c>
      <c r="U18" s="1">
        <v>147</v>
      </c>
      <c r="V18" s="1">
        <v>147</v>
      </c>
      <c r="W18" s="1">
        <v>0</v>
      </c>
      <c r="X18" s="1">
        <v>154</v>
      </c>
      <c r="Y18" s="1">
        <v>125</v>
      </c>
      <c r="Z18" s="1">
        <v>29</v>
      </c>
      <c r="AA18" s="1">
        <v>166</v>
      </c>
      <c r="AB18" s="1">
        <v>114</v>
      </c>
      <c r="AC18" s="1">
        <v>52</v>
      </c>
      <c r="AD18" s="1">
        <v>68</v>
      </c>
      <c r="AE18" s="1">
        <v>27</v>
      </c>
      <c r="AF18" s="1">
        <v>41</v>
      </c>
      <c r="AG18" s="1">
        <v>1489</v>
      </c>
      <c r="AH18" s="1">
        <v>751</v>
      </c>
    </row>
    <row r="19" spans="1:34" x14ac:dyDescent="0.2">
      <c r="A19" s="1" t="s">
        <v>2</v>
      </c>
      <c r="B19" s="1" t="s">
        <v>35</v>
      </c>
      <c r="C19" s="1" t="s">
        <v>47</v>
      </c>
      <c r="D19" s="2">
        <v>1387</v>
      </c>
      <c r="E19" s="2">
        <v>739</v>
      </c>
      <c r="F19" s="1">
        <v>1277</v>
      </c>
      <c r="G19" s="1">
        <f t="shared" si="0"/>
        <v>88</v>
      </c>
      <c r="H19" s="1">
        <f t="shared" si="1"/>
        <v>79</v>
      </c>
      <c r="I19" s="8">
        <f t="shared" si="2"/>
        <v>89.772727272727266</v>
      </c>
      <c r="J19" s="1">
        <f t="shared" si="3"/>
        <v>9</v>
      </c>
      <c r="K19" s="8">
        <f t="shared" si="4"/>
        <v>10.227272727272727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42</v>
      </c>
      <c r="S19" s="1">
        <v>42</v>
      </c>
      <c r="T19" s="1">
        <v>0</v>
      </c>
      <c r="U19" s="1">
        <v>17</v>
      </c>
      <c r="V19" s="1">
        <v>17</v>
      </c>
      <c r="W19" s="1">
        <v>0</v>
      </c>
      <c r="X19" s="1">
        <v>29</v>
      </c>
      <c r="Y19" s="1">
        <v>20</v>
      </c>
      <c r="Z19" s="1">
        <v>9</v>
      </c>
      <c r="AA19" s="1">
        <v>93</v>
      </c>
      <c r="AB19" s="1">
        <v>58</v>
      </c>
      <c r="AC19" s="1">
        <v>35</v>
      </c>
      <c r="AD19" s="1">
        <v>42</v>
      </c>
      <c r="AE19" s="1">
        <v>18</v>
      </c>
      <c r="AF19" s="1">
        <v>24</v>
      </c>
      <c r="AG19" s="1">
        <v>1054</v>
      </c>
      <c r="AH19" s="1">
        <v>505</v>
      </c>
    </row>
    <row r="20" spans="1:34" x14ac:dyDescent="0.2">
      <c r="A20" s="1" t="s">
        <v>3</v>
      </c>
      <c r="B20" s="1" t="s">
        <v>32</v>
      </c>
      <c r="C20" s="1" t="s">
        <v>48</v>
      </c>
      <c r="D20" s="2">
        <v>2037</v>
      </c>
      <c r="E20" s="2">
        <v>977</v>
      </c>
      <c r="F20" s="1">
        <v>1982</v>
      </c>
      <c r="G20" s="1">
        <f t="shared" si="0"/>
        <v>248</v>
      </c>
      <c r="H20" s="1">
        <f t="shared" si="1"/>
        <v>219</v>
      </c>
      <c r="I20" s="8">
        <f t="shared" si="2"/>
        <v>88.306451612903231</v>
      </c>
      <c r="J20" s="1">
        <f t="shared" si="3"/>
        <v>29</v>
      </c>
      <c r="K20" s="8">
        <f t="shared" si="4"/>
        <v>11.693548387096774</v>
      </c>
      <c r="L20" s="1">
        <v>34</v>
      </c>
      <c r="M20" s="1">
        <v>14</v>
      </c>
      <c r="N20" s="1">
        <v>20</v>
      </c>
      <c r="O20" s="1">
        <v>0</v>
      </c>
      <c r="P20" s="1">
        <v>0</v>
      </c>
      <c r="Q20" s="1">
        <v>0</v>
      </c>
      <c r="R20" s="1">
        <v>85</v>
      </c>
      <c r="S20" s="1">
        <v>85</v>
      </c>
      <c r="T20" s="1">
        <v>0</v>
      </c>
      <c r="U20" s="1">
        <v>44</v>
      </c>
      <c r="V20" s="1">
        <v>35</v>
      </c>
      <c r="W20" s="1">
        <v>9</v>
      </c>
      <c r="X20" s="1">
        <v>85</v>
      </c>
      <c r="Y20" s="1">
        <v>85</v>
      </c>
      <c r="Z20" s="1">
        <v>0</v>
      </c>
      <c r="AA20" s="1">
        <v>115</v>
      </c>
      <c r="AB20" s="1">
        <v>106</v>
      </c>
      <c r="AC20" s="1">
        <v>9</v>
      </c>
      <c r="AD20" s="1">
        <v>78</v>
      </c>
      <c r="AE20" s="1">
        <v>30</v>
      </c>
      <c r="AF20" s="1">
        <v>48</v>
      </c>
      <c r="AG20" s="1">
        <v>1541</v>
      </c>
      <c r="AH20" s="1">
        <v>767</v>
      </c>
    </row>
    <row r="21" spans="1:34" x14ac:dyDescent="0.2">
      <c r="A21" s="1" t="s">
        <v>3</v>
      </c>
      <c r="B21" s="1" t="s">
        <v>33</v>
      </c>
      <c r="C21" s="1" t="s">
        <v>49</v>
      </c>
      <c r="D21" s="2">
        <v>1052</v>
      </c>
      <c r="E21" s="2">
        <v>414</v>
      </c>
      <c r="F21" s="1">
        <v>957</v>
      </c>
      <c r="G21" s="1">
        <f t="shared" si="0"/>
        <v>168</v>
      </c>
      <c r="H21" s="1">
        <f t="shared" si="1"/>
        <v>137</v>
      </c>
      <c r="I21" s="8">
        <f t="shared" si="2"/>
        <v>81.547619047619051</v>
      </c>
      <c r="J21" s="1">
        <f t="shared" si="3"/>
        <v>31</v>
      </c>
      <c r="K21" s="8">
        <f t="shared" si="4"/>
        <v>18.452380952380953</v>
      </c>
      <c r="L21" s="1">
        <v>37</v>
      </c>
      <c r="M21" s="1">
        <v>23</v>
      </c>
      <c r="N21" s="1">
        <v>14</v>
      </c>
      <c r="O21" s="1">
        <v>18</v>
      </c>
      <c r="P21" s="1">
        <v>9</v>
      </c>
      <c r="Q21" s="1">
        <v>9</v>
      </c>
      <c r="R21" s="1">
        <v>33</v>
      </c>
      <c r="S21" s="1">
        <v>33</v>
      </c>
      <c r="T21" s="1">
        <v>0</v>
      </c>
      <c r="U21" s="1">
        <v>23</v>
      </c>
      <c r="V21" s="1">
        <v>15</v>
      </c>
      <c r="W21" s="1">
        <v>8</v>
      </c>
      <c r="X21" s="1">
        <v>57</v>
      </c>
      <c r="Y21" s="1">
        <v>57</v>
      </c>
      <c r="Z21" s="1">
        <v>0</v>
      </c>
      <c r="AA21" s="1">
        <v>96</v>
      </c>
      <c r="AB21" s="1">
        <v>60</v>
      </c>
      <c r="AC21" s="1">
        <v>36</v>
      </c>
      <c r="AD21" s="1">
        <v>34</v>
      </c>
      <c r="AE21" s="1">
        <v>22</v>
      </c>
      <c r="AF21" s="1">
        <v>12</v>
      </c>
      <c r="AG21" s="1">
        <v>659</v>
      </c>
      <c r="AH21" s="1">
        <v>349</v>
      </c>
    </row>
    <row r="22" spans="1:34" x14ac:dyDescent="0.2">
      <c r="A22" s="1" t="s">
        <v>4</v>
      </c>
      <c r="B22" s="1" t="s">
        <v>32</v>
      </c>
      <c r="C22" s="1" t="s">
        <v>50</v>
      </c>
      <c r="D22" s="2">
        <v>4025</v>
      </c>
      <c r="E22" s="2">
        <v>2415</v>
      </c>
      <c r="F22" s="1">
        <v>3907</v>
      </c>
      <c r="G22" s="1">
        <f t="shared" si="0"/>
        <v>393</v>
      </c>
      <c r="H22" s="1">
        <f t="shared" si="1"/>
        <v>338</v>
      </c>
      <c r="I22" s="8">
        <f t="shared" si="2"/>
        <v>86.005089058524177</v>
      </c>
      <c r="J22" s="1">
        <f t="shared" si="3"/>
        <v>55</v>
      </c>
      <c r="K22" s="8">
        <f t="shared" si="4"/>
        <v>13.994910941475826</v>
      </c>
      <c r="L22" s="1">
        <v>67</v>
      </c>
      <c r="M22" s="1">
        <v>26</v>
      </c>
      <c r="N22" s="1">
        <v>41</v>
      </c>
      <c r="O22" s="1">
        <v>27</v>
      </c>
      <c r="P22" s="1">
        <v>27</v>
      </c>
      <c r="Q22" s="1">
        <v>0</v>
      </c>
      <c r="R22" s="1">
        <v>60</v>
      </c>
      <c r="S22" s="1">
        <v>46</v>
      </c>
      <c r="T22" s="1">
        <v>14</v>
      </c>
      <c r="U22" s="1">
        <v>99</v>
      </c>
      <c r="V22" s="1">
        <v>99</v>
      </c>
      <c r="W22" s="1">
        <v>0</v>
      </c>
      <c r="X22" s="1">
        <v>140</v>
      </c>
      <c r="Y22" s="1">
        <v>140</v>
      </c>
      <c r="Z22" s="1">
        <v>0</v>
      </c>
      <c r="AA22" s="1">
        <v>373</v>
      </c>
      <c r="AB22" s="1">
        <v>269</v>
      </c>
      <c r="AC22" s="1">
        <v>104</v>
      </c>
      <c r="AD22" s="1">
        <v>166</v>
      </c>
      <c r="AE22" s="1">
        <v>112</v>
      </c>
      <c r="AF22" s="1">
        <v>54</v>
      </c>
      <c r="AG22" s="1">
        <v>2975</v>
      </c>
      <c r="AH22" s="1">
        <v>1516</v>
      </c>
    </row>
    <row r="23" spans="1:34" x14ac:dyDescent="0.2">
      <c r="A23" s="1" t="s">
        <v>5</v>
      </c>
      <c r="B23" s="1" t="s">
        <v>32</v>
      </c>
      <c r="C23" s="1" t="s">
        <v>51</v>
      </c>
      <c r="D23" s="2">
        <v>1112</v>
      </c>
      <c r="E23" s="2">
        <v>665</v>
      </c>
      <c r="F23" s="1">
        <v>1046</v>
      </c>
      <c r="G23" s="1">
        <f t="shared" si="0"/>
        <v>73</v>
      </c>
      <c r="H23" s="1">
        <f t="shared" si="1"/>
        <v>34</v>
      </c>
      <c r="I23" s="8">
        <f t="shared" si="2"/>
        <v>46.575342465753423</v>
      </c>
      <c r="J23" s="1">
        <f t="shared" si="3"/>
        <v>39</v>
      </c>
      <c r="K23" s="8">
        <f t="shared" si="4"/>
        <v>53.424657534246577</v>
      </c>
      <c r="L23" s="1">
        <v>3</v>
      </c>
      <c r="M23" s="1">
        <v>0</v>
      </c>
      <c r="N23" s="1">
        <v>3</v>
      </c>
      <c r="O23" s="1">
        <v>7</v>
      </c>
      <c r="P23" s="1">
        <v>0</v>
      </c>
      <c r="Q23" s="1">
        <v>7</v>
      </c>
      <c r="R23" s="1">
        <v>18</v>
      </c>
      <c r="S23" s="1">
        <v>8</v>
      </c>
      <c r="T23" s="1">
        <v>10</v>
      </c>
      <c r="U23" s="1">
        <v>10</v>
      </c>
      <c r="V23" s="1">
        <v>10</v>
      </c>
      <c r="W23" s="1">
        <v>0</v>
      </c>
      <c r="X23" s="1">
        <v>35</v>
      </c>
      <c r="Y23" s="1">
        <v>16</v>
      </c>
      <c r="Z23" s="1">
        <v>19</v>
      </c>
      <c r="AA23" s="1">
        <v>53</v>
      </c>
      <c r="AB23" s="1">
        <v>35</v>
      </c>
      <c r="AC23" s="1">
        <v>18</v>
      </c>
      <c r="AD23" s="1">
        <v>64</v>
      </c>
      <c r="AE23" s="1">
        <v>29</v>
      </c>
      <c r="AF23" s="1">
        <v>35</v>
      </c>
      <c r="AG23" s="1">
        <v>856</v>
      </c>
      <c r="AH23" s="1">
        <v>423</v>
      </c>
    </row>
    <row r="24" spans="1:34" x14ac:dyDescent="0.2">
      <c r="A24" s="1" t="s">
        <v>5</v>
      </c>
      <c r="B24" s="1" t="s">
        <v>33</v>
      </c>
      <c r="C24" s="1" t="s">
        <v>52</v>
      </c>
      <c r="D24" s="2">
        <v>904</v>
      </c>
      <c r="E24" s="2">
        <v>498</v>
      </c>
      <c r="F24" s="1">
        <v>864</v>
      </c>
      <c r="G24" s="1">
        <f t="shared" si="0"/>
        <v>69</v>
      </c>
      <c r="H24" s="1">
        <f t="shared" si="1"/>
        <v>35</v>
      </c>
      <c r="I24" s="8">
        <f t="shared" si="2"/>
        <v>50.724637681159422</v>
      </c>
      <c r="J24" s="1">
        <f t="shared" si="3"/>
        <v>34</v>
      </c>
      <c r="K24" s="8">
        <f t="shared" si="4"/>
        <v>49.275362318840578</v>
      </c>
      <c r="L24" s="1">
        <v>4</v>
      </c>
      <c r="M24" s="1">
        <v>0</v>
      </c>
      <c r="N24" s="1">
        <v>4</v>
      </c>
      <c r="O24" s="1">
        <v>5</v>
      </c>
      <c r="P24" s="1">
        <v>0</v>
      </c>
      <c r="Q24" s="1">
        <v>5</v>
      </c>
      <c r="R24" s="1">
        <v>21</v>
      </c>
      <c r="S24" s="1">
        <v>21</v>
      </c>
      <c r="T24" s="1">
        <v>0</v>
      </c>
      <c r="U24" s="1">
        <v>25</v>
      </c>
      <c r="V24" s="1">
        <v>13</v>
      </c>
      <c r="W24" s="1">
        <v>12</v>
      </c>
      <c r="X24" s="1">
        <v>14</v>
      </c>
      <c r="Y24" s="1">
        <v>1</v>
      </c>
      <c r="Z24" s="1">
        <v>13</v>
      </c>
      <c r="AA24" s="1">
        <v>24</v>
      </c>
      <c r="AB24" s="1">
        <v>24</v>
      </c>
      <c r="AC24" s="1">
        <v>0</v>
      </c>
      <c r="AD24" s="1">
        <v>68</v>
      </c>
      <c r="AE24" s="1">
        <v>4</v>
      </c>
      <c r="AF24" s="1">
        <v>64</v>
      </c>
      <c r="AG24" s="1">
        <v>703</v>
      </c>
      <c r="AH24" s="1">
        <v>269</v>
      </c>
    </row>
    <row r="25" spans="1:34" x14ac:dyDescent="0.2">
      <c r="A25" s="1" t="s">
        <v>5</v>
      </c>
      <c r="B25" s="1" t="s">
        <v>34</v>
      </c>
      <c r="C25" s="1" t="s">
        <v>53</v>
      </c>
      <c r="D25" s="2">
        <v>1400</v>
      </c>
      <c r="E25" s="2">
        <v>553</v>
      </c>
      <c r="F25" s="1">
        <v>1336</v>
      </c>
      <c r="G25" s="1">
        <f t="shared" si="0"/>
        <v>209</v>
      </c>
      <c r="H25" s="1">
        <f t="shared" si="1"/>
        <v>148</v>
      </c>
      <c r="I25" s="8">
        <f t="shared" si="2"/>
        <v>70.813397129186598</v>
      </c>
      <c r="J25" s="1">
        <f t="shared" si="3"/>
        <v>61</v>
      </c>
      <c r="K25" s="8">
        <f t="shared" si="4"/>
        <v>29.186602870813399</v>
      </c>
      <c r="L25" s="1">
        <v>45</v>
      </c>
      <c r="M25" s="1">
        <v>16</v>
      </c>
      <c r="N25" s="1">
        <v>29</v>
      </c>
      <c r="O25" s="1">
        <v>7</v>
      </c>
      <c r="P25" s="1">
        <v>7</v>
      </c>
      <c r="Q25" s="1">
        <v>0</v>
      </c>
      <c r="R25" s="1">
        <v>64</v>
      </c>
      <c r="S25" s="1">
        <v>57</v>
      </c>
      <c r="T25" s="1">
        <v>7</v>
      </c>
      <c r="U25" s="1">
        <v>41</v>
      </c>
      <c r="V25" s="1">
        <v>34</v>
      </c>
      <c r="W25" s="1">
        <v>7</v>
      </c>
      <c r="X25" s="1">
        <v>52</v>
      </c>
      <c r="Y25" s="1">
        <v>34</v>
      </c>
      <c r="Z25" s="1">
        <v>18</v>
      </c>
      <c r="AA25" s="1">
        <v>126</v>
      </c>
      <c r="AB25" s="1">
        <v>104</v>
      </c>
      <c r="AC25" s="1">
        <v>22</v>
      </c>
      <c r="AD25" s="1">
        <v>22</v>
      </c>
      <c r="AE25" s="1">
        <v>0</v>
      </c>
      <c r="AF25" s="1">
        <v>22</v>
      </c>
      <c r="AG25" s="1">
        <v>979</v>
      </c>
      <c r="AH25" s="1">
        <v>496</v>
      </c>
    </row>
    <row r="26" spans="1:34" x14ac:dyDescent="0.2">
      <c r="A26" s="1" t="s">
        <v>6</v>
      </c>
      <c r="B26" s="1" t="s">
        <v>32</v>
      </c>
      <c r="C26" s="1" t="s">
        <v>54</v>
      </c>
      <c r="D26" s="2">
        <v>884</v>
      </c>
      <c r="E26" s="2">
        <v>328</v>
      </c>
      <c r="F26" s="1">
        <v>883</v>
      </c>
      <c r="G26" s="1">
        <f t="shared" si="0"/>
        <v>210</v>
      </c>
      <c r="H26" s="1">
        <f t="shared" si="1"/>
        <v>99</v>
      </c>
      <c r="I26" s="8">
        <f t="shared" si="2"/>
        <v>47.142857142857146</v>
      </c>
      <c r="J26" s="1">
        <f t="shared" si="3"/>
        <v>111</v>
      </c>
      <c r="K26" s="8">
        <f t="shared" si="4"/>
        <v>52.857142857142854</v>
      </c>
      <c r="L26" s="1">
        <v>44</v>
      </c>
      <c r="M26" s="1">
        <v>18</v>
      </c>
      <c r="N26" s="1">
        <v>26</v>
      </c>
      <c r="O26" s="1">
        <v>0</v>
      </c>
      <c r="P26" s="1">
        <v>0</v>
      </c>
      <c r="Q26" s="1">
        <v>0</v>
      </c>
      <c r="R26" s="1">
        <v>48</v>
      </c>
      <c r="S26" s="1">
        <v>38</v>
      </c>
      <c r="T26" s="1">
        <v>10</v>
      </c>
      <c r="U26" s="1">
        <v>72</v>
      </c>
      <c r="V26" s="1">
        <v>15</v>
      </c>
      <c r="W26" s="1">
        <v>57</v>
      </c>
      <c r="X26" s="1">
        <v>46</v>
      </c>
      <c r="Y26" s="1">
        <v>28</v>
      </c>
      <c r="Z26" s="1">
        <v>18</v>
      </c>
      <c r="AA26" s="1">
        <v>12</v>
      </c>
      <c r="AB26" s="1">
        <v>12</v>
      </c>
      <c r="AC26" s="1">
        <v>0</v>
      </c>
      <c r="AD26" s="1">
        <v>0</v>
      </c>
      <c r="AE26" s="1">
        <v>0</v>
      </c>
      <c r="AF26" s="1">
        <v>0</v>
      </c>
      <c r="AG26" s="1">
        <v>661</v>
      </c>
      <c r="AH26" s="1">
        <v>340</v>
      </c>
    </row>
    <row r="27" spans="1:34" x14ac:dyDescent="0.2">
      <c r="A27" s="1" t="s">
        <v>6</v>
      </c>
      <c r="B27" s="1" t="s">
        <v>33</v>
      </c>
      <c r="C27" s="1" t="s">
        <v>55</v>
      </c>
      <c r="D27" s="2">
        <v>654</v>
      </c>
      <c r="E27" s="2">
        <v>290</v>
      </c>
      <c r="F27" s="1">
        <v>642</v>
      </c>
      <c r="G27" s="1">
        <f t="shared" si="0"/>
        <v>113</v>
      </c>
      <c r="H27" s="1">
        <f t="shared" si="1"/>
        <v>51</v>
      </c>
      <c r="I27" s="8">
        <f t="shared" si="2"/>
        <v>45.13274336283186</v>
      </c>
      <c r="J27" s="1">
        <f t="shared" si="3"/>
        <v>62</v>
      </c>
      <c r="K27" s="8">
        <f t="shared" si="4"/>
        <v>54.86725663716814</v>
      </c>
      <c r="L27" s="1">
        <v>3</v>
      </c>
      <c r="M27" s="1">
        <v>0</v>
      </c>
      <c r="N27" s="1">
        <v>3</v>
      </c>
      <c r="O27" s="1">
        <v>0</v>
      </c>
      <c r="P27" s="1">
        <v>0</v>
      </c>
      <c r="Q27" s="1">
        <v>0</v>
      </c>
      <c r="R27" s="1">
        <v>34</v>
      </c>
      <c r="S27" s="1">
        <v>8</v>
      </c>
      <c r="T27" s="1">
        <v>26</v>
      </c>
      <c r="U27" s="1">
        <v>26</v>
      </c>
      <c r="V27" s="1">
        <v>6</v>
      </c>
      <c r="W27" s="1">
        <v>20</v>
      </c>
      <c r="X27" s="1">
        <v>50</v>
      </c>
      <c r="Y27" s="1">
        <v>37</v>
      </c>
      <c r="Z27" s="1">
        <v>13</v>
      </c>
      <c r="AA27" s="1">
        <v>25</v>
      </c>
      <c r="AB27" s="1">
        <v>20</v>
      </c>
      <c r="AC27" s="1">
        <v>5</v>
      </c>
      <c r="AD27" s="1">
        <v>18</v>
      </c>
      <c r="AE27" s="1">
        <v>14</v>
      </c>
      <c r="AF27" s="1">
        <v>4</v>
      </c>
      <c r="AG27" s="1">
        <v>486</v>
      </c>
      <c r="AH27" s="1">
        <v>223</v>
      </c>
    </row>
    <row r="28" spans="1:34" x14ac:dyDescent="0.2">
      <c r="A28" s="1" t="s">
        <v>7</v>
      </c>
      <c r="B28" s="1" t="s">
        <v>32</v>
      </c>
      <c r="C28" s="1" t="s">
        <v>56</v>
      </c>
      <c r="D28" s="2">
        <v>3508</v>
      </c>
      <c r="E28" s="2">
        <v>1461</v>
      </c>
      <c r="F28" s="1">
        <v>3318</v>
      </c>
      <c r="G28" s="1">
        <f t="shared" si="0"/>
        <v>506</v>
      </c>
      <c r="H28" s="1">
        <f t="shared" si="1"/>
        <v>462</v>
      </c>
      <c r="I28" s="8">
        <f t="shared" si="2"/>
        <v>91.304347826086953</v>
      </c>
      <c r="J28" s="1">
        <f t="shared" si="3"/>
        <v>44</v>
      </c>
      <c r="K28" s="8">
        <f t="shared" si="4"/>
        <v>8.695652173913043</v>
      </c>
      <c r="L28" s="1">
        <v>33</v>
      </c>
      <c r="M28" s="1">
        <v>10</v>
      </c>
      <c r="N28" s="1">
        <v>23</v>
      </c>
      <c r="O28" s="1">
        <v>56</v>
      </c>
      <c r="P28" s="1">
        <v>56</v>
      </c>
      <c r="Q28" s="1">
        <v>0</v>
      </c>
      <c r="R28" s="1">
        <v>156</v>
      </c>
      <c r="S28" s="1">
        <v>156</v>
      </c>
      <c r="T28" s="1">
        <v>0</v>
      </c>
      <c r="U28" s="1">
        <v>106</v>
      </c>
      <c r="V28" s="1">
        <v>92</v>
      </c>
      <c r="W28" s="1">
        <v>14</v>
      </c>
      <c r="X28" s="1">
        <v>155</v>
      </c>
      <c r="Y28" s="1">
        <v>148</v>
      </c>
      <c r="Z28" s="1">
        <v>7</v>
      </c>
      <c r="AA28" s="1">
        <v>199</v>
      </c>
      <c r="AB28" s="1">
        <v>177</v>
      </c>
      <c r="AC28" s="1">
        <v>22</v>
      </c>
      <c r="AD28" s="1">
        <v>104</v>
      </c>
      <c r="AE28" s="1">
        <v>35</v>
      </c>
      <c r="AF28" s="1">
        <v>69</v>
      </c>
      <c r="AG28" s="1">
        <v>2509</v>
      </c>
      <c r="AH28" s="1">
        <v>1153</v>
      </c>
    </row>
    <row r="29" spans="1:34" x14ac:dyDescent="0.2">
      <c r="A29" s="1" t="s">
        <v>8</v>
      </c>
      <c r="B29" s="1" t="s">
        <v>32</v>
      </c>
      <c r="C29" s="1" t="s">
        <v>57</v>
      </c>
      <c r="D29" s="2">
        <v>569</v>
      </c>
      <c r="E29" s="2">
        <v>218</v>
      </c>
      <c r="F29" s="1">
        <v>494</v>
      </c>
      <c r="G29" s="1">
        <f t="shared" si="0"/>
        <v>39</v>
      </c>
      <c r="H29" s="1">
        <f t="shared" si="1"/>
        <v>26</v>
      </c>
      <c r="I29" s="8">
        <f t="shared" si="2"/>
        <v>66.666666666666671</v>
      </c>
      <c r="J29" s="1">
        <f t="shared" si="3"/>
        <v>13</v>
      </c>
      <c r="K29" s="8">
        <f t="shared" si="4"/>
        <v>33.333333333333336</v>
      </c>
      <c r="L29" s="1">
        <v>8</v>
      </c>
      <c r="M29" s="1">
        <v>0</v>
      </c>
      <c r="N29" s="1">
        <v>8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16</v>
      </c>
      <c r="V29" s="1">
        <v>16</v>
      </c>
      <c r="W29" s="1">
        <v>0</v>
      </c>
      <c r="X29" s="1">
        <v>15</v>
      </c>
      <c r="Y29" s="1">
        <v>10</v>
      </c>
      <c r="Z29" s="1">
        <v>5</v>
      </c>
      <c r="AA29" s="1">
        <v>14</v>
      </c>
      <c r="AB29" s="1">
        <v>14</v>
      </c>
      <c r="AC29" s="1">
        <v>0</v>
      </c>
      <c r="AD29" s="1">
        <v>0</v>
      </c>
      <c r="AE29" s="1">
        <v>0</v>
      </c>
      <c r="AF29" s="1">
        <v>0</v>
      </c>
      <c r="AG29" s="1">
        <v>441</v>
      </c>
      <c r="AH29" s="1">
        <v>218</v>
      </c>
    </row>
    <row r="30" spans="1:34" x14ac:dyDescent="0.2">
      <c r="A30" s="1" t="s">
        <v>8</v>
      </c>
      <c r="B30" s="1" t="s">
        <v>33</v>
      </c>
      <c r="C30" s="1" t="s">
        <v>58</v>
      </c>
      <c r="D30" s="2">
        <v>1176</v>
      </c>
      <c r="E30" s="2">
        <v>465</v>
      </c>
      <c r="F30" s="1">
        <v>1063</v>
      </c>
      <c r="G30" s="1">
        <f t="shared" si="0"/>
        <v>176</v>
      </c>
      <c r="H30" s="1">
        <f t="shared" si="1"/>
        <v>112</v>
      </c>
      <c r="I30" s="8">
        <f t="shared" si="2"/>
        <v>63.636363636363633</v>
      </c>
      <c r="J30" s="1">
        <f t="shared" si="3"/>
        <v>64</v>
      </c>
      <c r="K30" s="8">
        <f t="shared" si="4"/>
        <v>36.363636363636367</v>
      </c>
      <c r="L30" s="1">
        <v>25</v>
      </c>
      <c r="M30" s="1">
        <v>0</v>
      </c>
      <c r="N30" s="1">
        <v>25</v>
      </c>
      <c r="O30" s="1">
        <v>0</v>
      </c>
      <c r="P30" s="1">
        <v>0</v>
      </c>
      <c r="Q30" s="1">
        <v>0</v>
      </c>
      <c r="R30" s="1">
        <v>63</v>
      </c>
      <c r="S30" s="1">
        <v>38</v>
      </c>
      <c r="T30" s="1">
        <v>25</v>
      </c>
      <c r="U30" s="1">
        <v>44</v>
      </c>
      <c r="V30" s="1">
        <v>30</v>
      </c>
      <c r="W30" s="1">
        <v>14</v>
      </c>
      <c r="X30" s="1">
        <v>44</v>
      </c>
      <c r="Y30" s="1">
        <v>44</v>
      </c>
      <c r="Z30" s="1">
        <v>0</v>
      </c>
      <c r="AA30" s="1">
        <v>34</v>
      </c>
      <c r="AB30" s="1">
        <v>18</v>
      </c>
      <c r="AC30" s="1">
        <v>16</v>
      </c>
      <c r="AD30" s="1">
        <v>13</v>
      </c>
      <c r="AE30" s="1">
        <v>5</v>
      </c>
      <c r="AF30" s="1">
        <v>8</v>
      </c>
      <c r="AG30" s="1">
        <v>840</v>
      </c>
      <c r="AH30" s="1">
        <v>380</v>
      </c>
    </row>
    <row r="31" spans="1:34" x14ac:dyDescent="0.2">
      <c r="A31" s="1" t="s">
        <v>8</v>
      </c>
      <c r="B31" s="1" t="s">
        <v>34</v>
      </c>
      <c r="C31" s="1" t="s">
        <v>59</v>
      </c>
      <c r="D31" s="2">
        <v>690</v>
      </c>
      <c r="E31" s="2">
        <v>303</v>
      </c>
      <c r="F31" s="1">
        <v>663</v>
      </c>
      <c r="G31" s="1">
        <f t="shared" si="0"/>
        <v>115</v>
      </c>
      <c r="H31" s="1">
        <f t="shared" si="1"/>
        <v>96</v>
      </c>
      <c r="I31" s="8">
        <f t="shared" si="2"/>
        <v>83.478260869565219</v>
      </c>
      <c r="J31" s="1">
        <f t="shared" si="3"/>
        <v>19</v>
      </c>
      <c r="K31" s="8">
        <f t="shared" si="4"/>
        <v>16.521739130434781</v>
      </c>
      <c r="L31" s="1">
        <v>14</v>
      </c>
      <c r="M31" s="1">
        <v>0</v>
      </c>
      <c r="N31" s="1">
        <v>14</v>
      </c>
      <c r="O31" s="1">
        <v>12</v>
      </c>
      <c r="P31" s="1">
        <v>12</v>
      </c>
      <c r="Q31" s="1">
        <v>0</v>
      </c>
      <c r="R31" s="1">
        <v>39</v>
      </c>
      <c r="S31" s="1">
        <v>39</v>
      </c>
      <c r="T31" s="1">
        <v>0</v>
      </c>
      <c r="U31" s="1">
        <v>39</v>
      </c>
      <c r="V31" s="1">
        <v>34</v>
      </c>
      <c r="W31" s="1">
        <v>5</v>
      </c>
      <c r="X31" s="1">
        <v>11</v>
      </c>
      <c r="Y31" s="1">
        <v>11</v>
      </c>
      <c r="Z31" s="1">
        <v>0</v>
      </c>
      <c r="AA31" s="1">
        <v>26</v>
      </c>
      <c r="AB31" s="1">
        <v>15</v>
      </c>
      <c r="AC31" s="1">
        <v>11</v>
      </c>
      <c r="AD31" s="1">
        <v>68</v>
      </c>
      <c r="AE31" s="1">
        <v>11</v>
      </c>
      <c r="AF31" s="1">
        <v>57</v>
      </c>
      <c r="AG31" s="1">
        <v>454</v>
      </c>
      <c r="AH31" s="1">
        <v>247</v>
      </c>
    </row>
    <row r="32" spans="1:34" x14ac:dyDescent="0.2">
      <c r="A32" s="1" t="s">
        <v>8</v>
      </c>
      <c r="B32" s="1" t="s">
        <v>35</v>
      </c>
      <c r="C32" s="1" t="s">
        <v>60</v>
      </c>
      <c r="D32" s="2">
        <v>1422</v>
      </c>
      <c r="E32" s="2">
        <v>464</v>
      </c>
      <c r="F32" s="1">
        <v>1428</v>
      </c>
      <c r="G32" s="1">
        <f t="shared" si="0"/>
        <v>270</v>
      </c>
      <c r="H32" s="1">
        <f t="shared" si="1"/>
        <v>195</v>
      </c>
      <c r="I32" s="8">
        <f t="shared" si="2"/>
        <v>72.222222222222229</v>
      </c>
      <c r="J32" s="1">
        <f t="shared" si="3"/>
        <v>75</v>
      </c>
      <c r="K32" s="8">
        <f t="shared" si="4"/>
        <v>27.777777777777779</v>
      </c>
      <c r="L32" s="1">
        <v>41</v>
      </c>
      <c r="M32" s="1">
        <v>29</v>
      </c>
      <c r="N32" s="1">
        <v>12</v>
      </c>
      <c r="O32" s="1">
        <v>22</v>
      </c>
      <c r="P32" s="1">
        <v>18</v>
      </c>
      <c r="Q32" s="1">
        <v>4</v>
      </c>
      <c r="R32" s="1">
        <v>34</v>
      </c>
      <c r="S32" s="1">
        <v>16</v>
      </c>
      <c r="T32" s="1">
        <v>18</v>
      </c>
      <c r="U32" s="1">
        <v>73</v>
      </c>
      <c r="V32" s="1">
        <v>65</v>
      </c>
      <c r="W32" s="1">
        <v>8</v>
      </c>
      <c r="X32" s="1">
        <v>100</v>
      </c>
      <c r="Y32" s="1">
        <v>67</v>
      </c>
      <c r="Z32" s="1">
        <v>33</v>
      </c>
      <c r="AA32" s="1">
        <v>131</v>
      </c>
      <c r="AB32" s="1">
        <v>111</v>
      </c>
      <c r="AC32" s="1">
        <v>20</v>
      </c>
      <c r="AD32" s="1">
        <v>30</v>
      </c>
      <c r="AE32" s="1">
        <v>3</v>
      </c>
      <c r="AF32" s="1">
        <v>27</v>
      </c>
      <c r="AG32" s="1">
        <v>997</v>
      </c>
      <c r="AH32" s="1">
        <v>506</v>
      </c>
    </row>
    <row r="33" spans="1:34" x14ac:dyDescent="0.2">
      <c r="A33" s="1" t="s">
        <v>9</v>
      </c>
      <c r="B33" s="1" t="s">
        <v>32</v>
      </c>
      <c r="C33" s="1" t="s">
        <v>61</v>
      </c>
      <c r="D33" s="2">
        <v>1154</v>
      </c>
      <c r="E33" s="2">
        <v>832</v>
      </c>
      <c r="F33" s="1">
        <v>1168</v>
      </c>
      <c r="G33" s="1">
        <f t="shared" si="0"/>
        <v>20</v>
      </c>
      <c r="H33" s="1">
        <f t="shared" si="1"/>
        <v>15</v>
      </c>
      <c r="I33" s="8">
        <f t="shared" si="2"/>
        <v>75</v>
      </c>
      <c r="J33" s="1">
        <f t="shared" si="3"/>
        <v>5</v>
      </c>
      <c r="K33" s="8">
        <f t="shared" si="4"/>
        <v>25</v>
      </c>
      <c r="L33" s="1">
        <v>5</v>
      </c>
      <c r="M33" s="1">
        <v>0</v>
      </c>
      <c r="N33" s="1">
        <v>5</v>
      </c>
      <c r="O33" s="1">
        <v>0</v>
      </c>
      <c r="P33" s="1">
        <v>0</v>
      </c>
      <c r="Q33" s="1">
        <v>0</v>
      </c>
      <c r="R33" s="1">
        <v>7</v>
      </c>
      <c r="S33" s="1">
        <v>7</v>
      </c>
      <c r="T33" s="1">
        <v>0</v>
      </c>
      <c r="U33" s="1">
        <v>0</v>
      </c>
      <c r="V33" s="1">
        <v>0</v>
      </c>
      <c r="W33" s="1">
        <v>0</v>
      </c>
      <c r="X33" s="1">
        <v>8</v>
      </c>
      <c r="Y33" s="1">
        <v>8</v>
      </c>
      <c r="Z33" s="1">
        <v>0</v>
      </c>
      <c r="AA33" s="1">
        <v>39</v>
      </c>
      <c r="AB33" s="1">
        <v>21</v>
      </c>
      <c r="AC33" s="1">
        <v>18</v>
      </c>
      <c r="AD33" s="1">
        <v>123</v>
      </c>
      <c r="AE33" s="1">
        <v>61</v>
      </c>
      <c r="AF33" s="1">
        <v>62</v>
      </c>
      <c r="AG33" s="1">
        <v>986</v>
      </c>
      <c r="AH33" s="1">
        <v>462</v>
      </c>
    </row>
    <row r="34" spans="1:34" x14ac:dyDescent="0.2">
      <c r="A34" s="1" t="s">
        <v>9</v>
      </c>
      <c r="B34" s="1" t="s">
        <v>33</v>
      </c>
      <c r="C34" s="1" t="s">
        <v>62</v>
      </c>
      <c r="D34" s="2">
        <v>2488</v>
      </c>
      <c r="E34" s="2">
        <v>1389</v>
      </c>
      <c r="F34" s="1">
        <v>2448</v>
      </c>
      <c r="G34" s="1">
        <f t="shared" si="0"/>
        <v>268</v>
      </c>
      <c r="H34" s="1">
        <f t="shared" si="1"/>
        <v>244</v>
      </c>
      <c r="I34" s="8">
        <f t="shared" si="2"/>
        <v>91.044776119402982</v>
      </c>
      <c r="J34" s="1">
        <f t="shared" si="3"/>
        <v>24</v>
      </c>
      <c r="K34" s="8">
        <f t="shared" si="4"/>
        <v>8.9552238805970141</v>
      </c>
      <c r="L34" s="1">
        <v>24</v>
      </c>
      <c r="M34" s="1">
        <v>0</v>
      </c>
      <c r="N34" s="1">
        <v>24</v>
      </c>
      <c r="O34" s="1">
        <v>12</v>
      </c>
      <c r="P34" s="1">
        <v>12</v>
      </c>
      <c r="Q34" s="1">
        <v>0</v>
      </c>
      <c r="R34" s="1">
        <v>111</v>
      </c>
      <c r="S34" s="1">
        <v>111</v>
      </c>
      <c r="T34" s="1">
        <v>0</v>
      </c>
      <c r="U34" s="1">
        <v>75</v>
      </c>
      <c r="V34" s="1">
        <v>75</v>
      </c>
      <c r="W34" s="1">
        <v>0</v>
      </c>
      <c r="X34" s="1">
        <v>46</v>
      </c>
      <c r="Y34" s="1">
        <v>46</v>
      </c>
      <c r="Z34" s="1">
        <v>0</v>
      </c>
      <c r="AA34" s="1">
        <v>124</v>
      </c>
      <c r="AB34" s="1">
        <v>85</v>
      </c>
      <c r="AC34" s="1">
        <v>39</v>
      </c>
      <c r="AD34" s="1">
        <v>23</v>
      </c>
      <c r="AE34" s="1">
        <v>23</v>
      </c>
      <c r="AF34" s="1">
        <v>0</v>
      </c>
      <c r="AG34" s="1">
        <v>2033</v>
      </c>
      <c r="AH34" s="1">
        <v>755</v>
      </c>
    </row>
    <row r="35" spans="1:34" x14ac:dyDescent="0.2">
      <c r="A35" s="1" t="s">
        <v>9</v>
      </c>
      <c r="B35" s="1" t="s">
        <v>34</v>
      </c>
      <c r="C35" s="1" t="s">
        <v>63</v>
      </c>
      <c r="D35" s="2">
        <v>1291</v>
      </c>
      <c r="E35" s="2">
        <v>808</v>
      </c>
      <c r="F35" s="1">
        <v>1188</v>
      </c>
      <c r="G35" s="1">
        <f t="shared" si="0"/>
        <v>90</v>
      </c>
      <c r="H35" s="1">
        <f t="shared" si="1"/>
        <v>75</v>
      </c>
      <c r="I35" s="8">
        <f t="shared" si="2"/>
        <v>83.333333333333329</v>
      </c>
      <c r="J35" s="1">
        <f t="shared" si="3"/>
        <v>15</v>
      </c>
      <c r="K35" s="8">
        <f t="shared" si="4"/>
        <v>16.666666666666668</v>
      </c>
      <c r="L35" s="1">
        <v>16</v>
      </c>
      <c r="M35" s="1">
        <v>16</v>
      </c>
      <c r="N35" s="1">
        <v>0</v>
      </c>
      <c r="O35" s="1">
        <v>10</v>
      </c>
      <c r="P35" s="1">
        <v>0</v>
      </c>
      <c r="Q35" s="1">
        <v>10</v>
      </c>
      <c r="R35" s="1">
        <v>49</v>
      </c>
      <c r="S35" s="1">
        <v>49</v>
      </c>
      <c r="T35" s="1">
        <v>0</v>
      </c>
      <c r="U35" s="1">
        <v>15</v>
      </c>
      <c r="V35" s="1">
        <v>10</v>
      </c>
      <c r="W35" s="1">
        <v>5</v>
      </c>
      <c r="X35" s="1">
        <v>0</v>
      </c>
      <c r="Y35" s="1">
        <v>0</v>
      </c>
      <c r="Z35" s="1">
        <v>0</v>
      </c>
      <c r="AA35" s="1">
        <v>47</v>
      </c>
      <c r="AB35" s="1">
        <v>41</v>
      </c>
      <c r="AC35" s="1">
        <v>6</v>
      </c>
      <c r="AD35" s="1">
        <v>37</v>
      </c>
      <c r="AE35" s="1">
        <v>9</v>
      </c>
      <c r="AF35" s="1">
        <v>28</v>
      </c>
      <c r="AG35" s="1">
        <v>1014</v>
      </c>
      <c r="AH35" s="1">
        <v>444</v>
      </c>
    </row>
    <row r="36" spans="1:34" x14ac:dyDescent="0.2">
      <c r="A36" s="1" t="s">
        <v>10</v>
      </c>
      <c r="B36" s="1" t="s">
        <v>32</v>
      </c>
      <c r="C36" s="1" t="s">
        <v>64</v>
      </c>
      <c r="D36" s="2">
        <v>3213</v>
      </c>
      <c r="E36" s="2">
        <v>1765</v>
      </c>
      <c r="F36" s="1">
        <v>2857</v>
      </c>
      <c r="G36" s="1">
        <f t="shared" si="0"/>
        <v>282</v>
      </c>
      <c r="H36" s="1">
        <f t="shared" si="1"/>
        <v>229</v>
      </c>
      <c r="I36" s="8">
        <f t="shared" si="2"/>
        <v>81.205673758865245</v>
      </c>
      <c r="J36" s="1">
        <f t="shared" si="3"/>
        <v>53</v>
      </c>
      <c r="K36" s="8">
        <f t="shared" si="4"/>
        <v>18.794326241134751</v>
      </c>
      <c r="L36" s="1">
        <v>29</v>
      </c>
      <c r="M36" s="1">
        <v>0</v>
      </c>
      <c r="N36" s="1">
        <v>29</v>
      </c>
      <c r="O36" s="1">
        <v>23</v>
      </c>
      <c r="P36" s="1">
        <v>23</v>
      </c>
      <c r="Q36" s="1">
        <v>0</v>
      </c>
      <c r="R36" s="1">
        <v>83</v>
      </c>
      <c r="S36" s="1">
        <v>83</v>
      </c>
      <c r="T36" s="1">
        <v>0</v>
      </c>
      <c r="U36" s="1">
        <v>73</v>
      </c>
      <c r="V36" s="1">
        <v>73</v>
      </c>
      <c r="W36" s="1">
        <v>0</v>
      </c>
      <c r="X36" s="1">
        <v>74</v>
      </c>
      <c r="Y36" s="1">
        <v>50</v>
      </c>
      <c r="Z36" s="1">
        <v>24</v>
      </c>
      <c r="AA36" s="1">
        <v>362</v>
      </c>
      <c r="AB36" s="1">
        <v>187</v>
      </c>
      <c r="AC36" s="1">
        <v>175</v>
      </c>
      <c r="AD36" s="1">
        <v>117</v>
      </c>
      <c r="AE36" s="1">
        <v>60</v>
      </c>
      <c r="AF36" s="1">
        <v>57</v>
      </c>
      <c r="AG36" s="1">
        <v>2096</v>
      </c>
      <c r="AH36" s="1">
        <v>1122</v>
      </c>
    </row>
    <row r="37" spans="1:34" x14ac:dyDescent="0.2">
      <c r="A37" s="1" t="s">
        <v>10</v>
      </c>
      <c r="B37" s="1" t="s">
        <v>33</v>
      </c>
      <c r="C37" s="1" t="s">
        <v>65</v>
      </c>
      <c r="D37" s="2">
        <v>1803</v>
      </c>
      <c r="E37" s="2">
        <v>1201</v>
      </c>
      <c r="F37" s="1">
        <v>1683</v>
      </c>
      <c r="G37" s="1">
        <f t="shared" si="0"/>
        <v>177</v>
      </c>
      <c r="H37" s="1">
        <f t="shared" si="1"/>
        <v>127</v>
      </c>
      <c r="I37" s="8">
        <f t="shared" si="2"/>
        <v>71.751412429378533</v>
      </c>
      <c r="J37" s="1">
        <f t="shared" si="3"/>
        <v>50</v>
      </c>
      <c r="K37" s="8">
        <f t="shared" si="4"/>
        <v>28.248587570621471</v>
      </c>
      <c r="L37" s="1">
        <v>39</v>
      </c>
      <c r="M37" s="1">
        <v>0</v>
      </c>
      <c r="N37" s="1">
        <v>39</v>
      </c>
      <c r="O37" s="1">
        <v>18</v>
      </c>
      <c r="P37" s="1">
        <v>7</v>
      </c>
      <c r="Q37" s="1">
        <v>11</v>
      </c>
      <c r="R37" s="1">
        <v>50</v>
      </c>
      <c r="S37" s="1">
        <v>50</v>
      </c>
      <c r="T37" s="1">
        <v>0</v>
      </c>
      <c r="U37" s="1">
        <v>40</v>
      </c>
      <c r="V37" s="1">
        <v>40</v>
      </c>
      <c r="W37" s="1">
        <v>0</v>
      </c>
      <c r="X37" s="1">
        <v>30</v>
      </c>
      <c r="Y37" s="1">
        <v>30</v>
      </c>
      <c r="Z37" s="1">
        <v>0</v>
      </c>
      <c r="AA37" s="1">
        <v>106</v>
      </c>
      <c r="AB37" s="1">
        <v>106</v>
      </c>
      <c r="AC37" s="1">
        <v>0</v>
      </c>
      <c r="AD37" s="1">
        <v>39</v>
      </c>
      <c r="AE37" s="1">
        <v>25</v>
      </c>
      <c r="AF37" s="1">
        <v>14</v>
      </c>
      <c r="AG37" s="1">
        <v>1361</v>
      </c>
      <c r="AH37" s="1">
        <v>661</v>
      </c>
    </row>
    <row r="38" spans="1:34" x14ac:dyDescent="0.2">
      <c r="A38" s="1" t="s">
        <v>10</v>
      </c>
      <c r="B38" s="1" t="s">
        <v>34</v>
      </c>
      <c r="C38" s="1" t="s">
        <v>66</v>
      </c>
      <c r="D38" s="2">
        <v>859</v>
      </c>
      <c r="E38" s="2">
        <v>465</v>
      </c>
      <c r="F38" s="1">
        <v>810</v>
      </c>
      <c r="G38" s="1">
        <f t="shared" si="0"/>
        <v>25</v>
      </c>
      <c r="H38" s="1">
        <f t="shared" si="1"/>
        <v>8</v>
      </c>
      <c r="I38" s="8">
        <f t="shared" si="2"/>
        <v>32</v>
      </c>
      <c r="J38" s="1">
        <f t="shared" si="3"/>
        <v>17</v>
      </c>
      <c r="K38" s="8">
        <f t="shared" si="4"/>
        <v>68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9</v>
      </c>
      <c r="S38" s="1">
        <v>0</v>
      </c>
      <c r="T38" s="1">
        <v>9</v>
      </c>
      <c r="U38" s="1">
        <v>0</v>
      </c>
      <c r="V38" s="1">
        <v>0</v>
      </c>
      <c r="W38" s="1">
        <v>0</v>
      </c>
      <c r="X38" s="1">
        <v>16</v>
      </c>
      <c r="Y38" s="1">
        <v>8</v>
      </c>
      <c r="Z38" s="1">
        <v>8</v>
      </c>
      <c r="AA38" s="1">
        <v>36</v>
      </c>
      <c r="AB38" s="1">
        <v>36</v>
      </c>
      <c r="AC38" s="1">
        <v>0</v>
      </c>
      <c r="AD38" s="1">
        <v>53</v>
      </c>
      <c r="AE38" s="1">
        <v>32</v>
      </c>
      <c r="AF38" s="1">
        <v>21</v>
      </c>
      <c r="AG38" s="1">
        <v>696</v>
      </c>
      <c r="AH38" s="1">
        <v>317</v>
      </c>
    </row>
    <row r="39" spans="1:34" x14ac:dyDescent="0.2">
      <c r="A39" s="1" t="s">
        <v>10</v>
      </c>
      <c r="B39" s="1" t="s">
        <v>35</v>
      </c>
      <c r="C39" s="1" t="s">
        <v>67</v>
      </c>
      <c r="D39" s="2">
        <v>2162</v>
      </c>
      <c r="E39" s="2">
        <v>851</v>
      </c>
      <c r="F39" s="1">
        <v>2304</v>
      </c>
      <c r="G39" s="1">
        <f t="shared" si="0"/>
        <v>374</v>
      </c>
      <c r="H39" s="1">
        <f t="shared" si="1"/>
        <v>322</v>
      </c>
      <c r="I39" s="8">
        <f t="shared" si="2"/>
        <v>86.096256684491976</v>
      </c>
      <c r="J39" s="1">
        <f t="shared" si="3"/>
        <v>52</v>
      </c>
      <c r="K39" s="8">
        <f t="shared" si="4"/>
        <v>13.903743315508022</v>
      </c>
      <c r="L39" s="1">
        <v>42</v>
      </c>
      <c r="M39" s="1">
        <v>13</v>
      </c>
      <c r="N39" s="1">
        <v>29</v>
      </c>
      <c r="O39" s="1">
        <v>12</v>
      </c>
      <c r="P39" s="1">
        <v>12</v>
      </c>
      <c r="Q39" s="1">
        <v>0</v>
      </c>
      <c r="R39" s="1">
        <v>83</v>
      </c>
      <c r="S39" s="1">
        <v>83</v>
      </c>
      <c r="T39" s="1">
        <v>0</v>
      </c>
      <c r="U39" s="1">
        <v>113</v>
      </c>
      <c r="V39" s="1">
        <v>90</v>
      </c>
      <c r="W39" s="1">
        <v>23</v>
      </c>
      <c r="X39" s="1">
        <v>124</v>
      </c>
      <c r="Y39" s="1">
        <v>124</v>
      </c>
      <c r="Z39" s="1">
        <v>0</v>
      </c>
      <c r="AA39" s="1">
        <v>225</v>
      </c>
      <c r="AB39" s="1">
        <v>218</v>
      </c>
      <c r="AC39" s="1">
        <v>7</v>
      </c>
      <c r="AD39" s="1">
        <v>59</v>
      </c>
      <c r="AE39" s="1">
        <v>16</v>
      </c>
      <c r="AF39" s="1">
        <v>43</v>
      </c>
      <c r="AG39" s="1">
        <v>1646</v>
      </c>
      <c r="AH39" s="1">
        <v>916</v>
      </c>
    </row>
    <row r="40" spans="1:34" x14ac:dyDescent="0.2">
      <c r="A40" s="1" t="s">
        <v>11</v>
      </c>
      <c r="B40" s="1" t="s">
        <v>32</v>
      </c>
      <c r="C40" s="1" t="s">
        <v>68</v>
      </c>
      <c r="D40" s="2">
        <v>933</v>
      </c>
      <c r="E40" s="2">
        <v>561</v>
      </c>
      <c r="F40" s="1">
        <v>885</v>
      </c>
      <c r="G40" s="1">
        <f t="shared" si="0"/>
        <v>58</v>
      </c>
      <c r="H40" s="1">
        <f t="shared" si="1"/>
        <v>51</v>
      </c>
      <c r="I40" s="8">
        <f t="shared" si="2"/>
        <v>87.931034482758619</v>
      </c>
      <c r="J40" s="1">
        <f t="shared" si="3"/>
        <v>7</v>
      </c>
      <c r="K40" s="8">
        <f t="shared" si="4"/>
        <v>12.068965517241379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22</v>
      </c>
      <c r="S40" s="1">
        <v>22</v>
      </c>
      <c r="T40" s="1">
        <v>0</v>
      </c>
      <c r="U40" s="1">
        <v>0</v>
      </c>
      <c r="V40" s="1">
        <v>0</v>
      </c>
      <c r="W40" s="1">
        <v>0</v>
      </c>
      <c r="X40" s="1">
        <v>36</v>
      </c>
      <c r="Y40" s="1">
        <v>29</v>
      </c>
      <c r="Z40" s="1">
        <v>7</v>
      </c>
      <c r="AA40" s="1">
        <v>40</v>
      </c>
      <c r="AB40" s="1">
        <v>27</v>
      </c>
      <c r="AC40" s="1">
        <v>13</v>
      </c>
      <c r="AD40" s="1">
        <v>14</v>
      </c>
      <c r="AE40" s="1">
        <v>8</v>
      </c>
      <c r="AF40" s="1">
        <v>6</v>
      </c>
      <c r="AG40" s="1">
        <v>773</v>
      </c>
      <c r="AH40" s="1">
        <v>382</v>
      </c>
    </row>
    <row r="41" spans="1:34" x14ac:dyDescent="0.2">
      <c r="A41" s="1" t="s">
        <v>11</v>
      </c>
      <c r="B41" s="1" t="s">
        <v>33</v>
      </c>
      <c r="C41" s="1" t="s">
        <v>69</v>
      </c>
      <c r="D41" s="2">
        <v>1791</v>
      </c>
      <c r="E41" s="2">
        <v>745</v>
      </c>
      <c r="F41" s="1">
        <v>1829</v>
      </c>
      <c r="G41" s="1">
        <f t="shared" si="0"/>
        <v>425</v>
      </c>
      <c r="H41" s="1">
        <f t="shared" si="1"/>
        <v>416</v>
      </c>
      <c r="I41" s="8">
        <f t="shared" si="2"/>
        <v>97.882352941176464</v>
      </c>
      <c r="J41" s="1">
        <f t="shared" si="3"/>
        <v>9</v>
      </c>
      <c r="K41" s="8">
        <f t="shared" si="4"/>
        <v>2.1176470588235294</v>
      </c>
      <c r="L41" s="1">
        <v>36</v>
      </c>
      <c r="M41" s="1">
        <v>36</v>
      </c>
      <c r="N41" s="1">
        <v>0</v>
      </c>
      <c r="O41" s="1">
        <v>33</v>
      </c>
      <c r="P41" s="1">
        <v>33</v>
      </c>
      <c r="Q41" s="1">
        <v>0</v>
      </c>
      <c r="R41" s="1">
        <v>93</v>
      </c>
      <c r="S41" s="1">
        <v>93</v>
      </c>
      <c r="T41" s="1">
        <v>0</v>
      </c>
      <c r="U41" s="1">
        <v>131</v>
      </c>
      <c r="V41" s="1">
        <v>122</v>
      </c>
      <c r="W41" s="1">
        <v>9</v>
      </c>
      <c r="X41" s="1">
        <v>132</v>
      </c>
      <c r="Y41" s="1">
        <v>132</v>
      </c>
      <c r="Z41" s="1">
        <v>0</v>
      </c>
      <c r="AA41" s="1">
        <v>89</v>
      </c>
      <c r="AB41" s="1">
        <v>59</v>
      </c>
      <c r="AC41" s="1">
        <v>30</v>
      </c>
      <c r="AD41" s="1">
        <v>27</v>
      </c>
      <c r="AE41" s="1">
        <v>9</v>
      </c>
      <c r="AF41" s="1">
        <v>18</v>
      </c>
      <c r="AG41" s="1">
        <v>1288</v>
      </c>
      <c r="AH41" s="1">
        <v>601</v>
      </c>
    </row>
    <row r="42" spans="1:34" x14ac:dyDescent="0.2">
      <c r="A42" s="1" t="s">
        <v>11</v>
      </c>
      <c r="B42" s="1" t="s">
        <v>34</v>
      </c>
      <c r="C42" s="1" t="s">
        <v>70</v>
      </c>
      <c r="D42" s="2">
        <v>1865</v>
      </c>
      <c r="E42" s="2">
        <v>1126</v>
      </c>
      <c r="F42" s="1">
        <v>1771</v>
      </c>
      <c r="G42" s="1">
        <f t="shared" si="0"/>
        <v>114</v>
      </c>
      <c r="H42" s="1">
        <f t="shared" si="1"/>
        <v>94</v>
      </c>
      <c r="I42" s="8">
        <f t="shared" si="2"/>
        <v>82.456140350877192</v>
      </c>
      <c r="J42" s="1">
        <f t="shared" si="3"/>
        <v>20</v>
      </c>
      <c r="K42" s="8">
        <f t="shared" si="4"/>
        <v>17.543859649122808</v>
      </c>
      <c r="L42" s="1">
        <v>11</v>
      </c>
      <c r="M42" s="1">
        <v>0</v>
      </c>
      <c r="N42" s="1">
        <v>11</v>
      </c>
      <c r="O42" s="1">
        <v>5</v>
      </c>
      <c r="P42" s="1">
        <v>5</v>
      </c>
      <c r="Q42" s="1">
        <v>0</v>
      </c>
      <c r="R42" s="1">
        <v>39</v>
      </c>
      <c r="S42" s="1">
        <v>30</v>
      </c>
      <c r="T42" s="1">
        <v>9</v>
      </c>
      <c r="U42" s="1">
        <v>37</v>
      </c>
      <c r="V42" s="1">
        <v>37</v>
      </c>
      <c r="W42" s="1">
        <v>0</v>
      </c>
      <c r="X42" s="1">
        <v>22</v>
      </c>
      <c r="Y42" s="1">
        <v>22</v>
      </c>
      <c r="Z42" s="1">
        <v>0</v>
      </c>
      <c r="AA42" s="1">
        <v>135</v>
      </c>
      <c r="AB42" s="1">
        <v>122</v>
      </c>
      <c r="AC42" s="1">
        <v>13</v>
      </c>
      <c r="AD42" s="1">
        <v>145</v>
      </c>
      <c r="AE42" s="1">
        <v>63</v>
      </c>
      <c r="AF42" s="1">
        <v>82</v>
      </c>
      <c r="AG42" s="1">
        <v>1377</v>
      </c>
      <c r="AH42" s="1">
        <v>606</v>
      </c>
    </row>
    <row r="43" spans="1:34" x14ac:dyDescent="0.2">
      <c r="A43" s="1" t="s">
        <v>11</v>
      </c>
      <c r="B43" s="1" t="s">
        <v>35</v>
      </c>
      <c r="C43" s="1" t="s">
        <v>71</v>
      </c>
      <c r="D43" s="2">
        <v>3681</v>
      </c>
      <c r="E43" s="2">
        <v>2136</v>
      </c>
      <c r="F43" s="1">
        <v>3566</v>
      </c>
      <c r="G43" s="1">
        <f t="shared" si="0"/>
        <v>327</v>
      </c>
      <c r="H43" s="1">
        <f t="shared" si="1"/>
        <v>273</v>
      </c>
      <c r="I43" s="8">
        <f t="shared" si="2"/>
        <v>83.486238532110093</v>
      </c>
      <c r="J43" s="1">
        <f t="shared" si="3"/>
        <v>54</v>
      </c>
      <c r="K43" s="8">
        <f t="shared" si="4"/>
        <v>16.513761467889907</v>
      </c>
      <c r="L43" s="1">
        <v>26</v>
      </c>
      <c r="M43" s="1">
        <v>8</v>
      </c>
      <c r="N43" s="1">
        <v>18</v>
      </c>
      <c r="O43" s="1">
        <v>43</v>
      </c>
      <c r="P43" s="1">
        <v>32</v>
      </c>
      <c r="Q43" s="1">
        <v>11</v>
      </c>
      <c r="R43" s="1">
        <v>104</v>
      </c>
      <c r="S43" s="1">
        <v>89</v>
      </c>
      <c r="T43" s="1">
        <v>15</v>
      </c>
      <c r="U43" s="1">
        <v>97</v>
      </c>
      <c r="V43" s="1">
        <v>97</v>
      </c>
      <c r="W43" s="1">
        <v>0</v>
      </c>
      <c r="X43" s="1">
        <v>57</v>
      </c>
      <c r="Y43" s="1">
        <v>47</v>
      </c>
      <c r="Z43" s="1">
        <v>10</v>
      </c>
      <c r="AA43" s="1">
        <v>208</v>
      </c>
      <c r="AB43" s="1">
        <v>155</v>
      </c>
      <c r="AC43" s="1">
        <v>53</v>
      </c>
      <c r="AD43" s="1">
        <v>73</v>
      </c>
      <c r="AE43" s="1">
        <v>62</v>
      </c>
      <c r="AF43" s="1">
        <v>11</v>
      </c>
      <c r="AG43" s="1">
        <v>2958</v>
      </c>
      <c r="AH43" s="1">
        <v>1379</v>
      </c>
    </row>
    <row r="44" spans="1:34" x14ac:dyDescent="0.2">
      <c r="A44" s="1" t="s">
        <v>12</v>
      </c>
      <c r="B44" s="1" t="s">
        <v>32</v>
      </c>
      <c r="C44" s="1" t="s">
        <v>72</v>
      </c>
      <c r="D44" s="2">
        <v>885</v>
      </c>
      <c r="E44" s="2">
        <v>621</v>
      </c>
      <c r="F44" s="1">
        <v>887</v>
      </c>
      <c r="G44" s="1">
        <f t="shared" si="0"/>
        <v>9</v>
      </c>
      <c r="H44" s="1">
        <f t="shared" si="1"/>
        <v>0</v>
      </c>
      <c r="I44" s="8">
        <f t="shared" si="2"/>
        <v>0</v>
      </c>
      <c r="J44" s="1">
        <f t="shared" si="3"/>
        <v>9</v>
      </c>
      <c r="K44" s="8">
        <f t="shared" si="4"/>
        <v>100</v>
      </c>
      <c r="L44" s="1">
        <v>9</v>
      </c>
      <c r="M44" s="1">
        <v>0</v>
      </c>
      <c r="N44" s="1">
        <v>9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44</v>
      </c>
      <c r="AB44" s="1">
        <v>36</v>
      </c>
      <c r="AC44" s="1">
        <v>8</v>
      </c>
      <c r="AD44" s="1">
        <v>19</v>
      </c>
      <c r="AE44" s="1">
        <v>6</v>
      </c>
      <c r="AF44" s="1">
        <v>13</v>
      </c>
      <c r="AG44" s="1">
        <v>815</v>
      </c>
      <c r="AH44" s="1">
        <v>404</v>
      </c>
    </row>
    <row r="45" spans="1:34" x14ac:dyDescent="0.2">
      <c r="A45" s="1" t="s">
        <v>12</v>
      </c>
      <c r="B45" s="1" t="s">
        <v>33</v>
      </c>
      <c r="C45" s="1" t="s">
        <v>73</v>
      </c>
      <c r="D45" s="2">
        <v>2231</v>
      </c>
      <c r="E45" s="2">
        <v>1301</v>
      </c>
      <c r="F45" s="1">
        <v>2114</v>
      </c>
      <c r="G45" s="1">
        <f t="shared" si="0"/>
        <v>280</v>
      </c>
      <c r="H45" s="1">
        <f t="shared" si="1"/>
        <v>260</v>
      </c>
      <c r="I45" s="8">
        <f t="shared" si="2"/>
        <v>92.857142857142861</v>
      </c>
      <c r="J45" s="1">
        <f t="shared" si="3"/>
        <v>20</v>
      </c>
      <c r="K45" s="8">
        <f t="shared" si="4"/>
        <v>7.1428571428571432</v>
      </c>
      <c r="L45" s="1">
        <v>23</v>
      </c>
      <c r="M45" s="1">
        <v>7</v>
      </c>
      <c r="N45" s="1">
        <v>16</v>
      </c>
      <c r="O45" s="1">
        <v>44</v>
      </c>
      <c r="P45" s="1">
        <v>44</v>
      </c>
      <c r="Q45" s="1">
        <v>0</v>
      </c>
      <c r="R45" s="1">
        <v>100</v>
      </c>
      <c r="S45" s="1">
        <v>100</v>
      </c>
      <c r="T45" s="1">
        <v>0</v>
      </c>
      <c r="U45" s="1">
        <v>67</v>
      </c>
      <c r="V45" s="1">
        <v>67</v>
      </c>
      <c r="W45" s="1">
        <v>0</v>
      </c>
      <c r="X45" s="1">
        <v>46</v>
      </c>
      <c r="Y45" s="1">
        <v>42</v>
      </c>
      <c r="Z45" s="1">
        <v>4</v>
      </c>
      <c r="AA45" s="1">
        <v>132</v>
      </c>
      <c r="AB45" s="1">
        <v>99</v>
      </c>
      <c r="AC45" s="1">
        <v>33</v>
      </c>
      <c r="AD45" s="1">
        <v>64</v>
      </c>
      <c r="AE45" s="1">
        <v>58</v>
      </c>
      <c r="AF45" s="1">
        <v>6</v>
      </c>
      <c r="AG45" s="1">
        <v>1638</v>
      </c>
      <c r="AH45" s="1">
        <v>699</v>
      </c>
    </row>
    <row r="46" spans="1:34" x14ac:dyDescent="0.2">
      <c r="A46" s="1" t="s">
        <v>12</v>
      </c>
      <c r="B46" s="1" t="s">
        <v>34</v>
      </c>
      <c r="C46" s="1" t="s">
        <v>74</v>
      </c>
      <c r="D46" s="2">
        <v>1125</v>
      </c>
      <c r="E46" s="2">
        <v>798</v>
      </c>
      <c r="F46" s="1">
        <v>1096</v>
      </c>
      <c r="G46" s="1">
        <f t="shared" si="0"/>
        <v>42</v>
      </c>
      <c r="H46" s="1">
        <f t="shared" si="1"/>
        <v>26</v>
      </c>
      <c r="I46" s="8">
        <f t="shared" si="2"/>
        <v>61.904761904761905</v>
      </c>
      <c r="J46" s="1">
        <f t="shared" si="3"/>
        <v>16</v>
      </c>
      <c r="K46" s="8">
        <f t="shared" si="4"/>
        <v>38.095238095238095</v>
      </c>
      <c r="L46" s="1">
        <v>16</v>
      </c>
      <c r="M46" s="1">
        <v>0</v>
      </c>
      <c r="N46" s="1">
        <v>16</v>
      </c>
      <c r="O46" s="1">
        <v>0</v>
      </c>
      <c r="P46" s="1">
        <v>0</v>
      </c>
      <c r="Q46" s="1">
        <v>0</v>
      </c>
      <c r="R46" s="1">
        <v>18</v>
      </c>
      <c r="S46" s="1">
        <v>18</v>
      </c>
      <c r="T46" s="1">
        <v>0</v>
      </c>
      <c r="U46" s="1">
        <v>0</v>
      </c>
      <c r="V46" s="1">
        <v>0</v>
      </c>
      <c r="W46" s="1">
        <v>0</v>
      </c>
      <c r="X46" s="1">
        <v>8</v>
      </c>
      <c r="Y46" s="1">
        <v>8</v>
      </c>
      <c r="Z46" s="1">
        <v>0</v>
      </c>
      <c r="AA46" s="1">
        <v>60</v>
      </c>
      <c r="AB46" s="1">
        <v>56</v>
      </c>
      <c r="AC46" s="1">
        <v>4</v>
      </c>
      <c r="AD46" s="1">
        <v>66</v>
      </c>
      <c r="AE46" s="1">
        <v>19</v>
      </c>
      <c r="AF46" s="1">
        <v>47</v>
      </c>
      <c r="AG46" s="1">
        <v>928</v>
      </c>
      <c r="AH46" s="1">
        <v>343</v>
      </c>
    </row>
    <row r="47" spans="1:34" x14ac:dyDescent="0.2">
      <c r="A47" s="1" t="s">
        <v>13</v>
      </c>
      <c r="B47" s="1" t="s">
        <v>32</v>
      </c>
      <c r="C47" s="1" t="s">
        <v>75</v>
      </c>
      <c r="D47" s="2">
        <v>733</v>
      </c>
      <c r="E47" s="2">
        <v>247</v>
      </c>
      <c r="F47" s="1">
        <v>712</v>
      </c>
      <c r="G47" s="1">
        <f t="shared" si="0"/>
        <v>148</v>
      </c>
      <c r="H47" s="1">
        <f t="shared" si="1"/>
        <v>121</v>
      </c>
      <c r="I47" s="8">
        <f t="shared" si="2"/>
        <v>81.756756756756758</v>
      </c>
      <c r="J47" s="1">
        <f t="shared" si="3"/>
        <v>27</v>
      </c>
      <c r="K47" s="8">
        <f t="shared" si="4"/>
        <v>18.243243243243242</v>
      </c>
      <c r="L47" s="1">
        <v>11</v>
      </c>
      <c r="M47" s="1">
        <v>0</v>
      </c>
      <c r="N47" s="1">
        <v>11</v>
      </c>
      <c r="O47" s="1">
        <v>6</v>
      </c>
      <c r="P47" s="1">
        <v>6</v>
      </c>
      <c r="Q47" s="1">
        <v>0</v>
      </c>
      <c r="R47" s="1">
        <v>79</v>
      </c>
      <c r="S47" s="1">
        <v>74</v>
      </c>
      <c r="T47" s="1">
        <v>5</v>
      </c>
      <c r="U47" s="1">
        <v>20</v>
      </c>
      <c r="V47" s="1">
        <v>15</v>
      </c>
      <c r="W47" s="1">
        <v>5</v>
      </c>
      <c r="X47" s="1">
        <v>32</v>
      </c>
      <c r="Y47" s="1">
        <v>26</v>
      </c>
      <c r="Z47" s="1">
        <v>6</v>
      </c>
      <c r="AA47" s="1">
        <v>5</v>
      </c>
      <c r="AB47" s="1">
        <v>5</v>
      </c>
      <c r="AC47" s="1">
        <v>0</v>
      </c>
      <c r="AD47" s="1">
        <v>35</v>
      </c>
      <c r="AE47" s="1">
        <v>10</v>
      </c>
      <c r="AF47" s="1">
        <v>25</v>
      </c>
      <c r="AG47" s="1">
        <v>524</v>
      </c>
      <c r="AH47" s="1">
        <v>269</v>
      </c>
    </row>
    <row r="48" spans="1:34" x14ac:dyDescent="0.2">
      <c r="A48" s="1" t="s">
        <v>13</v>
      </c>
      <c r="B48" s="1" t="s">
        <v>33</v>
      </c>
      <c r="C48" s="1" t="s">
        <v>76</v>
      </c>
      <c r="D48" s="2">
        <v>1236</v>
      </c>
      <c r="E48" s="2">
        <v>545</v>
      </c>
      <c r="F48" s="1">
        <v>1175</v>
      </c>
      <c r="G48" s="1">
        <f t="shared" si="0"/>
        <v>129</v>
      </c>
      <c r="H48" s="1">
        <f t="shared" si="1"/>
        <v>106</v>
      </c>
      <c r="I48" s="8">
        <f t="shared" si="2"/>
        <v>82.170542635658919</v>
      </c>
      <c r="J48" s="1">
        <f t="shared" si="3"/>
        <v>23</v>
      </c>
      <c r="K48" s="8">
        <f t="shared" si="4"/>
        <v>17.829457364341085</v>
      </c>
      <c r="L48" s="1">
        <v>17</v>
      </c>
      <c r="M48" s="1">
        <v>0</v>
      </c>
      <c r="N48" s="1">
        <v>17</v>
      </c>
      <c r="O48" s="1">
        <v>24</v>
      </c>
      <c r="P48" s="1">
        <v>18</v>
      </c>
      <c r="Q48" s="1">
        <v>6</v>
      </c>
      <c r="R48" s="1">
        <v>13</v>
      </c>
      <c r="S48" s="1">
        <v>13</v>
      </c>
      <c r="T48" s="1">
        <v>0</v>
      </c>
      <c r="U48" s="1">
        <v>53</v>
      </c>
      <c r="V48" s="1">
        <v>53</v>
      </c>
      <c r="W48" s="1">
        <v>0</v>
      </c>
      <c r="X48" s="1">
        <v>22</v>
      </c>
      <c r="Y48" s="1">
        <v>22</v>
      </c>
      <c r="Z48" s="1">
        <v>0</v>
      </c>
      <c r="AA48" s="1">
        <v>37</v>
      </c>
      <c r="AB48" s="1">
        <v>28</v>
      </c>
      <c r="AC48" s="1">
        <v>9</v>
      </c>
      <c r="AD48" s="1">
        <v>19</v>
      </c>
      <c r="AE48" s="1">
        <v>19</v>
      </c>
      <c r="AF48" s="1">
        <v>0</v>
      </c>
      <c r="AG48" s="1">
        <v>990</v>
      </c>
      <c r="AH48" s="1">
        <v>456</v>
      </c>
    </row>
    <row r="49" spans="1:34" x14ac:dyDescent="0.2">
      <c r="A49" s="1" t="s">
        <v>13</v>
      </c>
      <c r="B49" s="1" t="s">
        <v>34</v>
      </c>
      <c r="C49" s="1" t="s">
        <v>77</v>
      </c>
      <c r="D49" s="2">
        <v>618</v>
      </c>
      <c r="E49" s="2">
        <v>243</v>
      </c>
      <c r="F49" s="1">
        <v>574</v>
      </c>
      <c r="G49" s="1">
        <f t="shared" si="0"/>
        <v>152</v>
      </c>
      <c r="H49" s="1">
        <f t="shared" si="1"/>
        <v>122</v>
      </c>
      <c r="I49" s="8">
        <f t="shared" si="2"/>
        <v>80.263157894736835</v>
      </c>
      <c r="J49" s="1">
        <f t="shared" si="3"/>
        <v>30</v>
      </c>
      <c r="K49" s="8">
        <f t="shared" si="4"/>
        <v>19.736842105263158</v>
      </c>
      <c r="L49" s="1">
        <v>9</v>
      </c>
      <c r="M49" s="1">
        <v>3</v>
      </c>
      <c r="N49" s="1">
        <v>6</v>
      </c>
      <c r="O49" s="1">
        <v>0</v>
      </c>
      <c r="P49" s="1">
        <v>0</v>
      </c>
      <c r="Q49" s="1">
        <v>0</v>
      </c>
      <c r="R49" s="1">
        <v>24</v>
      </c>
      <c r="S49" s="1">
        <v>18</v>
      </c>
      <c r="T49" s="1">
        <v>6</v>
      </c>
      <c r="U49" s="1">
        <v>55</v>
      </c>
      <c r="V49" s="1">
        <v>55</v>
      </c>
      <c r="W49" s="1">
        <v>0</v>
      </c>
      <c r="X49" s="1">
        <v>64</v>
      </c>
      <c r="Y49" s="1">
        <v>46</v>
      </c>
      <c r="Z49" s="1">
        <v>18</v>
      </c>
      <c r="AA49" s="1">
        <v>5</v>
      </c>
      <c r="AB49" s="1">
        <v>5</v>
      </c>
      <c r="AC49" s="1">
        <v>0</v>
      </c>
      <c r="AD49" s="1">
        <v>33</v>
      </c>
      <c r="AE49" s="1">
        <v>24</v>
      </c>
      <c r="AF49" s="1">
        <v>9</v>
      </c>
      <c r="AG49" s="1">
        <v>384</v>
      </c>
      <c r="AH49" s="1">
        <v>205</v>
      </c>
    </row>
    <row r="50" spans="1:34" x14ac:dyDescent="0.2">
      <c r="A50" s="1" t="s">
        <v>13</v>
      </c>
      <c r="B50" s="1" t="s">
        <v>35</v>
      </c>
      <c r="C50" s="1" t="s">
        <v>78</v>
      </c>
      <c r="D50" s="2">
        <v>956</v>
      </c>
      <c r="E50" s="2">
        <v>324</v>
      </c>
      <c r="F50" s="1">
        <v>934</v>
      </c>
      <c r="G50" s="1">
        <f t="shared" si="0"/>
        <v>181</v>
      </c>
      <c r="H50" s="1">
        <f t="shared" si="1"/>
        <v>167</v>
      </c>
      <c r="I50" s="8">
        <f t="shared" si="2"/>
        <v>92.265193370165747</v>
      </c>
      <c r="J50" s="1">
        <f t="shared" si="3"/>
        <v>14</v>
      </c>
      <c r="K50" s="8">
        <f t="shared" si="4"/>
        <v>7.7348066298342539</v>
      </c>
      <c r="L50" s="1">
        <v>27</v>
      </c>
      <c r="M50" s="1">
        <v>20</v>
      </c>
      <c r="N50" s="1">
        <v>7</v>
      </c>
      <c r="O50" s="1">
        <v>12</v>
      </c>
      <c r="P50" s="1">
        <v>5</v>
      </c>
      <c r="Q50" s="1">
        <v>7</v>
      </c>
      <c r="R50" s="1">
        <v>75</v>
      </c>
      <c r="S50" s="1">
        <v>75</v>
      </c>
      <c r="T50" s="1">
        <v>0</v>
      </c>
      <c r="U50" s="1">
        <v>34</v>
      </c>
      <c r="V50" s="1">
        <v>34</v>
      </c>
      <c r="W50" s="1">
        <v>0</v>
      </c>
      <c r="X50" s="1">
        <v>33</v>
      </c>
      <c r="Y50" s="1">
        <v>33</v>
      </c>
      <c r="Z50" s="1">
        <v>0</v>
      </c>
      <c r="AA50" s="1">
        <v>0</v>
      </c>
      <c r="AB50" s="1">
        <v>0</v>
      </c>
      <c r="AC50" s="1">
        <v>0</v>
      </c>
      <c r="AD50" s="1">
        <v>6</v>
      </c>
      <c r="AE50" s="1">
        <v>6</v>
      </c>
      <c r="AF50" s="1">
        <v>0</v>
      </c>
      <c r="AG50" s="1">
        <v>747</v>
      </c>
      <c r="AH50" s="1">
        <v>352</v>
      </c>
    </row>
    <row r="51" spans="1:34" x14ac:dyDescent="0.2">
      <c r="A51" s="1" t="s">
        <v>13</v>
      </c>
      <c r="B51" s="1" t="s">
        <v>36</v>
      </c>
      <c r="C51" s="1" t="s">
        <v>79</v>
      </c>
      <c r="D51" s="2">
        <v>984</v>
      </c>
      <c r="E51" s="2">
        <v>419</v>
      </c>
      <c r="F51" s="1">
        <v>1009</v>
      </c>
      <c r="G51" s="1">
        <f t="shared" si="0"/>
        <v>206</v>
      </c>
      <c r="H51" s="1">
        <f t="shared" si="1"/>
        <v>183</v>
      </c>
      <c r="I51" s="8">
        <f t="shared" si="2"/>
        <v>88.834951456310677</v>
      </c>
      <c r="J51" s="1">
        <f t="shared" si="3"/>
        <v>23</v>
      </c>
      <c r="K51" s="8">
        <f t="shared" si="4"/>
        <v>11.16504854368932</v>
      </c>
      <c r="L51" s="1">
        <v>20</v>
      </c>
      <c r="M51" s="1">
        <v>14</v>
      </c>
      <c r="N51" s="1">
        <v>6</v>
      </c>
      <c r="O51" s="1">
        <v>9</v>
      </c>
      <c r="P51" s="1">
        <v>0</v>
      </c>
      <c r="Q51" s="1">
        <v>9</v>
      </c>
      <c r="R51" s="1">
        <v>56</v>
      </c>
      <c r="S51" s="1">
        <v>48</v>
      </c>
      <c r="T51" s="1">
        <v>8</v>
      </c>
      <c r="U51" s="1">
        <v>58</v>
      </c>
      <c r="V51" s="1">
        <v>58</v>
      </c>
      <c r="W51" s="1">
        <v>0</v>
      </c>
      <c r="X51" s="1">
        <v>63</v>
      </c>
      <c r="Y51" s="1">
        <v>63</v>
      </c>
      <c r="Z51" s="1">
        <v>0</v>
      </c>
      <c r="AA51" s="1">
        <v>105</v>
      </c>
      <c r="AB51" s="1">
        <v>89</v>
      </c>
      <c r="AC51" s="1">
        <v>16</v>
      </c>
      <c r="AD51" s="1">
        <v>4</v>
      </c>
      <c r="AE51" s="1">
        <v>4</v>
      </c>
      <c r="AF51" s="1">
        <v>0</v>
      </c>
      <c r="AG51" s="1">
        <v>694</v>
      </c>
      <c r="AH51" s="1">
        <v>343</v>
      </c>
    </row>
    <row r="52" spans="1:34" x14ac:dyDescent="0.2">
      <c r="A52" s="1" t="s">
        <v>14</v>
      </c>
      <c r="B52" s="1" t="s">
        <v>32</v>
      </c>
      <c r="C52" s="1" t="s">
        <v>80</v>
      </c>
      <c r="D52" s="2">
        <v>854</v>
      </c>
      <c r="E52" s="2">
        <v>458</v>
      </c>
      <c r="F52" s="1">
        <v>867</v>
      </c>
      <c r="G52" s="1">
        <f t="shared" si="0"/>
        <v>22</v>
      </c>
      <c r="H52" s="1">
        <f t="shared" si="1"/>
        <v>22</v>
      </c>
      <c r="I52" s="8">
        <f t="shared" si="2"/>
        <v>100</v>
      </c>
      <c r="J52" s="1">
        <f t="shared" si="3"/>
        <v>0</v>
      </c>
      <c r="K52" s="8">
        <f t="shared" si="4"/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6</v>
      </c>
      <c r="S52" s="1">
        <v>6</v>
      </c>
      <c r="T52" s="1">
        <v>0</v>
      </c>
      <c r="U52" s="1">
        <v>0</v>
      </c>
      <c r="V52" s="1">
        <v>0</v>
      </c>
      <c r="W52" s="1">
        <v>0</v>
      </c>
      <c r="X52" s="1">
        <v>16</v>
      </c>
      <c r="Y52" s="1">
        <v>16</v>
      </c>
      <c r="Z52" s="1">
        <v>0</v>
      </c>
      <c r="AA52" s="1">
        <v>35</v>
      </c>
      <c r="AB52" s="1">
        <v>35</v>
      </c>
      <c r="AC52" s="1">
        <v>0</v>
      </c>
      <c r="AD52" s="1">
        <v>57</v>
      </c>
      <c r="AE52" s="1">
        <v>0</v>
      </c>
      <c r="AF52" s="1">
        <v>57</v>
      </c>
      <c r="AG52" s="1">
        <v>753</v>
      </c>
      <c r="AH52" s="1">
        <v>399</v>
      </c>
    </row>
    <row r="53" spans="1:34" x14ac:dyDescent="0.2">
      <c r="A53" s="1" t="s">
        <v>14</v>
      </c>
      <c r="B53" s="1" t="s">
        <v>33</v>
      </c>
      <c r="C53" s="1" t="s">
        <v>81</v>
      </c>
      <c r="D53" s="2">
        <v>1051</v>
      </c>
      <c r="E53" s="2">
        <v>547</v>
      </c>
      <c r="F53" s="1">
        <v>955</v>
      </c>
      <c r="G53" s="1">
        <f t="shared" si="0"/>
        <v>44</v>
      </c>
      <c r="H53" s="1">
        <f t="shared" si="1"/>
        <v>34</v>
      </c>
      <c r="I53" s="8">
        <f t="shared" si="2"/>
        <v>77.272727272727266</v>
      </c>
      <c r="J53" s="1">
        <f t="shared" si="3"/>
        <v>10</v>
      </c>
      <c r="K53" s="8">
        <f t="shared" si="4"/>
        <v>22.727272727272727</v>
      </c>
      <c r="L53" s="1">
        <v>10</v>
      </c>
      <c r="M53" s="1">
        <v>0</v>
      </c>
      <c r="N53" s="1">
        <v>10</v>
      </c>
      <c r="O53" s="1">
        <v>7</v>
      </c>
      <c r="P53" s="1">
        <v>7</v>
      </c>
      <c r="Q53" s="1">
        <v>0</v>
      </c>
      <c r="R53" s="1">
        <v>7</v>
      </c>
      <c r="S53" s="1">
        <v>7</v>
      </c>
      <c r="T53" s="1">
        <v>0</v>
      </c>
      <c r="U53" s="1">
        <v>6</v>
      </c>
      <c r="V53" s="1">
        <v>6</v>
      </c>
      <c r="W53" s="1">
        <v>0</v>
      </c>
      <c r="X53" s="1">
        <v>14</v>
      </c>
      <c r="Y53" s="1">
        <v>14</v>
      </c>
      <c r="Z53" s="1">
        <v>0</v>
      </c>
      <c r="AA53" s="1">
        <v>48</v>
      </c>
      <c r="AB53" s="1">
        <v>41</v>
      </c>
      <c r="AC53" s="1">
        <v>7</v>
      </c>
      <c r="AD53" s="1">
        <v>63</v>
      </c>
      <c r="AE53" s="1">
        <v>18</v>
      </c>
      <c r="AF53" s="1">
        <v>45</v>
      </c>
      <c r="AG53" s="1">
        <v>800</v>
      </c>
      <c r="AH53" s="1">
        <v>380</v>
      </c>
    </row>
    <row r="54" spans="1:34" x14ac:dyDescent="0.2">
      <c r="A54" s="1" t="s">
        <v>14</v>
      </c>
      <c r="B54" s="1" t="s">
        <v>34</v>
      </c>
      <c r="C54" s="1" t="s">
        <v>82</v>
      </c>
      <c r="D54" s="2">
        <v>829</v>
      </c>
      <c r="E54" s="2">
        <v>445</v>
      </c>
      <c r="F54" s="1">
        <v>887</v>
      </c>
      <c r="G54" s="1">
        <f t="shared" si="0"/>
        <v>159</v>
      </c>
      <c r="H54" s="1">
        <f t="shared" si="1"/>
        <v>159</v>
      </c>
      <c r="I54" s="8">
        <f t="shared" si="2"/>
        <v>100</v>
      </c>
      <c r="J54" s="1">
        <f t="shared" si="3"/>
        <v>0</v>
      </c>
      <c r="K54" s="8">
        <f t="shared" si="4"/>
        <v>0</v>
      </c>
      <c r="L54" s="1">
        <v>0</v>
      </c>
      <c r="M54" s="1">
        <v>0</v>
      </c>
      <c r="N54" s="1">
        <v>0</v>
      </c>
      <c r="O54" s="1">
        <v>24</v>
      </c>
      <c r="P54" s="1">
        <v>24</v>
      </c>
      <c r="Q54" s="1">
        <v>0</v>
      </c>
      <c r="R54" s="1">
        <v>70</v>
      </c>
      <c r="S54" s="1">
        <v>70</v>
      </c>
      <c r="T54" s="1">
        <v>0</v>
      </c>
      <c r="U54" s="1">
        <v>14</v>
      </c>
      <c r="V54" s="1">
        <v>14</v>
      </c>
      <c r="W54" s="1">
        <v>0</v>
      </c>
      <c r="X54" s="1">
        <v>51</v>
      </c>
      <c r="Y54" s="1">
        <v>51</v>
      </c>
      <c r="Z54" s="1">
        <v>0</v>
      </c>
      <c r="AA54" s="1">
        <v>42</v>
      </c>
      <c r="AB54" s="1">
        <v>20</v>
      </c>
      <c r="AC54" s="1">
        <v>22</v>
      </c>
      <c r="AD54" s="1">
        <v>0</v>
      </c>
      <c r="AE54" s="1">
        <v>0</v>
      </c>
      <c r="AF54" s="1">
        <v>0</v>
      </c>
      <c r="AG54" s="1">
        <v>686</v>
      </c>
      <c r="AH54" s="1">
        <v>264</v>
      </c>
    </row>
    <row r="55" spans="1:34" x14ac:dyDescent="0.2">
      <c r="A55" s="1" t="s">
        <v>14</v>
      </c>
      <c r="B55" s="1" t="s">
        <v>35</v>
      </c>
      <c r="C55" s="1" t="s">
        <v>83</v>
      </c>
      <c r="D55" s="2">
        <v>828</v>
      </c>
      <c r="E55" s="2">
        <v>590</v>
      </c>
      <c r="F55" s="1">
        <v>784</v>
      </c>
      <c r="G55" s="1">
        <f t="shared" si="0"/>
        <v>39</v>
      </c>
      <c r="H55" s="1">
        <f t="shared" si="1"/>
        <v>39</v>
      </c>
      <c r="I55" s="8">
        <f t="shared" si="2"/>
        <v>100</v>
      </c>
      <c r="J55" s="1">
        <f t="shared" si="3"/>
        <v>0</v>
      </c>
      <c r="K55" s="8">
        <f t="shared" si="4"/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24</v>
      </c>
      <c r="V55" s="1">
        <v>24</v>
      </c>
      <c r="W55" s="1">
        <v>0</v>
      </c>
      <c r="X55" s="1">
        <v>15</v>
      </c>
      <c r="Y55" s="1">
        <v>15</v>
      </c>
      <c r="Z55" s="1">
        <v>0</v>
      </c>
      <c r="AA55" s="1">
        <v>13</v>
      </c>
      <c r="AB55" s="1">
        <v>13</v>
      </c>
      <c r="AC55" s="1">
        <v>0</v>
      </c>
      <c r="AD55" s="1">
        <v>44</v>
      </c>
      <c r="AE55" s="1">
        <v>25</v>
      </c>
      <c r="AF55" s="1">
        <v>19</v>
      </c>
      <c r="AG55" s="1">
        <v>688</v>
      </c>
      <c r="AH55" s="1">
        <v>317</v>
      </c>
    </row>
    <row r="56" spans="1:34" x14ac:dyDescent="0.2">
      <c r="A56" s="1" t="s">
        <v>14</v>
      </c>
      <c r="B56" s="1" t="s">
        <v>36</v>
      </c>
      <c r="C56" s="1" t="s">
        <v>84</v>
      </c>
      <c r="D56" s="2">
        <v>937</v>
      </c>
      <c r="E56" s="2">
        <v>381</v>
      </c>
      <c r="F56" s="1">
        <v>890</v>
      </c>
      <c r="G56" s="1">
        <f t="shared" si="0"/>
        <v>16</v>
      </c>
      <c r="H56" s="1">
        <f t="shared" si="1"/>
        <v>16</v>
      </c>
      <c r="I56" s="8">
        <f t="shared" si="2"/>
        <v>100</v>
      </c>
      <c r="J56" s="1">
        <f t="shared" si="3"/>
        <v>0</v>
      </c>
      <c r="K56" s="8">
        <f t="shared" si="4"/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9</v>
      </c>
      <c r="S56" s="1">
        <v>9</v>
      </c>
      <c r="T56" s="1">
        <v>0</v>
      </c>
      <c r="U56" s="1">
        <v>0</v>
      </c>
      <c r="V56" s="1">
        <v>0</v>
      </c>
      <c r="W56" s="1">
        <v>0</v>
      </c>
      <c r="X56" s="1">
        <v>7</v>
      </c>
      <c r="Y56" s="1">
        <v>7</v>
      </c>
      <c r="Z56" s="1">
        <v>0</v>
      </c>
      <c r="AA56" s="1">
        <v>39</v>
      </c>
      <c r="AB56" s="1">
        <v>30</v>
      </c>
      <c r="AC56" s="1">
        <v>9</v>
      </c>
      <c r="AD56" s="1">
        <v>38</v>
      </c>
      <c r="AE56" s="1">
        <v>19</v>
      </c>
      <c r="AF56" s="1">
        <v>19</v>
      </c>
      <c r="AG56" s="1">
        <v>797</v>
      </c>
      <c r="AH56" s="1">
        <v>524</v>
      </c>
    </row>
    <row r="57" spans="1:34" x14ac:dyDescent="0.2">
      <c r="A57" s="1" t="s">
        <v>15</v>
      </c>
      <c r="B57" s="1" t="s">
        <v>32</v>
      </c>
      <c r="C57" s="1" t="s">
        <v>85</v>
      </c>
      <c r="D57" s="2">
        <v>1298</v>
      </c>
      <c r="E57" s="2">
        <v>458</v>
      </c>
      <c r="F57" s="1">
        <v>1222</v>
      </c>
      <c r="G57" s="1">
        <f t="shared" si="0"/>
        <v>228</v>
      </c>
      <c r="H57" s="1">
        <f t="shared" si="1"/>
        <v>163</v>
      </c>
      <c r="I57" s="8">
        <f t="shared" si="2"/>
        <v>71.491228070175438</v>
      </c>
      <c r="J57" s="1">
        <f t="shared" si="3"/>
        <v>65</v>
      </c>
      <c r="K57" s="8">
        <f t="shared" si="4"/>
        <v>28.508771929824562</v>
      </c>
      <c r="L57" s="1">
        <v>41</v>
      </c>
      <c r="M57" s="1">
        <v>31</v>
      </c>
      <c r="N57" s="1">
        <v>10</v>
      </c>
      <c r="O57" s="1">
        <v>17</v>
      </c>
      <c r="P57" s="1">
        <v>17</v>
      </c>
      <c r="Q57" s="1">
        <v>0</v>
      </c>
      <c r="R57" s="1">
        <v>50</v>
      </c>
      <c r="S57" s="1">
        <v>33</v>
      </c>
      <c r="T57" s="1">
        <v>17</v>
      </c>
      <c r="U57" s="1">
        <v>50</v>
      </c>
      <c r="V57" s="1">
        <v>33</v>
      </c>
      <c r="W57" s="1">
        <v>17</v>
      </c>
      <c r="X57" s="1">
        <v>70</v>
      </c>
      <c r="Y57" s="1">
        <v>49</v>
      </c>
      <c r="Z57" s="1">
        <v>21</v>
      </c>
      <c r="AA57" s="1">
        <v>47</v>
      </c>
      <c r="AB57" s="1">
        <v>40</v>
      </c>
      <c r="AC57" s="1">
        <v>7</v>
      </c>
      <c r="AD57" s="1">
        <v>29</v>
      </c>
      <c r="AE57" s="1">
        <v>19</v>
      </c>
      <c r="AF57" s="1">
        <v>10</v>
      </c>
      <c r="AG57" s="1">
        <v>918</v>
      </c>
      <c r="AH57" s="1">
        <v>447</v>
      </c>
    </row>
    <row r="58" spans="1:34" x14ac:dyDescent="0.2">
      <c r="A58" s="1" t="s">
        <v>15</v>
      </c>
      <c r="B58" s="1" t="s">
        <v>33</v>
      </c>
      <c r="C58" s="1" t="s">
        <v>86</v>
      </c>
      <c r="D58" s="2">
        <v>577</v>
      </c>
      <c r="E58" s="2">
        <v>250</v>
      </c>
      <c r="F58" s="1">
        <v>539</v>
      </c>
      <c r="G58" s="1">
        <f t="shared" si="0"/>
        <v>114</v>
      </c>
      <c r="H58" s="1">
        <f t="shared" si="1"/>
        <v>42</v>
      </c>
      <c r="I58" s="8">
        <f t="shared" si="2"/>
        <v>36.842105263157897</v>
      </c>
      <c r="J58" s="1">
        <f t="shared" si="3"/>
        <v>72</v>
      </c>
      <c r="K58" s="8">
        <f t="shared" si="4"/>
        <v>63.157894736842103</v>
      </c>
      <c r="L58" s="1">
        <v>20</v>
      </c>
      <c r="M58" s="1">
        <v>0</v>
      </c>
      <c r="N58" s="1">
        <v>20</v>
      </c>
      <c r="O58" s="1">
        <v>5</v>
      </c>
      <c r="P58" s="1">
        <v>5</v>
      </c>
      <c r="Q58" s="1">
        <v>0</v>
      </c>
      <c r="R58" s="1">
        <v>10</v>
      </c>
      <c r="S58" s="1">
        <v>5</v>
      </c>
      <c r="T58" s="1">
        <v>5</v>
      </c>
      <c r="U58" s="1">
        <v>31</v>
      </c>
      <c r="V58" s="1">
        <v>10</v>
      </c>
      <c r="W58" s="1">
        <v>21</v>
      </c>
      <c r="X58" s="1">
        <v>48</v>
      </c>
      <c r="Y58" s="1">
        <v>22</v>
      </c>
      <c r="Z58" s="1">
        <v>26</v>
      </c>
      <c r="AA58" s="1">
        <v>7</v>
      </c>
      <c r="AB58" s="1">
        <v>7</v>
      </c>
      <c r="AC58" s="1">
        <v>0</v>
      </c>
      <c r="AD58" s="1">
        <v>5</v>
      </c>
      <c r="AE58" s="1">
        <v>0</v>
      </c>
      <c r="AF58" s="1">
        <v>5</v>
      </c>
      <c r="AG58" s="1">
        <v>413</v>
      </c>
      <c r="AH58" s="1">
        <v>211</v>
      </c>
    </row>
    <row r="59" spans="1:34" x14ac:dyDescent="0.2">
      <c r="A59" s="1" t="s">
        <v>15</v>
      </c>
      <c r="B59" s="1" t="s">
        <v>34</v>
      </c>
      <c r="C59" s="1" t="s">
        <v>87</v>
      </c>
      <c r="D59" s="2">
        <v>579</v>
      </c>
      <c r="E59" s="2">
        <v>254</v>
      </c>
      <c r="F59" s="1">
        <v>538</v>
      </c>
      <c r="G59" s="1">
        <f t="shared" si="0"/>
        <v>95</v>
      </c>
      <c r="H59" s="1">
        <f t="shared" si="1"/>
        <v>37</v>
      </c>
      <c r="I59" s="8">
        <f t="shared" si="2"/>
        <v>38.94736842105263</v>
      </c>
      <c r="J59" s="1">
        <f t="shared" si="3"/>
        <v>58</v>
      </c>
      <c r="K59" s="8">
        <f t="shared" si="4"/>
        <v>61.05263157894737</v>
      </c>
      <c r="L59" s="1">
        <v>18</v>
      </c>
      <c r="M59" s="1">
        <v>0</v>
      </c>
      <c r="N59" s="1">
        <v>18</v>
      </c>
      <c r="O59" s="1">
        <v>7</v>
      </c>
      <c r="P59" s="1">
        <v>7</v>
      </c>
      <c r="Q59" s="1">
        <v>0</v>
      </c>
      <c r="R59" s="1">
        <v>26</v>
      </c>
      <c r="S59" s="1">
        <v>26</v>
      </c>
      <c r="T59" s="1">
        <v>0</v>
      </c>
      <c r="U59" s="1">
        <v>15</v>
      </c>
      <c r="V59" s="1">
        <v>0</v>
      </c>
      <c r="W59" s="1">
        <v>15</v>
      </c>
      <c r="X59" s="1">
        <v>29</v>
      </c>
      <c r="Y59" s="1">
        <v>4</v>
      </c>
      <c r="Z59" s="1">
        <v>25</v>
      </c>
      <c r="AA59" s="1">
        <v>5</v>
      </c>
      <c r="AB59" s="1">
        <v>0</v>
      </c>
      <c r="AC59" s="1">
        <v>5</v>
      </c>
      <c r="AD59" s="1">
        <v>7</v>
      </c>
      <c r="AE59" s="1">
        <v>7</v>
      </c>
      <c r="AF59" s="1">
        <v>0</v>
      </c>
      <c r="AG59" s="1">
        <v>431</v>
      </c>
      <c r="AH59" s="1">
        <v>205</v>
      </c>
    </row>
    <row r="60" spans="1:34" x14ac:dyDescent="0.2">
      <c r="A60" s="1" t="s">
        <v>16</v>
      </c>
      <c r="B60" s="1" t="s">
        <v>32</v>
      </c>
      <c r="C60" s="1" t="s">
        <v>88</v>
      </c>
      <c r="D60" s="2">
        <v>915</v>
      </c>
      <c r="E60" s="2">
        <v>390</v>
      </c>
      <c r="F60" s="1">
        <v>855</v>
      </c>
      <c r="G60" s="1">
        <f t="shared" si="0"/>
        <v>199</v>
      </c>
      <c r="H60" s="1">
        <f t="shared" si="1"/>
        <v>135</v>
      </c>
      <c r="I60" s="8">
        <f t="shared" si="2"/>
        <v>67.8391959798995</v>
      </c>
      <c r="J60" s="1">
        <f t="shared" si="3"/>
        <v>64</v>
      </c>
      <c r="K60" s="8">
        <f t="shared" si="4"/>
        <v>32.1608040201005</v>
      </c>
      <c r="L60" s="1">
        <v>12</v>
      </c>
      <c r="M60" s="1">
        <v>3</v>
      </c>
      <c r="N60" s="1">
        <v>9</v>
      </c>
      <c r="O60" s="1">
        <v>29</v>
      </c>
      <c r="P60" s="1">
        <v>23</v>
      </c>
      <c r="Q60" s="1">
        <v>6</v>
      </c>
      <c r="R60" s="1">
        <v>65</v>
      </c>
      <c r="S60" s="1">
        <v>54</v>
      </c>
      <c r="T60" s="1">
        <v>11</v>
      </c>
      <c r="U60" s="1">
        <v>42</v>
      </c>
      <c r="V60" s="1">
        <v>13</v>
      </c>
      <c r="W60" s="1">
        <v>29</v>
      </c>
      <c r="X60" s="1">
        <v>51</v>
      </c>
      <c r="Y60" s="1">
        <v>42</v>
      </c>
      <c r="Z60" s="1">
        <v>9</v>
      </c>
      <c r="AA60" s="1">
        <v>13</v>
      </c>
      <c r="AB60" s="1">
        <v>13</v>
      </c>
      <c r="AC60" s="1">
        <v>0</v>
      </c>
      <c r="AD60" s="1">
        <v>12</v>
      </c>
      <c r="AE60" s="1">
        <v>0</v>
      </c>
      <c r="AF60" s="1">
        <v>12</v>
      </c>
      <c r="AG60" s="1">
        <v>631</v>
      </c>
      <c r="AH60" s="1">
        <v>286</v>
      </c>
    </row>
    <row r="61" spans="1:34" x14ac:dyDescent="0.2">
      <c r="A61" s="1" t="s">
        <v>16</v>
      </c>
      <c r="B61" s="1" t="s">
        <v>33</v>
      </c>
      <c r="C61" s="1" t="s">
        <v>89</v>
      </c>
      <c r="D61" s="2">
        <v>1135</v>
      </c>
      <c r="E61" s="2">
        <v>593</v>
      </c>
      <c r="F61" s="1">
        <v>1100</v>
      </c>
      <c r="G61" s="1">
        <f t="shared" si="0"/>
        <v>158</v>
      </c>
      <c r="H61" s="1">
        <f t="shared" si="1"/>
        <v>116</v>
      </c>
      <c r="I61" s="8">
        <f t="shared" si="2"/>
        <v>73.417721518987335</v>
      </c>
      <c r="J61" s="1">
        <f t="shared" si="3"/>
        <v>42</v>
      </c>
      <c r="K61" s="8">
        <f t="shared" si="4"/>
        <v>26.582278481012658</v>
      </c>
      <c r="L61" s="1">
        <v>38</v>
      </c>
      <c r="M61" s="1">
        <v>20</v>
      </c>
      <c r="N61" s="1">
        <v>18</v>
      </c>
      <c r="O61" s="1">
        <v>44</v>
      </c>
      <c r="P61" s="1">
        <v>38</v>
      </c>
      <c r="Q61" s="1">
        <v>6</v>
      </c>
      <c r="R61" s="1">
        <v>34</v>
      </c>
      <c r="S61" s="1">
        <v>23</v>
      </c>
      <c r="T61" s="1">
        <v>11</v>
      </c>
      <c r="U61" s="1">
        <v>5</v>
      </c>
      <c r="V61" s="1">
        <v>5</v>
      </c>
      <c r="W61" s="1">
        <v>0</v>
      </c>
      <c r="X61" s="1">
        <v>37</v>
      </c>
      <c r="Y61" s="1">
        <v>30</v>
      </c>
      <c r="Z61" s="1">
        <v>7</v>
      </c>
      <c r="AA61" s="1">
        <v>54</v>
      </c>
      <c r="AB61" s="1">
        <v>43</v>
      </c>
      <c r="AC61" s="1">
        <v>11</v>
      </c>
      <c r="AD61" s="1">
        <v>23</v>
      </c>
      <c r="AE61" s="1">
        <v>16</v>
      </c>
      <c r="AF61" s="1">
        <v>7</v>
      </c>
      <c r="AG61" s="1">
        <v>865</v>
      </c>
      <c r="AH61" s="1">
        <v>410</v>
      </c>
    </row>
    <row r="62" spans="1:34" x14ac:dyDescent="0.2">
      <c r="A62" s="1" t="s">
        <v>16</v>
      </c>
      <c r="B62" s="1" t="s">
        <v>34</v>
      </c>
      <c r="C62" s="1" t="s">
        <v>90</v>
      </c>
      <c r="D62" s="2">
        <v>790</v>
      </c>
      <c r="E62" s="2">
        <v>436</v>
      </c>
      <c r="F62" s="1">
        <v>786</v>
      </c>
      <c r="G62" s="1">
        <f t="shared" si="0"/>
        <v>92</v>
      </c>
      <c r="H62" s="1">
        <f t="shared" si="1"/>
        <v>80</v>
      </c>
      <c r="I62" s="8">
        <f t="shared" si="2"/>
        <v>86.956521739130437</v>
      </c>
      <c r="J62" s="1">
        <f t="shared" si="3"/>
        <v>12</v>
      </c>
      <c r="K62" s="8">
        <f t="shared" si="4"/>
        <v>13.043478260869565</v>
      </c>
      <c r="L62" s="1">
        <v>17</v>
      </c>
      <c r="M62" s="1">
        <v>17</v>
      </c>
      <c r="N62" s="1">
        <v>0</v>
      </c>
      <c r="O62" s="1">
        <v>8</v>
      </c>
      <c r="P62" s="1">
        <v>8</v>
      </c>
      <c r="Q62" s="1">
        <v>0</v>
      </c>
      <c r="R62" s="1">
        <v>24</v>
      </c>
      <c r="S62" s="1">
        <v>19</v>
      </c>
      <c r="T62" s="1">
        <v>5</v>
      </c>
      <c r="U62" s="1">
        <v>17</v>
      </c>
      <c r="V62" s="1">
        <v>17</v>
      </c>
      <c r="W62" s="1">
        <v>0</v>
      </c>
      <c r="X62" s="1">
        <v>26</v>
      </c>
      <c r="Y62" s="1">
        <v>19</v>
      </c>
      <c r="Z62" s="1">
        <v>7</v>
      </c>
      <c r="AA62" s="1">
        <v>6</v>
      </c>
      <c r="AB62" s="1">
        <v>6</v>
      </c>
      <c r="AC62" s="1">
        <v>0</v>
      </c>
      <c r="AD62" s="1">
        <v>20</v>
      </c>
      <c r="AE62" s="1">
        <v>14</v>
      </c>
      <c r="AF62" s="1">
        <v>6</v>
      </c>
      <c r="AG62" s="1">
        <v>668</v>
      </c>
      <c r="AH62" s="1">
        <v>307</v>
      </c>
    </row>
    <row r="63" spans="1:34" x14ac:dyDescent="0.2">
      <c r="A63" s="1" t="s">
        <v>17</v>
      </c>
      <c r="B63" s="1" t="s">
        <v>32</v>
      </c>
      <c r="C63" s="1" t="s">
        <v>91</v>
      </c>
      <c r="D63" s="2">
        <v>1046</v>
      </c>
      <c r="E63" s="2">
        <v>540</v>
      </c>
      <c r="F63" s="1">
        <v>965</v>
      </c>
      <c r="G63" s="1">
        <f t="shared" si="0"/>
        <v>128</v>
      </c>
      <c r="H63" s="1">
        <f t="shared" si="1"/>
        <v>56</v>
      </c>
      <c r="I63" s="8">
        <f t="shared" si="2"/>
        <v>43.75</v>
      </c>
      <c r="J63" s="1">
        <f t="shared" si="3"/>
        <v>72</v>
      </c>
      <c r="K63" s="8">
        <f t="shared" si="4"/>
        <v>56.25</v>
      </c>
      <c r="L63" s="1">
        <v>26</v>
      </c>
      <c r="M63" s="1">
        <v>0</v>
      </c>
      <c r="N63" s="1">
        <v>26</v>
      </c>
      <c r="O63" s="1">
        <v>6</v>
      </c>
      <c r="P63" s="1">
        <v>0</v>
      </c>
      <c r="Q63" s="1">
        <v>6</v>
      </c>
      <c r="R63" s="1">
        <v>16</v>
      </c>
      <c r="S63" s="1">
        <v>6</v>
      </c>
      <c r="T63" s="1">
        <v>10</v>
      </c>
      <c r="U63" s="1">
        <v>47</v>
      </c>
      <c r="V63" s="1">
        <v>31</v>
      </c>
      <c r="W63" s="1">
        <v>16</v>
      </c>
      <c r="X63" s="1">
        <v>33</v>
      </c>
      <c r="Y63" s="1">
        <v>19</v>
      </c>
      <c r="Z63" s="1">
        <v>14</v>
      </c>
      <c r="AA63" s="1">
        <v>4</v>
      </c>
      <c r="AB63" s="1">
        <v>4</v>
      </c>
      <c r="AC63" s="1">
        <v>0</v>
      </c>
      <c r="AD63" s="1">
        <v>25</v>
      </c>
      <c r="AE63" s="1">
        <v>18</v>
      </c>
      <c r="AF63" s="1">
        <v>7</v>
      </c>
      <c r="AG63" s="1">
        <v>808</v>
      </c>
      <c r="AH63" s="1">
        <v>363</v>
      </c>
    </row>
    <row r="64" spans="1:34" x14ac:dyDescent="0.2">
      <c r="A64" s="1" t="s">
        <v>17</v>
      </c>
      <c r="B64" s="1" t="s">
        <v>33</v>
      </c>
      <c r="C64" s="1" t="s">
        <v>92</v>
      </c>
      <c r="D64" s="2">
        <v>1097</v>
      </c>
      <c r="E64" s="2">
        <v>394</v>
      </c>
      <c r="F64" s="1">
        <v>1062</v>
      </c>
      <c r="G64" s="1">
        <f t="shared" si="0"/>
        <v>200</v>
      </c>
      <c r="H64" s="1">
        <f t="shared" si="1"/>
        <v>73</v>
      </c>
      <c r="I64" s="8">
        <f t="shared" si="2"/>
        <v>36.5</v>
      </c>
      <c r="J64" s="1">
        <f t="shared" si="3"/>
        <v>127</v>
      </c>
      <c r="K64" s="8">
        <f t="shared" si="4"/>
        <v>63.5</v>
      </c>
      <c r="L64" s="1">
        <v>48</v>
      </c>
      <c r="M64" s="1">
        <v>5</v>
      </c>
      <c r="N64" s="1">
        <v>43</v>
      </c>
      <c r="O64" s="1">
        <v>6</v>
      </c>
      <c r="P64" s="1">
        <v>0</v>
      </c>
      <c r="Q64" s="1">
        <v>6</v>
      </c>
      <c r="R64" s="1">
        <v>50</v>
      </c>
      <c r="S64" s="1">
        <v>27</v>
      </c>
      <c r="T64" s="1">
        <v>23</v>
      </c>
      <c r="U64" s="1">
        <v>33</v>
      </c>
      <c r="V64" s="1">
        <v>16</v>
      </c>
      <c r="W64" s="1">
        <v>17</v>
      </c>
      <c r="X64" s="1">
        <v>63</v>
      </c>
      <c r="Y64" s="1">
        <v>25</v>
      </c>
      <c r="Z64" s="1">
        <v>38</v>
      </c>
      <c r="AA64" s="1">
        <v>38</v>
      </c>
      <c r="AB64" s="1">
        <v>30</v>
      </c>
      <c r="AC64" s="1">
        <v>8</v>
      </c>
      <c r="AD64" s="1">
        <v>16</v>
      </c>
      <c r="AE64" s="1">
        <v>11</v>
      </c>
      <c r="AF64" s="1">
        <v>5</v>
      </c>
      <c r="AG64" s="1">
        <v>808</v>
      </c>
      <c r="AH64" s="1">
        <v>370</v>
      </c>
    </row>
    <row r="65" spans="1:34" x14ac:dyDescent="0.2">
      <c r="A65" s="1" t="s">
        <v>17</v>
      </c>
      <c r="B65" s="1" t="s">
        <v>34</v>
      </c>
      <c r="C65" s="1" t="s">
        <v>93</v>
      </c>
      <c r="D65" s="2">
        <v>1191</v>
      </c>
      <c r="E65" s="2">
        <v>460</v>
      </c>
      <c r="F65" s="1">
        <v>1151</v>
      </c>
      <c r="G65" s="1">
        <f t="shared" si="0"/>
        <v>253</v>
      </c>
      <c r="H65" s="1">
        <f t="shared" si="1"/>
        <v>101</v>
      </c>
      <c r="I65" s="8">
        <f t="shared" si="2"/>
        <v>39.920948616600789</v>
      </c>
      <c r="J65" s="1">
        <f t="shared" si="3"/>
        <v>152</v>
      </c>
      <c r="K65" s="8">
        <f t="shared" si="4"/>
        <v>60.079051383399211</v>
      </c>
      <c r="L65" s="1">
        <v>34</v>
      </c>
      <c r="M65" s="1">
        <v>7</v>
      </c>
      <c r="N65" s="1">
        <v>27</v>
      </c>
      <c r="O65" s="1">
        <v>0</v>
      </c>
      <c r="P65" s="1">
        <v>0</v>
      </c>
      <c r="Q65" s="1">
        <v>0</v>
      </c>
      <c r="R65" s="1">
        <v>57</v>
      </c>
      <c r="S65" s="1">
        <v>23</v>
      </c>
      <c r="T65" s="1">
        <v>34</v>
      </c>
      <c r="U65" s="1">
        <v>109</v>
      </c>
      <c r="V65" s="1">
        <v>46</v>
      </c>
      <c r="W65" s="1">
        <v>63</v>
      </c>
      <c r="X65" s="1">
        <v>53</v>
      </c>
      <c r="Y65" s="1">
        <v>25</v>
      </c>
      <c r="Z65" s="1">
        <v>28</v>
      </c>
      <c r="AA65" s="1">
        <v>20</v>
      </c>
      <c r="AB65" s="1">
        <v>14</v>
      </c>
      <c r="AC65" s="1">
        <v>6</v>
      </c>
      <c r="AD65" s="1">
        <v>10</v>
      </c>
      <c r="AE65" s="1">
        <v>6</v>
      </c>
      <c r="AF65" s="1">
        <v>4</v>
      </c>
      <c r="AG65" s="1">
        <v>868</v>
      </c>
      <c r="AH65" s="1">
        <v>441</v>
      </c>
    </row>
    <row r="66" spans="1:34" x14ac:dyDescent="0.2">
      <c r="A66" s="1" t="s">
        <v>17</v>
      </c>
      <c r="B66" s="1" t="s">
        <v>35</v>
      </c>
      <c r="C66" s="1" t="s">
        <v>94</v>
      </c>
      <c r="D66" s="2">
        <v>1184</v>
      </c>
      <c r="E66" s="2">
        <v>460</v>
      </c>
      <c r="F66" s="1">
        <v>1119</v>
      </c>
      <c r="G66" s="1">
        <f t="shared" si="0"/>
        <v>264</v>
      </c>
      <c r="H66" s="1">
        <f t="shared" si="1"/>
        <v>113</v>
      </c>
      <c r="I66" s="8">
        <f t="shared" si="2"/>
        <v>42.803030303030305</v>
      </c>
      <c r="J66" s="1">
        <f t="shared" si="3"/>
        <v>151</v>
      </c>
      <c r="K66" s="8">
        <f t="shared" si="4"/>
        <v>57.196969696969695</v>
      </c>
      <c r="L66" s="1">
        <v>46</v>
      </c>
      <c r="M66" s="1">
        <v>6</v>
      </c>
      <c r="N66" s="1">
        <v>40</v>
      </c>
      <c r="O66" s="1">
        <v>22</v>
      </c>
      <c r="P66" s="1">
        <v>10</v>
      </c>
      <c r="Q66" s="1">
        <v>12</v>
      </c>
      <c r="R66" s="1">
        <v>62</v>
      </c>
      <c r="S66" s="1">
        <v>21</v>
      </c>
      <c r="T66" s="1">
        <v>41</v>
      </c>
      <c r="U66" s="1">
        <v>63</v>
      </c>
      <c r="V66" s="1">
        <v>37</v>
      </c>
      <c r="W66" s="1">
        <v>26</v>
      </c>
      <c r="X66" s="1">
        <v>71</v>
      </c>
      <c r="Y66" s="1">
        <v>39</v>
      </c>
      <c r="Z66" s="1">
        <v>32</v>
      </c>
      <c r="AA66" s="1">
        <v>5</v>
      </c>
      <c r="AB66" s="1">
        <v>5</v>
      </c>
      <c r="AC66" s="1">
        <v>0</v>
      </c>
      <c r="AD66" s="1">
        <v>37</v>
      </c>
      <c r="AE66" s="1">
        <v>23</v>
      </c>
      <c r="AF66" s="1">
        <v>14</v>
      </c>
      <c r="AG66" s="1">
        <v>813</v>
      </c>
      <c r="AH66" s="1">
        <v>382</v>
      </c>
    </row>
    <row r="67" spans="1:34" x14ac:dyDescent="0.2">
      <c r="A67" s="1" t="s">
        <v>18</v>
      </c>
      <c r="B67" s="1" t="s">
        <v>32</v>
      </c>
      <c r="C67" s="1" t="s">
        <v>95</v>
      </c>
      <c r="D67" s="2">
        <v>1547</v>
      </c>
      <c r="E67" s="2">
        <v>1096</v>
      </c>
      <c r="F67" s="1">
        <v>1530</v>
      </c>
      <c r="G67" s="1">
        <f t="shared" si="0"/>
        <v>98</v>
      </c>
      <c r="H67" s="1">
        <f t="shared" si="1"/>
        <v>62</v>
      </c>
      <c r="I67" s="8">
        <f t="shared" si="2"/>
        <v>63.265306122448976</v>
      </c>
      <c r="J67" s="1">
        <f t="shared" si="3"/>
        <v>36</v>
      </c>
      <c r="K67" s="8">
        <f t="shared" si="4"/>
        <v>36.734693877551024</v>
      </c>
      <c r="L67" s="1">
        <v>5</v>
      </c>
      <c r="M67" s="1">
        <v>0</v>
      </c>
      <c r="N67" s="1">
        <v>5</v>
      </c>
      <c r="O67" s="1">
        <v>5</v>
      </c>
      <c r="P67" s="1">
        <v>5</v>
      </c>
      <c r="Q67" s="1">
        <v>0</v>
      </c>
      <c r="R67" s="1">
        <v>57</v>
      </c>
      <c r="S67" s="1">
        <v>36</v>
      </c>
      <c r="T67" s="1">
        <v>21</v>
      </c>
      <c r="U67" s="1">
        <v>15</v>
      </c>
      <c r="V67" s="1">
        <v>5</v>
      </c>
      <c r="W67" s="1">
        <v>10</v>
      </c>
      <c r="X67" s="1">
        <v>16</v>
      </c>
      <c r="Y67" s="1">
        <v>16</v>
      </c>
      <c r="Z67" s="1">
        <v>0</v>
      </c>
      <c r="AA67" s="1">
        <v>29</v>
      </c>
      <c r="AB67" s="1">
        <v>13</v>
      </c>
      <c r="AC67" s="1">
        <v>16</v>
      </c>
      <c r="AD67" s="1">
        <v>84</v>
      </c>
      <c r="AE67" s="1">
        <v>31</v>
      </c>
      <c r="AF67" s="1">
        <v>53</v>
      </c>
      <c r="AG67" s="1">
        <v>1319</v>
      </c>
      <c r="AH67" s="1">
        <v>513</v>
      </c>
    </row>
    <row r="68" spans="1:34" x14ac:dyDescent="0.2">
      <c r="A68" s="1" t="s">
        <v>18</v>
      </c>
      <c r="B68" s="1" t="s">
        <v>33</v>
      </c>
      <c r="C68" s="1" t="s">
        <v>96</v>
      </c>
      <c r="D68" s="2">
        <v>1130</v>
      </c>
      <c r="E68" s="2">
        <v>806</v>
      </c>
      <c r="F68" s="1">
        <v>1092</v>
      </c>
      <c r="G68" s="1">
        <f t="shared" si="0"/>
        <v>53</v>
      </c>
      <c r="H68" s="1">
        <f t="shared" si="1"/>
        <v>34</v>
      </c>
      <c r="I68" s="8">
        <f t="shared" si="2"/>
        <v>64.15094339622641</v>
      </c>
      <c r="J68" s="1">
        <f t="shared" si="3"/>
        <v>19</v>
      </c>
      <c r="K68" s="8">
        <f t="shared" si="4"/>
        <v>35.849056603773583</v>
      </c>
      <c r="L68" s="1">
        <v>10</v>
      </c>
      <c r="M68" s="1">
        <v>0</v>
      </c>
      <c r="N68" s="1">
        <v>10</v>
      </c>
      <c r="O68" s="1">
        <v>4</v>
      </c>
      <c r="P68" s="1">
        <v>0</v>
      </c>
      <c r="Q68" s="1">
        <v>4</v>
      </c>
      <c r="R68" s="1">
        <v>10</v>
      </c>
      <c r="S68" s="1">
        <v>5</v>
      </c>
      <c r="T68" s="1">
        <v>5</v>
      </c>
      <c r="U68" s="1">
        <v>18</v>
      </c>
      <c r="V68" s="1">
        <v>18</v>
      </c>
      <c r="W68" s="1">
        <v>0</v>
      </c>
      <c r="X68" s="1">
        <v>11</v>
      </c>
      <c r="Y68" s="1">
        <v>11</v>
      </c>
      <c r="Z68" s="1">
        <v>0</v>
      </c>
      <c r="AA68" s="1">
        <v>19</v>
      </c>
      <c r="AB68" s="1">
        <v>12</v>
      </c>
      <c r="AC68" s="1">
        <v>7</v>
      </c>
      <c r="AD68" s="1">
        <v>81</v>
      </c>
      <c r="AE68" s="1">
        <v>26</v>
      </c>
      <c r="AF68" s="1">
        <v>55</v>
      </c>
      <c r="AG68" s="1">
        <v>939</v>
      </c>
      <c r="AH68" s="1">
        <v>388</v>
      </c>
    </row>
    <row r="69" spans="1:34" x14ac:dyDescent="0.2">
      <c r="A69" s="1" t="s">
        <v>19</v>
      </c>
      <c r="B69" s="1" t="s">
        <v>32</v>
      </c>
      <c r="C69" s="1" t="s">
        <v>97</v>
      </c>
      <c r="D69" s="2">
        <v>952</v>
      </c>
      <c r="E69" s="2">
        <v>458</v>
      </c>
      <c r="F69" s="1">
        <v>995</v>
      </c>
      <c r="G69" s="1">
        <f t="shared" si="0"/>
        <v>208</v>
      </c>
      <c r="H69" s="1">
        <f t="shared" si="1"/>
        <v>159</v>
      </c>
      <c r="I69" s="8">
        <f t="shared" si="2"/>
        <v>76.442307692307693</v>
      </c>
      <c r="J69" s="1">
        <f t="shared" si="3"/>
        <v>49</v>
      </c>
      <c r="K69" s="8">
        <f t="shared" si="4"/>
        <v>23.557692307692307</v>
      </c>
      <c r="L69" s="1">
        <v>24</v>
      </c>
      <c r="M69" s="1">
        <v>8</v>
      </c>
      <c r="N69" s="1">
        <v>16</v>
      </c>
      <c r="O69" s="1">
        <v>17</v>
      </c>
      <c r="P69" s="1">
        <v>17</v>
      </c>
      <c r="Q69" s="1">
        <v>0</v>
      </c>
      <c r="R69" s="1">
        <v>61</v>
      </c>
      <c r="S69" s="1">
        <v>42</v>
      </c>
      <c r="T69" s="1">
        <v>19</v>
      </c>
      <c r="U69" s="1">
        <v>28</v>
      </c>
      <c r="V69" s="1">
        <v>18</v>
      </c>
      <c r="W69" s="1">
        <v>10</v>
      </c>
      <c r="X69" s="1">
        <v>78</v>
      </c>
      <c r="Y69" s="1">
        <v>74</v>
      </c>
      <c r="Z69" s="1">
        <v>4</v>
      </c>
      <c r="AA69" s="1">
        <v>74</v>
      </c>
      <c r="AB69" s="1">
        <v>59</v>
      </c>
      <c r="AC69" s="1">
        <v>15</v>
      </c>
      <c r="AD69" s="1">
        <v>29</v>
      </c>
      <c r="AE69" s="1">
        <v>25</v>
      </c>
      <c r="AF69" s="1">
        <v>4</v>
      </c>
      <c r="AG69" s="1">
        <v>684</v>
      </c>
      <c r="AH69" s="1">
        <v>348</v>
      </c>
    </row>
    <row r="70" spans="1:34" x14ac:dyDescent="0.2">
      <c r="A70" s="1" t="s">
        <v>19</v>
      </c>
      <c r="B70" s="1" t="s">
        <v>33</v>
      </c>
      <c r="C70" s="1" t="s">
        <v>98</v>
      </c>
      <c r="D70" s="2">
        <v>1138</v>
      </c>
      <c r="E70" s="2">
        <v>475</v>
      </c>
      <c r="F70" s="1">
        <v>993</v>
      </c>
      <c r="G70" s="1">
        <f t="shared" si="0"/>
        <v>141</v>
      </c>
      <c r="H70" s="1">
        <f t="shared" si="1"/>
        <v>63</v>
      </c>
      <c r="I70" s="8">
        <f t="shared" si="2"/>
        <v>44.680851063829785</v>
      </c>
      <c r="J70" s="1">
        <f t="shared" si="3"/>
        <v>78</v>
      </c>
      <c r="K70" s="8">
        <f t="shared" si="4"/>
        <v>55.319148936170215</v>
      </c>
      <c r="L70" s="1">
        <v>24</v>
      </c>
      <c r="M70" s="1">
        <v>0</v>
      </c>
      <c r="N70" s="1">
        <v>24</v>
      </c>
      <c r="O70" s="1">
        <v>8</v>
      </c>
      <c r="P70" s="1">
        <v>0</v>
      </c>
      <c r="Q70" s="1">
        <v>8</v>
      </c>
      <c r="R70" s="1">
        <v>39</v>
      </c>
      <c r="S70" s="1">
        <v>26</v>
      </c>
      <c r="T70" s="1">
        <v>13</v>
      </c>
      <c r="U70" s="1">
        <v>35</v>
      </c>
      <c r="V70" s="1">
        <v>20</v>
      </c>
      <c r="W70" s="1">
        <v>15</v>
      </c>
      <c r="X70" s="1">
        <v>35</v>
      </c>
      <c r="Y70" s="1">
        <v>17</v>
      </c>
      <c r="Z70" s="1">
        <v>18</v>
      </c>
      <c r="AA70" s="1">
        <v>13</v>
      </c>
      <c r="AB70" s="1">
        <v>8</v>
      </c>
      <c r="AC70" s="1">
        <v>5</v>
      </c>
      <c r="AD70" s="1">
        <v>23</v>
      </c>
      <c r="AE70" s="1">
        <v>13</v>
      </c>
      <c r="AF70" s="1">
        <v>10</v>
      </c>
      <c r="AG70" s="1">
        <v>816</v>
      </c>
      <c r="AH70" s="1">
        <v>365</v>
      </c>
    </row>
    <row r="71" spans="1:34" x14ac:dyDescent="0.2">
      <c r="A71" s="1" t="s">
        <v>19</v>
      </c>
      <c r="B71" s="1" t="s">
        <v>34</v>
      </c>
      <c r="C71" s="1" t="s">
        <v>99</v>
      </c>
      <c r="D71" s="2">
        <v>612</v>
      </c>
      <c r="E71" s="2">
        <v>263</v>
      </c>
      <c r="F71" s="1">
        <v>563</v>
      </c>
      <c r="G71" s="1">
        <f t="shared" si="0"/>
        <v>98</v>
      </c>
      <c r="H71" s="1">
        <f t="shared" si="1"/>
        <v>51</v>
      </c>
      <c r="I71" s="8">
        <f t="shared" si="2"/>
        <v>52.04081632653061</v>
      </c>
      <c r="J71" s="1">
        <f t="shared" si="3"/>
        <v>47</v>
      </c>
      <c r="K71" s="8">
        <f t="shared" si="4"/>
        <v>47.95918367346939</v>
      </c>
      <c r="L71" s="1">
        <v>26</v>
      </c>
      <c r="M71" s="1">
        <v>0</v>
      </c>
      <c r="N71" s="1">
        <v>26</v>
      </c>
      <c r="O71" s="1">
        <v>9</v>
      </c>
      <c r="P71" s="1">
        <v>9</v>
      </c>
      <c r="Q71" s="1">
        <v>0</v>
      </c>
      <c r="R71" s="1">
        <v>35</v>
      </c>
      <c r="S71" s="1">
        <v>33</v>
      </c>
      <c r="T71" s="1">
        <v>2</v>
      </c>
      <c r="U71" s="1">
        <v>9</v>
      </c>
      <c r="V71" s="1">
        <v>9</v>
      </c>
      <c r="W71" s="1">
        <v>0</v>
      </c>
      <c r="X71" s="1">
        <v>19</v>
      </c>
      <c r="Y71" s="1">
        <v>0</v>
      </c>
      <c r="Z71" s="1">
        <v>19</v>
      </c>
      <c r="AA71" s="1">
        <v>16</v>
      </c>
      <c r="AB71" s="1">
        <v>16</v>
      </c>
      <c r="AC71" s="1">
        <v>0</v>
      </c>
      <c r="AD71" s="1">
        <v>10</v>
      </c>
      <c r="AE71" s="1">
        <v>10</v>
      </c>
      <c r="AF71" s="1">
        <v>0</v>
      </c>
      <c r="AG71" s="1">
        <v>439</v>
      </c>
      <c r="AH71" s="1">
        <v>206</v>
      </c>
    </row>
    <row r="72" spans="1:34" x14ac:dyDescent="0.2">
      <c r="A72" s="1" t="s">
        <v>20</v>
      </c>
      <c r="B72" s="1" t="s">
        <v>32</v>
      </c>
      <c r="C72" s="1" t="s">
        <v>100</v>
      </c>
      <c r="D72" s="2">
        <v>783</v>
      </c>
      <c r="E72" s="2">
        <v>284</v>
      </c>
      <c r="F72" s="1">
        <v>757</v>
      </c>
      <c r="G72" s="1">
        <f t="shared" si="0"/>
        <v>169</v>
      </c>
      <c r="H72" s="1">
        <f t="shared" si="1"/>
        <v>129</v>
      </c>
      <c r="I72" s="8">
        <f t="shared" si="2"/>
        <v>76.331360946745562</v>
      </c>
      <c r="J72" s="1">
        <f t="shared" si="3"/>
        <v>40</v>
      </c>
      <c r="K72" s="8">
        <f t="shared" si="4"/>
        <v>23.668639053254438</v>
      </c>
      <c r="L72" s="1">
        <v>40</v>
      </c>
      <c r="M72" s="1">
        <v>24</v>
      </c>
      <c r="N72" s="1">
        <v>16</v>
      </c>
      <c r="O72" s="1">
        <v>14</v>
      </c>
      <c r="P72" s="1">
        <v>9</v>
      </c>
      <c r="Q72" s="1">
        <v>5</v>
      </c>
      <c r="R72" s="1">
        <v>46</v>
      </c>
      <c r="S72" s="1">
        <v>42</v>
      </c>
      <c r="T72" s="1">
        <v>4</v>
      </c>
      <c r="U72" s="1">
        <v>30</v>
      </c>
      <c r="V72" s="1">
        <v>15</v>
      </c>
      <c r="W72" s="1">
        <v>15</v>
      </c>
      <c r="X72" s="1">
        <v>39</v>
      </c>
      <c r="Y72" s="1">
        <v>39</v>
      </c>
      <c r="Z72" s="1">
        <v>0</v>
      </c>
      <c r="AA72" s="1">
        <v>19</v>
      </c>
      <c r="AB72" s="1">
        <v>13</v>
      </c>
      <c r="AC72" s="1">
        <v>6</v>
      </c>
      <c r="AD72" s="1">
        <v>28</v>
      </c>
      <c r="AE72" s="1">
        <v>3</v>
      </c>
      <c r="AF72" s="1">
        <v>25</v>
      </c>
      <c r="AG72" s="1">
        <v>541</v>
      </c>
      <c r="AH72" s="1">
        <v>286</v>
      </c>
    </row>
    <row r="73" spans="1:34" x14ac:dyDescent="0.2">
      <c r="A73" s="1" t="s">
        <v>20</v>
      </c>
      <c r="B73" s="1" t="s">
        <v>33</v>
      </c>
      <c r="C73" s="1" t="s">
        <v>101</v>
      </c>
      <c r="D73" s="2">
        <v>1638</v>
      </c>
      <c r="E73" s="2">
        <v>807</v>
      </c>
      <c r="F73" s="1">
        <v>1521</v>
      </c>
      <c r="G73" s="1">
        <f t="shared" si="0"/>
        <v>196</v>
      </c>
      <c r="H73" s="1">
        <f t="shared" si="1"/>
        <v>163</v>
      </c>
      <c r="I73" s="8">
        <f t="shared" si="2"/>
        <v>83.163265306122454</v>
      </c>
      <c r="J73" s="1">
        <f t="shared" si="3"/>
        <v>33</v>
      </c>
      <c r="K73" s="8">
        <f t="shared" si="4"/>
        <v>16.836734693877553</v>
      </c>
      <c r="L73" s="1">
        <v>30</v>
      </c>
      <c r="M73" s="1">
        <v>0</v>
      </c>
      <c r="N73" s="1">
        <v>30</v>
      </c>
      <c r="O73" s="1">
        <v>3</v>
      </c>
      <c r="P73" s="1">
        <v>3</v>
      </c>
      <c r="Q73" s="1">
        <v>0</v>
      </c>
      <c r="R73" s="1">
        <v>42</v>
      </c>
      <c r="S73" s="1">
        <v>42</v>
      </c>
      <c r="T73" s="1">
        <v>0</v>
      </c>
      <c r="U73" s="1">
        <v>49</v>
      </c>
      <c r="V73" s="1">
        <v>49</v>
      </c>
      <c r="W73" s="1">
        <v>0</v>
      </c>
      <c r="X73" s="1">
        <v>72</v>
      </c>
      <c r="Y73" s="1">
        <v>69</v>
      </c>
      <c r="Z73" s="1">
        <v>3</v>
      </c>
      <c r="AA73" s="1">
        <v>60</v>
      </c>
      <c r="AB73" s="1">
        <v>42</v>
      </c>
      <c r="AC73" s="1">
        <v>18</v>
      </c>
      <c r="AD73" s="1">
        <v>31</v>
      </c>
      <c r="AE73" s="1">
        <v>9</v>
      </c>
      <c r="AF73" s="1">
        <v>22</v>
      </c>
      <c r="AG73" s="1">
        <v>1234</v>
      </c>
      <c r="AH73" s="1">
        <v>593</v>
      </c>
    </row>
    <row r="74" spans="1:34" x14ac:dyDescent="0.2">
      <c r="A74" s="1" t="s">
        <v>20</v>
      </c>
      <c r="B74" s="1" t="s">
        <v>34</v>
      </c>
      <c r="C74" s="1" t="s">
        <v>102</v>
      </c>
      <c r="D74" s="2">
        <v>857</v>
      </c>
      <c r="E74" s="2">
        <v>339</v>
      </c>
      <c r="F74" s="1">
        <v>883</v>
      </c>
      <c r="G74" s="1">
        <f t="shared" ref="G74:G115" si="5">+L74+O74+R74+U74+X74</f>
        <v>201</v>
      </c>
      <c r="H74" s="1">
        <f t="shared" ref="H74:H115" si="6">+M74+P74+S74+V74+Y74</f>
        <v>119</v>
      </c>
      <c r="I74" s="8">
        <f t="shared" ref="I74:I115" si="7">+IF(G74&gt;0,100*H74/G74,0)</f>
        <v>59.203980099502488</v>
      </c>
      <c r="J74" s="1">
        <f t="shared" ref="J74:J115" si="8">+N74+Q74+T74+W74+Z74</f>
        <v>82</v>
      </c>
      <c r="K74" s="8">
        <f t="shared" ref="K74:K115" si="9">+IF(G74&gt;0,100*J74/G74,0)</f>
        <v>40.796019900497512</v>
      </c>
      <c r="L74" s="1">
        <v>33</v>
      </c>
      <c r="M74" s="1">
        <v>6</v>
      </c>
      <c r="N74" s="1">
        <v>27</v>
      </c>
      <c r="O74" s="1">
        <v>17</v>
      </c>
      <c r="P74" s="1">
        <v>3</v>
      </c>
      <c r="Q74" s="1">
        <v>14</v>
      </c>
      <c r="R74" s="1">
        <v>57</v>
      </c>
      <c r="S74" s="1">
        <v>41</v>
      </c>
      <c r="T74" s="1">
        <v>16</v>
      </c>
      <c r="U74" s="1">
        <v>65</v>
      </c>
      <c r="V74" s="1">
        <v>40</v>
      </c>
      <c r="W74" s="1">
        <v>25</v>
      </c>
      <c r="X74" s="1">
        <v>29</v>
      </c>
      <c r="Y74" s="1">
        <v>29</v>
      </c>
      <c r="Z74" s="1">
        <v>0</v>
      </c>
      <c r="AA74" s="1">
        <v>24</v>
      </c>
      <c r="AB74" s="1">
        <v>7</v>
      </c>
      <c r="AC74" s="1">
        <v>17</v>
      </c>
      <c r="AD74" s="1">
        <v>42</v>
      </c>
      <c r="AE74" s="1">
        <v>15</v>
      </c>
      <c r="AF74" s="1">
        <v>27</v>
      </c>
      <c r="AG74" s="1">
        <v>616</v>
      </c>
      <c r="AH74" s="1">
        <v>304</v>
      </c>
    </row>
    <row r="75" spans="1:34" x14ac:dyDescent="0.2">
      <c r="A75" s="1" t="s">
        <v>21</v>
      </c>
      <c r="B75" s="1" t="s">
        <v>32</v>
      </c>
      <c r="C75" s="1" t="s">
        <v>103</v>
      </c>
      <c r="D75" s="2">
        <v>2668</v>
      </c>
      <c r="E75" s="2">
        <v>1045</v>
      </c>
      <c r="F75" s="1">
        <v>2507</v>
      </c>
      <c r="G75" s="1">
        <f t="shared" si="5"/>
        <v>461</v>
      </c>
      <c r="H75" s="1">
        <f t="shared" si="6"/>
        <v>442</v>
      </c>
      <c r="I75" s="8">
        <f t="shared" si="7"/>
        <v>95.878524945770067</v>
      </c>
      <c r="J75" s="1">
        <f t="shared" si="8"/>
        <v>19</v>
      </c>
      <c r="K75" s="8">
        <f t="shared" si="9"/>
        <v>4.1214750542299345</v>
      </c>
      <c r="L75" s="1">
        <v>40</v>
      </c>
      <c r="M75" s="1">
        <v>33</v>
      </c>
      <c r="N75" s="1">
        <v>7</v>
      </c>
      <c r="O75" s="1">
        <v>92</v>
      </c>
      <c r="P75" s="1">
        <v>80</v>
      </c>
      <c r="Q75" s="1">
        <v>12</v>
      </c>
      <c r="R75" s="1">
        <v>164</v>
      </c>
      <c r="S75" s="1">
        <v>164</v>
      </c>
      <c r="T75" s="1">
        <v>0</v>
      </c>
      <c r="U75" s="1">
        <v>89</v>
      </c>
      <c r="V75" s="1">
        <v>89</v>
      </c>
      <c r="W75" s="1">
        <v>0</v>
      </c>
      <c r="X75" s="1">
        <v>76</v>
      </c>
      <c r="Y75" s="1">
        <v>76</v>
      </c>
      <c r="Z75" s="1">
        <v>0</v>
      </c>
      <c r="AA75" s="1">
        <v>135</v>
      </c>
      <c r="AB75" s="1">
        <v>110</v>
      </c>
      <c r="AC75" s="1">
        <v>25</v>
      </c>
      <c r="AD75" s="1">
        <v>54</v>
      </c>
      <c r="AE75" s="1">
        <v>7</v>
      </c>
      <c r="AF75" s="1">
        <v>47</v>
      </c>
      <c r="AG75" s="1">
        <v>1857</v>
      </c>
      <c r="AH75" s="1">
        <v>1074</v>
      </c>
    </row>
    <row r="76" spans="1:34" x14ac:dyDescent="0.2">
      <c r="A76" s="1" t="s">
        <v>21</v>
      </c>
      <c r="B76" s="1" t="s">
        <v>33</v>
      </c>
      <c r="C76" s="1" t="s">
        <v>104</v>
      </c>
      <c r="D76" s="2">
        <v>2969</v>
      </c>
      <c r="E76" s="2">
        <v>947</v>
      </c>
      <c r="F76" s="1">
        <v>2852</v>
      </c>
      <c r="G76" s="1">
        <f t="shared" si="5"/>
        <v>550</v>
      </c>
      <c r="H76" s="1">
        <f t="shared" si="6"/>
        <v>531</v>
      </c>
      <c r="I76" s="8">
        <f t="shared" si="7"/>
        <v>96.545454545454547</v>
      </c>
      <c r="J76" s="1">
        <f t="shared" si="8"/>
        <v>19</v>
      </c>
      <c r="K76" s="8">
        <f t="shared" si="9"/>
        <v>3.4545454545454546</v>
      </c>
      <c r="L76" s="1">
        <v>26</v>
      </c>
      <c r="M76" s="1">
        <v>21</v>
      </c>
      <c r="N76" s="1">
        <v>5</v>
      </c>
      <c r="O76" s="1">
        <v>19</v>
      </c>
      <c r="P76" s="1">
        <v>19</v>
      </c>
      <c r="Q76" s="1">
        <v>0</v>
      </c>
      <c r="R76" s="1">
        <v>120</v>
      </c>
      <c r="S76" s="1">
        <v>120</v>
      </c>
      <c r="T76" s="1">
        <v>0</v>
      </c>
      <c r="U76" s="1">
        <v>226</v>
      </c>
      <c r="V76" s="1">
        <v>212</v>
      </c>
      <c r="W76" s="1">
        <v>14</v>
      </c>
      <c r="X76" s="1">
        <v>159</v>
      </c>
      <c r="Y76" s="1">
        <v>159</v>
      </c>
      <c r="Z76" s="1">
        <v>0</v>
      </c>
      <c r="AA76" s="1">
        <v>80</v>
      </c>
      <c r="AB76" s="1">
        <v>44</v>
      </c>
      <c r="AC76" s="1">
        <v>36</v>
      </c>
      <c r="AD76" s="1">
        <v>35</v>
      </c>
      <c r="AE76" s="1">
        <v>7</v>
      </c>
      <c r="AF76" s="1">
        <v>28</v>
      </c>
      <c r="AG76" s="1">
        <v>2187</v>
      </c>
      <c r="AH76" s="1">
        <v>1274</v>
      </c>
    </row>
    <row r="77" spans="1:34" x14ac:dyDescent="0.2">
      <c r="A77" s="1" t="s">
        <v>21</v>
      </c>
      <c r="B77" s="1" t="s">
        <v>34</v>
      </c>
      <c r="C77" s="1" t="s">
        <v>105</v>
      </c>
      <c r="D77" s="2">
        <v>1483</v>
      </c>
      <c r="E77" s="2">
        <v>410</v>
      </c>
      <c r="F77" s="1">
        <v>1344</v>
      </c>
      <c r="G77" s="1">
        <f t="shared" si="5"/>
        <v>410</v>
      </c>
      <c r="H77" s="1">
        <f t="shared" si="6"/>
        <v>390</v>
      </c>
      <c r="I77" s="8">
        <f t="shared" si="7"/>
        <v>95.121951219512198</v>
      </c>
      <c r="J77" s="1">
        <f t="shared" si="8"/>
        <v>20</v>
      </c>
      <c r="K77" s="8">
        <f t="shared" si="9"/>
        <v>4.8780487804878048</v>
      </c>
      <c r="L77" s="1">
        <v>46</v>
      </c>
      <c r="M77" s="1">
        <v>26</v>
      </c>
      <c r="N77" s="1">
        <v>20</v>
      </c>
      <c r="O77" s="1">
        <v>42</v>
      </c>
      <c r="P77" s="1">
        <v>42</v>
      </c>
      <c r="Q77" s="1">
        <v>0</v>
      </c>
      <c r="R77" s="1">
        <v>104</v>
      </c>
      <c r="S77" s="1">
        <v>104</v>
      </c>
      <c r="T77" s="1">
        <v>0</v>
      </c>
      <c r="U77" s="1">
        <v>106</v>
      </c>
      <c r="V77" s="1">
        <v>106</v>
      </c>
      <c r="W77" s="1">
        <v>0</v>
      </c>
      <c r="X77" s="1">
        <v>112</v>
      </c>
      <c r="Y77" s="1">
        <v>112</v>
      </c>
      <c r="Z77" s="1">
        <v>0</v>
      </c>
      <c r="AA77" s="1">
        <v>77</v>
      </c>
      <c r="AB77" s="1">
        <v>70</v>
      </c>
      <c r="AC77" s="1">
        <v>7</v>
      </c>
      <c r="AD77" s="1">
        <v>9</v>
      </c>
      <c r="AE77" s="1">
        <v>0</v>
      </c>
      <c r="AF77" s="1">
        <v>9</v>
      </c>
      <c r="AG77" s="1">
        <v>848</v>
      </c>
      <c r="AH77" s="1">
        <v>488</v>
      </c>
    </row>
    <row r="78" spans="1:34" x14ac:dyDescent="0.2">
      <c r="A78" s="1" t="s">
        <v>22</v>
      </c>
      <c r="B78" s="1" t="s">
        <v>32</v>
      </c>
      <c r="C78" s="1" t="s">
        <v>106</v>
      </c>
      <c r="D78" s="2">
        <v>1419</v>
      </c>
      <c r="E78" s="2">
        <v>629</v>
      </c>
      <c r="F78" s="1">
        <v>1388</v>
      </c>
      <c r="G78" s="1">
        <f t="shared" si="5"/>
        <v>234</v>
      </c>
      <c r="H78" s="1">
        <f t="shared" si="6"/>
        <v>210</v>
      </c>
      <c r="I78" s="8">
        <f t="shared" si="7"/>
        <v>89.743589743589737</v>
      </c>
      <c r="J78" s="1">
        <f t="shared" si="8"/>
        <v>24</v>
      </c>
      <c r="K78" s="8">
        <f t="shared" si="9"/>
        <v>10.256410256410257</v>
      </c>
      <c r="L78" s="1">
        <v>10</v>
      </c>
      <c r="M78" s="1">
        <v>5</v>
      </c>
      <c r="N78" s="1">
        <v>5</v>
      </c>
      <c r="O78" s="1">
        <v>8</v>
      </c>
      <c r="P78" s="1">
        <v>8</v>
      </c>
      <c r="Q78" s="1">
        <v>0</v>
      </c>
      <c r="R78" s="1">
        <v>80</v>
      </c>
      <c r="S78" s="1">
        <v>74</v>
      </c>
      <c r="T78" s="1">
        <v>6</v>
      </c>
      <c r="U78" s="1">
        <v>72</v>
      </c>
      <c r="V78" s="1">
        <v>65</v>
      </c>
      <c r="W78" s="1">
        <v>7</v>
      </c>
      <c r="X78" s="1">
        <v>64</v>
      </c>
      <c r="Y78" s="1">
        <v>58</v>
      </c>
      <c r="Z78" s="1">
        <v>6</v>
      </c>
      <c r="AA78" s="1">
        <v>50</v>
      </c>
      <c r="AB78" s="1">
        <v>36</v>
      </c>
      <c r="AC78" s="1">
        <v>14</v>
      </c>
      <c r="AD78" s="1">
        <v>17</v>
      </c>
      <c r="AE78" s="1">
        <v>0</v>
      </c>
      <c r="AF78" s="1">
        <v>17</v>
      </c>
      <c r="AG78" s="1">
        <v>1087</v>
      </c>
      <c r="AH78" s="1">
        <v>602</v>
      </c>
    </row>
    <row r="79" spans="1:34" x14ac:dyDescent="0.2">
      <c r="A79" s="1" t="s">
        <v>22</v>
      </c>
      <c r="B79" s="1" t="s">
        <v>33</v>
      </c>
      <c r="C79" s="1" t="s">
        <v>107</v>
      </c>
      <c r="D79" s="2">
        <v>1505</v>
      </c>
      <c r="E79" s="2">
        <v>694</v>
      </c>
      <c r="F79" s="1">
        <v>1440</v>
      </c>
      <c r="G79" s="1">
        <f t="shared" si="5"/>
        <v>264</v>
      </c>
      <c r="H79" s="1">
        <f t="shared" si="6"/>
        <v>241</v>
      </c>
      <c r="I79" s="8">
        <f t="shared" si="7"/>
        <v>91.287878787878782</v>
      </c>
      <c r="J79" s="1">
        <f t="shared" si="8"/>
        <v>23</v>
      </c>
      <c r="K79" s="8">
        <f t="shared" si="9"/>
        <v>8.7121212121212128</v>
      </c>
      <c r="L79" s="1">
        <v>46</v>
      </c>
      <c r="M79" s="1">
        <v>38</v>
      </c>
      <c r="N79" s="1">
        <v>8</v>
      </c>
      <c r="O79" s="1">
        <v>7</v>
      </c>
      <c r="P79" s="1">
        <v>7</v>
      </c>
      <c r="Q79" s="1">
        <v>0</v>
      </c>
      <c r="R79" s="1">
        <v>73</v>
      </c>
      <c r="S79" s="1">
        <v>73</v>
      </c>
      <c r="T79" s="1">
        <v>0</v>
      </c>
      <c r="U79" s="1">
        <v>57</v>
      </c>
      <c r="V79" s="1">
        <v>52</v>
      </c>
      <c r="W79" s="1">
        <v>5</v>
      </c>
      <c r="X79" s="1">
        <v>81</v>
      </c>
      <c r="Y79" s="1">
        <v>71</v>
      </c>
      <c r="Z79" s="1">
        <v>10</v>
      </c>
      <c r="AA79" s="1">
        <v>76</v>
      </c>
      <c r="AB79" s="1">
        <v>71</v>
      </c>
      <c r="AC79" s="1">
        <v>5</v>
      </c>
      <c r="AD79" s="1">
        <v>22</v>
      </c>
      <c r="AE79" s="1">
        <v>16</v>
      </c>
      <c r="AF79" s="1">
        <v>6</v>
      </c>
      <c r="AG79" s="1">
        <v>1078</v>
      </c>
      <c r="AH79" s="1">
        <v>560</v>
      </c>
    </row>
    <row r="80" spans="1:34" x14ac:dyDescent="0.2">
      <c r="A80" s="1" t="s">
        <v>23</v>
      </c>
      <c r="B80" s="1" t="s">
        <v>32</v>
      </c>
      <c r="C80" s="1" t="s">
        <v>108</v>
      </c>
      <c r="D80" s="2">
        <v>863</v>
      </c>
      <c r="E80" s="2">
        <v>360</v>
      </c>
      <c r="F80" s="1">
        <v>800</v>
      </c>
      <c r="G80" s="1">
        <f t="shared" si="5"/>
        <v>126</v>
      </c>
      <c r="H80" s="1">
        <f t="shared" si="6"/>
        <v>70</v>
      </c>
      <c r="I80" s="8">
        <f t="shared" si="7"/>
        <v>55.555555555555557</v>
      </c>
      <c r="J80" s="1">
        <f t="shared" si="8"/>
        <v>56</v>
      </c>
      <c r="K80" s="8">
        <f t="shared" si="9"/>
        <v>44.444444444444443</v>
      </c>
      <c r="L80" s="1">
        <v>21</v>
      </c>
      <c r="M80" s="1">
        <v>3</v>
      </c>
      <c r="N80" s="1">
        <v>18</v>
      </c>
      <c r="O80" s="1">
        <v>28</v>
      </c>
      <c r="P80" s="1">
        <v>17</v>
      </c>
      <c r="Q80" s="1">
        <v>11</v>
      </c>
      <c r="R80" s="1">
        <v>51</v>
      </c>
      <c r="S80" s="1">
        <v>24</v>
      </c>
      <c r="T80" s="1">
        <v>27</v>
      </c>
      <c r="U80" s="1">
        <v>14</v>
      </c>
      <c r="V80" s="1">
        <v>14</v>
      </c>
      <c r="W80" s="1">
        <v>0</v>
      </c>
      <c r="X80" s="1">
        <v>12</v>
      </c>
      <c r="Y80" s="1">
        <v>12</v>
      </c>
      <c r="Z80" s="1">
        <v>0</v>
      </c>
      <c r="AA80" s="1">
        <v>20</v>
      </c>
      <c r="AB80" s="1">
        <v>20</v>
      </c>
      <c r="AC80" s="1">
        <v>0</v>
      </c>
      <c r="AD80" s="1">
        <v>13</v>
      </c>
      <c r="AE80" s="1">
        <v>8</v>
      </c>
      <c r="AF80" s="1">
        <v>5</v>
      </c>
      <c r="AG80" s="1">
        <v>641</v>
      </c>
      <c r="AH80" s="1">
        <v>273</v>
      </c>
    </row>
    <row r="81" spans="1:34" x14ac:dyDescent="0.2">
      <c r="A81" s="1" t="s">
        <v>23</v>
      </c>
      <c r="B81" s="1" t="s">
        <v>33</v>
      </c>
      <c r="C81" s="1" t="s">
        <v>109</v>
      </c>
      <c r="D81" s="2">
        <v>1014</v>
      </c>
      <c r="E81" s="2">
        <v>476</v>
      </c>
      <c r="F81" s="1">
        <v>985</v>
      </c>
      <c r="G81" s="1">
        <f t="shared" si="5"/>
        <v>138</v>
      </c>
      <c r="H81" s="1">
        <f t="shared" si="6"/>
        <v>131</v>
      </c>
      <c r="I81" s="8">
        <f t="shared" si="7"/>
        <v>94.927536231884062</v>
      </c>
      <c r="J81" s="1">
        <f t="shared" si="8"/>
        <v>7</v>
      </c>
      <c r="K81" s="8">
        <f t="shared" si="9"/>
        <v>5.0724637681159424</v>
      </c>
      <c r="L81" s="1">
        <v>14</v>
      </c>
      <c r="M81" s="1">
        <v>7</v>
      </c>
      <c r="N81" s="1">
        <v>7</v>
      </c>
      <c r="O81" s="1">
        <v>6</v>
      </c>
      <c r="P81" s="1">
        <v>6</v>
      </c>
      <c r="Q81" s="1">
        <v>0</v>
      </c>
      <c r="R81" s="1">
        <v>26</v>
      </c>
      <c r="S81" s="1">
        <v>26</v>
      </c>
      <c r="T81" s="1">
        <v>0</v>
      </c>
      <c r="U81" s="1">
        <v>74</v>
      </c>
      <c r="V81" s="1">
        <v>74</v>
      </c>
      <c r="W81" s="1">
        <v>0</v>
      </c>
      <c r="X81" s="1">
        <v>18</v>
      </c>
      <c r="Y81" s="1">
        <v>18</v>
      </c>
      <c r="Z81" s="1">
        <v>0</v>
      </c>
      <c r="AA81" s="1">
        <v>0</v>
      </c>
      <c r="AB81" s="1">
        <v>0</v>
      </c>
      <c r="AC81" s="1">
        <v>0</v>
      </c>
      <c r="AD81" s="1">
        <v>42</v>
      </c>
      <c r="AE81" s="1">
        <v>42</v>
      </c>
      <c r="AF81" s="1">
        <v>0</v>
      </c>
      <c r="AG81" s="1">
        <v>805</v>
      </c>
      <c r="AH81" s="1">
        <v>370</v>
      </c>
    </row>
    <row r="82" spans="1:34" x14ac:dyDescent="0.2">
      <c r="A82" s="1" t="s">
        <v>23</v>
      </c>
      <c r="B82" s="1" t="s">
        <v>34</v>
      </c>
      <c r="C82" s="1" t="s">
        <v>110</v>
      </c>
      <c r="D82" s="2">
        <v>522</v>
      </c>
      <c r="E82" s="2">
        <v>307</v>
      </c>
      <c r="F82" s="1">
        <v>488</v>
      </c>
      <c r="G82" s="1">
        <f t="shared" si="5"/>
        <v>25</v>
      </c>
      <c r="H82" s="1">
        <f t="shared" si="6"/>
        <v>25</v>
      </c>
      <c r="I82" s="8">
        <f t="shared" si="7"/>
        <v>100</v>
      </c>
      <c r="J82" s="1">
        <f t="shared" si="8"/>
        <v>0</v>
      </c>
      <c r="K82" s="8">
        <f t="shared" si="9"/>
        <v>0</v>
      </c>
      <c r="L82" s="1">
        <v>0</v>
      </c>
      <c r="M82" s="1">
        <v>0</v>
      </c>
      <c r="N82" s="1">
        <v>0</v>
      </c>
      <c r="O82" s="1">
        <v>13</v>
      </c>
      <c r="P82" s="1">
        <v>13</v>
      </c>
      <c r="Q82" s="1">
        <v>0</v>
      </c>
      <c r="R82" s="1">
        <v>0</v>
      </c>
      <c r="S82" s="1">
        <v>0</v>
      </c>
      <c r="T82" s="1">
        <v>0</v>
      </c>
      <c r="U82" s="1">
        <v>7</v>
      </c>
      <c r="V82" s="1">
        <v>7</v>
      </c>
      <c r="W82" s="1">
        <v>0</v>
      </c>
      <c r="X82" s="1">
        <v>5</v>
      </c>
      <c r="Y82" s="1">
        <v>5</v>
      </c>
      <c r="Z82" s="1">
        <v>0</v>
      </c>
      <c r="AA82" s="1">
        <v>0</v>
      </c>
      <c r="AB82" s="1">
        <v>0</v>
      </c>
      <c r="AC82" s="1">
        <v>0</v>
      </c>
      <c r="AD82" s="1">
        <v>23</v>
      </c>
      <c r="AE82" s="1">
        <v>0</v>
      </c>
      <c r="AF82" s="1">
        <v>23</v>
      </c>
      <c r="AG82" s="1">
        <v>440</v>
      </c>
      <c r="AH82" s="1">
        <v>199</v>
      </c>
    </row>
    <row r="83" spans="1:34" x14ac:dyDescent="0.2">
      <c r="A83" s="1" t="s">
        <v>23</v>
      </c>
      <c r="B83" s="1" t="s">
        <v>35</v>
      </c>
      <c r="C83" s="1" t="s">
        <v>111</v>
      </c>
      <c r="D83" s="2">
        <v>635</v>
      </c>
      <c r="E83" s="2">
        <v>343</v>
      </c>
      <c r="F83" s="1">
        <v>620</v>
      </c>
      <c r="G83" s="1">
        <f t="shared" si="5"/>
        <v>43</v>
      </c>
      <c r="H83" s="1">
        <f t="shared" si="6"/>
        <v>38</v>
      </c>
      <c r="I83" s="8">
        <f t="shared" si="7"/>
        <v>88.372093023255815</v>
      </c>
      <c r="J83" s="1">
        <f t="shared" si="8"/>
        <v>5</v>
      </c>
      <c r="K83" s="8">
        <f t="shared" si="9"/>
        <v>11.627906976744185</v>
      </c>
      <c r="L83" s="1">
        <v>5</v>
      </c>
      <c r="M83" s="1">
        <v>5</v>
      </c>
      <c r="N83" s="1">
        <v>0</v>
      </c>
      <c r="O83" s="1">
        <v>5</v>
      </c>
      <c r="P83" s="1">
        <v>0</v>
      </c>
      <c r="Q83" s="1">
        <v>5</v>
      </c>
      <c r="R83" s="1">
        <v>5</v>
      </c>
      <c r="S83" s="1">
        <v>5</v>
      </c>
      <c r="T83" s="1">
        <v>0</v>
      </c>
      <c r="U83" s="1">
        <v>7</v>
      </c>
      <c r="V83" s="1">
        <v>7</v>
      </c>
      <c r="W83" s="1">
        <v>0</v>
      </c>
      <c r="X83" s="1">
        <v>21</v>
      </c>
      <c r="Y83" s="1">
        <v>21</v>
      </c>
      <c r="Z83" s="1">
        <v>0</v>
      </c>
      <c r="AA83" s="1">
        <v>64</v>
      </c>
      <c r="AB83" s="1">
        <v>42</v>
      </c>
      <c r="AC83" s="1">
        <v>22</v>
      </c>
      <c r="AD83" s="1">
        <v>39</v>
      </c>
      <c r="AE83" s="1">
        <v>18</v>
      </c>
      <c r="AF83" s="1">
        <v>21</v>
      </c>
      <c r="AG83" s="1">
        <v>474</v>
      </c>
      <c r="AH83" s="1">
        <v>236</v>
      </c>
    </row>
    <row r="84" spans="1:34" x14ac:dyDescent="0.2">
      <c r="A84" s="1" t="s">
        <v>24</v>
      </c>
      <c r="B84" s="1" t="s">
        <v>32</v>
      </c>
      <c r="C84" s="1" t="s">
        <v>112</v>
      </c>
      <c r="D84" s="2">
        <v>1106</v>
      </c>
      <c r="E84" s="2">
        <v>523</v>
      </c>
      <c r="F84" s="1">
        <v>940</v>
      </c>
      <c r="G84" s="1">
        <f t="shared" si="5"/>
        <v>136</v>
      </c>
      <c r="H84" s="1">
        <f t="shared" si="6"/>
        <v>86</v>
      </c>
      <c r="I84" s="8">
        <f t="shared" si="7"/>
        <v>63.235294117647058</v>
      </c>
      <c r="J84" s="1">
        <f t="shared" si="8"/>
        <v>50</v>
      </c>
      <c r="K84" s="8">
        <f t="shared" si="9"/>
        <v>36.764705882352942</v>
      </c>
      <c r="L84" s="1">
        <v>28</v>
      </c>
      <c r="M84" s="1">
        <v>5</v>
      </c>
      <c r="N84" s="1">
        <v>23</v>
      </c>
      <c r="O84" s="1">
        <v>15</v>
      </c>
      <c r="P84" s="1">
        <v>12</v>
      </c>
      <c r="Q84" s="1">
        <v>3</v>
      </c>
      <c r="R84" s="1">
        <v>33</v>
      </c>
      <c r="S84" s="1">
        <v>17</v>
      </c>
      <c r="T84" s="1">
        <v>16</v>
      </c>
      <c r="U84" s="1">
        <v>48</v>
      </c>
      <c r="V84" s="1">
        <v>40</v>
      </c>
      <c r="W84" s="1">
        <v>8</v>
      </c>
      <c r="X84" s="1">
        <v>12</v>
      </c>
      <c r="Y84" s="1">
        <v>12</v>
      </c>
      <c r="Z84" s="1">
        <v>0</v>
      </c>
      <c r="AA84" s="1">
        <v>32</v>
      </c>
      <c r="AB84" s="1">
        <v>32</v>
      </c>
      <c r="AC84" s="1">
        <v>0</v>
      </c>
      <c r="AD84" s="1">
        <v>24</v>
      </c>
      <c r="AE84" s="1">
        <v>12</v>
      </c>
      <c r="AF84" s="1">
        <v>12</v>
      </c>
      <c r="AG84" s="1">
        <v>748</v>
      </c>
      <c r="AH84" s="1">
        <v>357</v>
      </c>
    </row>
    <row r="85" spans="1:34" x14ac:dyDescent="0.2">
      <c r="A85" s="1" t="s">
        <v>24</v>
      </c>
      <c r="B85" s="1" t="s">
        <v>33</v>
      </c>
      <c r="C85" s="1" t="s">
        <v>113</v>
      </c>
      <c r="D85" s="2">
        <v>1153</v>
      </c>
      <c r="E85" s="2">
        <v>552</v>
      </c>
      <c r="F85" s="1">
        <v>1253</v>
      </c>
      <c r="G85" s="1">
        <f t="shared" si="5"/>
        <v>225</v>
      </c>
      <c r="H85" s="1">
        <f t="shared" si="6"/>
        <v>175</v>
      </c>
      <c r="I85" s="8">
        <f t="shared" si="7"/>
        <v>77.777777777777771</v>
      </c>
      <c r="J85" s="1">
        <f t="shared" si="8"/>
        <v>50</v>
      </c>
      <c r="K85" s="8">
        <f t="shared" si="9"/>
        <v>22.222222222222221</v>
      </c>
      <c r="L85" s="1">
        <v>5</v>
      </c>
      <c r="M85" s="1">
        <v>5</v>
      </c>
      <c r="N85" s="1">
        <v>0</v>
      </c>
      <c r="O85" s="1">
        <v>46</v>
      </c>
      <c r="P85" s="1">
        <v>26</v>
      </c>
      <c r="Q85" s="1">
        <v>20</v>
      </c>
      <c r="R85" s="1">
        <v>90</v>
      </c>
      <c r="S85" s="1">
        <v>81</v>
      </c>
      <c r="T85" s="1">
        <v>9</v>
      </c>
      <c r="U85" s="1">
        <v>34</v>
      </c>
      <c r="V85" s="1">
        <v>20</v>
      </c>
      <c r="W85" s="1">
        <v>14</v>
      </c>
      <c r="X85" s="1">
        <v>50</v>
      </c>
      <c r="Y85" s="1">
        <v>43</v>
      </c>
      <c r="Z85" s="1">
        <v>7</v>
      </c>
      <c r="AA85" s="1">
        <v>29</v>
      </c>
      <c r="AB85" s="1">
        <v>23</v>
      </c>
      <c r="AC85" s="1">
        <v>6</v>
      </c>
      <c r="AD85" s="1">
        <v>62</v>
      </c>
      <c r="AE85" s="1">
        <v>39</v>
      </c>
      <c r="AF85" s="1">
        <v>23</v>
      </c>
      <c r="AG85" s="1">
        <v>937</v>
      </c>
      <c r="AH85" s="1">
        <v>448</v>
      </c>
    </row>
    <row r="86" spans="1:34" x14ac:dyDescent="0.2">
      <c r="A86" s="1" t="s">
        <v>24</v>
      </c>
      <c r="B86" s="1" t="s">
        <v>34</v>
      </c>
      <c r="C86" s="1" t="s">
        <v>114</v>
      </c>
      <c r="D86" s="2">
        <v>689</v>
      </c>
      <c r="E86" s="2">
        <v>337</v>
      </c>
      <c r="F86" s="1">
        <v>667</v>
      </c>
      <c r="G86" s="1">
        <f t="shared" si="5"/>
        <v>98</v>
      </c>
      <c r="H86" s="1">
        <f t="shared" si="6"/>
        <v>79</v>
      </c>
      <c r="I86" s="8">
        <f t="shared" si="7"/>
        <v>80.612244897959187</v>
      </c>
      <c r="J86" s="1">
        <f t="shared" si="8"/>
        <v>19</v>
      </c>
      <c r="K86" s="8">
        <f t="shared" si="9"/>
        <v>19.387755102040817</v>
      </c>
      <c r="L86" s="1">
        <v>19</v>
      </c>
      <c r="M86" s="1">
        <v>0</v>
      </c>
      <c r="N86" s="1">
        <v>19</v>
      </c>
      <c r="O86" s="1">
        <v>0</v>
      </c>
      <c r="P86" s="1">
        <v>0</v>
      </c>
      <c r="Q86" s="1">
        <v>0</v>
      </c>
      <c r="R86" s="1">
        <v>7</v>
      </c>
      <c r="S86" s="1">
        <v>7</v>
      </c>
      <c r="T86" s="1">
        <v>0</v>
      </c>
      <c r="U86" s="1">
        <v>30</v>
      </c>
      <c r="V86" s="1">
        <v>30</v>
      </c>
      <c r="W86" s="1">
        <v>0</v>
      </c>
      <c r="X86" s="1">
        <v>42</v>
      </c>
      <c r="Y86" s="1">
        <v>42</v>
      </c>
      <c r="Z86" s="1">
        <v>0</v>
      </c>
      <c r="AA86" s="1">
        <v>27</v>
      </c>
      <c r="AB86" s="1">
        <v>17</v>
      </c>
      <c r="AC86" s="1">
        <v>10</v>
      </c>
      <c r="AD86" s="1">
        <v>20</v>
      </c>
      <c r="AE86" s="1">
        <v>11</v>
      </c>
      <c r="AF86" s="1">
        <v>9</v>
      </c>
      <c r="AG86" s="1">
        <v>522</v>
      </c>
      <c r="AH86" s="1">
        <v>214</v>
      </c>
    </row>
    <row r="87" spans="1:34" x14ac:dyDescent="0.2">
      <c r="A87" s="1" t="s">
        <v>24</v>
      </c>
      <c r="B87" s="1" t="s">
        <v>35</v>
      </c>
      <c r="C87" s="1" t="s">
        <v>115</v>
      </c>
      <c r="D87" s="2">
        <v>843</v>
      </c>
      <c r="E87" s="2">
        <v>446</v>
      </c>
      <c r="F87" s="1">
        <v>750</v>
      </c>
      <c r="G87" s="1">
        <f t="shared" si="5"/>
        <v>59</v>
      </c>
      <c r="H87" s="1">
        <f t="shared" si="6"/>
        <v>42</v>
      </c>
      <c r="I87" s="8">
        <f t="shared" si="7"/>
        <v>71.186440677966104</v>
      </c>
      <c r="J87" s="1">
        <f t="shared" si="8"/>
        <v>17</v>
      </c>
      <c r="K87" s="8">
        <f t="shared" si="9"/>
        <v>28.8135593220339</v>
      </c>
      <c r="L87" s="1">
        <v>0</v>
      </c>
      <c r="M87" s="1">
        <v>0</v>
      </c>
      <c r="N87" s="1">
        <v>0</v>
      </c>
      <c r="O87" s="1">
        <v>5</v>
      </c>
      <c r="P87" s="1">
        <v>5</v>
      </c>
      <c r="Q87" s="1">
        <v>0</v>
      </c>
      <c r="R87" s="1">
        <v>8</v>
      </c>
      <c r="S87" s="1">
        <v>0</v>
      </c>
      <c r="T87" s="1">
        <v>8</v>
      </c>
      <c r="U87" s="1">
        <v>25</v>
      </c>
      <c r="V87" s="1">
        <v>19</v>
      </c>
      <c r="W87" s="1">
        <v>6</v>
      </c>
      <c r="X87" s="1">
        <v>21</v>
      </c>
      <c r="Y87" s="1">
        <v>18</v>
      </c>
      <c r="Z87" s="1">
        <v>3</v>
      </c>
      <c r="AA87" s="1">
        <v>15</v>
      </c>
      <c r="AB87" s="1">
        <v>15</v>
      </c>
      <c r="AC87" s="1">
        <v>0</v>
      </c>
      <c r="AD87" s="1">
        <v>19</v>
      </c>
      <c r="AE87" s="1">
        <v>5</v>
      </c>
      <c r="AF87" s="1">
        <v>14</v>
      </c>
      <c r="AG87" s="1">
        <v>657</v>
      </c>
      <c r="AH87" s="1">
        <v>317</v>
      </c>
    </row>
    <row r="88" spans="1:34" x14ac:dyDescent="0.2">
      <c r="A88" s="1" t="s">
        <v>25</v>
      </c>
      <c r="B88" s="1" t="s">
        <v>32</v>
      </c>
      <c r="C88" s="1" t="s">
        <v>116</v>
      </c>
      <c r="D88" s="2">
        <v>1261</v>
      </c>
      <c r="E88" s="2">
        <v>387</v>
      </c>
      <c r="F88" s="1">
        <v>1236</v>
      </c>
      <c r="G88" s="1">
        <f t="shared" si="5"/>
        <v>220</v>
      </c>
      <c r="H88" s="1">
        <f t="shared" si="6"/>
        <v>119</v>
      </c>
      <c r="I88" s="8">
        <f t="shared" si="7"/>
        <v>54.090909090909093</v>
      </c>
      <c r="J88" s="1">
        <f t="shared" si="8"/>
        <v>101</v>
      </c>
      <c r="K88" s="8">
        <f t="shared" si="9"/>
        <v>45.909090909090907</v>
      </c>
      <c r="L88" s="1">
        <v>19</v>
      </c>
      <c r="M88" s="1">
        <v>0</v>
      </c>
      <c r="N88" s="1">
        <v>19</v>
      </c>
      <c r="O88" s="1">
        <v>0</v>
      </c>
      <c r="P88" s="1">
        <v>0</v>
      </c>
      <c r="Q88" s="1">
        <v>0</v>
      </c>
      <c r="R88" s="1">
        <v>54</v>
      </c>
      <c r="S88" s="1">
        <v>24</v>
      </c>
      <c r="T88" s="1">
        <v>30</v>
      </c>
      <c r="U88" s="1">
        <v>88</v>
      </c>
      <c r="V88" s="1">
        <v>50</v>
      </c>
      <c r="W88" s="1">
        <v>38</v>
      </c>
      <c r="X88" s="1">
        <v>59</v>
      </c>
      <c r="Y88" s="1">
        <v>45</v>
      </c>
      <c r="Z88" s="1">
        <v>14</v>
      </c>
      <c r="AA88" s="1">
        <v>4</v>
      </c>
      <c r="AB88" s="1">
        <v>4</v>
      </c>
      <c r="AC88" s="1">
        <v>0</v>
      </c>
      <c r="AD88" s="1">
        <v>29</v>
      </c>
      <c r="AE88" s="1">
        <v>5</v>
      </c>
      <c r="AF88" s="1">
        <v>24</v>
      </c>
      <c r="AG88" s="1">
        <v>983</v>
      </c>
      <c r="AH88" s="1">
        <v>475</v>
      </c>
    </row>
    <row r="89" spans="1:34" x14ac:dyDescent="0.2">
      <c r="A89" s="1" t="s">
        <v>25</v>
      </c>
      <c r="B89" s="1" t="s">
        <v>33</v>
      </c>
      <c r="C89" s="1" t="s">
        <v>117</v>
      </c>
      <c r="D89" s="2">
        <v>992</v>
      </c>
      <c r="E89" s="2">
        <v>433</v>
      </c>
      <c r="F89" s="1">
        <v>916</v>
      </c>
      <c r="G89" s="1">
        <f t="shared" si="5"/>
        <v>144</v>
      </c>
      <c r="H89" s="1">
        <f t="shared" si="6"/>
        <v>50</v>
      </c>
      <c r="I89" s="8">
        <f t="shared" si="7"/>
        <v>34.722222222222221</v>
      </c>
      <c r="J89" s="1">
        <f t="shared" si="8"/>
        <v>94</v>
      </c>
      <c r="K89" s="8">
        <f t="shared" si="9"/>
        <v>65.277777777777771</v>
      </c>
      <c r="L89" s="1">
        <v>16</v>
      </c>
      <c r="M89" s="1">
        <v>0</v>
      </c>
      <c r="N89" s="1">
        <v>16</v>
      </c>
      <c r="O89" s="1">
        <v>11</v>
      </c>
      <c r="P89" s="1">
        <v>0</v>
      </c>
      <c r="Q89" s="1">
        <v>11</v>
      </c>
      <c r="R89" s="1">
        <v>82</v>
      </c>
      <c r="S89" s="1">
        <v>31</v>
      </c>
      <c r="T89" s="1">
        <v>51</v>
      </c>
      <c r="U89" s="1">
        <v>16</v>
      </c>
      <c r="V89" s="1">
        <v>0</v>
      </c>
      <c r="W89" s="1">
        <v>16</v>
      </c>
      <c r="X89" s="1">
        <v>19</v>
      </c>
      <c r="Y89" s="1">
        <v>19</v>
      </c>
      <c r="Z89" s="1">
        <v>0</v>
      </c>
      <c r="AA89" s="1">
        <v>10</v>
      </c>
      <c r="AB89" s="1">
        <v>10</v>
      </c>
      <c r="AC89" s="1">
        <v>0</v>
      </c>
      <c r="AD89" s="1">
        <v>24</v>
      </c>
      <c r="AE89" s="1">
        <v>7</v>
      </c>
      <c r="AF89" s="1">
        <v>17</v>
      </c>
      <c r="AG89" s="1">
        <v>738</v>
      </c>
      <c r="AH89" s="1">
        <v>360</v>
      </c>
    </row>
    <row r="90" spans="1:34" x14ac:dyDescent="0.2">
      <c r="A90" s="1" t="s">
        <v>25</v>
      </c>
      <c r="B90" s="1" t="s">
        <v>34</v>
      </c>
      <c r="C90" s="1" t="s">
        <v>118</v>
      </c>
      <c r="D90" s="2">
        <v>1192</v>
      </c>
      <c r="E90" s="2">
        <v>616</v>
      </c>
      <c r="F90" s="1">
        <v>1134</v>
      </c>
      <c r="G90" s="1">
        <f t="shared" si="5"/>
        <v>100</v>
      </c>
      <c r="H90" s="1">
        <f t="shared" si="6"/>
        <v>26</v>
      </c>
      <c r="I90" s="8">
        <f t="shared" si="7"/>
        <v>26</v>
      </c>
      <c r="J90" s="1">
        <f t="shared" si="8"/>
        <v>74</v>
      </c>
      <c r="K90" s="8">
        <f t="shared" si="9"/>
        <v>74</v>
      </c>
      <c r="L90" s="1">
        <v>35</v>
      </c>
      <c r="M90" s="1">
        <v>0</v>
      </c>
      <c r="N90" s="1">
        <v>35</v>
      </c>
      <c r="O90" s="1">
        <v>9</v>
      </c>
      <c r="P90" s="1">
        <v>9</v>
      </c>
      <c r="Q90" s="1">
        <v>0</v>
      </c>
      <c r="R90" s="1">
        <v>22</v>
      </c>
      <c r="S90" s="1">
        <v>4</v>
      </c>
      <c r="T90" s="1">
        <v>18</v>
      </c>
      <c r="U90" s="1">
        <v>30</v>
      </c>
      <c r="V90" s="1">
        <v>9</v>
      </c>
      <c r="W90" s="1">
        <v>21</v>
      </c>
      <c r="X90" s="1">
        <v>4</v>
      </c>
      <c r="Y90" s="1">
        <v>4</v>
      </c>
      <c r="Z90" s="1">
        <v>0</v>
      </c>
      <c r="AA90" s="1">
        <v>21</v>
      </c>
      <c r="AB90" s="1">
        <v>16</v>
      </c>
      <c r="AC90" s="1">
        <v>5</v>
      </c>
      <c r="AD90" s="1">
        <v>102</v>
      </c>
      <c r="AE90" s="1">
        <v>49</v>
      </c>
      <c r="AF90" s="1">
        <v>53</v>
      </c>
      <c r="AG90" s="1">
        <v>911</v>
      </c>
      <c r="AH90" s="1">
        <v>409</v>
      </c>
    </row>
    <row r="91" spans="1:34" x14ac:dyDescent="0.2">
      <c r="A91" s="1" t="s">
        <v>26</v>
      </c>
      <c r="B91" s="1" t="s">
        <v>32</v>
      </c>
      <c r="C91" s="1" t="s">
        <v>119</v>
      </c>
      <c r="D91" s="2">
        <v>1423</v>
      </c>
      <c r="E91" s="2">
        <v>790</v>
      </c>
      <c r="F91" s="1">
        <v>1370</v>
      </c>
      <c r="G91" s="1">
        <f t="shared" si="5"/>
        <v>148</v>
      </c>
      <c r="H91" s="1">
        <f t="shared" si="6"/>
        <v>148</v>
      </c>
      <c r="I91" s="8">
        <f t="shared" si="7"/>
        <v>100</v>
      </c>
      <c r="J91" s="1">
        <f t="shared" si="8"/>
        <v>0</v>
      </c>
      <c r="K91" s="8">
        <f t="shared" si="9"/>
        <v>0</v>
      </c>
      <c r="L91" s="1">
        <v>21</v>
      </c>
      <c r="M91" s="1">
        <v>21</v>
      </c>
      <c r="N91" s="1">
        <v>0</v>
      </c>
      <c r="O91" s="1">
        <v>25</v>
      </c>
      <c r="P91" s="1">
        <v>25</v>
      </c>
      <c r="Q91" s="1">
        <v>0</v>
      </c>
      <c r="R91" s="1">
        <v>22</v>
      </c>
      <c r="S91" s="1">
        <v>22</v>
      </c>
      <c r="T91" s="1">
        <v>0</v>
      </c>
      <c r="U91" s="1">
        <v>38</v>
      </c>
      <c r="V91" s="1">
        <v>38</v>
      </c>
      <c r="W91" s="1">
        <v>0</v>
      </c>
      <c r="X91" s="1">
        <v>42</v>
      </c>
      <c r="Y91" s="1">
        <v>42</v>
      </c>
      <c r="Z91" s="1">
        <v>0</v>
      </c>
      <c r="AA91" s="1">
        <v>34</v>
      </c>
      <c r="AB91" s="1">
        <v>17</v>
      </c>
      <c r="AC91" s="1">
        <v>17</v>
      </c>
      <c r="AD91" s="1">
        <v>87</v>
      </c>
      <c r="AE91" s="1">
        <v>26</v>
      </c>
      <c r="AF91" s="1">
        <v>61</v>
      </c>
      <c r="AG91" s="1">
        <v>1101</v>
      </c>
      <c r="AH91" s="1">
        <v>545</v>
      </c>
    </row>
    <row r="92" spans="1:34" x14ac:dyDescent="0.2">
      <c r="A92" s="1" t="s">
        <v>26</v>
      </c>
      <c r="B92" s="1" t="s">
        <v>33</v>
      </c>
      <c r="C92" s="1" t="s">
        <v>120</v>
      </c>
      <c r="D92" s="2">
        <v>951</v>
      </c>
      <c r="E92" s="2">
        <v>345</v>
      </c>
      <c r="F92" s="1">
        <v>1073</v>
      </c>
      <c r="G92" s="1">
        <f t="shared" si="5"/>
        <v>370</v>
      </c>
      <c r="H92" s="1">
        <f t="shared" si="6"/>
        <v>340</v>
      </c>
      <c r="I92" s="8">
        <f t="shared" si="7"/>
        <v>91.891891891891888</v>
      </c>
      <c r="J92" s="1">
        <f t="shared" si="8"/>
        <v>30</v>
      </c>
      <c r="K92" s="8">
        <f t="shared" si="9"/>
        <v>8.1081081081081088</v>
      </c>
      <c r="L92" s="1">
        <v>13</v>
      </c>
      <c r="M92" s="1">
        <v>7</v>
      </c>
      <c r="N92" s="1">
        <v>6</v>
      </c>
      <c r="O92" s="1">
        <v>66</v>
      </c>
      <c r="P92" s="1">
        <v>66</v>
      </c>
      <c r="Q92" s="1">
        <v>0</v>
      </c>
      <c r="R92" s="1">
        <v>134</v>
      </c>
      <c r="S92" s="1">
        <v>110</v>
      </c>
      <c r="T92" s="1">
        <v>24</v>
      </c>
      <c r="U92" s="1">
        <v>106</v>
      </c>
      <c r="V92" s="1">
        <v>106</v>
      </c>
      <c r="W92" s="1">
        <v>0</v>
      </c>
      <c r="X92" s="1">
        <v>51</v>
      </c>
      <c r="Y92" s="1">
        <v>51</v>
      </c>
      <c r="Z92" s="1">
        <v>0</v>
      </c>
      <c r="AA92" s="1">
        <v>42</v>
      </c>
      <c r="AB92" s="1">
        <v>33</v>
      </c>
      <c r="AC92" s="1">
        <v>9</v>
      </c>
      <c r="AD92" s="1">
        <v>18</v>
      </c>
      <c r="AE92" s="1">
        <v>15</v>
      </c>
      <c r="AF92" s="1">
        <v>3</v>
      </c>
      <c r="AG92" s="1">
        <v>643</v>
      </c>
      <c r="AH92" s="1">
        <v>265</v>
      </c>
    </row>
    <row r="93" spans="1:34" x14ac:dyDescent="0.2">
      <c r="A93" s="1" t="s">
        <v>26</v>
      </c>
      <c r="B93" s="1" t="s">
        <v>34</v>
      </c>
      <c r="C93" s="1" t="s">
        <v>121</v>
      </c>
      <c r="D93" s="2">
        <v>649</v>
      </c>
      <c r="E93" s="2">
        <v>334</v>
      </c>
      <c r="F93" s="1">
        <v>543</v>
      </c>
      <c r="G93" s="1">
        <f t="shared" si="5"/>
        <v>59</v>
      </c>
      <c r="H93" s="1">
        <f t="shared" si="6"/>
        <v>44</v>
      </c>
      <c r="I93" s="8">
        <f t="shared" si="7"/>
        <v>74.576271186440678</v>
      </c>
      <c r="J93" s="1">
        <f t="shared" si="8"/>
        <v>15</v>
      </c>
      <c r="K93" s="8">
        <f t="shared" si="9"/>
        <v>25.423728813559322</v>
      </c>
      <c r="L93" s="1">
        <v>9</v>
      </c>
      <c r="M93" s="1">
        <v>0</v>
      </c>
      <c r="N93" s="1">
        <v>9</v>
      </c>
      <c r="O93" s="1">
        <v>6</v>
      </c>
      <c r="P93" s="1">
        <v>6</v>
      </c>
      <c r="Q93" s="1">
        <v>0</v>
      </c>
      <c r="R93" s="1">
        <v>26</v>
      </c>
      <c r="S93" s="1">
        <v>20</v>
      </c>
      <c r="T93" s="1">
        <v>6</v>
      </c>
      <c r="U93" s="1">
        <v>3</v>
      </c>
      <c r="V93" s="1">
        <v>3</v>
      </c>
      <c r="W93" s="1">
        <v>0</v>
      </c>
      <c r="X93" s="1">
        <v>15</v>
      </c>
      <c r="Y93" s="1">
        <v>15</v>
      </c>
      <c r="Z93" s="1">
        <v>0</v>
      </c>
      <c r="AA93" s="1">
        <v>25</v>
      </c>
      <c r="AB93" s="1">
        <v>10</v>
      </c>
      <c r="AC93" s="1">
        <v>15</v>
      </c>
      <c r="AD93" s="1">
        <v>19</v>
      </c>
      <c r="AE93" s="1">
        <v>14</v>
      </c>
      <c r="AF93" s="1">
        <v>5</v>
      </c>
      <c r="AG93" s="1">
        <v>440</v>
      </c>
      <c r="AH93" s="1">
        <v>241</v>
      </c>
    </row>
    <row r="94" spans="1:34" x14ac:dyDescent="0.2">
      <c r="A94" s="1" t="s">
        <v>26</v>
      </c>
      <c r="B94" s="1" t="s">
        <v>35</v>
      </c>
      <c r="C94" s="1" t="s">
        <v>122</v>
      </c>
      <c r="D94" s="2">
        <v>1066</v>
      </c>
      <c r="E94" s="2">
        <v>464</v>
      </c>
      <c r="F94" s="1">
        <v>964</v>
      </c>
      <c r="G94" s="1">
        <f t="shared" si="5"/>
        <v>149</v>
      </c>
      <c r="H94" s="1">
        <f t="shared" si="6"/>
        <v>140</v>
      </c>
      <c r="I94" s="8">
        <f t="shared" si="7"/>
        <v>93.959731543624159</v>
      </c>
      <c r="J94" s="1">
        <f t="shared" si="8"/>
        <v>9</v>
      </c>
      <c r="K94" s="8">
        <f t="shared" si="9"/>
        <v>6.0402684563758386</v>
      </c>
      <c r="L94" s="1">
        <v>28</v>
      </c>
      <c r="M94" s="1">
        <v>28</v>
      </c>
      <c r="N94" s="1">
        <v>0</v>
      </c>
      <c r="O94" s="1">
        <v>3</v>
      </c>
      <c r="P94" s="1">
        <v>3</v>
      </c>
      <c r="Q94" s="1">
        <v>0</v>
      </c>
      <c r="R94" s="1">
        <v>24</v>
      </c>
      <c r="S94" s="1">
        <v>24</v>
      </c>
      <c r="T94" s="1">
        <v>0</v>
      </c>
      <c r="U94" s="1">
        <v>53</v>
      </c>
      <c r="V94" s="1">
        <v>53</v>
      </c>
      <c r="W94" s="1">
        <v>0</v>
      </c>
      <c r="X94" s="1">
        <v>41</v>
      </c>
      <c r="Y94" s="1">
        <v>32</v>
      </c>
      <c r="Z94" s="1">
        <v>9</v>
      </c>
      <c r="AA94" s="1">
        <v>45</v>
      </c>
      <c r="AB94" s="1">
        <v>33</v>
      </c>
      <c r="AC94" s="1">
        <v>12</v>
      </c>
      <c r="AD94" s="1">
        <v>50</v>
      </c>
      <c r="AE94" s="1">
        <v>21</v>
      </c>
      <c r="AF94" s="1">
        <v>29</v>
      </c>
      <c r="AG94" s="1">
        <v>720</v>
      </c>
      <c r="AH94" s="1">
        <v>358</v>
      </c>
    </row>
    <row r="95" spans="1:34" x14ac:dyDescent="0.2">
      <c r="A95" s="1" t="s">
        <v>27</v>
      </c>
      <c r="B95" s="1" t="s">
        <v>33</v>
      </c>
      <c r="C95" s="1" t="s">
        <v>123</v>
      </c>
      <c r="D95" s="2">
        <v>0</v>
      </c>
      <c r="E95" s="2">
        <v>0</v>
      </c>
      <c r="F95" s="1">
        <v>0</v>
      </c>
      <c r="G95" s="1">
        <f t="shared" si="5"/>
        <v>0</v>
      </c>
      <c r="H95" s="1">
        <f t="shared" si="6"/>
        <v>0</v>
      </c>
      <c r="I95" s="8">
        <f t="shared" si="7"/>
        <v>0</v>
      </c>
      <c r="J95" s="1">
        <f t="shared" si="8"/>
        <v>0</v>
      </c>
      <c r="K95" s="8">
        <f t="shared" si="9"/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</row>
    <row r="96" spans="1:34" x14ac:dyDescent="0.2">
      <c r="A96" s="1" t="s">
        <v>27</v>
      </c>
      <c r="B96" s="1" t="s">
        <v>34</v>
      </c>
      <c r="C96" s="1" t="s">
        <v>123</v>
      </c>
      <c r="D96" s="2">
        <v>0</v>
      </c>
      <c r="E96" s="2">
        <v>0</v>
      </c>
      <c r="F96" s="1">
        <v>0</v>
      </c>
      <c r="G96" s="1">
        <f t="shared" si="5"/>
        <v>0</v>
      </c>
      <c r="H96" s="1">
        <f t="shared" si="6"/>
        <v>0</v>
      </c>
      <c r="I96" s="8">
        <f t="shared" si="7"/>
        <v>0</v>
      </c>
      <c r="J96" s="1">
        <f t="shared" si="8"/>
        <v>0</v>
      </c>
      <c r="K96" s="8">
        <f t="shared" si="9"/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</row>
    <row r="97" spans="1:34" x14ac:dyDescent="0.2">
      <c r="A97" s="1" t="s">
        <v>27</v>
      </c>
      <c r="B97" s="1" t="s">
        <v>32</v>
      </c>
      <c r="C97" s="1" t="s">
        <v>124</v>
      </c>
      <c r="D97" s="2">
        <v>1654</v>
      </c>
      <c r="E97" s="2">
        <v>1122</v>
      </c>
      <c r="F97" s="1">
        <v>1579</v>
      </c>
      <c r="G97" s="1">
        <f t="shared" si="5"/>
        <v>42</v>
      </c>
      <c r="H97" s="1">
        <f t="shared" si="6"/>
        <v>22</v>
      </c>
      <c r="I97" s="8">
        <f t="shared" si="7"/>
        <v>52.38095238095238</v>
      </c>
      <c r="J97" s="1">
        <f t="shared" si="8"/>
        <v>20</v>
      </c>
      <c r="K97" s="8">
        <f t="shared" si="9"/>
        <v>47.61904761904762</v>
      </c>
      <c r="L97" s="1">
        <v>20</v>
      </c>
      <c r="M97" s="1">
        <v>0</v>
      </c>
      <c r="N97" s="1">
        <v>20</v>
      </c>
      <c r="O97" s="1">
        <v>4</v>
      </c>
      <c r="P97" s="1">
        <v>4</v>
      </c>
      <c r="Q97" s="1">
        <v>0</v>
      </c>
      <c r="R97" s="1">
        <v>0</v>
      </c>
      <c r="S97" s="1">
        <v>0</v>
      </c>
      <c r="T97" s="1">
        <v>0</v>
      </c>
      <c r="U97" s="1">
        <v>18</v>
      </c>
      <c r="V97" s="1">
        <v>18</v>
      </c>
      <c r="W97" s="1">
        <v>0</v>
      </c>
      <c r="X97" s="1">
        <v>0</v>
      </c>
      <c r="Y97" s="1">
        <v>0</v>
      </c>
      <c r="Z97" s="1">
        <v>0</v>
      </c>
      <c r="AA97" s="1">
        <v>58</v>
      </c>
      <c r="AB97" s="1">
        <v>58</v>
      </c>
      <c r="AC97" s="1">
        <v>0</v>
      </c>
      <c r="AD97" s="1">
        <v>84</v>
      </c>
      <c r="AE97" s="1">
        <v>32</v>
      </c>
      <c r="AF97" s="1">
        <v>52</v>
      </c>
      <c r="AG97" s="1">
        <v>1395</v>
      </c>
      <c r="AH97" s="1">
        <v>660</v>
      </c>
    </row>
    <row r="98" spans="1:34" x14ac:dyDescent="0.2">
      <c r="A98" s="1" t="s">
        <v>27</v>
      </c>
      <c r="B98" s="1" t="s">
        <v>33</v>
      </c>
      <c r="C98" s="1" t="s">
        <v>125</v>
      </c>
      <c r="D98" s="2">
        <v>1062</v>
      </c>
      <c r="E98" s="2">
        <v>782</v>
      </c>
      <c r="F98" s="1">
        <v>1089</v>
      </c>
      <c r="G98" s="1">
        <f t="shared" si="5"/>
        <v>66</v>
      </c>
      <c r="H98" s="1">
        <f t="shared" si="6"/>
        <v>66</v>
      </c>
      <c r="I98" s="8">
        <f t="shared" si="7"/>
        <v>100</v>
      </c>
      <c r="J98" s="1">
        <f t="shared" si="8"/>
        <v>0</v>
      </c>
      <c r="K98" s="8">
        <f t="shared" si="9"/>
        <v>0</v>
      </c>
      <c r="L98" s="1">
        <v>8</v>
      </c>
      <c r="M98" s="1">
        <v>8</v>
      </c>
      <c r="N98" s="1">
        <v>0</v>
      </c>
      <c r="O98" s="1">
        <v>0</v>
      </c>
      <c r="P98" s="1">
        <v>0</v>
      </c>
      <c r="Q98" s="1">
        <v>0</v>
      </c>
      <c r="R98" s="1">
        <v>32</v>
      </c>
      <c r="S98" s="1">
        <v>32</v>
      </c>
      <c r="T98" s="1">
        <v>0</v>
      </c>
      <c r="U98" s="1">
        <v>0</v>
      </c>
      <c r="V98" s="1">
        <v>0</v>
      </c>
      <c r="W98" s="1">
        <v>0</v>
      </c>
      <c r="X98" s="1">
        <v>26</v>
      </c>
      <c r="Y98" s="1">
        <v>26</v>
      </c>
      <c r="Z98" s="1">
        <v>0</v>
      </c>
      <c r="AA98" s="1">
        <v>46</v>
      </c>
      <c r="AB98" s="1">
        <v>41</v>
      </c>
      <c r="AC98" s="1">
        <v>5</v>
      </c>
      <c r="AD98" s="1">
        <v>86</v>
      </c>
      <c r="AE98" s="1">
        <v>23</v>
      </c>
      <c r="AF98" s="1">
        <v>63</v>
      </c>
      <c r="AG98" s="1">
        <v>891</v>
      </c>
      <c r="AH98" s="1">
        <v>440</v>
      </c>
    </row>
    <row r="99" spans="1:34" x14ac:dyDescent="0.2">
      <c r="A99" s="1" t="s">
        <v>27</v>
      </c>
      <c r="B99" s="1" t="s">
        <v>34</v>
      </c>
      <c r="C99" s="1" t="s">
        <v>126</v>
      </c>
      <c r="D99" s="2">
        <v>1399</v>
      </c>
      <c r="E99" s="2">
        <v>958</v>
      </c>
      <c r="F99" s="1">
        <v>1368</v>
      </c>
      <c r="G99" s="1">
        <f t="shared" si="5"/>
        <v>108</v>
      </c>
      <c r="H99" s="1">
        <f t="shared" si="6"/>
        <v>108</v>
      </c>
      <c r="I99" s="8">
        <f t="shared" si="7"/>
        <v>100</v>
      </c>
      <c r="J99" s="1">
        <f t="shared" si="8"/>
        <v>0</v>
      </c>
      <c r="K99" s="8">
        <f t="shared" si="9"/>
        <v>0</v>
      </c>
      <c r="L99" s="1">
        <v>9</v>
      </c>
      <c r="M99" s="1">
        <v>9</v>
      </c>
      <c r="N99" s="1">
        <v>0</v>
      </c>
      <c r="O99" s="1">
        <v>0</v>
      </c>
      <c r="P99" s="1">
        <v>0</v>
      </c>
      <c r="Q99" s="1">
        <v>0</v>
      </c>
      <c r="R99" s="1">
        <v>39</v>
      </c>
      <c r="S99" s="1">
        <v>39</v>
      </c>
      <c r="T99" s="1">
        <v>0</v>
      </c>
      <c r="U99" s="1">
        <v>38</v>
      </c>
      <c r="V99" s="1">
        <v>38</v>
      </c>
      <c r="W99" s="1">
        <v>0</v>
      </c>
      <c r="X99" s="1">
        <v>22</v>
      </c>
      <c r="Y99" s="1">
        <v>22</v>
      </c>
      <c r="Z99" s="1">
        <v>0</v>
      </c>
      <c r="AA99" s="1">
        <v>21</v>
      </c>
      <c r="AB99" s="1">
        <v>21</v>
      </c>
      <c r="AC99" s="1">
        <v>0</v>
      </c>
      <c r="AD99" s="1">
        <v>41</v>
      </c>
      <c r="AE99" s="1">
        <v>20</v>
      </c>
      <c r="AF99" s="1">
        <v>21</v>
      </c>
      <c r="AG99" s="1">
        <v>1198</v>
      </c>
      <c r="AH99" s="1">
        <v>562</v>
      </c>
    </row>
    <row r="100" spans="1:34" x14ac:dyDescent="0.2">
      <c r="A100" s="1" t="s">
        <v>27</v>
      </c>
      <c r="B100" s="1" t="s">
        <v>35</v>
      </c>
      <c r="C100" s="1" t="s">
        <v>127</v>
      </c>
      <c r="D100" s="2">
        <v>612</v>
      </c>
      <c r="E100" s="2">
        <v>264</v>
      </c>
      <c r="F100" s="1">
        <v>609</v>
      </c>
      <c r="G100" s="1">
        <f t="shared" si="5"/>
        <v>118</v>
      </c>
      <c r="H100" s="1">
        <f t="shared" si="6"/>
        <v>118</v>
      </c>
      <c r="I100" s="8">
        <f t="shared" si="7"/>
        <v>100</v>
      </c>
      <c r="J100" s="1">
        <f t="shared" si="8"/>
        <v>0</v>
      </c>
      <c r="K100" s="8">
        <f t="shared" si="9"/>
        <v>0</v>
      </c>
      <c r="L100" s="1">
        <v>24</v>
      </c>
      <c r="M100" s="1">
        <v>24</v>
      </c>
      <c r="N100" s="1">
        <v>0</v>
      </c>
      <c r="O100" s="1">
        <v>11</v>
      </c>
      <c r="P100" s="1">
        <v>11</v>
      </c>
      <c r="Q100" s="1">
        <v>0</v>
      </c>
      <c r="R100" s="1">
        <v>57</v>
      </c>
      <c r="S100" s="1">
        <v>57</v>
      </c>
      <c r="T100" s="1">
        <v>0</v>
      </c>
      <c r="U100" s="1">
        <v>26</v>
      </c>
      <c r="V100" s="1">
        <v>26</v>
      </c>
      <c r="W100" s="1">
        <v>0</v>
      </c>
      <c r="X100" s="1">
        <v>0</v>
      </c>
      <c r="Y100" s="1">
        <v>0</v>
      </c>
      <c r="Z100" s="1">
        <v>0</v>
      </c>
      <c r="AA100" s="1">
        <v>15</v>
      </c>
      <c r="AB100" s="1">
        <v>15</v>
      </c>
      <c r="AC100" s="1">
        <v>0</v>
      </c>
      <c r="AD100" s="1">
        <v>17</v>
      </c>
      <c r="AE100" s="1">
        <v>9</v>
      </c>
      <c r="AF100" s="1">
        <v>8</v>
      </c>
      <c r="AG100" s="1">
        <v>459</v>
      </c>
      <c r="AH100" s="1">
        <v>170</v>
      </c>
    </row>
    <row r="101" spans="1:34" x14ac:dyDescent="0.2">
      <c r="A101" s="1" t="s">
        <v>28</v>
      </c>
      <c r="B101" s="1" t="s">
        <v>32</v>
      </c>
      <c r="C101" s="1" t="s">
        <v>123</v>
      </c>
      <c r="D101" s="2">
        <v>0</v>
      </c>
      <c r="E101" s="2">
        <v>0</v>
      </c>
      <c r="F101" s="1">
        <v>0</v>
      </c>
      <c r="G101" s="1">
        <f t="shared" si="5"/>
        <v>0</v>
      </c>
      <c r="H101" s="1">
        <f t="shared" si="6"/>
        <v>0</v>
      </c>
      <c r="I101" s="8">
        <f t="shared" si="7"/>
        <v>0</v>
      </c>
      <c r="J101" s="1">
        <f t="shared" si="8"/>
        <v>0</v>
      </c>
      <c r="K101" s="8">
        <f t="shared" si="9"/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</row>
    <row r="102" spans="1:34" x14ac:dyDescent="0.2">
      <c r="A102" s="1" t="s">
        <v>28</v>
      </c>
      <c r="B102" s="1" t="s">
        <v>32</v>
      </c>
      <c r="C102" s="1" t="s">
        <v>128</v>
      </c>
      <c r="D102" s="2">
        <v>987</v>
      </c>
      <c r="E102" s="2">
        <v>479</v>
      </c>
      <c r="F102" s="1">
        <v>886</v>
      </c>
      <c r="G102" s="1">
        <f t="shared" si="5"/>
        <v>196</v>
      </c>
      <c r="H102" s="1">
        <f t="shared" si="6"/>
        <v>191</v>
      </c>
      <c r="I102" s="8">
        <f t="shared" si="7"/>
        <v>97.448979591836732</v>
      </c>
      <c r="J102" s="1">
        <f t="shared" si="8"/>
        <v>5</v>
      </c>
      <c r="K102" s="8">
        <f t="shared" si="9"/>
        <v>2.5510204081632653</v>
      </c>
      <c r="L102" s="1">
        <v>33</v>
      </c>
      <c r="M102" s="1">
        <v>28</v>
      </c>
      <c r="N102" s="1">
        <v>5</v>
      </c>
      <c r="O102" s="1">
        <v>15</v>
      </c>
      <c r="P102" s="1">
        <v>15</v>
      </c>
      <c r="Q102" s="1">
        <v>0</v>
      </c>
      <c r="R102" s="1">
        <v>68</v>
      </c>
      <c r="S102" s="1">
        <v>68</v>
      </c>
      <c r="T102" s="1">
        <v>0</v>
      </c>
      <c r="U102" s="1">
        <v>48</v>
      </c>
      <c r="V102" s="1">
        <v>48</v>
      </c>
      <c r="W102" s="1">
        <v>0</v>
      </c>
      <c r="X102" s="1">
        <v>32</v>
      </c>
      <c r="Y102" s="1">
        <v>32</v>
      </c>
      <c r="Z102" s="1">
        <v>0</v>
      </c>
      <c r="AA102" s="1">
        <v>16</v>
      </c>
      <c r="AB102" s="1">
        <v>4</v>
      </c>
      <c r="AC102" s="1">
        <v>12</v>
      </c>
      <c r="AD102" s="1">
        <v>30</v>
      </c>
      <c r="AE102" s="1">
        <v>6</v>
      </c>
      <c r="AF102" s="1">
        <v>24</v>
      </c>
      <c r="AG102" s="1">
        <v>644</v>
      </c>
      <c r="AH102" s="1">
        <v>255</v>
      </c>
    </row>
    <row r="103" spans="1:34" x14ac:dyDescent="0.2">
      <c r="A103" s="1" t="s">
        <v>28</v>
      </c>
      <c r="B103" s="1" t="s">
        <v>33</v>
      </c>
      <c r="C103" s="1" t="s">
        <v>129</v>
      </c>
      <c r="D103" s="2">
        <v>889</v>
      </c>
      <c r="E103" s="2">
        <v>512</v>
      </c>
      <c r="F103" s="1">
        <v>853</v>
      </c>
      <c r="G103" s="1">
        <f t="shared" si="5"/>
        <v>72</v>
      </c>
      <c r="H103" s="1">
        <f t="shared" si="6"/>
        <v>6</v>
      </c>
      <c r="I103" s="8">
        <f t="shared" si="7"/>
        <v>8.3333333333333339</v>
      </c>
      <c r="J103" s="1">
        <f t="shared" si="8"/>
        <v>66</v>
      </c>
      <c r="K103" s="8">
        <f t="shared" si="9"/>
        <v>91.666666666666671</v>
      </c>
      <c r="L103" s="1">
        <v>24</v>
      </c>
      <c r="M103" s="1">
        <v>0</v>
      </c>
      <c r="N103" s="1">
        <v>24</v>
      </c>
      <c r="O103" s="1">
        <v>8</v>
      </c>
      <c r="P103" s="1">
        <v>0</v>
      </c>
      <c r="Q103" s="1">
        <v>8</v>
      </c>
      <c r="R103" s="1">
        <v>24</v>
      </c>
      <c r="S103" s="1">
        <v>6</v>
      </c>
      <c r="T103" s="1">
        <v>18</v>
      </c>
      <c r="U103" s="1">
        <v>3</v>
      </c>
      <c r="V103" s="1">
        <v>0</v>
      </c>
      <c r="W103" s="1">
        <v>3</v>
      </c>
      <c r="X103" s="1">
        <v>13</v>
      </c>
      <c r="Y103" s="1">
        <v>0</v>
      </c>
      <c r="Z103" s="1">
        <v>13</v>
      </c>
      <c r="AA103" s="1">
        <v>7</v>
      </c>
      <c r="AB103" s="1">
        <v>7</v>
      </c>
      <c r="AC103" s="1">
        <v>0</v>
      </c>
      <c r="AD103" s="1">
        <v>20</v>
      </c>
      <c r="AE103" s="1">
        <v>0</v>
      </c>
      <c r="AF103" s="1">
        <v>20</v>
      </c>
      <c r="AG103" s="1">
        <v>754</v>
      </c>
      <c r="AH103" s="1">
        <v>359</v>
      </c>
    </row>
    <row r="104" spans="1:34" x14ac:dyDescent="0.2">
      <c r="A104" s="1" t="s">
        <v>29</v>
      </c>
      <c r="B104" s="1" t="s">
        <v>32</v>
      </c>
      <c r="C104" s="1" t="s">
        <v>123</v>
      </c>
      <c r="D104" s="2">
        <v>0</v>
      </c>
      <c r="E104" s="2">
        <v>0</v>
      </c>
      <c r="F104" s="1">
        <v>0</v>
      </c>
      <c r="G104" s="1">
        <f t="shared" si="5"/>
        <v>0</v>
      </c>
      <c r="H104" s="1">
        <f t="shared" si="6"/>
        <v>0</v>
      </c>
      <c r="I104" s="8">
        <f t="shared" si="7"/>
        <v>0</v>
      </c>
      <c r="J104" s="1">
        <f t="shared" si="8"/>
        <v>0</v>
      </c>
      <c r="K104" s="8">
        <f t="shared" si="9"/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</row>
    <row r="105" spans="1:34" x14ac:dyDescent="0.2">
      <c r="A105" s="1" t="s">
        <v>29</v>
      </c>
      <c r="B105" s="1" t="s">
        <v>32</v>
      </c>
      <c r="C105" s="1" t="s">
        <v>130</v>
      </c>
      <c r="D105" s="2">
        <v>671</v>
      </c>
      <c r="E105" s="2">
        <v>446</v>
      </c>
      <c r="F105" s="1">
        <v>728</v>
      </c>
      <c r="G105" s="1">
        <f t="shared" si="5"/>
        <v>34</v>
      </c>
      <c r="H105" s="1">
        <f t="shared" si="6"/>
        <v>0</v>
      </c>
      <c r="I105" s="8">
        <f t="shared" si="7"/>
        <v>0</v>
      </c>
      <c r="J105" s="1">
        <f t="shared" si="8"/>
        <v>34</v>
      </c>
      <c r="K105" s="8">
        <f t="shared" si="9"/>
        <v>100</v>
      </c>
      <c r="L105" s="1">
        <v>7</v>
      </c>
      <c r="M105" s="1">
        <v>0</v>
      </c>
      <c r="N105" s="1">
        <v>7</v>
      </c>
      <c r="O105" s="1">
        <v>17</v>
      </c>
      <c r="P105" s="1">
        <v>0</v>
      </c>
      <c r="Q105" s="1">
        <v>17</v>
      </c>
      <c r="R105" s="1">
        <v>0</v>
      </c>
      <c r="S105" s="1">
        <v>0</v>
      </c>
      <c r="T105" s="1">
        <v>0</v>
      </c>
      <c r="U105" s="1">
        <v>5</v>
      </c>
      <c r="V105" s="1">
        <v>0</v>
      </c>
      <c r="W105" s="1">
        <v>5</v>
      </c>
      <c r="X105" s="1">
        <v>5</v>
      </c>
      <c r="Y105" s="1">
        <v>0</v>
      </c>
      <c r="Z105" s="1">
        <v>5</v>
      </c>
      <c r="AA105" s="1">
        <v>17</v>
      </c>
      <c r="AB105" s="1">
        <v>0</v>
      </c>
      <c r="AC105" s="1">
        <v>17</v>
      </c>
      <c r="AD105" s="1">
        <v>42</v>
      </c>
      <c r="AE105" s="1">
        <v>19</v>
      </c>
      <c r="AF105" s="1">
        <v>23</v>
      </c>
      <c r="AG105" s="1">
        <v>635</v>
      </c>
      <c r="AH105" s="1">
        <v>331</v>
      </c>
    </row>
    <row r="106" spans="1:34" x14ac:dyDescent="0.2">
      <c r="A106" s="1" t="s">
        <v>29</v>
      </c>
      <c r="B106" s="1" t="s">
        <v>33</v>
      </c>
      <c r="C106" s="1" t="s">
        <v>131</v>
      </c>
      <c r="D106" s="2">
        <v>973</v>
      </c>
      <c r="E106" s="2">
        <v>549</v>
      </c>
      <c r="F106" s="1">
        <v>916</v>
      </c>
      <c r="G106" s="1">
        <f t="shared" si="5"/>
        <v>26</v>
      </c>
      <c r="H106" s="1">
        <f t="shared" si="6"/>
        <v>0</v>
      </c>
      <c r="I106" s="8">
        <f t="shared" si="7"/>
        <v>0</v>
      </c>
      <c r="J106" s="1">
        <f t="shared" si="8"/>
        <v>26</v>
      </c>
      <c r="K106" s="8">
        <f t="shared" si="9"/>
        <v>100</v>
      </c>
      <c r="L106" s="1">
        <v>10</v>
      </c>
      <c r="M106" s="1">
        <v>0</v>
      </c>
      <c r="N106" s="1">
        <v>10</v>
      </c>
      <c r="O106" s="1">
        <v>0</v>
      </c>
      <c r="P106" s="1">
        <v>0</v>
      </c>
      <c r="Q106" s="1">
        <v>0</v>
      </c>
      <c r="R106" s="1">
        <v>11</v>
      </c>
      <c r="S106" s="1">
        <v>0</v>
      </c>
      <c r="T106" s="1">
        <v>11</v>
      </c>
      <c r="U106" s="1">
        <v>5</v>
      </c>
      <c r="V106" s="1">
        <v>0</v>
      </c>
      <c r="W106" s="1">
        <v>5</v>
      </c>
      <c r="X106" s="1">
        <v>0</v>
      </c>
      <c r="Y106" s="1">
        <v>0</v>
      </c>
      <c r="Z106" s="1">
        <v>0</v>
      </c>
      <c r="AA106" s="1">
        <v>13</v>
      </c>
      <c r="AB106" s="1">
        <v>7</v>
      </c>
      <c r="AC106" s="1">
        <v>6</v>
      </c>
      <c r="AD106" s="1">
        <v>106</v>
      </c>
      <c r="AE106" s="1">
        <v>67</v>
      </c>
      <c r="AF106" s="1">
        <v>39</v>
      </c>
      <c r="AG106" s="1">
        <v>771</v>
      </c>
      <c r="AH106" s="1">
        <v>398</v>
      </c>
    </row>
    <row r="107" spans="1:34" x14ac:dyDescent="0.2">
      <c r="A107" s="1" t="s">
        <v>30</v>
      </c>
      <c r="B107" s="1" t="s">
        <v>34</v>
      </c>
      <c r="C107" s="1" t="s">
        <v>123</v>
      </c>
      <c r="D107" s="2">
        <v>0</v>
      </c>
      <c r="E107" s="2">
        <v>0</v>
      </c>
      <c r="F107" s="1">
        <v>0</v>
      </c>
      <c r="G107" s="1">
        <f t="shared" si="5"/>
        <v>0</v>
      </c>
      <c r="H107" s="1">
        <f t="shared" si="6"/>
        <v>0</v>
      </c>
      <c r="I107" s="8">
        <f t="shared" si="7"/>
        <v>0</v>
      </c>
      <c r="J107" s="1">
        <f t="shared" si="8"/>
        <v>0</v>
      </c>
      <c r="K107" s="8">
        <f t="shared" si="9"/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</row>
    <row r="108" spans="1:34" x14ac:dyDescent="0.2">
      <c r="A108" s="1" t="s">
        <v>30</v>
      </c>
      <c r="B108" s="1" t="s">
        <v>32</v>
      </c>
      <c r="C108" s="1" t="s">
        <v>132</v>
      </c>
      <c r="D108" s="2">
        <v>730</v>
      </c>
      <c r="E108" s="2">
        <v>400</v>
      </c>
      <c r="F108" s="1">
        <v>699</v>
      </c>
      <c r="G108" s="1">
        <f t="shared" si="5"/>
        <v>92</v>
      </c>
      <c r="H108" s="1">
        <f t="shared" si="6"/>
        <v>5</v>
      </c>
      <c r="I108" s="8">
        <f t="shared" si="7"/>
        <v>5.4347826086956523</v>
      </c>
      <c r="J108" s="1">
        <f t="shared" si="8"/>
        <v>87</v>
      </c>
      <c r="K108" s="8">
        <f t="shared" si="9"/>
        <v>94.565217391304344</v>
      </c>
      <c r="L108" s="1">
        <v>10</v>
      </c>
      <c r="M108" s="1">
        <v>0</v>
      </c>
      <c r="N108" s="1">
        <v>10</v>
      </c>
      <c r="O108" s="1">
        <v>5</v>
      </c>
      <c r="P108" s="1">
        <v>0</v>
      </c>
      <c r="Q108" s="1">
        <v>5</v>
      </c>
      <c r="R108" s="1">
        <v>11</v>
      </c>
      <c r="S108" s="1">
        <v>0</v>
      </c>
      <c r="T108" s="1">
        <v>11</v>
      </c>
      <c r="U108" s="1">
        <v>31</v>
      </c>
      <c r="V108" s="1">
        <v>0</v>
      </c>
      <c r="W108" s="1">
        <v>31</v>
      </c>
      <c r="X108" s="1">
        <v>35</v>
      </c>
      <c r="Y108" s="1">
        <v>5</v>
      </c>
      <c r="Z108" s="1">
        <v>30</v>
      </c>
      <c r="AA108" s="1">
        <v>0</v>
      </c>
      <c r="AB108" s="1">
        <v>0</v>
      </c>
      <c r="AC108" s="1">
        <v>0</v>
      </c>
      <c r="AD108" s="1">
        <v>10</v>
      </c>
      <c r="AE108" s="1">
        <v>10</v>
      </c>
      <c r="AF108" s="1">
        <v>0</v>
      </c>
      <c r="AG108" s="1">
        <v>597</v>
      </c>
      <c r="AH108" s="1">
        <v>254</v>
      </c>
    </row>
    <row r="109" spans="1:34" x14ac:dyDescent="0.2">
      <c r="A109" s="1" t="s">
        <v>30</v>
      </c>
      <c r="B109" s="1" t="s">
        <v>33</v>
      </c>
      <c r="C109" s="1" t="s">
        <v>133</v>
      </c>
      <c r="D109" s="2">
        <v>779</v>
      </c>
      <c r="E109" s="2">
        <v>442</v>
      </c>
      <c r="F109" s="1">
        <v>780</v>
      </c>
      <c r="G109" s="1">
        <f t="shared" si="5"/>
        <v>56</v>
      </c>
      <c r="H109" s="1">
        <f t="shared" si="6"/>
        <v>4</v>
      </c>
      <c r="I109" s="8">
        <f t="shared" si="7"/>
        <v>7.1428571428571432</v>
      </c>
      <c r="J109" s="1">
        <f t="shared" si="8"/>
        <v>52</v>
      </c>
      <c r="K109" s="8">
        <f t="shared" si="9"/>
        <v>92.857142857142861</v>
      </c>
      <c r="L109" s="1">
        <v>21</v>
      </c>
      <c r="M109" s="1">
        <v>0</v>
      </c>
      <c r="N109" s="1">
        <v>21</v>
      </c>
      <c r="O109" s="1">
        <v>0</v>
      </c>
      <c r="P109" s="1">
        <v>0</v>
      </c>
      <c r="Q109" s="1">
        <v>0</v>
      </c>
      <c r="R109" s="1">
        <v>12</v>
      </c>
      <c r="S109" s="1">
        <v>4</v>
      </c>
      <c r="T109" s="1">
        <v>8</v>
      </c>
      <c r="U109" s="1">
        <v>13</v>
      </c>
      <c r="V109" s="1">
        <v>0</v>
      </c>
      <c r="W109" s="1">
        <v>13</v>
      </c>
      <c r="X109" s="1">
        <v>10</v>
      </c>
      <c r="Y109" s="1">
        <v>0</v>
      </c>
      <c r="Z109" s="1">
        <v>10</v>
      </c>
      <c r="AA109" s="1">
        <v>15</v>
      </c>
      <c r="AB109" s="1">
        <v>7</v>
      </c>
      <c r="AC109" s="1">
        <v>8</v>
      </c>
      <c r="AD109" s="1">
        <v>16</v>
      </c>
      <c r="AE109" s="1">
        <v>0</v>
      </c>
      <c r="AF109" s="1">
        <v>16</v>
      </c>
      <c r="AG109" s="1">
        <v>693</v>
      </c>
      <c r="AH109" s="1">
        <v>322</v>
      </c>
    </row>
    <row r="110" spans="1:34" x14ac:dyDescent="0.2">
      <c r="A110" s="1" t="s">
        <v>30</v>
      </c>
      <c r="B110" s="1" t="s">
        <v>34</v>
      </c>
      <c r="C110" s="1" t="s">
        <v>134</v>
      </c>
      <c r="D110" s="2">
        <v>636</v>
      </c>
      <c r="E110" s="2">
        <v>321</v>
      </c>
      <c r="F110" s="1">
        <v>631</v>
      </c>
      <c r="G110" s="1">
        <f t="shared" si="5"/>
        <v>63</v>
      </c>
      <c r="H110" s="1">
        <f t="shared" si="6"/>
        <v>21</v>
      </c>
      <c r="I110" s="8">
        <f t="shared" si="7"/>
        <v>33.333333333333336</v>
      </c>
      <c r="J110" s="1">
        <f t="shared" si="8"/>
        <v>42</v>
      </c>
      <c r="K110" s="8">
        <f t="shared" si="9"/>
        <v>66.666666666666671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11</v>
      </c>
      <c r="S110" s="1">
        <v>0</v>
      </c>
      <c r="T110" s="1">
        <v>11</v>
      </c>
      <c r="U110" s="1">
        <v>8</v>
      </c>
      <c r="V110" s="1">
        <v>0</v>
      </c>
      <c r="W110" s="1">
        <v>8</v>
      </c>
      <c r="X110" s="1">
        <v>44</v>
      </c>
      <c r="Y110" s="1">
        <v>21</v>
      </c>
      <c r="Z110" s="1">
        <v>23</v>
      </c>
      <c r="AA110" s="1">
        <v>30</v>
      </c>
      <c r="AB110" s="1">
        <v>22</v>
      </c>
      <c r="AC110" s="1">
        <v>8</v>
      </c>
      <c r="AD110" s="1">
        <v>38</v>
      </c>
      <c r="AE110" s="1">
        <v>0</v>
      </c>
      <c r="AF110" s="1">
        <v>38</v>
      </c>
      <c r="AG110" s="1">
        <v>500</v>
      </c>
      <c r="AH110" s="1">
        <v>223</v>
      </c>
    </row>
    <row r="111" spans="1:34" x14ac:dyDescent="0.2">
      <c r="A111" s="1" t="s">
        <v>31</v>
      </c>
      <c r="B111" s="1" t="s">
        <v>32</v>
      </c>
      <c r="C111" s="1" t="s">
        <v>123</v>
      </c>
      <c r="D111" s="2">
        <v>0</v>
      </c>
      <c r="E111" s="2">
        <v>0</v>
      </c>
      <c r="F111" s="1">
        <v>0</v>
      </c>
      <c r="G111" s="1">
        <f t="shared" si="5"/>
        <v>0</v>
      </c>
      <c r="H111" s="1">
        <f t="shared" si="6"/>
        <v>0</v>
      </c>
      <c r="I111" s="8">
        <f t="shared" si="7"/>
        <v>0</v>
      </c>
      <c r="J111" s="1">
        <f t="shared" si="8"/>
        <v>0</v>
      </c>
      <c r="K111" s="8">
        <f t="shared" si="9"/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</row>
    <row r="112" spans="1:34" x14ac:dyDescent="0.2">
      <c r="A112" s="1" t="s">
        <v>31</v>
      </c>
      <c r="B112" s="1" t="s">
        <v>33</v>
      </c>
      <c r="C112" s="1" t="s">
        <v>123</v>
      </c>
      <c r="D112" s="2">
        <v>0</v>
      </c>
      <c r="E112" s="2">
        <v>0</v>
      </c>
      <c r="F112" s="1">
        <v>0</v>
      </c>
      <c r="G112" s="1">
        <f t="shared" si="5"/>
        <v>0</v>
      </c>
      <c r="H112" s="1">
        <f t="shared" si="6"/>
        <v>0</v>
      </c>
      <c r="I112" s="8">
        <f t="shared" si="7"/>
        <v>0</v>
      </c>
      <c r="J112" s="1">
        <f t="shared" si="8"/>
        <v>0</v>
      </c>
      <c r="K112" s="8">
        <f t="shared" si="9"/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</row>
    <row r="113" spans="1:34" x14ac:dyDescent="0.2">
      <c r="A113" s="1" t="s">
        <v>31</v>
      </c>
      <c r="B113" s="1" t="s">
        <v>32</v>
      </c>
      <c r="C113" s="1" t="s">
        <v>135</v>
      </c>
      <c r="D113" s="2">
        <v>1341</v>
      </c>
      <c r="E113" s="2">
        <v>888</v>
      </c>
      <c r="F113" s="1">
        <v>1267</v>
      </c>
      <c r="G113" s="1">
        <f t="shared" si="5"/>
        <v>42</v>
      </c>
      <c r="H113" s="1">
        <f t="shared" si="6"/>
        <v>8</v>
      </c>
      <c r="I113" s="8">
        <f t="shared" si="7"/>
        <v>19.047619047619047</v>
      </c>
      <c r="J113" s="1">
        <f t="shared" si="8"/>
        <v>34</v>
      </c>
      <c r="K113" s="8">
        <f t="shared" si="9"/>
        <v>80.952380952380949</v>
      </c>
      <c r="L113" s="1">
        <v>15</v>
      </c>
      <c r="M113" s="1">
        <v>0</v>
      </c>
      <c r="N113" s="1">
        <v>15</v>
      </c>
      <c r="O113" s="1">
        <v>0</v>
      </c>
      <c r="P113" s="1">
        <v>0</v>
      </c>
      <c r="Q113" s="1">
        <v>0</v>
      </c>
      <c r="R113" s="1">
        <v>13</v>
      </c>
      <c r="S113" s="1">
        <v>0</v>
      </c>
      <c r="T113" s="1">
        <v>13</v>
      </c>
      <c r="U113" s="1">
        <v>8</v>
      </c>
      <c r="V113" s="1">
        <v>8</v>
      </c>
      <c r="W113" s="1">
        <v>0</v>
      </c>
      <c r="X113" s="1">
        <v>6</v>
      </c>
      <c r="Y113" s="1">
        <v>0</v>
      </c>
      <c r="Z113" s="1">
        <v>6</v>
      </c>
      <c r="AA113" s="1">
        <v>45</v>
      </c>
      <c r="AB113" s="1">
        <v>25</v>
      </c>
      <c r="AC113" s="1">
        <v>20</v>
      </c>
      <c r="AD113" s="1">
        <v>79</v>
      </c>
      <c r="AE113" s="1">
        <v>61</v>
      </c>
      <c r="AF113" s="1">
        <v>18</v>
      </c>
      <c r="AG113" s="1">
        <v>1101</v>
      </c>
      <c r="AH113" s="1">
        <v>506</v>
      </c>
    </row>
    <row r="114" spans="1:34" x14ac:dyDescent="0.2">
      <c r="A114" s="1" t="s">
        <v>31</v>
      </c>
      <c r="B114" s="1" t="s">
        <v>33</v>
      </c>
      <c r="C114" s="1" t="s">
        <v>136</v>
      </c>
      <c r="D114" s="2">
        <v>1138</v>
      </c>
      <c r="E114" s="2">
        <v>955</v>
      </c>
      <c r="F114" s="1">
        <v>1158</v>
      </c>
      <c r="G114" s="1">
        <f t="shared" si="5"/>
        <v>11</v>
      </c>
      <c r="H114" s="1">
        <f t="shared" si="6"/>
        <v>5</v>
      </c>
      <c r="I114" s="8">
        <f t="shared" si="7"/>
        <v>45.454545454545453</v>
      </c>
      <c r="J114" s="1">
        <f t="shared" si="8"/>
        <v>6</v>
      </c>
      <c r="K114" s="8">
        <f t="shared" si="9"/>
        <v>54.545454545454547</v>
      </c>
      <c r="L114" s="1">
        <v>6</v>
      </c>
      <c r="M114" s="1">
        <v>0</v>
      </c>
      <c r="N114" s="1">
        <v>6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5</v>
      </c>
      <c r="Y114" s="1">
        <v>5</v>
      </c>
      <c r="Z114" s="1">
        <v>0</v>
      </c>
      <c r="AA114" s="1">
        <v>77</v>
      </c>
      <c r="AB114" s="1">
        <v>50</v>
      </c>
      <c r="AC114" s="1">
        <v>27</v>
      </c>
      <c r="AD114" s="1">
        <v>65</v>
      </c>
      <c r="AE114" s="1">
        <v>39</v>
      </c>
      <c r="AF114" s="1">
        <v>26</v>
      </c>
      <c r="AG114" s="1">
        <v>1005</v>
      </c>
      <c r="AH114" s="1">
        <v>523</v>
      </c>
    </row>
    <row r="115" spans="1:34" x14ac:dyDescent="0.2">
      <c r="D115" s="2">
        <v>128283</v>
      </c>
      <c r="E115" s="2">
        <v>64251</v>
      </c>
      <c r="F115" s="2">
        <f>+SUM(F9:F114)</f>
        <v>123154</v>
      </c>
      <c r="G115" s="1">
        <f t="shared" si="5"/>
        <v>16213</v>
      </c>
      <c r="H115" s="1">
        <f t="shared" si="6"/>
        <v>12549</v>
      </c>
      <c r="I115" s="8">
        <f t="shared" si="7"/>
        <v>77.400851168815151</v>
      </c>
      <c r="J115" s="1">
        <f t="shared" si="8"/>
        <v>3664</v>
      </c>
      <c r="K115" s="8">
        <f t="shared" si="9"/>
        <v>22.599148831184852</v>
      </c>
      <c r="L115" s="2">
        <f t="shared" ref="L115:AG115" si="10">+SUM(L9:L114)</f>
        <v>2078</v>
      </c>
      <c r="M115" s="2">
        <f t="shared" si="10"/>
        <v>749</v>
      </c>
      <c r="N115" s="2">
        <f t="shared" si="10"/>
        <v>1329</v>
      </c>
      <c r="O115" s="2">
        <f t="shared" si="10"/>
        <v>1297</v>
      </c>
      <c r="P115" s="2">
        <f t="shared" si="10"/>
        <v>1032</v>
      </c>
      <c r="Q115" s="2">
        <f t="shared" si="10"/>
        <v>265</v>
      </c>
      <c r="R115" s="2">
        <f t="shared" si="10"/>
        <v>4575</v>
      </c>
      <c r="S115" s="2">
        <f t="shared" si="10"/>
        <v>3885</v>
      </c>
      <c r="T115" s="2">
        <f t="shared" si="10"/>
        <v>690</v>
      </c>
      <c r="U115" s="2">
        <f t="shared" si="10"/>
        <v>4019</v>
      </c>
      <c r="V115" s="2">
        <f t="shared" si="10"/>
        <v>3310</v>
      </c>
      <c r="W115" s="2">
        <f t="shared" si="10"/>
        <v>709</v>
      </c>
      <c r="X115" s="2">
        <f t="shared" si="10"/>
        <v>4244</v>
      </c>
      <c r="Y115" s="2">
        <f t="shared" si="10"/>
        <v>3573</v>
      </c>
      <c r="Z115" s="2">
        <f t="shared" si="10"/>
        <v>671</v>
      </c>
      <c r="AA115" s="2">
        <f t="shared" si="10"/>
        <v>6009</v>
      </c>
      <c r="AB115" s="2">
        <f t="shared" si="10"/>
        <v>4592</v>
      </c>
      <c r="AC115" s="2">
        <f t="shared" si="10"/>
        <v>1417</v>
      </c>
      <c r="AD115" s="2">
        <f t="shared" si="10"/>
        <v>4287</v>
      </c>
      <c r="AE115" s="2">
        <f t="shared" si="10"/>
        <v>1981</v>
      </c>
      <c r="AF115" s="2">
        <f t="shared" si="10"/>
        <v>2306</v>
      </c>
      <c r="AG115" s="2">
        <f t="shared" si="10"/>
        <v>96645</v>
      </c>
    </row>
  </sheetData>
  <mergeCells count="17">
    <mergeCell ref="U7:W7"/>
    <mergeCell ref="X7:Z7"/>
    <mergeCell ref="AA7:AC7"/>
    <mergeCell ref="F5:AH5"/>
    <mergeCell ref="F6:F8"/>
    <mergeCell ref="L7:N7"/>
    <mergeCell ref="O7:Q7"/>
    <mergeCell ref="C5:C8"/>
    <mergeCell ref="B5:B8"/>
    <mergeCell ref="A5:A8"/>
    <mergeCell ref="G6:AH6"/>
    <mergeCell ref="G7:K7"/>
    <mergeCell ref="AD7:AF7"/>
    <mergeCell ref="AG7:AG8"/>
    <mergeCell ref="E5:E8"/>
    <mergeCell ref="D5:D8"/>
    <mergeCell ref="R7:T7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...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Glimpse</dc:creator>
  <cp:lastModifiedBy>Carina Negreanu</cp:lastModifiedBy>
  <dcterms:created xsi:type="dcterms:W3CDTF">2002-10-14T04:29:20Z</dcterms:created>
  <dcterms:modified xsi:type="dcterms:W3CDTF">2020-01-27T11:57:03Z</dcterms:modified>
</cp:coreProperties>
</file>