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7FB394-39E8-4C7A-90C8-1A3BEADB03D4}" xr6:coauthVersionLast="45" xr6:coauthVersionMax="45" xr10:uidLastSave="{00000000-0000-0000-0000-000000000000}"/>
  <bookViews>
    <workbookView xWindow="3420" yWindow="3420" windowWidth="28800" windowHeight="15460"/>
  </bookViews>
  <sheets>
    <sheet name="IBM414" sheetId="1" r:id="rId1"/>
  </sheets>
  <definedNames>
    <definedName name="_xlnm.Print_Area" localSheetId="0">'IBM414'!$A$1:$Z$20</definedName>
    <definedName name="_xlnm.Print_Area">'IBM414'!$A$1:$Z$5</definedName>
    <definedName name="_xlnm.Print_Titles" localSheetId="0">'IBM414'!$A:$A,'IBM414'!$1:$3</definedName>
    <definedName name="_xlnm.Print_Titles">'IBM414'!$A:$A,'IBM414'!$1:$3</definedName>
  </definedNames>
  <calcPr calcId="0" fullCalcOnLoad="1"/>
</workbook>
</file>

<file path=xl/calcChain.xml><?xml version="1.0" encoding="utf-8"?>
<calcChain xmlns="http://schemas.openxmlformats.org/spreadsheetml/2006/main">
  <c r="B4" i="1" l="1"/>
  <c r="D4" i="1"/>
  <c r="E4" i="1"/>
  <c r="G4" i="1"/>
  <c r="H4" i="1"/>
  <c r="J4" i="1"/>
  <c r="L4" i="1"/>
  <c r="M4" i="1"/>
  <c r="O4" i="1"/>
  <c r="X4" i="1"/>
  <c r="Y4" i="1"/>
  <c r="Z4" i="1"/>
  <c r="B5" i="1"/>
  <c r="D5" i="1"/>
  <c r="E5" i="1"/>
  <c r="G5" i="1"/>
  <c r="H5" i="1"/>
  <c r="J5" i="1"/>
  <c r="L5" i="1"/>
  <c r="M5" i="1"/>
  <c r="O5" i="1"/>
  <c r="X5" i="1"/>
  <c r="Y5" i="1"/>
  <c r="Z5" i="1"/>
</calcChain>
</file>

<file path=xl/sharedStrings.xml><?xml version="1.0" encoding="utf-8"?>
<sst xmlns="http://schemas.openxmlformats.org/spreadsheetml/2006/main" count="99" uniqueCount="70">
  <si>
    <t>Final Grade</t>
  </si>
  <si>
    <t>Midterm</t>
  </si>
  <si>
    <t>Final</t>
  </si>
  <si>
    <t>1st</t>
  </si>
  <si>
    <t>2nd</t>
  </si>
  <si>
    <t>Total Ave</t>
  </si>
  <si>
    <t>E.C.**</t>
  </si>
  <si>
    <t>Final Ave</t>
  </si>
  <si>
    <t>Euro-</t>
  </si>
  <si>
    <t>Starns</t>
  </si>
  <si>
    <t>Buyers</t>
  </si>
  <si>
    <t>Sweet</t>
  </si>
  <si>
    <t>Asian</t>
  </si>
  <si>
    <t>Blair</t>
  </si>
  <si>
    <t>Pricing</t>
  </si>
  <si>
    <t>Nat'l</t>
  </si>
  <si>
    <t>Ex</t>
  </si>
  <si>
    <t>Name</t>
  </si>
  <si>
    <t>Letter</t>
  </si>
  <si>
    <t>Exam</t>
  </si>
  <si>
    <t>Paper</t>
  </si>
  <si>
    <t>Disney</t>
  </si>
  <si>
    <t>Brener</t>
  </si>
  <si>
    <t>Sellers</t>
  </si>
  <si>
    <t>Corn</t>
  </si>
  <si>
    <t>Yuppis</t>
  </si>
  <si>
    <t>Water</t>
  </si>
  <si>
    <t>MltCoun</t>
  </si>
  <si>
    <t>Office</t>
  </si>
  <si>
    <t>Ave</t>
  </si>
  <si>
    <t>Ltr</t>
  </si>
  <si>
    <t>[weight]</t>
  </si>
  <si>
    <t>[1.00]</t>
  </si>
  <si>
    <t>[.25]</t>
  </si>
  <si>
    <t>[.30]</t>
  </si>
  <si>
    <t>[.15]</t>
  </si>
  <si>
    <t>[.20]</t>
  </si>
  <si>
    <t>[.10]</t>
  </si>
  <si>
    <t>Example</t>
  </si>
  <si>
    <t>B</t>
  </si>
  <si>
    <t>Am</t>
  </si>
  <si>
    <t>Your Grades*</t>
  </si>
  <si>
    <t xml:space="preserve">*Enter your grades and </t>
  </si>
  <si>
    <t>**Extra credit (.1</t>
  </si>
  <si>
    <t xml:space="preserve">   scores in columns C, F,</t>
  </si>
  <si>
    <t xml:space="preserve">     to .5)</t>
  </si>
  <si>
    <t xml:space="preserve">   I, K, N, and P through W.</t>
  </si>
  <si>
    <t>F</t>
  </si>
  <si>
    <t>A</t>
  </si>
  <si>
    <t xml:space="preserve">   Enter numerical scores</t>
  </si>
  <si>
    <t>D-</t>
  </si>
  <si>
    <t xml:space="preserve">   in C, F, N, and P through</t>
  </si>
  <si>
    <t>D</t>
  </si>
  <si>
    <t xml:space="preserve">   W. Enter letter grades</t>
  </si>
  <si>
    <t>D+</t>
  </si>
  <si>
    <t>Bm</t>
  </si>
  <si>
    <t xml:space="preserve">   (using "m" for minus</t>
  </si>
  <si>
    <t>C-</t>
  </si>
  <si>
    <t>Bp</t>
  </si>
  <si>
    <t xml:space="preserve">   and "p" for plus) in I </t>
  </si>
  <si>
    <t>C</t>
  </si>
  <si>
    <t xml:space="preserve">   and K.</t>
  </si>
  <si>
    <t>C+</t>
  </si>
  <si>
    <t>Cm</t>
  </si>
  <si>
    <t>B-</t>
  </si>
  <si>
    <t>Cp</t>
  </si>
  <si>
    <t>B+</t>
  </si>
  <si>
    <t>Dm</t>
  </si>
  <si>
    <t>A-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</si>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</sst>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00"/>
  </numFmts>
  <fonts count="3">
    <font>
      <sz val="10"/>
      <name val="Geneva"/>
    </font>
    <font>
      <b/>
      <sz val="8"/>
      <name val="Geneva"/>
    </font>
    <font>
      <sz val="8"/>
      <name val="Genev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172" fontId="1" fillId="0" borderId="4" xfId="0" applyNumberFormat="1" applyFont="1" applyBorder="1" applyAlignment="1">
      <alignment horizontal="center" vertical="top"/>
    </xf>
    <xf numFmtId="16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72" fontId="1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2" fontId="2" fillId="0" borderId="4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173" fontId="2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hidden="1"/>
    </xf>
    <xf numFmtId="173" fontId="2" fillId="0" borderId="0" xfId="0" applyNumberFormat="1" applyFont="1" applyAlignment="1" applyProtection="1">
      <alignment horizontal="center"/>
      <protection hidden="1"/>
    </xf>
    <xf numFmtId="2" fontId="2" fillId="0" borderId="1" xfId="0" applyNumberFormat="1" applyFont="1" applyBorder="1" applyAlignment="1">
      <alignment horizontal="center" vertical="top"/>
    </xf>
    <xf numFmtId="173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73" fontId="2" fillId="0" borderId="5" xfId="0" applyNumberFormat="1" applyFont="1" applyBorder="1" applyAlignment="1">
      <alignment horizontal="center" vertical="top"/>
    </xf>
    <xf numFmtId="2" fontId="2" fillId="0" borderId="6" xfId="0" applyNumberFormat="1" applyFont="1" applyBorder="1" applyAlignment="1">
      <alignment horizontal="center" vertical="top"/>
    </xf>
    <xf numFmtId="173" fontId="2" fillId="0" borderId="7" xfId="0" applyNumberFormat="1" applyFont="1" applyBorder="1" applyAlignment="1">
      <alignment horizontal="center" vertical="top"/>
    </xf>
    <xf numFmtId="2" fontId="2" fillId="0" borderId="3" xfId="0" applyNumberFormat="1" applyFont="1" applyBorder="1" applyAlignment="1">
      <alignment horizontal="center" vertical="top"/>
    </xf>
    <xf numFmtId="173" fontId="2" fillId="0" borderId="4" xfId="0" applyNumberFormat="1" applyFont="1" applyBorder="1" applyAlignment="1">
      <alignment horizontal="center" vertical="top"/>
    </xf>
    <xf numFmtId="173" fontId="2" fillId="0" borderId="8" xfId="0" applyNumberFormat="1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tabSelected="1" zoomScale="125" workbookViewId="0">
      <pane xSplit="2" ySplit="3" topLeftCell="P4" activePane="bottomRight" state="frozenSplit"/>
      <selection pane="topRight" activeCell="B1" sqref="B1"/>
      <selection pane="bottomLeft" activeCell="A3" sqref="A3"/>
      <selection pane="bottomRight" activeCell="Z4" sqref="Z4"/>
    </sheetView>
  </sheetViews>
  <sheetFormatPr defaultColWidth="10.7265625" defaultRowHeight="12" customHeight="1"/>
  <cols>
    <col min="1" max="1" width="14.81640625" style="14" customWidth="1"/>
    <col min="2" max="2" width="8.54296875" style="14" customWidth="1"/>
    <col min="3" max="5" width="6.54296875" style="16" customWidth="1"/>
    <col min="6" max="6" width="4.453125" style="16" customWidth="1"/>
    <col min="7" max="7" width="5.54296875" style="16" customWidth="1"/>
    <col min="8" max="8" width="4.453125" style="16" customWidth="1"/>
    <col min="9" max="9" width="4.81640625" style="16" customWidth="1"/>
    <col min="10" max="10" width="4.453125" style="16" customWidth="1"/>
    <col min="11" max="11" width="4.81640625" style="16" customWidth="1"/>
    <col min="12" max="12" width="4.453125" style="16" customWidth="1"/>
    <col min="13" max="13" width="7.81640625" style="16" customWidth="1"/>
    <col min="14" max="14" width="5.1796875" style="16" customWidth="1"/>
    <col min="15" max="15" width="7.453125" style="16" customWidth="1"/>
    <col min="16" max="16" width="5.7265625" style="14" customWidth="1"/>
    <col min="17" max="18" width="5.54296875" style="14" customWidth="1"/>
    <col min="19" max="19" width="5.26953125" style="14" customWidth="1"/>
    <col min="20" max="20" width="5.54296875" style="14" customWidth="1"/>
    <col min="21" max="21" width="5.1796875" style="14" customWidth="1"/>
    <col min="22" max="22" width="6.54296875" style="14" customWidth="1"/>
    <col min="23" max="24" width="5.1796875" style="14" customWidth="1"/>
    <col min="25" max="25" width="3.81640625" style="14" customWidth="1"/>
    <col min="26" max="26" width="4.1796875" style="14" customWidth="1"/>
    <col min="27" max="16384" width="10.7265625" style="14"/>
  </cols>
  <sheetData>
    <row r="1" spans="1:26" s="2" customFormat="1" ht="10.5">
      <c r="A1" s="1"/>
      <c r="B1" s="2" t="s">
        <v>0</v>
      </c>
      <c r="C1" s="2" t="s">
        <v>1</v>
      </c>
      <c r="D1" s="2" t="s">
        <v>1</v>
      </c>
      <c r="E1" s="3" t="s">
        <v>1</v>
      </c>
      <c r="F1" s="2" t="s">
        <v>2</v>
      </c>
      <c r="G1" s="2" t="s">
        <v>2</v>
      </c>
      <c r="H1" s="3" t="s">
        <v>2</v>
      </c>
      <c r="I1" s="2" t="s">
        <v>3</v>
      </c>
      <c r="J1" s="2" t="s">
        <v>3</v>
      </c>
      <c r="K1" s="2" t="s">
        <v>4</v>
      </c>
      <c r="L1" s="2" t="s">
        <v>4</v>
      </c>
      <c r="M1" s="3" t="s">
        <v>5</v>
      </c>
      <c r="N1" s="2" t="s">
        <v>6</v>
      </c>
      <c r="O1" s="3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16</v>
      </c>
      <c r="Z1" s="2" t="s">
        <v>16</v>
      </c>
    </row>
    <row r="2" spans="1:26" s="9" customFormat="1" ht="10.5">
      <c r="A2" s="4" t="s">
        <v>17</v>
      </c>
      <c r="B2" s="5" t="s">
        <v>18</v>
      </c>
      <c r="C2" s="6" t="s">
        <v>19</v>
      </c>
      <c r="D2" s="6" t="s">
        <v>18</v>
      </c>
      <c r="E2" s="7">
        <v>4</v>
      </c>
      <c r="F2" s="6" t="s">
        <v>19</v>
      </c>
      <c r="G2" s="6" t="s">
        <v>18</v>
      </c>
      <c r="H2" s="7">
        <v>4</v>
      </c>
      <c r="I2" s="6" t="s">
        <v>20</v>
      </c>
      <c r="J2" s="7">
        <v>4</v>
      </c>
      <c r="K2" s="7" t="s">
        <v>20</v>
      </c>
      <c r="L2" s="7">
        <v>4</v>
      </c>
      <c r="M2" s="7">
        <v>4</v>
      </c>
      <c r="N2" s="6"/>
      <c r="O2" s="7">
        <v>4</v>
      </c>
      <c r="P2" s="8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10">
        <v>4</v>
      </c>
    </row>
    <row r="3" spans="1:26" s="12" customFormat="1" ht="10">
      <c r="A3" s="11" t="s">
        <v>31</v>
      </c>
      <c r="B3" s="12" t="s">
        <v>32</v>
      </c>
      <c r="C3" s="12" t="s">
        <v>33</v>
      </c>
      <c r="D3" s="12" t="s">
        <v>33</v>
      </c>
      <c r="E3" s="13" t="s">
        <v>33</v>
      </c>
      <c r="F3" s="12" t="s">
        <v>34</v>
      </c>
      <c r="G3" s="12" t="s">
        <v>34</v>
      </c>
      <c r="H3" s="13" t="s">
        <v>34</v>
      </c>
      <c r="I3" s="12" t="s">
        <v>35</v>
      </c>
      <c r="J3" s="12" t="s">
        <v>35</v>
      </c>
      <c r="K3" s="12" t="s">
        <v>36</v>
      </c>
      <c r="L3" s="12" t="s">
        <v>36</v>
      </c>
      <c r="M3" s="12" t="s">
        <v>32</v>
      </c>
      <c r="O3" s="13" t="s">
        <v>32</v>
      </c>
      <c r="P3" s="11"/>
      <c r="Q3" s="11"/>
      <c r="R3" s="11"/>
      <c r="S3" s="11"/>
      <c r="T3" s="11"/>
      <c r="U3" s="11"/>
      <c r="V3" s="11"/>
      <c r="W3" s="11"/>
      <c r="X3" s="11" t="s">
        <v>37</v>
      </c>
      <c r="Y3" s="11" t="s">
        <v>37</v>
      </c>
      <c r="Z3" s="11" t="s">
        <v>37</v>
      </c>
    </row>
    <row r="4" spans="1:26" ht="10">
      <c r="A4" s="14" t="s">
        <v>38</v>
      </c>
      <c r="B4" s="15" t="str">
        <f>VLOOKUP(O4,$D$9:$E$20,2)</f>
        <v>B+</v>
      </c>
      <c r="C4" s="16">
        <v>75</v>
      </c>
      <c r="D4" s="16" t="str">
        <f>VLOOKUP(C4,$C$9:$E$20,3)</f>
        <v>C</v>
      </c>
      <c r="E4" s="17">
        <f>VLOOKUP(C4,$C$9:$F$20,4)</f>
        <v>2</v>
      </c>
      <c r="F4" s="16">
        <v>85</v>
      </c>
      <c r="G4" s="16" t="str">
        <f>VLOOKUP(F4,$C$9:$E$20,3)</f>
        <v>B</v>
      </c>
      <c r="H4" s="17">
        <f>VLOOKUP(F4,$C$9:$F$20,4)</f>
        <v>3</v>
      </c>
      <c r="I4" s="16" t="s">
        <v>39</v>
      </c>
      <c r="J4" s="17">
        <f>VLOOKUP($I4,$G$9:$H$20,2)</f>
        <v>3</v>
      </c>
      <c r="K4" s="17" t="s">
        <v>40</v>
      </c>
      <c r="L4" s="17">
        <f>VLOOKUP($K4,$G$9:$H$20,2)</f>
        <v>3.6669999999999998</v>
      </c>
      <c r="M4" s="17">
        <f>(Z4*0.1)+(E4*0.25)+(H4*0.3)+(J4*0.15)+(L4*0.2)</f>
        <v>2.7833999999999999</v>
      </c>
      <c r="N4" s="18">
        <v>0.5</v>
      </c>
      <c r="O4" s="17">
        <f>M4+N4</f>
        <v>3.2833999999999999</v>
      </c>
      <c r="P4" s="15">
        <v>10</v>
      </c>
      <c r="Q4" s="15">
        <v>9</v>
      </c>
      <c r="R4" s="15">
        <v>10</v>
      </c>
      <c r="S4" s="15">
        <v>7</v>
      </c>
      <c r="T4" s="15">
        <v>0</v>
      </c>
      <c r="U4" s="15">
        <v>8</v>
      </c>
      <c r="V4" s="15">
        <v>9</v>
      </c>
      <c r="W4" s="15">
        <v>8</v>
      </c>
      <c r="X4" s="19">
        <f>SUM(P4:W4)*100/80</f>
        <v>76.25</v>
      </c>
      <c r="Y4" s="20" t="str">
        <f>VLOOKUP(X4,$C$9:$E$20,3)</f>
        <v>C</v>
      </c>
      <c r="Z4" s="21">
        <f>VLOOKUP(X4,$C$9:$F$20,4)</f>
        <v>2</v>
      </c>
    </row>
    <row r="5" spans="1:26" ht="10">
      <c r="A5" s="14" t="s">
        <v>41</v>
      </c>
      <c r="B5" s="15" t="e">
        <f>VLOOKUP(O5,$D$9:$E$20,2)</f>
        <v>#N/A</v>
      </c>
      <c r="D5" s="16" t="str">
        <f>VLOOKUP(C5,$C$9:$E$20,3)</f>
        <v>F</v>
      </c>
      <c r="E5" s="17">
        <f>VLOOKUP(C5,$C$9:$F$20,4)</f>
        <v>0</v>
      </c>
      <c r="G5" s="16" t="str">
        <f>VLOOKUP(F5,$C$9:$E$20,3)</f>
        <v>F</v>
      </c>
      <c r="H5" s="17">
        <f>VLOOKUP(F5,$C$9:$F$20,4)</f>
        <v>0</v>
      </c>
      <c r="J5" s="17" t="e">
        <f>VLOOKUP($I5,$G$9:$H$20,2)</f>
        <v>#N/A</v>
      </c>
      <c r="K5" s="17"/>
      <c r="L5" s="17" t="e">
        <f>VLOOKUP($K5,$G$9:$H$20,2)</f>
        <v>#N/A</v>
      </c>
      <c r="M5" s="17" t="e">
        <f>(Z5*0.1)+(E5*0.25)+(H5*0.3)+(J5*0.15)+(L5*0.2)</f>
        <v>#N/A</v>
      </c>
      <c r="N5" s="18"/>
      <c r="O5" s="17" t="e">
        <f>M5+N5</f>
        <v>#N/A</v>
      </c>
      <c r="P5" s="15"/>
      <c r="Q5" s="15"/>
      <c r="R5" s="15"/>
      <c r="S5" s="15"/>
      <c r="T5" s="15"/>
      <c r="U5" s="15"/>
      <c r="V5" s="15"/>
      <c r="W5" s="15"/>
      <c r="X5" s="19">
        <f>SUM(P5:W5)*100/80</f>
        <v>0</v>
      </c>
      <c r="Y5" s="20" t="str">
        <f>VLOOKUP(X5,$C$9:$E$20,3)</f>
        <v>F</v>
      </c>
      <c r="Z5" s="21">
        <f>VLOOKUP(X5,$C$9:$F$20,4)</f>
        <v>0</v>
      </c>
    </row>
    <row r="6" spans="1:26" ht="14" customHeight="1">
      <c r="N6" s="31"/>
    </row>
    <row r="7" spans="1:26" ht="14" customHeight="1">
      <c r="A7" s="14" t="s">
        <v>42</v>
      </c>
      <c r="N7" s="32" t="s">
        <v>43</v>
      </c>
    </row>
    <row r="8" spans="1:26" ht="12.75" customHeight="1">
      <c r="A8" s="14" t="s">
        <v>44</v>
      </c>
      <c r="C8"/>
      <c r="D8"/>
      <c r="E8"/>
      <c r="F8"/>
      <c r="G8"/>
      <c r="H8"/>
      <c r="I8"/>
      <c r="J8" s="17"/>
      <c r="K8" s="17"/>
      <c r="L8" s="17"/>
      <c r="N8" s="31" t="s">
        <v>45</v>
      </c>
    </row>
    <row r="9" spans="1:26" ht="12.75" customHeight="1">
      <c r="A9" s="14" t="s">
        <v>46</v>
      </c>
      <c r="C9" s="22">
        <v>0</v>
      </c>
      <c r="D9" s="23">
        <v>0</v>
      </c>
      <c r="E9" s="24" t="s">
        <v>47</v>
      </c>
      <c r="F9" s="23">
        <v>0</v>
      </c>
      <c r="G9" s="24" t="s">
        <v>48</v>
      </c>
      <c r="H9" s="25">
        <v>4</v>
      </c>
      <c r="I9"/>
      <c r="J9" s="17"/>
      <c r="K9" s="17"/>
      <c r="L9" s="17"/>
    </row>
    <row r="10" spans="1:26" ht="12.75" customHeight="1">
      <c r="A10" s="14" t="s">
        <v>49</v>
      </c>
      <c r="C10" s="26">
        <v>60</v>
      </c>
      <c r="D10" s="17">
        <v>0.499</v>
      </c>
      <c r="E10" s="16" t="s">
        <v>50</v>
      </c>
      <c r="F10" s="17">
        <v>0.66700000000000004</v>
      </c>
      <c r="G10" s="16" t="s">
        <v>40</v>
      </c>
      <c r="H10" s="27">
        <v>3.6669999999999998</v>
      </c>
      <c r="I10"/>
      <c r="J10" s="17"/>
      <c r="K10" s="17"/>
      <c r="L10" s="17"/>
      <c r="P10"/>
      <c r="Q10"/>
      <c r="R10"/>
      <c r="S10"/>
      <c r="T10"/>
      <c r="U10"/>
      <c r="V10"/>
    </row>
    <row r="11" spans="1:26" ht="12.75" customHeight="1">
      <c r="A11" s="14" t="s">
        <v>51</v>
      </c>
      <c r="C11" s="26">
        <v>62</v>
      </c>
      <c r="D11" s="17">
        <v>0.83199999999999996</v>
      </c>
      <c r="E11" s="16" t="s">
        <v>52</v>
      </c>
      <c r="F11" s="17">
        <v>1</v>
      </c>
      <c r="G11" s="16" t="s">
        <v>39</v>
      </c>
      <c r="H11" s="27">
        <v>3</v>
      </c>
      <c r="I11"/>
      <c r="J11" s="17"/>
      <c r="K11" s="17"/>
      <c r="L11" s="15"/>
      <c r="M11" s="17"/>
      <c r="P11"/>
      <c r="Q11"/>
      <c r="R11"/>
      <c r="S11"/>
      <c r="T11"/>
      <c r="U11"/>
      <c r="V11"/>
    </row>
    <row r="12" spans="1:26" ht="12.75" customHeight="1">
      <c r="A12" s="14" t="s">
        <v>53</v>
      </c>
      <c r="C12" s="26">
        <v>68</v>
      </c>
      <c r="D12" s="17">
        <v>1.1659999999999999</v>
      </c>
      <c r="E12" s="16" t="s">
        <v>54</v>
      </c>
      <c r="F12" s="17">
        <v>1.333</v>
      </c>
      <c r="G12" s="16" t="s">
        <v>55</v>
      </c>
      <c r="H12" s="27">
        <v>2.6669999999999998</v>
      </c>
      <c r="I12"/>
      <c r="J12" s="17"/>
      <c r="K12" s="17"/>
      <c r="L12" s="17"/>
      <c r="P12"/>
      <c r="Q12"/>
      <c r="R12"/>
      <c r="S12"/>
      <c r="T12"/>
      <c r="U12"/>
      <c r="V12"/>
    </row>
    <row r="13" spans="1:26" ht="12.75" customHeight="1">
      <c r="A13" s="14" t="s">
        <v>56</v>
      </c>
      <c r="C13" s="26">
        <v>70</v>
      </c>
      <c r="D13" s="17">
        <v>1.4990000000000001</v>
      </c>
      <c r="E13" s="16" t="s">
        <v>57</v>
      </c>
      <c r="F13" s="17">
        <v>1.667</v>
      </c>
      <c r="G13" s="16" t="s">
        <v>58</v>
      </c>
      <c r="H13" s="27">
        <v>3.3330000000000002</v>
      </c>
      <c r="I13"/>
      <c r="J13" s="17"/>
      <c r="K13" s="17"/>
      <c r="L13" s="15"/>
      <c r="P13"/>
      <c r="Q13"/>
      <c r="R13"/>
      <c r="S13"/>
      <c r="T13"/>
      <c r="U13"/>
      <c r="V13"/>
    </row>
    <row r="14" spans="1:26" ht="12.75" customHeight="1">
      <c r="A14" s="14" t="s">
        <v>59</v>
      </c>
      <c r="C14" s="26">
        <v>72</v>
      </c>
      <c r="D14" s="17">
        <v>1.8320000000000001</v>
      </c>
      <c r="E14" s="16" t="s">
        <v>60</v>
      </c>
      <c r="F14" s="17">
        <v>2</v>
      </c>
      <c r="G14" s="16" t="s">
        <v>60</v>
      </c>
      <c r="H14" s="27">
        <v>2</v>
      </c>
      <c r="I14"/>
      <c r="J14" s="17"/>
      <c r="K14" s="17"/>
      <c r="L14" s="17"/>
      <c r="P14"/>
      <c r="Q14"/>
      <c r="R14"/>
      <c r="S14"/>
      <c r="T14"/>
      <c r="U14"/>
      <c r="V14"/>
    </row>
    <row r="15" spans="1:26" ht="12.75" customHeight="1">
      <c r="A15" s="14" t="s">
        <v>61</v>
      </c>
      <c r="C15" s="26">
        <v>78</v>
      </c>
      <c r="D15" s="17">
        <v>2.1659999999999999</v>
      </c>
      <c r="E15" s="16" t="s">
        <v>62</v>
      </c>
      <c r="F15" s="17">
        <v>2.3330000000000002</v>
      </c>
      <c r="G15" s="16" t="s">
        <v>63</v>
      </c>
      <c r="H15" s="27">
        <v>1.667</v>
      </c>
      <c r="I15"/>
      <c r="J15" s="17"/>
      <c r="K15" s="17"/>
      <c r="L15" s="17"/>
      <c r="P15"/>
      <c r="Q15"/>
      <c r="R15"/>
      <c r="S15"/>
      <c r="T15"/>
      <c r="U15"/>
      <c r="V15"/>
    </row>
    <row r="16" spans="1:26" ht="12.75" customHeight="1">
      <c r="C16" s="26">
        <v>80</v>
      </c>
      <c r="D16" s="17">
        <v>2.4990000000000001</v>
      </c>
      <c r="E16" s="16" t="s">
        <v>64</v>
      </c>
      <c r="F16" s="17">
        <v>2.6669999999999998</v>
      </c>
      <c r="G16" s="16" t="s">
        <v>65</v>
      </c>
      <c r="H16" s="27">
        <v>2.3330000000000002</v>
      </c>
      <c r="I16"/>
      <c r="J16" s="17"/>
      <c r="K16" s="17"/>
      <c r="L16" s="17"/>
      <c r="P16"/>
      <c r="Q16"/>
      <c r="R16"/>
      <c r="S16"/>
      <c r="T16"/>
      <c r="U16"/>
      <c r="V16"/>
    </row>
    <row r="17" spans="3:22" ht="12.75" customHeight="1">
      <c r="C17" s="26">
        <v>82</v>
      </c>
      <c r="D17" s="17">
        <v>2.8319999999999999</v>
      </c>
      <c r="E17" s="16" t="s">
        <v>39</v>
      </c>
      <c r="F17" s="17">
        <v>3</v>
      </c>
      <c r="G17" s="16" t="s">
        <v>52</v>
      </c>
      <c r="H17" s="27">
        <v>1</v>
      </c>
      <c r="I17"/>
      <c r="J17" s="17"/>
      <c r="K17" s="17"/>
      <c r="L17" s="17"/>
      <c r="P17"/>
      <c r="Q17"/>
      <c r="R17"/>
      <c r="S17"/>
      <c r="T17"/>
      <c r="U17"/>
      <c r="V17"/>
    </row>
    <row r="18" spans="3:22" ht="12.75" customHeight="1">
      <c r="C18" s="26">
        <v>88</v>
      </c>
      <c r="D18" s="17">
        <v>3.1659999999999999</v>
      </c>
      <c r="E18" s="16" t="s">
        <v>66</v>
      </c>
      <c r="F18" s="17">
        <v>3.3330000000000002</v>
      </c>
      <c r="G18" s="16" t="s">
        <v>67</v>
      </c>
      <c r="H18" s="27">
        <v>0.66700000000000004</v>
      </c>
      <c r="I18"/>
      <c r="J18" s="17"/>
      <c r="K18" s="17"/>
      <c r="L18" s="17"/>
      <c r="P18"/>
      <c r="Q18"/>
      <c r="R18"/>
      <c r="S18"/>
      <c r="T18"/>
      <c r="U18"/>
      <c r="V18"/>
    </row>
    <row r="19" spans="3:22" ht="14" customHeight="1">
      <c r="C19" s="26">
        <v>90</v>
      </c>
      <c r="D19" s="17">
        <v>3.4990000000000001</v>
      </c>
      <c r="E19" s="16" t="s">
        <v>68</v>
      </c>
      <c r="F19" s="17">
        <v>3.6669999999999998</v>
      </c>
      <c r="G19" s="16" t="s">
        <v>69</v>
      </c>
      <c r="H19" s="27">
        <v>1.333</v>
      </c>
      <c r="I19"/>
      <c r="J19" s="17"/>
      <c r="K19" s="17"/>
      <c r="L19" s="17"/>
      <c r="P19"/>
      <c r="Q19"/>
      <c r="R19"/>
      <c r="S19"/>
      <c r="T19"/>
      <c r="U19"/>
      <c r="V19"/>
    </row>
    <row r="20" spans="3:22" ht="12" customHeight="1">
      <c r="C20" s="28">
        <v>92</v>
      </c>
      <c r="D20" s="29">
        <v>3.8319999999999999</v>
      </c>
      <c r="E20" s="12" t="s">
        <v>48</v>
      </c>
      <c r="F20" s="29">
        <v>4</v>
      </c>
      <c r="G20" s="12" t="s">
        <v>47</v>
      </c>
      <c r="H20" s="30">
        <v>0</v>
      </c>
      <c r="P20"/>
      <c r="Q20"/>
      <c r="R20"/>
      <c r="S20"/>
      <c r="T20"/>
      <c r="U20"/>
      <c r="V20"/>
    </row>
    <row r="21" spans="3:22" ht="12" customHeight="1">
      <c r="P21"/>
      <c r="Q21"/>
      <c r="R21"/>
      <c r="S21"/>
      <c r="T21"/>
      <c r="U21"/>
      <c r="V21"/>
    </row>
  </sheetData>
  <printOptions horizontalCentered="1" headings="1" gridLines="1" gridLinesSet="0"/>
  <pageMargins left="0.5" right="0.5" top="0.75" bottom="0.5" header="0.5" footer="0.5"/>
  <pageSetup paperSize="0" scale="80" fitToWidth="2" orientation="landscape" horizontalDpi="4294967292" verticalDpi="4294967292"/>
  <headerFooter alignWithMargins="0">
    <oddHeader>&amp;CIBM 414 - Grade Calculation</oddHeader>
  </headerFooter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IBM414</vt:lpstr>
      <vt:lpstr>IBM414!Print_Area</vt:lpstr>
      <vt:lpstr>Print_Area</vt:lpstr>
      <vt:lpstr>IBM414!Print_Titles</vt:lpstr>
      <vt:lpstr>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Kirkpatrick</dc:creator>
  <cp:lastModifiedBy>Carina Negreanu</cp:lastModifiedBy>
  <dcterms:created xsi:type="dcterms:W3CDTF">2020-01-27T11:12:22Z</dcterms:created>
  <dcterms:modified xsi:type="dcterms:W3CDTF">2020-01-27T11:12:22Z</dcterms:modified>
</cp:coreProperties>
</file>