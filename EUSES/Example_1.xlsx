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F15D420-80C8-498F-8B38-1E340DA236FB}" xr6:coauthVersionLast="45" xr6:coauthVersionMax="45" xr10:uidLastSave="{00000000-0000-0000-0000-000000000000}"/>
  <bookViews>
    <workbookView xWindow="1900" yWindow="1900" windowWidth="28800" windowHeight="15460" activeTab="3"/>
  </bookViews>
  <sheets>
    <sheet name="Q4 Homework" sheetId="2" r:id="rId1"/>
    <sheet name="Q4 Summary" sheetId="3" r:id="rId2"/>
    <sheet name="Year Summary" sheetId="1" r:id="rId3"/>
    <sheet name="Chart of Quarter Grades" sheetId="4" r:id="rId4"/>
  </sheets>
  <definedNames>
    <definedName name="_xlnm._FilterDatabase" localSheetId="1" hidden="1">'Q4 Summary'!$A$1:$G$12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E8" i="3" s="1"/>
  <c r="F8" i="3" s="1"/>
  <c r="G8" i="3" s="1"/>
  <c r="G6" i="1" s="1"/>
  <c r="H6" i="1" s="1"/>
  <c r="I6" i="1" s="1"/>
  <c r="H8" i="2"/>
  <c r="E9" i="3" s="1"/>
  <c r="F9" i="3" s="1"/>
  <c r="G9" i="3" s="1"/>
  <c r="G7" i="1" s="1"/>
  <c r="H7" i="1" s="1"/>
  <c r="I7" i="1" s="1"/>
  <c r="H9" i="2"/>
  <c r="H10" i="2"/>
  <c r="H11" i="2"/>
  <c r="H2" i="2"/>
  <c r="E3" i="3"/>
  <c r="F3" i="3"/>
  <c r="E5" i="3"/>
  <c r="F5" i="3"/>
  <c r="G5" i="3"/>
  <c r="G3" i="1" s="1"/>
  <c r="H3" i="1" s="1"/>
  <c r="I3" i="1" s="1"/>
  <c r="E6" i="3"/>
  <c r="F6" i="3"/>
  <c r="G6" i="3"/>
  <c r="G4" i="1" s="1"/>
  <c r="H4" i="1" s="1"/>
  <c r="I4" i="1" s="1"/>
  <c r="E7" i="3"/>
  <c r="F7" i="3"/>
  <c r="G7" i="3" s="1"/>
  <c r="G5" i="1" s="1"/>
  <c r="H5" i="1" s="1"/>
  <c r="I5" i="1" s="1"/>
  <c r="E10" i="3"/>
  <c r="F10" i="3"/>
  <c r="G10" i="3" s="1"/>
  <c r="G8" i="1" s="1"/>
  <c r="H8" i="1" s="1"/>
  <c r="I8" i="1" s="1"/>
  <c r="E11" i="3"/>
  <c r="F11" i="3"/>
  <c r="G11" i="3" s="1"/>
  <c r="G9" i="1" s="1"/>
  <c r="H9" i="1" s="1"/>
  <c r="I9" i="1" s="1"/>
  <c r="E12" i="3"/>
  <c r="F12" i="3" s="1"/>
  <c r="G12" i="3" s="1"/>
  <c r="G10" i="1" s="1"/>
  <c r="H10" i="1" s="1"/>
  <c r="I10" i="1" s="1"/>
  <c r="E4" i="3"/>
  <c r="F4" i="3"/>
  <c r="G4" i="3"/>
  <c r="G2" i="1" s="1"/>
  <c r="F2" i="3"/>
  <c r="E11" i="1"/>
  <c r="F11" i="1"/>
  <c r="D11" i="1"/>
  <c r="H2" i="1" l="1"/>
  <c r="G11" i="1"/>
  <c r="H11" i="1" l="1"/>
  <c r="I11" i="1" s="1"/>
  <c r="I2" i="1"/>
</calcChain>
</file>

<file path=xl/sharedStrings.xml><?xml version="1.0" encoding="utf-8"?>
<sst xmlns="http://schemas.openxmlformats.org/spreadsheetml/2006/main" count="64" uniqueCount="45">
  <si>
    <t>Last</t>
  </si>
  <si>
    <t>First</t>
  </si>
  <si>
    <t>SSN</t>
  </si>
  <si>
    <t>Q1</t>
  </si>
  <si>
    <t>Q2</t>
  </si>
  <si>
    <t>Q3</t>
  </si>
  <si>
    <t>Q4</t>
  </si>
  <si>
    <t>Final Average</t>
  </si>
  <si>
    <t>Final Grade</t>
  </si>
  <si>
    <t>Class Average</t>
  </si>
  <si>
    <t>Evans</t>
  </si>
  <si>
    <t>Garcia</t>
  </si>
  <si>
    <t xml:space="preserve">Catalini </t>
  </si>
  <si>
    <t>Brantley</t>
  </si>
  <si>
    <t>Tierney</t>
  </si>
  <si>
    <t>Jones</t>
  </si>
  <si>
    <t>Seaborne</t>
  </si>
  <si>
    <t>Summers</t>
  </si>
  <si>
    <t>Handleman</t>
  </si>
  <si>
    <t>Robert</t>
  </si>
  <si>
    <t>James</t>
  </si>
  <si>
    <t>Daya</t>
  </si>
  <si>
    <t xml:space="preserve">Ellie </t>
  </si>
  <si>
    <t>Gavin</t>
  </si>
  <si>
    <t>Dorothy</t>
  </si>
  <si>
    <t>Lisa</t>
  </si>
  <si>
    <t xml:space="preserve">Kathleen </t>
  </si>
  <si>
    <t>Skippy</t>
  </si>
  <si>
    <t>Assignment:</t>
  </si>
  <si>
    <t>Points Possible:</t>
  </si>
  <si>
    <t>Conservation Essay</t>
  </si>
  <si>
    <t>Ch. 8 Questions</t>
  </si>
  <si>
    <t>Ch. 9 Summary</t>
  </si>
  <si>
    <t>Problems # 2-20</t>
  </si>
  <si>
    <t>Collage</t>
  </si>
  <si>
    <t>Personal Shield</t>
  </si>
  <si>
    <t>Total</t>
  </si>
  <si>
    <t>Category:</t>
  </si>
  <si>
    <t>Tests</t>
  </si>
  <si>
    <t>Quizzes</t>
  </si>
  <si>
    <t>Projects</t>
  </si>
  <si>
    <t>Homework</t>
  </si>
  <si>
    <t>Weighted Score</t>
  </si>
  <si>
    <t>Weighted Average</t>
  </si>
  <si>
    <t>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</si>
</sst>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00\-00\-0000"/>
    <numFmt numFmtId="173" formatCode="0.0"/>
  </numFmts>
  <fonts count="5" x14ac:knownFonts="1">
    <font>
      <sz val="10"/>
      <name val="Arial"/>
    </font>
    <font>
      <b/>
      <sz val="10"/>
      <name val="Arial"/>
      <family val="2"/>
    </font>
    <font>
      <sz val="9.75"/>
      <name val="Arial"/>
      <family val="2"/>
    </font>
    <font>
      <sz val="9.75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172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73" fontId="0" fillId="0" borderId="2" xfId="0" applyNumberForma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Quarter Grades 2001-2002</a:t>
            </a:r>
          </a:p>
        </c:rich>
      </c:tx>
      <c:layout>
        <c:manualLayout>
          <c:xMode val="edge"/>
          <c:yMode val="edge"/>
          <c:x val="0.3979310344827586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137931034482755E-2"/>
          <c:y val="0.1595022624434389"/>
          <c:w val="0.94689655172413789"/>
          <c:h val="0.77488687782805432"/>
        </c:manualLayout>
      </c:layout>
      <c:barChart>
        <c:barDir val="col"/>
        <c:grouping val="clustered"/>
        <c:varyColors val="0"/>
        <c:ser>
          <c:idx val="0"/>
          <c:order val="0"/>
          <c:tx>
            <c:v>1st Quarter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 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Summary'!$D$2:$D$10</c:f>
              <c:numCache>
                <c:formatCode>General</c:formatCode>
                <c:ptCount val="9"/>
                <c:pt idx="0">
                  <c:v>87</c:v>
                </c:pt>
                <c:pt idx="1">
                  <c:v>90</c:v>
                </c:pt>
                <c:pt idx="2">
                  <c:v>82</c:v>
                </c:pt>
                <c:pt idx="3">
                  <c:v>88</c:v>
                </c:pt>
                <c:pt idx="4">
                  <c:v>79</c:v>
                </c:pt>
                <c:pt idx="5">
                  <c:v>95</c:v>
                </c:pt>
                <c:pt idx="6">
                  <c:v>80</c:v>
                </c:pt>
                <c:pt idx="7">
                  <c:v>92</c:v>
                </c:pt>
                <c:pt idx="8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2-455F-A2CC-EAB63791BF3F}"/>
            </c:ext>
          </c:extLst>
        </c:ser>
        <c:ser>
          <c:idx val="1"/>
          <c:order val="1"/>
          <c:tx>
            <c:v>2nd Quarter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'Year Summary'!$E$2:$E$10</c:f>
              <c:numCache>
                <c:formatCode>General</c:formatCode>
                <c:ptCount val="9"/>
                <c:pt idx="0">
                  <c:v>94</c:v>
                </c:pt>
                <c:pt idx="1">
                  <c:v>89</c:v>
                </c:pt>
                <c:pt idx="2">
                  <c:v>79</c:v>
                </c:pt>
                <c:pt idx="3">
                  <c:v>92</c:v>
                </c:pt>
                <c:pt idx="4">
                  <c:v>80</c:v>
                </c:pt>
                <c:pt idx="5">
                  <c:v>100</c:v>
                </c:pt>
                <c:pt idx="6">
                  <c:v>79</c:v>
                </c:pt>
                <c:pt idx="7">
                  <c:v>89</c:v>
                </c:pt>
                <c:pt idx="8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62-455F-A2CC-EAB63791BF3F}"/>
            </c:ext>
          </c:extLst>
        </c:ser>
        <c:ser>
          <c:idx val="2"/>
          <c:order val="2"/>
          <c:tx>
            <c:v>3rd Quarter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'Year Summary'!$F$2:$F$10</c:f>
              <c:numCache>
                <c:formatCode>General</c:formatCode>
                <c:ptCount val="9"/>
                <c:pt idx="0">
                  <c:v>90</c:v>
                </c:pt>
                <c:pt idx="1">
                  <c:v>93</c:v>
                </c:pt>
                <c:pt idx="2">
                  <c:v>80</c:v>
                </c:pt>
                <c:pt idx="3">
                  <c:v>90</c:v>
                </c:pt>
                <c:pt idx="4">
                  <c:v>84</c:v>
                </c:pt>
                <c:pt idx="5">
                  <c:v>100</c:v>
                </c:pt>
                <c:pt idx="6">
                  <c:v>74</c:v>
                </c:pt>
                <c:pt idx="7">
                  <c:v>85</c:v>
                </c:pt>
                <c:pt idx="8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62-455F-A2CC-EAB63791BF3F}"/>
            </c:ext>
          </c:extLst>
        </c:ser>
        <c:ser>
          <c:idx val="3"/>
          <c:order val="3"/>
          <c:tx>
            <c:v>4th Quarter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'Year Summary'!$G$2:$G$10</c:f>
              <c:numCache>
                <c:formatCode>0</c:formatCode>
                <c:ptCount val="9"/>
                <c:pt idx="0">
                  <c:v>98.366666666666674</c:v>
                </c:pt>
                <c:pt idx="1">
                  <c:v>94.766666666666666</c:v>
                </c:pt>
                <c:pt idx="2">
                  <c:v>84.333333333333343</c:v>
                </c:pt>
                <c:pt idx="3">
                  <c:v>96.566666666666663</c:v>
                </c:pt>
                <c:pt idx="4">
                  <c:v>90.533333333333346</c:v>
                </c:pt>
                <c:pt idx="5">
                  <c:v>97.133333333333326</c:v>
                </c:pt>
                <c:pt idx="6">
                  <c:v>82.333333333333343</c:v>
                </c:pt>
                <c:pt idx="7">
                  <c:v>98.733333333333334</c:v>
                </c:pt>
                <c:pt idx="8">
                  <c:v>93.433333333333337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62-455F-A2CC-EAB63791B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1897407"/>
        <c:axId val="1"/>
      </c:barChart>
      <c:catAx>
        <c:axId val="791897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18974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33379310344827584"/>
          <c:y val="8.7104072398190041E-2"/>
          <c:w val="0.36758620689655175"/>
          <c:h val="3.61990950226244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E663E8-E138-4C57-B6F2-62F8938D6C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sqref="A1:A65536"/>
    </sheetView>
  </sheetViews>
  <sheetFormatPr defaultColWidth="9.1796875" defaultRowHeight="12.5" x14ac:dyDescent="0.25"/>
  <cols>
    <col min="1" max="1" width="15.453125" style="25" bestFit="1" customWidth="1"/>
    <col min="2" max="2" width="18.7265625" style="12" bestFit="1" customWidth="1"/>
    <col min="3" max="3" width="15.1796875" style="12" bestFit="1" customWidth="1"/>
    <col min="4" max="4" width="15" style="12" bestFit="1" customWidth="1"/>
    <col min="5" max="5" width="15.453125" style="12" bestFit="1" customWidth="1"/>
    <col min="6" max="6" width="8" style="12" bestFit="1" customWidth="1"/>
    <col min="7" max="7" width="15.54296875" style="12" bestFit="1" customWidth="1"/>
    <col min="8" max="8" width="5.54296875" style="12" bestFit="1" customWidth="1"/>
    <col min="9" max="16384" width="9.1796875" style="12"/>
  </cols>
  <sheetData>
    <row r="1" spans="1:8" ht="13" x14ac:dyDescent="0.3">
      <c r="A1" s="20" t="s">
        <v>28</v>
      </c>
      <c r="B1" s="14" t="s">
        <v>30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5" t="s">
        <v>36</v>
      </c>
    </row>
    <row r="2" spans="1:8" ht="13.5" thickBot="1" x14ac:dyDescent="0.35">
      <c r="A2" s="22" t="s">
        <v>29</v>
      </c>
      <c r="B2" s="16">
        <v>100</v>
      </c>
      <c r="C2" s="16">
        <v>25</v>
      </c>
      <c r="D2" s="16">
        <v>25</v>
      </c>
      <c r="E2" s="16">
        <v>25</v>
      </c>
      <c r="F2" s="16">
        <v>50</v>
      </c>
      <c r="G2" s="16">
        <v>75</v>
      </c>
      <c r="H2" s="17">
        <f>SUM(B2:G2)</f>
        <v>300</v>
      </c>
    </row>
    <row r="3" spans="1:8" x14ac:dyDescent="0.25">
      <c r="A3" s="23" t="s">
        <v>13</v>
      </c>
      <c r="B3" s="6">
        <v>95</v>
      </c>
      <c r="C3" s="6">
        <v>23</v>
      </c>
      <c r="D3" s="6">
        <v>25</v>
      </c>
      <c r="E3" s="6">
        <v>20</v>
      </c>
      <c r="F3" s="6">
        <v>50</v>
      </c>
      <c r="G3" s="6">
        <v>75</v>
      </c>
      <c r="H3" s="6">
        <f t="shared" ref="H3:H11" si="0">SUM(B3:G3)</f>
        <v>288</v>
      </c>
    </row>
    <row r="4" spans="1:8" x14ac:dyDescent="0.25">
      <c r="A4" s="24" t="s">
        <v>12</v>
      </c>
      <c r="B4" s="1">
        <v>84</v>
      </c>
      <c r="C4" s="1">
        <v>23</v>
      </c>
      <c r="D4" s="1">
        <v>25</v>
      </c>
      <c r="E4" s="1">
        <v>23</v>
      </c>
      <c r="F4" s="1">
        <v>45</v>
      </c>
      <c r="G4" s="1">
        <v>69</v>
      </c>
      <c r="H4" s="1">
        <f t="shared" si="0"/>
        <v>269</v>
      </c>
    </row>
    <row r="5" spans="1:8" x14ac:dyDescent="0.25">
      <c r="A5" s="24" t="s">
        <v>10</v>
      </c>
      <c r="B5" s="1">
        <v>81</v>
      </c>
      <c r="C5" s="1">
        <v>21</v>
      </c>
      <c r="D5" s="1">
        <v>25</v>
      </c>
      <c r="E5" s="1">
        <v>25</v>
      </c>
      <c r="F5" s="1">
        <v>50</v>
      </c>
      <c r="G5" s="1">
        <v>71</v>
      </c>
      <c r="H5" s="1">
        <f t="shared" si="0"/>
        <v>273</v>
      </c>
    </row>
    <row r="6" spans="1:8" x14ac:dyDescent="0.25">
      <c r="A6" s="24" t="s">
        <v>11</v>
      </c>
      <c r="B6" s="1">
        <v>89</v>
      </c>
      <c r="C6" s="1">
        <v>24</v>
      </c>
      <c r="D6" s="1">
        <v>25</v>
      </c>
      <c r="E6" s="1">
        <v>19</v>
      </c>
      <c r="F6" s="1">
        <v>49</v>
      </c>
      <c r="G6" s="1">
        <v>75</v>
      </c>
      <c r="H6" s="1">
        <f t="shared" si="0"/>
        <v>281</v>
      </c>
    </row>
    <row r="7" spans="1:8" x14ac:dyDescent="0.25">
      <c r="A7" s="24" t="s">
        <v>18</v>
      </c>
      <c r="B7" s="1">
        <v>78</v>
      </c>
      <c r="C7" s="1">
        <v>22</v>
      </c>
      <c r="D7" s="1">
        <v>21</v>
      </c>
      <c r="E7" s="1">
        <v>20</v>
      </c>
      <c r="F7" s="1">
        <v>40</v>
      </c>
      <c r="G7" s="1">
        <v>73</v>
      </c>
      <c r="H7" s="1">
        <f t="shared" si="0"/>
        <v>254</v>
      </c>
    </row>
    <row r="8" spans="1:8" x14ac:dyDescent="0.25">
      <c r="A8" s="24" t="s">
        <v>15</v>
      </c>
      <c r="B8" s="1">
        <v>87</v>
      </c>
      <c r="C8" s="1">
        <v>25</v>
      </c>
      <c r="D8" s="1">
        <v>25</v>
      </c>
      <c r="E8" s="1">
        <v>20</v>
      </c>
      <c r="F8" s="1">
        <v>50</v>
      </c>
      <c r="G8" s="1">
        <v>70</v>
      </c>
      <c r="H8" s="1">
        <f t="shared" si="0"/>
        <v>277</v>
      </c>
    </row>
    <row r="9" spans="1:8" x14ac:dyDescent="0.25">
      <c r="A9" s="24" t="s">
        <v>16</v>
      </c>
      <c r="B9" s="1">
        <v>80</v>
      </c>
      <c r="C9" s="1">
        <v>21</v>
      </c>
      <c r="D9" s="1">
        <v>23</v>
      </c>
      <c r="E9" s="1">
        <v>20</v>
      </c>
      <c r="F9" s="1">
        <v>42</v>
      </c>
      <c r="G9" s="1">
        <v>65</v>
      </c>
      <c r="H9" s="1">
        <f t="shared" si="0"/>
        <v>251</v>
      </c>
    </row>
    <row r="10" spans="1:8" x14ac:dyDescent="0.25">
      <c r="A10" s="24" t="s">
        <v>17</v>
      </c>
      <c r="B10" s="1">
        <v>94</v>
      </c>
      <c r="C10" s="1">
        <v>25</v>
      </c>
      <c r="D10" s="1">
        <v>25</v>
      </c>
      <c r="E10" s="1">
        <v>25</v>
      </c>
      <c r="F10" s="1">
        <v>50</v>
      </c>
      <c r="G10" s="1">
        <v>72</v>
      </c>
      <c r="H10" s="1">
        <f t="shared" si="0"/>
        <v>291</v>
      </c>
    </row>
    <row r="11" spans="1:8" x14ac:dyDescent="0.25">
      <c r="A11" s="24" t="s">
        <v>14</v>
      </c>
      <c r="B11" s="1">
        <v>80</v>
      </c>
      <c r="C11" s="1">
        <v>23</v>
      </c>
      <c r="D11" s="1">
        <v>20</v>
      </c>
      <c r="E11" s="1">
        <v>25</v>
      </c>
      <c r="F11" s="1">
        <v>48</v>
      </c>
      <c r="G11" s="1">
        <v>73</v>
      </c>
      <c r="H11" s="1">
        <f t="shared" si="0"/>
        <v>269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20" sqref="D20"/>
    </sheetView>
  </sheetViews>
  <sheetFormatPr defaultColWidth="9.1796875" defaultRowHeight="12.5" x14ac:dyDescent="0.25"/>
  <cols>
    <col min="1" max="1" width="15.453125" style="25" bestFit="1" customWidth="1"/>
    <col min="2" max="2" width="5.54296875" style="12" bestFit="1" customWidth="1"/>
    <col min="3" max="3" width="8.1796875" style="12" bestFit="1" customWidth="1"/>
    <col min="4" max="4" width="8.26953125" style="12" bestFit="1" customWidth="1"/>
    <col min="5" max="5" width="10.7265625" style="12" bestFit="1" customWidth="1"/>
    <col min="6" max="6" width="15.7265625" style="12" bestFit="1" customWidth="1"/>
    <col min="7" max="7" width="18.1796875" style="12" bestFit="1" customWidth="1"/>
    <col min="8" max="16384" width="9.1796875" style="12"/>
  </cols>
  <sheetData>
    <row r="1" spans="1:7" ht="13" x14ac:dyDescent="0.3">
      <c r="A1" s="20" t="s">
        <v>37</v>
      </c>
      <c r="B1" s="14" t="s">
        <v>38</v>
      </c>
      <c r="C1" s="14" t="s">
        <v>39</v>
      </c>
      <c r="D1" s="14" t="s">
        <v>40</v>
      </c>
      <c r="E1" s="14" t="s">
        <v>41</v>
      </c>
      <c r="F1" s="14" t="s">
        <v>42</v>
      </c>
      <c r="G1" s="15" t="s">
        <v>43</v>
      </c>
    </row>
    <row r="2" spans="1:7" ht="13" x14ac:dyDescent="0.3">
      <c r="A2" s="21" t="s">
        <v>44</v>
      </c>
      <c r="B2" s="13">
        <v>0.3</v>
      </c>
      <c r="C2" s="13">
        <v>0.1</v>
      </c>
      <c r="D2" s="13">
        <v>0.4</v>
      </c>
      <c r="E2" s="13">
        <v>0.2</v>
      </c>
      <c r="F2" s="13">
        <f>SUM(B2:E2)</f>
        <v>1</v>
      </c>
      <c r="G2" s="18"/>
    </row>
    <row r="3" spans="1:7" ht="13.5" thickBot="1" x14ac:dyDescent="0.35">
      <c r="A3" s="22" t="s">
        <v>29</v>
      </c>
      <c r="B3" s="16">
        <v>300</v>
      </c>
      <c r="C3" s="16">
        <v>300</v>
      </c>
      <c r="D3" s="16">
        <v>300</v>
      </c>
      <c r="E3" s="16">
        <f>'Q4 Homework'!H2</f>
        <v>300</v>
      </c>
      <c r="F3" s="16">
        <f>B3*0.3+C3*0+D3*0.4+E3*0.2</f>
        <v>270</v>
      </c>
      <c r="G3" s="19"/>
    </row>
    <row r="4" spans="1:7" x14ac:dyDescent="0.25">
      <c r="A4" s="23" t="s">
        <v>13</v>
      </c>
      <c r="B4" s="6">
        <v>300</v>
      </c>
      <c r="C4" s="6">
        <v>275</v>
      </c>
      <c r="D4" s="6">
        <v>300</v>
      </c>
      <c r="E4" s="6">
        <f>'Q4 Homework'!H3</f>
        <v>288</v>
      </c>
      <c r="F4" s="8">
        <f t="shared" ref="F4:F12" si="0">B4*0.3+C4*0.1+D4*0.4+E4*0.2</f>
        <v>295.10000000000002</v>
      </c>
      <c r="G4" s="9">
        <f>(F4/300)*100</f>
        <v>98.366666666666674</v>
      </c>
    </row>
    <row r="5" spans="1:7" x14ac:dyDescent="0.25">
      <c r="A5" s="24" t="s">
        <v>12</v>
      </c>
      <c r="B5" s="1">
        <v>280</v>
      </c>
      <c r="C5" s="1">
        <v>285</v>
      </c>
      <c r="D5" s="1">
        <v>295</v>
      </c>
      <c r="E5" s="1">
        <f>'Q4 Homework'!H4</f>
        <v>269</v>
      </c>
      <c r="F5" s="3">
        <f t="shared" si="0"/>
        <v>284.3</v>
      </c>
      <c r="G5" s="4">
        <f t="shared" ref="G5:G12" si="1">(F5/300)*100</f>
        <v>94.766666666666666</v>
      </c>
    </row>
    <row r="6" spans="1:7" x14ac:dyDescent="0.25">
      <c r="A6" s="24" t="s">
        <v>10</v>
      </c>
      <c r="B6" s="1">
        <v>200</v>
      </c>
      <c r="C6" s="1">
        <v>268</v>
      </c>
      <c r="D6" s="1">
        <v>279</v>
      </c>
      <c r="E6" s="1">
        <f>'Q4 Homework'!H5</f>
        <v>273</v>
      </c>
      <c r="F6" s="3">
        <f t="shared" si="0"/>
        <v>253</v>
      </c>
      <c r="G6" s="4">
        <f t="shared" si="1"/>
        <v>84.333333333333343</v>
      </c>
    </row>
    <row r="7" spans="1:7" x14ac:dyDescent="0.25">
      <c r="A7" s="24" t="s">
        <v>11</v>
      </c>
      <c r="B7" s="1">
        <v>280</v>
      </c>
      <c r="C7" s="1">
        <v>295</v>
      </c>
      <c r="D7" s="1">
        <v>300</v>
      </c>
      <c r="E7" s="1">
        <f>'Q4 Homework'!H6</f>
        <v>281</v>
      </c>
      <c r="F7" s="3">
        <f t="shared" si="0"/>
        <v>289.7</v>
      </c>
      <c r="G7" s="4">
        <f t="shared" si="1"/>
        <v>96.566666666666663</v>
      </c>
    </row>
    <row r="8" spans="1:7" x14ac:dyDescent="0.25">
      <c r="A8" s="24" t="s">
        <v>18</v>
      </c>
      <c r="B8" s="1">
        <v>285</v>
      </c>
      <c r="C8" s="1">
        <v>285</v>
      </c>
      <c r="D8" s="1">
        <v>267</v>
      </c>
      <c r="E8" s="1">
        <f>'Q4 Homework'!H7</f>
        <v>254</v>
      </c>
      <c r="F8" s="3">
        <f t="shared" si="0"/>
        <v>271.60000000000002</v>
      </c>
      <c r="G8" s="4">
        <f t="shared" si="1"/>
        <v>90.533333333333346</v>
      </c>
    </row>
    <row r="9" spans="1:7" x14ac:dyDescent="0.25">
      <c r="A9" s="24" t="s">
        <v>15</v>
      </c>
      <c r="B9" s="1">
        <v>290</v>
      </c>
      <c r="C9" s="1">
        <v>290</v>
      </c>
      <c r="D9" s="1">
        <v>300</v>
      </c>
      <c r="E9" s="1">
        <f>'Q4 Homework'!H8</f>
        <v>277</v>
      </c>
      <c r="F9" s="3">
        <f t="shared" si="0"/>
        <v>291.39999999999998</v>
      </c>
      <c r="G9" s="4">
        <f t="shared" si="1"/>
        <v>97.133333333333326</v>
      </c>
    </row>
    <row r="10" spans="1:7" x14ac:dyDescent="0.25">
      <c r="A10" s="24" t="s">
        <v>16</v>
      </c>
      <c r="B10" s="1">
        <v>245</v>
      </c>
      <c r="C10" s="1">
        <v>273</v>
      </c>
      <c r="D10" s="1">
        <v>240</v>
      </c>
      <c r="E10" s="1">
        <f>'Q4 Homework'!H9</f>
        <v>251</v>
      </c>
      <c r="F10" s="3">
        <f t="shared" si="0"/>
        <v>247</v>
      </c>
      <c r="G10" s="4">
        <f t="shared" si="1"/>
        <v>82.333333333333343</v>
      </c>
    </row>
    <row r="11" spans="1:7" x14ac:dyDescent="0.25">
      <c r="A11" s="24" t="s">
        <v>17</v>
      </c>
      <c r="B11" s="1">
        <v>295</v>
      </c>
      <c r="C11" s="1">
        <v>295</v>
      </c>
      <c r="D11" s="1">
        <v>300</v>
      </c>
      <c r="E11" s="1">
        <f>'Q4 Homework'!H10</f>
        <v>291</v>
      </c>
      <c r="F11" s="3">
        <f t="shared" si="0"/>
        <v>296.2</v>
      </c>
      <c r="G11" s="4">
        <f t="shared" si="1"/>
        <v>98.733333333333334</v>
      </c>
    </row>
    <row r="12" spans="1:7" x14ac:dyDescent="0.25">
      <c r="A12" s="24" t="s">
        <v>14</v>
      </c>
      <c r="B12" s="1">
        <v>275</v>
      </c>
      <c r="C12" s="1">
        <v>280</v>
      </c>
      <c r="D12" s="1">
        <v>290</v>
      </c>
      <c r="E12" s="1">
        <f>'Q4 Homework'!H11</f>
        <v>269</v>
      </c>
      <c r="F12" s="3">
        <f t="shared" si="0"/>
        <v>280.3</v>
      </c>
      <c r="G12" s="4">
        <f t="shared" si="1"/>
        <v>93.433333333333337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H22" sqref="H22"/>
    </sheetView>
  </sheetViews>
  <sheetFormatPr defaultRowHeight="12.5" x14ac:dyDescent="0.25"/>
  <cols>
    <col min="1" max="1" width="10.26953125" style="25" bestFit="1" customWidth="1"/>
    <col min="2" max="2" width="8.81640625" style="25" bestFit="1" customWidth="1"/>
    <col min="3" max="3" width="14" bestFit="1" customWidth="1"/>
    <col min="4" max="6" width="4.54296875" bestFit="1" customWidth="1"/>
    <col min="7" max="7" width="4.54296875" customWidth="1"/>
    <col min="8" max="8" width="13.81640625" bestFit="1" customWidth="1"/>
    <col min="9" max="9" width="11.7265625" bestFit="1" customWidth="1"/>
  </cols>
  <sheetData>
    <row r="1" spans="1:9" ht="13.5" thickBot="1" x14ac:dyDescent="0.35">
      <c r="A1" s="26" t="s">
        <v>0</v>
      </c>
      <c r="B1" s="27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</row>
    <row r="2" spans="1:9" x14ac:dyDescent="0.25">
      <c r="A2" s="23" t="s">
        <v>13</v>
      </c>
      <c r="B2" s="23" t="s">
        <v>22</v>
      </c>
      <c r="C2" s="7">
        <v>522098786</v>
      </c>
      <c r="D2" s="6">
        <v>87</v>
      </c>
      <c r="E2" s="6">
        <v>94</v>
      </c>
      <c r="F2" s="6">
        <v>90</v>
      </c>
      <c r="G2" s="8">
        <f>'Q4 Summary'!G4</f>
        <v>98.366666666666674</v>
      </c>
      <c r="H2" s="9">
        <f>AVERAGE(D2:G2)</f>
        <v>92.341666666666669</v>
      </c>
      <c r="I2" s="6" t="str">
        <f>IF(H2&lt;60,"F",IF(H2&lt;70,"D",IF(H2&lt;80,"C",IF(H2&lt;90,"B",IF(H2&lt;101,"A")))))</f>
        <v>A</v>
      </c>
    </row>
    <row r="3" spans="1:9" x14ac:dyDescent="0.25">
      <c r="A3" s="24" t="s">
        <v>12</v>
      </c>
      <c r="B3" s="24" t="s">
        <v>21</v>
      </c>
      <c r="C3" s="2">
        <v>152845367</v>
      </c>
      <c r="D3" s="1">
        <v>90</v>
      </c>
      <c r="E3" s="1">
        <v>89</v>
      </c>
      <c r="F3" s="1">
        <v>93</v>
      </c>
      <c r="G3" s="3">
        <f>'Q4 Summary'!G5</f>
        <v>94.766666666666666</v>
      </c>
      <c r="H3" s="4">
        <f t="shared" ref="H3:H10" si="0">AVERAGE(D3:G3)</f>
        <v>91.691666666666663</v>
      </c>
      <c r="I3" s="1" t="str">
        <f t="shared" ref="I3:I11" si="1">IF(H3&lt;60,"F",IF(H3&lt;70,"D",IF(H3&lt;80,"C",IF(H3&lt;90,"B",IF(H3&lt;101,"A")))))</f>
        <v>A</v>
      </c>
    </row>
    <row r="4" spans="1:9" x14ac:dyDescent="0.25">
      <c r="A4" s="24" t="s">
        <v>10</v>
      </c>
      <c r="B4" s="24" t="s">
        <v>19</v>
      </c>
      <c r="C4" s="2">
        <v>459809125</v>
      </c>
      <c r="D4" s="1">
        <v>82</v>
      </c>
      <c r="E4" s="1">
        <v>79</v>
      </c>
      <c r="F4" s="1">
        <v>80</v>
      </c>
      <c r="G4" s="3">
        <f>'Q4 Summary'!G6</f>
        <v>84.333333333333343</v>
      </c>
      <c r="H4" s="4">
        <f t="shared" si="0"/>
        <v>81.333333333333343</v>
      </c>
      <c r="I4" s="1" t="str">
        <f t="shared" si="1"/>
        <v>B</v>
      </c>
    </row>
    <row r="5" spans="1:9" x14ac:dyDescent="0.25">
      <c r="A5" s="24" t="s">
        <v>11</v>
      </c>
      <c r="B5" s="24" t="s">
        <v>20</v>
      </c>
      <c r="C5" s="2">
        <v>548712349</v>
      </c>
      <c r="D5" s="1">
        <v>88</v>
      </c>
      <c r="E5" s="1">
        <v>92</v>
      </c>
      <c r="F5" s="1">
        <v>90</v>
      </c>
      <c r="G5" s="3">
        <f>'Q4 Summary'!G7</f>
        <v>96.566666666666663</v>
      </c>
      <c r="H5" s="4">
        <f t="shared" si="0"/>
        <v>91.641666666666666</v>
      </c>
      <c r="I5" s="1" t="str">
        <f t="shared" si="1"/>
        <v>A</v>
      </c>
    </row>
    <row r="6" spans="1:9" x14ac:dyDescent="0.25">
      <c r="A6" s="24" t="s">
        <v>18</v>
      </c>
      <c r="B6" s="24" t="s">
        <v>27</v>
      </c>
      <c r="C6" s="2">
        <v>330260064</v>
      </c>
      <c r="D6" s="1">
        <v>79</v>
      </c>
      <c r="E6" s="1">
        <v>80</v>
      </c>
      <c r="F6" s="1">
        <v>84</v>
      </c>
      <c r="G6" s="3">
        <f>'Q4 Summary'!G8</f>
        <v>90.533333333333346</v>
      </c>
      <c r="H6" s="4">
        <f t="shared" si="0"/>
        <v>83.38333333333334</v>
      </c>
      <c r="I6" s="1" t="str">
        <f t="shared" si="1"/>
        <v>B</v>
      </c>
    </row>
    <row r="7" spans="1:9" x14ac:dyDescent="0.25">
      <c r="A7" s="24" t="s">
        <v>15</v>
      </c>
      <c r="B7" s="24" t="s">
        <v>24</v>
      </c>
      <c r="C7" s="2">
        <v>127659820</v>
      </c>
      <c r="D7" s="1">
        <v>95</v>
      </c>
      <c r="E7" s="1">
        <v>100</v>
      </c>
      <c r="F7" s="1">
        <v>100</v>
      </c>
      <c r="G7" s="3">
        <f>'Q4 Summary'!G9</f>
        <v>97.133333333333326</v>
      </c>
      <c r="H7" s="4">
        <f t="shared" si="0"/>
        <v>98.033333333333331</v>
      </c>
      <c r="I7" s="1" t="str">
        <f t="shared" si="1"/>
        <v>A</v>
      </c>
    </row>
    <row r="8" spans="1:9" x14ac:dyDescent="0.25">
      <c r="A8" s="24" t="s">
        <v>16</v>
      </c>
      <c r="B8" s="24" t="s">
        <v>25</v>
      </c>
      <c r="C8" s="2">
        <v>231452839</v>
      </c>
      <c r="D8" s="1">
        <v>80</v>
      </c>
      <c r="E8" s="1">
        <v>79</v>
      </c>
      <c r="F8" s="1">
        <v>74</v>
      </c>
      <c r="G8" s="3">
        <f>'Q4 Summary'!G10</f>
        <v>82.333333333333343</v>
      </c>
      <c r="H8" s="4">
        <f t="shared" si="0"/>
        <v>78.833333333333343</v>
      </c>
      <c r="I8" s="1" t="str">
        <f t="shared" si="1"/>
        <v>C</v>
      </c>
    </row>
    <row r="9" spans="1:9" x14ac:dyDescent="0.25">
      <c r="A9" s="24" t="s">
        <v>17</v>
      </c>
      <c r="B9" s="24" t="s">
        <v>26</v>
      </c>
      <c r="C9" s="2">
        <v>837493585</v>
      </c>
      <c r="D9" s="1">
        <v>92</v>
      </c>
      <c r="E9" s="1">
        <v>89</v>
      </c>
      <c r="F9" s="1">
        <v>85</v>
      </c>
      <c r="G9" s="3">
        <f>'Q4 Summary'!G11</f>
        <v>98.733333333333334</v>
      </c>
      <c r="H9" s="4">
        <f t="shared" si="0"/>
        <v>91.183333333333337</v>
      </c>
      <c r="I9" s="1" t="str">
        <f t="shared" si="1"/>
        <v>A</v>
      </c>
    </row>
    <row r="10" spans="1:9" x14ac:dyDescent="0.25">
      <c r="A10" s="24" t="s">
        <v>14</v>
      </c>
      <c r="B10" s="24" t="s">
        <v>23</v>
      </c>
      <c r="C10" s="2">
        <v>716228068</v>
      </c>
      <c r="D10" s="1">
        <v>88</v>
      </c>
      <c r="E10" s="1">
        <v>89</v>
      </c>
      <c r="F10" s="1">
        <v>88</v>
      </c>
      <c r="G10" s="3">
        <f>'Q4 Summary'!G12</f>
        <v>93.433333333333337</v>
      </c>
      <c r="H10" s="4">
        <f t="shared" si="0"/>
        <v>89.608333333333334</v>
      </c>
      <c r="I10" s="1" t="str">
        <f t="shared" si="1"/>
        <v>B</v>
      </c>
    </row>
    <row r="11" spans="1:9" ht="13" x14ac:dyDescent="0.3">
      <c r="A11" s="24"/>
      <c r="B11" s="24"/>
      <c r="C11" s="5" t="s">
        <v>9</v>
      </c>
      <c r="D11" s="4">
        <f>AVERAGE(D2:D10)</f>
        <v>86.777777777777771</v>
      </c>
      <c r="E11" s="4">
        <f>AVERAGE(E2:E10)</f>
        <v>87.888888888888886</v>
      </c>
      <c r="F11" s="4">
        <f>AVERAGE(F2:F10)</f>
        <v>87.111111111111114</v>
      </c>
      <c r="G11" s="4">
        <f>AVERAGE(G2:G10)</f>
        <v>92.911111111111111</v>
      </c>
      <c r="H11" s="4">
        <f>AVERAGE(H2:H10)</f>
        <v>88.672222222222217</v>
      </c>
      <c r="I11" s="1" t="str">
        <f t="shared" si="1"/>
        <v>B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Q4 Homework</vt:lpstr>
      <vt:lpstr>Q4 Summary</vt:lpstr>
      <vt:lpstr>Year Summary</vt:lpstr>
      <vt:lpstr>Chart of Quarter Grades</vt:lpstr>
    </vt:vector>
  </TitlesOfParts>
  <Company>UNC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Icet09</dc:creator>
  <cp:lastModifiedBy>Carina Negreanu</cp:lastModifiedBy>
  <dcterms:created xsi:type="dcterms:W3CDTF">2002-09-23T20:02:26Z</dcterms:created>
  <dcterms:modified xsi:type="dcterms:W3CDTF">2020-01-27T11:32:07Z</dcterms:modified>
</cp:coreProperties>
</file>