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CBDD3F-AAF6-4135-AABA-DE4752CECFDD}" xr6:coauthVersionLast="45" xr6:coauthVersionMax="45" xr10:uidLastSave="{00000000-0000-0000-0000-000000000000}"/>
  <bookViews>
    <workbookView xWindow="3420" yWindow="3420" windowWidth="28800" windowHeight="15460" tabRatio="931" activeTab="1"/>
  </bookViews>
  <sheets>
    <sheet name="Instructions" sheetId="15" r:id="rId1"/>
    <sheet name="Summary" sheetId="10" r:id="rId2"/>
    <sheet name="Revenue" sheetId="11" r:id="rId3"/>
    <sheet name="Ethernet" sheetId="14" r:id="rId4"/>
    <sheet name="Equipment - LRE" sheetId="9" r:id="rId5"/>
    <sheet name="Equipment - Cable" sheetId="12" r:id="rId6"/>
    <sheet name="Install Labor Costs" sheetId="7" r:id="rId7"/>
    <sheet name="SG&amp;A and Service &amp; Sup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2" l="1"/>
  <c r="F4" i="12" s="1"/>
  <c r="E4" i="12"/>
  <c r="B5" i="12"/>
  <c r="D5" i="12" s="1"/>
  <c r="F5" i="12" s="1"/>
  <c r="E5" i="12"/>
  <c r="B6" i="12"/>
  <c r="D6" i="12"/>
  <c r="F6" i="12"/>
  <c r="D7" i="12"/>
  <c r="F7" i="12"/>
  <c r="D8" i="12"/>
  <c r="F8" i="12"/>
  <c r="D9" i="12"/>
  <c r="E9" i="12"/>
  <c r="F9" i="12"/>
  <c r="B10" i="12"/>
  <c r="D10" i="12" s="1"/>
  <c r="F10" i="12" s="1"/>
  <c r="E10" i="12"/>
  <c r="D11" i="12"/>
  <c r="F11" i="12"/>
  <c r="D12" i="12"/>
  <c r="F12" i="12" s="1"/>
  <c r="E18" i="12"/>
  <c r="E19" i="12"/>
  <c r="E21" i="12"/>
  <c r="B27" i="12"/>
  <c r="D27" i="12"/>
  <c r="F27" i="12"/>
  <c r="D28" i="12"/>
  <c r="F28" i="12"/>
  <c r="B29" i="12"/>
  <c r="D29" i="12"/>
  <c r="F29" i="12"/>
  <c r="D30" i="12"/>
  <c r="F30" i="12"/>
  <c r="B4" i="9"/>
  <c r="B8" i="9" s="1"/>
  <c r="E4" i="9"/>
  <c r="B5" i="9"/>
  <c r="D5" i="9"/>
  <c r="E5" i="9"/>
  <c r="F5" i="9"/>
  <c r="B6" i="9"/>
  <c r="D6" i="9"/>
  <c r="E6" i="9"/>
  <c r="F6" i="9"/>
  <c r="B7" i="9"/>
  <c r="D7" i="9"/>
  <c r="F7" i="9"/>
  <c r="D11" i="9"/>
  <c r="F11" i="9"/>
  <c r="B12" i="9"/>
  <c r="D12" i="9"/>
  <c r="E12" i="9"/>
  <c r="F12" i="9"/>
  <c r="D13" i="9"/>
  <c r="F13" i="9"/>
  <c r="D14" i="9"/>
  <c r="F14" i="9"/>
  <c r="D15" i="9"/>
  <c r="E15" i="9"/>
  <c r="F15" i="9"/>
  <c r="B16" i="9"/>
  <c r="D16" i="9" s="1"/>
  <c r="F16" i="9" s="1"/>
  <c r="E16" i="9"/>
  <c r="D17" i="9"/>
  <c r="F17" i="9" s="1"/>
  <c r="D18" i="9"/>
  <c r="F18" i="9"/>
  <c r="D19" i="9"/>
  <c r="E19" i="9"/>
  <c r="F19" i="9"/>
  <c r="E24" i="9"/>
  <c r="E25" i="9"/>
  <c r="E27" i="9"/>
  <c r="E28" i="9"/>
  <c r="E29" i="9"/>
  <c r="B35" i="9"/>
  <c r="D35" i="9"/>
  <c r="F35" i="9" s="1"/>
  <c r="E35" i="9"/>
  <c r="D36" i="9"/>
  <c r="F36" i="9"/>
  <c r="B37" i="9"/>
  <c r="D37" i="9" s="1"/>
  <c r="F37" i="9" s="1"/>
  <c r="B4" i="14"/>
  <c r="D4" i="14"/>
  <c r="D18" i="14" s="1"/>
  <c r="E4" i="14"/>
  <c r="F4" i="14"/>
  <c r="B5" i="14"/>
  <c r="D5" i="14"/>
  <c r="F5" i="14"/>
  <c r="B6" i="14"/>
  <c r="D6" i="14"/>
  <c r="F6" i="14"/>
  <c r="B7" i="14"/>
  <c r="D7" i="14"/>
  <c r="F7" i="14" s="1"/>
  <c r="D8" i="14"/>
  <c r="F8" i="14"/>
  <c r="B9" i="14"/>
  <c r="D9" i="14" s="1"/>
  <c r="F9" i="14" s="1"/>
  <c r="E9" i="14"/>
  <c r="D10" i="14"/>
  <c r="F10" i="14"/>
  <c r="D11" i="14"/>
  <c r="F11" i="14"/>
  <c r="D12" i="14"/>
  <c r="E12" i="14"/>
  <c r="F12" i="14"/>
  <c r="B13" i="14"/>
  <c r="D13" i="14"/>
  <c r="E13" i="14"/>
  <c r="F13" i="14"/>
  <c r="D14" i="14"/>
  <c r="F14" i="14"/>
  <c r="D15" i="14"/>
  <c r="F15" i="14" s="1"/>
  <c r="D16" i="14"/>
  <c r="E16" i="14"/>
  <c r="F16" i="14" s="1"/>
  <c r="B17" i="14"/>
  <c r="D17" i="14"/>
  <c r="E17" i="14"/>
  <c r="F17" i="14"/>
  <c r="B22" i="14"/>
  <c r="D22" i="14"/>
  <c r="E22" i="14"/>
  <c r="F22" i="14"/>
  <c r="B23" i="14"/>
  <c r="B24" i="14" s="1"/>
  <c r="D24" i="14" s="1"/>
  <c r="F24" i="14" s="1"/>
  <c r="D23" i="14"/>
  <c r="F23" i="14" s="1"/>
  <c r="E23" i="14"/>
  <c r="E25" i="14"/>
  <c r="B31" i="14"/>
  <c r="D31" i="14"/>
  <c r="D34" i="14" s="1"/>
  <c r="E31" i="14"/>
  <c r="F31" i="14"/>
  <c r="D32" i="14"/>
  <c r="F32" i="14"/>
  <c r="B33" i="14"/>
  <c r="D33" i="14"/>
  <c r="F33" i="14" s="1"/>
  <c r="D4" i="7"/>
  <c r="D17" i="7"/>
  <c r="D18" i="7"/>
  <c r="D19" i="7"/>
  <c r="F19" i="7"/>
  <c r="D24" i="7"/>
  <c r="F24" i="7"/>
  <c r="D30" i="7"/>
  <c r="F30" i="7"/>
  <c r="C3" i="11"/>
  <c r="D3" i="11"/>
  <c r="E3" i="11"/>
  <c r="F3" i="11"/>
  <c r="G3" i="11"/>
  <c r="G7" i="11" s="1"/>
  <c r="E4" i="11"/>
  <c r="E11" i="11" s="1"/>
  <c r="E13" i="11" s="1"/>
  <c r="E22" i="11" s="1"/>
  <c r="F21" i="10" s="1"/>
  <c r="F4" i="11"/>
  <c r="F11" i="11" s="1"/>
  <c r="F13" i="11" s="1"/>
  <c r="F22" i="11" s="1"/>
  <c r="G21" i="10" s="1"/>
  <c r="G4" i="11"/>
  <c r="G11" i="11" s="1"/>
  <c r="G13" i="11" s="1"/>
  <c r="G22" i="11" s="1"/>
  <c r="H21" i="10" s="1"/>
  <c r="C7" i="11"/>
  <c r="C9" i="11" s="1"/>
  <c r="D7" i="11"/>
  <c r="D9" i="11" s="1"/>
  <c r="E7" i="11"/>
  <c r="E9" i="11" s="1"/>
  <c r="F7" i="11"/>
  <c r="F9" i="11" s="1"/>
  <c r="C16" i="11"/>
  <c r="C20" i="11" s="1"/>
  <c r="D16" i="11"/>
  <c r="D20" i="11" s="1"/>
  <c r="E16" i="11"/>
  <c r="E20" i="11" s="1"/>
  <c r="F16" i="11"/>
  <c r="F20" i="11" s="1"/>
  <c r="G16" i="11"/>
  <c r="C17" i="11"/>
  <c r="D17" i="11"/>
  <c r="E17" i="11"/>
  <c r="F17" i="11"/>
  <c r="G17" i="11"/>
  <c r="C27" i="11"/>
  <c r="D27" i="11"/>
  <c r="E27" i="11"/>
  <c r="F27" i="11"/>
  <c r="G27" i="11"/>
  <c r="C29" i="11"/>
  <c r="D29" i="11"/>
  <c r="E29" i="11"/>
  <c r="F29" i="11"/>
  <c r="C31" i="11"/>
  <c r="D31" i="11"/>
  <c r="E31" i="11"/>
  <c r="F31" i="11"/>
  <c r="G31" i="11"/>
  <c r="C14" i="8"/>
  <c r="D14" i="8"/>
  <c r="D30" i="10" s="1"/>
  <c r="E30" i="10" s="1"/>
  <c r="F30" i="10" s="1"/>
  <c r="G30" i="10" s="1"/>
  <c r="H30" i="10" s="1"/>
  <c r="D19" i="8"/>
  <c r="D31" i="10" s="1"/>
  <c r="D20" i="8"/>
  <c r="E32" i="10" s="1"/>
  <c r="E23" i="8"/>
  <c r="D26" i="8"/>
  <c r="E26" i="8"/>
  <c r="D27" i="8"/>
  <c r="E27" i="8"/>
  <c r="D28" i="8"/>
  <c r="E28" i="8"/>
  <c r="D35" i="8"/>
  <c r="D3" i="10"/>
  <c r="B27" i="9" s="1"/>
  <c r="A18" i="10"/>
  <c r="A19" i="10"/>
  <c r="A20" i="10"/>
  <c r="A21" i="10"/>
  <c r="D22" i="10"/>
  <c r="E22" i="10"/>
  <c r="F22" i="10"/>
  <c r="G22" i="10"/>
  <c r="H22" i="10"/>
  <c r="C26" i="10"/>
  <c r="C27" i="10"/>
  <c r="C28" i="10"/>
  <c r="D28" i="10"/>
  <c r="E28" i="10"/>
  <c r="F28" i="10"/>
  <c r="G28" i="10"/>
  <c r="H28" i="10"/>
  <c r="C29" i="10"/>
  <c r="B30" i="10"/>
  <c r="B31" i="10"/>
  <c r="B32" i="10"/>
  <c r="D32" i="10"/>
  <c r="D34" i="10"/>
  <c r="E34" i="10"/>
  <c r="F34" i="10"/>
  <c r="G34" i="10"/>
  <c r="H34" i="10"/>
  <c r="D35" i="10"/>
  <c r="E35" i="10"/>
  <c r="F35" i="10"/>
  <c r="G35" i="10"/>
  <c r="H35" i="10"/>
  <c r="C36" i="10"/>
  <c r="C38" i="10" s="1"/>
  <c r="G19" i="10" l="1"/>
  <c r="F21" i="11"/>
  <c r="G20" i="10" s="1"/>
  <c r="F38" i="9"/>
  <c r="B9" i="9"/>
  <c r="D9" i="9" s="1"/>
  <c r="F9" i="9" s="1"/>
  <c r="D8" i="9"/>
  <c r="F8" i="9" s="1"/>
  <c r="B10" i="9"/>
  <c r="D10" i="9" s="1"/>
  <c r="F10" i="9" s="1"/>
  <c r="D21" i="11"/>
  <c r="E20" i="10" s="1"/>
  <c r="E19" i="10"/>
  <c r="C21" i="11"/>
  <c r="D20" i="10" s="1"/>
  <c r="D19" i="10"/>
  <c r="D27" i="9"/>
  <c r="F27" i="9" s="1"/>
  <c r="B28" i="9"/>
  <c r="D28" i="9" s="1"/>
  <c r="F28" i="9" s="1"/>
  <c r="G29" i="11"/>
  <c r="G9" i="11"/>
  <c r="G20" i="11" s="1"/>
  <c r="G28" i="11"/>
  <c r="G30" i="11" s="1"/>
  <c r="G32" i="11" s="1"/>
  <c r="D19" i="14"/>
  <c r="E21" i="11"/>
  <c r="F20" i="10" s="1"/>
  <c r="F19" i="10"/>
  <c r="F23" i="10" s="1"/>
  <c r="F34" i="14"/>
  <c r="F18" i="14"/>
  <c r="F13" i="12"/>
  <c r="F14" i="12" s="1"/>
  <c r="D4" i="9"/>
  <c r="H31" i="10"/>
  <c r="E28" i="11"/>
  <c r="E30" i="11" s="1"/>
  <c r="E32" i="11" s="1"/>
  <c r="D28" i="11"/>
  <c r="D30" i="11" s="1"/>
  <c r="D32" i="11" s="1"/>
  <c r="F31" i="10"/>
  <c r="G31" i="10"/>
  <c r="F21" i="7"/>
  <c r="F28" i="11"/>
  <c r="F30" i="11" s="1"/>
  <c r="F32" i="11" s="1"/>
  <c r="D13" i="12"/>
  <c r="D14" i="12" s="1"/>
  <c r="C28" i="11"/>
  <c r="C4" i="11"/>
  <c r="C11" i="11" s="1"/>
  <c r="C13" i="11" s="1"/>
  <c r="C22" i="11" s="1"/>
  <c r="D21" i="10" s="1"/>
  <c r="B18" i="12"/>
  <c r="B25" i="14"/>
  <c r="D25" i="14" s="1"/>
  <c r="F25" i="14" s="1"/>
  <c r="F26" i="14" s="1"/>
  <c r="D4" i="11"/>
  <c r="D11" i="11" s="1"/>
  <c r="D13" i="11" s="1"/>
  <c r="D22" i="11" s="1"/>
  <c r="E21" i="10" s="1"/>
  <c r="D21" i="7"/>
  <c r="D38" i="9"/>
  <c r="H32" i="10"/>
  <c r="G32" i="10"/>
  <c r="E31" i="10"/>
  <c r="B24" i="9"/>
  <c r="F20" i="7"/>
  <c r="D20" i="7"/>
  <c r="D25" i="7" s="1"/>
  <c r="F32" i="10"/>
  <c r="C30" i="11" l="1"/>
  <c r="C32" i="11" s="1"/>
  <c r="D36" i="8"/>
  <c r="D37" i="8" s="1"/>
  <c r="D23" i="10"/>
  <c r="H19" i="10"/>
  <c r="H23" i="10" s="1"/>
  <c r="G21" i="11"/>
  <c r="H20" i="10" s="1"/>
  <c r="C23" i="11"/>
  <c r="F25" i="7"/>
  <c r="E23" i="10"/>
  <c r="B29" i="9"/>
  <c r="D29" i="9" s="1"/>
  <c r="F29" i="9" s="1"/>
  <c r="D24" i="9"/>
  <c r="B25" i="9"/>
  <c r="F4" i="9"/>
  <c r="F20" i="9" s="1"/>
  <c r="D20" i="9"/>
  <c r="D23" i="11"/>
  <c r="F28" i="14"/>
  <c r="F19" i="14"/>
  <c r="E23" i="11"/>
  <c r="F23" i="11"/>
  <c r="G23" i="10"/>
  <c r="D27" i="7"/>
  <c r="D28" i="7"/>
  <c r="D31" i="7" s="1"/>
  <c r="B21" i="12"/>
  <c r="D21" i="12" s="1"/>
  <c r="F21" i="12" s="1"/>
  <c r="B19" i="12"/>
  <c r="D18" i="12"/>
  <c r="D26" i="14"/>
  <c r="D28" i="14" s="1"/>
  <c r="F21" i="9" l="1"/>
  <c r="K3" i="10"/>
  <c r="F24" i="9"/>
  <c r="F27" i="7"/>
  <c r="F28" i="7"/>
  <c r="F31" i="7" s="1"/>
  <c r="F32" i="7" s="1"/>
  <c r="G23" i="11"/>
  <c r="D21" i="9"/>
  <c r="B26" i="9"/>
  <c r="D26" i="9" s="1"/>
  <c r="F26" i="9" s="1"/>
  <c r="D25" i="9"/>
  <c r="F25" i="9" s="1"/>
  <c r="F18" i="12"/>
  <c r="B20" i="12"/>
  <c r="D20" i="12" s="1"/>
  <c r="F20" i="12" s="1"/>
  <c r="D19" i="12"/>
  <c r="F19" i="12" s="1"/>
  <c r="D29" i="10"/>
  <c r="F29" i="10"/>
  <c r="D32" i="7"/>
  <c r="E29" i="10"/>
  <c r="F22" i="12" l="1"/>
  <c r="F24" i="12" s="1"/>
  <c r="D30" i="9"/>
  <c r="D32" i="9" s="1"/>
  <c r="F30" i="9"/>
  <c r="D22" i="12"/>
  <c r="D24" i="12" s="1"/>
  <c r="G26" i="10"/>
  <c r="H26" i="10"/>
  <c r="D26" i="10"/>
  <c r="F26" i="10"/>
  <c r="E26" i="10"/>
  <c r="D27" i="10" l="1"/>
  <c r="F27" i="10"/>
  <c r="E27" i="10"/>
  <c r="H27" i="10"/>
  <c r="G27" i="10"/>
  <c r="K4" i="10"/>
  <c r="D23" i="8"/>
  <c r="F32" i="9"/>
  <c r="F33" i="10" l="1"/>
  <c r="F36" i="10" s="1"/>
  <c r="D33" i="10"/>
  <c r="D36" i="10" s="1"/>
  <c r="E33" i="10"/>
  <c r="E36" i="10" s="1"/>
  <c r="H33" i="10"/>
  <c r="H36" i="10" s="1"/>
  <c r="G33" i="10"/>
  <c r="G36" i="10" s="1"/>
  <c r="D31" i="8"/>
  <c r="G42" i="10" l="1"/>
  <c r="G43" i="10"/>
  <c r="G41" i="10"/>
  <c r="G38" i="10"/>
  <c r="H42" i="10"/>
  <c r="H43" i="10"/>
  <c r="H41" i="10"/>
  <c r="H38" i="10"/>
  <c r="D43" i="10"/>
  <c r="D41" i="10"/>
  <c r="D42" i="10"/>
  <c r="D38" i="10"/>
  <c r="F41" i="10"/>
  <c r="F43" i="10"/>
  <c r="F42" i="10"/>
  <c r="F38" i="10"/>
  <c r="E42" i="10"/>
  <c r="E43" i="10"/>
  <c r="E41" i="10"/>
  <c r="E38" i="10"/>
  <c r="D39" i="10" l="1"/>
</calcChain>
</file>

<file path=xl/sharedStrings.xml><?xml version="1.0" encoding="utf-8"?>
<sst xmlns="http://schemas.openxmlformats.org/spreadsheetml/2006/main" count="383" uniqueCount="266">
  <si>
    <t>Jacks Installed</t>
  </si>
  <si>
    <t>Meeting Rooms Installed</t>
  </si>
  <si>
    <t>Meeting Room</t>
  </si>
  <si>
    <t>Annual Revenue</t>
  </si>
  <si>
    <t>Cost</t>
  </si>
  <si>
    <t>Total Cost</t>
  </si>
  <si>
    <t>Year 1</t>
  </si>
  <si>
    <t>Year 2</t>
  </si>
  <si>
    <t>Year 3</t>
  </si>
  <si>
    <t>Year 4</t>
  </si>
  <si>
    <t>Year 5</t>
  </si>
  <si>
    <t xml:space="preserve"> </t>
  </si>
  <si>
    <t>Guest Room Take Rate</t>
  </si>
  <si>
    <t>Meeting Room Take Rate</t>
  </si>
  <si>
    <t>SG&amp;A</t>
  </si>
  <si>
    <t xml:space="preserve">Price </t>
  </si>
  <si>
    <t>Revenue share</t>
  </si>
  <si>
    <t>IRR - 5 years</t>
  </si>
  <si>
    <t>Corporate Relationship Development</t>
  </si>
  <si>
    <t>Proposal</t>
  </si>
  <si>
    <t>Create Master Agreement Package</t>
  </si>
  <si>
    <t>New Contract Launch</t>
  </si>
  <si>
    <t>Master Plan: 0 to 120+ days</t>
  </si>
  <si>
    <t>Resp</t>
  </si>
  <si>
    <t>Site Survey</t>
  </si>
  <si>
    <t>Pre-Installation</t>
  </si>
  <si>
    <t>Network Design</t>
  </si>
  <si>
    <t>Create Bill of Materials</t>
  </si>
  <si>
    <t>Installation</t>
  </si>
  <si>
    <t>Receive and store equipment on site</t>
  </si>
  <si>
    <t>Master Schedule</t>
  </si>
  <si>
    <t xml:space="preserve">MRP </t>
  </si>
  <si>
    <t>Procurement</t>
  </si>
  <si>
    <t>Asset management</t>
  </si>
  <si>
    <t>PMS Integration</t>
  </si>
  <si>
    <t>Acceptance Test and Certification</t>
  </si>
  <si>
    <t>Marketing collateral and program development</t>
  </si>
  <si>
    <t>Project management</t>
  </si>
  <si>
    <t>On-site training and collateral</t>
  </si>
  <si>
    <t>Ongoing Support - central</t>
  </si>
  <si>
    <t>NOC - Level 3</t>
  </si>
  <si>
    <t>Ongoing Support - onsite</t>
  </si>
  <si>
    <t>Recurring training / events</t>
  </si>
  <si>
    <t>Field technical support</t>
  </si>
  <si>
    <t>Number of Rooms</t>
  </si>
  <si>
    <t>Number of Meeting Rooms</t>
  </si>
  <si>
    <t>Installation Labor Cost per Hour</t>
  </si>
  <si>
    <t>Guestroom and Core Hardware Components</t>
  </si>
  <si>
    <t>Qty.</t>
  </si>
  <si>
    <t>Unit Price</t>
  </si>
  <si>
    <t>Ext. Price</t>
  </si>
  <si>
    <t>Discount</t>
  </si>
  <si>
    <t>Total</t>
  </si>
  <si>
    <t>POTs Splitters</t>
  </si>
  <si>
    <t xml:space="preserve">In-Room Ethernet Cables </t>
  </si>
  <si>
    <t>RJ-21 Cables LRE Switch to POTs Splitters</t>
  </si>
  <si>
    <t>RJ-21 Cross Connect Cables</t>
  </si>
  <si>
    <t>Block, 66 TELCO(w/Amphenol Connector)</t>
  </si>
  <si>
    <t>Ethernet Patch Cables</t>
  </si>
  <si>
    <t>15" Monitor</t>
  </si>
  <si>
    <t>Rack, Component 7' x 19"</t>
  </si>
  <si>
    <t>PMS Connection Cable</t>
  </si>
  <si>
    <t>Total Guestroom and Core Hardware Costs</t>
  </si>
  <si>
    <t>Hardware Cost per Room</t>
  </si>
  <si>
    <t>Meeting Room Solution (Use Aironet Wireless)</t>
  </si>
  <si>
    <t>Wireless Access Points</t>
  </si>
  <si>
    <t>Wireless Bridges</t>
  </si>
  <si>
    <t>Hubs for Meeting Room Use</t>
  </si>
  <si>
    <t>LRE Modem for Connection to MDF</t>
  </si>
  <si>
    <t>Total Meeting Room Hardware Costs</t>
  </si>
  <si>
    <t>Assume entire hotel is installed</t>
  </si>
  <si>
    <t>Price per night for guestroom Internet access</t>
  </si>
  <si>
    <t>Price per day for meeting room Internet access</t>
  </si>
  <si>
    <t>Occupancy rate</t>
  </si>
  <si>
    <t>Usage Forecast</t>
  </si>
  <si>
    <t># of available business nights/year</t>
  </si>
  <si>
    <t># of available meetings/year</t>
  </si>
  <si>
    <t>Meeting room occupancy rate</t>
  </si>
  <si>
    <t>M.R. Rentals/Year</t>
  </si>
  <si>
    <t>From assumption on Summary page</t>
  </si>
  <si>
    <t>Install</t>
  </si>
  <si>
    <t>Guest room hardware</t>
  </si>
  <si>
    <t>Estimated Total Project Equipment Cost</t>
  </si>
  <si>
    <t>Using discounted costs</t>
  </si>
  <si>
    <t>Meeting room hardware</t>
  </si>
  <si>
    <t>Installation labor costs</t>
  </si>
  <si>
    <t>Property</t>
  </si>
  <si>
    <t>TCP/IP Schemateic</t>
  </si>
  <si>
    <t>Allocate/Pick Eqiupment</t>
  </si>
  <si>
    <t>Configure Equipment</t>
  </si>
  <si>
    <t>Ship to Site</t>
  </si>
  <si>
    <t>Site Meeting/Equipment Inventory/Shortages</t>
  </si>
  <si>
    <t>Install MDF - Cross Connects</t>
  </si>
  <si>
    <t>Install MDF - Hardware Installation</t>
  </si>
  <si>
    <t>Install Guest Rooms - Jack on Desk</t>
  </si>
  <si>
    <t>Site Preparations</t>
  </si>
  <si>
    <t>Test Local Access Circuit</t>
  </si>
  <si>
    <t>Total Install Hours</t>
  </si>
  <si>
    <t>Labor cost / hour</t>
  </si>
  <si>
    <t>Total Install Labor Cost</t>
  </si>
  <si>
    <t>Service and Support</t>
  </si>
  <si>
    <t>Annual Cost Estimates</t>
  </si>
  <si>
    <t>Total Annual Service &amp; Support</t>
  </si>
  <si>
    <t>Cash Flow</t>
  </si>
  <si>
    <t>Cost per room</t>
  </si>
  <si>
    <t>All these vary significantly based on strategy, exisitng businesses, etc…</t>
  </si>
  <si>
    <t>Install meeting rooms - Create IDF</t>
  </si>
  <si>
    <t>Install meeting rooms - Hardware and testing</t>
  </si>
  <si>
    <t>Assuming trained crews using BBSM processes</t>
  </si>
  <si>
    <t>BBSM Uses/Year</t>
  </si>
  <si>
    <t>BBSM Rental</t>
  </si>
  <si>
    <t>APC UPS for BBSM Server, Router, Base Switch</t>
  </si>
  <si>
    <t>Data points for guest room usage</t>
  </si>
  <si>
    <t>current averages are 3-4% usage for properties installed over 6 months, trending upwards as more travellers expect hi speed access</t>
  </si>
  <si>
    <t xml:space="preserve"> - In room broadband access costs only $10</t>
  </si>
  <si>
    <t xml:space="preserve"> - Increased penetration of VPNs for Enterprise networks will greatly increase usage</t>
  </si>
  <si>
    <t>60% of business travellers check their email/access the Internet on the road</t>
  </si>
  <si>
    <t>Meeting room usage is still unpredictable, but is viewed as the most profitable part of the hotel network</t>
  </si>
  <si>
    <t>**  By far the most important criteria is deploying into an "A" or "B" property that attracts business travellers</t>
  </si>
  <si>
    <t xml:space="preserve">Cisco Building Broadband Service Manager </t>
  </si>
  <si>
    <t>Incremental port licenses</t>
  </si>
  <si>
    <t>Hours</t>
  </si>
  <si>
    <t>The model just applies a % of revenue that drops over time as the business matures</t>
  </si>
  <si>
    <t>Varies</t>
  </si>
  <si>
    <t>End User help Desk</t>
  </si>
  <si>
    <t xml:space="preserve"> - On average, it costs a company $13 for an employee to dial-in from a hotel for email, including 800 line, modem banks, and hotel charges</t>
  </si>
  <si>
    <t>Circuit</t>
  </si>
  <si>
    <t>Guest Room Revenue</t>
  </si>
  <si>
    <t>Meeting Revenue</t>
  </si>
  <si>
    <t>Catalyst 2924 LRE Switches</t>
  </si>
  <si>
    <t>Catalyst 575 LRE CPE Modems</t>
  </si>
  <si>
    <t>Catalyst 2924 Base Switches</t>
  </si>
  <si>
    <t>Cisco 2611 Router</t>
  </si>
  <si>
    <t>Includes firewall feature set</t>
  </si>
  <si>
    <t>Includes 75' cables and best antenna</t>
  </si>
  <si>
    <t>Optionally the 3500XL PWR for $3,995</t>
  </si>
  <si>
    <t>* Assumes non-fixed deployment of gear</t>
  </si>
  <si>
    <t>enough to cover meeting rooms</t>
  </si>
  <si>
    <t>It does not include any incremental value from increased occupancy, rates, or cost savings.</t>
  </si>
  <si>
    <t>Video</t>
  </si>
  <si>
    <t>Video Server</t>
  </si>
  <si>
    <t>Video Management Server</t>
  </si>
  <si>
    <t>Set Top Box</t>
  </si>
  <si>
    <t xml:space="preserve">Estimate  </t>
  </si>
  <si>
    <t>Estimated incremental cost assuming LRE CPE is rotated to another site</t>
  </si>
  <si>
    <t>Total Video Hardware Costs</t>
  </si>
  <si>
    <t>Ongoing Support - Video</t>
  </si>
  <si>
    <t>Video Assumptions</t>
  </si>
  <si>
    <t>First run movies as % of total is a variable</t>
  </si>
  <si>
    <t>Refresh content</t>
  </si>
  <si>
    <t>$300/month for either extra bandwidth or fedexing videos</t>
  </si>
  <si>
    <t>From variables on page 1, times 2 since refreshed 2 times/year</t>
  </si>
  <si>
    <t>First run content</t>
  </si>
  <si>
    <t>Total Access Revenue</t>
  </si>
  <si>
    <t>Video Revenue</t>
  </si>
  <si>
    <t>Penetration</t>
  </si>
  <si>
    <t>% First Run</t>
  </si>
  <si>
    <t>Total Video Revenue</t>
  </si>
  <si>
    <t>Total Video Users</t>
  </si>
  <si>
    <t>Revenue per use</t>
  </si>
  <si>
    <t>Charge per movie</t>
  </si>
  <si>
    <t>Video Operating Costs</t>
  </si>
  <si>
    <t>Estimate for a server capable of 40 users</t>
  </si>
  <si>
    <t>Number of owned movies</t>
  </si>
  <si>
    <t>Percent of First run viewing vs owned</t>
  </si>
  <si>
    <t>Cost per owned movie</t>
  </si>
  <si>
    <t>Owned movie viewers per year</t>
  </si>
  <si>
    <t>First run viewers/year</t>
  </si>
  <si>
    <t>calculated</t>
  </si>
  <si>
    <t>Owned content</t>
  </si>
  <si>
    <t>Owned movies can be purchased for a 1 time cost and can be shown for 6 months</t>
  </si>
  <si>
    <t>Number of First run and owned videos is a variable</t>
  </si>
  <si>
    <t>Total Revenue</t>
  </si>
  <si>
    <t>Video costs</t>
  </si>
  <si>
    <t>Cisco Equipment Discount</t>
  </si>
  <si>
    <t>Video equipment costs</t>
  </si>
  <si>
    <t>Data points for Video</t>
  </si>
  <si>
    <t>Pricing has been consistent for a long time at 8.95.  There is some additional revenue from 'all day viewing' but that has been omitted</t>
  </si>
  <si>
    <t>The primary usage has been on adult content (owned) films that require no royalties</t>
  </si>
  <si>
    <t>Driven by awareness and VPN penetration</t>
  </si>
  <si>
    <t>Using assumed occupancy and 21 business nights/month</t>
  </si>
  <si>
    <t>Using assumed occupancy and 21 business days/month</t>
  </si>
  <si>
    <t>Lease rates</t>
  </si>
  <si>
    <t>Include Video?</t>
  </si>
  <si>
    <t>It also does not include the value of future services that are fully enabled by this platform, including voice, games, climate control, energy management, etc…</t>
  </si>
  <si>
    <t>Data service only</t>
  </si>
  <si>
    <t>Cable router uBR7114</t>
  </si>
  <si>
    <t>DOCSIS Modems (data only, non Cisco)</t>
  </si>
  <si>
    <t>Cable Router for connection to coax uplink</t>
  </si>
  <si>
    <t>Estimated Total Data Equipment Cost</t>
  </si>
  <si>
    <t>Assumes no incremental cost for set top box on cable infrastructure</t>
  </si>
  <si>
    <t>TIP Program Standards (LRE / Wireless)</t>
  </si>
  <si>
    <t>drives guest room equipment and install numbers</t>
  </si>
  <si>
    <t>Property Assumptions</t>
  </si>
  <si>
    <t>Revenue Share for guest rooms</t>
  </si>
  <si>
    <t>Data points for meeting room access</t>
  </si>
  <si>
    <t>Primarily applies to large, business oriented hotels, especially in tech centers</t>
  </si>
  <si>
    <t>Can achieve more than $20,000 in revenue over a single multi-day event</t>
  </si>
  <si>
    <t>Can charge from $100 - 200/per person for a connection.  More if connecting a booth/exhibit</t>
  </si>
  <si>
    <r>
      <t>I</t>
    </r>
    <r>
      <rPr>
        <b/>
        <sz val="10"/>
        <rFont val="Arial"/>
        <family val="2"/>
      </rPr>
      <t>nfrastructure / Installation Assumptions</t>
    </r>
  </si>
  <si>
    <t>Who is Providing the Service?</t>
  </si>
  <si>
    <t>Drives operating cost assumptions</t>
  </si>
  <si>
    <t>10% annual decline, both transport and bandwidth, 50% off if service provider</t>
  </si>
  <si>
    <t>Pro Forma Income Model for Hotels</t>
  </si>
  <si>
    <t>The property-owned model includes full, outsourced incremental costs for circuits, support, NOC and maintenance</t>
  </si>
  <si>
    <t>The service provider model includes much lower operating costs due to existing infrastructure for Circuits, end user support, and NOC</t>
  </si>
  <si>
    <t>hope to achieve sub-200 in volume</t>
  </si>
  <si>
    <t>range from 300-1800</t>
  </si>
  <si>
    <t>Both OnCommand and LodgeNet average 12-13% penetration.  A new VoD service would be superior to these, but face similar usage</t>
  </si>
  <si>
    <t xml:space="preserve">Typical hotel has 12 adult movies, 12 first run, and 20 long term run </t>
  </si>
  <si>
    <t>Help Desk</t>
  </si>
  <si>
    <t>SmartNet - Break Fix</t>
  </si>
  <si>
    <t>NOC</t>
  </si>
  <si>
    <t>Based on pro-forma quotes</t>
  </si>
  <si>
    <t xml:space="preserve">based on </t>
  </si>
  <si>
    <t>SmartNet fee</t>
  </si>
  <si>
    <t>Based on pro-forma quotes, less if a SP</t>
  </si>
  <si>
    <t>Portal/Connect screen maint</t>
  </si>
  <si>
    <t>Total SG&amp;A</t>
  </si>
  <si>
    <t>Buffer number for overhead costs,includes marketing.</t>
  </si>
  <si>
    <t>Based on OnCommand and lodgeNet results</t>
  </si>
  <si>
    <t>Includes all services</t>
  </si>
  <si>
    <t>If video offered</t>
  </si>
  <si>
    <t>Cisco CE 507 Content Engine, AC Power, Cache SW</t>
  </si>
  <si>
    <t>Only in hotels with over 150 rooms</t>
  </si>
  <si>
    <t>Catalyst 2924 Distribution Switches</t>
  </si>
  <si>
    <t>LRE, Cable, or Ethernet?</t>
  </si>
  <si>
    <t>Years 2+</t>
  </si>
  <si>
    <t>$12 and $8 per room</t>
  </si>
  <si>
    <t>varies based on size of hotel</t>
  </si>
  <si>
    <t>Percent of revenue goes to studio</t>
  </si>
  <si>
    <t>no</t>
  </si>
  <si>
    <t>COAX cable and Cat 5 Ethernet installations</t>
  </si>
  <si>
    <t>24 port switches</t>
  </si>
  <si>
    <t>48 port POTS splitters</t>
  </si>
  <si>
    <t>Monthly cost per T1 including ISP</t>
  </si>
  <si>
    <t>Number of Circuits</t>
  </si>
  <si>
    <t>Annual Cost</t>
  </si>
  <si>
    <t>Total cost per day</t>
  </si>
  <si>
    <t>Cost per day - net of meeting room revenue</t>
  </si>
  <si>
    <t>Cost per day - net of meeting room and in-room revenue</t>
  </si>
  <si>
    <t>Total direct install</t>
  </si>
  <si>
    <t>Guest room equipment cost</t>
  </si>
  <si>
    <t>Note: Video numbers are representative of future targets and dcan not be validated</t>
  </si>
  <si>
    <t>Meeting room equipment cost</t>
  </si>
  <si>
    <t>prop</t>
  </si>
  <si>
    <t>lease</t>
  </si>
  <si>
    <t>Enter "Lease" or "Buy" - no quotes</t>
  </si>
  <si>
    <t>Enter "SP" for Service Provider, "Prop" for Property</t>
  </si>
  <si>
    <t>4% of guest rooms</t>
  </si>
  <si>
    <t>This is an analysis tool, not a specific answer.  It provides a framework for modeling different business models so that Cisco customers</t>
  </si>
  <si>
    <t>and partners can better understand the opportunity available with in-building network applications in hotels.</t>
  </si>
  <si>
    <t>The initial assumptions provided represent a strongly validated starting point.  The cost numbers are based on extensive direct experience</t>
  </si>
  <si>
    <t>as well as workshops and validations by service providers, systems integrators and hotel properties and chains.  The revenue numbers</t>
  </si>
  <si>
    <t>are highly conservative and are based on what we see as a minimal penetration rate for guest room and meeting room Internet access.</t>
  </si>
  <si>
    <t xml:space="preserve">To use the model, you'll need to first set the assumptions at the top of the Summary worksheet.  Click on the Summary tab below and it will </t>
  </si>
  <si>
    <t>take you to that worksheet.  The items that can be adjusted include:</t>
  </si>
  <si>
    <t>Number of rooms</t>
  </si>
  <si>
    <t>Number of meeting rooms (default is 1 meeting room per 25 guest rooms)</t>
  </si>
  <si>
    <t>Cost of the T1 and average hourly installation labor cost</t>
  </si>
  <si>
    <t>The type of infrastructure being deployed to the guest rooms - can set to LRE, Ethernet, Cable</t>
  </si>
  <si>
    <t>Buy vs lease</t>
  </si>
  <si>
    <t>Property owner vs service provider - A service provider's costs to provide circuits, NOC,a nd end user support will be lower than a property's</t>
  </si>
  <si>
    <t xml:space="preserve">Video numbers are included as a placeholder and a starting point.  There currently are no known vednors providing commercially supported in-room </t>
  </si>
  <si>
    <t xml:space="preserve">video on demand systems.  However, Cisco believes that several vendors will enter this market soon, and we think the initial assumptions shown in this </t>
  </si>
  <si>
    <t>lre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</si>
</sst>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_(&quot;$&quot;* #,##0_);_(&quot;$&quot;* \(#,##0\);_(&quot;$&quot;* &quot;-&quot;??_);_(@_)"/>
    <numFmt numFmtId="177" formatCode="_(* #,##0_);_(* \(#,##0\);_(* &quot;-&quot;??_);_(@_)"/>
    <numFmt numFmtId="185" formatCode="0.0%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9" fontId="0" fillId="0" borderId="0" xfId="0" applyNumberFormat="1"/>
    <xf numFmtId="9" fontId="0" fillId="0" borderId="0" xfId="3" applyFont="1"/>
    <xf numFmtId="165" fontId="0" fillId="0" borderId="0" xfId="0" applyNumberFormat="1"/>
    <xf numFmtId="165" fontId="0" fillId="0" borderId="1" xfId="0" applyNumberFormat="1" applyBorder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85" fontId="0" fillId="0" borderId="0" xfId="3" applyNumberFormat="1" applyFont="1"/>
    <xf numFmtId="0" fontId="2" fillId="0" borderId="0" xfId="0" applyFont="1" applyAlignment="1">
      <alignment horizontal="right"/>
    </xf>
    <xf numFmtId="185" fontId="0" fillId="0" borderId="0" xfId="0" applyNumberFormat="1"/>
    <xf numFmtId="165" fontId="2" fillId="0" borderId="0" xfId="0" applyNumberFormat="1" applyFont="1"/>
    <xf numFmtId="9" fontId="2" fillId="0" borderId="0" xfId="0" applyNumberFormat="1" applyFont="1"/>
    <xf numFmtId="0" fontId="0" fillId="2" borderId="0" xfId="0" applyFill="1"/>
    <xf numFmtId="0" fontId="3" fillId="0" borderId="0" xfId="0" applyFont="1"/>
    <xf numFmtId="174" fontId="0" fillId="0" borderId="0" xfId="2" applyNumberFormat="1" applyFont="1"/>
    <xf numFmtId="177" fontId="0" fillId="0" borderId="0" xfId="1" applyNumberFormat="1" applyFont="1"/>
    <xf numFmtId="177" fontId="0" fillId="0" borderId="1" xfId="1" applyNumberFormat="1" applyFont="1" applyBorder="1"/>
    <xf numFmtId="165" fontId="2" fillId="0" borderId="2" xfId="0" applyNumberFormat="1" applyFont="1" applyBorder="1"/>
    <xf numFmtId="0" fontId="2" fillId="0" borderId="2" xfId="0" applyFont="1" applyBorder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165" fontId="2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2" applyNumberFormat="1" applyFont="1"/>
    <xf numFmtId="170" fontId="0" fillId="0" borderId="0" xfId="2" applyFont="1"/>
    <xf numFmtId="165" fontId="0" fillId="0" borderId="0" xfId="0" applyNumberFormat="1" applyBorder="1"/>
    <xf numFmtId="9" fontId="0" fillId="0" borderId="0" xfId="0" applyNumberFormat="1" applyBorder="1"/>
    <xf numFmtId="0" fontId="0" fillId="0" borderId="0" xfId="0" applyNumberFormat="1" applyBorder="1"/>
    <xf numFmtId="170" fontId="0" fillId="0" borderId="0" xfId="0" applyNumberFormat="1" applyBorder="1"/>
    <xf numFmtId="0" fontId="0" fillId="0" borderId="1" xfId="0" applyBorder="1"/>
    <xf numFmtId="174" fontId="0" fillId="0" borderId="1" xfId="0" applyNumberFormat="1" applyBorder="1"/>
    <xf numFmtId="185" fontId="0" fillId="0" borderId="0" xfId="3" applyNumberFormat="1" applyFont="1" applyBorder="1"/>
    <xf numFmtId="1" fontId="0" fillId="0" borderId="0" xfId="0" applyNumberFormat="1" applyBorder="1"/>
    <xf numFmtId="167" fontId="0" fillId="0" borderId="0" xfId="0" applyNumberFormat="1"/>
    <xf numFmtId="0" fontId="0" fillId="0" borderId="0" xfId="0" applyAlignment="1">
      <alignment wrapText="1"/>
    </xf>
    <xf numFmtId="1" fontId="2" fillId="0" borderId="0" xfId="0" applyNumberFormat="1" applyFont="1"/>
    <xf numFmtId="1" fontId="3" fillId="0" borderId="0" xfId="0" applyNumberFormat="1" applyFont="1"/>
    <xf numFmtId="0" fontId="0" fillId="0" borderId="3" xfId="0" applyBorder="1"/>
    <xf numFmtId="0" fontId="0" fillId="0" borderId="0" xfId="0" applyAlignment="1">
      <alignment horizontal="left"/>
    </xf>
    <xf numFmtId="0" fontId="0" fillId="3" borderId="0" xfId="0" applyFill="1"/>
    <xf numFmtId="9" fontId="0" fillId="3" borderId="0" xfId="3" applyFont="1" applyFill="1"/>
    <xf numFmtId="174" fontId="0" fillId="3" borderId="0" xfId="2" applyNumberFormat="1" applyFont="1" applyFill="1"/>
    <xf numFmtId="170" fontId="2" fillId="0" borderId="0" xfId="2" applyFont="1"/>
    <xf numFmtId="174" fontId="0" fillId="0" borderId="1" xfId="2" applyNumberFormat="1" applyFont="1" applyBorder="1"/>
    <xf numFmtId="170" fontId="0" fillId="0" borderId="0" xfId="2" applyNumberFormat="1" applyFont="1"/>
    <xf numFmtId="9" fontId="0" fillId="0" borderId="3" xfId="0" applyNumberFormat="1" applyBorder="1"/>
    <xf numFmtId="170" fontId="2" fillId="0" borderId="4" xfId="2" applyFont="1" applyBorder="1"/>
    <xf numFmtId="9" fontId="0" fillId="0" borderId="3" xfId="3" applyFont="1" applyBorder="1"/>
    <xf numFmtId="174" fontId="2" fillId="0" borderId="1" xfId="2" applyNumberFormat="1" applyFont="1" applyBorder="1"/>
    <xf numFmtId="174" fontId="2" fillId="0" borderId="0" xfId="2" applyNumberFormat="1" applyFont="1"/>
    <xf numFmtId="167" fontId="0" fillId="0" borderId="3" xfId="0" applyNumberFormat="1" applyBorder="1"/>
    <xf numFmtId="165" fontId="0" fillId="0" borderId="3" xfId="0" applyNumberFormat="1" applyBorder="1"/>
    <xf numFmtId="174" fontId="0" fillId="0" borderId="3" xfId="2" applyNumberFormat="1" applyFont="1" applyBorder="1"/>
    <xf numFmtId="0" fontId="0" fillId="0" borderId="3" xfId="0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A20" sqref="A20"/>
    </sheetView>
  </sheetViews>
  <sheetFormatPr defaultRowHeight="12.5" x14ac:dyDescent="0.25"/>
  <sheetData>
    <row r="2" spans="1:2" x14ac:dyDescent="0.25">
      <c r="A2" t="s">
        <v>250</v>
      </c>
    </row>
    <row r="3" spans="1:2" x14ac:dyDescent="0.25">
      <c r="A3" t="s">
        <v>251</v>
      </c>
    </row>
    <row r="5" spans="1:2" x14ac:dyDescent="0.25">
      <c r="A5" t="s">
        <v>252</v>
      </c>
    </row>
    <row r="6" spans="1:2" x14ac:dyDescent="0.25">
      <c r="A6" t="s">
        <v>253</v>
      </c>
    </row>
    <row r="7" spans="1:2" x14ac:dyDescent="0.25">
      <c r="A7" t="s">
        <v>254</v>
      </c>
    </row>
    <row r="9" spans="1:2" x14ac:dyDescent="0.25">
      <c r="A9" t="s">
        <v>255</v>
      </c>
    </row>
    <row r="10" spans="1:2" x14ac:dyDescent="0.25">
      <c r="A10" t="s">
        <v>256</v>
      </c>
    </row>
    <row r="11" spans="1:2" x14ac:dyDescent="0.25">
      <c r="B11" t="s">
        <v>257</v>
      </c>
    </row>
    <row r="12" spans="1:2" x14ac:dyDescent="0.25">
      <c r="B12" t="s">
        <v>258</v>
      </c>
    </row>
    <row r="13" spans="1:2" x14ac:dyDescent="0.25">
      <c r="B13" t="s">
        <v>259</v>
      </c>
    </row>
    <row r="14" spans="1:2" x14ac:dyDescent="0.25">
      <c r="B14" t="s">
        <v>260</v>
      </c>
    </row>
    <row r="15" spans="1:2" x14ac:dyDescent="0.25">
      <c r="B15" t="s">
        <v>261</v>
      </c>
    </row>
    <row r="16" spans="1:2" x14ac:dyDescent="0.25">
      <c r="B16" t="s">
        <v>262</v>
      </c>
    </row>
    <row r="18" spans="1:1" x14ac:dyDescent="0.25">
      <c r="A18" t="s">
        <v>263</v>
      </c>
    </row>
    <row r="19" spans="1:1" x14ac:dyDescent="0.25">
      <c r="A19" t="s">
        <v>264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"/>
  <sheetViews>
    <sheetView tabSelected="1" workbookViewId="0">
      <selection activeCell="I4" sqref="I4"/>
    </sheetView>
  </sheetViews>
  <sheetFormatPr defaultRowHeight="12.5" x14ac:dyDescent="0.25"/>
  <cols>
    <col min="1" max="1" width="18.26953125" customWidth="1"/>
    <col min="2" max="2" width="12.453125" customWidth="1"/>
    <col min="3" max="3" width="22.453125" customWidth="1"/>
    <col min="4" max="8" width="10.453125" customWidth="1"/>
    <col min="9" max="9" width="6.26953125" customWidth="1"/>
    <col min="11" max="11" width="11.26953125" bestFit="1" customWidth="1"/>
  </cols>
  <sheetData>
    <row r="1" spans="1:12" ht="13.5" thickBot="1" x14ac:dyDescent="0.35">
      <c r="A1" s="5" t="s">
        <v>193</v>
      </c>
      <c r="G1" s="40" t="s">
        <v>199</v>
      </c>
    </row>
    <row r="2" spans="1:12" ht="13" thickBot="1" x14ac:dyDescent="0.3">
      <c r="A2" t="s">
        <v>44</v>
      </c>
      <c r="D2" s="39">
        <v>300</v>
      </c>
      <c r="G2" t="s">
        <v>226</v>
      </c>
      <c r="K2" s="55" t="s">
        <v>265</v>
      </c>
      <c r="L2" t="s">
        <v>192</v>
      </c>
    </row>
    <row r="3" spans="1:12" x14ac:dyDescent="0.25">
      <c r="A3" t="s">
        <v>45</v>
      </c>
      <c r="D3">
        <f>0.04*D2</f>
        <v>12</v>
      </c>
      <c r="E3" t="s">
        <v>249</v>
      </c>
      <c r="K3" s="15">
        <f>IF(K2="lre",'Equipment - LRE'!F20,IF(K2="cable",'Equipment - Cable'!F13,IF(K2="ethernet",Ethernet!F18,0)))</f>
        <v>136942.04999999999</v>
      </c>
      <c r="L3" t="s">
        <v>242</v>
      </c>
    </row>
    <row r="4" spans="1:12" ht="13" thickBot="1" x14ac:dyDescent="0.3">
      <c r="A4" t="s">
        <v>70</v>
      </c>
      <c r="K4" s="15">
        <f>IF(K2="lre",'Equipment - LRE'!F30,IF(K2="cable",'Equipment - Cable'!F22,IF(K2="ethernet",Ethernet!F26,0)))</f>
        <v>25603.75</v>
      </c>
      <c r="L4" t="s">
        <v>244</v>
      </c>
    </row>
    <row r="5" spans="1:12" ht="13" thickBot="1" x14ac:dyDescent="0.3">
      <c r="A5" t="s">
        <v>73</v>
      </c>
      <c r="D5" s="49">
        <v>0.8</v>
      </c>
      <c r="G5" t="s">
        <v>174</v>
      </c>
      <c r="K5" s="49">
        <v>0.35</v>
      </c>
    </row>
    <row r="6" spans="1:12" ht="13" thickBot="1" x14ac:dyDescent="0.3">
      <c r="A6" t="s">
        <v>77</v>
      </c>
      <c r="D6" s="49">
        <v>0.5</v>
      </c>
      <c r="G6" t="s">
        <v>247</v>
      </c>
      <c r="K6" s="55" t="s">
        <v>246</v>
      </c>
    </row>
    <row r="7" spans="1:12" ht="13.5" thickBot="1" x14ac:dyDescent="0.35">
      <c r="A7" t="s">
        <v>71</v>
      </c>
      <c r="D7" s="52">
        <v>10</v>
      </c>
      <c r="G7" s="5" t="s">
        <v>200</v>
      </c>
      <c r="K7" s="55" t="s">
        <v>245</v>
      </c>
      <c r="L7" t="s">
        <v>248</v>
      </c>
    </row>
    <row r="8" spans="1:12" ht="13" thickBot="1" x14ac:dyDescent="0.3">
      <c r="A8" t="s">
        <v>72</v>
      </c>
      <c r="D8" s="53">
        <v>600</v>
      </c>
      <c r="L8" t="s">
        <v>201</v>
      </c>
    </row>
    <row r="9" spans="1:12" ht="13" thickBot="1" x14ac:dyDescent="0.3">
      <c r="A9" t="s">
        <v>194</v>
      </c>
      <c r="D9" s="2">
        <v>0</v>
      </c>
      <c r="G9" t="s">
        <v>243</v>
      </c>
    </row>
    <row r="10" spans="1:12" ht="13.5" thickBot="1" x14ac:dyDescent="0.35">
      <c r="A10" t="s">
        <v>46</v>
      </c>
      <c r="D10" s="53">
        <v>90</v>
      </c>
      <c r="G10" s="5" t="s">
        <v>183</v>
      </c>
      <c r="K10" s="55" t="s">
        <v>231</v>
      </c>
    </row>
    <row r="11" spans="1:12" ht="13" thickBot="1" x14ac:dyDescent="0.3">
      <c r="A11" t="s">
        <v>235</v>
      </c>
      <c r="D11" s="54">
        <v>650</v>
      </c>
      <c r="H11" t="s">
        <v>163</v>
      </c>
      <c r="K11" s="25">
        <v>10</v>
      </c>
    </row>
    <row r="12" spans="1:12" x14ac:dyDescent="0.25">
      <c r="H12" t="s">
        <v>164</v>
      </c>
      <c r="K12" s="2">
        <v>0.25</v>
      </c>
    </row>
    <row r="13" spans="1:12" x14ac:dyDescent="0.25">
      <c r="H13" t="s">
        <v>165</v>
      </c>
      <c r="K13" s="15">
        <v>1000</v>
      </c>
      <c r="L13" t="s">
        <v>207</v>
      </c>
    </row>
    <row r="14" spans="1:12" x14ac:dyDescent="0.25">
      <c r="D14" s="2"/>
      <c r="H14" t="s">
        <v>160</v>
      </c>
      <c r="K14" s="26">
        <v>8.9499999999999993</v>
      </c>
    </row>
    <row r="15" spans="1:12" s="41" customFormat="1" ht="2.25" customHeight="1" x14ac:dyDescent="0.25">
      <c r="D15" s="42"/>
      <c r="K15" s="43"/>
    </row>
    <row r="16" spans="1:12" ht="13" x14ac:dyDescent="0.3">
      <c r="A16" s="5" t="s">
        <v>203</v>
      </c>
    </row>
    <row r="17" spans="1:12" x14ac:dyDescent="0.25">
      <c r="I17" t="s">
        <v>11</v>
      </c>
    </row>
    <row r="18" spans="1:12" ht="13" x14ac:dyDescent="0.3">
      <c r="A18" s="5" t="str">
        <f>Revenue!A19</f>
        <v>Annual Revenue</v>
      </c>
      <c r="C18" s="5" t="s">
        <v>80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L18" t="s">
        <v>11</v>
      </c>
    </row>
    <row r="19" spans="1:12" x14ac:dyDescent="0.25">
      <c r="A19" t="str">
        <f>Revenue!A20</f>
        <v>Guest Room Revenue</v>
      </c>
      <c r="D19" s="3">
        <f>Revenue!C20</f>
        <v>18144</v>
      </c>
      <c r="E19" s="3">
        <f>Revenue!D20</f>
        <v>36288</v>
      </c>
      <c r="F19" s="3">
        <f>Revenue!E20</f>
        <v>54432</v>
      </c>
      <c r="G19" s="3">
        <f>Revenue!F20</f>
        <v>72576</v>
      </c>
      <c r="H19" s="3">
        <f>Revenue!G20</f>
        <v>90720</v>
      </c>
    </row>
    <row r="20" spans="1:12" hidden="1" x14ac:dyDescent="0.25">
      <c r="A20" t="str">
        <f>Revenue!A21</f>
        <v>Revenue share</v>
      </c>
      <c r="D20" s="16">
        <f>Revenue!C21</f>
        <v>0</v>
      </c>
      <c r="E20" s="16">
        <f>Revenue!D21</f>
        <v>0</v>
      </c>
      <c r="F20" s="16">
        <f>Revenue!E21</f>
        <v>0</v>
      </c>
      <c r="G20" s="16">
        <f>Revenue!F21</f>
        <v>0</v>
      </c>
      <c r="H20" s="16">
        <f>Revenue!G21</f>
        <v>0</v>
      </c>
    </row>
    <row r="21" spans="1:12" x14ac:dyDescent="0.25">
      <c r="A21" t="str">
        <f>Revenue!A22</f>
        <v>Meeting Revenue</v>
      </c>
      <c r="D21" s="16">
        <f>Revenue!C22</f>
        <v>27216</v>
      </c>
      <c r="E21" s="16">
        <f>Revenue!D22</f>
        <v>54432</v>
      </c>
      <c r="F21" s="16">
        <f>Revenue!E22</f>
        <v>81647.999999999985</v>
      </c>
      <c r="G21" s="16">
        <f>Revenue!F22</f>
        <v>108864</v>
      </c>
      <c r="H21" s="16">
        <f>Revenue!G22</f>
        <v>136080</v>
      </c>
    </row>
    <row r="22" spans="1:12" hidden="1" x14ac:dyDescent="0.25">
      <c r="A22" t="s">
        <v>154</v>
      </c>
      <c r="D22" s="16">
        <f>IF($K$10="Yes",Revenue!C32,0)</f>
        <v>0</v>
      </c>
      <c r="E22" s="16">
        <f>IF($K$10="Yes",Revenue!D32,0)</f>
        <v>0</v>
      </c>
      <c r="F22" s="16">
        <f>IF($K$10="Yes",Revenue!E32,0)</f>
        <v>0</v>
      </c>
      <c r="G22" s="16">
        <f>IF($K$10="Yes",Revenue!F32,0)</f>
        <v>0</v>
      </c>
      <c r="H22" s="16">
        <f>IF($K$10="Yes",Revenue!G32,0)</f>
        <v>0</v>
      </c>
    </row>
    <row r="23" spans="1:12" ht="13.5" thickBot="1" x14ac:dyDescent="0.35">
      <c r="A23" s="5" t="s">
        <v>172</v>
      </c>
      <c r="D23" s="17">
        <f>SUM(D19:D22)</f>
        <v>45360</v>
      </c>
      <c r="E23" s="17">
        <f>SUM(E19:E22)</f>
        <v>90720</v>
      </c>
      <c r="F23" s="17">
        <f>SUM(F19:F22)</f>
        <v>136080</v>
      </c>
      <c r="G23" s="17">
        <f>SUM(G19:G22)</f>
        <v>181440</v>
      </c>
      <c r="H23" s="17">
        <f>SUM(H19:H22)</f>
        <v>226800</v>
      </c>
    </row>
    <row r="24" spans="1:12" ht="13" thickTop="1" x14ac:dyDescent="0.25"/>
    <row r="25" spans="1:12" ht="13" x14ac:dyDescent="0.3">
      <c r="A25" s="5" t="s">
        <v>4</v>
      </c>
      <c r="I25" t="s">
        <v>182</v>
      </c>
    </row>
    <row r="26" spans="1:12" x14ac:dyDescent="0.25">
      <c r="A26" s="14" t="s">
        <v>81</v>
      </c>
      <c r="C26" s="3">
        <f>IF($K$6="Buy",K3,0)</f>
        <v>0</v>
      </c>
      <c r="D26" s="3">
        <f>IF($K$6="Buy",0,IF($K$6="Lease",IF($K$2="LRE",$K3*$I$26*12,$K3*$I$26*12),0))</f>
        <v>49299.137999999992</v>
      </c>
      <c r="E26" s="3">
        <f>IF($K$6="Buy",0,IF($K$6="Lease",IF($K$2="LRE",$K3*$I$26*12,$K3*$I$26*12),0))</f>
        <v>49299.137999999992</v>
      </c>
      <c r="F26" s="3">
        <f>IF($K$6="Buy",0,IF($K$6="Lease",IF($K$2="LRE",$K3*$I$26*12,$K3*$I$26*12),0))</f>
        <v>49299.137999999992</v>
      </c>
      <c r="G26" s="3">
        <f>IF($K$6="Buy",0,IF($K$6="Lease",IF($K$2="LRE",$K3*$I$26*12,$K3*$I$26*12),0))*0.4</f>
        <v>19719.655199999997</v>
      </c>
      <c r="H26" s="3">
        <f>IF($K$6="Buy",0,IF($K$6="Lease",IF($K$2="LRE",$K3*$I$26*12,$K3*$I$26*12),0))*0.4</f>
        <v>19719.655199999997</v>
      </c>
      <c r="I26" s="8">
        <v>0.03</v>
      </c>
      <c r="J26" t="s">
        <v>83</v>
      </c>
    </row>
    <row r="27" spans="1:12" x14ac:dyDescent="0.25">
      <c r="A27" s="14" t="s">
        <v>84</v>
      </c>
      <c r="C27" s="3">
        <f>IF($K$6="Buy",'Equipment - LRE'!F30,0)</f>
        <v>0</v>
      </c>
      <c r="D27" s="3">
        <f>IF($K$6="Buy",0,IF($K$6="Lease",'Equipment - LRE'!$F$30*$I$27*12,0))</f>
        <v>9217.3499999999985</v>
      </c>
      <c r="E27" s="3">
        <f>IF($K$6="Buy",0,IF($K$6="Lease",'Equipment - LRE'!$F$30*$I$27*12,0))</f>
        <v>9217.3499999999985</v>
      </c>
      <c r="F27" s="3">
        <f>IF($K$6="Buy",0,IF($K$6="Lease",'Equipment - LRE'!$F$30*$I$27*12,0))</f>
        <v>9217.3499999999985</v>
      </c>
      <c r="G27" s="3">
        <f>IF($K$6="Buy",0,IF($K$6="Lease",'Equipment - LRE'!$F$30*$I$27*12,0))*0.4</f>
        <v>3686.9399999999996</v>
      </c>
      <c r="H27" s="3">
        <f>IF($K$6="Buy",0,IF($K$6="Lease",'Equipment - LRE'!$F$30*$I$27*12,0))*0.4</f>
        <v>3686.9399999999996</v>
      </c>
      <c r="I27" s="8">
        <v>0.03</v>
      </c>
      <c r="J27" t="s">
        <v>83</v>
      </c>
    </row>
    <row r="28" spans="1:12" hidden="1" x14ac:dyDescent="0.25">
      <c r="A28" s="14" t="s">
        <v>175</v>
      </c>
      <c r="C28" s="3">
        <f>IF(K10="Yes",IF($K$6="Buy",'Equipment - LRE'!F38,0),0)</f>
        <v>0</v>
      </c>
      <c r="D28" s="3">
        <f>IF($K$10="Yes",IF($K$6="Buy",0,IF($K$6="Lease",'Equipment - LRE'!$F$38*$I$27*12,0)),0)</f>
        <v>0</v>
      </c>
      <c r="E28" s="3">
        <f>IF($K$10="Yes",IF($K$6="Buy",0,IF($K$6="Lease",'Equipment - LRE'!$F$38*$I$27*12,0)),0)</f>
        <v>0</v>
      </c>
      <c r="F28" s="3">
        <f>IF($K$10="Yes",IF($K$6="Buy",0,IF($K$6="Lease",'Equipment - LRE'!$F$38*$I$27*12,0)),0)</f>
        <v>0</v>
      </c>
      <c r="G28" s="3">
        <f>IF($K$10="Yes",IF($K$6="Buy",0,IF($K$6="Lease",'Equipment - LRE'!$F$38*$I$27*12,0)),0)*0.5</f>
        <v>0</v>
      </c>
      <c r="H28" s="3">
        <f>IF($K$10="Yes",IF($K$6="Buy",0,IF($K$6="Lease",'Equipment - LRE'!$F$38*$I$27*12,0)),0)*0.5</f>
        <v>0</v>
      </c>
      <c r="I28" s="8">
        <v>0.03</v>
      </c>
      <c r="J28" t="s">
        <v>83</v>
      </c>
    </row>
    <row r="29" spans="1:12" x14ac:dyDescent="0.25">
      <c r="A29" s="14" t="s">
        <v>85</v>
      </c>
      <c r="C29" s="3">
        <f>IF($K$6="Buy",IF($K$2="lre",'Install Labor Costs'!$D$31,IF($K$2="cable",'Install Labor Costs'!$F$31,IF($K$2="ethernet",'Install Labor Costs'!$F$31,0))),0)</f>
        <v>0</v>
      </c>
      <c r="D29" s="3">
        <f>IF($K$6="Buy",0,IF($K$6="Lease",IF($K$2="lre",'Install Labor Costs'!$D$31*$I$29*12,IF($K$2="cable",'Install Labor Costs'!$F$31*$I$29*12,IF($K$2="ethernet",'Install Labor Costs'!$F$31*$I$29*12,0))),0))</f>
        <v>8278.2000000000007</v>
      </c>
      <c r="E29" s="3">
        <f>IF($K$6="Buy",0,IF($K$6="Lease",IF($K$2="lre",'Install Labor Costs'!$D$31*$I$29*12,IF($K$2="cable",'Install Labor Costs'!$F$31*$I$29*12,IF($K$2="ethernet",'Install Labor Costs'!$F$31*$I$29*12,0))),0))</f>
        <v>8278.2000000000007</v>
      </c>
      <c r="F29" s="3">
        <f>IF($K$6="Buy",0,IF($K$6="Lease",IF($K$2="lre",'Install Labor Costs'!$D$31*$I$29*12,IF($K$2="cable",'Install Labor Costs'!$F$31*$I$29*12,IF($K$2="ethernet",'Install Labor Costs'!$F$31*$I$29*12,0))),0))</f>
        <v>8278.2000000000007</v>
      </c>
      <c r="G29" s="3"/>
      <c r="H29" s="3"/>
      <c r="I29" s="8">
        <v>3.5000000000000003E-2</v>
      </c>
      <c r="J29" t="s">
        <v>108</v>
      </c>
    </row>
    <row r="30" spans="1:12" x14ac:dyDescent="0.25">
      <c r="A30" t="s">
        <v>126</v>
      </c>
      <c r="B30" t="str">
        <f>K$7</f>
        <v>prop</v>
      </c>
      <c r="D30" s="3">
        <f>'SG&amp;A and Service &amp; Support'!D14*IF($K$7="SP",0.8,IF($K$7="PROP",1,0))</f>
        <v>7800</v>
      </c>
      <c r="E30" s="3">
        <f>D30*0.9</f>
        <v>7020</v>
      </c>
      <c r="F30" s="3">
        <f>E30*0.9</f>
        <v>6318</v>
      </c>
      <c r="G30" s="3">
        <f>F30*0.9</f>
        <v>5686.2</v>
      </c>
      <c r="H30" s="3">
        <f>G30*0.9</f>
        <v>5117.58</v>
      </c>
      <c r="J30" t="s">
        <v>202</v>
      </c>
    </row>
    <row r="31" spans="1:12" x14ac:dyDescent="0.25">
      <c r="A31" t="s">
        <v>210</v>
      </c>
      <c r="B31" t="str">
        <f>K$7</f>
        <v>prop</v>
      </c>
      <c r="D31" s="15">
        <f>'SG&amp;A and Service &amp; Support'!$D19*IF($K$7="SP",0.7,IF($K$7="PROP",1,0))</f>
        <v>5400</v>
      </c>
      <c r="E31" s="15">
        <f>'SG&amp;A and Service &amp; Support'!$D19*IF($K$7="SP",0.7,IF($K$7="PROP",1,0))</f>
        <v>5400</v>
      </c>
      <c r="F31" s="15">
        <f>'SG&amp;A and Service &amp; Support'!$D19*IF($K$7="SP",0.7,IF($K$7="PROP",1,0))</f>
        <v>5400</v>
      </c>
      <c r="G31" s="15">
        <f>'SG&amp;A and Service &amp; Support'!$D19*IF($K$7="SP",0.7,IF($K$7="PROP",1,0))</f>
        <v>5400</v>
      </c>
      <c r="H31" s="15">
        <f>'SG&amp;A and Service &amp; Support'!$D19*IF($K$7="SP",0.7,IF($K$7="PROP",1,0))</f>
        <v>5400</v>
      </c>
      <c r="J31" t="s">
        <v>216</v>
      </c>
    </row>
    <row r="32" spans="1:12" ht="13" thickBot="1" x14ac:dyDescent="0.3">
      <c r="A32" t="s">
        <v>212</v>
      </c>
      <c r="B32" t="str">
        <f>K$7</f>
        <v>prop</v>
      </c>
      <c r="C32" s="2" t="s">
        <v>11</v>
      </c>
      <c r="D32" s="3">
        <f>'SG&amp;A and Service &amp; Support'!$D20*IF($K$7="SP",0.6,IF($K$7="PROP",1,0))</f>
        <v>14400</v>
      </c>
      <c r="E32" s="3">
        <f>'SG&amp;A and Service &amp; Support'!$D20*IF($K$7="SP",0.6,IF($K$7="PROP",1,0))</f>
        <v>14400</v>
      </c>
      <c r="F32" s="3">
        <f>'SG&amp;A and Service &amp; Support'!$D20*IF($K$7="SP",0.6,IF($K$7="PROP",1,0))</f>
        <v>14400</v>
      </c>
      <c r="G32" s="3">
        <f>'SG&amp;A and Service &amp; Support'!$D20*IF($K$7="SP",0.6,IF($K$7="PROP",1,0))</f>
        <v>14400</v>
      </c>
      <c r="H32" s="3">
        <f>'SG&amp;A and Service &amp; Support'!$D20*IF($K$7="SP",0.6,IF($K$7="PROP",1,0))</f>
        <v>14400</v>
      </c>
      <c r="J32" t="s">
        <v>213</v>
      </c>
    </row>
    <row r="33" spans="1:12" ht="13" thickBot="1" x14ac:dyDescent="0.3">
      <c r="A33" t="s">
        <v>211</v>
      </c>
      <c r="C33" s="2"/>
      <c r="D33" s="3">
        <f>'SG&amp;A and Service &amp; Support'!$D23</f>
        <v>8635.6639999999989</v>
      </c>
      <c r="E33" s="3">
        <f>'SG&amp;A and Service &amp; Support'!$D23</f>
        <v>8635.6639999999989</v>
      </c>
      <c r="F33" s="3">
        <f>'SG&amp;A and Service &amp; Support'!$D23</f>
        <v>8635.6639999999989</v>
      </c>
      <c r="G33" s="3">
        <f>'SG&amp;A and Service &amp; Support'!$D23</f>
        <v>8635.6639999999989</v>
      </c>
      <c r="H33" s="3">
        <f>'SG&amp;A and Service &amp; Support'!$D23</f>
        <v>8635.6639999999989</v>
      </c>
      <c r="J33" t="s">
        <v>214</v>
      </c>
      <c r="K33" s="47">
        <v>0.08</v>
      </c>
      <c r="L33" t="s">
        <v>215</v>
      </c>
    </row>
    <row r="34" spans="1:12" x14ac:dyDescent="0.25">
      <c r="A34" t="s">
        <v>14</v>
      </c>
      <c r="C34" s="2"/>
      <c r="D34" s="3">
        <f>'SG&amp;A and Service &amp; Support'!D28*IF($K$7="SP",0.5,IF($K$7="PROP",1,0))</f>
        <v>4600</v>
      </c>
      <c r="E34" s="3">
        <f>'SG&amp;A and Service &amp; Support'!E28*IF($K$7="SP",0.5,IF($K$7="PROP",1,0))</f>
        <v>3400</v>
      </c>
      <c r="F34" s="3">
        <f>0.9*E34</f>
        <v>3060</v>
      </c>
      <c r="G34" s="3">
        <f>0.9*F34</f>
        <v>2754</v>
      </c>
      <c r="H34" s="3">
        <f>0.9*G34</f>
        <v>2478.6</v>
      </c>
      <c r="J34" t="s">
        <v>219</v>
      </c>
    </row>
    <row r="35" spans="1:12" hidden="1" x14ac:dyDescent="0.25">
      <c r="A35" t="s">
        <v>173</v>
      </c>
      <c r="C35" s="2"/>
      <c r="D35" s="3">
        <f>IF($K$10="Yes",'SG&amp;A and Service &amp; Support'!$D37,0)</f>
        <v>0</v>
      </c>
      <c r="E35" s="3">
        <f>IF($K$10="Yes",'SG&amp;A and Service &amp; Support'!$D37,0)</f>
        <v>0</v>
      </c>
      <c r="F35" s="3">
        <f>IF($K$10="Yes",'SG&amp;A and Service &amp; Support'!$D37,0)</f>
        <v>0</v>
      </c>
      <c r="G35" s="3">
        <f>IF($K$10="Yes",'SG&amp;A and Service &amp; Support'!$D37,0)</f>
        <v>0</v>
      </c>
      <c r="H35" s="3">
        <f>IF($K$10="Yes",'SG&amp;A and Service &amp; Support'!$D37,0)</f>
        <v>0</v>
      </c>
    </row>
    <row r="36" spans="1:12" ht="13.5" thickBot="1" x14ac:dyDescent="0.35">
      <c r="A36" s="5"/>
      <c r="B36" s="5" t="s">
        <v>5</v>
      </c>
      <c r="C36" s="4">
        <f>SUM(C26:C32)</f>
        <v>0</v>
      </c>
      <c r="D36" s="4">
        <f>SUM(D26:D35)</f>
        <v>107630.352</v>
      </c>
      <c r="E36" s="4">
        <f>SUM(E26:E35)</f>
        <v>105650.352</v>
      </c>
      <c r="F36" s="4">
        <f>SUM(F26:F35)</f>
        <v>104608.352</v>
      </c>
      <c r="G36" s="4">
        <f>SUM(G26:G35)</f>
        <v>60282.45919999999</v>
      </c>
      <c r="H36" s="4">
        <f>SUM(H26:H35)</f>
        <v>59438.439199999993</v>
      </c>
    </row>
    <row r="37" spans="1:12" ht="13.5" thickTop="1" x14ac:dyDescent="0.3">
      <c r="A37" s="5"/>
      <c r="D37" s="3"/>
      <c r="E37" s="3"/>
      <c r="F37" s="3"/>
      <c r="G37" s="3"/>
      <c r="H37" s="3"/>
    </row>
    <row r="38" spans="1:12" ht="13" x14ac:dyDescent="0.3">
      <c r="A38" s="5" t="s">
        <v>103</v>
      </c>
      <c r="C38" s="3">
        <f t="shared" ref="C38:H38" si="0">C23-C36</f>
        <v>0</v>
      </c>
      <c r="D38" s="3">
        <f t="shared" si="0"/>
        <v>-62270.351999999999</v>
      </c>
      <c r="E38" s="3">
        <f t="shared" si="0"/>
        <v>-14930.351999999999</v>
      </c>
      <c r="F38" s="3">
        <f t="shared" si="0"/>
        <v>31471.648000000001</v>
      </c>
      <c r="G38" s="3">
        <f t="shared" si="0"/>
        <v>121157.54080000002</v>
      </c>
      <c r="H38" s="3">
        <f t="shared" si="0"/>
        <v>167361.56080000001</v>
      </c>
    </row>
    <row r="39" spans="1:12" ht="13" x14ac:dyDescent="0.3">
      <c r="A39" s="5"/>
      <c r="B39" s="5" t="s">
        <v>17</v>
      </c>
      <c r="D39" s="12">
        <f>IRR(C38:H38)</f>
        <v>0.56887083864858878</v>
      </c>
      <c r="E39" s="5"/>
      <c r="F39" s="5"/>
      <c r="G39" s="5"/>
      <c r="H39" s="5"/>
    </row>
    <row r="40" spans="1:12" ht="13" x14ac:dyDescent="0.3">
      <c r="A40" s="5"/>
      <c r="B40" s="11"/>
      <c r="D40" s="5" t="s">
        <v>6</v>
      </c>
      <c r="E40" s="5" t="s">
        <v>7</v>
      </c>
      <c r="F40" s="5" t="s">
        <v>8</v>
      </c>
      <c r="G40" s="5" t="s">
        <v>9</v>
      </c>
      <c r="H40" s="5" t="s">
        <v>10</v>
      </c>
    </row>
    <row r="41" spans="1:12" ht="19.5" customHeight="1" x14ac:dyDescent="0.3">
      <c r="B41" s="5"/>
      <c r="C41" s="9" t="s">
        <v>238</v>
      </c>
      <c r="D41" s="48">
        <f>-D36/(365*($D$2+$D$3))</f>
        <v>-0.94512075869336143</v>
      </c>
      <c r="E41" s="48">
        <f>-E36/(365*($D$2+$D$3))</f>
        <v>-0.9277340358271865</v>
      </c>
      <c r="F41" s="48">
        <f>-F36/(365*($D$2+$D$3))</f>
        <v>-0.91858405338953286</v>
      </c>
      <c r="G41" s="48">
        <f>-G36/(365*($D$2+$D$3))</f>
        <v>-0.52935071303126091</v>
      </c>
      <c r="H41" s="48">
        <f>-H36/(365*($D$2+$D$3))</f>
        <v>-0.52193922725676145</v>
      </c>
      <c r="J41" t="s">
        <v>221</v>
      </c>
    </row>
    <row r="42" spans="1:12" ht="19.5" customHeight="1" x14ac:dyDescent="0.3">
      <c r="B42" s="5"/>
      <c r="C42" s="9" t="s">
        <v>239</v>
      </c>
      <c r="D42" s="48">
        <f>-(D36-D21-D22)/(365*($D$2+$D$3))</f>
        <v>-0.70613234984193884</v>
      </c>
      <c r="E42" s="48">
        <f>-(E36-E21-E22)/(365*($D$2+$D$3))</f>
        <v>-0.44975721812434138</v>
      </c>
      <c r="F42" s="48">
        <f>-(F36-F21-F22)/(365*($D$2+$D$3))</f>
        <v>-0.2016188268352653</v>
      </c>
      <c r="G42" s="48">
        <f>-(G36-G21-G22)/(365*($D$2+$D$3))</f>
        <v>0.42660292237442932</v>
      </c>
      <c r="H42" s="48">
        <f>-(H36-H21-H22)/(365*($D$2+$D$3))</f>
        <v>0.67300281700035125</v>
      </c>
      <c r="J42" t="s">
        <v>222</v>
      </c>
    </row>
    <row r="43" spans="1:12" ht="19.5" customHeight="1" x14ac:dyDescent="0.3">
      <c r="B43" s="5"/>
      <c r="C43" s="9" t="s">
        <v>240</v>
      </c>
      <c r="D43" s="48">
        <f>-(D36-D23)/(365*($D$2+$D$3))</f>
        <v>-0.54680674394099049</v>
      </c>
      <c r="E43" s="48">
        <f>-(E36-E23)/(365*($D$2+$D$3))</f>
        <v>-0.13110600632244468</v>
      </c>
      <c r="F43" s="48">
        <f>-(F36-F23)/(365*($D$2+$D$3))</f>
        <v>0.27635799086757989</v>
      </c>
      <c r="G43" s="48">
        <f>-(G36-G23)/(365*($D$2+$D$3))</f>
        <v>1.0639053459782228</v>
      </c>
      <c r="H43" s="48">
        <f>-(H36-H23)/(365*($D$2+$D$3))</f>
        <v>1.4696308465050931</v>
      </c>
      <c r="J43" t="s">
        <v>221</v>
      </c>
    </row>
    <row r="44" spans="1:12" ht="13" x14ac:dyDescent="0.3">
      <c r="A44" s="5"/>
      <c r="B44" s="5"/>
      <c r="D44" s="12"/>
      <c r="E44" s="5"/>
      <c r="F44" s="5"/>
      <c r="G44" s="5"/>
      <c r="H44" s="5"/>
    </row>
    <row r="45" spans="1:12" ht="13" x14ac:dyDescent="0.3">
      <c r="A45" s="5"/>
      <c r="B45" s="5"/>
      <c r="D45" s="44"/>
      <c r="E45" s="5"/>
      <c r="F45" s="5"/>
      <c r="G45" s="5"/>
      <c r="H45" s="5"/>
    </row>
    <row r="46" spans="1:12" ht="13" x14ac:dyDescent="0.3">
      <c r="B46" s="5"/>
      <c r="D46" s="35"/>
      <c r="E46" s="35"/>
      <c r="F46" s="35"/>
      <c r="G46" s="35"/>
      <c r="H46" s="35"/>
    </row>
    <row r="47" spans="1:12" x14ac:dyDescent="0.25">
      <c r="B47" t="s">
        <v>204</v>
      </c>
    </row>
    <row r="48" spans="1:12" x14ac:dyDescent="0.25">
      <c r="B48" t="s">
        <v>205</v>
      </c>
    </row>
    <row r="50" spans="1:15" ht="13" x14ac:dyDescent="0.3">
      <c r="A50" s="5"/>
      <c r="B50" t="s">
        <v>138</v>
      </c>
    </row>
    <row r="51" spans="1:15" x14ac:dyDescent="0.25">
      <c r="B51" t="s">
        <v>184</v>
      </c>
    </row>
    <row r="59" spans="1:15" x14ac:dyDescent="0.25">
      <c r="K59" s="46"/>
      <c r="L59" s="46"/>
      <c r="M59" s="46"/>
      <c r="N59" s="46"/>
      <c r="O59" s="46"/>
    </row>
    <row r="60" spans="1:15" x14ac:dyDescent="0.25">
      <c r="K60" s="46"/>
      <c r="L60" s="46"/>
      <c r="M60" s="46"/>
      <c r="N60" s="46"/>
      <c r="O60" s="46"/>
    </row>
    <row r="61" spans="1:15" x14ac:dyDescent="0.25">
      <c r="K61" s="46"/>
      <c r="L61" s="46"/>
      <c r="M61" s="46"/>
      <c r="N61" s="46"/>
      <c r="O61" s="46"/>
    </row>
    <row r="62" spans="1:15" x14ac:dyDescent="0.25">
      <c r="K62" s="46"/>
      <c r="L62" s="46"/>
      <c r="M62" s="46"/>
      <c r="N62" s="46"/>
      <c r="O62" s="46"/>
    </row>
  </sheetData>
  <phoneticPr fontId="0" type="noConversion"/>
  <pageMargins left="0.75" right="0.75" top="1" bottom="1" header="0.5" footer="0.5"/>
  <pageSetup scale="72" orientation="landscape" horizontalDpi="4294967292" r:id="rId1"/>
  <headerFooter alignWithMargins="0">
    <oddHeader>&amp;L&amp;D&amp;C&amp;F&amp;R&amp;A</oddHeader>
    <oddFooter>&amp;LCisco Proprietary and Confidential&amp;RPage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"/>
  <sheetViews>
    <sheetView topLeftCell="A15" workbookViewId="0">
      <selection activeCell="B37" sqref="B37"/>
    </sheetView>
  </sheetViews>
  <sheetFormatPr defaultRowHeight="12.5" x14ac:dyDescent="0.25"/>
  <cols>
    <col min="2" max="2" width="24.1796875" customWidth="1"/>
    <col min="5" max="7" width="10.1796875" customWidth="1"/>
  </cols>
  <sheetData>
    <row r="1" spans="1:10" x14ac:dyDescent="0.25">
      <c r="J1" t="s">
        <v>11</v>
      </c>
    </row>
    <row r="2" spans="1:10" ht="13" x14ac:dyDescent="0.3"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</row>
    <row r="3" spans="1:10" x14ac:dyDescent="0.25">
      <c r="A3" t="s">
        <v>0</v>
      </c>
      <c r="C3">
        <f>Summary!$D2</f>
        <v>300</v>
      </c>
      <c r="D3">
        <f>Summary!$D2</f>
        <v>300</v>
      </c>
      <c r="E3">
        <f>Summary!$D2</f>
        <v>300</v>
      </c>
      <c r="F3">
        <f>Summary!$D2</f>
        <v>300</v>
      </c>
      <c r="G3">
        <f>Summary!$D2</f>
        <v>300</v>
      </c>
    </row>
    <row r="4" spans="1:10" x14ac:dyDescent="0.25">
      <c r="A4" t="s">
        <v>1</v>
      </c>
      <c r="C4">
        <f>Summary!$D3</f>
        <v>12</v>
      </c>
      <c r="D4">
        <f>Summary!$D3</f>
        <v>12</v>
      </c>
      <c r="E4">
        <f>Summary!$D3</f>
        <v>12</v>
      </c>
      <c r="F4">
        <f>Summary!$D3</f>
        <v>12</v>
      </c>
      <c r="G4">
        <f>Summary!$D3</f>
        <v>12</v>
      </c>
    </row>
    <row r="6" spans="1:10" ht="13" x14ac:dyDescent="0.3">
      <c r="A6" s="5" t="s">
        <v>74</v>
      </c>
    </row>
    <row r="7" spans="1:10" x14ac:dyDescent="0.25">
      <c r="A7" t="s">
        <v>75</v>
      </c>
      <c r="C7">
        <f>C3*Summary!$D5*252</f>
        <v>60480</v>
      </c>
      <c r="D7">
        <f>D3*Summary!$D5*252</f>
        <v>60480</v>
      </c>
      <c r="E7">
        <f>E3*Summary!$D5*252</f>
        <v>60480</v>
      </c>
      <c r="F7">
        <f>F3*Summary!$D5*252</f>
        <v>60480</v>
      </c>
      <c r="G7">
        <f>G3*Summary!$D5*252</f>
        <v>60480</v>
      </c>
      <c r="H7" t="s">
        <v>180</v>
      </c>
    </row>
    <row r="8" spans="1:10" x14ac:dyDescent="0.25">
      <c r="A8" t="s">
        <v>12</v>
      </c>
      <c r="C8" s="8">
        <v>0.03</v>
      </c>
      <c r="D8" s="10">
        <v>0.06</v>
      </c>
      <c r="E8" s="10">
        <v>0.09</v>
      </c>
      <c r="F8" s="1">
        <v>0.12</v>
      </c>
      <c r="G8" s="1">
        <v>0.15</v>
      </c>
      <c r="H8" t="s">
        <v>179</v>
      </c>
    </row>
    <row r="9" spans="1:10" x14ac:dyDescent="0.25">
      <c r="A9" t="s">
        <v>109</v>
      </c>
      <c r="C9" s="7">
        <f>C8*C7</f>
        <v>1814.3999999999999</v>
      </c>
      <c r="D9" s="7">
        <f>D8*D7</f>
        <v>3628.7999999999997</v>
      </c>
      <c r="E9" s="7">
        <f>E8*E7</f>
        <v>5443.2</v>
      </c>
      <c r="F9" s="7">
        <f>F8*F7</f>
        <v>7257.5999999999995</v>
      </c>
      <c r="G9" s="7">
        <f>G8*G7</f>
        <v>9072</v>
      </c>
    </row>
    <row r="10" spans="1:10" x14ac:dyDescent="0.25">
      <c r="C10" s="7"/>
      <c r="D10" s="7"/>
      <c r="E10" s="7"/>
      <c r="F10" s="7"/>
      <c r="G10" s="7"/>
    </row>
    <row r="11" spans="1:10" x14ac:dyDescent="0.25">
      <c r="A11" t="s">
        <v>76</v>
      </c>
      <c r="C11" s="7">
        <f>C4*Summary!$D6*252</f>
        <v>1512</v>
      </c>
      <c r="D11" s="7">
        <f>D4*Summary!$D6*252</f>
        <v>1512</v>
      </c>
      <c r="E11" s="7">
        <f>E4*Summary!$D6*252</f>
        <v>1512</v>
      </c>
      <c r="F11" s="7">
        <f>F4*Summary!$D6*252</f>
        <v>1512</v>
      </c>
      <c r="G11" s="7">
        <f>G4*Summary!$D6*252</f>
        <v>1512</v>
      </c>
      <c r="H11" t="s">
        <v>181</v>
      </c>
    </row>
    <row r="12" spans="1:10" x14ac:dyDescent="0.25">
      <c r="A12" t="s">
        <v>13</v>
      </c>
      <c r="C12" s="8">
        <v>0.03</v>
      </c>
      <c r="D12" s="10">
        <v>0.06</v>
      </c>
      <c r="E12" s="10">
        <v>0.09</v>
      </c>
      <c r="F12" s="1">
        <v>0.12</v>
      </c>
      <c r="G12" s="1">
        <v>0.15</v>
      </c>
    </row>
    <row r="13" spans="1:10" x14ac:dyDescent="0.25">
      <c r="A13" t="s">
        <v>78</v>
      </c>
      <c r="C13" s="6">
        <f>C12*C11</f>
        <v>45.36</v>
      </c>
      <c r="D13" s="6">
        <f>D12*D11</f>
        <v>90.72</v>
      </c>
      <c r="E13" s="6">
        <f>E12*E11</f>
        <v>136.07999999999998</v>
      </c>
      <c r="F13" s="6">
        <f>F12*F11</f>
        <v>181.44</v>
      </c>
      <c r="G13" s="6">
        <f>G12*G11</f>
        <v>226.79999999999998</v>
      </c>
    </row>
    <row r="14" spans="1:10" x14ac:dyDescent="0.25">
      <c r="C14" s="6"/>
      <c r="D14" s="6"/>
      <c r="E14" s="6"/>
      <c r="F14" s="6"/>
      <c r="G14" s="6"/>
    </row>
    <row r="15" spans="1:10" ht="13" x14ac:dyDescent="0.3">
      <c r="A15" s="5" t="s">
        <v>15</v>
      </c>
    </row>
    <row r="16" spans="1:10" x14ac:dyDescent="0.25">
      <c r="A16" t="s">
        <v>110</v>
      </c>
      <c r="C16" s="3">
        <f>Summary!$D7</f>
        <v>10</v>
      </c>
      <c r="D16" s="3">
        <f>Summary!$D7</f>
        <v>10</v>
      </c>
      <c r="E16" s="3">
        <f>Summary!$D7</f>
        <v>10</v>
      </c>
      <c r="F16" s="3">
        <f>Summary!$D7</f>
        <v>10</v>
      </c>
      <c r="G16" s="3">
        <f>Summary!$D7</f>
        <v>10</v>
      </c>
      <c r="H16" t="s">
        <v>79</v>
      </c>
    </row>
    <row r="17" spans="1:8" x14ac:dyDescent="0.25">
      <c r="A17" t="s">
        <v>2</v>
      </c>
      <c r="C17" s="3">
        <f>Summary!$D8</f>
        <v>600</v>
      </c>
      <c r="D17" s="3">
        <f>Summary!$D8</f>
        <v>600</v>
      </c>
      <c r="E17" s="3">
        <f>Summary!$D8</f>
        <v>600</v>
      </c>
      <c r="F17" s="3">
        <f>Summary!$D8</f>
        <v>600</v>
      </c>
      <c r="G17" s="3">
        <f>Summary!$D8</f>
        <v>600</v>
      </c>
      <c r="H17" t="s">
        <v>79</v>
      </c>
    </row>
    <row r="19" spans="1:8" ht="13" x14ac:dyDescent="0.3">
      <c r="A19" s="5" t="s">
        <v>3</v>
      </c>
    </row>
    <row r="20" spans="1:8" x14ac:dyDescent="0.25">
      <c r="A20" t="s">
        <v>127</v>
      </c>
      <c r="C20" s="3">
        <f>C16*C9</f>
        <v>18144</v>
      </c>
      <c r="D20" s="3">
        <f>D16*D9</f>
        <v>36288</v>
      </c>
      <c r="E20" s="3">
        <f>E16*E9</f>
        <v>54432</v>
      </c>
      <c r="F20" s="3">
        <f>F16*F9</f>
        <v>72576</v>
      </c>
      <c r="G20" s="3">
        <f>G16*G9</f>
        <v>90720</v>
      </c>
    </row>
    <row r="21" spans="1:8" x14ac:dyDescent="0.25">
      <c r="A21" t="s">
        <v>16</v>
      </c>
      <c r="B21" s="2"/>
      <c r="C21" s="3">
        <f>-Summary!$D9*C20</f>
        <v>0</v>
      </c>
      <c r="D21" s="3">
        <f>-Summary!$D9*D20</f>
        <v>0</v>
      </c>
      <c r="E21" s="3">
        <f>-Summary!$D9*E20</f>
        <v>0</v>
      </c>
      <c r="F21" s="3">
        <f>-Summary!$D9*F20</f>
        <v>0</v>
      </c>
      <c r="G21" s="3">
        <f>-Summary!$D9*G20</f>
        <v>0</v>
      </c>
      <c r="H21" t="s">
        <v>79</v>
      </c>
    </row>
    <row r="22" spans="1:8" x14ac:dyDescent="0.25">
      <c r="A22" t="s">
        <v>128</v>
      </c>
      <c r="C22" s="3">
        <f>C17*C13</f>
        <v>27216</v>
      </c>
      <c r="D22" s="3">
        <f>D17*D13</f>
        <v>54432</v>
      </c>
      <c r="E22" s="3">
        <f>E17*E13</f>
        <v>81647.999999999985</v>
      </c>
      <c r="F22" s="3">
        <f>F17*F13</f>
        <v>108864</v>
      </c>
      <c r="G22" s="3">
        <f>G17*G13</f>
        <v>136080</v>
      </c>
    </row>
    <row r="23" spans="1:8" ht="13.5" thickBot="1" x14ac:dyDescent="0.35">
      <c r="A23" s="5" t="s">
        <v>153</v>
      </c>
      <c r="C23" s="4">
        <f>C20+C22+C21</f>
        <v>45360</v>
      </c>
      <c r="D23" s="4">
        <f>D20+D22+D21</f>
        <v>90720</v>
      </c>
      <c r="E23" s="4">
        <f>E20+E22+E21</f>
        <v>136080</v>
      </c>
      <c r="F23" s="4">
        <f>F20+F22+F21</f>
        <v>181440</v>
      </c>
      <c r="G23" s="4">
        <f>G20+G22+G21</f>
        <v>226800</v>
      </c>
    </row>
    <row r="24" spans="1:8" ht="13.5" thickTop="1" x14ac:dyDescent="0.3">
      <c r="A24" s="5"/>
      <c r="C24" s="27"/>
      <c r="D24" s="27"/>
      <c r="E24" s="27"/>
      <c r="F24" s="27"/>
      <c r="G24" s="27"/>
    </row>
    <row r="25" spans="1:8" ht="13" x14ac:dyDescent="0.3">
      <c r="A25" s="5" t="s">
        <v>154</v>
      </c>
      <c r="C25" s="27"/>
      <c r="D25" s="27"/>
      <c r="E25" s="27"/>
      <c r="F25" s="27"/>
      <c r="G25" s="27"/>
    </row>
    <row r="26" spans="1:8" x14ac:dyDescent="0.25">
      <c r="A26" s="14" t="s">
        <v>155</v>
      </c>
      <c r="B26" s="14"/>
      <c r="C26" s="33">
        <v>0.12</v>
      </c>
      <c r="D26" s="33">
        <v>0.12</v>
      </c>
      <c r="E26" s="33">
        <v>0.12</v>
      </c>
      <c r="F26" s="33">
        <v>0.12</v>
      </c>
      <c r="G26" s="33">
        <v>0.12</v>
      </c>
      <c r="H26" t="s">
        <v>220</v>
      </c>
    </row>
    <row r="27" spans="1:8" x14ac:dyDescent="0.25">
      <c r="A27" s="14" t="s">
        <v>156</v>
      </c>
      <c r="B27" s="14"/>
      <c r="C27" s="28">
        <f>Summary!$K12</f>
        <v>0.25</v>
      </c>
      <c r="D27" s="28">
        <f>Summary!$K12</f>
        <v>0.25</v>
      </c>
      <c r="E27" s="28">
        <f>Summary!$K12</f>
        <v>0.25</v>
      </c>
      <c r="F27" s="28">
        <f>Summary!$K12</f>
        <v>0.25</v>
      </c>
      <c r="G27" s="28">
        <f>Summary!$K12</f>
        <v>0.25</v>
      </c>
      <c r="H27" t="s">
        <v>79</v>
      </c>
    </row>
    <row r="28" spans="1:8" x14ac:dyDescent="0.25">
      <c r="A28" s="14" t="s">
        <v>167</v>
      </c>
      <c r="B28" s="14"/>
      <c r="C28" s="34">
        <f>C7*C26*C27</f>
        <v>1814.3999999999999</v>
      </c>
      <c r="D28" s="34">
        <f>D7*D26*D27</f>
        <v>1814.3999999999999</v>
      </c>
      <c r="E28" s="34">
        <f>E7*E26*E27</f>
        <v>1814.3999999999999</v>
      </c>
      <c r="F28" s="34">
        <f>F7*F26*F27</f>
        <v>1814.3999999999999</v>
      </c>
      <c r="G28" s="34">
        <f>G7*G26*G27</f>
        <v>1814.3999999999999</v>
      </c>
      <c r="H28" t="s">
        <v>168</v>
      </c>
    </row>
    <row r="29" spans="1:8" x14ac:dyDescent="0.25">
      <c r="A29" s="14" t="s">
        <v>166</v>
      </c>
      <c r="B29" s="14"/>
      <c r="C29" s="34">
        <f>C7*C26*(1-C27)</f>
        <v>5443.2</v>
      </c>
      <c r="D29" s="34">
        <f>D7*D26*(1-D27)</f>
        <v>5443.2</v>
      </c>
      <c r="E29" s="34">
        <f>E7*E26*(1-E27)</f>
        <v>5443.2</v>
      </c>
      <c r="F29" s="34">
        <f>F7*F26*(1-F27)</f>
        <v>5443.2</v>
      </c>
      <c r="G29" s="34">
        <f>G7*G26*(1-G27)</f>
        <v>5443.2</v>
      </c>
      <c r="H29" t="s">
        <v>168</v>
      </c>
    </row>
    <row r="30" spans="1:8" x14ac:dyDescent="0.25">
      <c r="A30" s="14" t="s">
        <v>158</v>
      </c>
      <c r="B30" s="14"/>
      <c r="C30" s="29">
        <f>C28+C29</f>
        <v>7257.5999999999995</v>
      </c>
      <c r="D30" s="29">
        <f>D28+D29</f>
        <v>7257.5999999999995</v>
      </c>
      <c r="E30" s="29">
        <f>E28+E29</f>
        <v>7257.5999999999995</v>
      </c>
      <c r="F30" s="29">
        <f>F28+F29</f>
        <v>7257.5999999999995</v>
      </c>
      <c r="G30" s="29">
        <f>G28+G29</f>
        <v>7257.5999999999995</v>
      </c>
    </row>
    <row r="31" spans="1:8" x14ac:dyDescent="0.25">
      <c r="A31" s="14" t="s">
        <v>159</v>
      </c>
      <c r="B31" s="14"/>
      <c r="C31" s="30">
        <f>Summary!$K14</f>
        <v>8.9499999999999993</v>
      </c>
      <c r="D31" s="30">
        <f>Summary!$K14</f>
        <v>8.9499999999999993</v>
      </c>
      <c r="E31" s="30">
        <f>Summary!$K14</f>
        <v>8.9499999999999993</v>
      </c>
      <c r="F31" s="30">
        <f>Summary!$K14</f>
        <v>8.9499999999999993</v>
      </c>
      <c r="G31" s="30">
        <f>Summary!$K14</f>
        <v>8.9499999999999993</v>
      </c>
    </row>
    <row r="32" spans="1:8" ht="13" x14ac:dyDescent="0.3">
      <c r="A32" s="5" t="s">
        <v>157</v>
      </c>
      <c r="C32" s="27">
        <f>C30*C31</f>
        <v>64955.51999999999</v>
      </c>
      <c r="D32" s="27">
        <f>D30*D31</f>
        <v>64955.51999999999</v>
      </c>
      <c r="E32" s="27">
        <f>E30*E31</f>
        <v>64955.51999999999</v>
      </c>
      <c r="F32" s="27">
        <f>F30*F31</f>
        <v>64955.51999999999</v>
      </c>
      <c r="G32" s="27">
        <f>G30*G31</f>
        <v>64955.51999999999</v>
      </c>
    </row>
    <row r="33" spans="1:2" ht="13" x14ac:dyDescent="0.3">
      <c r="A33" s="5"/>
    </row>
    <row r="34" spans="1:2" ht="13" x14ac:dyDescent="0.3">
      <c r="A34" s="5"/>
    </row>
    <row r="35" spans="1:2" ht="13" x14ac:dyDescent="0.3">
      <c r="A35" s="5" t="s">
        <v>112</v>
      </c>
    </row>
    <row r="36" spans="1:2" ht="13" x14ac:dyDescent="0.3">
      <c r="A36" s="5"/>
      <c r="B36" t="s">
        <v>113</v>
      </c>
    </row>
    <row r="37" spans="1:2" ht="13" x14ac:dyDescent="0.3">
      <c r="A37" s="5"/>
      <c r="B37" t="s">
        <v>115</v>
      </c>
    </row>
    <row r="38" spans="1:2" x14ac:dyDescent="0.25">
      <c r="B38" t="s">
        <v>125</v>
      </c>
    </row>
    <row r="39" spans="1:2" x14ac:dyDescent="0.25">
      <c r="B39" t="s">
        <v>114</v>
      </c>
    </row>
    <row r="40" spans="1:2" x14ac:dyDescent="0.25">
      <c r="B40" t="s">
        <v>116</v>
      </c>
    </row>
    <row r="42" spans="1:2" x14ac:dyDescent="0.25">
      <c r="B42" t="s">
        <v>117</v>
      </c>
    </row>
    <row r="44" spans="1:2" x14ac:dyDescent="0.25">
      <c r="B44" t="s">
        <v>118</v>
      </c>
    </row>
    <row r="46" spans="1:2" ht="13" x14ac:dyDescent="0.3">
      <c r="A46" s="5" t="s">
        <v>195</v>
      </c>
    </row>
    <row r="47" spans="1:2" x14ac:dyDescent="0.25">
      <c r="B47" t="s">
        <v>196</v>
      </c>
    </row>
    <row r="48" spans="1:2" x14ac:dyDescent="0.25">
      <c r="B48" t="s">
        <v>197</v>
      </c>
    </row>
    <row r="49" spans="1:2" x14ac:dyDescent="0.25">
      <c r="B49" t="s">
        <v>198</v>
      </c>
    </row>
    <row r="51" spans="1:2" ht="13" x14ac:dyDescent="0.3">
      <c r="A51" s="5" t="s">
        <v>176</v>
      </c>
    </row>
    <row r="52" spans="1:2" x14ac:dyDescent="0.25">
      <c r="B52" t="s">
        <v>208</v>
      </c>
    </row>
    <row r="53" spans="1:2" x14ac:dyDescent="0.25">
      <c r="B53" t="s">
        <v>177</v>
      </c>
    </row>
    <row r="54" spans="1:2" x14ac:dyDescent="0.25">
      <c r="B54" t="s">
        <v>178</v>
      </c>
    </row>
    <row r="56" spans="1:2" x14ac:dyDescent="0.25">
      <c r="B56" t="s">
        <v>209</v>
      </c>
    </row>
  </sheetData>
  <phoneticPr fontId="0" type="noConversion"/>
  <pageMargins left="0.75" right="0.75" top="1" bottom="1" header="0.5" footer="0.5"/>
  <pageSetup scale="66" orientation="landscape" horizontalDpi="4294967292" r:id="rId1"/>
  <headerFooter alignWithMargins="0">
    <oddHeader>&amp;L&amp;D&amp;C&amp;F&amp;R&amp;A</oddHeader>
    <oddFooter>&amp;LCisco Systems Proprietary and Confidential&amp;RPage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4"/>
  <sheetViews>
    <sheetView workbookViewId="0">
      <selection activeCell="B31" sqref="B31"/>
    </sheetView>
  </sheetViews>
  <sheetFormatPr defaultRowHeight="12.5" x14ac:dyDescent="0.25"/>
  <cols>
    <col min="1" max="1" width="45.81640625" customWidth="1"/>
    <col min="2" max="2" width="15.1796875" customWidth="1"/>
    <col min="3" max="6" width="11.453125" customWidth="1"/>
  </cols>
  <sheetData>
    <row r="3" spans="1:7" ht="13" x14ac:dyDescent="0.3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</row>
    <row r="4" spans="1:7" x14ac:dyDescent="0.25">
      <c r="A4" t="s">
        <v>225</v>
      </c>
      <c r="B4">
        <f>INT(Summary!D2/24)+1</f>
        <v>13</v>
      </c>
      <c r="C4" s="3">
        <v>1995</v>
      </c>
      <c r="D4" s="3">
        <f>B4*C4</f>
        <v>25935</v>
      </c>
      <c r="E4" s="1">
        <f>Summary!$K$5</f>
        <v>0.35</v>
      </c>
      <c r="F4" s="3">
        <f>D4*(1-E4)</f>
        <v>16857.75</v>
      </c>
      <c r="G4" t="s">
        <v>233</v>
      </c>
    </row>
    <row r="5" spans="1:7" x14ac:dyDescent="0.25">
      <c r="A5" t="s">
        <v>54</v>
      </c>
      <c r="B5">
        <f>Summary!D$2</f>
        <v>300</v>
      </c>
      <c r="C5" s="3">
        <v>1.5</v>
      </c>
      <c r="D5" s="3">
        <f t="shared" ref="D5:D17" si="0">B5*C5</f>
        <v>450</v>
      </c>
      <c r="E5" s="1">
        <v>0</v>
      </c>
      <c r="F5" s="3">
        <f t="shared" ref="F5:F17" si="1">D5*(1-E5)</f>
        <v>450</v>
      </c>
    </row>
    <row r="6" spans="1:7" x14ac:dyDescent="0.25">
      <c r="A6" t="s">
        <v>56</v>
      </c>
      <c r="B6">
        <f>2*B4</f>
        <v>26</v>
      </c>
      <c r="C6" s="3">
        <v>50</v>
      </c>
      <c r="D6" s="3">
        <f t="shared" si="0"/>
        <v>1300</v>
      </c>
      <c r="E6" s="1">
        <v>0</v>
      </c>
      <c r="F6" s="3">
        <f t="shared" si="1"/>
        <v>1300</v>
      </c>
    </row>
    <row r="7" spans="1:7" x14ac:dyDescent="0.25">
      <c r="A7" t="s">
        <v>57</v>
      </c>
      <c r="B7">
        <f>2*B4</f>
        <v>26</v>
      </c>
      <c r="C7" s="3">
        <v>33</v>
      </c>
      <c r="D7" s="3">
        <f t="shared" si="0"/>
        <v>858</v>
      </c>
      <c r="E7" s="1">
        <v>0</v>
      </c>
      <c r="F7" s="3">
        <f t="shared" si="1"/>
        <v>858</v>
      </c>
    </row>
    <row r="8" spans="1:7" x14ac:dyDescent="0.25">
      <c r="A8" t="s">
        <v>58</v>
      </c>
      <c r="B8">
        <v>17</v>
      </c>
      <c r="C8" s="3">
        <v>3.15</v>
      </c>
      <c r="D8" s="3">
        <f t="shared" si="0"/>
        <v>53.55</v>
      </c>
      <c r="E8" s="1">
        <v>0</v>
      </c>
      <c r="F8" s="3">
        <f t="shared" si="1"/>
        <v>53.55</v>
      </c>
    </row>
    <row r="9" spans="1:7" x14ac:dyDescent="0.25">
      <c r="A9" t="s">
        <v>131</v>
      </c>
      <c r="B9">
        <f>IF(Summary!D2&lt;200,0,1)</f>
        <v>1</v>
      </c>
      <c r="C9" s="3">
        <v>1995</v>
      </c>
      <c r="D9" s="3">
        <f t="shared" si="0"/>
        <v>1995</v>
      </c>
      <c r="E9" s="1">
        <f>Summary!$K$5</f>
        <v>0.35</v>
      </c>
      <c r="F9" s="3">
        <f t="shared" si="1"/>
        <v>1296.75</v>
      </c>
    </row>
    <row r="10" spans="1:7" x14ac:dyDescent="0.25">
      <c r="A10" t="s">
        <v>59</v>
      </c>
      <c r="B10">
        <v>1</v>
      </c>
      <c r="C10" s="3">
        <v>157</v>
      </c>
      <c r="D10" s="3">
        <f t="shared" si="0"/>
        <v>157</v>
      </c>
      <c r="E10" s="1">
        <v>0</v>
      </c>
      <c r="F10" s="3">
        <f t="shared" si="1"/>
        <v>157</v>
      </c>
    </row>
    <row r="11" spans="1:7" x14ac:dyDescent="0.25">
      <c r="A11" t="s">
        <v>60</v>
      </c>
      <c r="B11">
        <v>1</v>
      </c>
      <c r="C11" s="3">
        <v>120</v>
      </c>
      <c r="D11" s="3">
        <f t="shared" si="0"/>
        <v>120</v>
      </c>
      <c r="E11" s="1">
        <v>0</v>
      </c>
      <c r="F11" s="3">
        <f t="shared" si="1"/>
        <v>120</v>
      </c>
    </row>
    <row r="12" spans="1:7" x14ac:dyDescent="0.25">
      <c r="A12" t="s">
        <v>119</v>
      </c>
      <c r="B12">
        <v>1</v>
      </c>
      <c r="C12" s="15">
        <v>11500</v>
      </c>
      <c r="D12" s="3">
        <f>B12*C12</f>
        <v>11500</v>
      </c>
      <c r="E12" s="1">
        <f>Summary!$K$5</f>
        <v>0.35</v>
      </c>
      <c r="F12" s="3">
        <f>D12*(1-E12)</f>
        <v>7475</v>
      </c>
    </row>
    <row r="13" spans="1:7" x14ac:dyDescent="0.25">
      <c r="A13" t="s">
        <v>120</v>
      </c>
      <c r="B13">
        <f>IF((INT(((Summary!D2+Summary!D3)-96)/24)+1)&gt;0,(INT(((Summary!D2+Summary!D3)-96)/24)+1),0)</f>
        <v>10</v>
      </c>
      <c r="C13" s="3">
        <v>600</v>
      </c>
      <c r="D13" s="3">
        <f>B13*C13</f>
        <v>6000</v>
      </c>
      <c r="E13" s="1">
        <f>Summary!$K$5</f>
        <v>0.35</v>
      </c>
      <c r="F13" s="3">
        <f>D13*(1-E13)</f>
        <v>3900</v>
      </c>
    </row>
    <row r="14" spans="1:7" x14ac:dyDescent="0.25">
      <c r="A14" t="s">
        <v>111</v>
      </c>
      <c r="B14">
        <v>1</v>
      </c>
      <c r="C14" s="3">
        <v>900</v>
      </c>
      <c r="D14" s="3">
        <f t="shared" si="0"/>
        <v>900</v>
      </c>
      <c r="E14" s="1">
        <v>0</v>
      </c>
      <c r="F14" s="3">
        <f t="shared" si="1"/>
        <v>900</v>
      </c>
    </row>
    <row r="15" spans="1:7" x14ac:dyDescent="0.25">
      <c r="A15" t="s">
        <v>61</v>
      </c>
      <c r="B15">
        <v>1</v>
      </c>
      <c r="C15" s="3">
        <v>120</v>
      </c>
      <c r="D15" s="3">
        <f t="shared" si="0"/>
        <v>120</v>
      </c>
      <c r="E15" s="1">
        <v>0</v>
      </c>
      <c r="F15" s="3">
        <f t="shared" si="1"/>
        <v>120</v>
      </c>
    </row>
    <row r="16" spans="1:7" x14ac:dyDescent="0.25">
      <c r="A16" t="s">
        <v>132</v>
      </c>
      <c r="B16">
        <v>1</v>
      </c>
      <c r="C16" s="3">
        <v>5895</v>
      </c>
      <c r="D16" s="3">
        <f t="shared" si="0"/>
        <v>5895</v>
      </c>
      <c r="E16" s="1">
        <f>Summary!$K$5</f>
        <v>0.35</v>
      </c>
      <c r="F16" s="3">
        <f t="shared" si="1"/>
        <v>3831.75</v>
      </c>
      <c r="G16" t="s">
        <v>133</v>
      </c>
    </row>
    <row r="17" spans="1:7" x14ac:dyDescent="0.25">
      <c r="A17" t="s">
        <v>223</v>
      </c>
      <c r="B17">
        <f>IF(Summary!D2&gt;150,1,0)</f>
        <v>1</v>
      </c>
      <c r="C17" s="3">
        <v>5500</v>
      </c>
      <c r="D17" s="3">
        <f t="shared" si="0"/>
        <v>5500</v>
      </c>
      <c r="E17" s="1">
        <f>Summary!$K$5</f>
        <v>0.35</v>
      </c>
      <c r="F17" s="3">
        <f t="shared" si="1"/>
        <v>3575</v>
      </c>
      <c r="G17" t="s">
        <v>224</v>
      </c>
    </row>
    <row r="18" spans="1:7" ht="13" x14ac:dyDescent="0.3">
      <c r="A18" s="5" t="s">
        <v>62</v>
      </c>
      <c r="B18" s="5"/>
      <c r="C18" s="11"/>
      <c r="D18" s="18">
        <f>SUM(D4:D16)</f>
        <v>55283.55</v>
      </c>
      <c r="E18" s="19"/>
      <c r="F18" s="18">
        <f>SUM(F4:F16)</f>
        <v>37319.800000000003</v>
      </c>
    </row>
    <row r="19" spans="1:7" x14ac:dyDescent="0.25">
      <c r="A19" t="s">
        <v>63</v>
      </c>
      <c r="C19" s="3"/>
      <c r="D19" s="3">
        <f>D18/Summary!$D2</f>
        <v>184.27850000000001</v>
      </c>
      <c r="E19" s="3"/>
      <c r="F19" s="3">
        <f>F18/Summary!$D2</f>
        <v>124.39933333333335</v>
      </c>
    </row>
    <row r="21" spans="1:7" ht="13" x14ac:dyDescent="0.3">
      <c r="A21" s="5" t="s">
        <v>64</v>
      </c>
      <c r="B21" s="5" t="s">
        <v>48</v>
      </c>
      <c r="C21" s="5" t="s">
        <v>49</v>
      </c>
      <c r="D21" s="5" t="s">
        <v>50</v>
      </c>
      <c r="E21" s="5" t="s">
        <v>51</v>
      </c>
      <c r="F21" s="5" t="s">
        <v>52</v>
      </c>
      <c r="G21" s="14" t="s">
        <v>136</v>
      </c>
    </row>
    <row r="22" spans="1:7" x14ac:dyDescent="0.25">
      <c r="A22" t="s">
        <v>65</v>
      </c>
      <c r="B22">
        <f>IF(Summary!D3=0,0,INT((Summary!$D$3+3)/3))</f>
        <v>5</v>
      </c>
      <c r="C22" s="3">
        <v>1499</v>
      </c>
      <c r="D22" s="3">
        <f>B22*C22</f>
        <v>7495</v>
      </c>
      <c r="E22" s="1">
        <f>Summary!$K$5</f>
        <v>0.35</v>
      </c>
      <c r="F22" s="3">
        <f>D22*(1-E22)</f>
        <v>4871.75</v>
      </c>
      <c r="G22" t="s">
        <v>134</v>
      </c>
    </row>
    <row r="23" spans="1:7" x14ac:dyDescent="0.25">
      <c r="A23" t="s">
        <v>66</v>
      </c>
      <c r="B23">
        <f>2*B22</f>
        <v>10</v>
      </c>
      <c r="C23" s="3">
        <v>1499</v>
      </c>
      <c r="D23" s="3">
        <f>B23*C23</f>
        <v>14990</v>
      </c>
      <c r="E23" s="1">
        <f>Summary!$K$5</f>
        <v>0.35</v>
      </c>
      <c r="F23" s="3">
        <f>D23*(1-E23)</f>
        <v>9743.5</v>
      </c>
    </row>
    <row r="24" spans="1:7" x14ac:dyDescent="0.25">
      <c r="A24" t="s">
        <v>67</v>
      </c>
      <c r="B24">
        <f>B23</f>
        <v>10</v>
      </c>
      <c r="C24" s="3">
        <v>495</v>
      </c>
      <c r="D24" s="3">
        <f>B24*C24</f>
        <v>4950</v>
      </c>
      <c r="E24" s="1">
        <v>0</v>
      </c>
      <c r="F24" s="3">
        <f>D24*(1-E24)</f>
        <v>4950</v>
      </c>
    </row>
    <row r="25" spans="1:7" x14ac:dyDescent="0.25">
      <c r="A25" t="s">
        <v>225</v>
      </c>
      <c r="B25">
        <f>IF(Summary!$D$3&lt;5,0,1)</f>
        <v>1</v>
      </c>
      <c r="C25" s="3">
        <v>1995</v>
      </c>
      <c r="D25" s="3">
        <f>B25*C25</f>
        <v>1995</v>
      </c>
      <c r="E25" s="1">
        <f>Summary!$K$5</f>
        <v>0.35</v>
      </c>
      <c r="F25" s="3">
        <f>D25*(1-E25)</f>
        <v>1296.75</v>
      </c>
      <c r="G25" t="s">
        <v>135</v>
      </c>
    </row>
    <row r="26" spans="1:7" ht="13" x14ac:dyDescent="0.3">
      <c r="A26" s="5" t="s">
        <v>69</v>
      </c>
      <c r="B26" s="5"/>
      <c r="C26" s="5"/>
      <c r="D26" s="18">
        <f>SUM(D22:D25)</f>
        <v>29430</v>
      </c>
      <c r="E26" s="18"/>
      <c r="F26" s="18">
        <f>SUM(F22:F25)</f>
        <v>20862</v>
      </c>
    </row>
    <row r="27" spans="1:7" x14ac:dyDescent="0.25">
      <c r="D27" s="3"/>
      <c r="E27" s="3"/>
      <c r="F27" s="3"/>
    </row>
    <row r="28" spans="1:7" ht="13" x14ac:dyDescent="0.3">
      <c r="A28" s="5" t="s">
        <v>82</v>
      </c>
      <c r="B28" s="5"/>
      <c r="C28" s="5"/>
      <c r="D28" s="11">
        <f>D18+D26</f>
        <v>84713.55</v>
      </c>
      <c r="E28" s="11"/>
      <c r="F28" s="11">
        <f>F18+F26</f>
        <v>58181.8</v>
      </c>
    </row>
    <row r="30" spans="1:7" ht="13" x14ac:dyDescent="0.3">
      <c r="A30" s="5" t="s">
        <v>139</v>
      </c>
      <c r="B30" t="s">
        <v>11</v>
      </c>
    </row>
    <row r="31" spans="1:7" x14ac:dyDescent="0.25">
      <c r="A31" t="s">
        <v>140</v>
      </c>
      <c r="B31">
        <f>INT(Summary!D2/600)+1</f>
        <v>1</v>
      </c>
      <c r="C31" s="3">
        <v>12000</v>
      </c>
      <c r="D31" s="3">
        <f>B31*C31</f>
        <v>12000</v>
      </c>
      <c r="E31" s="1">
        <f>Summary!$K$5</f>
        <v>0.35</v>
      </c>
      <c r="F31" s="3">
        <f>D31*(1-E31)</f>
        <v>7800</v>
      </c>
      <c r="G31" t="s">
        <v>162</v>
      </c>
    </row>
    <row r="32" spans="1:7" x14ac:dyDescent="0.25">
      <c r="A32" s="14" t="s">
        <v>141</v>
      </c>
      <c r="B32">
        <v>1</v>
      </c>
      <c r="C32" s="15">
        <v>5000</v>
      </c>
      <c r="D32" s="3">
        <f>B32*C32</f>
        <v>5000</v>
      </c>
      <c r="E32" s="1">
        <v>0</v>
      </c>
      <c r="F32" s="3">
        <f>D32*(1-E32)</f>
        <v>5000</v>
      </c>
      <c r="G32" t="s">
        <v>143</v>
      </c>
    </row>
    <row r="33" spans="1:8" x14ac:dyDescent="0.25">
      <c r="A33" s="14" t="s">
        <v>142</v>
      </c>
      <c r="B33">
        <f>Summary!D2</f>
        <v>300</v>
      </c>
      <c r="C33" s="15">
        <v>200</v>
      </c>
      <c r="D33" s="3">
        <f>B33*C33</f>
        <v>60000</v>
      </c>
      <c r="E33" s="1">
        <v>0</v>
      </c>
      <c r="F33" s="3">
        <f>D33*(1-E33)</f>
        <v>60000</v>
      </c>
      <c r="G33" t="s">
        <v>144</v>
      </c>
    </row>
    <row r="34" spans="1:8" ht="13" x14ac:dyDescent="0.3">
      <c r="A34" s="5" t="s">
        <v>145</v>
      </c>
      <c r="B34" s="5"/>
      <c r="C34" s="5"/>
      <c r="D34" s="18">
        <f>SUM(D31:D33)</f>
        <v>77000</v>
      </c>
      <c r="E34" s="18"/>
      <c r="F34" s="18">
        <f>SUM(F31:F33)</f>
        <v>72800</v>
      </c>
      <c r="H34" t="s">
        <v>206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38"/>
  <sheetViews>
    <sheetView workbookViewId="0">
      <selection activeCell="C4" sqref="C4:C19"/>
    </sheetView>
  </sheetViews>
  <sheetFormatPr defaultRowHeight="12.5" x14ac:dyDescent="0.25"/>
  <cols>
    <col min="1" max="1" width="45.81640625" customWidth="1"/>
    <col min="2" max="2" width="15.1796875" customWidth="1"/>
    <col min="3" max="6" width="11.453125" customWidth="1"/>
  </cols>
  <sheetData>
    <row r="3" spans="1:7" ht="13" x14ac:dyDescent="0.3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</row>
    <row r="4" spans="1:7" x14ac:dyDescent="0.25">
      <c r="A4" t="s">
        <v>129</v>
      </c>
      <c r="B4">
        <f>INT(Summary!D2/24)+1</f>
        <v>13</v>
      </c>
      <c r="C4" s="3">
        <v>6495</v>
      </c>
      <c r="D4" s="3">
        <f>B4*C4</f>
        <v>84435</v>
      </c>
      <c r="E4" s="1">
        <f>Summary!$K$5</f>
        <v>0.35</v>
      </c>
      <c r="F4" s="3">
        <f>D4*(1-E4)</f>
        <v>54882.75</v>
      </c>
      <c r="G4" t="s">
        <v>233</v>
      </c>
    </row>
    <row r="5" spans="1:7" x14ac:dyDescent="0.25">
      <c r="A5" t="s">
        <v>53</v>
      </c>
      <c r="B5">
        <f>INT(Summary!D$2/48)+1</f>
        <v>7</v>
      </c>
      <c r="C5" s="3">
        <v>1395</v>
      </c>
      <c r="D5" s="3">
        <f t="shared" ref="D5:D19" si="0">B5*C5</f>
        <v>9765</v>
      </c>
      <c r="E5" s="1">
        <f>Summary!$K$5</f>
        <v>0.35</v>
      </c>
      <c r="F5" s="3">
        <f t="shared" ref="F5:F19" si="1">D5*(1-E5)</f>
        <v>6347.25</v>
      </c>
      <c r="G5" t="s">
        <v>234</v>
      </c>
    </row>
    <row r="6" spans="1:7" x14ac:dyDescent="0.25">
      <c r="A6" t="s">
        <v>130</v>
      </c>
      <c r="B6">
        <f>Summary!D$2</f>
        <v>300</v>
      </c>
      <c r="C6" s="3">
        <v>280</v>
      </c>
      <c r="D6" s="3">
        <f t="shared" si="0"/>
        <v>84000</v>
      </c>
      <c r="E6" s="1">
        <f>Summary!$K$5</f>
        <v>0.35</v>
      </c>
      <c r="F6" s="3">
        <f t="shared" si="1"/>
        <v>54600</v>
      </c>
    </row>
    <row r="7" spans="1:7" x14ac:dyDescent="0.25">
      <c r="A7" t="s">
        <v>54</v>
      </c>
      <c r="B7">
        <f>Summary!D$2</f>
        <v>300</v>
      </c>
      <c r="C7" s="3">
        <v>1.5</v>
      </c>
      <c r="D7" s="3">
        <f t="shared" si="0"/>
        <v>450</v>
      </c>
      <c r="E7" s="1">
        <v>0</v>
      </c>
      <c r="F7" s="3">
        <f t="shared" si="1"/>
        <v>450</v>
      </c>
    </row>
    <row r="8" spans="1:7" x14ac:dyDescent="0.25">
      <c r="A8" t="s">
        <v>55</v>
      </c>
      <c r="B8">
        <f>B4</f>
        <v>13</v>
      </c>
      <c r="C8" s="3">
        <v>50</v>
      </c>
      <c r="D8" s="3">
        <f t="shared" si="0"/>
        <v>650</v>
      </c>
      <c r="E8" s="1">
        <v>0</v>
      </c>
      <c r="F8" s="3">
        <f t="shared" si="1"/>
        <v>650</v>
      </c>
    </row>
    <row r="9" spans="1:7" x14ac:dyDescent="0.25">
      <c r="A9" t="s">
        <v>56</v>
      </c>
      <c r="B9">
        <f>2*B8</f>
        <v>26</v>
      </c>
      <c r="C9" s="3">
        <v>50</v>
      </c>
      <c r="D9" s="3">
        <f t="shared" si="0"/>
        <v>1300</v>
      </c>
      <c r="E9" s="1">
        <v>0</v>
      </c>
      <c r="F9" s="3">
        <f t="shared" si="1"/>
        <v>1300</v>
      </c>
    </row>
    <row r="10" spans="1:7" x14ac:dyDescent="0.25">
      <c r="A10" t="s">
        <v>57</v>
      </c>
      <c r="B10">
        <f>2*B8</f>
        <v>26</v>
      </c>
      <c r="C10" s="3">
        <v>33</v>
      </c>
      <c r="D10" s="3">
        <f t="shared" si="0"/>
        <v>858</v>
      </c>
      <c r="E10" s="1">
        <v>0</v>
      </c>
      <c r="F10" s="3">
        <f t="shared" si="1"/>
        <v>858</v>
      </c>
    </row>
    <row r="11" spans="1:7" x14ac:dyDescent="0.25">
      <c r="A11" t="s">
        <v>58</v>
      </c>
      <c r="B11">
        <v>17</v>
      </c>
      <c r="C11" s="3">
        <v>3.15</v>
      </c>
      <c r="D11" s="3">
        <f t="shared" si="0"/>
        <v>53.55</v>
      </c>
      <c r="E11" s="1">
        <v>0</v>
      </c>
      <c r="F11" s="3">
        <f t="shared" si="1"/>
        <v>53.55</v>
      </c>
    </row>
    <row r="12" spans="1:7" x14ac:dyDescent="0.25">
      <c r="A12" t="s">
        <v>131</v>
      </c>
      <c r="B12">
        <f>IF(Summary!D2&lt;200,0,1)</f>
        <v>1</v>
      </c>
      <c r="C12" s="3">
        <v>1995</v>
      </c>
      <c r="D12" s="3">
        <f t="shared" si="0"/>
        <v>1995</v>
      </c>
      <c r="E12" s="1">
        <f>Summary!$K$5</f>
        <v>0.35</v>
      </c>
      <c r="F12" s="3">
        <f t="shared" si="1"/>
        <v>1296.75</v>
      </c>
    </row>
    <row r="13" spans="1:7" x14ac:dyDescent="0.25">
      <c r="A13" t="s">
        <v>59</v>
      </c>
      <c r="B13">
        <v>1</v>
      </c>
      <c r="C13" s="3">
        <v>157</v>
      </c>
      <c r="D13" s="3">
        <f t="shared" si="0"/>
        <v>157</v>
      </c>
      <c r="E13" s="1">
        <v>0</v>
      </c>
      <c r="F13" s="3">
        <f t="shared" si="1"/>
        <v>157</v>
      </c>
    </row>
    <row r="14" spans="1:7" x14ac:dyDescent="0.25">
      <c r="A14" t="s">
        <v>60</v>
      </c>
      <c r="B14">
        <v>1</v>
      </c>
      <c r="C14" s="3">
        <v>120</v>
      </c>
      <c r="D14" s="3">
        <f t="shared" si="0"/>
        <v>120</v>
      </c>
      <c r="E14" s="1">
        <v>0</v>
      </c>
      <c r="F14" s="3">
        <f t="shared" si="1"/>
        <v>120</v>
      </c>
    </row>
    <row r="15" spans="1:7" x14ac:dyDescent="0.25">
      <c r="A15" t="s">
        <v>119</v>
      </c>
      <c r="B15">
        <v>1</v>
      </c>
      <c r="C15" s="15">
        <v>11500</v>
      </c>
      <c r="D15" s="3">
        <f>B15*C15</f>
        <v>11500</v>
      </c>
      <c r="E15" s="1">
        <f>Summary!$K$5</f>
        <v>0.35</v>
      </c>
      <c r="F15" s="3">
        <f>D15*(1-E15)</f>
        <v>7475</v>
      </c>
    </row>
    <row r="16" spans="1:7" x14ac:dyDescent="0.25">
      <c r="A16" t="s">
        <v>120</v>
      </c>
      <c r="B16">
        <f>IF((INT(((Summary!D2+Summary!D3)-96)/24)+1)&gt;0,(INT(((Summary!D2+Summary!D3)-96)/24)+1),0)</f>
        <v>10</v>
      </c>
      <c r="C16" s="3">
        <v>600</v>
      </c>
      <c r="D16" s="3">
        <f>B16*C16</f>
        <v>6000</v>
      </c>
      <c r="E16" s="1">
        <f>Summary!$K$5</f>
        <v>0.35</v>
      </c>
      <c r="F16" s="3">
        <f>D16*(1-E16)</f>
        <v>3900</v>
      </c>
    </row>
    <row r="17" spans="1:7" x14ac:dyDescent="0.25">
      <c r="A17" t="s">
        <v>111</v>
      </c>
      <c r="B17">
        <v>1</v>
      </c>
      <c r="C17" s="3">
        <v>900</v>
      </c>
      <c r="D17" s="3">
        <f t="shared" si="0"/>
        <v>900</v>
      </c>
      <c r="E17" s="1">
        <v>0</v>
      </c>
      <c r="F17" s="3">
        <f t="shared" si="1"/>
        <v>900</v>
      </c>
    </row>
    <row r="18" spans="1:7" x14ac:dyDescent="0.25">
      <c r="A18" t="s">
        <v>61</v>
      </c>
      <c r="B18">
        <v>1</v>
      </c>
      <c r="C18" s="3">
        <v>120</v>
      </c>
      <c r="D18" s="3">
        <f t="shared" si="0"/>
        <v>120</v>
      </c>
      <c r="E18" s="1">
        <v>0</v>
      </c>
      <c r="F18" s="3">
        <f t="shared" si="1"/>
        <v>120</v>
      </c>
    </row>
    <row r="19" spans="1:7" x14ac:dyDescent="0.25">
      <c r="A19" t="s">
        <v>132</v>
      </c>
      <c r="B19">
        <v>1</v>
      </c>
      <c r="C19" s="3">
        <v>5895</v>
      </c>
      <c r="D19" s="3">
        <f t="shared" si="0"/>
        <v>5895</v>
      </c>
      <c r="E19" s="1">
        <f>Summary!$K$5</f>
        <v>0.35</v>
      </c>
      <c r="F19" s="3">
        <f t="shared" si="1"/>
        <v>3831.75</v>
      </c>
      <c r="G19" t="s">
        <v>133</v>
      </c>
    </row>
    <row r="20" spans="1:7" ht="13" x14ac:dyDescent="0.3">
      <c r="A20" s="5" t="s">
        <v>62</v>
      </c>
      <c r="B20" s="5"/>
      <c r="C20" s="11"/>
      <c r="D20" s="18">
        <f>SUM(D4:D19)</f>
        <v>208198.55</v>
      </c>
      <c r="E20" s="19"/>
      <c r="F20" s="18">
        <f>SUM(F4:F19)</f>
        <v>136942.04999999999</v>
      </c>
    </row>
    <row r="21" spans="1:7" x14ac:dyDescent="0.25">
      <c r="A21" t="s">
        <v>63</v>
      </c>
      <c r="C21" s="3"/>
      <c r="D21" s="3">
        <f>D20/Summary!D2</f>
        <v>693.99516666666659</v>
      </c>
      <c r="E21" s="3"/>
      <c r="F21" s="3">
        <f>F20/Summary!D2</f>
        <v>456.47349999999994</v>
      </c>
    </row>
    <row r="23" spans="1:7" ht="13" x14ac:dyDescent="0.3">
      <c r="A23" s="5" t="s">
        <v>64</v>
      </c>
      <c r="B23" s="5" t="s">
        <v>48</v>
      </c>
      <c r="C23" s="5" t="s">
        <v>49</v>
      </c>
      <c r="D23" s="5" t="s">
        <v>50</v>
      </c>
      <c r="E23" s="5" t="s">
        <v>51</v>
      </c>
      <c r="F23" s="5" t="s">
        <v>52</v>
      </c>
      <c r="G23" s="14" t="s">
        <v>136</v>
      </c>
    </row>
    <row r="24" spans="1:7" x14ac:dyDescent="0.25">
      <c r="A24" t="s">
        <v>65</v>
      </c>
      <c r="B24">
        <f>IF(Summary!D3=0,0,INT((Summary!$D$3+3)/3))</f>
        <v>5</v>
      </c>
      <c r="C24" s="3">
        <v>1499</v>
      </c>
      <c r="D24" s="3">
        <f t="shared" ref="D24:D29" si="2">B24*C24</f>
        <v>7495</v>
      </c>
      <c r="E24" s="1">
        <f>Summary!$K$5</f>
        <v>0.35</v>
      </c>
      <c r="F24" s="3">
        <f t="shared" ref="F24:F29" si="3">D24*(1-E24)</f>
        <v>4871.75</v>
      </c>
      <c r="G24" t="s">
        <v>134</v>
      </c>
    </row>
    <row r="25" spans="1:7" x14ac:dyDescent="0.25">
      <c r="A25" t="s">
        <v>66</v>
      </c>
      <c r="B25">
        <f>2*B24</f>
        <v>10</v>
      </c>
      <c r="C25" s="3">
        <v>1499</v>
      </c>
      <c r="D25" s="3">
        <f t="shared" si="2"/>
        <v>14990</v>
      </c>
      <c r="E25" s="1">
        <f>Summary!$K$5</f>
        <v>0.35</v>
      </c>
      <c r="F25" s="3">
        <f t="shared" si="3"/>
        <v>9743.5</v>
      </c>
    </row>
    <row r="26" spans="1:7" x14ac:dyDescent="0.25">
      <c r="A26" t="s">
        <v>67</v>
      </c>
      <c r="B26">
        <f>B25</f>
        <v>10</v>
      </c>
      <c r="C26" s="3">
        <v>495</v>
      </c>
      <c r="D26" s="3">
        <f t="shared" si="2"/>
        <v>4950</v>
      </c>
      <c r="E26" s="1">
        <v>0</v>
      </c>
      <c r="F26" s="3">
        <f t="shared" si="3"/>
        <v>4950</v>
      </c>
    </row>
    <row r="27" spans="1:7" x14ac:dyDescent="0.25">
      <c r="A27" t="s">
        <v>129</v>
      </c>
      <c r="B27">
        <f>IF(Summary!$D$3&lt;5,0,1)</f>
        <v>1</v>
      </c>
      <c r="C27" s="3">
        <v>6495</v>
      </c>
      <c r="D27" s="3">
        <f t="shared" si="2"/>
        <v>6495</v>
      </c>
      <c r="E27" s="1">
        <f>Summary!$K$5</f>
        <v>0.35</v>
      </c>
      <c r="F27" s="3">
        <f t="shared" si="3"/>
        <v>4221.75</v>
      </c>
      <c r="G27" t="s">
        <v>135</v>
      </c>
    </row>
    <row r="28" spans="1:7" x14ac:dyDescent="0.25">
      <c r="A28" t="s">
        <v>53</v>
      </c>
      <c r="B28">
        <f>IF(B27=0,0,1)</f>
        <v>1</v>
      </c>
      <c r="C28" s="3">
        <v>1395</v>
      </c>
      <c r="D28" s="3">
        <f t="shared" si="2"/>
        <v>1395</v>
      </c>
      <c r="E28" s="1">
        <f>Summary!$K$5</f>
        <v>0.35</v>
      </c>
      <c r="F28" s="3">
        <f t="shared" si="3"/>
        <v>906.75</v>
      </c>
      <c r="G28" t="s">
        <v>137</v>
      </c>
    </row>
    <row r="29" spans="1:7" x14ac:dyDescent="0.25">
      <c r="A29" t="s">
        <v>68</v>
      </c>
      <c r="B29">
        <f>B24</f>
        <v>5</v>
      </c>
      <c r="C29" s="3">
        <v>280</v>
      </c>
      <c r="D29" s="3">
        <f t="shared" si="2"/>
        <v>1400</v>
      </c>
      <c r="E29" s="1">
        <f>Summary!$K$5</f>
        <v>0.35</v>
      </c>
      <c r="F29" s="3">
        <f t="shared" si="3"/>
        <v>910</v>
      </c>
    </row>
    <row r="30" spans="1:7" ht="13" x14ac:dyDescent="0.3">
      <c r="A30" s="5" t="s">
        <v>69</v>
      </c>
      <c r="B30" s="5"/>
      <c r="C30" s="5"/>
      <c r="D30" s="18">
        <f>SUM(D24:D29)</f>
        <v>36725</v>
      </c>
      <c r="E30" s="18"/>
      <c r="F30" s="18">
        <f>SUM(F24:F29)</f>
        <v>25603.75</v>
      </c>
    </row>
    <row r="31" spans="1:7" x14ac:dyDescent="0.25">
      <c r="D31" s="3"/>
      <c r="E31" s="3"/>
      <c r="F31" s="3"/>
    </row>
    <row r="32" spans="1:7" ht="13" x14ac:dyDescent="0.3">
      <c r="A32" s="5" t="s">
        <v>82</v>
      </c>
      <c r="B32" s="5"/>
      <c r="C32" s="5"/>
      <c r="D32" s="11">
        <f>D20+D30</f>
        <v>244923.55</v>
      </c>
      <c r="E32" s="11"/>
      <c r="F32" s="11">
        <f>F20+F30</f>
        <v>162545.79999999999</v>
      </c>
    </row>
    <row r="34" spans="1:8" ht="13" x14ac:dyDescent="0.3">
      <c r="A34" s="5" t="s">
        <v>139</v>
      </c>
      <c r="B34" t="s">
        <v>11</v>
      </c>
    </row>
    <row r="35" spans="1:8" x14ac:dyDescent="0.25">
      <c r="A35" t="s">
        <v>140</v>
      </c>
      <c r="B35">
        <f>INT(Summary!D2/600)+1</f>
        <v>1</v>
      </c>
      <c r="C35" s="3">
        <v>12000</v>
      </c>
      <c r="D35" s="3">
        <f>B35*C35</f>
        <v>12000</v>
      </c>
      <c r="E35" s="1">
        <f>Summary!$K$5</f>
        <v>0.35</v>
      </c>
      <c r="F35" s="3">
        <f>D35*(1-E35)</f>
        <v>7800</v>
      </c>
      <c r="G35" t="s">
        <v>162</v>
      </c>
    </row>
    <row r="36" spans="1:8" x14ac:dyDescent="0.25">
      <c r="A36" s="14" t="s">
        <v>141</v>
      </c>
      <c r="B36">
        <v>1</v>
      </c>
      <c r="C36" s="15">
        <v>5000</v>
      </c>
      <c r="D36" s="3">
        <f>B36*C36</f>
        <v>5000</v>
      </c>
      <c r="E36" s="1">
        <v>0</v>
      </c>
      <c r="F36" s="3">
        <f>D36*(1-E36)</f>
        <v>5000</v>
      </c>
      <c r="G36" t="s">
        <v>143</v>
      </c>
    </row>
    <row r="37" spans="1:8" x14ac:dyDescent="0.25">
      <c r="A37" s="14" t="s">
        <v>142</v>
      </c>
      <c r="B37">
        <f>Summary!D2</f>
        <v>300</v>
      </c>
      <c r="C37" s="15">
        <v>200</v>
      </c>
      <c r="D37" s="3">
        <f>B37*C37</f>
        <v>60000</v>
      </c>
      <c r="E37" s="1">
        <v>0</v>
      </c>
      <c r="F37" s="3">
        <f>D37*(1-E37)</f>
        <v>60000</v>
      </c>
      <c r="G37" t="s">
        <v>144</v>
      </c>
    </row>
    <row r="38" spans="1:8" ht="13" x14ac:dyDescent="0.3">
      <c r="A38" s="5" t="s">
        <v>145</v>
      </c>
      <c r="B38" s="5"/>
      <c r="C38" s="5"/>
      <c r="D38" s="18">
        <f>SUM(D35:D37)</f>
        <v>77000</v>
      </c>
      <c r="E38" s="18"/>
      <c r="F38" s="18">
        <f>SUM(F35:F37)</f>
        <v>72800</v>
      </c>
      <c r="H38" t="s">
        <v>206</v>
      </c>
    </row>
  </sheetData>
  <phoneticPr fontId="0" type="noConversion"/>
  <pageMargins left="0.75" right="0.75" top="1" bottom="1" header="0.5" footer="0.5"/>
  <pageSetup scale="72" orientation="landscape" horizontalDpi="4294967292" r:id="rId1"/>
  <headerFooter alignWithMargins="0">
    <oddHeader>&amp;L&amp;D&amp;C&amp;F&amp;R&amp;A</oddHeader>
    <oddFooter>&amp;LCisco Systems Proprietary and Confidential&amp;RPage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selection activeCell="I6" sqref="I6"/>
    </sheetView>
  </sheetViews>
  <sheetFormatPr defaultRowHeight="12.5" x14ac:dyDescent="0.25"/>
  <cols>
    <col min="1" max="1" width="42.81640625" customWidth="1"/>
    <col min="3" max="3" width="11.26953125" bestFit="1" customWidth="1"/>
  </cols>
  <sheetData>
    <row r="1" spans="1:6" x14ac:dyDescent="0.25">
      <c r="A1" t="s">
        <v>185</v>
      </c>
    </row>
    <row r="3" spans="1:6" ht="13" x14ac:dyDescent="0.3">
      <c r="A3" s="5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25">
      <c r="A4" t="s">
        <v>186</v>
      </c>
      <c r="B4">
        <v>1</v>
      </c>
      <c r="C4" s="3">
        <v>25000</v>
      </c>
      <c r="D4" s="3">
        <f t="shared" ref="D4:D12" si="0">B4*C4</f>
        <v>25000</v>
      </c>
      <c r="E4" s="1">
        <f>Summary!K$5</f>
        <v>0.35</v>
      </c>
      <c r="F4" s="3">
        <f>D4*(1-E4)</f>
        <v>16250</v>
      </c>
    </row>
    <row r="5" spans="1:6" x14ac:dyDescent="0.25">
      <c r="A5" t="s">
        <v>187</v>
      </c>
      <c r="B5">
        <f>Summary!D2</f>
        <v>300</v>
      </c>
      <c r="C5" s="3">
        <v>150</v>
      </c>
      <c r="D5" s="3">
        <f t="shared" si="0"/>
        <v>45000</v>
      </c>
      <c r="E5" s="1">
        <f>Summary!K$5</f>
        <v>0.35</v>
      </c>
      <c r="F5" s="3">
        <f t="shared" ref="F5:F12" si="1">D5*(1-E5)</f>
        <v>29250</v>
      </c>
    </row>
    <row r="6" spans="1:6" x14ac:dyDescent="0.25">
      <c r="A6" t="s">
        <v>54</v>
      </c>
      <c r="B6">
        <f>Summary!D2</f>
        <v>300</v>
      </c>
      <c r="C6" s="3">
        <v>2</v>
      </c>
      <c r="D6" s="3">
        <f t="shared" si="0"/>
        <v>600</v>
      </c>
      <c r="E6" s="1">
        <v>0</v>
      </c>
      <c r="F6" s="3">
        <f t="shared" si="1"/>
        <v>600</v>
      </c>
    </row>
    <row r="7" spans="1:6" x14ac:dyDescent="0.25">
      <c r="A7" t="s">
        <v>59</v>
      </c>
      <c r="B7">
        <v>1</v>
      </c>
      <c r="C7" s="3">
        <v>157</v>
      </c>
      <c r="D7" s="3">
        <f t="shared" si="0"/>
        <v>157</v>
      </c>
      <c r="E7" s="1">
        <v>0</v>
      </c>
      <c r="F7" s="3">
        <f t="shared" si="1"/>
        <v>157</v>
      </c>
    </row>
    <row r="8" spans="1:6" x14ac:dyDescent="0.25">
      <c r="A8" t="s">
        <v>60</v>
      </c>
      <c r="B8">
        <v>1</v>
      </c>
      <c r="C8" s="3">
        <v>120</v>
      </c>
      <c r="D8" s="3">
        <f t="shared" si="0"/>
        <v>120</v>
      </c>
      <c r="E8" s="1">
        <v>0</v>
      </c>
      <c r="F8" s="3">
        <f t="shared" si="1"/>
        <v>120</v>
      </c>
    </row>
    <row r="9" spans="1:6" x14ac:dyDescent="0.25">
      <c r="A9" t="s">
        <v>119</v>
      </c>
      <c r="B9">
        <v>1</v>
      </c>
      <c r="C9" s="15">
        <v>11500</v>
      </c>
      <c r="D9" s="3">
        <f t="shared" si="0"/>
        <v>11500</v>
      </c>
      <c r="E9" s="1">
        <f>Summary!K$5</f>
        <v>0.35</v>
      </c>
      <c r="F9" s="3">
        <f t="shared" si="1"/>
        <v>7475</v>
      </c>
    </row>
    <row r="10" spans="1:6" x14ac:dyDescent="0.25">
      <c r="A10" t="s">
        <v>120</v>
      </c>
      <c r="B10">
        <f>IF((INT(((Summary!D2+Summary!D3)-96)/24)+1)&gt;0,(INT(((Summary!D2+Summary!D3)-96)/24)+1),0)</f>
        <v>10</v>
      </c>
      <c r="C10" s="3">
        <v>600</v>
      </c>
      <c r="D10" s="3">
        <f t="shared" si="0"/>
        <v>6000</v>
      </c>
      <c r="E10" s="1">
        <f>Summary!K$5</f>
        <v>0.35</v>
      </c>
      <c r="F10" s="3">
        <f t="shared" si="1"/>
        <v>3900</v>
      </c>
    </row>
    <row r="11" spans="1:6" x14ac:dyDescent="0.25">
      <c r="A11" t="s">
        <v>111</v>
      </c>
      <c r="B11">
        <v>1</v>
      </c>
      <c r="C11" s="3">
        <v>900</v>
      </c>
      <c r="D11" s="3">
        <f t="shared" si="0"/>
        <v>900</v>
      </c>
      <c r="E11" s="1">
        <v>0</v>
      </c>
      <c r="F11" s="3">
        <f t="shared" si="1"/>
        <v>900</v>
      </c>
    </row>
    <row r="12" spans="1:6" x14ac:dyDescent="0.25">
      <c r="A12" t="s">
        <v>61</v>
      </c>
      <c r="B12">
        <v>1</v>
      </c>
      <c r="C12" s="3">
        <v>120</v>
      </c>
      <c r="D12" s="3">
        <f t="shared" si="0"/>
        <v>120</v>
      </c>
      <c r="E12" s="1">
        <v>0</v>
      </c>
      <c r="F12" s="3">
        <f t="shared" si="1"/>
        <v>120</v>
      </c>
    </row>
    <row r="13" spans="1:6" ht="13.5" thickBot="1" x14ac:dyDescent="0.35">
      <c r="A13" s="5" t="s">
        <v>62</v>
      </c>
      <c r="D13" s="4">
        <f>SUM(D4:D12)</f>
        <v>89397</v>
      </c>
      <c r="E13" s="31"/>
      <c r="F13" s="4">
        <f>SUM(F4:F12)</f>
        <v>58772</v>
      </c>
    </row>
    <row r="14" spans="1:6" ht="13.5" thickTop="1" x14ac:dyDescent="0.3">
      <c r="A14" s="5" t="s">
        <v>63</v>
      </c>
      <c r="D14" s="3">
        <f>D13/Summary!D2</f>
        <v>297.99</v>
      </c>
      <c r="F14" s="3">
        <f>F13/Summary!D2</f>
        <v>195.90666666666667</v>
      </c>
    </row>
    <row r="17" spans="1:7" ht="13" x14ac:dyDescent="0.3">
      <c r="A17" s="5" t="s">
        <v>64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136</v>
      </c>
    </row>
    <row r="18" spans="1:7" x14ac:dyDescent="0.25">
      <c r="A18" t="s">
        <v>65</v>
      </c>
      <c r="B18">
        <f>IF(Summary!D3=0,0,INT((Summary!$D$3+3)/3))</f>
        <v>5</v>
      </c>
      <c r="C18" s="3">
        <v>1877</v>
      </c>
      <c r="D18" s="3">
        <f>B18*C18</f>
        <v>9385</v>
      </c>
      <c r="E18" s="1">
        <f>Summary!K$5</f>
        <v>0.35</v>
      </c>
      <c r="F18" s="3">
        <f>D18*(1-E18)</f>
        <v>6100.25</v>
      </c>
      <c r="G18" t="s">
        <v>134</v>
      </c>
    </row>
    <row r="19" spans="1:7" x14ac:dyDescent="0.25">
      <c r="A19" t="s">
        <v>66</v>
      </c>
      <c r="B19">
        <f>2*B18</f>
        <v>10</v>
      </c>
      <c r="C19" s="3">
        <v>1695</v>
      </c>
      <c r="D19" s="3">
        <f>B19*C19</f>
        <v>16950</v>
      </c>
      <c r="E19" s="1">
        <f>Summary!K$5</f>
        <v>0.35</v>
      </c>
      <c r="F19" s="3">
        <f>D19*(1-E19)</f>
        <v>11017.5</v>
      </c>
    </row>
    <row r="20" spans="1:7" x14ac:dyDescent="0.25">
      <c r="A20" t="s">
        <v>67</v>
      </c>
      <c r="B20">
        <f>B19</f>
        <v>10</v>
      </c>
      <c r="C20" s="3">
        <v>400</v>
      </c>
      <c r="D20" s="3">
        <f>B20*C20</f>
        <v>4000</v>
      </c>
      <c r="E20" s="1">
        <v>0</v>
      </c>
      <c r="F20" s="3">
        <f>D20*(1-E20)</f>
        <v>4000</v>
      </c>
    </row>
    <row r="21" spans="1:7" x14ac:dyDescent="0.25">
      <c r="A21" t="s">
        <v>188</v>
      </c>
      <c r="B21">
        <f>B18</f>
        <v>5</v>
      </c>
      <c r="C21" s="3">
        <v>900</v>
      </c>
      <c r="D21" s="3">
        <f>B21*C21</f>
        <v>4500</v>
      </c>
      <c r="E21" s="1">
        <f>Summary!K$5</f>
        <v>0.35</v>
      </c>
      <c r="F21" s="3">
        <f>D21*(1-E21)</f>
        <v>2925</v>
      </c>
    </row>
    <row r="22" spans="1:7" ht="13" thickBot="1" x14ac:dyDescent="0.3">
      <c r="A22" t="s">
        <v>69</v>
      </c>
      <c r="D22" s="4">
        <f>SUM(D18:D21)</f>
        <v>34835</v>
      </c>
      <c r="E22" s="31"/>
      <c r="F22" s="4">
        <f>SUM(F18:F21)</f>
        <v>24042.75</v>
      </c>
    </row>
    <row r="23" spans="1:7" ht="13" thickTop="1" x14ac:dyDescent="0.25"/>
    <row r="24" spans="1:7" ht="13" x14ac:dyDescent="0.3">
      <c r="A24" s="5" t="s">
        <v>189</v>
      </c>
      <c r="D24" s="3">
        <f>D22+D13</f>
        <v>124232</v>
      </c>
      <c r="F24" s="3">
        <f>F22+F13</f>
        <v>82814.75</v>
      </c>
    </row>
    <row r="26" spans="1:7" ht="13" x14ac:dyDescent="0.3">
      <c r="A26" s="5" t="s">
        <v>139</v>
      </c>
      <c r="B26" t="s">
        <v>11</v>
      </c>
    </row>
    <row r="27" spans="1:7" x14ac:dyDescent="0.25">
      <c r="A27" t="s">
        <v>140</v>
      </c>
      <c r="B27">
        <f>INT(Summary!D2/600)+1</f>
        <v>1</v>
      </c>
      <c r="C27" s="3">
        <v>12000</v>
      </c>
      <c r="D27" s="3">
        <f>B27*C27</f>
        <v>12000</v>
      </c>
      <c r="E27" s="1">
        <v>0</v>
      </c>
      <c r="F27" s="3">
        <f>D27*(1-E27)</f>
        <v>12000</v>
      </c>
      <c r="G27" t="s">
        <v>162</v>
      </c>
    </row>
    <row r="28" spans="1:7" x14ac:dyDescent="0.25">
      <c r="A28" s="14" t="s">
        <v>141</v>
      </c>
      <c r="B28">
        <v>1</v>
      </c>
      <c r="C28" s="15">
        <v>5000</v>
      </c>
      <c r="D28" s="3">
        <f>B28*C28</f>
        <v>5000</v>
      </c>
      <c r="E28" s="1">
        <v>0</v>
      </c>
      <c r="F28" s="3">
        <f>D28*(1-E28)</f>
        <v>5000</v>
      </c>
      <c r="G28" t="s">
        <v>143</v>
      </c>
    </row>
    <row r="29" spans="1:7" x14ac:dyDescent="0.25">
      <c r="A29" s="14" t="s">
        <v>142</v>
      </c>
      <c r="B29">
        <f>Summary!D2</f>
        <v>300</v>
      </c>
      <c r="C29" s="15">
        <v>0</v>
      </c>
      <c r="D29" s="3">
        <f>B29*C29</f>
        <v>0</v>
      </c>
      <c r="E29" s="1">
        <v>0</v>
      </c>
      <c r="F29" s="3">
        <f>D29*(1-E29)</f>
        <v>0</v>
      </c>
      <c r="G29" t="s">
        <v>190</v>
      </c>
    </row>
    <row r="30" spans="1:7" ht="13" x14ac:dyDescent="0.3">
      <c r="A30" s="5" t="s">
        <v>145</v>
      </c>
      <c r="B30" s="5"/>
      <c r="C30" s="5"/>
      <c r="D30" s="18">
        <f>SUM(D27:D29)</f>
        <v>17000</v>
      </c>
      <c r="E30" s="18"/>
      <c r="F30" s="18">
        <f>SUM(F27:F29)</f>
        <v>17000</v>
      </c>
    </row>
  </sheetData>
  <phoneticPr fontId="0" type="noConversion"/>
  <pageMargins left="0.75" right="0.75" top="1" bottom="1" header="0.5" footer="0.5"/>
  <pageSetup scale="85" orientation="landscape" r:id="rId1"/>
  <headerFooter alignWithMargins="0">
    <oddHeader>&amp;L&amp;D&amp;C&amp;F&amp;R&amp;A</oddHeader>
    <oddFooter>&amp;LCisco Systems Proprietary and Confidential&amp;RPage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topLeftCell="A2" workbookViewId="0">
      <selection activeCell="I19" sqref="I19"/>
    </sheetView>
  </sheetViews>
  <sheetFormatPr defaultRowHeight="12.5" x14ac:dyDescent="0.25"/>
  <cols>
    <col min="1" max="1" width="5.26953125" customWidth="1"/>
    <col min="2" max="2" width="34.54296875" customWidth="1"/>
    <col min="4" max="4" width="11.81640625" customWidth="1"/>
    <col min="5" max="5" width="5.7265625" customWidth="1"/>
    <col min="6" max="6" width="11.54296875" customWidth="1"/>
  </cols>
  <sheetData>
    <row r="1" spans="1:6" ht="65" x14ac:dyDescent="0.3">
      <c r="A1" s="5"/>
      <c r="C1" s="20" t="s">
        <v>23</v>
      </c>
      <c r="D1" s="20" t="s">
        <v>191</v>
      </c>
      <c r="F1" s="20" t="s">
        <v>232</v>
      </c>
    </row>
    <row r="2" spans="1:6" ht="13" x14ac:dyDescent="0.3">
      <c r="A2" s="5"/>
    </row>
    <row r="3" spans="1:6" ht="13" x14ac:dyDescent="0.3">
      <c r="A3" s="5" t="s">
        <v>25</v>
      </c>
      <c r="D3" s="24" t="s">
        <v>121</v>
      </c>
      <c r="F3" s="24" t="s">
        <v>121</v>
      </c>
    </row>
    <row r="4" spans="1:6" ht="13" x14ac:dyDescent="0.3">
      <c r="A4" s="5"/>
      <c r="B4" t="s">
        <v>24</v>
      </c>
      <c r="D4">
        <f>IF(Summary!D2&gt;299,8,IF(Summary!D2&gt;150,6,4))</f>
        <v>8</v>
      </c>
      <c r="F4">
        <v>5</v>
      </c>
    </row>
    <row r="5" spans="1:6" ht="13" x14ac:dyDescent="0.3">
      <c r="A5" s="5"/>
      <c r="B5" t="s">
        <v>95</v>
      </c>
      <c r="C5" t="s">
        <v>86</v>
      </c>
      <c r="D5" s="13"/>
      <c r="F5" s="13"/>
    </row>
    <row r="6" spans="1:6" ht="13" x14ac:dyDescent="0.3">
      <c r="A6" s="5"/>
      <c r="B6" t="s">
        <v>26</v>
      </c>
      <c r="D6">
        <v>1</v>
      </c>
      <c r="F6">
        <v>1</v>
      </c>
    </row>
    <row r="7" spans="1:6" ht="13" x14ac:dyDescent="0.3">
      <c r="A7" s="5"/>
      <c r="B7" t="s">
        <v>87</v>
      </c>
      <c r="D7">
        <v>1</v>
      </c>
      <c r="F7">
        <v>1</v>
      </c>
    </row>
    <row r="8" spans="1:6" ht="13" x14ac:dyDescent="0.3">
      <c r="A8" s="5"/>
      <c r="B8" t="s">
        <v>27</v>
      </c>
      <c r="D8">
        <v>1</v>
      </c>
      <c r="F8">
        <v>1</v>
      </c>
    </row>
    <row r="9" spans="1:6" ht="13" x14ac:dyDescent="0.3">
      <c r="A9" s="5"/>
      <c r="B9" t="s">
        <v>88</v>
      </c>
      <c r="D9">
        <v>1</v>
      </c>
      <c r="F9">
        <v>1</v>
      </c>
    </row>
    <row r="10" spans="1:6" ht="13" x14ac:dyDescent="0.3">
      <c r="A10" s="5"/>
      <c r="B10" t="s">
        <v>89</v>
      </c>
      <c r="D10">
        <v>4</v>
      </c>
      <c r="F10">
        <v>2</v>
      </c>
    </row>
    <row r="11" spans="1:6" ht="13" x14ac:dyDescent="0.3">
      <c r="A11" s="5"/>
      <c r="B11" t="s">
        <v>90</v>
      </c>
      <c r="D11">
        <v>1</v>
      </c>
      <c r="F11">
        <v>1</v>
      </c>
    </row>
    <row r="12" spans="1:6" ht="13" x14ac:dyDescent="0.3">
      <c r="A12" s="5"/>
      <c r="B12" t="s">
        <v>29</v>
      </c>
      <c r="C12" t="s">
        <v>86</v>
      </c>
      <c r="D12" s="13"/>
      <c r="F12" s="13"/>
    </row>
    <row r="13" spans="1:6" ht="13" x14ac:dyDescent="0.3">
      <c r="A13" s="5"/>
    </row>
    <row r="14" spans="1:6" ht="13" x14ac:dyDescent="0.3">
      <c r="A14" s="5" t="s">
        <v>28</v>
      </c>
    </row>
    <row r="15" spans="1:6" ht="13" x14ac:dyDescent="0.3">
      <c r="A15" s="5"/>
      <c r="B15" t="s">
        <v>91</v>
      </c>
      <c r="D15">
        <v>4</v>
      </c>
      <c r="F15">
        <v>4</v>
      </c>
    </row>
    <row r="16" spans="1:6" ht="13" x14ac:dyDescent="0.3">
      <c r="A16" s="5"/>
      <c r="B16" t="s">
        <v>96</v>
      </c>
      <c r="D16">
        <v>2</v>
      </c>
      <c r="F16">
        <v>2</v>
      </c>
    </row>
    <row r="17" spans="1:7" ht="13" x14ac:dyDescent="0.3">
      <c r="A17" s="5"/>
      <c r="B17" t="s">
        <v>92</v>
      </c>
      <c r="D17" s="5">
        <f>0.1*Summary!D2</f>
        <v>30</v>
      </c>
      <c r="F17" s="14">
        <v>0</v>
      </c>
    </row>
    <row r="18" spans="1:7" ht="13" x14ac:dyDescent="0.3">
      <c r="A18" s="5"/>
      <c r="B18" t="s">
        <v>93</v>
      </c>
      <c r="D18">
        <f>Summary!D2/24</f>
        <v>12.5</v>
      </c>
      <c r="F18">
        <v>2</v>
      </c>
    </row>
    <row r="19" spans="1:7" ht="13" x14ac:dyDescent="0.3">
      <c r="A19" s="5"/>
      <c r="B19" t="s">
        <v>94</v>
      </c>
      <c r="D19" s="37">
        <f>0.2*Summary!D2</f>
        <v>60</v>
      </c>
      <c r="E19" s="7"/>
      <c r="F19" s="37">
        <f>0.1*Summary!D2</f>
        <v>30</v>
      </c>
    </row>
    <row r="20" spans="1:7" s="21" customFormat="1" ht="13" x14ac:dyDescent="0.3">
      <c r="A20" s="22"/>
      <c r="B20" t="s">
        <v>106</v>
      </c>
      <c r="D20" s="37">
        <f>1.5*Summary!$D$3</f>
        <v>18</v>
      </c>
      <c r="E20" s="38"/>
      <c r="F20" s="37">
        <f>1.5*Summary!$D$3</f>
        <v>18</v>
      </c>
      <c r="G20"/>
    </row>
    <row r="21" spans="1:7" ht="13" x14ac:dyDescent="0.3">
      <c r="A21" s="5"/>
      <c r="B21" t="s">
        <v>107</v>
      </c>
      <c r="D21" s="37">
        <f>2.25*Summary!$D$3</f>
        <v>27</v>
      </c>
      <c r="E21" s="38"/>
      <c r="F21" s="37">
        <f>2.25*Summary!$D$3</f>
        <v>27</v>
      </c>
    </row>
    <row r="22" spans="1:7" ht="13" x14ac:dyDescent="0.3">
      <c r="A22" s="5"/>
      <c r="B22" t="s">
        <v>34</v>
      </c>
      <c r="C22" t="s">
        <v>123</v>
      </c>
      <c r="D22" s="7"/>
      <c r="E22" s="7"/>
      <c r="F22" s="7"/>
    </row>
    <row r="23" spans="1:7" ht="13" x14ac:dyDescent="0.3">
      <c r="A23" s="5"/>
      <c r="B23" t="s">
        <v>35</v>
      </c>
      <c r="D23" s="7">
        <v>4</v>
      </c>
      <c r="E23" s="7"/>
      <c r="F23" s="7">
        <v>4</v>
      </c>
    </row>
    <row r="24" spans="1:7" ht="13" x14ac:dyDescent="0.3">
      <c r="A24" s="5"/>
      <c r="B24" t="s">
        <v>38</v>
      </c>
      <c r="D24">
        <f>IF(Summary!D2&gt;299,8,IF(Summary!D2&gt;150,6,4))</f>
        <v>8</v>
      </c>
      <c r="E24" s="7"/>
      <c r="F24">
        <f>IF(Summary!D2&gt;299,8,IF(Summary!D2&gt;150,6,4))</f>
        <v>8</v>
      </c>
    </row>
    <row r="25" spans="1:7" ht="13" x14ac:dyDescent="0.3">
      <c r="A25" s="5"/>
      <c r="B25" s="5" t="s">
        <v>241</v>
      </c>
      <c r="C25" s="5"/>
      <c r="D25" s="5">
        <f>SUM(D4:D24)</f>
        <v>182.5</v>
      </c>
      <c r="F25" s="5">
        <f>SUM(F4:F24)</f>
        <v>107</v>
      </c>
    </row>
    <row r="26" spans="1:7" ht="13" x14ac:dyDescent="0.3">
      <c r="A26" s="5"/>
      <c r="D26" s="7"/>
      <c r="E26" s="7"/>
      <c r="F26" s="7"/>
    </row>
    <row r="27" spans="1:7" ht="13" x14ac:dyDescent="0.3">
      <c r="A27" s="5"/>
      <c r="B27" t="s">
        <v>37</v>
      </c>
      <c r="C27" s="2">
        <v>0.2</v>
      </c>
      <c r="D27" s="38">
        <f>D25*C27</f>
        <v>36.5</v>
      </c>
      <c r="E27" s="38"/>
      <c r="F27" s="38">
        <f>F25*C27</f>
        <v>21.400000000000002</v>
      </c>
    </row>
    <row r="28" spans="1:7" ht="13" x14ac:dyDescent="0.3">
      <c r="B28" s="5" t="s">
        <v>97</v>
      </c>
      <c r="D28" s="37">
        <f>D25+D27</f>
        <v>219</v>
      </c>
      <c r="E28" s="5"/>
      <c r="F28" s="37">
        <f>F25+F27</f>
        <v>128.4</v>
      </c>
    </row>
    <row r="30" spans="1:7" x14ac:dyDescent="0.25">
      <c r="B30" t="s">
        <v>98</v>
      </c>
      <c r="D30" s="3">
        <f>Summary!D10</f>
        <v>90</v>
      </c>
      <c r="F30" s="3">
        <f>Summary!D10</f>
        <v>90</v>
      </c>
    </row>
    <row r="31" spans="1:7" ht="13.5" thickBot="1" x14ac:dyDescent="0.35">
      <c r="B31" s="5" t="s">
        <v>99</v>
      </c>
      <c r="C31" s="5"/>
      <c r="D31" s="23">
        <f>D28*D30</f>
        <v>19710</v>
      </c>
      <c r="F31" s="23">
        <f>F28*F30</f>
        <v>11556</v>
      </c>
    </row>
    <row r="32" spans="1:7" ht="13" thickTop="1" x14ac:dyDescent="0.25">
      <c r="B32" t="s">
        <v>104</v>
      </c>
      <c r="D32" s="3">
        <f>D31/Summary!D2</f>
        <v>65.7</v>
      </c>
      <c r="F32" s="3">
        <f>F31/Summary!D2</f>
        <v>38.520000000000003</v>
      </c>
    </row>
  </sheetData>
  <phoneticPr fontId="0" type="noConversion"/>
  <pageMargins left="0.75" right="0.75" top="1" bottom="1" header="0.5" footer="0.5"/>
  <pageSetup scale="91" orientation="landscape" horizontalDpi="4294967292" r:id="rId1"/>
  <headerFooter alignWithMargins="0">
    <oddHeader>&amp;L&amp;D&amp;C&amp;F&amp;R&amp;A</oddHeader>
    <oddFooter>&amp;LCisco Systems Proprietary and Confidential&amp;RPage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topLeftCell="A15" workbookViewId="0">
      <selection activeCell="D34" sqref="D34:D38"/>
    </sheetView>
  </sheetViews>
  <sheetFormatPr defaultRowHeight="12.5" x14ac:dyDescent="0.25"/>
  <cols>
    <col min="2" max="2" width="24" customWidth="1"/>
    <col min="3" max="3" width="14.7265625" customWidth="1"/>
    <col min="4" max="5" width="13.26953125" customWidth="1"/>
  </cols>
  <sheetData>
    <row r="1" spans="1:4" ht="13" x14ac:dyDescent="0.3">
      <c r="D1" s="5" t="s">
        <v>101</v>
      </c>
    </row>
    <row r="3" spans="1:4" ht="13" hidden="1" x14ac:dyDescent="0.3">
      <c r="A3" s="5" t="s">
        <v>18</v>
      </c>
    </row>
    <row r="4" spans="1:4" ht="13" hidden="1" x14ac:dyDescent="0.3">
      <c r="A4" s="5"/>
      <c r="B4" t="s">
        <v>19</v>
      </c>
      <c r="D4" t="s">
        <v>105</v>
      </c>
    </row>
    <row r="5" spans="1:4" ht="13" hidden="1" x14ac:dyDescent="0.3">
      <c r="A5" s="5"/>
      <c r="B5" t="s">
        <v>20</v>
      </c>
      <c r="D5" t="s">
        <v>122</v>
      </c>
    </row>
    <row r="6" spans="1:4" ht="13" hidden="1" x14ac:dyDescent="0.3">
      <c r="A6" s="5"/>
      <c r="B6" t="s">
        <v>21</v>
      </c>
    </row>
    <row r="7" spans="1:4" ht="13" hidden="1" x14ac:dyDescent="0.3">
      <c r="A7" s="5"/>
      <c r="B7" t="s">
        <v>22</v>
      </c>
    </row>
    <row r="8" spans="1:4" ht="13" hidden="1" x14ac:dyDescent="0.3">
      <c r="A8" s="5"/>
      <c r="B8" t="s">
        <v>30</v>
      </c>
    </row>
    <row r="9" spans="1:4" ht="13" hidden="1" x14ac:dyDescent="0.3">
      <c r="A9" s="5"/>
      <c r="B9" t="s">
        <v>31</v>
      </c>
    </row>
    <row r="10" spans="1:4" ht="13" hidden="1" x14ac:dyDescent="0.3">
      <c r="A10" s="5"/>
      <c r="B10" t="s">
        <v>32</v>
      </c>
    </row>
    <row r="11" spans="1:4" ht="13" hidden="1" x14ac:dyDescent="0.3">
      <c r="A11" s="5"/>
      <c r="B11" t="s">
        <v>33</v>
      </c>
    </row>
    <row r="12" spans="1:4" ht="13" hidden="1" x14ac:dyDescent="0.3">
      <c r="A12" s="5"/>
      <c r="B12" t="s">
        <v>36</v>
      </c>
    </row>
    <row r="13" spans="1:4" ht="25.5" x14ac:dyDescent="0.3">
      <c r="A13" s="5"/>
      <c r="C13" s="36" t="s">
        <v>236</v>
      </c>
      <c r="D13" t="s">
        <v>237</v>
      </c>
    </row>
    <row r="14" spans="1:4" ht="13" x14ac:dyDescent="0.3">
      <c r="A14" s="5" t="s">
        <v>126</v>
      </c>
      <c r="C14">
        <f>INT((Summary!D2/1000)+1)</f>
        <v>1</v>
      </c>
      <c r="D14">
        <f>C14*12*Summary!D11</f>
        <v>7800</v>
      </c>
    </row>
    <row r="15" spans="1:4" ht="13" x14ac:dyDescent="0.3">
      <c r="A15" s="5"/>
    </row>
    <row r="16" spans="1:4" ht="13" x14ac:dyDescent="0.3">
      <c r="A16" s="5" t="s">
        <v>100</v>
      </c>
    </row>
    <row r="18" spans="1:6" ht="13" x14ac:dyDescent="0.3">
      <c r="A18" s="5" t="s">
        <v>39</v>
      </c>
    </row>
    <row r="19" spans="1:6" ht="13" x14ac:dyDescent="0.3">
      <c r="A19" s="5"/>
      <c r="B19" t="s">
        <v>124</v>
      </c>
      <c r="D19" s="51">
        <f>18*Summary!D2</f>
        <v>5400</v>
      </c>
    </row>
    <row r="20" spans="1:6" ht="13" x14ac:dyDescent="0.3">
      <c r="A20" s="5" t="s">
        <v>11</v>
      </c>
      <c r="B20" t="s">
        <v>40</v>
      </c>
      <c r="D20" s="51">
        <f>48*Summary!D2</f>
        <v>14400</v>
      </c>
    </row>
    <row r="21" spans="1:6" ht="13" x14ac:dyDescent="0.3">
      <c r="A21" s="5"/>
      <c r="D21" s="15"/>
    </row>
    <row r="22" spans="1:6" ht="13" x14ac:dyDescent="0.3">
      <c r="A22" s="5" t="s">
        <v>41</v>
      </c>
      <c r="D22" s="15"/>
    </row>
    <row r="23" spans="1:6" ht="13" x14ac:dyDescent="0.3">
      <c r="B23" t="s">
        <v>43</v>
      </c>
      <c r="D23" s="51">
        <f>E23*IF(Summary!K2="lre",('Equipment - LRE'!F20+'Equipment - LRE'!F30-'Equipment - LRE'!F6),IF(Summary!K2="cable",('Equipment - Cable'!F13+'Equipment - Cable'!F22-'Equipment - Cable'!F5),IF(Summary!K2="ethernet",(Ethernet!F18+Ethernet!F26),0)))</f>
        <v>8635.6639999999989</v>
      </c>
      <c r="E23" s="2">
        <f>Summary!K33</f>
        <v>0.08</v>
      </c>
    </row>
    <row r="25" spans="1:6" ht="13" x14ac:dyDescent="0.3">
      <c r="A25" s="5" t="s">
        <v>14</v>
      </c>
      <c r="D25" s="15" t="s">
        <v>6</v>
      </c>
      <c r="E25" s="2" t="s">
        <v>227</v>
      </c>
      <c r="F25" s="2"/>
    </row>
    <row r="26" spans="1:6" x14ac:dyDescent="0.25">
      <c r="B26" t="s">
        <v>42</v>
      </c>
      <c r="D26" s="15">
        <f>12*Summary!D2</f>
        <v>3600</v>
      </c>
      <c r="E26" s="15">
        <f>8*Summary!D2</f>
        <v>2400</v>
      </c>
      <c r="F26" t="s">
        <v>228</v>
      </c>
    </row>
    <row r="27" spans="1:6" x14ac:dyDescent="0.25">
      <c r="B27" t="s">
        <v>217</v>
      </c>
      <c r="D27" s="15">
        <f>IF(Summary!D2&gt;199,1000,IF(Summary!D2&gt;99,500,250))</f>
        <v>1000</v>
      </c>
      <c r="E27" s="15">
        <f>D27</f>
        <v>1000</v>
      </c>
      <c r="F27" t="s">
        <v>229</v>
      </c>
    </row>
    <row r="28" spans="1:6" ht="13.5" thickBot="1" x14ac:dyDescent="0.35">
      <c r="B28" t="s">
        <v>218</v>
      </c>
      <c r="D28" s="50">
        <f>SUM(D26:D27)</f>
        <v>4600</v>
      </c>
      <c r="E28" s="45">
        <f>SUM(E26:E27)</f>
        <v>3400</v>
      </c>
    </row>
    <row r="29" spans="1:6" ht="13" thickTop="1" x14ac:dyDescent="0.25">
      <c r="D29" s="15"/>
    </row>
    <row r="30" spans="1:6" x14ac:dyDescent="0.25">
      <c r="D30" s="15"/>
    </row>
    <row r="31" spans="1:6" ht="13" thickBot="1" x14ac:dyDescent="0.3">
      <c r="B31" t="s">
        <v>102</v>
      </c>
      <c r="D31" s="45">
        <f>SUM(D19:D23)</f>
        <v>28435.663999999997</v>
      </c>
    </row>
    <row r="32" spans="1:6" ht="13" thickTop="1" x14ac:dyDescent="0.25"/>
    <row r="33" spans="1:5" ht="13" x14ac:dyDescent="0.3">
      <c r="A33" s="5" t="s">
        <v>146</v>
      </c>
    </row>
    <row r="34" spans="1:5" x14ac:dyDescent="0.25">
      <c r="B34" t="s">
        <v>149</v>
      </c>
      <c r="D34" s="15">
        <v>3600</v>
      </c>
      <c r="E34" t="s">
        <v>150</v>
      </c>
    </row>
    <row r="35" spans="1:5" x14ac:dyDescent="0.25">
      <c r="B35" t="s">
        <v>169</v>
      </c>
      <c r="D35" s="15">
        <f>Summary!K11*Summary!K13*2</f>
        <v>20000</v>
      </c>
      <c r="E35" t="s">
        <v>151</v>
      </c>
    </row>
    <row r="36" spans="1:5" x14ac:dyDescent="0.25">
      <c r="B36" t="s">
        <v>152</v>
      </c>
      <c r="C36" s="2">
        <v>0.5</v>
      </c>
      <c r="D36" s="15">
        <f>C36*Revenue!C28*Revenue!C31</f>
        <v>8119.4399999999987</v>
      </c>
      <c r="E36" t="s">
        <v>230</v>
      </c>
    </row>
    <row r="37" spans="1:5" ht="13" thickBot="1" x14ac:dyDescent="0.3">
      <c r="B37" t="s">
        <v>161</v>
      </c>
      <c r="D37" s="32">
        <f>SUM(D34:D36)</f>
        <v>31719.439999999999</v>
      </c>
    </row>
    <row r="38" spans="1:5" ht="13" thickTop="1" x14ac:dyDescent="0.25"/>
    <row r="40" spans="1:5" ht="13" x14ac:dyDescent="0.3">
      <c r="A40" s="5" t="s">
        <v>147</v>
      </c>
    </row>
    <row r="41" spans="1:5" x14ac:dyDescent="0.25">
      <c r="B41" t="s">
        <v>148</v>
      </c>
    </row>
    <row r="42" spans="1:5" x14ac:dyDescent="0.25">
      <c r="B42" t="s">
        <v>170</v>
      </c>
    </row>
    <row r="43" spans="1:5" x14ac:dyDescent="0.25">
      <c r="B43" t="s">
        <v>171</v>
      </c>
    </row>
  </sheetData>
  <phoneticPr fontId="0" type="noConversion"/>
  <pageMargins left="0.75" right="0.75" top="1" bottom="1" header="0.5" footer="0.5"/>
  <pageSetup scale="95" orientation="landscape" horizontalDpi="4294967292" r:id="rId1"/>
  <headerFooter alignWithMargins="0">
    <oddHeader>&amp;L&amp;D&amp;C&amp;F&amp;R&amp;A</oddHeader>
    <oddFooter>&amp;LCisco Systems Proprietary and Confidential&amp;RPage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Summary</vt:lpstr>
      <vt:lpstr>Revenue</vt:lpstr>
      <vt:lpstr>Ethernet</vt:lpstr>
      <vt:lpstr>Equipment - LRE</vt:lpstr>
      <vt:lpstr>Equipment - Cable</vt:lpstr>
      <vt:lpstr>Install Labor Costs</vt:lpstr>
      <vt:lpstr>SG&amp;A and Service &amp; Support</vt:lpstr>
    </vt:vector>
  </TitlesOfParts>
  <Company>CAISsoft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Wimsatt</dc:creator>
  <cp:lastModifiedBy>Carina Negreanu</cp:lastModifiedBy>
  <cp:lastPrinted>2001-08-13T22:47:56Z</cp:lastPrinted>
  <dcterms:created xsi:type="dcterms:W3CDTF">2000-08-18T04:30:23Z</dcterms:created>
  <dcterms:modified xsi:type="dcterms:W3CDTF">2020-01-27T11:18:30Z</dcterms:modified>
</cp:coreProperties>
</file>