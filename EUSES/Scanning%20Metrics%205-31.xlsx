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81BB19-71F5-451F-A13F-2B8155C825AC}" xr6:coauthVersionLast="45" xr6:coauthVersionMax="45" xr10:uidLastSave="{00000000-0000-0000-0000-000000000000}"/>
  <bookViews>
    <workbookView xWindow="3800" yWindow="3800" windowWidth="28800" windowHeight="15460" tabRatio="779" firstSheet="5" activeTab="12"/>
  </bookViews>
  <sheets>
    <sheet name="Category Totals By Quarter" sheetId="22" r:id="rId1"/>
    <sheet name="Chart-Category Totals" sheetId="23" r:id="rId2"/>
    <sheet name="Total" sheetId="8" r:id="rId3"/>
    <sheet name="TOTAL CHART" sheetId="13" r:id="rId4"/>
    <sheet name="Pie Chart Totals" sheetId="20" r:id="rId5"/>
    <sheet name="Fac Eval" sheetId="24" r:id="rId6"/>
    <sheet name="Grades" sheetId="4" r:id="rId7"/>
    <sheet name="Test" sheetId="2" r:id="rId8"/>
    <sheet name="Misc" sheetId="7" r:id="rId9"/>
    <sheet name="Fin. Aid" sheetId="9" r:id="rId10"/>
    <sheet name="ASI Elections" sheetId="6" r:id="rId11"/>
    <sheet name="ASQ" sheetId="3" r:id="rId12"/>
    <sheet name="Fac. Eval. Hours" sheetId="1" r:id="rId1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6" l="1"/>
  <c r="E5" i="3"/>
  <c r="I5" i="22"/>
  <c r="I6" i="22"/>
  <c r="I25" i="22" s="1"/>
  <c r="I7" i="22"/>
  <c r="I8" i="22"/>
  <c r="I9" i="22"/>
  <c r="I10" i="22"/>
  <c r="I11" i="22"/>
  <c r="D11" i="8" s="1"/>
  <c r="I12" i="22"/>
  <c r="I13" i="22"/>
  <c r="D13" i="8" s="1"/>
  <c r="I14" i="22"/>
  <c r="I15" i="22"/>
  <c r="I16" i="22"/>
  <c r="D16" i="8" s="1"/>
  <c r="I17" i="22"/>
  <c r="D17" i="8" s="1"/>
  <c r="I18" i="22"/>
  <c r="D18" i="8" s="1"/>
  <c r="I19" i="22"/>
  <c r="D19" i="8" s="1"/>
  <c r="I20" i="22"/>
  <c r="D20" i="8" s="1"/>
  <c r="I21" i="22"/>
  <c r="D21" i="8" s="1"/>
  <c r="I22" i="22"/>
  <c r="D22" i="8" s="1"/>
  <c r="I23" i="22"/>
  <c r="I24" i="22"/>
  <c r="C25" i="22"/>
  <c r="D25" i="22"/>
  <c r="E25" i="22"/>
  <c r="F25" i="22"/>
  <c r="G25" i="22"/>
  <c r="H25" i="22"/>
  <c r="F7" i="24"/>
  <c r="F10" i="24"/>
  <c r="F13" i="24"/>
  <c r="E6" i="1"/>
  <c r="E7" i="1"/>
  <c r="E8" i="1"/>
  <c r="E9" i="1"/>
  <c r="D30" i="8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9"/>
  <c r="E5" i="4"/>
  <c r="E5" i="7"/>
  <c r="E5" i="2"/>
  <c r="D5" i="8"/>
  <c r="D6" i="8"/>
  <c r="D7" i="8"/>
  <c r="D8" i="8"/>
  <c r="D9" i="8"/>
  <c r="D10" i="8"/>
  <c r="D12" i="8"/>
  <c r="D14" i="8"/>
  <c r="D15" i="8"/>
  <c r="D23" i="8"/>
  <c r="D24" i="8"/>
  <c r="D31" i="8"/>
  <c r="D32" i="8"/>
  <c r="D33" i="8"/>
  <c r="D34" i="8"/>
  <c r="D35" i="8"/>
  <c r="D36" i="8"/>
  <c r="F5" i="8" l="1"/>
</calcChain>
</file>

<file path=xl/sharedStrings.xml><?xml version="1.0" encoding="utf-8"?>
<sst xmlns="http://schemas.openxmlformats.org/spreadsheetml/2006/main" count="221" uniqueCount="91">
  <si>
    <t>Faculty Evaluations - Scanning</t>
  </si>
  <si>
    <t>TERM</t>
  </si>
  <si>
    <t>College of Ag</t>
  </si>
  <si>
    <t>Other Colleges</t>
  </si>
  <si>
    <t>001</t>
  </si>
  <si>
    <t>002</t>
  </si>
  <si>
    <t>003</t>
  </si>
  <si>
    <t>004</t>
  </si>
  <si>
    <t>ASI Elections - Scanning</t>
  </si>
  <si>
    <t>Year</t>
  </si>
  <si>
    <t># Scanned</t>
  </si>
  <si>
    <t>TOTAL</t>
  </si>
  <si>
    <t>ASQ - Scanning</t>
  </si>
  <si>
    <t>Financial Aid - Scanning</t>
  </si>
  <si>
    <t>Grades - Scanning</t>
  </si>
  <si>
    <t>Misc - Scanning</t>
  </si>
  <si>
    <t>011</t>
  </si>
  <si>
    <t>Test - Scanning</t>
  </si>
  <si>
    <t>Totals by Quarter - Scanning</t>
  </si>
  <si>
    <t>012</t>
  </si>
  <si>
    <t>013</t>
  </si>
  <si>
    <t>014</t>
  </si>
  <si>
    <t>021</t>
  </si>
  <si>
    <t>022</t>
  </si>
  <si>
    <t>023</t>
  </si>
  <si>
    <t>024</t>
  </si>
  <si>
    <t>Winter 1998</t>
  </si>
  <si>
    <t>Spring 1998</t>
  </si>
  <si>
    <t>Summer 1998</t>
  </si>
  <si>
    <t>Fall 1998</t>
  </si>
  <si>
    <t>Winter 1999</t>
  </si>
  <si>
    <t>Summer 1999</t>
  </si>
  <si>
    <t>Fall 1999</t>
  </si>
  <si>
    <t>Winter 2000</t>
  </si>
  <si>
    <t>Spring 2000</t>
  </si>
  <si>
    <t>Summer 2000</t>
  </si>
  <si>
    <t>Fall 2000</t>
  </si>
  <si>
    <t>Winter 2001</t>
  </si>
  <si>
    <t>Spring 2001</t>
  </si>
  <si>
    <t>Summer 2001</t>
  </si>
  <si>
    <t>Spring 1999</t>
  </si>
  <si>
    <t>Fall 2001</t>
  </si>
  <si>
    <t>QUARTER</t>
  </si>
  <si>
    <t>Faculty Evaluation Totals</t>
  </si>
  <si>
    <t>Miscellaneous Totals</t>
  </si>
  <si>
    <t>Financial Aid</t>
  </si>
  <si>
    <t>ASI Elections</t>
  </si>
  <si>
    <t xml:space="preserve">ASQ's           </t>
  </si>
  <si>
    <t xml:space="preserve">Grades          </t>
  </si>
  <si>
    <t>Spring 2002</t>
  </si>
  <si>
    <t>Winter 2002</t>
  </si>
  <si>
    <t>Summer 2002</t>
  </si>
  <si>
    <t>Fall 2002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</si>
  <si>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</si>
  <si>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</si>
  <si>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</si>
  <si>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</si>
  <si>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</si>
  <si>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</si>
  <si>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</si>
  <si>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</si>
  <si>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</si>
  <si>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College Total</t>
  </si>
  <si>
    <t>HOURS</t>
  </si>
  <si>
    <t xml:space="preserve">Exams          </t>
  </si>
  <si>
    <t>Hours</t>
  </si>
  <si>
    <t>27</t>
  </si>
  <si>
    <t>25</t>
  </si>
  <si>
    <t>3</t>
  </si>
  <si>
    <t>29</t>
  </si>
  <si>
    <t>32</t>
  </si>
  <si>
    <t>Estimated Cost*</t>
  </si>
  <si>
    <t>56</t>
  </si>
  <si>
    <t>57</t>
  </si>
  <si>
    <t>42</t>
  </si>
  <si>
    <t>5</t>
  </si>
  <si>
    <t>53</t>
  </si>
  <si>
    <t>30</t>
  </si>
  <si>
    <t>TOTALS BY QUARTER</t>
  </si>
  <si>
    <t>FE College of Ag</t>
  </si>
  <si>
    <t>Other Faculty Evaluations</t>
  </si>
  <si>
    <t>Grades</t>
  </si>
  <si>
    <t>Testing</t>
  </si>
  <si>
    <t>Misc.</t>
  </si>
  <si>
    <t>OUARTER TOTAL</t>
  </si>
  <si>
    <t>N/A</t>
  </si>
  <si>
    <t>1008</t>
  </si>
  <si>
    <t>TOTAL:</t>
  </si>
  <si>
    <t>TOTALS</t>
  </si>
  <si>
    <t>University Total</t>
  </si>
  <si>
    <t>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</si>
</sst>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$&quot;#,##0.00"/>
  </numFmts>
  <fonts count="12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NumberFormat="1"/>
    <xf numFmtId="0" fontId="0" fillId="0" borderId="5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9" xfId="0" applyBorder="1"/>
    <xf numFmtId="49" fontId="0" fillId="0" borderId="6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0" fontId="0" fillId="0" borderId="8" xfId="0" applyBorder="1"/>
    <xf numFmtId="0" fontId="0" fillId="0" borderId="5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176" fontId="0" fillId="0" borderId="5" xfId="0" applyNumberFormat="1" applyBorder="1"/>
    <xf numFmtId="176" fontId="0" fillId="0" borderId="3" xfId="0" applyNumberFormat="1" applyBorder="1" applyAlignment="1">
      <alignment horizontal="right"/>
    </xf>
    <xf numFmtId="49" fontId="7" fillId="0" borderId="1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0" borderId="5" xfId="0" applyNumberFormat="1" applyBorder="1"/>
    <xf numFmtId="0" fontId="0" fillId="0" borderId="10" xfId="0" applyNumberFormat="1" applyBorder="1" applyAlignment="1">
      <alignment horizontal="center"/>
    </xf>
    <xf numFmtId="0" fontId="7" fillId="0" borderId="0" xfId="0" applyFont="1"/>
    <xf numFmtId="49" fontId="2" fillId="0" borderId="6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/>
    <xf numFmtId="49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chartsheet" Target="chart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6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Category Totals</a:t>
            </a:r>
          </a:p>
        </c:rich>
      </c:tx>
      <c:layout>
        <c:manualLayout>
          <c:xMode val="edge"/>
          <c:yMode val="edge"/>
          <c:x val="0.4372413793103448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8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5.7931034482758624E-2"/>
          <c:y val="9.7285067873303169E-2"/>
          <c:w val="0.60206896551724143"/>
          <c:h val="0.8393665158371040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'Category Totals By Quarter'!$C$4:$C$8</c:f>
              <c:strCache>
                <c:ptCount val="5"/>
                <c:pt idx="0">
                  <c:v>FE College of Ag</c:v>
                </c:pt>
                <c:pt idx="1">
                  <c:v>684</c:v>
                </c:pt>
                <c:pt idx="2">
                  <c:v>635</c:v>
                </c:pt>
                <c:pt idx="3">
                  <c:v>40</c:v>
                </c:pt>
                <c:pt idx="4">
                  <c:v>881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Quarter'!$C$9:$C$22</c:f>
              <c:numCache>
                <c:formatCode>General</c:formatCode>
                <c:ptCount val="14"/>
                <c:pt idx="0">
                  <c:v>744</c:v>
                </c:pt>
                <c:pt idx="1">
                  <c:v>5873</c:v>
                </c:pt>
                <c:pt idx="2">
                  <c:v>65</c:v>
                </c:pt>
                <c:pt idx="3">
                  <c:v>5408</c:v>
                </c:pt>
                <c:pt idx="4">
                  <c:v>345</c:v>
                </c:pt>
                <c:pt idx="5">
                  <c:v>564</c:v>
                </c:pt>
                <c:pt idx="6">
                  <c:v>23</c:v>
                </c:pt>
                <c:pt idx="7">
                  <c:v>1496</c:v>
                </c:pt>
                <c:pt idx="8">
                  <c:v>5408</c:v>
                </c:pt>
                <c:pt idx="9">
                  <c:v>1933</c:v>
                </c:pt>
                <c:pt idx="10">
                  <c:v>19</c:v>
                </c:pt>
                <c:pt idx="11">
                  <c:v>1914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5-49A0-A17D-923BF93EEBDF}"/>
            </c:ext>
          </c:extLst>
        </c:ser>
        <c:ser>
          <c:idx val="1"/>
          <c:order val="1"/>
          <c:tx>
            <c:strRef>
              <c:f>'Category Totals By Quarter'!$D$4:$D$8</c:f>
              <c:strCache>
                <c:ptCount val="5"/>
                <c:pt idx="0">
                  <c:v>Other Faculty Evaluations</c:v>
                </c:pt>
                <c:pt idx="1">
                  <c:v>25918</c:v>
                </c:pt>
                <c:pt idx="2">
                  <c:v>23902</c:v>
                </c:pt>
                <c:pt idx="3">
                  <c:v>2489</c:v>
                </c:pt>
                <c:pt idx="4">
                  <c:v>28137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Quarter'!$D$9:$D$22</c:f>
              <c:numCache>
                <c:formatCode>General</c:formatCode>
                <c:ptCount val="14"/>
                <c:pt idx="0">
                  <c:v>28860</c:v>
                </c:pt>
                <c:pt idx="1">
                  <c:v>26326</c:v>
                </c:pt>
                <c:pt idx="2">
                  <c:v>3000</c:v>
                </c:pt>
                <c:pt idx="3">
                  <c:v>35495</c:v>
                </c:pt>
                <c:pt idx="4">
                  <c:v>32763</c:v>
                </c:pt>
                <c:pt idx="5">
                  <c:v>26179</c:v>
                </c:pt>
                <c:pt idx="6">
                  <c:v>3465</c:v>
                </c:pt>
                <c:pt idx="7">
                  <c:v>34618</c:v>
                </c:pt>
                <c:pt idx="8">
                  <c:v>32092</c:v>
                </c:pt>
                <c:pt idx="9">
                  <c:v>26040</c:v>
                </c:pt>
                <c:pt idx="10">
                  <c:v>3082</c:v>
                </c:pt>
                <c:pt idx="11">
                  <c:v>33004</c:v>
                </c:pt>
                <c:pt idx="12">
                  <c:v>33664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5-49A0-A17D-923BF93EEBDF}"/>
            </c:ext>
          </c:extLst>
        </c:ser>
        <c:ser>
          <c:idx val="2"/>
          <c:order val="2"/>
          <c:tx>
            <c:strRef>
              <c:f>'Category Totals By Quarter'!$E$4:$E$8</c:f>
              <c:strCache>
                <c:ptCount val="5"/>
                <c:pt idx="0">
                  <c:v>Grades</c:v>
                </c:pt>
                <c:pt idx="1">
                  <c:v>3482</c:v>
                </c:pt>
                <c:pt idx="2">
                  <c:v>3318</c:v>
                </c:pt>
                <c:pt idx="3">
                  <c:v>603</c:v>
                </c:pt>
                <c:pt idx="4">
                  <c:v>3557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Quarter'!$E$9:$E$22</c:f>
              <c:numCache>
                <c:formatCode>General</c:formatCode>
                <c:ptCount val="14"/>
                <c:pt idx="0">
                  <c:v>3611</c:v>
                </c:pt>
                <c:pt idx="1">
                  <c:v>3570</c:v>
                </c:pt>
                <c:pt idx="2">
                  <c:v>644</c:v>
                </c:pt>
                <c:pt idx="3">
                  <c:v>3612</c:v>
                </c:pt>
                <c:pt idx="4">
                  <c:v>3542</c:v>
                </c:pt>
                <c:pt idx="5">
                  <c:v>3596</c:v>
                </c:pt>
                <c:pt idx="6">
                  <c:v>607</c:v>
                </c:pt>
                <c:pt idx="7">
                  <c:v>3638</c:v>
                </c:pt>
                <c:pt idx="8">
                  <c:v>2028</c:v>
                </c:pt>
                <c:pt idx="9">
                  <c:v>3263</c:v>
                </c:pt>
                <c:pt idx="10">
                  <c:v>597</c:v>
                </c:pt>
                <c:pt idx="11">
                  <c:v>3863</c:v>
                </c:pt>
                <c:pt idx="12">
                  <c:v>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5-49A0-A17D-923BF93EEBDF}"/>
            </c:ext>
          </c:extLst>
        </c:ser>
        <c:ser>
          <c:idx val="3"/>
          <c:order val="3"/>
          <c:tx>
            <c:strRef>
              <c:f>'Category Totals By Quarter'!$F$4:$F$8</c:f>
              <c:strCache>
                <c:ptCount val="5"/>
                <c:pt idx="0">
                  <c:v>Testing</c:v>
                </c:pt>
                <c:pt idx="1">
                  <c:v>2082</c:v>
                </c:pt>
                <c:pt idx="2">
                  <c:v>4794</c:v>
                </c:pt>
                <c:pt idx="3">
                  <c:v>368</c:v>
                </c:pt>
                <c:pt idx="4">
                  <c:v>5730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Quarter'!$F$9:$F$22</c:f>
              <c:numCache>
                <c:formatCode>General</c:formatCode>
                <c:ptCount val="14"/>
                <c:pt idx="0">
                  <c:v>3586</c:v>
                </c:pt>
                <c:pt idx="1">
                  <c:v>3362</c:v>
                </c:pt>
                <c:pt idx="2">
                  <c:v>400</c:v>
                </c:pt>
                <c:pt idx="3">
                  <c:v>5556</c:v>
                </c:pt>
                <c:pt idx="4">
                  <c:v>6346</c:v>
                </c:pt>
                <c:pt idx="5">
                  <c:v>3855</c:v>
                </c:pt>
                <c:pt idx="6">
                  <c:v>524</c:v>
                </c:pt>
                <c:pt idx="7">
                  <c:v>4312</c:v>
                </c:pt>
                <c:pt idx="8">
                  <c:v>2555</c:v>
                </c:pt>
                <c:pt idx="9">
                  <c:v>3508</c:v>
                </c:pt>
                <c:pt idx="10">
                  <c:v>403</c:v>
                </c:pt>
                <c:pt idx="11">
                  <c:v>3954</c:v>
                </c:pt>
                <c:pt idx="12">
                  <c:v>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B5-49A0-A17D-923BF93EEBDF}"/>
            </c:ext>
          </c:extLst>
        </c:ser>
        <c:ser>
          <c:idx val="4"/>
          <c:order val="4"/>
          <c:tx>
            <c:strRef>
              <c:f>'Category Totals By Quarter'!$G$4:$G$8</c:f>
              <c:strCache>
                <c:ptCount val="5"/>
                <c:pt idx="0">
                  <c:v>ASI Elections</c:v>
                </c:pt>
                <c:pt idx="2">
                  <c:v>4691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Quarter'!$G$9:$G$22</c:f>
              <c:numCache>
                <c:formatCode>General</c:formatCode>
                <c:ptCount val="14"/>
                <c:pt idx="1">
                  <c:v>4147</c:v>
                </c:pt>
                <c:pt idx="5">
                  <c:v>4277</c:v>
                </c:pt>
                <c:pt idx="9">
                  <c:v>6817</c:v>
                </c:pt>
                <c:pt idx="13">
                  <c:v>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B5-49A0-A17D-923BF93EEBDF}"/>
            </c:ext>
          </c:extLst>
        </c:ser>
        <c:ser>
          <c:idx val="5"/>
          <c:order val="5"/>
          <c:tx>
            <c:strRef>
              <c:f>'Category Totals By Quarter'!$H$4:$H$8</c:f>
              <c:strCache>
                <c:ptCount val="5"/>
                <c:pt idx="0">
                  <c:v>Misc.</c:v>
                </c:pt>
                <c:pt idx="1">
                  <c:v>N/A</c:v>
                </c:pt>
                <c:pt idx="2">
                  <c:v>N/A</c:v>
                </c:pt>
                <c:pt idx="3">
                  <c:v>N/A</c:v>
                </c:pt>
                <c:pt idx="4">
                  <c:v>N/A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'Category Totals By Quarter'!$B$9:$B$22</c:f>
              <c:strCache>
                <c:ptCount val="14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  <c:pt idx="12">
                  <c:v>021</c:v>
                </c:pt>
                <c:pt idx="13">
                  <c:v>022</c:v>
                </c:pt>
              </c:strCache>
            </c:strRef>
          </c:cat>
          <c:val>
            <c:numRef>
              <c:f>'Category Totals By Quarter'!$H$9:$H$22</c:f>
              <c:numCache>
                <c:formatCode>General</c:formatCode>
                <c:ptCount val="14"/>
                <c:pt idx="0">
                  <c:v>2127</c:v>
                </c:pt>
                <c:pt idx="1">
                  <c:v>1589</c:v>
                </c:pt>
                <c:pt idx="2">
                  <c:v>1379</c:v>
                </c:pt>
                <c:pt idx="3">
                  <c:v>1194</c:v>
                </c:pt>
                <c:pt idx="4">
                  <c:v>3898</c:v>
                </c:pt>
                <c:pt idx="5">
                  <c:v>1701</c:v>
                </c:pt>
                <c:pt idx="6">
                  <c:v>305</c:v>
                </c:pt>
                <c:pt idx="7">
                  <c:v>861</c:v>
                </c:pt>
                <c:pt idx="8">
                  <c:v>1007</c:v>
                </c:pt>
                <c:pt idx="9">
                  <c:v>1090</c:v>
                </c:pt>
                <c:pt idx="10">
                  <c:v>208</c:v>
                </c:pt>
                <c:pt idx="11">
                  <c:v>794</c:v>
                </c:pt>
                <c:pt idx="12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B5-49A0-A17D-923BF93E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306143"/>
        <c:axId val="1"/>
        <c:axId val="0"/>
      </c:bar3DChart>
      <c:catAx>
        <c:axId val="100830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6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103448275862065"/>
          <c:y val="0.44683257918552038"/>
          <c:w val="0.32620689655172413"/>
          <c:h val="0.191176470588235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BY QUARTER</a:t>
            </a:r>
          </a:p>
        </c:rich>
      </c:tx>
      <c:layout>
        <c:manualLayout>
          <c:xMode val="edge"/>
          <c:yMode val="edge"/>
          <c:x val="0.4074074074074073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61"/>
      <c:rotY val="315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8888888888888889E-3"/>
          <c:y val="0.10021786492374728"/>
          <c:w val="0.81037037037037041"/>
          <c:h val="0.76579520697167758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Total!$B$5:$B$22</c:f>
              <c:strCache>
                <c:ptCount val="18"/>
                <c:pt idx="0">
                  <c:v>Winter 1998</c:v>
                </c:pt>
                <c:pt idx="1">
                  <c:v>Spring 1998</c:v>
                </c:pt>
                <c:pt idx="2">
                  <c:v>Summer 1998</c:v>
                </c:pt>
                <c:pt idx="3">
                  <c:v>Fall 1998</c:v>
                </c:pt>
                <c:pt idx="4">
                  <c:v>Winter 1999</c:v>
                </c:pt>
                <c:pt idx="5">
                  <c:v>Spring 1999</c:v>
                </c:pt>
                <c:pt idx="6">
                  <c:v>Summer 1999</c:v>
                </c:pt>
                <c:pt idx="7">
                  <c:v>Fall 1999</c:v>
                </c:pt>
                <c:pt idx="8">
                  <c:v>Winter 2000</c:v>
                </c:pt>
                <c:pt idx="9">
                  <c:v>Spring 2000</c:v>
                </c:pt>
                <c:pt idx="10">
                  <c:v>Summer 2000</c:v>
                </c:pt>
                <c:pt idx="11">
                  <c:v>Fall 2000</c:v>
                </c:pt>
                <c:pt idx="12">
                  <c:v>Winter 2001</c:v>
                </c:pt>
                <c:pt idx="13">
                  <c:v>Spring 2001</c:v>
                </c:pt>
                <c:pt idx="14">
                  <c:v>Summer 2001</c:v>
                </c:pt>
                <c:pt idx="15">
                  <c:v>Fall 2001</c:v>
                </c:pt>
                <c:pt idx="16">
                  <c:v>Winter 2002</c:v>
                </c:pt>
                <c:pt idx="17">
                  <c:v>Spring 2002</c:v>
                </c:pt>
              </c:strCache>
            </c:strRef>
          </c:cat>
          <c:val>
            <c:numRef>
              <c:f>Total!$D$5:$D$22</c:f>
              <c:numCache>
                <c:formatCode>General</c:formatCode>
                <c:ptCount val="18"/>
                <c:pt idx="0">
                  <c:v>32166</c:v>
                </c:pt>
                <c:pt idx="1">
                  <c:v>37340</c:v>
                </c:pt>
                <c:pt idx="2">
                  <c:v>3500</c:v>
                </c:pt>
                <c:pt idx="3">
                  <c:v>38305</c:v>
                </c:pt>
                <c:pt idx="4">
                  <c:v>38928</c:v>
                </c:pt>
                <c:pt idx="5">
                  <c:v>44867</c:v>
                </c:pt>
                <c:pt idx="6">
                  <c:v>5488</c:v>
                </c:pt>
                <c:pt idx="7">
                  <c:v>51265</c:v>
                </c:pt>
                <c:pt idx="8">
                  <c:v>46894</c:v>
                </c:pt>
                <c:pt idx="9">
                  <c:v>40172</c:v>
                </c:pt>
                <c:pt idx="10">
                  <c:v>4924</c:v>
                </c:pt>
                <c:pt idx="11">
                  <c:v>44925</c:v>
                </c:pt>
                <c:pt idx="12">
                  <c:v>43090</c:v>
                </c:pt>
                <c:pt idx="13">
                  <c:v>42651</c:v>
                </c:pt>
                <c:pt idx="14">
                  <c:v>4309</c:v>
                </c:pt>
                <c:pt idx="15">
                  <c:v>43529</c:v>
                </c:pt>
                <c:pt idx="16">
                  <c:v>40226</c:v>
                </c:pt>
                <c:pt idx="17">
                  <c:v>5878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BB4E-4E76-A4D0-02D559BDA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8228879"/>
        <c:axId val="1"/>
        <c:axId val="0"/>
      </c:bar3DChart>
      <c:catAx>
        <c:axId val="101822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Year/Quarter</a:t>
                </a:r>
              </a:p>
            </c:rich>
          </c:tx>
          <c:layout>
            <c:manualLayout>
              <c:xMode val="edge"/>
              <c:yMode val="edge"/>
              <c:x val="0.38148148148148148"/>
              <c:y val="0.93246187363834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Forms Scanned</a:t>
                </a:r>
              </a:p>
            </c:rich>
          </c:tx>
          <c:layout>
            <c:manualLayout>
              <c:xMode val="edge"/>
              <c:yMode val="edge"/>
              <c:x val="0.87481481481481482"/>
              <c:y val="0.495642701525054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28879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Scanning Services</a:t>
            </a:r>
          </a:p>
        </c:rich>
      </c:tx>
      <c:layout>
        <c:manualLayout>
          <c:xMode val="edge"/>
          <c:yMode val="edge"/>
          <c:x val="0.4255172413793103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3379310344827586"/>
          <c:y val="0.40045248868778283"/>
          <c:w val="0.53241379310344827"/>
          <c:h val="0.3461538461538461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855-4109-8D5D-0EE237911E1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55-4109-8D5D-0EE237911E1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855-4109-8D5D-0EE237911E19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55-4109-8D5D-0EE237911E19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855-4109-8D5D-0EE237911E19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55-4109-8D5D-0EE237911E19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855-4109-8D5D-0EE237911E1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Total!$B$30:$B$36</c:f>
              <c:strCache>
                <c:ptCount val="7"/>
                <c:pt idx="0">
                  <c:v>Faculty Evaluation Totals</c:v>
                </c:pt>
                <c:pt idx="1">
                  <c:v>Miscellaneous Totals</c:v>
                </c:pt>
                <c:pt idx="2">
                  <c:v>Financial Aid</c:v>
                </c:pt>
                <c:pt idx="3">
                  <c:v>ASI Elections</c:v>
                </c:pt>
                <c:pt idx="4">
                  <c:v>Grades          </c:v>
                </c:pt>
                <c:pt idx="5">
                  <c:v>Exams          </c:v>
                </c:pt>
                <c:pt idx="6">
                  <c:v>ASQ's           </c:v>
                </c:pt>
              </c:strCache>
            </c:strRef>
          </c:cat>
          <c:val>
            <c:numRef>
              <c:f>Total!$D$30:$D$36</c:f>
              <c:numCache>
                <c:formatCode>General</c:formatCode>
                <c:ptCount val="7"/>
                <c:pt idx="0">
                  <c:v>426074</c:v>
                </c:pt>
                <c:pt idx="1">
                  <c:v>17251</c:v>
                </c:pt>
                <c:pt idx="2">
                  <c:v>21895</c:v>
                </c:pt>
                <c:pt idx="3">
                  <c:v>22810</c:v>
                </c:pt>
                <c:pt idx="4">
                  <c:v>46839</c:v>
                </c:pt>
                <c:pt idx="5">
                  <c:v>53838</c:v>
                </c:pt>
                <c:pt idx="6">
                  <c:v>18099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55-4109-8D5D-0EE237911E1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7.6923076923076927E-2"/>
          <c:w val="0.25103448275862067"/>
          <c:h val="0.3065610859728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Facult Evaluations</a:t>
            </a:r>
          </a:p>
        </c:rich>
      </c:tx>
      <c:layout>
        <c:manualLayout>
          <c:xMode val="edge"/>
          <c:yMode val="edge"/>
          <c:x val="0.35835570078304002"/>
          <c:y val="3.941015856731661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0996474572764767"/>
          <c:y val="0.22414527685161326"/>
          <c:w val="0.64167663389309693"/>
          <c:h val="0.6354888068979804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'Fac Eval'!$C$4</c:f>
              <c:strCache>
                <c:ptCount val="1"/>
                <c:pt idx="0">
                  <c:v>College of Ag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'Fac Eval'!$B$5:$B$21</c:f>
              <c:strCache>
                <c:ptCount val="17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  <c:pt idx="13">
                  <c:v>012</c:v>
                </c:pt>
                <c:pt idx="14">
                  <c:v>013</c:v>
                </c:pt>
                <c:pt idx="15">
                  <c:v>014</c:v>
                </c:pt>
                <c:pt idx="16">
                  <c:v>021</c:v>
                </c:pt>
              </c:strCache>
            </c:strRef>
          </c:cat>
          <c:val>
            <c:numRef>
              <c:f>'Fac Eval'!$C$5:$C$21</c:f>
              <c:numCache>
                <c:formatCode>General</c:formatCode>
                <c:ptCount val="17"/>
                <c:pt idx="0">
                  <c:v>684</c:v>
                </c:pt>
                <c:pt idx="1">
                  <c:v>635</c:v>
                </c:pt>
                <c:pt idx="2">
                  <c:v>40</c:v>
                </c:pt>
                <c:pt idx="3">
                  <c:v>881</c:v>
                </c:pt>
                <c:pt idx="4">
                  <c:v>744</c:v>
                </c:pt>
                <c:pt idx="5">
                  <c:v>5873</c:v>
                </c:pt>
                <c:pt idx="6">
                  <c:v>65</c:v>
                </c:pt>
                <c:pt idx="7">
                  <c:v>5408</c:v>
                </c:pt>
                <c:pt idx="8">
                  <c:v>345</c:v>
                </c:pt>
                <c:pt idx="9">
                  <c:v>564</c:v>
                </c:pt>
                <c:pt idx="10">
                  <c:v>23</c:v>
                </c:pt>
                <c:pt idx="11">
                  <c:v>1496</c:v>
                </c:pt>
                <c:pt idx="12">
                  <c:v>5408</c:v>
                </c:pt>
                <c:pt idx="13">
                  <c:v>1933</c:v>
                </c:pt>
                <c:pt idx="14">
                  <c:v>19</c:v>
                </c:pt>
                <c:pt idx="15">
                  <c:v>1914</c:v>
                </c:pt>
                <c:pt idx="16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7-400F-BA6A-A5353AD105F7}"/>
            </c:ext>
          </c:extLst>
        </c:ser>
        <c:ser>
          <c:idx val="1"/>
          <c:order val="1"/>
          <c:tx>
            <c:strRef>
              <c:f>'Fac Eval'!$D$4</c:f>
              <c:strCache>
                <c:ptCount val="1"/>
                <c:pt idx="0">
                  <c:v>Other Colleges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'Fac Eval'!$B$5:$B$21</c:f>
              <c:strCache>
                <c:ptCount val="17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  <c:pt idx="13">
                  <c:v>012</c:v>
                </c:pt>
                <c:pt idx="14">
                  <c:v>013</c:v>
                </c:pt>
                <c:pt idx="15">
                  <c:v>014</c:v>
                </c:pt>
                <c:pt idx="16">
                  <c:v>021</c:v>
                </c:pt>
              </c:strCache>
            </c:strRef>
          </c:cat>
          <c:val>
            <c:numRef>
              <c:f>'Fac Eval'!$D$5:$D$21</c:f>
              <c:numCache>
                <c:formatCode>General</c:formatCode>
                <c:ptCount val="17"/>
                <c:pt idx="0">
                  <c:v>25918</c:v>
                </c:pt>
                <c:pt idx="1">
                  <c:v>23902</c:v>
                </c:pt>
                <c:pt idx="2">
                  <c:v>2489</c:v>
                </c:pt>
                <c:pt idx="3">
                  <c:v>28137</c:v>
                </c:pt>
                <c:pt idx="4">
                  <c:v>28860</c:v>
                </c:pt>
                <c:pt idx="5">
                  <c:v>26326</c:v>
                </c:pt>
                <c:pt idx="6">
                  <c:v>3000</c:v>
                </c:pt>
                <c:pt idx="7">
                  <c:v>35495</c:v>
                </c:pt>
                <c:pt idx="8">
                  <c:v>32763</c:v>
                </c:pt>
                <c:pt idx="9">
                  <c:v>26179</c:v>
                </c:pt>
                <c:pt idx="10">
                  <c:v>3465</c:v>
                </c:pt>
                <c:pt idx="11">
                  <c:v>34618</c:v>
                </c:pt>
                <c:pt idx="12">
                  <c:v>32092</c:v>
                </c:pt>
                <c:pt idx="13">
                  <c:v>26040</c:v>
                </c:pt>
                <c:pt idx="14">
                  <c:v>3082</c:v>
                </c:pt>
                <c:pt idx="15">
                  <c:v>33004</c:v>
                </c:pt>
                <c:pt idx="16">
                  <c:v>33664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7-400F-BA6A-A5353AD10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303343"/>
        <c:axId val="1"/>
        <c:axId val="0"/>
      </c:bar3DChart>
      <c:catAx>
        <c:axId val="100830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33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234062587536068"/>
          <c:y val="0.50247952173328692"/>
          <c:w val="0.21346097700072783"/>
          <c:h val="0.145324959716980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Century Schoolbook"/>
                <a:ea typeface="Century Schoolbook"/>
                <a:cs typeface="Century Schoolbook"/>
              </a:defRPr>
            </a:pPr>
            <a:r>
              <a:rPr lang="en-GB"/>
              <a:t>Grades Scanning</a:t>
            </a:r>
          </a:p>
        </c:rich>
      </c:tx>
      <c:layout>
        <c:manualLayout>
          <c:xMode val="edge"/>
          <c:yMode val="edge"/>
          <c:x val="0.34869495686498519"/>
          <c:y val="3.361448327938992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4781465487888882"/>
          <c:y val="0.17311458888885811"/>
          <c:w val="0.73028566437761044"/>
          <c:h val="0.63027156148856112"/>
        </c:manualLayout>
      </c:layout>
      <c:bar3DChart>
        <c:barDir val="col"/>
        <c:grouping val="clustered"/>
        <c:varyColors val="0"/>
        <c:ser>
          <c:idx val="0"/>
          <c:order val="0"/>
          <c:tx>
            <c:v>Number Scanned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Grades!$B$5:$B$21</c:f>
              <c:strCache>
                <c:ptCount val="17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  <c:pt idx="13">
                  <c:v>012</c:v>
                </c:pt>
                <c:pt idx="14">
                  <c:v>013</c:v>
                </c:pt>
                <c:pt idx="15">
                  <c:v>014</c:v>
                </c:pt>
                <c:pt idx="16">
                  <c:v>021</c:v>
                </c:pt>
              </c:strCache>
            </c:strRef>
          </c:cat>
          <c:val>
            <c:numRef>
              <c:f>Grades!$C$5:$C$21</c:f>
              <c:numCache>
                <c:formatCode>General</c:formatCode>
                <c:ptCount val="17"/>
                <c:pt idx="0">
                  <c:v>3482</c:v>
                </c:pt>
                <c:pt idx="1">
                  <c:v>3318</c:v>
                </c:pt>
                <c:pt idx="2">
                  <c:v>603</c:v>
                </c:pt>
                <c:pt idx="3">
                  <c:v>3557</c:v>
                </c:pt>
                <c:pt idx="4">
                  <c:v>3611</c:v>
                </c:pt>
                <c:pt idx="5">
                  <c:v>3570</c:v>
                </c:pt>
                <c:pt idx="6">
                  <c:v>644</c:v>
                </c:pt>
                <c:pt idx="7">
                  <c:v>3612</c:v>
                </c:pt>
                <c:pt idx="8">
                  <c:v>3542</c:v>
                </c:pt>
                <c:pt idx="9">
                  <c:v>3596</c:v>
                </c:pt>
                <c:pt idx="10">
                  <c:v>607</c:v>
                </c:pt>
                <c:pt idx="11">
                  <c:v>3638</c:v>
                </c:pt>
                <c:pt idx="12">
                  <c:v>2028</c:v>
                </c:pt>
                <c:pt idx="13">
                  <c:v>3263</c:v>
                </c:pt>
                <c:pt idx="14">
                  <c:v>597</c:v>
                </c:pt>
                <c:pt idx="15">
                  <c:v>3863</c:v>
                </c:pt>
                <c:pt idx="16">
                  <c:v>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5-4436-9B1E-36DAB49D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312143"/>
        <c:axId val="1"/>
        <c:axId val="0"/>
      </c:bar3DChart>
      <c:catAx>
        <c:axId val="1008312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0.56909648620417386"/>
              <c:y val="0.879018737756046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ookman Old Style"/>
                    <a:ea typeface="Bookman Old Style"/>
                    <a:cs typeface="Bookman Old Style"/>
                  </a:defRPr>
                </a:pPr>
                <a:r>
                  <a:rPr lang="en-GB"/>
                  <a:t># Scanned</a:t>
                </a:r>
              </a:p>
            </c:rich>
          </c:tx>
          <c:layout>
            <c:manualLayout>
              <c:xMode val="edge"/>
              <c:yMode val="edge"/>
              <c:x val="2.5220075496524084E-2"/>
              <c:y val="0.46219914509161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21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Century Schoolbook"/>
                <a:ea typeface="Century Schoolbook"/>
                <a:cs typeface="Century Schoolbook"/>
              </a:defRPr>
            </a:pPr>
            <a:r>
              <a:rPr lang="en-GB"/>
              <a:t>Test Scanning</a:t>
            </a:r>
          </a:p>
        </c:rich>
      </c:tx>
      <c:layout>
        <c:manualLayout>
          <c:xMode val="edge"/>
          <c:yMode val="edge"/>
          <c:x val="0.38233247084459498"/>
          <c:y val="3.356993992704456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2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216137110451513"/>
          <c:y val="0.18375125012698076"/>
          <c:w val="0.76576994883035931"/>
          <c:h val="0.5689221398162288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Test!$C$4</c:f>
              <c:strCache>
                <c:ptCount val="1"/>
                <c:pt idx="0">
                  <c:v># Scanned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Test!$B$5:$B$21</c:f>
              <c:strCache>
                <c:ptCount val="17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  <c:pt idx="13">
                  <c:v>012</c:v>
                </c:pt>
                <c:pt idx="14">
                  <c:v>013</c:v>
                </c:pt>
                <c:pt idx="15">
                  <c:v>014</c:v>
                </c:pt>
                <c:pt idx="16">
                  <c:v>021</c:v>
                </c:pt>
              </c:strCache>
            </c:strRef>
          </c:cat>
          <c:val>
            <c:numRef>
              <c:f>Test!$C$5:$C$21</c:f>
              <c:numCache>
                <c:formatCode>General</c:formatCode>
                <c:ptCount val="17"/>
                <c:pt idx="0">
                  <c:v>2082</c:v>
                </c:pt>
                <c:pt idx="1">
                  <c:v>4794</c:v>
                </c:pt>
                <c:pt idx="2">
                  <c:v>368</c:v>
                </c:pt>
                <c:pt idx="3">
                  <c:v>5730</c:v>
                </c:pt>
                <c:pt idx="4">
                  <c:v>3586</c:v>
                </c:pt>
                <c:pt idx="5">
                  <c:v>3362</c:v>
                </c:pt>
                <c:pt idx="6">
                  <c:v>400</c:v>
                </c:pt>
                <c:pt idx="7">
                  <c:v>5556</c:v>
                </c:pt>
                <c:pt idx="8">
                  <c:v>6346</c:v>
                </c:pt>
                <c:pt idx="9">
                  <c:v>3855</c:v>
                </c:pt>
                <c:pt idx="10">
                  <c:v>524</c:v>
                </c:pt>
                <c:pt idx="11">
                  <c:v>4312</c:v>
                </c:pt>
                <c:pt idx="12">
                  <c:v>2555</c:v>
                </c:pt>
                <c:pt idx="13">
                  <c:v>3508</c:v>
                </c:pt>
                <c:pt idx="14">
                  <c:v>403</c:v>
                </c:pt>
                <c:pt idx="15">
                  <c:v>3954</c:v>
                </c:pt>
                <c:pt idx="16">
                  <c:v>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0-4CBC-B8ED-AB61DC524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8234479"/>
        <c:axId val="1"/>
        <c:axId val="0"/>
      </c:bar3DChart>
      <c:catAx>
        <c:axId val="1018234479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0.56576365627870706"/>
              <c:y val="0.833947981345528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Number Scanned</a:t>
                </a:r>
              </a:p>
            </c:rich>
          </c:tx>
          <c:layout>
            <c:manualLayout>
              <c:xMode val="edge"/>
              <c:yMode val="edge"/>
              <c:x val="7.0720457034838383E-2"/>
              <c:y val="0.409906634898649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344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Century Schoolbook"/>
                <a:ea typeface="Century Schoolbook"/>
                <a:cs typeface="Century Schoolbook"/>
              </a:defRPr>
            </a:pPr>
            <a:r>
              <a:rPr lang="en-GB"/>
              <a:t>Miscellaneous</a:t>
            </a:r>
          </a:p>
        </c:rich>
      </c:tx>
      <c:layout>
        <c:manualLayout>
          <c:xMode val="edge"/>
          <c:yMode val="edge"/>
          <c:x val="0.38170850642076443"/>
          <c:y val="3.389941325710379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429249483270985"/>
          <c:y val="0.17288700761122935"/>
          <c:w val="0.76341701284152885"/>
          <c:h val="0.5898497906736059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Misc!$B$5:$B$16</c:f>
              <c:strCache>
                <c:ptCount val="12"/>
                <c:pt idx="0">
                  <c:v>991</c:v>
                </c:pt>
                <c:pt idx="1">
                  <c:v>992</c:v>
                </c:pt>
                <c:pt idx="2">
                  <c:v>993</c:v>
                </c:pt>
                <c:pt idx="3">
                  <c:v>994</c:v>
                </c:pt>
                <c:pt idx="4">
                  <c:v>001</c:v>
                </c:pt>
                <c:pt idx="5">
                  <c:v>002</c:v>
                </c:pt>
                <c:pt idx="6">
                  <c:v>003</c:v>
                </c:pt>
                <c:pt idx="7">
                  <c:v>004</c:v>
                </c:pt>
                <c:pt idx="8">
                  <c:v>011</c:v>
                </c:pt>
                <c:pt idx="9">
                  <c:v>012</c:v>
                </c:pt>
                <c:pt idx="10">
                  <c:v>013</c:v>
                </c:pt>
                <c:pt idx="11">
                  <c:v>014</c:v>
                </c:pt>
              </c:strCache>
            </c:strRef>
          </c:cat>
          <c:val>
            <c:numRef>
              <c:f>Misc!$C$5:$C$16</c:f>
              <c:numCache>
                <c:formatCode>General</c:formatCode>
                <c:ptCount val="12"/>
                <c:pt idx="0">
                  <c:v>2127</c:v>
                </c:pt>
                <c:pt idx="1">
                  <c:v>1589</c:v>
                </c:pt>
                <c:pt idx="2">
                  <c:v>1379</c:v>
                </c:pt>
                <c:pt idx="3">
                  <c:v>1194</c:v>
                </c:pt>
                <c:pt idx="4">
                  <c:v>3898</c:v>
                </c:pt>
                <c:pt idx="5">
                  <c:v>1701</c:v>
                </c:pt>
                <c:pt idx="6">
                  <c:v>305</c:v>
                </c:pt>
                <c:pt idx="7">
                  <c:v>861</c:v>
                </c:pt>
                <c:pt idx="8">
                  <c:v>1007</c:v>
                </c:pt>
                <c:pt idx="9">
                  <c:v>1090</c:v>
                </c:pt>
                <c:pt idx="10">
                  <c:v>208</c:v>
                </c:pt>
                <c:pt idx="11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3-4A02-A0A1-EE7AAC5DF8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8230479"/>
        <c:axId val="1"/>
        <c:axId val="0"/>
      </c:bar3DChart>
      <c:catAx>
        <c:axId val="1018230479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0.56251779893586329"/>
              <c:y val="0.840705448776174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Number Scanned</a:t>
                </a:r>
              </a:p>
            </c:rich>
          </c:tx>
          <c:layout>
            <c:manualLayout>
              <c:xMode val="edge"/>
              <c:yMode val="edge"/>
              <c:x val="6.4734191147381104E-2"/>
              <c:y val="0.41526781239952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304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Century Schoolbook"/>
                <a:ea typeface="Century Schoolbook"/>
                <a:cs typeface="Century Schoolbook"/>
              </a:defRPr>
            </a:pPr>
            <a:r>
              <a:rPr lang="en-GB"/>
              <a:t>Financial Aid Scanning</a:t>
            </a:r>
          </a:p>
        </c:rich>
      </c:tx>
      <c:layout>
        <c:manualLayout>
          <c:xMode val="edge"/>
          <c:yMode val="edge"/>
          <c:x val="0.29459168741077807"/>
          <c:y val="3.49919561305615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671112637114706"/>
          <c:y val="0.16390968924315685"/>
          <c:w val="0.66593523207800398"/>
          <c:h val="0.677738939791929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'Fin. Aid'!$B$5</c:f>
              <c:strCache>
                <c:ptCount val="1"/>
                <c:pt idx="0">
                  <c:v>981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Aid'!$C$5</c:f>
              <c:numCache>
                <c:formatCode>General</c:formatCode>
                <c:ptCount val="1"/>
                <c:pt idx="0">
                  <c:v>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0-4913-BC08-6C285F18C958}"/>
            </c:ext>
          </c:extLst>
        </c:ser>
        <c:ser>
          <c:idx val="1"/>
          <c:order val="1"/>
          <c:tx>
            <c:strRef>
              <c:f>'Fin. Aid'!$B$6</c:f>
              <c:strCache>
                <c:ptCount val="1"/>
                <c:pt idx="0">
                  <c:v>982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Aid'!$C$6</c:f>
              <c:numCache>
                <c:formatCode>General</c:formatCode>
                <c:ptCount val="1"/>
                <c:pt idx="0">
                  <c:v>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0-4913-BC08-6C285F18C958}"/>
            </c:ext>
          </c:extLst>
        </c:ser>
        <c:ser>
          <c:idx val="2"/>
          <c:order val="2"/>
          <c:tx>
            <c:strRef>
              <c:f>'Fin. Aid'!$B$7</c:f>
              <c:strCache>
                <c:ptCount val="1"/>
                <c:pt idx="0">
                  <c:v>983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Aid'!$C$7</c:f>
              <c:numCache>
                <c:formatCode>General</c:formatCode>
                <c:ptCount val="1"/>
                <c:pt idx="0">
                  <c:v>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0-4913-BC08-6C285F18C958}"/>
            </c:ext>
          </c:extLst>
        </c:ser>
        <c:ser>
          <c:idx val="3"/>
          <c:order val="3"/>
          <c:tx>
            <c:strRef>
              <c:f>'Fin. Aid'!$B$8</c:f>
              <c:strCache>
                <c:ptCount val="1"/>
                <c:pt idx="0">
                  <c:v>984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Aid'!$C$8</c:f>
              <c:numCache>
                <c:formatCode>General</c:formatCode>
                <c:ptCount val="1"/>
                <c:pt idx="0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60-4913-BC08-6C285F18C958}"/>
            </c:ext>
          </c:extLst>
        </c:ser>
        <c:ser>
          <c:idx val="4"/>
          <c:order val="4"/>
          <c:tx>
            <c:strRef>
              <c:f>'Fin. Aid'!$B$9</c:f>
              <c:strCache>
                <c:ptCount val="1"/>
                <c:pt idx="0">
                  <c:v>991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Aid'!$C$9</c:f>
              <c:numCache>
                <c:formatCode>General</c:formatCode>
                <c:ptCount val="1"/>
                <c:pt idx="0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0-4913-BC08-6C285F18C958}"/>
            </c:ext>
          </c:extLst>
        </c:ser>
        <c:ser>
          <c:idx val="5"/>
          <c:order val="5"/>
          <c:tx>
            <c:strRef>
              <c:f>'Fin. Aid'!$B$10</c:f>
              <c:strCache>
                <c:ptCount val="1"/>
                <c:pt idx="0">
                  <c:v>992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Aid'!$C$10</c:f>
              <c:numCache>
                <c:formatCode>General</c:formatCode>
                <c:ptCount val="1"/>
                <c:pt idx="0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60-4913-BC08-6C285F18C958}"/>
            </c:ext>
          </c:extLst>
        </c:ser>
        <c:ser>
          <c:idx val="6"/>
          <c:order val="6"/>
          <c:tx>
            <c:strRef>
              <c:f>'Fin. Aid'!$B$11</c:f>
              <c:strCache>
                <c:ptCount val="1"/>
                <c:pt idx="0">
                  <c:v>993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Aid'!$C$11</c:f>
              <c:numCache>
                <c:formatCode>General</c:formatCode>
                <c:ptCount val="1"/>
                <c:pt idx="0">
                  <c:v>1803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0-4913-BC08-6C285F18C958}"/>
            </c:ext>
          </c:extLst>
        </c:ser>
        <c:ser>
          <c:idx val="7"/>
          <c:order val="7"/>
          <c:tx>
            <c:strRef>
              <c:f>'Fin. Aid'!$B$12</c:f>
              <c:strCache>
                <c:ptCount val="1"/>
                <c:pt idx="0">
                  <c:v>994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Aid'!$C$12</c:f>
              <c:numCache>
                <c:formatCode>General</c:formatCode>
                <c:ptCount val="1"/>
                <c:pt idx="0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60-4913-BC08-6C285F18C958}"/>
            </c:ext>
          </c:extLst>
        </c:ser>
        <c:ser>
          <c:idx val="8"/>
          <c:order val="8"/>
          <c:tx>
            <c:strRef>
              <c:f>'Fin. Aid'!$B$13</c:f>
              <c:strCache>
                <c:ptCount val="1"/>
                <c:pt idx="0">
                  <c:v>001</c:v>
                </c:pt>
              </c:strCache>
            </c:strRef>
          </c:tx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Bernard MT Condensed"/>
                    <a:ea typeface="Bernard MT Condensed"/>
                    <a:cs typeface="Bernard MT Condensed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'Fin. Aid'!$F$12</c:f>
              <c:numCache>
                <c:formatCode>General</c:formatCode>
                <c:ptCount val="1"/>
              </c:numCache>
            </c:numRef>
          </c:cat>
          <c:val>
            <c:numRef>
              <c:f>'Fin. Aid'!$C$13</c:f>
              <c:numCache>
                <c:formatCode>General</c:formatCode>
                <c:ptCount val="1"/>
                <c:pt idx="0">
                  <c:v>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60-4913-BC08-6C285F18C9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8308543"/>
        <c:axId val="1"/>
        <c:axId val="0"/>
      </c:bar3DChart>
      <c:catAx>
        <c:axId val="100830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0.48647133055189784"/>
              <c:y val="0.84901535664152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Number Scanned</a:t>
                </a:r>
              </a:p>
            </c:rich>
          </c:tx>
          <c:layout>
            <c:manualLayout>
              <c:xMode val="edge"/>
              <c:yMode val="edge"/>
              <c:x val="2.4831483230027269E-2"/>
              <c:y val="0.464103839205343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8543"/>
        <c:crosses val="autoZero"/>
        <c:crossBetween val="between"/>
      </c:valAx>
      <c:spPr>
        <a:noFill/>
        <a:ln w="25400">
          <a:noFill/>
        </a:ln>
      </c:spPr>
    </c:plotArea>
    <c:legend>
      <c:legendPos val="tr"/>
      <c:layout>
        <c:manualLayout>
          <c:xMode val="edge"/>
          <c:yMode val="edge"/>
          <c:x val="0.90070561898008006"/>
          <c:y val="0.26520219383162458"/>
          <c:w val="8.6910191305095433E-2"/>
          <c:h val="0.598546618022763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ASI Elections Scanning by Year</a:t>
            </a:r>
          </a:p>
        </c:rich>
      </c:tx>
      <c:layout>
        <c:manualLayout>
          <c:xMode val="edge"/>
          <c:yMode val="edge"/>
          <c:x val="0.24796089859669046"/>
          <c:y val="3.339298486220657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257813634405649"/>
          <c:y val="0.39544324178928841"/>
          <c:w val="0.56492978312359199"/>
          <c:h val="0.3374448996601927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206D-4B21-9448-DFB7D3CD691C}"/>
              </c:ext>
            </c:extLst>
          </c:dPt>
          <c:dPt>
            <c:idx val="1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6D-4B21-9448-DFB7D3CD691C}"/>
              </c:ext>
            </c:extLst>
          </c:dPt>
          <c:dPt>
            <c:idx val="2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06D-4B21-9448-DFB7D3CD691C}"/>
              </c:ext>
            </c:extLst>
          </c:dPt>
          <c:dPt>
            <c:idx val="3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6D-4B21-9448-DFB7D3CD691C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06D-4B21-9448-DFB7D3CD691C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'ASI Elections'!$B$5:$B$9</c:f>
              <c:strCache>
                <c:ptCount val="5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</c:strCache>
            </c:strRef>
          </c:cat>
          <c:val>
            <c:numRef>
              <c:f>'ASI Elections'!$C$5:$C$9</c:f>
              <c:numCache>
                <c:formatCode>General</c:formatCode>
                <c:ptCount val="5"/>
                <c:pt idx="0">
                  <c:v>4691</c:v>
                </c:pt>
                <c:pt idx="1">
                  <c:v>1147</c:v>
                </c:pt>
                <c:pt idx="2">
                  <c:v>4277</c:v>
                </c:pt>
                <c:pt idx="3">
                  <c:v>6817</c:v>
                </c:pt>
                <c:pt idx="4">
                  <c:v>5878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6D-4B21-9448-DFB7D3CD691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423792141083957"/>
          <c:y val="0.41829107353711398"/>
          <c:w val="0.10292716545523001"/>
          <c:h val="0.291749236164541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Baskerville Old Face"/>
                <a:ea typeface="Baskerville Old Face"/>
                <a:cs typeface="Baskerville Old Face"/>
              </a:defRPr>
            </a:pPr>
            <a:r>
              <a:rPr lang="en-GB"/>
              <a:t>ASQ</a:t>
            </a:r>
          </a:p>
        </c:rich>
      </c:tx>
      <c:layout>
        <c:manualLayout>
          <c:xMode val="edge"/>
          <c:yMode val="edge"/>
          <c:x val="0.46337437017216865"/>
          <c:y val="3.321788733122538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8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529178691158208"/>
          <c:y val="0.16084450707751238"/>
          <c:w val="0.81175072146949256"/>
          <c:h val="0.6468746480291258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ASQ!$C$4</c:f>
              <c:strCache>
                <c:ptCount val="1"/>
                <c:pt idx="0">
                  <c:v># Scanned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ASQ!$B$5:$B$17</c:f>
              <c:strCache>
                <c:ptCount val="13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</c:strCache>
            </c:strRef>
          </c:cat>
          <c:val>
            <c:numRef>
              <c:f>ASQ!$C$5:$C$17</c:f>
              <c:numCache>
                <c:formatCode>General</c:formatCode>
                <c:ptCount val="13"/>
                <c:pt idx="0">
                  <c:v>3286</c:v>
                </c:pt>
                <c:pt idx="1">
                  <c:v>587</c:v>
                </c:pt>
                <c:pt idx="2">
                  <c:v>43</c:v>
                </c:pt>
                <c:pt idx="3">
                  <c:v>323</c:v>
                </c:pt>
                <c:pt idx="4">
                  <c:v>6202</c:v>
                </c:pt>
                <c:pt idx="5">
                  <c:v>269</c:v>
                </c:pt>
                <c:pt idx="6">
                  <c:v>15</c:v>
                </c:pt>
                <c:pt idx="7">
                  <c:v>311</c:v>
                </c:pt>
                <c:pt idx="8">
                  <c:v>5975</c:v>
                </c:pt>
                <c:pt idx="9">
                  <c:v>50</c:v>
                </c:pt>
                <c:pt idx="10">
                  <c:v>85</c:v>
                </c:pt>
                <c:pt idx="11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5-4AA8-BB64-9947BD0334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08302543"/>
        <c:axId val="1"/>
        <c:axId val="0"/>
      </c:bar3DChart>
      <c:catAx>
        <c:axId val="1008302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5.6371577879825871E-2"/>
              <c:y val="0.43532915502500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Number Scanned</a:t>
                </a:r>
              </a:p>
            </c:rich>
          </c:tx>
          <c:layout>
            <c:manualLayout>
              <c:xMode val="edge"/>
              <c:yMode val="edge"/>
              <c:x val="0.4340611496746592"/>
              <c:y val="0.898631267802623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025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Century Schoolbook"/>
                <a:ea typeface="Century Schoolbook"/>
                <a:cs typeface="Century Schoolbook"/>
              </a:defRPr>
            </a:pPr>
            <a:r>
              <a:rPr lang="en-GB"/>
              <a:t>Faculty Evaluations</a:t>
            </a:r>
          </a:p>
        </c:rich>
      </c:tx>
      <c:layout>
        <c:manualLayout>
          <c:xMode val="edge"/>
          <c:yMode val="edge"/>
          <c:x val="0.30850813999881338"/>
          <c:y val="3.992870507095706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0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33528431818738963"/>
          <c:y val="0.20327340763396323"/>
          <c:w val="0.65427009312955886"/>
          <c:h val="0.544482341876687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'Fac. Eval. Hours'!$E$5</c:f>
              <c:strCache>
                <c:ptCount val="1"/>
                <c:pt idx="0">
                  <c:v>College Total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'Fac. Eval. Hours'!$B$6:$B$21</c:f>
              <c:strCache>
                <c:ptCount val="16"/>
                <c:pt idx="0">
                  <c:v>981</c:v>
                </c:pt>
                <c:pt idx="1">
                  <c:v>982</c:v>
                </c:pt>
                <c:pt idx="2">
                  <c:v>983</c:v>
                </c:pt>
                <c:pt idx="3">
                  <c:v>984</c:v>
                </c:pt>
                <c:pt idx="4">
                  <c:v>991</c:v>
                </c:pt>
                <c:pt idx="5">
                  <c:v>992</c:v>
                </c:pt>
                <c:pt idx="6">
                  <c:v>993</c:v>
                </c:pt>
                <c:pt idx="7">
                  <c:v>994</c:v>
                </c:pt>
                <c:pt idx="8">
                  <c:v>001</c:v>
                </c:pt>
                <c:pt idx="9">
                  <c:v>002</c:v>
                </c:pt>
                <c:pt idx="10">
                  <c:v>003</c:v>
                </c:pt>
                <c:pt idx="11">
                  <c:v>004</c:v>
                </c:pt>
                <c:pt idx="12">
                  <c:v>011</c:v>
                </c:pt>
                <c:pt idx="13">
                  <c:v>012</c:v>
                </c:pt>
                <c:pt idx="14">
                  <c:v>013</c:v>
                </c:pt>
                <c:pt idx="15">
                  <c:v>014</c:v>
                </c:pt>
              </c:strCache>
            </c:strRef>
          </c:cat>
          <c:val>
            <c:numRef>
              <c:f>'Fac. Eval. Hours'!$E$6:$E$21</c:f>
              <c:numCache>
                <c:formatCode>General</c:formatCode>
                <c:ptCount val="16"/>
                <c:pt idx="0">
                  <c:v>26602</c:v>
                </c:pt>
                <c:pt idx="1">
                  <c:v>24537</c:v>
                </c:pt>
                <c:pt idx="2">
                  <c:v>2529</c:v>
                </c:pt>
                <c:pt idx="3">
                  <c:v>29018</c:v>
                </c:pt>
                <c:pt idx="4">
                  <c:v>29604</c:v>
                </c:pt>
                <c:pt idx="5">
                  <c:v>32199</c:v>
                </c:pt>
                <c:pt idx="6">
                  <c:v>3065</c:v>
                </c:pt>
                <c:pt idx="7">
                  <c:v>40903</c:v>
                </c:pt>
                <c:pt idx="8">
                  <c:v>33108</c:v>
                </c:pt>
                <c:pt idx="9">
                  <c:v>26743</c:v>
                </c:pt>
                <c:pt idx="10">
                  <c:v>3488</c:v>
                </c:pt>
                <c:pt idx="11">
                  <c:v>36114</c:v>
                </c:pt>
                <c:pt idx="12">
                  <c:v>37500</c:v>
                </c:pt>
                <c:pt idx="13">
                  <c:v>27973</c:v>
                </c:pt>
                <c:pt idx="14">
                  <c:v>3101</c:v>
                </c:pt>
                <c:pt idx="15">
                  <c:v>34918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B-4D06-B0BC-0EA93C683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311743"/>
        <c:axId val="1"/>
        <c:axId val="0"/>
      </c:bar3DChart>
      <c:catAx>
        <c:axId val="10083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Term</a:t>
                </a:r>
              </a:p>
            </c:rich>
          </c:tx>
          <c:layout>
            <c:manualLayout>
              <c:xMode val="edge"/>
              <c:yMode val="edge"/>
              <c:x val="0.61701627999762676"/>
              <c:y val="0.818538453954619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Baskerville Old Face"/>
                    <a:ea typeface="Baskerville Old Face"/>
                    <a:cs typeface="Baskerville Old Face"/>
                  </a:defRPr>
                </a:pPr>
                <a:r>
                  <a:rPr lang="en-GB"/>
                  <a:t>Forms Scanned</a:t>
                </a:r>
              </a:p>
            </c:rich>
          </c:tx>
          <c:layout>
            <c:manualLayout>
              <c:xMode val="edge"/>
              <c:yMode val="edge"/>
              <c:x val="4.7731448075288105E-2"/>
              <c:y val="0.444660579199294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3117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1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3"/>
  <sheetViews>
    <sheetView zoomScale="91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6383B-0150-4EA8-8ACF-7C65D3E622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982E0-D3D2-4F7F-B117-122183F4C5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F7552-935F-4741-8B0B-4230BE5B6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82550</xdr:rowOff>
    </xdr:from>
    <xdr:to>
      <xdr:col>5</xdr:col>
      <xdr:colOff>1035050</xdr:colOff>
      <xdr:row>41</xdr:row>
      <xdr:rowOff>120650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722E6B06-0EBF-467B-97ED-13E60840F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133350</xdr:rowOff>
    </xdr:from>
    <xdr:to>
      <xdr:col>7</xdr:col>
      <xdr:colOff>95250</xdr:colOff>
      <xdr:row>49</xdr:row>
      <xdr:rowOff>101600</xdr:rowOff>
    </xdr:to>
    <xdr:graphicFrame macro="">
      <xdr:nvGraphicFramePr>
        <xdr:cNvPr id="9217" name="Chart 1">
          <a:extLst>
            <a:ext uri="{FF2B5EF4-FFF2-40B4-BE49-F238E27FC236}">
              <a16:creationId xmlns:a16="http://schemas.microsoft.com/office/drawing/2014/main" id="{0AD32F25-75C9-47FC-A57D-D3B29DD75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133350</xdr:rowOff>
    </xdr:from>
    <xdr:to>
      <xdr:col>6</xdr:col>
      <xdr:colOff>546100</xdr:colOff>
      <xdr:row>49</xdr:row>
      <xdr:rowOff>76200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ACEB9152-5B4B-4576-AE62-24D035E78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25400</xdr:rowOff>
    </xdr:from>
    <xdr:to>
      <xdr:col>6</xdr:col>
      <xdr:colOff>565150</xdr:colOff>
      <xdr:row>49</xdr:row>
      <xdr:rowOff>120650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7054540A-5A29-4E49-876F-26655CB08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19050</xdr:rowOff>
    </xdr:from>
    <xdr:to>
      <xdr:col>6</xdr:col>
      <xdr:colOff>527050</xdr:colOff>
      <xdr:row>49</xdr:row>
      <xdr:rowOff>133350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C823B93E-A8B4-4823-8228-8FFFB01E6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152400</xdr:rowOff>
    </xdr:from>
    <xdr:to>
      <xdr:col>6</xdr:col>
      <xdr:colOff>317500</xdr:colOff>
      <xdr:row>47</xdr:row>
      <xdr:rowOff>114300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AD8AFE05-4FBD-4123-88D7-032D59569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114300</xdr:rowOff>
    </xdr:from>
    <xdr:to>
      <xdr:col>6</xdr:col>
      <xdr:colOff>508000</xdr:colOff>
      <xdr:row>49</xdr:row>
      <xdr:rowOff>95250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E108C365-A54B-45D9-9AAD-608379760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28</xdr:row>
      <xdr:rowOff>63500</xdr:rowOff>
    </xdr:from>
    <xdr:to>
      <xdr:col>2</xdr:col>
      <xdr:colOff>787400</xdr:colOff>
      <xdr:row>32</xdr:row>
      <xdr:rowOff>95250</xdr:rowOff>
    </xdr:to>
    <xdr:sp macro="" textlink="">
      <xdr:nvSpPr>
        <xdr:cNvPr id="3082" name="Text Box 10">
          <a:extLst>
            <a:ext uri="{FF2B5EF4-FFF2-40B4-BE49-F238E27FC236}">
              <a16:creationId xmlns:a16="http://schemas.microsoft.com/office/drawing/2014/main" id="{166FB582-08DE-42F1-A85C-7E83DDFCA63C}"/>
            </a:ext>
          </a:extLst>
        </xdr:cNvPr>
        <xdr:cNvSpPr txBox="1">
          <a:spLocks noChangeArrowheads="1"/>
        </xdr:cNvSpPr>
      </xdr:nvSpPr>
      <xdr:spPr bwMode="auto">
        <a:xfrm>
          <a:off x="457200" y="4711700"/>
          <a:ext cx="217805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Century Schoolbook"/>
            </a:rPr>
            <a:t>*Note:</a:t>
          </a:r>
          <a:r>
            <a:rPr lang="en-GB" sz="1000" b="0" i="0" u="none" strike="noStrike" baseline="0">
              <a:solidFill>
                <a:srgbClr val="000000"/>
              </a:solidFill>
              <a:latin typeface="Century Schoolbook"/>
            </a:rPr>
            <a:t> Total Cost is approximate hours times $20.00 with an additional $500.00 per quarter for scanning maintenance</a:t>
          </a:r>
        </a:p>
      </xdr:txBody>
    </xdr:sp>
    <xdr:clientData/>
  </xdr:twoCellAnchor>
  <xdr:twoCellAnchor>
    <xdr:from>
      <xdr:col>6</xdr:col>
      <xdr:colOff>31750</xdr:colOff>
      <xdr:row>7</xdr:row>
      <xdr:rowOff>6350</xdr:rowOff>
    </xdr:from>
    <xdr:to>
      <xdr:col>15</xdr:col>
      <xdr:colOff>0</xdr:colOff>
      <xdr:row>28</xdr:row>
      <xdr:rowOff>152400</xdr:rowOff>
    </xdr:to>
    <xdr:graphicFrame macro="">
      <xdr:nvGraphicFramePr>
        <xdr:cNvPr id="3083" name="Chart 11">
          <a:extLst>
            <a:ext uri="{FF2B5EF4-FFF2-40B4-BE49-F238E27FC236}">
              <a16:creationId xmlns:a16="http://schemas.microsoft.com/office/drawing/2014/main" id="{B1CA7DED-2665-4B18-A9A2-6835F3442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topLeftCell="B1" workbookViewId="0">
      <selection activeCell="B4" sqref="B4:H22"/>
    </sheetView>
  </sheetViews>
  <sheetFormatPr defaultRowHeight="12.5" x14ac:dyDescent="0.25"/>
  <cols>
    <col min="2" max="2" width="12.7265625" customWidth="1"/>
    <col min="3" max="3" width="16.26953125" bestFit="1" customWidth="1"/>
    <col min="4" max="4" width="24.54296875" bestFit="1" customWidth="1"/>
    <col min="5" max="5" width="15.54296875" customWidth="1"/>
    <col min="6" max="7" width="15.7265625" customWidth="1"/>
    <col min="8" max="8" width="13.1796875" customWidth="1"/>
    <col min="9" max="9" width="15.81640625" customWidth="1"/>
  </cols>
  <sheetData>
    <row r="2" spans="2:9" ht="15.5" x14ac:dyDescent="0.35">
      <c r="B2" s="40" t="s">
        <v>78</v>
      </c>
      <c r="C2" s="40"/>
    </row>
    <row r="3" spans="2:9" ht="13" thickBot="1" x14ac:dyDescent="0.3"/>
    <row r="4" spans="2:9" ht="13.5" thickBot="1" x14ac:dyDescent="0.35">
      <c r="B4" s="41" t="s">
        <v>1</v>
      </c>
      <c r="C4" s="42" t="s">
        <v>79</v>
      </c>
      <c r="D4" s="43" t="s">
        <v>80</v>
      </c>
      <c r="E4" s="43" t="s">
        <v>81</v>
      </c>
      <c r="F4" s="43" t="s">
        <v>82</v>
      </c>
      <c r="G4" s="49" t="s">
        <v>46</v>
      </c>
      <c r="H4" s="44" t="s">
        <v>83</v>
      </c>
      <c r="I4" s="45" t="s">
        <v>84</v>
      </c>
    </row>
    <row r="5" spans="2:9" x14ac:dyDescent="0.25">
      <c r="B5" s="6">
        <v>981</v>
      </c>
      <c r="C5" s="35">
        <v>684</v>
      </c>
      <c r="D5" s="35">
        <v>25918</v>
      </c>
      <c r="E5" s="35">
        <v>3482</v>
      </c>
      <c r="F5" s="35">
        <v>2082</v>
      </c>
      <c r="G5" s="35"/>
      <c r="H5" s="35" t="s">
        <v>85</v>
      </c>
      <c r="I5" s="16">
        <f t="shared" ref="I5:I24" si="0">SUM(C5:H5)</f>
        <v>32166</v>
      </c>
    </row>
    <row r="6" spans="2:9" x14ac:dyDescent="0.25">
      <c r="B6" s="9">
        <v>982</v>
      </c>
      <c r="C6" s="16">
        <v>635</v>
      </c>
      <c r="D6" s="16">
        <v>23902</v>
      </c>
      <c r="E6" s="16">
        <v>3318</v>
      </c>
      <c r="F6" s="16">
        <v>4794</v>
      </c>
      <c r="G6" s="16">
        <v>4691</v>
      </c>
      <c r="H6" s="16" t="s">
        <v>85</v>
      </c>
      <c r="I6" s="16">
        <f t="shared" si="0"/>
        <v>37340</v>
      </c>
    </row>
    <row r="7" spans="2:9" x14ac:dyDescent="0.25">
      <c r="B7" s="9">
        <v>983</v>
      </c>
      <c r="C7" s="16">
        <v>40</v>
      </c>
      <c r="D7" s="16">
        <v>2489</v>
      </c>
      <c r="E7" s="16">
        <v>603</v>
      </c>
      <c r="F7" s="16">
        <v>368</v>
      </c>
      <c r="G7" s="16"/>
      <c r="H7" s="16" t="s">
        <v>85</v>
      </c>
      <c r="I7" s="16">
        <f t="shared" si="0"/>
        <v>3500</v>
      </c>
    </row>
    <row r="8" spans="2:9" x14ac:dyDescent="0.25">
      <c r="B8" s="9">
        <v>984</v>
      </c>
      <c r="C8" s="16">
        <v>881</v>
      </c>
      <c r="D8" s="16">
        <v>28137</v>
      </c>
      <c r="E8" s="16">
        <v>3557</v>
      </c>
      <c r="F8" s="16">
        <v>5730</v>
      </c>
      <c r="G8" s="16"/>
      <c r="H8" s="16" t="s">
        <v>85</v>
      </c>
      <c r="I8" s="16">
        <f t="shared" si="0"/>
        <v>38305</v>
      </c>
    </row>
    <row r="9" spans="2:9" x14ac:dyDescent="0.25">
      <c r="B9" s="9">
        <v>991</v>
      </c>
      <c r="C9" s="16">
        <v>744</v>
      </c>
      <c r="D9" s="16">
        <v>28860</v>
      </c>
      <c r="E9" s="16">
        <v>3611</v>
      </c>
      <c r="F9" s="16">
        <v>3586</v>
      </c>
      <c r="G9" s="35"/>
      <c r="H9" s="35">
        <v>2127</v>
      </c>
      <c r="I9" s="16">
        <f t="shared" si="0"/>
        <v>38928</v>
      </c>
    </row>
    <row r="10" spans="2:9" x14ac:dyDescent="0.25">
      <c r="B10" s="9">
        <v>992</v>
      </c>
      <c r="C10" s="16">
        <v>5873</v>
      </c>
      <c r="D10" s="16">
        <v>26326</v>
      </c>
      <c r="E10" s="16">
        <v>3570</v>
      </c>
      <c r="F10" s="16">
        <v>3362</v>
      </c>
      <c r="G10" s="16">
        <v>4147</v>
      </c>
      <c r="H10" s="16">
        <v>1589</v>
      </c>
      <c r="I10" s="16">
        <f t="shared" si="0"/>
        <v>44867</v>
      </c>
    </row>
    <row r="11" spans="2:9" x14ac:dyDescent="0.25">
      <c r="B11" s="9">
        <v>993</v>
      </c>
      <c r="C11" s="16">
        <v>65</v>
      </c>
      <c r="D11" s="16">
        <v>3000</v>
      </c>
      <c r="E11" s="16">
        <v>644</v>
      </c>
      <c r="F11" s="16">
        <v>400</v>
      </c>
      <c r="G11" s="16"/>
      <c r="H11" s="16">
        <v>1379</v>
      </c>
      <c r="I11" s="16">
        <f t="shared" si="0"/>
        <v>5488</v>
      </c>
    </row>
    <row r="12" spans="2:9" x14ac:dyDescent="0.25">
      <c r="B12" s="9">
        <v>994</v>
      </c>
      <c r="C12" s="16">
        <v>5408</v>
      </c>
      <c r="D12" s="16">
        <v>35495</v>
      </c>
      <c r="E12" s="16">
        <v>3612</v>
      </c>
      <c r="F12" s="16">
        <v>5556</v>
      </c>
      <c r="G12" s="16"/>
      <c r="H12" s="16">
        <v>1194</v>
      </c>
      <c r="I12" s="16">
        <f t="shared" si="0"/>
        <v>51265</v>
      </c>
    </row>
    <row r="13" spans="2:9" x14ac:dyDescent="0.25">
      <c r="B13" s="9" t="s">
        <v>4</v>
      </c>
      <c r="C13" s="16">
        <v>345</v>
      </c>
      <c r="D13" s="16">
        <v>32763</v>
      </c>
      <c r="E13" s="16">
        <v>3542</v>
      </c>
      <c r="F13" s="16">
        <v>6346</v>
      </c>
      <c r="G13" s="16"/>
      <c r="H13" s="16">
        <v>3898</v>
      </c>
      <c r="I13" s="16">
        <f t="shared" si="0"/>
        <v>46894</v>
      </c>
    </row>
    <row r="14" spans="2:9" x14ac:dyDescent="0.25">
      <c r="B14" s="9" t="s">
        <v>5</v>
      </c>
      <c r="C14" s="16">
        <v>564</v>
      </c>
      <c r="D14" s="16">
        <v>26179</v>
      </c>
      <c r="E14" s="16">
        <v>3596</v>
      </c>
      <c r="F14" s="16">
        <v>3855</v>
      </c>
      <c r="G14" s="16">
        <v>4277</v>
      </c>
      <c r="H14" s="16">
        <v>1701</v>
      </c>
      <c r="I14" s="16">
        <f t="shared" si="0"/>
        <v>40172</v>
      </c>
    </row>
    <row r="15" spans="2:9" x14ac:dyDescent="0.25">
      <c r="B15" s="9" t="s">
        <v>6</v>
      </c>
      <c r="C15" s="16">
        <v>23</v>
      </c>
      <c r="D15" s="16">
        <v>3465</v>
      </c>
      <c r="E15" s="16">
        <v>607</v>
      </c>
      <c r="F15" s="16">
        <v>524</v>
      </c>
      <c r="G15" s="16"/>
      <c r="H15" s="16">
        <v>305</v>
      </c>
      <c r="I15" s="16">
        <f t="shared" si="0"/>
        <v>4924</v>
      </c>
    </row>
    <row r="16" spans="2:9" x14ac:dyDescent="0.25">
      <c r="B16" s="9" t="s">
        <v>7</v>
      </c>
      <c r="C16" s="16">
        <v>1496</v>
      </c>
      <c r="D16" s="16">
        <v>34618</v>
      </c>
      <c r="E16" s="16">
        <v>3638</v>
      </c>
      <c r="F16" s="16">
        <v>4312</v>
      </c>
      <c r="G16" s="16"/>
      <c r="H16" s="16">
        <v>861</v>
      </c>
      <c r="I16" s="16">
        <f t="shared" si="0"/>
        <v>44925</v>
      </c>
    </row>
    <row r="17" spans="2:9" x14ac:dyDescent="0.25">
      <c r="B17" s="9" t="s">
        <v>16</v>
      </c>
      <c r="C17" s="16">
        <v>5408</v>
      </c>
      <c r="D17" s="16">
        <v>32092</v>
      </c>
      <c r="E17" s="16">
        <v>2028</v>
      </c>
      <c r="F17" s="16">
        <v>2555</v>
      </c>
      <c r="G17" s="16"/>
      <c r="H17" s="16">
        <v>1007</v>
      </c>
      <c r="I17" s="16">
        <f t="shared" si="0"/>
        <v>43090</v>
      </c>
    </row>
    <row r="18" spans="2:9" x14ac:dyDescent="0.25">
      <c r="B18" s="9" t="s">
        <v>19</v>
      </c>
      <c r="C18" s="16">
        <v>1933</v>
      </c>
      <c r="D18" s="16">
        <v>26040</v>
      </c>
      <c r="E18" s="16">
        <v>3263</v>
      </c>
      <c r="F18" s="16">
        <v>3508</v>
      </c>
      <c r="G18" s="16">
        <v>6817</v>
      </c>
      <c r="H18" s="16">
        <v>1090</v>
      </c>
      <c r="I18" s="16">
        <f t="shared" si="0"/>
        <v>42651</v>
      </c>
    </row>
    <row r="19" spans="2:9" x14ac:dyDescent="0.25">
      <c r="B19" s="9" t="s">
        <v>20</v>
      </c>
      <c r="C19" s="16">
        <v>19</v>
      </c>
      <c r="D19" s="16">
        <v>3082</v>
      </c>
      <c r="E19" s="16">
        <v>597</v>
      </c>
      <c r="F19" s="16">
        <v>403</v>
      </c>
      <c r="G19" s="16"/>
      <c r="H19" s="16">
        <v>208</v>
      </c>
      <c r="I19" s="16">
        <f t="shared" si="0"/>
        <v>4309</v>
      </c>
    </row>
    <row r="20" spans="2:9" x14ac:dyDescent="0.25">
      <c r="B20" s="9" t="s">
        <v>21</v>
      </c>
      <c r="C20" s="16">
        <v>1914</v>
      </c>
      <c r="D20" s="16">
        <v>33004</v>
      </c>
      <c r="E20" s="16">
        <v>3863</v>
      </c>
      <c r="F20" s="16">
        <v>3954</v>
      </c>
      <c r="G20" s="16"/>
      <c r="H20" s="16">
        <v>794</v>
      </c>
      <c r="I20" s="16">
        <f t="shared" si="0"/>
        <v>43529</v>
      </c>
    </row>
    <row r="21" spans="2:9" x14ac:dyDescent="0.25">
      <c r="B21" s="9" t="s">
        <v>22</v>
      </c>
      <c r="C21" s="16" t="s">
        <v>86</v>
      </c>
      <c r="D21" s="16">
        <v>33664</v>
      </c>
      <c r="E21" s="16">
        <v>3308</v>
      </c>
      <c r="F21" s="16">
        <v>2503</v>
      </c>
      <c r="G21" s="16"/>
      <c r="H21" s="16">
        <v>751</v>
      </c>
      <c r="I21" s="16">
        <f t="shared" si="0"/>
        <v>40226</v>
      </c>
    </row>
    <row r="22" spans="2:9" x14ac:dyDescent="0.25">
      <c r="B22" s="9" t="s">
        <v>23</v>
      </c>
      <c r="C22" s="16"/>
      <c r="D22" s="16"/>
      <c r="E22" s="16"/>
      <c r="F22" s="16"/>
      <c r="G22" s="16">
        <v>5878</v>
      </c>
      <c r="H22" s="16"/>
      <c r="I22" s="16">
        <f t="shared" si="0"/>
        <v>5878</v>
      </c>
    </row>
    <row r="23" spans="2:9" x14ac:dyDescent="0.25">
      <c r="B23" s="9" t="s">
        <v>24</v>
      </c>
      <c r="C23" s="16"/>
      <c r="D23" s="16"/>
      <c r="E23" s="16"/>
      <c r="F23" s="16"/>
      <c r="G23" s="16"/>
      <c r="H23" s="16"/>
      <c r="I23" s="16">
        <f t="shared" si="0"/>
        <v>0</v>
      </c>
    </row>
    <row r="24" spans="2:9" ht="13" thickBot="1" x14ac:dyDescent="0.3">
      <c r="B24" s="46" t="s">
        <v>25</v>
      </c>
      <c r="C24" s="16"/>
      <c r="D24" s="16"/>
      <c r="E24" s="16"/>
      <c r="F24" s="16"/>
      <c r="G24" s="16"/>
      <c r="H24" s="16"/>
      <c r="I24" s="16">
        <f t="shared" si="0"/>
        <v>0</v>
      </c>
    </row>
    <row r="25" spans="2:9" ht="16" thickBot="1" x14ac:dyDescent="0.4">
      <c r="B25" s="47" t="s">
        <v>87</v>
      </c>
      <c r="C25" s="48">
        <f t="shared" ref="C25:I25" si="1">SUM(C5:C24)</f>
        <v>26032</v>
      </c>
      <c r="D25" s="16">
        <f t="shared" si="1"/>
        <v>399034</v>
      </c>
      <c r="E25" s="16">
        <f t="shared" si="1"/>
        <v>46839</v>
      </c>
      <c r="F25" s="16">
        <f t="shared" si="1"/>
        <v>53838</v>
      </c>
      <c r="G25" s="16">
        <f t="shared" si="1"/>
        <v>25810</v>
      </c>
      <c r="H25" s="16">
        <f t="shared" si="1"/>
        <v>16904</v>
      </c>
      <c r="I25" s="37">
        <f t="shared" si="1"/>
        <v>568457</v>
      </c>
    </row>
    <row r="28" spans="2:9" ht="15.5" x14ac:dyDescent="0.35">
      <c r="B28" s="50"/>
      <c r="C28" s="51"/>
    </row>
    <row r="29" spans="2:9" x14ac:dyDescent="0.25">
      <c r="B29" s="52"/>
      <c r="C29" s="53"/>
    </row>
    <row r="30" spans="2:9" x14ac:dyDescent="0.25">
      <c r="B30" s="52"/>
      <c r="C30" s="53"/>
    </row>
    <row r="31" spans="2:9" x14ac:dyDescent="0.25">
      <c r="B31" s="52"/>
      <c r="C31" s="53"/>
    </row>
    <row r="32" spans="2:9" x14ac:dyDescent="0.25">
      <c r="B32" s="52"/>
      <c r="C32" s="53"/>
    </row>
    <row r="33" spans="2:3" x14ac:dyDescent="0.25">
      <c r="B33" s="52"/>
      <c r="C33" s="53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6"/>
  <sheetViews>
    <sheetView workbookViewId="0">
      <selection activeCell="G30" sqref="G30"/>
    </sheetView>
  </sheetViews>
  <sheetFormatPr defaultRowHeight="12.5" x14ac:dyDescent="0.25"/>
  <cols>
    <col min="2" max="2" width="12.54296875" bestFit="1" customWidth="1"/>
    <col min="3" max="3" width="15.7265625" customWidth="1"/>
    <col min="4" max="4" width="15.81640625" customWidth="1"/>
    <col min="6" max="6" width="15.7265625" customWidth="1"/>
  </cols>
  <sheetData>
    <row r="1" spans="2:8" ht="23" x14ac:dyDescent="0.5">
      <c r="B1" s="63" t="s">
        <v>18</v>
      </c>
      <c r="C1" s="63"/>
      <c r="D1" s="63"/>
      <c r="E1" s="63"/>
      <c r="F1" s="63"/>
      <c r="G1" s="63"/>
      <c r="H1" s="63"/>
    </row>
    <row r="2" spans="2:8" x14ac:dyDescent="0.25">
      <c r="B2" s="1"/>
      <c r="C2" s="2"/>
      <c r="D2" s="2"/>
      <c r="F2" s="2"/>
      <c r="G2" s="2"/>
      <c r="H2" s="2"/>
    </row>
    <row r="3" spans="2:8" ht="13" thickBot="1" x14ac:dyDescent="0.3">
      <c r="B3" s="1"/>
      <c r="C3" s="2"/>
      <c r="D3" s="2"/>
      <c r="F3" s="2"/>
      <c r="G3" s="2"/>
      <c r="H3" s="2"/>
    </row>
    <row r="4" spans="2:8" ht="18.5" thickBot="1" x14ac:dyDescent="0.45">
      <c r="B4" s="3" t="s">
        <v>42</v>
      </c>
      <c r="C4" s="3" t="s">
        <v>1</v>
      </c>
      <c r="D4" s="8" t="s">
        <v>10</v>
      </c>
      <c r="F4" s="5" t="s">
        <v>11</v>
      </c>
      <c r="G4" s="2"/>
      <c r="H4" s="2"/>
    </row>
    <row r="5" spans="2:8" ht="13" thickBot="1" x14ac:dyDescent="0.3">
      <c r="B5" s="6" t="s">
        <v>26</v>
      </c>
      <c r="C5" s="6">
        <v>981</v>
      </c>
      <c r="D5" s="10">
        <f>'Category Totals By Quarter'!I5</f>
        <v>32166</v>
      </c>
      <c r="F5" s="7">
        <f>SUM(D5:D24)</f>
        <v>568457</v>
      </c>
      <c r="G5" s="2"/>
      <c r="H5" s="11"/>
    </row>
    <row r="6" spans="2:8" x14ac:dyDescent="0.25">
      <c r="B6" s="9" t="s">
        <v>27</v>
      </c>
      <c r="C6" s="9">
        <v>982</v>
      </c>
      <c r="D6" s="10">
        <f>'Category Totals By Quarter'!I6</f>
        <v>37340</v>
      </c>
      <c r="F6" s="11"/>
      <c r="G6" s="2"/>
      <c r="H6" s="2"/>
    </row>
    <row r="7" spans="2:8" ht="13" x14ac:dyDescent="0.3">
      <c r="B7" s="9" t="s">
        <v>28</v>
      </c>
      <c r="C7" s="9">
        <v>983</v>
      </c>
      <c r="D7" s="10">
        <f>'Category Totals By Quarter'!I7</f>
        <v>3500</v>
      </c>
      <c r="F7" s="13"/>
      <c r="G7" s="2"/>
      <c r="H7" s="2"/>
    </row>
    <row r="8" spans="2:8" x14ac:dyDescent="0.25">
      <c r="B8" s="9" t="s">
        <v>29</v>
      </c>
      <c r="C8" s="9">
        <v>984</v>
      </c>
      <c r="D8" s="10">
        <f>'Category Totals By Quarter'!I8</f>
        <v>38305</v>
      </c>
      <c r="F8" s="11"/>
      <c r="G8" s="2"/>
      <c r="H8" s="2"/>
    </row>
    <row r="9" spans="2:8" x14ac:dyDescent="0.25">
      <c r="B9" s="9" t="s">
        <v>30</v>
      </c>
      <c r="C9" s="9">
        <v>991</v>
      </c>
      <c r="D9" s="10">
        <f>'Category Totals By Quarter'!I9</f>
        <v>38928</v>
      </c>
      <c r="F9" s="11"/>
      <c r="G9" s="2"/>
      <c r="H9" s="2"/>
    </row>
    <row r="10" spans="2:8" x14ac:dyDescent="0.25">
      <c r="B10" s="9" t="s">
        <v>40</v>
      </c>
      <c r="C10" s="9">
        <v>992</v>
      </c>
      <c r="D10" s="10">
        <f>'Category Totals By Quarter'!I10</f>
        <v>44867</v>
      </c>
      <c r="F10" s="2"/>
      <c r="G10" s="2"/>
      <c r="H10" s="2"/>
    </row>
    <row r="11" spans="2:8" x14ac:dyDescent="0.25">
      <c r="B11" s="9" t="s">
        <v>31</v>
      </c>
      <c r="C11" s="9">
        <v>993</v>
      </c>
      <c r="D11" s="10">
        <f>'Category Totals By Quarter'!I11</f>
        <v>5488</v>
      </c>
      <c r="F11" s="2"/>
      <c r="G11" s="2"/>
      <c r="H11" s="2"/>
    </row>
    <row r="12" spans="2:8" x14ac:dyDescent="0.25">
      <c r="B12" s="9" t="s">
        <v>32</v>
      </c>
      <c r="C12" s="9">
        <v>994</v>
      </c>
      <c r="D12" s="10">
        <f>'Category Totals By Quarter'!I12</f>
        <v>51265</v>
      </c>
      <c r="F12" s="2"/>
      <c r="G12" s="2"/>
      <c r="H12" s="2"/>
    </row>
    <row r="13" spans="2:8" x14ac:dyDescent="0.25">
      <c r="B13" s="9" t="s">
        <v>33</v>
      </c>
      <c r="C13" s="9" t="s">
        <v>4</v>
      </c>
      <c r="D13" s="10">
        <f>'Category Totals By Quarter'!I13</f>
        <v>46894</v>
      </c>
      <c r="F13" s="2"/>
      <c r="G13" s="2"/>
      <c r="H13" s="2"/>
    </row>
    <row r="14" spans="2:8" x14ac:dyDescent="0.25">
      <c r="B14" s="9" t="s">
        <v>34</v>
      </c>
      <c r="C14" s="9" t="s">
        <v>5</v>
      </c>
      <c r="D14" s="10">
        <f>'Category Totals By Quarter'!I14</f>
        <v>40172</v>
      </c>
      <c r="F14" s="2"/>
      <c r="G14" s="2"/>
      <c r="H14" s="2"/>
    </row>
    <row r="15" spans="2:8" x14ac:dyDescent="0.25">
      <c r="B15" s="9" t="s">
        <v>35</v>
      </c>
      <c r="C15" s="9" t="s">
        <v>6</v>
      </c>
      <c r="D15" s="10">
        <f>'Category Totals By Quarter'!I15</f>
        <v>4924</v>
      </c>
      <c r="F15" s="2"/>
      <c r="G15" s="2"/>
      <c r="H15" s="2"/>
    </row>
    <row r="16" spans="2:8" x14ac:dyDescent="0.25">
      <c r="B16" s="9" t="s">
        <v>36</v>
      </c>
      <c r="C16" s="9" t="s">
        <v>7</v>
      </c>
      <c r="D16" s="10">
        <f>'Category Totals By Quarter'!I16</f>
        <v>44925</v>
      </c>
      <c r="F16" s="2"/>
      <c r="G16" s="2"/>
      <c r="H16" s="2"/>
    </row>
    <row r="17" spans="1:8" x14ac:dyDescent="0.25">
      <c r="B17" s="9" t="s">
        <v>37</v>
      </c>
      <c r="C17" s="9" t="s">
        <v>16</v>
      </c>
      <c r="D17" s="10">
        <f>'Category Totals By Quarter'!I17</f>
        <v>43090</v>
      </c>
      <c r="F17" s="2"/>
      <c r="G17" s="2"/>
      <c r="H17" s="2"/>
    </row>
    <row r="18" spans="1:8" x14ac:dyDescent="0.25">
      <c r="B18" s="9" t="s">
        <v>38</v>
      </c>
      <c r="C18" s="9" t="s">
        <v>19</v>
      </c>
      <c r="D18" s="10">
        <f>'Category Totals By Quarter'!I18</f>
        <v>42651</v>
      </c>
      <c r="F18" s="2"/>
      <c r="G18" s="2"/>
      <c r="H18" s="2"/>
    </row>
    <row r="19" spans="1:8" x14ac:dyDescent="0.25">
      <c r="B19" s="9" t="s">
        <v>39</v>
      </c>
      <c r="C19" s="9" t="s">
        <v>20</v>
      </c>
      <c r="D19" s="10">
        <f>'Category Totals By Quarter'!I19</f>
        <v>4309</v>
      </c>
      <c r="F19" s="2"/>
      <c r="G19" s="2"/>
      <c r="H19" s="2"/>
    </row>
    <row r="20" spans="1:8" x14ac:dyDescent="0.25">
      <c r="B20" s="9" t="s">
        <v>41</v>
      </c>
      <c r="C20" s="9" t="s">
        <v>21</v>
      </c>
      <c r="D20" s="10">
        <f>'Category Totals By Quarter'!I20</f>
        <v>43529</v>
      </c>
      <c r="F20" s="2"/>
      <c r="G20" s="2"/>
      <c r="H20" s="2"/>
    </row>
    <row r="21" spans="1:8" x14ac:dyDescent="0.25">
      <c r="B21" s="9" t="s">
        <v>50</v>
      </c>
      <c r="C21" s="9" t="s">
        <v>22</v>
      </c>
      <c r="D21" s="10">
        <f>'Category Totals By Quarter'!I21</f>
        <v>40226</v>
      </c>
      <c r="F21" s="2"/>
      <c r="G21" s="2"/>
      <c r="H21" s="2"/>
    </row>
    <row r="22" spans="1:8" x14ac:dyDescent="0.25">
      <c r="B22" s="9" t="s">
        <v>49</v>
      </c>
      <c r="C22" s="9" t="s">
        <v>23</v>
      </c>
      <c r="D22" s="10">
        <f>'Category Totals By Quarter'!I22</f>
        <v>5878</v>
      </c>
      <c r="F22" s="2"/>
      <c r="G22" s="2"/>
      <c r="H22" s="2"/>
    </row>
    <row r="23" spans="1:8" x14ac:dyDescent="0.25">
      <c r="B23" s="9" t="s">
        <v>51</v>
      </c>
      <c r="C23" s="9" t="s">
        <v>24</v>
      </c>
      <c r="D23" s="10">
        <f>'Category Totals By Quarter'!I23</f>
        <v>0</v>
      </c>
      <c r="F23" s="2"/>
      <c r="G23" s="2"/>
      <c r="H23" s="2"/>
    </row>
    <row r="24" spans="1:8" x14ac:dyDescent="0.25">
      <c r="B24" s="12" t="s">
        <v>52</v>
      </c>
      <c r="C24" s="9" t="s">
        <v>25</v>
      </c>
      <c r="D24" s="10">
        <f>'Category Totals By Quarter'!I24</f>
        <v>0</v>
      </c>
    </row>
    <row r="25" spans="1:8" x14ac:dyDescent="0.25">
      <c r="B25" s="17"/>
      <c r="C25" s="14"/>
      <c r="D25" s="11"/>
    </row>
    <row r="26" spans="1:8" x14ac:dyDescent="0.25">
      <c r="B26" s="17"/>
      <c r="C26" s="14"/>
      <c r="D26" s="11"/>
    </row>
    <row r="27" spans="1:8" x14ac:dyDescent="0.25">
      <c r="B27" s="17"/>
      <c r="C27" s="14"/>
      <c r="D27" s="11"/>
    </row>
    <row r="28" spans="1:8" x14ac:dyDescent="0.25">
      <c r="B28" s="17"/>
      <c r="C28" s="14"/>
      <c r="D28" s="11"/>
    </row>
    <row r="29" spans="1:8" ht="13" thickBot="1" x14ac:dyDescent="0.3"/>
    <row r="30" spans="1:8" ht="16" thickBot="1" x14ac:dyDescent="0.4">
      <c r="A30" s="20"/>
      <c r="B30" s="19" t="s">
        <v>43</v>
      </c>
      <c r="C30" s="26"/>
      <c r="D30" s="12">
        <f>SUM('Fac. Eval. Hours'!E6:E25)</f>
        <v>426074</v>
      </c>
      <c r="E30" s="17"/>
    </row>
    <row r="31" spans="1:8" ht="16" thickBot="1" x14ac:dyDescent="0.4">
      <c r="A31" s="21"/>
      <c r="B31" s="22" t="s">
        <v>44</v>
      </c>
      <c r="C31" s="27"/>
      <c r="D31" s="12">
        <f>SUM(Misc!C5:C23)</f>
        <v>17251</v>
      </c>
    </row>
    <row r="32" spans="1:8" ht="16" thickBot="1" x14ac:dyDescent="0.4">
      <c r="A32" s="25"/>
      <c r="B32" s="24" t="s">
        <v>45</v>
      </c>
      <c r="C32" s="17"/>
      <c r="D32" s="12">
        <f>SUM('Fin. Aid'!C5:C23)</f>
        <v>21895</v>
      </c>
    </row>
    <row r="33" spans="1:4" ht="16" thickBot="1" x14ac:dyDescent="0.4">
      <c r="A33" s="21"/>
      <c r="B33" s="23" t="s">
        <v>46</v>
      </c>
      <c r="C33" s="28"/>
      <c r="D33" s="12">
        <f>SUM('ASI Elections'!C5:C13)</f>
        <v>22810</v>
      </c>
    </row>
    <row r="34" spans="1:4" ht="16" thickBot="1" x14ac:dyDescent="0.4">
      <c r="A34" s="21"/>
      <c r="B34" s="19" t="s">
        <v>48</v>
      </c>
      <c r="C34" s="28"/>
      <c r="D34" s="12">
        <f>SUM(Grades!C5:C24)</f>
        <v>46839</v>
      </c>
    </row>
    <row r="35" spans="1:4" ht="16" thickBot="1" x14ac:dyDescent="0.4">
      <c r="A35" s="21"/>
      <c r="B35" s="19" t="s">
        <v>64</v>
      </c>
      <c r="C35" s="28"/>
      <c r="D35" s="12">
        <f>SUM(Test!C5:C24)</f>
        <v>53838</v>
      </c>
    </row>
    <row r="36" spans="1:4" ht="16" thickBot="1" x14ac:dyDescent="0.4">
      <c r="A36" s="21"/>
      <c r="B36" s="19" t="s">
        <v>47</v>
      </c>
      <c r="C36" s="28"/>
      <c r="D36" s="29">
        <f>SUM(ASQ!C5:C24)</f>
        <v>18099</v>
      </c>
    </row>
  </sheetData>
  <mergeCells count="1">
    <mergeCell ref="B1:H1"/>
  </mergeCells>
  <phoneticPr fontId="3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topLeftCell="A9" workbookViewId="0">
      <selection activeCell="G27" sqref="G27"/>
    </sheetView>
  </sheetViews>
  <sheetFormatPr defaultRowHeight="12.5" x14ac:dyDescent="0.25"/>
  <cols>
    <col min="1" max="1" width="10.7265625" customWidth="1"/>
    <col min="2" max="2" width="13.54296875" style="1" customWidth="1"/>
    <col min="3" max="4" width="15.7265625" style="2" customWidth="1"/>
    <col min="5" max="5" width="10.453125" customWidth="1"/>
    <col min="6" max="6" width="16.81640625" style="2" customWidth="1"/>
    <col min="7" max="8" width="15.453125" style="2" customWidth="1"/>
  </cols>
  <sheetData>
    <row r="1" spans="2:8" ht="26.25" customHeight="1" x14ac:dyDescent="0.5">
      <c r="B1" s="63" t="s">
        <v>0</v>
      </c>
      <c r="C1" s="63"/>
      <c r="D1" s="63"/>
      <c r="E1" s="63"/>
      <c r="F1" s="63"/>
      <c r="G1" s="63"/>
      <c r="H1" s="63"/>
    </row>
    <row r="3" spans="2:8" ht="13" thickBot="1" x14ac:dyDescent="0.3"/>
    <row r="4" spans="2:8" ht="13.5" thickBot="1" x14ac:dyDescent="0.35">
      <c r="B4" s="3" t="s">
        <v>1</v>
      </c>
      <c r="C4" s="8" t="s">
        <v>2</v>
      </c>
      <c r="D4" s="4" t="s">
        <v>3</v>
      </c>
      <c r="E4" s="54"/>
      <c r="F4" s="8" t="s">
        <v>88</v>
      </c>
    </row>
    <row r="5" spans="2:8" ht="13" thickBot="1" x14ac:dyDescent="0.3">
      <c r="B5" s="55" t="s">
        <v>90</v>
      </c>
      <c r="C5" s="56">
        <v>684</v>
      </c>
      <c r="D5" s="56">
        <v>25918</v>
      </c>
      <c r="E5" s="54"/>
      <c r="F5" s="57"/>
      <c r="H5" s="11"/>
    </row>
    <row r="6" spans="2:8" ht="13" x14ac:dyDescent="0.3">
      <c r="B6" s="58">
        <v>982</v>
      </c>
      <c r="C6" s="59">
        <v>635</v>
      </c>
      <c r="D6" s="59">
        <v>23902</v>
      </c>
      <c r="E6" s="54"/>
      <c r="F6" s="60" t="s">
        <v>2</v>
      </c>
    </row>
    <row r="7" spans="2:8" ht="13" thickBot="1" x14ac:dyDescent="0.3">
      <c r="B7" s="58">
        <v>983</v>
      </c>
      <c r="C7" s="59">
        <v>40</v>
      </c>
      <c r="D7" s="59">
        <v>2489</v>
      </c>
      <c r="E7" s="54"/>
      <c r="F7" s="61">
        <f>SUM(C5:C26)</f>
        <v>27040</v>
      </c>
    </row>
    <row r="8" spans="2:8" ht="13" thickBot="1" x14ac:dyDescent="0.3">
      <c r="B8" s="58">
        <v>984</v>
      </c>
      <c r="C8" s="59">
        <v>881</v>
      </c>
      <c r="D8" s="59">
        <v>28137</v>
      </c>
      <c r="E8" s="54"/>
      <c r="F8" s="57"/>
    </row>
    <row r="9" spans="2:8" ht="13" x14ac:dyDescent="0.3">
      <c r="B9" s="58">
        <v>991</v>
      </c>
      <c r="C9" s="59">
        <v>744</v>
      </c>
      <c r="D9" s="59">
        <v>28860</v>
      </c>
      <c r="E9" s="54"/>
      <c r="F9" s="60" t="s">
        <v>3</v>
      </c>
    </row>
    <row r="10" spans="2:8" ht="13" thickBot="1" x14ac:dyDescent="0.3">
      <c r="B10" s="58">
        <v>992</v>
      </c>
      <c r="C10" s="59">
        <v>5873</v>
      </c>
      <c r="D10" s="59">
        <v>26326</v>
      </c>
      <c r="E10" s="54"/>
      <c r="F10" s="61">
        <f>SUM(D5:D26)</f>
        <v>399034</v>
      </c>
    </row>
    <row r="11" spans="2:8" ht="13" thickBot="1" x14ac:dyDescent="0.3">
      <c r="B11" s="58">
        <v>993</v>
      </c>
      <c r="C11" s="59">
        <v>65</v>
      </c>
      <c r="D11" s="59">
        <v>3000</v>
      </c>
      <c r="E11" s="54"/>
      <c r="F11" s="57"/>
    </row>
    <row r="12" spans="2:8" ht="13" x14ac:dyDescent="0.3">
      <c r="B12" s="58">
        <v>994</v>
      </c>
      <c r="C12" s="59">
        <v>5408</v>
      </c>
      <c r="D12" s="59">
        <v>35495</v>
      </c>
      <c r="E12" s="54"/>
      <c r="F12" s="60" t="s">
        <v>89</v>
      </c>
    </row>
    <row r="13" spans="2:8" ht="13" thickBot="1" x14ac:dyDescent="0.3">
      <c r="B13" s="58" t="s">
        <v>4</v>
      </c>
      <c r="C13" s="59">
        <v>345</v>
      </c>
      <c r="D13" s="59">
        <v>32763</v>
      </c>
      <c r="E13" s="54"/>
      <c r="F13" s="61">
        <f>SUM(C5:D26)</f>
        <v>426074</v>
      </c>
    </row>
    <row r="14" spans="2:8" x14ac:dyDescent="0.25">
      <c r="B14" s="58" t="s">
        <v>5</v>
      </c>
      <c r="C14" s="59">
        <v>564</v>
      </c>
      <c r="D14" s="59">
        <v>26179</v>
      </c>
      <c r="E14" s="54"/>
      <c r="F14" s="62"/>
    </row>
    <row r="15" spans="2:8" x14ac:dyDescent="0.25">
      <c r="B15" s="58" t="s">
        <v>6</v>
      </c>
      <c r="C15" s="59">
        <v>23</v>
      </c>
      <c r="D15" s="59">
        <v>3465</v>
      </c>
      <c r="E15" s="54"/>
      <c r="F15" s="62"/>
    </row>
    <row r="16" spans="2:8" x14ac:dyDescent="0.25">
      <c r="B16" s="58" t="s">
        <v>7</v>
      </c>
      <c r="C16" s="59">
        <v>1496</v>
      </c>
      <c r="D16" s="59">
        <v>34618</v>
      </c>
      <c r="E16" s="54"/>
      <c r="F16" s="62"/>
    </row>
    <row r="17" spans="2:6" x14ac:dyDescent="0.25">
      <c r="B17" s="58" t="s">
        <v>16</v>
      </c>
      <c r="C17" s="59">
        <v>5408</v>
      </c>
      <c r="D17" s="59">
        <v>32092</v>
      </c>
      <c r="E17" s="54"/>
      <c r="F17" s="62"/>
    </row>
    <row r="18" spans="2:6" x14ac:dyDescent="0.25">
      <c r="B18" s="58" t="s">
        <v>19</v>
      </c>
      <c r="C18" s="59">
        <v>1933</v>
      </c>
      <c r="D18" s="59">
        <v>26040</v>
      </c>
      <c r="E18" s="54"/>
      <c r="F18" s="62"/>
    </row>
    <row r="19" spans="2:6" x14ac:dyDescent="0.25">
      <c r="B19" s="58" t="s">
        <v>20</v>
      </c>
      <c r="C19" s="59">
        <v>19</v>
      </c>
      <c r="D19" s="59">
        <v>3082</v>
      </c>
      <c r="E19" s="54"/>
      <c r="F19" s="62"/>
    </row>
    <row r="20" spans="2:6" x14ac:dyDescent="0.25">
      <c r="B20" s="58" t="s">
        <v>21</v>
      </c>
      <c r="C20" s="59">
        <v>1914</v>
      </c>
      <c r="D20" s="59">
        <v>33004</v>
      </c>
      <c r="E20" s="54"/>
      <c r="F20" s="62"/>
    </row>
    <row r="21" spans="2:6" x14ac:dyDescent="0.25">
      <c r="B21" s="58" t="s">
        <v>22</v>
      </c>
      <c r="C21" s="16">
        <v>1008</v>
      </c>
      <c r="D21" s="16">
        <v>33664</v>
      </c>
      <c r="E21" s="54"/>
      <c r="F21" s="62"/>
    </row>
    <row r="22" spans="2:6" x14ac:dyDescent="0.25">
      <c r="B22" s="58" t="s">
        <v>23</v>
      </c>
      <c r="C22" s="59"/>
      <c r="D22" s="59"/>
      <c r="E22" s="54"/>
      <c r="F22" s="62"/>
    </row>
    <row r="23" spans="2:6" x14ac:dyDescent="0.25">
      <c r="B23" s="58" t="s">
        <v>24</v>
      </c>
      <c r="C23" s="59"/>
      <c r="D23" s="59"/>
      <c r="E23" s="54"/>
      <c r="F23" s="62"/>
    </row>
    <row r="24" spans="2:6" x14ac:dyDescent="0.25">
      <c r="B24" s="9" t="s">
        <v>25</v>
      </c>
      <c r="C24" s="12"/>
      <c r="D24" s="12"/>
    </row>
  </sheetData>
  <mergeCells count="1">
    <mergeCell ref="B1:H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25"/>
  <sheetViews>
    <sheetView topLeftCell="A19" workbookViewId="0">
      <selection activeCell="C21" sqref="C21"/>
    </sheetView>
  </sheetViews>
  <sheetFormatPr defaultRowHeight="12.5" x14ac:dyDescent="0.25"/>
  <cols>
    <col min="2" max="3" width="15.54296875" customWidth="1"/>
    <col min="5" max="5" width="15.54296875" customWidth="1"/>
  </cols>
  <sheetData>
    <row r="1" spans="1:7" ht="23" x14ac:dyDescent="0.5">
      <c r="A1" s="63" t="s">
        <v>14</v>
      </c>
      <c r="B1" s="63"/>
      <c r="C1" s="63"/>
      <c r="D1" s="63"/>
      <c r="E1" s="63"/>
      <c r="F1" s="63"/>
      <c r="G1" s="63"/>
    </row>
    <row r="2" spans="1:7" x14ac:dyDescent="0.25">
      <c r="A2" s="1"/>
      <c r="B2" s="2"/>
      <c r="C2" s="2"/>
      <c r="E2" s="2"/>
      <c r="F2" s="2"/>
      <c r="G2" s="2"/>
    </row>
    <row r="3" spans="1:7" ht="13" thickBot="1" x14ac:dyDescent="0.3">
      <c r="A3" s="1"/>
      <c r="B3" s="2"/>
      <c r="C3" s="2"/>
      <c r="E3" s="2"/>
      <c r="F3" s="2"/>
      <c r="G3" s="2"/>
    </row>
    <row r="4" spans="1:7" ht="18.5" thickBot="1" x14ac:dyDescent="0.45">
      <c r="A4" s="1"/>
      <c r="B4" s="3" t="s">
        <v>1</v>
      </c>
      <c r="C4" s="8" t="s">
        <v>10</v>
      </c>
      <c r="E4" s="5" t="s">
        <v>11</v>
      </c>
      <c r="F4" s="2"/>
      <c r="G4" s="2"/>
    </row>
    <row r="5" spans="1:7" ht="13" thickBot="1" x14ac:dyDescent="0.3">
      <c r="A5" s="1"/>
      <c r="B5" s="6">
        <v>981</v>
      </c>
      <c r="C5" s="10">
        <v>3482</v>
      </c>
      <c r="E5" s="7">
        <f>SUM(C5:C24)</f>
        <v>46839</v>
      </c>
      <c r="F5" s="2"/>
      <c r="G5" s="11"/>
    </row>
    <row r="6" spans="1:7" x14ac:dyDescent="0.25">
      <c r="A6" s="1"/>
      <c r="B6" s="9">
        <v>982</v>
      </c>
      <c r="C6" s="12">
        <v>3318</v>
      </c>
      <c r="D6" s="11"/>
      <c r="E6" s="2"/>
      <c r="F6" s="2"/>
    </row>
    <row r="7" spans="1:7" ht="13" x14ac:dyDescent="0.3">
      <c r="A7" s="1"/>
      <c r="B7" s="9">
        <v>983</v>
      </c>
      <c r="C7" s="12">
        <v>603</v>
      </c>
      <c r="D7" s="13"/>
      <c r="E7" s="2"/>
      <c r="F7" s="2"/>
    </row>
    <row r="8" spans="1:7" x14ac:dyDescent="0.25">
      <c r="A8" s="1"/>
      <c r="B8" s="9">
        <v>984</v>
      </c>
      <c r="C8" s="12">
        <v>3557</v>
      </c>
      <c r="D8" s="11"/>
      <c r="E8" s="2"/>
      <c r="F8" s="2"/>
    </row>
    <row r="9" spans="1:7" x14ac:dyDescent="0.25">
      <c r="A9" s="1"/>
      <c r="B9" s="9">
        <v>991</v>
      </c>
      <c r="C9" s="12">
        <v>3611</v>
      </c>
      <c r="E9" s="11"/>
      <c r="F9" s="2"/>
      <c r="G9" s="2"/>
    </row>
    <row r="10" spans="1:7" x14ac:dyDescent="0.25">
      <c r="A10" s="1"/>
      <c r="B10" s="9">
        <v>992</v>
      </c>
      <c r="C10" s="12">
        <v>3570</v>
      </c>
      <c r="E10" s="2"/>
      <c r="F10" s="2"/>
      <c r="G10" s="2"/>
    </row>
    <row r="11" spans="1:7" x14ac:dyDescent="0.25">
      <c r="A11" s="1"/>
      <c r="B11" s="9">
        <v>993</v>
      </c>
      <c r="C11" s="12">
        <v>644</v>
      </c>
      <c r="E11" s="2"/>
      <c r="F11" s="2"/>
      <c r="G11" s="2"/>
    </row>
    <row r="12" spans="1:7" x14ac:dyDescent="0.25">
      <c r="A12" s="1"/>
      <c r="B12" s="9">
        <v>994</v>
      </c>
      <c r="C12" s="12">
        <v>3612</v>
      </c>
      <c r="E12" s="2"/>
      <c r="F12" s="2"/>
      <c r="G12" s="2"/>
    </row>
    <row r="13" spans="1:7" x14ac:dyDescent="0.25">
      <c r="A13" s="1"/>
      <c r="B13" s="9" t="s">
        <v>4</v>
      </c>
      <c r="C13" s="12">
        <v>3542</v>
      </c>
      <c r="E13" s="2"/>
      <c r="F13" s="2"/>
      <c r="G13" s="2"/>
    </row>
    <row r="14" spans="1:7" x14ac:dyDescent="0.25">
      <c r="A14" s="1"/>
      <c r="B14" s="9" t="s">
        <v>5</v>
      </c>
      <c r="C14" s="12">
        <v>3596</v>
      </c>
      <c r="E14" s="2"/>
      <c r="F14" s="2"/>
      <c r="G14" s="2"/>
    </row>
    <row r="15" spans="1:7" x14ac:dyDescent="0.25">
      <c r="A15" s="1"/>
      <c r="B15" s="9" t="s">
        <v>6</v>
      </c>
      <c r="C15" s="12">
        <v>607</v>
      </c>
      <c r="E15" s="2"/>
      <c r="F15" s="2"/>
      <c r="G15" s="2"/>
    </row>
    <row r="16" spans="1:7" x14ac:dyDescent="0.25">
      <c r="A16" s="1"/>
      <c r="B16" s="9" t="s">
        <v>7</v>
      </c>
      <c r="C16" s="12">
        <v>3638</v>
      </c>
      <c r="E16" s="2"/>
      <c r="F16" s="2"/>
      <c r="G16" s="2"/>
    </row>
    <row r="17" spans="1:8" x14ac:dyDescent="0.25">
      <c r="A17" s="1"/>
      <c r="B17" s="9" t="s">
        <v>16</v>
      </c>
      <c r="C17" s="12">
        <v>2028</v>
      </c>
      <c r="E17" s="2"/>
      <c r="F17" s="2"/>
      <c r="G17" s="2"/>
    </row>
    <row r="18" spans="1:8" x14ac:dyDescent="0.25">
      <c r="A18" s="1"/>
      <c r="B18" s="9" t="s">
        <v>19</v>
      </c>
      <c r="C18" s="12">
        <v>3263</v>
      </c>
      <c r="E18" s="2"/>
      <c r="F18" s="2"/>
      <c r="G18" s="2"/>
    </row>
    <row r="19" spans="1:8" x14ac:dyDescent="0.25">
      <c r="A19" s="1"/>
      <c r="B19" s="9" t="s">
        <v>20</v>
      </c>
      <c r="C19" s="12">
        <v>597</v>
      </c>
      <c r="E19" s="2"/>
      <c r="F19" s="2"/>
      <c r="G19" s="2"/>
    </row>
    <row r="20" spans="1:8" x14ac:dyDescent="0.25">
      <c r="A20" s="1"/>
      <c r="B20" s="9" t="s">
        <v>21</v>
      </c>
      <c r="C20" s="12">
        <v>3863</v>
      </c>
      <c r="E20" s="2"/>
      <c r="F20" s="2"/>
      <c r="G20" s="2"/>
    </row>
    <row r="21" spans="1:8" x14ac:dyDescent="0.25">
      <c r="A21" s="1"/>
      <c r="B21" s="9" t="s">
        <v>22</v>
      </c>
      <c r="C21" s="12">
        <v>3308</v>
      </c>
      <c r="E21" s="2"/>
      <c r="F21" s="2"/>
      <c r="G21" s="2"/>
    </row>
    <row r="22" spans="1:8" x14ac:dyDescent="0.25">
      <c r="A22" s="1"/>
      <c r="B22" s="9" t="s">
        <v>23</v>
      </c>
      <c r="C22" s="12"/>
      <c r="E22" s="2"/>
      <c r="F22" s="2"/>
      <c r="G22" s="2"/>
    </row>
    <row r="23" spans="1:8" x14ac:dyDescent="0.25">
      <c r="B23" s="9" t="s">
        <v>24</v>
      </c>
      <c r="C23" s="9"/>
      <c r="H23" s="1"/>
    </row>
    <row r="24" spans="1:8" x14ac:dyDescent="0.25">
      <c r="B24" s="9" t="s">
        <v>25</v>
      </c>
      <c r="C24" s="9"/>
    </row>
    <row r="25" spans="1:8" x14ac:dyDescent="0.25">
      <c r="B25" s="1"/>
      <c r="C25" s="1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4"/>
  <sheetViews>
    <sheetView topLeftCell="A14" workbookViewId="0">
      <selection activeCell="H19" sqref="H19"/>
    </sheetView>
  </sheetViews>
  <sheetFormatPr defaultRowHeight="12.5" x14ac:dyDescent="0.25"/>
  <cols>
    <col min="2" max="3" width="15.7265625" customWidth="1"/>
    <col min="4" max="4" width="9.81640625" customWidth="1"/>
    <col min="5" max="5" width="15.7265625" customWidth="1"/>
    <col min="12" max="12" width="15.7265625" customWidth="1"/>
  </cols>
  <sheetData>
    <row r="1" spans="1:7" ht="23" x14ac:dyDescent="0.5">
      <c r="A1" s="63" t="s">
        <v>17</v>
      </c>
      <c r="B1" s="63"/>
      <c r="C1" s="63"/>
      <c r="D1" s="63"/>
      <c r="E1" s="63"/>
      <c r="F1" s="63"/>
      <c r="G1" s="63"/>
    </row>
    <row r="2" spans="1:7" x14ac:dyDescent="0.25">
      <c r="A2" s="1"/>
      <c r="B2" s="2"/>
      <c r="C2" s="2"/>
      <c r="E2" s="2"/>
      <c r="F2" s="2"/>
      <c r="G2" s="2"/>
    </row>
    <row r="3" spans="1:7" ht="13" thickBot="1" x14ac:dyDescent="0.3">
      <c r="A3" s="1"/>
      <c r="B3" s="2"/>
      <c r="C3" s="2"/>
      <c r="E3" s="2"/>
      <c r="F3" s="2"/>
      <c r="G3" s="2"/>
    </row>
    <row r="4" spans="1:7" ht="18.5" thickBot="1" x14ac:dyDescent="0.45">
      <c r="A4" s="1"/>
      <c r="B4" s="3" t="s">
        <v>1</v>
      </c>
      <c r="C4" s="8" t="s">
        <v>10</v>
      </c>
      <c r="E4" s="5" t="s">
        <v>11</v>
      </c>
      <c r="F4" s="2"/>
      <c r="G4" s="2"/>
    </row>
    <row r="5" spans="1:7" ht="13" thickBot="1" x14ac:dyDescent="0.3">
      <c r="A5" s="1"/>
      <c r="B5" s="6">
        <v>981</v>
      </c>
      <c r="C5" s="10">
        <v>2082</v>
      </c>
      <c r="E5" s="7">
        <f>SUM(C5:C24)</f>
        <v>53838</v>
      </c>
      <c r="F5" s="2"/>
      <c r="G5" s="11"/>
    </row>
    <row r="6" spans="1:7" x14ac:dyDescent="0.25">
      <c r="A6" s="1"/>
      <c r="B6" s="9">
        <v>982</v>
      </c>
      <c r="C6" s="12">
        <v>4794</v>
      </c>
      <c r="E6" s="11"/>
      <c r="F6" s="2"/>
      <c r="G6" s="2"/>
    </row>
    <row r="7" spans="1:7" ht="13" x14ac:dyDescent="0.3">
      <c r="A7" s="1"/>
      <c r="B7" s="9">
        <v>983</v>
      </c>
      <c r="C7" s="12">
        <v>368</v>
      </c>
      <c r="E7" s="13"/>
      <c r="F7" s="2"/>
      <c r="G7" s="2"/>
    </row>
    <row r="8" spans="1:7" x14ac:dyDescent="0.25">
      <c r="A8" s="1"/>
      <c r="B8" s="9">
        <v>984</v>
      </c>
      <c r="C8" s="12">
        <v>5730</v>
      </c>
      <c r="E8" s="11"/>
      <c r="F8" s="2"/>
      <c r="G8" s="2"/>
    </row>
    <row r="9" spans="1:7" x14ac:dyDescent="0.25">
      <c r="A9" s="1"/>
      <c r="B9" s="9">
        <v>991</v>
      </c>
      <c r="C9" s="12">
        <v>3586</v>
      </c>
      <c r="E9" s="11"/>
      <c r="F9" s="2"/>
      <c r="G9" s="2"/>
    </row>
    <row r="10" spans="1:7" x14ac:dyDescent="0.25">
      <c r="A10" s="1"/>
      <c r="B10" s="9">
        <v>992</v>
      </c>
      <c r="C10" s="12">
        <v>3362</v>
      </c>
      <c r="E10" s="2"/>
      <c r="F10" s="2"/>
      <c r="G10" s="2"/>
    </row>
    <row r="11" spans="1:7" x14ac:dyDescent="0.25">
      <c r="A11" s="1"/>
      <c r="B11" s="9">
        <v>993</v>
      </c>
      <c r="C11" s="12">
        <v>400</v>
      </c>
      <c r="E11" s="2"/>
      <c r="F11" s="2"/>
      <c r="G11" s="2"/>
    </row>
    <row r="12" spans="1:7" x14ac:dyDescent="0.25">
      <c r="A12" s="1"/>
      <c r="B12" s="9">
        <v>994</v>
      </c>
      <c r="C12" s="12">
        <v>5556</v>
      </c>
      <c r="E12" s="2"/>
      <c r="F12" s="2"/>
      <c r="G12" s="2"/>
    </row>
    <row r="13" spans="1:7" x14ac:dyDescent="0.25">
      <c r="A13" s="1"/>
      <c r="B13" s="9" t="s">
        <v>4</v>
      </c>
      <c r="C13" s="12">
        <v>6346</v>
      </c>
      <c r="E13" s="2"/>
      <c r="F13" s="2"/>
      <c r="G13" s="2"/>
    </row>
    <row r="14" spans="1:7" x14ac:dyDescent="0.25">
      <c r="A14" s="1"/>
      <c r="B14" s="9" t="s">
        <v>5</v>
      </c>
      <c r="C14" s="12">
        <v>3855</v>
      </c>
      <c r="E14" s="2"/>
      <c r="F14" s="2"/>
      <c r="G14" s="2"/>
    </row>
    <row r="15" spans="1:7" x14ac:dyDescent="0.25">
      <c r="A15" s="1"/>
      <c r="B15" s="9" t="s">
        <v>6</v>
      </c>
      <c r="C15" s="12">
        <v>524</v>
      </c>
      <c r="E15" s="2"/>
      <c r="F15" s="2"/>
      <c r="G15" s="2"/>
    </row>
    <row r="16" spans="1:7" x14ac:dyDescent="0.25">
      <c r="A16" s="1"/>
      <c r="B16" s="9" t="s">
        <v>7</v>
      </c>
      <c r="C16" s="12">
        <v>4312</v>
      </c>
      <c r="E16" s="2"/>
      <c r="F16" s="2"/>
      <c r="G16" s="2"/>
    </row>
    <row r="17" spans="1:7" x14ac:dyDescent="0.25">
      <c r="A17" s="1"/>
      <c r="B17" s="9" t="s">
        <v>16</v>
      </c>
      <c r="C17" s="12">
        <v>2555</v>
      </c>
      <c r="E17" s="2"/>
      <c r="F17" s="2"/>
      <c r="G17" s="2"/>
    </row>
    <row r="18" spans="1:7" x14ac:dyDescent="0.25">
      <c r="A18" s="1"/>
      <c r="B18" s="9" t="s">
        <v>19</v>
      </c>
      <c r="C18" s="12">
        <v>3508</v>
      </c>
      <c r="E18" s="2"/>
      <c r="F18" s="2"/>
      <c r="G18" s="2"/>
    </row>
    <row r="19" spans="1:7" x14ac:dyDescent="0.25">
      <c r="A19" s="1"/>
      <c r="B19" s="9" t="s">
        <v>20</v>
      </c>
      <c r="C19" s="12">
        <v>403</v>
      </c>
      <c r="E19" s="2"/>
      <c r="F19" s="2"/>
      <c r="G19" s="2"/>
    </row>
    <row r="20" spans="1:7" x14ac:dyDescent="0.25">
      <c r="A20" s="1"/>
      <c r="B20" s="9" t="s">
        <v>21</v>
      </c>
      <c r="C20" s="12">
        <v>3954</v>
      </c>
      <c r="E20" s="2"/>
      <c r="F20" s="2"/>
      <c r="G20" s="2"/>
    </row>
    <row r="21" spans="1:7" x14ac:dyDescent="0.25">
      <c r="A21" s="1"/>
      <c r="B21" s="9" t="s">
        <v>22</v>
      </c>
      <c r="C21" s="12">
        <v>2503</v>
      </c>
      <c r="E21" s="2"/>
      <c r="F21" s="2"/>
      <c r="G21" s="2"/>
    </row>
    <row r="22" spans="1:7" x14ac:dyDescent="0.25">
      <c r="A22" s="1"/>
      <c r="B22" s="9" t="s">
        <v>23</v>
      </c>
      <c r="C22" s="12"/>
      <c r="E22" s="2"/>
      <c r="F22" s="2"/>
      <c r="G22" s="2"/>
    </row>
    <row r="23" spans="1:7" x14ac:dyDescent="0.25">
      <c r="A23" s="1"/>
      <c r="B23" s="9" t="s">
        <v>24</v>
      </c>
      <c r="C23" s="12"/>
      <c r="E23" s="2"/>
      <c r="F23" s="2"/>
      <c r="G23" s="2"/>
    </row>
    <row r="24" spans="1:7" x14ac:dyDescent="0.25">
      <c r="B24" s="9" t="s">
        <v>25</v>
      </c>
      <c r="C24" s="16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23"/>
  <sheetViews>
    <sheetView workbookViewId="0">
      <selection activeCell="E19" sqref="E19"/>
    </sheetView>
  </sheetViews>
  <sheetFormatPr defaultRowHeight="12.5" x14ac:dyDescent="0.25"/>
  <cols>
    <col min="2" max="3" width="15.7265625" customWidth="1"/>
    <col min="5" max="5" width="15.7265625" customWidth="1"/>
  </cols>
  <sheetData>
    <row r="1" spans="1:7" ht="23" x14ac:dyDescent="0.5">
      <c r="A1" s="63" t="s">
        <v>15</v>
      </c>
      <c r="B1" s="63"/>
      <c r="C1" s="63"/>
      <c r="D1" s="63"/>
      <c r="E1" s="63"/>
      <c r="F1" s="63"/>
      <c r="G1" s="63"/>
    </row>
    <row r="2" spans="1:7" x14ac:dyDescent="0.25">
      <c r="A2" s="1"/>
      <c r="B2" s="2"/>
      <c r="C2" s="2"/>
      <c r="E2" s="2"/>
      <c r="F2" s="2"/>
      <c r="G2" s="2"/>
    </row>
    <row r="3" spans="1:7" ht="13" thickBot="1" x14ac:dyDescent="0.3">
      <c r="A3" s="1"/>
      <c r="B3" s="2"/>
      <c r="C3" s="2"/>
      <c r="E3" s="2"/>
      <c r="F3" s="2"/>
      <c r="G3" s="2"/>
    </row>
    <row r="4" spans="1:7" ht="18.5" thickBot="1" x14ac:dyDescent="0.45">
      <c r="A4" s="1"/>
      <c r="B4" s="3" t="s">
        <v>1</v>
      </c>
      <c r="C4" s="8" t="s">
        <v>10</v>
      </c>
      <c r="E4" s="5" t="s">
        <v>11</v>
      </c>
      <c r="F4" s="2"/>
      <c r="G4" s="2"/>
    </row>
    <row r="5" spans="1:7" ht="13" thickBot="1" x14ac:dyDescent="0.3">
      <c r="A5" s="1"/>
      <c r="B5" s="9">
        <v>991</v>
      </c>
      <c r="C5" s="10">
        <v>2127</v>
      </c>
      <c r="E5" s="7">
        <f>SUM(C5:C23)</f>
        <v>17251</v>
      </c>
      <c r="F5" s="2"/>
      <c r="G5" s="11"/>
    </row>
    <row r="6" spans="1:7" x14ac:dyDescent="0.25">
      <c r="A6" s="1"/>
      <c r="B6" s="9">
        <v>992</v>
      </c>
      <c r="C6" s="12">
        <v>1589</v>
      </c>
      <c r="E6" s="11"/>
      <c r="F6" s="2"/>
      <c r="G6" s="2"/>
    </row>
    <row r="7" spans="1:7" ht="13" x14ac:dyDescent="0.3">
      <c r="A7" s="1"/>
      <c r="B7" s="9">
        <v>993</v>
      </c>
      <c r="C7" s="12">
        <v>1379</v>
      </c>
      <c r="E7" s="13"/>
      <c r="F7" s="2"/>
      <c r="G7" s="2"/>
    </row>
    <row r="8" spans="1:7" x14ac:dyDescent="0.25">
      <c r="A8" s="1"/>
      <c r="B8" s="9">
        <v>994</v>
      </c>
      <c r="C8" s="12">
        <v>1194</v>
      </c>
      <c r="E8" s="11"/>
      <c r="F8" s="2"/>
      <c r="G8" s="2"/>
    </row>
    <row r="9" spans="1:7" x14ac:dyDescent="0.25">
      <c r="A9" s="1"/>
      <c r="B9" s="9" t="s">
        <v>4</v>
      </c>
      <c r="C9" s="12">
        <v>3898</v>
      </c>
      <c r="E9" s="11"/>
      <c r="F9" s="2"/>
      <c r="G9" s="2"/>
    </row>
    <row r="10" spans="1:7" x14ac:dyDescent="0.25">
      <c r="A10" s="1"/>
      <c r="B10" s="9" t="s">
        <v>5</v>
      </c>
      <c r="C10" s="12">
        <v>1701</v>
      </c>
      <c r="E10" s="2"/>
      <c r="F10" s="2"/>
      <c r="G10" s="2"/>
    </row>
    <row r="11" spans="1:7" x14ac:dyDescent="0.25">
      <c r="A11" s="1"/>
      <c r="B11" s="9" t="s">
        <v>6</v>
      </c>
      <c r="C11" s="12">
        <v>305</v>
      </c>
      <c r="E11" s="2"/>
      <c r="F11" s="2"/>
      <c r="G11" s="2"/>
    </row>
    <row r="12" spans="1:7" x14ac:dyDescent="0.25">
      <c r="A12" s="1"/>
      <c r="B12" s="9" t="s">
        <v>7</v>
      </c>
      <c r="C12" s="12">
        <v>861</v>
      </c>
      <c r="E12" s="2"/>
      <c r="F12" s="2"/>
      <c r="G12" s="2"/>
    </row>
    <row r="13" spans="1:7" x14ac:dyDescent="0.25">
      <c r="A13" s="1"/>
      <c r="B13" s="9" t="s">
        <v>16</v>
      </c>
      <c r="C13" s="12">
        <v>1007</v>
      </c>
      <c r="E13" s="2"/>
      <c r="F13" s="2"/>
      <c r="G13" s="2"/>
    </row>
    <row r="14" spans="1:7" x14ac:dyDescent="0.25">
      <c r="A14" s="1"/>
      <c r="B14" s="9" t="s">
        <v>19</v>
      </c>
      <c r="C14" s="12">
        <v>1090</v>
      </c>
      <c r="E14" s="2"/>
      <c r="F14" s="2"/>
      <c r="G14" s="2"/>
    </row>
    <row r="15" spans="1:7" x14ac:dyDescent="0.25">
      <c r="A15" s="1"/>
      <c r="B15" s="9" t="s">
        <v>20</v>
      </c>
      <c r="C15" s="12">
        <v>208</v>
      </c>
      <c r="E15" s="2"/>
      <c r="F15" s="2"/>
      <c r="G15" s="2"/>
    </row>
    <row r="16" spans="1:7" x14ac:dyDescent="0.25">
      <c r="A16" s="1"/>
      <c r="B16" s="9" t="s">
        <v>21</v>
      </c>
      <c r="C16" s="12">
        <v>794</v>
      </c>
      <c r="E16" s="2"/>
      <c r="F16" s="2"/>
      <c r="G16" s="2"/>
    </row>
    <row r="17" spans="1:7" x14ac:dyDescent="0.25">
      <c r="A17" s="1"/>
      <c r="B17" s="9" t="s">
        <v>22</v>
      </c>
      <c r="C17" s="12">
        <v>751</v>
      </c>
      <c r="E17" s="2"/>
      <c r="F17" s="2"/>
      <c r="G17" s="2"/>
    </row>
    <row r="18" spans="1:7" x14ac:dyDescent="0.25">
      <c r="A18" s="1"/>
      <c r="B18" s="9" t="s">
        <v>23</v>
      </c>
      <c r="C18" s="12">
        <v>347</v>
      </c>
      <c r="E18" s="2"/>
      <c r="F18" s="2"/>
      <c r="G18" s="2"/>
    </row>
    <row r="19" spans="1:7" x14ac:dyDescent="0.25">
      <c r="A19" s="1"/>
      <c r="B19" s="9" t="s">
        <v>24</v>
      </c>
      <c r="C19" s="12"/>
      <c r="E19" s="2"/>
      <c r="F19" s="2"/>
      <c r="G19" s="2"/>
    </row>
    <row r="20" spans="1:7" x14ac:dyDescent="0.25">
      <c r="A20" s="1"/>
      <c r="B20" s="9" t="s">
        <v>25</v>
      </c>
      <c r="C20" s="12"/>
      <c r="E20" s="2"/>
      <c r="F20" s="2"/>
      <c r="G20" s="2"/>
    </row>
    <row r="21" spans="1:7" x14ac:dyDescent="0.25">
      <c r="A21" s="1"/>
      <c r="B21" s="9"/>
      <c r="C21" s="12"/>
      <c r="E21" s="2"/>
      <c r="F21" s="2"/>
      <c r="G21" s="2"/>
    </row>
    <row r="22" spans="1:7" x14ac:dyDescent="0.25">
      <c r="A22" s="1"/>
      <c r="B22" s="9"/>
      <c r="C22" s="12"/>
      <c r="E22" s="2"/>
      <c r="F22" s="2"/>
      <c r="G22" s="2"/>
    </row>
    <row r="23" spans="1:7" x14ac:dyDescent="0.25">
      <c r="A23" s="1"/>
      <c r="B23" s="9"/>
      <c r="C23" s="12"/>
      <c r="E23" s="2"/>
      <c r="F23" s="2"/>
      <c r="G23" s="2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3"/>
  <sheetViews>
    <sheetView topLeftCell="A10" workbookViewId="0">
      <selection activeCell="E6" sqref="E6"/>
    </sheetView>
  </sheetViews>
  <sheetFormatPr defaultRowHeight="12.5" x14ac:dyDescent="0.25"/>
  <cols>
    <col min="2" max="2" width="15.7265625" customWidth="1"/>
    <col min="3" max="3" width="15.54296875" customWidth="1"/>
    <col min="5" max="5" width="15.54296875" customWidth="1"/>
  </cols>
  <sheetData>
    <row r="1" spans="1:7" ht="23" x14ac:dyDescent="0.5">
      <c r="A1" s="63" t="s">
        <v>13</v>
      </c>
      <c r="B1" s="63"/>
      <c r="C1" s="63"/>
      <c r="D1" s="63"/>
      <c r="E1" s="63"/>
      <c r="F1" s="63"/>
      <c r="G1" s="63"/>
    </row>
    <row r="2" spans="1:7" x14ac:dyDescent="0.25">
      <c r="A2" s="1"/>
      <c r="B2" s="2"/>
      <c r="C2" s="2"/>
      <c r="E2" s="2"/>
      <c r="F2" s="2"/>
      <c r="G2" s="2"/>
    </row>
    <row r="3" spans="1:7" ht="13" thickBot="1" x14ac:dyDescent="0.3">
      <c r="A3" s="1"/>
      <c r="B3" s="2"/>
      <c r="C3" s="2"/>
      <c r="E3" s="2"/>
      <c r="F3" s="2"/>
      <c r="G3" s="2"/>
    </row>
    <row r="4" spans="1:7" ht="18.5" thickBot="1" x14ac:dyDescent="0.45">
      <c r="A4" s="1"/>
      <c r="B4" s="3" t="s">
        <v>1</v>
      </c>
      <c r="C4" s="8" t="s">
        <v>10</v>
      </c>
      <c r="E4" s="5" t="s">
        <v>11</v>
      </c>
      <c r="F4" s="2"/>
      <c r="G4" s="2"/>
    </row>
    <row r="5" spans="1:7" ht="13" thickBot="1" x14ac:dyDescent="0.3">
      <c r="A5" s="1"/>
      <c r="B5" s="6">
        <v>981</v>
      </c>
      <c r="C5" s="10">
        <v>1536</v>
      </c>
      <c r="E5" s="7">
        <f>SUM(C5:C23)</f>
        <v>21895</v>
      </c>
      <c r="F5" s="2"/>
      <c r="G5" s="11"/>
    </row>
    <row r="6" spans="1:7" x14ac:dyDescent="0.25">
      <c r="A6" s="1"/>
      <c r="B6" s="9">
        <v>982</v>
      </c>
      <c r="C6" s="12">
        <v>4313</v>
      </c>
      <c r="E6" s="11"/>
      <c r="F6" s="2"/>
      <c r="G6" s="2"/>
    </row>
    <row r="7" spans="1:7" ht="13" x14ac:dyDescent="0.3">
      <c r="A7" s="1"/>
      <c r="B7" s="9">
        <v>983</v>
      </c>
      <c r="C7" s="12">
        <v>2708</v>
      </c>
      <c r="E7" s="13"/>
      <c r="F7" s="2"/>
      <c r="G7" s="2"/>
    </row>
    <row r="8" spans="1:7" x14ac:dyDescent="0.25">
      <c r="A8" s="1"/>
      <c r="B8" s="9">
        <v>984</v>
      </c>
      <c r="C8" s="12">
        <v>955</v>
      </c>
      <c r="E8" s="11"/>
      <c r="F8" s="2"/>
      <c r="G8" s="2"/>
    </row>
    <row r="9" spans="1:7" x14ac:dyDescent="0.25">
      <c r="A9" s="1"/>
      <c r="B9" s="9">
        <v>991</v>
      </c>
      <c r="C9" s="12">
        <v>2538</v>
      </c>
      <c r="E9" s="11"/>
      <c r="F9" s="2"/>
      <c r="G9" s="2"/>
    </row>
    <row r="10" spans="1:7" x14ac:dyDescent="0.25">
      <c r="A10" s="1"/>
      <c r="B10" s="9">
        <v>992</v>
      </c>
      <c r="C10" s="12">
        <v>4501</v>
      </c>
      <c r="E10" s="2"/>
      <c r="F10" s="2"/>
      <c r="G10" s="2"/>
    </row>
    <row r="11" spans="1:7" x14ac:dyDescent="0.25">
      <c r="A11" s="1"/>
      <c r="B11" s="9">
        <v>993</v>
      </c>
      <c r="C11" s="12">
        <v>1803</v>
      </c>
      <c r="E11" s="2"/>
      <c r="F11" s="2"/>
      <c r="G11" s="2"/>
    </row>
    <row r="12" spans="1:7" x14ac:dyDescent="0.25">
      <c r="A12" s="1"/>
      <c r="B12" s="9">
        <v>994</v>
      </c>
      <c r="C12" s="12">
        <v>1086</v>
      </c>
      <c r="E12" s="2"/>
      <c r="F12" s="2"/>
      <c r="G12" s="2"/>
    </row>
    <row r="13" spans="1:7" x14ac:dyDescent="0.25">
      <c r="A13" s="1"/>
      <c r="B13" s="9" t="s">
        <v>4</v>
      </c>
      <c r="C13" s="12">
        <v>2455</v>
      </c>
      <c r="E13" s="2"/>
      <c r="F13" s="2"/>
      <c r="G13" s="2"/>
    </row>
    <row r="14" spans="1:7" x14ac:dyDescent="0.25">
      <c r="A14" s="1"/>
      <c r="B14" s="9" t="s">
        <v>5</v>
      </c>
      <c r="C14" s="12"/>
      <c r="E14" s="2"/>
      <c r="F14" s="2"/>
      <c r="G14" s="2"/>
    </row>
    <row r="15" spans="1:7" x14ac:dyDescent="0.25">
      <c r="A15" s="1"/>
      <c r="B15" s="9" t="s">
        <v>6</v>
      </c>
      <c r="C15" s="12"/>
      <c r="E15" s="2"/>
      <c r="F15" s="2"/>
      <c r="G15" s="2"/>
    </row>
    <row r="16" spans="1:7" x14ac:dyDescent="0.25">
      <c r="A16" s="1"/>
      <c r="B16" s="9" t="s">
        <v>7</v>
      </c>
      <c r="C16" s="12"/>
      <c r="E16" s="2"/>
      <c r="F16" s="2"/>
      <c r="G16" s="2"/>
    </row>
    <row r="17" spans="1:7" x14ac:dyDescent="0.25">
      <c r="A17" s="1"/>
      <c r="B17" s="9" t="s">
        <v>16</v>
      </c>
      <c r="C17" s="12"/>
      <c r="E17" s="2"/>
      <c r="F17" s="2"/>
      <c r="G17" s="2"/>
    </row>
    <row r="18" spans="1:7" x14ac:dyDescent="0.25">
      <c r="A18" s="1"/>
      <c r="B18" s="9" t="s">
        <v>19</v>
      </c>
      <c r="C18" s="12"/>
      <c r="E18" s="2"/>
      <c r="F18" s="2"/>
      <c r="G18" s="2"/>
    </row>
    <row r="19" spans="1:7" x14ac:dyDescent="0.25">
      <c r="A19" s="1"/>
      <c r="B19" s="9" t="s">
        <v>20</v>
      </c>
      <c r="C19" s="12"/>
      <c r="E19" s="2"/>
      <c r="F19" s="2"/>
      <c r="G19" s="2"/>
    </row>
    <row r="20" spans="1:7" x14ac:dyDescent="0.25">
      <c r="A20" s="1"/>
      <c r="B20" s="9" t="s">
        <v>21</v>
      </c>
      <c r="C20" s="12"/>
      <c r="E20" s="2"/>
      <c r="F20" s="2"/>
      <c r="G20" s="2"/>
    </row>
    <row r="21" spans="1:7" x14ac:dyDescent="0.25">
      <c r="A21" s="1"/>
      <c r="B21" s="9" t="s">
        <v>22</v>
      </c>
      <c r="C21" s="12"/>
      <c r="E21" s="2"/>
      <c r="F21" s="2"/>
      <c r="G21" s="2"/>
    </row>
    <row r="22" spans="1:7" x14ac:dyDescent="0.25">
      <c r="A22" s="1"/>
      <c r="B22" s="9"/>
      <c r="C22" s="12"/>
      <c r="E22" s="2"/>
      <c r="F22" s="2"/>
      <c r="G22" s="2"/>
    </row>
    <row r="23" spans="1:7" x14ac:dyDescent="0.25">
      <c r="A23" s="1"/>
      <c r="B23" s="9"/>
      <c r="C23" s="12"/>
      <c r="E23" s="2"/>
      <c r="F23" s="2"/>
      <c r="G23" s="2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3"/>
  <sheetViews>
    <sheetView workbookViewId="0">
      <selection activeCell="F18" sqref="F18"/>
    </sheetView>
  </sheetViews>
  <sheetFormatPr defaultRowHeight="12.5" x14ac:dyDescent="0.25"/>
  <cols>
    <col min="2" max="3" width="15.7265625" customWidth="1"/>
    <col min="5" max="5" width="15.54296875" customWidth="1"/>
  </cols>
  <sheetData>
    <row r="1" spans="1:7" ht="23" x14ac:dyDescent="0.5">
      <c r="A1" s="63" t="s">
        <v>8</v>
      </c>
      <c r="B1" s="63"/>
      <c r="C1" s="63"/>
      <c r="D1" s="63"/>
      <c r="E1" s="63"/>
      <c r="F1" s="63"/>
      <c r="G1" s="63"/>
    </row>
    <row r="2" spans="1:7" x14ac:dyDescent="0.25">
      <c r="A2" s="1"/>
      <c r="B2" s="2"/>
      <c r="C2" s="2"/>
      <c r="E2" s="2"/>
      <c r="F2" s="2"/>
      <c r="G2" s="2"/>
    </row>
    <row r="3" spans="1:7" ht="13" thickBot="1" x14ac:dyDescent="0.3">
      <c r="A3" s="1"/>
      <c r="B3" s="2"/>
      <c r="C3" s="2"/>
      <c r="E3" s="2"/>
      <c r="F3" s="2"/>
      <c r="G3" s="2"/>
    </row>
    <row r="4" spans="1:7" ht="18.5" thickBot="1" x14ac:dyDescent="0.45">
      <c r="A4" s="1"/>
      <c r="B4" s="3" t="s">
        <v>9</v>
      </c>
      <c r="C4" s="8" t="s">
        <v>10</v>
      </c>
      <c r="E4" s="5" t="s">
        <v>11</v>
      </c>
      <c r="F4" s="2"/>
      <c r="G4" s="2"/>
    </row>
    <row r="5" spans="1:7" ht="13" thickBot="1" x14ac:dyDescent="0.3">
      <c r="A5" s="1"/>
      <c r="B5" s="9" t="s">
        <v>53</v>
      </c>
      <c r="C5" s="10">
        <v>4691</v>
      </c>
      <c r="E5" s="7">
        <f>SUM(C5:C23)</f>
        <v>22810</v>
      </c>
      <c r="F5" s="2"/>
      <c r="G5" s="11"/>
    </row>
    <row r="6" spans="1:7" x14ac:dyDescent="0.25">
      <c r="A6" s="1"/>
      <c r="B6" s="9" t="s">
        <v>54</v>
      </c>
      <c r="C6" s="12">
        <v>1147</v>
      </c>
      <c r="E6" s="11"/>
      <c r="F6" s="2"/>
      <c r="G6" s="2"/>
    </row>
    <row r="7" spans="1:7" ht="13" x14ac:dyDescent="0.3">
      <c r="A7" s="1"/>
      <c r="B7" s="9" t="s">
        <v>55</v>
      </c>
      <c r="C7" s="12">
        <v>4277</v>
      </c>
      <c r="E7" s="13"/>
      <c r="F7" s="2"/>
      <c r="G7" s="2"/>
    </row>
    <row r="8" spans="1:7" x14ac:dyDescent="0.25">
      <c r="A8" s="1"/>
      <c r="B8" s="9" t="s">
        <v>56</v>
      </c>
      <c r="C8" s="12">
        <v>6817</v>
      </c>
      <c r="E8" s="11"/>
      <c r="F8" s="2"/>
      <c r="G8" s="2"/>
    </row>
    <row r="9" spans="1:7" x14ac:dyDescent="0.25">
      <c r="A9" s="1"/>
      <c r="B9" s="9" t="s">
        <v>57</v>
      </c>
      <c r="C9" s="12">
        <v>5878</v>
      </c>
      <c r="E9" s="11"/>
      <c r="F9" s="2"/>
      <c r="G9" s="2"/>
    </row>
    <row r="10" spans="1:7" x14ac:dyDescent="0.25">
      <c r="A10" s="1"/>
      <c r="B10" s="9" t="s">
        <v>58</v>
      </c>
      <c r="C10" s="12"/>
      <c r="E10" s="2"/>
      <c r="F10" s="2"/>
      <c r="G10" s="2"/>
    </row>
    <row r="11" spans="1:7" x14ac:dyDescent="0.25">
      <c r="A11" s="1"/>
      <c r="B11" s="9" t="s">
        <v>59</v>
      </c>
      <c r="C11" s="12"/>
      <c r="E11" s="2"/>
      <c r="F11" s="2"/>
      <c r="G11" s="2"/>
    </row>
    <row r="12" spans="1:7" x14ac:dyDescent="0.25">
      <c r="A12" s="1"/>
      <c r="B12" s="9" t="s">
        <v>60</v>
      </c>
      <c r="C12" s="12"/>
      <c r="E12" s="2"/>
      <c r="F12" s="2"/>
      <c r="G12" s="2"/>
    </row>
    <row r="13" spans="1:7" x14ac:dyDescent="0.25">
      <c r="A13" s="1"/>
      <c r="B13" s="9" t="s">
        <v>61</v>
      </c>
      <c r="C13" s="12"/>
      <c r="E13" s="2"/>
      <c r="F13" s="2"/>
      <c r="G13" s="2"/>
    </row>
    <row r="14" spans="1:7" x14ac:dyDescent="0.25">
      <c r="A14" s="1"/>
      <c r="B14" s="9"/>
      <c r="C14" s="12"/>
      <c r="E14" s="2"/>
      <c r="F14" s="2"/>
      <c r="G14" s="2"/>
    </row>
    <row r="15" spans="1:7" x14ac:dyDescent="0.25">
      <c r="A15" s="1"/>
      <c r="B15" s="9"/>
      <c r="C15" s="12"/>
      <c r="E15" s="2"/>
      <c r="F15" s="2"/>
      <c r="G15" s="2"/>
    </row>
    <row r="16" spans="1:7" x14ac:dyDescent="0.25">
      <c r="A16" s="1"/>
      <c r="B16" s="9"/>
      <c r="C16" s="12"/>
      <c r="E16" s="2"/>
      <c r="F16" s="2"/>
      <c r="G16" s="2"/>
    </row>
    <row r="17" spans="1:7" x14ac:dyDescent="0.25">
      <c r="A17" s="1"/>
      <c r="B17" s="9"/>
      <c r="C17" s="12"/>
      <c r="E17" s="2"/>
      <c r="F17" s="2"/>
      <c r="G17" s="2"/>
    </row>
    <row r="18" spans="1:7" x14ac:dyDescent="0.25">
      <c r="A18" s="1"/>
      <c r="B18" s="9"/>
      <c r="C18" s="12"/>
      <c r="E18" s="2"/>
      <c r="F18" s="2"/>
      <c r="G18" s="2"/>
    </row>
    <row r="19" spans="1:7" x14ac:dyDescent="0.25">
      <c r="A19" s="1"/>
      <c r="B19" s="9"/>
      <c r="C19" s="12"/>
      <c r="E19" s="2"/>
      <c r="F19" s="2"/>
      <c r="G19" s="2"/>
    </row>
    <row r="20" spans="1:7" x14ac:dyDescent="0.25">
      <c r="A20" s="1"/>
      <c r="B20" s="12"/>
      <c r="C20" s="12"/>
      <c r="E20" s="2"/>
      <c r="F20" s="2"/>
      <c r="G20" s="2"/>
    </row>
    <row r="21" spans="1:7" x14ac:dyDescent="0.25">
      <c r="A21" s="1"/>
      <c r="B21" s="12"/>
      <c r="C21" s="12"/>
      <c r="E21" s="2"/>
      <c r="F21" s="2"/>
      <c r="G21" s="2"/>
    </row>
    <row r="22" spans="1:7" x14ac:dyDescent="0.25">
      <c r="A22" s="1"/>
      <c r="B22" s="12"/>
      <c r="C22" s="12"/>
      <c r="E22" s="2"/>
      <c r="F22" s="2"/>
      <c r="G22" s="2"/>
    </row>
    <row r="23" spans="1:7" x14ac:dyDescent="0.25">
      <c r="A23" s="1"/>
      <c r="B23" s="12"/>
      <c r="C23" s="12"/>
      <c r="E23" s="2"/>
      <c r="F23" s="2"/>
      <c r="G23" s="2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4"/>
  <sheetViews>
    <sheetView workbookViewId="0">
      <pane xSplit="14970" topLeftCell="N1"/>
      <selection activeCell="E6" sqref="E6"/>
      <selection pane="topRight" activeCell="N1" sqref="N1"/>
    </sheetView>
  </sheetViews>
  <sheetFormatPr defaultRowHeight="12.5" x14ac:dyDescent="0.25"/>
  <cols>
    <col min="2" max="3" width="15.7265625" customWidth="1"/>
    <col min="5" max="5" width="15.7265625" customWidth="1"/>
  </cols>
  <sheetData>
    <row r="1" spans="1:8" ht="23" x14ac:dyDescent="0.5">
      <c r="A1" s="63" t="s">
        <v>12</v>
      </c>
      <c r="B1" s="63"/>
      <c r="C1" s="63"/>
      <c r="D1" s="63"/>
      <c r="E1" s="63"/>
      <c r="F1" s="63"/>
      <c r="G1" s="63"/>
    </row>
    <row r="2" spans="1:8" x14ac:dyDescent="0.25">
      <c r="A2" s="1"/>
      <c r="B2" s="2"/>
      <c r="C2" s="2"/>
      <c r="E2" s="2"/>
      <c r="F2" s="2"/>
      <c r="G2" s="2"/>
    </row>
    <row r="3" spans="1:8" ht="13" thickBot="1" x14ac:dyDescent="0.3">
      <c r="A3" s="1"/>
      <c r="B3" s="2"/>
      <c r="C3" s="2"/>
      <c r="E3" s="2"/>
      <c r="F3" s="2"/>
      <c r="G3" s="2"/>
    </row>
    <row r="4" spans="1:8" ht="18.5" thickBot="1" x14ac:dyDescent="0.45">
      <c r="A4" s="1"/>
      <c r="B4" s="3" t="s">
        <v>1</v>
      </c>
      <c r="C4" s="8" t="s">
        <v>10</v>
      </c>
      <c r="E4" s="5" t="s">
        <v>11</v>
      </c>
      <c r="F4" s="2"/>
      <c r="G4" s="2"/>
    </row>
    <row r="5" spans="1:8" ht="13" thickBot="1" x14ac:dyDescent="0.3">
      <c r="A5" s="1"/>
      <c r="B5" s="6">
        <v>981</v>
      </c>
      <c r="C5" s="10">
        <v>3286</v>
      </c>
      <c r="E5" s="7">
        <f>SUM(C5:C24)</f>
        <v>18099</v>
      </c>
      <c r="F5" s="2"/>
      <c r="G5" s="11"/>
    </row>
    <row r="6" spans="1:8" x14ac:dyDescent="0.25">
      <c r="A6" s="1"/>
      <c r="B6" s="9">
        <v>982</v>
      </c>
      <c r="C6" s="12">
        <v>587</v>
      </c>
      <c r="E6" s="11"/>
      <c r="F6" s="2"/>
      <c r="G6" s="2"/>
    </row>
    <row r="7" spans="1:8" ht="13" x14ac:dyDescent="0.3">
      <c r="A7" s="1"/>
      <c r="B7" s="9">
        <v>983</v>
      </c>
      <c r="C7" s="12">
        <v>43</v>
      </c>
      <c r="E7" s="13"/>
      <c r="F7" s="2"/>
      <c r="G7" s="2"/>
    </row>
    <row r="8" spans="1:8" x14ac:dyDescent="0.25">
      <c r="A8" s="1"/>
      <c r="B8" s="9">
        <v>984</v>
      </c>
      <c r="C8" s="12">
        <v>323</v>
      </c>
      <c r="E8" s="11"/>
      <c r="F8" s="2"/>
      <c r="G8" s="2"/>
      <c r="H8" s="17"/>
    </row>
    <row r="9" spans="1:8" x14ac:dyDescent="0.25">
      <c r="A9" s="1"/>
      <c r="B9" s="9">
        <v>991</v>
      </c>
      <c r="C9" s="12">
        <v>6202</v>
      </c>
      <c r="E9" s="11"/>
      <c r="F9" s="2"/>
      <c r="G9" s="2"/>
      <c r="H9" s="17"/>
    </row>
    <row r="10" spans="1:8" x14ac:dyDescent="0.25">
      <c r="A10" s="1"/>
      <c r="B10" s="9">
        <v>992</v>
      </c>
      <c r="C10" s="12">
        <v>269</v>
      </c>
      <c r="E10" s="2"/>
      <c r="F10" s="2"/>
      <c r="G10" s="2"/>
      <c r="H10" s="17"/>
    </row>
    <row r="11" spans="1:8" x14ac:dyDescent="0.25">
      <c r="A11" s="1"/>
      <c r="B11" s="9">
        <v>993</v>
      </c>
      <c r="C11" s="12">
        <v>15</v>
      </c>
      <c r="E11" s="2"/>
      <c r="F11" s="2"/>
      <c r="G11" s="2"/>
    </row>
    <row r="12" spans="1:8" x14ac:dyDescent="0.25">
      <c r="A12" s="1"/>
      <c r="B12" s="9">
        <v>994</v>
      </c>
      <c r="C12" s="12">
        <v>311</v>
      </c>
      <c r="E12" s="2"/>
      <c r="F12" s="2"/>
      <c r="G12" s="2"/>
    </row>
    <row r="13" spans="1:8" x14ac:dyDescent="0.25">
      <c r="A13" s="1"/>
      <c r="B13" s="9" t="s">
        <v>4</v>
      </c>
      <c r="C13" s="12">
        <v>5975</v>
      </c>
      <c r="E13" s="2"/>
      <c r="F13" s="2"/>
      <c r="G13" s="2"/>
    </row>
    <row r="14" spans="1:8" x14ac:dyDescent="0.25">
      <c r="A14" s="1"/>
      <c r="B14" s="9" t="s">
        <v>5</v>
      </c>
      <c r="C14" s="12">
        <v>50</v>
      </c>
      <c r="E14" s="2"/>
      <c r="F14" s="2"/>
      <c r="G14" s="2"/>
    </row>
    <row r="15" spans="1:8" x14ac:dyDescent="0.25">
      <c r="A15" s="1"/>
      <c r="B15" s="9" t="s">
        <v>6</v>
      </c>
      <c r="C15" s="12">
        <v>85</v>
      </c>
      <c r="E15" s="2"/>
      <c r="F15" s="2"/>
      <c r="G15" s="2"/>
    </row>
    <row r="16" spans="1:8" x14ac:dyDescent="0.25">
      <c r="A16" s="1"/>
      <c r="B16" s="9" t="s">
        <v>7</v>
      </c>
      <c r="C16" s="12">
        <v>953</v>
      </c>
      <c r="E16" s="2"/>
      <c r="F16" s="2"/>
      <c r="G16" s="2"/>
    </row>
    <row r="17" spans="1:7" x14ac:dyDescent="0.25">
      <c r="A17" s="1"/>
      <c r="B17" s="9" t="s">
        <v>16</v>
      </c>
      <c r="C17" s="12"/>
      <c r="E17" s="2"/>
      <c r="F17" s="2"/>
      <c r="G17" s="2"/>
    </row>
    <row r="18" spans="1:7" x14ac:dyDescent="0.25">
      <c r="A18" s="1"/>
      <c r="B18" s="9" t="s">
        <v>19</v>
      </c>
      <c r="C18" s="12"/>
      <c r="E18" s="2"/>
      <c r="F18" s="2"/>
      <c r="G18" s="2"/>
    </row>
    <row r="19" spans="1:7" x14ac:dyDescent="0.25">
      <c r="A19" s="1"/>
      <c r="B19" s="9" t="s">
        <v>20</v>
      </c>
      <c r="C19" s="12"/>
      <c r="E19" s="2"/>
      <c r="F19" s="2"/>
      <c r="G19" s="2"/>
    </row>
    <row r="20" spans="1:7" x14ac:dyDescent="0.25">
      <c r="A20" s="1"/>
      <c r="B20" s="9" t="s">
        <v>21</v>
      </c>
      <c r="C20" s="12"/>
      <c r="E20" s="2"/>
      <c r="F20" s="2"/>
      <c r="G20" s="2"/>
    </row>
    <row r="21" spans="1:7" x14ac:dyDescent="0.25">
      <c r="A21" s="1"/>
      <c r="B21" s="9" t="s">
        <v>22</v>
      </c>
      <c r="C21" s="12"/>
      <c r="E21" s="2"/>
      <c r="F21" s="2"/>
      <c r="G21" s="2"/>
    </row>
    <row r="22" spans="1:7" x14ac:dyDescent="0.25">
      <c r="A22" s="1"/>
      <c r="B22" s="9" t="s">
        <v>23</v>
      </c>
      <c r="C22" s="12"/>
      <c r="E22" s="2"/>
      <c r="F22" s="2"/>
      <c r="G22" s="2"/>
    </row>
    <row r="23" spans="1:7" x14ac:dyDescent="0.25">
      <c r="A23" s="1"/>
      <c r="B23" s="9" t="s">
        <v>24</v>
      </c>
      <c r="C23" s="12"/>
      <c r="E23" s="2"/>
      <c r="F23" s="2"/>
      <c r="G23" s="2"/>
    </row>
    <row r="24" spans="1:7" x14ac:dyDescent="0.25">
      <c r="B24" s="9" t="s">
        <v>25</v>
      </c>
      <c r="C24" s="18"/>
    </row>
  </sheetData>
  <mergeCells count="1">
    <mergeCell ref="A1:G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44"/>
  <sheetViews>
    <sheetView tabSelected="1" topLeftCell="A8" workbookViewId="0">
      <selection activeCell="D23" sqref="D23"/>
    </sheetView>
  </sheetViews>
  <sheetFormatPr defaultRowHeight="12.5" x14ac:dyDescent="0.25"/>
  <cols>
    <col min="1" max="1" width="10.7265625" customWidth="1"/>
    <col min="2" max="4" width="15.7265625" customWidth="1"/>
    <col min="5" max="5" width="15.7265625" bestFit="1" customWidth="1"/>
    <col min="6" max="6" width="14.1796875" customWidth="1"/>
  </cols>
  <sheetData>
    <row r="2" spans="1:6" ht="23" x14ac:dyDescent="0.5">
      <c r="A2" s="63" t="s">
        <v>0</v>
      </c>
      <c r="B2" s="63"/>
      <c r="C2" s="63"/>
      <c r="D2" s="63"/>
      <c r="E2" s="63"/>
      <c r="F2" s="63"/>
    </row>
    <row r="3" spans="1:6" x14ac:dyDescent="0.25">
      <c r="B3" s="1"/>
      <c r="C3" s="2"/>
      <c r="D3" s="2"/>
      <c r="F3" s="2"/>
    </row>
    <row r="4" spans="1:6" ht="13" thickBot="1" x14ac:dyDescent="0.3">
      <c r="B4" s="1"/>
      <c r="C4" s="2"/>
      <c r="D4" s="2"/>
      <c r="F4" s="2"/>
    </row>
    <row r="5" spans="1:6" ht="16" thickBot="1" x14ac:dyDescent="0.4">
      <c r="B5" s="34" t="s">
        <v>1</v>
      </c>
      <c r="C5" s="4" t="s">
        <v>2</v>
      </c>
      <c r="D5" s="30" t="s">
        <v>3</v>
      </c>
      <c r="E5" s="31" t="s">
        <v>62</v>
      </c>
      <c r="F5" s="8" t="s">
        <v>65</v>
      </c>
    </row>
    <row r="6" spans="1:6" x14ac:dyDescent="0.25">
      <c r="B6" s="6">
        <v>981</v>
      </c>
      <c r="C6" s="35">
        <v>684</v>
      </c>
      <c r="D6" s="35">
        <v>25918</v>
      </c>
      <c r="E6" s="16">
        <f t="shared" ref="E6:E22" si="0">SUM(C6:D6)</f>
        <v>26602</v>
      </c>
      <c r="F6" s="36" t="s">
        <v>66</v>
      </c>
    </row>
    <row r="7" spans="1:6" x14ac:dyDescent="0.25">
      <c r="B7" s="6">
        <v>982</v>
      </c>
      <c r="C7" s="16">
        <v>635</v>
      </c>
      <c r="D7" s="16">
        <v>23902</v>
      </c>
      <c r="E7" s="16">
        <f t="shared" si="0"/>
        <v>24537</v>
      </c>
      <c r="F7" s="37" t="s">
        <v>67</v>
      </c>
    </row>
    <row r="8" spans="1:6" x14ac:dyDescent="0.25">
      <c r="B8" s="6">
        <v>983</v>
      </c>
      <c r="C8" s="16">
        <v>40</v>
      </c>
      <c r="D8" s="16">
        <v>2489</v>
      </c>
      <c r="E8" s="16">
        <f t="shared" si="0"/>
        <v>2529</v>
      </c>
      <c r="F8" s="37" t="s">
        <v>68</v>
      </c>
    </row>
    <row r="9" spans="1:6" x14ac:dyDescent="0.25">
      <c r="B9" s="6">
        <v>984</v>
      </c>
      <c r="C9" s="16">
        <v>881</v>
      </c>
      <c r="D9" s="16">
        <v>28137</v>
      </c>
      <c r="E9" s="16">
        <f t="shared" si="0"/>
        <v>29018</v>
      </c>
      <c r="F9" s="37" t="s">
        <v>69</v>
      </c>
    </row>
    <row r="10" spans="1:6" x14ac:dyDescent="0.25">
      <c r="B10" s="6">
        <v>991</v>
      </c>
      <c r="C10" s="16">
        <v>744</v>
      </c>
      <c r="D10" s="16">
        <v>28860</v>
      </c>
      <c r="E10" s="16">
        <f t="shared" si="0"/>
        <v>29604</v>
      </c>
      <c r="F10" s="37" t="s">
        <v>77</v>
      </c>
    </row>
    <row r="11" spans="1:6" x14ac:dyDescent="0.25">
      <c r="B11" s="6">
        <v>992</v>
      </c>
      <c r="C11" s="16">
        <v>5873</v>
      </c>
      <c r="D11" s="16">
        <v>26326</v>
      </c>
      <c r="E11" s="16">
        <f t="shared" si="0"/>
        <v>32199</v>
      </c>
      <c r="F11" s="37" t="s">
        <v>70</v>
      </c>
    </row>
    <row r="12" spans="1:6" x14ac:dyDescent="0.25">
      <c r="B12" s="6">
        <v>993</v>
      </c>
      <c r="C12" s="16">
        <v>65</v>
      </c>
      <c r="D12" s="16">
        <v>3000</v>
      </c>
      <c r="E12" s="16">
        <f t="shared" si="0"/>
        <v>3065</v>
      </c>
      <c r="F12" s="37" t="s">
        <v>68</v>
      </c>
    </row>
    <row r="13" spans="1:6" x14ac:dyDescent="0.25">
      <c r="B13" s="6">
        <v>994</v>
      </c>
      <c r="C13" s="16">
        <v>5408</v>
      </c>
      <c r="D13" s="16">
        <v>35495</v>
      </c>
      <c r="E13" s="16">
        <f t="shared" si="0"/>
        <v>40903</v>
      </c>
      <c r="F13" s="37">
        <v>41</v>
      </c>
    </row>
    <row r="14" spans="1:6" x14ac:dyDescent="0.25">
      <c r="B14" s="6" t="s">
        <v>4</v>
      </c>
      <c r="C14" s="16">
        <v>345</v>
      </c>
      <c r="D14" s="16">
        <v>32763</v>
      </c>
      <c r="E14" s="16">
        <f t="shared" si="0"/>
        <v>33108</v>
      </c>
      <c r="F14" s="37">
        <v>33</v>
      </c>
    </row>
    <row r="15" spans="1:6" x14ac:dyDescent="0.25">
      <c r="B15" s="6" t="s">
        <v>5</v>
      </c>
      <c r="C15" s="16">
        <v>564</v>
      </c>
      <c r="D15" s="16">
        <v>26179</v>
      </c>
      <c r="E15" s="16">
        <f t="shared" si="0"/>
        <v>26743</v>
      </c>
      <c r="F15" s="16">
        <v>27</v>
      </c>
    </row>
    <row r="16" spans="1:6" x14ac:dyDescent="0.25">
      <c r="B16" s="6" t="s">
        <v>6</v>
      </c>
      <c r="C16" s="16">
        <v>23</v>
      </c>
      <c r="D16" s="16">
        <v>3465</v>
      </c>
      <c r="E16" s="16">
        <f t="shared" si="0"/>
        <v>3488</v>
      </c>
      <c r="F16" s="16">
        <v>3</v>
      </c>
    </row>
    <row r="17" spans="1:6" x14ac:dyDescent="0.25">
      <c r="B17" s="6" t="s">
        <v>7</v>
      </c>
      <c r="C17" s="16">
        <v>1496</v>
      </c>
      <c r="D17" s="16">
        <v>34618</v>
      </c>
      <c r="E17" s="16">
        <f t="shared" si="0"/>
        <v>36114</v>
      </c>
      <c r="F17" s="16">
        <v>36</v>
      </c>
    </row>
    <row r="18" spans="1:6" x14ac:dyDescent="0.25">
      <c r="B18" s="6" t="s">
        <v>16</v>
      </c>
      <c r="C18" s="16">
        <v>5408</v>
      </c>
      <c r="D18" s="16">
        <v>32092</v>
      </c>
      <c r="E18" s="16">
        <f t="shared" si="0"/>
        <v>37500</v>
      </c>
      <c r="F18" s="16">
        <v>38</v>
      </c>
    </row>
    <row r="19" spans="1:6" x14ac:dyDescent="0.25">
      <c r="B19" s="6" t="s">
        <v>19</v>
      </c>
      <c r="C19" s="16">
        <v>1933</v>
      </c>
      <c r="D19" s="16">
        <v>26040</v>
      </c>
      <c r="E19" s="16">
        <f t="shared" si="0"/>
        <v>27973</v>
      </c>
      <c r="F19" s="16">
        <v>28</v>
      </c>
    </row>
    <row r="20" spans="1:6" x14ac:dyDescent="0.25">
      <c r="B20" s="6" t="s">
        <v>20</v>
      </c>
      <c r="C20" s="16">
        <v>19</v>
      </c>
      <c r="D20" s="16">
        <v>3082</v>
      </c>
      <c r="E20" s="16">
        <f t="shared" si="0"/>
        <v>3101</v>
      </c>
      <c r="F20" s="16">
        <v>3</v>
      </c>
    </row>
    <row r="21" spans="1:6" x14ac:dyDescent="0.25">
      <c r="B21" s="6" t="s">
        <v>21</v>
      </c>
      <c r="C21" s="16">
        <v>1914</v>
      </c>
      <c r="D21" s="16">
        <v>33004</v>
      </c>
      <c r="E21" s="16">
        <f t="shared" si="0"/>
        <v>34918</v>
      </c>
      <c r="F21" s="16">
        <v>35</v>
      </c>
    </row>
    <row r="22" spans="1:6" x14ac:dyDescent="0.25">
      <c r="B22" s="6" t="s">
        <v>22</v>
      </c>
      <c r="C22" s="16">
        <v>1008</v>
      </c>
      <c r="D22" s="16">
        <v>33664</v>
      </c>
      <c r="E22" s="16">
        <f t="shared" si="0"/>
        <v>34672</v>
      </c>
      <c r="F22" s="16">
        <v>34</v>
      </c>
    </row>
    <row r="23" spans="1:6" s="15" customFormat="1" x14ac:dyDescent="0.25">
      <c r="B23" s="6" t="s">
        <v>23</v>
      </c>
      <c r="C23" s="38"/>
      <c r="D23" s="39"/>
      <c r="E23" s="16"/>
      <c r="F23" s="16"/>
    </row>
    <row r="24" spans="1:6" x14ac:dyDescent="0.25">
      <c r="B24" s="9" t="s">
        <v>24</v>
      </c>
      <c r="C24" s="38"/>
      <c r="D24" s="38"/>
      <c r="E24" s="16"/>
      <c r="F24" s="38"/>
    </row>
    <row r="25" spans="1:6" x14ac:dyDescent="0.25">
      <c r="A25" s="14"/>
      <c r="B25" s="9" t="s">
        <v>25</v>
      </c>
      <c r="C25" s="38"/>
      <c r="D25" s="38"/>
      <c r="E25" s="16"/>
      <c r="F25" s="38"/>
    </row>
    <row r="27" spans="1:6" ht="13" thickBot="1" x14ac:dyDescent="0.3"/>
    <row r="28" spans="1:6" ht="13.5" thickBot="1" x14ac:dyDescent="0.35">
      <c r="D28" s="8" t="s">
        <v>1</v>
      </c>
      <c r="E28" s="8" t="s">
        <v>63</v>
      </c>
      <c r="F28" s="8" t="s">
        <v>71</v>
      </c>
    </row>
    <row r="29" spans="1:6" x14ac:dyDescent="0.25">
      <c r="D29" s="6" t="s">
        <v>7</v>
      </c>
      <c r="E29" s="6" t="s">
        <v>72</v>
      </c>
      <c r="F29" s="33">
        <v>1620</v>
      </c>
    </row>
    <row r="30" spans="1:6" x14ac:dyDescent="0.25">
      <c r="D30" s="9" t="s">
        <v>16</v>
      </c>
      <c r="E30" s="9" t="s">
        <v>73</v>
      </c>
      <c r="F30" s="32">
        <v>1640</v>
      </c>
    </row>
    <row r="31" spans="1:6" x14ac:dyDescent="0.25">
      <c r="D31" s="9" t="s">
        <v>19</v>
      </c>
      <c r="E31" s="9" t="s">
        <v>74</v>
      </c>
      <c r="F31" s="32">
        <v>1340</v>
      </c>
    </row>
    <row r="32" spans="1:6" x14ac:dyDescent="0.25">
      <c r="D32" s="9" t="s">
        <v>20</v>
      </c>
      <c r="E32" s="9" t="s">
        <v>75</v>
      </c>
      <c r="F32" s="32">
        <v>600</v>
      </c>
    </row>
    <row r="33" spans="2:6" x14ac:dyDescent="0.25">
      <c r="D33" s="9" t="s">
        <v>21</v>
      </c>
      <c r="E33" s="9" t="s">
        <v>76</v>
      </c>
      <c r="F33" s="32">
        <v>1560</v>
      </c>
    </row>
    <row r="34" spans="2:6" x14ac:dyDescent="0.25">
      <c r="D34" s="9" t="s">
        <v>22</v>
      </c>
      <c r="E34" s="12"/>
      <c r="F34" s="18"/>
    </row>
    <row r="36" spans="2:6" x14ac:dyDescent="0.25">
      <c r="B36" s="17"/>
      <c r="C36" s="17"/>
    </row>
    <row r="37" spans="2:6" x14ac:dyDescent="0.25">
      <c r="B37" s="17"/>
      <c r="C37" s="17"/>
    </row>
    <row r="38" spans="2:6" x14ac:dyDescent="0.25">
      <c r="B38" s="17"/>
      <c r="C38" s="17"/>
    </row>
    <row r="43" spans="2:6" hidden="1" x14ac:dyDescent="0.25"/>
    <row r="44" spans="2:6" hidden="1" x14ac:dyDescent="0.25"/>
  </sheetData>
  <mergeCells count="1">
    <mergeCell ref="A2:F2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3</vt:i4>
      </vt:variant>
    </vt:vector>
  </HeadingPairs>
  <TitlesOfParts>
    <vt:vector size="13" baseType="lpstr">
      <vt:lpstr>Category Totals By Quarter</vt:lpstr>
      <vt:lpstr>Total</vt:lpstr>
      <vt:lpstr>Fac Eval</vt:lpstr>
      <vt:lpstr>Grades</vt:lpstr>
      <vt:lpstr>Test</vt:lpstr>
      <vt:lpstr>Misc</vt:lpstr>
      <vt:lpstr>Fin. Aid</vt:lpstr>
      <vt:lpstr>ASI Elections</vt:lpstr>
      <vt:lpstr>ASQ</vt:lpstr>
      <vt:lpstr>Fac. Eval. Hours</vt:lpstr>
      <vt:lpstr>Chart-Category Totals</vt:lpstr>
      <vt:lpstr>TOTAL CHART</vt:lpstr>
      <vt:lpstr>Pie Chart Totals</vt:lpstr>
    </vt:vector>
  </TitlesOfParts>
  <Company>Cal Poly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hbresler</dc:creator>
  <cp:lastModifiedBy>Carina Negreanu</cp:lastModifiedBy>
  <cp:lastPrinted>2002-04-26T15:57:57Z</cp:lastPrinted>
  <dcterms:created xsi:type="dcterms:W3CDTF">2002-01-18T18:55:35Z</dcterms:created>
  <dcterms:modified xsi:type="dcterms:W3CDTF">2020-01-27T12:04:45Z</dcterms:modified>
</cp:coreProperties>
</file>