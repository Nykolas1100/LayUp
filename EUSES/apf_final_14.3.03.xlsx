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5E8D0DB-C78C-42F9-8683-44563CE0E39E}" xr6:coauthVersionLast="45" xr6:coauthVersionMax="45" xr10:uidLastSave="{00000000-0000-0000-0000-000000000000}"/>
  <bookViews>
    <workbookView xWindow="3420" yWindow="3420" windowWidth="28800" windowHeight="15460"/>
  </bookViews>
  <sheets>
    <sheet name="Project summary" sheetId="1" r:id="rId1"/>
    <sheet name="Staffing plan" sheetId="5" r:id="rId2"/>
    <sheet name="Financial summary" sheetId="4" r:id="rId3"/>
  </sheets>
  <definedNames>
    <definedName name="_xlnm.Print_Area" localSheetId="2">'Financial summary'!$A$1:$J$68</definedName>
    <definedName name="_xlnm.Print_Area" localSheetId="0">'Project summary'!$A$1:$J$73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0" i="4" l="1"/>
  <c r="J10" i="4" s="1"/>
  <c r="J4" i="4" s="1"/>
  <c r="I36" i="4"/>
  <c r="I42" i="4"/>
  <c r="I61" i="4"/>
  <c r="B46" i="1"/>
  <c r="F8" i="5"/>
  <c r="I20" i="4" s="1"/>
  <c r="I44" i="4" s="1"/>
  <c r="F35" i="5"/>
  <c r="F36" i="5"/>
  <c r="I30" i="4" s="1"/>
  <c r="I62" i="4" l="1"/>
  <c r="I63" i="4" s="1"/>
  <c r="B45" i="1"/>
  <c r="B47" i="1" s="1"/>
  <c r="G12" i="4"/>
  <c r="B43" i="1"/>
  <c r="B49" i="1" l="1"/>
  <c r="I64" i="4"/>
  <c r="G49" i="1" s="1"/>
  <c r="B50" i="1"/>
  <c r="B51" i="1" s="1"/>
  <c r="I65" i="4"/>
  <c r="J66" i="4" s="1"/>
  <c r="J67" i="4" s="1"/>
  <c r="G51" i="1" s="1"/>
</calcChain>
</file>

<file path=xl/comments1.xml><?xml version="1.0" encoding="utf-8"?>
<comments xmlns="http://schemas.openxmlformats.org/spreadsheetml/2006/main">
  <authors>
    <author>bpayne</author>
    <author>belinda payne</author>
    <author>volvo1</author>
  </authors>
  <commentList>
    <comment ref="A4" authorId="0" shapeId="0">
      <text>
        <r>
          <rPr>
            <b/>
            <sz val="8"/>
            <color indexed="81"/>
            <rFont val="Tahoma"/>
          </rPr>
          <t xml:space="preserve">See Part 3 Costing and Pricing Manual (contract authorisation)
</t>
        </r>
        <r>
          <rPr>
            <sz val="8"/>
            <color indexed="81"/>
            <rFont val="Tahoma"/>
          </rPr>
          <t xml:space="preserve">
</t>
        </r>
      </text>
    </comment>
    <comment ref="A11" authorId="0" shapeId="0">
      <text>
        <r>
          <rPr>
            <b/>
            <sz val="8"/>
            <color indexed="81"/>
            <rFont val="Tahoma"/>
          </rPr>
          <t>Name of funder and/or partners in the proposal.  If more than 2 add to separate worksheet</t>
        </r>
        <r>
          <rPr>
            <sz val="8"/>
            <color indexed="81"/>
            <rFont val="Tahoma"/>
          </rPr>
          <t xml:space="preserve">
</t>
        </r>
      </text>
    </comment>
    <comment ref="E19" authorId="0" shapeId="0">
      <text>
        <r>
          <rPr>
            <b/>
            <sz val="8"/>
            <color indexed="81"/>
            <rFont val="Tahoma"/>
          </rPr>
          <t>See Account Codes &amp; Business Activity Manual (ACBA).</t>
        </r>
        <r>
          <rPr>
            <sz val="8"/>
            <color indexed="81"/>
            <rFont val="Tahoma"/>
          </rPr>
          <t xml:space="preserve">
Please use the alpha descriptor for business areas (3rd character of the activity code)</t>
        </r>
      </text>
    </comment>
    <comment ref="E20" authorId="0" shapeId="0">
      <text>
        <r>
          <rPr>
            <b/>
            <sz val="8"/>
            <color indexed="81"/>
            <rFont val="Tahoma"/>
          </rPr>
          <t xml:space="preserve">Activity Area:  
A = Courses
C = Collaboration
</t>
        </r>
        <r>
          <rPr>
            <sz val="8"/>
            <color indexed="81"/>
            <rFont val="Tahoma"/>
          </rPr>
          <t xml:space="preserve">
</t>
        </r>
      </text>
    </comment>
    <comment ref="E21" authorId="0" shapeId="0">
      <text>
        <r>
          <rPr>
            <b/>
            <sz val="8"/>
            <color indexed="81"/>
            <rFont val="Tahoma"/>
          </rPr>
          <t>Activity Area: 
E = Publicly funded research
K = Non-publicly funded research</t>
        </r>
      </text>
    </comment>
    <comment ref="E22" authorId="0" shapeId="0">
      <text>
        <r>
          <rPr>
            <b/>
            <sz val="8"/>
            <color indexed="81"/>
            <rFont val="Tahoma"/>
            <family val="2"/>
          </rPr>
          <t>Activity Area: 
N = Enterprise activities 
G = Short courses
T = TCS
L = Consultancy and other projects</t>
        </r>
      </text>
    </comment>
    <comment ref="E23" authorId="0" shapeId="0">
      <text>
        <r>
          <rPr>
            <b/>
            <sz val="8"/>
            <color indexed="81"/>
            <rFont val="Tahoma"/>
          </rPr>
          <t>Activity Area:
S = Student residences
R = Retail and Conferences
X = Other
Z = Balance sheet</t>
        </r>
      </text>
    </comment>
    <comment ref="A25" authorId="0" shapeId="0">
      <text>
        <r>
          <rPr>
            <b/>
            <sz val="8"/>
            <color indexed="81"/>
            <rFont val="Tahoma"/>
          </rPr>
          <t>If you require specialist advice, please refer to name and  telephone number which can be found in the relevant comment box</t>
        </r>
      </text>
    </comment>
    <comment ref="A29" authorId="0" shapeId="0">
      <text>
        <r>
          <rPr>
            <b/>
            <sz val="8"/>
            <color indexed="81"/>
            <rFont val="Tahoma"/>
          </rPr>
          <t>Phil Clare RIS x 3815</t>
        </r>
        <r>
          <rPr>
            <sz val="8"/>
            <color indexed="81"/>
            <rFont val="Tahoma"/>
          </rPr>
          <t xml:space="preserve">
</t>
        </r>
      </text>
    </comment>
    <comment ref="C29" authorId="0" shapeId="0">
      <text>
        <r>
          <rPr>
            <b/>
            <sz val="8"/>
            <color indexed="81"/>
            <rFont val="Tahoma"/>
          </rPr>
          <t>Dave Lifford Head of Purchasing x 2772</t>
        </r>
        <r>
          <rPr>
            <sz val="8"/>
            <color indexed="81"/>
            <rFont val="Tahoma"/>
          </rPr>
          <t xml:space="preserve">
</t>
        </r>
      </text>
    </comment>
    <comment ref="A30" authorId="0" shapeId="0">
      <text>
        <r>
          <rPr>
            <b/>
            <sz val="8"/>
            <color indexed="81"/>
            <rFont val="Tahoma"/>
          </rPr>
          <t xml:space="preserve">Eileen Wentworth Acc Services x 3847
</t>
        </r>
        <r>
          <rPr>
            <sz val="8"/>
            <color indexed="81"/>
            <rFont val="Tahoma"/>
          </rPr>
          <t xml:space="preserve">
</t>
        </r>
      </text>
    </comment>
    <comment ref="C30" authorId="0" shapeId="0">
      <text>
        <r>
          <rPr>
            <b/>
            <sz val="8"/>
            <color indexed="81"/>
            <rFont val="Tahoma"/>
            <family val="2"/>
          </rPr>
          <t>Marketing Services x 2711</t>
        </r>
        <r>
          <rPr>
            <sz val="8"/>
            <color indexed="81"/>
            <rFont val="Tahoma"/>
          </rPr>
          <t xml:space="preserve">
</t>
        </r>
      </text>
    </comment>
    <comment ref="A31" authorId="0" shapeId="0">
      <text>
        <r>
          <rPr>
            <b/>
            <sz val="8"/>
            <color indexed="81"/>
            <rFont val="Tahoma"/>
          </rPr>
          <t xml:space="preserve">Michael Johnson Acc Services x 3846
</t>
        </r>
      </text>
    </comment>
    <comment ref="C31" authorId="0" shapeId="0">
      <text>
        <r>
          <rPr>
            <b/>
            <sz val="8"/>
            <color indexed="81"/>
            <rFont val="Tahoma"/>
          </rPr>
          <t>Jill Beard x 5567</t>
        </r>
      </text>
    </comment>
    <comment ref="A32" authorId="0" shapeId="0">
      <text>
        <r>
          <rPr>
            <b/>
            <sz val="8"/>
            <color indexed="81"/>
            <rFont val="Tahoma"/>
          </rPr>
          <t>John Squibb Insurance Officer x 3821</t>
        </r>
      </text>
    </comment>
    <comment ref="C32" authorId="0" shapeId="0">
      <text>
        <r>
          <rPr>
            <b/>
            <sz val="8"/>
            <color indexed="81"/>
            <rFont val="Tahoma"/>
          </rPr>
          <t>Kevin McCloskey Health &amp; Safety Adviser x 3770</t>
        </r>
        <r>
          <rPr>
            <sz val="8"/>
            <color indexed="81"/>
            <rFont val="Tahoma"/>
          </rPr>
          <t xml:space="preserve">
</t>
        </r>
      </text>
    </comment>
    <comment ref="A33" authorId="0" shapeId="0">
      <text>
        <r>
          <rPr>
            <b/>
            <sz val="8"/>
            <color indexed="81"/>
            <rFont val="Tahoma"/>
          </rPr>
          <t>Head of Estates x 4101</t>
        </r>
      </text>
    </comment>
    <comment ref="C33" authorId="0" shapeId="0">
      <text>
        <r>
          <rPr>
            <b/>
            <sz val="8"/>
            <color indexed="81"/>
            <rFont val="Tahoma"/>
          </rPr>
          <t>Maurice Downing x 5593</t>
        </r>
        <r>
          <rPr>
            <sz val="8"/>
            <color indexed="81"/>
            <rFont val="Tahoma"/>
          </rPr>
          <t xml:space="preserve">
</t>
        </r>
      </text>
    </comment>
    <comment ref="A34" authorId="0" shapeId="0">
      <text>
        <r>
          <rPr>
            <b/>
            <sz val="8"/>
            <color indexed="81"/>
            <rFont val="Tahoma"/>
          </rPr>
          <t>School/Support Service Contact in Personnel x 3855</t>
        </r>
      </text>
    </comment>
    <comment ref="A36" authorId="1" shapeId="0">
      <text>
        <r>
          <rPr>
            <b/>
            <sz val="10"/>
            <color indexed="81"/>
            <rFont val="Tahoma"/>
            <charset val="1"/>
          </rPr>
          <t>Please provide a summary outlining any potential risk from this proposal.</t>
        </r>
        <r>
          <rPr>
            <sz val="10"/>
            <color indexed="81"/>
            <rFont val="Tahoma"/>
            <charset val="1"/>
          </rPr>
          <t xml:space="preserve">
</t>
        </r>
      </text>
    </comment>
    <comment ref="A53" authorId="1" shapeId="0">
      <text>
        <r>
          <rPr>
            <b/>
            <sz val="10"/>
            <color indexed="81"/>
            <rFont val="Tahoma"/>
            <charset val="1"/>
          </rPr>
          <t xml:space="preserve">Must be in line with the University's Contract Authorisation Policy
</t>
        </r>
        <r>
          <rPr>
            <sz val="10"/>
            <color indexed="81"/>
            <rFont val="Tahoma"/>
            <charset val="1"/>
          </rPr>
          <t xml:space="preserve">
</t>
        </r>
      </text>
    </comment>
    <comment ref="A62" authorId="2" shapeId="0">
      <text>
        <r>
          <rPr>
            <b/>
            <sz val="8"/>
            <color indexed="81"/>
            <rFont val="Tahoma"/>
          </rPr>
          <t>Please strike through.
How to do this:  Click on format cells, font, tick strike through box</t>
        </r>
        <r>
          <rPr>
            <sz val="8"/>
            <color indexed="81"/>
            <rFont val="Tahoma"/>
          </rPr>
          <t xml:space="preserve">
</t>
        </r>
      </text>
    </comment>
    <comment ref="A64" authorId="1" shapeId="0">
      <text>
        <r>
          <rPr>
            <b/>
            <sz val="10"/>
            <color indexed="81"/>
            <rFont val="Tahoma"/>
            <charset val="1"/>
          </rPr>
          <t xml:space="preserve">This section should be completed on confirmation of the proposal
</t>
        </r>
        <r>
          <rPr>
            <sz val="10"/>
            <color indexed="81"/>
            <rFont val="Tahoma"/>
            <charset val="1"/>
          </rPr>
          <t xml:space="preserve">
</t>
        </r>
      </text>
    </comment>
    <comment ref="A72" authorId="2" shapeId="0">
      <text>
        <r>
          <rPr>
            <b/>
            <sz val="8"/>
            <color indexed="81"/>
            <rFont val="Tahoma"/>
            <family val="2"/>
          </rPr>
          <t>Please strike through
How to do this:  Click on format cells, font, tick strike through box</t>
        </r>
        <r>
          <rPr>
            <sz val="8"/>
            <color indexed="81"/>
            <rFont val="Tahoma"/>
          </rPr>
          <t xml:space="preserve">
</t>
        </r>
      </text>
    </comment>
  </commentList>
</comments>
</file>

<file path=xl/comments2.xml><?xml version="1.0" encoding="utf-8"?>
<comments xmlns="http://schemas.openxmlformats.org/spreadsheetml/2006/main">
  <authors>
    <author>User</author>
  </authors>
  <commentList>
    <comment ref="A3" authorId="0" shapeId="0">
      <text>
        <r>
          <rPr>
            <sz val="8"/>
            <color indexed="81"/>
            <rFont val="Tahoma"/>
          </rPr>
          <t xml:space="preserve">Complete 4 digit code as appropriate
</t>
        </r>
      </text>
    </comment>
    <comment ref="C3" authorId="0" shapeId="0">
      <text>
        <r>
          <rPr>
            <sz val="8"/>
            <color indexed="81"/>
            <rFont val="Tahoma"/>
          </rPr>
          <t xml:space="preserve">Please provide brief description of work to be undertaken
</t>
        </r>
      </text>
    </comment>
    <comment ref="D3" authorId="0" shapeId="0">
      <text>
        <r>
          <rPr>
            <sz val="8"/>
            <color indexed="81"/>
            <rFont val="Tahoma"/>
          </rPr>
          <t xml:space="preserve">Please indicate the number of hours/days or fraction of FTE that will be committed to the activity.
</t>
        </r>
      </text>
    </comment>
    <comment ref="E3" authorId="0" shapeId="0">
      <text>
        <r>
          <rPr>
            <sz val="8"/>
            <color indexed="81"/>
            <rFont val="Tahoma"/>
          </rPr>
          <t xml:space="preserve">Detailed costs can be determined by using the pay scales available on the 'p' drive
</t>
        </r>
      </text>
    </comment>
    <comment ref="F3" authorId="0" shapeId="0">
      <text>
        <r>
          <rPr>
            <sz val="8"/>
            <color indexed="81"/>
            <rFont val="Tahoma"/>
          </rPr>
          <t xml:space="preserve">The value to be placed in this column should be determined by taking the quantity of a person's time committed to the project and multiplying by
the cost. For full details please consult </t>
        </r>
        <r>
          <rPr>
            <b/>
            <sz val="8"/>
            <color indexed="81"/>
            <rFont val="Tahoma"/>
            <family val="2"/>
          </rPr>
          <t>StaffInformation Sheet No 2: Costing an activity</t>
        </r>
        <r>
          <rPr>
            <sz val="8"/>
            <color indexed="81"/>
            <rFont val="Tahoma"/>
          </rPr>
          <t>.
This is vailable on the 'p' drive from the folder titled 'costing and pricing'.</t>
        </r>
      </text>
    </comment>
    <comment ref="G3" authorId="0" shapeId="0">
      <text>
        <r>
          <rPr>
            <sz val="8"/>
            <color indexed="81"/>
            <rFont val="Tahoma"/>
          </rPr>
          <t xml:space="preserve">Indicate in this column whether a member of staff is receiving payment and, if so, how much.
</t>
        </r>
      </text>
    </comment>
  </commentList>
</comments>
</file>

<file path=xl/comments3.xml><?xml version="1.0" encoding="utf-8"?>
<comments xmlns="http://schemas.openxmlformats.org/spreadsheetml/2006/main">
  <authors>
    <author>David Williams</author>
    <author>volvo1</author>
    <author>User</author>
  </authors>
  <commentList>
    <comment ref="D11" authorId="0" shapeId="0">
      <text>
        <r>
          <rPr>
            <sz val="8"/>
            <color indexed="81"/>
            <rFont val="Tahoma"/>
          </rPr>
          <t xml:space="preserve">The University's standard terms of business state that all charges are exclusive of expenses unless  the Order/Acceptance letter states otherwise. Estimated expenses are therefore the amount you expect to invoice the client for in addition to the agreed price, in order to recover expenditure incurred on, for example, accommodation, subsistence, and other out-of-pocket expenses.
</t>
        </r>
      </text>
    </comment>
    <comment ref="C12" authorId="0" shapeId="0">
      <text>
        <r>
          <rPr>
            <b/>
            <sz val="8"/>
            <color indexed="81"/>
            <rFont val="Tahoma"/>
            <family val="2"/>
          </rPr>
          <t xml:space="preserve">Value Added Tax (VAT). </t>
        </r>
        <r>
          <rPr>
            <sz val="8"/>
            <color indexed="81"/>
            <rFont val="Tahoma"/>
          </rPr>
          <t>Provision of education and training is exempt, but for consultancy VAT should be charged at the standard rate, currently 17.5%</t>
        </r>
      </text>
    </comment>
    <comment ref="J14" authorId="0" shapeId="0">
      <text>
        <r>
          <rPr>
            <sz val="8"/>
            <color indexed="81"/>
            <rFont val="Tahoma"/>
          </rPr>
          <t xml:space="preserve">Activities with fixed prices are usually either directly or indirectly funded by governement. For these activities:
- expenses are normally part of the agreed income received (whether separately identified or not)
-  and do not normally incur VAT if, for example, they are part of grant funding.
</t>
        </r>
      </text>
    </comment>
    <comment ref="A19" authorId="1" shapeId="0">
      <text>
        <r>
          <rPr>
            <sz val="8"/>
            <color indexed="81"/>
            <rFont val="Tahoma"/>
          </rPr>
          <t xml:space="preserve">Identify appropriate code
</t>
        </r>
      </text>
    </comment>
    <comment ref="A24" authorId="1" shapeId="0">
      <text>
        <r>
          <rPr>
            <sz val="8"/>
            <color indexed="81"/>
            <rFont val="Tahoma"/>
            <family val="2"/>
          </rPr>
          <t>Identify appropriate code</t>
        </r>
        <r>
          <rPr>
            <sz val="8"/>
            <color indexed="81"/>
            <rFont val="Tahoma"/>
          </rPr>
          <t xml:space="preserve">
</t>
        </r>
      </text>
    </comment>
    <comment ref="A29" authorId="1" shapeId="0">
      <text>
        <r>
          <rPr>
            <sz val="8"/>
            <color indexed="81"/>
            <rFont val="Tahoma"/>
            <family val="2"/>
          </rPr>
          <t>Identify appropriate code</t>
        </r>
        <r>
          <rPr>
            <sz val="8"/>
            <color indexed="81"/>
            <rFont val="Tahoma"/>
          </rPr>
          <t xml:space="preserve">
</t>
        </r>
      </text>
    </comment>
    <comment ref="A35" authorId="1" shapeId="0">
      <text>
        <r>
          <rPr>
            <sz val="8"/>
            <color indexed="81"/>
            <rFont val="Tahoma"/>
            <family val="2"/>
          </rPr>
          <t>Identify appropriate code</t>
        </r>
        <r>
          <rPr>
            <sz val="8"/>
            <color indexed="81"/>
            <rFont val="Tahoma"/>
          </rPr>
          <t xml:space="preserve">
</t>
        </r>
      </text>
    </comment>
    <comment ref="D45" authorId="2" shapeId="0">
      <text>
        <r>
          <rPr>
            <b/>
            <sz val="8"/>
            <color indexed="81"/>
            <rFont val="Tahoma"/>
            <family val="2"/>
          </rPr>
          <t>Note</t>
        </r>
        <r>
          <rPr>
            <sz val="8"/>
            <color indexed="81"/>
            <rFont val="Tahoma"/>
          </rPr>
          <t xml:space="preserve">: due to limited space on this form not all the possible account codes which might be employed to describe non-pay costs associated with a new activity are shown below. Proposers should consult the BU Account Code booklet produced by Accounting Services and add/amend the illustrative codes shown in this section as necessary.
</t>
        </r>
      </text>
    </comment>
    <comment ref="A47" authorId="1" shapeId="0">
      <text>
        <r>
          <rPr>
            <sz val="8"/>
            <color indexed="81"/>
            <rFont val="Tahoma"/>
          </rPr>
          <t>Use appropriate nominal codes in this heading as listed in ACBA guide</t>
        </r>
      </text>
    </comment>
    <comment ref="A48" authorId="1" shapeId="0">
      <text>
        <r>
          <rPr>
            <sz val="8"/>
            <color indexed="81"/>
            <rFont val="Tahoma"/>
          </rPr>
          <t>Use appropriate nominal codes in this heading as listed in the ACBA guide</t>
        </r>
      </text>
    </comment>
    <comment ref="A49" authorId="1" shapeId="0">
      <text>
        <r>
          <rPr>
            <sz val="8"/>
            <color indexed="81"/>
            <rFont val="Tahoma"/>
          </rPr>
          <t>Use appropriate nominal codes in this heading as listed in the ACBA guide</t>
        </r>
      </text>
    </comment>
    <comment ref="A51" authorId="1" shapeId="0">
      <text>
        <r>
          <rPr>
            <sz val="8"/>
            <color indexed="81"/>
            <rFont val="Tahoma"/>
          </rPr>
          <t>Use appropriate nominal codes in this heading as listed in the ACBA guide</t>
        </r>
      </text>
    </comment>
    <comment ref="A53" authorId="1" shapeId="0">
      <text>
        <r>
          <rPr>
            <sz val="8"/>
            <color indexed="81"/>
            <rFont val="Tahoma"/>
          </rPr>
          <t>Use appropriate nomianl codes in this heading as listed in the ACBA guide</t>
        </r>
      </text>
    </comment>
    <comment ref="A55" authorId="1" shapeId="0">
      <text>
        <r>
          <rPr>
            <sz val="8"/>
            <color indexed="81"/>
            <rFont val="Tahoma"/>
          </rPr>
          <t>Use appropriate nominal codes in the heading as listed in the ACBA guide</t>
        </r>
      </text>
    </comment>
    <comment ref="A57" authorId="1" shapeId="0">
      <text>
        <r>
          <rPr>
            <sz val="8"/>
            <color indexed="81"/>
            <rFont val="Tahoma"/>
          </rPr>
          <t>Use appropriate nomianl codes in this heading as listed in the ACBA guide</t>
        </r>
      </text>
    </comment>
    <comment ref="H63" authorId="0" shapeId="0">
      <text>
        <r>
          <rPr>
            <b/>
            <sz val="8"/>
            <color indexed="81"/>
            <rFont val="Tahoma"/>
            <family val="2"/>
          </rPr>
          <t>Based on the outcomes to the transparency review you should aim to add 50% to the total expenditure (staff and non-pay) for all new activities</t>
        </r>
        <r>
          <rPr>
            <sz val="8"/>
            <color indexed="81"/>
            <rFont val="Tahoma"/>
          </rPr>
          <t xml:space="preserve">. The 50% overhead enables the University to recover the additional costs of a new activity on its infrastructure (e.g. buildings, support staff etc.) where these are insufficiently large to be separately identified. </t>
        </r>
        <r>
          <rPr>
            <b/>
            <sz val="8"/>
            <color indexed="81"/>
            <rFont val="Tahoma"/>
            <family val="2"/>
          </rPr>
          <t xml:space="preserve">Alternatively, 100% should be added to total staff costs, if non-pay costs cannot be identified in order to fully recover the university's costs. </t>
        </r>
        <r>
          <rPr>
            <sz val="8"/>
            <color indexed="81"/>
            <rFont val="Tahoma"/>
          </rPr>
          <t xml:space="preserve">In the case of Research Council funding, the maximum overhead which can be charged is </t>
        </r>
        <r>
          <rPr>
            <b/>
            <sz val="8"/>
            <color indexed="81"/>
            <rFont val="Tahoma"/>
            <family val="2"/>
          </rPr>
          <t>46% of eligible costs.</t>
        </r>
        <r>
          <rPr>
            <sz val="8"/>
            <color indexed="81"/>
            <rFont val="Tahoma"/>
          </rPr>
          <t xml:space="preserve">
</t>
        </r>
      </text>
    </comment>
  </commentList>
</comments>
</file>

<file path=xl/sharedStrings.xml><?xml version="1.0" encoding="utf-8"?>
<sst xmlns="http://schemas.openxmlformats.org/spreadsheetml/2006/main" count="263" uniqueCount="155">
  <si>
    <t>Address</t>
  </si>
  <si>
    <t>Other</t>
  </si>
  <si>
    <t>Client Organisation</t>
  </si>
  <si>
    <t>Name of contact</t>
  </si>
  <si>
    <t>Position within organisation</t>
  </si>
  <si>
    <t>Tel</t>
  </si>
  <si>
    <t>Email</t>
  </si>
  <si>
    <t>University details</t>
  </si>
  <si>
    <t>Project Proposer/Manager</t>
  </si>
  <si>
    <t>School/Support Service</t>
  </si>
  <si>
    <t>Name of activity</t>
  </si>
  <si>
    <t>Rationale for undertaking activity</t>
  </si>
  <si>
    <t>Research</t>
  </si>
  <si>
    <t>Enterprise</t>
  </si>
  <si>
    <t>Timing</t>
  </si>
  <si>
    <t>Duration</t>
  </si>
  <si>
    <t>Tax/VAT issues</t>
  </si>
  <si>
    <t>General Costings</t>
  </si>
  <si>
    <t>Space requirements</t>
  </si>
  <si>
    <t>Procurement</t>
  </si>
  <si>
    <t>Marketing</t>
  </si>
  <si>
    <t>Learning Resources</t>
  </si>
  <si>
    <t>Health &amp; Safety</t>
  </si>
  <si>
    <t>IT Equipment/Services</t>
  </si>
  <si>
    <t>IPR/Copyright/Exclusivity/Confidentiality</t>
  </si>
  <si>
    <t>Staffing/Evaluations/Recruitment</t>
  </si>
  <si>
    <t>Organisation Name</t>
  </si>
  <si>
    <t xml:space="preserve">Business Activity Area </t>
  </si>
  <si>
    <t>[      ]</t>
  </si>
  <si>
    <t>You are strongly advised to consult with the relevant named staff (see comment boxes)</t>
  </si>
  <si>
    <t>Employed academic</t>
  </si>
  <si>
    <t>Employed researcher</t>
  </si>
  <si>
    <t>Employed tech\demo</t>
  </si>
  <si>
    <t>Employed administrative</t>
  </si>
  <si>
    <t>Employed academic FT</t>
  </si>
  <si>
    <t>Employed academic PT</t>
  </si>
  <si>
    <t>Bought-in (agency admin)</t>
  </si>
  <si>
    <t>Bought-in (short term lecturer)</t>
  </si>
  <si>
    <t>Total staff costs</t>
  </si>
  <si>
    <t>Staff Development</t>
  </si>
  <si>
    <t>5 xxx</t>
  </si>
  <si>
    <t>6 xxx</t>
  </si>
  <si>
    <t>7 xxx</t>
  </si>
  <si>
    <t>Total non-pay costs</t>
  </si>
  <si>
    <t>B110</t>
  </si>
  <si>
    <r>
      <t>Existing staff to contribute - covered by replacement funding</t>
    </r>
    <r>
      <rPr>
        <i/>
        <sz val="9"/>
        <rFont val="Bookman Old Style"/>
        <family val="1"/>
      </rPr>
      <t xml:space="preserve"> </t>
    </r>
  </si>
  <si>
    <t>Total non pay costs</t>
  </si>
  <si>
    <t>Total expenditure</t>
  </si>
  <si>
    <t>Surplus/deficit</t>
  </si>
  <si>
    <t>I confirm that the proposal has been accepted by the client.  Any changes to the profile of the proposal are attached</t>
  </si>
  <si>
    <t>Post Code</t>
  </si>
  <si>
    <t>Is Bournemouth University the lead organisation</t>
  </si>
  <si>
    <t>If no, who is?</t>
  </si>
  <si>
    <t>No</t>
  </si>
  <si>
    <t>Please put an X in the box to indicate which of the following are relevant to this proposal</t>
  </si>
  <si>
    <t>Students &amp; Learning</t>
  </si>
  <si>
    <t>Insurance/indemnity/liability</t>
  </si>
  <si>
    <t>Others please state</t>
  </si>
  <si>
    <t>Proposer's Signature</t>
  </si>
  <si>
    <t>Authorised Contract Signatory</t>
  </si>
  <si>
    <t>Date</t>
  </si>
  <si>
    <t xml:space="preserve">A copy of the bid is attached  </t>
  </si>
  <si>
    <t>YES</t>
  </si>
  <si>
    <t>NO</t>
  </si>
  <si>
    <t xml:space="preserve">Proposer's Signature </t>
  </si>
  <si>
    <t xml:space="preserve">Activity Proposal Form (APF)                  </t>
  </si>
  <si>
    <t>A copy of the contract is attached</t>
  </si>
  <si>
    <t>Yes</t>
  </si>
  <si>
    <t>Confirmation of proposal acceptance</t>
  </si>
  <si>
    <t>Proposal Authorisation</t>
  </si>
  <si>
    <t xml:space="preserve">I confirm that this proposal has been developed in line with the University's Costing and Pricing procedures and that the benefits, costs and outcomes are </t>
  </si>
  <si>
    <t xml:space="preserve">accurately represented.  </t>
  </si>
  <si>
    <t>Total cost of activity</t>
  </si>
  <si>
    <t>Non pay costs (attributed to activity)</t>
  </si>
  <si>
    <t>Price to client</t>
  </si>
  <si>
    <t>Corporate overheads</t>
  </si>
  <si>
    <t>Existing staff to contribute as part of their balanced workload</t>
  </si>
  <si>
    <t>Capital equipment, IT &amp; other (over £1000)</t>
  </si>
  <si>
    <t>= staff + non-staff + overhead =</t>
  </si>
  <si>
    <t>Proposed start date</t>
  </si>
  <si>
    <t>Financial Summary (Note; this section is automatically linked to detailed financial account page 2, and does not need to be separately filled in)</t>
  </si>
  <si>
    <t>Choose either option (1) or (2)</t>
  </si>
  <si>
    <t>(1) Discretionary pricing</t>
  </si>
  <si>
    <t>Number of days of work to be undertaken</t>
  </si>
  <si>
    <t>Price per day</t>
  </si>
  <si>
    <t>Completion date</t>
  </si>
  <si>
    <t>Estimated expenses to be recovered</t>
  </si>
  <si>
    <t>Income to be received</t>
  </si>
  <si>
    <t>Income to the University (excluding any VAT payment)</t>
  </si>
  <si>
    <t>Corporate Overheads (Normally 50%, but see comment box.)</t>
  </si>
  <si>
    <t>Total Costs</t>
  </si>
  <si>
    <t>Surplus generated (I.e. income - total costs)</t>
  </si>
  <si>
    <t>Financial plan</t>
  </si>
  <si>
    <t>Cost of VAT if applicable</t>
  </si>
  <si>
    <t>Total expenditure (I.e. total staff costs and total non-pay costs)</t>
  </si>
  <si>
    <t>(2) Fixed price (I.e. where the University has little or no discretion on pricing e.g. TCS; some research contracts)</t>
  </si>
  <si>
    <t>Account Code</t>
  </si>
  <si>
    <t>Staffing (Note: all staff costs should include on-costs.e.g. Pension, National Insurance.</t>
  </si>
  <si>
    <t>22 xx</t>
  </si>
  <si>
    <t>23 xx</t>
  </si>
  <si>
    <t>24 xx</t>
  </si>
  <si>
    <t>25 xx</t>
  </si>
  <si>
    <t>33 xx</t>
  </si>
  <si>
    <t xml:space="preserve">Expenditure </t>
  </si>
  <si>
    <t>32 xx</t>
  </si>
  <si>
    <t>Staff recruitment</t>
  </si>
  <si>
    <t>35 xx</t>
  </si>
  <si>
    <t>47 xx</t>
  </si>
  <si>
    <t>5 Academic Support</t>
  </si>
  <si>
    <t xml:space="preserve">6 Administration </t>
  </si>
  <si>
    <t>7 Premises</t>
  </si>
  <si>
    <t>Balance sheet</t>
  </si>
  <si>
    <t>3 Other staff costs e.g.</t>
  </si>
  <si>
    <t>4 Student costs e.g.</t>
  </si>
  <si>
    <t>Details of income and expenditure</t>
  </si>
  <si>
    <t>COSTING (£)</t>
  </si>
  <si>
    <t xml:space="preserve">PRICING (£) </t>
  </si>
  <si>
    <t>36 xx</t>
  </si>
  <si>
    <t>Staff travel</t>
  </si>
  <si>
    <t>Non-contract staff e.g.</t>
  </si>
  <si>
    <t>Total cost</t>
  </si>
  <si>
    <t>Member of staff's name</t>
  </si>
  <si>
    <t>Nature of work to be undertaken</t>
  </si>
  <si>
    <t>Total employed administrative</t>
  </si>
  <si>
    <t>Total employed tech/demo</t>
  </si>
  <si>
    <t>Employed tech/demo</t>
  </si>
  <si>
    <t>Total employed research</t>
  </si>
  <si>
    <t>Total employed academic</t>
  </si>
  <si>
    <t>Cost per hr/day/FTE</t>
  </si>
  <si>
    <t>Payment to staff</t>
  </si>
  <si>
    <t>Account code</t>
  </si>
  <si>
    <t>Consultancy</t>
  </si>
  <si>
    <t>1 day</t>
  </si>
  <si>
    <t>None</t>
  </si>
  <si>
    <t>J Bloggs</t>
  </si>
  <si>
    <t>J Smith</t>
  </si>
  <si>
    <t>Hours/days/FTE</t>
  </si>
  <si>
    <t>D Duck</t>
  </si>
  <si>
    <t>Admin support</t>
  </si>
  <si>
    <t>C Smith</t>
  </si>
  <si>
    <t>0.5 day</t>
  </si>
  <si>
    <t>Margin (I.e. profit divided by total income as a %)</t>
  </si>
  <si>
    <t>Total employed FT academic</t>
  </si>
  <si>
    <t>Total employed PT academic</t>
  </si>
  <si>
    <t>Existing staff to contribute with additional payments made</t>
  </si>
  <si>
    <t xml:space="preserve">Additional staff to be engaged </t>
  </si>
  <si>
    <t>This form should be completed in line with the University's Costing &amp; Pricing guidelines and sent to Accounting Services and RIS (Tanya Davies)</t>
  </si>
  <si>
    <t>Profit margin</t>
  </si>
  <si>
    <t>Corporate Overheads achieved</t>
  </si>
  <si>
    <t>Overhead recovery achieved</t>
  </si>
  <si>
    <t>Staffing Plan (Note: all staff costs should include on-costs.e.g. Pension, National Insurance</t>
  </si>
  <si>
    <t xml:space="preserve">Specialist Advice </t>
  </si>
  <si>
    <t>Risk Assessment (financial, reputation etc)</t>
  </si>
  <si>
    <t>Stationery and reprographics</t>
  </si>
  <si>
    <t>Total price to the client (excluding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</si>
</sst>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quot;£&quot;#,##0_);[Red]\(&quot;£&quot;#,##0\)"/>
    <numFmt numFmtId="8" formatCode="&quot;£&quot;#,##0.00_);[Red]\(&quot;£&quot;#,##0.00\)"/>
    <numFmt numFmtId="41" formatCode="_(* #,##0_);_(* \(#,##0\);_(* &quot;-&quot;_);_(@_)"/>
    <numFmt numFmtId="43" formatCode="_(* #,##0.00_);_(* \(#,##0.00\);_(* &quot;-&quot;??_);_(@_)"/>
    <numFmt numFmtId="173" formatCode="_-* #,##0_-;\-* #,##0_-;_-* &quot;-&quot;??_-;_-@_-"/>
    <numFmt numFmtId="179" formatCode="_-* #,##0_-;\-* #,##0_-"/>
    <numFmt numFmtId="180" formatCode="\(0\)"/>
  </numFmts>
  <fonts count="24" x14ac:knownFonts="1">
    <font>
      <sz val="10"/>
      <name val="Arial"/>
    </font>
    <font>
      <sz val="10"/>
      <name val="Arial"/>
    </font>
    <font>
      <b/>
      <sz val="9"/>
      <name val="Bookman Old Style"/>
      <family val="1"/>
    </font>
    <font>
      <sz val="9"/>
      <name val="Bookman Old Style"/>
      <family val="1"/>
    </font>
    <font>
      <i/>
      <sz val="9"/>
      <name val="Bookman Old Style"/>
      <family val="1"/>
    </font>
    <font>
      <sz val="8"/>
      <color indexed="81"/>
      <name val="Tahoma"/>
    </font>
    <font>
      <b/>
      <sz val="8"/>
      <color indexed="81"/>
      <name val="Tahoma"/>
    </font>
    <font>
      <b/>
      <i/>
      <sz val="9"/>
      <name val="Bookman Old Style"/>
      <family val="1"/>
    </font>
    <font>
      <sz val="8"/>
      <name val="Bookman Old Style"/>
      <family val="1"/>
    </font>
    <font>
      <b/>
      <sz val="8"/>
      <name val="Bookman Old Style"/>
      <family val="1"/>
    </font>
    <font>
      <sz val="10"/>
      <color indexed="81"/>
      <name val="Tahoma"/>
      <charset val="1"/>
    </font>
    <font>
      <b/>
      <sz val="10"/>
      <color indexed="81"/>
      <name val="Tahoma"/>
      <charset val="1"/>
    </font>
    <font>
      <b/>
      <sz val="8"/>
      <color indexed="81"/>
      <name val="Tahoma"/>
      <family val="2"/>
    </font>
    <font>
      <b/>
      <sz val="10"/>
      <name val="Arial"/>
      <family val="2"/>
    </font>
    <font>
      <b/>
      <sz val="9"/>
      <name val="Arial"/>
      <family val="2"/>
    </font>
    <font>
      <sz val="9"/>
      <name val="Arial"/>
      <family val="2"/>
    </font>
    <font>
      <sz val="10"/>
      <name val="Arial"/>
      <family val="2"/>
    </font>
    <font>
      <b/>
      <i/>
      <sz val="9"/>
      <name val="Arial"/>
      <family val="2"/>
    </font>
    <font>
      <sz val="8"/>
      <color indexed="81"/>
      <name val="Tahoma"/>
      <family val="2"/>
    </font>
    <font>
      <u/>
      <sz val="9"/>
      <name val="Bookman Old Style"/>
      <family val="1"/>
    </font>
    <font>
      <b/>
      <sz val="14"/>
      <name val="Bookman Old Style"/>
      <family val="1"/>
    </font>
    <font>
      <b/>
      <sz val="10"/>
      <name val="Bookman Old Style"/>
      <family val="1"/>
    </font>
    <font>
      <b/>
      <sz val="14"/>
      <name val="Arial"/>
      <family val="2"/>
    </font>
    <font>
      <b/>
      <sz val="12"/>
      <name val="Bookman Old Style"/>
      <family val="1"/>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32">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right/>
      <top style="double">
        <color indexed="64"/>
      </top>
      <bottom style="double">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thin">
        <color indexed="64"/>
      </top>
      <bottom style="thin">
        <color indexed="64"/>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right/>
      <top style="double">
        <color indexed="64"/>
      </top>
      <bottom/>
      <diagonal/>
    </border>
    <border>
      <left style="thin">
        <color indexed="64"/>
      </left>
      <right/>
      <top style="double">
        <color indexed="64"/>
      </top>
      <bottom style="double">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7">
    <xf numFmtId="0" fontId="0" fillId="0" borderId="0" xfId="0"/>
    <xf numFmtId="0" fontId="3" fillId="0" borderId="0" xfId="0" applyFont="1"/>
    <xf numFmtId="0" fontId="3" fillId="0" borderId="1" xfId="0" applyFont="1" applyBorder="1"/>
    <xf numFmtId="0" fontId="3" fillId="0" borderId="2" xfId="0" applyFont="1" applyBorder="1"/>
    <xf numFmtId="0" fontId="3" fillId="0" borderId="0" xfId="0" applyFont="1" applyBorder="1"/>
    <xf numFmtId="0" fontId="3" fillId="0" borderId="3" xfId="0" applyFont="1" applyBorder="1"/>
    <xf numFmtId="0" fontId="3" fillId="0" borderId="0" xfId="0" applyFont="1" applyBorder="1" applyAlignment="1">
      <alignment horizontal="right"/>
    </xf>
    <xf numFmtId="0" fontId="3" fillId="0" borderId="4" xfId="0" applyFont="1" applyBorder="1"/>
    <xf numFmtId="0" fontId="3" fillId="0" borderId="5" xfId="0" applyFont="1" applyBorder="1"/>
    <xf numFmtId="0" fontId="3" fillId="0" borderId="6" xfId="0" applyFont="1" applyBorder="1"/>
    <xf numFmtId="0" fontId="2" fillId="0" borderId="0" xfId="0" applyFont="1" applyBorder="1"/>
    <xf numFmtId="0" fontId="3" fillId="0" borderId="2" xfId="0" applyFont="1" applyBorder="1" applyAlignment="1">
      <alignment horizontal="center"/>
    </xf>
    <xf numFmtId="0" fontId="2" fillId="0" borderId="5" xfId="0" applyFont="1" applyBorder="1"/>
    <xf numFmtId="0" fontId="7" fillId="0" borderId="0" xfId="0" applyFont="1" applyBorder="1"/>
    <xf numFmtId="0" fontId="2" fillId="0" borderId="0" xfId="0" applyFont="1" applyAlignment="1">
      <alignment horizontal="right"/>
    </xf>
    <xf numFmtId="0" fontId="3" fillId="0" borderId="7" xfId="0" applyFont="1" applyBorder="1" applyAlignment="1">
      <alignment horizontal="center"/>
    </xf>
    <xf numFmtId="0" fontId="3" fillId="0" borderId="8" xfId="0" applyFont="1" applyBorder="1"/>
    <xf numFmtId="0" fontId="2" fillId="0" borderId="6" xfId="0" applyFont="1" applyBorder="1"/>
    <xf numFmtId="0" fontId="9" fillId="0" borderId="9" xfId="0" applyFont="1" applyBorder="1" applyAlignment="1">
      <alignment horizontal="left"/>
    </xf>
    <xf numFmtId="173" fontId="2" fillId="0" borderId="10" xfId="1" applyNumberFormat="1" applyFont="1" applyBorder="1"/>
    <xf numFmtId="0" fontId="8" fillId="0" borderId="11" xfId="0" applyFont="1" applyBorder="1" applyAlignment="1">
      <alignment horizontal="left"/>
    </xf>
    <xf numFmtId="0" fontId="7" fillId="0" borderId="6" xfId="0" applyFont="1" applyBorder="1"/>
    <xf numFmtId="173" fontId="2" fillId="0" borderId="11" xfId="1" applyNumberFormat="1" applyFont="1" applyBorder="1"/>
    <xf numFmtId="173" fontId="2" fillId="0" borderId="12" xfId="1" applyNumberFormat="1" applyFont="1" applyBorder="1"/>
    <xf numFmtId="173" fontId="2" fillId="0" borderId="7" xfId="1" applyNumberFormat="1" applyFont="1" applyBorder="1"/>
    <xf numFmtId="0" fontId="8" fillId="0" borderId="7" xfId="0" applyFont="1" applyBorder="1" applyAlignment="1">
      <alignment horizontal="left"/>
    </xf>
    <xf numFmtId="0" fontId="8" fillId="0" borderId="13" xfId="0" applyFont="1" applyBorder="1" applyAlignment="1">
      <alignment horizontal="left"/>
    </xf>
    <xf numFmtId="173" fontId="2" fillId="0" borderId="13" xfId="1" applyNumberFormat="1" applyFont="1" applyBorder="1"/>
    <xf numFmtId="0" fontId="8" fillId="0" borderId="14" xfId="0" applyFont="1" applyBorder="1" applyAlignment="1">
      <alignment horizontal="left"/>
    </xf>
    <xf numFmtId="173" fontId="2" fillId="0" borderId="14" xfId="1" applyNumberFormat="1" applyFont="1" applyBorder="1"/>
    <xf numFmtId="41" fontId="2" fillId="0" borderId="11" xfId="1" applyNumberFormat="1" applyFont="1" applyBorder="1"/>
    <xf numFmtId="173" fontId="2" fillId="0" borderId="15" xfId="1" applyNumberFormat="1" applyFont="1" applyBorder="1"/>
    <xf numFmtId="0" fontId="0" fillId="0" borderId="0" xfId="0" applyBorder="1"/>
    <xf numFmtId="0" fontId="14" fillId="0" borderId="16" xfId="0" applyFont="1" applyBorder="1" applyAlignment="1">
      <alignment horizontal="left"/>
    </xf>
    <xf numFmtId="0" fontId="15" fillId="0" borderId="0" xfId="0" applyFont="1" applyBorder="1"/>
    <xf numFmtId="0" fontId="15" fillId="0" borderId="16" xfId="0" applyFont="1" applyBorder="1" applyAlignment="1">
      <alignment horizontal="left"/>
    </xf>
    <xf numFmtId="0" fontId="15" fillId="0" borderId="0" xfId="0" applyFont="1" applyBorder="1" applyAlignment="1">
      <alignment horizontal="left"/>
    </xf>
    <xf numFmtId="0" fontId="15" fillId="0" borderId="0" xfId="0" applyFont="1" applyAlignment="1">
      <alignment horizontal="left"/>
    </xf>
    <xf numFmtId="0" fontId="14" fillId="0" borderId="17" xfId="0" applyFont="1" applyBorder="1" applyAlignment="1">
      <alignment horizontal="left"/>
    </xf>
    <xf numFmtId="0" fontId="15" fillId="0" borderId="18" xfId="0" applyFont="1" applyBorder="1"/>
    <xf numFmtId="0" fontId="15" fillId="0" borderId="16" xfId="0" applyFont="1" applyBorder="1"/>
    <xf numFmtId="0" fontId="15" fillId="0" borderId="0" xfId="0" applyFont="1" applyBorder="1" applyAlignment="1">
      <alignment vertical="center"/>
    </xf>
    <xf numFmtId="0" fontId="15" fillId="0" borderId="2" xfId="0" applyFont="1" applyBorder="1" applyAlignment="1">
      <alignment horizontal="center"/>
    </xf>
    <xf numFmtId="0" fontId="14" fillId="0" borderId="17" xfId="0" applyFont="1" applyBorder="1"/>
    <xf numFmtId="0" fontId="15" fillId="0" borderId="19" xfId="0" applyFont="1" applyBorder="1"/>
    <xf numFmtId="0" fontId="16" fillId="0" borderId="18" xfId="0" applyFont="1" applyBorder="1" applyAlignment="1"/>
    <xf numFmtId="0" fontId="15" fillId="0" borderId="20" xfId="0" applyFont="1" applyBorder="1"/>
    <xf numFmtId="0" fontId="15" fillId="0" borderId="0" xfId="0" applyFont="1" applyBorder="1" applyAlignment="1">
      <alignment horizontal="center"/>
    </xf>
    <xf numFmtId="0" fontId="15" fillId="0" borderId="21" xfId="0" applyFont="1" applyBorder="1"/>
    <xf numFmtId="0" fontId="15" fillId="0" borderId="1" xfId="0" applyFont="1" applyBorder="1"/>
    <xf numFmtId="0" fontId="15" fillId="0" borderId="22" xfId="0" applyFont="1" applyBorder="1"/>
    <xf numFmtId="0" fontId="14" fillId="0" borderId="0" xfId="0" applyFont="1" applyAlignment="1">
      <alignment horizontal="left"/>
    </xf>
    <xf numFmtId="0" fontId="15" fillId="0" borderId="0" xfId="0" applyFont="1"/>
    <xf numFmtId="0" fontId="15" fillId="0" borderId="0" xfId="0" applyFont="1" applyBorder="1" applyAlignment="1"/>
    <xf numFmtId="0" fontId="15" fillId="0" borderId="16" xfId="0" applyFont="1" applyBorder="1" applyAlignment="1"/>
    <xf numFmtId="173" fontId="15" fillId="0" borderId="0" xfId="1" applyNumberFormat="1" applyFont="1" applyBorder="1"/>
    <xf numFmtId="0" fontId="15" fillId="0" borderId="16" xfId="0" applyFont="1" applyBorder="1" applyAlignment="1">
      <alignment horizontal="right"/>
    </xf>
    <xf numFmtId="0" fontId="15" fillId="0" borderId="21" xfId="0" applyFont="1" applyBorder="1" applyAlignment="1">
      <alignment horizontal="right"/>
    </xf>
    <xf numFmtId="0" fontId="16" fillId="0" borderId="20" xfId="0" applyFont="1" applyBorder="1" applyAlignment="1"/>
    <xf numFmtId="0" fontId="14" fillId="0" borderId="0" xfId="0" applyFont="1" applyBorder="1"/>
    <xf numFmtId="0" fontId="15" fillId="0" borderId="18" xfId="0" applyFont="1" applyBorder="1" applyAlignment="1">
      <alignment horizontal="right"/>
    </xf>
    <xf numFmtId="0" fontId="15" fillId="0" borderId="19" xfId="0" applyFont="1" applyBorder="1" applyAlignment="1">
      <alignment horizontal="right"/>
    </xf>
    <xf numFmtId="0" fontId="15" fillId="0" borderId="0" xfId="0" applyFont="1" applyBorder="1" applyAlignment="1">
      <alignment horizontal="right"/>
    </xf>
    <xf numFmtId="0" fontId="15" fillId="0" borderId="20" xfId="0" applyFont="1" applyBorder="1" applyAlignment="1">
      <alignment horizontal="right"/>
    </xf>
    <xf numFmtId="0" fontId="15" fillId="0" borderId="20" xfId="0" applyFont="1" applyBorder="1" applyAlignment="1">
      <alignment horizontal="center"/>
    </xf>
    <xf numFmtId="0" fontId="13" fillId="0" borderId="0" xfId="0" applyFont="1" applyBorder="1"/>
    <xf numFmtId="173" fontId="15" fillId="0" borderId="20" xfId="1" applyNumberFormat="1" applyFont="1" applyBorder="1"/>
    <xf numFmtId="173" fontId="15" fillId="0" borderId="0" xfId="1" applyNumberFormat="1" applyFont="1" applyBorder="1" applyAlignment="1">
      <alignment horizontal="left"/>
    </xf>
    <xf numFmtId="173" fontId="15" fillId="0" borderId="1" xfId="1" applyNumberFormat="1" applyFont="1" applyBorder="1"/>
    <xf numFmtId="173" fontId="15" fillId="0" borderId="22" xfId="1" applyNumberFormat="1" applyFont="1" applyBorder="1"/>
    <xf numFmtId="0" fontId="14" fillId="0" borderId="0" xfId="0" applyFont="1"/>
    <xf numFmtId="0" fontId="15" fillId="0" borderId="0" xfId="0" applyFont="1" applyAlignment="1">
      <alignment horizontal="right"/>
    </xf>
    <xf numFmtId="0" fontId="15" fillId="0" borderId="7" xfId="0" applyFont="1" applyBorder="1" applyAlignment="1">
      <alignment horizontal="center"/>
    </xf>
    <xf numFmtId="0" fontId="16" fillId="0" borderId="19" xfId="0" applyFont="1" applyBorder="1" applyAlignment="1"/>
    <xf numFmtId="0" fontId="16" fillId="0" borderId="0" xfId="0" applyFont="1" applyBorder="1"/>
    <xf numFmtId="0" fontId="16" fillId="0" borderId="20" xfId="0" applyFont="1" applyBorder="1"/>
    <xf numFmtId="0" fontId="17" fillId="0" borderId="16" xfId="0" applyFont="1" applyBorder="1"/>
    <xf numFmtId="0" fontId="15" fillId="0" borderId="16" xfId="0" applyFont="1" applyBorder="1" applyAlignment="1">
      <alignment wrapText="1"/>
    </xf>
    <xf numFmtId="0" fontId="14" fillId="0" borderId="0" xfId="0" applyFont="1" applyBorder="1" applyAlignment="1">
      <alignment horizontal="left" vertical="center"/>
    </xf>
    <xf numFmtId="0" fontId="13" fillId="0" borderId="0" xfId="0" applyFont="1" applyBorder="1" applyAlignment="1">
      <alignment horizontal="left" vertical="center"/>
    </xf>
    <xf numFmtId="0" fontId="14" fillId="0" borderId="0" xfId="0" applyFont="1" applyBorder="1" applyAlignment="1">
      <alignment horizontal="left"/>
    </xf>
    <xf numFmtId="180" fontId="15" fillId="0" borderId="0" xfId="0" applyNumberFormat="1" applyFont="1" applyBorder="1" applyAlignment="1">
      <alignment horizontal="center"/>
    </xf>
    <xf numFmtId="0" fontId="9" fillId="0" borderId="12" xfId="0" applyFont="1" applyFill="1" applyBorder="1" applyAlignment="1">
      <alignment horizontal="left"/>
    </xf>
    <xf numFmtId="0" fontId="7" fillId="0" borderId="0" xfId="0" applyFont="1" applyFill="1" applyBorder="1"/>
    <xf numFmtId="0" fontId="2" fillId="0" borderId="0" xfId="0" applyFont="1" applyFill="1" applyBorder="1"/>
    <xf numFmtId="0" fontId="4" fillId="0" borderId="0" xfId="0" applyFont="1" applyFill="1" applyBorder="1"/>
    <xf numFmtId="0" fontId="4" fillId="0" borderId="12" xfId="0" applyFont="1" applyFill="1" applyBorder="1"/>
    <xf numFmtId="173" fontId="2" fillId="0" borderId="7" xfId="1" applyNumberFormat="1" applyFont="1" applyFill="1" applyBorder="1"/>
    <xf numFmtId="0" fontId="2" fillId="0" borderId="0" xfId="0" applyFont="1" applyFill="1"/>
    <xf numFmtId="0" fontId="8" fillId="0" borderId="7" xfId="0" applyFont="1" applyFill="1" applyBorder="1" applyAlignment="1">
      <alignment horizontal="left"/>
    </xf>
    <xf numFmtId="0" fontId="3" fillId="0" borderId="2" xfId="0" applyFont="1" applyFill="1" applyBorder="1"/>
    <xf numFmtId="0" fontId="3" fillId="0" borderId="0" xfId="0" applyFont="1" applyFill="1" applyBorder="1"/>
    <xf numFmtId="0" fontId="3" fillId="0" borderId="0" xfId="0" applyFont="1" applyFill="1"/>
    <xf numFmtId="0" fontId="8" fillId="0" borderId="12" xfId="0" applyFont="1" applyFill="1" applyBorder="1" applyAlignment="1">
      <alignment horizontal="left"/>
    </xf>
    <xf numFmtId="173" fontId="2" fillId="0" borderId="12" xfId="1" applyNumberFormat="1" applyFont="1" applyFill="1" applyBorder="1"/>
    <xf numFmtId="0" fontId="3" fillId="0" borderId="23" xfId="0" applyFont="1" applyFill="1" applyBorder="1"/>
    <xf numFmtId="0" fontId="3" fillId="0" borderId="3" xfId="0" applyFont="1" applyFill="1" applyBorder="1"/>
    <xf numFmtId="173" fontId="2" fillId="0" borderId="14" xfId="1" applyNumberFormat="1" applyFont="1" applyFill="1" applyBorder="1"/>
    <xf numFmtId="0" fontId="9" fillId="0" borderId="24" xfId="0" applyFont="1" applyFill="1" applyBorder="1" applyAlignment="1">
      <alignment horizontal="left"/>
    </xf>
    <xf numFmtId="0" fontId="4" fillId="0" borderId="0" xfId="0" applyFont="1" applyFill="1" applyBorder="1" applyAlignment="1">
      <alignment horizontal="left"/>
    </xf>
    <xf numFmtId="0" fontId="9" fillId="0" borderId="7" xfId="0" applyFont="1" applyFill="1" applyBorder="1" applyAlignment="1">
      <alignment horizontal="left"/>
    </xf>
    <xf numFmtId="49" fontId="3" fillId="0" borderId="2" xfId="0" applyNumberFormat="1" applyFont="1" applyFill="1" applyBorder="1"/>
    <xf numFmtId="41" fontId="2" fillId="0" borderId="15" xfId="1" applyNumberFormat="1" applyFont="1" applyFill="1" applyBorder="1"/>
    <xf numFmtId="0" fontId="3" fillId="0" borderId="0" xfId="0" applyFont="1" applyBorder="1" applyAlignment="1"/>
    <xf numFmtId="173" fontId="2" fillId="0" borderId="11" xfId="1" applyNumberFormat="1" applyFont="1" applyFill="1" applyBorder="1"/>
    <xf numFmtId="173" fontId="2" fillId="0" borderId="8" xfId="1" applyNumberFormat="1" applyFont="1" applyBorder="1"/>
    <xf numFmtId="173" fontId="2" fillId="0" borderId="0" xfId="1" applyNumberFormat="1" applyFont="1" applyFill="1" applyBorder="1"/>
    <xf numFmtId="173" fontId="2" fillId="0" borderId="6" xfId="1" applyNumberFormat="1" applyFont="1" applyFill="1" applyBorder="1"/>
    <xf numFmtId="173" fontId="2" fillId="0" borderId="20" xfId="1" applyNumberFormat="1" applyFont="1" applyBorder="1"/>
    <xf numFmtId="173" fontId="2" fillId="2" borderId="13" xfId="1" applyNumberFormat="1" applyFont="1" applyFill="1" applyBorder="1"/>
    <xf numFmtId="173" fontId="2" fillId="2" borderId="7" xfId="1" applyNumberFormat="1" applyFont="1" applyFill="1" applyBorder="1"/>
    <xf numFmtId="173" fontId="2" fillId="2" borderId="14" xfId="1" applyNumberFormat="1" applyFont="1" applyFill="1" applyBorder="1"/>
    <xf numFmtId="43" fontId="2" fillId="2" borderId="15" xfId="1" applyFont="1" applyFill="1" applyBorder="1"/>
    <xf numFmtId="179" fontId="2" fillId="2" borderId="15" xfId="1" applyNumberFormat="1" applyFont="1" applyFill="1" applyBorder="1"/>
    <xf numFmtId="173" fontId="2" fillId="2" borderId="25" xfId="1" applyNumberFormat="1" applyFont="1" applyFill="1" applyBorder="1"/>
    <xf numFmtId="0" fontId="8" fillId="0" borderId="15" xfId="0" applyFont="1" applyFill="1" applyBorder="1" applyAlignment="1">
      <alignment horizontal="left"/>
    </xf>
    <xf numFmtId="0" fontId="7" fillId="0" borderId="5" xfId="0" applyFont="1" applyFill="1" applyBorder="1"/>
    <xf numFmtId="0" fontId="3" fillId="0" borderId="5" xfId="0" applyFont="1" applyFill="1" applyBorder="1"/>
    <xf numFmtId="0" fontId="4" fillId="0" borderId="5" xfId="0" applyFont="1" applyFill="1" applyBorder="1" applyAlignment="1">
      <alignment horizontal="right"/>
    </xf>
    <xf numFmtId="0" fontId="4" fillId="0" borderId="5" xfId="0" quotePrefix="1" applyFont="1" applyFill="1" applyBorder="1" applyAlignment="1">
      <alignment horizontal="right"/>
    </xf>
    <xf numFmtId="0" fontId="3" fillId="0" borderId="5" xfId="0" applyFont="1" applyFill="1" applyBorder="1" applyAlignment="1">
      <alignment horizontal="right"/>
    </xf>
    <xf numFmtId="43" fontId="2" fillId="2" borderId="26" xfId="1" applyFont="1" applyFill="1" applyBorder="1"/>
    <xf numFmtId="0" fontId="3" fillId="0" borderId="16" xfId="0" applyFont="1" applyBorder="1" applyAlignment="1">
      <alignment horizontal="left"/>
    </xf>
    <xf numFmtId="0" fontId="2" fillId="0" borderId="16" xfId="0" applyFont="1" applyBorder="1" applyAlignment="1">
      <alignment horizontal="left"/>
    </xf>
    <xf numFmtId="0" fontId="19" fillId="0" borderId="16" xfId="0" applyFont="1" applyBorder="1" applyAlignment="1">
      <alignment horizontal="left"/>
    </xf>
    <xf numFmtId="0" fontId="3" fillId="0" borderId="26" xfId="0" applyFont="1" applyBorder="1"/>
    <xf numFmtId="180" fontId="15" fillId="0" borderId="0" xfId="0" applyNumberFormat="1" applyFont="1" applyBorder="1" applyAlignment="1">
      <alignment horizontal="left"/>
    </xf>
    <xf numFmtId="0" fontId="3" fillId="0" borderId="1" xfId="0" applyFont="1" applyFill="1" applyBorder="1"/>
    <xf numFmtId="0" fontId="3" fillId="0" borderId="26" xfId="0" applyFont="1" applyFill="1" applyBorder="1"/>
    <xf numFmtId="6" fontId="3" fillId="0" borderId="0" xfId="0" applyNumberFormat="1" applyFont="1" applyBorder="1"/>
    <xf numFmtId="0" fontId="13" fillId="0" borderId="3" xfId="0" applyFont="1" applyBorder="1"/>
    <xf numFmtId="0" fontId="0" fillId="0" borderId="3" xfId="0" applyBorder="1"/>
    <xf numFmtId="0" fontId="2" fillId="0" borderId="27" xfId="0" applyFont="1" applyBorder="1"/>
    <xf numFmtId="0" fontId="20" fillId="3" borderId="0" xfId="0" applyFont="1" applyFill="1" applyBorder="1" applyAlignment="1">
      <alignment horizontal="left"/>
    </xf>
    <xf numFmtId="0" fontId="14" fillId="0" borderId="16" xfId="0" applyFont="1" applyBorder="1"/>
    <xf numFmtId="0" fontId="2" fillId="0" borderId="2" xfId="0" applyFont="1" applyFill="1" applyBorder="1"/>
    <xf numFmtId="0" fontId="21" fillId="0" borderId="9" xfId="0" applyFont="1" applyBorder="1"/>
    <xf numFmtId="0" fontId="2" fillId="0" borderId="12" xfId="0" applyFont="1" applyBorder="1" applyAlignment="1">
      <alignment horizontal="left"/>
    </xf>
    <xf numFmtId="0" fontId="9" fillId="0" borderId="15" xfId="0" applyFont="1" applyBorder="1" applyAlignment="1">
      <alignment horizontal="left"/>
    </xf>
    <xf numFmtId="0" fontId="7" fillId="0" borderId="5" xfId="0" applyFont="1" applyBorder="1"/>
    <xf numFmtId="0" fontId="3" fillId="0" borderId="5" xfId="0" applyFont="1" applyBorder="1" applyAlignment="1"/>
    <xf numFmtId="0" fontId="2" fillId="0" borderId="13" xfId="0" applyFont="1" applyBorder="1" applyAlignment="1">
      <alignment horizontal="left"/>
    </xf>
    <xf numFmtId="0" fontId="2" fillId="0" borderId="24" xfId="0" applyFont="1" applyBorder="1" applyAlignment="1">
      <alignment horizontal="left"/>
    </xf>
    <xf numFmtId="179" fontId="2" fillId="2" borderId="24" xfId="1" applyNumberFormat="1" applyFont="1" applyFill="1" applyBorder="1"/>
    <xf numFmtId="41" fontId="13" fillId="2" borderId="14" xfId="0" applyNumberFormat="1" applyFont="1" applyFill="1" applyBorder="1"/>
    <xf numFmtId="173" fontId="2" fillId="0" borderId="24" xfId="1" applyNumberFormat="1" applyFont="1" applyBorder="1"/>
    <xf numFmtId="0" fontId="2" fillId="0" borderId="7" xfId="0" applyFont="1" applyBorder="1" applyAlignment="1">
      <alignment horizontal="left"/>
    </xf>
    <xf numFmtId="0" fontId="3" fillId="0" borderId="23" xfId="0" applyFont="1" applyBorder="1" applyAlignment="1">
      <alignment horizontal="left"/>
    </xf>
    <xf numFmtId="0" fontId="3" fillId="0" borderId="25" xfId="0" applyFont="1" applyBorder="1"/>
    <xf numFmtId="0" fontId="3" fillId="0" borderId="20" xfId="0" applyFont="1" applyBorder="1"/>
    <xf numFmtId="0" fontId="2" fillId="0" borderId="3" xfId="0" applyFont="1" applyBorder="1" applyAlignment="1">
      <alignment horizontal="right"/>
    </xf>
    <xf numFmtId="0" fontId="2" fillId="0" borderId="14" xfId="0" applyFont="1" applyBorder="1" applyAlignment="1">
      <alignment horizontal="right"/>
    </xf>
    <xf numFmtId="0" fontId="13" fillId="0" borderId="15" xfId="0" applyFont="1" applyBorder="1"/>
    <xf numFmtId="0" fontId="2" fillId="0" borderId="28" xfId="0" applyFont="1" applyBorder="1"/>
    <xf numFmtId="0" fontId="3" fillId="0" borderId="18" xfId="0" applyFont="1" applyFill="1" applyBorder="1"/>
    <xf numFmtId="0" fontId="0" fillId="0" borderId="4" xfId="0" applyBorder="1"/>
    <xf numFmtId="0" fontId="3" fillId="0" borderId="27" xfId="0" applyFont="1" applyFill="1" applyBorder="1"/>
    <xf numFmtId="0" fontId="3" fillId="0" borderId="6" xfId="0" applyFont="1" applyFill="1" applyBorder="1"/>
    <xf numFmtId="0" fontId="8" fillId="0" borderId="14" xfId="0" applyFont="1" applyFill="1" applyBorder="1" applyAlignment="1">
      <alignment horizontal="left"/>
    </xf>
    <xf numFmtId="0" fontId="8" fillId="0" borderId="13" xfId="0" applyFont="1" applyFill="1" applyBorder="1" applyAlignment="1">
      <alignment horizontal="left"/>
    </xf>
    <xf numFmtId="0" fontId="4" fillId="0" borderId="2" xfId="0" applyFont="1" applyFill="1" applyBorder="1"/>
    <xf numFmtId="0" fontId="7" fillId="0" borderId="6" xfId="0" applyFont="1" applyFill="1" applyBorder="1"/>
    <xf numFmtId="0" fontId="3" fillId="0" borderId="16" xfId="0" applyFont="1" applyFill="1" applyBorder="1"/>
    <xf numFmtId="0" fontId="3" fillId="0" borderId="17" xfId="0" applyFont="1" applyFill="1" applyBorder="1"/>
    <xf numFmtId="0" fontId="4" fillId="0" borderId="9" xfId="0" applyFont="1" applyFill="1" applyBorder="1" applyAlignment="1">
      <alignment horizontal="left"/>
    </xf>
    <xf numFmtId="0" fontId="3" fillId="0" borderId="21" xfId="0" applyFont="1" applyFill="1" applyBorder="1"/>
    <xf numFmtId="0" fontId="3" fillId="0" borderId="7" xfId="0" applyFont="1" applyFill="1" applyBorder="1"/>
    <xf numFmtId="0" fontId="3" fillId="0" borderId="12" xfId="0" applyFont="1" applyFill="1" applyBorder="1"/>
    <xf numFmtId="0" fontId="3" fillId="0" borderId="7" xfId="0" applyFont="1" applyFill="1" applyBorder="1" applyAlignment="1">
      <alignment wrapText="1"/>
    </xf>
    <xf numFmtId="0" fontId="3" fillId="0" borderId="12" xfId="0" applyFont="1" applyFill="1" applyBorder="1" applyAlignment="1">
      <alignment wrapText="1"/>
    </xf>
    <xf numFmtId="0" fontId="3" fillId="0" borderId="29" xfId="0" applyFont="1" applyFill="1" applyBorder="1"/>
    <xf numFmtId="0" fontId="2" fillId="0" borderId="11" xfId="0" applyFont="1" applyFill="1" applyBorder="1"/>
    <xf numFmtId="0" fontId="3" fillId="0" borderId="13" xfId="0" applyFont="1" applyFill="1" applyBorder="1"/>
    <xf numFmtId="0" fontId="3" fillId="0" borderId="14" xfId="0" applyFont="1" applyFill="1" applyBorder="1"/>
    <xf numFmtId="0" fontId="0" fillId="0" borderId="12" xfId="0" applyBorder="1"/>
    <xf numFmtId="0" fontId="0" fillId="0" borderId="7" xfId="0" applyBorder="1"/>
    <xf numFmtId="0" fontId="0" fillId="0" borderId="11" xfId="0" applyBorder="1"/>
    <xf numFmtId="0" fontId="0" fillId="0" borderId="13" xfId="0" applyBorder="1"/>
    <xf numFmtId="0" fontId="0" fillId="0" borderId="14" xfId="0" applyBorder="1"/>
    <xf numFmtId="0" fontId="0" fillId="0" borderId="26" xfId="0" applyBorder="1"/>
    <xf numFmtId="0" fontId="8" fillId="0" borderId="29" xfId="0" applyFont="1" applyFill="1" applyBorder="1" applyAlignment="1">
      <alignment horizontal="left"/>
    </xf>
    <xf numFmtId="8" fontId="3" fillId="0" borderId="7" xfId="0" applyNumberFormat="1" applyFont="1" applyFill="1" applyBorder="1"/>
    <xf numFmtId="8" fontId="3" fillId="0" borderId="27" xfId="0" applyNumberFormat="1" applyFont="1" applyFill="1" applyBorder="1"/>
    <xf numFmtId="8" fontId="3" fillId="0" borderId="7" xfId="0" applyNumberFormat="1" applyFont="1" applyBorder="1"/>
    <xf numFmtId="0" fontId="0" fillId="0" borderId="7" xfId="0" applyBorder="1" applyAlignment="1">
      <alignment horizontal="center"/>
    </xf>
    <xf numFmtId="0" fontId="4" fillId="0" borderId="21" xfId="0" applyFont="1" applyFill="1" applyBorder="1"/>
    <xf numFmtId="0" fontId="3" fillId="0" borderId="19" xfId="0" applyFont="1" applyFill="1" applyBorder="1"/>
    <xf numFmtId="0" fontId="3" fillId="0" borderId="4" xfId="0" applyFont="1" applyFill="1" applyBorder="1"/>
    <xf numFmtId="8" fontId="3" fillId="0" borderId="29" xfId="0" applyNumberFormat="1" applyFont="1" applyFill="1" applyBorder="1"/>
    <xf numFmtId="0" fontId="3" fillId="0" borderId="12" xfId="0" applyFont="1" applyBorder="1"/>
    <xf numFmtId="0" fontId="3" fillId="0" borderId="7" xfId="0" applyFont="1" applyBorder="1"/>
    <xf numFmtId="0" fontId="3" fillId="0" borderId="14" xfId="0" applyFont="1" applyBorder="1"/>
    <xf numFmtId="0" fontId="0" fillId="0" borderId="10" xfId="0" applyBorder="1"/>
    <xf numFmtId="0" fontId="0" fillId="0" borderId="5" xfId="0" applyBorder="1"/>
    <xf numFmtId="0" fontId="13" fillId="0" borderId="5" xfId="0" applyFont="1" applyBorder="1"/>
    <xf numFmtId="9" fontId="13" fillId="0" borderId="26" xfId="2" applyFont="1" applyBorder="1"/>
    <xf numFmtId="8" fontId="2" fillId="0" borderId="16" xfId="0" applyNumberFormat="1" applyFont="1" applyFill="1" applyBorder="1"/>
    <xf numFmtId="8" fontId="2" fillId="0" borderId="27" xfId="0" applyNumberFormat="1" applyFont="1" applyFill="1" applyBorder="1"/>
    <xf numFmtId="8" fontId="2" fillId="0" borderId="17" xfId="0" applyNumberFormat="1" applyFont="1" applyFill="1" applyBorder="1"/>
    <xf numFmtId="0" fontId="21" fillId="0" borderId="28" xfId="0" applyFont="1" applyBorder="1" applyAlignment="1">
      <alignment horizontal="left"/>
    </xf>
    <xf numFmtId="0" fontId="2" fillId="0" borderId="30" xfId="0" applyFont="1" applyBorder="1"/>
    <xf numFmtId="0" fontId="3" fillId="0" borderId="30" xfId="0" applyFont="1" applyBorder="1"/>
    <xf numFmtId="0" fontId="0" fillId="0" borderId="31" xfId="0" applyBorder="1"/>
    <xf numFmtId="0" fontId="22" fillId="0" borderId="0" xfId="0" applyFont="1" applyBorder="1" applyAlignment="1">
      <alignment horizontal="left" vertical="center" wrapText="1"/>
    </xf>
    <xf numFmtId="9" fontId="2" fillId="0" borderId="15" xfId="2" applyFont="1" applyFill="1" applyBorder="1"/>
    <xf numFmtId="9" fontId="15" fillId="0" borderId="0" xfId="0" applyNumberFormat="1" applyFont="1" applyBorder="1"/>
    <xf numFmtId="0" fontId="14" fillId="0" borderId="27" xfId="0" applyFont="1" applyBorder="1"/>
    <xf numFmtId="0" fontId="14" fillId="0" borderId="2" xfId="0" applyFont="1" applyBorder="1"/>
    <xf numFmtId="0" fontId="15" fillId="0" borderId="2" xfId="0" applyFont="1" applyBorder="1"/>
    <xf numFmtId="9" fontId="15" fillId="0" borderId="4" xfId="0" applyNumberFormat="1" applyFont="1" applyBorder="1"/>
    <xf numFmtId="0" fontId="4" fillId="0" borderId="23" xfId="0" applyFont="1" applyFill="1" applyBorder="1"/>
    <xf numFmtId="0" fontId="7" fillId="0" borderId="9" xfId="0" applyFont="1" applyFill="1" applyBorder="1"/>
    <xf numFmtId="0" fontId="7" fillId="0" borderId="11" xfId="0" applyFont="1" applyFill="1" applyBorder="1" applyAlignment="1">
      <alignment horizontal="left"/>
    </xf>
    <xf numFmtId="0" fontId="4" fillId="0" borderId="9" xfId="0" applyFont="1" applyFill="1" applyBorder="1"/>
    <xf numFmtId="0" fontId="3" fillId="0" borderId="11" xfId="0" applyFont="1" applyFill="1" applyBorder="1"/>
    <xf numFmtId="0" fontId="3" fillId="0" borderId="9" xfId="0" applyFont="1" applyFill="1" applyBorder="1"/>
    <xf numFmtId="0" fontId="2" fillId="0" borderId="9" xfId="0" applyFont="1" applyFill="1" applyBorder="1"/>
    <xf numFmtId="0" fontId="2" fillId="0" borderId="6" xfId="0" applyFont="1" applyFill="1" applyBorder="1"/>
    <xf numFmtId="0" fontId="3" fillId="0" borderId="11" xfId="0" applyFont="1" applyFill="1" applyBorder="1" applyAlignment="1">
      <alignment wrapText="1"/>
    </xf>
    <xf numFmtId="0" fontId="3" fillId="0" borderId="11" xfId="0" applyFont="1" applyBorder="1"/>
    <xf numFmtId="0" fontId="9" fillId="0" borderId="23" xfId="0" applyFont="1" applyBorder="1" applyAlignment="1">
      <alignment horizontal="left" wrapText="1"/>
    </xf>
    <xf numFmtId="0" fontId="9" fillId="0" borderId="23" xfId="0" applyFont="1" applyBorder="1" applyAlignment="1">
      <alignment wrapText="1"/>
    </xf>
    <xf numFmtId="0" fontId="9" fillId="0" borderId="14" xfId="0" applyFont="1" applyBorder="1" applyAlignment="1">
      <alignment wrapText="1"/>
    </xf>
    <xf numFmtId="0" fontId="9" fillId="0" borderId="23" xfId="0" applyFont="1" applyBorder="1"/>
    <xf numFmtId="0" fontId="23" fillId="0" borderId="31" xfId="0" applyFont="1" applyBorder="1" applyAlignment="1">
      <alignment horizontal="left"/>
    </xf>
    <xf numFmtId="0" fontId="15" fillId="0" borderId="0" xfId="0" applyFont="1" applyBorder="1" applyAlignment="1"/>
    <xf numFmtId="0" fontId="15" fillId="0" borderId="1" xfId="0" applyFont="1" applyBorder="1" applyAlignment="1">
      <alignment vertical="center"/>
    </xf>
    <xf numFmtId="0" fontId="16" fillId="0" borderId="1" xfId="0" applyFont="1" applyBorder="1" applyAlignment="1">
      <alignment vertical="center"/>
    </xf>
    <xf numFmtId="0" fontId="15" fillId="0" borderId="1" xfId="0" applyFont="1" applyBorder="1" applyAlignment="1">
      <alignment horizontal="left" vertical="center"/>
    </xf>
    <xf numFmtId="0" fontId="15" fillId="0" borderId="22" xfId="0" applyFont="1" applyBorder="1" applyAlignment="1">
      <alignment horizontal="left" vertical="center"/>
    </xf>
    <xf numFmtId="0" fontId="15" fillId="0" borderId="20" xfId="0" applyFont="1" applyBorder="1" applyAlignment="1"/>
    <xf numFmtId="0" fontId="16" fillId="0" borderId="0" xfId="0" applyFont="1" applyBorder="1" applyAlignment="1"/>
    <xf numFmtId="0" fontId="15" fillId="0" borderId="18" xfId="0" applyFont="1" applyBorder="1" applyAlignment="1"/>
    <xf numFmtId="14" fontId="15" fillId="0" borderId="1" xfId="0" applyNumberFormat="1" applyFont="1" applyBorder="1" applyAlignment="1">
      <alignment horizontal="center" vertical="center"/>
    </xf>
    <xf numFmtId="0" fontId="15" fillId="0" borderId="2" xfId="0" applyFont="1" applyBorder="1" applyAlignment="1">
      <alignment horizontal="center" vertical="center"/>
    </xf>
    <xf numFmtId="14" fontId="15" fillId="0" borderId="2" xfId="0" applyNumberFormat="1" applyFont="1" applyBorder="1" applyAlignment="1">
      <alignment horizontal="center" vertical="center"/>
    </xf>
    <xf numFmtId="0" fontId="15" fillId="0" borderId="2" xfId="0" applyFont="1" applyBorder="1" applyAlignment="1"/>
    <xf numFmtId="0" fontId="0" fillId="0" borderId="2" xfId="0" applyBorder="1" applyAlignment="1"/>
    <xf numFmtId="0" fontId="15" fillId="0" borderId="22" xfId="0" applyFont="1" applyBorder="1" applyAlignment="1">
      <alignment vertical="center"/>
    </xf>
    <xf numFmtId="0" fontId="15" fillId="0" borderId="2" xfId="0" applyFont="1" applyBorder="1" applyAlignment="1">
      <alignment vertical="center"/>
    </xf>
    <xf numFmtId="0" fontId="15" fillId="0" borderId="4" xfId="0" applyFont="1" applyBorder="1" applyAlignment="1">
      <alignment vertical="center"/>
    </xf>
    <xf numFmtId="0" fontId="16" fillId="0" borderId="22" xfId="0" applyFont="1" applyBorder="1" applyAlignment="1">
      <alignment vertical="center"/>
    </xf>
    <xf numFmtId="0" fontId="16" fillId="0" borderId="2" xfId="0" applyFont="1" applyBorder="1" applyAlignment="1">
      <alignment vertical="center"/>
    </xf>
    <xf numFmtId="0" fontId="16" fillId="0" borderId="4" xfId="0" applyFont="1" applyBorder="1" applyAlignment="1">
      <alignment vertical="center"/>
    </xf>
    <xf numFmtId="0" fontId="14" fillId="0" borderId="17" xfId="0" applyFont="1" applyBorder="1" applyAlignment="1">
      <alignment horizontal="left"/>
    </xf>
    <xf numFmtId="0" fontId="0" fillId="0" borderId="18" xfId="0" applyBorder="1" applyAlignment="1"/>
    <xf numFmtId="0" fontId="15" fillId="0" borderId="16" xfId="0" applyFont="1" applyBorder="1" applyAlignment="1">
      <alignment horizontal="left"/>
    </xf>
    <xf numFmtId="0" fontId="0" fillId="0" borderId="0" xfId="0" applyBorder="1" applyAlignment="1"/>
    <xf numFmtId="0" fontId="15" fillId="0" borderId="1" xfId="0" applyFont="1" applyBorder="1" applyAlignment="1"/>
    <xf numFmtId="0" fontId="16" fillId="0" borderId="22" xfId="0" applyFont="1" applyBorder="1" applyAlignment="1"/>
    <xf numFmtId="0" fontId="15" fillId="0" borderId="16" xfId="0" applyFont="1" applyBorder="1" applyAlignment="1"/>
    <xf numFmtId="0" fontId="16" fillId="0" borderId="20" xfId="0" applyFont="1" applyBorder="1" applyAlignment="1"/>
    <xf numFmtId="0" fontId="14" fillId="0" borderId="0" xfId="0" applyFont="1" applyBorder="1" applyAlignment="1">
      <alignment vertical="center"/>
    </xf>
    <xf numFmtId="0" fontId="0" fillId="0" borderId="0" xfId="0" applyAlignment="1">
      <alignment vertical="center"/>
    </xf>
    <xf numFmtId="0" fontId="14" fillId="0" borderId="1" xfId="0" applyFont="1" applyBorder="1" applyAlignment="1"/>
    <xf numFmtId="0" fontId="16" fillId="0" borderId="1" xfId="0" applyFont="1" applyBorder="1" applyAlignment="1"/>
    <xf numFmtId="0" fontId="3" fillId="0" borderId="0" xfId="0" applyFont="1" applyBorder="1"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10</xdr:col>
      <xdr:colOff>0</xdr:colOff>
      <xdr:row>40</xdr:row>
      <xdr:rowOff>0</xdr:rowOff>
    </xdr:to>
    <xdr:sp macro="" textlink="">
      <xdr:nvSpPr>
        <xdr:cNvPr id="1025" name="Rectangle 1">
          <a:extLst>
            <a:ext uri="{FF2B5EF4-FFF2-40B4-BE49-F238E27FC236}">
              <a16:creationId xmlns:a16="http://schemas.microsoft.com/office/drawing/2014/main" id="{129E9FAA-74B4-4ED7-A4D7-BD47D9C0F225}"/>
            </a:ext>
          </a:extLst>
        </xdr:cNvPr>
        <xdr:cNvSpPr>
          <a:spLocks noChangeArrowheads="1"/>
        </xdr:cNvSpPr>
      </xdr:nvSpPr>
      <xdr:spPr bwMode="auto">
        <a:xfrm>
          <a:off x="0" y="577850"/>
          <a:ext cx="8572500" cy="73152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AF507438-7753-43E0-B8FC-AC1667EBCBE1}">
            <a14:hiddenEffects xmlns:a14="http://schemas.microsoft.com/office/drawing/2010/main">
              <a:effectLst>
                <a:outerShdw dist="35921" dir="2700000" algn="ctr" rotWithShape="0">
                  <a:srgbClr val="808080"/>
                </a:outerShdw>
              </a:effectLst>
            </a14:hiddenEffects>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162"/>
  <sheetViews>
    <sheetView tabSelected="1" topLeftCell="A15" zoomScale="95" zoomScaleNormal="100" workbookViewId="0">
      <selection activeCell="A37" sqref="A37"/>
    </sheetView>
  </sheetViews>
  <sheetFormatPr defaultColWidth="9.1796875" defaultRowHeight="11.5" x14ac:dyDescent="0.25"/>
  <cols>
    <col min="1" max="1" width="39.453125" style="37" customWidth="1"/>
    <col min="2" max="2" width="10" style="52" customWidth="1"/>
    <col min="3" max="5" width="9.1796875" style="52"/>
    <col min="6" max="6" width="7" style="52" customWidth="1"/>
    <col min="7" max="7" width="6.1796875" style="52" customWidth="1"/>
    <col min="8" max="8" width="13.7265625" style="52" customWidth="1"/>
    <col min="9" max="9" width="6" style="52" customWidth="1"/>
    <col min="10" max="10" width="12.81640625" style="52" customWidth="1"/>
    <col min="11" max="16384" width="9.1796875" style="1"/>
  </cols>
  <sheetData>
    <row r="1" spans="1:11" ht="23.25" customHeight="1" x14ac:dyDescent="0.25">
      <c r="A1" s="203" t="s">
        <v>65</v>
      </c>
      <c r="B1" s="34"/>
      <c r="C1" s="34"/>
      <c r="D1" s="34"/>
      <c r="E1" s="34"/>
      <c r="F1" s="34"/>
      <c r="G1" s="34"/>
      <c r="H1" s="34"/>
      <c r="I1" s="34"/>
      <c r="J1" s="34"/>
    </row>
    <row r="2" spans="1:11" ht="22.5" customHeight="1" x14ac:dyDescent="0.25">
      <c r="A2" s="78" t="s">
        <v>146</v>
      </c>
      <c r="B2" s="79"/>
      <c r="C2" s="79"/>
      <c r="D2" s="79"/>
      <c r="E2" s="79"/>
      <c r="F2" s="79"/>
      <c r="G2" s="79"/>
      <c r="H2" s="79"/>
      <c r="I2" s="79"/>
      <c r="J2" s="79"/>
      <c r="K2" s="4"/>
    </row>
    <row r="3" spans="1:11" ht="16.5" customHeight="1" x14ac:dyDescent="0.25">
      <c r="A3" s="33" t="s">
        <v>7</v>
      </c>
      <c r="B3" s="34"/>
      <c r="C3" s="34"/>
      <c r="D3" s="34"/>
      <c r="E3" s="34"/>
      <c r="F3" s="34"/>
      <c r="G3" s="34"/>
      <c r="H3" s="34"/>
      <c r="I3" s="34"/>
      <c r="J3" s="46"/>
      <c r="K3" s="4"/>
    </row>
    <row r="4" spans="1:11" ht="16.5" customHeight="1" x14ac:dyDescent="0.25">
      <c r="A4" s="35" t="s">
        <v>8</v>
      </c>
      <c r="B4" s="226"/>
      <c r="C4" s="226"/>
      <c r="D4" s="226"/>
      <c r="E4" s="226"/>
      <c r="F4" s="226"/>
      <c r="G4" s="36" t="s">
        <v>5</v>
      </c>
      <c r="H4" s="226"/>
      <c r="I4" s="227"/>
      <c r="J4" s="241"/>
      <c r="K4" s="4"/>
    </row>
    <row r="5" spans="1:11" ht="16.5" customHeight="1" x14ac:dyDescent="0.25">
      <c r="A5" s="35" t="s">
        <v>9</v>
      </c>
      <c r="B5" s="239"/>
      <c r="C5" s="239"/>
      <c r="D5" s="239"/>
      <c r="E5" s="239"/>
      <c r="F5" s="239"/>
      <c r="G5" s="36" t="s">
        <v>6</v>
      </c>
      <c r="H5" s="239"/>
      <c r="I5" s="242"/>
      <c r="J5" s="243"/>
      <c r="K5" s="4"/>
    </row>
    <row r="6" spans="1:11" ht="16.5" customHeight="1" x14ac:dyDescent="0.25">
      <c r="A6" s="35" t="s">
        <v>10</v>
      </c>
      <c r="B6" s="226"/>
      <c r="C6" s="227"/>
      <c r="D6" s="227"/>
      <c r="E6" s="227"/>
      <c r="F6" s="227"/>
      <c r="G6" s="227"/>
      <c r="H6" s="227"/>
      <c r="I6" s="227"/>
      <c r="J6" s="241"/>
      <c r="K6" s="4"/>
    </row>
    <row r="7" spans="1:11" ht="16.5" customHeight="1" x14ac:dyDescent="0.25">
      <c r="A7" s="35" t="s">
        <v>11</v>
      </c>
      <c r="B7" s="239"/>
      <c r="C7" s="242"/>
      <c r="D7" s="242"/>
      <c r="E7" s="242"/>
      <c r="F7" s="242"/>
      <c r="G7" s="242"/>
      <c r="H7" s="242"/>
      <c r="I7" s="242"/>
      <c r="J7" s="243"/>
      <c r="K7" s="4"/>
    </row>
    <row r="8" spans="1:11" ht="16.5" customHeight="1" x14ac:dyDescent="0.25">
      <c r="A8" s="35"/>
      <c r="B8" s="239"/>
      <c r="C8" s="242"/>
      <c r="D8" s="242"/>
      <c r="E8" s="242"/>
      <c r="F8" s="242"/>
      <c r="G8" s="242"/>
      <c r="H8" s="242"/>
      <c r="I8" s="242"/>
      <c r="J8" s="243"/>
      <c r="K8" s="4"/>
    </row>
    <row r="9" spans="1:11" ht="16.5" customHeight="1" x14ac:dyDescent="0.25">
      <c r="A9" s="35"/>
      <c r="B9" s="239"/>
      <c r="C9" s="242"/>
      <c r="D9" s="242"/>
      <c r="E9" s="242"/>
      <c r="F9" s="242"/>
      <c r="G9" s="242"/>
      <c r="H9" s="242"/>
      <c r="I9" s="242"/>
      <c r="J9" s="243"/>
      <c r="K9" s="4"/>
    </row>
    <row r="10" spans="1:11" ht="8.25" customHeight="1" x14ac:dyDescent="0.25">
      <c r="A10" s="35"/>
      <c r="B10" s="226"/>
      <c r="C10" s="227"/>
      <c r="D10" s="227"/>
      <c r="E10" s="227"/>
      <c r="F10" s="227"/>
      <c r="G10" s="227"/>
      <c r="H10" s="227"/>
      <c r="I10" s="227"/>
      <c r="J10" s="241"/>
      <c r="K10" s="4"/>
    </row>
    <row r="11" spans="1:11" ht="16.5" customHeight="1" x14ac:dyDescent="0.25">
      <c r="A11" s="38" t="s">
        <v>2</v>
      </c>
      <c r="B11" s="39"/>
      <c r="C11" s="39"/>
      <c r="D11" s="39"/>
      <c r="E11" s="39"/>
      <c r="F11" s="39"/>
      <c r="G11" s="39"/>
      <c r="H11" s="39"/>
      <c r="I11" s="39"/>
      <c r="J11" s="44"/>
      <c r="K11" s="4"/>
    </row>
    <row r="12" spans="1:11" ht="16.5" customHeight="1" x14ac:dyDescent="0.25">
      <c r="A12" s="35" t="s">
        <v>26</v>
      </c>
      <c r="B12" s="226"/>
      <c r="C12" s="226"/>
      <c r="D12" s="226"/>
      <c r="E12" s="226"/>
      <c r="F12" s="226"/>
      <c r="G12" s="36" t="s">
        <v>5</v>
      </c>
      <c r="H12" s="226"/>
      <c r="I12" s="226"/>
      <c r="J12" s="238"/>
      <c r="K12" s="4"/>
    </row>
    <row r="13" spans="1:11" ht="16.5" customHeight="1" x14ac:dyDescent="0.25">
      <c r="A13" s="35" t="s">
        <v>3</v>
      </c>
      <c r="B13" s="239"/>
      <c r="C13" s="239"/>
      <c r="D13" s="239"/>
      <c r="E13" s="239"/>
      <c r="F13" s="239"/>
      <c r="G13" s="36" t="s">
        <v>6</v>
      </c>
      <c r="H13" s="239"/>
      <c r="I13" s="239"/>
      <c r="J13" s="240"/>
      <c r="K13" s="4"/>
    </row>
    <row r="14" spans="1:11" ht="16.5" customHeight="1" x14ac:dyDescent="0.25">
      <c r="A14" s="35" t="s">
        <v>4</v>
      </c>
      <c r="B14" s="239"/>
      <c r="C14" s="239"/>
      <c r="D14" s="239"/>
      <c r="E14" s="239"/>
      <c r="F14" s="239"/>
      <c r="G14" s="34"/>
      <c r="H14" s="34"/>
      <c r="I14" s="34"/>
      <c r="J14" s="46"/>
      <c r="K14" s="4"/>
    </row>
    <row r="15" spans="1:11" ht="16.5" customHeight="1" x14ac:dyDescent="0.25">
      <c r="A15" s="35" t="s">
        <v>0</v>
      </c>
      <c r="B15" s="226"/>
      <c r="C15" s="227"/>
      <c r="D15" s="227"/>
      <c r="E15" s="227"/>
      <c r="F15" s="227"/>
      <c r="G15" s="227"/>
      <c r="H15" s="227"/>
      <c r="I15" s="227"/>
      <c r="J15" s="241"/>
      <c r="K15" s="4"/>
    </row>
    <row r="16" spans="1:11" ht="16.5" customHeight="1" x14ac:dyDescent="0.25">
      <c r="A16" s="40"/>
      <c r="B16" s="226"/>
      <c r="C16" s="226"/>
      <c r="D16" s="226"/>
      <c r="E16" s="226"/>
      <c r="F16" s="226"/>
      <c r="G16" s="226"/>
      <c r="H16" s="41" t="s">
        <v>50</v>
      </c>
      <c r="I16" s="226"/>
      <c r="J16" s="238"/>
      <c r="K16" s="4"/>
    </row>
    <row r="17" spans="1:11" ht="16.5" customHeight="1" x14ac:dyDescent="0.25">
      <c r="A17" s="40" t="s">
        <v>51</v>
      </c>
      <c r="B17" s="41"/>
      <c r="C17" s="42"/>
      <c r="D17" s="41"/>
      <c r="E17" s="232" t="s">
        <v>52</v>
      </c>
      <c r="F17" s="232"/>
      <c r="G17" s="228"/>
      <c r="H17" s="228"/>
      <c r="I17" s="228"/>
      <c r="J17" s="229"/>
      <c r="K17" s="4"/>
    </row>
    <row r="18" spans="1:11" ht="8.25" customHeight="1" x14ac:dyDescent="0.25">
      <c r="A18" s="40"/>
      <c r="B18" s="34"/>
      <c r="C18" s="34"/>
      <c r="D18" s="34"/>
      <c r="E18" s="34"/>
      <c r="F18" s="34"/>
      <c r="G18" s="34"/>
      <c r="H18" s="34"/>
      <c r="I18" s="34"/>
      <c r="J18" s="46"/>
      <c r="K18" s="4"/>
    </row>
    <row r="19" spans="1:11" ht="16.5" customHeight="1" x14ac:dyDescent="0.25">
      <c r="A19" s="43" t="s">
        <v>14</v>
      </c>
      <c r="B19" s="39"/>
      <c r="C19" s="39"/>
      <c r="D19" s="44"/>
      <c r="E19" s="244" t="s">
        <v>27</v>
      </c>
      <c r="F19" s="245"/>
      <c r="G19" s="245"/>
      <c r="H19" s="245"/>
      <c r="I19" s="45"/>
      <c r="J19" s="73"/>
      <c r="K19" s="4"/>
    </row>
    <row r="20" spans="1:11" ht="16.5" customHeight="1" x14ac:dyDescent="0.25">
      <c r="A20" s="40" t="s">
        <v>79</v>
      </c>
      <c r="B20" s="233"/>
      <c r="C20" s="233"/>
      <c r="D20" s="46"/>
      <c r="E20" s="246" t="s">
        <v>55</v>
      </c>
      <c r="F20" s="247"/>
      <c r="G20" s="247"/>
      <c r="H20" s="247"/>
      <c r="I20" s="47" t="s">
        <v>28</v>
      </c>
      <c r="J20" s="46"/>
      <c r="K20" s="4"/>
    </row>
    <row r="21" spans="1:11" ht="16.5" customHeight="1" x14ac:dyDescent="0.25">
      <c r="A21" s="40" t="s">
        <v>85</v>
      </c>
      <c r="B21" s="234"/>
      <c r="C21" s="234"/>
      <c r="D21" s="46"/>
      <c r="E21" s="246" t="s">
        <v>12</v>
      </c>
      <c r="F21" s="247"/>
      <c r="G21" s="247"/>
      <c r="H21" s="247"/>
      <c r="I21" s="47" t="s">
        <v>28</v>
      </c>
      <c r="J21" s="46"/>
      <c r="K21" s="4"/>
    </row>
    <row r="22" spans="1:11" ht="16.5" customHeight="1" x14ac:dyDescent="0.25">
      <c r="A22" s="40" t="s">
        <v>15</v>
      </c>
      <c r="B22" s="235"/>
      <c r="C22" s="234"/>
      <c r="D22" s="46"/>
      <c r="E22" s="246" t="s">
        <v>13</v>
      </c>
      <c r="F22" s="247"/>
      <c r="G22" s="247"/>
      <c r="H22" s="247"/>
      <c r="I22" s="47" t="s">
        <v>28</v>
      </c>
      <c r="J22" s="46"/>
      <c r="K22" s="4"/>
    </row>
    <row r="23" spans="1:11" ht="16.5" customHeight="1" x14ac:dyDescent="0.25">
      <c r="A23" s="134" t="s">
        <v>96</v>
      </c>
      <c r="B23" s="236"/>
      <c r="C23" s="237"/>
      <c r="D23" s="46"/>
      <c r="E23" s="246" t="s">
        <v>1</v>
      </c>
      <c r="F23" s="247"/>
      <c r="G23" s="247"/>
      <c r="H23" s="247"/>
      <c r="I23" s="47" t="s">
        <v>28</v>
      </c>
      <c r="J23" s="46"/>
      <c r="K23" s="4"/>
    </row>
    <row r="24" spans="1:11" ht="8.25" customHeight="1" x14ac:dyDescent="0.25">
      <c r="A24" s="48"/>
      <c r="B24" s="49"/>
      <c r="C24" s="49"/>
      <c r="D24" s="50"/>
      <c r="E24" s="48"/>
      <c r="F24" s="49"/>
      <c r="G24" s="49"/>
      <c r="H24" s="49"/>
      <c r="I24" s="49"/>
      <c r="J24" s="50"/>
      <c r="K24" s="4"/>
    </row>
    <row r="25" spans="1:11" ht="16.5" customHeight="1" x14ac:dyDescent="0.25">
      <c r="A25" s="33" t="s">
        <v>151</v>
      </c>
      <c r="B25" s="74"/>
      <c r="C25" s="74"/>
      <c r="D25" s="74"/>
      <c r="E25" s="74"/>
      <c r="F25" s="74"/>
      <c r="G25" s="74"/>
      <c r="H25" s="74"/>
      <c r="I25" s="74"/>
      <c r="J25" s="75"/>
      <c r="K25" s="4"/>
    </row>
    <row r="26" spans="1:11" ht="16.5" customHeight="1" x14ac:dyDescent="0.25">
      <c r="A26" s="40" t="s">
        <v>54</v>
      </c>
      <c r="B26" s="34"/>
      <c r="C26" s="34"/>
      <c r="D26" s="34"/>
      <c r="E26" s="34"/>
      <c r="F26" s="34"/>
      <c r="G26" s="34"/>
      <c r="H26" s="34"/>
      <c r="I26" s="34"/>
      <c r="J26" s="46"/>
      <c r="K26" s="4"/>
    </row>
    <row r="27" spans="1:11" ht="16.5" customHeight="1" x14ac:dyDescent="0.25">
      <c r="A27" s="76" t="s">
        <v>29</v>
      </c>
      <c r="B27" s="34"/>
      <c r="C27" s="34"/>
      <c r="D27" s="34"/>
      <c r="E27" s="34"/>
      <c r="F27" s="34"/>
      <c r="G27" s="34"/>
      <c r="H27" s="34"/>
      <c r="I27" s="34"/>
      <c r="J27" s="46"/>
      <c r="K27" s="4"/>
    </row>
    <row r="28" spans="1:11" ht="8.25" customHeight="1" x14ac:dyDescent="0.25">
      <c r="A28" s="76"/>
      <c r="B28" s="34"/>
      <c r="C28" s="34"/>
      <c r="D28" s="34"/>
      <c r="E28" s="34"/>
      <c r="F28" s="34"/>
      <c r="G28" s="34"/>
      <c r="H28" s="34"/>
      <c r="I28" s="34"/>
      <c r="J28" s="46"/>
      <c r="K28" s="4"/>
    </row>
    <row r="29" spans="1:11" ht="16.5" customHeight="1" x14ac:dyDescent="0.25">
      <c r="A29" s="77" t="s">
        <v>24</v>
      </c>
      <c r="B29" s="47" t="s">
        <v>28</v>
      </c>
      <c r="C29" s="225" t="s">
        <v>19</v>
      </c>
      <c r="D29" s="225"/>
      <c r="E29" s="225"/>
      <c r="F29" s="47" t="s">
        <v>28</v>
      </c>
      <c r="G29" s="34"/>
      <c r="H29" s="34"/>
      <c r="I29" s="34"/>
      <c r="J29" s="46"/>
      <c r="K29" s="4"/>
    </row>
    <row r="30" spans="1:11" ht="16.5" customHeight="1" x14ac:dyDescent="0.25">
      <c r="A30" s="40" t="s">
        <v>16</v>
      </c>
      <c r="B30" s="47" t="s">
        <v>28</v>
      </c>
      <c r="C30" s="225" t="s">
        <v>20</v>
      </c>
      <c r="D30" s="225"/>
      <c r="E30" s="225"/>
      <c r="F30" s="47" t="s">
        <v>28</v>
      </c>
      <c r="G30" s="34"/>
      <c r="H30" s="34"/>
      <c r="I30" s="34"/>
      <c r="J30" s="46"/>
      <c r="K30" s="4"/>
    </row>
    <row r="31" spans="1:11" ht="16.5" customHeight="1" x14ac:dyDescent="0.25">
      <c r="A31" s="40" t="s">
        <v>17</v>
      </c>
      <c r="B31" s="47" t="s">
        <v>28</v>
      </c>
      <c r="C31" s="230" t="s">
        <v>21</v>
      </c>
      <c r="D31" s="231"/>
      <c r="E31" s="231"/>
      <c r="F31" s="47" t="s">
        <v>28</v>
      </c>
      <c r="G31" s="34"/>
      <c r="H31" s="34"/>
      <c r="I31" s="34"/>
      <c r="J31" s="46"/>
      <c r="K31" s="4"/>
    </row>
    <row r="32" spans="1:11" ht="16.5" customHeight="1" x14ac:dyDescent="0.25">
      <c r="A32" s="40" t="s">
        <v>56</v>
      </c>
      <c r="B32" s="47" t="s">
        <v>28</v>
      </c>
      <c r="C32" s="230" t="s">
        <v>22</v>
      </c>
      <c r="D32" s="231"/>
      <c r="E32" s="231"/>
      <c r="F32" s="47" t="s">
        <v>28</v>
      </c>
      <c r="G32" s="34"/>
      <c r="H32" s="34"/>
      <c r="I32" s="34"/>
      <c r="J32" s="46"/>
      <c r="K32" s="4"/>
    </row>
    <row r="33" spans="1:11" ht="16.5" customHeight="1" x14ac:dyDescent="0.25">
      <c r="A33" s="40" t="s">
        <v>18</v>
      </c>
      <c r="B33" s="47" t="s">
        <v>28</v>
      </c>
      <c r="C33" s="230" t="s">
        <v>23</v>
      </c>
      <c r="D33" s="231"/>
      <c r="E33" s="231"/>
      <c r="F33" s="47" t="s">
        <v>28</v>
      </c>
      <c r="G33" s="34"/>
      <c r="H33" s="34"/>
      <c r="I33" s="34"/>
      <c r="J33" s="46"/>
      <c r="K33" s="4"/>
    </row>
    <row r="34" spans="1:11" ht="16.5" customHeight="1" x14ac:dyDescent="0.25">
      <c r="A34" s="40" t="s">
        <v>25</v>
      </c>
      <c r="B34" s="47" t="s">
        <v>28</v>
      </c>
      <c r="C34" s="225" t="s">
        <v>57</v>
      </c>
      <c r="D34" s="225"/>
      <c r="E34" s="226"/>
      <c r="F34" s="227"/>
      <c r="G34" s="227"/>
      <c r="H34" s="227"/>
      <c r="I34" s="227"/>
      <c r="J34" s="46"/>
      <c r="K34" s="4"/>
    </row>
    <row r="35" spans="1:11" ht="8.25" customHeight="1" x14ac:dyDescent="0.25">
      <c r="A35" s="40"/>
      <c r="B35" s="34"/>
      <c r="C35" s="34"/>
      <c r="D35" s="34"/>
      <c r="E35" s="34"/>
      <c r="F35" s="34"/>
      <c r="G35" s="34"/>
      <c r="H35" s="34"/>
      <c r="I35" s="34"/>
      <c r="J35" s="46"/>
      <c r="K35" s="4"/>
    </row>
    <row r="36" spans="1:11" ht="16.5" customHeight="1" x14ac:dyDescent="0.25">
      <c r="A36" s="40" t="s">
        <v>152</v>
      </c>
      <c r="B36" s="226"/>
      <c r="C36" s="226"/>
      <c r="D36" s="226"/>
      <c r="E36" s="226"/>
      <c r="F36" s="226"/>
      <c r="G36" s="226"/>
      <c r="H36" s="226"/>
      <c r="I36" s="226"/>
      <c r="J36" s="238"/>
      <c r="K36" s="4"/>
    </row>
    <row r="37" spans="1:11" ht="16.5" customHeight="1" x14ac:dyDescent="0.25">
      <c r="A37" s="40"/>
      <c r="B37" s="239"/>
      <c r="C37" s="239"/>
      <c r="D37" s="239"/>
      <c r="E37" s="239"/>
      <c r="F37" s="239"/>
      <c r="G37" s="239"/>
      <c r="H37" s="239"/>
      <c r="I37" s="239"/>
      <c r="J37" s="240"/>
      <c r="K37" s="4"/>
    </row>
    <row r="38" spans="1:11" ht="16.5" customHeight="1" x14ac:dyDescent="0.25">
      <c r="A38" s="40"/>
      <c r="B38" s="239"/>
      <c r="C38" s="239"/>
      <c r="D38" s="239"/>
      <c r="E38" s="239"/>
      <c r="F38" s="239"/>
      <c r="G38" s="239"/>
      <c r="H38" s="239"/>
      <c r="I38" s="239"/>
      <c r="J38" s="240"/>
      <c r="K38" s="4"/>
    </row>
    <row r="39" spans="1:11" ht="16.5" customHeight="1" x14ac:dyDescent="0.25">
      <c r="A39" s="40"/>
      <c r="B39" s="239"/>
      <c r="C39" s="239"/>
      <c r="D39" s="239"/>
      <c r="E39" s="239"/>
      <c r="F39" s="239"/>
      <c r="G39" s="239"/>
      <c r="H39" s="239"/>
      <c r="I39" s="239"/>
      <c r="J39" s="240"/>
      <c r="K39" s="4"/>
    </row>
    <row r="40" spans="1:11" ht="8.25" customHeight="1" x14ac:dyDescent="0.25">
      <c r="A40" s="35"/>
      <c r="B40" s="34"/>
      <c r="C40" s="34"/>
      <c r="D40" s="34"/>
      <c r="E40" s="34"/>
      <c r="F40" s="34"/>
      <c r="G40" s="34"/>
      <c r="H40" s="34"/>
      <c r="I40" s="34"/>
      <c r="J40" s="46"/>
      <c r="K40" s="4"/>
    </row>
    <row r="41" spans="1:11" s="4" customFormat="1" ht="16.5" customHeight="1" x14ac:dyDescent="0.25">
      <c r="A41" s="38" t="s">
        <v>80</v>
      </c>
      <c r="B41" s="39"/>
      <c r="C41" s="39"/>
      <c r="D41" s="39"/>
      <c r="E41" s="39"/>
      <c r="F41" s="39"/>
      <c r="G41" s="39"/>
      <c r="H41" s="39"/>
      <c r="I41" s="39"/>
      <c r="J41" s="44"/>
    </row>
    <row r="42" spans="1:11" s="4" customFormat="1" ht="8.25" customHeight="1" x14ac:dyDescent="0.25">
      <c r="A42" s="33"/>
      <c r="B42" s="34"/>
      <c r="C42" s="34"/>
      <c r="D42" s="34"/>
      <c r="E42" s="34"/>
      <c r="F42" s="34"/>
      <c r="G42" s="34"/>
      <c r="H42" s="34"/>
      <c r="I42" s="34"/>
      <c r="J42" s="46"/>
    </row>
    <row r="43" spans="1:11" s="4" customFormat="1" ht="16.5" customHeight="1" x14ac:dyDescent="0.25">
      <c r="A43" s="54" t="s">
        <v>74</v>
      </c>
      <c r="B43" s="55">
        <f>SUM('Financial summary'!J4)</f>
        <v>1750</v>
      </c>
      <c r="C43" s="126"/>
      <c r="D43" s="34"/>
      <c r="E43" s="34"/>
      <c r="F43" s="34"/>
      <c r="G43" s="34"/>
      <c r="H43" s="34"/>
      <c r="I43" s="34"/>
      <c r="J43" s="46"/>
    </row>
    <row r="44" spans="1:11" s="4" customFormat="1" ht="11.25" customHeight="1" x14ac:dyDescent="0.25">
      <c r="A44" s="54"/>
      <c r="B44" s="55"/>
      <c r="C44" s="126"/>
      <c r="D44" s="34"/>
      <c r="E44" s="34"/>
      <c r="F44" s="34"/>
      <c r="G44" s="34"/>
      <c r="H44" s="34"/>
      <c r="I44" s="34"/>
      <c r="J44" s="46"/>
    </row>
    <row r="45" spans="1:11" s="4" customFormat="1" ht="16.5" customHeight="1" x14ac:dyDescent="0.25">
      <c r="A45" s="54" t="s">
        <v>38</v>
      </c>
      <c r="B45" s="55">
        <f>SUM('Financial summary'!I44)</f>
        <v>696.07999999999993</v>
      </c>
      <c r="C45" s="34"/>
      <c r="D45" s="34"/>
      <c r="E45" s="34"/>
      <c r="F45" s="34"/>
      <c r="G45" s="34"/>
      <c r="H45" s="34"/>
      <c r="I45" s="34"/>
      <c r="J45" s="46"/>
    </row>
    <row r="46" spans="1:11" s="4" customFormat="1" ht="16.5" customHeight="1" x14ac:dyDescent="0.25">
      <c r="A46" s="54" t="s">
        <v>46</v>
      </c>
      <c r="B46" s="55">
        <f>SUM('Financial summary'!I61)</f>
        <v>100</v>
      </c>
      <c r="C46" s="34"/>
      <c r="D46" s="34"/>
      <c r="E46" s="252"/>
      <c r="F46" s="253"/>
      <c r="G46" s="253"/>
      <c r="H46" s="253"/>
      <c r="I46" s="34"/>
      <c r="J46" s="46"/>
    </row>
    <row r="47" spans="1:11" s="4" customFormat="1" ht="16.5" customHeight="1" x14ac:dyDescent="0.25">
      <c r="A47" s="54" t="s">
        <v>47</v>
      </c>
      <c r="B47" s="55">
        <f>SUM(B45:B46)</f>
        <v>796.07999999999993</v>
      </c>
      <c r="C47" s="34"/>
      <c r="D47" s="34"/>
      <c r="E47" s="34"/>
      <c r="F47" s="34"/>
      <c r="G47" s="34"/>
      <c r="H47" s="34"/>
      <c r="I47" s="34"/>
      <c r="J47" s="46"/>
    </row>
    <row r="48" spans="1:11" s="4" customFormat="1" ht="6.75" customHeight="1" x14ac:dyDescent="0.25">
      <c r="A48" s="54"/>
      <c r="B48" s="55"/>
      <c r="C48" s="34"/>
      <c r="D48" s="34"/>
      <c r="E48" s="34"/>
      <c r="F48" s="34"/>
      <c r="G48" s="34"/>
      <c r="H48" s="34"/>
      <c r="I48" s="34"/>
      <c r="J48" s="46"/>
    </row>
    <row r="49" spans="1:11" s="4" customFormat="1" ht="16.5" customHeight="1" x14ac:dyDescent="0.25">
      <c r="A49" s="54" t="s">
        <v>75</v>
      </c>
      <c r="B49" s="55">
        <f>SUM('Financial summary'!I63)</f>
        <v>398.03999999999996</v>
      </c>
      <c r="C49" s="34"/>
      <c r="D49" s="206" t="s">
        <v>149</v>
      </c>
      <c r="E49" s="207"/>
      <c r="F49" s="208"/>
      <c r="G49" s="209">
        <f>'Financial summary'!$I$64</f>
        <v>0.5</v>
      </c>
      <c r="H49" s="205"/>
      <c r="I49" s="34"/>
      <c r="J49" s="46"/>
    </row>
    <row r="50" spans="1:11" s="4" customFormat="1" ht="16.5" customHeight="1" x14ac:dyDescent="0.25">
      <c r="A50" s="54" t="s">
        <v>72</v>
      </c>
      <c r="B50" s="55">
        <f>SUM(B47:B49)</f>
        <v>1194.1199999999999</v>
      </c>
      <c r="C50" s="81"/>
      <c r="D50" s="34"/>
      <c r="E50" s="34"/>
      <c r="F50" s="34"/>
      <c r="G50" s="34"/>
      <c r="H50" s="34"/>
      <c r="I50" s="34"/>
      <c r="J50" s="46"/>
    </row>
    <row r="51" spans="1:11" s="4" customFormat="1" ht="16.5" customHeight="1" x14ac:dyDescent="0.25">
      <c r="A51" s="54" t="s">
        <v>48</v>
      </c>
      <c r="B51" s="55">
        <f>SUM(B43-B50)</f>
        <v>555.88000000000011</v>
      </c>
      <c r="C51" s="47"/>
      <c r="D51" s="206" t="s">
        <v>147</v>
      </c>
      <c r="E51" s="207"/>
      <c r="F51" s="208"/>
      <c r="G51" s="209">
        <f>'Financial summary'!$J$67</f>
        <v>0.31764571428571436</v>
      </c>
      <c r="H51" s="205"/>
      <c r="I51" s="34"/>
      <c r="J51" s="46"/>
    </row>
    <row r="52" spans="1:11" s="4" customFormat="1" ht="8.25" customHeight="1" x14ac:dyDescent="0.25">
      <c r="A52" s="57"/>
      <c r="B52" s="49"/>
      <c r="C52" s="49"/>
      <c r="D52" s="49"/>
      <c r="E52" s="49"/>
      <c r="F52" s="49"/>
      <c r="G52" s="49"/>
      <c r="H52" s="49"/>
      <c r="I52" s="49"/>
      <c r="J52" s="50"/>
    </row>
    <row r="53" spans="1:11" s="4" customFormat="1" ht="16.5" customHeight="1" x14ac:dyDescent="0.25">
      <c r="A53" s="38" t="s">
        <v>69</v>
      </c>
      <c r="B53" s="39"/>
      <c r="C53" s="39"/>
      <c r="D53" s="39"/>
      <c r="E53" s="39"/>
      <c r="F53" s="39"/>
      <c r="G53" s="39"/>
      <c r="H53" s="39"/>
      <c r="I53" s="39"/>
      <c r="J53" s="44"/>
    </row>
    <row r="54" spans="1:11" s="4" customFormat="1" ht="8.25" customHeight="1" x14ac:dyDescent="0.25">
      <c r="A54" s="33"/>
      <c r="B54" s="34"/>
      <c r="C54" s="34"/>
      <c r="D54" s="34"/>
      <c r="E54" s="34"/>
      <c r="F54" s="34"/>
      <c r="G54" s="34"/>
      <c r="H54" s="34"/>
      <c r="I54" s="34"/>
      <c r="J54" s="46"/>
    </row>
    <row r="55" spans="1:11" s="4" customFormat="1" ht="16.5" customHeight="1" x14ac:dyDescent="0.25">
      <c r="A55" s="250" t="s">
        <v>70</v>
      </c>
      <c r="B55" s="231"/>
      <c r="C55" s="231"/>
      <c r="D55" s="231"/>
      <c r="E55" s="231"/>
      <c r="F55" s="231"/>
      <c r="G55" s="231"/>
      <c r="H55" s="231"/>
      <c r="I55" s="231"/>
      <c r="J55" s="251"/>
    </row>
    <row r="56" spans="1:11" ht="16.5" customHeight="1" x14ac:dyDescent="0.25">
      <c r="A56" s="35" t="s">
        <v>71</v>
      </c>
      <c r="B56" s="34"/>
      <c r="C56" s="34"/>
      <c r="D56" s="34"/>
      <c r="E56" s="34"/>
      <c r="F56" s="34"/>
      <c r="G56" s="34"/>
      <c r="H56" s="34"/>
      <c r="I56" s="59"/>
      <c r="J56" s="46"/>
      <c r="K56" s="4"/>
    </row>
    <row r="57" spans="1:11" ht="8.25" customHeight="1" x14ac:dyDescent="0.25">
      <c r="A57" s="35"/>
      <c r="B57" s="34"/>
      <c r="C57" s="34"/>
      <c r="D57" s="34"/>
      <c r="E57" s="34"/>
      <c r="F57" s="34"/>
      <c r="G57" s="34"/>
      <c r="H57" s="34"/>
      <c r="I57" s="34"/>
      <c r="J57" s="46"/>
      <c r="K57" s="4"/>
    </row>
    <row r="58" spans="1:11" ht="16.5" customHeight="1" x14ac:dyDescent="0.25">
      <c r="A58" s="35" t="s">
        <v>58</v>
      </c>
      <c r="B58" s="248"/>
      <c r="C58" s="248"/>
      <c r="D58" s="248"/>
      <c r="E58" s="248"/>
      <c r="F58" s="248"/>
      <c r="G58" s="53"/>
      <c r="H58" s="34" t="s">
        <v>60</v>
      </c>
      <c r="I58" s="248"/>
      <c r="J58" s="249"/>
      <c r="K58" s="4"/>
    </row>
    <row r="59" spans="1:11" ht="9.75" customHeight="1" x14ac:dyDescent="0.25">
      <c r="A59" s="35"/>
      <c r="B59" s="59"/>
      <c r="C59" s="34"/>
      <c r="D59" s="34"/>
      <c r="E59" s="34"/>
      <c r="F59" s="34"/>
      <c r="G59" s="34"/>
      <c r="H59" s="34"/>
      <c r="I59" s="34"/>
      <c r="J59" s="46"/>
      <c r="K59" s="4"/>
    </row>
    <row r="60" spans="1:11" ht="16.5" customHeight="1" x14ac:dyDescent="0.25">
      <c r="A60" s="35" t="s">
        <v>59</v>
      </c>
      <c r="B60" s="248"/>
      <c r="C60" s="248"/>
      <c r="D60" s="248"/>
      <c r="E60" s="248"/>
      <c r="F60" s="248"/>
      <c r="G60" s="53"/>
      <c r="H60" s="34" t="s">
        <v>60</v>
      </c>
      <c r="I60" s="248"/>
      <c r="J60" s="249"/>
      <c r="K60" s="4"/>
    </row>
    <row r="61" spans="1:11" ht="8.25" customHeight="1" x14ac:dyDescent="0.25">
      <c r="A61" s="35"/>
      <c r="B61" s="34"/>
      <c r="C61" s="34"/>
      <c r="D61" s="34"/>
      <c r="E61" s="34"/>
      <c r="F61" s="34"/>
      <c r="G61" s="34"/>
      <c r="H61" s="34"/>
      <c r="I61" s="34"/>
      <c r="J61" s="46"/>
      <c r="K61" s="4"/>
    </row>
    <row r="62" spans="1:11" ht="18.75" customHeight="1" x14ac:dyDescent="0.25">
      <c r="A62" s="35" t="s">
        <v>61</v>
      </c>
      <c r="B62" s="72" t="s">
        <v>62</v>
      </c>
      <c r="C62" s="72" t="s">
        <v>63</v>
      </c>
      <c r="D62" s="34"/>
      <c r="E62" s="34"/>
      <c r="F62" s="34"/>
      <c r="G62" s="34"/>
      <c r="H62" s="34"/>
      <c r="I62" s="34"/>
      <c r="J62" s="46"/>
      <c r="K62" s="4"/>
    </row>
    <row r="63" spans="1:11" s="4" customFormat="1" ht="8.25" customHeight="1" x14ac:dyDescent="0.25">
      <c r="A63" s="57"/>
      <c r="B63" s="49"/>
      <c r="C63" s="49"/>
      <c r="D63" s="49"/>
      <c r="E63" s="49"/>
      <c r="F63" s="49"/>
      <c r="G63" s="49"/>
      <c r="H63" s="49"/>
      <c r="I63" s="49"/>
      <c r="J63" s="50"/>
    </row>
    <row r="64" spans="1:11" s="4" customFormat="1" ht="16.5" customHeight="1" x14ac:dyDescent="0.25">
      <c r="A64" s="38" t="s">
        <v>68</v>
      </c>
      <c r="B64" s="39"/>
      <c r="C64" s="39"/>
      <c r="D64" s="39"/>
      <c r="E64" s="39"/>
      <c r="F64" s="39"/>
      <c r="G64" s="39"/>
      <c r="H64" s="60"/>
      <c r="I64" s="39"/>
      <c r="J64" s="61"/>
    </row>
    <row r="65" spans="1:10" s="4" customFormat="1" ht="8.25" customHeight="1" x14ac:dyDescent="0.25">
      <c r="A65" s="33"/>
      <c r="B65" s="34"/>
      <c r="C65" s="34"/>
      <c r="D65" s="34"/>
      <c r="E65" s="34"/>
      <c r="F65" s="34"/>
      <c r="G65" s="34"/>
      <c r="H65" s="62"/>
      <c r="I65" s="34"/>
      <c r="J65" s="63"/>
    </row>
    <row r="66" spans="1:10" s="4" customFormat="1" ht="16.5" customHeight="1" x14ac:dyDescent="0.25">
      <c r="A66" s="35" t="s">
        <v>49</v>
      </c>
      <c r="B66" s="34"/>
      <c r="C66" s="34"/>
      <c r="D66" s="34"/>
      <c r="E66" s="34"/>
      <c r="F66" s="34"/>
      <c r="G66" s="62"/>
      <c r="H66" s="47"/>
      <c r="I66" s="62"/>
      <c r="J66" s="64"/>
    </row>
    <row r="67" spans="1:10" s="4" customFormat="1" ht="8.25" customHeight="1" x14ac:dyDescent="0.3">
      <c r="A67" s="56"/>
      <c r="B67" s="65"/>
      <c r="C67" s="34"/>
      <c r="D67" s="34"/>
      <c r="E67" s="34"/>
      <c r="F67" s="34"/>
      <c r="G67" s="62"/>
      <c r="H67" s="55"/>
      <c r="I67" s="34"/>
      <c r="J67" s="66"/>
    </row>
    <row r="68" spans="1:10" s="4" customFormat="1" ht="16.5" customHeight="1" x14ac:dyDescent="0.25">
      <c r="A68" s="35" t="s">
        <v>64</v>
      </c>
      <c r="B68" s="254"/>
      <c r="C68" s="255"/>
      <c r="D68" s="255"/>
      <c r="E68" s="255"/>
      <c r="F68" s="255"/>
      <c r="G68" s="34"/>
      <c r="H68" s="67" t="s">
        <v>60</v>
      </c>
      <c r="I68" s="248"/>
      <c r="J68" s="249"/>
    </row>
    <row r="69" spans="1:10" s="4" customFormat="1" ht="8.25" customHeight="1" x14ac:dyDescent="0.25">
      <c r="A69" s="35"/>
      <c r="B69" s="34"/>
      <c r="C69" s="34"/>
      <c r="D69" s="34"/>
      <c r="E69" s="34"/>
      <c r="F69" s="34"/>
      <c r="G69" s="34"/>
      <c r="H69" s="67"/>
      <c r="I69" s="34"/>
      <c r="J69" s="66"/>
    </row>
    <row r="70" spans="1:10" s="4" customFormat="1" ht="16.5" customHeight="1" x14ac:dyDescent="0.25">
      <c r="A70" s="35" t="s">
        <v>59</v>
      </c>
      <c r="B70" s="248"/>
      <c r="C70" s="248"/>
      <c r="D70" s="248"/>
      <c r="E70" s="248"/>
      <c r="F70" s="248"/>
      <c r="G70" s="34"/>
      <c r="H70" s="67" t="s">
        <v>60</v>
      </c>
      <c r="I70" s="248"/>
      <c r="J70" s="249"/>
    </row>
    <row r="71" spans="1:10" s="4" customFormat="1" ht="8.25" customHeight="1" x14ac:dyDescent="0.25">
      <c r="A71" s="35"/>
      <c r="B71" s="53"/>
      <c r="C71" s="53"/>
      <c r="D71" s="53"/>
      <c r="E71" s="53"/>
      <c r="F71" s="53"/>
      <c r="G71" s="34"/>
      <c r="H71" s="67"/>
      <c r="I71" s="53"/>
      <c r="J71" s="58"/>
    </row>
    <row r="72" spans="1:10" s="4" customFormat="1" ht="18.75" customHeight="1" x14ac:dyDescent="0.25">
      <c r="A72" s="35" t="s">
        <v>66</v>
      </c>
      <c r="B72" s="72" t="s">
        <v>67</v>
      </c>
      <c r="C72" s="72" t="s">
        <v>53</v>
      </c>
      <c r="D72" s="34"/>
      <c r="E72" s="34"/>
      <c r="F72" s="34"/>
      <c r="G72" s="34"/>
      <c r="H72" s="55"/>
      <c r="I72" s="34"/>
      <c r="J72" s="66"/>
    </row>
    <row r="73" spans="1:10" s="4" customFormat="1" ht="8.25" customHeight="1" x14ac:dyDescent="0.25">
      <c r="A73" s="57"/>
      <c r="B73" s="49"/>
      <c r="C73" s="49"/>
      <c r="D73" s="49"/>
      <c r="E73" s="49"/>
      <c r="F73" s="49"/>
      <c r="G73" s="49"/>
      <c r="H73" s="68"/>
      <c r="I73" s="49"/>
      <c r="J73" s="69"/>
    </row>
    <row r="74" spans="1:10" s="4" customFormat="1" x14ac:dyDescent="0.25">
      <c r="A74" s="62"/>
      <c r="B74" s="34"/>
      <c r="C74" s="34"/>
      <c r="D74" s="34"/>
      <c r="E74" s="34"/>
      <c r="F74" s="34"/>
      <c r="G74" s="34"/>
      <c r="H74" s="55"/>
      <c r="I74" s="34"/>
      <c r="J74" s="55"/>
    </row>
    <row r="75" spans="1:10" s="4" customFormat="1" x14ac:dyDescent="0.25">
      <c r="A75" s="62"/>
      <c r="B75" s="34"/>
      <c r="C75" s="34"/>
      <c r="D75" s="34"/>
      <c r="E75" s="34"/>
      <c r="F75" s="34"/>
      <c r="G75" s="34"/>
      <c r="H75" s="55"/>
      <c r="I75" s="34"/>
      <c r="J75" s="55"/>
    </row>
    <row r="76" spans="1:10" s="4" customFormat="1" x14ac:dyDescent="0.25">
      <c r="A76" s="62"/>
      <c r="B76" s="34"/>
      <c r="C76" s="34"/>
      <c r="D76" s="34"/>
      <c r="E76" s="34"/>
      <c r="F76" s="34"/>
      <c r="G76" s="34"/>
      <c r="H76" s="55"/>
      <c r="I76" s="34"/>
      <c r="J76" s="55"/>
    </row>
    <row r="77" spans="1:10" s="4" customFormat="1" x14ac:dyDescent="0.25">
      <c r="A77" s="62"/>
      <c r="B77" s="34"/>
      <c r="C77" s="34"/>
      <c r="D77" s="34"/>
      <c r="E77" s="34"/>
      <c r="F77" s="34"/>
      <c r="G77" s="34"/>
      <c r="H77" s="55"/>
      <c r="I77" s="34"/>
      <c r="J77" s="55"/>
    </row>
    <row r="78" spans="1:10" s="4" customFormat="1" x14ac:dyDescent="0.25">
      <c r="A78" s="62"/>
      <c r="B78" s="34"/>
      <c r="C78" s="34"/>
      <c r="D78" s="34"/>
      <c r="E78" s="34"/>
      <c r="F78" s="34"/>
      <c r="G78" s="34"/>
      <c r="H78" s="55"/>
      <c r="I78" s="34"/>
      <c r="J78" s="55"/>
    </row>
    <row r="79" spans="1:10" s="4" customFormat="1" x14ac:dyDescent="0.25">
      <c r="A79" s="62"/>
      <c r="B79" s="59"/>
      <c r="C79" s="34"/>
      <c r="D79" s="34"/>
      <c r="E79" s="34"/>
      <c r="F79" s="34"/>
      <c r="G79" s="34"/>
      <c r="H79" s="55"/>
      <c r="I79" s="34"/>
      <c r="J79" s="55"/>
    </row>
    <row r="80" spans="1:10" s="4" customFormat="1" x14ac:dyDescent="0.25">
      <c r="A80" s="62"/>
      <c r="B80" s="34"/>
      <c r="C80" s="34"/>
      <c r="D80" s="34"/>
      <c r="E80" s="34"/>
      <c r="F80" s="34"/>
      <c r="G80" s="34"/>
      <c r="H80" s="55"/>
      <c r="I80" s="34"/>
      <c r="J80" s="55"/>
    </row>
    <row r="81" spans="1:10" s="4" customFormat="1" x14ac:dyDescent="0.25">
      <c r="A81" s="62"/>
      <c r="B81" s="34"/>
      <c r="C81" s="34"/>
      <c r="D81" s="34"/>
      <c r="E81" s="34"/>
      <c r="F81" s="34"/>
      <c r="G81" s="34"/>
      <c r="H81" s="55"/>
      <c r="I81" s="34"/>
      <c r="J81" s="55"/>
    </row>
    <row r="82" spans="1:10" s="4" customFormat="1" x14ac:dyDescent="0.25">
      <c r="A82" s="62"/>
      <c r="B82" s="34"/>
      <c r="C82" s="34"/>
      <c r="D82" s="34"/>
      <c r="E82" s="34"/>
      <c r="F82" s="34"/>
      <c r="G82" s="34"/>
      <c r="H82" s="55"/>
      <c r="I82" s="34"/>
      <c r="J82" s="55"/>
    </row>
    <row r="83" spans="1:10" s="4" customFormat="1" x14ac:dyDescent="0.25">
      <c r="A83" s="62"/>
      <c r="B83" s="34"/>
      <c r="C83" s="34"/>
      <c r="D83" s="34"/>
      <c r="E83" s="34"/>
      <c r="F83" s="34"/>
      <c r="G83" s="34"/>
      <c r="H83" s="55"/>
      <c r="I83" s="34"/>
      <c r="J83" s="55"/>
    </row>
    <row r="84" spans="1:10" s="4" customFormat="1" x14ac:dyDescent="0.25">
      <c r="A84" s="62"/>
      <c r="B84" s="34"/>
      <c r="C84" s="34"/>
      <c r="D84" s="34"/>
      <c r="E84" s="34"/>
      <c r="F84" s="34"/>
      <c r="G84" s="34"/>
      <c r="H84" s="55"/>
      <c r="I84" s="34"/>
      <c r="J84" s="55"/>
    </row>
    <row r="85" spans="1:10" s="4" customFormat="1" x14ac:dyDescent="0.25">
      <c r="A85" s="62"/>
      <c r="B85" s="34"/>
      <c r="C85" s="34"/>
      <c r="D85" s="34"/>
      <c r="E85" s="34"/>
      <c r="F85" s="34"/>
      <c r="G85" s="34"/>
      <c r="H85" s="55"/>
      <c r="I85" s="34"/>
      <c r="J85" s="55"/>
    </row>
    <row r="86" spans="1:10" s="4" customFormat="1" x14ac:dyDescent="0.25">
      <c r="A86" s="62"/>
      <c r="B86" s="34"/>
      <c r="C86" s="34"/>
      <c r="D86" s="34"/>
      <c r="E86" s="34"/>
      <c r="F86" s="34"/>
      <c r="G86" s="34"/>
      <c r="H86" s="55"/>
      <c r="I86" s="34"/>
      <c r="J86" s="55"/>
    </row>
    <row r="87" spans="1:10" s="4" customFormat="1" x14ac:dyDescent="0.25">
      <c r="A87" s="62"/>
      <c r="B87" s="34"/>
      <c r="C87" s="34"/>
      <c r="D87" s="34"/>
      <c r="E87" s="34"/>
      <c r="F87" s="34"/>
      <c r="G87" s="34"/>
      <c r="H87" s="55"/>
      <c r="I87" s="34"/>
      <c r="J87" s="55"/>
    </row>
    <row r="88" spans="1:10" s="4" customFormat="1" x14ac:dyDescent="0.25">
      <c r="A88" s="62"/>
      <c r="B88" s="34"/>
      <c r="C88" s="34"/>
      <c r="D88" s="34"/>
      <c r="E88" s="34"/>
      <c r="F88" s="34"/>
      <c r="G88" s="34"/>
      <c r="H88" s="55"/>
      <c r="I88" s="34"/>
      <c r="J88" s="55"/>
    </row>
    <row r="89" spans="1:10" s="4" customFormat="1" x14ac:dyDescent="0.25">
      <c r="A89" s="62"/>
      <c r="B89" s="34"/>
      <c r="C89" s="34"/>
      <c r="D89" s="34"/>
      <c r="E89" s="34"/>
      <c r="F89" s="34"/>
      <c r="G89" s="34"/>
      <c r="H89" s="55"/>
      <c r="I89" s="34"/>
      <c r="J89" s="55"/>
    </row>
    <row r="90" spans="1:10" s="4" customFormat="1" x14ac:dyDescent="0.25">
      <c r="A90" s="62"/>
      <c r="B90" s="59"/>
      <c r="C90" s="34"/>
      <c r="D90" s="34"/>
      <c r="E90" s="34"/>
      <c r="F90" s="34"/>
      <c r="G90" s="34"/>
      <c r="H90" s="55"/>
      <c r="I90" s="34"/>
      <c r="J90" s="55"/>
    </row>
    <row r="91" spans="1:10" s="4" customFormat="1" x14ac:dyDescent="0.25">
      <c r="A91" s="62"/>
      <c r="B91" s="34"/>
      <c r="C91" s="34"/>
      <c r="D91" s="34"/>
      <c r="E91" s="34"/>
      <c r="F91" s="34"/>
      <c r="G91" s="34"/>
      <c r="H91" s="55"/>
      <c r="I91" s="34"/>
      <c r="J91" s="55"/>
    </row>
    <row r="92" spans="1:10" s="4" customFormat="1" x14ac:dyDescent="0.25">
      <c r="A92" s="62"/>
      <c r="B92" s="59"/>
      <c r="C92" s="34"/>
      <c r="D92" s="34"/>
      <c r="E92" s="34"/>
      <c r="F92" s="62"/>
      <c r="G92" s="34"/>
      <c r="H92" s="55"/>
      <c r="I92" s="34"/>
      <c r="J92" s="55"/>
    </row>
    <row r="93" spans="1:10" s="4" customFormat="1" x14ac:dyDescent="0.25">
      <c r="A93" s="62"/>
      <c r="B93" s="34"/>
      <c r="C93" s="34"/>
      <c r="D93" s="34"/>
      <c r="E93" s="34"/>
      <c r="F93" s="62"/>
      <c r="G93" s="34"/>
      <c r="H93" s="55"/>
      <c r="I93" s="34"/>
      <c r="J93" s="55"/>
    </row>
    <row r="94" spans="1:10" s="4" customFormat="1" x14ac:dyDescent="0.25">
      <c r="A94" s="62"/>
      <c r="B94" s="59"/>
      <c r="C94" s="34"/>
      <c r="D94" s="34"/>
      <c r="E94" s="34"/>
      <c r="F94" s="34"/>
      <c r="G94" s="34"/>
      <c r="H94" s="55"/>
      <c r="I94" s="34"/>
      <c r="J94" s="55"/>
    </row>
    <row r="95" spans="1:10" s="4" customFormat="1" x14ac:dyDescent="0.25">
      <c r="A95" s="62"/>
      <c r="B95" s="34"/>
      <c r="C95" s="34"/>
      <c r="D95" s="34"/>
      <c r="E95" s="34"/>
      <c r="F95" s="34"/>
      <c r="G95" s="34"/>
      <c r="H95" s="55"/>
      <c r="I95" s="34"/>
      <c r="J95" s="55"/>
    </row>
    <row r="96" spans="1:10" s="4" customFormat="1" x14ac:dyDescent="0.25">
      <c r="A96" s="62"/>
      <c r="B96" s="34"/>
      <c r="C96" s="34"/>
      <c r="D96" s="34"/>
      <c r="E96" s="34"/>
      <c r="F96" s="34"/>
      <c r="G96" s="34"/>
      <c r="H96" s="55"/>
      <c r="I96" s="34"/>
      <c r="J96" s="55"/>
    </row>
    <row r="97" spans="1:10" s="4" customFormat="1" x14ac:dyDescent="0.25">
      <c r="A97" s="62"/>
      <c r="B97" s="34"/>
      <c r="C97" s="34"/>
      <c r="D97" s="34"/>
      <c r="E97" s="34"/>
      <c r="F97" s="34"/>
      <c r="G97" s="34"/>
      <c r="H97" s="55"/>
      <c r="I97" s="34"/>
      <c r="J97" s="55"/>
    </row>
    <row r="98" spans="1:10" s="4" customFormat="1" x14ac:dyDescent="0.25">
      <c r="A98" s="36"/>
      <c r="B98" s="34"/>
      <c r="C98" s="34"/>
      <c r="D98" s="34"/>
      <c r="E98" s="34"/>
      <c r="F98" s="34"/>
      <c r="G98" s="34"/>
      <c r="H98" s="34"/>
      <c r="I98" s="34"/>
      <c r="J98" s="34"/>
    </row>
    <row r="99" spans="1:10" s="4" customFormat="1" x14ac:dyDescent="0.25">
      <c r="A99" s="62"/>
      <c r="B99" s="59"/>
      <c r="C99" s="34"/>
      <c r="D99" s="34"/>
      <c r="E99" s="34"/>
      <c r="F99" s="34"/>
      <c r="G99" s="34"/>
      <c r="H99" s="34"/>
      <c r="I99" s="34"/>
      <c r="J99" s="34"/>
    </row>
    <row r="100" spans="1:10" x14ac:dyDescent="0.25">
      <c r="B100" s="70"/>
    </row>
    <row r="101" spans="1:10" x14ac:dyDescent="0.25">
      <c r="A101" s="71"/>
    </row>
    <row r="102" spans="1:10" x14ac:dyDescent="0.25">
      <c r="A102" s="71"/>
    </row>
    <row r="103" spans="1:10" x14ac:dyDescent="0.25">
      <c r="A103" s="71"/>
    </row>
    <row r="104" spans="1:10" x14ac:dyDescent="0.25">
      <c r="A104" s="71"/>
    </row>
    <row r="105" spans="1:10" x14ac:dyDescent="0.25">
      <c r="A105" s="71"/>
    </row>
    <row r="106" spans="1:10" x14ac:dyDescent="0.25">
      <c r="A106" s="71"/>
    </row>
    <row r="107" spans="1:10" s="4" customFormat="1" x14ac:dyDescent="0.25">
      <c r="A107" s="62"/>
      <c r="B107" s="34"/>
      <c r="C107" s="34"/>
      <c r="D107" s="34"/>
      <c r="E107" s="34"/>
      <c r="F107" s="34"/>
      <c r="G107" s="34"/>
      <c r="H107" s="34"/>
      <c r="I107" s="34"/>
      <c r="J107" s="34"/>
    </row>
    <row r="108" spans="1:10" s="4" customFormat="1" x14ac:dyDescent="0.25">
      <c r="A108" s="62"/>
      <c r="B108" s="34"/>
      <c r="C108" s="34"/>
      <c r="D108" s="34"/>
      <c r="E108" s="34"/>
      <c r="F108" s="34"/>
      <c r="G108" s="34"/>
      <c r="H108" s="34"/>
      <c r="I108" s="34"/>
      <c r="J108" s="34"/>
    </row>
    <row r="109" spans="1:10" s="4" customFormat="1" x14ac:dyDescent="0.25">
      <c r="A109" s="62"/>
      <c r="B109" s="34"/>
      <c r="C109" s="34"/>
      <c r="D109" s="34"/>
      <c r="E109" s="34"/>
      <c r="F109" s="34"/>
      <c r="G109" s="34"/>
      <c r="H109" s="34"/>
      <c r="I109" s="34"/>
      <c r="J109" s="34"/>
    </row>
    <row r="110" spans="1:10" s="4" customFormat="1" x14ac:dyDescent="0.25">
      <c r="A110" s="80"/>
      <c r="B110" s="34"/>
      <c r="C110" s="34"/>
      <c r="D110" s="34"/>
      <c r="E110" s="34"/>
      <c r="F110" s="34"/>
      <c r="G110" s="34"/>
      <c r="H110" s="34"/>
      <c r="I110" s="34"/>
      <c r="J110" s="34"/>
    </row>
    <row r="111" spans="1:10" s="4" customFormat="1" x14ac:dyDescent="0.25">
      <c r="A111" s="62"/>
      <c r="B111" s="34"/>
      <c r="C111" s="34"/>
      <c r="D111" s="34"/>
      <c r="E111" s="34"/>
      <c r="F111" s="34"/>
      <c r="G111" s="34"/>
      <c r="H111" s="34"/>
      <c r="I111" s="34"/>
      <c r="J111" s="34"/>
    </row>
    <row r="112" spans="1:10" s="4" customFormat="1" x14ac:dyDescent="0.25">
      <c r="A112" s="62"/>
      <c r="B112" s="34"/>
      <c r="C112" s="34"/>
      <c r="D112" s="34"/>
      <c r="E112" s="34"/>
      <c r="F112" s="34"/>
      <c r="G112" s="34"/>
      <c r="H112" s="34"/>
      <c r="I112" s="34"/>
      <c r="J112" s="34"/>
    </row>
    <row r="113" spans="1:10" s="4" customFormat="1" x14ac:dyDescent="0.25">
      <c r="A113" s="62"/>
      <c r="B113" s="34"/>
      <c r="C113" s="34"/>
      <c r="D113" s="34"/>
      <c r="E113" s="34"/>
      <c r="F113" s="34"/>
      <c r="G113" s="34"/>
      <c r="H113" s="34"/>
      <c r="I113" s="34"/>
      <c r="J113" s="34"/>
    </row>
    <row r="114" spans="1:10" s="4" customFormat="1" x14ac:dyDescent="0.25">
      <c r="A114" s="62"/>
      <c r="B114" s="34"/>
      <c r="C114" s="34"/>
      <c r="D114" s="34"/>
      <c r="E114" s="34"/>
      <c r="F114" s="34"/>
      <c r="G114" s="34"/>
      <c r="H114" s="34"/>
      <c r="I114" s="34"/>
      <c r="J114" s="34"/>
    </row>
    <row r="115" spans="1:10" s="4" customFormat="1" x14ac:dyDescent="0.25">
      <c r="A115" s="62"/>
      <c r="B115" s="34"/>
      <c r="C115" s="34"/>
      <c r="D115" s="34"/>
      <c r="E115" s="34"/>
      <c r="F115" s="34"/>
      <c r="G115" s="34"/>
      <c r="H115" s="34"/>
      <c r="I115" s="34"/>
      <c r="J115" s="34"/>
    </row>
    <row r="116" spans="1:10" s="4" customFormat="1" x14ac:dyDescent="0.25">
      <c r="A116" s="36"/>
      <c r="B116" s="34"/>
      <c r="C116" s="34"/>
      <c r="D116" s="34"/>
      <c r="E116" s="34"/>
      <c r="F116" s="34"/>
      <c r="G116" s="34"/>
      <c r="H116" s="34"/>
      <c r="I116" s="34"/>
      <c r="J116" s="34"/>
    </row>
    <row r="117" spans="1:10" s="4" customFormat="1" x14ac:dyDescent="0.25">
      <c r="A117" s="80"/>
      <c r="B117" s="34"/>
      <c r="C117" s="34"/>
      <c r="D117" s="34"/>
      <c r="E117" s="34"/>
      <c r="F117" s="34"/>
      <c r="G117" s="34"/>
      <c r="H117" s="34"/>
      <c r="I117" s="34"/>
      <c r="J117" s="34"/>
    </row>
    <row r="118" spans="1:10" s="4" customFormat="1" x14ac:dyDescent="0.25">
      <c r="A118" s="80"/>
      <c r="B118" s="34"/>
      <c r="C118" s="34"/>
      <c r="D118" s="34"/>
      <c r="E118" s="34"/>
      <c r="F118" s="34"/>
      <c r="G118" s="34"/>
      <c r="H118" s="34"/>
      <c r="I118" s="34"/>
      <c r="J118" s="34"/>
    </row>
    <row r="119" spans="1:10" s="4" customFormat="1" x14ac:dyDescent="0.25">
      <c r="A119" s="62"/>
      <c r="B119" s="34"/>
      <c r="C119" s="34"/>
      <c r="D119" s="34"/>
      <c r="E119" s="34"/>
      <c r="F119" s="34"/>
      <c r="G119" s="34"/>
      <c r="H119" s="34"/>
      <c r="I119" s="34"/>
      <c r="J119" s="34"/>
    </row>
    <row r="120" spans="1:10" s="4" customFormat="1" x14ac:dyDescent="0.25">
      <c r="A120" s="62"/>
      <c r="B120" s="34"/>
      <c r="C120" s="34"/>
      <c r="D120" s="34"/>
      <c r="E120" s="34"/>
      <c r="F120" s="34"/>
      <c r="G120" s="34"/>
      <c r="H120" s="34"/>
      <c r="I120" s="34"/>
      <c r="J120" s="34"/>
    </row>
    <row r="121" spans="1:10" s="4" customFormat="1" x14ac:dyDescent="0.25">
      <c r="A121" s="62"/>
      <c r="B121" s="34"/>
      <c r="C121" s="34"/>
      <c r="D121" s="34"/>
      <c r="E121" s="34"/>
      <c r="F121" s="34"/>
      <c r="G121" s="34"/>
      <c r="H121" s="34"/>
      <c r="I121" s="34"/>
      <c r="J121" s="34"/>
    </row>
    <row r="122" spans="1:10" s="4" customFormat="1" x14ac:dyDescent="0.25">
      <c r="A122" s="62"/>
      <c r="B122" s="34"/>
      <c r="C122" s="34"/>
      <c r="D122" s="34"/>
      <c r="E122" s="34"/>
      <c r="F122" s="34"/>
      <c r="G122" s="34"/>
      <c r="H122" s="34"/>
      <c r="I122" s="34"/>
      <c r="J122" s="34"/>
    </row>
    <row r="123" spans="1:10" s="4" customFormat="1" x14ac:dyDescent="0.25">
      <c r="A123" s="62"/>
      <c r="B123" s="34"/>
      <c r="C123" s="34"/>
      <c r="D123" s="34"/>
      <c r="E123" s="34"/>
      <c r="F123" s="34"/>
      <c r="G123" s="34"/>
      <c r="H123" s="34"/>
      <c r="I123" s="34"/>
      <c r="J123" s="34"/>
    </row>
    <row r="124" spans="1:10" s="4" customFormat="1" x14ac:dyDescent="0.25">
      <c r="A124" s="62"/>
      <c r="B124" s="34"/>
      <c r="C124" s="34"/>
      <c r="D124" s="34"/>
      <c r="E124" s="34"/>
      <c r="F124" s="34"/>
      <c r="G124" s="34"/>
      <c r="H124" s="34"/>
      <c r="I124" s="34"/>
      <c r="J124" s="34"/>
    </row>
    <row r="125" spans="1:10" s="4" customFormat="1" x14ac:dyDescent="0.25">
      <c r="A125" s="62"/>
      <c r="B125" s="34"/>
      <c r="C125" s="34"/>
      <c r="D125" s="34"/>
      <c r="E125" s="34"/>
      <c r="F125" s="34"/>
      <c r="G125" s="34"/>
      <c r="H125" s="34"/>
      <c r="I125" s="34"/>
      <c r="J125" s="34"/>
    </row>
    <row r="126" spans="1:10" s="4" customFormat="1" x14ac:dyDescent="0.25">
      <c r="A126" s="62"/>
      <c r="B126" s="34"/>
      <c r="C126" s="34"/>
      <c r="D126" s="34"/>
      <c r="E126" s="34"/>
      <c r="F126" s="34"/>
      <c r="G126" s="34"/>
      <c r="H126" s="34"/>
      <c r="I126" s="34"/>
      <c r="J126" s="34"/>
    </row>
    <row r="127" spans="1:10" s="4" customFormat="1" x14ac:dyDescent="0.25">
      <c r="A127" s="62"/>
      <c r="B127" s="34"/>
      <c r="C127" s="34"/>
      <c r="D127" s="34"/>
      <c r="E127" s="34"/>
      <c r="F127" s="34"/>
      <c r="G127" s="34"/>
      <c r="H127" s="34"/>
      <c r="I127" s="34"/>
      <c r="J127" s="34"/>
    </row>
    <row r="128" spans="1:10" s="4" customFormat="1" x14ac:dyDescent="0.25">
      <c r="A128" s="62"/>
      <c r="B128" s="34"/>
      <c r="C128" s="34"/>
      <c r="D128" s="34"/>
      <c r="E128" s="34"/>
      <c r="F128" s="34"/>
      <c r="G128" s="34"/>
      <c r="H128" s="34"/>
      <c r="I128" s="34"/>
      <c r="J128" s="34"/>
    </row>
    <row r="129" spans="1:10" s="4" customFormat="1" x14ac:dyDescent="0.25">
      <c r="A129" s="80"/>
      <c r="B129" s="34"/>
      <c r="C129" s="34"/>
      <c r="D129" s="34"/>
      <c r="E129" s="34"/>
      <c r="F129" s="34"/>
      <c r="G129" s="34"/>
      <c r="H129" s="34"/>
      <c r="I129" s="34"/>
      <c r="J129" s="34"/>
    </row>
    <row r="130" spans="1:10" s="4" customFormat="1" x14ac:dyDescent="0.25">
      <c r="A130" s="36"/>
      <c r="B130" s="34"/>
      <c r="C130" s="34"/>
      <c r="D130" s="34"/>
      <c r="E130" s="34"/>
      <c r="F130" s="34"/>
      <c r="G130" s="34"/>
      <c r="H130" s="34"/>
      <c r="I130" s="34"/>
      <c r="J130" s="34"/>
    </row>
    <row r="131" spans="1:10" s="4" customFormat="1" x14ac:dyDescent="0.25">
      <c r="A131" s="36"/>
      <c r="B131" s="34"/>
      <c r="C131" s="34"/>
      <c r="D131" s="34"/>
      <c r="E131" s="34"/>
      <c r="F131" s="34"/>
      <c r="G131" s="34"/>
      <c r="H131" s="34"/>
      <c r="I131" s="34"/>
      <c r="J131" s="34"/>
    </row>
    <row r="132" spans="1:10" s="4" customFormat="1" x14ac:dyDescent="0.25">
      <c r="A132" s="36"/>
      <c r="B132" s="34"/>
      <c r="C132" s="34"/>
      <c r="D132" s="34"/>
      <c r="E132" s="34"/>
      <c r="F132" s="34"/>
      <c r="G132" s="34"/>
      <c r="H132" s="34"/>
      <c r="I132" s="34"/>
      <c r="J132" s="34"/>
    </row>
    <row r="133" spans="1:10" s="4" customFormat="1" x14ac:dyDescent="0.25">
      <c r="A133" s="36"/>
      <c r="B133" s="34"/>
      <c r="C133" s="34"/>
      <c r="D133" s="34"/>
      <c r="E133" s="34"/>
      <c r="F133" s="34"/>
      <c r="G133" s="34"/>
      <c r="H133" s="34"/>
      <c r="I133" s="34"/>
      <c r="J133" s="34"/>
    </row>
    <row r="134" spans="1:10" s="4" customFormat="1" x14ac:dyDescent="0.25">
      <c r="A134" s="36"/>
      <c r="B134" s="34"/>
      <c r="C134" s="34"/>
      <c r="D134" s="34"/>
      <c r="E134" s="34"/>
      <c r="F134" s="34"/>
      <c r="G134" s="34"/>
      <c r="H134" s="34"/>
      <c r="I134" s="34"/>
      <c r="J134" s="34"/>
    </row>
    <row r="135" spans="1:10" s="4" customFormat="1" x14ac:dyDescent="0.25">
      <c r="A135" s="36"/>
      <c r="B135" s="34"/>
      <c r="C135" s="34"/>
      <c r="D135" s="34"/>
      <c r="E135" s="34"/>
      <c r="F135" s="34"/>
      <c r="G135" s="34"/>
      <c r="H135" s="34"/>
      <c r="I135" s="34"/>
      <c r="J135" s="34"/>
    </row>
    <row r="136" spans="1:10" s="4" customFormat="1" x14ac:dyDescent="0.25">
      <c r="A136" s="36"/>
      <c r="B136" s="34"/>
      <c r="C136" s="34"/>
      <c r="D136" s="34"/>
      <c r="E136" s="34"/>
      <c r="F136" s="34"/>
      <c r="G136" s="34"/>
      <c r="H136" s="34"/>
      <c r="I136" s="34"/>
      <c r="J136" s="34"/>
    </row>
    <row r="137" spans="1:10" s="4" customFormat="1" x14ac:dyDescent="0.25">
      <c r="A137" s="36"/>
      <c r="B137" s="34"/>
      <c r="C137" s="34"/>
      <c r="D137" s="34"/>
      <c r="E137" s="34"/>
      <c r="F137" s="34"/>
      <c r="G137" s="34"/>
      <c r="H137" s="34"/>
      <c r="I137" s="34"/>
      <c r="J137" s="34"/>
    </row>
    <row r="138" spans="1:10" s="4" customFormat="1" x14ac:dyDescent="0.25">
      <c r="A138" s="36"/>
      <c r="B138" s="34"/>
      <c r="C138" s="34"/>
      <c r="D138" s="34"/>
      <c r="E138" s="34"/>
      <c r="F138" s="34"/>
      <c r="G138" s="34"/>
      <c r="H138" s="34"/>
      <c r="I138" s="34"/>
      <c r="J138" s="34"/>
    </row>
    <row r="139" spans="1:10" s="4" customFormat="1" x14ac:dyDescent="0.25">
      <c r="A139" s="36"/>
      <c r="B139" s="34"/>
      <c r="C139" s="34"/>
      <c r="D139" s="34"/>
      <c r="E139" s="34"/>
      <c r="F139" s="34"/>
      <c r="G139" s="34"/>
      <c r="H139" s="34"/>
      <c r="I139" s="34"/>
      <c r="J139" s="34"/>
    </row>
    <row r="140" spans="1:10" s="4" customFormat="1" x14ac:dyDescent="0.25">
      <c r="A140" s="36"/>
      <c r="B140" s="34"/>
      <c r="C140" s="34"/>
      <c r="D140" s="34"/>
      <c r="E140" s="34"/>
      <c r="F140" s="34"/>
      <c r="G140" s="34"/>
      <c r="H140" s="34"/>
      <c r="I140" s="34"/>
      <c r="J140" s="34"/>
    </row>
    <row r="141" spans="1:10" s="4" customFormat="1" x14ac:dyDescent="0.25">
      <c r="A141" s="36"/>
      <c r="B141" s="34"/>
      <c r="C141" s="34"/>
      <c r="D141" s="34"/>
      <c r="E141" s="34"/>
      <c r="F141" s="34"/>
      <c r="G141" s="34"/>
      <c r="H141" s="34"/>
      <c r="I141" s="34"/>
      <c r="J141" s="34"/>
    </row>
    <row r="142" spans="1:10" s="4" customFormat="1" x14ac:dyDescent="0.25">
      <c r="A142" s="36"/>
      <c r="B142" s="34"/>
      <c r="C142" s="34"/>
      <c r="D142" s="34"/>
      <c r="E142" s="34"/>
      <c r="F142" s="34"/>
      <c r="G142" s="34"/>
      <c r="H142" s="34"/>
      <c r="I142" s="34"/>
      <c r="J142" s="34"/>
    </row>
    <row r="143" spans="1:10" s="4" customFormat="1" x14ac:dyDescent="0.25">
      <c r="A143" s="36"/>
      <c r="B143" s="34"/>
      <c r="C143" s="34"/>
      <c r="D143" s="34"/>
      <c r="E143" s="34"/>
      <c r="F143" s="34"/>
      <c r="G143" s="34"/>
      <c r="H143" s="34"/>
      <c r="I143" s="34"/>
      <c r="J143" s="34"/>
    </row>
    <row r="144" spans="1:10" s="4" customFormat="1" x14ac:dyDescent="0.25">
      <c r="A144" s="36"/>
      <c r="B144" s="34"/>
      <c r="C144" s="34"/>
      <c r="D144" s="34"/>
      <c r="E144" s="34"/>
      <c r="F144" s="34"/>
      <c r="G144" s="34"/>
      <c r="H144" s="34"/>
      <c r="I144" s="34"/>
      <c r="J144" s="34"/>
    </row>
    <row r="145" spans="1:10" s="4" customFormat="1" x14ac:dyDescent="0.25">
      <c r="A145" s="36"/>
      <c r="B145" s="34"/>
      <c r="C145" s="34"/>
      <c r="D145" s="34"/>
      <c r="E145" s="34"/>
      <c r="F145" s="34"/>
      <c r="G145" s="34"/>
      <c r="H145" s="34"/>
      <c r="I145" s="34"/>
      <c r="J145" s="34"/>
    </row>
    <row r="146" spans="1:10" s="4" customFormat="1" x14ac:dyDescent="0.25">
      <c r="A146" s="36"/>
      <c r="B146" s="34"/>
      <c r="C146" s="34"/>
      <c r="D146" s="34"/>
      <c r="E146" s="34"/>
      <c r="F146" s="34"/>
      <c r="G146" s="34"/>
      <c r="H146" s="34"/>
      <c r="I146" s="34"/>
      <c r="J146" s="34"/>
    </row>
    <row r="147" spans="1:10" s="4" customFormat="1" x14ac:dyDescent="0.25">
      <c r="A147" s="36"/>
      <c r="B147" s="34"/>
      <c r="C147" s="34"/>
      <c r="D147" s="34"/>
      <c r="E147" s="34"/>
      <c r="F147" s="34"/>
      <c r="G147" s="34"/>
      <c r="H147" s="34"/>
      <c r="I147" s="34"/>
      <c r="J147" s="34"/>
    </row>
    <row r="148" spans="1:10" s="4" customFormat="1" x14ac:dyDescent="0.25">
      <c r="A148" s="80"/>
      <c r="B148" s="34"/>
      <c r="C148" s="34"/>
      <c r="D148" s="34"/>
      <c r="E148" s="34"/>
      <c r="F148" s="34"/>
      <c r="G148" s="34"/>
      <c r="H148" s="34"/>
      <c r="I148" s="34"/>
      <c r="J148" s="34"/>
    </row>
    <row r="149" spans="1:10" s="4" customFormat="1" x14ac:dyDescent="0.25">
      <c r="A149" s="36"/>
      <c r="B149" s="34"/>
      <c r="C149" s="34"/>
      <c r="D149" s="34"/>
      <c r="E149" s="34"/>
      <c r="F149" s="34"/>
      <c r="G149" s="34"/>
      <c r="H149" s="34"/>
      <c r="I149" s="34"/>
      <c r="J149" s="34"/>
    </row>
    <row r="150" spans="1:10" s="4" customFormat="1" x14ac:dyDescent="0.25">
      <c r="A150" s="36"/>
      <c r="B150" s="34"/>
      <c r="C150" s="34"/>
      <c r="D150" s="34"/>
      <c r="E150" s="34"/>
      <c r="F150" s="34"/>
      <c r="G150" s="34"/>
      <c r="H150" s="34"/>
      <c r="I150" s="34"/>
      <c r="J150" s="34"/>
    </row>
    <row r="151" spans="1:10" s="4" customFormat="1" x14ac:dyDescent="0.25">
      <c r="A151" s="36"/>
      <c r="B151" s="34"/>
      <c r="C151" s="34"/>
      <c r="D151" s="34"/>
      <c r="E151" s="34"/>
      <c r="F151" s="34"/>
      <c r="G151" s="34"/>
      <c r="H151" s="34"/>
      <c r="I151" s="34"/>
      <c r="J151" s="34"/>
    </row>
    <row r="152" spans="1:10" s="4" customFormat="1" x14ac:dyDescent="0.25">
      <c r="A152" s="36"/>
      <c r="B152" s="34"/>
      <c r="C152" s="34"/>
      <c r="D152" s="34"/>
      <c r="E152" s="34"/>
      <c r="F152" s="34"/>
      <c r="G152" s="34"/>
      <c r="H152" s="34"/>
      <c r="I152" s="34"/>
      <c r="J152" s="34"/>
    </row>
    <row r="153" spans="1:10" s="4" customFormat="1" x14ac:dyDescent="0.25">
      <c r="A153" s="36"/>
      <c r="B153" s="34"/>
      <c r="C153" s="34"/>
      <c r="D153" s="34"/>
      <c r="E153" s="34"/>
      <c r="F153" s="34"/>
      <c r="G153" s="34"/>
      <c r="H153" s="34"/>
      <c r="I153" s="34"/>
      <c r="J153" s="34"/>
    </row>
    <row r="154" spans="1:10" s="4" customFormat="1" x14ac:dyDescent="0.25">
      <c r="A154" s="36"/>
      <c r="B154" s="34"/>
      <c r="C154" s="34"/>
      <c r="D154" s="34"/>
      <c r="E154" s="34"/>
      <c r="F154" s="34"/>
      <c r="G154" s="34"/>
      <c r="H154" s="62"/>
      <c r="I154" s="34"/>
      <c r="J154" s="34"/>
    </row>
    <row r="155" spans="1:10" s="4" customFormat="1" x14ac:dyDescent="0.25">
      <c r="A155" s="36"/>
      <c r="B155" s="34"/>
      <c r="C155" s="34"/>
      <c r="D155" s="34"/>
      <c r="E155" s="34"/>
      <c r="F155" s="34"/>
      <c r="G155" s="34"/>
      <c r="H155" s="62"/>
      <c r="I155" s="34"/>
      <c r="J155" s="34"/>
    </row>
    <row r="156" spans="1:10" s="4" customFormat="1" x14ac:dyDescent="0.25">
      <c r="A156" s="36"/>
      <c r="B156" s="34"/>
      <c r="C156" s="34"/>
      <c r="D156" s="34"/>
      <c r="E156" s="34"/>
      <c r="F156" s="34"/>
      <c r="G156" s="34"/>
      <c r="H156" s="62"/>
      <c r="I156" s="34"/>
      <c r="J156" s="34"/>
    </row>
    <row r="157" spans="1:10" s="4" customFormat="1" x14ac:dyDescent="0.25">
      <c r="A157" s="36"/>
      <c r="B157" s="34"/>
      <c r="C157" s="34"/>
      <c r="D157" s="34"/>
      <c r="E157" s="34"/>
      <c r="F157" s="34"/>
      <c r="G157" s="34"/>
      <c r="H157" s="62"/>
      <c r="I157" s="34"/>
      <c r="J157" s="34"/>
    </row>
    <row r="158" spans="1:10" s="4" customFormat="1" x14ac:dyDescent="0.25">
      <c r="A158" s="36"/>
      <c r="B158" s="34"/>
      <c r="C158" s="34"/>
      <c r="D158" s="34"/>
      <c r="E158" s="34"/>
      <c r="F158" s="34"/>
      <c r="G158" s="34"/>
      <c r="H158" s="34"/>
      <c r="I158" s="34"/>
      <c r="J158" s="34"/>
    </row>
    <row r="161" spans="1:1" x14ac:dyDescent="0.25">
      <c r="A161" s="51"/>
    </row>
    <row r="162" spans="1:1" x14ac:dyDescent="0.25">
      <c r="A162" s="51"/>
    </row>
  </sheetData>
  <mergeCells count="49">
    <mergeCell ref="B68:F68"/>
    <mergeCell ref="B70:F70"/>
    <mergeCell ref="I68:J68"/>
    <mergeCell ref="I70:J70"/>
    <mergeCell ref="B60:F60"/>
    <mergeCell ref="I60:J60"/>
    <mergeCell ref="B36:J36"/>
    <mergeCell ref="B37:J37"/>
    <mergeCell ref="B38:J38"/>
    <mergeCell ref="B39:J39"/>
    <mergeCell ref="A55:J55"/>
    <mergeCell ref="B58:F58"/>
    <mergeCell ref="I58:J58"/>
    <mergeCell ref="E46:H46"/>
    <mergeCell ref="B9:J9"/>
    <mergeCell ref="B8:J8"/>
    <mergeCell ref="B10:J10"/>
    <mergeCell ref="C29:E29"/>
    <mergeCell ref="E19:H19"/>
    <mergeCell ref="E20:H20"/>
    <mergeCell ref="E21:H21"/>
    <mergeCell ref="E22:H22"/>
    <mergeCell ref="E23:H23"/>
    <mergeCell ref="B12:F12"/>
    <mergeCell ref="H4:J4"/>
    <mergeCell ref="H5:J5"/>
    <mergeCell ref="B6:J6"/>
    <mergeCell ref="B7:J7"/>
    <mergeCell ref="B4:F4"/>
    <mergeCell ref="B5:F5"/>
    <mergeCell ref="C31:E31"/>
    <mergeCell ref="B23:C23"/>
    <mergeCell ref="B16:G16"/>
    <mergeCell ref="I16:J16"/>
    <mergeCell ref="H12:J12"/>
    <mergeCell ref="H13:J13"/>
    <mergeCell ref="B15:J15"/>
    <mergeCell ref="B13:F13"/>
    <mergeCell ref="B14:F14"/>
    <mergeCell ref="C34:D34"/>
    <mergeCell ref="E34:I34"/>
    <mergeCell ref="G17:J17"/>
    <mergeCell ref="C32:E32"/>
    <mergeCell ref="C33:E33"/>
    <mergeCell ref="E17:F17"/>
    <mergeCell ref="C30:E30"/>
    <mergeCell ref="B20:C20"/>
    <mergeCell ref="B21:C21"/>
    <mergeCell ref="B22:C22"/>
  </mergeCells>
  <pageMargins left="0.63" right="0.39370078740157483" top="0.49" bottom="0.39370078740157483" header="0.32" footer="0.39"/>
  <pageSetup paperSize="9" scale="74" orientation="portrait" verticalDpi="300" r:id="rId1"/>
  <headerFooter alignWithMargins="0">
    <oddHeader>&amp;RCommercial in confidence</oddHeader>
    <oddFooter>&amp;RAPF Approved UMT March 2003</oddFooter>
  </headerFooter>
  <rowBreaks count="2" manualBreakCount="2">
    <brk id="55" max="16383" man="1"/>
    <brk id="116" max="16383"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70"/>
  <sheetViews>
    <sheetView topLeftCell="A17" workbookViewId="0">
      <selection activeCell="I14" sqref="I14"/>
    </sheetView>
  </sheetViews>
  <sheetFormatPr defaultRowHeight="12.5" x14ac:dyDescent="0.25"/>
  <cols>
    <col min="2" max="2" width="20.7265625" customWidth="1"/>
    <col min="3" max="3" width="30.7265625" customWidth="1"/>
    <col min="4" max="4" width="10.7265625" customWidth="1"/>
    <col min="5" max="5" width="12.7265625" customWidth="1"/>
    <col min="6" max="6" width="9.7265625" customWidth="1"/>
    <col min="7" max="7" width="10.7265625" customWidth="1"/>
  </cols>
  <sheetData>
    <row r="1" spans="1:7" ht="16.5" thickTop="1" thickBot="1" x14ac:dyDescent="0.4">
      <c r="A1" s="224" t="s">
        <v>150</v>
      </c>
      <c r="B1" s="12"/>
      <c r="C1" s="8"/>
      <c r="D1" s="8"/>
      <c r="E1" s="8"/>
      <c r="F1" s="8"/>
      <c r="G1" s="179"/>
    </row>
    <row r="2" spans="1:7" ht="13.5" thickTop="1" x14ac:dyDescent="0.3">
      <c r="A2" s="199"/>
      <c r="B2" s="200"/>
      <c r="C2" s="201"/>
      <c r="D2" s="201"/>
      <c r="E2" s="201"/>
      <c r="F2" s="201"/>
      <c r="G2" s="192"/>
    </row>
    <row r="3" spans="1:7" ht="21.5" thickBot="1" x14ac:dyDescent="0.3">
      <c r="A3" s="220" t="s">
        <v>130</v>
      </c>
      <c r="B3" s="221" t="s">
        <v>121</v>
      </c>
      <c r="C3" s="222" t="s">
        <v>122</v>
      </c>
      <c r="D3" s="222" t="s">
        <v>136</v>
      </c>
      <c r="E3" s="222" t="s">
        <v>128</v>
      </c>
      <c r="F3" s="223" t="s">
        <v>120</v>
      </c>
      <c r="G3" s="222" t="s">
        <v>129</v>
      </c>
    </row>
    <row r="4" spans="1:7" ht="14" thickTop="1" thickBot="1" x14ac:dyDescent="0.35">
      <c r="A4" s="161" t="s">
        <v>76</v>
      </c>
      <c r="B4" s="161"/>
      <c r="C4" s="171"/>
      <c r="D4" s="171"/>
      <c r="E4" s="171"/>
      <c r="F4" s="213"/>
      <c r="G4" s="176"/>
    </row>
    <row r="5" spans="1:7" ht="13" thickTop="1" x14ac:dyDescent="0.25">
      <c r="A5" s="159" t="s">
        <v>98</v>
      </c>
      <c r="B5" s="127" t="s">
        <v>30</v>
      </c>
      <c r="C5" s="172"/>
      <c r="D5" s="172"/>
      <c r="E5" s="172"/>
      <c r="F5" s="165"/>
      <c r="G5" s="177"/>
    </row>
    <row r="6" spans="1:7" x14ac:dyDescent="0.25">
      <c r="A6" s="89">
        <v>2210</v>
      </c>
      <c r="B6" s="90" t="s">
        <v>134</v>
      </c>
      <c r="C6" s="166" t="s">
        <v>131</v>
      </c>
      <c r="D6" s="168" t="s">
        <v>132</v>
      </c>
      <c r="E6" s="181">
        <v>210.54</v>
      </c>
      <c r="F6" s="181">
        <v>210.54</v>
      </c>
      <c r="G6" s="184" t="s">
        <v>133</v>
      </c>
    </row>
    <row r="7" spans="1:7" x14ac:dyDescent="0.25">
      <c r="A7" s="89"/>
      <c r="B7" s="90"/>
      <c r="C7" s="166"/>
      <c r="D7" s="168"/>
      <c r="E7" s="166"/>
      <c r="F7" s="156"/>
      <c r="G7" s="175"/>
    </row>
    <row r="8" spans="1:7" ht="13" x14ac:dyDescent="0.3">
      <c r="A8" s="93"/>
      <c r="B8" s="85" t="s">
        <v>127</v>
      </c>
      <c r="C8" s="167"/>
      <c r="D8" s="169"/>
      <c r="E8" s="167"/>
      <c r="F8" s="196">
        <f>SUM(F6:F7)</f>
        <v>210.54</v>
      </c>
      <c r="G8" s="174"/>
    </row>
    <row r="9" spans="1:7" x14ac:dyDescent="0.25">
      <c r="A9" s="89" t="s">
        <v>99</v>
      </c>
      <c r="B9" s="90" t="s">
        <v>31</v>
      </c>
      <c r="C9" s="166"/>
      <c r="D9" s="166"/>
      <c r="E9" s="168"/>
      <c r="F9" s="156"/>
      <c r="G9" s="175"/>
    </row>
    <row r="10" spans="1:7" x14ac:dyDescent="0.25">
      <c r="A10" s="93"/>
      <c r="B10" s="91"/>
      <c r="C10" s="167"/>
      <c r="D10" s="167"/>
      <c r="E10" s="169"/>
      <c r="F10" s="162"/>
      <c r="G10" s="174"/>
    </row>
    <row r="11" spans="1:7" ht="13" x14ac:dyDescent="0.3">
      <c r="A11" s="89"/>
      <c r="B11" s="160" t="s">
        <v>126</v>
      </c>
      <c r="C11" s="166"/>
      <c r="D11" s="166"/>
      <c r="E11" s="168"/>
      <c r="F11" s="156"/>
      <c r="G11" s="175"/>
    </row>
    <row r="12" spans="1:7" x14ac:dyDescent="0.25">
      <c r="A12" s="89" t="s">
        <v>100</v>
      </c>
      <c r="B12" s="90" t="s">
        <v>125</v>
      </c>
      <c r="C12" s="166"/>
      <c r="D12" s="166"/>
      <c r="E12" s="166"/>
      <c r="F12" s="156"/>
      <c r="G12" s="175"/>
    </row>
    <row r="13" spans="1:7" x14ac:dyDescent="0.25">
      <c r="A13" s="89"/>
      <c r="B13" s="90"/>
      <c r="C13" s="166"/>
      <c r="D13" s="166"/>
      <c r="E13" s="166"/>
      <c r="F13" s="156"/>
      <c r="G13" s="174"/>
    </row>
    <row r="14" spans="1:7" ht="13" x14ac:dyDescent="0.3">
      <c r="A14" s="89"/>
      <c r="B14" s="160" t="s">
        <v>124</v>
      </c>
      <c r="C14" s="166"/>
      <c r="D14" s="166"/>
      <c r="E14" s="166"/>
      <c r="F14" s="156"/>
      <c r="G14" s="175"/>
    </row>
    <row r="15" spans="1:7" x14ac:dyDescent="0.25">
      <c r="A15" s="89" t="s">
        <v>101</v>
      </c>
      <c r="B15" s="90" t="s">
        <v>33</v>
      </c>
      <c r="C15" s="168"/>
      <c r="D15" s="166"/>
      <c r="E15" s="166"/>
      <c r="F15" s="156"/>
      <c r="G15" s="175"/>
    </row>
    <row r="16" spans="1:7" x14ac:dyDescent="0.25">
      <c r="A16" s="89"/>
      <c r="B16" s="154"/>
      <c r="C16" s="170"/>
      <c r="D16" s="170"/>
      <c r="E16" s="170"/>
      <c r="F16" s="163"/>
      <c r="G16" s="174"/>
    </row>
    <row r="17" spans="1:7" ht="13.5" thickBot="1" x14ac:dyDescent="0.35">
      <c r="A17" s="158"/>
      <c r="B17" s="210" t="s">
        <v>123</v>
      </c>
      <c r="C17" s="173"/>
      <c r="D17" s="173"/>
      <c r="E17" s="173"/>
      <c r="F17" s="95"/>
      <c r="G17" s="178"/>
    </row>
    <row r="18" spans="1:7" ht="14" thickTop="1" thickBot="1" x14ac:dyDescent="0.35">
      <c r="A18" s="211" t="s">
        <v>45</v>
      </c>
      <c r="B18" s="161"/>
      <c r="C18" s="171"/>
      <c r="D18" s="171"/>
      <c r="E18" s="171"/>
      <c r="F18" s="164"/>
      <c r="G18" s="176"/>
    </row>
    <row r="19" spans="1:7" ht="13" thickTop="1" x14ac:dyDescent="0.25">
      <c r="A19" s="159" t="s">
        <v>98</v>
      </c>
      <c r="B19" s="127" t="s">
        <v>30</v>
      </c>
      <c r="C19" s="172"/>
      <c r="D19" s="172"/>
      <c r="E19" s="172"/>
      <c r="F19" s="165"/>
      <c r="G19" s="177"/>
    </row>
    <row r="20" spans="1:7" x14ac:dyDescent="0.25">
      <c r="A20" s="89"/>
      <c r="B20" s="90"/>
      <c r="C20" s="166"/>
      <c r="D20" s="166"/>
      <c r="E20" s="166"/>
      <c r="F20" s="156"/>
      <c r="G20" s="175"/>
    </row>
    <row r="21" spans="1:7" x14ac:dyDescent="0.25">
      <c r="A21" s="89"/>
      <c r="B21" s="90"/>
      <c r="C21" s="166"/>
      <c r="D21" s="166"/>
      <c r="E21" s="166"/>
      <c r="F21" s="156"/>
      <c r="G21" s="175"/>
    </row>
    <row r="22" spans="1:7" ht="13" x14ac:dyDescent="0.3">
      <c r="A22" s="185"/>
      <c r="B22" s="185" t="s">
        <v>123</v>
      </c>
      <c r="C22" s="167"/>
      <c r="D22" s="172"/>
      <c r="E22" s="172"/>
      <c r="F22" s="162"/>
      <c r="G22" s="174"/>
    </row>
    <row r="23" spans="1:7" x14ac:dyDescent="0.25">
      <c r="A23" s="89" t="s">
        <v>99</v>
      </c>
      <c r="B23" s="156" t="s">
        <v>31</v>
      </c>
      <c r="C23" s="166"/>
      <c r="D23" s="166"/>
      <c r="E23" s="166"/>
      <c r="F23" s="156"/>
      <c r="G23" s="175"/>
    </row>
    <row r="24" spans="1:7" x14ac:dyDescent="0.25">
      <c r="A24" s="89"/>
      <c r="B24" s="90"/>
      <c r="C24" s="166"/>
      <c r="D24" s="166"/>
      <c r="E24" s="166"/>
      <c r="F24" s="156"/>
      <c r="G24" s="175"/>
    </row>
    <row r="25" spans="1:7" ht="13" x14ac:dyDescent="0.3">
      <c r="A25" s="93"/>
      <c r="B25" s="85" t="s">
        <v>126</v>
      </c>
      <c r="C25" s="167"/>
      <c r="D25" s="172"/>
      <c r="E25" s="172"/>
      <c r="F25" s="162"/>
      <c r="G25" s="174"/>
    </row>
    <row r="26" spans="1:7" x14ac:dyDescent="0.25">
      <c r="A26" s="89" t="s">
        <v>100</v>
      </c>
      <c r="B26" s="90" t="s">
        <v>32</v>
      </c>
      <c r="C26" s="166"/>
      <c r="D26" s="166"/>
      <c r="E26" s="166"/>
      <c r="F26" s="156"/>
      <c r="G26" s="175"/>
    </row>
    <row r="27" spans="1:7" x14ac:dyDescent="0.25">
      <c r="A27" s="89"/>
      <c r="B27" s="90"/>
      <c r="C27" s="166"/>
      <c r="D27" s="166"/>
      <c r="E27" s="166"/>
      <c r="F27" s="156"/>
      <c r="G27" s="175"/>
    </row>
    <row r="28" spans="1:7" ht="13" x14ac:dyDescent="0.3">
      <c r="A28" s="89"/>
      <c r="B28" s="160" t="s">
        <v>124</v>
      </c>
      <c r="C28" s="166"/>
      <c r="D28" s="166"/>
      <c r="E28" s="166"/>
      <c r="F28" s="156"/>
      <c r="G28" s="174"/>
    </row>
    <row r="29" spans="1:7" x14ac:dyDescent="0.25">
      <c r="A29" s="89" t="s">
        <v>101</v>
      </c>
      <c r="B29" s="90" t="s">
        <v>33</v>
      </c>
      <c r="C29" s="166"/>
      <c r="D29" s="166"/>
      <c r="E29" s="166"/>
      <c r="F29" s="156"/>
      <c r="G29" s="175"/>
    </row>
    <row r="30" spans="1:7" x14ac:dyDescent="0.25">
      <c r="A30" s="180"/>
      <c r="B30" s="91"/>
      <c r="C30" s="167"/>
      <c r="D30" s="167"/>
      <c r="E30" s="167"/>
      <c r="F30" s="162"/>
      <c r="G30" s="174"/>
    </row>
    <row r="31" spans="1:7" ht="13.5" thickBot="1" x14ac:dyDescent="0.35">
      <c r="A31" s="158"/>
      <c r="B31" s="210" t="s">
        <v>123</v>
      </c>
      <c r="C31" s="173"/>
      <c r="D31" s="173"/>
      <c r="E31" s="173"/>
      <c r="F31" s="95"/>
      <c r="G31" s="178"/>
    </row>
    <row r="32" spans="1:7" ht="14" thickTop="1" thickBot="1" x14ac:dyDescent="0.35">
      <c r="A32" s="212" t="s">
        <v>144</v>
      </c>
      <c r="B32" s="213"/>
      <c r="C32" s="214"/>
      <c r="D32" s="214"/>
      <c r="E32" s="214"/>
      <c r="F32" s="215"/>
      <c r="G32" s="176"/>
    </row>
    <row r="33" spans="1:7" ht="13" thickTop="1" x14ac:dyDescent="0.25">
      <c r="A33" s="159" t="s">
        <v>98</v>
      </c>
      <c r="B33" s="127" t="s">
        <v>34</v>
      </c>
      <c r="C33" s="172"/>
      <c r="D33" s="172"/>
      <c r="E33" s="172"/>
      <c r="F33" s="165"/>
      <c r="G33" s="177"/>
    </row>
    <row r="34" spans="1:7" x14ac:dyDescent="0.25">
      <c r="A34" s="89">
        <v>2210</v>
      </c>
      <c r="B34" s="90" t="s">
        <v>135</v>
      </c>
      <c r="C34" s="166" t="s">
        <v>131</v>
      </c>
      <c r="D34" s="166" t="s">
        <v>132</v>
      </c>
      <c r="E34" s="181">
        <v>210.54</v>
      </c>
      <c r="F34" s="181">
        <v>210.54</v>
      </c>
      <c r="G34" s="183">
        <v>210.54</v>
      </c>
    </row>
    <row r="35" spans="1:7" x14ac:dyDescent="0.25">
      <c r="A35" s="89"/>
      <c r="B35" s="90" t="s">
        <v>139</v>
      </c>
      <c r="C35" s="166" t="s">
        <v>131</v>
      </c>
      <c r="D35" s="166" t="s">
        <v>140</v>
      </c>
      <c r="E35" s="181">
        <v>350</v>
      </c>
      <c r="F35" s="182">
        <f>E35*0.5</f>
        <v>175</v>
      </c>
      <c r="G35" s="183">
        <v>175</v>
      </c>
    </row>
    <row r="36" spans="1:7" ht="13" x14ac:dyDescent="0.3">
      <c r="A36" s="89"/>
      <c r="B36" s="85" t="s">
        <v>142</v>
      </c>
      <c r="C36" s="166"/>
      <c r="D36" s="166"/>
      <c r="E36" s="166"/>
      <c r="F36" s="197">
        <f>SUM(F34:F35)</f>
        <v>385.53999999999996</v>
      </c>
      <c r="G36" s="189"/>
    </row>
    <row r="37" spans="1:7" x14ac:dyDescent="0.25">
      <c r="A37" s="89" t="s">
        <v>98</v>
      </c>
      <c r="B37" s="90" t="s">
        <v>35</v>
      </c>
      <c r="C37" s="166"/>
      <c r="D37" s="166"/>
      <c r="E37" s="166"/>
      <c r="F37" s="156"/>
      <c r="G37" s="190"/>
    </row>
    <row r="38" spans="1:7" x14ac:dyDescent="0.25">
      <c r="A38" s="180"/>
      <c r="B38" s="91"/>
      <c r="C38" s="167"/>
      <c r="D38" s="167"/>
      <c r="E38" s="167"/>
      <c r="F38" s="162"/>
      <c r="G38" s="189"/>
    </row>
    <row r="39" spans="1:7" ht="13" x14ac:dyDescent="0.3">
      <c r="A39" s="89"/>
      <c r="B39" s="85" t="s">
        <v>143</v>
      </c>
      <c r="C39" s="166"/>
      <c r="D39" s="166"/>
      <c r="E39" s="166"/>
      <c r="F39" s="156"/>
      <c r="G39" s="190"/>
    </row>
    <row r="40" spans="1:7" x14ac:dyDescent="0.25">
      <c r="A40" s="89" t="s">
        <v>99</v>
      </c>
      <c r="B40" s="90" t="s">
        <v>31</v>
      </c>
      <c r="C40" s="166"/>
      <c r="D40" s="166"/>
      <c r="E40" s="166"/>
      <c r="F40" s="166"/>
      <c r="G40" s="190"/>
    </row>
    <row r="41" spans="1:7" x14ac:dyDescent="0.25">
      <c r="A41" s="93"/>
      <c r="B41" s="91"/>
      <c r="C41" s="167"/>
      <c r="D41" s="167"/>
      <c r="E41" s="167"/>
      <c r="F41" s="162"/>
      <c r="G41" s="189"/>
    </row>
    <row r="42" spans="1:7" ht="13" x14ac:dyDescent="0.3">
      <c r="A42" s="89"/>
      <c r="B42" s="160" t="s">
        <v>126</v>
      </c>
      <c r="C42" s="166"/>
      <c r="D42" s="166"/>
      <c r="E42" s="166"/>
      <c r="F42" s="156"/>
      <c r="G42" s="190"/>
    </row>
    <row r="43" spans="1:7" x14ac:dyDescent="0.25">
      <c r="A43" s="89" t="s">
        <v>100</v>
      </c>
      <c r="B43" s="90" t="s">
        <v>32</v>
      </c>
      <c r="C43" s="166"/>
      <c r="D43" s="166"/>
      <c r="E43" s="166"/>
      <c r="F43" s="156"/>
      <c r="G43" s="190"/>
    </row>
    <row r="44" spans="1:7" x14ac:dyDescent="0.25">
      <c r="A44" s="89"/>
      <c r="B44" s="90"/>
      <c r="C44" s="166"/>
      <c r="D44" s="166"/>
      <c r="E44" s="166"/>
      <c r="F44" s="156"/>
      <c r="G44" s="190"/>
    </row>
    <row r="45" spans="1:7" ht="13" x14ac:dyDescent="0.3">
      <c r="A45" s="89"/>
      <c r="B45" s="160" t="s">
        <v>124</v>
      </c>
      <c r="C45" s="166"/>
      <c r="D45" s="166"/>
      <c r="E45" s="166"/>
      <c r="F45" s="156"/>
      <c r="G45" s="189"/>
    </row>
    <row r="46" spans="1:7" x14ac:dyDescent="0.25">
      <c r="A46" s="89" t="s">
        <v>101</v>
      </c>
      <c r="B46" s="90" t="s">
        <v>33</v>
      </c>
      <c r="C46" s="166"/>
      <c r="D46" s="166"/>
      <c r="E46" s="166"/>
      <c r="F46" s="156"/>
      <c r="G46" s="190"/>
    </row>
    <row r="47" spans="1:7" x14ac:dyDescent="0.25">
      <c r="A47" s="89"/>
      <c r="B47" s="90"/>
      <c r="C47" s="166"/>
      <c r="D47" s="166"/>
      <c r="E47" s="166"/>
      <c r="F47" s="156"/>
      <c r="G47" s="189"/>
    </row>
    <row r="48" spans="1:7" ht="13.5" thickBot="1" x14ac:dyDescent="0.35">
      <c r="A48" s="158"/>
      <c r="B48" s="210" t="s">
        <v>123</v>
      </c>
      <c r="C48" s="173"/>
      <c r="D48" s="173"/>
      <c r="E48" s="173"/>
      <c r="F48" s="95"/>
      <c r="G48" s="191"/>
    </row>
    <row r="49" spans="1:7" ht="13.5" thickTop="1" thickBot="1" x14ac:dyDescent="0.3">
      <c r="A49" s="211" t="s">
        <v>145</v>
      </c>
      <c r="B49" s="211"/>
      <c r="C49" s="171"/>
      <c r="D49" s="171"/>
      <c r="E49" s="171"/>
      <c r="F49" s="216"/>
      <c r="G49" s="176"/>
    </row>
    <row r="50" spans="1:7" ht="13" thickTop="1" x14ac:dyDescent="0.25">
      <c r="A50" s="159" t="s">
        <v>98</v>
      </c>
      <c r="B50" s="127" t="s">
        <v>34</v>
      </c>
      <c r="C50" s="172"/>
      <c r="D50" s="172"/>
      <c r="E50" s="172"/>
      <c r="F50" s="165"/>
      <c r="G50" s="177"/>
    </row>
    <row r="51" spans="1:7" x14ac:dyDescent="0.25">
      <c r="A51" s="89"/>
      <c r="B51" s="90"/>
      <c r="C51" s="166"/>
      <c r="D51" s="166"/>
      <c r="E51" s="181"/>
      <c r="F51" s="182"/>
      <c r="G51" s="183"/>
    </row>
    <row r="52" spans="1:7" ht="13" x14ac:dyDescent="0.3">
      <c r="A52" s="89"/>
      <c r="B52" s="85" t="s">
        <v>142</v>
      </c>
      <c r="C52" s="166"/>
      <c r="D52" s="166"/>
      <c r="E52" s="166"/>
      <c r="F52" s="197"/>
      <c r="G52" s="189"/>
    </row>
    <row r="53" spans="1:7" x14ac:dyDescent="0.25">
      <c r="A53" s="89" t="s">
        <v>98</v>
      </c>
      <c r="B53" s="90" t="s">
        <v>35</v>
      </c>
      <c r="C53" s="166"/>
      <c r="D53" s="166"/>
      <c r="E53" s="166"/>
      <c r="F53" s="156"/>
      <c r="G53" s="190"/>
    </row>
    <row r="54" spans="1:7" x14ac:dyDescent="0.25">
      <c r="A54" s="180"/>
      <c r="B54" s="91"/>
      <c r="C54" s="167"/>
      <c r="D54" s="167"/>
      <c r="E54" s="167"/>
      <c r="F54" s="162"/>
      <c r="G54" s="189"/>
    </row>
    <row r="55" spans="1:7" ht="13" x14ac:dyDescent="0.3">
      <c r="A55" s="89"/>
      <c r="B55" s="85" t="s">
        <v>143</v>
      </c>
      <c r="C55" s="166"/>
      <c r="D55" s="166"/>
      <c r="E55" s="166"/>
      <c r="F55" s="156"/>
      <c r="G55" s="190"/>
    </row>
    <row r="56" spans="1:7" x14ac:dyDescent="0.25">
      <c r="A56" s="89" t="s">
        <v>99</v>
      </c>
      <c r="B56" s="90" t="s">
        <v>31</v>
      </c>
      <c r="C56" s="166"/>
      <c r="D56" s="166"/>
      <c r="E56" s="166"/>
      <c r="F56" s="166"/>
      <c r="G56" s="190"/>
    </row>
    <row r="57" spans="1:7" x14ac:dyDescent="0.25">
      <c r="A57" s="93"/>
      <c r="B57" s="91"/>
      <c r="C57" s="167"/>
      <c r="D57" s="167"/>
      <c r="E57" s="167"/>
      <c r="F57" s="162"/>
      <c r="G57" s="189"/>
    </row>
    <row r="58" spans="1:7" ht="13" x14ac:dyDescent="0.3">
      <c r="A58" s="89"/>
      <c r="B58" s="160" t="s">
        <v>126</v>
      </c>
      <c r="C58" s="166"/>
      <c r="D58" s="166"/>
      <c r="E58" s="166"/>
      <c r="F58" s="156"/>
      <c r="G58" s="190"/>
    </row>
    <row r="59" spans="1:7" x14ac:dyDescent="0.25">
      <c r="A59" s="89" t="s">
        <v>100</v>
      </c>
      <c r="B59" s="90" t="s">
        <v>32</v>
      </c>
      <c r="C59" s="166"/>
      <c r="D59" s="166"/>
      <c r="E59" s="166"/>
      <c r="F59" s="156"/>
      <c r="G59" s="190"/>
    </row>
    <row r="60" spans="1:7" x14ac:dyDescent="0.25">
      <c r="A60" s="89"/>
      <c r="B60" s="90"/>
      <c r="C60" s="166"/>
      <c r="D60" s="166"/>
      <c r="E60" s="166"/>
      <c r="F60" s="156"/>
      <c r="G60" s="190"/>
    </row>
    <row r="61" spans="1:7" ht="13" x14ac:dyDescent="0.3">
      <c r="A61" s="89"/>
      <c r="B61" s="160" t="s">
        <v>124</v>
      </c>
      <c r="C61" s="166"/>
      <c r="D61" s="166"/>
      <c r="E61" s="166"/>
      <c r="F61" s="156"/>
      <c r="G61" s="189"/>
    </row>
    <row r="62" spans="1:7" x14ac:dyDescent="0.25">
      <c r="A62" s="89" t="s">
        <v>101</v>
      </c>
      <c r="B62" s="90" t="s">
        <v>33</v>
      </c>
      <c r="C62" s="166"/>
      <c r="D62" s="166"/>
      <c r="E62" s="166"/>
      <c r="F62" s="156"/>
      <c r="G62" s="190"/>
    </row>
    <row r="63" spans="1:7" x14ac:dyDescent="0.25">
      <c r="A63" s="89"/>
      <c r="B63" s="90"/>
      <c r="C63" s="166"/>
      <c r="D63" s="166"/>
      <c r="E63" s="166"/>
      <c r="F63" s="156"/>
      <c r="G63" s="189"/>
    </row>
    <row r="64" spans="1:7" ht="13.5" thickBot="1" x14ac:dyDescent="0.35">
      <c r="A64" s="158"/>
      <c r="B64" s="210" t="s">
        <v>123</v>
      </c>
      <c r="C64" s="173"/>
      <c r="D64" s="173"/>
      <c r="E64" s="173"/>
      <c r="F64" s="95"/>
      <c r="G64" s="191"/>
    </row>
    <row r="65" spans="1:7" ht="13.5" thickTop="1" thickBot="1" x14ac:dyDescent="0.3">
      <c r="A65" s="216" t="s">
        <v>119</v>
      </c>
      <c r="B65" s="217"/>
      <c r="C65" s="214"/>
      <c r="D65" s="218"/>
      <c r="E65" s="214"/>
      <c r="F65" s="215"/>
      <c r="G65" s="219"/>
    </row>
    <row r="66" spans="1:7" ht="13" thickTop="1" x14ac:dyDescent="0.25">
      <c r="A66" s="159" t="s">
        <v>102</v>
      </c>
      <c r="B66" s="127" t="s">
        <v>36</v>
      </c>
      <c r="C66" s="172"/>
      <c r="D66" s="172"/>
      <c r="E66" s="172"/>
      <c r="F66" s="165"/>
      <c r="G66" s="189"/>
    </row>
    <row r="67" spans="1:7" x14ac:dyDescent="0.25">
      <c r="A67" s="89">
        <v>3323</v>
      </c>
      <c r="B67" s="154" t="s">
        <v>137</v>
      </c>
      <c r="C67" s="170" t="s">
        <v>138</v>
      </c>
      <c r="D67" s="170" t="s">
        <v>132</v>
      </c>
      <c r="E67" s="188">
        <v>100</v>
      </c>
      <c r="F67" s="198">
        <v>100</v>
      </c>
      <c r="G67" s="183">
        <v>100</v>
      </c>
    </row>
    <row r="68" spans="1:7" x14ac:dyDescent="0.25">
      <c r="A68" s="89" t="s">
        <v>102</v>
      </c>
      <c r="B68" s="156" t="s">
        <v>37</v>
      </c>
      <c r="C68" s="170"/>
      <c r="D68" s="170"/>
      <c r="E68" s="170"/>
      <c r="F68" s="163"/>
      <c r="G68" s="175"/>
    </row>
    <row r="69" spans="1:7" ht="13" thickBot="1" x14ac:dyDescent="0.3">
      <c r="A69" s="158"/>
      <c r="B69" s="157"/>
      <c r="C69" s="173"/>
      <c r="D69" s="173"/>
      <c r="E69" s="173"/>
      <c r="F69" s="95"/>
      <c r="G69" s="176"/>
    </row>
    <row r="70" spans="1:7" ht="13" thickTop="1" x14ac:dyDescent="0.25"/>
  </sheetData>
  <pageMargins left="0.75" right="0.75" top="1" bottom="1" header="0.5" footer="0.5"/>
  <pageSetup paperSize="9" scale="70" orientation="portrait" verticalDpi="0" r:id="rId1"/>
  <headerFooter alignWithMargins="0">
    <oddHeader>&amp;RCommercial in confidence</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68"/>
  <sheetViews>
    <sheetView zoomScaleNormal="100" workbookViewId="0">
      <selection activeCell="L10" sqref="L10"/>
    </sheetView>
  </sheetViews>
  <sheetFormatPr defaultRowHeight="12.5" x14ac:dyDescent="0.25"/>
  <cols>
    <col min="7" max="7" width="11.26953125" customWidth="1"/>
    <col min="8" max="8" width="11.7265625" customWidth="1"/>
    <col min="9" max="9" width="12.7265625" customWidth="1"/>
    <col min="10" max="10" width="12.7265625" style="32" customWidth="1"/>
    <col min="11" max="11" width="9.1796875" style="32" customWidth="1"/>
  </cols>
  <sheetData>
    <row r="1" spans="1:11" s="1" customFormat="1" ht="17.5" x14ac:dyDescent="0.35">
      <c r="A1" s="133" t="s">
        <v>92</v>
      </c>
      <c r="B1" s="4"/>
      <c r="C1" s="4"/>
      <c r="D1" s="4"/>
      <c r="E1" s="4"/>
      <c r="F1" s="4"/>
      <c r="G1" s="4"/>
      <c r="H1" s="4"/>
      <c r="I1" s="14"/>
      <c r="J1" s="91"/>
      <c r="K1" s="10"/>
    </row>
    <row r="2" spans="1:11" s="4" customFormat="1" ht="11.5" x14ac:dyDescent="0.25">
      <c r="A2" s="132" t="s">
        <v>114</v>
      </c>
      <c r="B2" s="3"/>
      <c r="C2" s="3"/>
      <c r="D2" s="3"/>
      <c r="E2" s="3"/>
      <c r="F2" s="3"/>
      <c r="G2" s="3"/>
      <c r="H2" s="7"/>
      <c r="I2" s="11"/>
      <c r="J2" s="15"/>
    </row>
    <row r="3" spans="1:11" s="4" customFormat="1" ht="12" thickBot="1" x14ac:dyDescent="0.3">
      <c r="A3" s="147"/>
      <c r="B3" s="5"/>
      <c r="C3" s="5"/>
      <c r="D3" s="5"/>
      <c r="E3" s="5"/>
      <c r="F3" s="5"/>
      <c r="G3" s="5"/>
      <c r="H3" s="148"/>
      <c r="I3" s="150" t="s">
        <v>115</v>
      </c>
      <c r="J3" s="151" t="s">
        <v>116</v>
      </c>
    </row>
    <row r="4" spans="1:11" s="1" customFormat="1" ht="14" thickTop="1" thickBot="1" x14ac:dyDescent="0.35">
      <c r="A4" s="136" t="s">
        <v>88</v>
      </c>
      <c r="B4" s="17"/>
      <c r="C4" s="9"/>
      <c r="D4" s="9"/>
      <c r="E4" s="9"/>
      <c r="F4" s="9"/>
      <c r="G4" s="9"/>
      <c r="H4" s="16"/>
      <c r="I4" s="104"/>
      <c r="J4" s="22">
        <f>(J10 +J11)+J1</f>
        <v>1750</v>
      </c>
      <c r="K4" s="4"/>
    </row>
    <row r="5" spans="1:11" s="1" customFormat="1" ht="12" thickTop="1" x14ac:dyDescent="0.25">
      <c r="A5" s="153"/>
      <c r="B5" s="10"/>
      <c r="C5" s="4"/>
      <c r="D5" s="4"/>
      <c r="E5" s="4"/>
      <c r="F5" s="4"/>
      <c r="G5" s="4"/>
      <c r="H5" s="4"/>
      <c r="I5" s="106"/>
      <c r="J5" s="19"/>
      <c r="K5" s="4"/>
    </row>
    <row r="6" spans="1:11" s="1" customFormat="1" ht="11.5" x14ac:dyDescent="0.25">
      <c r="A6" s="123" t="s">
        <v>81</v>
      </c>
      <c r="B6" s="4"/>
      <c r="C6" s="4"/>
      <c r="D6" s="4"/>
      <c r="E6" s="4"/>
      <c r="F6" s="4"/>
      <c r="G6" s="4"/>
      <c r="H6" s="4"/>
      <c r="I6" s="106"/>
      <c r="J6" s="108"/>
      <c r="K6" s="4"/>
    </row>
    <row r="7" spans="1:11" s="1" customFormat="1" ht="11.5" x14ac:dyDescent="0.25">
      <c r="A7" s="124" t="s">
        <v>82</v>
      </c>
      <c r="B7" s="4"/>
      <c r="C7" s="4"/>
      <c r="D7" s="4"/>
      <c r="E7" s="4"/>
      <c r="F7" s="4"/>
      <c r="G7" s="4"/>
      <c r="H7" s="4"/>
      <c r="I7" s="106"/>
      <c r="J7" s="108"/>
      <c r="K7" s="4"/>
    </row>
    <row r="8" spans="1:11" s="1" customFormat="1" ht="11.5" x14ac:dyDescent="0.25">
      <c r="A8" s="123"/>
      <c r="B8" s="103" t="s">
        <v>83</v>
      </c>
      <c r="C8" s="103"/>
      <c r="D8" s="103"/>
      <c r="E8" s="103"/>
      <c r="F8" s="103"/>
      <c r="G8" s="6">
        <v>3</v>
      </c>
      <c r="H8" s="103"/>
      <c r="I8" s="106"/>
      <c r="J8" s="108"/>
      <c r="K8" s="4"/>
    </row>
    <row r="9" spans="1:11" s="1" customFormat="1" ht="11.5" x14ac:dyDescent="0.25">
      <c r="A9" s="123"/>
      <c r="B9" s="256" t="s">
        <v>84</v>
      </c>
      <c r="C9" s="256"/>
      <c r="D9" s="4"/>
      <c r="E9" s="4"/>
      <c r="F9" s="4"/>
      <c r="G9" s="129">
        <v>550</v>
      </c>
      <c r="H9" s="4"/>
      <c r="I9" s="106"/>
      <c r="J9" s="108"/>
      <c r="K9" s="4"/>
    </row>
    <row r="10" spans="1:11" s="1" customFormat="1" ht="11.5" x14ac:dyDescent="0.25">
      <c r="A10" s="122" t="s">
        <v>154</v>
      </c>
      <c r="B10" s="103"/>
      <c r="C10" s="103"/>
      <c r="D10" s="4"/>
      <c r="E10" s="4"/>
      <c r="F10" s="4"/>
      <c r="G10" s="129">
        <f>G8*G9</f>
        <v>1650</v>
      </c>
      <c r="H10" s="4"/>
      <c r="I10" s="106"/>
      <c r="J10" s="108">
        <f>G10</f>
        <v>1650</v>
      </c>
      <c r="K10" s="4"/>
    </row>
    <row r="11" spans="1:11" s="1" customFormat="1" ht="11.5" x14ac:dyDescent="0.25">
      <c r="A11" s="122" t="s">
        <v>86</v>
      </c>
      <c r="B11" s="103"/>
      <c r="C11" s="103"/>
      <c r="D11" s="103"/>
      <c r="E11" s="4"/>
      <c r="F11" s="4"/>
      <c r="G11" s="4">
        <v>100</v>
      </c>
      <c r="H11" s="4"/>
      <c r="I11" s="106"/>
      <c r="J11" s="108">
        <v>100</v>
      </c>
      <c r="K11" s="4"/>
    </row>
    <row r="12" spans="1:11" s="1" customFormat="1" ht="11.5" x14ac:dyDescent="0.25">
      <c r="A12" s="122" t="s">
        <v>93</v>
      </c>
      <c r="B12" s="103"/>
      <c r="C12" s="103"/>
      <c r="D12" s="4"/>
      <c r="E12" s="4"/>
      <c r="F12" s="4"/>
      <c r="G12" s="4">
        <f>J4*0.175</f>
        <v>306.25</v>
      </c>
      <c r="H12" s="4"/>
      <c r="I12" s="106"/>
      <c r="J12" s="108"/>
      <c r="K12" s="4"/>
    </row>
    <row r="13" spans="1:11" s="1" customFormat="1" ht="11.5" x14ac:dyDescent="0.25">
      <c r="A13" s="122"/>
      <c r="B13" s="103"/>
      <c r="C13" s="103"/>
      <c r="D13" s="4"/>
      <c r="E13" s="4"/>
      <c r="F13" s="4"/>
      <c r="G13" s="4"/>
      <c r="H13" s="4"/>
      <c r="I13" s="106"/>
      <c r="J13" s="108"/>
      <c r="K13" s="4"/>
    </row>
    <row r="14" spans="1:11" s="1" customFormat="1" ht="11.5" x14ac:dyDescent="0.25">
      <c r="A14" s="124" t="s">
        <v>95</v>
      </c>
      <c r="C14" s="103"/>
      <c r="D14" s="103"/>
      <c r="E14" s="4"/>
      <c r="G14" s="4"/>
      <c r="H14" s="4"/>
      <c r="I14" s="106"/>
      <c r="J14" s="149"/>
      <c r="K14" s="4"/>
    </row>
    <row r="15" spans="1:11" s="1" customFormat="1" ht="11.5" x14ac:dyDescent="0.25">
      <c r="A15" s="122"/>
      <c r="B15" s="103" t="s">
        <v>87</v>
      </c>
      <c r="C15" s="103"/>
      <c r="D15" s="4"/>
      <c r="E15" s="4"/>
      <c r="F15" s="4"/>
      <c r="G15" s="4"/>
      <c r="H15" s="4"/>
      <c r="I15" s="106"/>
      <c r="J15" s="108">
        <v>0</v>
      </c>
      <c r="K15" s="4"/>
    </row>
    <row r="16" spans="1:11" s="1" customFormat="1" ht="11.5" x14ac:dyDescent="0.25">
      <c r="A16" s="123"/>
      <c r="B16" s="103"/>
      <c r="C16" s="103"/>
      <c r="D16" s="4"/>
      <c r="E16" s="4"/>
      <c r="F16" s="4"/>
      <c r="G16" s="4"/>
      <c r="H16" s="4"/>
      <c r="I16" s="106"/>
      <c r="J16" s="108"/>
      <c r="K16" s="4"/>
    </row>
    <row r="17" spans="1:11" s="1" customFormat="1" ht="13.5" thickBot="1" x14ac:dyDescent="0.35">
      <c r="A17" s="136" t="s">
        <v>103</v>
      </c>
      <c r="B17" s="17"/>
      <c r="C17" s="9"/>
      <c r="D17" s="9"/>
      <c r="E17" s="9"/>
      <c r="F17" s="9"/>
      <c r="G17" s="9"/>
      <c r="H17" s="9"/>
      <c r="I17" s="107"/>
      <c r="J17" s="105"/>
      <c r="K17" s="4"/>
    </row>
    <row r="18" spans="1:11" s="1" customFormat="1" thickTop="1" thickBot="1" x14ac:dyDescent="0.3">
      <c r="A18" s="18" t="s">
        <v>97</v>
      </c>
      <c r="B18" s="12"/>
      <c r="C18" s="8"/>
      <c r="D18" s="8"/>
      <c r="E18" s="8"/>
      <c r="F18" s="8"/>
      <c r="G18" s="8"/>
      <c r="H18" s="8"/>
      <c r="I18" s="104"/>
      <c r="J18" s="22"/>
      <c r="K18" s="4"/>
    </row>
    <row r="19" spans="1:11" s="88" customFormat="1" ht="14.25" customHeight="1" thickTop="1" x14ac:dyDescent="0.3">
      <c r="A19" s="82"/>
      <c r="B19" s="83" t="s">
        <v>76</v>
      </c>
      <c r="C19" s="84"/>
      <c r="D19" s="84"/>
      <c r="E19" s="84"/>
      <c r="F19" s="84"/>
      <c r="G19" s="84"/>
      <c r="H19" s="85"/>
      <c r="I19" s="86"/>
      <c r="J19" s="109"/>
      <c r="K19" s="84"/>
    </row>
    <row r="20" spans="1:11" s="92" customFormat="1" ht="11.5" x14ac:dyDescent="0.25">
      <c r="A20" s="89" t="s">
        <v>98</v>
      </c>
      <c r="B20" s="90" t="s">
        <v>30</v>
      </c>
      <c r="C20" s="90"/>
      <c r="D20" s="90"/>
      <c r="E20" s="90"/>
      <c r="F20" s="90"/>
      <c r="G20" s="90"/>
      <c r="H20" s="90"/>
      <c r="I20" s="87">
        <f>'Staffing plan'!$F$8</f>
        <v>210.54</v>
      </c>
      <c r="J20" s="110"/>
      <c r="K20" s="91"/>
    </row>
    <row r="21" spans="1:11" s="92" customFormat="1" x14ac:dyDescent="0.25">
      <c r="A21" s="93" t="s">
        <v>99</v>
      </c>
      <c r="B21" s="91" t="s">
        <v>31</v>
      </c>
      <c r="C21" s="91"/>
      <c r="D21" s="91"/>
      <c r="E21" s="91"/>
      <c r="F21" s="91"/>
      <c r="G21" s="91"/>
      <c r="H21" s="186"/>
      <c r="I21" s="155"/>
      <c r="J21" s="110"/>
      <c r="K21" s="91"/>
    </row>
    <row r="22" spans="1:11" s="92" customFormat="1" x14ac:dyDescent="0.25">
      <c r="A22" s="89" t="s">
        <v>100</v>
      </c>
      <c r="B22" s="90" t="s">
        <v>32</v>
      </c>
      <c r="C22" s="90"/>
      <c r="D22" s="90"/>
      <c r="E22" s="90"/>
      <c r="F22" s="90"/>
      <c r="G22" s="90"/>
      <c r="H22" s="187"/>
      <c r="I22" s="155"/>
      <c r="J22" s="110"/>
      <c r="K22" s="91"/>
    </row>
    <row r="23" spans="1:11" s="92" customFormat="1" ht="12" thickBot="1" x14ac:dyDescent="0.3">
      <c r="A23" s="89" t="s">
        <v>101</v>
      </c>
      <c r="B23" s="90" t="s">
        <v>33</v>
      </c>
      <c r="C23" s="90"/>
      <c r="D23" s="90"/>
      <c r="E23" s="90"/>
      <c r="F23" s="90"/>
      <c r="G23" s="90"/>
      <c r="H23" s="90"/>
      <c r="I23" s="87"/>
      <c r="J23" s="110"/>
      <c r="K23" s="91"/>
    </row>
    <row r="24" spans="1:11" s="88" customFormat="1" ht="14.25" customHeight="1" thickTop="1" x14ac:dyDescent="0.3">
      <c r="A24" s="98"/>
      <c r="B24" s="83" t="s">
        <v>45</v>
      </c>
      <c r="C24" s="84"/>
      <c r="D24" s="84"/>
      <c r="E24" s="84"/>
      <c r="F24" s="84"/>
      <c r="G24" s="84"/>
      <c r="H24" s="99"/>
      <c r="I24" s="86"/>
      <c r="J24" s="109"/>
      <c r="K24" s="84"/>
    </row>
    <row r="25" spans="1:11" s="92" customFormat="1" ht="11.5" x14ac:dyDescent="0.25">
      <c r="A25" s="89" t="s">
        <v>98</v>
      </c>
      <c r="B25" s="90" t="s">
        <v>30</v>
      </c>
      <c r="C25" s="90"/>
      <c r="D25" s="90"/>
      <c r="E25" s="90"/>
      <c r="F25" s="90"/>
      <c r="G25" s="90"/>
      <c r="H25" s="90"/>
      <c r="I25" s="87"/>
      <c r="J25" s="110"/>
      <c r="K25" s="91"/>
    </row>
    <row r="26" spans="1:11" s="92" customFormat="1" ht="11.5" x14ac:dyDescent="0.25">
      <c r="A26" s="93" t="s">
        <v>99</v>
      </c>
      <c r="B26" s="91" t="s">
        <v>31</v>
      </c>
      <c r="C26" s="91"/>
      <c r="D26" s="91"/>
      <c r="E26" s="91"/>
      <c r="F26" s="90"/>
      <c r="G26" s="90"/>
      <c r="H26" s="91"/>
      <c r="I26" s="94"/>
      <c r="J26" s="110"/>
      <c r="K26" s="91"/>
    </row>
    <row r="27" spans="1:11" s="92" customFormat="1" ht="11.5" x14ac:dyDescent="0.25">
      <c r="A27" s="89" t="s">
        <v>100</v>
      </c>
      <c r="B27" s="90" t="s">
        <v>32</v>
      </c>
      <c r="C27" s="90"/>
      <c r="D27" s="90"/>
      <c r="E27" s="90"/>
      <c r="F27" s="90"/>
      <c r="G27" s="90"/>
      <c r="H27" s="90"/>
      <c r="I27" s="87"/>
      <c r="J27" s="110"/>
      <c r="K27" s="91"/>
    </row>
    <row r="28" spans="1:11" s="92" customFormat="1" ht="11.5" x14ac:dyDescent="0.25">
      <c r="A28" s="89" t="s">
        <v>101</v>
      </c>
      <c r="B28" s="90" t="s">
        <v>33</v>
      </c>
      <c r="C28" s="90"/>
      <c r="D28" s="90"/>
      <c r="E28" s="90"/>
      <c r="F28" s="90"/>
      <c r="G28" s="90"/>
      <c r="H28" s="90"/>
      <c r="I28" s="87"/>
      <c r="J28" s="110"/>
      <c r="K28" s="91"/>
    </row>
    <row r="29" spans="1:11" s="92" customFormat="1" ht="12" x14ac:dyDescent="0.3">
      <c r="A29" s="100"/>
      <c r="B29" s="83" t="s">
        <v>144</v>
      </c>
      <c r="C29" s="84"/>
      <c r="D29" s="84"/>
      <c r="E29" s="84"/>
      <c r="F29" s="84"/>
      <c r="G29" s="84"/>
      <c r="H29" s="84"/>
      <c r="I29" s="86"/>
      <c r="J29" s="110"/>
      <c r="K29" s="91"/>
    </row>
    <row r="30" spans="1:11" s="92" customFormat="1" ht="11.5" x14ac:dyDescent="0.25">
      <c r="A30" s="89" t="s">
        <v>98</v>
      </c>
      <c r="B30" s="90" t="s">
        <v>34</v>
      </c>
      <c r="C30" s="90"/>
      <c r="D30" s="90"/>
      <c r="E30" s="90"/>
      <c r="F30" s="90"/>
      <c r="G30" s="90"/>
      <c r="H30" s="90"/>
      <c r="I30" s="87">
        <f>'Staffing plan'!$F$36</f>
        <v>385.53999999999996</v>
      </c>
      <c r="J30" s="110"/>
      <c r="K30" s="91"/>
    </row>
    <row r="31" spans="1:11" s="92" customFormat="1" ht="11.5" x14ac:dyDescent="0.25">
      <c r="A31" s="89" t="s">
        <v>98</v>
      </c>
      <c r="B31" s="90" t="s">
        <v>35</v>
      </c>
      <c r="C31" s="90"/>
      <c r="D31" s="90"/>
      <c r="E31" s="101"/>
      <c r="F31" s="90"/>
      <c r="G31" s="90"/>
      <c r="H31" s="90"/>
      <c r="I31" s="87"/>
      <c r="J31" s="110"/>
      <c r="K31" s="91"/>
    </row>
    <row r="32" spans="1:11" s="92" customFormat="1" ht="11.5" x14ac:dyDescent="0.25">
      <c r="A32" s="89" t="s">
        <v>99</v>
      </c>
      <c r="B32" s="91" t="s">
        <v>31</v>
      </c>
      <c r="C32" s="91"/>
      <c r="D32" s="91"/>
      <c r="E32" s="91"/>
      <c r="F32" s="91"/>
      <c r="G32" s="91"/>
      <c r="H32" s="91"/>
      <c r="I32" s="94"/>
      <c r="J32" s="110"/>
      <c r="K32" s="91"/>
    </row>
    <row r="33" spans="1:11" s="92" customFormat="1" ht="11.5" x14ac:dyDescent="0.25">
      <c r="A33" s="89" t="s">
        <v>100</v>
      </c>
      <c r="B33" s="90" t="s">
        <v>32</v>
      </c>
      <c r="C33" s="90"/>
      <c r="D33" s="90"/>
      <c r="E33" s="90"/>
      <c r="F33" s="90"/>
      <c r="G33" s="90"/>
      <c r="H33" s="90"/>
      <c r="I33" s="87"/>
      <c r="J33" s="110"/>
      <c r="K33" s="91"/>
    </row>
    <row r="34" spans="1:11" s="92" customFormat="1" ht="11.5" x14ac:dyDescent="0.25">
      <c r="A34" s="89" t="s">
        <v>101</v>
      </c>
      <c r="B34" s="90" t="s">
        <v>33</v>
      </c>
      <c r="C34" s="90"/>
      <c r="D34" s="90"/>
      <c r="E34" s="90"/>
      <c r="F34" s="90"/>
      <c r="G34" s="90"/>
      <c r="H34" s="90"/>
      <c r="I34" s="87"/>
      <c r="J34" s="110"/>
      <c r="K34" s="91"/>
    </row>
    <row r="35" spans="1:11" s="88" customFormat="1" ht="12" x14ac:dyDescent="0.3">
      <c r="A35" s="100"/>
      <c r="B35" s="83" t="s">
        <v>145</v>
      </c>
      <c r="C35" s="84"/>
      <c r="D35" s="84"/>
      <c r="E35" s="84"/>
      <c r="F35" s="84"/>
      <c r="G35" s="84"/>
      <c r="H35" s="84"/>
      <c r="I35" s="86"/>
      <c r="J35" s="110"/>
      <c r="K35" s="84"/>
    </row>
    <row r="36" spans="1:11" s="92" customFormat="1" ht="11.5" x14ac:dyDescent="0.25">
      <c r="A36" s="89" t="s">
        <v>98</v>
      </c>
      <c r="B36" s="90" t="s">
        <v>34</v>
      </c>
      <c r="C36" s="90"/>
      <c r="D36" s="90"/>
      <c r="E36" s="90"/>
      <c r="F36" s="90"/>
      <c r="G36" s="90"/>
      <c r="H36" s="90"/>
      <c r="I36" s="87">
        <f>'Staffing plan'!$F$52</f>
        <v>0</v>
      </c>
      <c r="J36" s="110"/>
      <c r="K36" s="91"/>
    </row>
    <row r="37" spans="1:11" s="92" customFormat="1" ht="11.5" x14ac:dyDescent="0.25">
      <c r="A37" s="89" t="s">
        <v>98</v>
      </c>
      <c r="B37" s="90" t="s">
        <v>35</v>
      </c>
      <c r="C37" s="90"/>
      <c r="D37" s="90"/>
      <c r="E37" s="101"/>
      <c r="F37" s="90"/>
      <c r="G37" s="90"/>
      <c r="H37" s="90"/>
      <c r="I37" s="87"/>
      <c r="J37" s="110"/>
      <c r="K37" s="91"/>
    </row>
    <row r="38" spans="1:11" s="92" customFormat="1" ht="11.5" x14ac:dyDescent="0.25">
      <c r="A38" s="89" t="s">
        <v>99</v>
      </c>
      <c r="B38" s="91" t="s">
        <v>31</v>
      </c>
      <c r="C38" s="91"/>
      <c r="D38" s="91"/>
      <c r="E38" s="91"/>
      <c r="F38" s="91"/>
      <c r="G38" s="91"/>
      <c r="H38" s="91"/>
      <c r="I38" s="94"/>
      <c r="J38" s="110"/>
      <c r="K38" s="91"/>
    </row>
    <row r="39" spans="1:11" s="92" customFormat="1" ht="11.5" x14ac:dyDescent="0.25">
      <c r="A39" s="89" t="s">
        <v>100</v>
      </c>
      <c r="B39" s="90" t="s">
        <v>32</v>
      </c>
      <c r="C39" s="90"/>
      <c r="D39" s="90"/>
      <c r="E39" s="90"/>
      <c r="F39" s="90"/>
      <c r="G39" s="90"/>
      <c r="H39" s="90"/>
      <c r="I39" s="87"/>
      <c r="J39" s="110"/>
      <c r="K39" s="91"/>
    </row>
    <row r="40" spans="1:11" s="92" customFormat="1" ht="11.5" x14ac:dyDescent="0.25">
      <c r="A40" s="89" t="s">
        <v>101</v>
      </c>
      <c r="B40" s="90" t="s">
        <v>33</v>
      </c>
      <c r="C40" s="90"/>
      <c r="D40" s="90"/>
      <c r="E40" s="90"/>
      <c r="F40" s="90"/>
      <c r="G40" s="90"/>
      <c r="H40" s="90"/>
      <c r="I40" s="87"/>
      <c r="J40" s="110"/>
      <c r="K40" s="91"/>
    </row>
    <row r="41" spans="1:11" s="92" customFormat="1" ht="11.5" x14ac:dyDescent="0.25">
      <c r="A41" s="89"/>
      <c r="B41" s="135" t="s">
        <v>119</v>
      </c>
      <c r="C41" s="90"/>
      <c r="D41" s="90"/>
      <c r="E41" s="90"/>
      <c r="F41" s="90"/>
      <c r="G41" s="90"/>
      <c r="H41" s="90"/>
      <c r="I41" s="87"/>
      <c r="J41" s="110"/>
      <c r="K41" s="91"/>
    </row>
    <row r="42" spans="1:11" s="92" customFormat="1" ht="11.5" x14ac:dyDescent="0.25">
      <c r="A42" s="89" t="s">
        <v>102</v>
      </c>
      <c r="B42" s="90" t="s">
        <v>36</v>
      </c>
      <c r="C42" s="90"/>
      <c r="D42" s="90"/>
      <c r="E42" s="90"/>
      <c r="F42" s="90"/>
      <c r="G42" s="90"/>
      <c r="H42" s="90"/>
      <c r="I42" s="87">
        <f>'Staffing plan'!$F$67</f>
        <v>100</v>
      </c>
      <c r="J42" s="110"/>
      <c r="K42" s="91"/>
    </row>
    <row r="43" spans="1:11" s="92" customFormat="1" ht="12" thickBot="1" x14ac:dyDescent="0.3">
      <c r="A43" s="89" t="s">
        <v>102</v>
      </c>
      <c r="B43" s="96" t="s">
        <v>37</v>
      </c>
      <c r="C43" s="96"/>
      <c r="D43" s="96"/>
      <c r="E43" s="96"/>
      <c r="F43" s="96"/>
      <c r="G43" s="96"/>
      <c r="H43" s="96"/>
      <c r="I43" s="97"/>
      <c r="J43" s="111"/>
      <c r="K43" s="91"/>
    </row>
    <row r="44" spans="1:11" s="1" customFormat="1" ht="13.5" customHeight="1" thickTop="1" thickBot="1" x14ac:dyDescent="0.3">
      <c r="A44" s="20"/>
      <c r="B44" s="21" t="s">
        <v>38</v>
      </c>
      <c r="C44" s="9"/>
      <c r="D44" s="9"/>
      <c r="E44" s="9"/>
      <c r="F44" s="9"/>
      <c r="G44" s="9"/>
      <c r="H44" s="9"/>
      <c r="I44" s="22">
        <f>SUM(I20:I43)</f>
        <v>696.07999999999993</v>
      </c>
      <c r="J44" s="112"/>
      <c r="K44" s="4"/>
    </row>
    <row r="45" spans="1:11" s="1" customFormat="1" ht="13.5" customHeight="1" thickTop="1" thickBot="1" x14ac:dyDescent="0.3">
      <c r="A45" s="138" t="s">
        <v>73</v>
      </c>
      <c r="B45" s="139"/>
      <c r="C45" s="8"/>
      <c r="D45" s="8"/>
      <c r="E45" s="8"/>
      <c r="F45" s="8"/>
      <c r="G45" s="140"/>
      <c r="H45" s="8"/>
      <c r="I45" s="31"/>
      <c r="J45" s="113"/>
      <c r="K45" s="4"/>
    </row>
    <row r="46" spans="1:11" s="1" customFormat="1" ht="13.5" customHeight="1" thickTop="1" x14ac:dyDescent="0.25">
      <c r="A46" s="142" t="s">
        <v>112</v>
      </c>
      <c r="B46" s="13"/>
      <c r="C46" s="4"/>
      <c r="D46" s="4"/>
      <c r="E46" s="4"/>
      <c r="F46" s="4"/>
      <c r="G46" s="103"/>
      <c r="H46" s="4"/>
      <c r="I46" s="145"/>
      <c r="J46" s="143"/>
      <c r="K46" s="4"/>
    </row>
    <row r="47" spans="1:11" s="1" customFormat="1" ht="11.5" x14ac:dyDescent="0.25">
      <c r="A47" s="25" t="s">
        <v>104</v>
      </c>
      <c r="B47" s="3" t="s">
        <v>39</v>
      </c>
      <c r="C47" s="3"/>
      <c r="D47" s="3"/>
      <c r="E47" s="3"/>
      <c r="F47" s="3"/>
      <c r="G47" s="3"/>
      <c r="H47" s="3"/>
      <c r="I47" s="24"/>
      <c r="J47" s="110"/>
      <c r="K47" s="4"/>
    </row>
    <row r="48" spans="1:11" s="1" customFormat="1" ht="11.5" x14ac:dyDescent="0.25">
      <c r="A48" s="25" t="s">
        <v>106</v>
      </c>
      <c r="B48" s="3" t="s">
        <v>105</v>
      </c>
      <c r="C48" s="3"/>
      <c r="D48" s="3"/>
      <c r="E48" s="3"/>
      <c r="F48" s="3"/>
      <c r="G48" s="3"/>
      <c r="H48" s="3"/>
      <c r="I48" s="24"/>
      <c r="J48" s="110"/>
      <c r="K48" s="4"/>
    </row>
    <row r="49" spans="1:11" s="1" customFormat="1" ht="11.5" x14ac:dyDescent="0.25">
      <c r="A49" s="25" t="s">
        <v>117</v>
      </c>
      <c r="B49" s="3" t="s">
        <v>118</v>
      </c>
      <c r="C49" s="3"/>
      <c r="D49" s="3"/>
      <c r="E49" s="3"/>
      <c r="F49" s="3"/>
      <c r="G49" s="3"/>
      <c r="H49" s="3"/>
      <c r="I49" s="24"/>
      <c r="J49" s="110"/>
      <c r="K49" s="4"/>
    </row>
    <row r="50" spans="1:11" s="1" customFormat="1" ht="11.5" x14ac:dyDescent="0.25">
      <c r="A50" s="146" t="s">
        <v>113</v>
      </c>
      <c r="B50" s="3"/>
      <c r="C50" s="3"/>
      <c r="D50" s="3"/>
      <c r="E50" s="3"/>
      <c r="F50" s="3"/>
      <c r="G50" s="3"/>
      <c r="H50" s="3"/>
      <c r="I50" s="24"/>
      <c r="J50" s="110"/>
      <c r="K50" s="4"/>
    </row>
    <row r="51" spans="1:11" s="1" customFormat="1" ht="11.5" x14ac:dyDescent="0.25">
      <c r="A51" s="25" t="s">
        <v>107</v>
      </c>
      <c r="B51" s="3" t="s">
        <v>153</v>
      </c>
      <c r="C51" s="3"/>
      <c r="D51" s="3"/>
      <c r="E51" s="3"/>
      <c r="F51" s="3"/>
      <c r="G51" s="3"/>
      <c r="H51" s="3"/>
      <c r="I51" s="24">
        <v>100</v>
      </c>
      <c r="J51" s="110"/>
      <c r="K51" s="4"/>
    </row>
    <row r="52" spans="1:11" s="1" customFormat="1" ht="11.5" x14ac:dyDescent="0.25">
      <c r="A52" s="137" t="s">
        <v>108</v>
      </c>
      <c r="B52" s="4"/>
      <c r="C52" s="4"/>
      <c r="D52" s="4"/>
      <c r="E52" s="4"/>
      <c r="F52" s="4"/>
      <c r="G52" s="4"/>
      <c r="H52" s="4"/>
      <c r="I52" s="23"/>
      <c r="J52" s="109"/>
      <c r="K52" s="4"/>
    </row>
    <row r="53" spans="1:11" s="1" customFormat="1" ht="11.5" x14ac:dyDescent="0.25">
      <c r="A53" s="25" t="s">
        <v>40</v>
      </c>
      <c r="B53" s="3"/>
      <c r="C53" s="3"/>
      <c r="D53" s="3"/>
      <c r="E53" s="3"/>
      <c r="F53" s="3"/>
      <c r="G53" s="3"/>
      <c r="H53" s="3"/>
      <c r="I53" s="24"/>
      <c r="J53" s="110"/>
      <c r="K53" s="4"/>
    </row>
    <row r="54" spans="1:11" s="1" customFormat="1" ht="11.5" x14ac:dyDescent="0.25">
      <c r="A54" s="141" t="s">
        <v>109</v>
      </c>
      <c r="B54" s="2"/>
      <c r="C54" s="2"/>
      <c r="D54" s="2"/>
      <c r="E54" s="2"/>
      <c r="F54" s="2"/>
      <c r="G54" s="2"/>
      <c r="H54" s="2"/>
      <c r="I54" s="27"/>
      <c r="J54" s="110"/>
      <c r="K54" s="4"/>
    </row>
    <row r="55" spans="1:11" s="1" customFormat="1" ht="11.5" x14ac:dyDescent="0.25">
      <c r="A55" s="26" t="s">
        <v>41</v>
      </c>
      <c r="B55" s="2"/>
      <c r="C55" s="2"/>
      <c r="D55" s="2"/>
      <c r="E55" s="2"/>
      <c r="F55" s="2"/>
      <c r="G55" s="2"/>
      <c r="H55" s="2"/>
      <c r="I55" s="27"/>
      <c r="J55" s="110"/>
      <c r="K55" s="4"/>
    </row>
    <row r="56" spans="1:11" s="1" customFormat="1" ht="11.5" x14ac:dyDescent="0.25">
      <c r="A56" s="141" t="s">
        <v>110</v>
      </c>
      <c r="B56" s="2"/>
      <c r="C56" s="2"/>
      <c r="D56" s="2"/>
      <c r="E56" s="2"/>
      <c r="F56" s="2"/>
      <c r="G56" s="2"/>
      <c r="H56" s="2"/>
      <c r="I56" s="27"/>
      <c r="J56" s="110"/>
      <c r="K56" s="4"/>
    </row>
    <row r="57" spans="1:11" s="1" customFormat="1" ht="11.5" x14ac:dyDescent="0.25">
      <c r="A57" s="26" t="s">
        <v>42</v>
      </c>
      <c r="B57" s="2"/>
      <c r="C57" s="2"/>
      <c r="D57" s="2"/>
      <c r="E57" s="2"/>
      <c r="F57" s="2"/>
      <c r="G57" s="2"/>
      <c r="H57" s="2"/>
      <c r="I57" s="27"/>
      <c r="J57" s="110"/>
      <c r="K57" s="4"/>
    </row>
    <row r="58" spans="1:11" s="1" customFormat="1" ht="11.5" x14ac:dyDescent="0.25">
      <c r="A58" s="141" t="s">
        <v>111</v>
      </c>
      <c r="B58" s="2"/>
      <c r="C58" s="2"/>
      <c r="D58" s="2"/>
      <c r="E58" s="2"/>
      <c r="F58" s="2"/>
      <c r="G58" s="2"/>
      <c r="H58" s="2"/>
      <c r="I58" s="27"/>
      <c r="J58" s="110"/>
      <c r="K58" s="4"/>
    </row>
    <row r="59" spans="1:11" s="1" customFormat="1" ht="11.5" x14ac:dyDescent="0.25">
      <c r="A59" s="26" t="s">
        <v>44</v>
      </c>
      <c r="B59" s="2" t="s">
        <v>77</v>
      </c>
      <c r="C59" s="2"/>
      <c r="D59" s="2"/>
      <c r="E59" s="2"/>
      <c r="F59" s="2"/>
      <c r="G59" s="2"/>
      <c r="H59" s="2"/>
      <c r="I59" s="27"/>
      <c r="J59" s="110"/>
      <c r="K59" s="4"/>
    </row>
    <row r="60" spans="1:11" s="1" customFormat="1" ht="12" thickBot="1" x14ac:dyDescent="0.3">
      <c r="A60" s="28"/>
      <c r="B60" s="5"/>
      <c r="C60" s="5"/>
      <c r="D60" s="5"/>
      <c r="E60" s="5"/>
      <c r="F60" s="5"/>
      <c r="G60" s="5"/>
      <c r="H60" s="5"/>
      <c r="I60" s="29"/>
      <c r="J60" s="114"/>
      <c r="K60" s="4"/>
    </row>
    <row r="61" spans="1:11" s="1" customFormat="1" thickTop="1" thickBot="1" x14ac:dyDescent="0.3">
      <c r="A61" s="20"/>
      <c r="B61" s="21" t="s">
        <v>43</v>
      </c>
      <c r="C61" s="9"/>
      <c r="D61" s="9"/>
      <c r="E61" s="9"/>
      <c r="F61" s="9"/>
      <c r="G61" s="9"/>
      <c r="H61" s="125"/>
      <c r="I61" s="30">
        <f>SUM(I47:I60)</f>
        <v>100</v>
      </c>
      <c r="J61" s="112"/>
      <c r="K61" s="4"/>
    </row>
    <row r="62" spans="1:11" s="1" customFormat="1" thickTop="1" thickBot="1" x14ac:dyDescent="0.3">
      <c r="A62" s="20"/>
      <c r="B62" s="21" t="s">
        <v>94</v>
      </c>
      <c r="C62" s="9"/>
      <c r="D62" s="9"/>
      <c r="E62" s="9"/>
      <c r="F62" s="9"/>
      <c r="G62" s="9"/>
      <c r="H62" s="128"/>
      <c r="I62" s="30">
        <f>I44+I61</f>
        <v>796.07999999999993</v>
      </c>
      <c r="J62" s="112"/>
      <c r="K62" s="4"/>
    </row>
    <row r="63" spans="1:11" s="92" customFormat="1" ht="15.75" customHeight="1" thickTop="1" thickBot="1" x14ac:dyDescent="0.35">
      <c r="A63" s="115"/>
      <c r="B63" s="116" t="s">
        <v>89</v>
      </c>
      <c r="C63" s="117"/>
      <c r="D63" s="117"/>
      <c r="E63" s="117"/>
      <c r="F63" s="117"/>
      <c r="G63" s="118"/>
      <c r="H63" s="128"/>
      <c r="I63" s="102">
        <f>I62*0.5</f>
        <v>398.03999999999996</v>
      </c>
      <c r="J63" s="112"/>
      <c r="K63" s="91"/>
    </row>
    <row r="64" spans="1:11" s="92" customFormat="1" ht="15.75" customHeight="1" thickTop="1" thickBot="1" x14ac:dyDescent="0.35">
      <c r="A64" s="115"/>
      <c r="B64" s="116" t="s">
        <v>148</v>
      </c>
      <c r="C64" s="117"/>
      <c r="D64" s="117"/>
      <c r="E64" s="117"/>
      <c r="F64" s="117"/>
      <c r="G64" s="118"/>
      <c r="H64" s="91"/>
      <c r="I64" s="204">
        <f>I63/I62</f>
        <v>0.5</v>
      </c>
      <c r="J64" s="121"/>
      <c r="K64" s="91"/>
    </row>
    <row r="65" spans="1:11" s="92" customFormat="1" ht="13" thickTop="1" thickBot="1" x14ac:dyDescent="0.35">
      <c r="A65" s="115"/>
      <c r="B65" s="116" t="s">
        <v>90</v>
      </c>
      <c r="C65" s="117"/>
      <c r="D65" s="117"/>
      <c r="E65" s="117"/>
      <c r="F65" s="117"/>
      <c r="G65" s="119" t="s">
        <v>78</v>
      </c>
      <c r="H65" s="120"/>
      <c r="I65" s="102">
        <f>SUM(I44+I61+I63)</f>
        <v>1194.1199999999999</v>
      </c>
      <c r="J65" s="121"/>
      <c r="K65" s="91"/>
    </row>
    <row r="66" spans="1:11" ht="14" thickTop="1" thickBot="1" x14ac:dyDescent="0.35">
      <c r="A66" s="152"/>
      <c r="B66" s="130" t="s">
        <v>91</v>
      </c>
      <c r="C66" s="131"/>
      <c r="D66" s="131"/>
      <c r="E66" s="131"/>
      <c r="F66" s="131"/>
      <c r="G66" s="131"/>
      <c r="H66" s="131"/>
      <c r="I66" s="131"/>
      <c r="J66" s="144">
        <f>J4-I65</f>
        <v>555.88000000000011</v>
      </c>
    </row>
    <row r="67" spans="1:11" ht="14" thickTop="1" thickBot="1" x14ac:dyDescent="0.35">
      <c r="A67" s="202"/>
      <c r="B67" s="194" t="s">
        <v>141</v>
      </c>
      <c r="C67" s="193"/>
      <c r="D67" s="193"/>
      <c r="E67" s="193"/>
      <c r="F67" s="193"/>
      <c r="G67" s="193"/>
      <c r="H67" s="193"/>
      <c r="I67" s="193"/>
      <c r="J67" s="195">
        <f>J66/J4</f>
        <v>0.31764571428571436</v>
      </c>
    </row>
    <row r="68" spans="1:11" ht="13" thickTop="1" x14ac:dyDescent="0.25"/>
  </sheetData>
  <mergeCells count="1">
    <mergeCell ref="B9:C9"/>
  </mergeCells>
  <pageMargins left="0.75" right="0.75" top="1" bottom="1" header="0.5" footer="0.5"/>
  <pageSetup paperSize="9" scale="79" orientation="portrait" r:id="rId1"/>
  <headerFooter alignWithMargins="0">
    <oddHeader>&amp;RCommercial in confidence</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Project summary</vt:lpstr>
      <vt:lpstr>Staffing plan</vt:lpstr>
      <vt:lpstr>Financial summary</vt:lpstr>
      <vt:lpstr>'Financial summary'!Print_Area</vt:lpstr>
      <vt:lpstr>'Project summary'!Print_Area</vt:lpstr>
    </vt:vector>
  </TitlesOfParts>
  <Company>Bournemouth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June Stevenson</dc:creator>
  <cp:lastModifiedBy>Carina Negreanu</cp:lastModifiedBy>
  <cp:lastPrinted>2003-03-14T13:30:54Z</cp:lastPrinted>
  <dcterms:created xsi:type="dcterms:W3CDTF">2000-09-13T09:09:11Z</dcterms:created>
  <dcterms:modified xsi:type="dcterms:W3CDTF">2020-01-27T11:15:01Z</dcterms:modified>
</cp:coreProperties>
</file>