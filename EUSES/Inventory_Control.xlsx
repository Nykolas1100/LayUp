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887A59-9956-4B71-AA6D-90F33114C4C5}" xr6:coauthVersionLast="45" xr6:coauthVersionMax="45" xr10:uidLastSave="{00000000-0000-0000-0000-000000000000}"/>
  <bookViews>
    <workbookView xWindow="3420" yWindow="3420" windowWidth="28800" windowHeight="15460"/>
  </bookViews>
  <sheets>
    <sheet name="EOQ" sheetId="1" r:id="rId1"/>
    <sheet name="EPLS" sheetId="2" r:id="rId2"/>
    <sheet name="InvApprox" sheetId="3" r:id="rId3"/>
    <sheet name="Discount" sheetId="4" r:id="rId4"/>
  </sheets>
  <definedNames>
    <definedName name="TABLE">EOQ!$C$51:$G$141</definedName>
    <definedName name="z">EOQ!$H$46</definedName>
  </definedNames>
  <calcPr calcId="0"/>
</workbook>
</file>

<file path=xl/calcChain.xml><?xml version="1.0" encoding="utf-8"?>
<calcChain xmlns="http://schemas.openxmlformats.org/spreadsheetml/2006/main">
  <c r="D15" i="1" l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3" i="1"/>
  <c r="D44" i="1"/>
  <c r="F44" i="1"/>
  <c r="H44" i="1"/>
  <c r="D45" i="1"/>
  <c r="F45" i="1"/>
  <c r="H45" i="1"/>
  <c r="D46" i="1"/>
  <c r="F46" i="1"/>
  <c r="H46" i="1"/>
  <c r="D11" i="2"/>
  <c r="D20" i="2"/>
  <c r="D21" i="2"/>
  <c r="D22" i="2"/>
  <c r="D23" i="2"/>
  <c r="D24" i="2"/>
  <c r="D25" i="2"/>
  <c r="D26" i="2"/>
  <c r="D27" i="2"/>
</calcChain>
</file>

<file path=xl/sharedStrings.xml><?xml version="1.0" encoding="utf-8"?>
<sst xmlns="http://schemas.openxmlformats.org/spreadsheetml/2006/main" count="167" uniqueCount="97">
  <si>
    <t>Chase, Aquilano and Jacobs</t>
  </si>
  <si>
    <t>Economic Order Quantity Model</t>
  </si>
  <si>
    <t>OBJECTIVE:</t>
  </si>
  <si>
    <t>This template can be used to calculate different values</t>
  </si>
  <si>
    <t>for an EOQ model.  It can also be used for models involving</t>
  </si>
  <si>
    <t>stochastic demand patterns.</t>
  </si>
  <si>
    <t>INPUT:</t>
  </si>
  <si>
    <t>Annual Demand: D/year</t>
  </si>
  <si>
    <t>Annual Production Rate: P/year</t>
  </si>
  <si>
    <t>Unit Cost: C</t>
  </si>
  <si>
    <t>Inventory charge (% of unit cost): i</t>
  </si>
  <si>
    <t>Holding cost: H (if not given,H = i*C)</t>
  </si>
  <si>
    <t>Ordering Cost: S</t>
  </si>
  <si>
    <t>Length of year: N(months,weeks,days)</t>
  </si>
  <si>
    <t>demand per (month,week,day): d</t>
  </si>
  <si>
    <t>Production rate per (month,week,day): p</t>
  </si>
  <si>
    <t>Std. Deviation/(month,week,day): sigma(d)</t>
  </si>
  <si>
    <t>Lead TimeL L(months,weeks,days))</t>
  </si>
  <si>
    <t>Lead-time Standard Deviation: sigma(L)</t>
  </si>
  <si>
    <t>Service Level, P</t>
  </si>
  <si>
    <t>Safety Stock(if given)</t>
  </si>
  <si>
    <t>OUTPUT:</t>
  </si>
  <si>
    <t>a.</t>
  </si>
  <si>
    <t>Optimal Order Quantity</t>
  </si>
  <si>
    <t>=</t>
  </si>
  <si>
    <t>b.</t>
  </si>
  <si>
    <t>Annual Inventory Holding Cost</t>
  </si>
  <si>
    <t>c.</t>
  </si>
  <si>
    <t>Annual Ordering Cost</t>
  </si>
  <si>
    <t>Annual Unit Cost</t>
  </si>
  <si>
    <t>d.</t>
  </si>
  <si>
    <t>Total  Cost</t>
  </si>
  <si>
    <t>e.</t>
  </si>
  <si>
    <t>Expected # of units short per order cycle: E(z)</t>
  </si>
  <si>
    <t>f.</t>
  </si>
  <si>
    <t>Safety Factor - z: (use E(z) &amp; table below)</t>
  </si>
  <si>
    <t>g.</t>
  </si>
  <si>
    <t>Cycle Time - T(in days)</t>
  </si>
  <si>
    <t>Number of Orders per year</t>
  </si>
  <si>
    <t>h.</t>
  </si>
  <si>
    <t>Reorder Point, R</t>
  </si>
  <si>
    <t>Safety Stock</t>
  </si>
  <si>
    <t>Length of a production run</t>
  </si>
  <si>
    <t>period of pure consumption</t>
  </si>
  <si>
    <t>Preliminary calculations for linear interpolation to obtain Z</t>
  </si>
  <si>
    <t>E(z) =</t>
  </si>
  <si>
    <t>Hi z =</t>
  </si>
  <si>
    <t>Diff =</t>
  </si>
  <si>
    <t xml:space="preserve">Lo z = </t>
  </si>
  <si>
    <t>% =</t>
  </si>
  <si>
    <t>z =</t>
  </si>
  <si>
    <t xml:space="preserve">Expected Number Out of Stock versus Standard Deviation </t>
  </si>
  <si>
    <t xml:space="preserve"> (Normalized to a Standard Deviation of 1)</t>
  </si>
  <si>
    <t>E(z)</t>
  </si>
  <si>
    <t>z</t>
  </si>
  <si>
    <t>INPUT</t>
  </si>
  <si>
    <t>#11</t>
  </si>
  <si>
    <t>D/year</t>
  </si>
  <si>
    <t>P/year</t>
  </si>
  <si>
    <t>C</t>
  </si>
  <si>
    <t>i</t>
  </si>
  <si>
    <t>H (if not given,H = i*C)</t>
  </si>
  <si>
    <t>S</t>
  </si>
  <si>
    <t>N(months,weeks,days)</t>
  </si>
  <si>
    <t>d(avg)/(month,week,day)</t>
  </si>
  <si>
    <t>p/(month,week,day)</t>
  </si>
  <si>
    <t>OUTPUT</t>
  </si>
  <si>
    <t>Annual Holding &amp; Order Cost</t>
  </si>
  <si>
    <t>Expected Number Out of Stock versus Standard Deviation (normalized to a standard deviation of 1)</t>
  </si>
  <si>
    <t>D</t>
  </si>
  <si>
    <t>c(o)</t>
  </si>
  <si>
    <t>I</t>
  </si>
  <si>
    <t>c</t>
  </si>
  <si>
    <t>c(h)</t>
  </si>
  <si>
    <t>100-interval</t>
  </si>
  <si>
    <t>40-interval</t>
  </si>
  <si>
    <t>10-interval</t>
  </si>
  <si>
    <t>1-interval</t>
  </si>
  <si>
    <t xml:space="preserve">Order </t>
  </si>
  <si>
    <t>Total</t>
  </si>
  <si>
    <t>Quantity</t>
  </si>
  <si>
    <t>Cost</t>
  </si>
  <si>
    <t>Discount</t>
  </si>
  <si>
    <t>Unit</t>
  </si>
  <si>
    <t>Order</t>
  </si>
  <si>
    <t>Annual</t>
  </si>
  <si>
    <t xml:space="preserve">Annual </t>
  </si>
  <si>
    <t>Category</t>
  </si>
  <si>
    <t>Holding</t>
  </si>
  <si>
    <t>Inventory</t>
  </si>
  <si>
    <t>Ordering</t>
  </si>
  <si>
    <t>Purchase</t>
  </si>
  <si>
    <t>C(h)</t>
  </si>
  <si>
    <t>Q*</t>
  </si>
  <si>
    <t>AIHC</t>
  </si>
  <si>
    <t>AOC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</si>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</sst>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5" formatCode="&quot;$&quot;#,##0.00;[Red]\-&quot;$&quot;#,##0.00"/>
    <numFmt numFmtId="178" formatCode="0.000"/>
    <numFmt numFmtId="179" formatCode="0.0000"/>
    <numFmt numFmtId="180" formatCode="0.0"/>
  </numFmts>
  <fonts count="5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75" fontId="1" fillId="0" borderId="0" xfId="0" applyNumberFormat="1" applyFont="1"/>
    <xf numFmtId="175" fontId="0" fillId="0" borderId="0" xfId="0" applyNumberFormat="1"/>
    <xf numFmtId="0" fontId="0" fillId="0" borderId="0" xfId="0" quotePrefix="1"/>
    <xf numFmtId="175" fontId="0" fillId="0" borderId="0" xfId="0" quotePrefix="1" applyNumberFormat="1"/>
    <xf numFmtId="175" fontId="1" fillId="0" borderId="0" xfId="0" quotePrefix="1" applyNumberFormat="1" applyFont="1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78" fontId="0" fillId="0" borderId="2" xfId="0" applyNumberFormat="1" applyBorder="1"/>
    <xf numFmtId="2" fontId="0" fillId="0" borderId="3" xfId="0" applyNumberFormat="1" applyBorder="1"/>
    <xf numFmtId="178" fontId="0" fillId="0" borderId="4" xfId="0" applyNumberFormat="1" applyBorder="1"/>
    <xf numFmtId="2" fontId="0" fillId="0" borderId="5" xfId="0" applyNumberFormat="1" applyBorder="1"/>
    <xf numFmtId="178" fontId="0" fillId="0" borderId="6" xfId="0" applyNumberFormat="1" applyBorder="1"/>
    <xf numFmtId="2" fontId="0" fillId="0" borderId="7" xfId="0" applyNumberFormat="1" applyBorder="1"/>
    <xf numFmtId="0" fontId="0" fillId="0" borderId="2" xfId="0" applyBorder="1"/>
    <xf numFmtId="0" fontId="3" fillId="0" borderId="0" xfId="0" applyFont="1" applyAlignment="1">
      <alignment horizontal="center"/>
    </xf>
    <xf numFmtId="0" fontId="1" fillId="0" borderId="8" xfId="0" applyFont="1" applyBorder="1"/>
    <xf numFmtId="0" fontId="0" fillId="0" borderId="8" xfId="0" applyBorder="1"/>
    <xf numFmtId="175" fontId="0" fillId="0" borderId="0" xfId="0" applyNumberFormat="1" applyAlignment="1">
      <alignment horizontal="right"/>
    </xf>
    <xf numFmtId="0" fontId="0" fillId="0" borderId="8" xfId="0" applyBorder="1" applyAlignment="1">
      <alignment horizontal="right"/>
    </xf>
    <xf numFmtId="1" fontId="0" fillId="0" borderId="0" xfId="0" applyNumberFormat="1" applyAlignment="1">
      <alignment horizontal="right"/>
    </xf>
    <xf numFmtId="179" fontId="0" fillId="0" borderId="0" xfId="0" applyNumberFormat="1"/>
    <xf numFmtId="180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/>
    <xf numFmtId="175" fontId="2" fillId="0" borderId="0" xfId="0" applyNumberFormat="1" applyFont="1"/>
    <xf numFmtId="0" fontId="2" fillId="0" borderId="8" xfId="0" applyFont="1" applyBorder="1"/>
    <xf numFmtId="0" fontId="4" fillId="0" borderId="0" xfId="0" applyFont="1" applyAlignment="1">
      <alignment horizontal="left"/>
    </xf>
    <xf numFmtId="0" fontId="0" fillId="2" borderId="0" xfId="0" applyFill="1" applyAlignment="1" applyProtection="1">
      <alignment horizontal="right"/>
      <protection locked="0"/>
    </xf>
    <xf numFmtId="175" fontId="0" fillId="2" borderId="0" xfId="0" applyNumberFormat="1" applyFill="1" applyAlignment="1" applyProtection="1">
      <alignment horizontal="right"/>
      <protection locked="0"/>
    </xf>
    <xf numFmtId="0" fontId="0" fillId="2" borderId="8" xfId="0" applyFill="1" applyBorder="1" applyAlignment="1" applyProtection="1">
      <alignment horizontal="right"/>
      <protection locked="0"/>
    </xf>
    <xf numFmtId="0" fontId="0" fillId="2" borderId="0" xfId="0" applyFill="1" applyProtection="1"/>
    <xf numFmtId="0" fontId="0" fillId="2" borderId="0" xfId="0" applyFill="1" applyProtection="1">
      <protection locked="0"/>
    </xf>
    <xf numFmtId="175" fontId="0" fillId="2" borderId="0" xfId="0" applyNumberFormat="1" applyFill="1" applyProtection="1">
      <protection locked="0"/>
    </xf>
    <xf numFmtId="0" fontId="0" fillId="2" borderId="8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abSelected="1" workbookViewId="0">
      <selection activeCell="B1" sqref="B1"/>
    </sheetView>
  </sheetViews>
  <sheetFormatPr defaultRowHeight="13" x14ac:dyDescent="0.3"/>
  <cols>
    <col min="1" max="1" width="3.36328125" customWidth="1"/>
    <col min="2" max="2" width="39.08984375" style="1" customWidth="1"/>
    <col min="4" max="4" width="11.08984375" customWidth="1"/>
  </cols>
  <sheetData>
    <row r="1" spans="2:9" x14ac:dyDescent="0.3">
      <c r="B1" s="1" t="s">
        <v>0</v>
      </c>
    </row>
    <row r="2" spans="2:9" x14ac:dyDescent="0.3">
      <c r="B2" s="1" t="s">
        <v>1</v>
      </c>
    </row>
    <row r="3" spans="2:9" ht="12.5" x14ac:dyDescent="0.25">
      <c r="B3"/>
    </row>
    <row r="4" spans="2:9" x14ac:dyDescent="0.3">
      <c r="B4" s="1" t="s">
        <v>2</v>
      </c>
    </row>
    <row r="5" spans="2:9" ht="12.5" x14ac:dyDescent="0.25">
      <c r="B5" s="29" t="s">
        <v>3</v>
      </c>
    </row>
    <row r="6" spans="2:9" ht="12.5" x14ac:dyDescent="0.25">
      <c r="B6" s="29" t="s">
        <v>4</v>
      </c>
    </row>
    <row r="7" spans="2:9" ht="12.5" x14ac:dyDescent="0.25">
      <c r="B7" s="29" t="s">
        <v>5</v>
      </c>
    </row>
    <row r="9" spans="2:9" x14ac:dyDescent="0.3">
      <c r="B9" s="32" t="s">
        <v>6</v>
      </c>
    </row>
    <row r="10" spans="2:9" s="1" customFormat="1" x14ac:dyDescent="0.3">
      <c r="C10"/>
      <c r="D10" s="11"/>
      <c r="E10" s="11"/>
      <c r="F10" s="11"/>
      <c r="G10" s="11"/>
      <c r="H10" s="11"/>
    </row>
    <row r="11" spans="2:9" ht="12.5" x14ac:dyDescent="0.25">
      <c r="B11" s="29" t="s">
        <v>7</v>
      </c>
      <c r="D11" s="33">
        <v>500</v>
      </c>
      <c r="E11" s="10"/>
      <c r="F11" s="10"/>
      <c r="G11" s="10"/>
      <c r="H11" s="10"/>
    </row>
    <row r="12" spans="2:9" ht="12.5" x14ac:dyDescent="0.25">
      <c r="B12" s="29" t="s">
        <v>8</v>
      </c>
      <c r="D12" s="33"/>
      <c r="E12" s="10"/>
      <c r="F12" s="10"/>
      <c r="G12" s="10"/>
      <c r="H12" s="10"/>
    </row>
    <row r="13" spans="2:9" s="3" customFormat="1" ht="12.5" x14ac:dyDescent="0.25">
      <c r="B13" s="30" t="s">
        <v>9</v>
      </c>
      <c r="C13"/>
      <c r="D13" s="34">
        <v>300</v>
      </c>
      <c r="E13" s="23"/>
      <c r="F13" s="23"/>
      <c r="G13" s="23"/>
      <c r="H13" s="23"/>
    </row>
    <row r="14" spans="2:9" ht="12.5" x14ac:dyDescent="0.25">
      <c r="B14" s="29" t="s">
        <v>10</v>
      </c>
      <c r="D14" s="33">
        <v>0.2</v>
      </c>
      <c r="E14" s="10"/>
      <c r="F14" s="10"/>
      <c r="G14" s="10"/>
      <c r="H14" s="10"/>
    </row>
    <row r="15" spans="2:9" s="3" customFormat="1" ht="12.5" x14ac:dyDescent="0.25">
      <c r="B15" s="30" t="s">
        <v>11</v>
      </c>
      <c r="C15"/>
      <c r="D15" s="34">
        <f>D13*D14</f>
        <v>60</v>
      </c>
      <c r="E15" s="23"/>
      <c r="F15" s="23"/>
      <c r="G15" s="23"/>
      <c r="H15" s="23"/>
      <c r="I15" s="5"/>
    </row>
    <row r="16" spans="2:9" s="3" customFormat="1" ht="12.5" x14ac:dyDescent="0.25">
      <c r="B16" s="30" t="s">
        <v>12</v>
      </c>
      <c r="C16"/>
      <c r="D16" s="34">
        <v>30</v>
      </c>
      <c r="E16" s="23"/>
      <c r="F16" s="23"/>
      <c r="G16" s="23"/>
      <c r="H16" s="23"/>
    </row>
    <row r="17" spans="1:9" ht="12.5" x14ac:dyDescent="0.25">
      <c r="B17" s="29" t="s">
        <v>13</v>
      </c>
      <c r="D17" s="33">
        <v>12</v>
      </c>
      <c r="E17" s="10"/>
      <c r="F17" s="10"/>
      <c r="G17" s="10"/>
      <c r="H17" s="10"/>
    </row>
    <row r="18" spans="1:9" ht="12.5" x14ac:dyDescent="0.25">
      <c r="B18" s="29" t="s">
        <v>14</v>
      </c>
      <c r="D18" s="33">
        <v>10</v>
      </c>
      <c r="E18" s="10"/>
      <c r="F18" s="10"/>
      <c r="G18" s="10"/>
      <c r="H18" s="10"/>
    </row>
    <row r="19" spans="1:9" ht="12.5" x14ac:dyDescent="0.25">
      <c r="B19" s="29" t="s">
        <v>15</v>
      </c>
      <c r="D19" s="33">
        <v>12</v>
      </c>
      <c r="E19" s="10"/>
      <c r="F19" s="10"/>
      <c r="G19" s="10"/>
      <c r="H19" s="10"/>
    </row>
    <row r="20" spans="1:9" ht="12.5" x14ac:dyDescent="0.25">
      <c r="B20" s="29" t="s">
        <v>16</v>
      </c>
      <c r="D20" s="33">
        <v>10</v>
      </c>
      <c r="E20" s="10"/>
      <c r="F20" s="10"/>
      <c r="G20" s="10"/>
      <c r="H20" s="10"/>
    </row>
    <row r="21" spans="1:9" ht="12.5" x14ac:dyDescent="0.25">
      <c r="B21" s="29" t="s">
        <v>17</v>
      </c>
      <c r="D21" s="33">
        <v>1</v>
      </c>
      <c r="E21" s="10"/>
      <c r="F21" s="10"/>
      <c r="G21" s="10"/>
      <c r="H21" s="10"/>
    </row>
    <row r="22" spans="1:9" ht="12.5" x14ac:dyDescent="0.25">
      <c r="B22" s="29" t="s">
        <v>18</v>
      </c>
      <c r="D22" s="33">
        <v>1</v>
      </c>
      <c r="E22" s="10"/>
      <c r="F22" s="10"/>
      <c r="G22" s="10"/>
      <c r="H22" s="10"/>
    </row>
    <row r="23" spans="1:9" ht="12.5" x14ac:dyDescent="0.25">
      <c r="B23" s="29" t="s">
        <v>19</v>
      </c>
      <c r="D23" s="33">
        <v>1</v>
      </c>
      <c r="E23" s="10"/>
      <c r="F23" s="10"/>
      <c r="G23" s="10"/>
      <c r="H23" s="10"/>
    </row>
    <row r="24" spans="1:9" thickBot="1" x14ac:dyDescent="0.3">
      <c r="B24" s="31" t="s">
        <v>20</v>
      </c>
      <c r="C24" s="22"/>
      <c r="D24" s="35">
        <v>1</v>
      </c>
      <c r="E24" s="24"/>
      <c r="F24" s="24"/>
      <c r="G24" s="24"/>
      <c r="H24" s="24"/>
      <c r="I24" s="22"/>
    </row>
    <row r="25" spans="1:9" x14ac:dyDescent="0.3">
      <c r="B25" s="32" t="s">
        <v>21</v>
      </c>
      <c r="D25" s="10"/>
      <c r="E25" s="10"/>
      <c r="F25" s="10"/>
      <c r="G25" s="10"/>
      <c r="H25" s="10"/>
    </row>
    <row r="26" spans="1:9" ht="12.5" x14ac:dyDescent="0.25">
      <c r="A26" t="s">
        <v>22</v>
      </c>
      <c r="B26" s="29" t="s">
        <v>23</v>
      </c>
      <c r="C26" s="4" t="s">
        <v>24</v>
      </c>
      <c r="D26" s="9">
        <f>SQRT((2*D16*D11)/(D15))</f>
        <v>22.360679774997898</v>
      </c>
      <c r="E26" s="10"/>
      <c r="F26" s="10"/>
      <c r="G26" s="10"/>
      <c r="H26" s="10"/>
    </row>
    <row r="27" spans="1:9" ht="12.5" x14ac:dyDescent="0.25">
      <c r="A27" t="s">
        <v>25</v>
      </c>
      <c r="B27" s="29" t="s">
        <v>26</v>
      </c>
      <c r="C27" s="4" t="s">
        <v>24</v>
      </c>
      <c r="D27" s="23">
        <f>IF($D$26=0,0,0.5*D26*D15)</f>
        <v>670.82039324993696</v>
      </c>
      <c r="E27" s="23"/>
      <c r="F27" s="23"/>
      <c r="G27" s="23"/>
      <c r="H27" s="10"/>
    </row>
    <row r="28" spans="1:9" ht="12.5" x14ac:dyDescent="0.25">
      <c r="A28" t="s">
        <v>27</v>
      </c>
      <c r="B28" s="29" t="s">
        <v>28</v>
      </c>
      <c r="C28" s="4" t="s">
        <v>24</v>
      </c>
      <c r="D28" s="23">
        <f>IF(($D$26=0),0,(D16*D11/D26))</f>
        <v>670.82039324993684</v>
      </c>
      <c r="E28" s="23"/>
      <c r="F28" s="23"/>
      <c r="G28" s="23"/>
      <c r="H28" s="10"/>
    </row>
    <row r="29" spans="1:9" ht="12.5" x14ac:dyDescent="0.25">
      <c r="B29" s="29" t="s">
        <v>29</v>
      </c>
      <c r="C29" s="4" t="s">
        <v>24</v>
      </c>
      <c r="D29" s="23">
        <f>IF($D$11=0,0,D11*D13)</f>
        <v>150000</v>
      </c>
      <c r="E29" s="23"/>
      <c r="F29" s="23"/>
      <c r="G29" s="23"/>
      <c r="H29" s="10"/>
    </row>
    <row r="30" spans="1:9" ht="12.5" x14ac:dyDescent="0.25">
      <c r="A30" t="s">
        <v>30</v>
      </c>
      <c r="B30" s="29" t="s">
        <v>31</v>
      </c>
      <c r="C30" s="4" t="s">
        <v>24</v>
      </c>
      <c r="D30" s="23">
        <f>SUM(D27:D29)</f>
        <v>151341.64078649986</v>
      </c>
      <c r="E30" s="23"/>
      <c r="F30" s="23"/>
      <c r="G30" s="23"/>
      <c r="H30" s="10"/>
    </row>
    <row r="31" spans="1:9" ht="12.5" x14ac:dyDescent="0.25">
      <c r="A31" t="s">
        <v>32</v>
      </c>
      <c r="B31" s="29" t="s">
        <v>33</v>
      </c>
      <c r="C31" s="4" t="s">
        <v>24</v>
      </c>
      <c r="D31" s="9">
        <f>IF(D22&gt;0,(1-D23)*D26/D22,"N/A")</f>
        <v>0</v>
      </c>
      <c r="E31" s="9"/>
      <c r="F31" s="9"/>
      <c r="G31" s="9"/>
      <c r="H31" s="10"/>
    </row>
    <row r="32" spans="1:9" ht="12.5" x14ac:dyDescent="0.25">
      <c r="A32" t="s">
        <v>34</v>
      </c>
      <c r="B32" s="29" t="s">
        <v>35</v>
      </c>
      <c r="C32" s="4" t="s">
        <v>24</v>
      </c>
      <c r="D32" s="9">
        <f>IF(ISNA(z),"N/A",z)</f>
        <v>4.2</v>
      </c>
      <c r="E32" s="10"/>
      <c r="F32" s="10"/>
      <c r="G32" s="10"/>
      <c r="H32" s="10"/>
    </row>
    <row r="33" spans="1:8" ht="12.5" x14ac:dyDescent="0.25">
      <c r="A33" t="s">
        <v>36</v>
      </c>
      <c r="B33" s="29" t="s">
        <v>37</v>
      </c>
      <c r="C33" s="4" t="s">
        <v>24</v>
      </c>
      <c r="D33" s="9">
        <f>D17*D26/D11</f>
        <v>0.53665631459994956</v>
      </c>
      <c r="E33" s="9"/>
      <c r="F33" s="9"/>
      <c r="G33" s="9"/>
      <c r="H33" s="10"/>
    </row>
    <row r="34" spans="1:8" ht="12.5" x14ac:dyDescent="0.25">
      <c r="B34" s="29" t="s">
        <v>38</v>
      </c>
      <c r="C34" s="4" t="s">
        <v>24</v>
      </c>
      <c r="D34" s="25">
        <f>D11/D26</f>
        <v>22.360679774997894</v>
      </c>
      <c r="E34" s="25"/>
      <c r="F34" s="25"/>
      <c r="G34" s="25"/>
      <c r="H34" s="10"/>
    </row>
    <row r="35" spans="1:8" ht="12.5" x14ac:dyDescent="0.25">
      <c r="A35" t="s">
        <v>39</v>
      </c>
      <c r="B35" s="29" t="s">
        <v>40</v>
      </c>
      <c r="C35" s="4" t="s">
        <v>24</v>
      </c>
      <c r="D35" s="9">
        <f>IF(D32="N/A","N/A",IF(D24&gt;0,(D18*D21+D24),(D18*D21+D22*D32)))</f>
        <v>11</v>
      </c>
      <c r="E35" s="10"/>
      <c r="F35" s="10"/>
      <c r="G35" s="10"/>
      <c r="H35" s="10"/>
    </row>
    <row r="36" spans="1:8" ht="12" customHeight="1" x14ac:dyDescent="0.25">
      <c r="B36" s="29" t="s">
        <v>41</v>
      </c>
      <c r="C36" s="4" t="s">
        <v>24</v>
      </c>
      <c r="D36" s="10">
        <f>IF($D$32="N/A", "N/A",D32*D22)</f>
        <v>4.2</v>
      </c>
      <c r="E36" s="10"/>
      <c r="F36" s="10"/>
      <c r="G36" s="10"/>
      <c r="H36" s="10"/>
    </row>
    <row r="37" spans="1:8" ht="12" customHeight="1" x14ac:dyDescent="0.25">
      <c r="B37" s="29" t="s">
        <v>42</v>
      </c>
      <c r="C37" s="4" t="s">
        <v>24</v>
      </c>
      <c r="D37" s="10" t="str">
        <f>IF($D$12=0,"N/A",$D$26*$D$17/$D$12)</f>
        <v>N/A</v>
      </c>
      <c r="E37" s="10"/>
      <c r="F37" s="10"/>
      <c r="G37" s="10"/>
      <c r="H37" s="10"/>
    </row>
    <row r="38" spans="1:8" ht="12" customHeight="1" x14ac:dyDescent="0.25">
      <c r="B38" s="29" t="s">
        <v>43</v>
      </c>
      <c r="C38" s="4" t="s">
        <v>24</v>
      </c>
      <c r="D38" s="10" t="str">
        <f>IF($D$12=0,"N/A",$D$33-$D$37)</f>
        <v>N/A</v>
      </c>
      <c r="E38" s="10"/>
      <c r="F38" s="10"/>
      <c r="G38" s="10"/>
      <c r="H38" s="10"/>
    </row>
    <row r="39" spans="1:8" ht="12" customHeight="1" x14ac:dyDescent="0.3">
      <c r="C39" s="4"/>
      <c r="D39" s="10"/>
      <c r="E39" s="10"/>
      <c r="F39" s="10"/>
      <c r="G39" s="10"/>
      <c r="H39" s="10"/>
    </row>
    <row r="40" spans="1:8" ht="12" customHeight="1" x14ac:dyDescent="0.3">
      <c r="C40" s="4"/>
      <c r="D40" s="10"/>
      <c r="E40" s="10"/>
      <c r="F40" s="10"/>
      <c r="G40" s="10"/>
      <c r="H40" s="10"/>
    </row>
    <row r="41" spans="1:8" ht="12" customHeight="1" x14ac:dyDescent="0.3">
      <c r="C41" s="4"/>
      <c r="D41" s="10"/>
      <c r="E41" s="10"/>
      <c r="F41" s="10"/>
      <c r="G41" s="10"/>
      <c r="H41" s="10"/>
    </row>
    <row r="42" spans="1:8" x14ac:dyDescent="0.3">
      <c r="C42" t="s">
        <v>44</v>
      </c>
    </row>
    <row r="43" spans="1:8" x14ac:dyDescent="0.3">
      <c r="C43" t="s">
        <v>45</v>
      </c>
      <c r="D43" s="28">
        <f>IF($D$22=0,"N/A",$D$26*(1-$D$23)/$D$22)</f>
        <v>0</v>
      </c>
    </row>
    <row r="44" spans="1:8" x14ac:dyDescent="0.3">
      <c r="C44" t="s">
        <v>46</v>
      </c>
      <c r="D44">
        <f>VLOOKUP(D43,TABLE,2)</f>
        <v>4.2</v>
      </c>
      <c r="E44" t="s">
        <v>45</v>
      </c>
      <c r="F44">
        <f>VLOOKUP($D$44,$F$51:$G$141,2)</f>
        <v>0</v>
      </c>
      <c r="G44" t="s">
        <v>47</v>
      </c>
      <c r="H44" s="7">
        <f>$F$44-$D$43</f>
        <v>0</v>
      </c>
    </row>
    <row r="45" spans="1:8" x14ac:dyDescent="0.3">
      <c r="C45" t="s">
        <v>48</v>
      </c>
      <c r="D45">
        <f>$D$44-0.1</f>
        <v>4.1000000000000005</v>
      </c>
      <c r="E45" t="s">
        <v>45</v>
      </c>
      <c r="F45">
        <f>VLOOKUP($D$45,$F$51:$G$141,2)</f>
        <v>1.0000000000000001E-5</v>
      </c>
      <c r="G45" t="s">
        <v>49</v>
      </c>
      <c r="H45" s="7">
        <f>$H$44/$F$46</f>
        <v>0</v>
      </c>
    </row>
    <row r="46" spans="1:8" x14ac:dyDescent="0.3">
      <c r="C46" t="s">
        <v>47</v>
      </c>
      <c r="D46">
        <f>$D$44-$D$45</f>
        <v>9.9999999999999645E-2</v>
      </c>
      <c r="E46" t="s">
        <v>47</v>
      </c>
      <c r="F46">
        <f>$F$44-$F$45</f>
        <v>-1.0000000000000001E-5</v>
      </c>
      <c r="G46" t="s">
        <v>50</v>
      </c>
      <c r="H46" s="7">
        <f>($D$44-($D$46*$H$45))</f>
        <v>4.2</v>
      </c>
    </row>
    <row r="47" spans="1:8" x14ac:dyDescent="0.3">
      <c r="C47" t="s">
        <v>51</v>
      </c>
    </row>
    <row r="48" spans="1:8" x14ac:dyDescent="0.3">
      <c r="C48" t="s">
        <v>52</v>
      </c>
    </row>
    <row r="49" spans="3:7" ht="13.5" thickBot="1" x14ac:dyDescent="0.35">
      <c r="C49" s="24" t="s">
        <v>53</v>
      </c>
      <c r="D49" s="24" t="s">
        <v>54</v>
      </c>
      <c r="E49" s="24"/>
      <c r="F49" s="24" t="s">
        <v>54</v>
      </c>
      <c r="G49" s="24" t="s">
        <v>53</v>
      </c>
    </row>
    <row r="51" spans="3:7" x14ac:dyDescent="0.3">
      <c r="C51" s="26">
        <v>0</v>
      </c>
      <c r="D51" s="27">
        <v>4.5</v>
      </c>
      <c r="F51" s="27">
        <v>-4.5</v>
      </c>
      <c r="G51" s="26">
        <v>4.5</v>
      </c>
    </row>
    <row r="52" spans="3:7" x14ac:dyDescent="0.3">
      <c r="C52" s="26">
        <v>0</v>
      </c>
      <c r="D52" s="27">
        <v>4.4000000000000004</v>
      </c>
      <c r="F52" s="27">
        <v>-4.4000000000000004</v>
      </c>
      <c r="G52" s="26">
        <v>4.4000000000000004</v>
      </c>
    </row>
    <row r="53" spans="3:7" x14ac:dyDescent="0.3">
      <c r="C53" s="26">
        <v>0</v>
      </c>
      <c r="D53" s="27">
        <v>4.3</v>
      </c>
      <c r="F53" s="27">
        <v>-4.3</v>
      </c>
      <c r="G53" s="26">
        <v>4.3</v>
      </c>
    </row>
    <row r="54" spans="3:7" x14ac:dyDescent="0.3">
      <c r="C54" s="26">
        <v>0</v>
      </c>
      <c r="D54" s="27">
        <v>4.2</v>
      </c>
      <c r="F54" s="27">
        <v>-4.2</v>
      </c>
      <c r="G54" s="26">
        <v>4.2</v>
      </c>
    </row>
    <row r="55" spans="3:7" x14ac:dyDescent="0.3">
      <c r="C55" s="26">
        <v>1.0000000000000001E-5</v>
      </c>
      <c r="D55" s="27">
        <v>3.9</v>
      </c>
      <c r="F55" s="27">
        <v>-4.0999999999999996</v>
      </c>
      <c r="G55" s="26">
        <v>4.1000100000000002</v>
      </c>
    </row>
    <row r="56" spans="3:7" x14ac:dyDescent="0.3">
      <c r="C56" s="26">
        <v>1.0000000000000001E-5</v>
      </c>
      <c r="D56" s="27">
        <v>4.0999999999999996</v>
      </c>
      <c r="F56" s="27">
        <v>-4</v>
      </c>
      <c r="G56" s="26">
        <v>4.0000099999999996</v>
      </c>
    </row>
    <row r="57" spans="3:7" x14ac:dyDescent="0.3">
      <c r="C57" s="26">
        <v>1.0000000000000001E-5</v>
      </c>
      <c r="D57" s="27">
        <v>4</v>
      </c>
      <c r="F57" s="27">
        <v>-3.9</v>
      </c>
      <c r="G57" s="26">
        <v>3.90001</v>
      </c>
    </row>
    <row r="58" spans="3:7" x14ac:dyDescent="0.3">
      <c r="C58" s="26">
        <v>2.0000000000000002E-5</v>
      </c>
      <c r="D58" s="27">
        <v>3.8</v>
      </c>
      <c r="F58" s="27">
        <v>-3.8</v>
      </c>
      <c r="G58" s="26">
        <v>3.80002</v>
      </c>
    </row>
    <row r="59" spans="3:7" x14ac:dyDescent="0.3">
      <c r="C59" s="26">
        <v>3.0000000000000001E-5</v>
      </c>
      <c r="D59" s="27">
        <v>3.7</v>
      </c>
      <c r="F59" s="27">
        <v>-3.7</v>
      </c>
      <c r="G59" s="26">
        <v>3.7000299999999999</v>
      </c>
    </row>
    <row r="60" spans="3:7" x14ac:dyDescent="0.3">
      <c r="C60" s="26">
        <v>4.0000000000000003E-5</v>
      </c>
      <c r="D60" s="27">
        <v>3.6</v>
      </c>
      <c r="F60" s="27">
        <v>-3.6</v>
      </c>
      <c r="G60" s="26">
        <v>3.6000399999999999</v>
      </c>
    </row>
    <row r="61" spans="3:7" x14ac:dyDescent="0.3">
      <c r="C61" s="26">
        <v>6.0000000000000002E-5</v>
      </c>
      <c r="D61" s="27">
        <v>3.5</v>
      </c>
      <c r="F61" s="27">
        <v>-3.5</v>
      </c>
      <c r="G61" s="26">
        <v>3.5000599999999999</v>
      </c>
    </row>
    <row r="62" spans="3:7" x14ac:dyDescent="0.3">
      <c r="C62" s="26">
        <v>9.0000000000000006E-5</v>
      </c>
      <c r="D62" s="27">
        <v>3.4</v>
      </c>
      <c r="F62" s="27">
        <v>-3.4</v>
      </c>
      <c r="G62" s="26">
        <v>3.4000900000000001</v>
      </c>
    </row>
    <row r="63" spans="3:7" x14ac:dyDescent="0.3">
      <c r="C63" s="26">
        <v>1.2999999999999999E-4</v>
      </c>
      <c r="D63" s="27">
        <v>3.3</v>
      </c>
      <c r="F63" s="27">
        <v>-3.3</v>
      </c>
      <c r="G63" s="26">
        <v>3.3001299999999998</v>
      </c>
    </row>
    <row r="64" spans="3:7" x14ac:dyDescent="0.3">
      <c r="C64" s="26">
        <v>1.9000000000000001E-4</v>
      </c>
      <c r="D64" s="27">
        <v>3.2</v>
      </c>
      <c r="F64" s="27">
        <v>-3.2</v>
      </c>
      <c r="G64" s="26">
        <v>3.2001900000000001</v>
      </c>
    </row>
    <row r="65" spans="3:7" x14ac:dyDescent="0.3">
      <c r="C65" s="26">
        <v>2.7E-4</v>
      </c>
      <c r="D65" s="27">
        <v>3.1</v>
      </c>
      <c r="F65" s="27">
        <v>-3.1</v>
      </c>
      <c r="G65" s="26">
        <v>3.1002700000000001</v>
      </c>
    </row>
    <row r="66" spans="3:7" x14ac:dyDescent="0.3">
      <c r="C66" s="26">
        <v>3.8000000000000002E-4</v>
      </c>
      <c r="D66" s="27">
        <v>3</v>
      </c>
      <c r="F66" s="27">
        <v>-3</v>
      </c>
      <c r="G66" s="26">
        <v>3.0003799999999998</v>
      </c>
    </row>
    <row r="67" spans="3:7" x14ac:dyDescent="0.3">
      <c r="C67" s="26">
        <v>5.4000000000000001E-4</v>
      </c>
      <c r="D67" s="27">
        <v>2.9</v>
      </c>
      <c r="F67" s="27">
        <v>-2.9</v>
      </c>
      <c r="G67" s="26">
        <v>2.9005399999999999</v>
      </c>
    </row>
    <row r="68" spans="3:7" x14ac:dyDescent="0.3">
      <c r="C68" s="26">
        <v>7.6000000000000004E-4</v>
      </c>
      <c r="D68" s="27">
        <v>2.8</v>
      </c>
      <c r="F68" s="27">
        <v>-2.8</v>
      </c>
      <c r="G68" s="26">
        <v>2.8007599999999999</v>
      </c>
    </row>
    <row r="69" spans="3:7" x14ac:dyDescent="0.3">
      <c r="C69" s="26">
        <v>1.06E-3</v>
      </c>
      <c r="D69" s="27">
        <v>2.7</v>
      </c>
      <c r="F69" s="27">
        <v>-2.7</v>
      </c>
      <c r="G69" s="26">
        <v>2.70106</v>
      </c>
    </row>
    <row r="70" spans="3:7" x14ac:dyDescent="0.3">
      <c r="C70" s="26">
        <v>1.4599999999999999E-3</v>
      </c>
      <c r="D70" s="27">
        <v>2.6</v>
      </c>
      <c r="F70" s="27">
        <v>-2.6</v>
      </c>
      <c r="G70" s="26">
        <v>2.6014599999999999</v>
      </c>
    </row>
    <row r="71" spans="3:7" x14ac:dyDescent="0.3">
      <c r="C71" s="26">
        <v>2E-3</v>
      </c>
      <c r="D71" s="27">
        <v>2.5</v>
      </c>
      <c r="F71" s="27">
        <v>-2.5</v>
      </c>
      <c r="G71" s="26">
        <v>2.5019999999999998</v>
      </c>
    </row>
    <row r="72" spans="3:7" x14ac:dyDescent="0.3">
      <c r="C72" s="26">
        <v>2.7200000000000002E-3</v>
      </c>
      <c r="D72" s="27">
        <v>2.4</v>
      </c>
      <c r="F72" s="27">
        <v>-2.4</v>
      </c>
      <c r="G72" s="26">
        <v>2.40272</v>
      </c>
    </row>
    <row r="73" spans="3:7" x14ac:dyDescent="0.3">
      <c r="C73" s="26">
        <v>3.6600000000000001E-3</v>
      </c>
      <c r="D73" s="27">
        <v>2.2999999999999998</v>
      </c>
      <c r="F73" s="27">
        <v>-2.2999999999999998</v>
      </c>
      <c r="G73" s="26">
        <v>2.3036599999999998</v>
      </c>
    </row>
    <row r="74" spans="3:7" x14ac:dyDescent="0.3">
      <c r="C74" s="26">
        <v>4.8900000000000002E-3</v>
      </c>
      <c r="D74" s="27">
        <v>2.2000000000000002</v>
      </c>
      <c r="F74" s="27">
        <v>-2.2000000000000002</v>
      </c>
      <c r="G74" s="26">
        <v>2.2048899999999998</v>
      </c>
    </row>
    <row r="75" spans="3:7" x14ac:dyDescent="0.3">
      <c r="C75" s="26">
        <v>6.4700000000000001E-3</v>
      </c>
      <c r="D75" s="27">
        <v>2.1</v>
      </c>
      <c r="F75" s="27">
        <v>-2.1</v>
      </c>
      <c r="G75" s="26">
        <v>2.1064699999999998</v>
      </c>
    </row>
    <row r="76" spans="3:7" x14ac:dyDescent="0.3">
      <c r="C76" s="26">
        <v>8.4899999999999993E-3</v>
      </c>
      <c r="D76" s="27">
        <v>2</v>
      </c>
      <c r="F76" s="27">
        <v>-2</v>
      </c>
      <c r="G76" s="26">
        <v>2.0084900000000001</v>
      </c>
    </row>
    <row r="77" spans="3:7" x14ac:dyDescent="0.3">
      <c r="C77" s="26">
        <v>1.1050000000000001E-2</v>
      </c>
      <c r="D77" s="27">
        <v>1.9</v>
      </c>
      <c r="F77" s="27">
        <v>-1.9</v>
      </c>
      <c r="G77" s="26">
        <v>1.9110499999999999</v>
      </c>
    </row>
    <row r="78" spans="3:7" x14ac:dyDescent="0.3">
      <c r="C78" s="26">
        <v>1.4279999999999999E-2</v>
      </c>
      <c r="D78" s="27">
        <v>1.8</v>
      </c>
      <c r="F78" s="27">
        <v>-1.8</v>
      </c>
      <c r="G78" s="26">
        <v>1.8142799999999999</v>
      </c>
    </row>
    <row r="79" spans="3:7" x14ac:dyDescent="0.3">
      <c r="C79" s="26">
        <v>1.8290000000000001E-2</v>
      </c>
      <c r="D79" s="27">
        <v>1.7</v>
      </c>
      <c r="F79" s="27">
        <v>-1.7</v>
      </c>
      <c r="G79" s="26">
        <v>1.7182900000000001</v>
      </c>
    </row>
    <row r="80" spans="3:7" x14ac:dyDescent="0.3">
      <c r="C80" s="26">
        <v>2.324E-2</v>
      </c>
      <c r="D80" s="27">
        <v>1.6</v>
      </c>
      <c r="F80" s="27">
        <v>-1.6</v>
      </c>
      <c r="G80" s="26">
        <v>1.62324</v>
      </c>
    </row>
    <row r="81" spans="3:7" x14ac:dyDescent="0.3">
      <c r="C81" s="26">
        <v>2.9309999999999999E-2</v>
      </c>
      <c r="D81" s="27">
        <v>1.5</v>
      </c>
      <c r="F81" s="27">
        <v>-1.5</v>
      </c>
      <c r="G81" s="26">
        <v>1.5293099999999999</v>
      </c>
    </row>
    <row r="82" spans="3:7" x14ac:dyDescent="0.3">
      <c r="C82" s="26">
        <v>3.6670000000000001E-2</v>
      </c>
      <c r="D82" s="27">
        <v>1.4</v>
      </c>
      <c r="F82" s="27">
        <v>-1.4</v>
      </c>
      <c r="G82" s="26">
        <v>1.4366699999999999</v>
      </c>
    </row>
    <row r="83" spans="3:7" x14ac:dyDescent="0.3">
      <c r="C83" s="26">
        <v>4.5530000000000001E-2</v>
      </c>
      <c r="D83" s="27">
        <v>1.3</v>
      </c>
      <c r="F83" s="27">
        <v>-1.3</v>
      </c>
      <c r="G83" s="26">
        <v>1.3455299999999999</v>
      </c>
    </row>
    <row r="84" spans="3:7" x14ac:dyDescent="0.3">
      <c r="C84" s="26">
        <v>5.6099999999999997E-2</v>
      </c>
      <c r="D84" s="27">
        <v>1.2</v>
      </c>
      <c r="F84" s="27">
        <v>-1.2</v>
      </c>
      <c r="G84" s="26">
        <v>1.2561</v>
      </c>
    </row>
    <row r="85" spans="3:7" x14ac:dyDescent="0.3">
      <c r="C85" s="26">
        <v>6.862E-2</v>
      </c>
      <c r="D85" s="27">
        <v>1.1000000000000001</v>
      </c>
      <c r="F85" s="27">
        <v>-1.1000000000000001</v>
      </c>
      <c r="G85" s="26">
        <v>1.16862</v>
      </c>
    </row>
    <row r="86" spans="3:7" x14ac:dyDescent="0.3">
      <c r="C86" s="26">
        <v>8.3320000000000005E-2</v>
      </c>
      <c r="D86" s="27">
        <v>1</v>
      </c>
      <c r="F86" s="27">
        <v>-1</v>
      </c>
      <c r="G86" s="26">
        <v>1.0833200000000001</v>
      </c>
    </row>
    <row r="87" spans="3:7" x14ac:dyDescent="0.3">
      <c r="C87" s="26">
        <v>0.10043000000000001</v>
      </c>
      <c r="D87" s="27">
        <v>0.9</v>
      </c>
      <c r="F87" s="27">
        <v>-0.9</v>
      </c>
      <c r="G87" s="26">
        <v>1.0004299999999999</v>
      </c>
    </row>
    <row r="88" spans="3:7" x14ac:dyDescent="0.3">
      <c r="C88" s="26">
        <v>0.12021</v>
      </c>
      <c r="D88" s="27">
        <v>0.8</v>
      </c>
      <c r="F88" s="27">
        <v>-0.8</v>
      </c>
      <c r="G88" s="26">
        <v>0.92020999999999997</v>
      </c>
    </row>
    <row r="89" spans="3:7" x14ac:dyDescent="0.3">
      <c r="C89" s="26">
        <v>0.14288000000000001</v>
      </c>
      <c r="D89" s="27">
        <v>0.7</v>
      </c>
      <c r="F89" s="27">
        <v>-0.7</v>
      </c>
      <c r="G89" s="26">
        <v>0.84287999999999996</v>
      </c>
    </row>
    <row r="90" spans="3:7" x14ac:dyDescent="0.3">
      <c r="C90" s="26">
        <v>0.16866999999999999</v>
      </c>
      <c r="D90" s="27">
        <v>0.6</v>
      </c>
      <c r="F90" s="27">
        <v>-0.6</v>
      </c>
      <c r="G90" s="26">
        <v>0.76866999999999996</v>
      </c>
    </row>
    <row r="91" spans="3:7" x14ac:dyDescent="0.3">
      <c r="C91" s="26">
        <v>0.1978</v>
      </c>
      <c r="D91" s="27">
        <v>0.5</v>
      </c>
      <c r="F91" s="27">
        <v>-0.5</v>
      </c>
      <c r="G91" s="26">
        <v>0.69779999999999998</v>
      </c>
    </row>
    <row r="92" spans="3:7" x14ac:dyDescent="0.3">
      <c r="C92" s="26">
        <v>0.23044000000000001</v>
      </c>
      <c r="D92" s="27">
        <v>0.4</v>
      </c>
      <c r="F92" s="27">
        <v>-0.4</v>
      </c>
      <c r="G92" s="26">
        <v>0.63044</v>
      </c>
    </row>
    <row r="93" spans="3:7" x14ac:dyDescent="0.3">
      <c r="C93" s="26">
        <v>0.26676</v>
      </c>
      <c r="D93" s="27">
        <v>0.3</v>
      </c>
      <c r="F93" s="27">
        <v>-0.3</v>
      </c>
      <c r="G93" s="26">
        <v>0.56676000000000004</v>
      </c>
    </row>
    <row r="94" spans="3:7" x14ac:dyDescent="0.3">
      <c r="C94" s="26">
        <v>0.30690000000000001</v>
      </c>
      <c r="D94" s="27">
        <v>0.2</v>
      </c>
      <c r="F94" s="27">
        <v>-0.2</v>
      </c>
      <c r="G94" s="26">
        <v>0.50690000000000002</v>
      </c>
    </row>
    <row r="95" spans="3:7" x14ac:dyDescent="0.3">
      <c r="C95" s="26">
        <v>0.35093999999999997</v>
      </c>
      <c r="D95" s="27">
        <v>0.1</v>
      </c>
      <c r="F95" s="27">
        <v>-0.1</v>
      </c>
      <c r="G95" s="26">
        <v>0.45094000000000001</v>
      </c>
    </row>
    <row r="96" spans="3:7" x14ac:dyDescent="0.3">
      <c r="C96" s="26">
        <v>0.39894000000000002</v>
      </c>
      <c r="D96" s="27">
        <v>0</v>
      </c>
      <c r="F96" s="27">
        <v>0</v>
      </c>
      <c r="G96" s="26">
        <v>0.39894000000000002</v>
      </c>
    </row>
    <row r="97" spans="3:7" x14ac:dyDescent="0.3">
      <c r="C97" s="26">
        <v>0.45094000000000001</v>
      </c>
      <c r="D97" s="27">
        <v>-0.1</v>
      </c>
      <c r="F97" s="27">
        <v>0.1</v>
      </c>
      <c r="G97" s="26">
        <v>0.35093999999999997</v>
      </c>
    </row>
    <row r="98" spans="3:7" x14ac:dyDescent="0.3">
      <c r="C98" s="26">
        <v>0.50690000000000002</v>
      </c>
      <c r="D98" s="27">
        <v>-0.2</v>
      </c>
      <c r="F98" s="27">
        <v>0.2</v>
      </c>
      <c r="G98" s="26">
        <v>0.30690000000000001</v>
      </c>
    </row>
    <row r="99" spans="3:7" x14ac:dyDescent="0.3">
      <c r="C99" s="26">
        <v>0.56676000000000004</v>
      </c>
      <c r="D99" s="27">
        <v>-0.3</v>
      </c>
      <c r="F99" s="27">
        <v>0.3</v>
      </c>
      <c r="G99" s="26">
        <v>0.26676</v>
      </c>
    </row>
    <row r="100" spans="3:7" x14ac:dyDescent="0.3">
      <c r="C100" s="26">
        <v>0.63044</v>
      </c>
      <c r="D100" s="27">
        <v>-0.4</v>
      </c>
      <c r="F100" s="27">
        <v>0.4</v>
      </c>
      <c r="G100" s="26">
        <v>0.23044000000000001</v>
      </c>
    </row>
    <row r="101" spans="3:7" x14ac:dyDescent="0.3">
      <c r="C101" s="26">
        <v>0.69779999999999998</v>
      </c>
      <c r="D101" s="27">
        <v>-0.5</v>
      </c>
      <c r="F101" s="27">
        <v>0.5</v>
      </c>
      <c r="G101" s="26">
        <v>0.1978</v>
      </c>
    </row>
    <row r="102" spans="3:7" x14ac:dyDescent="0.3">
      <c r="C102" s="26">
        <v>0.76866999999999996</v>
      </c>
      <c r="D102" s="27">
        <v>-0.6</v>
      </c>
      <c r="F102" s="27">
        <v>0.6</v>
      </c>
      <c r="G102" s="26">
        <v>0.16866999999999999</v>
      </c>
    </row>
    <row r="103" spans="3:7" x14ac:dyDescent="0.3">
      <c r="C103" s="26">
        <v>0.84287999999999996</v>
      </c>
      <c r="D103" s="27">
        <v>-0.7</v>
      </c>
      <c r="F103" s="27">
        <v>0.7</v>
      </c>
      <c r="G103" s="26">
        <v>0.14288000000000001</v>
      </c>
    </row>
    <row r="104" spans="3:7" x14ac:dyDescent="0.3">
      <c r="C104" s="26">
        <v>0.92020999999999997</v>
      </c>
      <c r="D104" s="27">
        <v>-0.8</v>
      </c>
      <c r="F104" s="27">
        <v>0.8</v>
      </c>
      <c r="G104" s="26">
        <v>0.12021</v>
      </c>
    </row>
    <row r="105" spans="3:7" x14ac:dyDescent="0.3">
      <c r="C105" s="26">
        <v>1.0004299999999999</v>
      </c>
      <c r="D105" s="27">
        <v>-0.9</v>
      </c>
      <c r="F105" s="27">
        <v>0.9</v>
      </c>
      <c r="G105" s="26">
        <v>0.10043000000000001</v>
      </c>
    </row>
    <row r="106" spans="3:7" x14ac:dyDescent="0.3">
      <c r="C106" s="26">
        <v>1.0833200000000001</v>
      </c>
      <c r="D106" s="27">
        <v>-1</v>
      </c>
      <c r="F106" s="27">
        <v>1</v>
      </c>
      <c r="G106" s="26">
        <v>8.3320000000000005E-2</v>
      </c>
    </row>
    <row r="107" spans="3:7" x14ac:dyDescent="0.3">
      <c r="C107" s="26">
        <v>1.16862</v>
      </c>
      <c r="D107" s="27">
        <v>-1.1000000000000001</v>
      </c>
      <c r="F107" s="27">
        <v>1.1000000000000001</v>
      </c>
      <c r="G107" s="26">
        <v>6.862E-2</v>
      </c>
    </row>
    <row r="108" spans="3:7" x14ac:dyDescent="0.3">
      <c r="C108" s="26">
        <v>1.2561</v>
      </c>
      <c r="D108" s="27">
        <v>-1.2</v>
      </c>
      <c r="F108" s="27">
        <v>1.2</v>
      </c>
      <c r="G108" s="26">
        <v>5.6099999999999997E-2</v>
      </c>
    </row>
    <row r="109" spans="3:7" x14ac:dyDescent="0.3">
      <c r="C109" s="26">
        <v>1.3455299999999999</v>
      </c>
      <c r="D109" s="27">
        <v>-1.3</v>
      </c>
      <c r="F109" s="27">
        <v>1.3</v>
      </c>
      <c r="G109" s="26">
        <v>4.5530000000000001E-2</v>
      </c>
    </row>
    <row r="110" spans="3:7" x14ac:dyDescent="0.3">
      <c r="C110" s="26">
        <v>1.4366699999999999</v>
      </c>
      <c r="D110" s="27">
        <v>-1.4</v>
      </c>
      <c r="F110" s="27">
        <v>1.4</v>
      </c>
      <c r="G110" s="26">
        <v>3.6670000000000001E-2</v>
      </c>
    </row>
    <row r="111" spans="3:7" x14ac:dyDescent="0.3">
      <c r="C111" s="26">
        <v>1.5293099999999999</v>
      </c>
      <c r="D111" s="27">
        <v>-1.5</v>
      </c>
      <c r="F111" s="27">
        <v>1.5</v>
      </c>
      <c r="G111" s="26">
        <v>2.9309999999999999E-2</v>
      </c>
    </row>
    <row r="112" spans="3:7" x14ac:dyDescent="0.3">
      <c r="C112" s="26">
        <v>1.62324</v>
      </c>
      <c r="D112" s="27">
        <v>-1.6</v>
      </c>
      <c r="F112" s="27">
        <v>1.6</v>
      </c>
      <c r="G112" s="26">
        <v>2.324E-2</v>
      </c>
    </row>
    <row r="113" spans="3:7" x14ac:dyDescent="0.3">
      <c r="C113" s="26">
        <v>1.7182900000000001</v>
      </c>
      <c r="D113" s="27">
        <v>-1.7</v>
      </c>
      <c r="F113" s="27">
        <v>1.7</v>
      </c>
      <c r="G113" s="26">
        <v>1.8290000000000001E-2</v>
      </c>
    </row>
    <row r="114" spans="3:7" x14ac:dyDescent="0.3">
      <c r="C114" s="26">
        <v>1.8142799999999999</v>
      </c>
      <c r="D114" s="27">
        <v>-1.8</v>
      </c>
      <c r="F114" s="27">
        <v>1.8</v>
      </c>
      <c r="G114" s="26">
        <v>1.4279999999999999E-2</v>
      </c>
    </row>
    <row r="115" spans="3:7" x14ac:dyDescent="0.3">
      <c r="C115" s="26">
        <v>1.9110499999999999</v>
      </c>
      <c r="D115" s="27">
        <v>-1.9</v>
      </c>
      <c r="F115" s="27">
        <v>1.9</v>
      </c>
      <c r="G115" s="26">
        <v>1.1050000000000001E-2</v>
      </c>
    </row>
    <row r="116" spans="3:7" x14ac:dyDescent="0.3">
      <c r="C116" s="26">
        <v>2.0084900000000001</v>
      </c>
      <c r="D116" s="27">
        <v>-2</v>
      </c>
      <c r="F116" s="27">
        <v>2</v>
      </c>
      <c r="G116" s="26">
        <v>8.4899999999999993E-3</v>
      </c>
    </row>
    <row r="117" spans="3:7" x14ac:dyDescent="0.3">
      <c r="C117" s="26">
        <v>2.1064699999999998</v>
      </c>
      <c r="D117" s="27">
        <v>-2.1</v>
      </c>
      <c r="F117" s="27">
        <v>2.1</v>
      </c>
      <c r="G117" s="26">
        <v>6.4700000000000001E-3</v>
      </c>
    </row>
    <row r="118" spans="3:7" x14ac:dyDescent="0.3">
      <c r="C118" s="26">
        <v>2.2048899999999998</v>
      </c>
      <c r="D118" s="27">
        <v>-2.2000000000000002</v>
      </c>
      <c r="F118" s="27">
        <v>2.2000000000000002</v>
      </c>
      <c r="G118" s="26">
        <v>4.8900000000000002E-3</v>
      </c>
    </row>
    <row r="119" spans="3:7" x14ac:dyDescent="0.3">
      <c r="C119" s="26">
        <v>2.3036599999999998</v>
      </c>
      <c r="D119" s="27">
        <v>-2.2999999999999998</v>
      </c>
      <c r="F119" s="27">
        <v>2.2999999999999998</v>
      </c>
      <c r="G119" s="26">
        <v>3.6600000000000001E-3</v>
      </c>
    </row>
    <row r="120" spans="3:7" x14ac:dyDescent="0.3">
      <c r="C120" s="26">
        <v>2.40272</v>
      </c>
      <c r="D120" s="27">
        <v>-2.4</v>
      </c>
      <c r="F120" s="27">
        <v>2.4</v>
      </c>
      <c r="G120" s="26">
        <v>2.7200000000000002E-3</v>
      </c>
    </row>
    <row r="121" spans="3:7" x14ac:dyDescent="0.3">
      <c r="C121" s="26">
        <v>2.5019999999999998</v>
      </c>
      <c r="D121" s="27">
        <v>-2.5</v>
      </c>
      <c r="F121" s="27">
        <v>2.5</v>
      </c>
      <c r="G121" s="26">
        <v>2E-3</v>
      </c>
    </row>
    <row r="122" spans="3:7" x14ac:dyDescent="0.3">
      <c r="C122" s="26">
        <v>2.6014599999999999</v>
      </c>
      <c r="D122" s="27">
        <v>-2.6</v>
      </c>
      <c r="F122" s="27">
        <v>2.6</v>
      </c>
      <c r="G122" s="26">
        <v>1.4599999999999999E-3</v>
      </c>
    </row>
    <row r="123" spans="3:7" x14ac:dyDescent="0.3">
      <c r="C123" s="26">
        <v>2.70106</v>
      </c>
      <c r="D123" s="27">
        <v>-2.7</v>
      </c>
      <c r="F123" s="27">
        <v>2.7</v>
      </c>
      <c r="G123" s="26">
        <v>1.06E-3</v>
      </c>
    </row>
    <row r="124" spans="3:7" x14ac:dyDescent="0.3">
      <c r="C124" s="26">
        <v>2.8007599999999999</v>
      </c>
      <c r="D124" s="27">
        <v>-2.8</v>
      </c>
      <c r="F124" s="27">
        <v>2.8</v>
      </c>
      <c r="G124" s="26">
        <v>7.6000000000000004E-4</v>
      </c>
    </row>
    <row r="125" spans="3:7" x14ac:dyDescent="0.3">
      <c r="C125" s="26">
        <v>2.9005399999999999</v>
      </c>
      <c r="D125" s="27">
        <v>-2.9</v>
      </c>
      <c r="F125" s="27">
        <v>2.9</v>
      </c>
      <c r="G125" s="26">
        <v>5.4000000000000001E-4</v>
      </c>
    </row>
    <row r="126" spans="3:7" x14ac:dyDescent="0.3">
      <c r="C126" s="26">
        <v>3.0003799999999998</v>
      </c>
      <c r="D126" s="27">
        <v>-3</v>
      </c>
      <c r="F126" s="27">
        <v>3</v>
      </c>
      <c r="G126" s="26">
        <v>3.8000000000000002E-4</v>
      </c>
    </row>
    <row r="127" spans="3:7" x14ac:dyDescent="0.3">
      <c r="C127" s="26">
        <v>3.1002700000000001</v>
      </c>
      <c r="D127" s="27">
        <v>-3.1</v>
      </c>
      <c r="F127" s="27">
        <v>3.1</v>
      </c>
      <c r="G127" s="26">
        <v>2.7E-4</v>
      </c>
    </row>
    <row r="128" spans="3:7" x14ac:dyDescent="0.3">
      <c r="C128" s="26">
        <v>3.2001900000000001</v>
      </c>
      <c r="D128" s="27">
        <v>-3.2</v>
      </c>
      <c r="F128" s="27">
        <v>3.2</v>
      </c>
      <c r="G128" s="26">
        <v>1.9000000000000001E-4</v>
      </c>
    </row>
    <row r="129" spans="3:7" x14ac:dyDescent="0.3">
      <c r="C129" s="26">
        <v>3.3001299999999998</v>
      </c>
      <c r="D129" s="27">
        <v>-3.3</v>
      </c>
      <c r="F129" s="27">
        <v>3.3</v>
      </c>
      <c r="G129" s="26">
        <v>1.2999999999999999E-4</v>
      </c>
    </row>
    <row r="130" spans="3:7" x14ac:dyDescent="0.3">
      <c r="C130" s="26">
        <v>3.4000900000000001</v>
      </c>
      <c r="D130" s="27">
        <v>-3.4</v>
      </c>
      <c r="F130" s="27">
        <v>3.4</v>
      </c>
      <c r="G130" s="26">
        <v>9.0000000000000006E-5</v>
      </c>
    </row>
    <row r="131" spans="3:7" x14ac:dyDescent="0.3">
      <c r="C131" s="26">
        <v>3.5000599999999999</v>
      </c>
      <c r="D131" s="27">
        <v>-3.5</v>
      </c>
      <c r="F131" s="27">
        <v>3.5</v>
      </c>
      <c r="G131" s="26">
        <v>6.0000000000000002E-5</v>
      </c>
    </row>
    <row r="132" spans="3:7" x14ac:dyDescent="0.3">
      <c r="C132" s="26">
        <v>3.6000399999999999</v>
      </c>
      <c r="D132" s="27">
        <v>-3.6</v>
      </c>
      <c r="F132" s="27">
        <v>3.6</v>
      </c>
      <c r="G132" s="26">
        <v>4.0000000000000003E-5</v>
      </c>
    </row>
    <row r="133" spans="3:7" x14ac:dyDescent="0.3">
      <c r="C133" s="26">
        <v>3.7000299999999999</v>
      </c>
      <c r="D133" s="27">
        <v>-3.7</v>
      </c>
      <c r="F133" s="27">
        <v>3.7</v>
      </c>
      <c r="G133" s="26">
        <v>3.0000000000000001E-5</v>
      </c>
    </row>
    <row r="134" spans="3:7" x14ac:dyDescent="0.3">
      <c r="C134" s="26">
        <v>3.80002</v>
      </c>
      <c r="D134" s="27">
        <v>-3.8</v>
      </c>
      <c r="F134" s="27">
        <v>3.8</v>
      </c>
      <c r="G134" s="26">
        <v>2.0000000000000002E-5</v>
      </c>
    </row>
    <row r="135" spans="3:7" x14ac:dyDescent="0.3">
      <c r="C135" s="26">
        <v>3.90001</v>
      </c>
      <c r="D135" s="27">
        <v>-3.9</v>
      </c>
      <c r="F135" s="27">
        <v>3.9</v>
      </c>
      <c r="G135" s="26">
        <v>1.0000000000000001E-5</v>
      </c>
    </row>
    <row r="136" spans="3:7" x14ac:dyDescent="0.3">
      <c r="C136" s="26">
        <v>4.0000099999999996</v>
      </c>
      <c r="D136" s="27">
        <v>-4</v>
      </c>
      <c r="F136" s="27">
        <v>4</v>
      </c>
      <c r="G136" s="26">
        <v>1.0000000000000001E-5</v>
      </c>
    </row>
    <row r="137" spans="3:7" x14ac:dyDescent="0.3">
      <c r="C137" s="26">
        <v>4.1000100000000002</v>
      </c>
      <c r="D137" s="27">
        <v>-4.0999999999999996</v>
      </c>
      <c r="F137" s="27">
        <v>4.0999999999999996</v>
      </c>
      <c r="G137" s="26">
        <v>1.0000000000000001E-5</v>
      </c>
    </row>
    <row r="138" spans="3:7" x14ac:dyDescent="0.3">
      <c r="C138" s="26">
        <v>4.2</v>
      </c>
      <c r="D138" s="27">
        <v>-4.2</v>
      </c>
      <c r="F138" s="27">
        <v>4.2</v>
      </c>
      <c r="G138" s="26">
        <v>0</v>
      </c>
    </row>
    <row r="139" spans="3:7" x14ac:dyDescent="0.3">
      <c r="C139" s="26">
        <v>4.3</v>
      </c>
      <c r="D139" s="27">
        <v>-4.3</v>
      </c>
      <c r="F139" s="27">
        <v>4.3</v>
      </c>
      <c r="G139" s="26">
        <v>0</v>
      </c>
    </row>
    <row r="140" spans="3:7" x14ac:dyDescent="0.3">
      <c r="C140" s="26">
        <v>4.4000000000000004</v>
      </c>
      <c r="D140" s="27">
        <v>-4.4000000000000004</v>
      </c>
      <c r="F140" s="27">
        <v>4.4000000000000004</v>
      </c>
      <c r="G140" s="26">
        <v>0</v>
      </c>
    </row>
    <row r="141" spans="3:7" x14ac:dyDescent="0.3">
      <c r="C141" s="26">
        <v>4.5</v>
      </c>
      <c r="D141" s="27">
        <v>-4.5</v>
      </c>
      <c r="F141" s="27">
        <v>4.5</v>
      </c>
      <c r="G141" s="26">
        <v>0</v>
      </c>
    </row>
  </sheetData>
  <sheetProtection sheet="1" objects="1" scenarios="1"/>
  <printOptions gridLines="1" gridLinesSet="0"/>
  <pageMargins left="0.75" right="0.75" top="1" bottom="1" header="0.5" footer="0.5"/>
  <pageSetup orientation="portrait" horizontalDpi="180" verticalDpi="18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8"/>
  <sheetViews>
    <sheetView workbookViewId="0"/>
  </sheetViews>
  <sheetFormatPr defaultRowHeight="12.5" x14ac:dyDescent="0.25"/>
  <cols>
    <col min="1" max="1" width="3.08984375" customWidth="1"/>
    <col min="2" max="2" width="50.453125" customWidth="1"/>
  </cols>
  <sheetData>
    <row r="1" spans="2:12" ht="13" x14ac:dyDescent="0.3">
      <c r="B1" s="1"/>
    </row>
    <row r="2" spans="2:12" ht="18" x14ac:dyDescent="0.4">
      <c r="B2" s="20" t="s">
        <v>55</v>
      </c>
    </row>
    <row r="3" spans="2:12" ht="13" x14ac:dyDescent="0.3">
      <c r="B3" s="1"/>
      <c r="D3" s="11" t="s">
        <v>56</v>
      </c>
      <c r="F3" s="11"/>
      <c r="G3" s="11"/>
      <c r="H3" s="11"/>
      <c r="I3" s="1"/>
      <c r="J3" s="1"/>
      <c r="K3" s="1"/>
      <c r="L3" s="1"/>
    </row>
    <row r="4" spans="2:12" ht="13" x14ac:dyDescent="0.3">
      <c r="B4" s="1" t="s">
        <v>57</v>
      </c>
      <c r="D4" s="37">
        <v>2000</v>
      </c>
    </row>
    <row r="5" spans="2:12" ht="13" x14ac:dyDescent="0.3">
      <c r="B5" s="1" t="s">
        <v>58</v>
      </c>
      <c r="D5" s="37"/>
    </row>
    <row r="6" spans="2:12" ht="13" x14ac:dyDescent="0.3">
      <c r="B6" s="2" t="s">
        <v>59</v>
      </c>
      <c r="D6" s="38">
        <v>25</v>
      </c>
      <c r="F6" s="3"/>
      <c r="G6" s="3"/>
      <c r="H6" s="3"/>
      <c r="I6" s="3"/>
      <c r="J6" s="3"/>
      <c r="K6" s="3"/>
      <c r="L6" s="3"/>
    </row>
    <row r="7" spans="2:12" ht="13" x14ac:dyDescent="0.3">
      <c r="B7" s="1" t="s">
        <v>60</v>
      </c>
      <c r="D7" s="37"/>
    </row>
    <row r="8" spans="2:12" ht="13" x14ac:dyDescent="0.3">
      <c r="B8" s="6" t="s">
        <v>61</v>
      </c>
      <c r="D8" s="38">
        <v>5</v>
      </c>
      <c r="F8" s="3"/>
      <c r="G8" s="3"/>
      <c r="H8" s="3"/>
      <c r="I8" s="5"/>
      <c r="J8" s="3"/>
      <c r="K8" s="3"/>
      <c r="L8" s="3"/>
    </row>
    <row r="9" spans="2:12" ht="13" x14ac:dyDescent="0.3">
      <c r="B9" s="2" t="s">
        <v>62</v>
      </c>
      <c r="D9" s="38">
        <v>10</v>
      </c>
      <c r="F9" s="3"/>
      <c r="G9" s="3"/>
      <c r="H9" s="3"/>
      <c r="I9" s="3"/>
      <c r="J9" s="3"/>
      <c r="K9" s="3"/>
      <c r="L9" s="3"/>
    </row>
    <row r="10" spans="2:12" ht="13" x14ac:dyDescent="0.3">
      <c r="B10" s="1" t="s">
        <v>63</v>
      </c>
      <c r="D10" s="37">
        <v>250</v>
      </c>
    </row>
    <row r="11" spans="2:12" ht="13" x14ac:dyDescent="0.3">
      <c r="B11" s="1" t="s">
        <v>64</v>
      </c>
      <c r="D11" s="37">
        <f>D4/250</f>
        <v>8</v>
      </c>
    </row>
    <row r="12" spans="2:12" ht="13" x14ac:dyDescent="0.3">
      <c r="B12" s="1" t="s">
        <v>65</v>
      </c>
      <c r="D12" s="37"/>
    </row>
    <row r="13" spans="2:12" ht="13" x14ac:dyDescent="0.3">
      <c r="B13" s="1" t="s">
        <v>16</v>
      </c>
      <c r="D13" s="37"/>
    </row>
    <row r="14" spans="2:12" ht="13" x14ac:dyDescent="0.3">
      <c r="B14" s="1" t="s">
        <v>17</v>
      </c>
      <c r="D14" s="37"/>
    </row>
    <row r="15" spans="2:12" ht="13" x14ac:dyDescent="0.3">
      <c r="B15" s="1" t="s">
        <v>18</v>
      </c>
      <c r="D15" s="37"/>
    </row>
    <row r="16" spans="2:12" ht="13" x14ac:dyDescent="0.3">
      <c r="B16" s="1" t="s">
        <v>19</v>
      </c>
      <c r="D16" s="37"/>
    </row>
    <row r="17" spans="2:9" ht="13.5" thickBot="1" x14ac:dyDescent="0.35">
      <c r="B17" s="21" t="s">
        <v>41</v>
      </c>
      <c r="C17" s="22"/>
      <c r="D17" s="39"/>
      <c r="F17" s="22"/>
      <c r="G17" s="22"/>
      <c r="H17" s="22"/>
      <c r="I17" s="22"/>
    </row>
    <row r="18" spans="2:9" ht="12.75" customHeight="1" x14ac:dyDescent="0.3">
      <c r="B18" s="1"/>
    </row>
    <row r="19" spans="2:9" ht="18" x14ac:dyDescent="0.4">
      <c r="B19" s="20" t="s">
        <v>66</v>
      </c>
    </row>
    <row r="20" spans="2:9" ht="13" x14ac:dyDescent="0.3">
      <c r="B20" s="1" t="s">
        <v>23</v>
      </c>
      <c r="C20" s="4" t="s">
        <v>24</v>
      </c>
      <c r="D20">
        <f>SQRT((2*D9*D4)/(D8))</f>
        <v>89.442719099991592</v>
      </c>
    </row>
    <row r="21" spans="2:9" ht="13" x14ac:dyDescent="0.3">
      <c r="B21" s="1" t="s">
        <v>26</v>
      </c>
      <c r="C21" s="4" t="s">
        <v>24</v>
      </c>
      <c r="D21" s="3">
        <f>0.5*D20*D8</f>
        <v>223.60679774997897</v>
      </c>
      <c r="F21" s="3"/>
      <c r="G21" s="3"/>
    </row>
    <row r="22" spans="2:9" ht="13" x14ac:dyDescent="0.3">
      <c r="B22" s="1" t="s">
        <v>28</v>
      </c>
      <c r="C22" s="4" t="s">
        <v>24</v>
      </c>
      <c r="D22" s="3">
        <f>D9*D4/D20</f>
        <v>223.60679774997897</v>
      </c>
      <c r="F22" s="3"/>
      <c r="G22" s="3"/>
    </row>
    <row r="23" spans="2:9" ht="13" x14ac:dyDescent="0.3">
      <c r="B23" s="1" t="s">
        <v>67</v>
      </c>
      <c r="C23" s="4" t="s">
        <v>24</v>
      </c>
      <c r="D23" s="3">
        <f>SUM(D21:D22)</f>
        <v>447.21359549995793</v>
      </c>
      <c r="F23" s="3"/>
      <c r="G23" s="3"/>
    </row>
    <row r="24" spans="2:9" ht="13" x14ac:dyDescent="0.3">
      <c r="B24" s="1" t="s">
        <v>33</v>
      </c>
      <c r="C24" s="4" t="s">
        <v>24</v>
      </c>
      <c r="D24" s="9" t="str">
        <f>IF(D15&gt;0,(1-D16)*D20/D15,"N/A")</f>
        <v>N/A</v>
      </c>
      <c r="F24" s="9"/>
      <c r="G24" s="9"/>
    </row>
    <row r="25" spans="2:9" ht="13" x14ac:dyDescent="0.3">
      <c r="B25" s="1" t="s">
        <v>37</v>
      </c>
      <c r="C25" s="4" t="s">
        <v>24</v>
      </c>
      <c r="D25" s="7">
        <f>D10*D20/D4</f>
        <v>11.180339887498949</v>
      </c>
      <c r="F25" s="7"/>
      <c r="G25" s="7"/>
    </row>
    <row r="26" spans="2:9" ht="13" x14ac:dyDescent="0.3">
      <c r="B26" s="1" t="s">
        <v>38</v>
      </c>
      <c r="C26" s="4" t="s">
        <v>24</v>
      </c>
      <c r="D26" s="8">
        <f>D4/D20</f>
        <v>22.360679774997894</v>
      </c>
      <c r="F26" s="8"/>
      <c r="G26" s="8"/>
    </row>
    <row r="27" spans="2:9" ht="13" x14ac:dyDescent="0.3">
      <c r="B27" s="1" t="s">
        <v>40</v>
      </c>
      <c r="C27" s="4" t="s">
        <v>24</v>
      </c>
      <c r="D27">
        <f>D11*D14</f>
        <v>0</v>
      </c>
    </row>
    <row r="28" spans="2:9" ht="13" x14ac:dyDescent="0.3">
      <c r="B28" s="1"/>
      <c r="C28" s="4"/>
    </row>
    <row r="29" spans="2:9" ht="13" x14ac:dyDescent="0.3">
      <c r="B29" s="1"/>
      <c r="C29" s="4"/>
    </row>
    <row r="30" spans="2:9" ht="13" x14ac:dyDescent="0.3">
      <c r="B30" s="1"/>
      <c r="C30" s="4"/>
    </row>
    <row r="31" spans="2:9" ht="13" x14ac:dyDescent="0.3">
      <c r="B31" s="1"/>
      <c r="C31" s="4"/>
    </row>
    <row r="32" spans="2:9" ht="13" x14ac:dyDescent="0.3">
      <c r="B32" s="1"/>
      <c r="C32" s="4"/>
    </row>
    <row r="33" spans="2:10" ht="13" x14ac:dyDescent="0.3">
      <c r="B33" s="1"/>
      <c r="C33" t="s">
        <v>68</v>
      </c>
    </row>
    <row r="34" spans="2:10" ht="13" x14ac:dyDescent="0.3">
      <c r="B34" s="1"/>
      <c r="C34" s="12" t="s">
        <v>53</v>
      </c>
      <c r="D34" s="12" t="s">
        <v>54</v>
      </c>
      <c r="E34" s="12" t="s">
        <v>53</v>
      </c>
      <c r="F34" s="12" t="s">
        <v>54</v>
      </c>
      <c r="G34" s="12" t="s">
        <v>53</v>
      </c>
      <c r="H34" s="12" t="s">
        <v>54</v>
      </c>
      <c r="I34" s="12" t="s">
        <v>53</v>
      </c>
      <c r="J34" s="12" t="s">
        <v>54</v>
      </c>
    </row>
    <row r="35" spans="2:10" ht="13" x14ac:dyDescent="0.3">
      <c r="B35" s="1"/>
      <c r="C35" s="13">
        <v>4.5</v>
      </c>
      <c r="D35" s="14">
        <v>-4.5</v>
      </c>
      <c r="E35" s="13">
        <v>2.2050000000000001</v>
      </c>
      <c r="F35" s="14">
        <v>-2.2000000000000082</v>
      </c>
      <c r="G35" s="19">
        <v>0.39900000000000002</v>
      </c>
      <c r="H35" s="14">
        <v>0</v>
      </c>
      <c r="I35" s="13">
        <v>4.0000000000000001E-3</v>
      </c>
      <c r="J35" s="14">
        <v>2.2999999999999758</v>
      </c>
    </row>
    <row r="36" spans="2:10" ht="13" x14ac:dyDescent="0.3">
      <c r="B36" s="1"/>
      <c r="C36" s="15">
        <v>4.4000000000000004</v>
      </c>
      <c r="D36" s="16">
        <v>-4.4000000000000004</v>
      </c>
      <c r="E36" s="15">
        <v>2.1059999999999999</v>
      </c>
      <c r="F36" s="16">
        <v>-2.1000000000000085</v>
      </c>
      <c r="G36" s="15">
        <v>0.35099999999999998</v>
      </c>
      <c r="H36" s="16">
        <v>9.9999999999983658E-2</v>
      </c>
      <c r="I36" s="15">
        <v>3.0000000000000001E-3</v>
      </c>
      <c r="J36" s="16">
        <v>2.3999999999999755</v>
      </c>
    </row>
    <row r="37" spans="2:10" ht="13" x14ac:dyDescent="0.3">
      <c r="B37" s="1"/>
      <c r="C37" s="15">
        <v>4.3</v>
      </c>
      <c r="D37" s="16">
        <v>-4.3</v>
      </c>
      <c r="E37" s="15">
        <v>2.008</v>
      </c>
      <c r="F37" s="16">
        <v>-2.0000000000000089</v>
      </c>
      <c r="G37" s="15">
        <v>0.307</v>
      </c>
      <c r="H37" s="16">
        <v>0.1999999999999833</v>
      </c>
      <c r="I37" s="15">
        <v>2E-3</v>
      </c>
      <c r="J37" s="16">
        <v>2.4999999999999751</v>
      </c>
    </row>
    <row r="38" spans="2:10" ht="13" x14ac:dyDescent="0.3">
      <c r="B38" s="1"/>
      <c r="C38" s="15">
        <v>4.2</v>
      </c>
      <c r="D38" s="16">
        <v>-4.2</v>
      </c>
      <c r="E38" s="15">
        <v>1.911</v>
      </c>
      <c r="F38" s="16">
        <v>-1.9000000000000092</v>
      </c>
      <c r="G38" s="15">
        <v>0.26700000000000002</v>
      </c>
      <c r="H38" s="16">
        <v>0.29999999999998295</v>
      </c>
      <c r="I38" s="15">
        <v>1E-3</v>
      </c>
      <c r="J38" s="16">
        <v>2.5999999999999748</v>
      </c>
    </row>
    <row r="39" spans="2:10" ht="13" x14ac:dyDescent="0.3">
      <c r="B39" s="1"/>
      <c r="C39" s="15">
        <v>4.0999999999999996</v>
      </c>
      <c r="D39" s="16">
        <v>-4.0999999999999996</v>
      </c>
      <c r="E39" s="15">
        <v>1.8140000000000001</v>
      </c>
      <c r="F39" s="16">
        <v>-1.8000000000000096</v>
      </c>
      <c r="G39" s="15">
        <v>0.23</v>
      </c>
      <c r="H39" s="16">
        <v>0.39999999999998259</v>
      </c>
      <c r="I39" s="15">
        <v>1E-3</v>
      </c>
      <c r="J39" s="16">
        <v>2.6999999999999744</v>
      </c>
    </row>
    <row r="40" spans="2:10" ht="13" x14ac:dyDescent="0.3">
      <c r="B40" s="1"/>
      <c r="C40" s="15">
        <v>4</v>
      </c>
      <c r="D40" s="16">
        <v>-4</v>
      </c>
      <c r="E40" s="15">
        <v>1.718</v>
      </c>
      <c r="F40" s="16">
        <v>-1.7000000000000099</v>
      </c>
      <c r="G40" s="15">
        <v>0.19800000000000001</v>
      </c>
      <c r="H40" s="16">
        <v>0.49999999999998224</v>
      </c>
      <c r="I40" s="15">
        <v>1E-3</v>
      </c>
      <c r="J40" s="16">
        <v>2.7999999999999741</v>
      </c>
    </row>
    <row r="41" spans="2:10" ht="13" x14ac:dyDescent="0.3">
      <c r="B41" s="1"/>
      <c r="C41" s="15">
        <v>3.9</v>
      </c>
      <c r="D41" s="16">
        <v>-3.9</v>
      </c>
      <c r="E41" s="15">
        <v>1.623</v>
      </c>
      <c r="F41" s="16">
        <v>-1.6000000000000103</v>
      </c>
      <c r="G41" s="15">
        <v>0.16900000000000001</v>
      </c>
      <c r="H41" s="16">
        <v>0.59999999999998188</v>
      </c>
      <c r="I41" s="15">
        <v>1E-3</v>
      </c>
      <c r="J41" s="16">
        <v>2.8999999999999737</v>
      </c>
    </row>
    <row r="42" spans="2:10" ht="13" x14ac:dyDescent="0.3">
      <c r="B42" s="1"/>
      <c r="C42" s="15">
        <v>3.8</v>
      </c>
      <c r="D42" s="16">
        <v>-3.8</v>
      </c>
      <c r="E42" s="15">
        <v>1.5289999999999999</v>
      </c>
      <c r="F42" s="16">
        <v>-1.5000000000000107</v>
      </c>
      <c r="G42" s="15">
        <v>0.14299999999999999</v>
      </c>
      <c r="H42" s="16">
        <v>0.69999999999998153</v>
      </c>
      <c r="I42" s="15">
        <v>0</v>
      </c>
      <c r="J42" s="16">
        <v>2.9999999999999734</v>
      </c>
    </row>
    <row r="43" spans="2:10" ht="13" x14ac:dyDescent="0.3">
      <c r="B43" s="1"/>
      <c r="C43" s="15">
        <v>3.7</v>
      </c>
      <c r="D43" s="16">
        <v>-3.7</v>
      </c>
      <c r="E43" s="15">
        <v>1.4370000000000001</v>
      </c>
      <c r="F43" s="16">
        <v>-1.400000000000011</v>
      </c>
      <c r="G43" s="15">
        <v>0.12</v>
      </c>
      <c r="H43" s="16">
        <v>0.79999999999998117</v>
      </c>
      <c r="I43" s="15">
        <v>0</v>
      </c>
      <c r="J43" s="16">
        <v>3.099999999999973</v>
      </c>
    </row>
    <row r="44" spans="2:10" ht="13" x14ac:dyDescent="0.3">
      <c r="B44" s="1"/>
      <c r="C44" s="15">
        <v>3.6</v>
      </c>
      <c r="D44" s="16">
        <v>-3.6</v>
      </c>
      <c r="E44" s="15">
        <v>1.3460000000000001</v>
      </c>
      <c r="F44" s="16">
        <v>-1.3000000000000114</v>
      </c>
      <c r="G44" s="15">
        <v>0.1</v>
      </c>
      <c r="H44" s="16">
        <v>0.89999999999998082</v>
      </c>
      <c r="I44" s="15">
        <v>0</v>
      </c>
      <c r="J44" s="16">
        <v>3.1999999999999726</v>
      </c>
    </row>
    <row r="45" spans="2:10" ht="13" x14ac:dyDescent="0.3">
      <c r="B45" s="1"/>
      <c r="C45" s="15">
        <v>3.5</v>
      </c>
      <c r="D45" s="16">
        <v>-3.5</v>
      </c>
      <c r="E45" s="15">
        <v>1.256</v>
      </c>
      <c r="F45" s="16">
        <v>-1.2000000000000117</v>
      </c>
      <c r="G45" s="15">
        <v>8.3000000000000004E-2</v>
      </c>
      <c r="H45" s="16">
        <v>0.99999999999998046</v>
      </c>
      <c r="I45" s="15">
        <v>0</v>
      </c>
      <c r="J45" s="16">
        <v>3.2999999999999723</v>
      </c>
    </row>
    <row r="46" spans="2:10" ht="13" x14ac:dyDescent="0.3">
      <c r="B46" s="1"/>
      <c r="C46" s="15">
        <v>3.4</v>
      </c>
      <c r="D46" s="16">
        <v>-3.4</v>
      </c>
      <c r="E46" s="15">
        <v>1.169</v>
      </c>
      <c r="F46" s="16">
        <v>-1.1000000000000121</v>
      </c>
      <c r="G46" s="15">
        <v>6.9000000000000006E-2</v>
      </c>
      <c r="H46" s="16">
        <v>1.0999999999999801</v>
      </c>
      <c r="I46" s="15">
        <v>0</v>
      </c>
      <c r="J46" s="16">
        <v>3.3999999999999719</v>
      </c>
    </row>
    <row r="47" spans="2:10" ht="13" x14ac:dyDescent="0.3">
      <c r="B47" s="1"/>
      <c r="C47" s="15">
        <v>3.3</v>
      </c>
      <c r="D47" s="16">
        <v>-3.3</v>
      </c>
      <c r="E47" s="15">
        <v>1.083</v>
      </c>
      <c r="F47" s="16">
        <v>-1.0000000000000124</v>
      </c>
      <c r="G47" s="15">
        <v>5.6000000000000001E-2</v>
      </c>
      <c r="H47" s="16">
        <v>1.1999999999999797</v>
      </c>
      <c r="I47" s="15">
        <v>0</v>
      </c>
      <c r="J47" s="16">
        <v>3.4999999999999716</v>
      </c>
    </row>
    <row r="48" spans="2:10" ht="13" x14ac:dyDescent="0.3">
      <c r="B48" s="1"/>
      <c r="C48" s="15">
        <v>3.2</v>
      </c>
      <c r="D48" s="16">
        <v>-3.2</v>
      </c>
      <c r="E48" s="15">
        <v>1</v>
      </c>
      <c r="F48" s="16">
        <v>-0.90000000000001279</v>
      </c>
      <c r="G48" s="15">
        <v>4.5999999999999999E-2</v>
      </c>
      <c r="H48" s="16">
        <v>1.2999999999999794</v>
      </c>
      <c r="I48" s="15">
        <v>0</v>
      </c>
      <c r="J48" s="16">
        <v>3.5999999999999712</v>
      </c>
    </row>
    <row r="49" spans="2:10" ht="13" x14ac:dyDescent="0.3">
      <c r="B49" s="1"/>
      <c r="C49" s="15">
        <v>3.100000000000005</v>
      </c>
      <c r="D49" s="16">
        <v>-3.100000000000005</v>
      </c>
      <c r="E49" s="15">
        <v>0.92</v>
      </c>
      <c r="F49" s="16">
        <v>-0.80000000000001315</v>
      </c>
      <c r="G49" s="15">
        <v>3.6999999999999998E-2</v>
      </c>
      <c r="H49" s="16">
        <v>1.399999999999979</v>
      </c>
      <c r="I49" s="15">
        <v>0</v>
      </c>
      <c r="J49" s="16">
        <v>3.6999999999999709</v>
      </c>
    </row>
    <row r="50" spans="2:10" ht="13" x14ac:dyDescent="0.3">
      <c r="B50" s="1"/>
      <c r="C50" s="15">
        <v>3.0000000000000053</v>
      </c>
      <c r="D50" s="16">
        <v>-3.0000000000000053</v>
      </c>
      <c r="E50" s="15">
        <v>0.84299999999999997</v>
      </c>
      <c r="F50" s="16">
        <v>-0.7000000000000135</v>
      </c>
      <c r="G50" s="15">
        <v>2.9000000000000001E-2</v>
      </c>
      <c r="H50" s="16">
        <v>1.4999999999999787</v>
      </c>
      <c r="I50" s="15">
        <v>0</v>
      </c>
      <c r="J50" s="16">
        <v>3.7999999999999705</v>
      </c>
    </row>
    <row r="51" spans="2:10" ht="13" x14ac:dyDescent="0.3">
      <c r="B51" s="1"/>
      <c r="C51" s="15">
        <v>2.9009999999999998</v>
      </c>
      <c r="D51" s="16">
        <v>-2.9000000000000057</v>
      </c>
      <c r="E51" s="15">
        <v>0.76900000000000002</v>
      </c>
      <c r="F51" s="16">
        <v>-0.60000000000001386</v>
      </c>
      <c r="G51" s="15">
        <v>2.3E-2</v>
      </c>
      <c r="H51" s="16">
        <v>1.5999999999999783</v>
      </c>
      <c r="I51" s="15">
        <v>0</v>
      </c>
      <c r="J51" s="16">
        <v>3.8999999999999702</v>
      </c>
    </row>
    <row r="52" spans="2:10" ht="13" x14ac:dyDescent="0.3">
      <c r="B52" s="1"/>
      <c r="C52" s="15">
        <v>2.8010000000000002</v>
      </c>
      <c r="D52" s="16">
        <v>-2.800000000000006</v>
      </c>
      <c r="E52" s="15">
        <v>0.69799999999999995</v>
      </c>
      <c r="F52" s="16">
        <v>-0.50000000000001421</v>
      </c>
      <c r="G52" s="15">
        <v>1.7999999999999999E-2</v>
      </c>
      <c r="H52" s="16">
        <v>1.699999999999978</v>
      </c>
      <c r="I52" s="15">
        <v>0</v>
      </c>
      <c r="J52" s="16">
        <v>3.9999999999999698</v>
      </c>
    </row>
    <row r="53" spans="2:10" ht="13" x14ac:dyDescent="0.3">
      <c r="B53" s="1"/>
      <c r="C53" s="15">
        <v>2.7010000000000001</v>
      </c>
      <c r="D53" s="16">
        <v>-2.7000000000000064</v>
      </c>
      <c r="E53" s="15">
        <v>0.63</v>
      </c>
      <c r="F53" s="16">
        <v>-0.40000000000001457</v>
      </c>
      <c r="G53" s="15">
        <v>1.4E-2</v>
      </c>
      <c r="H53" s="16">
        <v>1.7999999999999776</v>
      </c>
      <c r="I53" s="15">
        <v>0</v>
      </c>
      <c r="J53" s="16">
        <v>4.0999999999999694</v>
      </c>
    </row>
    <row r="54" spans="2:10" ht="13" x14ac:dyDescent="0.3">
      <c r="B54" s="1"/>
      <c r="C54" s="15">
        <v>2.601</v>
      </c>
      <c r="D54" s="16">
        <v>-2.6000000000000068</v>
      </c>
      <c r="E54" s="15">
        <v>0.56699999999999995</v>
      </c>
      <c r="F54" s="16">
        <v>-0.30000000000001492</v>
      </c>
      <c r="G54" s="15">
        <v>1.0999999999999999E-2</v>
      </c>
      <c r="H54" s="16">
        <v>1.8999999999999773</v>
      </c>
      <c r="I54" s="15">
        <v>0</v>
      </c>
      <c r="J54" s="16">
        <v>4.1999999999999691</v>
      </c>
    </row>
    <row r="55" spans="2:10" ht="13" x14ac:dyDescent="0.3">
      <c r="B55" s="1"/>
      <c r="C55" s="15">
        <v>2.5019999999999998</v>
      </c>
      <c r="D55" s="16">
        <v>-2.5000000000000071</v>
      </c>
      <c r="E55" s="15">
        <v>0.50700000000000001</v>
      </c>
      <c r="F55" s="16">
        <v>-0.20000000000001528</v>
      </c>
      <c r="G55" s="15">
        <v>8.0000000000000002E-3</v>
      </c>
      <c r="H55" s="16">
        <v>1.9999999999999769</v>
      </c>
      <c r="I55" s="15">
        <v>0</v>
      </c>
      <c r="J55" s="16">
        <v>4.2999999999999687</v>
      </c>
    </row>
    <row r="56" spans="2:10" ht="13" x14ac:dyDescent="0.3">
      <c r="B56" s="1"/>
      <c r="C56" s="15">
        <v>2.403</v>
      </c>
      <c r="D56" s="16">
        <v>-2.4000000000000075</v>
      </c>
      <c r="E56" s="15">
        <v>0.45100000000000001</v>
      </c>
      <c r="F56" s="16">
        <v>-0.10000000000001563</v>
      </c>
      <c r="G56" s="15">
        <v>6.0000000000000001E-3</v>
      </c>
      <c r="H56" s="16">
        <v>2.0999999999999766</v>
      </c>
      <c r="I56" s="15">
        <v>0</v>
      </c>
      <c r="J56" s="16">
        <v>4.3999999999999684</v>
      </c>
    </row>
    <row r="57" spans="2:10" ht="13" x14ac:dyDescent="0.3">
      <c r="B57" s="1"/>
      <c r="C57" s="17">
        <v>2.3029999999999999</v>
      </c>
      <c r="D57" s="18">
        <v>-2.3000000000000078</v>
      </c>
      <c r="E57" s="17">
        <v>0.39900000000000002</v>
      </c>
      <c r="F57" s="18">
        <v>-1.5987211554602254E-14</v>
      </c>
      <c r="G57" s="17">
        <v>5.0000000000000001E-3</v>
      </c>
      <c r="H57" s="18">
        <v>2.1999999999999762</v>
      </c>
      <c r="I57" s="17">
        <v>0</v>
      </c>
      <c r="J57" s="18">
        <v>4.499999999999968</v>
      </c>
    </row>
    <row r="58" spans="2:10" ht="13" x14ac:dyDescent="0.3">
      <c r="B58" s="1"/>
    </row>
  </sheetData>
  <sheetProtection sheet="1" objects="1" scenarios="1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F21" sqref="F21"/>
    </sheetView>
  </sheetViews>
  <sheetFormatPr defaultRowHeight="12.5" x14ac:dyDescent="0.25"/>
  <sheetData>
    <row r="1" spans="1:8" x14ac:dyDescent="0.25">
      <c r="B1" t="s">
        <v>69</v>
      </c>
      <c r="C1" s="36">
        <v>8000</v>
      </c>
    </row>
    <row r="2" spans="1:8" x14ac:dyDescent="0.25">
      <c r="B2" t="s">
        <v>70</v>
      </c>
      <c r="C2" s="36">
        <v>25</v>
      </c>
    </row>
    <row r="3" spans="1:8" x14ac:dyDescent="0.25">
      <c r="B3" t="s">
        <v>71</v>
      </c>
      <c r="C3" s="36">
        <v>0.1</v>
      </c>
    </row>
    <row r="4" spans="1:8" x14ac:dyDescent="0.25">
      <c r="B4" t="s">
        <v>72</v>
      </c>
      <c r="C4" s="36">
        <v>5</v>
      </c>
    </row>
    <row r="5" spans="1:8" x14ac:dyDescent="0.25">
      <c r="B5" t="s">
        <v>73</v>
      </c>
      <c r="C5" s="36">
        <v>0.5</v>
      </c>
    </row>
    <row r="9" spans="1:8" x14ac:dyDescent="0.25">
      <c r="B9" t="s">
        <v>74</v>
      </c>
      <c r="D9" t="s">
        <v>75</v>
      </c>
      <c r="F9" t="s">
        <v>76</v>
      </c>
      <c r="H9" t="s">
        <v>77</v>
      </c>
    </row>
    <row r="11" spans="1:8" x14ac:dyDescent="0.25">
      <c r="A11" t="s">
        <v>78</v>
      </c>
      <c r="B11" t="s">
        <v>79</v>
      </c>
      <c r="C11" t="s">
        <v>78</v>
      </c>
      <c r="D11" t="s">
        <v>79</v>
      </c>
      <c r="E11" t="s">
        <v>78</v>
      </c>
      <c r="F11" t="s">
        <v>79</v>
      </c>
      <c r="G11" t="s">
        <v>78</v>
      </c>
      <c r="H11" t="s">
        <v>79</v>
      </c>
    </row>
    <row r="12" spans="1:8" x14ac:dyDescent="0.25">
      <c r="A12" t="s">
        <v>80</v>
      </c>
      <c r="B12" t="s">
        <v>81</v>
      </c>
      <c r="C12" t="s">
        <v>80</v>
      </c>
      <c r="D12" t="s">
        <v>81</v>
      </c>
      <c r="E12" t="s">
        <v>80</v>
      </c>
      <c r="F12" t="s">
        <v>81</v>
      </c>
      <c r="G12" t="s">
        <v>80</v>
      </c>
      <c r="H12" t="s">
        <v>81</v>
      </c>
    </row>
    <row r="13" spans="1:8" x14ac:dyDescent="0.25">
      <c r="A13" s="36">
        <v>600</v>
      </c>
      <c r="B13">
        <v>483.33333333333331</v>
      </c>
      <c r="C13" s="36">
        <v>800</v>
      </c>
      <c r="D13">
        <v>450</v>
      </c>
      <c r="E13" s="36">
        <v>880</v>
      </c>
      <c r="F13">
        <v>447.27272727272725</v>
      </c>
      <c r="G13" s="36">
        <v>890</v>
      </c>
      <c r="H13">
        <v>447.21910112359552</v>
      </c>
    </row>
    <row r="14" spans="1:8" x14ac:dyDescent="0.25">
      <c r="A14" s="36">
        <v>700</v>
      </c>
      <c r="B14">
        <v>460.71428571428572</v>
      </c>
      <c r="C14" s="36">
        <v>840</v>
      </c>
      <c r="D14">
        <v>448.09523809523807</v>
      </c>
      <c r="E14" s="36">
        <v>890</v>
      </c>
      <c r="F14">
        <v>447.21910112359552</v>
      </c>
      <c r="G14" s="36">
        <v>891</v>
      </c>
      <c r="H14">
        <v>447.21689113355779</v>
      </c>
    </row>
    <row r="15" spans="1:8" x14ac:dyDescent="0.25">
      <c r="A15" s="36">
        <v>800</v>
      </c>
      <c r="B15">
        <v>450</v>
      </c>
      <c r="C15" s="36">
        <v>880</v>
      </c>
      <c r="D15">
        <v>447.27272727272725</v>
      </c>
      <c r="E15" s="36">
        <v>900</v>
      </c>
      <c r="F15">
        <v>447.22222222222223</v>
      </c>
      <c r="G15" s="36">
        <v>892</v>
      </c>
      <c r="H15">
        <v>447.21524663677133</v>
      </c>
    </row>
    <row r="16" spans="1:8" x14ac:dyDescent="0.25">
      <c r="A16" s="36">
        <v>900</v>
      </c>
      <c r="B16">
        <v>447.22222222222223</v>
      </c>
      <c r="C16" s="36">
        <v>920</v>
      </c>
      <c r="D16">
        <v>447.39130434782606</v>
      </c>
      <c r="E16" s="36">
        <v>910</v>
      </c>
      <c r="F16">
        <v>447.2802197802198</v>
      </c>
      <c r="G16" s="36">
        <v>893</v>
      </c>
      <c r="H16">
        <v>447.21416573348262</v>
      </c>
    </row>
    <row r="17" spans="1:8" x14ac:dyDescent="0.25">
      <c r="A17" s="36">
        <v>1000</v>
      </c>
      <c r="B17">
        <v>450</v>
      </c>
      <c r="C17" s="36">
        <v>960</v>
      </c>
      <c r="D17">
        <v>448.33333333333331</v>
      </c>
      <c r="E17" s="36">
        <v>920</v>
      </c>
      <c r="F17">
        <v>447.39130434782606</v>
      </c>
      <c r="G17" s="36">
        <v>894</v>
      </c>
      <c r="H17">
        <v>447.21364653243847</v>
      </c>
    </row>
    <row r="18" spans="1:8" x14ac:dyDescent="0.25">
      <c r="A18" s="36">
        <v>1100</v>
      </c>
      <c r="B18">
        <v>456.81818181818181</v>
      </c>
      <c r="C18" s="36">
        <v>1000</v>
      </c>
      <c r="D18">
        <v>450</v>
      </c>
      <c r="E18" s="36">
        <v>930</v>
      </c>
      <c r="F18">
        <v>447.55376344086022</v>
      </c>
      <c r="G18" s="36">
        <v>895</v>
      </c>
      <c r="H18">
        <v>447.21368715083798</v>
      </c>
    </row>
    <row r="19" spans="1:8" x14ac:dyDescent="0.25">
      <c r="G19" s="36">
        <v>896</v>
      </c>
      <c r="H19">
        <v>447.21428571428572</v>
      </c>
    </row>
    <row r="20" spans="1:8" x14ac:dyDescent="0.25">
      <c r="G20" s="36">
        <v>897</v>
      </c>
      <c r="H20">
        <v>447.21544035674469</v>
      </c>
    </row>
    <row r="21" spans="1:8" x14ac:dyDescent="0.25">
      <c r="G21" s="36">
        <v>898</v>
      </c>
      <c r="H21">
        <v>447.21714922049</v>
      </c>
    </row>
    <row r="22" spans="1:8" x14ac:dyDescent="0.25">
      <c r="G22" s="36">
        <v>899</v>
      </c>
      <c r="H22">
        <v>447.21941045606229</v>
      </c>
    </row>
    <row r="23" spans="1:8" x14ac:dyDescent="0.25">
      <c r="G23" s="36">
        <v>900</v>
      </c>
      <c r="H23">
        <v>447.22222222222223</v>
      </c>
    </row>
  </sheetData>
  <sheetProtection sheet="1" objects="1" scenarios="1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>
      <selection activeCell="F15" sqref="F15"/>
    </sheetView>
  </sheetViews>
  <sheetFormatPr defaultRowHeight="12.5" x14ac:dyDescent="0.25"/>
  <sheetData>
    <row r="3" spans="1:8" x14ac:dyDescent="0.25">
      <c r="A3" t="s">
        <v>82</v>
      </c>
      <c r="B3" t="s">
        <v>83</v>
      </c>
      <c r="C3" t="s">
        <v>83</v>
      </c>
      <c r="D3" t="s">
        <v>84</v>
      </c>
      <c r="E3" t="s">
        <v>85</v>
      </c>
      <c r="F3" t="s">
        <v>86</v>
      </c>
      <c r="G3" t="s">
        <v>85</v>
      </c>
    </row>
    <row r="4" spans="1:8" x14ac:dyDescent="0.25">
      <c r="A4" t="s">
        <v>87</v>
      </c>
      <c r="B4" t="s">
        <v>81</v>
      </c>
      <c r="C4" t="s">
        <v>88</v>
      </c>
      <c r="D4" t="s">
        <v>80</v>
      </c>
      <c r="E4" t="s">
        <v>89</v>
      </c>
      <c r="F4" t="s">
        <v>90</v>
      </c>
      <c r="G4" t="s">
        <v>91</v>
      </c>
      <c r="H4" t="s">
        <v>79</v>
      </c>
    </row>
    <row r="5" spans="1:8" x14ac:dyDescent="0.25">
      <c r="C5" t="s">
        <v>81</v>
      </c>
      <c r="E5" t="s">
        <v>88</v>
      </c>
      <c r="F5" t="s">
        <v>81</v>
      </c>
      <c r="G5" t="s">
        <v>81</v>
      </c>
      <c r="H5" t="s">
        <v>81</v>
      </c>
    </row>
    <row r="6" spans="1:8" x14ac:dyDescent="0.25">
      <c r="E6" t="s">
        <v>81</v>
      </c>
    </row>
    <row r="7" spans="1:8" x14ac:dyDescent="0.25">
      <c r="B7" t="s">
        <v>59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</row>
    <row r="8" spans="1:8" x14ac:dyDescent="0.25">
      <c r="A8">
        <v>1</v>
      </c>
      <c r="B8" s="36">
        <v>5</v>
      </c>
      <c r="C8" s="36">
        <v>0.5</v>
      </c>
      <c r="D8" s="36">
        <v>895</v>
      </c>
      <c r="E8">
        <v>223.75</v>
      </c>
      <c r="F8">
        <v>223.46</v>
      </c>
      <c r="G8">
        <v>40000</v>
      </c>
      <c r="H8">
        <v>40447.21</v>
      </c>
    </row>
    <row r="9" spans="1:8" x14ac:dyDescent="0.25">
      <c r="A9">
        <v>2</v>
      </c>
      <c r="B9" s="36">
        <v>4.8499999999999996</v>
      </c>
      <c r="C9" s="36">
        <v>0.48499999999999999</v>
      </c>
      <c r="D9" s="36">
        <v>1000</v>
      </c>
      <c r="E9">
        <v>242.5</v>
      </c>
      <c r="F9">
        <v>200</v>
      </c>
      <c r="G9">
        <v>38800</v>
      </c>
      <c r="H9">
        <v>39242.5</v>
      </c>
    </row>
    <row r="10" spans="1:8" x14ac:dyDescent="0.25">
      <c r="A10">
        <v>3</v>
      </c>
      <c r="B10" s="36">
        <v>4.7</v>
      </c>
      <c r="C10" s="36">
        <v>0.47</v>
      </c>
      <c r="D10" s="36">
        <v>1600</v>
      </c>
      <c r="E10">
        <v>376</v>
      </c>
      <c r="F10">
        <v>125</v>
      </c>
      <c r="G10">
        <v>37600</v>
      </c>
      <c r="H10">
        <v>38101</v>
      </c>
    </row>
  </sheetData>
  <sheetProtection sheet="1" objects="1" scenarios="1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EOQ</vt:lpstr>
      <vt:lpstr>EPLS</vt:lpstr>
      <vt:lpstr>InvApprox</vt:lpstr>
      <vt:lpstr>Discount</vt:lpstr>
      <vt:lpstr>TABLE</vt:lpstr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Models</dc:title>
  <dc:subject>The Irwin Project - Gail Karosa</dc:subject>
  <dc:creator>Ore A. Soluade, Ph.D.</dc:creator>
  <cp:keywords>EOQ,EPLS,</cp:keywords>
  <dc:description>This is the Inventory Chapter of the Templates for the Chase &amp; Aquilano Text.
</dc:description>
  <cp:lastModifiedBy>Carina Negreanu</cp:lastModifiedBy>
  <dcterms:created xsi:type="dcterms:W3CDTF">2020-01-27T10:31:24Z</dcterms:created>
  <dcterms:modified xsi:type="dcterms:W3CDTF">2020-01-27T10:31:25Z</dcterms:modified>
</cp:coreProperties>
</file>