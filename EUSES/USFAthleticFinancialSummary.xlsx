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488A56D-7110-464F-9DAD-671F1A1EA968}" xr6:coauthVersionLast="45" xr6:coauthVersionMax="45" xr10:uidLastSave="{00000000-0000-0000-0000-000000000000}"/>
  <bookViews>
    <workbookView xWindow="3040" yWindow="3040" windowWidth="28800" windowHeight="15460"/>
  </bookViews>
  <sheets>
    <sheet name="USFAthleticBondFinancial" sheetId="2" r:id="rId1"/>
  </sheets>
  <definedNames>
    <definedName name="_xlnm.Print_Area" localSheetId="0">USFAthleticBondFinancial!$A$1:$E$76</definedName>
    <definedName name="Print_Area_MI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2" i="2" l="1"/>
  <c r="C32" i="2"/>
  <c r="C53" i="2"/>
  <c r="C66" i="2"/>
  <c r="C73" i="2"/>
</calcChain>
</file>

<file path=xl/sharedStrings.xml><?xml version="1.0" encoding="utf-8"?>
<sst xmlns="http://schemas.openxmlformats.org/spreadsheetml/2006/main" count="59" uniqueCount="56">
  <si>
    <t>Sources of Funds</t>
  </si>
  <si>
    <t>Basis for Amounts</t>
  </si>
  <si>
    <t>Net Bond Proceeds</t>
  </si>
  <si>
    <t>Total Sources of Funds</t>
  </si>
  <si>
    <t>Uses of Funds</t>
  </si>
  <si>
    <t>Planning, Construction &amp; Equipment</t>
  </si>
  <si>
    <t xml:space="preserve">Estimated Interest to be Paid During </t>
  </si>
  <si>
    <t>Construction (Capitalized Interest)</t>
  </si>
  <si>
    <t>Total Uses of Funds</t>
  </si>
  <si>
    <t>Less:  Operating Costs</t>
  </si>
  <si>
    <t>Revenue Available for Debt Service</t>
  </si>
  <si>
    <t>Debt Service Coverage Ratio</t>
  </si>
  <si>
    <t>Debt Service Reserve Account</t>
  </si>
  <si>
    <t>Less:  Cost of Issuance</t>
  </si>
  <si>
    <t>N/A</t>
  </si>
  <si>
    <t>Certificates of Participation Amount</t>
  </si>
  <si>
    <t>(including contingency for construction)</t>
  </si>
  <si>
    <t xml:space="preserve">Variable rate financing does not require a debt service reserve </t>
  </si>
  <si>
    <t xml:space="preserve">fund.  </t>
  </si>
  <si>
    <t xml:space="preserve">          for Fiscal Year 2004-2005*</t>
  </si>
  <si>
    <t xml:space="preserve">             Underwriter's Discount </t>
  </si>
  <si>
    <t>Plus:  Interest Earnings (Construction Trust Fund)</t>
  </si>
  <si>
    <t>Plus:  Interest Earnings (Capitalized Interest Account)</t>
  </si>
  <si>
    <t>*  The financial analysis is based on information provided by the University of South Florida and Public Financial</t>
  </si>
  <si>
    <t xml:space="preserve">    Management, Inc., as financial advisor to the University of South Florida Foundation.</t>
  </si>
  <si>
    <t xml:space="preserve">Estimate is based on net bond proceeds on deposit in the </t>
  </si>
  <si>
    <t>Capital Interest Account at a rate of 2%.</t>
  </si>
  <si>
    <t xml:space="preserve">                                                                                                       Intercollegiate Athletic Facility</t>
  </si>
  <si>
    <t xml:space="preserve">                                                                               Analysis of the Financial Plan for University of South Florida </t>
  </si>
  <si>
    <t xml:space="preserve">credit enhancement premium.  The 6% rate is inclusive of ongoing </t>
  </si>
  <si>
    <t>fees for remarketing, liquidity, and credit enhancement.</t>
  </si>
  <si>
    <t xml:space="preserve">Estimated issuance cost for bond counsel, and other costs </t>
  </si>
  <si>
    <t>Participation.</t>
  </si>
  <si>
    <t>Assumed to be $3.00 per thousand.</t>
  </si>
  <si>
    <t>Project Construction Fund invested for 15 months at an interest rate of 2%.</t>
  </si>
  <si>
    <t>Capitalized Interest Account at a rate of 2%.</t>
  </si>
  <si>
    <t xml:space="preserve">The building construction cost per square foot is $105.03.  The total project </t>
  </si>
  <si>
    <t xml:space="preserve">cost for the Athletic Facility is $15,000,000.  Other funding sources to support </t>
  </si>
  <si>
    <t xml:space="preserve">the Facility include:  $1,000,000 from donations, $970,000 from Capital </t>
  </si>
  <si>
    <t xml:space="preserve">Improvement Fee funds, and $900,000 from pouring contract.  Revenue </t>
  </si>
  <si>
    <t>to be collected by November, 2003.</t>
  </si>
  <si>
    <t>Debt Service Coverage - Athletic Facility</t>
  </si>
  <si>
    <t>Total USF Athletics Facility Revenue</t>
  </si>
  <si>
    <t>during 2004-2005.</t>
  </si>
  <si>
    <t>Projected operating expenditures for the USF Athletic Facility</t>
  </si>
  <si>
    <t>Projected revenues generated by the USF Athletic Facility</t>
  </si>
  <si>
    <t>Net revenue available for debt service from operations</t>
  </si>
  <si>
    <t>Debt Service payment for Series 2003 bonds for 2004-2005.</t>
  </si>
  <si>
    <t>Annual Debt Service for 2004-2005</t>
  </si>
  <si>
    <t>Rounding/Contingency Amount</t>
  </si>
  <si>
    <t xml:space="preserve">                                                                                                      (Intercollegiate Athletic Facility)</t>
  </si>
  <si>
    <t xml:space="preserve">Series 2003-A amount is based on a variable interest rate of 6% </t>
  </si>
  <si>
    <t xml:space="preserve">associated with the issuance of the 2003-A Certificates of </t>
  </si>
  <si>
    <t xml:space="preserve">Estimate is based on net bond proceeds on deposit in the 2003-A </t>
  </si>
  <si>
    <t>(all-inclusive) for 20 years.  The bond sizing assumes no upfront</t>
  </si>
  <si>
    <t xml:space="preserve">       BOARD OF GOVERNORS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</si>
</sst>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General_)"/>
    <numFmt numFmtId="173" formatCode="0.00_)"/>
  </numFmts>
  <fonts count="5" x14ac:knownFonts="1">
    <font>
      <sz val="8"/>
      <name val="Helv"/>
    </font>
    <font>
      <b/>
      <sz val="12"/>
      <name val="Helv"/>
    </font>
    <font>
      <b/>
      <sz val="11"/>
      <name val="Helv"/>
    </font>
    <font>
      <sz val="11"/>
      <name val="Helv"/>
    </font>
    <font>
      <b/>
      <u/>
      <sz val="11"/>
      <name val="Helv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">
    <border>
      <left/>
      <right/>
      <top/>
      <bottom/>
      <diagonal/>
    </border>
  </borders>
  <cellStyleXfs count="1">
    <xf numFmtId="172" fontId="0" fillId="0" borderId="0"/>
  </cellStyleXfs>
  <cellXfs count="24">
    <xf numFmtId="172" fontId="0" fillId="0" borderId="0" xfId="0"/>
    <xf numFmtId="172" fontId="2" fillId="0" borderId="0" xfId="0" applyFont="1" applyAlignment="1" applyProtection="1">
      <alignment horizontal="centerContinuous"/>
    </xf>
    <xf numFmtId="172" fontId="3" fillId="0" borderId="0" xfId="0" applyFont="1" applyAlignment="1">
      <alignment horizontal="centerContinuous"/>
    </xf>
    <xf numFmtId="172" fontId="4" fillId="0" borderId="0" xfId="0" applyFont="1" applyAlignment="1" applyProtection="1">
      <alignment horizontal="left"/>
    </xf>
    <xf numFmtId="172" fontId="3" fillId="0" borderId="0" xfId="0" applyFont="1"/>
    <xf numFmtId="172" fontId="4" fillId="0" borderId="0" xfId="0" applyFont="1" applyAlignment="1" applyProtection="1">
      <alignment horizontal="center"/>
    </xf>
    <xf numFmtId="172" fontId="3" fillId="0" borderId="0" xfId="0" applyFont="1" applyAlignment="1" applyProtection="1">
      <alignment horizontal="left"/>
    </xf>
    <xf numFmtId="37" fontId="3" fillId="0" borderId="0" xfId="0" applyNumberFormat="1" applyFont="1" applyProtection="1"/>
    <xf numFmtId="172" fontId="2" fillId="0" borderId="0" xfId="0" applyFont="1" applyAlignment="1" applyProtection="1">
      <alignment horizontal="center"/>
    </xf>
    <xf numFmtId="37" fontId="2" fillId="0" borderId="0" xfId="0" applyNumberFormat="1" applyFont="1" applyProtection="1"/>
    <xf numFmtId="172" fontId="2" fillId="0" borderId="0" xfId="0" applyFont="1" applyAlignment="1" applyProtection="1">
      <alignment horizontal="left"/>
    </xf>
    <xf numFmtId="173" fontId="2" fillId="0" borderId="0" xfId="0" applyNumberFormat="1" applyFont="1" applyProtection="1"/>
    <xf numFmtId="168" fontId="2" fillId="0" borderId="0" xfId="0" applyNumberFormat="1" applyFont="1" applyProtection="1"/>
    <xf numFmtId="168" fontId="3" fillId="0" borderId="0" xfId="0" applyNumberFormat="1" applyFont="1" applyProtection="1"/>
    <xf numFmtId="39" fontId="0" fillId="0" borderId="0" xfId="0" applyNumberFormat="1"/>
    <xf numFmtId="172" fontId="2" fillId="0" borderId="0" xfId="0" applyFont="1"/>
    <xf numFmtId="169" fontId="3" fillId="0" borderId="0" xfId="0" applyNumberFormat="1" applyFont="1" applyAlignment="1">
      <alignment horizontal="right"/>
    </xf>
    <xf numFmtId="170" fontId="3" fillId="0" borderId="0" xfId="0" applyNumberFormat="1" applyFont="1" applyProtection="1"/>
    <xf numFmtId="39" fontId="3" fillId="0" borderId="0" xfId="0" applyNumberFormat="1" applyFont="1" applyProtection="1"/>
    <xf numFmtId="170" fontId="2" fillId="0" borderId="0" xfId="0" applyNumberFormat="1" applyFont="1" applyProtection="1"/>
    <xf numFmtId="171" fontId="3" fillId="0" borderId="0" xfId="0" applyNumberFormat="1" applyFont="1" applyAlignment="1">
      <alignment horizontal="right"/>
    </xf>
    <xf numFmtId="172" fontId="1" fillId="2" borderId="0" xfId="0" applyFont="1" applyFill="1" applyAlignment="1" applyProtection="1">
      <alignment horizontal="left"/>
    </xf>
    <xf numFmtId="172" fontId="1" fillId="2" borderId="0" xfId="0" applyFont="1" applyFill="1" applyAlignment="1" applyProtection="1">
      <alignment horizontal="center"/>
    </xf>
    <xf numFmtId="172" fontId="1" fillId="0" borderId="0" xfId="0" applyFont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tabSelected="1" zoomScaleNormal="100" workbookViewId="0">
      <selection activeCell="A5" sqref="A5"/>
    </sheetView>
  </sheetViews>
  <sheetFormatPr defaultRowHeight="10.5" x14ac:dyDescent="0.25"/>
  <cols>
    <col min="1" max="1" width="55.77734375" customWidth="1"/>
    <col min="2" max="2" width="1.77734375" customWidth="1"/>
    <col min="3" max="3" width="23.77734375" customWidth="1"/>
    <col min="4" max="4" width="1.77734375" customWidth="1"/>
    <col min="5" max="5" width="90.77734375" customWidth="1"/>
    <col min="10" max="10" width="12.77734375" customWidth="1"/>
  </cols>
  <sheetData>
    <row r="1" spans="1:5" ht="15.5" x14ac:dyDescent="0.35">
      <c r="A1" s="23" t="s">
        <v>55</v>
      </c>
      <c r="B1" s="23"/>
      <c r="C1" s="23"/>
      <c r="D1" s="23"/>
      <c r="E1" s="23"/>
    </row>
    <row r="2" spans="1:5" ht="15.5" x14ac:dyDescent="0.35">
      <c r="A2" s="21"/>
      <c r="B2" s="22"/>
      <c r="C2" s="22"/>
      <c r="D2" s="22"/>
      <c r="E2" s="22"/>
    </row>
    <row r="3" spans="1:5" ht="13.5" x14ac:dyDescent="0.25">
      <c r="A3" s="10" t="s">
        <v>28</v>
      </c>
      <c r="B3" s="1"/>
      <c r="C3" s="2"/>
      <c r="D3" s="2"/>
      <c r="E3" s="2"/>
    </row>
    <row r="4" spans="1:5" ht="13.5" x14ac:dyDescent="0.25">
      <c r="A4" s="10" t="s">
        <v>27</v>
      </c>
      <c r="B4" s="1"/>
      <c r="C4" s="2"/>
      <c r="D4" s="2"/>
      <c r="E4" s="2"/>
    </row>
    <row r="5" spans="1:5" ht="13.5" x14ac:dyDescent="0.25">
      <c r="A5" s="1" t="s">
        <v>19</v>
      </c>
      <c r="B5" s="1"/>
      <c r="C5" s="2"/>
      <c r="D5" s="2"/>
      <c r="E5" s="2"/>
    </row>
    <row r="6" spans="1:5" ht="8.15" customHeight="1" x14ac:dyDescent="0.25">
      <c r="A6" s="1"/>
      <c r="B6" s="1"/>
      <c r="C6" s="2"/>
      <c r="D6" s="2"/>
      <c r="E6" s="2"/>
    </row>
    <row r="7" spans="1:5" ht="13.5" x14ac:dyDescent="0.25">
      <c r="A7" s="10" t="s">
        <v>50</v>
      </c>
      <c r="B7" s="1"/>
      <c r="C7" s="2"/>
      <c r="D7" s="2"/>
      <c r="E7" s="2"/>
    </row>
    <row r="8" spans="1:5" ht="13.5" x14ac:dyDescent="0.25">
      <c r="A8" s="2"/>
      <c r="B8" s="2"/>
      <c r="C8" s="2"/>
      <c r="D8" s="2"/>
      <c r="E8" s="2"/>
    </row>
    <row r="9" spans="1:5" ht="13.5" x14ac:dyDescent="0.25">
      <c r="A9" s="3" t="s">
        <v>0</v>
      </c>
      <c r="B9" s="3"/>
      <c r="C9" s="4"/>
      <c r="D9" s="4"/>
      <c r="E9" s="5" t="s">
        <v>1</v>
      </c>
    </row>
    <row r="10" spans="1:5" ht="8.15" customHeight="1" x14ac:dyDescent="0.25">
      <c r="A10" s="4"/>
      <c r="B10" s="4"/>
      <c r="C10" s="6"/>
      <c r="D10" s="6"/>
      <c r="E10" s="4"/>
    </row>
    <row r="11" spans="1:5" ht="13.5" x14ac:dyDescent="0.25">
      <c r="A11" s="6" t="s">
        <v>15</v>
      </c>
      <c r="B11" s="6"/>
      <c r="C11" s="17">
        <v>13200000</v>
      </c>
      <c r="D11" s="13"/>
      <c r="E11" s="6" t="s">
        <v>51</v>
      </c>
    </row>
    <row r="12" spans="1:5" ht="13.5" x14ac:dyDescent="0.25">
      <c r="A12" s="6"/>
      <c r="B12" s="6"/>
      <c r="C12" s="7"/>
      <c r="D12" s="7"/>
      <c r="E12" s="6" t="s">
        <v>54</v>
      </c>
    </row>
    <row r="13" spans="1:5" ht="12.75" customHeight="1" x14ac:dyDescent="0.25">
      <c r="A13" s="6"/>
      <c r="B13" s="6"/>
      <c r="C13" s="7"/>
      <c r="D13" s="7"/>
      <c r="E13" s="6" t="s">
        <v>29</v>
      </c>
    </row>
    <row r="14" spans="1:5" ht="12.75" customHeight="1" x14ac:dyDescent="0.25">
      <c r="A14" s="6"/>
      <c r="B14" s="6"/>
      <c r="C14" s="7"/>
      <c r="D14" s="7"/>
      <c r="E14" s="6" t="s">
        <v>30</v>
      </c>
    </row>
    <row r="15" spans="1:5" ht="12.75" customHeight="1" x14ac:dyDescent="0.25">
      <c r="A15" s="6"/>
      <c r="B15" s="6"/>
      <c r="C15" s="7"/>
      <c r="D15" s="7"/>
      <c r="E15" s="6"/>
    </row>
    <row r="16" spans="1:5" ht="12.75" customHeight="1" x14ac:dyDescent="0.25">
      <c r="A16" s="6" t="s">
        <v>13</v>
      </c>
      <c r="B16" s="6"/>
      <c r="C16" s="17">
        <v>-125000</v>
      </c>
      <c r="D16" s="7"/>
      <c r="E16" s="6" t="s">
        <v>31</v>
      </c>
    </row>
    <row r="17" spans="1:5" ht="12.75" customHeight="1" x14ac:dyDescent="0.25">
      <c r="A17" s="6"/>
      <c r="B17" s="6"/>
      <c r="C17" s="18"/>
      <c r="D17" s="7"/>
      <c r="E17" s="6" t="s">
        <v>52</v>
      </c>
    </row>
    <row r="18" spans="1:5" ht="12.75" customHeight="1" x14ac:dyDescent="0.25">
      <c r="A18" s="6"/>
      <c r="B18" s="6"/>
      <c r="C18" s="18"/>
      <c r="D18" s="7"/>
      <c r="E18" s="6" t="s">
        <v>32</v>
      </c>
    </row>
    <row r="19" spans="1:5" ht="12.75" customHeight="1" x14ac:dyDescent="0.25">
      <c r="A19" s="6"/>
      <c r="B19" s="6"/>
      <c r="C19" s="18"/>
      <c r="D19" s="7"/>
      <c r="E19" s="6"/>
    </row>
    <row r="20" spans="1:5" ht="12.75" customHeight="1" x14ac:dyDescent="0.25">
      <c r="A20" s="6" t="s">
        <v>20</v>
      </c>
      <c r="B20" s="6"/>
      <c r="C20" s="18">
        <v>-39600</v>
      </c>
      <c r="D20" s="7"/>
      <c r="E20" s="6" t="s">
        <v>33</v>
      </c>
    </row>
    <row r="21" spans="1:5" ht="12.75" customHeight="1" x14ac:dyDescent="0.25">
      <c r="A21" s="6"/>
      <c r="B21" s="6"/>
      <c r="C21" s="18"/>
      <c r="D21" s="7"/>
      <c r="E21" s="6"/>
    </row>
    <row r="22" spans="1:5" ht="12.75" customHeight="1" x14ac:dyDescent="0.25">
      <c r="A22" s="6" t="s">
        <v>2</v>
      </c>
      <c r="B22" s="6"/>
      <c r="C22" s="17">
        <f>SUM(C11:C20)</f>
        <v>13035400</v>
      </c>
      <c r="D22" s="7"/>
      <c r="E22" s="6"/>
    </row>
    <row r="23" spans="1:5" ht="12.75" customHeight="1" x14ac:dyDescent="0.25">
      <c r="A23" s="6"/>
      <c r="B23" s="6"/>
      <c r="C23" s="7"/>
      <c r="D23" s="7"/>
      <c r="E23" s="6"/>
    </row>
    <row r="24" spans="1:5" ht="8.15" customHeight="1" x14ac:dyDescent="0.25">
      <c r="A24" s="6"/>
      <c r="B24" s="6"/>
      <c r="C24" s="7"/>
      <c r="D24" s="7"/>
      <c r="E24" s="6"/>
    </row>
    <row r="25" spans="1:5" ht="13.5" x14ac:dyDescent="0.25">
      <c r="A25" s="6" t="s">
        <v>21</v>
      </c>
      <c r="B25" s="6"/>
      <c r="C25" s="17">
        <v>140498</v>
      </c>
      <c r="D25" s="7"/>
      <c r="E25" s="6" t="s">
        <v>53</v>
      </c>
    </row>
    <row r="26" spans="1:5" ht="13.5" x14ac:dyDescent="0.25">
      <c r="A26" s="6"/>
      <c r="B26" s="6"/>
      <c r="C26" s="18"/>
      <c r="D26" s="7"/>
      <c r="E26" s="6" t="s">
        <v>34</v>
      </c>
    </row>
    <row r="27" spans="1:5" ht="13.5" x14ac:dyDescent="0.25">
      <c r="A27" s="6"/>
      <c r="B27" s="6"/>
      <c r="C27" s="18"/>
      <c r="D27" s="7"/>
      <c r="E27" s="6"/>
    </row>
    <row r="28" spans="1:5" ht="13.5" x14ac:dyDescent="0.25">
      <c r="A28" s="6" t="s">
        <v>22</v>
      </c>
      <c r="B28" s="6"/>
      <c r="C28" s="17">
        <v>17547</v>
      </c>
      <c r="D28" s="7"/>
      <c r="E28" s="6" t="s">
        <v>25</v>
      </c>
    </row>
    <row r="29" spans="1:5" ht="13.5" x14ac:dyDescent="0.25">
      <c r="A29" s="6"/>
      <c r="B29" s="6"/>
      <c r="C29" s="18"/>
      <c r="D29" s="7"/>
      <c r="E29" s="6" t="s">
        <v>35</v>
      </c>
    </row>
    <row r="30" spans="1:5" ht="12.75" customHeight="1" x14ac:dyDescent="0.25">
      <c r="A30" s="4"/>
      <c r="B30" s="4"/>
      <c r="C30" s="7"/>
      <c r="D30" s="7"/>
      <c r="E30" s="4"/>
    </row>
    <row r="31" spans="1:5" ht="8.15" customHeight="1" x14ac:dyDescent="0.25">
      <c r="A31" s="4"/>
      <c r="B31" s="4"/>
      <c r="C31" s="7"/>
      <c r="D31" s="7"/>
      <c r="E31" s="6"/>
    </row>
    <row r="32" spans="1:5" ht="13.5" x14ac:dyDescent="0.25">
      <c r="A32" s="8" t="s">
        <v>3</v>
      </c>
      <c r="B32" s="8"/>
      <c r="C32" s="19">
        <f>SUM(C22:C31)</f>
        <v>13193445</v>
      </c>
      <c r="D32" s="9"/>
      <c r="E32" s="4"/>
    </row>
    <row r="33" spans="1:5" ht="13.5" x14ac:dyDescent="0.25">
      <c r="A33" s="8"/>
      <c r="B33" s="8"/>
      <c r="C33" s="12"/>
      <c r="D33" s="9"/>
      <c r="E33" s="4"/>
    </row>
    <row r="34" spans="1:5" ht="13.5" x14ac:dyDescent="0.25">
      <c r="A34" s="3" t="s">
        <v>4</v>
      </c>
      <c r="B34" s="3"/>
      <c r="C34" s="7"/>
      <c r="D34" s="7"/>
      <c r="E34" s="4"/>
    </row>
    <row r="35" spans="1:5" ht="8.15" customHeight="1" x14ac:dyDescent="0.25">
      <c r="A35" s="3"/>
      <c r="B35" s="3"/>
      <c r="C35" s="7"/>
      <c r="D35" s="7"/>
      <c r="E35" s="4"/>
    </row>
    <row r="36" spans="1:5" ht="13.5" x14ac:dyDescent="0.25">
      <c r="A36" s="6" t="s">
        <v>5</v>
      </c>
      <c r="B36" s="6"/>
      <c r="C36" s="17">
        <v>12200000</v>
      </c>
      <c r="D36" s="7"/>
      <c r="E36" s="4" t="s">
        <v>36</v>
      </c>
    </row>
    <row r="37" spans="1:5" ht="13.5" x14ac:dyDescent="0.25">
      <c r="A37" s="6" t="s">
        <v>16</v>
      </c>
      <c r="B37" s="6"/>
      <c r="C37" s="13"/>
      <c r="D37" s="7"/>
      <c r="E37" s="4" t="s">
        <v>37</v>
      </c>
    </row>
    <row r="38" spans="1:5" ht="13.5" x14ac:dyDescent="0.25">
      <c r="A38" s="6"/>
      <c r="B38" s="6"/>
      <c r="C38" s="13"/>
      <c r="D38" s="7"/>
      <c r="E38" s="4" t="s">
        <v>38</v>
      </c>
    </row>
    <row r="39" spans="1:5" ht="13.5" x14ac:dyDescent="0.25">
      <c r="A39" s="6"/>
      <c r="B39" s="6"/>
      <c r="C39" s="13"/>
      <c r="D39" s="7"/>
      <c r="E39" s="4" t="s">
        <v>39</v>
      </c>
    </row>
    <row r="40" spans="1:5" ht="13.5" x14ac:dyDescent="0.25">
      <c r="A40" s="6"/>
      <c r="B40" s="6"/>
      <c r="C40" s="13"/>
      <c r="D40" s="7"/>
      <c r="E40" s="4" t="s">
        <v>40</v>
      </c>
    </row>
    <row r="41" spans="1:5" ht="13.5" x14ac:dyDescent="0.25">
      <c r="A41" s="6"/>
      <c r="B41" s="6"/>
      <c r="C41" s="13"/>
      <c r="D41" s="7"/>
      <c r="E41" s="4"/>
    </row>
    <row r="42" spans="1:5" ht="13.5" x14ac:dyDescent="0.25">
      <c r="A42" s="6" t="s">
        <v>49</v>
      </c>
      <c r="B42" s="6"/>
      <c r="C42" s="17">
        <v>3445</v>
      </c>
      <c r="D42" s="7"/>
      <c r="E42" s="4"/>
    </row>
    <row r="43" spans="1:5" ht="13.5" x14ac:dyDescent="0.25">
      <c r="A43" s="6"/>
      <c r="B43" s="6"/>
      <c r="C43" s="13"/>
      <c r="D43" s="7"/>
      <c r="E43" s="4"/>
    </row>
    <row r="44" spans="1:5" ht="8.15" customHeight="1" x14ac:dyDescent="0.25">
      <c r="C44" s="7"/>
      <c r="D44" s="7"/>
      <c r="E44" s="4"/>
    </row>
    <row r="45" spans="1:5" ht="12.75" customHeight="1" x14ac:dyDescent="0.25">
      <c r="A45" s="6" t="s">
        <v>12</v>
      </c>
      <c r="B45" s="6"/>
      <c r="C45" s="20" t="s">
        <v>14</v>
      </c>
      <c r="D45" s="7"/>
      <c r="E45" s="6" t="s">
        <v>17</v>
      </c>
    </row>
    <row r="46" spans="1:5" ht="12.75" customHeight="1" x14ac:dyDescent="0.25">
      <c r="A46" s="6"/>
      <c r="B46" s="6"/>
      <c r="C46" s="16"/>
      <c r="D46" s="7"/>
      <c r="E46" s="6" t="s">
        <v>18</v>
      </c>
    </row>
    <row r="47" spans="1:5" ht="12.75" customHeight="1" x14ac:dyDescent="0.25">
      <c r="A47" s="6"/>
      <c r="B47" s="6"/>
      <c r="C47" s="16"/>
      <c r="D47" s="7"/>
      <c r="E47" s="6"/>
    </row>
    <row r="48" spans="1:5" ht="8.15" customHeight="1" x14ac:dyDescent="0.25">
      <c r="A48" s="4"/>
      <c r="B48" s="4"/>
      <c r="C48" s="7"/>
      <c r="D48" s="7"/>
    </row>
    <row r="49" spans="1:5" ht="12.75" customHeight="1" x14ac:dyDescent="0.25">
      <c r="A49" s="6" t="s">
        <v>6</v>
      </c>
      <c r="B49" s="6"/>
      <c r="C49" s="17">
        <v>990000</v>
      </c>
      <c r="D49" s="7"/>
      <c r="E49" s="6" t="s">
        <v>25</v>
      </c>
    </row>
    <row r="50" spans="1:5" ht="12.75" customHeight="1" x14ac:dyDescent="0.25">
      <c r="A50" s="6" t="s">
        <v>7</v>
      </c>
      <c r="B50" s="6"/>
      <c r="C50" s="7"/>
      <c r="D50" s="7"/>
      <c r="E50" s="6" t="s">
        <v>26</v>
      </c>
    </row>
    <row r="51" spans="1:5" ht="8.15" customHeight="1" x14ac:dyDescent="0.25">
      <c r="A51" s="6"/>
      <c r="B51" s="6"/>
      <c r="C51" s="7"/>
      <c r="D51" s="7"/>
    </row>
    <row r="52" spans="1:5" ht="12.75" customHeight="1" x14ac:dyDescent="0.25">
      <c r="A52" s="6"/>
      <c r="B52" s="6"/>
      <c r="C52" s="7"/>
      <c r="D52" s="7"/>
    </row>
    <row r="53" spans="1:5" ht="12.75" customHeight="1" x14ac:dyDescent="0.25">
      <c r="A53" s="8" t="s">
        <v>8</v>
      </c>
      <c r="B53" s="8"/>
      <c r="C53" s="19">
        <f>SUM(C36:C52)</f>
        <v>13193445</v>
      </c>
      <c r="D53" s="9"/>
      <c r="E53" s="4"/>
    </row>
    <row r="54" spans="1:5" ht="16" customHeight="1" x14ac:dyDescent="0.25">
      <c r="A54" s="4"/>
      <c r="B54" s="4"/>
      <c r="C54" s="7"/>
      <c r="D54" s="7"/>
      <c r="E54" s="4"/>
    </row>
    <row r="55" spans="1:5" ht="13.5" x14ac:dyDescent="0.25">
      <c r="A55" s="3" t="s">
        <v>41</v>
      </c>
      <c r="B55" s="3"/>
      <c r="C55" s="7"/>
      <c r="D55" s="7"/>
      <c r="E55" s="4"/>
    </row>
    <row r="56" spans="1:5" ht="8.15" customHeight="1" x14ac:dyDescent="0.25">
      <c r="A56" s="4"/>
      <c r="B56" s="4"/>
      <c r="C56" s="7"/>
      <c r="D56" s="7"/>
      <c r="E56" s="4"/>
    </row>
    <row r="57" spans="1:5" ht="13.5" x14ac:dyDescent="0.25">
      <c r="A57" s="6"/>
      <c r="B57" s="6"/>
      <c r="C57" s="13"/>
      <c r="D57" s="7"/>
    </row>
    <row r="58" spans="1:5" ht="13.5" x14ac:dyDescent="0.25">
      <c r="A58" s="6" t="s">
        <v>42</v>
      </c>
      <c r="B58" s="6"/>
      <c r="C58" s="17">
        <v>17224399</v>
      </c>
      <c r="D58" s="7"/>
      <c r="E58" s="6" t="s">
        <v>45</v>
      </c>
    </row>
    <row r="59" spans="1:5" ht="13.5" x14ac:dyDescent="0.25">
      <c r="A59" s="6"/>
      <c r="B59" s="6"/>
      <c r="C59" s="7"/>
      <c r="D59" s="7"/>
      <c r="E59" s="6" t="s">
        <v>43</v>
      </c>
    </row>
    <row r="60" spans="1:5" ht="13.5" x14ac:dyDescent="0.25">
      <c r="A60" s="6"/>
      <c r="B60" s="6"/>
      <c r="C60" s="7"/>
      <c r="D60" s="7"/>
      <c r="E60" s="6"/>
    </row>
    <row r="61" spans="1:5" ht="8.15" customHeight="1" x14ac:dyDescent="0.25">
      <c r="A61" s="6"/>
      <c r="B61" s="6"/>
      <c r="C61" s="7"/>
      <c r="D61" s="7"/>
      <c r="E61" s="6"/>
    </row>
    <row r="62" spans="1:5" ht="13.5" x14ac:dyDescent="0.25">
      <c r="A62" s="6" t="s">
        <v>9</v>
      </c>
      <c r="B62" s="6"/>
      <c r="C62" s="17">
        <v>-15741744</v>
      </c>
      <c r="D62" s="7"/>
      <c r="E62" s="4" t="s">
        <v>44</v>
      </c>
    </row>
    <row r="63" spans="1:5" ht="13.5" x14ac:dyDescent="0.25">
      <c r="A63" s="6"/>
      <c r="B63" s="6"/>
      <c r="C63" s="7"/>
      <c r="D63" s="7"/>
      <c r="E63" s="6" t="s">
        <v>43</v>
      </c>
    </row>
    <row r="64" spans="1:5" ht="13.5" x14ac:dyDescent="0.25">
      <c r="A64" s="6"/>
      <c r="B64" s="6"/>
      <c r="C64" s="7"/>
      <c r="D64" s="7"/>
      <c r="E64" s="6"/>
    </row>
    <row r="65" spans="1:10" ht="8.15" customHeight="1" x14ac:dyDescent="0.25">
      <c r="A65" s="6"/>
      <c r="B65" s="6"/>
      <c r="C65" s="7"/>
      <c r="D65" s="7"/>
      <c r="E65" s="6"/>
    </row>
    <row r="66" spans="1:10" ht="13.5" x14ac:dyDescent="0.25">
      <c r="A66" s="10" t="s">
        <v>10</v>
      </c>
      <c r="B66" s="10"/>
      <c r="C66" s="19">
        <f>SUM(C58:C65)</f>
        <v>1482655</v>
      </c>
      <c r="D66" s="7"/>
      <c r="E66" s="4" t="s">
        <v>46</v>
      </c>
    </row>
    <row r="67" spans="1:10" ht="13.5" x14ac:dyDescent="0.25">
      <c r="A67" s="10"/>
      <c r="B67" s="10"/>
      <c r="C67" s="12"/>
      <c r="D67" s="7"/>
      <c r="E67" s="4" t="s">
        <v>43</v>
      </c>
    </row>
    <row r="68" spans="1:10" ht="13.5" x14ac:dyDescent="0.25">
      <c r="A68" s="10"/>
      <c r="B68" s="10"/>
      <c r="C68" s="12"/>
      <c r="D68" s="7"/>
      <c r="E68" s="4"/>
    </row>
    <row r="69" spans="1:10" ht="8.15" customHeight="1" x14ac:dyDescent="0.25">
      <c r="A69" s="4"/>
      <c r="B69" s="4"/>
      <c r="C69" s="4"/>
      <c r="D69" s="4"/>
      <c r="E69" s="4"/>
    </row>
    <row r="70" spans="1:10" ht="12.75" customHeight="1" x14ac:dyDescent="0.25">
      <c r="A70" s="15" t="s">
        <v>48</v>
      </c>
      <c r="B70" s="4"/>
      <c r="C70" s="19">
        <v>594000</v>
      </c>
      <c r="D70" s="4"/>
      <c r="E70" s="4" t="s">
        <v>47</v>
      </c>
    </row>
    <row r="71" spans="1:10" ht="12.75" customHeight="1" x14ac:dyDescent="0.25">
      <c r="A71" s="15"/>
      <c r="B71" s="4"/>
      <c r="C71" s="19"/>
      <c r="D71" s="4"/>
      <c r="E71" s="4"/>
    </row>
    <row r="72" spans="1:10" ht="8.15" customHeight="1" x14ac:dyDescent="0.25">
      <c r="A72" s="4"/>
      <c r="B72" s="4"/>
      <c r="C72" s="4"/>
      <c r="D72" s="4"/>
      <c r="E72" s="4"/>
    </row>
    <row r="73" spans="1:10" ht="13.5" x14ac:dyDescent="0.25">
      <c r="A73" s="10" t="s">
        <v>11</v>
      </c>
      <c r="B73" s="10"/>
      <c r="C73" s="11">
        <f>C66/C70</f>
        <v>2.4960521885521887</v>
      </c>
      <c r="D73" s="11"/>
      <c r="E73" s="4"/>
      <c r="J73" s="14"/>
    </row>
    <row r="74" spans="1:10" ht="13.5" x14ac:dyDescent="0.25">
      <c r="A74" s="15"/>
      <c r="B74" s="15"/>
      <c r="C74" s="7"/>
      <c r="D74" s="7"/>
      <c r="E74" s="4"/>
      <c r="J74" s="14"/>
    </row>
    <row r="75" spans="1:10" ht="13.5" x14ac:dyDescent="0.25">
      <c r="A75" s="4" t="s">
        <v>23</v>
      </c>
      <c r="B75" s="4"/>
      <c r="J75" s="14"/>
    </row>
    <row r="76" spans="1:10" ht="13.5" x14ac:dyDescent="0.25">
      <c r="A76" s="6" t="s">
        <v>24</v>
      </c>
      <c r="B76" s="4"/>
      <c r="J76" s="14"/>
    </row>
    <row r="77" spans="1:10" ht="13.5" x14ac:dyDescent="0.25">
      <c r="A77" s="10"/>
      <c r="B77" s="10"/>
      <c r="C77" s="11"/>
      <c r="E77" s="4"/>
      <c r="J77" s="14"/>
    </row>
    <row r="78" spans="1:10" ht="13.5" x14ac:dyDescent="0.25">
      <c r="A78" s="15"/>
      <c r="B78" s="15"/>
      <c r="C78" s="7"/>
      <c r="E78" s="4"/>
      <c r="J78" s="14"/>
    </row>
    <row r="79" spans="1:10" ht="13.5" x14ac:dyDescent="0.25">
      <c r="E79" s="4"/>
      <c r="J79" s="14"/>
    </row>
    <row r="80" spans="1:10" ht="13.5" x14ac:dyDescent="0.25">
      <c r="E80" s="4"/>
      <c r="J80" s="14"/>
    </row>
    <row r="81" spans="10:10" x14ac:dyDescent="0.25">
      <c r="J81" s="14"/>
    </row>
    <row r="82" spans="10:10" x14ac:dyDescent="0.25">
      <c r="J82" s="14"/>
    </row>
    <row r="83" spans="10:10" x14ac:dyDescent="0.25">
      <c r="J83" s="14"/>
    </row>
    <row r="84" spans="10:10" x14ac:dyDescent="0.25">
      <c r="J84" s="14"/>
    </row>
    <row r="85" spans="10:10" x14ac:dyDescent="0.25">
      <c r="J85" s="14"/>
    </row>
    <row r="86" spans="10:10" x14ac:dyDescent="0.25">
      <c r="J86" s="14"/>
    </row>
    <row r="87" spans="10:10" x14ac:dyDescent="0.25">
      <c r="J87" s="14"/>
    </row>
    <row r="88" spans="10:10" x14ac:dyDescent="0.25">
      <c r="J88" s="14"/>
    </row>
    <row r="89" spans="10:10" x14ac:dyDescent="0.25">
      <c r="J89" s="14"/>
    </row>
    <row r="90" spans="10:10" x14ac:dyDescent="0.25">
      <c r="J90" s="14"/>
    </row>
    <row r="91" spans="10:10" x14ac:dyDescent="0.25">
      <c r="J91" s="14"/>
    </row>
    <row r="92" spans="10:10" x14ac:dyDescent="0.25">
      <c r="J92" s="14"/>
    </row>
    <row r="93" spans="10:10" x14ac:dyDescent="0.25">
      <c r="J93" s="14"/>
    </row>
    <row r="94" spans="10:10" x14ac:dyDescent="0.25">
      <c r="J94" s="14"/>
    </row>
    <row r="95" spans="10:10" x14ac:dyDescent="0.25">
      <c r="J95" s="14"/>
    </row>
    <row r="96" spans="10:10" x14ac:dyDescent="0.25">
      <c r="J96" s="14"/>
    </row>
    <row r="97" spans="10:10" x14ac:dyDescent="0.25">
      <c r="J97" s="14"/>
    </row>
    <row r="98" spans="10:10" x14ac:dyDescent="0.25">
      <c r="J98" s="14"/>
    </row>
    <row r="99" spans="10:10" x14ac:dyDescent="0.25">
      <c r="J99" s="14"/>
    </row>
  </sheetData>
  <mergeCells count="1">
    <mergeCell ref="A1:E1"/>
  </mergeCells>
  <phoneticPr fontId="0" type="noConversion"/>
  <printOptions horizontalCentered="1"/>
  <pageMargins left="0" right="0" top="1" bottom="0.25" header="0.5" footer="0.5"/>
  <pageSetup scale="62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USFAthleticBondFinancial</vt:lpstr>
      <vt:lpstr>USFAthleticBondFinancial!Print_Area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2003-02-12T14:33:07Z</cp:lastPrinted>
  <dcterms:created xsi:type="dcterms:W3CDTF">1997-09-03T20:59:02Z</dcterms:created>
  <dcterms:modified xsi:type="dcterms:W3CDTF">2020-01-27T12:48:45Z</dcterms:modified>
</cp:coreProperties>
</file>