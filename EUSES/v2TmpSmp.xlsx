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53E33D9-64EE-4EE3-ABB8-29FEDC3AD751}" xr6:coauthVersionLast="45" xr6:coauthVersionMax="45" xr10:uidLastSave="{00000000-0000-0000-0000-000000000000}"/>
  <bookViews>
    <workbookView xWindow="3040" yWindow="3040" windowWidth="28800" windowHeight="15460" tabRatio="601"/>
  </bookViews>
  <sheets>
    <sheet name="Comments" sheetId="1" r:id="rId1"/>
    <sheet name="3dGraph" sheetId="29" r:id="rId2"/>
    <sheet name="3x3 Test Template" sheetId="31" r:id="rId3"/>
    <sheet name="Randomized Test Template" sheetId="30" r:id="rId4"/>
    <sheet name="Extensions" sheetId="6" r:id="rId5"/>
    <sheet name="NPV&amp;IRR Sample" sheetId="7" r:id="rId6"/>
    <sheet name="SSE,SSR,TSS,R^2 Sample" sheetId="8" r:id="rId7"/>
    <sheet name="Risk-Return Sample" sheetId="9" r:id="rId8"/>
    <sheet name="Optimization Notes" sheetId="10" r:id="rId9"/>
    <sheet name="Advanced Logistic Regression" sheetId="28" r:id="rId10"/>
    <sheet name="2 Cereal LP Inequality Example" sheetId="50" r:id="rId11"/>
    <sheet name="Answer Report 1" sheetId="53" r:id="rId12"/>
    <sheet name="Sensitivity Report 1" sheetId="54" r:id="rId13"/>
    <sheet name="Limits Report 1" sheetId="55" r:id="rId14"/>
    <sheet name="Answer Report 2" sheetId="77" r:id="rId15"/>
    <sheet name="Sensitivity Report 2" sheetId="78" r:id="rId16"/>
    <sheet name="Limits Report 2" sheetId="79" r:id="rId17"/>
    <sheet name="2 Cereal LP =Constraint Example" sheetId="51" r:id="rId18"/>
    <sheet name="Answer Report 3" sheetId="80" r:id="rId19"/>
    <sheet name="Sensitivity Report 3" sheetId="81" r:id="rId20"/>
    <sheet name="Limits Report 3" sheetId="82" r:id="rId21"/>
    <sheet name="Nonlin. 3-Var. Ineq. Constr. Ex" sheetId="52" r:id="rId22"/>
    <sheet name="Answer Report 4" sheetId="62" r:id="rId23"/>
    <sheet name="Sensitivity Report 4" sheetId="63" r:id="rId24"/>
    <sheet name="Limits Report 4" sheetId="64" r:id="rId25"/>
    <sheet name="Sheet1" sheetId="25" r:id="rId26"/>
    <sheet name="Module1" sheetId="26" state="veryHidden" r:id=""/>
    <sheet name="Module2" sheetId="27" state="veryHidden" r:id=""/>
  </sheets>
  <definedNames>
    <definedName name="anscount" hidden="1">19</definedName>
    <definedName name="limcount" hidden="1">15</definedName>
    <definedName name="sencount" hidden="1">16</definedName>
    <definedName name="solver_adj" localSheetId="17" hidden="1">'2 Cereal LP =Constraint Example'!$G$14</definedName>
    <definedName name="solver_adj" localSheetId="10" hidden="1">'2 Cereal LP Inequality Example'!$G$14:$H$14</definedName>
    <definedName name="solver_adj" localSheetId="9" hidden="1">'Advanced Logistic Regression'!$J$8:$L$8</definedName>
    <definedName name="solver_adj" localSheetId="21" hidden="1">'Nonlin. 3-Var. Ineq. Constr. Ex'!$G$14:$I$14</definedName>
    <definedName name="solver_adj" localSheetId="5" hidden="1">'NPV&amp;IRR Sample'!$F$6</definedName>
    <definedName name="solver_adj" localSheetId="3" hidden="1">'Randomized Test Template'!$G$14:$H$14</definedName>
    <definedName name="solver_cvg" localSheetId="17" hidden="1">0.001</definedName>
    <definedName name="solver_cvg" localSheetId="10" hidden="1">0.001</definedName>
    <definedName name="solver_cvg" localSheetId="9" hidden="1">0.001</definedName>
    <definedName name="solver_cvg" localSheetId="21" hidden="1">0.001</definedName>
    <definedName name="solver_cvg" localSheetId="5" hidden="1">0.001</definedName>
    <definedName name="solver_cvg" localSheetId="3" hidden="1">0.001</definedName>
    <definedName name="solver_drv" localSheetId="17" hidden="1">1</definedName>
    <definedName name="solver_drv" localSheetId="10" hidden="1">1</definedName>
    <definedName name="solver_drv" localSheetId="9" hidden="1">1</definedName>
    <definedName name="solver_drv" localSheetId="21" hidden="1">1</definedName>
    <definedName name="solver_drv" localSheetId="5" hidden="1">1</definedName>
    <definedName name="solver_drv" localSheetId="3" hidden="1">1</definedName>
    <definedName name="solver_est" localSheetId="17" hidden="1">1</definedName>
    <definedName name="solver_est" localSheetId="10" hidden="1">1</definedName>
    <definedName name="solver_est" localSheetId="9" hidden="1">0</definedName>
    <definedName name="solver_est" localSheetId="21" hidden="1">1</definedName>
    <definedName name="solver_est" localSheetId="5" hidden="1">1</definedName>
    <definedName name="solver_est" localSheetId="3" hidden="1">1</definedName>
    <definedName name="solver_itr" localSheetId="17" hidden="1">100</definedName>
    <definedName name="solver_itr" localSheetId="10" hidden="1">100</definedName>
    <definedName name="solver_itr" localSheetId="9" hidden="1">100</definedName>
    <definedName name="solver_itr" localSheetId="21" hidden="1">100</definedName>
    <definedName name="solver_itr" localSheetId="5" hidden="1">100</definedName>
    <definedName name="solver_itr" localSheetId="3" hidden="1">100</definedName>
    <definedName name="solver_lhs1" localSheetId="17" hidden="1">'2 Cereal LP =Constraint Example'!$H$14</definedName>
    <definedName name="solver_lhs1" localSheetId="10" hidden="1">'2 Cereal LP Inequality Example'!$H$14</definedName>
    <definedName name="solver_lhs1" localSheetId="9" hidden="1">'Advanced Logistic Regression'!$J$8</definedName>
    <definedName name="solver_lhs1" localSheetId="21" hidden="1">'Nonlin. 3-Var. Ineq. Constr. Ex'!$J$14</definedName>
    <definedName name="solver_lhs2" localSheetId="17" hidden="1">'2 Cereal LP =Constraint Example'!$I$14</definedName>
    <definedName name="solver_lhs2" localSheetId="10" hidden="1">'2 Cereal LP Inequality Example'!$I$14</definedName>
    <definedName name="solver_lhs2" localSheetId="21" hidden="1">'Nonlin. 3-Var. Ineq. Constr. Ex'!$G$14</definedName>
    <definedName name="solver_lhs3" localSheetId="17" hidden="1">'2 Cereal LP =Constraint Example'!$J$14</definedName>
    <definedName name="solver_lhs3" localSheetId="10" hidden="1">'2 Cereal LP Inequality Example'!$K$14</definedName>
    <definedName name="solver_lhs3" localSheetId="21" hidden="1">'Nonlin. 3-Var. Ineq. Constr. Ex'!$H$14</definedName>
    <definedName name="solver_lhs4" localSheetId="17" hidden="1">'2 Cereal LP =Constraint Example'!$H$14</definedName>
    <definedName name="solver_lhs4" localSheetId="10" hidden="1">'2 Cereal LP Inequality Example'!$J$14</definedName>
    <definedName name="solver_lhs4" localSheetId="21" hidden="1">'Nonlin. 3-Var. Ineq. Constr. Ex'!$I$14</definedName>
    <definedName name="solver_lhs5" localSheetId="17" hidden="1">'2 Cereal LP =Constraint Example'!$K$14</definedName>
    <definedName name="solver_lhs5" localSheetId="10" hidden="1">'2 Cereal LP Inequality Example'!$G$14</definedName>
    <definedName name="solver_lhs6" localSheetId="10" hidden="1">'2 Cereal LP Inequality Example'!$H$14</definedName>
    <definedName name="solver_lin" localSheetId="17" hidden="1">1</definedName>
    <definedName name="solver_lin" localSheetId="10" hidden="1">2</definedName>
    <definedName name="solver_lin" localSheetId="9" hidden="1">2</definedName>
    <definedName name="solver_lin" localSheetId="21" hidden="1">2</definedName>
    <definedName name="solver_lin" localSheetId="5" hidden="1">2</definedName>
    <definedName name="solver_lin" localSheetId="3" hidden="1">2</definedName>
    <definedName name="solver_neg" localSheetId="17" hidden="1">1</definedName>
    <definedName name="solver_neg" localSheetId="10" hidden="1">2</definedName>
    <definedName name="solver_neg" localSheetId="9" hidden="1">2</definedName>
    <definedName name="solver_neg" localSheetId="21" hidden="1">1</definedName>
    <definedName name="solver_neg" localSheetId="5" hidden="1">2</definedName>
    <definedName name="solver_neg" localSheetId="3" hidden="1">2</definedName>
    <definedName name="solver_num" localSheetId="17" hidden="1">4</definedName>
    <definedName name="solver_num" localSheetId="10" hidden="1">6</definedName>
    <definedName name="solver_num" localSheetId="9" hidden="1">0</definedName>
    <definedName name="solver_num" localSheetId="21" hidden="1">4</definedName>
    <definedName name="solver_num" localSheetId="5" hidden="1">0</definedName>
    <definedName name="solver_num" localSheetId="3" hidden="1">0</definedName>
    <definedName name="solver_nwt" localSheetId="17" hidden="1">1</definedName>
    <definedName name="solver_nwt" localSheetId="10" hidden="1">1</definedName>
    <definedName name="solver_nwt" localSheetId="9" hidden="1">1</definedName>
    <definedName name="solver_nwt" localSheetId="21" hidden="1">1</definedName>
    <definedName name="solver_nwt" localSheetId="5" hidden="1">1</definedName>
    <definedName name="solver_nwt" localSheetId="3" hidden="1">1</definedName>
    <definedName name="solver_opt" localSheetId="17" hidden="1">'2 Cereal LP =Constraint Example'!$C$14</definedName>
    <definedName name="solver_opt" localSheetId="10" hidden="1">'2 Cereal LP Inequality Example'!$C$14</definedName>
    <definedName name="solver_opt" localSheetId="9" hidden="1">'Advanced Logistic Regression'!$I$8</definedName>
    <definedName name="solver_opt" localSheetId="21" hidden="1">'Nonlin. 3-Var. Ineq. Constr. Ex'!$C$14</definedName>
    <definedName name="solver_opt" localSheetId="5" hidden="1">'NPV&amp;IRR Sample'!$C$17</definedName>
    <definedName name="solver_opt" localSheetId="3" hidden="1">'Randomized Test Template'!$C$14</definedName>
    <definedName name="solver_pre" localSheetId="17" hidden="1">0.000001</definedName>
    <definedName name="solver_pre" localSheetId="10" hidden="1">0.000001</definedName>
    <definedName name="solver_pre" localSheetId="9" hidden="1">0.000001</definedName>
    <definedName name="solver_pre" localSheetId="21" hidden="1">0.000001</definedName>
    <definedName name="solver_pre" localSheetId="5" hidden="1">0.000001</definedName>
    <definedName name="solver_pre" localSheetId="3" hidden="1">0.000001</definedName>
    <definedName name="solver_rel1" localSheetId="17" hidden="1">1</definedName>
    <definedName name="solver_rel1" localSheetId="10" hidden="1">1</definedName>
    <definedName name="solver_rel1" localSheetId="9" hidden="1">3</definedName>
    <definedName name="solver_rel1" localSheetId="21" hidden="1">1</definedName>
    <definedName name="solver_rel2" localSheetId="17" hidden="1">3</definedName>
    <definedName name="solver_rel2" localSheetId="10" hidden="1">3</definedName>
    <definedName name="solver_rel2" localSheetId="21" hidden="1">1</definedName>
    <definedName name="solver_rel3" localSheetId="17" hidden="1">1</definedName>
    <definedName name="solver_rel3" localSheetId="10" hidden="1">3</definedName>
    <definedName name="solver_rel3" localSheetId="21" hidden="1">1</definedName>
    <definedName name="solver_rel4" localSheetId="17" hidden="1">3</definedName>
    <definedName name="solver_rel4" localSheetId="10" hidden="1">1</definedName>
    <definedName name="solver_rel4" localSheetId="21" hidden="1">1</definedName>
    <definedName name="solver_rel5" localSheetId="17" hidden="1">2</definedName>
    <definedName name="solver_rel5" localSheetId="10" hidden="1">3</definedName>
    <definedName name="solver_rel6" localSheetId="10" hidden="1">3</definedName>
    <definedName name="solver_rhs1" localSheetId="17" hidden="1">2</definedName>
    <definedName name="solver_rhs1" localSheetId="10" hidden="1">2</definedName>
    <definedName name="solver_rhs1" localSheetId="9" hidden="1">'Advanced Logistic Regression'!$E$14</definedName>
    <definedName name="solver_rhs1" localSheetId="21" hidden="1">50</definedName>
    <definedName name="solver_rhs2" localSheetId="17" hidden="1">5</definedName>
    <definedName name="solver_rhs2" localSheetId="10" hidden="1">5</definedName>
    <definedName name="solver_rhs2" localSheetId="21" hidden="1">26</definedName>
    <definedName name="solver_rhs3" localSheetId="17" hidden="1">350</definedName>
    <definedName name="solver_rhs3" localSheetId="10" hidden="1">9</definedName>
    <definedName name="solver_rhs3" localSheetId="21" hidden="1">24</definedName>
    <definedName name="solver_rhs4" localSheetId="17" hidden="1">0</definedName>
    <definedName name="solver_rhs4" localSheetId="10" hidden="1">350</definedName>
    <definedName name="solver_rhs4" localSheetId="21" hidden="1">10</definedName>
    <definedName name="solver_rhs5" localSheetId="17" hidden="1">'2 Cereal LP =Constraint Example'!$K$9</definedName>
    <definedName name="solver_rhs5" localSheetId="10" hidden="1">0</definedName>
    <definedName name="solver_rhs6" localSheetId="10" hidden="1">0</definedName>
    <definedName name="solver_scl" localSheetId="17" hidden="1">2</definedName>
    <definedName name="solver_scl" localSheetId="10" hidden="1">2</definedName>
    <definedName name="solver_scl" localSheetId="9" hidden="1">2</definedName>
    <definedName name="solver_scl" localSheetId="21" hidden="1">2</definedName>
    <definedName name="solver_scl" localSheetId="5" hidden="1">2</definedName>
    <definedName name="solver_scl" localSheetId="3" hidden="1">2</definedName>
    <definedName name="solver_sho" localSheetId="17" hidden="1">2</definedName>
    <definedName name="solver_sho" localSheetId="10" hidden="1">2</definedName>
    <definedName name="solver_sho" localSheetId="9" hidden="1">2</definedName>
    <definedName name="solver_sho" localSheetId="21" hidden="1">2</definedName>
    <definedName name="solver_sho" localSheetId="5" hidden="1">2</definedName>
    <definedName name="solver_sho" localSheetId="3" hidden="1">2</definedName>
    <definedName name="solver_tim" localSheetId="17" hidden="1">100</definedName>
    <definedName name="solver_tim" localSheetId="10" hidden="1">100</definedName>
    <definedName name="solver_tim" localSheetId="9" hidden="1">100</definedName>
    <definedName name="solver_tim" localSheetId="21" hidden="1">100</definedName>
    <definedName name="solver_tim" localSheetId="5" hidden="1">100</definedName>
    <definedName name="solver_tim" localSheetId="3" hidden="1">100</definedName>
    <definedName name="solver_tol" localSheetId="17" hidden="1">0.05</definedName>
    <definedName name="solver_tol" localSheetId="10" hidden="1">0.05</definedName>
    <definedName name="solver_tol" localSheetId="9" hidden="1">0.05</definedName>
    <definedName name="solver_tol" localSheetId="21" hidden="1">0.05</definedName>
    <definedName name="solver_tol" localSheetId="5" hidden="1">0.05</definedName>
    <definedName name="solver_tol" localSheetId="3" hidden="1">0.05</definedName>
    <definedName name="solver_typ" localSheetId="17" hidden="1">2</definedName>
    <definedName name="solver_typ" localSheetId="10" hidden="1">2</definedName>
    <definedName name="solver_typ" localSheetId="9" hidden="1">2</definedName>
    <definedName name="solver_typ" localSheetId="21" hidden="1">1</definedName>
    <definedName name="solver_typ" localSheetId="5" hidden="1">3</definedName>
    <definedName name="solver_typ" localSheetId="3" hidden="1">1</definedName>
    <definedName name="solver_val" localSheetId="17" hidden="1">0</definedName>
    <definedName name="solver_val" localSheetId="10" hidden="1">0</definedName>
    <definedName name="solver_val" localSheetId="9" hidden="1">0</definedName>
    <definedName name="solver_val" localSheetId="21" hidden="1">0</definedName>
    <definedName name="solver_val" localSheetId="5" hidden="1">0</definedName>
    <definedName name="solver_val" localSheetId="3" hidden="1">0</definedName>
    <definedName name="x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5" i="51" l="1"/>
  <c r="H16" i="51"/>
  <c r="K16" i="51" s="1"/>
  <c r="H17" i="51"/>
  <c r="I17" i="51" s="1"/>
  <c r="H18" i="51"/>
  <c r="I18" i="51" s="1"/>
  <c r="H19" i="51"/>
  <c r="H20" i="51"/>
  <c r="H21" i="51"/>
  <c r="H22" i="51"/>
  <c r="H23" i="51"/>
  <c r="K15" i="51"/>
  <c r="K19" i="51"/>
  <c r="K20" i="51"/>
  <c r="K21" i="51"/>
  <c r="K22" i="51"/>
  <c r="K23" i="51"/>
  <c r="H14" i="51"/>
  <c r="I15" i="51"/>
  <c r="J15" i="51"/>
  <c r="I16" i="51"/>
  <c r="J16" i="51"/>
  <c r="I19" i="51"/>
  <c r="J19" i="51"/>
  <c r="I20" i="51"/>
  <c r="J20" i="51"/>
  <c r="I21" i="51"/>
  <c r="J21" i="51"/>
  <c r="I22" i="51"/>
  <c r="J22" i="51"/>
  <c r="I23" i="51"/>
  <c r="J23" i="51"/>
  <c r="C15" i="51"/>
  <c r="C16" i="51"/>
  <c r="C17" i="51"/>
  <c r="C18" i="51"/>
  <c r="C19" i="51"/>
  <c r="C20" i="51"/>
  <c r="C21" i="51"/>
  <c r="C22" i="51"/>
  <c r="C23" i="51"/>
  <c r="G15" i="50"/>
  <c r="I15" i="50" s="1"/>
  <c r="H15" i="50"/>
  <c r="G16" i="50"/>
  <c r="H16" i="50"/>
  <c r="J16" i="50"/>
  <c r="G17" i="50"/>
  <c r="I17" i="50" s="1"/>
  <c r="H17" i="50"/>
  <c r="G18" i="50"/>
  <c r="H18" i="50"/>
  <c r="I18" i="50" s="1"/>
  <c r="J18" i="50"/>
  <c r="K18" i="50"/>
  <c r="G19" i="50"/>
  <c r="H19" i="50"/>
  <c r="J19" i="50" s="1"/>
  <c r="I19" i="50"/>
  <c r="G20" i="50"/>
  <c r="H20" i="50"/>
  <c r="C20" i="50" s="1"/>
  <c r="D20" i="50" s="1"/>
  <c r="G21" i="50"/>
  <c r="C21" i="50" s="1"/>
  <c r="D21" i="50" s="1"/>
  <c r="H21" i="50"/>
  <c r="J21" i="50"/>
  <c r="K21" i="50"/>
  <c r="G22" i="50"/>
  <c r="I22" i="50" s="1"/>
  <c r="H22" i="50"/>
  <c r="G23" i="50"/>
  <c r="H23" i="50"/>
  <c r="J23" i="50" s="1"/>
  <c r="I23" i="50"/>
  <c r="K14" i="50"/>
  <c r="J14" i="50"/>
  <c r="I14" i="50"/>
  <c r="C16" i="50"/>
  <c r="D16" i="50" s="1"/>
  <c r="C17" i="50"/>
  <c r="D17" i="50" s="1"/>
  <c r="C14" i="50"/>
  <c r="D14" i="50"/>
  <c r="B27" i="29"/>
  <c r="I23" i="29"/>
  <c r="C27" i="29"/>
  <c r="A28" i="29"/>
  <c r="I24" i="29"/>
  <c r="A29" i="29"/>
  <c r="A30" i="29" s="1"/>
  <c r="A31" i="29" s="1"/>
  <c r="A32" i="29" s="1"/>
  <c r="A33" i="29" s="1"/>
  <c r="A34" i="29" s="1"/>
  <c r="A35" i="29" s="1"/>
  <c r="A36" i="29" s="1"/>
  <c r="A37" i="29" s="1"/>
  <c r="A38" i="29" s="1"/>
  <c r="A39" i="29" s="1"/>
  <c r="A40" i="29" s="1"/>
  <c r="A41" i="29" s="1"/>
  <c r="A42" i="29" s="1"/>
  <c r="B42" i="29"/>
  <c r="C41" i="29"/>
  <c r="B41" i="29"/>
  <c r="B40" i="29"/>
  <c r="C39" i="29"/>
  <c r="B39" i="29"/>
  <c r="C38" i="29"/>
  <c r="B38" i="29"/>
  <c r="C37" i="29"/>
  <c r="B37" i="29"/>
  <c r="C36" i="29"/>
  <c r="B36" i="29"/>
  <c r="C35" i="29"/>
  <c r="B35" i="29"/>
  <c r="C34" i="29"/>
  <c r="B34" i="29"/>
  <c r="C33" i="29"/>
  <c r="B33" i="29"/>
  <c r="C32" i="29"/>
  <c r="B32" i="29"/>
  <c r="C31" i="29"/>
  <c r="B31" i="29"/>
  <c r="C30" i="29"/>
  <c r="B30" i="29"/>
  <c r="C29" i="29"/>
  <c r="B29" i="29"/>
  <c r="C28" i="29"/>
  <c r="B28" i="29"/>
  <c r="C23" i="31"/>
  <c r="C21" i="31" s="1"/>
  <c r="E20" i="31"/>
  <c r="A20" i="31" s="1"/>
  <c r="C20" i="31"/>
  <c r="A23" i="31"/>
  <c r="A21" i="31" s="1"/>
  <c r="E19" i="31"/>
  <c r="C19" i="31"/>
  <c r="B23" i="31"/>
  <c r="A19" i="31"/>
  <c r="E21" i="31"/>
  <c r="I23" i="31"/>
  <c r="H23" i="31"/>
  <c r="G23" i="31"/>
  <c r="C17" i="28"/>
  <c r="D17" i="28"/>
  <c r="C18" i="28"/>
  <c r="D18" i="28"/>
  <c r="C19" i="28"/>
  <c r="D19" i="28"/>
  <c r="C20" i="28"/>
  <c r="D20" i="28"/>
  <c r="C21" i="28"/>
  <c r="D21" i="28"/>
  <c r="B42" i="28"/>
  <c r="F17" i="28"/>
  <c r="G17" i="28"/>
  <c r="H17" i="28" s="1"/>
  <c r="F8" i="28"/>
  <c r="G8" i="28"/>
  <c r="H8" i="28" s="1"/>
  <c r="F9" i="28"/>
  <c r="G9" i="28" s="1"/>
  <c r="H9" i="28" s="1"/>
  <c r="F10" i="28"/>
  <c r="G10" i="28" s="1"/>
  <c r="H10" i="28" s="1"/>
  <c r="F11" i="28"/>
  <c r="G11" i="28"/>
  <c r="H11" i="28"/>
  <c r="F12" i="28"/>
  <c r="G12" i="28" s="1"/>
  <c r="H12" i="28" s="1"/>
  <c r="F13" i="28"/>
  <c r="G13" i="28" s="1"/>
  <c r="H13" i="28" s="1"/>
  <c r="F14" i="28"/>
  <c r="G14" i="28" s="1"/>
  <c r="H14" i="28" s="1"/>
  <c r="F15" i="28"/>
  <c r="G15" i="28" s="1"/>
  <c r="H15" i="28" s="1"/>
  <c r="F16" i="28"/>
  <c r="G16" i="28" s="1"/>
  <c r="H16" i="28"/>
  <c r="F18" i="28"/>
  <c r="G18" i="28"/>
  <c r="H18" i="28"/>
  <c r="E25" i="28"/>
  <c r="I25" i="28" s="1"/>
  <c r="E28" i="28"/>
  <c r="E32" i="28" s="1"/>
  <c r="F19" i="28"/>
  <c r="F20" i="28"/>
  <c r="F21" i="28"/>
  <c r="F22" i="28"/>
  <c r="F23" i="28"/>
  <c r="F24" i="28"/>
  <c r="F25" i="28"/>
  <c r="F26" i="28"/>
  <c r="F27" i="28"/>
  <c r="F28" i="28"/>
  <c r="F29" i="28"/>
  <c r="F30" i="28"/>
  <c r="F31" i="28"/>
  <c r="F32" i="28"/>
  <c r="F33" i="28"/>
  <c r="F34" i="28"/>
  <c r="F35" i="28"/>
  <c r="F36" i="28"/>
  <c r="F37" i="28"/>
  <c r="F38" i="28"/>
  <c r="F39" i="28"/>
  <c r="F40" i="28"/>
  <c r="G23" i="28"/>
  <c r="H23" i="28"/>
  <c r="G24" i="28"/>
  <c r="H24" i="28"/>
  <c r="G25" i="28"/>
  <c r="H25" i="28"/>
  <c r="G26" i="28"/>
  <c r="H26" i="28"/>
  <c r="G27" i="28"/>
  <c r="H27" i="28"/>
  <c r="G28" i="28"/>
  <c r="H28" i="28"/>
  <c r="G29" i="28"/>
  <c r="H29" i="28"/>
  <c r="G30" i="28"/>
  <c r="H30" i="28"/>
  <c r="G31" i="28"/>
  <c r="H31" i="28"/>
  <c r="G32" i="28"/>
  <c r="H32" i="28"/>
  <c r="G33" i="28"/>
  <c r="H33" i="28"/>
  <c r="G34" i="28"/>
  <c r="H34" i="28"/>
  <c r="G35" i="28"/>
  <c r="H35" i="28"/>
  <c r="G36" i="28"/>
  <c r="H36" i="28"/>
  <c r="G37" i="28"/>
  <c r="H37" i="28"/>
  <c r="G38" i="28"/>
  <c r="H38" i="28"/>
  <c r="G39" i="28"/>
  <c r="H39" i="28"/>
  <c r="G40" i="28"/>
  <c r="H40" i="28"/>
  <c r="C10" i="28"/>
  <c r="C11" i="28"/>
  <c r="C12" i="28"/>
  <c r="C13" i="28"/>
  <c r="C14" i="28"/>
  <c r="C15" i="28"/>
  <c r="C16" i="28"/>
  <c r="C22" i="28"/>
  <c r="C23" i="28"/>
  <c r="C24" i="28"/>
  <c r="C25" i="28"/>
  <c r="C26" i="28"/>
  <c r="C27" i="28"/>
  <c r="C28" i="28"/>
  <c r="C29" i="28"/>
  <c r="C30" i="28"/>
  <c r="C31" i="28"/>
  <c r="C32" i="28"/>
  <c r="C33" i="28"/>
  <c r="C34" i="28"/>
  <c r="C35" i="28"/>
  <c r="C36" i="28"/>
  <c r="C37" i="28"/>
  <c r="C38" i="28"/>
  <c r="C39" i="28"/>
  <c r="C40" i="28"/>
  <c r="C9" i="28"/>
  <c r="C8" i="28"/>
  <c r="H20" i="28"/>
  <c r="H21" i="28"/>
  <c r="H22" i="28"/>
  <c r="G20" i="28"/>
  <c r="G21" i="28"/>
  <c r="G22" i="28"/>
  <c r="D8" i="28"/>
  <c r="D22" i="28"/>
  <c r="D23" i="28"/>
  <c r="D24" i="28"/>
  <c r="D25" i="28"/>
  <c r="D26" i="28"/>
  <c r="D27" i="28"/>
  <c r="D28" i="28"/>
  <c r="D29" i="28"/>
  <c r="D30" i="28"/>
  <c r="D31" i="28"/>
  <c r="D32" i="28"/>
  <c r="D33" i="28"/>
  <c r="D34" i="28"/>
  <c r="D35" i="28"/>
  <c r="D36" i="28"/>
  <c r="D37" i="28"/>
  <c r="D38" i="28"/>
  <c r="D39" i="28"/>
  <c r="D40" i="28"/>
  <c r="D9" i="28"/>
  <c r="D10" i="28"/>
  <c r="D11" i="28"/>
  <c r="D12" i="28"/>
  <c r="D13" i="28"/>
  <c r="D14" i="28"/>
  <c r="D15" i="28"/>
  <c r="D16" i="28"/>
  <c r="K16" i="28"/>
  <c r="K17" i="28"/>
  <c r="K18" i="28"/>
  <c r="K19" i="28"/>
  <c r="K20" i="28"/>
  <c r="G19" i="28"/>
  <c r="H19" i="28"/>
  <c r="J15" i="52"/>
  <c r="J16" i="52"/>
  <c r="J17" i="52"/>
  <c r="J18" i="52"/>
  <c r="J19" i="52"/>
  <c r="J20" i="52"/>
  <c r="J21" i="52"/>
  <c r="J22" i="52"/>
  <c r="J23" i="52"/>
  <c r="J14" i="52"/>
  <c r="C15" i="52"/>
  <c r="D15" i="52" s="1"/>
  <c r="C16" i="52"/>
  <c r="C17" i="52"/>
  <c r="D17" i="52" s="1"/>
  <c r="C18" i="52"/>
  <c r="C19" i="52"/>
  <c r="C20" i="52"/>
  <c r="D20" i="52" s="1"/>
  <c r="C21" i="52"/>
  <c r="C22" i="52"/>
  <c r="C23" i="52"/>
  <c r="D23" i="52" s="1"/>
  <c r="C14" i="52"/>
  <c r="D14" i="52" s="1"/>
  <c r="K23" i="52"/>
  <c r="K22" i="52"/>
  <c r="K21" i="52"/>
  <c r="K20" i="52"/>
  <c r="K19" i="52"/>
  <c r="K18" i="52"/>
  <c r="K17" i="52"/>
  <c r="K16" i="52"/>
  <c r="K15" i="52"/>
  <c r="D22" i="52"/>
  <c r="F6" i="7"/>
  <c r="C8" i="7" s="1"/>
  <c r="C7" i="7"/>
  <c r="C10" i="7"/>
  <c r="G15" i="30"/>
  <c r="H15" i="30"/>
  <c r="C15" i="30"/>
  <c r="G16" i="30"/>
  <c r="C16" i="30" s="1"/>
  <c r="D16" i="30" s="1"/>
  <c r="H16" i="30"/>
  <c r="G17" i="30"/>
  <c r="H17" i="30"/>
  <c r="G18" i="30"/>
  <c r="H18" i="30"/>
  <c r="C18" i="30"/>
  <c r="D18" i="30" s="1"/>
  <c r="G19" i="30"/>
  <c r="H19" i="30"/>
  <c r="C19" i="30"/>
  <c r="D19" i="30" s="1"/>
  <c r="G20" i="30"/>
  <c r="H20" i="30"/>
  <c r="C20" i="30"/>
  <c r="D20" i="30" s="1"/>
  <c r="G21" i="30"/>
  <c r="H21" i="30"/>
  <c r="G22" i="30"/>
  <c r="H22" i="30"/>
  <c r="G23" i="30"/>
  <c r="H23" i="30"/>
  <c r="C23" i="30"/>
  <c r="D23" i="30" s="1"/>
  <c r="C14" i="30"/>
  <c r="I23" i="30"/>
  <c r="J23" i="30"/>
  <c r="K23" i="30"/>
  <c r="K22" i="30"/>
  <c r="J22" i="30"/>
  <c r="I22" i="30"/>
  <c r="K21" i="30"/>
  <c r="J21" i="30"/>
  <c r="I21" i="30"/>
  <c r="K20" i="30"/>
  <c r="J20" i="30"/>
  <c r="I20" i="30"/>
  <c r="K19" i="30"/>
  <c r="J19" i="30"/>
  <c r="I19" i="30"/>
  <c r="K18" i="30"/>
  <c r="J18" i="30"/>
  <c r="I18" i="30"/>
  <c r="K17" i="30"/>
  <c r="J17" i="30"/>
  <c r="I17" i="30"/>
  <c r="K16" i="30"/>
  <c r="J16" i="30"/>
  <c r="I16" i="30"/>
  <c r="K15" i="30"/>
  <c r="J15" i="30"/>
  <c r="I15" i="30"/>
  <c r="D14" i="30"/>
  <c r="D15" i="30"/>
  <c r="C10" i="9"/>
  <c r="C11" i="9"/>
  <c r="C12" i="9"/>
  <c r="C13" i="9"/>
  <c r="D13" i="9" s="1"/>
  <c r="E13" i="9" s="1"/>
  <c r="C14" i="9"/>
  <c r="C22" i="9" s="1"/>
  <c r="C20" i="9"/>
  <c r="D12" i="9" s="1"/>
  <c r="E12" i="9" s="1"/>
  <c r="D14" i="9"/>
  <c r="E14" i="9" s="1"/>
  <c r="D10" i="9"/>
  <c r="E10" i="9" s="1"/>
  <c r="D11" i="9"/>
  <c r="E11" i="9"/>
  <c r="C9" i="8"/>
  <c r="C10" i="8"/>
  <c r="C11" i="8"/>
  <c r="C8" i="8"/>
  <c r="B16" i="8"/>
  <c r="F9" i="8" s="1"/>
  <c r="G9" i="8" s="1"/>
  <c r="H9" i="8"/>
  <c r="I9" i="8" s="1"/>
  <c r="H10" i="8"/>
  <c r="I10" i="8" s="1"/>
  <c r="H11" i="8"/>
  <c r="I11" i="8"/>
  <c r="F8" i="8"/>
  <c r="G8" i="8" s="1"/>
  <c r="D8" i="8"/>
  <c r="E8" i="8" s="1"/>
  <c r="E16" i="8" s="1"/>
  <c r="D9" i="8"/>
  <c r="E9" i="8"/>
  <c r="D10" i="8"/>
  <c r="E10" i="8"/>
  <c r="D11" i="8"/>
  <c r="E11" i="8" s="1"/>
  <c r="I20" i="50" l="1"/>
  <c r="K22" i="50"/>
  <c r="C18" i="50"/>
  <c r="D18" i="50" s="1"/>
  <c r="J22" i="50"/>
  <c r="K17" i="50"/>
  <c r="J17" i="50"/>
  <c r="C17" i="30"/>
  <c r="D17" i="30" s="1"/>
  <c r="C22" i="50"/>
  <c r="D22" i="50" s="1"/>
  <c r="I21" i="50"/>
  <c r="I16" i="50"/>
  <c r="C22" i="30"/>
  <c r="D22" i="30" s="1"/>
  <c r="J20" i="50"/>
  <c r="J15" i="50"/>
  <c r="I8" i="28"/>
  <c r="B21" i="31"/>
  <c r="H21" i="31" s="1"/>
  <c r="B20" i="31"/>
  <c r="H20" i="31" s="1"/>
  <c r="B19" i="31"/>
  <c r="H19" i="31" s="1"/>
  <c r="G21" i="31"/>
  <c r="I26" i="28"/>
  <c r="J25" i="28"/>
  <c r="I20" i="31"/>
  <c r="G20" i="31"/>
  <c r="I19" i="31"/>
  <c r="C21" i="30"/>
  <c r="D21" i="30" s="1"/>
  <c r="I21" i="31"/>
  <c r="E19" i="9"/>
  <c r="E22" i="9" s="1"/>
  <c r="E23" i="9" s="1"/>
  <c r="C11" i="7"/>
  <c r="C9" i="7"/>
  <c r="C17" i="7" s="1"/>
  <c r="A43" i="29"/>
  <c r="C42" i="29"/>
  <c r="H8" i="8"/>
  <c r="I8" i="8" s="1"/>
  <c r="I16" i="8" s="1"/>
  <c r="D18" i="52"/>
  <c r="D19" i="52"/>
  <c r="D16" i="52"/>
  <c r="D21" i="52"/>
  <c r="F11" i="8"/>
  <c r="G11" i="8" s="1"/>
  <c r="F10" i="8"/>
  <c r="G10" i="8" s="1"/>
  <c r="G16" i="8" s="1"/>
  <c r="C40" i="29"/>
  <c r="C14" i="51"/>
  <c r="D18" i="51" s="1"/>
  <c r="K14" i="51"/>
  <c r="D17" i="51"/>
  <c r="I14" i="51"/>
  <c r="J14" i="51"/>
  <c r="C23" i="50"/>
  <c r="D23" i="50" s="1"/>
  <c r="C19" i="50"/>
  <c r="D19" i="50" s="1"/>
  <c r="K18" i="51"/>
  <c r="D27" i="29"/>
  <c r="K17" i="51"/>
  <c r="K20" i="50"/>
  <c r="K16" i="50"/>
  <c r="C15" i="50"/>
  <c r="D15" i="50" s="1"/>
  <c r="J18" i="51"/>
  <c r="K23" i="50"/>
  <c r="K19" i="50"/>
  <c r="K15" i="50"/>
  <c r="J17" i="51"/>
  <c r="A44" i="29" l="1"/>
  <c r="C43" i="29"/>
  <c r="B43" i="29"/>
  <c r="D23" i="51"/>
  <c r="D14" i="51"/>
  <c r="D15" i="51"/>
  <c r="D19" i="51"/>
  <c r="D20" i="51"/>
  <c r="D16" i="51"/>
  <c r="D22" i="51"/>
  <c r="D21" i="51"/>
  <c r="J26" i="28"/>
  <c r="I27" i="28"/>
  <c r="G19" i="31"/>
  <c r="E27" i="29"/>
  <c r="D40" i="29"/>
  <c r="D34" i="29"/>
  <c r="D36" i="29"/>
  <c r="D32" i="29"/>
  <c r="D39" i="29"/>
  <c r="D30" i="29"/>
  <c r="D28" i="29"/>
  <c r="D38" i="29"/>
  <c r="D35" i="29"/>
  <c r="D33" i="29"/>
  <c r="D43" i="29"/>
  <c r="D31" i="29"/>
  <c r="D42" i="29"/>
  <c r="D41" i="29"/>
  <c r="D29" i="29"/>
  <c r="D44" i="29"/>
  <c r="D37" i="29"/>
  <c r="G17" i="8"/>
  <c r="J27" i="28" l="1"/>
  <c r="I28" i="28"/>
  <c r="E40" i="29"/>
  <c r="E36" i="29"/>
  <c r="F27" i="29"/>
  <c r="E34" i="29"/>
  <c r="E32" i="29"/>
  <c r="E44" i="29"/>
  <c r="E39" i="29"/>
  <c r="E30" i="29"/>
  <c r="E28" i="29"/>
  <c r="E37" i="29"/>
  <c r="E38" i="29"/>
  <c r="E35" i="29"/>
  <c r="E33" i="29"/>
  <c r="E43" i="29"/>
  <c r="E31" i="29"/>
  <c r="E42" i="29"/>
  <c r="E41" i="29"/>
  <c r="E29" i="29"/>
  <c r="A45" i="29"/>
  <c r="B44" i="29"/>
  <c r="C44" i="29"/>
  <c r="G27" i="29" l="1"/>
  <c r="F45" i="29"/>
  <c r="F43" i="29"/>
  <c r="F32" i="29"/>
  <c r="F36" i="29"/>
  <c r="F39" i="29"/>
  <c r="F30" i="29"/>
  <c r="F28" i="29"/>
  <c r="F38" i="29"/>
  <c r="F35" i="29"/>
  <c r="F33" i="29"/>
  <c r="F31" i="29"/>
  <c r="F42" i="29"/>
  <c r="F41" i="29"/>
  <c r="F29" i="29"/>
  <c r="F44" i="29"/>
  <c r="F37" i="29"/>
  <c r="F40" i="29"/>
  <c r="F34" i="29"/>
  <c r="C45" i="29"/>
  <c r="B45" i="29"/>
  <c r="A46" i="29"/>
  <c r="D45" i="29"/>
  <c r="I29" i="28"/>
  <c r="J28" i="28"/>
  <c r="E45" i="29"/>
  <c r="A47" i="29" l="1"/>
  <c r="C46" i="29"/>
  <c r="B46" i="29"/>
  <c r="D46" i="29"/>
  <c r="E46" i="29"/>
  <c r="H27" i="29"/>
  <c r="G38" i="29"/>
  <c r="G45" i="29"/>
  <c r="G43" i="29"/>
  <c r="G32" i="29"/>
  <c r="G36" i="29"/>
  <c r="G39" i="29"/>
  <c r="G30" i="29"/>
  <c r="G28" i="29"/>
  <c r="G33" i="29"/>
  <c r="G46" i="29"/>
  <c r="G35" i="29"/>
  <c r="G31" i="29"/>
  <c r="G42" i="29"/>
  <c r="G41" i="29"/>
  <c r="G29" i="29"/>
  <c r="G44" i="29"/>
  <c r="G37" i="29"/>
  <c r="G47" i="29"/>
  <c r="G40" i="29"/>
  <c r="G34" i="29"/>
  <c r="F46" i="29"/>
  <c r="J29" i="28"/>
  <c r="I30" i="28"/>
  <c r="J30" i="28" l="1"/>
  <c r="I31" i="28"/>
  <c r="I27" i="29"/>
  <c r="H47" i="29"/>
  <c r="H43" i="29"/>
  <c r="H36" i="29"/>
  <c r="H39" i="29"/>
  <c r="H30" i="29"/>
  <c r="H45" i="29"/>
  <c r="H28" i="29"/>
  <c r="H40" i="29"/>
  <c r="H46" i="29"/>
  <c r="H38" i="29"/>
  <c r="H35" i="29"/>
  <c r="H33" i="29"/>
  <c r="H31" i="29"/>
  <c r="H42" i="29"/>
  <c r="H41" i="29"/>
  <c r="H29" i="29"/>
  <c r="H44" i="29"/>
  <c r="H37" i="29"/>
  <c r="H32" i="29"/>
  <c r="H34" i="29"/>
  <c r="A48" i="29"/>
  <c r="C47" i="29"/>
  <c r="B47" i="29"/>
  <c r="D47" i="29"/>
  <c r="E47" i="29"/>
  <c r="F47" i="29"/>
  <c r="A49" i="29" l="1"/>
  <c r="C48" i="29"/>
  <c r="B48" i="29"/>
  <c r="D48" i="29"/>
  <c r="E48" i="29"/>
  <c r="F48" i="29"/>
  <c r="G48" i="29"/>
  <c r="J27" i="29"/>
  <c r="I36" i="29"/>
  <c r="I43" i="29"/>
  <c r="I41" i="29"/>
  <c r="I48" i="29"/>
  <c r="I39" i="29"/>
  <c r="I30" i="29"/>
  <c r="I45" i="29"/>
  <c r="I28" i="29"/>
  <c r="I31" i="29"/>
  <c r="I46" i="29"/>
  <c r="I38" i="29"/>
  <c r="I35" i="29"/>
  <c r="I33" i="29"/>
  <c r="I49" i="29"/>
  <c r="I42" i="29"/>
  <c r="I29" i="29"/>
  <c r="I44" i="29"/>
  <c r="I37" i="29"/>
  <c r="I47" i="29"/>
  <c r="I40" i="29"/>
  <c r="I34" i="29"/>
  <c r="I32" i="29"/>
  <c r="H48" i="29"/>
  <c r="I32" i="28"/>
  <c r="J31" i="28"/>
  <c r="J45" i="29" l="1"/>
  <c r="J41" i="29"/>
  <c r="J48" i="29"/>
  <c r="K27" i="29"/>
  <c r="J28" i="29"/>
  <c r="J46" i="29"/>
  <c r="J32" i="29"/>
  <c r="J38" i="29"/>
  <c r="J35" i="29"/>
  <c r="J33" i="29"/>
  <c r="J49" i="29"/>
  <c r="J31" i="29"/>
  <c r="J42" i="29"/>
  <c r="J29" i="29"/>
  <c r="J44" i="29"/>
  <c r="J43" i="29"/>
  <c r="J37" i="29"/>
  <c r="J47" i="29"/>
  <c r="J40" i="29"/>
  <c r="J34" i="29"/>
  <c r="J39" i="29"/>
  <c r="J30" i="29"/>
  <c r="J36" i="29"/>
  <c r="I33" i="28"/>
  <c r="J32" i="28"/>
  <c r="A50" i="29"/>
  <c r="J50" i="29" s="1"/>
  <c r="C49" i="29"/>
  <c r="B49" i="29"/>
  <c r="D49" i="29"/>
  <c r="E49" i="29"/>
  <c r="F49" i="29"/>
  <c r="G49" i="29"/>
  <c r="H49" i="29"/>
  <c r="J33" i="28" l="1"/>
  <c r="I34" i="28"/>
  <c r="K48" i="29"/>
  <c r="K50" i="29"/>
  <c r="K46" i="29"/>
  <c r="L27" i="29"/>
  <c r="K45" i="29"/>
  <c r="K28" i="29"/>
  <c r="K38" i="29"/>
  <c r="K35" i="29"/>
  <c r="K33" i="29"/>
  <c r="K49" i="29"/>
  <c r="K31" i="29"/>
  <c r="K29" i="29"/>
  <c r="K42" i="29"/>
  <c r="K44" i="29"/>
  <c r="K43" i="29"/>
  <c r="K41" i="29"/>
  <c r="K37" i="29"/>
  <c r="K47" i="29"/>
  <c r="K40" i="29"/>
  <c r="K34" i="29"/>
  <c r="K32" i="29"/>
  <c r="K39" i="29"/>
  <c r="K36" i="29"/>
  <c r="K30" i="29"/>
  <c r="A51" i="29"/>
  <c r="C50" i="29"/>
  <c r="B50" i="29"/>
  <c r="D50" i="29"/>
  <c r="E50" i="29"/>
  <c r="F50" i="29"/>
  <c r="G50" i="29"/>
  <c r="H50" i="29"/>
  <c r="I50" i="29"/>
  <c r="A52" i="29" l="1"/>
  <c r="C51" i="29"/>
  <c r="B51" i="29"/>
  <c r="D51" i="29"/>
  <c r="E51" i="29"/>
  <c r="F51" i="29"/>
  <c r="G51" i="29"/>
  <c r="H51" i="29"/>
  <c r="I51" i="29"/>
  <c r="J51" i="29"/>
  <c r="M27" i="29"/>
  <c r="L51" i="29"/>
  <c r="L43" i="29"/>
  <c r="L39" i="29"/>
  <c r="L48" i="29"/>
  <c r="L50" i="29"/>
  <c r="L46" i="29"/>
  <c r="L38" i="29"/>
  <c r="L35" i="29"/>
  <c r="L33" i="29"/>
  <c r="L36" i="29"/>
  <c r="L49" i="29"/>
  <c r="L31" i="29"/>
  <c r="L42" i="29"/>
  <c r="L29" i="29"/>
  <c r="L44" i="29"/>
  <c r="L41" i="29"/>
  <c r="L37" i="29"/>
  <c r="L47" i="29"/>
  <c r="L40" i="29"/>
  <c r="L34" i="29"/>
  <c r="L32" i="29"/>
  <c r="L28" i="29"/>
  <c r="L45" i="29"/>
  <c r="L30" i="29"/>
  <c r="L52" i="29"/>
  <c r="K51" i="29"/>
  <c r="J34" i="28"/>
  <c r="I35" i="28"/>
  <c r="N27" i="29" l="1"/>
  <c r="M51" i="29"/>
  <c r="M48" i="29"/>
  <c r="M50" i="29"/>
  <c r="M46" i="29"/>
  <c r="M44" i="29"/>
  <c r="M38" i="29"/>
  <c r="M35" i="29"/>
  <c r="M33" i="29"/>
  <c r="M49" i="29"/>
  <c r="M31" i="29"/>
  <c r="M42" i="29"/>
  <c r="M29" i="29"/>
  <c r="M41" i="29"/>
  <c r="M37" i="29"/>
  <c r="M43" i="29"/>
  <c r="M47" i="29"/>
  <c r="M40" i="29"/>
  <c r="M34" i="29"/>
  <c r="M32" i="29"/>
  <c r="M39" i="29"/>
  <c r="M36" i="29"/>
  <c r="M30" i="29"/>
  <c r="M52" i="29"/>
  <c r="M45" i="29"/>
  <c r="M28" i="29"/>
  <c r="J35" i="28"/>
  <c r="I36" i="28"/>
  <c r="A53" i="29"/>
  <c r="C52" i="29"/>
  <c r="B52" i="29"/>
  <c r="D52" i="29"/>
  <c r="E52" i="29"/>
  <c r="F52" i="29"/>
  <c r="G52" i="29"/>
  <c r="H52" i="29"/>
  <c r="I52" i="29"/>
  <c r="J52" i="29"/>
  <c r="K52" i="29"/>
  <c r="A54" i="29" l="1"/>
  <c r="C53" i="29"/>
  <c r="B53" i="29"/>
  <c r="D53" i="29"/>
  <c r="E53" i="29"/>
  <c r="F53" i="29"/>
  <c r="G53" i="29"/>
  <c r="H53" i="29"/>
  <c r="I53" i="29"/>
  <c r="J53" i="29"/>
  <c r="K53" i="29"/>
  <c r="L53" i="29"/>
  <c r="J36" i="28"/>
  <c r="I37" i="28"/>
  <c r="M53" i="29"/>
  <c r="N41" i="29"/>
  <c r="N48" i="29"/>
  <c r="N37" i="29"/>
  <c r="N50" i="29"/>
  <c r="N46" i="29"/>
  <c r="N53" i="29"/>
  <c r="N38" i="29"/>
  <c r="N35" i="29"/>
  <c r="N33" i="29"/>
  <c r="N49" i="29"/>
  <c r="N31" i="29"/>
  <c r="N54" i="29"/>
  <c r="N42" i="29"/>
  <c r="N29" i="29"/>
  <c r="N52" i="29"/>
  <c r="N51" i="29"/>
  <c r="N45" i="29"/>
  <c r="O27" i="29"/>
  <c r="N44" i="29"/>
  <c r="N43" i="29"/>
  <c r="N47" i="29"/>
  <c r="N40" i="29"/>
  <c r="N34" i="29"/>
  <c r="N32" i="29"/>
  <c r="N36" i="29"/>
  <c r="N30" i="29"/>
  <c r="N39" i="29"/>
  <c r="N28" i="29"/>
  <c r="P27" i="29" l="1"/>
  <c r="O53" i="29"/>
  <c r="O54" i="29"/>
  <c r="O50" i="29"/>
  <c r="O46" i="29"/>
  <c r="O44" i="29"/>
  <c r="O38" i="29"/>
  <c r="O35" i="29"/>
  <c r="O33" i="29"/>
  <c r="O49" i="29"/>
  <c r="O31" i="29"/>
  <c r="O42" i="29"/>
  <c r="O29" i="29"/>
  <c r="O51" i="29"/>
  <c r="O43" i="29"/>
  <c r="O41" i="29"/>
  <c r="O37" i="29"/>
  <c r="O47" i="29"/>
  <c r="O40" i="29"/>
  <c r="O34" i="29"/>
  <c r="O32" i="29"/>
  <c r="O36" i="29"/>
  <c r="O30" i="29"/>
  <c r="O39" i="29"/>
  <c r="O52" i="29"/>
  <c r="O45" i="29"/>
  <c r="O28" i="29"/>
  <c r="O48" i="29"/>
  <c r="J37" i="28"/>
  <c r="I38" i="28"/>
  <c r="A55" i="29"/>
  <c r="C54" i="29"/>
  <c r="B54" i="29"/>
  <c r="D54" i="29"/>
  <c r="E54" i="29"/>
  <c r="F54" i="29"/>
  <c r="G54" i="29"/>
  <c r="H54" i="29"/>
  <c r="I54" i="29"/>
  <c r="J54" i="29"/>
  <c r="K54" i="29"/>
  <c r="L54" i="29"/>
  <c r="M54" i="29"/>
  <c r="A56" i="29" l="1"/>
  <c r="C55" i="29"/>
  <c r="B55" i="29"/>
  <c r="D55" i="29"/>
  <c r="E55" i="29"/>
  <c r="F55" i="29"/>
  <c r="G55" i="29"/>
  <c r="H55" i="29"/>
  <c r="I55" i="29"/>
  <c r="J55" i="29"/>
  <c r="K55" i="29"/>
  <c r="L55" i="29"/>
  <c r="M55" i="29"/>
  <c r="N55" i="29"/>
  <c r="J38" i="28"/>
  <c r="I39" i="28"/>
  <c r="O55" i="29"/>
  <c r="Q27" i="29"/>
  <c r="P54" i="29"/>
  <c r="P39" i="29"/>
  <c r="P50" i="29"/>
  <c r="P46" i="29"/>
  <c r="P44" i="29"/>
  <c r="P53" i="29"/>
  <c r="P55" i="29"/>
  <c r="P38" i="29"/>
  <c r="P35" i="29"/>
  <c r="P33" i="29"/>
  <c r="P49" i="29"/>
  <c r="P31" i="29"/>
  <c r="P42" i="29"/>
  <c r="P29" i="29"/>
  <c r="P34" i="29"/>
  <c r="P51" i="29"/>
  <c r="P48" i="29"/>
  <c r="P43" i="29"/>
  <c r="P41" i="29"/>
  <c r="P37" i="29"/>
  <c r="P47" i="29"/>
  <c r="P40" i="29"/>
  <c r="P32" i="29"/>
  <c r="P36" i="29"/>
  <c r="P30" i="29"/>
  <c r="P52" i="29"/>
  <c r="P45" i="29"/>
  <c r="P28" i="29"/>
  <c r="P56" i="29"/>
  <c r="Q55" i="29" l="1"/>
  <c r="Q51" i="29"/>
  <c r="R27" i="29"/>
  <c r="Q56" i="29"/>
  <c r="Q48" i="29"/>
  <c r="Q44" i="29"/>
  <c r="Q53" i="29"/>
  <c r="Q49" i="29"/>
  <c r="Q31" i="29"/>
  <c r="Q46" i="29"/>
  <c r="Q42" i="29"/>
  <c r="Q29" i="29"/>
  <c r="Q54" i="29"/>
  <c r="Q43" i="29"/>
  <c r="Q41" i="29"/>
  <c r="Q37" i="29"/>
  <c r="Q47" i="29"/>
  <c r="Q40" i="29"/>
  <c r="Q34" i="29"/>
  <c r="Q32" i="29"/>
  <c r="Q36" i="29"/>
  <c r="Q30" i="29"/>
  <c r="Q50" i="29"/>
  <c r="Q52" i="29"/>
  <c r="Q45" i="29"/>
  <c r="Q39" i="29"/>
  <c r="Q28" i="29"/>
  <c r="Q35" i="29"/>
  <c r="Q38" i="29"/>
  <c r="Q33" i="29"/>
  <c r="J39" i="28"/>
  <c r="I40" i="28"/>
  <c r="B56" i="29"/>
  <c r="A57" i="29"/>
  <c r="Q57" i="29" s="1"/>
  <c r="C56" i="29"/>
  <c r="D56" i="29"/>
  <c r="E56" i="29"/>
  <c r="F56" i="29"/>
  <c r="G56" i="29"/>
  <c r="H56" i="29"/>
  <c r="I56" i="29"/>
  <c r="J56" i="29"/>
  <c r="K56" i="29"/>
  <c r="L56" i="29"/>
  <c r="M56" i="29"/>
  <c r="N56" i="29"/>
  <c r="O56" i="29"/>
  <c r="S27" i="29" l="1"/>
  <c r="R56" i="29"/>
  <c r="R37" i="29"/>
  <c r="R44" i="29"/>
  <c r="R53" i="29"/>
  <c r="R42" i="29"/>
  <c r="R49" i="29"/>
  <c r="R31" i="29"/>
  <c r="R46" i="29"/>
  <c r="R29" i="29"/>
  <c r="R54" i="29"/>
  <c r="R51" i="29"/>
  <c r="R43" i="29"/>
  <c r="R41" i="29"/>
  <c r="R47" i="29"/>
  <c r="R40" i="29"/>
  <c r="R34" i="29"/>
  <c r="R32" i="29"/>
  <c r="R36" i="29"/>
  <c r="R30" i="29"/>
  <c r="R50" i="29"/>
  <c r="R52" i="29"/>
  <c r="R45" i="29"/>
  <c r="R39" i="29"/>
  <c r="R28" i="29"/>
  <c r="R57" i="29"/>
  <c r="R48" i="29"/>
  <c r="R38" i="29"/>
  <c r="R35" i="29"/>
  <c r="R33" i="29"/>
  <c r="R55" i="29"/>
  <c r="J40" i="28"/>
  <c r="I41" i="28"/>
  <c r="A58" i="29"/>
  <c r="R58" i="29" s="1"/>
  <c r="C57" i="29"/>
  <c r="B57" i="29"/>
  <c r="D57" i="29"/>
  <c r="E57" i="29"/>
  <c r="F57" i="29"/>
  <c r="G57" i="29"/>
  <c r="H57" i="29"/>
  <c r="I57" i="29"/>
  <c r="J57" i="29"/>
  <c r="K57" i="29"/>
  <c r="L57" i="29"/>
  <c r="M57" i="29"/>
  <c r="N57" i="29"/>
  <c r="O57" i="29"/>
  <c r="P57" i="29"/>
  <c r="I42" i="28" l="1"/>
  <c r="J41" i="28"/>
  <c r="A59" i="29"/>
  <c r="C58" i="29"/>
  <c r="B58" i="29"/>
  <c r="D58" i="29"/>
  <c r="E58" i="29"/>
  <c r="F58" i="29"/>
  <c r="G58" i="29"/>
  <c r="H58" i="29"/>
  <c r="I58" i="29"/>
  <c r="J58" i="29"/>
  <c r="K58" i="29"/>
  <c r="L58" i="29"/>
  <c r="M58" i="29"/>
  <c r="N58" i="29"/>
  <c r="O58" i="29"/>
  <c r="P58" i="29"/>
  <c r="Q58" i="29"/>
  <c r="S58" i="29"/>
  <c r="T27" i="29"/>
  <c r="S54" i="29"/>
  <c r="S50" i="29"/>
  <c r="S46" i="29"/>
  <c r="S53" i="29"/>
  <c r="S42" i="29"/>
  <c r="S49" i="29"/>
  <c r="S52" i="29"/>
  <c r="S29" i="29"/>
  <c r="S51" i="29"/>
  <c r="S43" i="29"/>
  <c r="S41" i="29"/>
  <c r="S47" i="29"/>
  <c r="S37" i="29"/>
  <c r="S40" i="29"/>
  <c r="S34" i="29"/>
  <c r="S38" i="29"/>
  <c r="S44" i="29"/>
  <c r="S32" i="29"/>
  <c r="S33" i="29"/>
  <c r="S36" i="29"/>
  <c r="S30" i="29"/>
  <c r="S45" i="29"/>
  <c r="S39" i="29"/>
  <c r="S28" i="29"/>
  <c r="S57" i="29"/>
  <c r="S56" i="29"/>
  <c r="S48" i="29"/>
  <c r="S55" i="29"/>
  <c r="S35" i="29"/>
  <c r="S31" i="29"/>
  <c r="T58" i="29" l="1"/>
  <c r="U27" i="29"/>
  <c r="T35" i="29"/>
  <c r="T42" i="29"/>
  <c r="T40" i="29"/>
  <c r="T49" i="29"/>
  <c r="T59" i="29"/>
  <c r="T52" i="29"/>
  <c r="T47" i="29"/>
  <c r="T29" i="29"/>
  <c r="T46" i="29"/>
  <c r="T54" i="29"/>
  <c r="T51" i="29"/>
  <c r="T43" i="29"/>
  <c r="T41" i="29"/>
  <c r="T37" i="29"/>
  <c r="T34" i="29"/>
  <c r="T30" i="29"/>
  <c r="T44" i="29"/>
  <c r="T32" i="29"/>
  <c r="T53" i="29"/>
  <c r="T36" i="29"/>
  <c r="T50" i="29"/>
  <c r="T45" i="29"/>
  <c r="T39" i="29"/>
  <c r="T28" i="29"/>
  <c r="T57" i="29"/>
  <c r="T56" i="29"/>
  <c r="T48" i="29"/>
  <c r="T38" i="29"/>
  <c r="T33" i="29"/>
  <c r="T31" i="29"/>
  <c r="T55" i="29"/>
  <c r="A60" i="29"/>
  <c r="T60" i="29" s="1"/>
  <c r="C59" i="29"/>
  <c r="B59" i="29"/>
  <c r="D59" i="29"/>
  <c r="E59" i="29"/>
  <c r="F59" i="29"/>
  <c r="G59" i="29"/>
  <c r="H59" i="29"/>
  <c r="I59" i="29"/>
  <c r="J59" i="29"/>
  <c r="K59" i="29"/>
  <c r="L59" i="29"/>
  <c r="M59" i="29"/>
  <c r="N59" i="29"/>
  <c r="O59" i="29"/>
  <c r="P59" i="29"/>
  <c r="Q59" i="29"/>
  <c r="R59" i="29"/>
  <c r="S59" i="29"/>
  <c r="I43" i="28"/>
  <c r="J42" i="28"/>
  <c r="V27" i="29" l="1"/>
  <c r="U52" i="29"/>
  <c r="U61" i="29"/>
  <c r="U44" i="29"/>
  <c r="U53" i="29"/>
  <c r="U40" i="29"/>
  <c r="U49" i="29"/>
  <c r="U59" i="29"/>
  <c r="U47" i="29"/>
  <c r="U46" i="29"/>
  <c r="U54" i="29"/>
  <c r="U51" i="29"/>
  <c r="U43" i="29"/>
  <c r="U42" i="29"/>
  <c r="U41" i="29"/>
  <c r="U37" i="29"/>
  <c r="U34" i="29"/>
  <c r="U32" i="29"/>
  <c r="U36" i="29"/>
  <c r="U30" i="29"/>
  <c r="U50" i="29"/>
  <c r="U45" i="29"/>
  <c r="U39" i="29"/>
  <c r="U28" i="29"/>
  <c r="U57" i="29"/>
  <c r="U56" i="29"/>
  <c r="U48" i="29"/>
  <c r="U38" i="29"/>
  <c r="U33" i="29"/>
  <c r="U55" i="29"/>
  <c r="U35" i="29"/>
  <c r="U60" i="29"/>
  <c r="U58" i="29"/>
  <c r="U29" i="29"/>
  <c r="U31" i="29"/>
  <c r="B60" i="29"/>
  <c r="A61" i="29"/>
  <c r="C60" i="29"/>
  <c r="D60" i="29"/>
  <c r="E60" i="29"/>
  <c r="F60" i="29"/>
  <c r="G60" i="29"/>
  <c r="H60" i="29"/>
  <c r="I60" i="29"/>
  <c r="J60" i="29"/>
  <c r="K60" i="29"/>
  <c r="L60" i="29"/>
  <c r="M60" i="29"/>
  <c r="N60" i="29"/>
  <c r="O60" i="29"/>
  <c r="P60" i="29"/>
  <c r="Q60" i="29"/>
  <c r="R60" i="29"/>
  <c r="S60" i="29"/>
  <c r="J43" i="28"/>
  <c r="I44" i="28"/>
  <c r="C61" i="29" l="1"/>
  <c r="B61" i="29"/>
  <c r="A62" i="29"/>
  <c r="D61" i="29"/>
  <c r="E61" i="29"/>
  <c r="F61" i="29"/>
  <c r="G61" i="29"/>
  <c r="H61" i="29"/>
  <c r="I61" i="29"/>
  <c r="J61" i="29"/>
  <c r="K61" i="29"/>
  <c r="L61" i="29"/>
  <c r="M61" i="29"/>
  <c r="N61" i="29"/>
  <c r="O61" i="29"/>
  <c r="P61" i="29"/>
  <c r="Q61" i="29"/>
  <c r="R61" i="29"/>
  <c r="S61" i="29"/>
  <c r="T61" i="29"/>
  <c r="V60" i="29"/>
  <c r="V56" i="29"/>
  <c r="V61" i="29"/>
  <c r="W27" i="29"/>
  <c r="V53" i="29"/>
  <c r="V58" i="29"/>
  <c r="V49" i="29"/>
  <c r="V59" i="29"/>
  <c r="V52" i="29"/>
  <c r="V47" i="29"/>
  <c r="V45" i="29"/>
  <c r="V54" i="29"/>
  <c r="V51" i="29"/>
  <c r="V43" i="29"/>
  <c r="V42" i="29"/>
  <c r="V41" i="29"/>
  <c r="V62" i="29"/>
  <c r="V37" i="29"/>
  <c r="V34" i="29"/>
  <c r="V40" i="29"/>
  <c r="V32" i="29"/>
  <c r="V44" i="29"/>
  <c r="V36" i="29"/>
  <c r="V30" i="29"/>
  <c r="V28" i="29"/>
  <c r="V50" i="29"/>
  <c r="V39" i="29"/>
  <c r="V57" i="29"/>
  <c r="V48" i="29"/>
  <c r="V38" i="29"/>
  <c r="V33" i="29"/>
  <c r="V55" i="29"/>
  <c r="V35" i="29"/>
  <c r="V31" i="29"/>
  <c r="V29" i="29"/>
  <c r="V46" i="29"/>
  <c r="J44" i="28"/>
  <c r="I45" i="28"/>
  <c r="J45" i="28" s="1"/>
  <c r="W61" i="29" l="1"/>
  <c r="W50" i="29"/>
  <c r="X27" i="29"/>
  <c r="W58" i="29"/>
  <c r="W42" i="29"/>
  <c r="W49" i="29"/>
  <c r="W59" i="29"/>
  <c r="W38" i="29"/>
  <c r="W52" i="29"/>
  <c r="W47" i="29"/>
  <c r="W45" i="29"/>
  <c r="W62" i="29"/>
  <c r="W43" i="29"/>
  <c r="W41" i="29"/>
  <c r="W37" i="29"/>
  <c r="W34" i="29"/>
  <c r="W40" i="29"/>
  <c r="W32" i="29"/>
  <c r="W44" i="29"/>
  <c r="W36" i="29"/>
  <c r="W30" i="29"/>
  <c r="W53" i="29"/>
  <c r="W39" i="29"/>
  <c r="W28" i="29"/>
  <c r="W57" i="29"/>
  <c r="W48" i="29"/>
  <c r="W56" i="29"/>
  <c r="W33" i="29"/>
  <c r="W55" i="29"/>
  <c r="W35" i="29"/>
  <c r="W31" i="29"/>
  <c r="W60" i="29"/>
  <c r="W46" i="29"/>
  <c r="W51" i="29"/>
  <c r="W29" i="29"/>
  <c r="W54" i="29"/>
  <c r="A63" i="29"/>
  <c r="B62" i="29"/>
  <c r="C62" i="29"/>
  <c r="D62" i="29"/>
  <c r="E62" i="29"/>
  <c r="F62" i="29"/>
  <c r="G62" i="29"/>
  <c r="H62" i="29"/>
  <c r="I62" i="29"/>
  <c r="J62" i="29"/>
  <c r="K62" i="29"/>
  <c r="L62" i="29"/>
  <c r="M62" i="29"/>
  <c r="N62" i="29"/>
  <c r="O62" i="29"/>
  <c r="P62" i="29"/>
  <c r="Q62" i="29"/>
  <c r="R62" i="29"/>
  <c r="S62" i="29"/>
  <c r="T62" i="29"/>
  <c r="U62" i="29"/>
  <c r="X58" i="29" l="1"/>
  <c r="X54" i="29"/>
  <c r="X63" i="29"/>
  <c r="X61" i="29"/>
  <c r="X59" i="29"/>
  <c r="Y27" i="29"/>
  <c r="X52" i="29"/>
  <c r="X47" i="29"/>
  <c r="X45" i="29"/>
  <c r="X57" i="29"/>
  <c r="X56" i="29"/>
  <c r="X55" i="29"/>
  <c r="X42" i="29"/>
  <c r="X37" i="29"/>
  <c r="X62" i="29"/>
  <c r="X34" i="29"/>
  <c r="X40" i="29"/>
  <c r="X32" i="29"/>
  <c r="X44" i="29"/>
  <c r="X46" i="29"/>
  <c r="X36" i="29"/>
  <c r="X30" i="29"/>
  <c r="X53" i="29"/>
  <c r="X39" i="29"/>
  <c r="X28" i="29"/>
  <c r="X50" i="29"/>
  <c r="X48" i="29"/>
  <c r="X60" i="29"/>
  <c r="X33" i="29"/>
  <c r="X38" i="29"/>
  <c r="X35" i="29"/>
  <c r="X31" i="29"/>
  <c r="X29" i="29"/>
  <c r="X51" i="29"/>
  <c r="X49" i="29"/>
  <c r="X43" i="29"/>
  <c r="X41" i="29"/>
  <c r="C63" i="29"/>
  <c r="B63" i="29"/>
  <c r="A64" i="29"/>
  <c r="D63" i="29"/>
  <c r="E63" i="29"/>
  <c r="F63" i="29"/>
  <c r="G63" i="29"/>
  <c r="H63" i="29"/>
  <c r="I63" i="29"/>
  <c r="J63" i="29"/>
  <c r="K63" i="29"/>
  <c r="L63" i="29"/>
  <c r="M63" i="29"/>
  <c r="N63" i="29"/>
  <c r="O63" i="29"/>
  <c r="P63" i="29"/>
  <c r="Q63" i="29"/>
  <c r="R63" i="29"/>
  <c r="S63" i="29"/>
  <c r="T63" i="29"/>
  <c r="U63" i="29"/>
  <c r="V63" i="29"/>
  <c r="W63" i="29"/>
  <c r="C64" i="29" l="1"/>
  <c r="B64" i="29"/>
  <c r="A65" i="29"/>
  <c r="Y65" i="29" s="1"/>
  <c r="D64" i="29"/>
  <c r="E64" i="29"/>
  <c r="F64" i="29"/>
  <c r="G64" i="29"/>
  <c r="H64" i="29"/>
  <c r="I64" i="29"/>
  <c r="J64" i="29"/>
  <c r="K64" i="29"/>
  <c r="L64" i="29"/>
  <c r="M64" i="29"/>
  <c r="N64" i="29"/>
  <c r="O64" i="29"/>
  <c r="P64" i="29"/>
  <c r="Q64" i="29"/>
  <c r="R64" i="29"/>
  <c r="S64" i="29"/>
  <c r="T64" i="29"/>
  <c r="U64" i="29"/>
  <c r="V64" i="29"/>
  <c r="W64" i="29"/>
  <c r="Y63" i="29"/>
  <c r="Y61" i="29"/>
  <c r="Y59" i="29"/>
  <c r="Y40" i="29"/>
  <c r="Y52" i="29"/>
  <c r="Y47" i="29"/>
  <c r="Y36" i="29"/>
  <c r="Y45" i="29"/>
  <c r="Y64" i="29"/>
  <c r="Y62" i="29"/>
  <c r="Z27" i="29"/>
  <c r="Y34" i="29"/>
  <c r="Y32" i="29"/>
  <c r="Y44" i="29"/>
  <c r="Y51" i="29"/>
  <c r="Y30" i="29"/>
  <c r="Y53" i="29"/>
  <c r="Y39" i="29"/>
  <c r="Y28" i="29"/>
  <c r="Y50" i="29"/>
  <c r="Y57" i="29"/>
  <c r="Y48" i="29"/>
  <c r="Y56" i="29"/>
  <c r="Y33" i="29"/>
  <c r="Y38" i="29"/>
  <c r="Y35" i="29"/>
  <c r="Y55" i="29"/>
  <c r="Y31" i="29"/>
  <c r="Y29" i="29"/>
  <c r="Y60" i="29"/>
  <c r="Y58" i="29"/>
  <c r="Y46" i="29"/>
  <c r="Y54" i="29"/>
  <c r="Y49" i="29"/>
  <c r="Y43" i="29"/>
  <c r="Y41" i="29"/>
  <c r="Y37" i="29"/>
  <c r="Y42" i="29"/>
  <c r="X64" i="29"/>
  <c r="Z56" i="29" l="1"/>
  <c r="Z52" i="29"/>
  <c r="Z61" i="29"/>
  <c r="Z59" i="29"/>
  <c r="Z57" i="29"/>
  <c r="AA27" i="29"/>
  <c r="Z49" i="29"/>
  <c r="Z45" i="29"/>
  <c r="Z66" i="29"/>
  <c r="Z64" i="29"/>
  <c r="Z43" i="29"/>
  <c r="Z62" i="29"/>
  <c r="Z55" i="29"/>
  <c r="Z51" i="29"/>
  <c r="Z32" i="29"/>
  <c r="Z65" i="29"/>
  <c r="Z44" i="29"/>
  <c r="Z40" i="29"/>
  <c r="Z30" i="29"/>
  <c r="Z54" i="29"/>
  <c r="Z53" i="29"/>
  <c r="Z47" i="29"/>
  <c r="Z36" i="29"/>
  <c r="Z39" i="29"/>
  <c r="Z28" i="29"/>
  <c r="Z50" i="29"/>
  <c r="Z63" i="29"/>
  <c r="Z48" i="29"/>
  <c r="Z33" i="29"/>
  <c r="Z38" i="29"/>
  <c r="Z35" i="29"/>
  <c r="Z31" i="29"/>
  <c r="Z41" i="29"/>
  <c r="Z29" i="29"/>
  <c r="Z60" i="29"/>
  <c r="Z58" i="29"/>
  <c r="Z46" i="29"/>
  <c r="Z42" i="29"/>
  <c r="Z37" i="29"/>
  <c r="Z34" i="29"/>
  <c r="B65" i="29"/>
  <c r="A66" i="29"/>
  <c r="C65" i="29"/>
  <c r="D65" i="29"/>
  <c r="E65" i="29"/>
  <c r="F65" i="29"/>
  <c r="G65" i="29"/>
  <c r="H65" i="29"/>
  <c r="I65" i="29"/>
  <c r="J65" i="29"/>
  <c r="K65" i="29"/>
  <c r="L65" i="29"/>
  <c r="M65" i="29"/>
  <c r="N65" i="29"/>
  <c r="O65" i="29"/>
  <c r="P65" i="29"/>
  <c r="Q65" i="29"/>
  <c r="R65" i="29"/>
  <c r="S65" i="29"/>
  <c r="T65" i="29"/>
  <c r="U65" i="29"/>
  <c r="V65" i="29"/>
  <c r="W65" i="29"/>
  <c r="X65" i="29"/>
  <c r="AA65" i="29" l="1"/>
  <c r="AA61" i="29"/>
  <c r="AA59" i="29"/>
  <c r="AA57" i="29"/>
  <c r="AA66" i="29"/>
  <c r="AA64" i="29"/>
  <c r="AB27" i="29"/>
  <c r="AA38" i="29"/>
  <c r="AA45" i="29"/>
  <c r="AA43" i="29"/>
  <c r="AA62" i="29"/>
  <c r="AA55" i="29"/>
  <c r="AA51" i="29"/>
  <c r="AA56" i="29"/>
  <c r="AA60" i="29"/>
  <c r="AA32" i="29"/>
  <c r="AA44" i="29"/>
  <c r="AA40" i="29"/>
  <c r="AA30" i="29"/>
  <c r="AA53" i="29"/>
  <c r="AA47" i="29"/>
  <c r="AA36" i="29"/>
  <c r="AA39" i="29"/>
  <c r="AA28" i="29"/>
  <c r="AA49" i="29"/>
  <c r="AA42" i="29"/>
  <c r="AA50" i="29"/>
  <c r="AA33" i="29"/>
  <c r="AA63" i="29"/>
  <c r="AA48" i="29"/>
  <c r="AA35" i="29"/>
  <c r="AA31" i="29"/>
  <c r="AA52" i="29"/>
  <c r="AA29" i="29"/>
  <c r="AA58" i="29"/>
  <c r="AA46" i="29"/>
  <c r="AA54" i="29"/>
  <c r="AA41" i="29"/>
  <c r="AA37" i="29"/>
  <c r="AA34" i="29"/>
  <c r="A67" i="29"/>
  <c r="C66" i="29"/>
  <c r="B66" i="29"/>
  <c r="D66" i="29"/>
  <c r="E66" i="29"/>
  <c r="F66" i="29"/>
  <c r="G66" i="29"/>
  <c r="H66" i="29"/>
  <c r="I66" i="29"/>
  <c r="J66" i="29"/>
  <c r="K66" i="29"/>
  <c r="L66" i="29"/>
  <c r="M66" i="29"/>
  <c r="N66" i="29"/>
  <c r="O66" i="29"/>
  <c r="P66" i="29"/>
  <c r="Q66" i="29"/>
  <c r="R66" i="29"/>
  <c r="S66" i="29"/>
  <c r="T66" i="29"/>
  <c r="U66" i="29"/>
  <c r="V66" i="29"/>
  <c r="W66" i="29"/>
  <c r="X66" i="29"/>
  <c r="Y66" i="29"/>
  <c r="A68" i="29" l="1"/>
  <c r="B67" i="29"/>
  <c r="C67" i="29"/>
  <c r="D67" i="29"/>
  <c r="E67" i="29"/>
  <c r="F67" i="29"/>
  <c r="G67" i="29"/>
  <c r="H67" i="29"/>
  <c r="I67" i="29"/>
  <c r="J67" i="29"/>
  <c r="K67" i="29"/>
  <c r="L67" i="29"/>
  <c r="M67" i="29"/>
  <c r="N67" i="29"/>
  <c r="O67" i="29"/>
  <c r="P67" i="29"/>
  <c r="Q67" i="29"/>
  <c r="R67" i="29"/>
  <c r="S67" i="29"/>
  <c r="T67" i="29"/>
  <c r="U67" i="29"/>
  <c r="V67" i="29"/>
  <c r="W67" i="29"/>
  <c r="X67" i="29"/>
  <c r="Y67" i="29"/>
  <c r="Z67" i="29"/>
  <c r="AA67" i="29"/>
  <c r="AB54" i="29"/>
  <c r="AB50" i="29"/>
  <c r="AB59" i="29"/>
  <c r="AB68" i="29"/>
  <c r="AB57" i="29"/>
  <c r="AB66" i="29"/>
  <c r="AB55" i="29"/>
  <c r="AC27" i="29"/>
  <c r="AB47" i="29"/>
  <c r="AB52" i="29"/>
  <c r="AB64" i="29"/>
  <c r="AB43" i="29"/>
  <c r="AB62" i="29"/>
  <c r="AB51" i="29"/>
  <c r="AB56" i="29"/>
  <c r="AB65" i="29"/>
  <c r="AB44" i="29"/>
  <c r="AB40" i="29"/>
  <c r="AB61" i="29"/>
  <c r="AB30" i="29"/>
  <c r="AB53" i="29"/>
  <c r="AB36" i="29"/>
  <c r="AB39" i="29"/>
  <c r="AB28" i="29"/>
  <c r="AB67" i="29"/>
  <c r="AB63" i="29"/>
  <c r="AB48" i="29"/>
  <c r="AB35" i="29"/>
  <c r="AB33" i="29"/>
  <c r="AB45" i="29"/>
  <c r="AB38" i="29"/>
  <c r="AB31" i="29"/>
  <c r="AB29" i="29"/>
  <c r="AB58" i="29"/>
  <c r="AB46" i="29"/>
  <c r="AB60" i="29"/>
  <c r="AB41" i="29"/>
  <c r="AB49" i="29"/>
  <c r="AB42" i="29"/>
  <c r="AB37" i="29"/>
  <c r="AB32" i="29"/>
  <c r="AB34" i="29"/>
  <c r="AC63" i="29" l="1"/>
  <c r="AC59" i="29"/>
  <c r="AC68" i="29"/>
  <c r="AC57" i="29"/>
  <c r="AC66" i="29"/>
  <c r="AC55" i="29"/>
  <c r="AC64" i="29"/>
  <c r="AC62" i="29"/>
  <c r="AD27" i="29"/>
  <c r="AC69" i="29"/>
  <c r="AC52" i="29"/>
  <c r="AC36" i="29"/>
  <c r="AC43" i="29"/>
  <c r="AC51" i="29"/>
  <c r="AC41" i="29"/>
  <c r="AC56" i="29"/>
  <c r="AC60" i="29"/>
  <c r="AC48" i="29"/>
  <c r="AC54" i="29"/>
  <c r="AC65" i="29"/>
  <c r="AC67" i="29"/>
  <c r="AC61" i="29"/>
  <c r="AC30" i="29"/>
  <c r="AC28" i="29"/>
  <c r="AC53" i="29"/>
  <c r="AC47" i="29"/>
  <c r="AC39" i="29"/>
  <c r="AC50" i="29"/>
  <c r="AC33" i="29"/>
  <c r="AC45" i="29"/>
  <c r="AC35" i="29"/>
  <c r="AC38" i="29"/>
  <c r="AC31" i="29"/>
  <c r="AC29" i="29"/>
  <c r="AC58" i="29"/>
  <c r="AC46" i="29"/>
  <c r="AC49" i="29"/>
  <c r="AC42" i="29"/>
  <c r="AC37" i="29"/>
  <c r="AC34" i="29"/>
  <c r="AC32" i="29"/>
  <c r="AC40" i="29"/>
  <c r="AC44" i="29"/>
  <c r="C68" i="29"/>
  <c r="A69" i="29"/>
  <c r="B68" i="29"/>
  <c r="D68" i="29"/>
  <c r="E68" i="29"/>
  <c r="F68" i="29"/>
  <c r="G68" i="29"/>
  <c r="H68" i="29"/>
  <c r="I68" i="29"/>
  <c r="J68" i="29"/>
  <c r="K68" i="29"/>
  <c r="L68" i="29"/>
  <c r="M68" i="29"/>
  <c r="N68" i="29"/>
  <c r="O68" i="29"/>
  <c r="P68" i="29"/>
  <c r="Q68" i="29"/>
  <c r="R68" i="29"/>
  <c r="S68" i="29"/>
  <c r="T68" i="29"/>
  <c r="U68" i="29"/>
  <c r="V68" i="29"/>
  <c r="W68" i="29"/>
  <c r="X68" i="29"/>
  <c r="Y68" i="29"/>
  <c r="Z68" i="29"/>
  <c r="AA68" i="29"/>
  <c r="A70" i="29" l="1"/>
  <c r="B69" i="29"/>
  <c r="C69" i="29"/>
  <c r="D69" i="29"/>
  <c r="E69" i="29"/>
  <c r="F69" i="29"/>
  <c r="G69" i="29"/>
  <c r="H69" i="29"/>
  <c r="I69" i="29"/>
  <c r="J69" i="29"/>
  <c r="K69" i="29"/>
  <c r="L69" i="29"/>
  <c r="M69" i="29"/>
  <c r="N69" i="29"/>
  <c r="O69" i="29"/>
  <c r="P69" i="29"/>
  <c r="Q69" i="29"/>
  <c r="R69" i="29"/>
  <c r="S69" i="29"/>
  <c r="T69" i="29"/>
  <c r="U69" i="29"/>
  <c r="V69" i="29"/>
  <c r="W69" i="29"/>
  <c r="X69" i="29"/>
  <c r="Y69" i="29"/>
  <c r="Z69" i="29"/>
  <c r="AA69" i="29"/>
  <c r="AB69" i="29"/>
  <c r="AD68" i="29"/>
  <c r="AD57" i="29"/>
  <c r="AD66" i="29"/>
  <c r="AD64" i="29"/>
  <c r="AD53" i="29"/>
  <c r="AD67" i="29"/>
  <c r="AD45" i="29"/>
  <c r="AD59" i="29"/>
  <c r="AD62" i="29"/>
  <c r="AD51" i="29"/>
  <c r="AD41" i="29"/>
  <c r="AD56" i="29"/>
  <c r="AD55" i="29"/>
  <c r="AD60" i="29"/>
  <c r="AD48" i="29"/>
  <c r="AD70" i="29"/>
  <c r="AD65" i="29"/>
  <c r="AD47" i="29"/>
  <c r="AD39" i="29"/>
  <c r="AD36" i="29"/>
  <c r="AD28" i="29"/>
  <c r="AD50" i="29"/>
  <c r="AD63" i="29"/>
  <c r="AD33" i="29"/>
  <c r="AD35" i="29"/>
  <c r="AD38" i="29"/>
  <c r="AD31" i="29"/>
  <c r="AE27" i="29"/>
  <c r="AD29" i="29"/>
  <c r="AD58" i="29"/>
  <c r="AD52" i="29"/>
  <c r="AD46" i="29"/>
  <c r="AD69" i="29"/>
  <c r="AD49" i="29"/>
  <c r="AD42" i="29"/>
  <c r="AD37" i="29"/>
  <c r="AD43" i="29"/>
  <c r="AD54" i="29"/>
  <c r="AD34" i="29"/>
  <c r="AD44" i="29"/>
  <c r="AD40" i="29"/>
  <c r="AD61" i="29"/>
  <c r="AD32" i="29"/>
  <c r="AD30" i="29"/>
  <c r="AE61" i="29" l="1"/>
  <c r="AE57" i="29"/>
  <c r="AE66" i="29"/>
  <c r="AE64" i="29"/>
  <c r="AE62" i="29"/>
  <c r="AF27" i="29"/>
  <c r="AE34" i="29"/>
  <c r="AE51" i="29"/>
  <c r="AE41" i="29"/>
  <c r="AE56" i="29"/>
  <c r="AE71" i="29"/>
  <c r="AE55" i="29"/>
  <c r="AE60" i="29"/>
  <c r="AE48" i="29"/>
  <c r="AE54" i="29"/>
  <c r="AE46" i="29"/>
  <c r="AE68" i="29"/>
  <c r="AE65" i="29"/>
  <c r="AE67" i="29"/>
  <c r="AE69" i="29"/>
  <c r="AE53" i="29"/>
  <c r="AE47" i="29"/>
  <c r="AE39" i="29"/>
  <c r="AE36" i="29"/>
  <c r="AE28" i="29"/>
  <c r="AE50" i="29"/>
  <c r="AE63" i="29"/>
  <c r="AE40" i="29"/>
  <c r="AE33" i="29"/>
  <c r="AE70" i="29"/>
  <c r="AE35" i="29"/>
  <c r="AE29" i="29"/>
  <c r="AE45" i="29"/>
  <c r="AE38" i="29"/>
  <c r="AE31" i="29"/>
  <c r="AE58" i="29"/>
  <c r="AE52" i="29"/>
  <c r="AE44" i="29"/>
  <c r="AE49" i="29"/>
  <c r="AE42" i="29"/>
  <c r="AE37" i="29"/>
  <c r="AE59" i="29"/>
  <c r="AE43" i="29"/>
  <c r="AE32" i="29"/>
  <c r="AE30" i="29"/>
  <c r="A71" i="29"/>
  <c r="B70" i="29"/>
  <c r="C70" i="29"/>
  <c r="D70" i="29"/>
  <c r="E70" i="29"/>
  <c r="F70" i="29"/>
  <c r="G70" i="29"/>
  <c r="H70" i="29"/>
  <c r="I70" i="29"/>
  <c r="J70" i="29"/>
  <c r="K70" i="29"/>
  <c r="L70" i="29"/>
  <c r="M70" i="29"/>
  <c r="N70" i="29"/>
  <c r="O70" i="29"/>
  <c r="P70" i="29"/>
  <c r="Q70" i="29"/>
  <c r="R70" i="29"/>
  <c r="S70" i="29"/>
  <c r="T70" i="29"/>
  <c r="U70" i="29"/>
  <c r="V70" i="29"/>
  <c r="W70" i="29"/>
  <c r="X70" i="29"/>
  <c r="Y70" i="29"/>
  <c r="Z70" i="29"/>
  <c r="AA70" i="29"/>
  <c r="AB70" i="29"/>
  <c r="AC70" i="29"/>
  <c r="A72" i="29" l="1"/>
  <c r="B71" i="29"/>
  <c r="C71" i="29"/>
  <c r="D71" i="29"/>
  <c r="E71" i="29"/>
  <c r="F71" i="29"/>
  <c r="G71" i="29"/>
  <c r="H71" i="29"/>
  <c r="I71" i="29"/>
  <c r="J71" i="29"/>
  <c r="K71" i="29"/>
  <c r="L71" i="29"/>
  <c r="M71" i="29"/>
  <c r="N71" i="29"/>
  <c r="O71" i="29"/>
  <c r="P71" i="29"/>
  <c r="Q71" i="29"/>
  <c r="R71" i="29"/>
  <c r="S71" i="29"/>
  <c r="T71" i="29"/>
  <c r="U71" i="29"/>
  <c r="V71" i="29"/>
  <c r="W71" i="29"/>
  <c r="X71" i="29"/>
  <c r="Y71" i="29"/>
  <c r="Z71" i="29"/>
  <c r="AA71" i="29"/>
  <c r="AB71" i="29"/>
  <c r="AC71" i="29"/>
  <c r="AD71" i="29"/>
  <c r="AG27" i="29"/>
  <c r="AF70" i="29"/>
  <c r="AF66" i="29"/>
  <c r="AF64" i="29"/>
  <c r="AF62" i="29"/>
  <c r="AF71" i="29"/>
  <c r="AF51" i="29"/>
  <c r="AF69" i="29"/>
  <c r="AF43" i="29"/>
  <c r="AF59" i="29"/>
  <c r="AF56" i="29"/>
  <c r="AF55" i="29"/>
  <c r="AF39" i="29"/>
  <c r="AF60" i="29"/>
  <c r="AF48" i="29"/>
  <c r="AF54" i="29"/>
  <c r="AF46" i="29"/>
  <c r="AF68" i="29"/>
  <c r="AF57" i="29"/>
  <c r="AF65" i="29"/>
  <c r="AF50" i="29"/>
  <c r="AF63" i="29"/>
  <c r="AF67" i="29"/>
  <c r="AF33" i="29"/>
  <c r="AF35" i="29"/>
  <c r="AF72" i="29"/>
  <c r="AF45" i="29"/>
  <c r="AF38" i="29"/>
  <c r="AF31" i="29"/>
  <c r="AF29" i="29"/>
  <c r="AF58" i="29"/>
  <c r="AF52" i="29"/>
  <c r="AF49" i="29"/>
  <c r="AF42" i="29"/>
  <c r="AF37" i="29"/>
  <c r="AF41" i="29"/>
  <c r="AF34" i="29"/>
  <c r="AF32" i="29"/>
  <c r="AF44" i="29"/>
  <c r="AF40" i="29"/>
  <c r="AF61" i="29"/>
  <c r="AF47" i="29"/>
  <c r="AF28" i="29"/>
  <c r="AF30" i="29"/>
  <c r="AF53" i="29"/>
  <c r="AF36" i="29"/>
  <c r="AG59" i="29" l="1"/>
  <c r="AH27" i="29"/>
  <c r="AG55" i="29"/>
  <c r="AG64" i="29"/>
  <c r="AG62" i="29"/>
  <c r="AG71" i="29"/>
  <c r="AG60" i="29"/>
  <c r="AG72" i="29"/>
  <c r="AG66" i="29"/>
  <c r="AG48" i="29"/>
  <c r="AG54" i="29"/>
  <c r="AG46" i="29"/>
  <c r="AG68" i="29"/>
  <c r="AG57" i="29"/>
  <c r="AG50" i="29"/>
  <c r="AG44" i="29"/>
  <c r="AG70" i="29"/>
  <c r="AG65" i="29"/>
  <c r="AG67" i="29"/>
  <c r="AG63" i="29"/>
  <c r="AG33" i="29"/>
  <c r="AG61" i="29"/>
  <c r="AG35" i="29"/>
  <c r="AG45" i="29"/>
  <c r="AG38" i="29"/>
  <c r="AG31" i="29"/>
  <c r="AG29" i="29"/>
  <c r="AG58" i="29"/>
  <c r="AG52" i="29"/>
  <c r="AG56" i="29"/>
  <c r="AG69" i="29"/>
  <c r="AG49" i="29"/>
  <c r="AG42" i="29"/>
  <c r="AG37" i="29"/>
  <c r="AG41" i="29"/>
  <c r="AG34" i="29"/>
  <c r="AG32" i="29"/>
  <c r="AG43" i="29"/>
  <c r="AG40" i="29"/>
  <c r="AG51" i="29"/>
  <c r="AG30" i="29"/>
  <c r="AG53" i="29"/>
  <c r="AG47" i="29"/>
  <c r="AG36" i="29"/>
  <c r="AG28" i="29"/>
  <c r="AG39" i="29"/>
  <c r="A73" i="29"/>
  <c r="AG73" i="29" s="1"/>
  <c r="B72" i="29"/>
  <c r="C72" i="29"/>
  <c r="D72" i="29"/>
  <c r="E72" i="29"/>
  <c r="F72" i="29"/>
  <c r="G72" i="29"/>
  <c r="H72" i="29"/>
  <c r="I72" i="29"/>
  <c r="J72" i="29"/>
  <c r="K72" i="29"/>
  <c r="L72" i="29"/>
  <c r="M72" i="29"/>
  <c r="N72" i="29"/>
  <c r="O72" i="29"/>
  <c r="P72" i="29"/>
  <c r="Q72" i="29"/>
  <c r="R72" i="29"/>
  <c r="S72" i="29"/>
  <c r="T72" i="29"/>
  <c r="U72" i="29"/>
  <c r="V72" i="29"/>
  <c r="W72" i="29"/>
  <c r="X72" i="29"/>
  <c r="Y72" i="29"/>
  <c r="Z72" i="29"/>
  <c r="AA72" i="29"/>
  <c r="AB72" i="29"/>
  <c r="AC72" i="29"/>
  <c r="AD72" i="29"/>
  <c r="AE72" i="29"/>
  <c r="A74" i="29" l="1"/>
  <c r="C73" i="29"/>
  <c r="B73" i="29"/>
  <c r="D73" i="29"/>
  <c r="E73" i="29"/>
  <c r="F73" i="29"/>
  <c r="G73" i="29"/>
  <c r="H73" i="29"/>
  <c r="I73" i="29"/>
  <c r="J73" i="29"/>
  <c r="K73" i="29"/>
  <c r="L73" i="29"/>
  <c r="M73" i="29"/>
  <c r="N73" i="29"/>
  <c r="O73" i="29"/>
  <c r="P73" i="29"/>
  <c r="Q73" i="29"/>
  <c r="R73" i="29"/>
  <c r="S73" i="29"/>
  <c r="T73" i="29"/>
  <c r="U73" i="29"/>
  <c r="V73" i="29"/>
  <c r="W73" i="29"/>
  <c r="X73" i="29"/>
  <c r="Y73" i="29"/>
  <c r="Z73" i="29"/>
  <c r="AA73" i="29"/>
  <c r="AB73" i="29"/>
  <c r="AC73" i="29"/>
  <c r="AD73" i="29"/>
  <c r="AE73" i="29"/>
  <c r="AF73" i="29"/>
  <c r="AH68" i="29"/>
  <c r="AH64" i="29"/>
  <c r="AH73" i="29"/>
  <c r="AH62" i="29"/>
  <c r="AH71" i="29"/>
  <c r="AH60" i="29"/>
  <c r="AH69" i="29"/>
  <c r="AH49" i="29"/>
  <c r="AH67" i="29"/>
  <c r="AH74" i="29"/>
  <c r="AH72" i="29"/>
  <c r="AH59" i="29"/>
  <c r="AH41" i="29"/>
  <c r="AI27" i="29"/>
  <c r="AH56" i="29"/>
  <c r="AH51" i="29"/>
  <c r="AH66" i="29"/>
  <c r="AH55" i="29"/>
  <c r="AH48" i="29"/>
  <c r="AH37" i="29"/>
  <c r="AH54" i="29"/>
  <c r="AH46" i="29"/>
  <c r="AH57" i="29"/>
  <c r="AH50" i="29"/>
  <c r="AH44" i="29"/>
  <c r="AH70" i="29"/>
  <c r="AH65" i="29"/>
  <c r="AH58" i="29"/>
  <c r="AH47" i="29"/>
  <c r="AH63" i="29"/>
  <c r="AH33" i="29"/>
  <c r="AH35" i="29"/>
  <c r="AH45" i="29"/>
  <c r="AH38" i="29"/>
  <c r="AH31" i="29"/>
  <c r="AH29" i="29"/>
  <c r="AH52" i="29"/>
  <c r="AH53" i="29"/>
  <c r="AH42" i="29"/>
  <c r="AH34" i="29"/>
  <c r="AH32" i="29"/>
  <c r="AH43" i="29"/>
  <c r="AH40" i="29"/>
  <c r="AH30" i="29"/>
  <c r="AH61" i="29"/>
  <c r="AH39" i="29"/>
  <c r="AH28" i="29"/>
  <c r="AH36" i="29"/>
  <c r="AI57" i="29" l="1"/>
  <c r="AJ27" i="29"/>
  <c r="AI73" i="29"/>
  <c r="AI53" i="29"/>
  <c r="AI62" i="29"/>
  <c r="AI71" i="29"/>
  <c r="AI60" i="29"/>
  <c r="AI69" i="29"/>
  <c r="AI58" i="29"/>
  <c r="AI72" i="29"/>
  <c r="AI74" i="29"/>
  <c r="AI56" i="29"/>
  <c r="AI51" i="29"/>
  <c r="AI64" i="29"/>
  <c r="AI54" i="29"/>
  <c r="AI46" i="29"/>
  <c r="AI75" i="29"/>
  <c r="AI68" i="29"/>
  <c r="AI50" i="29"/>
  <c r="AI44" i="29"/>
  <c r="AI70" i="29"/>
  <c r="AI63" i="29"/>
  <c r="AI33" i="29"/>
  <c r="AI35" i="29"/>
  <c r="AI67" i="29"/>
  <c r="AI45" i="29"/>
  <c r="AI38" i="29"/>
  <c r="AI31" i="29"/>
  <c r="AI48" i="29"/>
  <c r="AI29" i="29"/>
  <c r="AI39" i="29"/>
  <c r="AI52" i="29"/>
  <c r="AI42" i="29"/>
  <c r="AI49" i="29"/>
  <c r="AI37" i="29"/>
  <c r="AI34" i="29"/>
  <c r="AI66" i="29"/>
  <c r="AI55" i="29"/>
  <c r="AI41" i="29"/>
  <c r="AI32" i="29"/>
  <c r="AI43" i="29"/>
  <c r="AI40" i="29"/>
  <c r="AI59" i="29"/>
  <c r="AI30" i="29"/>
  <c r="AI61" i="29"/>
  <c r="AI47" i="29"/>
  <c r="AI36" i="29"/>
  <c r="AI28" i="29"/>
  <c r="AI65" i="29"/>
  <c r="B74" i="29"/>
  <c r="A75" i="29"/>
  <c r="C74" i="29"/>
  <c r="D74" i="29"/>
  <c r="E74" i="29"/>
  <c r="F74" i="29"/>
  <c r="G74" i="29"/>
  <c r="H74" i="29"/>
  <c r="I74" i="29"/>
  <c r="J74" i="29"/>
  <c r="K74" i="29"/>
  <c r="L74" i="29"/>
  <c r="M74" i="29"/>
  <c r="N74" i="29"/>
  <c r="O74" i="29"/>
  <c r="P74" i="29"/>
  <c r="Q74" i="29"/>
  <c r="R74" i="29"/>
  <c r="S74" i="29"/>
  <c r="T74" i="29"/>
  <c r="U74" i="29"/>
  <c r="V74" i="29"/>
  <c r="W74" i="29"/>
  <c r="X74" i="29"/>
  <c r="Y74" i="29"/>
  <c r="Z74" i="29"/>
  <c r="AA74" i="29"/>
  <c r="AB74" i="29"/>
  <c r="AC74" i="29"/>
  <c r="AD74" i="29"/>
  <c r="AE74" i="29"/>
  <c r="AF74" i="29"/>
  <c r="AG74" i="29"/>
  <c r="A76" i="29" l="1"/>
  <c r="C75" i="29"/>
  <c r="B75" i="29"/>
  <c r="D75" i="29"/>
  <c r="E75" i="29"/>
  <c r="F75" i="29"/>
  <c r="G75" i="29"/>
  <c r="H75" i="29"/>
  <c r="I75" i="29"/>
  <c r="J75" i="29"/>
  <c r="K75" i="29"/>
  <c r="L75" i="29"/>
  <c r="M75" i="29"/>
  <c r="N75" i="29"/>
  <c r="O75" i="29"/>
  <c r="P75" i="29"/>
  <c r="Q75" i="29"/>
  <c r="R75" i="29"/>
  <c r="S75" i="29"/>
  <c r="T75" i="29"/>
  <c r="U75" i="29"/>
  <c r="V75" i="29"/>
  <c r="W75" i="29"/>
  <c r="X75" i="29"/>
  <c r="Y75" i="29"/>
  <c r="Z75" i="29"/>
  <c r="AA75" i="29"/>
  <c r="AB75" i="29"/>
  <c r="AC75" i="29"/>
  <c r="AD75" i="29"/>
  <c r="AE75" i="29"/>
  <c r="AF75" i="29"/>
  <c r="AG75" i="29"/>
  <c r="AH75" i="29"/>
  <c r="AJ66" i="29"/>
  <c r="AK27" i="29"/>
  <c r="AJ62" i="29"/>
  <c r="AJ71" i="29"/>
  <c r="AJ60" i="29"/>
  <c r="AJ69" i="29"/>
  <c r="AJ58" i="29"/>
  <c r="AJ67" i="29"/>
  <c r="AJ76" i="29"/>
  <c r="AJ65" i="29"/>
  <c r="AJ39" i="29"/>
  <c r="AJ72" i="29"/>
  <c r="AJ55" i="29"/>
  <c r="AJ54" i="29"/>
  <c r="AJ46" i="29"/>
  <c r="AJ75" i="29"/>
  <c r="AJ68" i="29"/>
  <c r="AJ57" i="29"/>
  <c r="AJ50" i="29"/>
  <c r="AJ44" i="29"/>
  <c r="AJ70" i="29"/>
  <c r="AJ53" i="29"/>
  <c r="AJ63" i="29"/>
  <c r="AJ33" i="29"/>
  <c r="AJ35" i="29"/>
  <c r="AJ45" i="29"/>
  <c r="AJ38" i="29"/>
  <c r="AJ31" i="29"/>
  <c r="AJ48" i="29"/>
  <c r="AJ29" i="29"/>
  <c r="AJ52" i="29"/>
  <c r="AJ74" i="29"/>
  <c r="AJ42" i="29"/>
  <c r="AJ56" i="29"/>
  <c r="AJ49" i="29"/>
  <c r="AJ37" i="29"/>
  <c r="AJ64" i="29"/>
  <c r="AJ34" i="29"/>
  <c r="AJ41" i="29"/>
  <c r="AJ32" i="29"/>
  <c r="AJ73" i="29"/>
  <c r="AJ43" i="29"/>
  <c r="AJ40" i="29"/>
  <c r="AJ59" i="29"/>
  <c r="AJ30" i="29"/>
  <c r="AJ61" i="29"/>
  <c r="AJ51" i="29"/>
  <c r="AJ47" i="29"/>
  <c r="AJ36" i="29"/>
  <c r="AJ28" i="29"/>
  <c r="AK75" i="29" l="1"/>
  <c r="AK55" i="29"/>
  <c r="AK71" i="29"/>
  <c r="AK51" i="29"/>
  <c r="AL27" i="29"/>
  <c r="AK60" i="29"/>
  <c r="AK69" i="29"/>
  <c r="AK58" i="29"/>
  <c r="AK67" i="29"/>
  <c r="AK76" i="29"/>
  <c r="AK56" i="29"/>
  <c r="AK74" i="29"/>
  <c r="AK70" i="29"/>
  <c r="AK72" i="29"/>
  <c r="AK48" i="29"/>
  <c r="AK66" i="29"/>
  <c r="AK64" i="29"/>
  <c r="AK62" i="29"/>
  <c r="AK68" i="29"/>
  <c r="AK57" i="29"/>
  <c r="AK50" i="29"/>
  <c r="AK44" i="29"/>
  <c r="AK42" i="29"/>
  <c r="AK53" i="29"/>
  <c r="AK65" i="29"/>
  <c r="AK73" i="29"/>
  <c r="AK63" i="29"/>
  <c r="AK35" i="29"/>
  <c r="AK45" i="29"/>
  <c r="AK38" i="29"/>
  <c r="AK31" i="29"/>
  <c r="AK29" i="29"/>
  <c r="AK52" i="29"/>
  <c r="AK49" i="29"/>
  <c r="AK37" i="29"/>
  <c r="AK34" i="29"/>
  <c r="AK46" i="29"/>
  <c r="AK41" i="29"/>
  <c r="AK32" i="29"/>
  <c r="AK43" i="29"/>
  <c r="AK40" i="29"/>
  <c r="AK59" i="29"/>
  <c r="AK30" i="29"/>
  <c r="AK61" i="29"/>
  <c r="AK54" i="29"/>
  <c r="AK47" i="29"/>
  <c r="AK36" i="29"/>
  <c r="AK28" i="29"/>
  <c r="AK39" i="29"/>
  <c r="AK33" i="29"/>
  <c r="C76" i="29"/>
  <c r="A77" i="29"/>
  <c r="B76" i="29"/>
  <c r="D76" i="29"/>
  <c r="E76" i="29"/>
  <c r="F76" i="29"/>
  <c r="G76" i="29"/>
  <c r="H76" i="29"/>
  <c r="I76" i="29"/>
  <c r="J76" i="29"/>
  <c r="K76" i="29"/>
  <c r="L76" i="29"/>
  <c r="M76" i="29"/>
  <c r="N76" i="29"/>
  <c r="O76" i="29"/>
  <c r="P76" i="29"/>
  <c r="Q76" i="29"/>
  <c r="R76" i="29"/>
  <c r="S76" i="29"/>
  <c r="T76" i="29"/>
  <c r="U76" i="29"/>
  <c r="V76" i="29"/>
  <c r="W76" i="29"/>
  <c r="X76" i="29"/>
  <c r="Y76" i="29"/>
  <c r="Z76" i="29"/>
  <c r="AA76" i="29"/>
  <c r="AB76" i="29"/>
  <c r="AC76" i="29"/>
  <c r="AD76" i="29"/>
  <c r="AE76" i="29"/>
  <c r="AF76" i="29"/>
  <c r="AG76" i="29"/>
  <c r="AH76" i="29"/>
  <c r="AI76" i="29"/>
  <c r="A78" i="29" l="1"/>
  <c r="B77" i="29"/>
  <c r="C77" i="29"/>
  <c r="D77" i="29"/>
  <c r="E77" i="29"/>
  <c r="F77" i="29"/>
  <c r="G77" i="29"/>
  <c r="H77" i="29"/>
  <c r="I77" i="29"/>
  <c r="J77" i="29"/>
  <c r="K77" i="29"/>
  <c r="L77" i="29"/>
  <c r="M77" i="29"/>
  <c r="N77" i="29"/>
  <c r="O77" i="29"/>
  <c r="P77" i="29"/>
  <c r="Q77" i="29"/>
  <c r="R77" i="29"/>
  <c r="S77" i="29"/>
  <c r="T77" i="29"/>
  <c r="U77" i="29"/>
  <c r="V77" i="29"/>
  <c r="W77" i="29"/>
  <c r="X77" i="29"/>
  <c r="Y77" i="29"/>
  <c r="Z77" i="29"/>
  <c r="AA77" i="29"/>
  <c r="AB77" i="29"/>
  <c r="AC77" i="29"/>
  <c r="AD77" i="29"/>
  <c r="AE77" i="29"/>
  <c r="AF77" i="29"/>
  <c r="AG77" i="29"/>
  <c r="AH77" i="29"/>
  <c r="AI77" i="29"/>
  <c r="AJ77" i="29"/>
  <c r="AL64" i="29"/>
  <c r="AL60" i="29"/>
  <c r="AL69" i="29"/>
  <c r="AM27" i="29"/>
  <c r="AL78" i="29"/>
  <c r="AL58" i="29"/>
  <c r="AL67" i="29"/>
  <c r="AL76" i="29"/>
  <c r="AL56" i="29"/>
  <c r="AL65" i="29"/>
  <c r="AL63" i="29"/>
  <c r="AL77" i="29"/>
  <c r="AL66" i="29"/>
  <c r="AL55" i="29"/>
  <c r="AL37" i="29"/>
  <c r="AL54" i="29"/>
  <c r="AL75" i="29"/>
  <c r="AL68" i="29"/>
  <c r="AL57" i="29"/>
  <c r="AL50" i="29"/>
  <c r="AL44" i="29"/>
  <c r="AL71" i="29"/>
  <c r="AL42" i="29"/>
  <c r="AL53" i="29"/>
  <c r="AL70" i="29"/>
  <c r="AL61" i="29"/>
  <c r="AL74" i="29"/>
  <c r="AL62" i="29"/>
  <c r="AL45" i="29"/>
  <c r="AL38" i="29"/>
  <c r="AL31" i="29"/>
  <c r="AL29" i="29"/>
  <c r="AL52" i="29"/>
  <c r="AL48" i="29"/>
  <c r="AL49" i="29"/>
  <c r="AL34" i="29"/>
  <c r="AL46" i="29"/>
  <c r="AL41" i="29"/>
  <c r="AL32" i="29"/>
  <c r="AL43" i="29"/>
  <c r="AL40" i="29"/>
  <c r="AL73" i="29"/>
  <c r="AL59" i="29"/>
  <c r="AL30" i="29"/>
  <c r="AL47" i="29"/>
  <c r="AL36" i="29"/>
  <c r="AL28" i="29"/>
  <c r="AL51" i="29"/>
  <c r="AL39" i="29"/>
  <c r="AL72" i="29"/>
  <c r="AL33" i="29"/>
  <c r="AL35" i="29"/>
  <c r="AK77" i="29"/>
  <c r="AM73" i="29" l="1"/>
  <c r="AM69" i="29"/>
  <c r="AM49" i="29"/>
  <c r="AM78" i="29"/>
  <c r="AM58" i="29"/>
  <c r="AM67" i="29"/>
  <c r="AN27" i="29"/>
  <c r="AM76" i="29"/>
  <c r="AM65" i="29"/>
  <c r="AM74" i="29"/>
  <c r="AM54" i="29"/>
  <c r="AM72" i="29"/>
  <c r="AM68" i="29"/>
  <c r="AM77" i="29"/>
  <c r="AM64" i="29"/>
  <c r="AM46" i="29"/>
  <c r="AM62" i="29"/>
  <c r="AM71" i="29"/>
  <c r="AM60" i="29"/>
  <c r="AM42" i="29"/>
  <c r="AM53" i="29"/>
  <c r="AM70" i="29"/>
  <c r="AM63" i="29"/>
  <c r="AM50" i="29"/>
  <c r="AM29" i="29"/>
  <c r="AM52" i="29"/>
  <c r="AM48" i="29"/>
  <c r="AM33" i="29"/>
  <c r="AM75" i="29"/>
  <c r="AM37" i="29"/>
  <c r="AM34" i="29"/>
  <c r="AM57" i="29"/>
  <c r="AM56" i="29"/>
  <c r="AM41" i="29"/>
  <c r="AM32" i="29"/>
  <c r="AM43" i="29"/>
  <c r="AM40" i="29"/>
  <c r="AM59" i="29"/>
  <c r="AM30" i="29"/>
  <c r="AM66" i="29"/>
  <c r="AM55" i="29"/>
  <c r="AM61" i="29"/>
  <c r="AM47" i="29"/>
  <c r="AM36" i="29"/>
  <c r="AM28" i="29"/>
  <c r="AM51" i="29"/>
  <c r="AM39" i="29"/>
  <c r="AM44" i="29"/>
  <c r="AM35" i="29"/>
  <c r="AM45" i="29"/>
  <c r="AM38" i="29"/>
  <c r="AM31" i="29"/>
  <c r="C78" i="29"/>
  <c r="B78" i="29"/>
  <c r="D78" i="29"/>
  <c r="E78" i="29"/>
  <c r="F78" i="29"/>
  <c r="G78" i="29"/>
  <c r="H78" i="29"/>
  <c r="I78" i="29"/>
  <c r="J78" i="29"/>
  <c r="K78" i="29"/>
  <c r="L78" i="29"/>
  <c r="M78" i="29"/>
  <c r="N78" i="29"/>
  <c r="O78" i="29"/>
  <c r="P78" i="29"/>
  <c r="Q78" i="29"/>
  <c r="R78" i="29"/>
  <c r="S78" i="29"/>
  <c r="T78" i="29"/>
  <c r="U78" i="29"/>
  <c r="V78" i="29"/>
  <c r="W78" i="29"/>
  <c r="X78" i="29"/>
  <c r="Y78" i="29"/>
  <c r="Z78" i="29"/>
  <c r="AA78" i="29"/>
  <c r="AB78" i="29"/>
  <c r="AC78" i="29"/>
  <c r="AD78" i="29"/>
  <c r="AE78" i="29"/>
  <c r="AF78" i="29"/>
  <c r="AG78" i="29"/>
  <c r="AH78" i="29"/>
  <c r="AI78" i="29"/>
  <c r="AJ78" i="29"/>
  <c r="AK78" i="29"/>
  <c r="AN62" i="29" l="1"/>
  <c r="AN78" i="29"/>
  <c r="AN58" i="29"/>
  <c r="AN67" i="29"/>
  <c r="AN76" i="29"/>
  <c r="AN65" i="29"/>
  <c r="AO27" i="29"/>
  <c r="AN74" i="29"/>
  <c r="AN63" i="29"/>
  <c r="AN61" i="29"/>
  <c r="AN77" i="29"/>
  <c r="AN75" i="29"/>
  <c r="AN54" i="29"/>
  <c r="AN35" i="29"/>
  <c r="AN57" i="29"/>
  <c r="AN50" i="29"/>
  <c r="AN60" i="29"/>
  <c r="AN42" i="29"/>
  <c r="AN53" i="29"/>
  <c r="AN70" i="29"/>
  <c r="AN40" i="29"/>
  <c r="AN49" i="29"/>
  <c r="AN47" i="29"/>
  <c r="AN73" i="29"/>
  <c r="AN69" i="29"/>
  <c r="AN72" i="29"/>
  <c r="AN66" i="29"/>
  <c r="AN29" i="29"/>
  <c r="AN71" i="29"/>
  <c r="AN52" i="29"/>
  <c r="AN48" i="29"/>
  <c r="AN37" i="29"/>
  <c r="AN34" i="29"/>
  <c r="AN56" i="29"/>
  <c r="AN41" i="29"/>
  <c r="AN32" i="29"/>
  <c r="AN46" i="29"/>
  <c r="AN43" i="29"/>
  <c r="AN64" i="29"/>
  <c r="AN59" i="29"/>
  <c r="AN30" i="29"/>
  <c r="AN55" i="29"/>
  <c r="AN36" i="29"/>
  <c r="AN28" i="29"/>
  <c r="AN51" i="29"/>
  <c r="AN39" i="29"/>
  <c r="AN68" i="29"/>
  <c r="AN44" i="29"/>
  <c r="AN33" i="29"/>
  <c r="AN45" i="29"/>
  <c r="AN38" i="29"/>
  <c r="AN31" i="29"/>
  <c r="AO71" i="29" l="1"/>
  <c r="AO78" i="29"/>
  <c r="AO67" i="29"/>
  <c r="AO76" i="29"/>
  <c r="AO65" i="29"/>
  <c r="AO74" i="29"/>
  <c r="AO63" i="29"/>
  <c r="AP27" i="29"/>
  <c r="AO72" i="29"/>
  <c r="AO52" i="29"/>
  <c r="AO70" i="29"/>
  <c r="AO77" i="29"/>
  <c r="AO66" i="29"/>
  <c r="AO75" i="29"/>
  <c r="AO62" i="29"/>
  <c r="AO57" i="29"/>
  <c r="AO50" i="29"/>
  <c r="AO44" i="29"/>
  <c r="AO68" i="29"/>
  <c r="AO53" i="29"/>
  <c r="AO40" i="29"/>
  <c r="AO49" i="29"/>
  <c r="AO47" i="29"/>
  <c r="AO61" i="29"/>
  <c r="AO73" i="29"/>
  <c r="AO69" i="29"/>
  <c r="AO64" i="29"/>
  <c r="AO48" i="29"/>
  <c r="AO38" i="29"/>
  <c r="AO37" i="29"/>
  <c r="AO34" i="29"/>
  <c r="AO56" i="29"/>
  <c r="AO41" i="29"/>
  <c r="AO32" i="29"/>
  <c r="AO58" i="29"/>
  <c r="AO46" i="29"/>
  <c r="AO43" i="29"/>
  <c r="AO42" i="29"/>
  <c r="AO59" i="29"/>
  <c r="AO30" i="29"/>
  <c r="AO45" i="29"/>
  <c r="AO31" i="29"/>
  <c r="AO55" i="29"/>
  <c r="AO36" i="29"/>
  <c r="AO28" i="29"/>
  <c r="AO51" i="29"/>
  <c r="AO39" i="29"/>
  <c r="AO60" i="29"/>
  <c r="AO54" i="29"/>
  <c r="AO33" i="29"/>
  <c r="AO29" i="29"/>
  <c r="AO35" i="29"/>
  <c r="AP60" i="29" l="1"/>
  <c r="AP76" i="29"/>
  <c r="AP56" i="29"/>
  <c r="AP65" i="29"/>
  <c r="AP74" i="29"/>
  <c r="AP63" i="29"/>
  <c r="AP72" i="29"/>
  <c r="AP61" i="29"/>
  <c r="AQ27" i="29"/>
  <c r="AP75" i="29"/>
  <c r="AP73" i="29"/>
  <c r="AP68" i="29"/>
  <c r="AP71" i="29"/>
  <c r="AP70" i="29"/>
  <c r="AP49" i="29"/>
  <c r="AP47" i="29"/>
  <c r="AP58" i="29"/>
  <c r="AP52" i="29"/>
  <c r="AP45" i="29"/>
  <c r="AP77" i="29"/>
  <c r="AP67" i="29"/>
  <c r="AP69" i="29"/>
  <c r="AP37" i="29"/>
  <c r="AP34" i="29"/>
  <c r="AP28" i="29"/>
  <c r="AP41" i="29"/>
  <c r="AP32" i="29"/>
  <c r="AP46" i="29"/>
  <c r="AP43" i="29"/>
  <c r="AP42" i="29"/>
  <c r="AP59" i="29"/>
  <c r="AP57" i="29"/>
  <c r="AP30" i="29"/>
  <c r="AP64" i="29"/>
  <c r="AP55" i="29"/>
  <c r="AP40" i="29"/>
  <c r="AP36" i="29"/>
  <c r="AP66" i="29"/>
  <c r="AP51" i="29"/>
  <c r="AP39" i="29"/>
  <c r="AP54" i="29"/>
  <c r="AP44" i="29"/>
  <c r="AP33" i="29"/>
  <c r="AP78" i="29"/>
  <c r="AP53" i="29"/>
  <c r="AP38" i="29"/>
  <c r="AP35" i="29"/>
  <c r="AP31" i="29"/>
  <c r="AP29" i="29"/>
  <c r="AP62" i="29"/>
  <c r="AP50" i="29"/>
  <c r="AP48" i="29"/>
  <c r="AQ69" i="29" l="1"/>
  <c r="AQ78" i="29"/>
  <c r="AQ76" i="29"/>
  <c r="AQ65" i="29"/>
  <c r="AQ74" i="29"/>
  <c r="AQ63" i="29"/>
  <c r="AQ72" i="29"/>
  <c r="AQ61" i="29"/>
  <c r="AQ70" i="29"/>
  <c r="AQ50" i="29"/>
  <c r="AR27" i="29"/>
  <c r="AQ68" i="29"/>
  <c r="AQ75" i="29"/>
  <c r="AQ73" i="29"/>
  <c r="AQ71" i="29"/>
  <c r="AQ42" i="29"/>
  <c r="AQ60" i="29"/>
  <c r="AQ53" i="29"/>
  <c r="AQ38" i="29"/>
  <c r="AQ49" i="29"/>
  <c r="AQ47" i="29"/>
  <c r="AQ58" i="29"/>
  <c r="AQ52" i="29"/>
  <c r="AQ45" i="29"/>
  <c r="AQ77" i="29"/>
  <c r="AQ67" i="29"/>
  <c r="AQ66" i="29"/>
  <c r="AQ64" i="29"/>
  <c r="AQ37" i="29"/>
  <c r="AQ34" i="29"/>
  <c r="AQ41" i="29"/>
  <c r="AQ32" i="29"/>
  <c r="AQ56" i="29"/>
  <c r="AQ46" i="29"/>
  <c r="AQ43" i="29"/>
  <c r="AQ59" i="29"/>
  <c r="AQ57" i="29"/>
  <c r="AQ30" i="29"/>
  <c r="AQ55" i="29"/>
  <c r="AQ40" i="29"/>
  <c r="AQ36" i="29"/>
  <c r="AQ28" i="29"/>
  <c r="AQ51" i="29"/>
  <c r="AQ39" i="29"/>
  <c r="AQ54" i="29"/>
  <c r="AQ44" i="29"/>
  <c r="AQ33" i="29"/>
  <c r="AQ35" i="29"/>
  <c r="AQ31" i="29"/>
  <c r="AQ62" i="29"/>
  <c r="AQ48" i="29"/>
  <c r="AQ29" i="29"/>
  <c r="AR78" i="29" l="1"/>
  <c r="AR58" i="29"/>
  <c r="AR74" i="29"/>
  <c r="AR54" i="29"/>
  <c r="AR63" i="29"/>
  <c r="AR72" i="29"/>
  <c r="AR61" i="29"/>
  <c r="AR70" i="29"/>
  <c r="AR59" i="29"/>
  <c r="AR77" i="29"/>
  <c r="AS27" i="29"/>
  <c r="AR73" i="29"/>
  <c r="AR71" i="29"/>
  <c r="AR60" i="29"/>
  <c r="AR53" i="29"/>
  <c r="AR75" i="29"/>
  <c r="AR49" i="29"/>
  <c r="AR47" i="29"/>
  <c r="AR52" i="29"/>
  <c r="AR45" i="29"/>
  <c r="AR76" i="29"/>
  <c r="AR65" i="29"/>
  <c r="AR67" i="29"/>
  <c r="AR69" i="29"/>
  <c r="AR66" i="29"/>
  <c r="AR64" i="29"/>
  <c r="AR37" i="29"/>
  <c r="AR34" i="29"/>
  <c r="AR41" i="29"/>
  <c r="AR32" i="29"/>
  <c r="AR56" i="29"/>
  <c r="AR46" i="29"/>
  <c r="AR43" i="29"/>
  <c r="AR57" i="29"/>
  <c r="AR42" i="29"/>
  <c r="AR30" i="29"/>
  <c r="AR55" i="29"/>
  <c r="AR40" i="29"/>
  <c r="AR36" i="29"/>
  <c r="AR28" i="29"/>
  <c r="AR51" i="29"/>
  <c r="AR62" i="29"/>
  <c r="AR39" i="29"/>
  <c r="AR44" i="29"/>
  <c r="AR33" i="29"/>
  <c r="AR35" i="29"/>
  <c r="AR31" i="29"/>
  <c r="AR38" i="29"/>
  <c r="AR48" i="29"/>
  <c r="AR68" i="29"/>
  <c r="AR29" i="29"/>
  <c r="AR50" i="29"/>
  <c r="AS67" i="29" l="1"/>
  <c r="AS74" i="29"/>
  <c r="AS63" i="29"/>
  <c r="AS72" i="29"/>
  <c r="AS61" i="29"/>
  <c r="AS70" i="29"/>
  <c r="AS59" i="29"/>
  <c r="AS68" i="29"/>
  <c r="AS77" i="29"/>
  <c r="AS66" i="29"/>
  <c r="AS73" i="29"/>
  <c r="AS71" i="29"/>
  <c r="AS75" i="29"/>
  <c r="AS40" i="29"/>
  <c r="AS49" i="29"/>
  <c r="AS47" i="29"/>
  <c r="AS36" i="29"/>
  <c r="AS52" i="29"/>
  <c r="AS45" i="29"/>
  <c r="AS76" i="29"/>
  <c r="AS65" i="29"/>
  <c r="AS58" i="29"/>
  <c r="AS78" i="29"/>
  <c r="AS37" i="29"/>
  <c r="AS34" i="29"/>
  <c r="AS41" i="29"/>
  <c r="AS32" i="29"/>
  <c r="AS56" i="29"/>
  <c r="AS46" i="29"/>
  <c r="AS43" i="29"/>
  <c r="AS57" i="29"/>
  <c r="AS42" i="29"/>
  <c r="AS30" i="29"/>
  <c r="AS55" i="29"/>
  <c r="AS28" i="29"/>
  <c r="AS64" i="29"/>
  <c r="AS51" i="29"/>
  <c r="AS39" i="29"/>
  <c r="AS69" i="29"/>
  <c r="AS54" i="29"/>
  <c r="AS44" i="29"/>
  <c r="AT27" i="29"/>
  <c r="AS33" i="29"/>
  <c r="AS60" i="29"/>
  <c r="AS35" i="29"/>
  <c r="AS31" i="29"/>
  <c r="AS50" i="29"/>
  <c r="AS38" i="29"/>
  <c r="AS53" i="29"/>
  <c r="AS29" i="29"/>
  <c r="AS62" i="29"/>
  <c r="AS48" i="29"/>
  <c r="AT76" i="29" l="1"/>
  <c r="AT56" i="29"/>
  <c r="AT72" i="29"/>
  <c r="AT52" i="29"/>
  <c r="AT61" i="29"/>
  <c r="AT70" i="29"/>
  <c r="AT59" i="29"/>
  <c r="AT68" i="29"/>
  <c r="AT77" i="29"/>
  <c r="AT57" i="29"/>
  <c r="AT75" i="29"/>
  <c r="AU27" i="29"/>
  <c r="AT71" i="29"/>
  <c r="AT45" i="29"/>
  <c r="AT65" i="29"/>
  <c r="AT58" i="29"/>
  <c r="AT43" i="29"/>
  <c r="AT63" i="29"/>
  <c r="AT67" i="29"/>
  <c r="AT69" i="29"/>
  <c r="AT64" i="29"/>
  <c r="AT73" i="29"/>
  <c r="AT37" i="29"/>
  <c r="AT34" i="29"/>
  <c r="AT41" i="29"/>
  <c r="AT32" i="29"/>
  <c r="AT46" i="29"/>
  <c r="AT42" i="29"/>
  <c r="AT30" i="29"/>
  <c r="AT55" i="29"/>
  <c r="AT40" i="29"/>
  <c r="AT28" i="29"/>
  <c r="AT51" i="29"/>
  <c r="AT49" i="29"/>
  <c r="AT36" i="29"/>
  <c r="AT74" i="29"/>
  <c r="AT39" i="29"/>
  <c r="AT66" i="29"/>
  <c r="AT54" i="29"/>
  <c r="AT44" i="29"/>
  <c r="AT33" i="29"/>
  <c r="AT60" i="29"/>
  <c r="AT47" i="29"/>
  <c r="AT35" i="29"/>
  <c r="AT31" i="29"/>
  <c r="AT38" i="29"/>
  <c r="AT53" i="29"/>
  <c r="AT29" i="29"/>
  <c r="AT78" i="29"/>
  <c r="AT62" i="29"/>
  <c r="AT48" i="29"/>
  <c r="AT50" i="29"/>
  <c r="AU65" i="29" l="1"/>
  <c r="AU61" i="29"/>
  <c r="AU70" i="29"/>
  <c r="AU59" i="29"/>
  <c r="AU68" i="29"/>
  <c r="AU77" i="29"/>
  <c r="AU57" i="29"/>
  <c r="AU66" i="29"/>
  <c r="AU75" i="29"/>
  <c r="AU64" i="29"/>
  <c r="AV27" i="29"/>
  <c r="AU78" i="29"/>
  <c r="AU38" i="29"/>
  <c r="AU45" i="29"/>
  <c r="AU58" i="29"/>
  <c r="AU52" i="29"/>
  <c r="AU76" i="29"/>
  <c r="AU43" i="29"/>
  <c r="AU63" i="29"/>
  <c r="AU67" i="29"/>
  <c r="AU69" i="29"/>
  <c r="AU73" i="29"/>
  <c r="AU74" i="29"/>
  <c r="AU71" i="29"/>
  <c r="AU41" i="29"/>
  <c r="AU32" i="29"/>
  <c r="AU46" i="29"/>
  <c r="AU56" i="29"/>
  <c r="AU42" i="29"/>
  <c r="AU30" i="29"/>
  <c r="AU55" i="29"/>
  <c r="AU40" i="29"/>
  <c r="AU28" i="29"/>
  <c r="AU51" i="29"/>
  <c r="AU49" i="29"/>
  <c r="AU36" i="29"/>
  <c r="AU39" i="29"/>
  <c r="AU54" i="29"/>
  <c r="AU44" i="29"/>
  <c r="AU33" i="29"/>
  <c r="AU60" i="29"/>
  <c r="AU47" i="29"/>
  <c r="AU35" i="29"/>
  <c r="AU31" i="29"/>
  <c r="AU53" i="29"/>
  <c r="AU29" i="29"/>
  <c r="AU62" i="29"/>
  <c r="AU48" i="29"/>
  <c r="AU72" i="29"/>
  <c r="AU50" i="29"/>
  <c r="AU34" i="29"/>
  <c r="AU37" i="29"/>
  <c r="AV74" i="29" l="1"/>
  <c r="AV54" i="29"/>
  <c r="AV70" i="29"/>
  <c r="AV50" i="29"/>
  <c r="AV59" i="29"/>
  <c r="AV68" i="29"/>
  <c r="AV77" i="29"/>
  <c r="AV57" i="29"/>
  <c r="AV66" i="29"/>
  <c r="AV75" i="29"/>
  <c r="AV55" i="29"/>
  <c r="AV73" i="29"/>
  <c r="AV69" i="29"/>
  <c r="AW27" i="29"/>
  <c r="AV78" i="29"/>
  <c r="AV49" i="29"/>
  <c r="AV47" i="29"/>
  <c r="AV58" i="29"/>
  <c r="AV52" i="29"/>
  <c r="AV76" i="29"/>
  <c r="AV65" i="29"/>
  <c r="AV43" i="29"/>
  <c r="AV63" i="29"/>
  <c r="AV67" i="29"/>
  <c r="AV61" i="29"/>
  <c r="AV51" i="29"/>
  <c r="AV72" i="29"/>
  <c r="AV71" i="29"/>
  <c r="AV46" i="29"/>
  <c r="AV56" i="29"/>
  <c r="AV42" i="29"/>
  <c r="AV30" i="29"/>
  <c r="AV40" i="29"/>
  <c r="AV28" i="29"/>
  <c r="AV36" i="29"/>
  <c r="AV39" i="29"/>
  <c r="AV64" i="29"/>
  <c r="AV44" i="29"/>
  <c r="AV33" i="29"/>
  <c r="AV60" i="29"/>
  <c r="AV35" i="29"/>
  <c r="AV31" i="29"/>
  <c r="AV53" i="29"/>
  <c r="AV38" i="29"/>
  <c r="AV29" i="29"/>
  <c r="AV62" i="29"/>
  <c r="AV48" i="29"/>
  <c r="AV45" i="29"/>
  <c r="AV37" i="29"/>
  <c r="AV34" i="29"/>
  <c r="AV32" i="29"/>
  <c r="AV41" i="29"/>
  <c r="AW63" i="29" l="1"/>
  <c r="AW59" i="29"/>
  <c r="AW68" i="29"/>
  <c r="AW77" i="29"/>
  <c r="AW57" i="29"/>
  <c r="AW66" i="29"/>
  <c r="AW75" i="29"/>
  <c r="AW55" i="29"/>
  <c r="AW64" i="29"/>
  <c r="AW62" i="29"/>
  <c r="AW78" i="29"/>
  <c r="AX27" i="29"/>
  <c r="AW76" i="29"/>
  <c r="AW36" i="29"/>
  <c r="AW70" i="29"/>
  <c r="AW65" i="29"/>
  <c r="AW43" i="29"/>
  <c r="AW67" i="29"/>
  <c r="AW41" i="29"/>
  <c r="AW61" i="29"/>
  <c r="AW51" i="29"/>
  <c r="AW48" i="29"/>
  <c r="AW69" i="29"/>
  <c r="AW56" i="29"/>
  <c r="AW74" i="29"/>
  <c r="AW72" i="29"/>
  <c r="AW52" i="29"/>
  <c r="AW42" i="29"/>
  <c r="AW30" i="29"/>
  <c r="AW40" i="29"/>
  <c r="AW28" i="29"/>
  <c r="AW37" i="29"/>
  <c r="AW49" i="29"/>
  <c r="AW39" i="29"/>
  <c r="AW58" i="29"/>
  <c r="AW44" i="29"/>
  <c r="AW54" i="29"/>
  <c r="AW33" i="29"/>
  <c r="AW60" i="29"/>
  <c r="AW34" i="29"/>
  <c r="AW47" i="29"/>
  <c r="AW35" i="29"/>
  <c r="AW31" i="29"/>
  <c r="AW73" i="29"/>
  <c r="AW53" i="29"/>
  <c r="AW38" i="29"/>
  <c r="AW29" i="29"/>
  <c r="AW50" i="29"/>
  <c r="AW45" i="29"/>
  <c r="AW32" i="29"/>
  <c r="AW71" i="29"/>
  <c r="AW46" i="29"/>
  <c r="AX72" i="29" l="1"/>
  <c r="AX68" i="29"/>
  <c r="AX77" i="29"/>
  <c r="AX57" i="29"/>
  <c r="AX66" i="29"/>
  <c r="AX75" i="29"/>
  <c r="AX64" i="29"/>
  <c r="AX73" i="29"/>
  <c r="AX53" i="29"/>
  <c r="AX71" i="29"/>
  <c r="AX78" i="29"/>
  <c r="AX67" i="29"/>
  <c r="AX76" i="29"/>
  <c r="AX45" i="29"/>
  <c r="AX58" i="29"/>
  <c r="AX52" i="29"/>
  <c r="AY27" i="29"/>
  <c r="AX63" i="29"/>
  <c r="AX41" i="29"/>
  <c r="AX61" i="29"/>
  <c r="AX51" i="29"/>
  <c r="AX48" i="29"/>
  <c r="AX69" i="29"/>
  <c r="AX59" i="29"/>
  <c r="AX55" i="29"/>
  <c r="AX74" i="29"/>
  <c r="AX56" i="29"/>
  <c r="AX40" i="29"/>
  <c r="AX28" i="29"/>
  <c r="AX43" i="29"/>
  <c r="AX49" i="29"/>
  <c r="AX39" i="29"/>
  <c r="AX36" i="29"/>
  <c r="AX70" i="29"/>
  <c r="AX44" i="29"/>
  <c r="AX54" i="29"/>
  <c r="AX33" i="29"/>
  <c r="AX60" i="29"/>
  <c r="AX47" i="29"/>
  <c r="AX35" i="29"/>
  <c r="AX31" i="29"/>
  <c r="AX38" i="29"/>
  <c r="AX29" i="29"/>
  <c r="AX62" i="29"/>
  <c r="AX50" i="29"/>
  <c r="AX37" i="29"/>
  <c r="AX34" i="29"/>
  <c r="AX65" i="29"/>
  <c r="AX46" i="29"/>
  <c r="AX30" i="29"/>
  <c r="AX42" i="29"/>
  <c r="AX32" i="29"/>
  <c r="AY61" i="29" l="1"/>
  <c r="AY77" i="29"/>
  <c r="AY57" i="29"/>
  <c r="AY66" i="29"/>
  <c r="AY75" i="29"/>
  <c r="AY64" i="29"/>
  <c r="AY73" i="29"/>
  <c r="AY62" i="29"/>
  <c r="AY76" i="29"/>
  <c r="AY74" i="29"/>
  <c r="AY58" i="29"/>
  <c r="AY52" i="29"/>
  <c r="AY34" i="29"/>
  <c r="AY70" i="29"/>
  <c r="AY65" i="29"/>
  <c r="AY63" i="29"/>
  <c r="AY41" i="29"/>
  <c r="AZ27" i="29"/>
  <c r="AY67" i="29"/>
  <c r="AY51" i="29"/>
  <c r="AY39" i="29"/>
  <c r="AY48" i="29"/>
  <c r="AY69" i="29"/>
  <c r="AY56" i="29"/>
  <c r="AY46" i="29"/>
  <c r="AY72" i="29"/>
  <c r="AY78" i="29"/>
  <c r="AY71" i="29"/>
  <c r="AY68" i="29"/>
  <c r="AY40" i="29"/>
  <c r="AY28" i="29"/>
  <c r="AY43" i="29"/>
  <c r="AY55" i="29"/>
  <c r="AY49" i="29"/>
  <c r="AY36" i="29"/>
  <c r="AY44" i="29"/>
  <c r="AY59" i="29"/>
  <c r="AY54" i="29"/>
  <c r="AY33" i="29"/>
  <c r="AY60" i="29"/>
  <c r="AY47" i="29"/>
  <c r="AY35" i="29"/>
  <c r="AY31" i="29"/>
  <c r="AY38" i="29"/>
  <c r="AY29" i="29"/>
  <c r="AY53" i="29"/>
  <c r="AY50" i="29"/>
  <c r="AY45" i="29"/>
  <c r="AY37" i="29"/>
  <c r="AY32" i="29"/>
  <c r="AY42" i="29"/>
  <c r="AY30" i="29"/>
  <c r="AZ70" i="29" l="1"/>
  <c r="AZ77" i="29"/>
  <c r="AZ66" i="29"/>
  <c r="AZ75" i="29"/>
  <c r="AZ64" i="29"/>
  <c r="AZ73" i="29"/>
  <c r="AZ62" i="29"/>
  <c r="AZ71" i="29"/>
  <c r="AZ51" i="29"/>
  <c r="AZ69" i="29"/>
  <c r="AZ78" i="29"/>
  <c r="AZ76" i="29"/>
  <c r="AZ74" i="29"/>
  <c r="AZ65" i="29"/>
  <c r="AZ43" i="29"/>
  <c r="AZ67" i="29"/>
  <c r="AZ61" i="29"/>
  <c r="AZ39" i="29"/>
  <c r="AZ48" i="29"/>
  <c r="AZ56" i="29"/>
  <c r="AZ46" i="29"/>
  <c r="AZ59" i="29"/>
  <c r="AZ55" i="29"/>
  <c r="AZ54" i="29"/>
  <c r="AZ72" i="29"/>
  <c r="AZ49" i="29"/>
  <c r="AZ36" i="29"/>
  <c r="AZ57" i="29"/>
  <c r="AZ44" i="29"/>
  <c r="AZ33" i="29"/>
  <c r="AZ60" i="29"/>
  <c r="AZ58" i="29"/>
  <c r="AZ47" i="29"/>
  <c r="AZ35" i="29"/>
  <c r="AZ31" i="29"/>
  <c r="AZ38" i="29"/>
  <c r="AZ29" i="29"/>
  <c r="AZ42" i="29"/>
  <c r="AZ53" i="29"/>
  <c r="AZ50" i="29"/>
  <c r="AZ45" i="29"/>
  <c r="AZ37" i="29"/>
  <c r="AZ68" i="29"/>
  <c r="AZ34" i="29"/>
  <c r="AZ32" i="29"/>
  <c r="AZ41" i="29"/>
  <c r="AZ63" i="29"/>
  <c r="AZ40" i="29"/>
  <c r="AZ30" i="29"/>
  <c r="AZ28" i="29"/>
  <c r="AZ52" i="29"/>
</calcChain>
</file>

<file path=xl/sharedStrings.xml><?xml version="1.0" encoding="utf-8"?>
<sst xmlns="http://schemas.openxmlformats.org/spreadsheetml/2006/main" count="875" uniqueCount="434">
  <si>
    <t>(Other Point variable values lie within the Test Point value + or - its Increment)</t>
  </si>
  <si>
    <t xml:space="preserve">   to find a best-fit (Least Squares Regression) model.</t>
  </si>
  <si>
    <t>TSS is the Total Sum of Squares, the total variation in the output values.</t>
  </si>
  <si>
    <t>SSE is the Sum of the Squares of the Errors (predicted output - actual output, or residual),</t>
  </si>
  <si>
    <t>SSR is the Sum of Squares due to the Regression (or model), the total variation in output</t>
  </si>
  <si>
    <t xml:space="preserve">   values that would be expected/predicted by the model if it held perfectly at the data inputs.</t>
  </si>
  <si>
    <t>R^2=SSR/TSS is a 0-1 measure of how well the model fits the data (1 is perfect), or the</t>
  </si>
  <si>
    <r>
      <t xml:space="preserve">   fraction of total variation in the outputs that is </t>
    </r>
    <r>
      <rPr>
        <i/>
        <sz val="10"/>
        <rFont val="Arial"/>
        <family val="2"/>
      </rPr>
      <t>explained</t>
    </r>
    <r>
      <rPr>
        <sz val="10"/>
        <rFont val="Arial"/>
      </rPr>
      <t xml:space="preserve"> by the model.</t>
    </r>
  </si>
  <si>
    <r>
      <t xml:space="preserve">   a measure of how </t>
    </r>
    <r>
      <rPr>
        <i/>
        <sz val="10"/>
        <rFont val="Arial"/>
        <family val="2"/>
      </rPr>
      <t>bad</t>
    </r>
    <r>
      <rPr>
        <sz val="10"/>
        <rFont val="Arial"/>
      </rPr>
      <t xml:space="preserve"> the fit of the model is to the data, so it is </t>
    </r>
    <r>
      <rPr>
        <i/>
        <sz val="10"/>
        <rFont val="Arial"/>
        <family val="2"/>
      </rPr>
      <t>minimized</t>
    </r>
  </si>
  <si>
    <t>apply to R.  We then obtained the solution to the new problem.  The entries in column K (for 6K+4R values) have been left in as a</t>
  </si>
  <si>
    <t xml:space="preserve"> generated) have been saved as Values, not formulas, to be able to discuss the results so they always have the values the same.  </t>
  </si>
  <si>
    <t>double-check that the = constraint is satisfied, but could also have been left out completely.  The Other Point input values (randomly</t>
  </si>
  <si>
    <t xml:space="preserve">from Section 8.3 of the text.  The idea is exactly the same as above, but the objective function is nonlinear (so we cannot select </t>
  </si>
  <si>
    <t>in its original form also shows an unconstrained nonlinear optimization example (the Meg problem, solved in Sections 8.2 &amp; 8.4).</t>
  </si>
  <si>
    <r>
      <t xml:space="preserve">(-ve blue values mean the Other Pt fn Value is </t>
    </r>
    <r>
      <rPr>
        <i/>
        <sz val="10"/>
        <rFont val="Arial"/>
        <family val="2"/>
      </rPr>
      <t>below</t>
    </r>
    <r>
      <rPr>
        <sz val="10"/>
        <rFont val="Arial"/>
      </rPr>
      <t xml:space="preserve"> that of the Test Point; +ve, above)</t>
    </r>
  </si>
  <si>
    <r>
      <t xml:space="preserve">   click on Add for each (OK after the last), enter the </t>
    </r>
    <r>
      <rPr>
        <i/>
        <sz val="10"/>
        <rFont val="Arial"/>
        <family val="2"/>
      </rPr>
      <t>cell</t>
    </r>
    <r>
      <rPr>
        <sz val="10"/>
        <rFont val="Arial"/>
      </rPr>
      <t xml:space="preserve"> with the LHS &amp; </t>
    </r>
    <r>
      <rPr>
        <i/>
        <sz val="10"/>
        <rFont val="Arial"/>
        <family val="2"/>
      </rPr>
      <t>type in</t>
    </r>
    <r>
      <rPr>
        <sz val="10"/>
        <rFont val="Arial"/>
      </rPr>
      <t xml:space="preserve"> the RHS.  Click Solve and OK for the solution (in the variable cells).  </t>
    </r>
    <r>
      <rPr>
        <b/>
        <sz val="10"/>
        <rFont val="Arial"/>
        <family val="2"/>
      </rPr>
      <t/>
    </r>
  </si>
  <si>
    <r>
      <t xml:space="preserve">   </t>
    </r>
    <r>
      <rPr>
        <b/>
        <sz val="10"/>
        <rFont val="Arial"/>
        <family val="2"/>
      </rPr>
      <t>For documentation of constraints</t>
    </r>
    <r>
      <rPr>
        <sz val="10"/>
        <rFont val="Arial"/>
      </rPr>
      <t xml:space="preserve">, type the names of your variables in place of "1st", "2nd", etc., then also in row 13 type the LHS formula using these names, </t>
    </r>
  </si>
  <si>
    <t xml:space="preserve">Other               </t>
  </si>
  <si>
    <t xml:space="preserve">Points              </t>
  </si>
  <si>
    <t>B20=+2+0*b$23+0*$e20+1*b$23^2+0*b$23*$e20-1*$e20^2</t>
  </si>
  <si>
    <r>
      <t xml:space="preserve">    to obtain such a pattern, if it exists.  </t>
    </r>
    <r>
      <rPr>
        <b/>
        <sz val="10"/>
        <rFont val="Arial"/>
        <family val="2"/>
      </rPr>
      <t>To print</t>
    </r>
    <r>
      <rPr>
        <sz val="10"/>
        <rFont val="Arial"/>
        <family val="2"/>
      </rPr>
      <t xml:space="preserve">, print out the selection A12..i23 .  </t>
    </r>
    <r>
      <rPr>
        <b/>
        <sz val="10"/>
        <rFont val="Arial"/>
        <family val="2"/>
      </rPr>
      <t>To remove a dotted cell outline</t>
    </r>
    <r>
      <rPr>
        <sz val="10"/>
        <rFont val="Arial"/>
        <family val="2"/>
      </rPr>
      <t>, hit Esc.</t>
    </r>
  </si>
  <si>
    <r>
      <t>NOTES:</t>
    </r>
    <r>
      <rPr>
        <sz val="10"/>
        <rFont val="Arial"/>
      </rPr>
      <t xml:space="preserve">  </t>
    </r>
    <r>
      <rPr>
        <b/>
        <sz val="10"/>
        <rFont val="Arial"/>
        <family val="2"/>
      </rPr>
      <t>If the macro Ctrl+B does not work</t>
    </r>
    <r>
      <rPr>
        <sz val="10"/>
        <rFont val="Arial"/>
      </rPr>
      <t xml:space="preserve"> in step 6, you can copy cell A20 to the block A19:i21 by hand (also see the </t>
    </r>
    <r>
      <rPr>
        <b/>
        <sz val="10"/>
        <rFont val="Arial"/>
        <family val="2"/>
      </rPr>
      <t>Extensions</t>
    </r>
    <r>
      <rPr>
        <sz val="10"/>
        <rFont val="Arial"/>
      </rPr>
      <t xml:space="preserve"> sheet for another option).</t>
    </r>
  </si>
  <si>
    <r>
      <t xml:space="preserve">   The middle blue value should always be 0.  </t>
    </r>
    <r>
      <rPr>
        <b/>
        <sz val="10"/>
        <rFont val="Arial"/>
        <family val="2"/>
      </rPr>
      <t>If the blue values around the middle are all strictly positive</t>
    </r>
    <r>
      <rPr>
        <sz val="10"/>
        <rFont val="Arial"/>
      </rPr>
      <t xml:space="preserve">, then this is </t>
    </r>
    <r>
      <rPr>
        <b/>
        <sz val="10"/>
        <rFont val="Arial"/>
        <family val="2"/>
      </rPr>
      <t>strong evidence</t>
    </r>
    <r>
      <rPr>
        <sz val="10"/>
        <rFont val="Arial"/>
      </rPr>
      <t xml:space="preserve"> that the Test Point </t>
    </r>
  </si>
  <si>
    <r>
      <t xml:space="preserve">    and a </t>
    </r>
    <r>
      <rPr>
        <i/>
        <sz val="10"/>
        <rFont val="Arial"/>
        <family val="2"/>
      </rPr>
      <t>different</t>
    </r>
    <r>
      <rPr>
        <sz val="10"/>
        <rFont val="Arial"/>
        <family val="2"/>
      </rPr>
      <t xml:space="preserve"> slice is -,0,- (as in the given example), then </t>
    </r>
    <r>
      <rPr>
        <b/>
        <sz val="10"/>
        <rFont val="Arial"/>
        <family val="2"/>
      </rPr>
      <t xml:space="preserve">you </t>
    </r>
    <r>
      <rPr>
        <b/>
        <i/>
        <sz val="10"/>
        <rFont val="Arial"/>
        <family val="2"/>
      </rPr>
      <t>know</t>
    </r>
    <r>
      <rPr>
        <b/>
        <sz val="10"/>
        <rFont val="Arial"/>
        <family val="2"/>
      </rPr>
      <t xml:space="preserve"> you have a saddle point</t>
    </r>
    <r>
      <rPr>
        <sz val="10"/>
        <rFont val="Arial"/>
        <family val="2"/>
      </rPr>
      <t xml:space="preserve">.  You may have to try different combinations of increments </t>
    </r>
  </si>
  <si>
    <t xml:space="preserve">   possibly incomplete results).  The conclusions mentioned above of course assume that you have entered all of the formulas and variables correctly!  It is always</t>
  </si>
  <si>
    <t>Testing a Critical Point of a Function of 2 Variables for Probable Local Optimality with a 3x3 Grid</t>
  </si>
  <si>
    <r>
      <t xml:space="preserve">   a good idea to </t>
    </r>
    <r>
      <rPr>
        <b/>
        <sz val="10"/>
        <rFont val="Arial"/>
        <family val="2"/>
      </rPr>
      <t>double check all of your steps</t>
    </r>
    <r>
      <rPr>
        <sz val="10"/>
        <rFont val="Arial"/>
      </rPr>
      <t xml:space="preserve"> to make sure you have not made any mistakes.  If your function is smooth, and you </t>
    </r>
    <r>
      <rPr>
        <i/>
        <sz val="10"/>
        <rFont val="Arial"/>
        <family val="2"/>
      </rPr>
      <t>don't</t>
    </r>
    <r>
      <rPr>
        <sz val="10"/>
        <rFont val="Arial"/>
        <family val="2"/>
      </rPr>
      <t xml:space="preserve"> get the saddle</t>
    </r>
  </si>
  <si>
    <t xml:space="preserve">   point pattern, or all +'s or all-'s around the middle, then you probably entered something incorrectly or were inconsistent, but it could also be due to roundoff error.  After </t>
  </si>
  <si>
    <r>
      <t xml:space="preserve">   double checking your steps, </t>
    </r>
    <r>
      <rPr>
        <b/>
        <sz val="10"/>
        <rFont val="Arial"/>
        <family val="2"/>
      </rPr>
      <t xml:space="preserve">if the pattern is </t>
    </r>
    <r>
      <rPr>
        <b/>
        <i/>
        <sz val="10"/>
        <rFont val="Arial"/>
        <family val="2"/>
      </rPr>
      <t>close</t>
    </r>
    <r>
      <rPr>
        <b/>
        <sz val="10"/>
        <rFont val="Arial"/>
        <family val="2"/>
      </rPr>
      <t xml:space="preserve"> to one of the 3 patterns</t>
    </r>
    <r>
      <rPr>
        <sz val="10"/>
        <rFont val="Arial"/>
      </rPr>
      <t xml:space="preserve">, try adjusting the Test Point by one increment unit in the direction suggested by </t>
    </r>
  </si>
  <si>
    <r>
      <t>0.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Make a copy</t>
    </r>
    <r>
      <rPr>
        <sz val="10"/>
        <rFont val="Arial"/>
        <family val="2"/>
      </rPr>
      <t xml:space="preserve"> first!  </t>
    </r>
    <r>
      <rPr>
        <b/>
        <sz val="10"/>
        <rFont val="Arial"/>
      </rPr>
      <t>1.</t>
    </r>
    <r>
      <rPr>
        <sz val="10"/>
        <rFont val="Arial"/>
        <family val="2"/>
      </rPr>
      <t xml:space="preserve"> For the </t>
    </r>
    <r>
      <rPr>
        <i/>
        <sz val="10"/>
        <rFont val="Arial"/>
      </rPr>
      <t xml:space="preserve">critical point </t>
    </r>
    <r>
      <rPr>
        <sz val="10"/>
        <rFont val="Arial"/>
        <family val="2"/>
      </rPr>
      <t xml:space="preserve">(test point), </t>
    </r>
    <r>
      <rPr>
        <b/>
        <sz val="10"/>
        <rFont val="Arial"/>
        <family val="2"/>
      </rPr>
      <t>enter</t>
    </r>
    <r>
      <rPr>
        <sz val="10"/>
        <rFont val="Arial"/>
        <family val="2"/>
      </rPr>
      <t xml:space="preserve"> the 1st </t>
    </r>
    <r>
      <rPr>
        <b/>
        <sz val="10"/>
        <rFont val="Arial"/>
        <family val="2"/>
      </rPr>
      <t>variable value</t>
    </r>
    <r>
      <rPr>
        <sz val="10"/>
        <rFont val="Arial"/>
        <family val="2"/>
      </rPr>
      <t xml:space="preserve"> in C13 and the 2nd variable value in D13 . </t>
    </r>
  </si>
  <si>
    <r>
      <t>2.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 xml:space="preserve">Enter the </t>
    </r>
    <r>
      <rPr>
        <b/>
        <i/>
        <sz val="10"/>
        <rFont val="Arial"/>
        <family val="2"/>
      </rPr>
      <t>increments</t>
    </r>
    <r>
      <rPr>
        <sz val="10"/>
        <rFont val="Arial"/>
        <family val="2"/>
      </rPr>
      <t xml:space="preserve"> (small) for: the 1st variable in C14 &amp; the 2nd variable in D14.  For example, you can</t>
    </r>
  </si>
  <si>
    <r>
      <t>4.</t>
    </r>
    <r>
      <rPr>
        <sz val="10"/>
        <rFont val="Arial"/>
      </rPr>
      <t xml:space="preserve"> </t>
    </r>
    <r>
      <rPr>
        <b/>
        <i/>
        <sz val="10"/>
        <rFont val="Arial"/>
        <family val="2"/>
      </rPr>
      <t>Copy</t>
    </r>
    <r>
      <rPr>
        <sz val="10"/>
        <rFont val="Arial"/>
      </rPr>
      <t xml:space="preserve"> cell A16 to B20.  </t>
    </r>
    <r>
      <rPr>
        <b/>
        <sz val="10"/>
        <rFont val="Arial"/>
      </rPr>
      <t>5</t>
    </r>
    <r>
      <rPr>
        <sz val="10"/>
        <rFont val="Arial"/>
      </rPr>
      <t xml:space="preserve">. </t>
    </r>
    <r>
      <rPr>
        <b/>
        <sz val="10"/>
        <rFont val="Arial"/>
        <family val="2"/>
      </rPr>
      <t>Edit B20</t>
    </r>
    <r>
      <rPr>
        <sz val="10"/>
        <rFont val="Arial"/>
      </rPr>
      <t xml:space="preserve"> by deleting the "B20" (everything before the "="), and hit Enter.   </t>
    </r>
    <r>
      <rPr>
        <b/>
        <sz val="10"/>
        <rFont val="Arial"/>
        <family val="2"/>
      </rPr>
      <t/>
    </r>
  </si>
  <si>
    <r>
      <t xml:space="preserve">  </t>
    </r>
    <r>
      <rPr>
        <b/>
        <i/>
        <sz val="10"/>
        <rFont val="Arial"/>
        <family val="2"/>
      </rPr>
      <t>not</t>
    </r>
    <r>
      <rPr>
        <b/>
        <sz val="10"/>
        <rFont val="Arial"/>
        <family val="2"/>
      </rPr>
      <t xml:space="preserve"> a local optimum</t>
    </r>
    <r>
      <rPr>
        <sz val="10"/>
        <rFont val="Arial"/>
        <family val="2"/>
      </rPr>
      <t xml:space="preserve">.  However, it is </t>
    </r>
    <r>
      <rPr>
        <b/>
        <sz val="10"/>
        <rFont val="Arial"/>
        <family val="2"/>
      </rPr>
      <t>not necessarily a saddle point</t>
    </r>
    <r>
      <rPr>
        <sz val="10"/>
        <rFont val="Arial"/>
        <family val="2"/>
      </rPr>
      <t>.  If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one slice (vertical, horizontal, or diagonal) through the middle is +,0,+ and</t>
    </r>
  </si>
  <si>
    <r>
      <t xml:space="preserve">   is a </t>
    </r>
    <r>
      <rPr>
        <b/>
        <sz val="10"/>
        <rFont val="Arial"/>
        <family val="2"/>
      </rPr>
      <t>local minimum</t>
    </r>
    <r>
      <rPr>
        <sz val="10"/>
        <rFont val="Arial"/>
      </rPr>
      <t xml:space="preserve">.  If the blue values all around the middle are </t>
    </r>
    <r>
      <rPr>
        <b/>
        <sz val="10"/>
        <rFont val="Arial"/>
        <family val="2"/>
      </rPr>
      <t>all strictly negative</t>
    </r>
    <r>
      <rPr>
        <sz val="10"/>
        <rFont val="Arial"/>
      </rPr>
      <t xml:space="preserve">, this is </t>
    </r>
    <r>
      <rPr>
        <b/>
        <sz val="10"/>
        <rFont val="Arial"/>
        <family val="2"/>
      </rPr>
      <t>strong evidence</t>
    </r>
    <r>
      <rPr>
        <sz val="10"/>
        <rFont val="Arial"/>
      </rPr>
      <t xml:space="preserve"> that the Test Point is a </t>
    </r>
    <r>
      <rPr>
        <b/>
        <sz val="10"/>
        <rFont val="Arial"/>
        <family val="2"/>
      </rPr>
      <t>local maximum</t>
    </r>
    <r>
      <rPr>
        <sz val="10"/>
        <rFont val="Arial"/>
      </rPr>
      <t>.</t>
    </r>
  </si>
  <si>
    <r>
      <t xml:space="preserve">   </t>
    </r>
    <r>
      <rPr>
        <b/>
        <sz val="10"/>
        <rFont val="Arial"/>
        <family val="2"/>
      </rPr>
      <t>For absolute proof</t>
    </r>
    <r>
      <rPr>
        <sz val="10"/>
        <rFont val="Arial"/>
      </rPr>
      <t xml:space="preserve">, use the </t>
    </r>
    <r>
      <rPr>
        <b/>
        <sz val="10"/>
        <rFont val="Arial"/>
        <family val="2"/>
      </rPr>
      <t>Second Derivative Test</t>
    </r>
    <r>
      <rPr>
        <sz val="10"/>
        <rFont val="Arial"/>
      </rPr>
      <t xml:space="preserve"> if possible (or, for a quadratic function, the signs of the squared-term coefficients can give absolute but </t>
    </r>
  </si>
  <si>
    <r>
      <t xml:space="preserve">   the pattern.  You could repeat this a few times/use trial and error to see if you get one of the 3 patterns.  </t>
    </r>
    <r>
      <rPr>
        <b/>
        <sz val="10"/>
        <rFont val="Arial"/>
        <family val="2"/>
      </rPr>
      <t>See Section 8.3</t>
    </r>
    <r>
      <rPr>
        <sz val="10"/>
        <rFont val="Arial"/>
      </rPr>
      <t xml:space="preserve"> &amp; the Technology Supplement for more.</t>
    </r>
  </si>
  <si>
    <t>(The middle point of each grid corresponds</t>
  </si>
  <si>
    <t xml:space="preserve">to the Test Point, and the Other Points are </t>
  </si>
  <si>
    <t>the points one increment unit away from</t>
  </si>
  <si>
    <t>to the two variables by 1 unit of each's</t>
  </si>
  <si>
    <t>the Test Point in every possible direction;</t>
  </si>
  <si>
    <t>that is, every combination of + and - changes</t>
  </si>
  <si>
    <t>increment.  Yellow values are function values;</t>
  </si>
  <si>
    <t xml:space="preserve"> +/- blue values mean the Other Point is</t>
  </si>
  <si>
    <r>
      <t>above/below</t>
    </r>
    <r>
      <rPr>
        <sz val="10"/>
        <rFont val="Arial"/>
      </rPr>
      <t xml:space="preserve"> the Test Point, respectively.)</t>
    </r>
  </si>
  <si>
    <t xml:space="preserve">   The yellow grid is very similar to a Data Display graph, and to the grid below the 3DGraph on the 3DGraph sheet (you can even use that grid to help your analysis here).</t>
  </si>
  <si>
    <r>
      <t xml:space="preserve">  one of these corners to change the viewing angle.  See </t>
    </r>
    <r>
      <rPr>
        <b/>
        <sz val="10"/>
        <rFont val="Arial"/>
        <family val="2"/>
      </rPr>
      <t>Extensions</t>
    </r>
    <r>
      <rPr>
        <sz val="10"/>
        <rFont val="Arial"/>
      </rPr>
      <t xml:space="preserve"> sheet.</t>
    </r>
  </si>
  <si>
    <r>
      <t>In all of our templates, the notation "</t>
    </r>
    <r>
      <rPr>
        <b/>
        <sz val="10"/>
        <rFont val="Arial"/>
        <family val="2"/>
      </rPr>
      <t>Ctrl+A</t>
    </r>
    <r>
      <rPr>
        <sz val="10"/>
        <rFont val="Arial"/>
      </rPr>
      <t xml:space="preserve">" means to hold down the Ctrl key and then hit the A key (don't use the shift key). </t>
    </r>
  </si>
  <si>
    <t xml:space="preserve"> Target Cell i8 using the Changing Cells J8..L8 (Click on Solve and OK).  Your final model parameters (L,A,B) will be given in J8:L8 .</t>
  </si>
  <si>
    <r>
      <t>3</t>
    </r>
    <r>
      <rPr>
        <sz val="10"/>
        <rFont val="Arial"/>
      </rPr>
      <t xml:space="preserve">. Enter your best solution from the Basic Logistic Regression sheet (or a guess) into J8..L8.  </t>
    </r>
    <r>
      <rPr>
        <b/>
        <sz val="10"/>
        <rFont val="Arial"/>
      </rPr>
      <t>4</t>
    </r>
    <r>
      <rPr>
        <sz val="10"/>
        <rFont val="Arial"/>
        <family val="2"/>
      </rPr>
      <t xml:space="preserve">. If you know how, use Solver (under Tools) to Minimize the </t>
    </r>
  </si>
  <si>
    <r>
      <t>1.</t>
    </r>
    <r>
      <rPr>
        <sz val="10"/>
        <rFont val="Arial"/>
        <family val="2"/>
      </rPr>
      <t xml:space="preserve"> Enter the independent variable values (up to 33 data points) in Column A (start in row 8). </t>
    </r>
    <r>
      <rPr>
        <b/>
        <sz val="10"/>
        <rFont val="Arial"/>
      </rPr>
      <t>2</t>
    </r>
    <r>
      <rPr>
        <sz val="10"/>
        <rFont val="Arial"/>
        <family val="2"/>
      </rPr>
      <t>. Enter the dependent variable values in Column B (start in in row 8).</t>
    </r>
  </si>
  <si>
    <t>fn Value=C(K,R)=24K+39R</t>
  </si>
  <si>
    <t>C14=24*g14+39*h14</t>
  </si>
  <si>
    <t xml:space="preserve"> = 9</t>
  </si>
  <si>
    <t>fn Value=V(l,w,h)=lwh</t>
  </si>
  <si>
    <t xml:space="preserve">   such as "2x+3y" (you can also do the equivalent of this in column C if you want to).  Then put the rest of the constraint (such as " &lt;= 12") in row 11 (for nonnegativity or </t>
  </si>
  <si>
    <t>Worksheet: [v2TmpSmp.xls]2 Cereal LP Inequality Example</t>
  </si>
  <si>
    <t>Report Created: 8/6/03 5:21:16 PM</t>
  </si>
  <si>
    <t>Report Created: 8/6/03 5:21:17 PM</t>
  </si>
  <si>
    <t>Worksheet: [v2TmpSmp.xls]2 Cereal LP =Constraint Example</t>
  </si>
  <si>
    <t>Worksheet: [v2TmpSmp.xls]Nonlin. 3-Var. Ineq. Constr. Ex</t>
  </si>
  <si>
    <t>Report Created: 8/6/03 5:29:18 PM</t>
  </si>
  <si>
    <t>Report Created: 8/6/03 5:29:19 PM</t>
  </si>
  <si>
    <r>
      <t xml:space="preserve">For constrained linear optimization, see the two 2 Cereal Example sheets. </t>
    </r>
    <r>
      <rPr>
        <sz val="10"/>
        <rFont val="Arial"/>
        <family val="2"/>
      </rPr>
      <t>The 2 Cereal LP = Constraint</t>
    </r>
  </si>
  <si>
    <t>Report Created: 8/6/03 6:00:58 PM</t>
  </si>
  <si>
    <t>Report Created: 8/6/03 6:00:59 PM</t>
  </si>
  <si>
    <t>fn Value=fn(1st,2nd)</t>
  </si>
  <si>
    <t>with all inequality constraints, we simply followed the directions on the template.  In row 13, we replaced 1st and 2nd with</t>
  </si>
  <si>
    <t xml:space="preserve"> K and R, then replaced 3rd with K+7R, 4th with 150K+210R, and 5th with 6K+4R, as well as replacing fn(1st,2nd) with C(K,R)=24K+39R. </t>
  </si>
  <si>
    <t xml:space="preserve">this down the column.  Then we used Solver similar to above, but with only G14 as a Changing Cell, with no 6K+4R=9 constraint (since </t>
  </si>
  <si>
    <t xml:space="preserve">R=(9-6k)/4 is equivalent to it), but adding the constraint H14&gt;=0, since assuming nonnegativity of the Changing Cells would no longer </t>
  </si>
  <si>
    <t>Report Created: 8/6/03 6:51:10 PM</t>
  </si>
  <si>
    <t>Report Created: 8/6/03 6:51:11 PM</t>
  </si>
  <si>
    <t>Assume Linear Model under Options… in Solver).  This also shows how to handle an example with more than 2 input variables.</t>
  </si>
  <si>
    <r>
      <t xml:space="preserve">G17 has the formula "=I16/G16" .  Note the displayed R^2 &amp; SS values match the regression output for </t>
    </r>
    <r>
      <rPr>
        <i/>
        <sz val="10"/>
        <rFont val="Arial"/>
        <family val="2"/>
      </rPr>
      <t>this</t>
    </r>
    <r>
      <rPr>
        <sz val="10"/>
        <rFont val="Arial"/>
      </rPr>
      <t xml:space="preserve"> example.  </t>
    </r>
    <r>
      <rPr>
        <b/>
        <sz val="10"/>
        <rFont val="Arial"/>
        <family val="2"/>
      </rPr>
      <t>For other problems,</t>
    </r>
    <r>
      <rPr>
        <sz val="10"/>
        <rFont val="Arial"/>
      </rPr>
      <t xml:space="preserve"> </t>
    </r>
  </si>
  <si>
    <t xml:space="preserve">   and the APY in F6, and read the NPV value in C17.  In our usual pattern, F6 would be yellow and C17 would be blue.</t>
  </si>
  <si>
    <r>
      <t xml:space="preserve">   Remember that the NPV of a cash flow (sequence of transactions) is what the </t>
    </r>
    <r>
      <rPr>
        <i/>
        <sz val="10"/>
        <rFont val="Arial"/>
        <family val="2"/>
      </rPr>
      <t>whole</t>
    </r>
    <r>
      <rPr>
        <sz val="10"/>
        <rFont val="Arial"/>
      </rPr>
      <t xml:space="preserve"> cash flow is </t>
    </r>
    <r>
      <rPr>
        <i/>
        <sz val="10"/>
        <rFont val="Arial"/>
        <family val="2"/>
      </rPr>
      <t>equivalent</t>
    </r>
    <r>
      <rPr>
        <sz val="10"/>
        <rFont val="Arial"/>
        <family val="2"/>
      </rPr>
      <t xml:space="preserve"> to, in </t>
    </r>
    <r>
      <rPr>
        <i/>
        <sz val="10"/>
        <rFont val="Arial"/>
        <family val="2"/>
      </rPr>
      <t>cash</t>
    </r>
    <r>
      <rPr>
        <sz val="10"/>
        <rFont val="Arial"/>
        <family val="2"/>
      </rPr>
      <t xml:space="preserve">, right </t>
    </r>
    <r>
      <rPr>
        <i/>
        <sz val="10"/>
        <rFont val="Arial"/>
        <family val="2"/>
      </rPr>
      <t>now</t>
    </r>
    <r>
      <rPr>
        <sz val="10"/>
        <rFont val="Arial"/>
        <family val="2"/>
      </rPr>
      <t>.</t>
    </r>
  </si>
  <si>
    <r>
      <t xml:space="preserve">   Click Solve, then OK, &amp; read the IRR value in F6.  See the </t>
    </r>
    <r>
      <rPr>
        <i/>
        <sz val="10"/>
        <rFont val="Arial"/>
      </rPr>
      <t xml:space="preserve">Mathematical Connections </t>
    </r>
    <r>
      <rPr>
        <sz val="10"/>
        <rFont val="Arial"/>
        <family val="2"/>
      </rPr>
      <t xml:space="preserve">Technology Supplement for more details </t>
    </r>
  </si>
  <si>
    <t xml:space="preserve">   on Solver.  In our usual pattern, C17 would be white and F6 would be blue.  Remember that the IRR of an investment is the</t>
  </si>
  <si>
    <r>
      <t xml:space="preserve">  </t>
    </r>
    <r>
      <rPr>
        <i/>
        <sz val="10"/>
        <rFont val="Arial"/>
        <family val="2"/>
      </rPr>
      <t>interest rate</t>
    </r>
    <r>
      <rPr>
        <sz val="10"/>
        <rFont val="Arial"/>
      </rPr>
      <t xml:space="preserve"> (usually in APY form) that the investment is </t>
    </r>
    <r>
      <rPr>
        <i/>
        <sz val="10"/>
        <rFont val="Arial"/>
        <family val="2"/>
      </rPr>
      <t>equivalent</t>
    </r>
    <r>
      <rPr>
        <sz val="10"/>
        <rFont val="Arial"/>
      </rPr>
      <t xml:space="preserve"> to (the APY that makes the NPV = 0).</t>
    </r>
  </si>
  <si>
    <r>
      <t xml:space="preserve">   A </t>
    </r>
    <r>
      <rPr>
        <i/>
        <sz val="10"/>
        <rFont val="Arial"/>
        <family val="2"/>
      </rPr>
      <t>positive</t>
    </r>
    <r>
      <rPr>
        <sz val="10"/>
        <rFont val="Arial"/>
      </rPr>
      <t xml:space="preserve"> cash flow means that the cash flow is like being </t>
    </r>
    <r>
      <rPr>
        <i/>
        <sz val="10"/>
        <rFont val="Arial"/>
        <family val="2"/>
      </rPr>
      <t>given</t>
    </r>
    <r>
      <rPr>
        <sz val="10"/>
        <rFont val="Arial"/>
      </rPr>
      <t xml:space="preserve"> that much cash right </t>
    </r>
    <r>
      <rPr>
        <i/>
        <sz val="10"/>
        <rFont val="Arial"/>
        <family val="2"/>
      </rPr>
      <t>now</t>
    </r>
    <r>
      <rPr>
        <sz val="10"/>
        <rFont val="Arial"/>
      </rPr>
      <t>.  The APY is your best risk-free alternative.</t>
    </r>
  </si>
  <si>
    <t xml:space="preserve">   Use NPV to compare different cash flows (investments or business opportunities) that occur at different times.</t>
  </si>
  <si>
    <t>For more information, contact the authors at (610) 519-6926 or Bruce.Pollack-Johnson@villanova.edu (or see www.math.villanova.edu/connections)</t>
  </si>
  <si>
    <t>Example is exactly Sample Problem 2 from Section 9.2 of the text, the 2 Cereal LP Inequality Example is a slight modification of that</t>
  </si>
  <si>
    <t>problem, where the = constraint has been changed to an inequality (&gt;=, with the same solution).  The Answer/Sensitivity/Limit Reports</t>
  </si>
  <si>
    <t xml:space="preserve">under Options… within Solver (note the "Shadow Price" in the Sensitivity Report), while those with the index tab label 2 were done without </t>
  </si>
  <si>
    <t xml:space="preserve">selecting those options (note the "Lagrange Multiplier" column instead of a Shadow Price column). For the 2 Cereal LP Inequality Example, </t>
  </si>
  <si>
    <t>H14 &lt;= 2, i14 &gt;= 5, J14 &lt;= 350, and K14 &gt;= 9, took care of nonnegativity as an Option or more constraints, then clicked on Solve.</t>
  </si>
  <si>
    <r>
      <t xml:space="preserve">In all cases, remember to work with a </t>
    </r>
    <r>
      <rPr>
        <b/>
        <i/>
        <sz val="10"/>
        <rFont val="Arial"/>
        <family val="2"/>
      </rPr>
      <t>copy</t>
    </r>
    <r>
      <rPr>
        <b/>
        <sz val="10"/>
        <rFont val="Arial"/>
        <family val="2"/>
      </rPr>
      <t xml:space="preserve"> of the Randomized Test Template when solving more than one problem!</t>
    </r>
  </si>
  <si>
    <t>the variables in cells C23, C24, H23, H24, B26, and A27.  See the Meg2003 file for an example.</t>
  </si>
  <si>
    <r>
      <t xml:space="preserve">will </t>
    </r>
    <r>
      <rPr>
        <b/>
        <sz val="10"/>
        <rFont val="Arial"/>
        <family val="2"/>
      </rPr>
      <t>all turn yellow</t>
    </r>
    <r>
      <rPr>
        <sz val="10"/>
        <rFont val="Arial"/>
      </rPr>
      <t xml:space="preserve">.  If you don't want this, </t>
    </r>
    <r>
      <rPr>
        <b/>
        <sz val="10"/>
        <rFont val="Arial"/>
        <family val="2"/>
      </rPr>
      <t xml:space="preserve">make a </t>
    </r>
    <r>
      <rPr>
        <b/>
        <i/>
        <sz val="10"/>
        <rFont val="Arial"/>
        <family val="2"/>
      </rPr>
      <t>copy</t>
    </r>
    <r>
      <rPr>
        <b/>
        <sz val="10"/>
        <rFont val="Arial"/>
        <family val="2"/>
      </rPr>
      <t xml:space="preserve"> of the sheet </t>
    </r>
    <r>
      <rPr>
        <b/>
        <i/>
        <sz val="10"/>
        <rFont val="Arial"/>
        <family val="2"/>
      </rPr>
      <t>before</t>
    </r>
    <r>
      <rPr>
        <b/>
        <sz val="10"/>
        <rFont val="Arial"/>
        <family val="2"/>
      </rPr>
      <t xml:space="preserve"> entering your problem</t>
    </r>
    <r>
      <rPr>
        <sz val="10"/>
        <rFont val="Arial"/>
      </rPr>
      <t xml:space="preserve">, and the </t>
    </r>
  </si>
  <si>
    <t>original sheet can always be copied again and used to start any new problem (on which those cells should not be yellow).</t>
  </si>
  <si>
    <r>
      <t xml:space="preserve">If you want </t>
    </r>
    <r>
      <rPr>
        <b/>
        <sz val="10"/>
        <rFont val="Arial"/>
      </rPr>
      <t xml:space="preserve">to save a </t>
    </r>
    <r>
      <rPr>
        <b/>
        <i/>
        <sz val="10"/>
        <rFont val="Arial"/>
      </rPr>
      <t>specific</t>
    </r>
    <r>
      <rPr>
        <b/>
        <sz val="10"/>
        <rFont val="Arial"/>
      </rPr>
      <t xml:space="preserve"> set of random Other Point values in the Randomized Test,  </t>
    </r>
    <r>
      <rPr>
        <sz val="10"/>
        <rFont val="Arial"/>
        <family val="2"/>
      </rPr>
      <t xml:space="preserve">highlight those input variable </t>
    </r>
  </si>
  <si>
    <r>
      <t xml:space="preserve">values (rows 15-23), copy that block, and use Paste Special and Values as above to paste them back onto the </t>
    </r>
    <r>
      <rPr>
        <i/>
        <sz val="10"/>
        <rFont val="Arial"/>
      </rPr>
      <t>same</t>
    </r>
    <r>
      <rPr>
        <sz val="10"/>
        <rFont val="Arial"/>
      </rPr>
      <t xml:space="preserve"> block.  </t>
    </r>
  </si>
  <si>
    <t xml:space="preserve">Otherwise, the random numbers get recalculated every time you do something on the spreadsheet and the values all change.  If you </t>
  </si>
  <si>
    <r>
      <t xml:space="preserve">think you'll want to do this, you </t>
    </r>
    <r>
      <rPr>
        <i/>
        <sz val="10"/>
        <rFont val="Arial"/>
      </rPr>
      <t>must</t>
    </r>
    <r>
      <rPr>
        <sz val="10"/>
        <rFont val="Arial"/>
      </rPr>
      <t xml:space="preserve"> first make a </t>
    </r>
    <r>
      <rPr>
        <i/>
        <sz val="10"/>
        <rFont val="Arial"/>
      </rPr>
      <t>copy</t>
    </r>
    <r>
      <rPr>
        <sz val="10"/>
        <rFont val="Arial"/>
        <family val="2"/>
      </rPr>
      <t xml:space="preserve"> of the Randomized Test Template sheet, rename it, and work with that - </t>
    </r>
  </si>
  <si>
    <t xml:space="preserve">otherwise, the template won't work properly later for any other problems! </t>
  </si>
  <si>
    <r>
      <t xml:space="preserve">NOTES:  The </t>
    </r>
    <r>
      <rPr>
        <b/>
        <sz val="10"/>
        <rFont val="Arial"/>
        <family val="2"/>
      </rPr>
      <t>Unconstrained Global Optimality Test</t>
    </r>
    <r>
      <rPr>
        <sz val="10"/>
        <rFont val="Arial"/>
      </rPr>
      <t xml:space="preserve">: After hitting F9 a dozen times:  If the blue values are all negative (or 0), you have very strong evidence (roughly a </t>
    </r>
  </si>
  <si>
    <r>
      <t xml:space="preserve">   99% chance) that the Test Point is a global maximum (similarly, if all positive, a global minimum).  </t>
    </r>
    <r>
      <rPr>
        <b/>
        <sz val="10"/>
        <rFont val="Arial"/>
        <family val="2"/>
      </rPr>
      <t>Don't round the Test Point</t>
    </r>
    <r>
      <rPr>
        <sz val="10"/>
        <rFont val="Arial"/>
      </rPr>
      <t xml:space="preserve"> values (use Solver)!</t>
    </r>
  </si>
  <si>
    <t>R</t>
  </si>
  <si>
    <t>K+7R</t>
  </si>
  <si>
    <t>150K+210R</t>
  </si>
  <si>
    <t>6K+4R</t>
  </si>
  <si>
    <t>&lt;= 350</t>
  </si>
  <si>
    <t>&gt;= 9</t>
  </si>
  <si>
    <t>&gt;= 0</t>
  </si>
  <si>
    <t>0 &lt;= R &lt;= 2</t>
  </si>
  <si>
    <r>
      <t>Sheet…) for each example,</t>
    </r>
    <r>
      <rPr>
        <i/>
        <sz val="10"/>
        <rFont val="Arial"/>
      </rPr>
      <t xml:space="preserve"> </t>
    </r>
    <r>
      <rPr>
        <b/>
        <i/>
        <sz val="10"/>
        <rFont val="Arial"/>
      </rPr>
      <t>before</t>
    </r>
    <r>
      <rPr>
        <sz val="10"/>
        <rFont val="Arial"/>
        <family val="2"/>
      </rPr>
      <t xml:space="preserve"> </t>
    </r>
    <r>
      <rPr>
        <b/>
        <sz val="10"/>
        <rFont val="Arial"/>
      </rPr>
      <t>you start</t>
    </r>
    <r>
      <rPr>
        <sz val="10"/>
        <rFont val="Arial"/>
        <family val="2"/>
      </rPr>
      <t xml:space="preserve"> on each example. </t>
    </r>
    <r>
      <rPr>
        <sz val="10"/>
        <rFont val="Arial"/>
      </rPr>
      <t xml:space="preserve"> (Remember to </t>
    </r>
    <r>
      <rPr>
        <i/>
        <sz val="10"/>
        <rFont val="Arial"/>
      </rPr>
      <t>click on the "Create a Copy" box</t>
    </r>
    <r>
      <rPr>
        <sz val="10"/>
        <rFont val="Arial"/>
      </rPr>
      <t xml:space="preserve"> so that the </t>
    </r>
  </si>
  <si>
    <r>
      <t xml:space="preserve">sheet doesn't just get </t>
    </r>
    <r>
      <rPr>
        <i/>
        <sz val="10"/>
        <rFont val="Arial"/>
        <family val="2"/>
      </rPr>
      <t>moved</t>
    </r>
    <r>
      <rPr>
        <sz val="10"/>
        <rFont val="Arial"/>
      </rPr>
      <t xml:space="preserve">.)  To rename a sheet, double-click on its tab and type in the new name </t>
    </r>
  </si>
  <si>
    <r>
      <t xml:space="preserve">   </t>
    </r>
    <r>
      <rPr>
        <sz val="10"/>
        <rFont val="Arial"/>
        <family val="2"/>
      </rPr>
      <t xml:space="preserve">     use the unit for the </t>
    </r>
    <r>
      <rPr>
        <i/>
        <sz val="10"/>
        <rFont val="Arial"/>
      </rPr>
      <t>last</t>
    </r>
    <r>
      <rPr>
        <sz val="10"/>
        <rFont val="Arial"/>
        <family val="2"/>
      </rPr>
      <t xml:space="preserve"> significant digit (for 4.03, use .01).  </t>
    </r>
    <r>
      <rPr>
        <b/>
        <sz val="10"/>
        <rFont val="Arial"/>
      </rPr>
      <t>3.</t>
    </r>
    <r>
      <rPr>
        <sz val="10"/>
        <rFont val="Arial"/>
      </rPr>
      <t xml:space="preserve"> In A16 enter "</t>
    </r>
    <r>
      <rPr>
        <sz val="10"/>
        <rFont val="Arial"/>
        <family val="2"/>
      </rPr>
      <t>B20=</t>
    </r>
    <r>
      <rPr>
        <sz val="10"/>
        <rFont val="Arial"/>
      </rPr>
      <t xml:space="preserve">" followed by the </t>
    </r>
    <r>
      <rPr>
        <i/>
        <sz val="10"/>
        <rFont val="Arial"/>
      </rPr>
      <t/>
    </r>
  </si>
  <si>
    <r>
      <t xml:space="preserve">        </t>
    </r>
    <r>
      <rPr>
        <i/>
        <sz val="10"/>
        <rFont val="Arial"/>
      </rPr>
      <t>function formula</t>
    </r>
    <r>
      <rPr>
        <sz val="10"/>
        <rFont val="Arial"/>
        <family val="2"/>
      </rPr>
      <t>, using "b$23" for the 1st variable and "$e20" for the 2nd variable; hit Enter.</t>
    </r>
  </si>
  <si>
    <r>
      <t>Before</t>
    </r>
    <r>
      <rPr>
        <b/>
        <sz val="10"/>
        <rFont val="Arial"/>
      </rPr>
      <t xml:space="preserve"> using</t>
    </r>
    <r>
      <rPr>
        <sz val="10"/>
        <rFont val="Arial"/>
      </rPr>
      <t xml:space="preserve"> any of the worksheets</t>
    </r>
    <r>
      <rPr>
        <b/>
        <sz val="10"/>
        <rFont val="Arial"/>
      </rPr>
      <t>,</t>
    </r>
    <r>
      <rPr>
        <sz val="10"/>
        <rFont val="Arial"/>
      </rPr>
      <t xml:space="preserve"> </t>
    </r>
    <r>
      <rPr>
        <b/>
        <i/>
        <sz val="10"/>
        <rFont val="Arial"/>
      </rPr>
      <t>make a copy</t>
    </r>
    <r>
      <rPr>
        <sz val="10"/>
        <rFont val="Arial"/>
      </rPr>
      <t xml:space="preserve"> </t>
    </r>
    <r>
      <rPr>
        <b/>
        <sz val="10"/>
        <rFont val="Arial"/>
      </rPr>
      <t>of the</t>
    </r>
    <r>
      <rPr>
        <sz val="10"/>
        <rFont val="Arial"/>
      </rPr>
      <t xml:space="preserve"> full workbook (this Excel </t>
    </r>
    <r>
      <rPr>
        <b/>
        <sz val="10"/>
        <rFont val="Arial"/>
      </rPr>
      <t>file</t>
    </r>
    <r>
      <rPr>
        <sz val="10"/>
        <rFont val="Arial"/>
      </rPr>
      <t xml:space="preserve">) </t>
    </r>
    <r>
      <rPr>
        <b/>
        <sz val="10"/>
        <rFont val="Arial"/>
      </rPr>
      <t>and rename it</t>
    </r>
    <r>
      <rPr>
        <sz val="10"/>
        <rFont val="Arial"/>
      </rPr>
      <t xml:space="preserve"> (use File, Save As…).</t>
    </r>
  </si>
  <si>
    <r>
      <t xml:space="preserve">If you want </t>
    </r>
    <r>
      <rPr>
        <b/>
        <sz val="10"/>
        <rFont val="Arial"/>
      </rPr>
      <t xml:space="preserve">to </t>
    </r>
    <r>
      <rPr>
        <b/>
        <i/>
        <sz val="10"/>
        <rFont val="Arial"/>
      </rPr>
      <t>save</t>
    </r>
    <r>
      <rPr>
        <b/>
        <sz val="10"/>
        <rFont val="Arial"/>
      </rPr>
      <t xml:space="preserve"> results for </t>
    </r>
    <r>
      <rPr>
        <b/>
        <i/>
        <sz val="10"/>
        <rFont val="Arial"/>
      </rPr>
      <t>different examples</t>
    </r>
    <r>
      <rPr>
        <b/>
        <sz val="10"/>
        <rFont val="Arial"/>
      </rPr>
      <t>,</t>
    </r>
    <r>
      <rPr>
        <sz val="10"/>
        <rFont val="Arial"/>
      </rPr>
      <t xml:space="preserve"> </t>
    </r>
    <r>
      <rPr>
        <b/>
        <i/>
        <sz val="10"/>
        <rFont val="Arial"/>
      </rPr>
      <t>make a copy</t>
    </r>
    <r>
      <rPr>
        <sz val="10"/>
        <rFont val="Arial"/>
      </rPr>
      <t xml:space="preserve"> </t>
    </r>
    <r>
      <rPr>
        <b/>
        <sz val="10"/>
        <rFont val="Arial"/>
      </rPr>
      <t xml:space="preserve">and </t>
    </r>
    <r>
      <rPr>
        <b/>
        <i/>
        <sz val="10"/>
        <rFont val="Arial"/>
      </rPr>
      <t>rename</t>
    </r>
    <r>
      <rPr>
        <b/>
        <sz val="10"/>
        <rFont val="Arial"/>
      </rPr>
      <t xml:space="preserve"> a </t>
    </r>
    <r>
      <rPr>
        <b/>
        <i/>
        <sz val="10"/>
        <rFont val="Arial"/>
      </rPr>
      <t>new</t>
    </r>
    <r>
      <rPr>
        <b/>
        <sz val="10"/>
        <rFont val="Arial"/>
      </rPr>
      <t xml:space="preserve"> </t>
    </r>
    <r>
      <rPr>
        <b/>
        <i/>
        <sz val="10"/>
        <rFont val="Arial"/>
      </rPr>
      <t>worksheet</t>
    </r>
    <r>
      <rPr>
        <sz val="10"/>
        <rFont val="Arial"/>
      </rPr>
      <t xml:space="preserve"> (use Edit, Move or Copy </t>
    </r>
  </si>
  <si>
    <t>(for example, "Section 8.4, Exercise 3").</t>
  </si>
  <si>
    <r>
      <t xml:space="preserve">your own spreadsheets.  See the </t>
    </r>
    <r>
      <rPr>
        <b/>
        <sz val="10"/>
        <rFont val="Arial"/>
      </rPr>
      <t>Constrained Optimization Notes</t>
    </r>
    <r>
      <rPr>
        <sz val="10"/>
        <rFont val="Arial"/>
        <family val="2"/>
      </rPr>
      <t xml:space="preserve"> sheet for comments on that topic.</t>
    </r>
  </si>
  <si>
    <t xml:space="preserve">Function:  </t>
  </si>
  <si>
    <t>Domain:</t>
  </si>
  <si>
    <t xml:space="preserve">   &lt;= x &lt;=</t>
  </si>
  <si>
    <t>x increment =</t>
  </si>
  <si>
    <t xml:space="preserve">   &lt;= y &lt;=</t>
  </si>
  <si>
    <t>y increment =</t>
  </si>
  <si>
    <t xml:space="preserve">          x:</t>
  </si>
  <si>
    <t>x</t>
  </si>
  <si>
    <t>y</t>
  </si>
  <si>
    <t>Increments ==&gt;</t>
  </si>
  <si>
    <t>fn(1st,2nd) = fn(Other Pt.)</t>
  </si>
  <si>
    <t>2nd var</t>
  </si>
  <si>
    <t>fn(Other Pt.)-fn(Test Pt.)</t>
  </si>
  <si>
    <t>&lt;= 1st var</t>
  </si>
  <si>
    <t xml:space="preserve"> =&gt;</t>
  </si>
  <si>
    <t>i</t>
  </si>
  <si>
    <r>
      <t>fn(Other</t>
    </r>
    <r>
      <rPr>
        <b/>
        <u/>
        <vertAlign val="subscript"/>
        <sz val="10"/>
        <rFont val="Arial"/>
        <family val="2"/>
      </rPr>
      <t xml:space="preserve"> i </t>
    </r>
    <r>
      <rPr>
        <b/>
        <u/>
        <sz val="10"/>
        <rFont val="Arial"/>
        <family val="2"/>
      </rPr>
      <t>)-fn(Test)</t>
    </r>
  </si>
  <si>
    <t>1st</t>
  </si>
  <si>
    <t>2nd</t>
  </si>
  <si>
    <t>3rd</t>
  </si>
  <si>
    <t>4th</t>
  </si>
  <si>
    <t>5th</t>
  </si>
  <si>
    <t>&lt;== Test Point ==&gt;</t>
  </si>
  <si>
    <r>
      <t xml:space="preserve">This is an example of how a spreadsheet can be set up to </t>
    </r>
    <r>
      <rPr>
        <b/>
        <sz val="10"/>
        <rFont val="Arial"/>
      </rPr>
      <t>calculate NPV and IRR</t>
    </r>
    <r>
      <rPr>
        <sz val="10"/>
        <rFont val="Arial"/>
      </rPr>
      <t>.  Use it to help set up your</t>
    </r>
  </si>
  <si>
    <t>Time (yrs)</t>
  </si>
  <si>
    <t>Amount</t>
  </si>
  <si>
    <t>PV</t>
  </si>
  <si>
    <t>APY=</t>
  </si>
  <si>
    <t>Notes:</t>
  </si>
  <si>
    <r>
      <t>For 5-10 transactions,</t>
    </r>
    <r>
      <rPr>
        <sz val="10"/>
        <rFont val="Arial"/>
      </rPr>
      <t xml:space="preserve"> just type </t>
    </r>
    <r>
      <rPr>
        <i/>
        <sz val="10"/>
        <rFont val="Arial"/>
      </rPr>
      <t>over</t>
    </r>
    <r>
      <rPr>
        <sz val="10"/>
        <rFont val="Arial"/>
      </rPr>
      <t xml:space="preserve"> the sample </t>
    </r>
  </si>
  <si>
    <t xml:space="preserve">   times and amounts for the first 5 transactions, add </t>
  </si>
  <si>
    <r>
      <t xml:space="preserve">  any </t>
    </r>
    <r>
      <rPr>
        <i/>
        <sz val="10"/>
        <rFont val="Arial"/>
      </rPr>
      <t xml:space="preserve">additional </t>
    </r>
    <r>
      <rPr>
        <sz val="10"/>
        <rFont val="Arial"/>
      </rPr>
      <t>times and amounts in columns A &amp; B,</t>
    </r>
  </si>
  <si>
    <r>
      <t xml:space="preserve">   and </t>
    </r>
    <r>
      <rPr>
        <i/>
        <sz val="10"/>
        <rFont val="Arial"/>
      </rPr>
      <t>copy</t>
    </r>
    <r>
      <rPr>
        <sz val="10"/>
        <rFont val="Arial"/>
      </rPr>
      <t xml:space="preserve"> the formula from C11 down column C </t>
    </r>
  </si>
  <si>
    <t xml:space="preserve">  as needed.</t>
  </si>
  <si>
    <r>
      <t>For 11 or more transactions,</t>
    </r>
    <r>
      <rPr>
        <sz val="10"/>
        <rFont val="Arial"/>
      </rPr>
      <t xml:space="preserve"> first highlight row 12</t>
    </r>
  </si>
  <si>
    <t xml:space="preserve">   (click on the 12) and insert the necessary number</t>
  </si>
  <si>
    <t xml:space="preserve">   of rows (e.g., for 14 transactions, insert 4 rows).</t>
  </si>
  <si>
    <t xml:space="preserve">   Copy the formula in C11 down as needed.</t>
  </si>
  <si>
    <r>
      <t>For 4 or fewer transactions,</t>
    </r>
    <r>
      <rPr>
        <sz val="10"/>
        <rFont val="Arial"/>
      </rPr>
      <t xml:space="preserve"> do as for 5-10, but </t>
    </r>
  </si>
  <si>
    <t>NPV=</t>
  </si>
  <si>
    <r>
      <t xml:space="preserve">   enter 0 (zero) for the "Amount" to </t>
    </r>
    <r>
      <rPr>
        <i/>
        <sz val="10"/>
        <rFont val="Arial"/>
      </rPr>
      <t>replace</t>
    </r>
    <r>
      <rPr>
        <sz val="10"/>
        <rFont val="Arial"/>
      </rPr>
      <t xml:space="preserve"> any values</t>
    </r>
  </si>
  <si>
    <t xml:space="preserve">    from the example that do not match your problem.</t>
  </si>
  <si>
    <r>
      <t>To calculate IRR:</t>
    </r>
    <r>
      <rPr>
        <sz val="10"/>
        <rFont val="Arial"/>
      </rPr>
      <t xml:space="preserve"> use Solver, with C17 as the Target Cell,  0 for the Value (click on Value), and F6 for the Changing Cell.</t>
    </r>
  </si>
  <si>
    <r>
      <t xml:space="preserve">This is an example of how a spreadsheet can be set up to </t>
    </r>
    <r>
      <rPr>
        <b/>
        <sz val="10"/>
        <rFont val="Arial"/>
      </rPr>
      <t>calculate SSE, TSS, SSR, and R^2</t>
    </r>
    <r>
      <rPr>
        <sz val="10"/>
        <rFont val="Arial"/>
      </rPr>
      <t xml:space="preserve">.  C8 has the formula for the </t>
    </r>
  </si>
  <si>
    <t xml:space="preserve"> "=AVERAGE(B8..B12)" .  F8 has the formula "=B8-$B$16" .  G8 has the formula "=F8^2" .  H8 has the formula "=C8-$B$16" .  </t>
  </si>
  <si>
    <t>I8 has the formula "=H8^2" .  C8..I8 were then copied to C8..I12.  E16 has the formula "=SUM(E8..E15)" .  G16 &amp; I16 are similar.</t>
  </si>
  <si>
    <t>yhat = f(x)</t>
  </si>
  <si>
    <t>y-yhat</t>
  </si>
  <si>
    <t>[y-yhat]^2</t>
  </si>
  <si>
    <t>y-ybar</t>
  </si>
  <si>
    <t>y-ybar^2</t>
  </si>
  <si>
    <t>yhat-ybar</t>
  </si>
  <si>
    <t>[yhat-ybar]^2</t>
  </si>
  <si>
    <t>ybar=ymean=</t>
  </si>
  <si>
    <t>SSE=</t>
  </si>
  <si>
    <t>TSS=</t>
  </si>
  <si>
    <t>SSR=</t>
  </si>
  <si>
    <t>R^2=SSR/TSS=</t>
  </si>
  <si>
    <r>
      <t>(</t>
    </r>
    <r>
      <rPr>
        <b/>
        <i/>
        <sz val="10"/>
        <rFont val="Arial"/>
      </rPr>
      <t>only</t>
    </r>
    <r>
      <rPr>
        <b/>
        <sz val="10"/>
        <rFont val="Arial"/>
      </rPr>
      <t xml:space="preserve"> valid if f(x) is the </t>
    </r>
    <r>
      <rPr>
        <b/>
        <i/>
        <sz val="10"/>
        <rFont val="Arial"/>
      </rPr>
      <t>least-squares</t>
    </r>
    <r>
      <rPr>
        <b/>
        <sz val="10"/>
        <rFont val="Arial"/>
      </rPr>
      <t xml:space="preserve"> model</t>
    </r>
    <r>
      <rPr>
        <sz val="10"/>
        <rFont val="Arial"/>
        <family val="2"/>
      </rPr>
      <t>)</t>
    </r>
  </si>
  <si>
    <t>SUMMARY OUTPUT</t>
  </si>
  <si>
    <t xml:space="preserve">Notes:  </t>
  </si>
  <si>
    <r>
      <t>For 4-8 data points,</t>
    </r>
    <r>
      <rPr>
        <sz val="10"/>
        <rFont val="Arial"/>
      </rPr>
      <t xml:space="preserve">  type over the old data (x and y); copy formulas as needed.</t>
    </r>
  </si>
  <si>
    <r>
      <t>For 9 or more data points,</t>
    </r>
    <r>
      <rPr>
        <sz val="10"/>
        <rFont val="Arial"/>
      </rPr>
      <t xml:space="preserve"> first highlight row 12 (click on 12) and insert rows </t>
    </r>
  </si>
  <si>
    <t>Regression Statistics</t>
  </si>
  <si>
    <t xml:space="preserve">   as needed.  Copy and paste the formulas from C11..I11 down as needed.</t>
  </si>
  <si>
    <t>Multiple R</t>
  </si>
  <si>
    <r>
      <t xml:space="preserve">For 3 or fewer data points, </t>
    </r>
    <r>
      <rPr>
        <sz val="10"/>
        <rFont val="Arial"/>
      </rPr>
      <t>first delete the required number of rows from the</t>
    </r>
  </si>
  <si>
    <t>R Square</t>
  </si>
  <si>
    <t xml:space="preserve">   bottom (starting with row 11), then type over the old data.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</si>
  <si>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</si>
  <si>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</si>
  <si>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</si>
  <si>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</si>
  <si>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</si>
  <si>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</si>
  <si>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</si>
  <si>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</si>
  <si>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</si>
  <si>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</si>
  <si>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</si>
  <si>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</si>
  <si>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</si>
  <si>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</si>
  <si>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</si>
  <si>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</si>
  <si>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</si>
  <si>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</si>
  <si>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</si>
  <si>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</si>
  <si>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</si>
  <si>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r>
      <t xml:space="preserve">This is an example of how a spreadsheet can be set up to </t>
    </r>
    <r>
      <rPr>
        <b/>
        <sz val="10"/>
        <rFont val="Arial"/>
      </rPr>
      <t>calculate the annual returns, the average (mean) return</t>
    </r>
  </si>
  <si>
    <r>
      <t xml:space="preserve">    </t>
    </r>
    <r>
      <rPr>
        <b/>
        <sz val="10"/>
        <rFont val="Arial"/>
      </rPr>
      <t>and the risk</t>
    </r>
    <r>
      <rPr>
        <sz val="10"/>
        <rFont val="Arial"/>
      </rPr>
      <t xml:space="preserve"> (</t>
    </r>
    <r>
      <rPr>
        <b/>
        <i/>
        <sz val="10"/>
        <rFont val="Arial"/>
      </rPr>
      <t>sample</t>
    </r>
    <r>
      <rPr>
        <b/>
        <sz val="10"/>
        <rFont val="Arial"/>
      </rPr>
      <t xml:space="preserve"> variance</t>
    </r>
    <r>
      <rPr>
        <sz val="10"/>
        <rFont val="Arial"/>
      </rPr>
      <t xml:space="preserve"> or standard deviation of the annual returns) </t>
    </r>
    <r>
      <rPr>
        <b/>
        <sz val="10"/>
        <rFont val="Arial"/>
      </rPr>
      <t xml:space="preserve">for an investment, given its annual value. </t>
    </r>
  </si>
  <si>
    <t xml:space="preserve">C10 contains the formula "=((B10-B9)/B9)*100" .  C20 contains the formula "=AVERAGE(C10..C18)" .  D10 contains the </t>
  </si>
  <si>
    <t xml:space="preserve">    formula "=C10-$C$20" .  E10 contains the formula "=D10^2" .  E19 contains the formula "=SUM(E10..E18)" .</t>
  </si>
  <si>
    <r>
      <t xml:space="preserve">C22 contains the formula "=COUNT(C10..C18)" .  E22 contains the formula "=$E$19/($C$22-1)" (for </t>
    </r>
    <r>
      <rPr>
        <i/>
        <sz val="10"/>
        <rFont val="Arial"/>
      </rPr>
      <t>sample</t>
    </r>
    <r>
      <rPr>
        <sz val="10"/>
        <rFont val="Arial"/>
      </rPr>
      <t xml:space="preserve"> variance).  </t>
    </r>
  </si>
  <si>
    <t>E23 contains the formula "=SQRT($E$22)" .</t>
  </si>
  <si>
    <t xml:space="preserve"> Use this sample to help set up your own spreadsheets for other examples.</t>
  </si>
  <si>
    <t>year</t>
  </si>
  <si>
    <t>value</t>
  </si>
  <si>
    <t xml:space="preserve"> y (as %)</t>
  </si>
  <si>
    <t>(y-ybar)^2</t>
  </si>
  <si>
    <t>in over the old values; copy formulas as needed.</t>
  </si>
  <si>
    <t xml:space="preserve">  </t>
  </si>
  <si>
    <t>Copy and paste formulas from C14..E14 down</t>
  </si>
  <si>
    <t>as needed.</t>
  </si>
  <si>
    <r>
      <t xml:space="preserve">           </t>
    </r>
    <r>
      <rPr>
        <b/>
        <sz val="10"/>
        <rFont val="Arial"/>
      </rPr>
      <t>For 5 or fewer years,</t>
    </r>
    <r>
      <rPr>
        <sz val="10"/>
        <rFont val="Arial"/>
      </rPr>
      <t xml:space="preserve"> delete the necessary number of</t>
    </r>
  </si>
  <si>
    <t xml:space="preserve">rows from the sample (e.g., for 4 years, delete </t>
  </si>
  <si>
    <t>rows 13 and 14), then type over the old values.</t>
  </si>
  <si>
    <t>To delete highlighted rows, use Edit, Delete.</t>
  </si>
  <si>
    <t>sum=</t>
  </si>
  <si>
    <t>ybar=avg return=</t>
  </si>
  <si>
    <t>n=</t>
  </si>
  <si>
    <t>S^2=</t>
  </si>
  <si>
    <r>
      <t xml:space="preserve">   Note: </t>
    </r>
    <r>
      <rPr>
        <b/>
        <sz val="10"/>
        <rFont val="Arial"/>
      </rPr>
      <t xml:space="preserve">On a risk/return graph, use S^2 for x and ybar for y </t>
    </r>
  </si>
  <si>
    <t>S=</t>
  </si>
  <si>
    <r>
      <t xml:space="preserve">for the </t>
    </r>
    <r>
      <rPr>
        <b/>
        <i/>
        <sz val="10"/>
        <rFont val="Arial"/>
      </rPr>
      <t>single point</t>
    </r>
    <r>
      <rPr>
        <b/>
        <sz val="10"/>
        <rFont val="Arial"/>
      </rPr>
      <t xml:space="preserve"> representing this investment.</t>
    </r>
  </si>
  <si>
    <t>Formula</t>
  </si>
  <si>
    <t>Cost</t>
  </si>
  <si>
    <t>Min</t>
  </si>
  <si>
    <t>Target Cell (Min)</t>
  </si>
  <si>
    <t>Cell</t>
  </si>
  <si>
    <t>Name</t>
  </si>
  <si>
    <t>Original Value</t>
  </si>
  <si>
    <t>Final Value</t>
  </si>
  <si>
    <t>Adjustable Cells</t>
  </si>
  <si>
    <t>Constraints</t>
  </si>
  <si>
    <t>Cell Value</t>
  </si>
  <si>
    <t>Status</t>
  </si>
  <si>
    <t>Slack</t>
  </si>
  <si>
    <t>Not Binding</t>
  </si>
  <si>
    <t>Binding</t>
  </si>
  <si>
    <t>Final</t>
  </si>
  <si>
    <t>Reduced</t>
  </si>
  <si>
    <t>Value</t>
  </si>
  <si>
    <t>Gradient</t>
  </si>
  <si>
    <t>Lagrange</t>
  </si>
  <si>
    <t>Multiplier</t>
  </si>
  <si>
    <t>Target</t>
  </si>
  <si>
    <t>Adjustable</t>
  </si>
  <si>
    <t>Lower</t>
  </si>
  <si>
    <t>Upper</t>
  </si>
  <si>
    <t>Limit</t>
  </si>
  <si>
    <t>Result</t>
  </si>
  <si>
    <t>Objective</t>
  </si>
  <si>
    <t>Allowable</t>
  </si>
  <si>
    <t>Coefficient</t>
  </si>
  <si>
    <t>Increase</t>
  </si>
  <si>
    <t>Decrease</t>
  </si>
  <si>
    <t>Shadow</t>
  </si>
  <si>
    <t>Constraint</t>
  </si>
  <si>
    <t>Price</t>
  </si>
  <si>
    <t>R.H. Side</t>
  </si>
  <si>
    <t>K</t>
  </si>
  <si>
    <r>
      <t>Fitting a Logistic Model to Data: Advanced Version</t>
    </r>
    <r>
      <rPr>
        <sz val="10"/>
        <rFont val="Arial"/>
        <family val="2"/>
      </rPr>
      <t xml:space="preserve"> [Note: highlight the old data and hit Delete before entering new data]</t>
    </r>
  </si>
  <si>
    <t>Data (x)</t>
  </si>
  <si>
    <t>Data (y)</t>
  </si>
  <si>
    <t>1's</t>
  </si>
  <si>
    <t>Model</t>
  </si>
  <si>
    <t>y-Model</t>
  </si>
  <si>
    <t>SSE</t>
  </si>
  <si>
    <t>L</t>
  </si>
  <si>
    <t>A</t>
  </si>
  <si>
    <t>B</t>
  </si>
  <si>
    <t>Min x</t>
  </si>
  <si>
    <t>Model y</t>
  </si>
  <si>
    <t>Max x</t>
  </si>
  <si>
    <t>Increment</t>
  </si>
  <si>
    <r>
      <t>5.</t>
    </r>
    <r>
      <rPr>
        <sz val="10"/>
        <rFont val="Arial"/>
        <family val="2"/>
      </rPr>
      <t xml:space="preserve">  If you want, you can use trial and error with different values of L, A, and B to find a better solution, since Solver doesn't guarantee the best.</t>
    </r>
  </si>
  <si>
    <r>
      <t>Error</t>
    </r>
    <r>
      <rPr>
        <vertAlign val="superscript"/>
        <sz val="10"/>
        <rFont val="Arial"/>
        <family val="2"/>
      </rPr>
      <t>2</t>
    </r>
  </si>
  <si>
    <r>
      <t xml:space="preserve">Graphing a 3D Surface (z=f(x,y))  </t>
    </r>
    <r>
      <rPr>
        <sz val="10"/>
        <rFont val="Arial"/>
        <family val="2"/>
      </rPr>
      <t xml:space="preserve">(Note: </t>
    </r>
    <r>
      <rPr>
        <i/>
        <sz val="10"/>
        <rFont val="Arial"/>
      </rPr>
      <t xml:space="preserve">only </t>
    </r>
    <r>
      <rPr>
        <sz val="10"/>
        <rFont val="Arial"/>
        <family val="2"/>
      </rPr>
      <t>change the</t>
    </r>
    <r>
      <rPr>
        <i/>
        <sz val="10"/>
        <rFont val="Arial"/>
      </rPr>
      <t xml:space="preserve"> yellow </t>
    </r>
    <r>
      <rPr>
        <sz val="10"/>
        <rFont val="Arial"/>
        <family val="2"/>
      </rPr>
      <t>cells!)</t>
    </r>
  </si>
  <si>
    <t>y:             \</t>
  </si>
  <si>
    <t>1st var:</t>
  </si>
  <si>
    <t>2nd var:</t>
  </si>
  <si>
    <t>Test Point ==&gt;</t>
  </si>
  <si>
    <t>own spreadsheets for other examples.  C7 contains the formula "=B7/(1+$F$6)^A7" .  It was then copied to C8..C11.</t>
  </si>
  <si>
    <t xml:space="preserve">C17 contains the formula "=SUM(C7..C16)" .  This setup allows for more transactions if desired.  If you are not </t>
  </si>
  <si>
    <t>given the APY, you can do the calculation in cell F6 directly, such as "=EXP(.05)-1" for 5% compounded continuously.</t>
  </si>
  <si>
    <r>
      <t>To calculate NPV:</t>
    </r>
    <r>
      <rPr>
        <sz val="10"/>
        <rFont val="Arial"/>
      </rPr>
      <t xml:space="preserve"> enter the transaction times in A7, A8, etc., the corresponding transaction dollar amounts in B7, B8, etc.,  </t>
    </r>
  </si>
  <si>
    <t xml:space="preserve">          </t>
  </si>
  <si>
    <r>
      <t xml:space="preserve">       For 6-10 years</t>
    </r>
    <r>
      <rPr>
        <sz val="10"/>
        <rFont val="Arial"/>
      </rPr>
      <t xml:space="preserve">, just type the years and values </t>
    </r>
  </si>
  <si>
    <r>
      <t xml:space="preserve">Notes:  </t>
    </r>
    <r>
      <rPr>
        <b/>
        <sz val="10"/>
        <rFont val="Arial"/>
        <family val="2"/>
      </rPr>
      <t>For 11 or more years of data,</t>
    </r>
    <r>
      <rPr>
        <sz val="10"/>
        <rFont val="Arial"/>
      </rPr>
      <t xml:space="preserve"> first highlight row 15 </t>
    </r>
  </si>
  <si>
    <t>(click on the 15), and insert the needed number of rows.</t>
  </si>
  <si>
    <r>
      <t>1.</t>
    </r>
    <r>
      <rPr>
        <sz val="10"/>
        <rFont val="Arial"/>
        <family val="2"/>
      </rPr>
      <t xml:space="preserve"> In A10, enter "C14=", followed by the function formula, using G14 for the 1st variable, H14 for the 2nd variable, etc., then hit Enter.</t>
    </r>
  </si>
  <si>
    <r>
      <t>6.</t>
    </r>
    <r>
      <rPr>
        <sz val="10"/>
        <rFont val="Arial"/>
      </rPr>
      <t xml:space="preserve"> Enter the increments (local:small, global:large) for: the 1st variable in G12, the 2nd variable in H12, etc. .  For testing global optimality,</t>
    </r>
  </si>
  <si>
    <t xml:space="preserve">  before continuing with the directions below.</t>
  </si>
  <si>
    <r>
      <t xml:space="preserve">To use the Randomized Test Template to </t>
    </r>
    <r>
      <rPr>
        <b/>
        <i/>
        <sz val="10"/>
        <rFont val="Arial"/>
      </rPr>
      <t>search</t>
    </r>
    <r>
      <rPr>
        <b/>
        <sz val="10"/>
        <rFont val="Arial"/>
      </rPr>
      <t xml:space="preserve"> for a precise optimum,</t>
    </r>
    <r>
      <rPr>
        <sz val="10"/>
        <rFont val="Arial"/>
      </rPr>
      <t xml:space="preserve"> copy the best solution value cells and use Paste </t>
    </r>
  </si>
  <si>
    <t>Special... (under Edit) and click on Values and OK to paste them in as the new test point.</t>
  </si>
  <si>
    <r>
      <t xml:space="preserve">You can also </t>
    </r>
    <r>
      <rPr>
        <b/>
        <sz val="10"/>
        <rFont val="Arial"/>
      </rPr>
      <t>use the Randomized Test Template to do a trial &amp; error search for an optimum</t>
    </r>
    <r>
      <rPr>
        <sz val="10"/>
        <rFont val="Arial"/>
      </rPr>
      <t>.  Simply highlight and</t>
    </r>
  </si>
  <si>
    <t>Remember: always</t>
  </si>
  <si>
    <t>make a copy</t>
  </si>
  <si>
    <t>first!</t>
  </si>
  <si>
    <r>
      <t xml:space="preserve">           Remember to always </t>
    </r>
    <r>
      <rPr>
        <b/>
        <sz val="10"/>
        <rFont val="Arial"/>
        <family val="2"/>
      </rPr>
      <t>make a copy first!</t>
    </r>
  </si>
  <si>
    <r>
      <t xml:space="preserve">Remember to always </t>
    </r>
    <r>
      <rPr>
        <b/>
        <sz val="10"/>
        <rFont val="Arial"/>
        <family val="2"/>
      </rPr>
      <t>make a copy first!</t>
    </r>
  </si>
  <si>
    <r>
      <t>7.</t>
    </r>
    <r>
      <rPr>
        <sz val="10"/>
        <rFont val="Arial"/>
        <family val="2"/>
      </rPr>
      <t xml:space="preserve"> If there are values with </t>
    </r>
    <r>
      <rPr>
        <i/>
        <sz val="10"/>
        <rFont val="Arial"/>
      </rPr>
      <t>different signs</t>
    </r>
    <r>
      <rPr>
        <sz val="10"/>
        <rFont val="Arial"/>
        <family val="2"/>
      </rPr>
      <t xml:space="preserve"> in D15:D23, the test point is </t>
    </r>
    <r>
      <rPr>
        <i/>
        <sz val="10"/>
        <rFont val="Arial"/>
      </rPr>
      <t>not</t>
    </r>
    <r>
      <rPr>
        <sz val="10"/>
        <rFont val="Arial"/>
        <family val="2"/>
      </rPr>
      <t xml:space="preserve"> an unconstrained global optimum.  </t>
    </r>
    <r>
      <rPr>
        <b/>
        <sz val="10"/>
        <rFont val="Arial"/>
        <family val="2"/>
      </rPr>
      <t>8.</t>
    </r>
    <r>
      <rPr>
        <sz val="10"/>
        <rFont val="Arial"/>
        <family val="2"/>
      </rPr>
      <t xml:space="preserve"> To see a different group</t>
    </r>
  </si>
  <si>
    <r>
      <t xml:space="preserve">If you want </t>
    </r>
    <r>
      <rPr>
        <b/>
        <sz val="10"/>
        <rFont val="Arial"/>
      </rPr>
      <t>to display the names of your variables and function in 3DGraph</t>
    </r>
    <r>
      <rPr>
        <sz val="10"/>
        <rFont val="Arial"/>
      </rPr>
      <t xml:space="preserve">,  edit the x, y, and z on the axis names to reflect the </t>
    </r>
  </si>
  <si>
    <r>
      <t xml:space="preserve">Remember to </t>
    </r>
    <r>
      <rPr>
        <b/>
        <sz val="10"/>
        <rFont val="Arial"/>
        <family val="2"/>
      </rPr>
      <t>make a copy first!</t>
    </r>
  </si>
  <si>
    <t>Optimization Notes</t>
  </si>
  <si>
    <r>
      <t xml:space="preserve">The Preliminary Edition of </t>
    </r>
    <r>
      <rPr>
        <i/>
        <sz val="10"/>
        <rFont val="Arial"/>
        <family val="2"/>
      </rPr>
      <t>Mathemtaical Connections</t>
    </r>
    <r>
      <rPr>
        <sz val="10"/>
        <rFont val="Arial"/>
      </rPr>
      <t xml:space="preserve"> uses an </t>
    </r>
    <r>
      <rPr>
        <b/>
        <sz val="10"/>
        <rFont val="Arial"/>
        <family val="2"/>
      </rPr>
      <t>earlier version</t>
    </r>
    <r>
      <rPr>
        <sz val="10"/>
        <rFont val="Arial"/>
      </rPr>
      <t xml:space="preserve"> of the Test Templates, so some of the cell names are</t>
    </r>
  </si>
  <si>
    <r>
      <t>0.</t>
    </r>
    <r>
      <rPr>
        <sz val="10"/>
        <rFont val="Arial"/>
        <family val="2"/>
      </rPr>
      <t xml:space="preserve">  Make sure you have made a </t>
    </r>
    <r>
      <rPr>
        <b/>
        <sz val="10"/>
        <rFont val="Arial"/>
        <family val="2"/>
      </rPr>
      <t>copy</t>
    </r>
    <r>
      <rPr>
        <sz val="10"/>
        <rFont val="Arial"/>
        <family val="2"/>
      </rPr>
      <t xml:space="preserve"> of the v2TmpSmp </t>
    </r>
    <r>
      <rPr>
        <b/>
        <sz val="10"/>
        <rFont val="Arial"/>
        <family val="2"/>
      </rPr>
      <t>file</t>
    </r>
    <r>
      <rPr>
        <sz val="10"/>
        <rFont val="Arial"/>
        <family val="2"/>
      </rPr>
      <t xml:space="preserve"> and renamed it,</t>
    </r>
  </si>
  <si>
    <r>
      <t xml:space="preserve">  </t>
    </r>
    <r>
      <rPr>
        <b/>
        <sz val="10"/>
        <rFont val="Arial"/>
        <family val="2"/>
      </rPr>
      <t>and</t>
    </r>
    <r>
      <rPr>
        <sz val="10"/>
        <rFont val="Arial"/>
        <family val="2"/>
      </rPr>
      <t xml:space="preserve"> have made a copy of this </t>
    </r>
    <r>
      <rPr>
        <b/>
        <sz val="10"/>
        <rFont val="Arial"/>
        <family val="2"/>
      </rPr>
      <t>worksheet</t>
    </r>
    <r>
      <rPr>
        <sz val="10"/>
        <rFont val="Arial"/>
        <family val="2"/>
      </rPr>
      <t xml:space="preserve"> (see the Comments sheet) first,</t>
    </r>
  </si>
  <si>
    <r>
      <t>3.</t>
    </r>
    <r>
      <rPr>
        <sz val="10"/>
        <rFont val="Arial"/>
      </rPr>
      <t xml:space="preserve"> Copy B22 to B28, then edit B28 by deleting the "B28" </t>
    </r>
    <r>
      <rPr>
        <b/>
        <sz val="10"/>
        <rFont val="Arial"/>
      </rPr>
      <t/>
    </r>
  </si>
  <si>
    <t>[don't try to change these increments!]</t>
  </si>
  <si>
    <t>(they are calculated automatically)</t>
  </si>
  <si>
    <t>For example, you could name it "v2S84HW" for "Volume 2, Section 8.4 Homework".</t>
  </si>
  <si>
    <t>If you can't see what you want on your screen, change it, for example, to 60% (edit the value on the Toolbar, or select View and Zoom...).</t>
  </si>
  <si>
    <r>
      <t>1.</t>
    </r>
    <r>
      <rPr>
        <sz val="10"/>
        <rFont val="Arial"/>
      </rPr>
      <t xml:space="preserve"> In B22, enter "B28=", followed by the function, using b$27 for x (or whatever</t>
    </r>
  </si>
  <si>
    <t xml:space="preserve">   you call your 1st variable) and $a28 for y (your 2nd var.), and hit Enter.</t>
  </si>
  <si>
    <r>
      <t>2.</t>
    </r>
    <r>
      <rPr>
        <sz val="10"/>
        <rFont val="Arial"/>
      </rPr>
      <t xml:space="preserve"> Enter the lower bound of x in B23, the upper bound of x in D23,  the lower</t>
    </r>
  </si>
  <si>
    <t xml:space="preserve">  (everything before the "="), and press Enter.  </t>
  </si>
  <si>
    <t xml:space="preserve">  the frame so that black squares appear in the corners.  Drag the black square on </t>
  </si>
  <si>
    <t xml:space="preserve">  any edge to move it in either direction.  You can also Copy and Paste the graph </t>
  </si>
  <si>
    <t xml:space="preserve">  somewhere else, or drag it to move it around on a worksheet (with the cursor </t>
  </si>
  <si>
    <t xml:space="preserve">  graph grid, so that highlighting squares appear at all of the corners.  Drag any </t>
  </si>
  <si>
    <r>
      <t xml:space="preserve">  near an edge of the frame). When </t>
    </r>
    <r>
      <rPr>
        <b/>
        <sz val="10"/>
        <rFont val="Arial"/>
        <family val="2"/>
      </rPr>
      <t>printing</t>
    </r>
    <r>
      <rPr>
        <sz val="10"/>
        <rFont val="Arial"/>
      </rPr>
      <t>, drag the graph over these directions</t>
    </r>
  </si>
  <si>
    <r>
      <t>5.</t>
    </r>
    <r>
      <rPr>
        <sz val="10"/>
        <rFont val="Arial"/>
      </rPr>
      <t xml:space="preserve"> The 3-D graph should appear at right.  </t>
    </r>
    <r>
      <rPr>
        <b/>
        <sz val="10"/>
        <rFont val="Arial"/>
        <family val="2"/>
      </rPr>
      <t>To enlarge</t>
    </r>
    <r>
      <rPr>
        <sz val="10"/>
        <rFont val="Arial"/>
      </rPr>
      <t xml:space="preserve"> the graph, click just inside  </t>
    </r>
  </si>
  <si>
    <r>
      <t>5.</t>
    </r>
    <r>
      <rPr>
        <sz val="10"/>
        <rFont val="Arial"/>
      </rPr>
      <t xml:space="preserve"> To enter the test point, enter the 1st variable value in G14, the 2nd variable value in H14, etc. (if possible, </t>
    </r>
    <r>
      <rPr>
        <b/>
        <sz val="10"/>
        <rFont val="Arial"/>
        <family val="2"/>
      </rPr>
      <t>use Solver</t>
    </r>
    <r>
      <rPr>
        <sz val="10"/>
        <rFont val="Arial"/>
      </rPr>
      <t xml:space="preserve"> to get it there). </t>
    </r>
  </si>
  <si>
    <t xml:space="preserve">Randomized Testing of Any Multivariable Function for Probable Local and/or Global Optimality </t>
  </si>
  <si>
    <t>delete the Other Point values (in rows 15-23 of columns G, H, etc.), and type in your own Other Point values.</t>
  </si>
  <si>
    <t>desired  variable names (for the domain and increments).  Click on each name and then edit it.  You can also change the names of</t>
  </si>
  <si>
    <r>
      <t>change columns A..C (</t>
    </r>
    <r>
      <rPr>
        <b/>
        <sz val="10"/>
        <rFont val="Arial"/>
        <family val="2"/>
      </rPr>
      <t>enter the new model in column C</t>
    </r>
    <r>
      <rPr>
        <sz val="10"/>
        <rFont val="Arial"/>
        <family val="2"/>
      </rPr>
      <t xml:space="preserve">).  </t>
    </r>
    <r>
      <rPr>
        <i/>
        <sz val="10"/>
        <rFont val="Arial"/>
      </rPr>
      <t>Warning:</t>
    </r>
    <r>
      <rPr>
        <sz val="10"/>
        <rFont val="Arial"/>
      </rPr>
      <t xml:space="preserve"> Putting new regression output in A19 overwrites the notes below.  </t>
    </r>
  </si>
  <si>
    <t>model, f(x), using A8 for x.  D8 has the formula "=B8-C8" .  E8 has the formula "=D8^2" .  B16 has the formula</t>
  </si>
  <si>
    <r>
      <t>[</t>
    </r>
    <r>
      <rPr>
        <b/>
        <i/>
        <sz val="10"/>
        <rFont val="Arial"/>
        <family val="2"/>
      </rPr>
      <t>Note:</t>
    </r>
    <r>
      <rPr>
        <b/>
        <sz val="10"/>
        <rFont val="Arial"/>
        <family val="2"/>
      </rPr>
      <t xml:space="preserve"> For </t>
    </r>
    <r>
      <rPr>
        <b/>
        <i/>
        <sz val="10"/>
        <rFont val="Arial"/>
        <family val="2"/>
      </rPr>
      <t>original</t>
    </r>
    <r>
      <rPr>
        <b/>
        <sz val="10"/>
        <rFont val="Arial"/>
        <family val="2"/>
      </rPr>
      <t xml:space="preserve"> example only!]</t>
    </r>
  </si>
  <si>
    <t>Microsoft Excel 8.0a Answer Report</t>
  </si>
  <si>
    <t>$C$14</t>
  </si>
  <si>
    <t>$G$14</t>
  </si>
  <si>
    <t>&lt;== Test Point ==&gt; K</t>
  </si>
  <si>
    <t>$H$14</t>
  </si>
  <si>
    <t>&lt;== Test Point ==&gt; R</t>
  </si>
  <si>
    <t>$I$14</t>
  </si>
  <si>
    <t>&lt;== Test Point ==&gt; K+7R</t>
  </si>
  <si>
    <t>$J$14</t>
  </si>
  <si>
    <t>&lt;== Test Point ==&gt; 150K+210R</t>
  </si>
  <si>
    <t>$J$14&lt;=350</t>
  </si>
  <si>
    <t>$K$14</t>
  </si>
  <si>
    <t>&lt;== Test Point ==&gt; 6K+4R</t>
  </si>
  <si>
    <t>$K$14&gt;=9</t>
  </si>
  <si>
    <t>$H$14&lt;=2</t>
  </si>
  <si>
    <t>R = (9-6K)/4</t>
  </si>
  <si>
    <t>different, but the basic concepts are exactly the same (see Sections 8.4, 9.1, and 9.4 especially).</t>
  </si>
  <si>
    <t>&gt;= 5</t>
  </si>
  <si>
    <t>$I$14&gt;=5</t>
  </si>
  <si>
    <t>Microsoft Excel 8.0a Sensitivity Report</t>
  </si>
  <si>
    <t>Microsoft Excel 8.0a Limits Report</t>
  </si>
  <si>
    <t>$G$14&gt;=0</t>
  </si>
  <si>
    <t>$H$14&gt;=0</t>
  </si>
  <si>
    <t>&lt;== Test Point ==&gt; R = (9-6K)/4</t>
  </si>
  <si>
    <t>l</t>
  </si>
  <si>
    <t>w</t>
  </si>
  <si>
    <t>h</t>
  </si>
  <si>
    <t>l+w+h</t>
  </si>
  <si>
    <t>&lt;= 50</t>
  </si>
  <si>
    <t>0 &lt;= l &lt;= 26</t>
  </si>
  <si>
    <t>0 &lt;= w &lt;= 24</t>
  </si>
  <si>
    <t>0 &lt;= h &lt;= 10</t>
  </si>
  <si>
    <t>C14=g14*h14*i14</t>
  </si>
  <si>
    <t>Target Cell (Max)</t>
  </si>
  <si>
    <t>&lt;== Test Point ==&gt; l</t>
  </si>
  <si>
    <t>&lt;== Test Point ==&gt; w</t>
  </si>
  <si>
    <t>&lt;== Test Point ==&gt; h</t>
  </si>
  <si>
    <t>&lt;== Test Point ==&gt; l+w+h</t>
  </si>
  <si>
    <t>$J$14&lt;=50</t>
  </si>
  <si>
    <t>$G$14&lt;=26</t>
  </si>
  <si>
    <t>$H$14&lt;=24</t>
  </si>
  <si>
    <t>$I$14&lt;=10</t>
  </si>
  <si>
    <t xml:space="preserve"> In row 11, we put the inequality signs and the RHS's of the constraints (and Min for the objective function in col. C).  Then we used</t>
  </si>
  <si>
    <t>Solver on the Randomized Test Template as usual (c14 for the Target Cell, G14:H14 as the Changing Cells), but added the constraints</t>
  </si>
  <si>
    <r>
      <t xml:space="preserve">Notice that the increments have been chosen to cover </t>
    </r>
    <r>
      <rPr>
        <i/>
        <sz val="10"/>
        <rFont val="Arial"/>
        <family val="2"/>
      </rPr>
      <t>all</t>
    </r>
    <r>
      <rPr>
        <sz val="10"/>
        <rFont val="Arial"/>
      </rPr>
      <t xml:space="preserve"> of the feasible region (and more), and that to test the solution, you can see</t>
    </r>
  </si>
  <si>
    <r>
      <t xml:space="preserve">that the </t>
    </r>
    <r>
      <rPr>
        <i/>
        <sz val="10"/>
        <rFont val="Arial"/>
        <family val="2"/>
      </rPr>
      <t>only</t>
    </r>
    <r>
      <rPr>
        <sz val="10"/>
        <rFont val="Arial"/>
      </rPr>
      <t xml:space="preserve"> solutions that have </t>
    </r>
    <r>
      <rPr>
        <i/>
        <sz val="10"/>
        <rFont val="Arial"/>
        <family val="2"/>
      </rPr>
      <t>better</t>
    </r>
    <r>
      <rPr>
        <sz val="10"/>
        <rFont val="Arial"/>
      </rPr>
      <t xml:space="preserve"> objective function values (negative numbers in the blue column) violate at least one of the</t>
    </r>
  </si>
  <si>
    <t xml:space="preserve">constraints (usually the last one).  For the = Constraint Example, we did mostly the same steps, but we had to solve the = constraint </t>
  </si>
  <si>
    <t xml:space="preserve">(6K+4R=9) for one of the variables.  We solved it for R ( R=(9-6K)/4 ), entered this into h13, entered  =(9-6*g14)/4  into h14, and copied </t>
  </si>
  <si>
    <r>
      <t xml:space="preserve">For constrained nonlinear optimization, see the Nonlin. 3-Var. Constrained Ex.  </t>
    </r>
    <r>
      <rPr>
        <sz val="10"/>
        <rFont val="Arial"/>
        <family val="2"/>
      </rPr>
      <t xml:space="preserve">This is the optimal carry-on luggage problem </t>
    </r>
  </si>
  <si>
    <r>
      <t>Another example of nonlinear optimization</t>
    </r>
    <r>
      <rPr>
        <sz val="10"/>
        <rFont val="Arial"/>
        <family val="2"/>
      </rPr>
      <t xml:space="preserve"> is the Advanced Logistic Regression sheet, where the nonlinear SSE function of the</t>
    </r>
  </si>
  <si>
    <t xml:space="preserve"> parameters L, A, and B is minimized.  In this example, the process to find the function is extremely complicated, because the</t>
  </si>
  <si>
    <t>B28=-93.1+.260*b$27+.146*$a28-.0000944*b$27^2+.0000410*b$27*$a28-.00196*$a28^2</t>
  </si>
  <si>
    <t>C14=-93.1+.260*g14+.146*h14-.0000944*g14^2+.0000410*g14*h14-.00196*h14^2</t>
  </si>
  <si>
    <t xml:space="preserve"> number of data points can vary.  This means the Randomized Test Template cannot be used directly.  The Randomized Test Template</t>
  </si>
  <si>
    <r>
      <t xml:space="preserve">All of the files except the comment sheets are </t>
    </r>
    <r>
      <rPr>
        <b/>
        <sz val="10"/>
        <rFont val="Arial"/>
      </rPr>
      <t>unprotected</t>
    </r>
    <r>
      <rPr>
        <sz val="10"/>
        <rFont val="Arial"/>
      </rPr>
      <t xml:space="preserve">, </t>
    </r>
    <r>
      <rPr>
        <b/>
        <sz val="10"/>
        <rFont val="Arial"/>
      </rPr>
      <t>and can be used as templates</t>
    </r>
    <r>
      <rPr>
        <sz val="10"/>
        <rFont val="Arial"/>
      </rPr>
      <t xml:space="preserve"> or to help you create </t>
    </r>
  </si>
  <si>
    <t>&lt;== Goals ==&gt;</t>
  </si>
  <si>
    <t>Variables/Formulas ==&gt;</t>
  </si>
  <si>
    <t>fn:</t>
  </si>
  <si>
    <t>Max</t>
  </si>
  <si>
    <r>
      <t>For the latest (updated) version of this file (or a new clean copy)</t>
    </r>
    <r>
      <rPr>
        <sz val="10"/>
        <rFont val="Arial"/>
        <family val="2"/>
      </rPr>
      <t xml:space="preserve">, go to www.math.villanova.edu/connections , click on the link to </t>
    </r>
  </si>
  <si>
    <r>
      <t>"</t>
    </r>
    <r>
      <rPr>
        <i/>
        <sz val="10"/>
        <rFont val="Arial"/>
        <family val="2"/>
      </rPr>
      <t>Excel Files: Calculus Demos, Templates, and Samples</t>
    </r>
    <r>
      <rPr>
        <sz val="10"/>
        <rFont val="Arial"/>
      </rPr>
      <t>", and click on "V2TmpSmp.xls" .</t>
    </r>
  </si>
  <si>
    <r>
      <t xml:space="preserve">Math Connections: Real world Problem Solving Using Math Models, Calculus, and Technology for Business and Everyday Life </t>
    </r>
    <r>
      <rPr>
        <sz val="10"/>
        <rFont val="Arial"/>
        <family val="2"/>
      </rPr>
      <t>(Volume 2: Multivariable Problem Solving)</t>
    </r>
  </si>
  <si>
    <t>by Audrey Borchardt and Bruce Pollack-Johnson</t>
  </si>
  <si>
    <t>is published by Pearson Custom Publishing (Second Edition, copyright 2004).  For desk copies or orders,</t>
  </si>
  <si>
    <r>
      <t>This file is referred to in our Technology Supplement as "</t>
    </r>
    <r>
      <rPr>
        <b/>
        <sz val="10"/>
        <rFont val="Arial"/>
        <family val="2"/>
      </rPr>
      <t>V2TmpSmp</t>
    </r>
    <r>
      <rPr>
        <sz val="10"/>
        <rFont val="Arial"/>
      </rPr>
      <t>".  If you downloaded it off of the Web site given below, and it had a</t>
    </r>
  </si>
  <si>
    <t>different name, we suggest you rename your orignal copy V2TmpSmp .</t>
  </si>
  <si>
    <r>
      <t xml:space="preserve">Cells that are colored </t>
    </r>
    <r>
      <rPr>
        <b/>
        <i/>
        <sz val="10"/>
        <rFont val="Arial"/>
      </rPr>
      <t>yellow</t>
    </r>
    <r>
      <rPr>
        <sz val="10"/>
        <rFont val="Arial"/>
        <family val="2"/>
      </rPr>
      <t xml:space="preserve"> are for you </t>
    </r>
    <r>
      <rPr>
        <b/>
        <sz val="10"/>
        <rFont val="Arial"/>
      </rPr>
      <t>to enter</t>
    </r>
    <r>
      <rPr>
        <sz val="10"/>
        <rFont val="Arial"/>
        <family val="2"/>
      </rPr>
      <t xml:space="preserve"> (or change)</t>
    </r>
    <r>
      <rPr>
        <sz val="10"/>
        <rFont val="Arial"/>
        <family val="2"/>
      </rPr>
      <t xml:space="preserve"> information; </t>
    </r>
    <r>
      <rPr>
        <b/>
        <i/>
        <sz val="10"/>
        <rFont val="Arial"/>
      </rPr>
      <t>blue</t>
    </r>
    <r>
      <rPr>
        <sz val="10"/>
        <rFont val="Arial"/>
        <family val="2"/>
      </rPr>
      <t xml:space="preserve"> cells </t>
    </r>
    <r>
      <rPr>
        <b/>
        <sz val="10"/>
        <rFont val="Arial"/>
      </rPr>
      <t>show results</t>
    </r>
    <r>
      <rPr>
        <sz val="10"/>
        <rFont val="Arial"/>
        <family val="2"/>
      </rPr>
      <t xml:space="preserve"> (</t>
    </r>
    <r>
      <rPr>
        <b/>
        <sz val="10"/>
        <rFont val="Arial"/>
        <family val="2"/>
      </rPr>
      <t>green</t>
    </r>
    <r>
      <rPr>
        <sz val="10"/>
        <rFont val="Arial"/>
        <family val="2"/>
      </rPr>
      <t xml:space="preserve"> can be </t>
    </r>
    <r>
      <rPr>
        <b/>
        <sz val="10"/>
        <rFont val="Arial"/>
        <family val="2"/>
      </rPr>
      <t>either</t>
    </r>
    <r>
      <rPr>
        <sz val="10"/>
        <rFont val="Arial"/>
        <family val="2"/>
      </rPr>
      <t>)</t>
    </r>
    <r>
      <rPr>
        <sz val="10"/>
        <rFont val="Arial"/>
        <family val="2"/>
      </rPr>
      <t>.</t>
    </r>
  </si>
  <si>
    <t>Sometimes, you enter a formula in one cell, but it's likely to spill onto later cells - we've colored them yellow too.</t>
  </si>
  <si>
    <t xml:space="preserve">  and print A1..i29.  To change the viewing angle, click on one of the corners of the </t>
  </si>
  <si>
    <r>
      <t xml:space="preserve">  bound of y in B24, and the upper bound of y in D24 (</t>
    </r>
    <r>
      <rPr>
        <b/>
        <sz val="10"/>
        <rFont val="Arial"/>
        <family val="2"/>
      </rPr>
      <t>don't change i23 or</t>
    </r>
  </si>
  <si>
    <r>
      <t xml:space="preserve">  </t>
    </r>
    <r>
      <rPr>
        <b/>
        <sz val="10"/>
        <rFont val="Arial"/>
        <family val="2"/>
      </rPr>
      <t>i24</t>
    </r>
    <r>
      <rPr>
        <sz val="10"/>
        <rFont val="Arial"/>
      </rPr>
      <t xml:space="preserve">; the increments are calculated </t>
    </r>
    <r>
      <rPr>
        <b/>
        <i/>
        <sz val="10"/>
        <rFont val="Arial"/>
        <family val="2"/>
      </rPr>
      <t>automatically</t>
    </r>
    <r>
      <rPr>
        <sz val="10"/>
        <rFont val="Arial"/>
      </rPr>
      <t>, for n=50).</t>
    </r>
  </si>
  <si>
    <r>
      <t>To enable the macros</t>
    </r>
    <r>
      <rPr>
        <sz val="10"/>
        <rFont val="Arial"/>
        <family val="2"/>
      </rPr>
      <t xml:space="preserve"> (if they don't work when you try to use them)</t>
    </r>
    <r>
      <rPr>
        <sz val="10"/>
        <rFont val="Arial"/>
      </rPr>
      <t xml:space="preserve">, close this file, then within Excel try clicking on Tools, Options, Security, </t>
    </r>
  </si>
  <si>
    <r>
      <t xml:space="preserve">and Macro Security…, then select a Security Level of Medium </t>
    </r>
    <r>
      <rPr>
        <i/>
        <sz val="10"/>
        <rFont val="Arial"/>
        <family val="2"/>
      </rPr>
      <t>before</t>
    </r>
    <r>
      <rPr>
        <sz val="10"/>
        <rFont val="Arial"/>
      </rPr>
      <t xml:space="preserve"> opening the file (again).</t>
    </r>
  </si>
  <si>
    <r>
      <t xml:space="preserve">For details about </t>
    </r>
    <r>
      <rPr>
        <sz val="10"/>
        <rFont val="Arial"/>
      </rPr>
      <t xml:space="preserve">the </t>
    </r>
    <r>
      <rPr>
        <b/>
        <sz val="10"/>
        <rFont val="Arial"/>
      </rPr>
      <t>3DGraph and Test Template</t>
    </r>
    <r>
      <rPr>
        <sz val="10"/>
        <rFont val="Arial"/>
      </rPr>
      <t xml:space="preserve"> sheets (</t>
    </r>
    <r>
      <rPr>
        <b/>
        <sz val="10"/>
        <rFont val="Arial"/>
        <family val="2"/>
      </rPr>
      <t>and more general comments</t>
    </r>
    <r>
      <rPr>
        <sz val="10"/>
        <rFont val="Arial"/>
      </rPr>
      <t xml:space="preserve">), </t>
    </r>
    <r>
      <rPr>
        <b/>
        <sz val="10"/>
        <rFont val="Arial"/>
      </rPr>
      <t>see</t>
    </r>
    <r>
      <rPr>
        <sz val="10"/>
        <rFont val="Arial"/>
      </rPr>
      <t xml:space="preserve"> the </t>
    </r>
    <r>
      <rPr>
        <b/>
        <sz val="10"/>
        <rFont val="Arial"/>
      </rPr>
      <t>Extensions</t>
    </r>
    <r>
      <rPr>
        <sz val="10"/>
        <rFont val="Arial"/>
      </rPr>
      <t xml:space="preserve"> sheet.</t>
    </r>
  </si>
  <si>
    <r>
      <t>Extensions</t>
    </r>
    <r>
      <rPr>
        <sz val="10"/>
        <rFont val="Arial"/>
        <family val="2"/>
      </rPr>
      <t xml:space="preserve"> (for the 3D Graph and Test Templates sheets, and in general)</t>
    </r>
  </si>
  <si>
    <r>
      <t xml:space="preserve">On the </t>
    </r>
    <r>
      <rPr>
        <b/>
        <sz val="10"/>
        <rFont val="Arial"/>
        <family val="2"/>
      </rPr>
      <t>3DGraph</t>
    </r>
    <r>
      <rPr>
        <sz val="10"/>
        <rFont val="Arial"/>
      </rPr>
      <t xml:space="preserve"> sheet, after running the macro or copying B28 to the block below and to the right of it, the </t>
    </r>
    <r>
      <rPr>
        <b/>
        <sz val="10"/>
        <rFont val="Arial"/>
        <family val="2"/>
      </rPr>
      <t>block cells</t>
    </r>
    <r>
      <rPr>
        <sz val="10"/>
        <rFont val="Arial"/>
      </rPr>
      <t xml:space="preserve"> </t>
    </r>
  </si>
  <si>
    <t xml:space="preserve">Comments on the Math Connections Excel Workbook of Volume 2 Templates and Samples </t>
  </si>
  <si>
    <t>(copyright 2003, Bruce Pollack-Johnson and Audrey Borchardt; please acknowledge)</t>
  </si>
  <si>
    <t xml:space="preserve">call (800) 922-0579 </t>
  </si>
  <si>
    <t xml:space="preserve">   Use C14 for the Target Cell, your variable cells (such as G14:H14) for the Changing Cells, and selct Max or Min.  If you want constraints: in the constraints box, </t>
  </si>
  <si>
    <r>
      <t xml:space="preserve">   </t>
    </r>
    <r>
      <rPr>
        <b/>
        <sz val="10"/>
        <rFont val="Arial"/>
        <family val="2"/>
      </rPr>
      <t>Use this template as your default way to run Solver.</t>
    </r>
    <r>
      <rPr>
        <sz val="10"/>
        <rFont val="Arial"/>
      </rPr>
      <t xml:space="preserve">  </t>
    </r>
    <r>
      <rPr>
        <b/>
        <sz val="10"/>
        <rFont val="Arial"/>
        <family val="2"/>
      </rPr>
      <t>To run Solver</t>
    </r>
    <r>
      <rPr>
        <sz val="10"/>
        <rFont val="Arial"/>
      </rPr>
      <t>, click on Tools and Solver (if missing, click on Add-Ins and Solver Add-In).</t>
    </r>
  </si>
  <si>
    <r>
      <t xml:space="preserve">   </t>
    </r>
    <r>
      <rPr>
        <b/>
        <sz val="10"/>
        <rFont val="Arial"/>
        <family val="2"/>
      </rPr>
      <t>For equality constraints</t>
    </r>
    <r>
      <rPr>
        <sz val="10"/>
        <rFont val="Arial"/>
      </rPr>
      <t xml:space="preserve">, it is more difficult: you need to be able to solve each equality constraint for a different variable in terms of a common group </t>
    </r>
  </si>
  <si>
    <r>
      <t xml:space="preserve">2. </t>
    </r>
    <r>
      <rPr>
        <sz val="10"/>
        <rFont val="Arial"/>
        <family val="2"/>
      </rPr>
      <t xml:space="preserve">Copy A10 to C14.  </t>
    </r>
    <r>
      <rPr>
        <b/>
        <sz val="10"/>
        <rFont val="Arial"/>
        <family val="2"/>
      </rPr>
      <t>3.</t>
    </r>
    <r>
      <rPr>
        <sz val="10"/>
        <rFont val="Arial"/>
        <family val="2"/>
      </rPr>
      <t xml:space="preserve"> In C14, delete the "C14" (everything before the "="), and hit Enter.  </t>
    </r>
    <r>
      <rPr>
        <b/>
        <sz val="10"/>
        <rFont val="Arial"/>
        <family val="2"/>
      </rPr>
      <t>4.</t>
    </r>
    <r>
      <rPr>
        <sz val="10"/>
        <rFont val="Arial"/>
        <family val="2"/>
      </rPr>
      <t xml:space="preserve"> Copy cell C14 to C15:C23 . Put Max or Min in C11 . </t>
    </r>
    <r>
      <rPr>
        <sz val="10"/>
        <rFont val="Arial"/>
        <family val="2"/>
      </rPr>
      <t/>
    </r>
  </si>
  <si>
    <r>
      <t xml:space="preserve">     choose increments that span </t>
    </r>
    <r>
      <rPr>
        <i/>
        <sz val="10"/>
        <rFont val="Arial"/>
        <family val="2"/>
      </rPr>
      <t>all</t>
    </r>
    <r>
      <rPr>
        <sz val="10"/>
        <rFont val="Arial"/>
      </rPr>
      <t xml:space="preserve"> the desired domain (if possible).  Constraints: put the LHS formulas in row 14 to the right of the variable cells &amp; copy down column.  </t>
    </r>
    <r>
      <rPr>
        <b/>
        <sz val="10"/>
        <rFont val="Arial"/>
      </rPr>
      <t/>
    </r>
  </si>
  <si>
    <r>
      <t xml:space="preserve">   of 9 random points, </t>
    </r>
    <r>
      <rPr>
        <b/>
        <sz val="10"/>
        <rFont val="Arial"/>
        <family val="2"/>
      </rPr>
      <t>hit the F9 function key</t>
    </r>
    <r>
      <rPr>
        <sz val="10"/>
        <rFont val="Arial"/>
      </rPr>
      <t xml:space="preserve">.  Ideally, repeat this </t>
    </r>
    <r>
      <rPr>
        <b/>
        <sz val="10"/>
        <rFont val="Arial"/>
        <family val="2"/>
      </rPr>
      <t>a dozen times</t>
    </r>
    <r>
      <rPr>
        <sz val="10"/>
        <rFont val="Arial"/>
      </rPr>
      <t xml:space="preserve"> or more.  </t>
    </r>
    <r>
      <rPr>
        <b/>
        <sz val="10"/>
        <rFont val="Arial"/>
        <family val="2"/>
      </rPr>
      <t>Remember to make a copy first!</t>
    </r>
  </si>
  <si>
    <r>
      <t xml:space="preserve">To enter or change a formula, click on the leftmost cell where it </t>
    </r>
    <r>
      <rPr>
        <i/>
        <sz val="10"/>
        <rFont val="Arial"/>
        <family val="2"/>
      </rPr>
      <t>starts</t>
    </r>
    <r>
      <rPr>
        <sz val="10"/>
        <rFont val="Arial"/>
      </rPr>
      <t xml:space="preserve">.  Remember, </t>
    </r>
    <r>
      <rPr>
        <b/>
        <i/>
        <sz val="10"/>
        <rFont val="Arial"/>
        <family val="2"/>
      </rPr>
      <t>always</t>
    </r>
    <r>
      <rPr>
        <b/>
        <sz val="10"/>
        <rFont val="Arial"/>
        <family val="2"/>
      </rPr>
      <t xml:space="preserve"> use an asterisk ( * ) for multiplication in formulas!</t>
    </r>
  </si>
  <si>
    <r>
      <t xml:space="preserve">  If you have constraints and all are inequalities</t>
    </r>
    <r>
      <rPr>
        <sz val="10"/>
        <rFont val="Arial"/>
      </rPr>
      <t xml:space="preserve">, you can </t>
    </r>
    <r>
      <rPr>
        <b/>
        <sz val="10"/>
        <rFont val="Arial"/>
        <family val="2"/>
      </rPr>
      <t>test for constrained global optimality</t>
    </r>
    <r>
      <rPr>
        <sz val="10"/>
        <rFont val="Arial"/>
      </rPr>
      <t xml:space="preserve"> by seeing if the only </t>
    </r>
    <r>
      <rPr>
        <i/>
        <sz val="10"/>
        <rFont val="Arial"/>
        <family val="2"/>
      </rPr>
      <t>better</t>
    </r>
    <r>
      <rPr>
        <sz val="10"/>
        <rFont val="Arial"/>
      </rPr>
      <t xml:space="preserve"> solutions obtained (in the blue </t>
    </r>
  </si>
  <si>
    <r>
      <t xml:space="preserve">   region) are </t>
    </r>
    <r>
      <rPr>
        <i/>
        <sz val="10"/>
        <rFont val="Arial"/>
        <family val="2"/>
      </rPr>
      <t>outside</t>
    </r>
    <r>
      <rPr>
        <sz val="10"/>
        <rFont val="Arial"/>
      </rPr>
      <t xml:space="preserve"> the feasible region/domain (in other words, violate at least one of the constraints).  See the </t>
    </r>
    <r>
      <rPr>
        <b/>
        <sz val="10"/>
        <rFont val="Arial"/>
        <family val="2"/>
      </rPr>
      <t>2 Cereal Inequality</t>
    </r>
    <r>
      <rPr>
        <sz val="10"/>
        <rFont val="Arial"/>
      </rPr>
      <t xml:space="preserve"> sheet for an example.</t>
    </r>
  </si>
  <si>
    <r>
      <t xml:space="preserve">   of variables, and enter those formulas in rows 14-23 of each such column (e.g., see the </t>
    </r>
    <r>
      <rPr>
        <b/>
        <sz val="10"/>
        <rFont val="Arial"/>
        <family val="2"/>
      </rPr>
      <t>2 Cereal =Constraint</t>
    </r>
    <r>
      <rPr>
        <sz val="10"/>
        <rFont val="Arial"/>
      </rPr>
      <t xml:space="preserve"> sheet); be sure to use a </t>
    </r>
    <r>
      <rPr>
        <b/>
        <sz val="10"/>
        <rFont val="Arial"/>
        <family val="2"/>
      </rPr>
      <t>copy</t>
    </r>
    <r>
      <rPr>
        <sz val="10"/>
        <rFont val="Arial"/>
        <family val="2"/>
      </rPr>
      <t xml:space="preserve"> of this sheet if you do that!  </t>
    </r>
  </si>
  <si>
    <r>
      <t xml:space="preserve">   simple constaints, you can also do this in columns G , H, etc. for your variables).  See the </t>
    </r>
    <r>
      <rPr>
        <b/>
        <sz val="10"/>
        <rFont val="Arial"/>
        <family val="2"/>
      </rPr>
      <t>Optimization Notes</t>
    </r>
    <r>
      <rPr>
        <sz val="10"/>
        <rFont val="Arial"/>
      </rPr>
      <t xml:space="preserve"> sheet for more details related to these notes.</t>
    </r>
  </si>
  <si>
    <t>with the index tab label 1 are for the 2 Cereal Inequality Example where the Assume Linear and Assume Nonnegative boxes have been selected</t>
  </si>
  <si>
    <r>
      <t xml:space="preserve">If you make a mistake that messes up a template, see below about how to get a new copy.  You can </t>
    </r>
    <r>
      <rPr>
        <b/>
        <sz val="10"/>
        <rFont val="Arial"/>
        <family val="2"/>
      </rPr>
      <t>ignore "Unprotected Formula" errors</t>
    </r>
    <r>
      <rPr>
        <sz val="10"/>
        <rFont val="Arial"/>
      </rPr>
      <t>.</t>
    </r>
  </si>
  <si>
    <r>
      <t xml:space="preserve">4. Hit </t>
    </r>
    <r>
      <rPr>
        <b/>
        <sz val="10"/>
        <rFont val="Arial"/>
        <family val="2"/>
      </rPr>
      <t>Ctrl+A</t>
    </r>
    <r>
      <rPr>
        <sz val="10"/>
        <rFont val="Arial"/>
      </rPr>
      <t xml:space="preserve"> (hold the Ctrl key &amp; press the A key), </t>
    </r>
    <r>
      <rPr>
        <b/>
        <sz val="10"/>
        <rFont val="Arial"/>
        <family val="2"/>
      </rPr>
      <t>or</t>
    </r>
    <r>
      <rPr>
        <sz val="10"/>
        <rFont val="Arial"/>
      </rPr>
      <t xml:space="preserve"> copy B28 to B28..AZ78.</t>
    </r>
  </si>
  <si>
    <r>
      <t>6.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Press Ctrl+B</t>
    </r>
    <r>
      <rPr>
        <sz val="10"/>
        <rFont val="Arial"/>
        <family val="2"/>
      </rPr>
      <t xml:space="preserve"> (hold down Ctrl and press the </t>
    </r>
    <r>
      <rPr>
        <i/>
        <sz val="10"/>
        <rFont val="Arial"/>
        <family val="2"/>
      </rPr>
      <t>B</t>
    </r>
    <r>
      <rPr>
        <sz val="10"/>
        <rFont val="Arial"/>
        <family val="2"/>
      </rPr>
      <t xml:space="preserve"> key; don't use Shift).  </t>
    </r>
    <r>
      <rPr>
        <b/>
        <sz val="10"/>
        <rFont val="Arial"/>
      </rPr>
      <t>7.</t>
    </r>
    <r>
      <rPr>
        <sz val="10"/>
        <rFont val="Arial"/>
        <family val="2"/>
      </rPr>
      <t xml:space="preserve"> If there are values with </t>
    </r>
    <r>
      <rPr>
        <i/>
        <sz val="10"/>
        <rFont val="Arial"/>
      </rPr>
      <t>different signs</t>
    </r>
    <r>
      <rPr>
        <sz val="10"/>
        <rFont val="Arial"/>
        <family val="2"/>
      </rPr>
      <t xml:space="preserve"> (+,-) in G19:i21, then the Test Point is </t>
    </r>
  </si>
  <si>
    <r>
      <t>of an even power should be written as "-1*"</t>
    </r>
    <r>
      <rPr>
        <sz val="10"/>
        <rFont val="Arial"/>
      </rPr>
      <t>).</t>
    </r>
  </si>
  <si>
    <r>
      <t>Excel evaluates "=-3^2-4" as "5" (not the standard -13), so "-x</t>
    </r>
    <r>
      <rPr>
        <vertAlign val="superscript"/>
        <sz val="10"/>
        <rFont val="Arial"/>
        <family val="2"/>
      </rPr>
      <t>2</t>
    </r>
    <r>
      <rPr>
        <sz val="10"/>
        <rFont val="Arial"/>
      </rPr>
      <t>-y" in a formula must be, e.g., "-1*G14^2-H14" (</t>
    </r>
    <r>
      <rPr>
        <b/>
        <sz val="10"/>
        <rFont val="Arial"/>
        <family val="2"/>
      </rPr>
      <t xml:space="preserve">a leading minus sign in front </t>
    </r>
  </si>
  <si>
    <r>
      <t>To remove a dotted-line cell/block outline,</t>
    </r>
    <r>
      <rPr>
        <sz val="10"/>
        <rFont val="Arial"/>
        <family val="2"/>
      </rPr>
      <t xml:space="preserve"> hit</t>
    </r>
    <r>
      <rPr>
        <b/>
        <sz val="10"/>
        <rFont val="Arial"/>
        <family val="2"/>
      </rPr>
      <t xml:space="preserve"> "Esc".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</si>
</sst>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7" formatCode="&quot;$&quot;#,##0.00_);[Red]\(&quot;$&quot;#,##0.00\)"/>
    <numFmt numFmtId="174" formatCode="&quot;$&quot;#,##0.00000_);[Red]\(&quot;$&quot;#,##0.00000\)"/>
  </numFmts>
  <fonts count="16" x14ac:knownFonts="1">
    <font>
      <sz val="10"/>
      <name val="Arial"/>
    </font>
    <font>
      <b/>
      <sz val="10"/>
      <name val="Arial"/>
    </font>
    <font>
      <i/>
      <sz val="10"/>
      <name val="Arial"/>
    </font>
    <font>
      <b/>
      <i/>
      <sz val="10"/>
      <name val="Arial"/>
    </font>
    <font>
      <sz val="10"/>
      <name val="Arial"/>
      <family val="2"/>
    </font>
    <font>
      <b/>
      <u/>
      <sz val="10"/>
      <name val="Arial"/>
      <family val="2"/>
    </font>
    <font>
      <b/>
      <u/>
      <sz val="10"/>
      <name val="Arial"/>
      <family val="2"/>
    </font>
    <font>
      <b/>
      <u/>
      <vertAlign val="subscript"/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vertAlign val="superscript"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b/>
      <sz val="10"/>
      <color indexed="1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3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11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Fill="1" applyProtection="1"/>
    <xf numFmtId="0" fontId="0" fillId="0" borderId="0" xfId="0" applyFill="1"/>
    <xf numFmtId="0" fontId="0" fillId="0" borderId="0" xfId="0" applyAlignment="1">
      <alignment horizontal="right"/>
    </xf>
    <xf numFmtId="0" fontId="2" fillId="0" borderId="1" xfId="0" applyFont="1" applyFill="1" applyBorder="1" applyAlignment="1">
      <alignment horizontal="centerContinuous"/>
    </xf>
    <xf numFmtId="0" fontId="0" fillId="0" borderId="0" xfId="0" applyFill="1" applyBorder="1" applyAlignment="1"/>
    <xf numFmtId="0" fontId="0" fillId="0" borderId="2" xfId="0" applyFill="1" applyBorder="1" applyAlignment="1"/>
    <xf numFmtId="0" fontId="2" fillId="0" borderId="1" xfId="0" applyFont="1" applyFill="1" applyBorder="1" applyAlignment="1">
      <alignment horizontal="center"/>
    </xf>
    <xf numFmtId="0" fontId="5" fillId="0" borderId="0" xfId="0" applyFont="1"/>
    <xf numFmtId="0" fontId="1" fillId="0" borderId="0" xfId="0" applyFont="1"/>
    <xf numFmtId="0" fontId="4" fillId="0" borderId="0" xfId="0" applyFont="1"/>
    <xf numFmtId="0" fontId="0" fillId="0" borderId="0" xfId="0" applyAlignment="1" applyProtection="1">
      <alignment horizontal="right"/>
    </xf>
    <xf numFmtId="0" fontId="1" fillId="0" borderId="0" xfId="0" applyFont="1" applyAlignment="1">
      <alignment horizontal="right"/>
    </xf>
    <xf numFmtId="0" fontId="0" fillId="2" borderId="0" xfId="0" applyFill="1" applyProtection="1">
      <protection locked="0"/>
    </xf>
    <xf numFmtId="0" fontId="0" fillId="3" borderId="0" xfId="0" applyFill="1" applyAlignment="1" applyProtection="1">
      <alignment horizontal="right"/>
      <protection locked="0"/>
    </xf>
    <xf numFmtId="0" fontId="1" fillId="0" borderId="0" xfId="0" applyFont="1" applyFill="1" applyAlignment="1" applyProtection="1">
      <alignment horizontal="right"/>
    </xf>
    <xf numFmtId="0" fontId="4" fillId="0" borderId="0" xfId="0" applyFont="1" applyFill="1" applyProtection="1"/>
    <xf numFmtId="0" fontId="0" fillId="0" borderId="0" xfId="0" applyFill="1" applyAlignment="1" applyProtection="1">
      <alignment horizontal="right"/>
    </xf>
    <xf numFmtId="0" fontId="0" fillId="0" borderId="0" xfId="0" applyProtection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6" fillId="0" borderId="0" xfId="0" applyFont="1"/>
    <xf numFmtId="0" fontId="1" fillId="0" borderId="0" xfId="0" applyFont="1" applyAlignment="1" applyProtection="1">
      <alignment horizontal="right"/>
    </xf>
    <xf numFmtId="0" fontId="5" fillId="0" borderId="0" xfId="0" applyFont="1" applyProtection="1"/>
    <xf numFmtId="0" fontId="5" fillId="0" borderId="0" xfId="0" applyFont="1" applyAlignment="1" applyProtection="1">
      <alignment horizontal="right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 applyAlignment="1" applyProtection="1">
      <alignment horizontal="right"/>
    </xf>
    <xf numFmtId="0" fontId="0" fillId="0" borderId="0" xfId="0" applyAlignment="1">
      <alignment horizontal="center"/>
    </xf>
    <xf numFmtId="0" fontId="0" fillId="4" borderId="0" xfId="0" applyFill="1"/>
    <xf numFmtId="0" fontId="4" fillId="2" borderId="0" xfId="0" applyFont="1" applyFill="1" applyProtection="1">
      <protection locked="0"/>
    </xf>
    <xf numFmtId="0" fontId="0" fillId="2" borderId="0" xfId="0" applyFill="1" applyAlignment="1" applyProtection="1">
      <alignment horizontal="right"/>
      <protection locked="0"/>
    </xf>
    <xf numFmtId="167" fontId="0" fillId="0" borderId="0" xfId="0" applyNumberFormat="1"/>
    <xf numFmtId="174" fontId="0" fillId="0" borderId="0" xfId="0" applyNumberFormat="1"/>
    <xf numFmtId="9" fontId="0" fillId="0" borderId="0" xfId="0" applyNumberFormat="1"/>
    <xf numFmtId="0" fontId="8" fillId="0" borderId="0" xfId="0" applyFont="1"/>
    <xf numFmtId="0" fontId="0" fillId="3" borderId="0" xfId="0" applyFill="1" applyProtection="1">
      <protection locked="0"/>
    </xf>
    <xf numFmtId="0" fontId="9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167" fontId="1" fillId="0" borderId="0" xfId="0" applyNumberFormat="1" applyFont="1"/>
    <xf numFmtId="0" fontId="9" fillId="0" borderId="0" xfId="0" applyFont="1"/>
    <xf numFmtId="0" fontId="0" fillId="0" borderId="3" xfId="0" applyFill="1" applyBorder="1" applyAlignment="1"/>
    <xf numFmtId="0" fontId="0" fillId="0" borderId="3" xfId="0" applyNumberFormat="1" applyFill="1" applyBorder="1" applyAlignment="1"/>
    <xf numFmtId="0" fontId="0" fillId="0" borderId="4" xfId="0" applyFill="1" applyBorder="1" applyAlignment="1"/>
    <xf numFmtId="0" fontId="0" fillId="0" borderId="4" xfId="0" applyNumberFormat="1" applyFill="1" applyBorder="1" applyAlignment="1"/>
    <xf numFmtId="0" fontId="1" fillId="0" borderId="0" xfId="0" applyFont="1" applyProtection="1">
      <protection locked="0"/>
    </xf>
    <xf numFmtId="0" fontId="10" fillId="0" borderId="0" xfId="0" applyFont="1"/>
    <xf numFmtId="0" fontId="0" fillId="4" borderId="0" xfId="0" applyFill="1" applyProtection="1">
      <protection locked="0"/>
    </xf>
    <xf numFmtId="0" fontId="0" fillId="2" borderId="0" xfId="0" applyFill="1"/>
    <xf numFmtId="0" fontId="0" fillId="4" borderId="0" xfId="0" applyFill="1" applyAlignment="1">
      <alignment horizontal="right"/>
    </xf>
    <xf numFmtId="0" fontId="0" fillId="2" borderId="0" xfId="0" applyFill="1" applyProtection="1"/>
    <xf numFmtId="0" fontId="8" fillId="0" borderId="0" xfId="0" applyFont="1" applyProtection="1">
      <protection locked="0"/>
    </xf>
    <xf numFmtId="0" fontId="0" fillId="0" borderId="0" xfId="0" applyProtection="1">
      <protection locked="0"/>
    </xf>
    <xf numFmtId="0" fontId="10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0" fontId="10" fillId="0" borderId="0" xfId="0" applyFont="1" applyAlignment="1" applyProtection="1">
      <alignment horizontal="left"/>
      <protection locked="0"/>
    </xf>
    <xf numFmtId="0" fontId="0" fillId="5" borderId="0" xfId="0" applyFill="1"/>
    <xf numFmtId="0" fontId="0" fillId="3" borderId="0" xfId="0" applyFill="1"/>
    <xf numFmtId="0" fontId="0" fillId="0" borderId="0" xfId="0" applyFill="1" applyProtection="1">
      <protection locked="0"/>
    </xf>
    <xf numFmtId="0" fontId="11" fillId="0" borderId="0" xfId="0" applyFont="1"/>
    <xf numFmtId="0" fontId="15" fillId="0" borderId="5" xfId="0" applyFont="1" applyFill="1" applyBorder="1" applyAlignment="1">
      <alignment horizontal="center"/>
    </xf>
    <xf numFmtId="0" fontId="15" fillId="0" borderId="6" xfId="0" applyFont="1" applyFill="1" applyBorder="1" applyAlignment="1">
      <alignment horizontal="center"/>
    </xf>
    <xf numFmtId="0" fontId="15" fillId="0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22"/>
      <c:hPercent val="100"/>
      <c:rotY val="121"/>
      <c:depthPercent val="100"/>
      <c:rAngAx val="0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20800650020313136"/>
          <c:y val="3.4156642078900137E-2"/>
          <c:w val="0.46801462545704553"/>
          <c:h val="0.7761148116816754"/>
        </c:manualLayout>
      </c:layout>
      <c:surface3DChart>
        <c:wireframe val="0"/>
        <c:ser>
          <c:idx val="0"/>
          <c:order val="0"/>
          <c:tx>
            <c:strRef>
              <c:f>'3dGraph'!$B$27</c:f>
              <c:strCache>
                <c:ptCount val="1"/>
                <c:pt idx="0">
                  <c:v>1000</c:v>
                </c:pt>
              </c:strCache>
            </c:strRef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'3dGraph'!$A$28:$A$78</c:f>
              <c:numCache>
                <c:formatCode>General</c:formatCode>
                <c:ptCount val="51"/>
                <c:pt idx="0">
                  <c:v>120</c:v>
                </c:pt>
                <c:pt idx="1">
                  <c:v>117.6</c:v>
                </c:pt>
                <c:pt idx="2">
                  <c:v>115.19999999999999</c:v>
                </c:pt>
                <c:pt idx="3">
                  <c:v>112.79999999999998</c:v>
                </c:pt>
                <c:pt idx="4">
                  <c:v>110.39999999999998</c:v>
                </c:pt>
                <c:pt idx="5">
                  <c:v>107.99999999999997</c:v>
                </c:pt>
                <c:pt idx="6">
                  <c:v>105.59999999999997</c:v>
                </c:pt>
                <c:pt idx="7">
                  <c:v>103.19999999999996</c:v>
                </c:pt>
                <c:pt idx="8">
                  <c:v>100.79999999999995</c:v>
                </c:pt>
                <c:pt idx="9">
                  <c:v>98.399999999999949</c:v>
                </c:pt>
                <c:pt idx="10">
                  <c:v>95.999999999999943</c:v>
                </c:pt>
                <c:pt idx="11">
                  <c:v>93.599999999999937</c:v>
                </c:pt>
                <c:pt idx="12">
                  <c:v>91.199999999999932</c:v>
                </c:pt>
                <c:pt idx="13">
                  <c:v>88.799999999999926</c:v>
                </c:pt>
                <c:pt idx="14">
                  <c:v>86.39999999999992</c:v>
                </c:pt>
                <c:pt idx="15">
                  <c:v>83.999999999999915</c:v>
                </c:pt>
                <c:pt idx="16">
                  <c:v>81.599999999999909</c:v>
                </c:pt>
                <c:pt idx="17">
                  <c:v>79.199999999999903</c:v>
                </c:pt>
                <c:pt idx="18">
                  <c:v>76.799999999999898</c:v>
                </c:pt>
                <c:pt idx="19">
                  <c:v>74.399999999999892</c:v>
                </c:pt>
                <c:pt idx="20">
                  <c:v>71.999999999999886</c:v>
                </c:pt>
                <c:pt idx="21">
                  <c:v>69.599999999999881</c:v>
                </c:pt>
                <c:pt idx="22">
                  <c:v>67.199999999999875</c:v>
                </c:pt>
                <c:pt idx="23">
                  <c:v>64.799999999999869</c:v>
                </c:pt>
                <c:pt idx="24">
                  <c:v>62.399999999999871</c:v>
                </c:pt>
                <c:pt idx="25">
                  <c:v>59.999999999999872</c:v>
                </c:pt>
                <c:pt idx="26">
                  <c:v>57.599999999999874</c:v>
                </c:pt>
                <c:pt idx="27">
                  <c:v>55.199999999999875</c:v>
                </c:pt>
                <c:pt idx="28">
                  <c:v>52.799999999999876</c:v>
                </c:pt>
                <c:pt idx="29">
                  <c:v>50.399999999999878</c:v>
                </c:pt>
                <c:pt idx="30">
                  <c:v>47.999999999999879</c:v>
                </c:pt>
                <c:pt idx="31">
                  <c:v>45.599999999999881</c:v>
                </c:pt>
                <c:pt idx="32">
                  <c:v>43.199999999999882</c:v>
                </c:pt>
                <c:pt idx="33">
                  <c:v>40.799999999999883</c:v>
                </c:pt>
                <c:pt idx="34">
                  <c:v>38.399999999999885</c:v>
                </c:pt>
                <c:pt idx="35">
                  <c:v>35.999999999999886</c:v>
                </c:pt>
                <c:pt idx="36">
                  <c:v>33.599999999999888</c:v>
                </c:pt>
                <c:pt idx="37">
                  <c:v>31.199999999999889</c:v>
                </c:pt>
                <c:pt idx="38">
                  <c:v>28.799999999999891</c:v>
                </c:pt>
                <c:pt idx="39">
                  <c:v>26.399999999999892</c:v>
                </c:pt>
                <c:pt idx="40">
                  <c:v>23.999999999999893</c:v>
                </c:pt>
                <c:pt idx="41">
                  <c:v>21.599999999999895</c:v>
                </c:pt>
                <c:pt idx="42">
                  <c:v>19.199999999999896</c:v>
                </c:pt>
                <c:pt idx="43">
                  <c:v>16.799999999999898</c:v>
                </c:pt>
                <c:pt idx="44">
                  <c:v>14.399999999999897</c:v>
                </c:pt>
                <c:pt idx="45">
                  <c:v>11.999999999999897</c:v>
                </c:pt>
                <c:pt idx="46">
                  <c:v>9.5999999999998966</c:v>
                </c:pt>
                <c:pt idx="47">
                  <c:v>7.1999999999998963</c:v>
                </c:pt>
                <c:pt idx="48">
                  <c:v>4.7999999999998959</c:v>
                </c:pt>
                <c:pt idx="49">
                  <c:v>2.399999999999896</c:v>
                </c:pt>
                <c:pt idx="50">
                  <c:v>-1.0391687510491465E-13</c:v>
                </c:pt>
              </c:numCache>
            </c:numRef>
          </c:cat>
          <c:val>
            <c:numRef>
              <c:f>'3dGraph'!$B$28:$B$78</c:f>
              <c:numCache>
                <c:formatCode>General</c:formatCode>
                <c:ptCount val="51"/>
                <c:pt idx="0">
                  <c:v>66.716000000000008</c:v>
                </c:pt>
                <c:pt idx="1">
                  <c:v>67.384870400000011</c:v>
                </c:pt>
                <c:pt idx="2">
                  <c:v>68.031161600000004</c:v>
                </c:pt>
                <c:pt idx="3">
                  <c:v>68.654873599999988</c:v>
                </c:pt>
                <c:pt idx="4">
                  <c:v>69.25600639999999</c:v>
                </c:pt>
                <c:pt idx="5">
                  <c:v>69.83456000000001</c:v>
                </c:pt>
                <c:pt idx="6">
                  <c:v>70.390534400000007</c:v>
                </c:pt>
                <c:pt idx="7">
                  <c:v>70.923929600000008</c:v>
                </c:pt>
                <c:pt idx="8">
                  <c:v>71.434745600000028</c:v>
                </c:pt>
                <c:pt idx="9">
                  <c:v>71.922982400000024</c:v>
                </c:pt>
                <c:pt idx="10">
                  <c:v>72.388640000000009</c:v>
                </c:pt>
                <c:pt idx="11">
                  <c:v>72.8317184</c:v>
                </c:pt>
                <c:pt idx="12">
                  <c:v>73.252217599999994</c:v>
                </c:pt>
                <c:pt idx="13">
                  <c:v>73.650137600000022</c:v>
                </c:pt>
                <c:pt idx="14">
                  <c:v>74.025478400000011</c:v>
                </c:pt>
                <c:pt idx="15">
                  <c:v>74.378240000000005</c:v>
                </c:pt>
                <c:pt idx="16">
                  <c:v>74.708422399999989</c:v>
                </c:pt>
                <c:pt idx="17">
                  <c:v>75.01602560000002</c:v>
                </c:pt>
                <c:pt idx="18">
                  <c:v>75.301049600000013</c:v>
                </c:pt>
                <c:pt idx="19">
                  <c:v>75.56349440000001</c:v>
                </c:pt>
                <c:pt idx="20">
                  <c:v>75.803359999999998</c:v>
                </c:pt>
                <c:pt idx="21">
                  <c:v>76.020646400000032</c:v>
                </c:pt>
                <c:pt idx="22">
                  <c:v>76.215353600000014</c:v>
                </c:pt>
                <c:pt idx="23">
                  <c:v>76.387481600000001</c:v>
                </c:pt>
                <c:pt idx="24">
                  <c:v>76.537030399999992</c:v>
                </c:pt>
                <c:pt idx="25">
                  <c:v>76.664000000000016</c:v>
                </c:pt>
                <c:pt idx="26">
                  <c:v>76.768390400000015</c:v>
                </c:pt>
                <c:pt idx="27">
                  <c:v>76.850201600000005</c:v>
                </c:pt>
                <c:pt idx="28">
                  <c:v>76.9094336</c:v>
                </c:pt>
                <c:pt idx="29">
                  <c:v>76.946086400000013</c:v>
                </c:pt>
                <c:pt idx="30">
                  <c:v>76.960159999999988</c:v>
                </c:pt>
                <c:pt idx="31">
                  <c:v>76.951654399999981</c:v>
                </c:pt>
                <c:pt idx="32">
                  <c:v>76.920569600000007</c:v>
                </c:pt>
                <c:pt idx="33">
                  <c:v>76.866905599999996</c:v>
                </c:pt>
                <c:pt idx="34">
                  <c:v>76.790662399999988</c:v>
                </c:pt>
                <c:pt idx="35">
                  <c:v>76.691839999999985</c:v>
                </c:pt>
                <c:pt idx="36">
                  <c:v>76.570438400000015</c:v>
                </c:pt>
                <c:pt idx="37">
                  <c:v>76.426457599999992</c:v>
                </c:pt>
                <c:pt idx="38">
                  <c:v>76.259897599999974</c:v>
                </c:pt>
                <c:pt idx="39">
                  <c:v>76.070758399999974</c:v>
                </c:pt>
                <c:pt idx="40">
                  <c:v>75.859039999999993</c:v>
                </c:pt>
                <c:pt idx="41">
                  <c:v>75.624742399999988</c:v>
                </c:pt>
                <c:pt idx="42">
                  <c:v>75.367865599999988</c:v>
                </c:pt>
                <c:pt idx="43">
                  <c:v>75.088409600000006</c:v>
                </c:pt>
                <c:pt idx="44">
                  <c:v>74.7863744</c:v>
                </c:pt>
                <c:pt idx="45">
                  <c:v>74.46175999999997</c:v>
                </c:pt>
                <c:pt idx="46">
                  <c:v>74.114566399999973</c:v>
                </c:pt>
                <c:pt idx="47">
                  <c:v>73.744793599999994</c:v>
                </c:pt>
                <c:pt idx="48">
                  <c:v>73.352441599999992</c:v>
                </c:pt>
                <c:pt idx="49">
                  <c:v>72.937510399999979</c:v>
                </c:pt>
                <c:pt idx="50">
                  <c:v>72.499999999999972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5A-43B2-9C9C-0FB310DD3FD5}"/>
            </c:ext>
          </c:extLst>
        </c:ser>
        <c:ser>
          <c:idx val="1"/>
          <c:order val="1"/>
          <c:tx>
            <c:strRef>
              <c:f>'3dGraph'!$C$27</c:f>
              <c:strCache>
                <c:ptCount val="1"/>
                <c:pt idx="0">
                  <c:v>1020</c:v>
                </c:pt>
              </c:strCache>
            </c:strRef>
          </c:tx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'3dGraph'!$A$28:$A$78</c:f>
              <c:numCache>
                <c:formatCode>General</c:formatCode>
                <c:ptCount val="51"/>
                <c:pt idx="0">
                  <c:v>120</c:v>
                </c:pt>
                <c:pt idx="1">
                  <c:v>117.6</c:v>
                </c:pt>
                <c:pt idx="2">
                  <c:v>115.19999999999999</c:v>
                </c:pt>
                <c:pt idx="3">
                  <c:v>112.79999999999998</c:v>
                </c:pt>
                <c:pt idx="4">
                  <c:v>110.39999999999998</c:v>
                </c:pt>
                <c:pt idx="5">
                  <c:v>107.99999999999997</c:v>
                </c:pt>
                <c:pt idx="6">
                  <c:v>105.59999999999997</c:v>
                </c:pt>
                <c:pt idx="7">
                  <c:v>103.19999999999996</c:v>
                </c:pt>
                <c:pt idx="8">
                  <c:v>100.79999999999995</c:v>
                </c:pt>
                <c:pt idx="9">
                  <c:v>98.399999999999949</c:v>
                </c:pt>
                <c:pt idx="10">
                  <c:v>95.999999999999943</c:v>
                </c:pt>
                <c:pt idx="11">
                  <c:v>93.599999999999937</c:v>
                </c:pt>
                <c:pt idx="12">
                  <c:v>91.199999999999932</c:v>
                </c:pt>
                <c:pt idx="13">
                  <c:v>88.799999999999926</c:v>
                </c:pt>
                <c:pt idx="14">
                  <c:v>86.39999999999992</c:v>
                </c:pt>
                <c:pt idx="15">
                  <c:v>83.999999999999915</c:v>
                </c:pt>
                <c:pt idx="16">
                  <c:v>81.599999999999909</c:v>
                </c:pt>
                <c:pt idx="17">
                  <c:v>79.199999999999903</c:v>
                </c:pt>
                <c:pt idx="18">
                  <c:v>76.799999999999898</c:v>
                </c:pt>
                <c:pt idx="19">
                  <c:v>74.399999999999892</c:v>
                </c:pt>
                <c:pt idx="20">
                  <c:v>71.999999999999886</c:v>
                </c:pt>
                <c:pt idx="21">
                  <c:v>69.599999999999881</c:v>
                </c:pt>
                <c:pt idx="22">
                  <c:v>67.199999999999875</c:v>
                </c:pt>
                <c:pt idx="23">
                  <c:v>64.799999999999869</c:v>
                </c:pt>
                <c:pt idx="24">
                  <c:v>62.399999999999871</c:v>
                </c:pt>
                <c:pt idx="25">
                  <c:v>59.999999999999872</c:v>
                </c:pt>
                <c:pt idx="26">
                  <c:v>57.599999999999874</c:v>
                </c:pt>
                <c:pt idx="27">
                  <c:v>55.199999999999875</c:v>
                </c:pt>
                <c:pt idx="28">
                  <c:v>52.799999999999876</c:v>
                </c:pt>
                <c:pt idx="29">
                  <c:v>50.399999999999878</c:v>
                </c:pt>
                <c:pt idx="30">
                  <c:v>47.999999999999879</c:v>
                </c:pt>
                <c:pt idx="31">
                  <c:v>45.599999999999881</c:v>
                </c:pt>
                <c:pt idx="32">
                  <c:v>43.199999999999882</c:v>
                </c:pt>
                <c:pt idx="33">
                  <c:v>40.799999999999883</c:v>
                </c:pt>
                <c:pt idx="34">
                  <c:v>38.399999999999885</c:v>
                </c:pt>
                <c:pt idx="35">
                  <c:v>35.999999999999886</c:v>
                </c:pt>
                <c:pt idx="36">
                  <c:v>33.599999999999888</c:v>
                </c:pt>
                <c:pt idx="37">
                  <c:v>31.199999999999889</c:v>
                </c:pt>
                <c:pt idx="38">
                  <c:v>28.799999999999891</c:v>
                </c:pt>
                <c:pt idx="39">
                  <c:v>26.399999999999892</c:v>
                </c:pt>
                <c:pt idx="40">
                  <c:v>23.999999999999893</c:v>
                </c:pt>
                <c:pt idx="41">
                  <c:v>21.599999999999895</c:v>
                </c:pt>
                <c:pt idx="42">
                  <c:v>19.199999999999896</c:v>
                </c:pt>
                <c:pt idx="43">
                  <c:v>16.799999999999898</c:v>
                </c:pt>
                <c:pt idx="44">
                  <c:v>14.399999999999897</c:v>
                </c:pt>
                <c:pt idx="45">
                  <c:v>11.999999999999897</c:v>
                </c:pt>
                <c:pt idx="46">
                  <c:v>9.5999999999998966</c:v>
                </c:pt>
                <c:pt idx="47">
                  <c:v>7.1999999999998963</c:v>
                </c:pt>
                <c:pt idx="48">
                  <c:v>4.7999999999998959</c:v>
                </c:pt>
                <c:pt idx="49">
                  <c:v>2.399999999999896</c:v>
                </c:pt>
                <c:pt idx="50">
                  <c:v>-1.0391687510491465E-13</c:v>
                </c:pt>
              </c:numCache>
            </c:numRef>
          </c:cat>
          <c:val>
            <c:numRef>
              <c:f>'3dGraph'!$C$28:$C$78</c:f>
              <c:numCache>
                <c:formatCode>General</c:formatCode>
                <c:ptCount val="51"/>
                <c:pt idx="0">
                  <c:v>68.200639999999993</c:v>
                </c:pt>
                <c:pt idx="1">
                  <c:v>68.867542399999991</c:v>
                </c:pt>
                <c:pt idx="2">
                  <c:v>69.511865599999979</c:v>
                </c:pt>
                <c:pt idx="3">
                  <c:v>70.133609599999986</c:v>
                </c:pt>
                <c:pt idx="4">
                  <c:v>70.732774399999983</c:v>
                </c:pt>
                <c:pt idx="5">
                  <c:v>71.309359999999998</c:v>
                </c:pt>
                <c:pt idx="6">
                  <c:v>71.86336639999999</c:v>
                </c:pt>
                <c:pt idx="7">
                  <c:v>72.394793599999986</c:v>
                </c:pt>
                <c:pt idx="8">
                  <c:v>72.903641600000014</c:v>
                </c:pt>
                <c:pt idx="9">
                  <c:v>73.389910400000005</c:v>
                </c:pt>
                <c:pt idx="10">
                  <c:v>73.8536</c:v>
                </c:pt>
                <c:pt idx="11">
                  <c:v>74.294710399999985</c:v>
                </c:pt>
                <c:pt idx="12">
                  <c:v>74.713241599999975</c:v>
                </c:pt>
                <c:pt idx="13">
                  <c:v>75.109193600000012</c:v>
                </c:pt>
                <c:pt idx="14">
                  <c:v>75.482566399999996</c:v>
                </c:pt>
                <c:pt idx="15">
                  <c:v>75.833359999999999</c:v>
                </c:pt>
                <c:pt idx="16">
                  <c:v>76.161574399999978</c:v>
                </c:pt>
                <c:pt idx="17">
                  <c:v>76.467209600000004</c:v>
                </c:pt>
                <c:pt idx="18">
                  <c:v>76.750265600000006</c:v>
                </c:pt>
                <c:pt idx="19">
                  <c:v>77.010742399999998</c:v>
                </c:pt>
                <c:pt idx="20">
                  <c:v>77.24863999999998</c:v>
                </c:pt>
                <c:pt idx="21">
                  <c:v>77.463958399999996</c:v>
                </c:pt>
                <c:pt idx="22">
                  <c:v>77.656697600000001</c:v>
                </c:pt>
                <c:pt idx="23">
                  <c:v>77.826857599999997</c:v>
                </c:pt>
                <c:pt idx="24">
                  <c:v>77.974438399999983</c:v>
                </c:pt>
                <c:pt idx="25">
                  <c:v>78.099440000000001</c:v>
                </c:pt>
                <c:pt idx="26">
                  <c:v>78.201862399999982</c:v>
                </c:pt>
                <c:pt idx="27">
                  <c:v>78.281705599999995</c:v>
                </c:pt>
                <c:pt idx="28">
                  <c:v>78.338969599999984</c:v>
                </c:pt>
                <c:pt idx="29">
                  <c:v>78.373654399999992</c:v>
                </c:pt>
                <c:pt idx="30">
                  <c:v>78.385759999999976</c:v>
                </c:pt>
                <c:pt idx="31">
                  <c:v>78.375286399999965</c:v>
                </c:pt>
                <c:pt idx="32">
                  <c:v>78.3422336</c:v>
                </c:pt>
                <c:pt idx="33">
                  <c:v>78.286601599999983</c:v>
                </c:pt>
                <c:pt idx="34">
                  <c:v>78.208390399999971</c:v>
                </c:pt>
                <c:pt idx="35">
                  <c:v>78.107599999999962</c:v>
                </c:pt>
                <c:pt idx="36">
                  <c:v>77.984230400000001</c:v>
                </c:pt>
                <c:pt idx="37">
                  <c:v>77.838281599999988</c:v>
                </c:pt>
                <c:pt idx="38">
                  <c:v>77.669753599999964</c:v>
                </c:pt>
                <c:pt idx="39">
                  <c:v>77.47864639999996</c:v>
                </c:pt>
                <c:pt idx="40">
                  <c:v>77.264959999999988</c:v>
                </c:pt>
                <c:pt idx="41">
                  <c:v>77.028694399999978</c:v>
                </c:pt>
                <c:pt idx="42">
                  <c:v>76.769849599999972</c:v>
                </c:pt>
                <c:pt idx="43">
                  <c:v>76.488425599999985</c:v>
                </c:pt>
                <c:pt idx="44">
                  <c:v>76.184422399999974</c:v>
                </c:pt>
                <c:pt idx="45">
                  <c:v>75.857839999999968</c:v>
                </c:pt>
                <c:pt idx="46">
                  <c:v>75.508678399999965</c:v>
                </c:pt>
                <c:pt idx="47">
                  <c:v>75.136937599999982</c:v>
                </c:pt>
                <c:pt idx="48">
                  <c:v>74.742617599999974</c:v>
                </c:pt>
                <c:pt idx="49">
                  <c:v>74.325718399999957</c:v>
                </c:pt>
                <c:pt idx="50">
                  <c:v>73.886239999999958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5A-43B2-9C9C-0FB310DD3FD5}"/>
            </c:ext>
          </c:extLst>
        </c:ser>
        <c:ser>
          <c:idx val="2"/>
          <c:order val="2"/>
          <c:tx>
            <c:strRef>
              <c:f>'3dGraph'!$D$27</c:f>
              <c:strCache>
                <c:ptCount val="1"/>
                <c:pt idx="0">
                  <c:v>1040</c:v>
                </c:pt>
              </c:strCache>
            </c:strRef>
          </c:tx>
          <c:spPr>
            <a:solidFill>
              <a:srgbClr val="FFFFC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'3dGraph'!$A$28:$A$78</c:f>
              <c:numCache>
                <c:formatCode>General</c:formatCode>
                <c:ptCount val="51"/>
                <c:pt idx="0">
                  <c:v>120</c:v>
                </c:pt>
                <c:pt idx="1">
                  <c:v>117.6</c:v>
                </c:pt>
                <c:pt idx="2">
                  <c:v>115.19999999999999</c:v>
                </c:pt>
                <c:pt idx="3">
                  <c:v>112.79999999999998</c:v>
                </c:pt>
                <c:pt idx="4">
                  <c:v>110.39999999999998</c:v>
                </c:pt>
                <c:pt idx="5">
                  <c:v>107.99999999999997</c:v>
                </c:pt>
                <c:pt idx="6">
                  <c:v>105.59999999999997</c:v>
                </c:pt>
                <c:pt idx="7">
                  <c:v>103.19999999999996</c:v>
                </c:pt>
                <c:pt idx="8">
                  <c:v>100.79999999999995</c:v>
                </c:pt>
                <c:pt idx="9">
                  <c:v>98.399999999999949</c:v>
                </c:pt>
                <c:pt idx="10">
                  <c:v>95.999999999999943</c:v>
                </c:pt>
                <c:pt idx="11">
                  <c:v>93.599999999999937</c:v>
                </c:pt>
                <c:pt idx="12">
                  <c:v>91.199999999999932</c:v>
                </c:pt>
                <c:pt idx="13">
                  <c:v>88.799999999999926</c:v>
                </c:pt>
                <c:pt idx="14">
                  <c:v>86.39999999999992</c:v>
                </c:pt>
                <c:pt idx="15">
                  <c:v>83.999999999999915</c:v>
                </c:pt>
                <c:pt idx="16">
                  <c:v>81.599999999999909</c:v>
                </c:pt>
                <c:pt idx="17">
                  <c:v>79.199999999999903</c:v>
                </c:pt>
                <c:pt idx="18">
                  <c:v>76.799999999999898</c:v>
                </c:pt>
                <c:pt idx="19">
                  <c:v>74.399999999999892</c:v>
                </c:pt>
                <c:pt idx="20">
                  <c:v>71.999999999999886</c:v>
                </c:pt>
                <c:pt idx="21">
                  <c:v>69.599999999999881</c:v>
                </c:pt>
                <c:pt idx="22">
                  <c:v>67.199999999999875</c:v>
                </c:pt>
                <c:pt idx="23">
                  <c:v>64.799999999999869</c:v>
                </c:pt>
                <c:pt idx="24">
                  <c:v>62.399999999999871</c:v>
                </c:pt>
                <c:pt idx="25">
                  <c:v>59.999999999999872</c:v>
                </c:pt>
                <c:pt idx="26">
                  <c:v>57.599999999999874</c:v>
                </c:pt>
                <c:pt idx="27">
                  <c:v>55.199999999999875</c:v>
                </c:pt>
                <c:pt idx="28">
                  <c:v>52.799999999999876</c:v>
                </c:pt>
                <c:pt idx="29">
                  <c:v>50.399999999999878</c:v>
                </c:pt>
                <c:pt idx="30">
                  <c:v>47.999999999999879</c:v>
                </c:pt>
                <c:pt idx="31">
                  <c:v>45.599999999999881</c:v>
                </c:pt>
                <c:pt idx="32">
                  <c:v>43.199999999999882</c:v>
                </c:pt>
                <c:pt idx="33">
                  <c:v>40.799999999999883</c:v>
                </c:pt>
                <c:pt idx="34">
                  <c:v>38.399999999999885</c:v>
                </c:pt>
                <c:pt idx="35">
                  <c:v>35.999999999999886</c:v>
                </c:pt>
                <c:pt idx="36">
                  <c:v>33.599999999999888</c:v>
                </c:pt>
                <c:pt idx="37">
                  <c:v>31.199999999999889</c:v>
                </c:pt>
                <c:pt idx="38">
                  <c:v>28.799999999999891</c:v>
                </c:pt>
                <c:pt idx="39">
                  <c:v>26.399999999999892</c:v>
                </c:pt>
                <c:pt idx="40">
                  <c:v>23.999999999999893</c:v>
                </c:pt>
                <c:pt idx="41">
                  <c:v>21.599999999999895</c:v>
                </c:pt>
                <c:pt idx="42">
                  <c:v>19.199999999999896</c:v>
                </c:pt>
                <c:pt idx="43">
                  <c:v>16.799999999999898</c:v>
                </c:pt>
                <c:pt idx="44">
                  <c:v>14.399999999999897</c:v>
                </c:pt>
                <c:pt idx="45">
                  <c:v>11.999999999999897</c:v>
                </c:pt>
                <c:pt idx="46">
                  <c:v>9.5999999999998966</c:v>
                </c:pt>
                <c:pt idx="47">
                  <c:v>7.1999999999998963</c:v>
                </c:pt>
                <c:pt idx="48">
                  <c:v>4.7999999999998959</c:v>
                </c:pt>
                <c:pt idx="49">
                  <c:v>2.399999999999896</c:v>
                </c:pt>
                <c:pt idx="50">
                  <c:v>-1.0391687510491465E-13</c:v>
                </c:pt>
              </c:numCache>
            </c:numRef>
          </c:cat>
          <c:val>
            <c:numRef>
              <c:f>'3dGraph'!$D$28:$D$78</c:f>
              <c:numCache>
                <c:formatCode>General</c:formatCode>
                <c:ptCount val="51"/>
                <c:pt idx="0">
                  <c:v>69.609760000000037</c:v>
                </c:pt>
                <c:pt idx="1">
                  <c:v>70.274694400000044</c:v>
                </c:pt>
                <c:pt idx="2">
                  <c:v>70.917049600000027</c:v>
                </c:pt>
                <c:pt idx="3">
                  <c:v>71.536825600000029</c:v>
                </c:pt>
                <c:pt idx="4">
                  <c:v>72.134022400000021</c:v>
                </c:pt>
                <c:pt idx="5">
                  <c:v>72.708640000000045</c:v>
                </c:pt>
                <c:pt idx="6">
                  <c:v>73.260678400000046</c:v>
                </c:pt>
                <c:pt idx="7">
                  <c:v>73.790137600000037</c:v>
                </c:pt>
                <c:pt idx="8">
                  <c:v>74.297017600000061</c:v>
                </c:pt>
                <c:pt idx="9">
                  <c:v>74.781318400000046</c:v>
                </c:pt>
                <c:pt idx="10">
                  <c:v>75.24304000000005</c:v>
                </c:pt>
                <c:pt idx="11">
                  <c:v>75.68218240000003</c:v>
                </c:pt>
                <c:pt idx="12">
                  <c:v>76.098745600000029</c:v>
                </c:pt>
                <c:pt idx="13">
                  <c:v>76.492729600000047</c:v>
                </c:pt>
                <c:pt idx="14">
                  <c:v>76.86413440000004</c:v>
                </c:pt>
                <c:pt idx="15">
                  <c:v>77.212960000000038</c:v>
                </c:pt>
                <c:pt idx="16">
                  <c:v>77.539206400000026</c:v>
                </c:pt>
                <c:pt idx="17">
                  <c:v>77.842873600000061</c:v>
                </c:pt>
                <c:pt idx="18">
                  <c:v>78.123961600000044</c:v>
                </c:pt>
                <c:pt idx="19">
                  <c:v>78.382470400000045</c:v>
                </c:pt>
                <c:pt idx="20">
                  <c:v>78.618400000000022</c:v>
                </c:pt>
                <c:pt idx="21">
                  <c:v>78.831750400000061</c:v>
                </c:pt>
                <c:pt idx="22">
                  <c:v>79.022521600000033</c:v>
                </c:pt>
                <c:pt idx="23">
                  <c:v>79.190713600000038</c:v>
                </c:pt>
                <c:pt idx="24">
                  <c:v>79.336326400000033</c:v>
                </c:pt>
                <c:pt idx="25">
                  <c:v>79.459360000000046</c:v>
                </c:pt>
                <c:pt idx="26">
                  <c:v>79.55981440000005</c:v>
                </c:pt>
                <c:pt idx="27">
                  <c:v>79.63768960000003</c:v>
                </c:pt>
                <c:pt idx="28">
                  <c:v>79.692985600000029</c:v>
                </c:pt>
                <c:pt idx="29">
                  <c:v>79.725702400000031</c:v>
                </c:pt>
                <c:pt idx="30">
                  <c:v>79.735840000000024</c:v>
                </c:pt>
                <c:pt idx="31">
                  <c:v>79.723398400000022</c:v>
                </c:pt>
                <c:pt idx="32">
                  <c:v>79.688377600000038</c:v>
                </c:pt>
                <c:pt idx="33">
                  <c:v>79.63077760000003</c:v>
                </c:pt>
                <c:pt idx="34">
                  <c:v>79.550598400000013</c:v>
                </c:pt>
                <c:pt idx="35">
                  <c:v>79.447840000000014</c:v>
                </c:pt>
                <c:pt idx="36">
                  <c:v>79.322502400000047</c:v>
                </c:pt>
                <c:pt idx="37">
                  <c:v>79.174585600000029</c:v>
                </c:pt>
                <c:pt idx="38">
                  <c:v>79.004089600000015</c:v>
                </c:pt>
                <c:pt idx="39">
                  <c:v>78.811014400000005</c:v>
                </c:pt>
                <c:pt idx="40">
                  <c:v>78.595360000000028</c:v>
                </c:pt>
                <c:pt idx="41">
                  <c:v>78.357126400000013</c:v>
                </c:pt>
                <c:pt idx="42">
                  <c:v>78.096313600000016</c:v>
                </c:pt>
                <c:pt idx="43">
                  <c:v>77.812921600000038</c:v>
                </c:pt>
                <c:pt idx="44">
                  <c:v>77.506950400000022</c:v>
                </c:pt>
                <c:pt idx="45">
                  <c:v>77.178400000000011</c:v>
                </c:pt>
                <c:pt idx="46">
                  <c:v>76.827270400000003</c:v>
                </c:pt>
                <c:pt idx="47">
                  <c:v>76.453561600000029</c:v>
                </c:pt>
                <c:pt idx="48">
                  <c:v>76.05727360000003</c:v>
                </c:pt>
                <c:pt idx="49">
                  <c:v>75.638406400000008</c:v>
                </c:pt>
                <c:pt idx="50">
                  <c:v>75.196960000000004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5A-43B2-9C9C-0FB310DD3FD5}"/>
            </c:ext>
          </c:extLst>
        </c:ser>
        <c:ser>
          <c:idx val="3"/>
          <c:order val="3"/>
          <c:tx>
            <c:strRef>
              <c:f>'3dGraph'!$E$27</c:f>
              <c:strCache>
                <c:ptCount val="1"/>
                <c:pt idx="0">
                  <c:v>1060</c:v>
                </c:pt>
              </c:strCache>
            </c:strRef>
          </c:tx>
          <c:spPr>
            <a:solidFill>
              <a:srgbClr val="A0E0E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'3dGraph'!$A$28:$A$78</c:f>
              <c:numCache>
                <c:formatCode>General</c:formatCode>
                <c:ptCount val="51"/>
                <c:pt idx="0">
                  <c:v>120</c:v>
                </c:pt>
                <c:pt idx="1">
                  <c:v>117.6</c:v>
                </c:pt>
                <c:pt idx="2">
                  <c:v>115.19999999999999</c:v>
                </c:pt>
                <c:pt idx="3">
                  <c:v>112.79999999999998</c:v>
                </c:pt>
                <c:pt idx="4">
                  <c:v>110.39999999999998</c:v>
                </c:pt>
                <c:pt idx="5">
                  <c:v>107.99999999999997</c:v>
                </c:pt>
                <c:pt idx="6">
                  <c:v>105.59999999999997</c:v>
                </c:pt>
                <c:pt idx="7">
                  <c:v>103.19999999999996</c:v>
                </c:pt>
                <c:pt idx="8">
                  <c:v>100.79999999999995</c:v>
                </c:pt>
                <c:pt idx="9">
                  <c:v>98.399999999999949</c:v>
                </c:pt>
                <c:pt idx="10">
                  <c:v>95.999999999999943</c:v>
                </c:pt>
                <c:pt idx="11">
                  <c:v>93.599999999999937</c:v>
                </c:pt>
                <c:pt idx="12">
                  <c:v>91.199999999999932</c:v>
                </c:pt>
                <c:pt idx="13">
                  <c:v>88.799999999999926</c:v>
                </c:pt>
                <c:pt idx="14">
                  <c:v>86.39999999999992</c:v>
                </c:pt>
                <c:pt idx="15">
                  <c:v>83.999999999999915</c:v>
                </c:pt>
                <c:pt idx="16">
                  <c:v>81.599999999999909</c:v>
                </c:pt>
                <c:pt idx="17">
                  <c:v>79.199999999999903</c:v>
                </c:pt>
                <c:pt idx="18">
                  <c:v>76.799999999999898</c:v>
                </c:pt>
                <c:pt idx="19">
                  <c:v>74.399999999999892</c:v>
                </c:pt>
                <c:pt idx="20">
                  <c:v>71.999999999999886</c:v>
                </c:pt>
                <c:pt idx="21">
                  <c:v>69.599999999999881</c:v>
                </c:pt>
                <c:pt idx="22">
                  <c:v>67.199999999999875</c:v>
                </c:pt>
                <c:pt idx="23">
                  <c:v>64.799999999999869</c:v>
                </c:pt>
                <c:pt idx="24">
                  <c:v>62.399999999999871</c:v>
                </c:pt>
                <c:pt idx="25">
                  <c:v>59.999999999999872</c:v>
                </c:pt>
                <c:pt idx="26">
                  <c:v>57.599999999999874</c:v>
                </c:pt>
                <c:pt idx="27">
                  <c:v>55.199999999999875</c:v>
                </c:pt>
                <c:pt idx="28">
                  <c:v>52.799999999999876</c:v>
                </c:pt>
                <c:pt idx="29">
                  <c:v>50.399999999999878</c:v>
                </c:pt>
                <c:pt idx="30">
                  <c:v>47.999999999999879</c:v>
                </c:pt>
                <c:pt idx="31">
                  <c:v>45.599999999999881</c:v>
                </c:pt>
                <c:pt idx="32">
                  <c:v>43.199999999999882</c:v>
                </c:pt>
                <c:pt idx="33">
                  <c:v>40.799999999999883</c:v>
                </c:pt>
                <c:pt idx="34">
                  <c:v>38.399999999999885</c:v>
                </c:pt>
                <c:pt idx="35">
                  <c:v>35.999999999999886</c:v>
                </c:pt>
                <c:pt idx="36">
                  <c:v>33.599999999999888</c:v>
                </c:pt>
                <c:pt idx="37">
                  <c:v>31.199999999999889</c:v>
                </c:pt>
                <c:pt idx="38">
                  <c:v>28.799999999999891</c:v>
                </c:pt>
                <c:pt idx="39">
                  <c:v>26.399999999999892</c:v>
                </c:pt>
                <c:pt idx="40">
                  <c:v>23.999999999999893</c:v>
                </c:pt>
                <c:pt idx="41">
                  <c:v>21.599999999999895</c:v>
                </c:pt>
                <c:pt idx="42">
                  <c:v>19.199999999999896</c:v>
                </c:pt>
                <c:pt idx="43">
                  <c:v>16.799999999999898</c:v>
                </c:pt>
                <c:pt idx="44">
                  <c:v>14.399999999999897</c:v>
                </c:pt>
                <c:pt idx="45">
                  <c:v>11.999999999999897</c:v>
                </c:pt>
                <c:pt idx="46">
                  <c:v>9.5999999999998966</c:v>
                </c:pt>
                <c:pt idx="47">
                  <c:v>7.1999999999998963</c:v>
                </c:pt>
                <c:pt idx="48">
                  <c:v>4.7999999999998959</c:v>
                </c:pt>
                <c:pt idx="49">
                  <c:v>2.399999999999896</c:v>
                </c:pt>
                <c:pt idx="50">
                  <c:v>-1.0391687510491465E-13</c:v>
                </c:pt>
              </c:numCache>
            </c:numRef>
          </c:cat>
          <c:val>
            <c:numRef>
              <c:f>'3dGraph'!$E$28:$E$78</c:f>
              <c:numCache>
                <c:formatCode>General</c:formatCode>
                <c:ptCount val="51"/>
                <c:pt idx="0">
                  <c:v>70.943360000000027</c:v>
                </c:pt>
                <c:pt idx="1">
                  <c:v>71.606326400000029</c:v>
                </c:pt>
                <c:pt idx="2">
                  <c:v>72.246713600000021</c:v>
                </c:pt>
                <c:pt idx="3">
                  <c:v>72.864521600000018</c:v>
                </c:pt>
                <c:pt idx="4">
                  <c:v>73.459750400000019</c:v>
                </c:pt>
                <c:pt idx="5">
                  <c:v>74.032400000000038</c:v>
                </c:pt>
                <c:pt idx="6">
                  <c:v>74.582470400000034</c:v>
                </c:pt>
                <c:pt idx="7">
                  <c:v>75.10996160000002</c:v>
                </c:pt>
                <c:pt idx="8">
                  <c:v>75.614873600000053</c:v>
                </c:pt>
                <c:pt idx="9">
                  <c:v>76.097206400000047</c:v>
                </c:pt>
                <c:pt idx="10">
                  <c:v>76.556960000000032</c:v>
                </c:pt>
                <c:pt idx="11">
                  <c:v>76.994134400000021</c:v>
                </c:pt>
                <c:pt idx="12">
                  <c:v>77.408729600000015</c:v>
                </c:pt>
                <c:pt idx="13">
                  <c:v>77.800745600000042</c:v>
                </c:pt>
                <c:pt idx="14">
                  <c:v>78.17018240000003</c:v>
                </c:pt>
                <c:pt idx="15">
                  <c:v>78.517040000000037</c:v>
                </c:pt>
                <c:pt idx="16">
                  <c:v>78.84131840000002</c:v>
                </c:pt>
                <c:pt idx="17">
                  <c:v>79.14301760000005</c:v>
                </c:pt>
                <c:pt idx="18">
                  <c:v>79.422137600000042</c:v>
                </c:pt>
                <c:pt idx="19">
                  <c:v>79.678678400000038</c:v>
                </c:pt>
                <c:pt idx="20">
                  <c:v>79.912640000000025</c:v>
                </c:pt>
                <c:pt idx="21">
                  <c:v>80.124022400000058</c:v>
                </c:pt>
                <c:pt idx="22">
                  <c:v>80.312825600000025</c:v>
                </c:pt>
                <c:pt idx="23">
                  <c:v>80.479049600000025</c:v>
                </c:pt>
                <c:pt idx="24">
                  <c:v>80.622694400000015</c:v>
                </c:pt>
                <c:pt idx="25">
                  <c:v>80.743760000000037</c:v>
                </c:pt>
                <c:pt idx="26">
                  <c:v>80.842246400000022</c:v>
                </c:pt>
                <c:pt idx="27">
                  <c:v>80.918153600000025</c:v>
                </c:pt>
                <c:pt idx="28">
                  <c:v>80.971481600000018</c:v>
                </c:pt>
                <c:pt idx="29">
                  <c:v>81.00223040000003</c:v>
                </c:pt>
                <c:pt idx="30">
                  <c:v>81.010400000000018</c:v>
                </c:pt>
                <c:pt idx="31">
                  <c:v>80.995990400000011</c:v>
                </c:pt>
                <c:pt idx="32">
                  <c:v>80.959001600000036</c:v>
                </c:pt>
                <c:pt idx="33">
                  <c:v>80.899433600000023</c:v>
                </c:pt>
                <c:pt idx="34">
                  <c:v>80.817286400000015</c:v>
                </c:pt>
                <c:pt idx="35">
                  <c:v>80.712560000000011</c:v>
                </c:pt>
                <c:pt idx="36">
                  <c:v>80.585254400000039</c:v>
                </c:pt>
                <c:pt idx="37">
                  <c:v>80.43536960000003</c:v>
                </c:pt>
                <c:pt idx="38">
                  <c:v>80.262905599999996</c:v>
                </c:pt>
                <c:pt idx="39">
                  <c:v>80.067862399999996</c:v>
                </c:pt>
                <c:pt idx="40">
                  <c:v>79.850240000000014</c:v>
                </c:pt>
                <c:pt idx="41">
                  <c:v>79.610038400000008</c:v>
                </c:pt>
                <c:pt idx="42">
                  <c:v>79.347257600000006</c:v>
                </c:pt>
                <c:pt idx="43">
                  <c:v>79.061897600000023</c:v>
                </c:pt>
                <c:pt idx="44">
                  <c:v>78.753958400000016</c:v>
                </c:pt>
                <c:pt idx="45">
                  <c:v>78.423439999999999</c:v>
                </c:pt>
                <c:pt idx="46">
                  <c:v>78.070342400000001</c:v>
                </c:pt>
                <c:pt idx="47">
                  <c:v>77.694665600000022</c:v>
                </c:pt>
                <c:pt idx="48">
                  <c:v>77.296409600000018</c:v>
                </c:pt>
                <c:pt idx="49">
                  <c:v>76.875574400000005</c:v>
                </c:pt>
                <c:pt idx="50">
                  <c:v>76.432159999999996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5A-43B2-9C9C-0FB310DD3FD5}"/>
            </c:ext>
          </c:extLst>
        </c:ser>
        <c:ser>
          <c:idx val="4"/>
          <c:order val="4"/>
          <c:tx>
            <c:strRef>
              <c:f>'3dGraph'!$F$27</c:f>
              <c:strCache>
                <c:ptCount val="1"/>
                <c:pt idx="0">
                  <c:v>1080</c:v>
                </c:pt>
              </c:strCache>
            </c:strRef>
          </c:tx>
          <c:spPr>
            <a:solidFill>
              <a:srgbClr val="60008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'3dGraph'!$A$28:$A$78</c:f>
              <c:numCache>
                <c:formatCode>General</c:formatCode>
                <c:ptCount val="51"/>
                <c:pt idx="0">
                  <c:v>120</c:v>
                </c:pt>
                <c:pt idx="1">
                  <c:v>117.6</c:v>
                </c:pt>
                <c:pt idx="2">
                  <c:v>115.19999999999999</c:v>
                </c:pt>
                <c:pt idx="3">
                  <c:v>112.79999999999998</c:v>
                </c:pt>
                <c:pt idx="4">
                  <c:v>110.39999999999998</c:v>
                </c:pt>
                <c:pt idx="5">
                  <c:v>107.99999999999997</c:v>
                </c:pt>
                <c:pt idx="6">
                  <c:v>105.59999999999997</c:v>
                </c:pt>
                <c:pt idx="7">
                  <c:v>103.19999999999996</c:v>
                </c:pt>
                <c:pt idx="8">
                  <c:v>100.79999999999995</c:v>
                </c:pt>
                <c:pt idx="9">
                  <c:v>98.399999999999949</c:v>
                </c:pt>
                <c:pt idx="10">
                  <c:v>95.999999999999943</c:v>
                </c:pt>
                <c:pt idx="11">
                  <c:v>93.599999999999937</c:v>
                </c:pt>
                <c:pt idx="12">
                  <c:v>91.199999999999932</c:v>
                </c:pt>
                <c:pt idx="13">
                  <c:v>88.799999999999926</c:v>
                </c:pt>
                <c:pt idx="14">
                  <c:v>86.39999999999992</c:v>
                </c:pt>
                <c:pt idx="15">
                  <c:v>83.999999999999915</c:v>
                </c:pt>
                <c:pt idx="16">
                  <c:v>81.599999999999909</c:v>
                </c:pt>
                <c:pt idx="17">
                  <c:v>79.199999999999903</c:v>
                </c:pt>
                <c:pt idx="18">
                  <c:v>76.799999999999898</c:v>
                </c:pt>
                <c:pt idx="19">
                  <c:v>74.399999999999892</c:v>
                </c:pt>
                <c:pt idx="20">
                  <c:v>71.999999999999886</c:v>
                </c:pt>
                <c:pt idx="21">
                  <c:v>69.599999999999881</c:v>
                </c:pt>
                <c:pt idx="22">
                  <c:v>67.199999999999875</c:v>
                </c:pt>
                <c:pt idx="23">
                  <c:v>64.799999999999869</c:v>
                </c:pt>
                <c:pt idx="24">
                  <c:v>62.399999999999871</c:v>
                </c:pt>
                <c:pt idx="25">
                  <c:v>59.999999999999872</c:v>
                </c:pt>
                <c:pt idx="26">
                  <c:v>57.599999999999874</c:v>
                </c:pt>
                <c:pt idx="27">
                  <c:v>55.199999999999875</c:v>
                </c:pt>
                <c:pt idx="28">
                  <c:v>52.799999999999876</c:v>
                </c:pt>
                <c:pt idx="29">
                  <c:v>50.399999999999878</c:v>
                </c:pt>
                <c:pt idx="30">
                  <c:v>47.999999999999879</c:v>
                </c:pt>
                <c:pt idx="31">
                  <c:v>45.599999999999881</c:v>
                </c:pt>
                <c:pt idx="32">
                  <c:v>43.199999999999882</c:v>
                </c:pt>
                <c:pt idx="33">
                  <c:v>40.799999999999883</c:v>
                </c:pt>
                <c:pt idx="34">
                  <c:v>38.399999999999885</c:v>
                </c:pt>
                <c:pt idx="35">
                  <c:v>35.999999999999886</c:v>
                </c:pt>
                <c:pt idx="36">
                  <c:v>33.599999999999888</c:v>
                </c:pt>
                <c:pt idx="37">
                  <c:v>31.199999999999889</c:v>
                </c:pt>
                <c:pt idx="38">
                  <c:v>28.799999999999891</c:v>
                </c:pt>
                <c:pt idx="39">
                  <c:v>26.399999999999892</c:v>
                </c:pt>
                <c:pt idx="40">
                  <c:v>23.999999999999893</c:v>
                </c:pt>
                <c:pt idx="41">
                  <c:v>21.599999999999895</c:v>
                </c:pt>
                <c:pt idx="42">
                  <c:v>19.199999999999896</c:v>
                </c:pt>
                <c:pt idx="43">
                  <c:v>16.799999999999898</c:v>
                </c:pt>
                <c:pt idx="44">
                  <c:v>14.399999999999897</c:v>
                </c:pt>
                <c:pt idx="45">
                  <c:v>11.999999999999897</c:v>
                </c:pt>
                <c:pt idx="46">
                  <c:v>9.5999999999998966</c:v>
                </c:pt>
                <c:pt idx="47">
                  <c:v>7.1999999999998963</c:v>
                </c:pt>
                <c:pt idx="48">
                  <c:v>4.7999999999998959</c:v>
                </c:pt>
                <c:pt idx="49">
                  <c:v>2.399999999999896</c:v>
                </c:pt>
                <c:pt idx="50">
                  <c:v>-1.0391687510491465E-13</c:v>
                </c:pt>
              </c:numCache>
            </c:numRef>
          </c:cat>
          <c:val>
            <c:numRef>
              <c:f>'3dGraph'!$F$28:$F$78</c:f>
              <c:numCache>
                <c:formatCode>General</c:formatCode>
                <c:ptCount val="51"/>
                <c:pt idx="0">
                  <c:v>72.201440000000019</c:v>
                </c:pt>
                <c:pt idx="1">
                  <c:v>72.86243840000003</c:v>
                </c:pt>
                <c:pt idx="2">
                  <c:v>73.500857600000018</c:v>
                </c:pt>
                <c:pt idx="3">
                  <c:v>74.116697600000009</c:v>
                </c:pt>
                <c:pt idx="4">
                  <c:v>74.709958400000005</c:v>
                </c:pt>
                <c:pt idx="5">
                  <c:v>75.280640000000034</c:v>
                </c:pt>
                <c:pt idx="6">
                  <c:v>75.828742400000024</c:v>
                </c:pt>
                <c:pt idx="7">
                  <c:v>76.354265600000019</c:v>
                </c:pt>
                <c:pt idx="8">
                  <c:v>76.857209600000047</c:v>
                </c:pt>
                <c:pt idx="9">
                  <c:v>77.337574400000037</c:v>
                </c:pt>
                <c:pt idx="10">
                  <c:v>77.795360000000031</c:v>
                </c:pt>
                <c:pt idx="11">
                  <c:v>78.230566400000015</c:v>
                </c:pt>
                <c:pt idx="12">
                  <c:v>78.643193600000018</c:v>
                </c:pt>
                <c:pt idx="13">
                  <c:v>79.033241600000039</c:v>
                </c:pt>
                <c:pt idx="14">
                  <c:v>79.400710400000023</c:v>
                </c:pt>
                <c:pt idx="15">
                  <c:v>79.745600000000024</c:v>
                </c:pt>
                <c:pt idx="16">
                  <c:v>80.067910400000017</c:v>
                </c:pt>
                <c:pt idx="17">
                  <c:v>80.367641600000042</c:v>
                </c:pt>
                <c:pt idx="18">
                  <c:v>80.644793600000028</c:v>
                </c:pt>
                <c:pt idx="19">
                  <c:v>80.899366400000034</c:v>
                </c:pt>
                <c:pt idx="20">
                  <c:v>81.131360000000015</c:v>
                </c:pt>
                <c:pt idx="21">
                  <c:v>81.340774400000043</c:v>
                </c:pt>
                <c:pt idx="22">
                  <c:v>81.527609600000034</c:v>
                </c:pt>
                <c:pt idx="23">
                  <c:v>81.691865600000028</c:v>
                </c:pt>
                <c:pt idx="24">
                  <c:v>81.833542400000013</c:v>
                </c:pt>
                <c:pt idx="25">
                  <c:v>81.952640000000031</c:v>
                </c:pt>
                <c:pt idx="26">
                  <c:v>82.049158400000039</c:v>
                </c:pt>
                <c:pt idx="27">
                  <c:v>82.123097600000023</c:v>
                </c:pt>
                <c:pt idx="28">
                  <c:v>82.174457600000011</c:v>
                </c:pt>
                <c:pt idx="29">
                  <c:v>82.203238400000018</c:v>
                </c:pt>
                <c:pt idx="30">
                  <c:v>82.209440000000015</c:v>
                </c:pt>
                <c:pt idx="31">
                  <c:v>82.193062400000002</c:v>
                </c:pt>
                <c:pt idx="32">
                  <c:v>82.154105600000022</c:v>
                </c:pt>
                <c:pt idx="33">
                  <c:v>82.092569600000019</c:v>
                </c:pt>
                <c:pt idx="34">
                  <c:v>82.008454400000005</c:v>
                </c:pt>
                <c:pt idx="35">
                  <c:v>81.901759999999996</c:v>
                </c:pt>
                <c:pt idx="36">
                  <c:v>81.772486400000034</c:v>
                </c:pt>
                <c:pt idx="37">
                  <c:v>81.620633600000019</c:v>
                </c:pt>
                <c:pt idx="38">
                  <c:v>81.446201599999995</c:v>
                </c:pt>
                <c:pt idx="39">
                  <c:v>81.249190399999989</c:v>
                </c:pt>
                <c:pt idx="40">
                  <c:v>81.029600000000016</c:v>
                </c:pt>
                <c:pt idx="41">
                  <c:v>80.787430400000005</c:v>
                </c:pt>
                <c:pt idx="42">
                  <c:v>80.522681599999999</c:v>
                </c:pt>
                <c:pt idx="43">
                  <c:v>80.235353600000025</c:v>
                </c:pt>
                <c:pt idx="44">
                  <c:v>79.925446400000013</c:v>
                </c:pt>
                <c:pt idx="45">
                  <c:v>79.592959999999991</c:v>
                </c:pt>
                <c:pt idx="46">
                  <c:v>79.237894400000002</c:v>
                </c:pt>
                <c:pt idx="47">
                  <c:v>78.860249600000017</c:v>
                </c:pt>
                <c:pt idx="48">
                  <c:v>78.460025600000009</c:v>
                </c:pt>
                <c:pt idx="49">
                  <c:v>78.03722239999999</c:v>
                </c:pt>
                <c:pt idx="50">
                  <c:v>77.591839999999991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85A-43B2-9C9C-0FB310DD3FD5}"/>
            </c:ext>
          </c:extLst>
        </c:ser>
        <c:ser>
          <c:idx val="5"/>
          <c:order val="5"/>
          <c:tx>
            <c:strRef>
              <c:f>'3dGraph'!$G$27</c:f>
              <c:strCache>
                <c:ptCount val="1"/>
                <c:pt idx="0">
                  <c:v>1100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'3dGraph'!$A$28:$A$78</c:f>
              <c:numCache>
                <c:formatCode>General</c:formatCode>
                <c:ptCount val="51"/>
                <c:pt idx="0">
                  <c:v>120</c:v>
                </c:pt>
                <c:pt idx="1">
                  <c:v>117.6</c:v>
                </c:pt>
                <c:pt idx="2">
                  <c:v>115.19999999999999</c:v>
                </c:pt>
                <c:pt idx="3">
                  <c:v>112.79999999999998</c:v>
                </c:pt>
                <c:pt idx="4">
                  <c:v>110.39999999999998</c:v>
                </c:pt>
                <c:pt idx="5">
                  <c:v>107.99999999999997</c:v>
                </c:pt>
                <c:pt idx="6">
                  <c:v>105.59999999999997</c:v>
                </c:pt>
                <c:pt idx="7">
                  <c:v>103.19999999999996</c:v>
                </c:pt>
                <c:pt idx="8">
                  <c:v>100.79999999999995</c:v>
                </c:pt>
                <c:pt idx="9">
                  <c:v>98.399999999999949</c:v>
                </c:pt>
                <c:pt idx="10">
                  <c:v>95.999999999999943</c:v>
                </c:pt>
                <c:pt idx="11">
                  <c:v>93.599999999999937</c:v>
                </c:pt>
                <c:pt idx="12">
                  <c:v>91.199999999999932</c:v>
                </c:pt>
                <c:pt idx="13">
                  <c:v>88.799999999999926</c:v>
                </c:pt>
                <c:pt idx="14">
                  <c:v>86.39999999999992</c:v>
                </c:pt>
                <c:pt idx="15">
                  <c:v>83.999999999999915</c:v>
                </c:pt>
                <c:pt idx="16">
                  <c:v>81.599999999999909</c:v>
                </c:pt>
                <c:pt idx="17">
                  <c:v>79.199999999999903</c:v>
                </c:pt>
                <c:pt idx="18">
                  <c:v>76.799999999999898</c:v>
                </c:pt>
                <c:pt idx="19">
                  <c:v>74.399999999999892</c:v>
                </c:pt>
                <c:pt idx="20">
                  <c:v>71.999999999999886</c:v>
                </c:pt>
                <c:pt idx="21">
                  <c:v>69.599999999999881</c:v>
                </c:pt>
                <c:pt idx="22">
                  <c:v>67.199999999999875</c:v>
                </c:pt>
                <c:pt idx="23">
                  <c:v>64.799999999999869</c:v>
                </c:pt>
                <c:pt idx="24">
                  <c:v>62.399999999999871</c:v>
                </c:pt>
                <c:pt idx="25">
                  <c:v>59.999999999999872</c:v>
                </c:pt>
                <c:pt idx="26">
                  <c:v>57.599999999999874</c:v>
                </c:pt>
                <c:pt idx="27">
                  <c:v>55.199999999999875</c:v>
                </c:pt>
                <c:pt idx="28">
                  <c:v>52.799999999999876</c:v>
                </c:pt>
                <c:pt idx="29">
                  <c:v>50.399999999999878</c:v>
                </c:pt>
                <c:pt idx="30">
                  <c:v>47.999999999999879</c:v>
                </c:pt>
                <c:pt idx="31">
                  <c:v>45.599999999999881</c:v>
                </c:pt>
                <c:pt idx="32">
                  <c:v>43.199999999999882</c:v>
                </c:pt>
                <c:pt idx="33">
                  <c:v>40.799999999999883</c:v>
                </c:pt>
                <c:pt idx="34">
                  <c:v>38.399999999999885</c:v>
                </c:pt>
                <c:pt idx="35">
                  <c:v>35.999999999999886</c:v>
                </c:pt>
                <c:pt idx="36">
                  <c:v>33.599999999999888</c:v>
                </c:pt>
                <c:pt idx="37">
                  <c:v>31.199999999999889</c:v>
                </c:pt>
                <c:pt idx="38">
                  <c:v>28.799999999999891</c:v>
                </c:pt>
                <c:pt idx="39">
                  <c:v>26.399999999999892</c:v>
                </c:pt>
                <c:pt idx="40">
                  <c:v>23.999999999999893</c:v>
                </c:pt>
                <c:pt idx="41">
                  <c:v>21.599999999999895</c:v>
                </c:pt>
                <c:pt idx="42">
                  <c:v>19.199999999999896</c:v>
                </c:pt>
                <c:pt idx="43">
                  <c:v>16.799999999999898</c:v>
                </c:pt>
                <c:pt idx="44">
                  <c:v>14.399999999999897</c:v>
                </c:pt>
                <c:pt idx="45">
                  <c:v>11.999999999999897</c:v>
                </c:pt>
                <c:pt idx="46">
                  <c:v>9.5999999999998966</c:v>
                </c:pt>
                <c:pt idx="47">
                  <c:v>7.1999999999998963</c:v>
                </c:pt>
                <c:pt idx="48">
                  <c:v>4.7999999999998959</c:v>
                </c:pt>
                <c:pt idx="49">
                  <c:v>2.399999999999896</c:v>
                </c:pt>
                <c:pt idx="50">
                  <c:v>-1.0391687510491465E-13</c:v>
                </c:pt>
              </c:numCache>
            </c:numRef>
          </c:cat>
          <c:val>
            <c:numRef>
              <c:f>'3dGraph'!$G$28:$G$78</c:f>
              <c:numCache>
                <c:formatCode>General</c:formatCode>
                <c:ptCount val="51"/>
                <c:pt idx="0">
                  <c:v>73.384000000000015</c:v>
                </c:pt>
                <c:pt idx="1">
                  <c:v>74.043030400000006</c:v>
                </c:pt>
                <c:pt idx="2">
                  <c:v>74.679481600000003</c:v>
                </c:pt>
                <c:pt idx="3">
                  <c:v>75.293353600000003</c:v>
                </c:pt>
                <c:pt idx="4">
                  <c:v>75.884646399999994</c:v>
                </c:pt>
                <c:pt idx="5">
                  <c:v>76.453360000000018</c:v>
                </c:pt>
                <c:pt idx="6">
                  <c:v>76.999494400000003</c:v>
                </c:pt>
                <c:pt idx="7">
                  <c:v>77.523049600000007</c:v>
                </c:pt>
                <c:pt idx="8">
                  <c:v>78.02402560000003</c:v>
                </c:pt>
                <c:pt idx="9">
                  <c:v>78.502422400000015</c:v>
                </c:pt>
                <c:pt idx="10">
                  <c:v>78.958240000000018</c:v>
                </c:pt>
                <c:pt idx="11">
                  <c:v>79.391478399999997</c:v>
                </c:pt>
                <c:pt idx="12">
                  <c:v>79.802137599999995</c:v>
                </c:pt>
                <c:pt idx="13">
                  <c:v>80.190217600000025</c:v>
                </c:pt>
                <c:pt idx="14">
                  <c:v>80.555718400000003</c:v>
                </c:pt>
                <c:pt idx="15">
                  <c:v>80.89864</c:v>
                </c:pt>
                <c:pt idx="16">
                  <c:v>81.218982400000002</c:v>
                </c:pt>
                <c:pt idx="17">
                  <c:v>81.516745600000021</c:v>
                </c:pt>
                <c:pt idx="18">
                  <c:v>81.791929600000017</c:v>
                </c:pt>
                <c:pt idx="19">
                  <c:v>82.044534400000018</c:v>
                </c:pt>
                <c:pt idx="20">
                  <c:v>82.274559999999994</c:v>
                </c:pt>
                <c:pt idx="21">
                  <c:v>82.482006400000017</c:v>
                </c:pt>
                <c:pt idx="22">
                  <c:v>82.666873600000002</c:v>
                </c:pt>
                <c:pt idx="23">
                  <c:v>82.829161600000006</c:v>
                </c:pt>
                <c:pt idx="24">
                  <c:v>82.9688704</c:v>
                </c:pt>
                <c:pt idx="25">
                  <c:v>83.086000000000013</c:v>
                </c:pt>
                <c:pt idx="26">
                  <c:v>83.180550400000016</c:v>
                </c:pt>
                <c:pt idx="27">
                  <c:v>83.252521600000009</c:v>
                </c:pt>
                <c:pt idx="28">
                  <c:v>83.301913599999992</c:v>
                </c:pt>
                <c:pt idx="29">
                  <c:v>83.328726400000008</c:v>
                </c:pt>
                <c:pt idx="30">
                  <c:v>83.33296</c:v>
                </c:pt>
                <c:pt idx="31">
                  <c:v>83.314614399999982</c:v>
                </c:pt>
                <c:pt idx="32">
                  <c:v>83.273689600000012</c:v>
                </c:pt>
                <c:pt idx="33">
                  <c:v>83.210185600000003</c:v>
                </c:pt>
                <c:pt idx="34">
                  <c:v>83.124102399999984</c:v>
                </c:pt>
                <c:pt idx="35">
                  <c:v>83.015439999999984</c:v>
                </c:pt>
                <c:pt idx="36">
                  <c:v>82.884198400000017</c:v>
                </c:pt>
                <c:pt idx="37">
                  <c:v>82.730377599999997</c:v>
                </c:pt>
                <c:pt idx="38">
                  <c:v>82.553977599999982</c:v>
                </c:pt>
                <c:pt idx="39">
                  <c:v>82.354998399999985</c:v>
                </c:pt>
                <c:pt idx="40">
                  <c:v>82.133439999999993</c:v>
                </c:pt>
                <c:pt idx="41">
                  <c:v>81.889302399999991</c:v>
                </c:pt>
                <c:pt idx="42">
                  <c:v>81.622585599999979</c:v>
                </c:pt>
                <c:pt idx="43">
                  <c:v>81.333289600000001</c:v>
                </c:pt>
                <c:pt idx="44">
                  <c:v>81.021414399999998</c:v>
                </c:pt>
                <c:pt idx="45">
                  <c:v>80.686959999999971</c:v>
                </c:pt>
                <c:pt idx="46">
                  <c:v>80.329926399999977</c:v>
                </c:pt>
                <c:pt idx="47">
                  <c:v>79.950313600000001</c:v>
                </c:pt>
                <c:pt idx="48">
                  <c:v>79.548121599999988</c:v>
                </c:pt>
                <c:pt idx="49">
                  <c:v>79.123350399999978</c:v>
                </c:pt>
                <c:pt idx="50">
                  <c:v>78.675999999999974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85A-43B2-9C9C-0FB310DD3FD5}"/>
            </c:ext>
          </c:extLst>
        </c:ser>
        <c:ser>
          <c:idx val="6"/>
          <c:order val="6"/>
          <c:tx>
            <c:strRef>
              <c:f>'3dGraph'!$H$27</c:f>
              <c:strCache>
                <c:ptCount val="1"/>
                <c:pt idx="0">
                  <c:v>1120</c:v>
                </c:pt>
              </c:strCache>
            </c:strRef>
          </c:tx>
          <c:spPr>
            <a:solidFill>
              <a:srgbClr val="0080C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'3dGraph'!$A$28:$A$78</c:f>
              <c:numCache>
                <c:formatCode>General</c:formatCode>
                <c:ptCount val="51"/>
                <c:pt idx="0">
                  <c:v>120</c:v>
                </c:pt>
                <c:pt idx="1">
                  <c:v>117.6</c:v>
                </c:pt>
                <c:pt idx="2">
                  <c:v>115.19999999999999</c:v>
                </c:pt>
                <c:pt idx="3">
                  <c:v>112.79999999999998</c:v>
                </c:pt>
                <c:pt idx="4">
                  <c:v>110.39999999999998</c:v>
                </c:pt>
                <c:pt idx="5">
                  <c:v>107.99999999999997</c:v>
                </c:pt>
                <c:pt idx="6">
                  <c:v>105.59999999999997</c:v>
                </c:pt>
                <c:pt idx="7">
                  <c:v>103.19999999999996</c:v>
                </c:pt>
                <c:pt idx="8">
                  <c:v>100.79999999999995</c:v>
                </c:pt>
                <c:pt idx="9">
                  <c:v>98.399999999999949</c:v>
                </c:pt>
                <c:pt idx="10">
                  <c:v>95.999999999999943</c:v>
                </c:pt>
                <c:pt idx="11">
                  <c:v>93.599999999999937</c:v>
                </c:pt>
                <c:pt idx="12">
                  <c:v>91.199999999999932</c:v>
                </c:pt>
                <c:pt idx="13">
                  <c:v>88.799999999999926</c:v>
                </c:pt>
                <c:pt idx="14">
                  <c:v>86.39999999999992</c:v>
                </c:pt>
                <c:pt idx="15">
                  <c:v>83.999999999999915</c:v>
                </c:pt>
                <c:pt idx="16">
                  <c:v>81.599999999999909</c:v>
                </c:pt>
                <c:pt idx="17">
                  <c:v>79.199999999999903</c:v>
                </c:pt>
                <c:pt idx="18">
                  <c:v>76.799999999999898</c:v>
                </c:pt>
                <c:pt idx="19">
                  <c:v>74.399999999999892</c:v>
                </c:pt>
                <c:pt idx="20">
                  <c:v>71.999999999999886</c:v>
                </c:pt>
                <c:pt idx="21">
                  <c:v>69.599999999999881</c:v>
                </c:pt>
                <c:pt idx="22">
                  <c:v>67.199999999999875</c:v>
                </c:pt>
                <c:pt idx="23">
                  <c:v>64.799999999999869</c:v>
                </c:pt>
                <c:pt idx="24">
                  <c:v>62.399999999999871</c:v>
                </c:pt>
                <c:pt idx="25">
                  <c:v>59.999999999999872</c:v>
                </c:pt>
                <c:pt idx="26">
                  <c:v>57.599999999999874</c:v>
                </c:pt>
                <c:pt idx="27">
                  <c:v>55.199999999999875</c:v>
                </c:pt>
                <c:pt idx="28">
                  <c:v>52.799999999999876</c:v>
                </c:pt>
                <c:pt idx="29">
                  <c:v>50.399999999999878</c:v>
                </c:pt>
                <c:pt idx="30">
                  <c:v>47.999999999999879</c:v>
                </c:pt>
                <c:pt idx="31">
                  <c:v>45.599999999999881</c:v>
                </c:pt>
                <c:pt idx="32">
                  <c:v>43.199999999999882</c:v>
                </c:pt>
                <c:pt idx="33">
                  <c:v>40.799999999999883</c:v>
                </c:pt>
                <c:pt idx="34">
                  <c:v>38.399999999999885</c:v>
                </c:pt>
                <c:pt idx="35">
                  <c:v>35.999999999999886</c:v>
                </c:pt>
                <c:pt idx="36">
                  <c:v>33.599999999999888</c:v>
                </c:pt>
                <c:pt idx="37">
                  <c:v>31.199999999999889</c:v>
                </c:pt>
                <c:pt idx="38">
                  <c:v>28.799999999999891</c:v>
                </c:pt>
                <c:pt idx="39">
                  <c:v>26.399999999999892</c:v>
                </c:pt>
                <c:pt idx="40">
                  <c:v>23.999999999999893</c:v>
                </c:pt>
                <c:pt idx="41">
                  <c:v>21.599999999999895</c:v>
                </c:pt>
                <c:pt idx="42">
                  <c:v>19.199999999999896</c:v>
                </c:pt>
                <c:pt idx="43">
                  <c:v>16.799999999999898</c:v>
                </c:pt>
                <c:pt idx="44">
                  <c:v>14.399999999999897</c:v>
                </c:pt>
                <c:pt idx="45">
                  <c:v>11.999999999999897</c:v>
                </c:pt>
                <c:pt idx="46">
                  <c:v>9.5999999999998966</c:v>
                </c:pt>
                <c:pt idx="47">
                  <c:v>7.1999999999998963</c:v>
                </c:pt>
                <c:pt idx="48">
                  <c:v>4.7999999999998959</c:v>
                </c:pt>
                <c:pt idx="49">
                  <c:v>2.399999999999896</c:v>
                </c:pt>
                <c:pt idx="50">
                  <c:v>-1.0391687510491465E-13</c:v>
                </c:pt>
              </c:numCache>
            </c:numRef>
          </c:cat>
          <c:val>
            <c:numRef>
              <c:f>'3dGraph'!$H$28:$H$78</c:f>
              <c:numCache>
                <c:formatCode>General</c:formatCode>
                <c:ptCount val="51"/>
                <c:pt idx="0">
                  <c:v>74.491039999999998</c:v>
                </c:pt>
                <c:pt idx="1">
                  <c:v>75.148102399999999</c:v>
                </c:pt>
                <c:pt idx="2">
                  <c:v>75.78258559999999</c:v>
                </c:pt>
                <c:pt idx="3">
                  <c:v>76.394489599999986</c:v>
                </c:pt>
                <c:pt idx="4">
                  <c:v>76.983814399999986</c:v>
                </c:pt>
                <c:pt idx="5">
                  <c:v>77.550560000000004</c:v>
                </c:pt>
                <c:pt idx="6">
                  <c:v>78.094726399999999</c:v>
                </c:pt>
                <c:pt idx="7">
                  <c:v>78.616313599999984</c:v>
                </c:pt>
                <c:pt idx="8">
                  <c:v>79.115321600000016</c:v>
                </c:pt>
                <c:pt idx="9">
                  <c:v>79.591750400000009</c:v>
                </c:pt>
                <c:pt idx="10">
                  <c:v>80.045600000000007</c:v>
                </c:pt>
                <c:pt idx="11">
                  <c:v>80.476870399999996</c:v>
                </c:pt>
                <c:pt idx="12">
                  <c:v>80.885561599999988</c:v>
                </c:pt>
                <c:pt idx="13">
                  <c:v>81.271673600000014</c:v>
                </c:pt>
                <c:pt idx="14">
                  <c:v>81.635206400000001</c:v>
                </c:pt>
                <c:pt idx="15">
                  <c:v>81.976159999999993</c:v>
                </c:pt>
                <c:pt idx="16">
                  <c:v>82.294534399999989</c:v>
                </c:pt>
                <c:pt idx="17">
                  <c:v>82.590329600000004</c:v>
                </c:pt>
                <c:pt idx="18">
                  <c:v>82.863545599999995</c:v>
                </c:pt>
                <c:pt idx="19">
                  <c:v>83.11418239999999</c:v>
                </c:pt>
                <c:pt idx="20">
                  <c:v>83.342239999999975</c:v>
                </c:pt>
                <c:pt idx="21">
                  <c:v>83.547718400000008</c:v>
                </c:pt>
                <c:pt idx="22">
                  <c:v>83.730617599999988</c:v>
                </c:pt>
                <c:pt idx="23">
                  <c:v>83.890937599999987</c:v>
                </c:pt>
                <c:pt idx="24">
                  <c:v>84.028678399999976</c:v>
                </c:pt>
                <c:pt idx="25">
                  <c:v>84.143839999999997</c:v>
                </c:pt>
                <c:pt idx="26">
                  <c:v>84.236422399999981</c:v>
                </c:pt>
                <c:pt idx="27">
                  <c:v>84.306425599999983</c:v>
                </c:pt>
                <c:pt idx="28">
                  <c:v>84.353849599999975</c:v>
                </c:pt>
                <c:pt idx="29">
                  <c:v>84.378694399999986</c:v>
                </c:pt>
                <c:pt idx="30">
                  <c:v>84.380959999999973</c:v>
                </c:pt>
                <c:pt idx="31">
                  <c:v>84.360646399999965</c:v>
                </c:pt>
                <c:pt idx="32">
                  <c:v>84.317753600000003</c:v>
                </c:pt>
                <c:pt idx="33">
                  <c:v>84.252281599999989</c:v>
                </c:pt>
                <c:pt idx="34">
                  <c:v>84.16423039999998</c:v>
                </c:pt>
                <c:pt idx="35">
                  <c:v>84.053599999999975</c:v>
                </c:pt>
                <c:pt idx="36">
                  <c:v>83.920390400000002</c:v>
                </c:pt>
                <c:pt idx="37">
                  <c:v>83.764601599999992</c:v>
                </c:pt>
                <c:pt idx="38">
                  <c:v>83.586233599999971</c:v>
                </c:pt>
                <c:pt idx="39">
                  <c:v>83.38528639999997</c:v>
                </c:pt>
                <c:pt idx="40">
                  <c:v>83.161759999999987</c:v>
                </c:pt>
                <c:pt idx="41">
                  <c:v>82.91565439999998</c:v>
                </c:pt>
                <c:pt idx="42">
                  <c:v>82.646969599999977</c:v>
                </c:pt>
                <c:pt idx="43">
                  <c:v>82.355705599999993</c:v>
                </c:pt>
                <c:pt idx="44">
                  <c:v>82.041862399999985</c:v>
                </c:pt>
                <c:pt idx="45">
                  <c:v>81.705439999999967</c:v>
                </c:pt>
                <c:pt idx="46">
                  <c:v>81.346438399999968</c:v>
                </c:pt>
                <c:pt idx="47">
                  <c:v>80.964857599999988</c:v>
                </c:pt>
                <c:pt idx="48">
                  <c:v>80.560697599999983</c:v>
                </c:pt>
                <c:pt idx="49">
                  <c:v>80.133958399999969</c:v>
                </c:pt>
                <c:pt idx="50">
                  <c:v>79.684639999999959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5A-43B2-9C9C-0FB310DD3FD5}"/>
            </c:ext>
          </c:extLst>
        </c:ser>
        <c:ser>
          <c:idx val="7"/>
          <c:order val="7"/>
          <c:tx>
            <c:strRef>
              <c:f>'3dGraph'!$I$27</c:f>
              <c:strCache>
                <c:ptCount val="1"/>
                <c:pt idx="0">
                  <c:v>1140</c:v>
                </c:pt>
              </c:strCache>
            </c:strRef>
          </c:tx>
          <c:spPr>
            <a:solidFill>
              <a:srgbClr val="C0C0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'3dGraph'!$A$28:$A$78</c:f>
              <c:numCache>
                <c:formatCode>General</c:formatCode>
                <c:ptCount val="51"/>
                <c:pt idx="0">
                  <c:v>120</c:v>
                </c:pt>
                <c:pt idx="1">
                  <c:v>117.6</c:v>
                </c:pt>
                <c:pt idx="2">
                  <c:v>115.19999999999999</c:v>
                </c:pt>
                <c:pt idx="3">
                  <c:v>112.79999999999998</c:v>
                </c:pt>
                <c:pt idx="4">
                  <c:v>110.39999999999998</c:v>
                </c:pt>
                <c:pt idx="5">
                  <c:v>107.99999999999997</c:v>
                </c:pt>
                <c:pt idx="6">
                  <c:v>105.59999999999997</c:v>
                </c:pt>
                <c:pt idx="7">
                  <c:v>103.19999999999996</c:v>
                </c:pt>
                <c:pt idx="8">
                  <c:v>100.79999999999995</c:v>
                </c:pt>
                <c:pt idx="9">
                  <c:v>98.399999999999949</c:v>
                </c:pt>
                <c:pt idx="10">
                  <c:v>95.999999999999943</c:v>
                </c:pt>
                <c:pt idx="11">
                  <c:v>93.599999999999937</c:v>
                </c:pt>
                <c:pt idx="12">
                  <c:v>91.199999999999932</c:v>
                </c:pt>
                <c:pt idx="13">
                  <c:v>88.799999999999926</c:v>
                </c:pt>
                <c:pt idx="14">
                  <c:v>86.39999999999992</c:v>
                </c:pt>
                <c:pt idx="15">
                  <c:v>83.999999999999915</c:v>
                </c:pt>
                <c:pt idx="16">
                  <c:v>81.599999999999909</c:v>
                </c:pt>
                <c:pt idx="17">
                  <c:v>79.199999999999903</c:v>
                </c:pt>
                <c:pt idx="18">
                  <c:v>76.799999999999898</c:v>
                </c:pt>
                <c:pt idx="19">
                  <c:v>74.399999999999892</c:v>
                </c:pt>
                <c:pt idx="20">
                  <c:v>71.999999999999886</c:v>
                </c:pt>
                <c:pt idx="21">
                  <c:v>69.599999999999881</c:v>
                </c:pt>
                <c:pt idx="22">
                  <c:v>67.199999999999875</c:v>
                </c:pt>
                <c:pt idx="23">
                  <c:v>64.799999999999869</c:v>
                </c:pt>
                <c:pt idx="24">
                  <c:v>62.399999999999871</c:v>
                </c:pt>
                <c:pt idx="25">
                  <c:v>59.999999999999872</c:v>
                </c:pt>
                <c:pt idx="26">
                  <c:v>57.599999999999874</c:v>
                </c:pt>
                <c:pt idx="27">
                  <c:v>55.199999999999875</c:v>
                </c:pt>
                <c:pt idx="28">
                  <c:v>52.799999999999876</c:v>
                </c:pt>
                <c:pt idx="29">
                  <c:v>50.399999999999878</c:v>
                </c:pt>
                <c:pt idx="30">
                  <c:v>47.999999999999879</c:v>
                </c:pt>
                <c:pt idx="31">
                  <c:v>45.599999999999881</c:v>
                </c:pt>
                <c:pt idx="32">
                  <c:v>43.199999999999882</c:v>
                </c:pt>
                <c:pt idx="33">
                  <c:v>40.799999999999883</c:v>
                </c:pt>
                <c:pt idx="34">
                  <c:v>38.399999999999885</c:v>
                </c:pt>
                <c:pt idx="35">
                  <c:v>35.999999999999886</c:v>
                </c:pt>
                <c:pt idx="36">
                  <c:v>33.599999999999888</c:v>
                </c:pt>
                <c:pt idx="37">
                  <c:v>31.199999999999889</c:v>
                </c:pt>
                <c:pt idx="38">
                  <c:v>28.799999999999891</c:v>
                </c:pt>
                <c:pt idx="39">
                  <c:v>26.399999999999892</c:v>
                </c:pt>
                <c:pt idx="40">
                  <c:v>23.999999999999893</c:v>
                </c:pt>
                <c:pt idx="41">
                  <c:v>21.599999999999895</c:v>
                </c:pt>
                <c:pt idx="42">
                  <c:v>19.199999999999896</c:v>
                </c:pt>
                <c:pt idx="43">
                  <c:v>16.799999999999898</c:v>
                </c:pt>
                <c:pt idx="44">
                  <c:v>14.399999999999897</c:v>
                </c:pt>
                <c:pt idx="45">
                  <c:v>11.999999999999897</c:v>
                </c:pt>
                <c:pt idx="46">
                  <c:v>9.5999999999998966</c:v>
                </c:pt>
                <c:pt idx="47">
                  <c:v>7.1999999999998963</c:v>
                </c:pt>
                <c:pt idx="48">
                  <c:v>4.7999999999998959</c:v>
                </c:pt>
                <c:pt idx="49">
                  <c:v>2.399999999999896</c:v>
                </c:pt>
                <c:pt idx="50">
                  <c:v>-1.0391687510491465E-13</c:v>
                </c:pt>
              </c:numCache>
            </c:numRef>
          </c:cat>
          <c:val>
            <c:numRef>
              <c:f>'3dGraph'!$I$28:$I$78</c:f>
              <c:numCache>
                <c:formatCode>General</c:formatCode>
                <c:ptCount val="51"/>
                <c:pt idx="0">
                  <c:v>75.522560000000041</c:v>
                </c:pt>
                <c:pt idx="1">
                  <c:v>76.177654400000037</c:v>
                </c:pt>
                <c:pt idx="2">
                  <c:v>76.810169600000037</c:v>
                </c:pt>
                <c:pt idx="3">
                  <c:v>77.420105600000028</c:v>
                </c:pt>
                <c:pt idx="4">
                  <c:v>78.007462400000023</c:v>
                </c:pt>
                <c:pt idx="5">
                  <c:v>78.57224000000005</c:v>
                </c:pt>
                <c:pt idx="6">
                  <c:v>79.11443840000004</c:v>
                </c:pt>
                <c:pt idx="7">
                  <c:v>79.634057600000034</c:v>
                </c:pt>
                <c:pt idx="8">
                  <c:v>80.131097600000061</c:v>
                </c:pt>
                <c:pt idx="9">
                  <c:v>80.605558400000049</c:v>
                </c:pt>
                <c:pt idx="10">
                  <c:v>81.057440000000042</c:v>
                </c:pt>
                <c:pt idx="11">
                  <c:v>81.48674240000004</c:v>
                </c:pt>
                <c:pt idx="12">
                  <c:v>81.893465600000027</c:v>
                </c:pt>
                <c:pt idx="13">
                  <c:v>82.277609600000048</c:v>
                </c:pt>
                <c:pt idx="14">
                  <c:v>82.639174400000044</c:v>
                </c:pt>
                <c:pt idx="15">
                  <c:v>82.978160000000031</c:v>
                </c:pt>
                <c:pt idx="16">
                  <c:v>83.294566400000022</c:v>
                </c:pt>
                <c:pt idx="17">
                  <c:v>83.58839360000006</c:v>
                </c:pt>
                <c:pt idx="18">
                  <c:v>83.859641600000046</c:v>
                </c:pt>
                <c:pt idx="19">
                  <c:v>84.108310400000036</c:v>
                </c:pt>
                <c:pt idx="20">
                  <c:v>84.334400000000031</c:v>
                </c:pt>
                <c:pt idx="21">
                  <c:v>84.537910400000044</c:v>
                </c:pt>
                <c:pt idx="22">
                  <c:v>84.718841600000047</c:v>
                </c:pt>
                <c:pt idx="23">
                  <c:v>84.877193600000041</c:v>
                </c:pt>
                <c:pt idx="24">
                  <c:v>85.012966400000025</c:v>
                </c:pt>
                <c:pt idx="25">
                  <c:v>85.126160000000056</c:v>
                </c:pt>
                <c:pt idx="26">
                  <c:v>85.216774400000048</c:v>
                </c:pt>
                <c:pt idx="27">
                  <c:v>85.284809600000031</c:v>
                </c:pt>
                <c:pt idx="28">
                  <c:v>85.330265600000033</c:v>
                </c:pt>
                <c:pt idx="29">
                  <c:v>85.353142400000038</c:v>
                </c:pt>
                <c:pt idx="30">
                  <c:v>85.35344000000002</c:v>
                </c:pt>
                <c:pt idx="31">
                  <c:v>85.331158400000021</c:v>
                </c:pt>
                <c:pt idx="32">
                  <c:v>85.28629760000004</c:v>
                </c:pt>
                <c:pt idx="33">
                  <c:v>85.218857600000021</c:v>
                </c:pt>
                <c:pt idx="34">
                  <c:v>85.128838400000021</c:v>
                </c:pt>
                <c:pt idx="35">
                  <c:v>85.01624000000001</c:v>
                </c:pt>
                <c:pt idx="36">
                  <c:v>84.881062400000047</c:v>
                </c:pt>
                <c:pt idx="37">
                  <c:v>84.723305600000032</c:v>
                </c:pt>
                <c:pt idx="38">
                  <c:v>84.542969600000006</c:v>
                </c:pt>
                <c:pt idx="39">
                  <c:v>84.340054400000014</c:v>
                </c:pt>
                <c:pt idx="40">
                  <c:v>84.114560000000026</c:v>
                </c:pt>
                <c:pt idx="41">
                  <c:v>83.866486400000014</c:v>
                </c:pt>
                <c:pt idx="42">
                  <c:v>83.59583360000002</c:v>
                </c:pt>
                <c:pt idx="43">
                  <c:v>83.302601600000031</c:v>
                </c:pt>
                <c:pt idx="44">
                  <c:v>82.986790400000018</c:v>
                </c:pt>
                <c:pt idx="45">
                  <c:v>82.648400000000009</c:v>
                </c:pt>
                <c:pt idx="46">
                  <c:v>82.287430400000005</c:v>
                </c:pt>
                <c:pt idx="47">
                  <c:v>81.903881600000034</c:v>
                </c:pt>
                <c:pt idx="48">
                  <c:v>81.497753600000024</c:v>
                </c:pt>
                <c:pt idx="49">
                  <c:v>81.069046400000005</c:v>
                </c:pt>
                <c:pt idx="50">
                  <c:v>80.617760000000004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85A-43B2-9C9C-0FB310DD3FD5}"/>
            </c:ext>
          </c:extLst>
        </c:ser>
        <c:ser>
          <c:idx val="8"/>
          <c:order val="8"/>
          <c:tx>
            <c:strRef>
              <c:f>'3dGraph'!$J$27</c:f>
              <c:strCache>
                <c:ptCount val="1"/>
                <c:pt idx="0">
                  <c:v>1160</c:v>
                </c:pt>
              </c:strCache>
            </c:strRef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'3dGraph'!$A$28:$A$78</c:f>
              <c:numCache>
                <c:formatCode>General</c:formatCode>
                <c:ptCount val="51"/>
                <c:pt idx="0">
                  <c:v>120</c:v>
                </c:pt>
                <c:pt idx="1">
                  <c:v>117.6</c:v>
                </c:pt>
                <c:pt idx="2">
                  <c:v>115.19999999999999</c:v>
                </c:pt>
                <c:pt idx="3">
                  <c:v>112.79999999999998</c:v>
                </c:pt>
                <c:pt idx="4">
                  <c:v>110.39999999999998</c:v>
                </c:pt>
                <c:pt idx="5">
                  <c:v>107.99999999999997</c:v>
                </c:pt>
                <c:pt idx="6">
                  <c:v>105.59999999999997</c:v>
                </c:pt>
                <c:pt idx="7">
                  <c:v>103.19999999999996</c:v>
                </c:pt>
                <c:pt idx="8">
                  <c:v>100.79999999999995</c:v>
                </c:pt>
                <c:pt idx="9">
                  <c:v>98.399999999999949</c:v>
                </c:pt>
                <c:pt idx="10">
                  <c:v>95.999999999999943</c:v>
                </c:pt>
                <c:pt idx="11">
                  <c:v>93.599999999999937</c:v>
                </c:pt>
                <c:pt idx="12">
                  <c:v>91.199999999999932</c:v>
                </c:pt>
                <c:pt idx="13">
                  <c:v>88.799999999999926</c:v>
                </c:pt>
                <c:pt idx="14">
                  <c:v>86.39999999999992</c:v>
                </c:pt>
                <c:pt idx="15">
                  <c:v>83.999999999999915</c:v>
                </c:pt>
                <c:pt idx="16">
                  <c:v>81.599999999999909</c:v>
                </c:pt>
                <c:pt idx="17">
                  <c:v>79.199999999999903</c:v>
                </c:pt>
                <c:pt idx="18">
                  <c:v>76.799999999999898</c:v>
                </c:pt>
                <c:pt idx="19">
                  <c:v>74.399999999999892</c:v>
                </c:pt>
                <c:pt idx="20">
                  <c:v>71.999999999999886</c:v>
                </c:pt>
                <c:pt idx="21">
                  <c:v>69.599999999999881</c:v>
                </c:pt>
                <c:pt idx="22">
                  <c:v>67.199999999999875</c:v>
                </c:pt>
                <c:pt idx="23">
                  <c:v>64.799999999999869</c:v>
                </c:pt>
                <c:pt idx="24">
                  <c:v>62.399999999999871</c:v>
                </c:pt>
                <c:pt idx="25">
                  <c:v>59.999999999999872</c:v>
                </c:pt>
                <c:pt idx="26">
                  <c:v>57.599999999999874</c:v>
                </c:pt>
                <c:pt idx="27">
                  <c:v>55.199999999999875</c:v>
                </c:pt>
                <c:pt idx="28">
                  <c:v>52.799999999999876</c:v>
                </c:pt>
                <c:pt idx="29">
                  <c:v>50.399999999999878</c:v>
                </c:pt>
                <c:pt idx="30">
                  <c:v>47.999999999999879</c:v>
                </c:pt>
                <c:pt idx="31">
                  <c:v>45.599999999999881</c:v>
                </c:pt>
                <c:pt idx="32">
                  <c:v>43.199999999999882</c:v>
                </c:pt>
                <c:pt idx="33">
                  <c:v>40.799999999999883</c:v>
                </c:pt>
                <c:pt idx="34">
                  <c:v>38.399999999999885</c:v>
                </c:pt>
                <c:pt idx="35">
                  <c:v>35.999999999999886</c:v>
                </c:pt>
                <c:pt idx="36">
                  <c:v>33.599999999999888</c:v>
                </c:pt>
                <c:pt idx="37">
                  <c:v>31.199999999999889</c:v>
                </c:pt>
                <c:pt idx="38">
                  <c:v>28.799999999999891</c:v>
                </c:pt>
                <c:pt idx="39">
                  <c:v>26.399999999999892</c:v>
                </c:pt>
                <c:pt idx="40">
                  <c:v>23.999999999999893</c:v>
                </c:pt>
                <c:pt idx="41">
                  <c:v>21.599999999999895</c:v>
                </c:pt>
                <c:pt idx="42">
                  <c:v>19.199999999999896</c:v>
                </c:pt>
                <c:pt idx="43">
                  <c:v>16.799999999999898</c:v>
                </c:pt>
                <c:pt idx="44">
                  <c:v>14.399999999999897</c:v>
                </c:pt>
                <c:pt idx="45">
                  <c:v>11.999999999999897</c:v>
                </c:pt>
                <c:pt idx="46">
                  <c:v>9.5999999999998966</c:v>
                </c:pt>
                <c:pt idx="47">
                  <c:v>7.1999999999998963</c:v>
                </c:pt>
                <c:pt idx="48">
                  <c:v>4.7999999999998959</c:v>
                </c:pt>
                <c:pt idx="49">
                  <c:v>2.399999999999896</c:v>
                </c:pt>
                <c:pt idx="50">
                  <c:v>-1.0391687510491465E-13</c:v>
                </c:pt>
              </c:numCache>
            </c:numRef>
          </c:cat>
          <c:val>
            <c:numRef>
              <c:f>'3dGraph'!$J$28:$J$78</c:f>
              <c:numCache>
                <c:formatCode>General</c:formatCode>
                <c:ptCount val="51"/>
                <c:pt idx="0">
                  <c:v>76.47856000000003</c:v>
                </c:pt>
                <c:pt idx="1">
                  <c:v>77.131686400000035</c:v>
                </c:pt>
                <c:pt idx="2">
                  <c:v>77.762233600000016</c:v>
                </c:pt>
                <c:pt idx="3">
                  <c:v>78.370201600000016</c:v>
                </c:pt>
                <c:pt idx="4">
                  <c:v>78.95559040000002</c:v>
                </c:pt>
                <c:pt idx="5">
                  <c:v>79.518400000000042</c:v>
                </c:pt>
                <c:pt idx="6">
                  <c:v>80.058630400000027</c:v>
                </c:pt>
                <c:pt idx="7">
                  <c:v>80.576281600000016</c:v>
                </c:pt>
                <c:pt idx="8">
                  <c:v>81.071353600000052</c:v>
                </c:pt>
                <c:pt idx="9">
                  <c:v>81.543846400000035</c:v>
                </c:pt>
                <c:pt idx="10">
                  <c:v>81.993760000000037</c:v>
                </c:pt>
                <c:pt idx="11">
                  <c:v>82.42109440000003</c:v>
                </c:pt>
                <c:pt idx="12">
                  <c:v>82.825849600000012</c:v>
                </c:pt>
                <c:pt idx="13">
                  <c:v>83.208025600000042</c:v>
                </c:pt>
                <c:pt idx="14">
                  <c:v>83.567622400000033</c:v>
                </c:pt>
                <c:pt idx="15">
                  <c:v>83.904640000000029</c:v>
                </c:pt>
                <c:pt idx="16">
                  <c:v>84.219078400000015</c:v>
                </c:pt>
                <c:pt idx="17">
                  <c:v>84.510937600000048</c:v>
                </c:pt>
                <c:pt idx="18">
                  <c:v>84.780217600000043</c:v>
                </c:pt>
                <c:pt idx="19">
                  <c:v>85.026918400000028</c:v>
                </c:pt>
                <c:pt idx="20">
                  <c:v>85.251040000000017</c:v>
                </c:pt>
                <c:pt idx="21">
                  <c:v>85.45258240000004</c:v>
                </c:pt>
                <c:pt idx="22">
                  <c:v>85.631545600000038</c:v>
                </c:pt>
                <c:pt idx="23">
                  <c:v>85.787929600000027</c:v>
                </c:pt>
                <c:pt idx="24">
                  <c:v>85.92173440000002</c:v>
                </c:pt>
                <c:pt idx="25">
                  <c:v>86.032960000000045</c:v>
                </c:pt>
                <c:pt idx="26">
                  <c:v>86.121606400000019</c:v>
                </c:pt>
                <c:pt idx="27">
                  <c:v>86.187673600000025</c:v>
                </c:pt>
                <c:pt idx="28">
                  <c:v>86.231161600000021</c:v>
                </c:pt>
                <c:pt idx="29">
                  <c:v>86.252070400000022</c:v>
                </c:pt>
                <c:pt idx="30">
                  <c:v>86.250400000000013</c:v>
                </c:pt>
                <c:pt idx="31">
                  <c:v>86.226150400000009</c:v>
                </c:pt>
                <c:pt idx="32">
                  <c:v>86.179321600000037</c:v>
                </c:pt>
                <c:pt idx="33">
                  <c:v>86.109913600000013</c:v>
                </c:pt>
                <c:pt idx="34">
                  <c:v>86.017926400000007</c:v>
                </c:pt>
                <c:pt idx="35">
                  <c:v>85.903360000000006</c:v>
                </c:pt>
                <c:pt idx="36">
                  <c:v>85.766214400000038</c:v>
                </c:pt>
                <c:pt idx="37">
                  <c:v>85.606489600000018</c:v>
                </c:pt>
                <c:pt idx="38">
                  <c:v>85.424185600000001</c:v>
                </c:pt>
                <c:pt idx="39">
                  <c:v>85.219302400000004</c:v>
                </c:pt>
                <c:pt idx="40">
                  <c:v>84.99184000000001</c:v>
                </c:pt>
                <c:pt idx="41">
                  <c:v>84.741798400000008</c:v>
                </c:pt>
                <c:pt idx="42">
                  <c:v>84.469177600000009</c:v>
                </c:pt>
                <c:pt idx="43">
                  <c:v>84.173977600000029</c:v>
                </c:pt>
                <c:pt idx="44">
                  <c:v>83.856198400000011</c:v>
                </c:pt>
                <c:pt idx="45">
                  <c:v>83.515839999999997</c:v>
                </c:pt>
                <c:pt idx="46">
                  <c:v>83.152902400000002</c:v>
                </c:pt>
                <c:pt idx="47">
                  <c:v>82.767385600000011</c:v>
                </c:pt>
                <c:pt idx="48">
                  <c:v>82.359289600000011</c:v>
                </c:pt>
                <c:pt idx="49">
                  <c:v>81.928614400000001</c:v>
                </c:pt>
                <c:pt idx="50">
                  <c:v>81.475359999999995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85A-43B2-9C9C-0FB310DD3FD5}"/>
            </c:ext>
          </c:extLst>
        </c:ser>
        <c:ser>
          <c:idx val="9"/>
          <c:order val="9"/>
          <c:tx>
            <c:strRef>
              <c:f>'3dGraph'!$K$27</c:f>
              <c:strCache>
                <c:ptCount val="1"/>
                <c:pt idx="0">
                  <c:v>1180</c:v>
                </c:pt>
              </c:strCache>
            </c:strRef>
          </c:tx>
          <c:spPr>
            <a:solidFill>
              <a:srgbClr val="FF00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'3dGraph'!$A$28:$A$78</c:f>
              <c:numCache>
                <c:formatCode>General</c:formatCode>
                <c:ptCount val="51"/>
                <c:pt idx="0">
                  <c:v>120</c:v>
                </c:pt>
                <c:pt idx="1">
                  <c:v>117.6</c:v>
                </c:pt>
                <c:pt idx="2">
                  <c:v>115.19999999999999</c:v>
                </c:pt>
                <c:pt idx="3">
                  <c:v>112.79999999999998</c:v>
                </c:pt>
                <c:pt idx="4">
                  <c:v>110.39999999999998</c:v>
                </c:pt>
                <c:pt idx="5">
                  <c:v>107.99999999999997</c:v>
                </c:pt>
                <c:pt idx="6">
                  <c:v>105.59999999999997</c:v>
                </c:pt>
                <c:pt idx="7">
                  <c:v>103.19999999999996</c:v>
                </c:pt>
                <c:pt idx="8">
                  <c:v>100.79999999999995</c:v>
                </c:pt>
                <c:pt idx="9">
                  <c:v>98.399999999999949</c:v>
                </c:pt>
                <c:pt idx="10">
                  <c:v>95.999999999999943</c:v>
                </c:pt>
                <c:pt idx="11">
                  <c:v>93.599999999999937</c:v>
                </c:pt>
                <c:pt idx="12">
                  <c:v>91.199999999999932</c:v>
                </c:pt>
                <c:pt idx="13">
                  <c:v>88.799999999999926</c:v>
                </c:pt>
                <c:pt idx="14">
                  <c:v>86.39999999999992</c:v>
                </c:pt>
                <c:pt idx="15">
                  <c:v>83.999999999999915</c:v>
                </c:pt>
                <c:pt idx="16">
                  <c:v>81.599999999999909</c:v>
                </c:pt>
                <c:pt idx="17">
                  <c:v>79.199999999999903</c:v>
                </c:pt>
                <c:pt idx="18">
                  <c:v>76.799999999999898</c:v>
                </c:pt>
                <c:pt idx="19">
                  <c:v>74.399999999999892</c:v>
                </c:pt>
                <c:pt idx="20">
                  <c:v>71.999999999999886</c:v>
                </c:pt>
                <c:pt idx="21">
                  <c:v>69.599999999999881</c:v>
                </c:pt>
                <c:pt idx="22">
                  <c:v>67.199999999999875</c:v>
                </c:pt>
                <c:pt idx="23">
                  <c:v>64.799999999999869</c:v>
                </c:pt>
                <c:pt idx="24">
                  <c:v>62.399999999999871</c:v>
                </c:pt>
                <c:pt idx="25">
                  <c:v>59.999999999999872</c:v>
                </c:pt>
                <c:pt idx="26">
                  <c:v>57.599999999999874</c:v>
                </c:pt>
                <c:pt idx="27">
                  <c:v>55.199999999999875</c:v>
                </c:pt>
                <c:pt idx="28">
                  <c:v>52.799999999999876</c:v>
                </c:pt>
                <c:pt idx="29">
                  <c:v>50.399999999999878</c:v>
                </c:pt>
                <c:pt idx="30">
                  <c:v>47.999999999999879</c:v>
                </c:pt>
                <c:pt idx="31">
                  <c:v>45.599999999999881</c:v>
                </c:pt>
                <c:pt idx="32">
                  <c:v>43.199999999999882</c:v>
                </c:pt>
                <c:pt idx="33">
                  <c:v>40.799999999999883</c:v>
                </c:pt>
                <c:pt idx="34">
                  <c:v>38.399999999999885</c:v>
                </c:pt>
                <c:pt idx="35">
                  <c:v>35.999999999999886</c:v>
                </c:pt>
                <c:pt idx="36">
                  <c:v>33.599999999999888</c:v>
                </c:pt>
                <c:pt idx="37">
                  <c:v>31.199999999999889</c:v>
                </c:pt>
                <c:pt idx="38">
                  <c:v>28.799999999999891</c:v>
                </c:pt>
                <c:pt idx="39">
                  <c:v>26.399999999999892</c:v>
                </c:pt>
                <c:pt idx="40">
                  <c:v>23.999999999999893</c:v>
                </c:pt>
                <c:pt idx="41">
                  <c:v>21.599999999999895</c:v>
                </c:pt>
                <c:pt idx="42">
                  <c:v>19.199999999999896</c:v>
                </c:pt>
                <c:pt idx="43">
                  <c:v>16.799999999999898</c:v>
                </c:pt>
                <c:pt idx="44">
                  <c:v>14.399999999999897</c:v>
                </c:pt>
                <c:pt idx="45">
                  <c:v>11.999999999999897</c:v>
                </c:pt>
                <c:pt idx="46">
                  <c:v>9.5999999999998966</c:v>
                </c:pt>
                <c:pt idx="47">
                  <c:v>7.1999999999998963</c:v>
                </c:pt>
                <c:pt idx="48">
                  <c:v>4.7999999999998959</c:v>
                </c:pt>
                <c:pt idx="49">
                  <c:v>2.399999999999896</c:v>
                </c:pt>
                <c:pt idx="50">
                  <c:v>-1.0391687510491465E-13</c:v>
                </c:pt>
              </c:numCache>
            </c:numRef>
          </c:cat>
          <c:val>
            <c:numRef>
              <c:f>'3dGraph'!$K$28:$K$78</c:f>
              <c:numCache>
                <c:formatCode>General</c:formatCode>
                <c:ptCount val="51"/>
                <c:pt idx="0">
                  <c:v>77.359040000000007</c:v>
                </c:pt>
                <c:pt idx="1">
                  <c:v>78.010198400000007</c:v>
                </c:pt>
                <c:pt idx="2">
                  <c:v>78.638777599999997</c:v>
                </c:pt>
                <c:pt idx="3">
                  <c:v>79.244777599999992</c:v>
                </c:pt>
                <c:pt idx="4">
                  <c:v>79.828198399999991</c:v>
                </c:pt>
                <c:pt idx="5">
                  <c:v>80.389040000000008</c:v>
                </c:pt>
                <c:pt idx="6">
                  <c:v>80.927302400000002</c:v>
                </c:pt>
                <c:pt idx="7">
                  <c:v>81.442985600000014</c:v>
                </c:pt>
                <c:pt idx="8">
                  <c:v>81.936089600000031</c:v>
                </c:pt>
                <c:pt idx="9">
                  <c:v>82.406614400000024</c:v>
                </c:pt>
                <c:pt idx="10">
                  <c:v>82.854560000000021</c:v>
                </c:pt>
                <c:pt idx="11">
                  <c:v>83.279926400000008</c:v>
                </c:pt>
                <c:pt idx="12">
                  <c:v>83.6827136</c:v>
                </c:pt>
                <c:pt idx="13">
                  <c:v>84.062921600000024</c:v>
                </c:pt>
                <c:pt idx="14">
                  <c:v>84.42055040000001</c:v>
                </c:pt>
                <c:pt idx="15">
                  <c:v>84.755600000000015</c:v>
                </c:pt>
                <c:pt idx="16">
                  <c:v>85.068070399999996</c:v>
                </c:pt>
                <c:pt idx="17">
                  <c:v>85.357961600000024</c:v>
                </c:pt>
                <c:pt idx="18">
                  <c:v>85.625273600000014</c:v>
                </c:pt>
                <c:pt idx="19">
                  <c:v>85.870006400000008</c:v>
                </c:pt>
                <c:pt idx="20">
                  <c:v>86.092159999999993</c:v>
                </c:pt>
                <c:pt idx="21">
                  <c:v>86.291734400000024</c:v>
                </c:pt>
                <c:pt idx="22">
                  <c:v>86.468729600000017</c:v>
                </c:pt>
                <c:pt idx="23">
                  <c:v>86.623145600000001</c:v>
                </c:pt>
                <c:pt idx="24">
                  <c:v>86.754982400000003</c:v>
                </c:pt>
                <c:pt idx="25">
                  <c:v>86.864240000000024</c:v>
                </c:pt>
                <c:pt idx="26">
                  <c:v>86.950918400000006</c:v>
                </c:pt>
                <c:pt idx="27">
                  <c:v>87.015017600000007</c:v>
                </c:pt>
                <c:pt idx="28">
                  <c:v>87.056537599999999</c:v>
                </c:pt>
                <c:pt idx="29">
                  <c:v>87.075478400000009</c:v>
                </c:pt>
                <c:pt idx="30">
                  <c:v>87.071839999999995</c:v>
                </c:pt>
                <c:pt idx="31">
                  <c:v>87.045622399999985</c:v>
                </c:pt>
                <c:pt idx="32">
                  <c:v>86.996825600000008</c:v>
                </c:pt>
                <c:pt idx="33">
                  <c:v>86.925449599999993</c:v>
                </c:pt>
                <c:pt idx="34">
                  <c:v>86.831494399999983</c:v>
                </c:pt>
                <c:pt idx="35">
                  <c:v>86.714959999999977</c:v>
                </c:pt>
                <c:pt idx="36">
                  <c:v>86.575846400000017</c:v>
                </c:pt>
                <c:pt idx="37">
                  <c:v>86.414153600000006</c:v>
                </c:pt>
                <c:pt idx="38">
                  <c:v>86.229881599999985</c:v>
                </c:pt>
                <c:pt idx="39">
                  <c:v>86.023030399999982</c:v>
                </c:pt>
                <c:pt idx="40">
                  <c:v>85.793599999999998</c:v>
                </c:pt>
                <c:pt idx="41">
                  <c:v>85.54159039999999</c:v>
                </c:pt>
                <c:pt idx="42">
                  <c:v>85.267001599999986</c:v>
                </c:pt>
                <c:pt idx="43">
                  <c:v>84.969833600000001</c:v>
                </c:pt>
                <c:pt idx="44">
                  <c:v>84.650086399999992</c:v>
                </c:pt>
                <c:pt idx="45">
                  <c:v>84.307759999999973</c:v>
                </c:pt>
                <c:pt idx="46">
                  <c:v>83.942854399999973</c:v>
                </c:pt>
                <c:pt idx="47">
                  <c:v>83.555369599999992</c:v>
                </c:pt>
                <c:pt idx="48">
                  <c:v>83.145305599999986</c:v>
                </c:pt>
                <c:pt idx="49">
                  <c:v>82.712662399999985</c:v>
                </c:pt>
                <c:pt idx="50">
                  <c:v>82.257439999999974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85A-43B2-9C9C-0FB310DD3FD5}"/>
            </c:ext>
          </c:extLst>
        </c:ser>
        <c:ser>
          <c:idx val="10"/>
          <c:order val="10"/>
          <c:tx>
            <c:strRef>
              <c:f>'3dGraph'!$L$27</c:f>
              <c:strCache>
                <c:ptCount val="1"/>
                <c:pt idx="0">
                  <c:v>1200</c:v>
                </c:pt>
              </c:strCache>
            </c:strRef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'3dGraph'!$A$28:$A$78</c:f>
              <c:numCache>
                <c:formatCode>General</c:formatCode>
                <c:ptCount val="51"/>
                <c:pt idx="0">
                  <c:v>120</c:v>
                </c:pt>
                <c:pt idx="1">
                  <c:v>117.6</c:v>
                </c:pt>
                <c:pt idx="2">
                  <c:v>115.19999999999999</c:v>
                </c:pt>
                <c:pt idx="3">
                  <c:v>112.79999999999998</c:v>
                </c:pt>
                <c:pt idx="4">
                  <c:v>110.39999999999998</c:v>
                </c:pt>
                <c:pt idx="5">
                  <c:v>107.99999999999997</c:v>
                </c:pt>
                <c:pt idx="6">
                  <c:v>105.59999999999997</c:v>
                </c:pt>
                <c:pt idx="7">
                  <c:v>103.19999999999996</c:v>
                </c:pt>
                <c:pt idx="8">
                  <c:v>100.79999999999995</c:v>
                </c:pt>
                <c:pt idx="9">
                  <c:v>98.399999999999949</c:v>
                </c:pt>
                <c:pt idx="10">
                  <c:v>95.999999999999943</c:v>
                </c:pt>
                <c:pt idx="11">
                  <c:v>93.599999999999937</c:v>
                </c:pt>
                <c:pt idx="12">
                  <c:v>91.199999999999932</c:v>
                </c:pt>
                <c:pt idx="13">
                  <c:v>88.799999999999926</c:v>
                </c:pt>
                <c:pt idx="14">
                  <c:v>86.39999999999992</c:v>
                </c:pt>
                <c:pt idx="15">
                  <c:v>83.999999999999915</c:v>
                </c:pt>
                <c:pt idx="16">
                  <c:v>81.599999999999909</c:v>
                </c:pt>
                <c:pt idx="17">
                  <c:v>79.199999999999903</c:v>
                </c:pt>
                <c:pt idx="18">
                  <c:v>76.799999999999898</c:v>
                </c:pt>
                <c:pt idx="19">
                  <c:v>74.399999999999892</c:v>
                </c:pt>
                <c:pt idx="20">
                  <c:v>71.999999999999886</c:v>
                </c:pt>
                <c:pt idx="21">
                  <c:v>69.599999999999881</c:v>
                </c:pt>
                <c:pt idx="22">
                  <c:v>67.199999999999875</c:v>
                </c:pt>
                <c:pt idx="23">
                  <c:v>64.799999999999869</c:v>
                </c:pt>
                <c:pt idx="24">
                  <c:v>62.399999999999871</c:v>
                </c:pt>
                <c:pt idx="25">
                  <c:v>59.999999999999872</c:v>
                </c:pt>
                <c:pt idx="26">
                  <c:v>57.599999999999874</c:v>
                </c:pt>
                <c:pt idx="27">
                  <c:v>55.199999999999875</c:v>
                </c:pt>
                <c:pt idx="28">
                  <c:v>52.799999999999876</c:v>
                </c:pt>
                <c:pt idx="29">
                  <c:v>50.399999999999878</c:v>
                </c:pt>
                <c:pt idx="30">
                  <c:v>47.999999999999879</c:v>
                </c:pt>
                <c:pt idx="31">
                  <c:v>45.599999999999881</c:v>
                </c:pt>
                <c:pt idx="32">
                  <c:v>43.199999999999882</c:v>
                </c:pt>
                <c:pt idx="33">
                  <c:v>40.799999999999883</c:v>
                </c:pt>
                <c:pt idx="34">
                  <c:v>38.399999999999885</c:v>
                </c:pt>
                <c:pt idx="35">
                  <c:v>35.999999999999886</c:v>
                </c:pt>
                <c:pt idx="36">
                  <c:v>33.599999999999888</c:v>
                </c:pt>
                <c:pt idx="37">
                  <c:v>31.199999999999889</c:v>
                </c:pt>
                <c:pt idx="38">
                  <c:v>28.799999999999891</c:v>
                </c:pt>
                <c:pt idx="39">
                  <c:v>26.399999999999892</c:v>
                </c:pt>
                <c:pt idx="40">
                  <c:v>23.999999999999893</c:v>
                </c:pt>
                <c:pt idx="41">
                  <c:v>21.599999999999895</c:v>
                </c:pt>
                <c:pt idx="42">
                  <c:v>19.199999999999896</c:v>
                </c:pt>
                <c:pt idx="43">
                  <c:v>16.799999999999898</c:v>
                </c:pt>
                <c:pt idx="44">
                  <c:v>14.399999999999897</c:v>
                </c:pt>
                <c:pt idx="45">
                  <c:v>11.999999999999897</c:v>
                </c:pt>
                <c:pt idx="46">
                  <c:v>9.5999999999998966</c:v>
                </c:pt>
                <c:pt idx="47">
                  <c:v>7.1999999999998963</c:v>
                </c:pt>
                <c:pt idx="48">
                  <c:v>4.7999999999998959</c:v>
                </c:pt>
                <c:pt idx="49">
                  <c:v>2.399999999999896</c:v>
                </c:pt>
                <c:pt idx="50">
                  <c:v>-1.0391687510491465E-13</c:v>
                </c:pt>
              </c:numCache>
            </c:numRef>
          </c:cat>
          <c:val>
            <c:numRef>
              <c:f>'3dGraph'!$L$28:$L$78</c:f>
              <c:numCache>
                <c:formatCode>General</c:formatCode>
                <c:ptCount val="51"/>
                <c:pt idx="0">
                  <c:v>78.164000000000001</c:v>
                </c:pt>
                <c:pt idx="1">
                  <c:v>78.813190400000011</c:v>
                </c:pt>
                <c:pt idx="2">
                  <c:v>79.439801599999996</c:v>
                </c:pt>
                <c:pt idx="3">
                  <c:v>80.043833599999985</c:v>
                </c:pt>
                <c:pt idx="4">
                  <c:v>80.625286399999993</c:v>
                </c:pt>
                <c:pt idx="5">
                  <c:v>81.184160000000006</c:v>
                </c:pt>
                <c:pt idx="6">
                  <c:v>81.720454400000008</c:v>
                </c:pt>
                <c:pt idx="7">
                  <c:v>82.234169600000001</c:v>
                </c:pt>
                <c:pt idx="8">
                  <c:v>82.725305600000027</c:v>
                </c:pt>
                <c:pt idx="9">
                  <c:v>83.193862400000015</c:v>
                </c:pt>
                <c:pt idx="10">
                  <c:v>83.639840000000007</c:v>
                </c:pt>
                <c:pt idx="11">
                  <c:v>84.063238400000003</c:v>
                </c:pt>
                <c:pt idx="12">
                  <c:v>84.46405759999999</c:v>
                </c:pt>
                <c:pt idx="13">
                  <c:v>84.842297600000023</c:v>
                </c:pt>
                <c:pt idx="14">
                  <c:v>85.197958400000005</c:v>
                </c:pt>
                <c:pt idx="15">
                  <c:v>85.531040000000019</c:v>
                </c:pt>
                <c:pt idx="16">
                  <c:v>85.841542399999994</c:v>
                </c:pt>
                <c:pt idx="17">
                  <c:v>86.129465600000017</c:v>
                </c:pt>
                <c:pt idx="18">
                  <c:v>86.394809600000016</c:v>
                </c:pt>
                <c:pt idx="19">
                  <c:v>86.637574400000005</c:v>
                </c:pt>
                <c:pt idx="20">
                  <c:v>86.857759999999999</c:v>
                </c:pt>
                <c:pt idx="21">
                  <c:v>87.055366400000025</c:v>
                </c:pt>
                <c:pt idx="22">
                  <c:v>87.230393600000014</c:v>
                </c:pt>
                <c:pt idx="23">
                  <c:v>87.382841600000006</c:v>
                </c:pt>
                <c:pt idx="24">
                  <c:v>87.512710399999989</c:v>
                </c:pt>
                <c:pt idx="25">
                  <c:v>87.620000000000019</c:v>
                </c:pt>
                <c:pt idx="26">
                  <c:v>87.70471040000001</c:v>
                </c:pt>
                <c:pt idx="27">
                  <c:v>87.766841600000006</c:v>
                </c:pt>
                <c:pt idx="28">
                  <c:v>87.806393599999993</c:v>
                </c:pt>
                <c:pt idx="29">
                  <c:v>87.823366399999998</c:v>
                </c:pt>
                <c:pt idx="30">
                  <c:v>87.817759999999993</c:v>
                </c:pt>
                <c:pt idx="31">
                  <c:v>87.789574399999978</c:v>
                </c:pt>
                <c:pt idx="32">
                  <c:v>87.73880960000001</c:v>
                </c:pt>
                <c:pt idx="33">
                  <c:v>87.66546559999999</c:v>
                </c:pt>
                <c:pt idx="34">
                  <c:v>87.569542399999989</c:v>
                </c:pt>
                <c:pt idx="35">
                  <c:v>87.451039999999978</c:v>
                </c:pt>
                <c:pt idx="36">
                  <c:v>87.309958400000014</c:v>
                </c:pt>
                <c:pt idx="37">
                  <c:v>87.146297599999997</c:v>
                </c:pt>
                <c:pt idx="38">
                  <c:v>86.960057599999971</c:v>
                </c:pt>
                <c:pt idx="39">
                  <c:v>86.751238399999977</c:v>
                </c:pt>
                <c:pt idx="40">
                  <c:v>86.519839999999988</c:v>
                </c:pt>
                <c:pt idx="41">
                  <c:v>86.265862399999989</c:v>
                </c:pt>
                <c:pt idx="42">
                  <c:v>85.98930559999998</c:v>
                </c:pt>
                <c:pt idx="43">
                  <c:v>85.690169600000004</c:v>
                </c:pt>
                <c:pt idx="44">
                  <c:v>85.36845439999999</c:v>
                </c:pt>
                <c:pt idx="45">
                  <c:v>85.024159999999966</c:v>
                </c:pt>
                <c:pt idx="46">
                  <c:v>84.657286399999975</c:v>
                </c:pt>
                <c:pt idx="47">
                  <c:v>84.267833599999989</c:v>
                </c:pt>
                <c:pt idx="48">
                  <c:v>83.855801599999992</c:v>
                </c:pt>
                <c:pt idx="49">
                  <c:v>83.421190399999972</c:v>
                </c:pt>
                <c:pt idx="50">
                  <c:v>82.96399999999997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85A-43B2-9C9C-0FB310DD3FD5}"/>
            </c:ext>
          </c:extLst>
        </c:ser>
        <c:ser>
          <c:idx val="11"/>
          <c:order val="11"/>
          <c:tx>
            <c:strRef>
              <c:f>'3dGraph'!$M$27</c:f>
              <c:strCache>
                <c:ptCount val="1"/>
                <c:pt idx="0">
                  <c:v>1220</c:v>
                </c:pt>
              </c:strCache>
            </c:strRef>
          </c:tx>
          <c:spPr>
            <a:solidFill>
              <a:srgbClr val="00FF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'3dGraph'!$A$28:$A$78</c:f>
              <c:numCache>
                <c:formatCode>General</c:formatCode>
                <c:ptCount val="51"/>
                <c:pt idx="0">
                  <c:v>120</c:v>
                </c:pt>
                <c:pt idx="1">
                  <c:v>117.6</c:v>
                </c:pt>
                <c:pt idx="2">
                  <c:v>115.19999999999999</c:v>
                </c:pt>
                <c:pt idx="3">
                  <c:v>112.79999999999998</c:v>
                </c:pt>
                <c:pt idx="4">
                  <c:v>110.39999999999998</c:v>
                </c:pt>
                <c:pt idx="5">
                  <c:v>107.99999999999997</c:v>
                </c:pt>
                <c:pt idx="6">
                  <c:v>105.59999999999997</c:v>
                </c:pt>
                <c:pt idx="7">
                  <c:v>103.19999999999996</c:v>
                </c:pt>
                <c:pt idx="8">
                  <c:v>100.79999999999995</c:v>
                </c:pt>
                <c:pt idx="9">
                  <c:v>98.399999999999949</c:v>
                </c:pt>
                <c:pt idx="10">
                  <c:v>95.999999999999943</c:v>
                </c:pt>
                <c:pt idx="11">
                  <c:v>93.599999999999937</c:v>
                </c:pt>
                <c:pt idx="12">
                  <c:v>91.199999999999932</c:v>
                </c:pt>
                <c:pt idx="13">
                  <c:v>88.799999999999926</c:v>
                </c:pt>
                <c:pt idx="14">
                  <c:v>86.39999999999992</c:v>
                </c:pt>
                <c:pt idx="15">
                  <c:v>83.999999999999915</c:v>
                </c:pt>
                <c:pt idx="16">
                  <c:v>81.599999999999909</c:v>
                </c:pt>
                <c:pt idx="17">
                  <c:v>79.199999999999903</c:v>
                </c:pt>
                <c:pt idx="18">
                  <c:v>76.799999999999898</c:v>
                </c:pt>
                <c:pt idx="19">
                  <c:v>74.399999999999892</c:v>
                </c:pt>
                <c:pt idx="20">
                  <c:v>71.999999999999886</c:v>
                </c:pt>
                <c:pt idx="21">
                  <c:v>69.599999999999881</c:v>
                </c:pt>
                <c:pt idx="22">
                  <c:v>67.199999999999875</c:v>
                </c:pt>
                <c:pt idx="23">
                  <c:v>64.799999999999869</c:v>
                </c:pt>
                <c:pt idx="24">
                  <c:v>62.399999999999871</c:v>
                </c:pt>
                <c:pt idx="25">
                  <c:v>59.999999999999872</c:v>
                </c:pt>
                <c:pt idx="26">
                  <c:v>57.599999999999874</c:v>
                </c:pt>
                <c:pt idx="27">
                  <c:v>55.199999999999875</c:v>
                </c:pt>
                <c:pt idx="28">
                  <c:v>52.799999999999876</c:v>
                </c:pt>
                <c:pt idx="29">
                  <c:v>50.399999999999878</c:v>
                </c:pt>
                <c:pt idx="30">
                  <c:v>47.999999999999879</c:v>
                </c:pt>
                <c:pt idx="31">
                  <c:v>45.599999999999881</c:v>
                </c:pt>
                <c:pt idx="32">
                  <c:v>43.199999999999882</c:v>
                </c:pt>
                <c:pt idx="33">
                  <c:v>40.799999999999883</c:v>
                </c:pt>
                <c:pt idx="34">
                  <c:v>38.399999999999885</c:v>
                </c:pt>
                <c:pt idx="35">
                  <c:v>35.999999999999886</c:v>
                </c:pt>
                <c:pt idx="36">
                  <c:v>33.599999999999888</c:v>
                </c:pt>
                <c:pt idx="37">
                  <c:v>31.199999999999889</c:v>
                </c:pt>
                <c:pt idx="38">
                  <c:v>28.799999999999891</c:v>
                </c:pt>
                <c:pt idx="39">
                  <c:v>26.399999999999892</c:v>
                </c:pt>
                <c:pt idx="40">
                  <c:v>23.999999999999893</c:v>
                </c:pt>
                <c:pt idx="41">
                  <c:v>21.599999999999895</c:v>
                </c:pt>
                <c:pt idx="42">
                  <c:v>19.199999999999896</c:v>
                </c:pt>
                <c:pt idx="43">
                  <c:v>16.799999999999898</c:v>
                </c:pt>
                <c:pt idx="44">
                  <c:v>14.399999999999897</c:v>
                </c:pt>
                <c:pt idx="45">
                  <c:v>11.999999999999897</c:v>
                </c:pt>
                <c:pt idx="46">
                  <c:v>9.5999999999998966</c:v>
                </c:pt>
                <c:pt idx="47">
                  <c:v>7.1999999999998963</c:v>
                </c:pt>
                <c:pt idx="48">
                  <c:v>4.7999999999998959</c:v>
                </c:pt>
                <c:pt idx="49">
                  <c:v>2.399999999999896</c:v>
                </c:pt>
                <c:pt idx="50">
                  <c:v>-1.0391687510491465E-13</c:v>
                </c:pt>
              </c:numCache>
            </c:numRef>
          </c:cat>
          <c:val>
            <c:numRef>
              <c:f>'3dGraph'!$M$28:$M$78</c:f>
              <c:numCache>
                <c:formatCode>General</c:formatCode>
                <c:ptCount val="51"/>
                <c:pt idx="0">
                  <c:v>78.893439999999984</c:v>
                </c:pt>
                <c:pt idx="1">
                  <c:v>79.540662399999988</c:v>
                </c:pt>
                <c:pt idx="2">
                  <c:v>80.165305599999982</c:v>
                </c:pt>
                <c:pt idx="3">
                  <c:v>80.767369599999981</c:v>
                </c:pt>
                <c:pt idx="4">
                  <c:v>81.346854399999984</c:v>
                </c:pt>
                <c:pt idx="5">
                  <c:v>81.903759999999991</c:v>
                </c:pt>
                <c:pt idx="6">
                  <c:v>82.438086399999989</c:v>
                </c:pt>
                <c:pt idx="7">
                  <c:v>82.949833599999977</c:v>
                </c:pt>
                <c:pt idx="8">
                  <c:v>83.439001600000012</c:v>
                </c:pt>
                <c:pt idx="9">
                  <c:v>83.905590399999994</c:v>
                </c:pt>
                <c:pt idx="10">
                  <c:v>84.349599999999995</c:v>
                </c:pt>
                <c:pt idx="11">
                  <c:v>84.771030399999987</c:v>
                </c:pt>
                <c:pt idx="12">
                  <c:v>85.169881599999982</c:v>
                </c:pt>
                <c:pt idx="13">
                  <c:v>85.546153599999997</c:v>
                </c:pt>
                <c:pt idx="14">
                  <c:v>85.899846399999987</c:v>
                </c:pt>
                <c:pt idx="15">
                  <c:v>86.230959999999982</c:v>
                </c:pt>
                <c:pt idx="16">
                  <c:v>86.539494399999981</c:v>
                </c:pt>
                <c:pt idx="17">
                  <c:v>86.825449600000013</c:v>
                </c:pt>
                <c:pt idx="18">
                  <c:v>87.088825599999993</c:v>
                </c:pt>
                <c:pt idx="19">
                  <c:v>87.329622399999991</c:v>
                </c:pt>
                <c:pt idx="20">
                  <c:v>87.547839999999979</c:v>
                </c:pt>
                <c:pt idx="21">
                  <c:v>87.743478400000015</c:v>
                </c:pt>
                <c:pt idx="22">
                  <c:v>87.916537599999998</c:v>
                </c:pt>
                <c:pt idx="23">
                  <c:v>88.067017599999986</c:v>
                </c:pt>
                <c:pt idx="24">
                  <c:v>88.194918399999978</c:v>
                </c:pt>
                <c:pt idx="25">
                  <c:v>88.300240000000002</c:v>
                </c:pt>
                <c:pt idx="26">
                  <c:v>88.382982400000003</c:v>
                </c:pt>
                <c:pt idx="27">
                  <c:v>88.44314559999998</c:v>
                </c:pt>
                <c:pt idx="28">
                  <c:v>88.480729599999975</c:v>
                </c:pt>
                <c:pt idx="29">
                  <c:v>88.495734399999989</c:v>
                </c:pt>
                <c:pt idx="30">
                  <c:v>88.488159999999979</c:v>
                </c:pt>
                <c:pt idx="31">
                  <c:v>88.458006399999974</c:v>
                </c:pt>
                <c:pt idx="32">
                  <c:v>88.405273599999987</c:v>
                </c:pt>
                <c:pt idx="33">
                  <c:v>88.329961599999976</c:v>
                </c:pt>
                <c:pt idx="34">
                  <c:v>88.232070399999969</c:v>
                </c:pt>
                <c:pt idx="35">
                  <c:v>88.111599999999967</c:v>
                </c:pt>
                <c:pt idx="36">
                  <c:v>87.968550399999998</c:v>
                </c:pt>
                <c:pt idx="37">
                  <c:v>87.802921599999976</c:v>
                </c:pt>
                <c:pt idx="38">
                  <c:v>87.614713599999959</c:v>
                </c:pt>
                <c:pt idx="39">
                  <c:v>87.40392639999996</c:v>
                </c:pt>
                <c:pt idx="40">
                  <c:v>87.170559999999981</c:v>
                </c:pt>
                <c:pt idx="41">
                  <c:v>86.914614399999977</c:v>
                </c:pt>
                <c:pt idx="42">
                  <c:v>86.636089599999963</c:v>
                </c:pt>
                <c:pt idx="43">
                  <c:v>86.334985599999982</c:v>
                </c:pt>
                <c:pt idx="44">
                  <c:v>86.011302399999977</c:v>
                </c:pt>
                <c:pt idx="45">
                  <c:v>85.665039999999962</c:v>
                </c:pt>
                <c:pt idx="46">
                  <c:v>85.296198399999952</c:v>
                </c:pt>
                <c:pt idx="47">
                  <c:v>84.904777599999974</c:v>
                </c:pt>
                <c:pt idx="48">
                  <c:v>84.490777599999973</c:v>
                </c:pt>
                <c:pt idx="49">
                  <c:v>84.054198399999962</c:v>
                </c:pt>
                <c:pt idx="50">
                  <c:v>83.595039999999955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85A-43B2-9C9C-0FB310DD3FD5}"/>
            </c:ext>
          </c:extLst>
        </c:ser>
        <c:ser>
          <c:idx val="12"/>
          <c:order val="12"/>
          <c:tx>
            <c:strRef>
              <c:f>'3dGraph'!$N$27</c:f>
              <c:strCache>
                <c:ptCount val="1"/>
                <c:pt idx="0">
                  <c:v>1240</c:v>
                </c:pt>
              </c:strCache>
            </c:strRef>
          </c:tx>
          <c:spPr>
            <a:solidFill>
              <a:srgbClr val="80008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'3dGraph'!$A$28:$A$78</c:f>
              <c:numCache>
                <c:formatCode>General</c:formatCode>
                <c:ptCount val="51"/>
                <c:pt idx="0">
                  <c:v>120</c:v>
                </c:pt>
                <c:pt idx="1">
                  <c:v>117.6</c:v>
                </c:pt>
                <c:pt idx="2">
                  <c:v>115.19999999999999</c:v>
                </c:pt>
                <c:pt idx="3">
                  <c:v>112.79999999999998</c:v>
                </c:pt>
                <c:pt idx="4">
                  <c:v>110.39999999999998</c:v>
                </c:pt>
                <c:pt idx="5">
                  <c:v>107.99999999999997</c:v>
                </c:pt>
                <c:pt idx="6">
                  <c:v>105.59999999999997</c:v>
                </c:pt>
                <c:pt idx="7">
                  <c:v>103.19999999999996</c:v>
                </c:pt>
                <c:pt idx="8">
                  <c:v>100.79999999999995</c:v>
                </c:pt>
                <c:pt idx="9">
                  <c:v>98.399999999999949</c:v>
                </c:pt>
                <c:pt idx="10">
                  <c:v>95.999999999999943</c:v>
                </c:pt>
                <c:pt idx="11">
                  <c:v>93.599999999999937</c:v>
                </c:pt>
                <c:pt idx="12">
                  <c:v>91.199999999999932</c:v>
                </c:pt>
                <c:pt idx="13">
                  <c:v>88.799999999999926</c:v>
                </c:pt>
                <c:pt idx="14">
                  <c:v>86.39999999999992</c:v>
                </c:pt>
                <c:pt idx="15">
                  <c:v>83.999999999999915</c:v>
                </c:pt>
                <c:pt idx="16">
                  <c:v>81.599999999999909</c:v>
                </c:pt>
                <c:pt idx="17">
                  <c:v>79.199999999999903</c:v>
                </c:pt>
                <c:pt idx="18">
                  <c:v>76.799999999999898</c:v>
                </c:pt>
                <c:pt idx="19">
                  <c:v>74.399999999999892</c:v>
                </c:pt>
                <c:pt idx="20">
                  <c:v>71.999999999999886</c:v>
                </c:pt>
                <c:pt idx="21">
                  <c:v>69.599999999999881</c:v>
                </c:pt>
                <c:pt idx="22">
                  <c:v>67.199999999999875</c:v>
                </c:pt>
                <c:pt idx="23">
                  <c:v>64.799999999999869</c:v>
                </c:pt>
                <c:pt idx="24">
                  <c:v>62.399999999999871</c:v>
                </c:pt>
                <c:pt idx="25">
                  <c:v>59.999999999999872</c:v>
                </c:pt>
                <c:pt idx="26">
                  <c:v>57.599999999999874</c:v>
                </c:pt>
                <c:pt idx="27">
                  <c:v>55.199999999999875</c:v>
                </c:pt>
                <c:pt idx="28">
                  <c:v>52.799999999999876</c:v>
                </c:pt>
                <c:pt idx="29">
                  <c:v>50.399999999999878</c:v>
                </c:pt>
                <c:pt idx="30">
                  <c:v>47.999999999999879</c:v>
                </c:pt>
                <c:pt idx="31">
                  <c:v>45.599999999999881</c:v>
                </c:pt>
                <c:pt idx="32">
                  <c:v>43.199999999999882</c:v>
                </c:pt>
                <c:pt idx="33">
                  <c:v>40.799999999999883</c:v>
                </c:pt>
                <c:pt idx="34">
                  <c:v>38.399999999999885</c:v>
                </c:pt>
                <c:pt idx="35">
                  <c:v>35.999999999999886</c:v>
                </c:pt>
                <c:pt idx="36">
                  <c:v>33.599999999999888</c:v>
                </c:pt>
                <c:pt idx="37">
                  <c:v>31.199999999999889</c:v>
                </c:pt>
                <c:pt idx="38">
                  <c:v>28.799999999999891</c:v>
                </c:pt>
                <c:pt idx="39">
                  <c:v>26.399999999999892</c:v>
                </c:pt>
                <c:pt idx="40">
                  <c:v>23.999999999999893</c:v>
                </c:pt>
                <c:pt idx="41">
                  <c:v>21.599999999999895</c:v>
                </c:pt>
                <c:pt idx="42">
                  <c:v>19.199999999999896</c:v>
                </c:pt>
                <c:pt idx="43">
                  <c:v>16.799999999999898</c:v>
                </c:pt>
                <c:pt idx="44">
                  <c:v>14.399999999999897</c:v>
                </c:pt>
                <c:pt idx="45">
                  <c:v>11.999999999999897</c:v>
                </c:pt>
                <c:pt idx="46">
                  <c:v>9.5999999999998966</c:v>
                </c:pt>
                <c:pt idx="47">
                  <c:v>7.1999999999998963</c:v>
                </c:pt>
                <c:pt idx="48">
                  <c:v>4.7999999999998959</c:v>
                </c:pt>
                <c:pt idx="49">
                  <c:v>2.399999999999896</c:v>
                </c:pt>
                <c:pt idx="50">
                  <c:v>-1.0391687510491465E-13</c:v>
                </c:pt>
              </c:numCache>
            </c:numRef>
          </c:cat>
          <c:val>
            <c:numRef>
              <c:f>'3dGraph'!$N$28:$N$78</c:f>
              <c:numCache>
                <c:formatCode>General</c:formatCode>
                <c:ptCount val="51"/>
                <c:pt idx="0">
                  <c:v>79.547360000000054</c:v>
                </c:pt>
                <c:pt idx="1">
                  <c:v>80.192614400000053</c:v>
                </c:pt>
                <c:pt idx="2">
                  <c:v>80.815289600000042</c:v>
                </c:pt>
                <c:pt idx="3">
                  <c:v>81.415385600000036</c:v>
                </c:pt>
                <c:pt idx="4">
                  <c:v>81.992902400000034</c:v>
                </c:pt>
                <c:pt idx="5">
                  <c:v>82.547840000000051</c:v>
                </c:pt>
                <c:pt idx="6">
                  <c:v>83.080198400000043</c:v>
                </c:pt>
                <c:pt idx="7">
                  <c:v>83.589977600000026</c:v>
                </c:pt>
                <c:pt idx="8">
                  <c:v>84.07717760000007</c:v>
                </c:pt>
                <c:pt idx="9">
                  <c:v>84.541798400000062</c:v>
                </c:pt>
                <c:pt idx="10">
                  <c:v>84.983840000000058</c:v>
                </c:pt>
                <c:pt idx="11">
                  <c:v>85.403302400000044</c:v>
                </c:pt>
                <c:pt idx="12">
                  <c:v>85.800185600000034</c:v>
                </c:pt>
                <c:pt idx="13">
                  <c:v>86.174489600000058</c:v>
                </c:pt>
                <c:pt idx="14">
                  <c:v>86.526214400000043</c:v>
                </c:pt>
                <c:pt idx="15">
                  <c:v>86.855360000000047</c:v>
                </c:pt>
                <c:pt idx="16">
                  <c:v>87.161926400000041</c:v>
                </c:pt>
                <c:pt idx="17">
                  <c:v>87.445913600000068</c:v>
                </c:pt>
                <c:pt idx="18">
                  <c:v>87.707321600000057</c:v>
                </c:pt>
                <c:pt idx="19">
                  <c:v>87.94615040000005</c:v>
                </c:pt>
                <c:pt idx="20">
                  <c:v>88.162400000000034</c:v>
                </c:pt>
                <c:pt idx="21">
                  <c:v>88.35607040000005</c:v>
                </c:pt>
                <c:pt idx="22">
                  <c:v>88.527161600000056</c:v>
                </c:pt>
                <c:pt idx="23">
                  <c:v>88.675673600000053</c:v>
                </c:pt>
                <c:pt idx="24">
                  <c:v>88.80160640000004</c:v>
                </c:pt>
                <c:pt idx="25">
                  <c:v>88.904960000000059</c:v>
                </c:pt>
                <c:pt idx="26">
                  <c:v>88.985734400000041</c:v>
                </c:pt>
                <c:pt idx="27">
                  <c:v>89.043929600000041</c:v>
                </c:pt>
                <c:pt idx="28">
                  <c:v>89.079545600000031</c:v>
                </c:pt>
                <c:pt idx="29">
                  <c:v>89.09258240000004</c:v>
                </c:pt>
                <c:pt idx="30">
                  <c:v>89.08304000000004</c:v>
                </c:pt>
                <c:pt idx="31">
                  <c:v>89.050918400000029</c:v>
                </c:pt>
                <c:pt idx="32">
                  <c:v>88.996217600000051</c:v>
                </c:pt>
                <c:pt idx="33">
                  <c:v>88.918937600000035</c:v>
                </c:pt>
                <c:pt idx="34">
                  <c:v>88.819078400000024</c:v>
                </c:pt>
                <c:pt idx="35">
                  <c:v>88.696640000000016</c:v>
                </c:pt>
                <c:pt idx="36">
                  <c:v>88.551622400000056</c:v>
                </c:pt>
                <c:pt idx="37">
                  <c:v>88.384025600000044</c:v>
                </c:pt>
                <c:pt idx="38">
                  <c:v>88.193849600000021</c:v>
                </c:pt>
                <c:pt idx="39">
                  <c:v>87.981094400000018</c:v>
                </c:pt>
                <c:pt idx="40">
                  <c:v>87.745760000000033</c:v>
                </c:pt>
                <c:pt idx="41">
                  <c:v>87.487846400000024</c:v>
                </c:pt>
                <c:pt idx="42">
                  <c:v>87.207353600000019</c:v>
                </c:pt>
                <c:pt idx="43">
                  <c:v>86.904281600000047</c:v>
                </c:pt>
                <c:pt idx="44">
                  <c:v>86.578630400000037</c:v>
                </c:pt>
                <c:pt idx="45">
                  <c:v>86.230400000000017</c:v>
                </c:pt>
                <c:pt idx="46">
                  <c:v>85.859590400000016</c:v>
                </c:pt>
                <c:pt idx="47">
                  <c:v>85.466201600000034</c:v>
                </c:pt>
                <c:pt idx="48">
                  <c:v>85.050233600000027</c:v>
                </c:pt>
                <c:pt idx="49">
                  <c:v>84.611686400000011</c:v>
                </c:pt>
                <c:pt idx="50">
                  <c:v>84.150560000000013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85A-43B2-9C9C-0FB310DD3FD5}"/>
            </c:ext>
          </c:extLst>
        </c:ser>
        <c:ser>
          <c:idx val="13"/>
          <c:order val="13"/>
          <c:tx>
            <c:strRef>
              <c:f>'3dGraph'!$O$27</c:f>
              <c:strCache>
                <c:ptCount val="1"/>
                <c:pt idx="0">
                  <c:v>1260</c:v>
                </c:pt>
              </c:strCache>
            </c:strRef>
          </c:tx>
          <c:spPr>
            <a:solidFill>
              <a:srgbClr val="80000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'3dGraph'!$A$28:$A$78</c:f>
              <c:numCache>
                <c:formatCode>General</c:formatCode>
                <c:ptCount val="51"/>
                <c:pt idx="0">
                  <c:v>120</c:v>
                </c:pt>
                <c:pt idx="1">
                  <c:v>117.6</c:v>
                </c:pt>
                <c:pt idx="2">
                  <c:v>115.19999999999999</c:v>
                </c:pt>
                <c:pt idx="3">
                  <c:v>112.79999999999998</c:v>
                </c:pt>
                <c:pt idx="4">
                  <c:v>110.39999999999998</c:v>
                </c:pt>
                <c:pt idx="5">
                  <c:v>107.99999999999997</c:v>
                </c:pt>
                <c:pt idx="6">
                  <c:v>105.59999999999997</c:v>
                </c:pt>
                <c:pt idx="7">
                  <c:v>103.19999999999996</c:v>
                </c:pt>
                <c:pt idx="8">
                  <c:v>100.79999999999995</c:v>
                </c:pt>
                <c:pt idx="9">
                  <c:v>98.399999999999949</c:v>
                </c:pt>
                <c:pt idx="10">
                  <c:v>95.999999999999943</c:v>
                </c:pt>
                <c:pt idx="11">
                  <c:v>93.599999999999937</c:v>
                </c:pt>
                <c:pt idx="12">
                  <c:v>91.199999999999932</c:v>
                </c:pt>
                <c:pt idx="13">
                  <c:v>88.799999999999926</c:v>
                </c:pt>
                <c:pt idx="14">
                  <c:v>86.39999999999992</c:v>
                </c:pt>
                <c:pt idx="15">
                  <c:v>83.999999999999915</c:v>
                </c:pt>
                <c:pt idx="16">
                  <c:v>81.599999999999909</c:v>
                </c:pt>
                <c:pt idx="17">
                  <c:v>79.199999999999903</c:v>
                </c:pt>
                <c:pt idx="18">
                  <c:v>76.799999999999898</c:v>
                </c:pt>
                <c:pt idx="19">
                  <c:v>74.399999999999892</c:v>
                </c:pt>
                <c:pt idx="20">
                  <c:v>71.999999999999886</c:v>
                </c:pt>
                <c:pt idx="21">
                  <c:v>69.599999999999881</c:v>
                </c:pt>
                <c:pt idx="22">
                  <c:v>67.199999999999875</c:v>
                </c:pt>
                <c:pt idx="23">
                  <c:v>64.799999999999869</c:v>
                </c:pt>
                <c:pt idx="24">
                  <c:v>62.399999999999871</c:v>
                </c:pt>
                <c:pt idx="25">
                  <c:v>59.999999999999872</c:v>
                </c:pt>
                <c:pt idx="26">
                  <c:v>57.599999999999874</c:v>
                </c:pt>
                <c:pt idx="27">
                  <c:v>55.199999999999875</c:v>
                </c:pt>
                <c:pt idx="28">
                  <c:v>52.799999999999876</c:v>
                </c:pt>
                <c:pt idx="29">
                  <c:v>50.399999999999878</c:v>
                </c:pt>
                <c:pt idx="30">
                  <c:v>47.999999999999879</c:v>
                </c:pt>
                <c:pt idx="31">
                  <c:v>45.599999999999881</c:v>
                </c:pt>
                <c:pt idx="32">
                  <c:v>43.199999999999882</c:v>
                </c:pt>
                <c:pt idx="33">
                  <c:v>40.799999999999883</c:v>
                </c:pt>
                <c:pt idx="34">
                  <c:v>38.399999999999885</c:v>
                </c:pt>
                <c:pt idx="35">
                  <c:v>35.999999999999886</c:v>
                </c:pt>
                <c:pt idx="36">
                  <c:v>33.599999999999888</c:v>
                </c:pt>
                <c:pt idx="37">
                  <c:v>31.199999999999889</c:v>
                </c:pt>
                <c:pt idx="38">
                  <c:v>28.799999999999891</c:v>
                </c:pt>
                <c:pt idx="39">
                  <c:v>26.399999999999892</c:v>
                </c:pt>
                <c:pt idx="40">
                  <c:v>23.999999999999893</c:v>
                </c:pt>
                <c:pt idx="41">
                  <c:v>21.599999999999895</c:v>
                </c:pt>
                <c:pt idx="42">
                  <c:v>19.199999999999896</c:v>
                </c:pt>
                <c:pt idx="43">
                  <c:v>16.799999999999898</c:v>
                </c:pt>
                <c:pt idx="44">
                  <c:v>14.399999999999897</c:v>
                </c:pt>
                <c:pt idx="45">
                  <c:v>11.999999999999897</c:v>
                </c:pt>
                <c:pt idx="46">
                  <c:v>9.5999999999998966</c:v>
                </c:pt>
                <c:pt idx="47">
                  <c:v>7.1999999999998963</c:v>
                </c:pt>
                <c:pt idx="48">
                  <c:v>4.7999999999998959</c:v>
                </c:pt>
                <c:pt idx="49">
                  <c:v>2.399999999999896</c:v>
                </c:pt>
                <c:pt idx="50">
                  <c:v>-1.0391687510491465E-13</c:v>
                </c:pt>
              </c:numCache>
            </c:numRef>
          </c:cat>
          <c:val>
            <c:numRef>
              <c:f>'3dGraph'!$O$28:$O$78</c:f>
              <c:numCache>
                <c:formatCode>General</c:formatCode>
                <c:ptCount val="51"/>
                <c:pt idx="0">
                  <c:v>80.125760000000042</c:v>
                </c:pt>
                <c:pt idx="1">
                  <c:v>80.769046400000036</c:v>
                </c:pt>
                <c:pt idx="2">
                  <c:v>81.389753600000034</c:v>
                </c:pt>
                <c:pt idx="3">
                  <c:v>81.987881600000023</c:v>
                </c:pt>
                <c:pt idx="4">
                  <c:v>82.56343040000003</c:v>
                </c:pt>
                <c:pt idx="5">
                  <c:v>83.116400000000041</c:v>
                </c:pt>
                <c:pt idx="6">
                  <c:v>83.646790400000043</c:v>
                </c:pt>
                <c:pt idx="7">
                  <c:v>84.154601600000035</c:v>
                </c:pt>
                <c:pt idx="8">
                  <c:v>84.63983360000006</c:v>
                </c:pt>
                <c:pt idx="9">
                  <c:v>85.102486400000046</c:v>
                </c:pt>
                <c:pt idx="10">
                  <c:v>85.542560000000051</c:v>
                </c:pt>
                <c:pt idx="11">
                  <c:v>85.960054400000033</c:v>
                </c:pt>
                <c:pt idx="12">
                  <c:v>86.354969600000018</c:v>
                </c:pt>
                <c:pt idx="13">
                  <c:v>86.727305600000051</c:v>
                </c:pt>
                <c:pt idx="14">
                  <c:v>87.077062400000031</c:v>
                </c:pt>
                <c:pt idx="15">
                  <c:v>87.404240000000044</c:v>
                </c:pt>
                <c:pt idx="16">
                  <c:v>87.708838400000019</c:v>
                </c:pt>
                <c:pt idx="17">
                  <c:v>87.990857600000055</c:v>
                </c:pt>
                <c:pt idx="18">
                  <c:v>88.250297600000039</c:v>
                </c:pt>
                <c:pt idx="19">
                  <c:v>88.487158400000041</c:v>
                </c:pt>
                <c:pt idx="20">
                  <c:v>88.701440000000019</c:v>
                </c:pt>
                <c:pt idx="21">
                  <c:v>88.893142400000045</c:v>
                </c:pt>
                <c:pt idx="22">
                  <c:v>89.062265600000046</c:v>
                </c:pt>
                <c:pt idx="23">
                  <c:v>89.208809600000038</c:v>
                </c:pt>
                <c:pt idx="24">
                  <c:v>89.332774400000019</c:v>
                </c:pt>
                <c:pt idx="25">
                  <c:v>89.434160000000048</c:v>
                </c:pt>
                <c:pt idx="26">
                  <c:v>89.512966400000039</c:v>
                </c:pt>
                <c:pt idx="27">
                  <c:v>89.569193600000034</c:v>
                </c:pt>
                <c:pt idx="28">
                  <c:v>89.602841600000019</c:v>
                </c:pt>
                <c:pt idx="29">
                  <c:v>89.613910400000037</c:v>
                </c:pt>
                <c:pt idx="30">
                  <c:v>89.602400000000017</c:v>
                </c:pt>
                <c:pt idx="31">
                  <c:v>89.568310400000016</c:v>
                </c:pt>
                <c:pt idx="32">
                  <c:v>89.511641600000033</c:v>
                </c:pt>
                <c:pt idx="33">
                  <c:v>89.432393600000026</c:v>
                </c:pt>
                <c:pt idx="34">
                  <c:v>89.330566400000009</c:v>
                </c:pt>
                <c:pt idx="35">
                  <c:v>89.206160000000011</c:v>
                </c:pt>
                <c:pt idx="36">
                  <c:v>89.059174400000032</c:v>
                </c:pt>
                <c:pt idx="37">
                  <c:v>88.889609600000028</c:v>
                </c:pt>
                <c:pt idx="38">
                  <c:v>88.697465600000015</c:v>
                </c:pt>
                <c:pt idx="39">
                  <c:v>88.482742400000006</c:v>
                </c:pt>
                <c:pt idx="40">
                  <c:v>88.245440000000031</c:v>
                </c:pt>
                <c:pt idx="41">
                  <c:v>87.985558400000016</c:v>
                </c:pt>
                <c:pt idx="42">
                  <c:v>87.703097600000021</c:v>
                </c:pt>
                <c:pt idx="43">
                  <c:v>87.39805760000003</c:v>
                </c:pt>
                <c:pt idx="44">
                  <c:v>87.070438400000029</c:v>
                </c:pt>
                <c:pt idx="45">
                  <c:v>86.720240000000004</c:v>
                </c:pt>
                <c:pt idx="46">
                  <c:v>86.347462400000012</c:v>
                </c:pt>
                <c:pt idx="47">
                  <c:v>85.952105600000024</c:v>
                </c:pt>
                <c:pt idx="48">
                  <c:v>85.534169600000027</c:v>
                </c:pt>
                <c:pt idx="49">
                  <c:v>85.093654400000005</c:v>
                </c:pt>
                <c:pt idx="50">
                  <c:v>84.630560000000003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85A-43B2-9C9C-0FB310DD3FD5}"/>
            </c:ext>
          </c:extLst>
        </c:ser>
        <c:ser>
          <c:idx val="14"/>
          <c:order val="14"/>
          <c:tx>
            <c:strRef>
              <c:f>'3dGraph'!$P$27</c:f>
              <c:strCache>
                <c:ptCount val="1"/>
                <c:pt idx="0">
                  <c:v>1280</c:v>
                </c:pt>
              </c:strCache>
            </c:strRef>
          </c:tx>
          <c:spPr>
            <a:solidFill>
              <a:srgbClr val="00808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'3dGraph'!$A$28:$A$78</c:f>
              <c:numCache>
                <c:formatCode>General</c:formatCode>
                <c:ptCount val="51"/>
                <c:pt idx="0">
                  <c:v>120</c:v>
                </c:pt>
                <c:pt idx="1">
                  <c:v>117.6</c:v>
                </c:pt>
                <c:pt idx="2">
                  <c:v>115.19999999999999</c:v>
                </c:pt>
                <c:pt idx="3">
                  <c:v>112.79999999999998</c:v>
                </c:pt>
                <c:pt idx="4">
                  <c:v>110.39999999999998</c:v>
                </c:pt>
                <c:pt idx="5">
                  <c:v>107.99999999999997</c:v>
                </c:pt>
                <c:pt idx="6">
                  <c:v>105.59999999999997</c:v>
                </c:pt>
                <c:pt idx="7">
                  <c:v>103.19999999999996</c:v>
                </c:pt>
                <c:pt idx="8">
                  <c:v>100.79999999999995</c:v>
                </c:pt>
                <c:pt idx="9">
                  <c:v>98.399999999999949</c:v>
                </c:pt>
                <c:pt idx="10">
                  <c:v>95.999999999999943</c:v>
                </c:pt>
                <c:pt idx="11">
                  <c:v>93.599999999999937</c:v>
                </c:pt>
                <c:pt idx="12">
                  <c:v>91.199999999999932</c:v>
                </c:pt>
                <c:pt idx="13">
                  <c:v>88.799999999999926</c:v>
                </c:pt>
                <c:pt idx="14">
                  <c:v>86.39999999999992</c:v>
                </c:pt>
                <c:pt idx="15">
                  <c:v>83.999999999999915</c:v>
                </c:pt>
                <c:pt idx="16">
                  <c:v>81.599999999999909</c:v>
                </c:pt>
                <c:pt idx="17">
                  <c:v>79.199999999999903</c:v>
                </c:pt>
                <c:pt idx="18">
                  <c:v>76.799999999999898</c:v>
                </c:pt>
                <c:pt idx="19">
                  <c:v>74.399999999999892</c:v>
                </c:pt>
                <c:pt idx="20">
                  <c:v>71.999999999999886</c:v>
                </c:pt>
                <c:pt idx="21">
                  <c:v>69.599999999999881</c:v>
                </c:pt>
                <c:pt idx="22">
                  <c:v>67.199999999999875</c:v>
                </c:pt>
                <c:pt idx="23">
                  <c:v>64.799999999999869</c:v>
                </c:pt>
                <c:pt idx="24">
                  <c:v>62.399999999999871</c:v>
                </c:pt>
                <c:pt idx="25">
                  <c:v>59.999999999999872</c:v>
                </c:pt>
                <c:pt idx="26">
                  <c:v>57.599999999999874</c:v>
                </c:pt>
                <c:pt idx="27">
                  <c:v>55.199999999999875</c:v>
                </c:pt>
                <c:pt idx="28">
                  <c:v>52.799999999999876</c:v>
                </c:pt>
                <c:pt idx="29">
                  <c:v>50.399999999999878</c:v>
                </c:pt>
                <c:pt idx="30">
                  <c:v>47.999999999999879</c:v>
                </c:pt>
                <c:pt idx="31">
                  <c:v>45.599999999999881</c:v>
                </c:pt>
                <c:pt idx="32">
                  <c:v>43.199999999999882</c:v>
                </c:pt>
                <c:pt idx="33">
                  <c:v>40.799999999999883</c:v>
                </c:pt>
                <c:pt idx="34">
                  <c:v>38.399999999999885</c:v>
                </c:pt>
                <c:pt idx="35">
                  <c:v>35.999999999999886</c:v>
                </c:pt>
                <c:pt idx="36">
                  <c:v>33.599999999999888</c:v>
                </c:pt>
                <c:pt idx="37">
                  <c:v>31.199999999999889</c:v>
                </c:pt>
                <c:pt idx="38">
                  <c:v>28.799999999999891</c:v>
                </c:pt>
                <c:pt idx="39">
                  <c:v>26.399999999999892</c:v>
                </c:pt>
                <c:pt idx="40">
                  <c:v>23.999999999999893</c:v>
                </c:pt>
                <c:pt idx="41">
                  <c:v>21.599999999999895</c:v>
                </c:pt>
                <c:pt idx="42">
                  <c:v>19.199999999999896</c:v>
                </c:pt>
                <c:pt idx="43">
                  <c:v>16.799999999999898</c:v>
                </c:pt>
                <c:pt idx="44">
                  <c:v>14.399999999999897</c:v>
                </c:pt>
                <c:pt idx="45">
                  <c:v>11.999999999999897</c:v>
                </c:pt>
                <c:pt idx="46">
                  <c:v>9.5999999999998966</c:v>
                </c:pt>
                <c:pt idx="47">
                  <c:v>7.1999999999998963</c:v>
                </c:pt>
                <c:pt idx="48">
                  <c:v>4.7999999999998959</c:v>
                </c:pt>
                <c:pt idx="49">
                  <c:v>2.399999999999896</c:v>
                </c:pt>
                <c:pt idx="50">
                  <c:v>-1.0391687510491465E-13</c:v>
                </c:pt>
              </c:numCache>
            </c:numRef>
          </c:cat>
          <c:val>
            <c:numRef>
              <c:f>'3dGraph'!$P$28:$P$78</c:f>
              <c:numCache>
                <c:formatCode>General</c:formatCode>
                <c:ptCount val="51"/>
                <c:pt idx="0">
                  <c:v>80.628640000000019</c:v>
                </c:pt>
                <c:pt idx="1">
                  <c:v>81.269958399999993</c:v>
                </c:pt>
                <c:pt idx="2">
                  <c:v>81.8886976</c:v>
                </c:pt>
                <c:pt idx="3">
                  <c:v>82.484857600000026</c:v>
                </c:pt>
                <c:pt idx="4">
                  <c:v>83.0584384</c:v>
                </c:pt>
                <c:pt idx="5">
                  <c:v>83.609440000000021</c:v>
                </c:pt>
                <c:pt idx="6">
                  <c:v>84.137862400000017</c:v>
                </c:pt>
                <c:pt idx="7">
                  <c:v>84.643705600000004</c:v>
                </c:pt>
                <c:pt idx="8">
                  <c:v>85.126969600000038</c:v>
                </c:pt>
                <c:pt idx="9">
                  <c:v>85.587654400000019</c:v>
                </c:pt>
                <c:pt idx="10">
                  <c:v>86.02576000000002</c:v>
                </c:pt>
                <c:pt idx="11">
                  <c:v>86.44128640000001</c:v>
                </c:pt>
                <c:pt idx="12">
                  <c:v>86.834233600000005</c:v>
                </c:pt>
                <c:pt idx="13">
                  <c:v>87.204601600000032</c:v>
                </c:pt>
                <c:pt idx="14">
                  <c:v>87.552390400000021</c:v>
                </c:pt>
                <c:pt idx="15">
                  <c:v>87.877600000000001</c:v>
                </c:pt>
                <c:pt idx="16">
                  <c:v>88.180230399999999</c:v>
                </c:pt>
                <c:pt idx="17">
                  <c:v>88.46028160000003</c:v>
                </c:pt>
                <c:pt idx="18">
                  <c:v>88.717753600000023</c:v>
                </c:pt>
                <c:pt idx="19">
                  <c:v>88.95264640000002</c:v>
                </c:pt>
                <c:pt idx="20">
                  <c:v>89.164960000000008</c:v>
                </c:pt>
                <c:pt idx="21">
                  <c:v>89.354694400000028</c:v>
                </c:pt>
                <c:pt idx="22">
                  <c:v>89.521849600000024</c:v>
                </c:pt>
                <c:pt idx="23">
                  <c:v>89.666425600000011</c:v>
                </c:pt>
                <c:pt idx="24">
                  <c:v>89.788422400000002</c:v>
                </c:pt>
                <c:pt idx="25">
                  <c:v>89.887840000000025</c:v>
                </c:pt>
                <c:pt idx="26">
                  <c:v>89.964678400000025</c:v>
                </c:pt>
                <c:pt idx="27">
                  <c:v>90.018937600000015</c:v>
                </c:pt>
                <c:pt idx="28">
                  <c:v>90.05061760000001</c:v>
                </c:pt>
                <c:pt idx="29">
                  <c:v>90.059718400000008</c:v>
                </c:pt>
                <c:pt idx="30">
                  <c:v>90.046239999999997</c:v>
                </c:pt>
                <c:pt idx="31">
                  <c:v>90.010182399999991</c:v>
                </c:pt>
                <c:pt idx="32">
                  <c:v>89.951545600000017</c:v>
                </c:pt>
                <c:pt idx="33">
                  <c:v>89.870329600000005</c:v>
                </c:pt>
                <c:pt idx="34">
                  <c:v>89.766534399999998</c:v>
                </c:pt>
                <c:pt idx="35">
                  <c:v>89.640159999999995</c:v>
                </c:pt>
                <c:pt idx="36">
                  <c:v>89.49120640000001</c:v>
                </c:pt>
                <c:pt idx="37">
                  <c:v>89.319673600000002</c:v>
                </c:pt>
                <c:pt idx="38">
                  <c:v>89.125561599999983</c:v>
                </c:pt>
                <c:pt idx="39">
                  <c:v>88.908870399999984</c:v>
                </c:pt>
                <c:pt idx="40">
                  <c:v>88.669600000000003</c:v>
                </c:pt>
                <c:pt idx="41">
                  <c:v>88.407750399999998</c:v>
                </c:pt>
                <c:pt idx="42">
                  <c:v>88.123321599999997</c:v>
                </c:pt>
                <c:pt idx="43">
                  <c:v>87.816313600000015</c:v>
                </c:pt>
                <c:pt idx="44">
                  <c:v>87.486726399999995</c:v>
                </c:pt>
                <c:pt idx="45">
                  <c:v>87.134559999999979</c:v>
                </c:pt>
                <c:pt idx="46">
                  <c:v>86.759814399999982</c:v>
                </c:pt>
                <c:pt idx="47">
                  <c:v>86.362489600000004</c:v>
                </c:pt>
                <c:pt idx="48">
                  <c:v>85.942585600000001</c:v>
                </c:pt>
                <c:pt idx="49">
                  <c:v>85.500102399999989</c:v>
                </c:pt>
                <c:pt idx="50">
                  <c:v>85.035039999999981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85A-43B2-9C9C-0FB310DD3FD5}"/>
            </c:ext>
          </c:extLst>
        </c:ser>
        <c:ser>
          <c:idx val="15"/>
          <c:order val="15"/>
          <c:tx>
            <c:strRef>
              <c:f>'3dGraph'!$Q$27</c:f>
              <c:strCache>
                <c:ptCount val="1"/>
                <c:pt idx="0">
                  <c:v>1300</c:v>
                </c:pt>
              </c:strCache>
            </c:strRef>
          </c:tx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'3dGraph'!$A$28:$A$78</c:f>
              <c:numCache>
                <c:formatCode>General</c:formatCode>
                <c:ptCount val="51"/>
                <c:pt idx="0">
                  <c:v>120</c:v>
                </c:pt>
                <c:pt idx="1">
                  <c:v>117.6</c:v>
                </c:pt>
                <c:pt idx="2">
                  <c:v>115.19999999999999</c:v>
                </c:pt>
                <c:pt idx="3">
                  <c:v>112.79999999999998</c:v>
                </c:pt>
                <c:pt idx="4">
                  <c:v>110.39999999999998</c:v>
                </c:pt>
                <c:pt idx="5">
                  <c:v>107.99999999999997</c:v>
                </c:pt>
                <c:pt idx="6">
                  <c:v>105.59999999999997</c:v>
                </c:pt>
                <c:pt idx="7">
                  <c:v>103.19999999999996</c:v>
                </c:pt>
                <c:pt idx="8">
                  <c:v>100.79999999999995</c:v>
                </c:pt>
                <c:pt idx="9">
                  <c:v>98.399999999999949</c:v>
                </c:pt>
                <c:pt idx="10">
                  <c:v>95.999999999999943</c:v>
                </c:pt>
                <c:pt idx="11">
                  <c:v>93.599999999999937</c:v>
                </c:pt>
                <c:pt idx="12">
                  <c:v>91.199999999999932</c:v>
                </c:pt>
                <c:pt idx="13">
                  <c:v>88.799999999999926</c:v>
                </c:pt>
                <c:pt idx="14">
                  <c:v>86.39999999999992</c:v>
                </c:pt>
                <c:pt idx="15">
                  <c:v>83.999999999999915</c:v>
                </c:pt>
                <c:pt idx="16">
                  <c:v>81.599999999999909</c:v>
                </c:pt>
                <c:pt idx="17">
                  <c:v>79.199999999999903</c:v>
                </c:pt>
                <c:pt idx="18">
                  <c:v>76.799999999999898</c:v>
                </c:pt>
                <c:pt idx="19">
                  <c:v>74.399999999999892</c:v>
                </c:pt>
                <c:pt idx="20">
                  <c:v>71.999999999999886</c:v>
                </c:pt>
                <c:pt idx="21">
                  <c:v>69.599999999999881</c:v>
                </c:pt>
                <c:pt idx="22">
                  <c:v>67.199999999999875</c:v>
                </c:pt>
                <c:pt idx="23">
                  <c:v>64.799999999999869</c:v>
                </c:pt>
                <c:pt idx="24">
                  <c:v>62.399999999999871</c:v>
                </c:pt>
                <c:pt idx="25">
                  <c:v>59.999999999999872</c:v>
                </c:pt>
                <c:pt idx="26">
                  <c:v>57.599999999999874</c:v>
                </c:pt>
                <c:pt idx="27">
                  <c:v>55.199999999999875</c:v>
                </c:pt>
                <c:pt idx="28">
                  <c:v>52.799999999999876</c:v>
                </c:pt>
                <c:pt idx="29">
                  <c:v>50.399999999999878</c:v>
                </c:pt>
                <c:pt idx="30">
                  <c:v>47.999999999999879</c:v>
                </c:pt>
                <c:pt idx="31">
                  <c:v>45.599999999999881</c:v>
                </c:pt>
                <c:pt idx="32">
                  <c:v>43.199999999999882</c:v>
                </c:pt>
                <c:pt idx="33">
                  <c:v>40.799999999999883</c:v>
                </c:pt>
                <c:pt idx="34">
                  <c:v>38.399999999999885</c:v>
                </c:pt>
                <c:pt idx="35">
                  <c:v>35.999999999999886</c:v>
                </c:pt>
                <c:pt idx="36">
                  <c:v>33.599999999999888</c:v>
                </c:pt>
                <c:pt idx="37">
                  <c:v>31.199999999999889</c:v>
                </c:pt>
                <c:pt idx="38">
                  <c:v>28.799999999999891</c:v>
                </c:pt>
                <c:pt idx="39">
                  <c:v>26.399999999999892</c:v>
                </c:pt>
                <c:pt idx="40">
                  <c:v>23.999999999999893</c:v>
                </c:pt>
                <c:pt idx="41">
                  <c:v>21.599999999999895</c:v>
                </c:pt>
                <c:pt idx="42">
                  <c:v>19.199999999999896</c:v>
                </c:pt>
                <c:pt idx="43">
                  <c:v>16.799999999999898</c:v>
                </c:pt>
                <c:pt idx="44">
                  <c:v>14.399999999999897</c:v>
                </c:pt>
                <c:pt idx="45">
                  <c:v>11.999999999999897</c:v>
                </c:pt>
                <c:pt idx="46">
                  <c:v>9.5999999999998966</c:v>
                </c:pt>
                <c:pt idx="47">
                  <c:v>7.1999999999998963</c:v>
                </c:pt>
                <c:pt idx="48">
                  <c:v>4.7999999999998959</c:v>
                </c:pt>
                <c:pt idx="49">
                  <c:v>2.399999999999896</c:v>
                </c:pt>
                <c:pt idx="50">
                  <c:v>-1.0391687510491465E-13</c:v>
                </c:pt>
              </c:numCache>
            </c:numRef>
          </c:cat>
          <c:val>
            <c:numRef>
              <c:f>'3dGraph'!$Q$28:$Q$78</c:f>
              <c:numCache>
                <c:formatCode>General</c:formatCode>
                <c:ptCount val="51"/>
                <c:pt idx="0">
                  <c:v>81.056000000000012</c:v>
                </c:pt>
                <c:pt idx="1">
                  <c:v>81.695350399999981</c:v>
                </c:pt>
                <c:pt idx="2">
                  <c:v>82.312121599999998</c:v>
                </c:pt>
                <c:pt idx="3">
                  <c:v>82.906313600000033</c:v>
                </c:pt>
                <c:pt idx="4">
                  <c:v>83.477926400000001</c:v>
                </c:pt>
                <c:pt idx="5">
                  <c:v>84.026960000000017</c:v>
                </c:pt>
                <c:pt idx="6">
                  <c:v>84.553414400000037</c:v>
                </c:pt>
                <c:pt idx="7">
                  <c:v>85.05728959999999</c:v>
                </c:pt>
                <c:pt idx="8">
                  <c:v>85.538585600000033</c:v>
                </c:pt>
                <c:pt idx="9">
                  <c:v>85.997302399999995</c:v>
                </c:pt>
                <c:pt idx="10">
                  <c:v>86.433440000000019</c:v>
                </c:pt>
                <c:pt idx="11">
                  <c:v>86.846998400000032</c:v>
                </c:pt>
                <c:pt idx="12">
                  <c:v>87.237977599999994</c:v>
                </c:pt>
                <c:pt idx="13">
                  <c:v>87.60637760000003</c:v>
                </c:pt>
                <c:pt idx="14">
                  <c:v>87.952198399999986</c:v>
                </c:pt>
                <c:pt idx="15">
                  <c:v>88.275440000000003</c:v>
                </c:pt>
                <c:pt idx="16">
                  <c:v>88.576102400000025</c:v>
                </c:pt>
                <c:pt idx="17">
                  <c:v>88.854185599999994</c:v>
                </c:pt>
                <c:pt idx="18">
                  <c:v>89.109689600000024</c:v>
                </c:pt>
                <c:pt idx="19">
                  <c:v>89.342614400000016</c:v>
                </c:pt>
                <c:pt idx="20">
                  <c:v>89.552959999999999</c:v>
                </c:pt>
                <c:pt idx="21">
                  <c:v>89.740726400000028</c:v>
                </c:pt>
                <c:pt idx="22">
                  <c:v>89.905913600000019</c:v>
                </c:pt>
                <c:pt idx="23">
                  <c:v>90.048521600000015</c:v>
                </c:pt>
                <c:pt idx="24">
                  <c:v>90.168550400000001</c:v>
                </c:pt>
                <c:pt idx="25">
                  <c:v>90.26600000000002</c:v>
                </c:pt>
                <c:pt idx="26">
                  <c:v>90.3408704</c:v>
                </c:pt>
                <c:pt idx="27">
                  <c:v>90.393161599999999</c:v>
                </c:pt>
                <c:pt idx="28">
                  <c:v>90.422873600000003</c:v>
                </c:pt>
                <c:pt idx="29">
                  <c:v>90.430006400000011</c:v>
                </c:pt>
                <c:pt idx="30">
                  <c:v>90.414559999999994</c:v>
                </c:pt>
                <c:pt idx="31">
                  <c:v>90.376534399999983</c:v>
                </c:pt>
                <c:pt idx="32">
                  <c:v>90.315929600000018</c:v>
                </c:pt>
                <c:pt idx="33">
                  <c:v>90.232745600000001</c:v>
                </c:pt>
                <c:pt idx="34">
                  <c:v>90.126982399999989</c:v>
                </c:pt>
                <c:pt idx="35">
                  <c:v>89.99863999999998</c:v>
                </c:pt>
                <c:pt idx="36">
                  <c:v>89.847718400000005</c:v>
                </c:pt>
                <c:pt idx="37">
                  <c:v>89.674217600000006</c:v>
                </c:pt>
                <c:pt idx="38">
                  <c:v>89.478137599999982</c:v>
                </c:pt>
                <c:pt idx="39">
                  <c:v>89.259478399999978</c:v>
                </c:pt>
                <c:pt idx="40">
                  <c:v>89.018239999999992</c:v>
                </c:pt>
                <c:pt idx="41">
                  <c:v>88.754422399999996</c:v>
                </c:pt>
                <c:pt idx="42">
                  <c:v>88.46802559999999</c:v>
                </c:pt>
                <c:pt idx="43">
                  <c:v>88.159049600000003</c:v>
                </c:pt>
                <c:pt idx="44">
                  <c:v>87.827494399999992</c:v>
                </c:pt>
                <c:pt idx="45">
                  <c:v>87.473359999999985</c:v>
                </c:pt>
                <c:pt idx="46">
                  <c:v>87.096646399999983</c:v>
                </c:pt>
                <c:pt idx="47">
                  <c:v>86.6973536</c:v>
                </c:pt>
                <c:pt idx="48">
                  <c:v>86.275481599999992</c:v>
                </c:pt>
                <c:pt idx="49">
                  <c:v>85.831030399999975</c:v>
                </c:pt>
                <c:pt idx="50">
                  <c:v>85.363999999999976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85A-43B2-9C9C-0FB310DD3FD5}"/>
            </c:ext>
          </c:extLst>
        </c:ser>
        <c:ser>
          <c:idx val="16"/>
          <c:order val="16"/>
          <c:tx>
            <c:strRef>
              <c:f>'3dGraph'!$R$27</c:f>
              <c:strCache>
                <c:ptCount val="1"/>
                <c:pt idx="0">
                  <c:v>1320</c:v>
                </c:pt>
              </c:strCache>
            </c:strRef>
          </c:tx>
          <c:spPr>
            <a:solidFill>
              <a:srgbClr val="00CC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'3dGraph'!$A$28:$A$78</c:f>
              <c:numCache>
                <c:formatCode>General</c:formatCode>
                <c:ptCount val="51"/>
                <c:pt idx="0">
                  <c:v>120</c:v>
                </c:pt>
                <c:pt idx="1">
                  <c:v>117.6</c:v>
                </c:pt>
                <c:pt idx="2">
                  <c:v>115.19999999999999</c:v>
                </c:pt>
                <c:pt idx="3">
                  <c:v>112.79999999999998</c:v>
                </c:pt>
                <c:pt idx="4">
                  <c:v>110.39999999999998</c:v>
                </c:pt>
                <c:pt idx="5">
                  <c:v>107.99999999999997</c:v>
                </c:pt>
                <c:pt idx="6">
                  <c:v>105.59999999999997</c:v>
                </c:pt>
                <c:pt idx="7">
                  <c:v>103.19999999999996</c:v>
                </c:pt>
                <c:pt idx="8">
                  <c:v>100.79999999999995</c:v>
                </c:pt>
                <c:pt idx="9">
                  <c:v>98.399999999999949</c:v>
                </c:pt>
                <c:pt idx="10">
                  <c:v>95.999999999999943</c:v>
                </c:pt>
                <c:pt idx="11">
                  <c:v>93.599999999999937</c:v>
                </c:pt>
                <c:pt idx="12">
                  <c:v>91.199999999999932</c:v>
                </c:pt>
                <c:pt idx="13">
                  <c:v>88.799999999999926</c:v>
                </c:pt>
                <c:pt idx="14">
                  <c:v>86.39999999999992</c:v>
                </c:pt>
                <c:pt idx="15">
                  <c:v>83.999999999999915</c:v>
                </c:pt>
                <c:pt idx="16">
                  <c:v>81.599999999999909</c:v>
                </c:pt>
                <c:pt idx="17">
                  <c:v>79.199999999999903</c:v>
                </c:pt>
                <c:pt idx="18">
                  <c:v>76.799999999999898</c:v>
                </c:pt>
                <c:pt idx="19">
                  <c:v>74.399999999999892</c:v>
                </c:pt>
                <c:pt idx="20">
                  <c:v>71.999999999999886</c:v>
                </c:pt>
                <c:pt idx="21">
                  <c:v>69.599999999999881</c:v>
                </c:pt>
                <c:pt idx="22">
                  <c:v>67.199999999999875</c:v>
                </c:pt>
                <c:pt idx="23">
                  <c:v>64.799999999999869</c:v>
                </c:pt>
                <c:pt idx="24">
                  <c:v>62.399999999999871</c:v>
                </c:pt>
                <c:pt idx="25">
                  <c:v>59.999999999999872</c:v>
                </c:pt>
                <c:pt idx="26">
                  <c:v>57.599999999999874</c:v>
                </c:pt>
                <c:pt idx="27">
                  <c:v>55.199999999999875</c:v>
                </c:pt>
                <c:pt idx="28">
                  <c:v>52.799999999999876</c:v>
                </c:pt>
                <c:pt idx="29">
                  <c:v>50.399999999999878</c:v>
                </c:pt>
                <c:pt idx="30">
                  <c:v>47.999999999999879</c:v>
                </c:pt>
                <c:pt idx="31">
                  <c:v>45.599999999999881</c:v>
                </c:pt>
                <c:pt idx="32">
                  <c:v>43.199999999999882</c:v>
                </c:pt>
                <c:pt idx="33">
                  <c:v>40.799999999999883</c:v>
                </c:pt>
                <c:pt idx="34">
                  <c:v>38.399999999999885</c:v>
                </c:pt>
                <c:pt idx="35">
                  <c:v>35.999999999999886</c:v>
                </c:pt>
                <c:pt idx="36">
                  <c:v>33.599999999999888</c:v>
                </c:pt>
                <c:pt idx="37">
                  <c:v>31.199999999999889</c:v>
                </c:pt>
                <c:pt idx="38">
                  <c:v>28.799999999999891</c:v>
                </c:pt>
                <c:pt idx="39">
                  <c:v>26.399999999999892</c:v>
                </c:pt>
                <c:pt idx="40">
                  <c:v>23.999999999999893</c:v>
                </c:pt>
                <c:pt idx="41">
                  <c:v>21.599999999999895</c:v>
                </c:pt>
                <c:pt idx="42">
                  <c:v>19.199999999999896</c:v>
                </c:pt>
                <c:pt idx="43">
                  <c:v>16.799999999999898</c:v>
                </c:pt>
                <c:pt idx="44">
                  <c:v>14.399999999999897</c:v>
                </c:pt>
                <c:pt idx="45">
                  <c:v>11.999999999999897</c:v>
                </c:pt>
                <c:pt idx="46">
                  <c:v>9.5999999999998966</c:v>
                </c:pt>
                <c:pt idx="47">
                  <c:v>7.1999999999998963</c:v>
                </c:pt>
                <c:pt idx="48">
                  <c:v>4.7999999999998959</c:v>
                </c:pt>
                <c:pt idx="49">
                  <c:v>2.399999999999896</c:v>
                </c:pt>
                <c:pt idx="50">
                  <c:v>-1.0391687510491465E-13</c:v>
                </c:pt>
              </c:numCache>
            </c:numRef>
          </c:cat>
          <c:val>
            <c:numRef>
              <c:f>'3dGraph'!$R$28:$R$78</c:f>
              <c:numCache>
                <c:formatCode>General</c:formatCode>
                <c:ptCount val="51"/>
                <c:pt idx="0">
                  <c:v>81.407839999999993</c:v>
                </c:pt>
                <c:pt idx="1">
                  <c:v>82.045222399999972</c:v>
                </c:pt>
                <c:pt idx="2">
                  <c:v>82.660025599999983</c:v>
                </c:pt>
                <c:pt idx="3">
                  <c:v>83.252249600000013</c:v>
                </c:pt>
                <c:pt idx="4">
                  <c:v>83.821894399999977</c:v>
                </c:pt>
                <c:pt idx="5">
                  <c:v>84.368960000000001</c:v>
                </c:pt>
                <c:pt idx="6">
                  <c:v>84.893446400000016</c:v>
                </c:pt>
                <c:pt idx="7">
                  <c:v>85.395353599999993</c:v>
                </c:pt>
                <c:pt idx="8">
                  <c:v>85.874681600000017</c:v>
                </c:pt>
                <c:pt idx="9">
                  <c:v>86.331430399999974</c:v>
                </c:pt>
                <c:pt idx="10">
                  <c:v>86.765600000000006</c:v>
                </c:pt>
                <c:pt idx="11">
                  <c:v>87.177190400000015</c:v>
                </c:pt>
                <c:pt idx="12">
                  <c:v>87.566201599999985</c:v>
                </c:pt>
                <c:pt idx="13">
                  <c:v>87.932633600000003</c:v>
                </c:pt>
                <c:pt idx="14">
                  <c:v>88.276486399999968</c:v>
                </c:pt>
                <c:pt idx="15">
                  <c:v>88.597759999999994</c:v>
                </c:pt>
                <c:pt idx="16">
                  <c:v>88.89645440000001</c:v>
                </c:pt>
                <c:pt idx="17">
                  <c:v>89.172569599999989</c:v>
                </c:pt>
                <c:pt idx="18">
                  <c:v>89.4261056</c:v>
                </c:pt>
                <c:pt idx="19">
                  <c:v>89.657062400000029</c:v>
                </c:pt>
                <c:pt idx="20">
                  <c:v>89.865439999999978</c:v>
                </c:pt>
                <c:pt idx="21">
                  <c:v>90.051238400000017</c:v>
                </c:pt>
                <c:pt idx="22">
                  <c:v>90.214457599999974</c:v>
                </c:pt>
                <c:pt idx="23">
                  <c:v>90.355097599999993</c:v>
                </c:pt>
                <c:pt idx="24">
                  <c:v>90.473158400000003</c:v>
                </c:pt>
                <c:pt idx="25">
                  <c:v>90.568639999999974</c:v>
                </c:pt>
                <c:pt idx="26">
                  <c:v>90.641542399999992</c:v>
                </c:pt>
                <c:pt idx="27">
                  <c:v>90.691865600000014</c:v>
                </c:pt>
                <c:pt idx="28">
                  <c:v>90.719609599999984</c:v>
                </c:pt>
                <c:pt idx="29">
                  <c:v>90.724774399999987</c:v>
                </c:pt>
                <c:pt idx="30">
                  <c:v>90.707360000000008</c:v>
                </c:pt>
                <c:pt idx="31">
                  <c:v>90.667366399999977</c:v>
                </c:pt>
                <c:pt idx="32">
                  <c:v>90.604793599999994</c:v>
                </c:pt>
                <c:pt idx="33">
                  <c:v>90.519641599999957</c:v>
                </c:pt>
                <c:pt idx="34">
                  <c:v>90.411910399999968</c:v>
                </c:pt>
                <c:pt idx="35">
                  <c:v>90.281599999999969</c:v>
                </c:pt>
                <c:pt idx="36">
                  <c:v>90.128710399999989</c:v>
                </c:pt>
                <c:pt idx="37">
                  <c:v>89.953241599999984</c:v>
                </c:pt>
                <c:pt idx="38">
                  <c:v>89.75519359999997</c:v>
                </c:pt>
                <c:pt idx="39">
                  <c:v>89.53456639999996</c:v>
                </c:pt>
                <c:pt idx="40">
                  <c:v>89.291359999999983</c:v>
                </c:pt>
                <c:pt idx="41">
                  <c:v>89.025574399999968</c:v>
                </c:pt>
                <c:pt idx="42">
                  <c:v>88.737209599999971</c:v>
                </c:pt>
                <c:pt idx="43">
                  <c:v>88.426265599999994</c:v>
                </c:pt>
                <c:pt idx="44">
                  <c:v>88.092742399999977</c:v>
                </c:pt>
                <c:pt idx="45">
                  <c:v>87.736639999999966</c:v>
                </c:pt>
                <c:pt idx="46">
                  <c:v>87.357958399999958</c:v>
                </c:pt>
                <c:pt idx="47">
                  <c:v>86.956697599999984</c:v>
                </c:pt>
                <c:pt idx="48">
                  <c:v>86.532857599999971</c:v>
                </c:pt>
                <c:pt idx="49">
                  <c:v>86.086438399999963</c:v>
                </c:pt>
                <c:pt idx="50">
                  <c:v>85.617439999999959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85A-43B2-9C9C-0FB310DD3FD5}"/>
            </c:ext>
          </c:extLst>
        </c:ser>
        <c:ser>
          <c:idx val="17"/>
          <c:order val="17"/>
          <c:tx>
            <c:strRef>
              <c:f>'3dGraph'!$S$27</c:f>
              <c:strCache>
                <c:ptCount val="1"/>
                <c:pt idx="0">
                  <c:v>1340</c:v>
                </c:pt>
              </c:strCache>
            </c:strRef>
          </c:tx>
          <c:spPr>
            <a:solidFill>
              <a:srgbClr val="69FF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'3dGraph'!$A$28:$A$78</c:f>
              <c:numCache>
                <c:formatCode>General</c:formatCode>
                <c:ptCount val="51"/>
                <c:pt idx="0">
                  <c:v>120</c:v>
                </c:pt>
                <c:pt idx="1">
                  <c:v>117.6</c:v>
                </c:pt>
                <c:pt idx="2">
                  <c:v>115.19999999999999</c:v>
                </c:pt>
                <c:pt idx="3">
                  <c:v>112.79999999999998</c:v>
                </c:pt>
                <c:pt idx="4">
                  <c:v>110.39999999999998</c:v>
                </c:pt>
                <c:pt idx="5">
                  <c:v>107.99999999999997</c:v>
                </c:pt>
                <c:pt idx="6">
                  <c:v>105.59999999999997</c:v>
                </c:pt>
                <c:pt idx="7">
                  <c:v>103.19999999999996</c:v>
                </c:pt>
                <c:pt idx="8">
                  <c:v>100.79999999999995</c:v>
                </c:pt>
                <c:pt idx="9">
                  <c:v>98.399999999999949</c:v>
                </c:pt>
                <c:pt idx="10">
                  <c:v>95.999999999999943</c:v>
                </c:pt>
                <c:pt idx="11">
                  <c:v>93.599999999999937</c:v>
                </c:pt>
                <c:pt idx="12">
                  <c:v>91.199999999999932</c:v>
                </c:pt>
                <c:pt idx="13">
                  <c:v>88.799999999999926</c:v>
                </c:pt>
                <c:pt idx="14">
                  <c:v>86.39999999999992</c:v>
                </c:pt>
                <c:pt idx="15">
                  <c:v>83.999999999999915</c:v>
                </c:pt>
                <c:pt idx="16">
                  <c:v>81.599999999999909</c:v>
                </c:pt>
                <c:pt idx="17">
                  <c:v>79.199999999999903</c:v>
                </c:pt>
                <c:pt idx="18">
                  <c:v>76.799999999999898</c:v>
                </c:pt>
                <c:pt idx="19">
                  <c:v>74.399999999999892</c:v>
                </c:pt>
                <c:pt idx="20">
                  <c:v>71.999999999999886</c:v>
                </c:pt>
                <c:pt idx="21">
                  <c:v>69.599999999999881</c:v>
                </c:pt>
                <c:pt idx="22">
                  <c:v>67.199999999999875</c:v>
                </c:pt>
                <c:pt idx="23">
                  <c:v>64.799999999999869</c:v>
                </c:pt>
                <c:pt idx="24">
                  <c:v>62.399999999999871</c:v>
                </c:pt>
                <c:pt idx="25">
                  <c:v>59.999999999999872</c:v>
                </c:pt>
                <c:pt idx="26">
                  <c:v>57.599999999999874</c:v>
                </c:pt>
                <c:pt idx="27">
                  <c:v>55.199999999999875</c:v>
                </c:pt>
                <c:pt idx="28">
                  <c:v>52.799999999999876</c:v>
                </c:pt>
                <c:pt idx="29">
                  <c:v>50.399999999999878</c:v>
                </c:pt>
                <c:pt idx="30">
                  <c:v>47.999999999999879</c:v>
                </c:pt>
                <c:pt idx="31">
                  <c:v>45.599999999999881</c:v>
                </c:pt>
                <c:pt idx="32">
                  <c:v>43.199999999999882</c:v>
                </c:pt>
                <c:pt idx="33">
                  <c:v>40.799999999999883</c:v>
                </c:pt>
                <c:pt idx="34">
                  <c:v>38.399999999999885</c:v>
                </c:pt>
                <c:pt idx="35">
                  <c:v>35.999999999999886</c:v>
                </c:pt>
                <c:pt idx="36">
                  <c:v>33.599999999999888</c:v>
                </c:pt>
                <c:pt idx="37">
                  <c:v>31.199999999999889</c:v>
                </c:pt>
                <c:pt idx="38">
                  <c:v>28.799999999999891</c:v>
                </c:pt>
                <c:pt idx="39">
                  <c:v>26.399999999999892</c:v>
                </c:pt>
                <c:pt idx="40">
                  <c:v>23.999999999999893</c:v>
                </c:pt>
                <c:pt idx="41">
                  <c:v>21.599999999999895</c:v>
                </c:pt>
                <c:pt idx="42">
                  <c:v>19.199999999999896</c:v>
                </c:pt>
                <c:pt idx="43">
                  <c:v>16.799999999999898</c:v>
                </c:pt>
                <c:pt idx="44">
                  <c:v>14.399999999999897</c:v>
                </c:pt>
                <c:pt idx="45">
                  <c:v>11.999999999999897</c:v>
                </c:pt>
                <c:pt idx="46">
                  <c:v>9.5999999999998966</c:v>
                </c:pt>
                <c:pt idx="47">
                  <c:v>7.1999999999998963</c:v>
                </c:pt>
                <c:pt idx="48">
                  <c:v>4.7999999999998959</c:v>
                </c:pt>
                <c:pt idx="49">
                  <c:v>2.399999999999896</c:v>
                </c:pt>
                <c:pt idx="50">
                  <c:v>-1.0391687510491465E-13</c:v>
                </c:pt>
              </c:numCache>
            </c:numRef>
          </c:cat>
          <c:val>
            <c:numRef>
              <c:f>'3dGraph'!$S$28:$S$78</c:f>
              <c:numCache>
                <c:formatCode>General</c:formatCode>
                <c:ptCount val="51"/>
                <c:pt idx="0">
                  <c:v>81.684160000000048</c:v>
                </c:pt>
                <c:pt idx="1">
                  <c:v>82.319574400000022</c:v>
                </c:pt>
                <c:pt idx="2">
                  <c:v>82.932409600000042</c:v>
                </c:pt>
                <c:pt idx="3">
                  <c:v>83.522665600000067</c:v>
                </c:pt>
                <c:pt idx="4">
                  <c:v>84.09034240000004</c:v>
                </c:pt>
                <c:pt idx="5">
                  <c:v>84.63544000000006</c:v>
                </c:pt>
                <c:pt idx="6">
                  <c:v>85.157958400000084</c:v>
                </c:pt>
                <c:pt idx="7">
                  <c:v>85.657897600000041</c:v>
                </c:pt>
                <c:pt idx="8">
                  <c:v>86.135257600000074</c:v>
                </c:pt>
                <c:pt idx="9">
                  <c:v>86.590038400000026</c:v>
                </c:pt>
                <c:pt idx="10">
                  <c:v>87.022240000000053</c:v>
                </c:pt>
                <c:pt idx="11">
                  <c:v>87.431862400000071</c:v>
                </c:pt>
                <c:pt idx="12">
                  <c:v>87.818905600000036</c:v>
                </c:pt>
                <c:pt idx="13">
                  <c:v>88.183369600000063</c:v>
                </c:pt>
                <c:pt idx="14">
                  <c:v>88.525254400000023</c:v>
                </c:pt>
                <c:pt idx="15">
                  <c:v>88.844560000000058</c:v>
                </c:pt>
                <c:pt idx="16">
                  <c:v>89.14128640000007</c:v>
                </c:pt>
                <c:pt idx="17">
                  <c:v>89.415433600000043</c:v>
                </c:pt>
                <c:pt idx="18">
                  <c:v>89.667001600000063</c:v>
                </c:pt>
                <c:pt idx="19">
                  <c:v>89.895990400000088</c:v>
                </c:pt>
                <c:pt idx="20">
                  <c:v>90.102400000000046</c:v>
                </c:pt>
                <c:pt idx="21">
                  <c:v>90.286230400000051</c:v>
                </c:pt>
                <c:pt idx="22">
                  <c:v>90.447481600000032</c:v>
                </c:pt>
                <c:pt idx="23">
                  <c:v>90.586153600000046</c:v>
                </c:pt>
                <c:pt idx="24">
                  <c:v>90.702246400000064</c:v>
                </c:pt>
                <c:pt idx="25">
                  <c:v>90.79576000000003</c:v>
                </c:pt>
                <c:pt idx="26">
                  <c:v>90.866694400000057</c:v>
                </c:pt>
                <c:pt idx="27">
                  <c:v>90.915049600000074</c:v>
                </c:pt>
                <c:pt idx="28">
                  <c:v>90.940825600000039</c:v>
                </c:pt>
                <c:pt idx="29">
                  <c:v>90.944022400000051</c:v>
                </c:pt>
                <c:pt idx="30">
                  <c:v>90.924640000000068</c:v>
                </c:pt>
                <c:pt idx="31">
                  <c:v>90.882678400000032</c:v>
                </c:pt>
                <c:pt idx="32">
                  <c:v>90.818137600000057</c:v>
                </c:pt>
                <c:pt idx="33">
                  <c:v>90.731017600000015</c:v>
                </c:pt>
                <c:pt idx="34">
                  <c:v>90.621318400000035</c:v>
                </c:pt>
                <c:pt idx="35">
                  <c:v>90.48904000000006</c:v>
                </c:pt>
                <c:pt idx="36">
                  <c:v>90.334182400000017</c:v>
                </c:pt>
                <c:pt idx="37">
                  <c:v>90.156745600000036</c:v>
                </c:pt>
                <c:pt idx="38">
                  <c:v>89.956729600000045</c:v>
                </c:pt>
                <c:pt idx="39">
                  <c:v>89.734134400000016</c:v>
                </c:pt>
                <c:pt idx="40">
                  <c:v>89.488960000000034</c:v>
                </c:pt>
                <c:pt idx="41">
                  <c:v>89.221206400000057</c:v>
                </c:pt>
                <c:pt idx="42">
                  <c:v>88.930873600000027</c:v>
                </c:pt>
                <c:pt idx="43">
                  <c:v>88.617961600000044</c:v>
                </c:pt>
                <c:pt idx="44">
                  <c:v>88.282470400000008</c:v>
                </c:pt>
                <c:pt idx="45">
                  <c:v>87.92440000000002</c:v>
                </c:pt>
                <c:pt idx="46">
                  <c:v>87.54375040000005</c:v>
                </c:pt>
                <c:pt idx="47">
                  <c:v>87.140521600000014</c:v>
                </c:pt>
                <c:pt idx="48">
                  <c:v>86.714713600000039</c:v>
                </c:pt>
                <c:pt idx="49">
                  <c:v>86.266326400000025</c:v>
                </c:pt>
                <c:pt idx="50">
                  <c:v>85.795360000000016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85A-43B2-9C9C-0FB310DD3FD5}"/>
            </c:ext>
          </c:extLst>
        </c:ser>
        <c:ser>
          <c:idx val="18"/>
          <c:order val="18"/>
          <c:tx>
            <c:strRef>
              <c:f>'3dGraph'!$T$27</c:f>
              <c:strCache>
                <c:ptCount val="1"/>
                <c:pt idx="0">
                  <c:v>1360</c:v>
                </c:pt>
              </c:strCache>
            </c:strRef>
          </c:tx>
          <c:spPr>
            <a:solidFill>
              <a:srgbClr val="CCFFCC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'3dGraph'!$A$28:$A$78</c:f>
              <c:numCache>
                <c:formatCode>General</c:formatCode>
                <c:ptCount val="51"/>
                <c:pt idx="0">
                  <c:v>120</c:v>
                </c:pt>
                <c:pt idx="1">
                  <c:v>117.6</c:v>
                </c:pt>
                <c:pt idx="2">
                  <c:v>115.19999999999999</c:v>
                </c:pt>
                <c:pt idx="3">
                  <c:v>112.79999999999998</c:v>
                </c:pt>
                <c:pt idx="4">
                  <c:v>110.39999999999998</c:v>
                </c:pt>
                <c:pt idx="5">
                  <c:v>107.99999999999997</c:v>
                </c:pt>
                <c:pt idx="6">
                  <c:v>105.59999999999997</c:v>
                </c:pt>
                <c:pt idx="7">
                  <c:v>103.19999999999996</c:v>
                </c:pt>
                <c:pt idx="8">
                  <c:v>100.79999999999995</c:v>
                </c:pt>
                <c:pt idx="9">
                  <c:v>98.399999999999949</c:v>
                </c:pt>
                <c:pt idx="10">
                  <c:v>95.999999999999943</c:v>
                </c:pt>
                <c:pt idx="11">
                  <c:v>93.599999999999937</c:v>
                </c:pt>
                <c:pt idx="12">
                  <c:v>91.199999999999932</c:v>
                </c:pt>
                <c:pt idx="13">
                  <c:v>88.799999999999926</c:v>
                </c:pt>
                <c:pt idx="14">
                  <c:v>86.39999999999992</c:v>
                </c:pt>
                <c:pt idx="15">
                  <c:v>83.999999999999915</c:v>
                </c:pt>
                <c:pt idx="16">
                  <c:v>81.599999999999909</c:v>
                </c:pt>
                <c:pt idx="17">
                  <c:v>79.199999999999903</c:v>
                </c:pt>
                <c:pt idx="18">
                  <c:v>76.799999999999898</c:v>
                </c:pt>
                <c:pt idx="19">
                  <c:v>74.399999999999892</c:v>
                </c:pt>
                <c:pt idx="20">
                  <c:v>71.999999999999886</c:v>
                </c:pt>
                <c:pt idx="21">
                  <c:v>69.599999999999881</c:v>
                </c:pt>
                <c:pt idx="22">
                  <c:v>67.199999999999875</c:v>
                </c:pt>
                <c:pt idx="23">
                  <c:v>64.799999999999869</c:v>
                </c:pt>
                <c:pt idx="24">
                  <c:v>62.399999999999871</c:v>
                </c:pt>
                <c:pt idx="25">
                  <c:v>59.999999999999872</c:v>
                </c:pt>
                <c:pt idx="26">
                  <c:v>57.599999999999874</c:v>
                </c:pt>
                <c:pt idx="27">
                  <c:v>55.199999999999875</c:v>
                </c:pt>
                <c:pt idx="28">
                  <c:v>52.799999999999876</c:v>
                </c:pt>
                <c:pt idx="29">
                  <c:v>50.399999999999878</c:v>
                </c:pt>
                <c:pt idx="30">
                  <c:v>47.999999999999879</c:v>
                </c:pt>
                <c:pt idx="31">
                  <c:v>45.599999999999881</c:v>
                </c:pt>
                <c:pt idx="32">
                  <c:v>43.199999999999882</c:v>
                </c:pt>
                <c:pt idx="33">
                  <c:v>40.799999999999883</c:v>
                </c:pt>
                <c:pt idx="34">
                  <c:v>38.399999999999885</c:v>
                </c:pt>
                <c:pt idx="35">
                  <c:v>35.999999999999886</c:v>
                </c:pt>
                <c:pt idx="36">
                  <c:v>33.599999999999888</c:v>
                </c:pt>
                <c:pt idx="37">
                  <c:v>31.199999999999889</c:v>
                </c:pt>
                <c:pt idx="38">
                  <c:v>28.799999999999891</c:v>
                </c:pt>
                <c:pt idx="39">
                  <c:v>26.399999999999892</c:v>
                </c:pt>
                <c:pt idx="40">
                  <c:v>23.999999999999893</c:v>
                </c:pt>
                <c:pt idx="41">
                  <c:v>21.599999999999895</c:v>
                </c:pt>
                <c:pt idx="42">
                  <c:v>19.199999999999896</c:v>
                </c:pt>
                <c:pt idx="43">
                  <c:v>16.799999999999898</c:v>
                </c:pt>
                <c:pt idx="44">
                  <c:v>14.399999999999897</c:v>
                </c:pt>
                <c:pt idx="45">
                  <c:v>11.999999999999897</c:v>
                </c:pt>
                <c:pt idx="46">
                  <c:v>9.5999999999998966</c:v>
                </c:pt>
                <c:pt idx="47">
                  <c:v>7.1999999999998963</c:v>
                </c:pt>
                <c:pt idx="48">
                  <c:v>4.7999999999998959</c:v>
                </c:pt>
                <c:pt idx="49">
                  <c:v>2.399999999999896</c:v>
                </c:pt>
                <c:pt idx="50">
                  <c:v>-1.0391687510491465E-13</c:v>
                </c:pt>
              </c:numCache>
            </c:numRef>
          </c:cat>
          <c:val>
            <c:numRef>
              <c:f>'3dGraph'!$T$28:$T$78</c:f>
              <c:numCache>
                <c:formatCode>General</c:formatCode>
                <c:ptCount val="51"/>
                <c:pt idx="0">
                  <c:v>81.884959999999978</c:v>
                </c:pt>
                <c:pt idx="1">
                  <c:v>82.518406400000018</c:v>
                </c:pt>
                <c:pt idx="2">
                  <c:v>83.129273600000033</c:v>
                </c:pt>
                <c:pt idx="3">
                  <c:v>83.717561599999996</c:v>
                </c:pt>
                <c:pt idx="4">
                  <c:v>84.283270400000021</c:v>
                </c:pt>
                <c:pt idx="5">
                  <c:v>84.826399999999992</c:v>
                </c:pt>
                <c:pt idx="6">
                  <c:v>85.346950400000011</c:v>
                </c:pt>
                <c:pt idx="7">
                  <c:v>85.844921600000021</c:v>
                </c:pt>
                <c:pt idx="8">
                  <c:v>86.320313600000006</c:v>
                </c:pt>
                <c:pt idx="9">
                  <c:v>86.773126400000024</c:v>
                </c:pt>
                <c:pt idx="10">
                  <c:v>87.203359999999989</c:v>
                </c:pt>
                <c:pt idx="11">
                  <c:v>87.611014400000002</c:v>
                </c:pt>
                <c:pt idx="12">
                  <c:v>87.996089600000033</c:v>
                </c:pt>
                <c:pt idx="13">
                  <c:v>88.358585599999998</c:v>
                </c:pt>
                <c:pt idx="14">
                  <c:v>88.69850240000001</c:v>
                </c:pt>
                <c:pt idx="15">
                  <c:v>89.015840000000026</c:v>
                </c:pt>
                <c:pt idx="16">
                  <c:v>89.310598400000003</c:v>
                </c:pt>
                <c:pt idx="17">
                  <c:v>89.582777600000028</c:v>
                </c:pt>
                <c:pt idx="18">
                  <c:v>89.832377599999987</c:v>
                </c:pt>
                <c:pt idx="19">
                  <c:v>90.059398400000006</c:v>
                </c:pt>
                <c:pt idx="20">
                  <c:v>90.26384000000003</c:v>
                </c:pt>
                <c:pt idx="21">
                  <c:v>90.445702399999988</c:v>
                </c:pt>
                <c:pt idx="22">
                  <c:v>90.60498560000002</c:v>
                </c:pt>
                <c:pt idx="23">
                  <c:v>90.741689600000043</c:v>
                </c:pt>
                <c:pt idx="24">
                  <c:v>90.8558144</c:v>
                </c:pt>
                <c:pt idx="25">
                  <c:v>90.947360000000018</c:v>
                </c:pt>
                <c:pt idx="26">
                  <c:v>91.016326399999969</c:v>
                </c:pt>
                <c:pt idx="27">
                  <c:v>91.062713600000009</c:v>
                </c:pt>
                <c:pt idx="28">
                  <c:v>91.086521600000026</c:v>
                </c:pt>
                <c:pt idx="29">
                  <c:v>91.087750399999976</c:v>
                </c:pt>
                <c:pt idx="30">
                  <c:v>91.066400000000002</c:v>
                </c:pt>
                <c:pt idx="31">
                  <c:v>91.022470400000017</c:v>
                </c:pt>
                <c:pt idx="32">
                  <c:v>90.955961599999981</c:v>
                </c:pt>
                <c:pt idx="33">
                  <c:v>90.866873600000005</c:v>
                </c:pt>
                <c:pt idx="34">
                  <c:v>90.75520640000002</c:v>
                </c:pt>
                <c:pt idx="35">
                  <c:v>90.620959999999982</c:v>
                </c:pt>
                <c:pt idx="36">
                  <c:v>90.464134400000006</c:v>
                </c:pt>
                <c:pt idx="37">
                  <c:v>90.284729599999977</c:v>
                </c:pt>
                <c:pt idx="38">
                  <c:v>90.082745599999981</c:v>
                </c:pt>
                <c:pt idx="39">
                  <c:v>89.858182400000004</c:v>
                </c:pt>
                <c:pt idx="40">
                  <c:v>89.611039999999974</c:v>
                </c:pt>
                <c:pt idx="41">
                  <c:v>89.341318399999992</c:v>
                </c:pt>
                <c:pt idx="42">
                  <c:v>89.049017600000013</c:v>
                </c:pt>
                <c:pt idx="43">
                  <c:v>88.734137599999983</c:v>
                </c:pt>
                <c:pt idx="44">
                  <c:v>88.396678399999999</c:v>
                </c:pt>
                <c:pt idx="45">
                  <c:v>88.036640000000006</c:v>
                </c:pt>
                <c:pt idx="46">
                  <c:v>87.654022399999974</c:v>
                </c:pt>
                <c:pt idx="47">
                  <c:v>87.248825600000004</c:v>
                </c:pt>
                <c:pt idx="48">
                  <c:v>86.821049599999967</c:v>
                </c:pt>
                <c:pt idx="49">
                  <c:v>86.370694399999977</c:v>
                </c:pt>
                <c:pt idx="50">
                  <c:v>85.897760000000005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385A-43B2-9C9C-0FB310DD3FD5}"/>
            </c:ext>
          </c:extLst>
        </c:ser>
        <c:ser>
          <c:idx val="19"/>
          <c:order val="19"/>
          <c:tx>
            <c:strRef>
              <c:f>'3dGraph'!$U$27</c:f>
              <c:strCache>
                <c:ptCount val="1"/>
                <c:pt idx="0">
                  <c:v>1380</c:v>
                </c:pt>
              </c:strCache>
            </c:strRef>
          </c:tx>
          <c:spPr>
            <a:solidFill>
              <a:srgbClr val="FFFF99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'3dGraph'!$A$28:$A$78</c:f>
              <c:numCache>
                <c:formatCode>General</c:formatCode>
                <c:ptCount val="51"/>
                <c:pt idx="0">
                  <c:v>120</c:v>
                </c:pt>
                <c:pt idx="1">
                  <c:v>117.6</c:v>
                </c:pt>
                <c:pt idx="2">
                  <c:v>115.19999999999999</c:v>
                </c:pt>
                <c:pt idx="3">
                  <c:v>112.79999999999998</c:v>
                </c:pt>
                <c:pt idx="4">
                  <c:v>110.39999999999998</c:v>
                </c:pt>
                <c:pt idx="5">
                  <c:v>107.99999999999997</c:v>
                </c:pt>
                <c:pt idx="6">
                  <c:v>105.59999999999997</c:v>
                </c:pt>
                <c:pt idx="7">
                  <c:v>103.19999999999996</c:v>
                </c:pt>
                <c:pt idx="8">
                  <c:v>100.79999999999995</c:v>
                </c:pt>
                <c:pt idx="9">
                  <c:v>98.399999999999949</c:v>
                </c:pt>
                <c:pt idx="10">
                  <c:v>95.999999999999943</c:v>
                </c:pt>
                <c:pt idx="11">
                  <c:v>93.599999999999937</c:v>
                </c:pt>
                <c:pt idx="12">
                  <c:v>91.199999999999932</c:v>
                </c:pt>
                <c:pt idx="13">
                  <c:v>88.799999999999926</c:v>
                </c:pt>
                <c:pt idx="14">
                  <c:v>86.39999999999992</c:v>
                </c:pt>
                <c:pt idx="15">
                  <c:v>83.999999999999915</c:v>
                </c:pt>
                <c:pt idx="16">
                  <c:v>81.599999999999909</c:v>
                </c:pt>
                <c:pt idx="17">
                  <c:v>79.199999999999903</c:v>
                </c:pt>
                <c:pt idx="18">
                  <c:v>76.799999999999898</c:v>
                </c:pt>
                <c:pt idx="19">
                  <c:v>74.399999999999892</c:v>
                </c:pt>
                <c:pt idx="20">
                  <c:v>71.999999999999886</c:v>
                </c:pt>
                <c:pt idx="21">
                  <c:v>69.599999999999881</c:v>
                </c:pt>
                <c:pt idx="22">
                  <c:v>67.199999999999875</c:v>
                </c:pt>
                <c:pt idx="23">
                  <c:v>64.799999999999869</c:v>
                </c:pt>
                <c:pt idx="24">
                  <c:v>62.399999999999871</c:v>
                </c:pt>
                <c:pt idx="25">
                  <c:v>59.999999999999872</c:v>
                </c:pt>
                <c:pt idx="26">
                  <c:v>57.599999999999874</c:v>
                </c:pt>
                <c:pt idx="27">
                  <c:v>55.199999999999875</c:v>
                </c:pt>
                <c:pt idx="28">
                  <c:v>52.799999999999876</c:v>
                </c:pt>
                <c:pt idx="29">
                  <c:v>50.399999999999878</c:v>
                </c:pt>
                <c:pt idx="30">
                  <c:v>47.999999999999879</c:v>
                </c:pt>
                <c:pt idx="31">
                  <c:v>45.599999999999881</c:v>
                </c:pt>
                <c:pt idx="32">
                  <c:v>43.199999999999882</c:v>
                </c:pt>
                <c:pt idx="33">
                  <c:v>40.799999999999883</c:v>
                </c:pt>
                <c:pt idx="34">
                  <c:v>38.399999999999885</c:v>
                </c:pt>
                <c:pt idx="35">
                  <c:v>35.999999999999886</c:v>
                </c:pt>
                <c:pt idx="36">
                  <c:v>33.599999999999888</c:v>
                </c:pt>
                <c:pt idx="37">
                  <c:v>31.199999999999889</c:v>
                </c:pt>
                <c:pt idx="38">
                  <c:v>28.799999999999891</c:v>
                </c:pt>
                <c:pt idx="39">
                  <c:v>26.399999999999892</c:v>
                </c:pt>
                <c:pt idx="40">
                  <c:v>23.999999999999893</c:v>
                </c:pt>
                <c:pt idx="41">
                  <c:v>21.599999999999895</c:v>
                </c:pt>
                <c:pt idx="42">
                  <c:v>19.199999999999896</c:v>
                </c:pt>
                <c:pt idx="43">
                  <c:v>16.799999999999898</c:v>
                </c:pt>
                <c:pt idx="44">
                  <c:v>14.399999999999897</c:v>
                </c:pt>
                <c:pt idx="45">
                  <c:v>11.999999999999897</c:v>
                </c:pt>
                <c:pt idx="46">
                  <c:v>9.5999999999998966</c:v>
                </c:pt>
                <c:pt idx="47">
                  <c:v>7.1999999999998963</c:v>
                </c:pt>
                <c:pt idx="48">
                  <c:v>4.7999999999998959</c:v>
                </c:pt>
                <c:pt idx="49">
                  <c:v>2.399999999999896</c:v>
                </c:pt>
                <c:pt idx="50">
                  <c:v>-1.0391687510491465E-13</c:v>
                </c:pt>
              </c:numCache>
            </c:numRef>
          </c:cat>
          <c:val>
            <c:numRef>
              <c:f>'3dGraph'!$U$28:$U$78</c:f>
              <c:numCache>
                <c:formatCode>General</c:formatCode>
                <c:ptCount val="51"/>
                <c:pt idx="0">
                  <c:v>82.010240000000024</c:v>
                </c:pt>
                <c:pt idx="1">
                  <c:v>82.641718400000045</c:v>
                </c:pt>
                <c:pt idx="2">
                  <c:v>83.250617600000069</c:v>
                </c:pt>
                <c:pt idx="3">
                  <c:v>83.836937600000027</c:v>
                </c:pt>
                <c:pt idx="4">
                  <c:v>84.400678400000061</c:v>
                </c:pt>
                <c:pt idx="5">
                  <c:v>84.941840000000028</c:v>
                </c:pt>
                <c:pt idx="6">
                  <c:v>85.460422400000041</c:v>
                </c:pt>
                <c:pt idx="7">
                  <c:v>85.956425600000074</c:v>
                </c:pt>
                <c:pt idx="8">
                  <c:v>86.429849600000026</c:v>
                </c:pt>
                <c:pt idx="9">
                  <c:v>86.880694400000053</c:v>
                </c:pt>
                <c:pt idx="10">
                  <c:v>87.308960000000027</c:v>
                </c:pt>
                <c:pt idx="11">
                  <c:v>87.714646400000035</c:v>
                </c:pt>
                <c:pt idx="12">
                  <c:v>88.097753600000061</c:v>
                </c:pt>
                <c:pt idx="13">
                  <c:v>88.458281600000035</c:v>
                </c:pt>
                <c:pt idx="14">
                  <c:v>88.796230400000042</c:v>
                </c:pt>
                <c:pt idx="15">
                  <c:v>89.111600000000067</c:v>
                </c:pt>
                <c:pt idx="16">
                  <c:v>89.40439040000004</c:v>
                </c:pt>
                <c:pt idx="17">
                  <c:v>89.674601600000059</c:v>
                </c:pt>
                <c:pt idx="18">
                  <c:v>89.922233600000027</c:v>
                </c:pt>
                <c:pt idx="19">
                  <c:v>90.147286400000041</c:v>
                </c:pt>
                <c:pt idx="20">
                  <c:v>90.34976000000006</c:v>
                </c:pt>
                <c:pt idx="21">
                  <c:v>90.529654400000027</c:v>
                </c:pt>
                <c:pt idx="22">
                  <c:v>90.686969600000054</c:v>
                </c:pt>
                <c:pt idx="23">
                  <c:v>90.821705600000072</c:v>
                </c:pt>
                <c:pt idx="24">
                  <c:v>90.933862400000038</c:v>
                </c:pt>
                <c:pt idx="25">
                  <c:v>91.023440000000051</c:v>
                </c:pt>
                <c:pt idx="26">
                  <c:v>91.090438400000011</c:v>
                </c:pt>
                <c:pt idx="27">
                  <c:v>91.134857600000046</c:v>
                </c:pt>
                <c:pt idx="28">
                  <c:v>91.156697600000058</c:v>
                </c:pt>
                <c:pt idx="29">
                  <c:v>91.155958400000017</c:v>
                </c:pt>
                <c:pt idx="30">
                  <c:v>91.132640000000023</c:v>
                </c:pt>
                <c:pt idx="31">
                  <c:v>91.086742400000048</c:v>
                </c:pt>
                <c:pt idx="32">
                  <c:v>91.018265600000021</c:v>
                </c:pt>
                <c:pt idx="33">
                  <c:v>90.927209600000026</c:v>
                </c:pt>
                <c:pt idx="34">
                  <c:v>90.81357440000005</c:v>
                </c:pt>
                <c:pt idx="35">
                  <c:v>90.677360000000022</c:v>
                </c:pt>
                <c:pt idx="36">
                  <c:v>90.51856640000004</c:v>
                </c:pt>
                <c:pt idx="37">
                  <c:v>90.337193600000006</c:v>
                </c:pt>
                <c:pt idx="38">
                  <c:v>90.133241600000019</c:v>
                </c:pt>
                <c:pt idx="39">
                  <c:v>89.906710400000037</c:v>
                </c:pt>
                <c:pt idx="40">
                  <c:v>89.657600000000002</c:v>
                </c:pt>
                <c:pt idx="41">
                  <c:v>89.385910400000029</c:v>
                </c:pt>
                <c:pt idx="42">
                  <c:v>89.091641600000045</c:v>
                </c:pt>
                <c:pt idx="43">
                  <c:v>88.77479360000001</c:v>
                </c:pt>
                <c:pt idx="44">
                  <c:v>88.435366400000035</c:v>
                </c:pt>
                <c:pt idx="45">
                  <c:v>88.073360000000037</c:v>
                </c:pt>
                <c:pt idx="46">
                  <c:v>87.688774400000014</c:v>
                </c:pt>
                <c:pt idx="47">
                  <c:v>87.281609600000039</c:v>
                </c:pt>
                <c:pt idx="48">
                  <c:v>86.851865599999996</c:v>
                </c:pt>
                <c:pt idx="49">
                  <c:v>86.399542400000016</c:v>
                </c:pt>
                <c:pt idx="50">
                  <c:v>85.924640000000039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385A-43B2-9C9C-0FB310DD3FD5}"/>
            </c:ext>
          </c:extLst>
        </c:ser>
        <c:ser>
          <c:idx val="20"/>
          <c:order val="20"/>
          <c:tx>
            <c:strRef>
              <c:f>'3dGraph'!$V$27</c:f>
              <c:strCache>
                <c:ptCount val="1"/>
                <c:pt idx="0">
                  <c:v>1400</c:v>
                </c:pt>
              </c:strCache>
            </c:strRef>
          </c:tx>
          <c:spPr>
            <a:solidFill>
              <a:srgbClr val="A6CAF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'3dGraph'!$A$28:$A$78</c:f>
              <c:numCache>
                <c:formatCode>General</c:formatCode>
                <c:ptCount val="51"/>
                <c:pt idx="0">
                  <c:v>120</c:v>
                </c:pt>
                <c:pt idx="1">
                  <c:v>117.6</c:v>
                </c:pt>
                <c:pt idx="2">
                  <c:v>115.19999999999999</c:v>
                </c:pt>
                <c:pt idx="3">
                  <c:v>112.79999999999998</c:v>
                </c:pt>
                <c:pt idx="4">
                  <c:v>110.39999999999998</c:v>
                </c:pt>
                <c:pt idx="5">
                  <c:v>107.99999999999997</c:v>
                </c:pt>
                <c:pt idx="6">
                  <c:v>105.59999999999997</c:v>
                </c:pt>
                <c:pt idx="7">
                  <c:v>103.19999999999996</c:v>
                </c:pt>
                <c:pt idx="8">
                  <c:v>100.79999999999995</c:v>
                </c:pt>
                <c:pt idx="9">
                  <c:v>98.399999999999949</c:v>
                </c:pt>
                <c:pt idx="10">
                  <c:v>95.999999999999943</c:v>
                </c:pt>
                <c:pt idx="11">
                  <c:v>93.599999999999937</c:v>
                </c:pt>
                <c:pt idx="12">
                  <c:v>91.199999999999932</c:v>
                </c:pt>
                <c:pt idx="13">
                  <c:v>88.799999999999926</c:v>
                </c:pt>
                <c:pt idx="14">
                  <c:v>86.39999999999992</c:v>
                </c:pt>
                <c:pt idx="15">
                  <c:v>83.999999999999915</c:v>
                </c:pt>
                <c:pt idx="16">
                  <c:v>81.599999999999909</c:v>
                </c:pt>
                <c:pt idx="17">
                  <c:v>79.199999999999903</c:v>
                </c:pt>
                <c:pt idx="18">
                  <c:v>76.799999999999898</c:v>
                </c:pt>
                <c:pt idx="19">
                  <c:v>74.399999999999892</c:v>
                </c:pt>
                <c:pt idx="20">
                  <c:v>71.999999999999886</c:v>
                </c:pt>
                <c:pt idx="21">
                  <c:v>69.599999999999881</c:v>
                </c:pt>
                <c:pt idx="22">
                  <c:v>67.199999999999875</c:v>
                </c:pt>
                <c:pt idx="23">
                  <c:v>64.799999999999869</c:v>
                </c:pt>
                <c:pt idx="24">
                  <c:v>62.399999999999871</c:v>
                </c:pt>
                <c:pt idx="25">
                  <c:v>59.999999999999872</c:v>
                </c:pt>
                <c:pt idx="26">
                  <c:v>57.599999999999874</c:v>
                </c:pt>
                <c:pt idx="27">
                  <c:v>55.199999999999875</c:v>
                </c:pt>
                <c:pt idx="28">
                  <c:v>52.799999999999876</c:v>
                </c:pt>
                <c:pt idx="29">
                  <c:v>50.399999999999878</c:v>
                </c:pt>
                <c:pt idx="30">
                  <c:v>47.999999999999879</c:v>
                </c:pt>
                <c:pt idx="31">
                  <c:v>45.599999999999881</c:v>
                </c:pt>
                <c:pt idx="32">
                  <c:v>43.199999999999882</c:v>
                </c:pt>
                <c:pt idx="33">
                  <c:v>40.799999999999883</c:v>
                </c:pt>
                <c:pt idx="34">
                  <c:v>38.399999999999885</c:v>
                </c:pt>
                <c:pt idx="35">
                  <c:v>35.999999999999886</c:v>
                </c:pt>
                <c:pt idx="36">
                  <c:v>33.599999999999888</c:v>
                </c:pt>
                <c:pt idx="37">
                  <c:v>31.199999999999889</c:v>
                </c:pt>
                <c:pt idx="38">
                  <c:v>28.799999999999891</c:v>
                </c:pt>
                <c:pt idx="39">
                  <c:v>26.399999999999892</c:v>
                </c:pt>
                <c:pt idx="40">
                  <c:v>23.999999999999893</c:v>
                </c:pt>
                <c:pt idx="41">
                  <c:v>21.599999999999895</c:v>
                </c:pt>
                <c:pt idx="42">
                  <c:v>19.199999999999896</c:v>
                </c:pt>
                <c:pt idx="43">
                  <c:v>16.799999999999898</c:v>
                </c:pt>
                <c:pt idx="44">
                  <c:v>14.399999999999897</c:v>
                </c:pt>
                <c:pt idx="45">
                  <c:v>11.999999999999897</c:v>
                </c:pt>
                <c:pt idx="46">
                  <c:v>9.5999999999998966</c:v>
                </c:pt>
                <c:pt idx="47">
                  <c:v>7.1999999999998963</c:v>
                </c:pt>
                <c:pt idx="48">
                  <c:v>4.7999999999998959</c:v>
                </c:pt>
                <c:pt idx="49">
                  <c:v>2.399999999999896</c:v>
                </c:pt>
                <c:pt idx="50">
                  <c:v>-1.0391687510491465E-13</c:v>
                </c:pt>
              </c:numCache>
            </c:numRef>
          </c:cat>
          <c:val>
            <c:numRef>
              <c:f>'3dGraph'!$V$28:$V$78</c:f>
              <c:numCache>
                <c:formatCode>General</c:formatCode>
                <c:ptCount val="51"/>
                <c:pt idx="0">
                  <c:v>82.05999999999996</c:v>
                </c:pt>
                <c:pt idx="1">
                  <c:v>82.689510399999989</c:v>
                </c:pt>
                <c:pt idx="2">
                  <c:v>83.296441600000009</c:v>
                </c:pt>
                <c:pt idx="3">
                  <c:v>83.880793599999976</c:v>
                </c:pt>
                <c:pt idx="4">
                  <c:v>84.442566400000004</c:v>
                </c:pt>
                <c:pt idx="5">
                  <c:v>84.981759999999966</c:v>
                </c:pt>
                <c:pt idx="6">
                  <c:v>85.498374399999989</c:v>
                </c:pt>
                <c:pt idx="7">
                  <c:v>85.992409600000002</c:v>
                </c:pt>
                <c:pt idx="8">
                  <c:v>86.463865599999977</c:v>
                </c:pt>
                <c:pt idx="9">
                  <c:v>86.912742399999985</c:v>
                </c:pt>
                <c:pt idx="10">
                  <c:v>87.339039999999969</c:v>
                </c:pt>
                <c:pt idx="11">
                  <c:v>87.742758399999971</c:v>
                </c:pt>
                <c:pt idx="12">
                  <c:v>88.123897599999992</c:v>
                </c:pt>
                <c:pt idx="13">
                  <c:v>88.482457599999961</c:v>
                </c:pt>
                <c:pt idx="14">
                  <c:v>88.818438399999977</c:v>
                </c:pt>
                <c:pt idx="15">
                  <c:v>89.131840000000011</c:v>
                </c:pt>
                <c:pt idx="16">
                  <c:v>89.422662399999965</c:v>
                </c:pt>
                <c:pt idx="17">
                  <c:v>89.690905599999994</c:v>
                </c:pt>
                <c:pt idx="18">
                  <c:v>89.936569599999956</c:v>
                </c:pt>
                <c:pt idx="19">
                  <c:v>90.15965439999998</c:v>
                </c:pt>
                <c:pt idx="20">
                  <c:v>90.360159999999993</c:v>
                </c:pt>
                <c:pt idx="21">
                  <c:v>90.538086399999969</c:v>
                </c:pt>
                <c:pt idx="22">
                  <c:v>90.693433599999992</c:v>
                </c:pt>
                <c:pt idx="23">
                  <c:v>90.826201600000005</c:v>
                </c:pt>
                <c:pt idx="24">
                  <c:v>90.936390399999965</c:v>
                </c:pt>
                <c:pt idx="25">
                  <c:v>91.023999999999987</c:v>
                </c:pt>
                <c:pt idx="26">
                  <c:v>91.089030399999956</c:v>
                </c:pt>
                <c:pt idx="27">
                  <c:v>91.131481599999972</c:v>
                </c:pt>
                <c:pt idx="28">
                  <c:v>91.151353599999993</c:v>
                </c:pt>
                <c:pt idx="29">
                  <c:v>91.148646399999947</c:v>
                </c:pt>
                <c:pt idx="30">
                  <c:v>91.123359999999963</c:v>
                </c:pt>
                <c:pt idx="31">
                  <c:v>91.075494399999982</c:v>
                </c:pt>
                <c:pt idx="32">
                  <c:v>91.00504959999995</c:v>
                </c:pt>
                <c:pt idx="33">
                  <c:v>90.912025599999964</c:v>
                </c:pt>
                <c:pt idx="34">
                  <c:v>90.796422399999983</c:v>
                </c:pt>
                <c:pt idx="35">
                  <c:v>90.65823999999995</c:v>
                </c:pt>
                <c:pt idx="36">
                  <c:v>90.497478399999977</c:v>
                </c:pt>
                <c:pt idx="37">
                  <c:v>90.314137599999938</c:v>
                </c:pt>
                <c:pt idx="38">
                  <c:v>90.108217599999946</c:v>
                </c:pt>
                <c:pt idx="39">
                  <c:v>89.879718399999973</c:v>
                </c:pt>
                <c:pt idx="40">
                  <c:v>89.628639999999947</c:v>
                </c:pt>
                <c:pt idx="41">
                  <c:v>89.354982399999969</c:v>
                </c:pt>
                <c:pt idx="42">
                  <c:v>89.058745599999995</c:v>
                </c:pt>
                <c:pt idx="43">
                  <c:v>88.739929599999954</c:v>
                </c:pt>
                <c:pt idx="44">
                  <c:v>88.398534399999974</c:v>
                </c:pt>
                <c:pt idx="45">
                  <c:v>88.034559999999985</c:v>
                </c:pt>
                <c:pt idx="46">
                  <c:v>87.648006399999957</c:v>
                </c:pt>
                <c:pt idx="47">
                  <c:v>87.238873599999977</c:v>
                </c:pt>
                <c:pt idx="48">
                  <c:v>86.807161599999944</c:v>
                </c:pt>
                <c:pt idx="49">
                  <c:v>86.352870399999958</c:v>
                </c:pt>
                <c:pt idx="50">
                  <c:v>85.875999999999976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85A-43B2-9C9C-0FB310DD3FD5}"/>
            </c:ext>
          </c:extLst>
        </c:ser>
        <c:ser>
          <c:idx val="21"/>
          <c:order val="21"/>
          <c:tx>
            <c:strRef>
              <c:f>'3dGraph'!$W$27</c:f>
              <c:strCache>
                <c:ptCount val="1"/>
                <c:pt idx="0">
                  <c:v>1420</c:v>
                </c:pt>
              </c:strCache>
            </c:strRef>
          </c:tx>
          <c:spPr>
            <a:solidFill>
              <a:srgbClr val="CC9CCC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'3dGraph'!$A$28:$A$78</c:f>
              <c:numCache>
                <c:formatCode>General</c:formatCode>
                <c:ptCount val="51"/>
                <c:pt idx="0">
                  <c:v>120</c:v>
                </c:pt>
                <c:pt idx="1">
                  <c:v>117.6</c:v>
                </c:pt>
                <c:pt idx="2">
                  <c:v>115.19999999999999</c:v>
                </c:pt>
                <c:pt idx="3">
                  <c:v>112.79999999999998</c:v>
                </c:pt>
                <c:pt idx="4">
                  <c:v>110.39999999999998</c:v>
                </c:pt>
                <c:pt idx="5">
                  <c:v>107.99999999999997</c:v>
                </c:pt>
                <c:pt idx="6">
                  <c:v>105.59999999999997</c:v>
                </c:pt>
                <c:pt idx="7">
                  <c:v>103.19999999999996</c:v>
                </c:pt>
                <c:pt idx="8">
                  <c:v>100.79999999999995</c:v>
                </c:pt>
                <c:pt idx="9">
                  <c:v>98.399999999999949</c:v>
                </c:pt>
                <c:pt idx="10">
                  <c:v>95.999999999999943</c:v>
                </c:pt>
                <c:pt idx="11">
                  <c:v>93.599999999999937</c:v>
                </c:pt>
                <c:pt idx="12">
                  <c:v>91.199999999999932</c:v>
                </c:pt>
                <c:pt idx="13">
                  <c:v>88.799999999999926</c:v>
                </c:pt>
                <c:pt idx="14">
                  <c:v>86.39999999999992</c:v>
                </c:pt>
                <c:pt idx="15">
                  <c:v>83.999999999999915</c:v>
                </c:pt>
                <c:pt idx="16">
                  <c:v>81.599999999999909</c:v>
                </c:pt>
                <c:pt idx="17">
                  <c:v>79.199999999999903</c:v>
                </c:pt>
                <c:pt idx="18">
                  <c:v>76.799999999999898</c:v>
                </c:pt>
                <c:pt idx="19">
                  <c:v>74.399999999999892</c:v>
                </c:pt>
                <c:pt idx="20">
                  <c:v>71.999999999999886</c:v>
                </c:pt>
                <c:pt idx="21">
                  <c:v>69.599999999999881</c:v>
                </c:pt>
                <c:pt idx="22">
                  <c:v>67.199999999999875</c:v>
                </c:pt>
                <c:pt idx="23">
                  <c:v>64.799999999999869</c:v>
                </c:pt>
                <c:pt idx="24">
                  <c:v>62.399999999999871</c:v>
                </c:pt>
                <c:pt idx="25">
                  <c:v>59.999999999999872</c:v>
                </c:pt>
                <c:pt idx="26">
                  <c:v>57.599999999999874</c:v>
                </c:pt>
                <c:pt idx="27">
                  <c:v>55.199999999999875</c:v>
                </c:pt>
                <c:pt idx="28">
                  <c:v>52.799999999999876</c:v>
                </c:pt>
                <c:pt idx="29">
                  <c:v>50.399999999999878</c:v>
                </c:pt>
                <c:pt idx="30">
                  <c:v>47.999999999999879</c:v>
                </c:pt>
                <c:pt idx="31">
                  <c:v>45.599999999999881</c:v>
                </c:pt>
                <c:pt idx="32">
                  <c:v>43.199999999999882</c:v>
                </c:pt>
                <c:pt idx="33">
                  <c:v>40.799999999999883</c:v>
                </c:pt>
                <c:pt idx="34">
                  <c:v>38.399999999999885</c:v>
                </c:pt>
                <c:pt idx="35">
                  <c:v>35.999999999999886</c:v>
                </c:pt>
                <c:pt idx="36">
                  <c:v>33.599999999999888</c:v>
                </c:pt>
                <c:pt idx="37">
                  <c:v>31.199999999999889</c:v>
                </c:pt>
                <c:pt idx="38">
                  <c:v>28.799999999999891</c:v>
                </c:pt>
                <c:pt idx="39">
                  <c:v>26.399999999999892</c:v>
                </c:pt>
                <c:pt idx="40">
                  <c:v>23.999999999999893</c:v>
                </c:pt>
                <c:pt idx="41">
                  <c:v>21.599999999999895</c:v>
                </c:pt>
                <c:pt idx="42">
                  <c:v>19.199999999999896</c:v>
                </c:pt>
                <c:pt idx="43">
                  <c:v>16.799999999999898</c:v>
                </c:pt>
                <c:pt idx="44">
                  <c:v>14.399999999999897</c:v>
                </c:pt>
                <c:pt idx="45">
                  <c:v>11.999999999999897</c:v>
                </c:pt>
                <c:pt idx="46">
                  <c:v>9.5999999999998966</c:v>
                </c:pt>
                <c:pt idx="47">
                  <c:v>7.1999999999998963</c:v>
                </c:pt>
                <c:pt idx="48">
                  <c:v>4.7999999999998959</c:v>
                </c:pt>
                <c:pt idx="49">
                  <c:v>2.399999999999896</c:v>
                </c:pt>
                <c:pt idx="50">
                  <c:v>-1.0391687510491465E-13</c:v>
                </c:pt>
              </c:numCache>
            </c:numRef>
          </c:cat>
          <c:val>
            <c:numRef>
              <c:f>'3dGraph'!$W$28:$W$78</c:f>
              <c:numCache>
                <c:formatCode>General</c:formatCode>
                <c:ptCount val="51"/>
                <c:pt idx="0">
                  <c:v>82.034239999999997</c:v>
                </c:pt>
                <c:pt idx="1">
                  <c:v>82.661782400000021</c:v>
                </c:pt>
                <c:pt idx="2">
                  <c:v>83.266745600000036</c:v>
                </c:pt>
                <c:pt idx="3">
                  <c:v>83.849129600000012</c:v>
                </c:pt>
                <c:pt idx="4">
                  <c:v>84.408934400000035</c:v>
                </c:pt>
                <c:pt idx="5">
                  <c:v>84.946159999999992</c:v>
                </c:pt>
                <c:pt idx="6">
                  <c:v>85.460806400000024</c:v>
                </c:pt>
                <c:pt idx="7">
                  <c:v>85.952873600000032</c:v>
                </c:pt>
                <c:pt idx="8">
                  <c:v>86.422361600000002</c:v>
                </c:pt>
                <c:pt idx="9">
                  <c:v>86.869270400000033</c:v>
                </c:pt>
                <c:pt idx="10">
                  <c:v>87.293599999999998</c:v>
                </c:pt>
                <c:pt idx="11">
                  <c:v>87.695350400000009</c:v>
                </c:pt>
                <c:pt idx="12">
                  <c:v>88.07452160000004</c:v>
                </c:pt>
                <c:pt idx="13">
                  <c:v>88.431113600000003</c:v>
                </c:pt>
                <c:pt idx="14">
                  <c:v>88.765126400000028</c:v>
                </c:pt>
                <c:pt idx="15">
                  <c:v>89.076560000000057</c:v>
                </c:pt>
                <c:pt idx="16">
                  <c:v>89.365414400000006</c:v>
                </c:pt>
                <c:pt idx="17">
                  <c:v>89.631689600000044</c:v>
                </c:pt>
                <c:pt idx="18">
                  <c:v>89.875385600000001</c:v>
                </c:pt>
                <c:pt idx="19">
                  <c:v>90.09650240000002</c:v>
                </c:pt>
                <c:pt idx="20">
                  <c:v>90.295040000000043</c:v>
                </c:pt>
                <c:pt idx="21">
                  <c:v>90.470998400000013</c:v>
                </c:pt>
                <c:pt idx="22">
                  <c:v>90.624377600000031</c:v>
                </c:pt>
                <c:pt idx="23">
                  <c:v>90.755177600000053</c:v>
                </c:pt>
                <c:pt idx="24">
                  <c:v>90.863398400000008</c:v>
                </c:pt>
                <c:pt idx="25">
                  <c:v>90.949040000000025</c:v>
                </c:pt>
                <c:pt idx="26">
                  <c:v>91.012102400000003</c:v>
                </c:pt>
                <c:pt idx="27">
                  <c:v>91.052585600000015</c:v>
                </c:pt>
                <c:pt idx="28">
                  <c:v>91.07048960000003</c:v>
                </c:pt>
                <c:pt idx="29">
                  <c:v>91.065814399999994</c:v>
                </c:pt>
                <c:pt idx="30">
                  <c:v>91.038560000000004</c:v>
                </c:pt>
                <c:pt idx="31">
                  <c:v>90.988726400000033</c:v>
                </c:pt>
                <c:pt idx="32">
                  <c:v>90.916313599999995</c:v>
                </c:pt>
                <c:pt idx="33">
                  <c:v>90.821321600000005</c:v>
                </c:pt>
                <c:pt idx="34">
                  <c:v>90.703750400000033</c:v>
                </c:pt>
                <c:pt idx="35">
                  <c:v>90.563599999999994</c:v>
                </c:pt>
                <c:pt idx="36">
                  <c:v>90.400870400000017</c:v>
                </c:pt>
                <c:pt idx="37">
                  <c:v>90.215561599999987</c:v>
                </c:pt>
                <c:pt idx="38">
                  <c:v>90.00767359999999</c:v>
                </c:pt>
                <c:pt idx="39">
                  <c:v>89.777206400000026</c:v>
                </c:pt>
                <c:pt idx="40">
                  <c:v>89.524159999999981</c:v>
                </c:pt>
                <c:pt idx="41">
                  <c:v>89.248534399999997</c:v>
                </c:pt>
                <c:pt idx="42">
                  <c:v>88.950329600000032</c:v>
                </c:pt>
                <c:pt idx="43">
                  <c:v>88.629545599999986</c:v>
                </c:pt>
                <c:pt idx="44">
                  <c:v>88.286182400000001</c:v>
                </c:pt>
                <c:pt idx="45">
                  <c:v>87.920240000000021</c:v>
                </c:pt>
                <c:pt idx="46">
                  <c:v>87.531718399999988</c:v>
                </c:pt>
                <c:pt idx="47">
                  <c:v>87.120617600000003</c:v>
                </c:pt>
                <c:pt idx="48">
                  <c:v>86.686937599999979</c:v>
                </c:pt>
                <c:pt idx="49">
                  <c:v>86.230678399999988</c:v>
                </c:pt>
                <c:pt idx="50">
                  <c:v>85.751840000000016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385A-43B2-9C9C-0FB310DD3FD5}"/>
            </c:ext>
          </c:extLst>
        </c:ser>
        <c:ser>
          <c:idx val="22"/>
          <c:order val="22"/>
          <c:tx>
            <c:strRef>
              <c:f>'3dGraph'!$X$27</c:f>
              <c:strCache>
                <c:ptCount val="1"/>
                <c:pt idx="0">
                  <c:v>1440</c:v>
                </c:pt>
              </c:strCache>
            </c:strRef>
          </c:tx>
          <c:spPr>
            <a:solidFill>
              <a:srgbClr val="CC99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'3dGraph'!$A$28:$A$78</c:f>
              <c:numCache>
                <c:formatCode>General</c:formatCode>
                <c:ptCount val="51"/>
                <c:pt idx="0">
                  <c:v>120</c:v>
                </c:pt>
                <c:pt idx="1">
                  <c:v>117.6</c:v>
                </c:pt>
                <c:pt idx="2">
                  <c:v>115.19999999999999</c:v>
                </c:pt>
                <c:pt idx="3">
                  <c:v>112.79999999999998</c:v>
                </c:pt>
                <c:pt idx="4">
                  <c:v>110.39999999999998</c:v>
                </c:pt>
                <c:pt idx="5">
                  <c:v>107.99999999999997</c:v>
                </c:pt>
                <c:pt idx="6">
                  <c:v>105.59999999999997</c:v>
                </c:pt>
                <c:pt idx="7">
                  <c:v>103.19999999999996</c:v>
                </c:pt>
                <c:pt idx="8">
                  <c:v>100.79999999999995</c:v>
                </c:pt>
                <c:pt idx="9">
                  <c:v>98.399999999999949</c:v>
                </c:pt>
                <c:pt idx="10">
                  <c:v>95.999999999999943</c:v>
                </c:pt>
                <c:pt idx="11">
                  <c:v>93.599999999999937</c:v>
                </c:pt>
                <c:pt idx="12">
                  <c:v>91.199999999999932</c:v>
                </c:pt>
                <c:pt idx="13">
                  <c:v>88.799999999999926</c:v>
                </c:pt>
                <c:pt idx="14">
                  <c:v>86.39999999999992</c:v>
                </c:pt>
                <c:pt idx="15">
                  <c:v>83.999999999999915</c:v>
                </c:pt>
                <c:pt idx="16">
                  <c:v>81.599999999999909</c:v>
                </c:pt>
                <c:pt idx="17">
                  <c:v>79.199999999999903</c:v>
                </c:pt>
                <c:pt idx="18">
                  <c:v>76.799999999999898</c:v>
                </c:pt>
                <c:pt idx="19">
                  <c:v>74.399999999999892</c:v>
                </c:pt>
                <c:pt idx="20">
                  <c:v>71.999999999999886</c:v>
                </c:pt>
                <c:pt idx="21">
                  <c:v>69.599999999999881</c:v>
                </c:pt>
                <c:pt idx="22">
                  <c:v>67.199999999999875</c:v>
                </c:pt>
                <c:pt idx="23">
                  <c:v>64.799999999999869</c:v>
                </c:pt>
                <c:pt idx="24">
                  <c:v>62.399999999999871</c:v>
                </c:pt>
                <c:pt idx="25">
                  <c:v>59.999999999999872</c:v>
                </c:pt>
                <c:pt idx="26">
                  <c:v>57.599999999999874</c:v>
                </c:pt>
                <c:pt idx="27">
                  <c:v>55.199999999999875</c:v>
                </c:pt>
                <c:pt idx="28">
                  <c:v>52.799999999999876</c:v>
                </c:pt>
                <c:pt idx="29">
                  <c:v>50.399999999999878</c:v>
                </c:pt>
                <c:pt idx="30">
                  <c:v>47.999999999999879</c:v>
                </c:pt>
                <c:pt idx="31">
                  <c:v>45.599999999999881</c:v>
                </c:pt>
                <c:pt idx="32">
                  <c:v>43.199999999999882</c:v>
                </c:pt>
                <c:pt idx="33">
                  <c:v>40.799999999999883</c:v>
                </c:pt>
                <c:pt idx="34">
                  <c:v>38.399999999999885</c:v>
                </c:pt>
                <c:pt idx="35">
                  <c:v>35.999999999999886</c:v>
                </c:pt>
                <c:pt idx="36">
                  <c:v>33.599999999999888</c:v>
                </c:pt>
                <c:pt idx="37">
                  <c:v>31.199999999999889</c:v>
                </c:pt>
                <c:pt idx="38">
                  <c:v>28.799999999999891</c:v>
                </c:pt>
                <c:pt idx="39">
                  <c:v>26.399999999999892</c:v>
                </c:pt>
                <c:pt idx="40">
                  <c:v>23.999999999999893</c:v>
                </c:pt>
                <c:pt idx="41">
                  <c:v>21.599999999999895</c:v>
                </c:pt>
                <c:pt idx="42">
                  <c:v>19.199999999999896</c:v>
                </c:pt>
                <c:pt idx="43">
                  <c:v>16.799999999999898</c:v>
                </c:pt>
                <c:pt idx="44">
                  <c:v>14.399999999999897</c:v>
                </c:pt>
                <c:pt idx="45">
                  <c:v>11.999999999999897</c:v>
                </c:pt>
                <c:pt idx="46">
                  <c:v>9.5999999999998966</c:v>
                </c:pt>
                <c:pt idx="47">
                  <c:v>7.1999999999998963</c:v>
                </c:pt>
                <c:pt idx="48">
                  <c:v>4.7999999999998959</c:v>
                </c:pt>
                <c:pt idx="49">
                  <c:v>2.399999999999896</c:v>
                </c:pt>
                <c:pt idx="50">
                  <c:v>-1.0391687510491465E-13</c:v>
                </c:pt>
              </c:numCache>
            </c:numRef>
          </c:cat>
          <c:val>
            <c:numRef>
              <c:f>'3dGraph'!$X$28:$X$78</c:f>
              <c:numCache>
                <c:formatCode>General</c:formatCode>
                <c:ptCount val="51"/>
                <c:pt idx="0">
                  <c:v>81.932960000000051</c:v>
                </c:pt>
                <c:pt idx="1">
                  <c:v>82.558534400000084</c:v>
                </c:pt>
                <c:pt idx="2">
                  <c:v>83.161529600000094</c:v>
                </c:pt>
                <c:pt idx="3">
                  <c:v>83.741945600000065</c:v>
                </c:pt>
                <c:pt idx="4">
                  <c:v>84.299782400000097</c:v>
                </c:pt>
                <c:pt idx="5">
                  <c:v>84.835040000000049</c:v>
                </c:pt>
                <c:pt idx="6">
                  <c:v>85.347718400000076</c:v>
                </c:pt>
                <c:pt idx="7">
                  <c:v>85.837817600000108</c:v>
                </c:pt>
                <c:pt idx="8">
                  <c:v>86.305337600000072</c:v>
                </c:pt>
                <c:pt idx="9">
                  <c:v>86.750278400000084</c:v>
                </c:pt>
                <c:pt idx="10">
                  <c:v>87.172640000000058</c:v>
                </c:pt>
                <c:pt idx="11">
                  <c:v>87.572422400000079</c:v>
                </c:pt>
                <c:pt idx="12">
                  <c:v>87.94962560000009</c:v>
                </c:pt>
                <c:pt idx="13">
                  <c:v>88.304249600000063</c:v>
                </c:pt>
                <c:pt idx="14">
                  <c:v>88.636294400000082</c:v>
                </c:pt>
                <c:pt idx="15">
                  <c:v>88.945760000000092</c:v>
                </c:pt>
                <c:pt idx="16">
                  <c:v>89.232646400000064</c:v>
                </c:pt>
                <c:pt idx="17">
                  <c:v>89.496953600000097</c:v>
                </c:pt>
                <c:pt idx="18">
                  <c:v>89.738681600000049</c:v>
                </c:pt>
                <c:pt idx="19">
                  <c:v>89.957830400000077</c:v>
                </c:pt>
                <c:pt idx="20">
                  <c:v>90.154400000000095</c:v>
                </c:pt>
                <c:pt idx="21">
                  <c:v>90.328390400000075</c:v>
                </c:pt>
                <c:pt idx="22">
                  <c:v>90.479801600000087</c:v>
                </c:pt>
                <c:pt idx="23">
                  <c:v>90.608633600000104</c:v>
                </c:pt>
                <c:pt idx="24">
                  <c:v>90.714886400000069</c:v>
                </c:pt>
                <c:pt idx="25">
                  <c:v>90.79856000000008</c:v>
                </c:pt>
                <c:pt idx="26">
                  <c:v>90.859654400000039</c:v>
                </c:pt>
                <c:pt idx="27">
                  <c:v>90.898169600000074</c:v>
                </c:pt>
                <c:pt idx="28">
                  <c:v>90.914105600000099</c:v>
                </c:pt>
                <c:pt idx="29">
                  <c:v>90.907462400000043</c:v>
                </c:pt>
                <c:pt idx="30">
                  <c:v>90.878240000000062</c:v>
                </c:pt>
                <c:pt idx="31">
                  <c:v>90.826438400000086</c:v>
                </c:pt>
                <c:pt idx="32">
                  <c:v>90.752057600000057</c:v>
                </c:pt>
                <c:pt idx="33">
                  <c:v>90.655097600000062</c:v>
                </c:pt>
                <c:pt idx="34">
                  <c:v>90.535558400000085</c:v>
                </c:pt>
                <c:pt idx="35">
                  <c:v>90.393440000000055</c:v>
                </c:pt>
                <c:pt idx="36">
                  <c:v>90.228742400000073</c:v>
                </c:pt>
                <c:pt idx="37">
                  <c:v>90.041465600000038</c:v>
                </c:pt>
                <c:pt idx="38">
                  <c:v>89.83160960000005</c:v>
                </c:pt>
                <c:pt idx="39">
                  <c:v>89.599174400000081</c:v>
                </c:pt>
                <c:pt idx="40">
                  <c:v>89.344160000000031</c:v>
                </c:pt>
                <c:pt idx="41">
                  <c:v>89.066566400000056</c:v>
                </c:pt>
                <c:pt idx="42">
                  <c:v>88.766393600000086</c:v>
                </c:pt>
                <c:pt idx="43">
                  <c:v>88.443641600000049</c:v>
                </c:pt>
                <c:pt idx="44">
                  <c:v>88.098310400000059</c:v>
                </c:pt>
                <c:pt idx="45">
                  <c:v>87.730400000000074</c:v>
                </c:pt>
                <c:pt idx="46">
                  <c:v>87.339910400000051</c:v>
                </c:pt>
                <c:pt idx="47">
                  <c:v>86.92684160000006</c:v>
                </c:pt>
                <c:pt idx="48">
                  <c:v>86.491193600000031</c:v>
                </c:pt>
                <c:pt idx="49">
                  <c:v>86.032966400000049</c:v>
                </c:pt>
                <c:pt idx="50">
                  <c:v>85.552160000000072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85A-43B2-9C9C-0FB310DD3FD5}"/>
            </c:ext>
          </c:extLst>
        </c:ser>
        <c:ser>
          <c:idx val="23"/>
          <c:order val="23"/>
          <c:tx>
            <c:strRef>
              <c:f>'3dGraph'!$Y$27</c:f>
              <c:strCache>
                <c:ptCount val="1"/>
                <c:pt idx="0">
                  <c:v>1460</c:v>
                </c:pt>
              </c:strCache>
            </c:strRef>
          </c:tx>
          <c:spPr>
            <a:solidFill>
              <a:srgbClr val="E3E3E3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'3dGraph'!$A$28:$A$78</c:f>
              <c:numCache>
                <c:formatCode>General</c:formatCode>
                <c:ptCount val="51"/>
                <c:pt idx="0">
                  <c:v>120</c:v>
                </c:pt>
                <c:pt idx="1">
                  <c:v>117.6</c:v>
                </c:pt>
                <c:pt idx="2">
                  <c:v>115.19999999999999</c:v>
                </c:pt>
                <c:pt idx="3">
                  <c:v>112.79999999999998</c:v>
                </c:pt>
                <c:pt idx="4">
                  <c:v>110.39999999999998</c:v>
                </c:pt>
                <c:pt idx="5">
                  <c:v>107.99999999999997</c:v>
                </c:pt>
                <c:pt idx="6">
                  <c:v>105.59999999999997</c:v>
                </c:pt>
                <c:pt idx="7">
                  <c:v>103.19999999999996</c:v>
                </c:pt>
                <c:pt idx="8">
                  <c:v>100.79999999999995</c:v>
                </c:pt>
                <c:pt idx="9">
                  <c:v>98.399999999999949</c:v>
                </c:pt>
                <c:pt idx="10">
                  <c:v>95.999999999999943</c:v>
                </c:pt>
                <c:pt idx="11">
                  <c:v>93.599999999999937</c:v>
                </c:pt>
                <c:pt idx="12">
                  <c:v>91.199999999999932</c:v>
                </c:pt>
                <c:pt idx="13">
                  <c:v>88.799999999999926</c:v>
                </c:pt>
                <c:pt idx="14">
                  <c:v>86.39999999999992</c:v>
                </c:pt>
                <c:pt idx="15">
                  <c:v>83.999999999999915</c:v>
                </c:pt>
                <c:pt idx="16">
                  <c:v>81.599999999999909</c:v>
                </c:pt>
                <c:pt idx="17">
                  <c:v>79.199999999999903</c:v>
                </c:pt>
                <c:pt idx="18">
                  <c:v>76.799999999999898</c:v>
                </c:pt>
                <c:pt idx="19">
                  <c:v>74.399999999999892</c:v>
                </c:pt>
                <c:pt idx="20">
                  <c:v>71.999999999999886</c:v>
                </c:pt>
                <c:pt idx="21">
                  <c:v>69.599999999999881</c:v>
                </c:pt>
                <c:pt idx="22">
                  <c:v>67.199999999999875</c:v>
                </c:pt>
                <c:pt idx="23">
                  <c:v>64.799999999999869</c:v>
                </c:pt>
                <c:pt idx="24">
                  <c:v>62.399999999999871</c:v>
                </c:pt>
                <c:pt idx="25">
                  <c:v>59.999999999999872</c:v>
                </c:pt>
                <c:pt idx="26">
                  <c:v>57.599999999999874</c:v>
                </c:pt>
                <c:pt idx="27">
                  <c:v>55.199999999999875</c:v>
                </c:pt>
                <c:pt idx="28">
                  <c:v>52.799999999999876</c:v>
                </c:pt>
                <c:pt idx="29">
                  <c:v>50.399999999999878</c:v>
                </c:pt>
                <c:pt idx="30">
                  <c:v>47.999999999999879</c:v>
                </c:pt>
                <c:pt idx="31">
                  <c:v>45.599999999999881</c:v>
                </c:pt>
                <c:pt idx="32">
                  <c:v>43.199999999999882</c:v>
                </c:pt>
                <c:pt idx="33">
                  <c:v>40.799999999999883</c:v>
                </c:pt>
                <c:pt idx="34">
                  <c:v>38.399999999999885</c:v>
                </c:pt>
                <c:pt idx="35">
                  <c:v>35.999999999999886</c:v>
                </c:pt>
                <c:pt idx="36">
                  <c:v>33.599999999999888</c:v>
                </c:pt>
                <c:pt idx="37">
                  <c:v>31.199999999999889</c:v>
                </c:pt>
                <c:pt idx="38">
                  <c:v>28.799999999999891</c:v>
                </c:pt>
                <c:pt idx="39">
                  <c:v>26.399999999999892</c:v>
                </c:pt>
                <c:pt idx="40">
                  <c:v>23.999999999999893</c:v>
                </c:pt>
                <c:pt idx="41">
                  <c:v>21.599999999999895</c:v>
                </c:pt>
                <c:pt idx="42">
                  <c:v>19.199999999999896</c:v>
                </c:pt>
                <c:pt idx="43">
                  <c:v>16.799999999999898</c:v>
                </c:pt>
                <c:pt idx="44">
                  <c:v>14.399999999999897</c:v>
                </c:pt>
                <c:pt idx="45">
                  <c:v>11.999999999999897</c:v>
                </c:pt>
                <c:pt idx="46">
                  <c:v>9.5999999999998966</c:v>
                </c:pt>
                <c:pt idx="47">
                  <c:v>7.1999999999998963</c:v>
                </c:pt>
                <c:pt idx="48">
                  <c:v>4.7999999999998959</c:v>
                </c:pt>
                <c:pt idx="49">
                  <c:v>2.399999999999896</c:v>
                </c:pt>
                <c:pt idx="50">
                  <c:v>-1.0391687510491465E-13</c:v>
                </c:pt>
              </c:numCache>
            </c:numRef>
          </c:cat>
          <c:val>
            <c:numRef>
              <c:f>'3dGraph'!$Y$28:$Y$78</c:f>
              <c:numCache>
                <c:formatCode>General</c:formatCode>
                <c:ptCount val="51"/>
                <c:pt idx="0">
                  <c:v>81.75615999999998</c:v>
                </c:pt>
                <c:pt idx="1">
                  <c:v>82.379766400000008</c:v>
                </c:pt>
                <c:pt idx="2">
                  <c:v>82.980793600000027</c:v>
                </c:pt>
                <c:pt idx="3">
                  <c:v>83.559241599999993</c:v>
                </c:pt>
                <c:pt idx="4">
                  <c:v>84.11511040000002</c:v>
                </c:pt>
                <c:pt idx="5">
                  <c:v>84.648399999999981</c:v>
                </c:pt>
                <c:pt idx="6">
                  <c:v>85.159110400000003</c:v>
                </c:pt>
                <c:pt idx="7">
                  <c:v>85.647241600000029</c:v>
                </c:pt>
                <c:pt idx="8">
                  <c:v>86.112793599999989</c:v>
                </c:pt>
                <c:pt idx="9">
                  <c:v>86.555766400000024</c:v>
                </c:pt>
                <c:pt idx="10">
                  <c:v>86.976159999999993</c:v>
                </c:pt>
                <c:pt idx="11">
                  <c:v>87.373974400000009</c:v>
                </c:pt>
                <c:pt idx="12">
                  <c:v>87.749209600000029</c:v>
                </c:pt>
                <c:pt idx="13">
                  <c:v>88.101865599999996</c:v>
                </c:pt>
                <c:pt idx="14">
                  <c:v>88.431942400000011</c:v>
                </c:pt>
                <c:pt idx="15">
                  <c:v>88.73944000000003</c:v>
                </c:pt>
                <c:pt idx="16">
                  <c:v>89.024358399999997</c:v>
                </c:pt>
                <c:pt idx="17">
                  <c:v>89.286697600000025</c:v>
                </c:pt>
                <c:pt idx="18">
                  <c:v>89.526457599999986</c:v>
                </c:pt>
                <c:pt idx="19">
                  <c:v>89.743638400000009</c:v>
                </c:pt>
                <c:pt idx="20">
                  <c:v>89.938240000000022</c:v>
                </c:pt>
                <c:pt idx="21">
                  <c:v>90.110262399999982</c:v>
                </c:pt>
                <c:pt idx="22">
                  <c:v>90.259705600000018</c:v>
                </c:pt>
                <c:pt idx="23">
                  <c:v>90.38656960000003</c:v>
                </c:pt>
                <c:pt idx="24">
                  <c:v>90.490854399999989</c:v>
                </c:pt>
                <c:pt idx="25">
                  <c:v>90.572560000000024</c:v>
                </c:pt>
                <c:pt idx="26">
                  <c:v>90.631686399999978</c:v>
                </c:pt>
                <c:pt idx="27">
                  <c:v>90.668233600000008</c:v>
                </c:pt>
                <c:pt idx="28">
                  <c:v>90.682201600000027</c:v>
                </c:pt>
                <c:pt idx="29">
                  <c:v>90.673590399999981</c:v>
                </c:pt>
                <c:pt idx="30">
                  <c:v>90.642399999999995</c:v>
                </c:pt>
                <c:pt idx="31">
                  <c:v>90.588630400000014</c:v>
                </c:pt>
                <c:pt idx="32">
                  <c:v>90.51228159999998</c:v>
                </c:pt>
                <c:pt idx="33">
                  <c:v>90.413353599999994</c:v>
                </c:pt>
                <c:pt idx="34">
                  <c:v>90.291846400000011</c:v>
                </c:pt>
                <c:pt idx="35">
                  <c:v>90.147759999999977</c:v>
                </c:pt>
                <c:pt idx="36">
                  <c:v>89.981094400000003</c:v>
                </c:pt>
                <c:pt idx="37">
                  <c:v>89.791849599999978</c:v>
                </c:pt>
                <c:pt idx="38">
                  <c:v>89.580025599999985</c:v>
                </c:pt>
                <c:pt idx="39">
                  <c:v>89.345622400000011</c:v>
                </c:pt>
                <c:pt idx="40">
                  <c:v>89.08863999999997</c:v>
                </c:pt>
                <c:pt idx="41">
                  <c:v>88.80907839999999</c:v>
                </c:pt>
                <c:pt idx="42">
                  <c:v>88.506937600000015</c:v>
                </c:pt>
                <c:pt idx="43">
                  <c:v>88.182217599999973</c:v>
                </c:pt>
                <c:pt idx="44">
                  <c:v>87.834918399999992</c:v>
                </c:pt>
                <c:pt idx="45">
                  <c:v>87.465040000000002</c:v>
                </c:pt>
                <c:pt idx="46">
                  <c:v>87.072582399999973</c:v>
                </c:pt>
                <c:pt idx="47">
                  <c:v>86.657545599999992</c:v>
                </c:pt>
                <c:pt idx="48">
                  <c:v>86.219929599999958</c:v>
                </c:pt>
                <c:pt idx="49">
                  <c:v>85.759734399999971</c:v>
                </c:pt>
                <c:pt idx="50">
                  <c:v>85.276960000000003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85A-43B2-9C9C-0FB310DD3FD5}"/>
            </c:ext>
          </c:extLst>
        </c:ser>
        <c:ser>
          <c:idx val="24"/>
          <c:order val="24"/>
          <c:tx>
            <c:strRef>
              <c:f>'3dGraph'!$Z$27</c:f>
              <c:strCache>
                <c:ptCount val="1"/>
                <c:pt idx="0">
                  <c:v>1480</c:v>
                </c:pt>
              </c:strCache>
            </c:strRef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'3dGraph'!$A$28:$A$78</c:f>
              <c:numCache>
                <c:formatCode>General</c:formatCode>
                <c:ptCount val="51"/>
                <c:pt idx="0">
                  <c:v>120</c:v>
                </c:pt>
                <c:pt idx="1">
                  <c:v>117.6</c:v>
                </c:pt>
                <c:pt idx="2">
                  <c:v>115.19999999999999</c:v>
                </c:pt>
                <c:pt idx="3">
                  <c:v>112.79999999999998</c:v>
                </c:pt>
                <c:pt idx="4">
                  <c:v>110.39999999999998</c:v>
                </c:pt>
                <c:pt idx="5">
                  <c:v>107.99999999999997</c:v>
                </c:pt>
                <c:pt idx="6">
                  <c:v>105.59999999999997</c:v>
                </c:pt>
                <c:pt idx="7">
                  <c:v>103.19999999999996</c:v>
                </c:pt>
                <c:pt idx="8">
                  <c:v>100.79999999999995</c:v>
                </c:pt>
                <c:pt idx="9">
                  <c:v>98.399999999999949</c:v>
                </c:pt>
                <c:pt idx="10">
                  <c:v>95.999999999999943</c:v>
                </c:pt>
                <c:pt idx="11">
                  <c:v>93.599999999999937</c:v>
                </c:pt>
                <c:pt idx="12">
                  <c:v>91.199999999999932</c:v>
                </c:pt>
                <c:pt idx="13">
                  <c:v>88.799999999999926</c:v>
                </c:pt>
                <c:pt idx="14">
                  <c:v>86.39999999999992</c:v>
                </c:pt>
                <c:pt idx="15">
                  <c:v>83.999999999999915</c:v>
                </c:pt>
                <c:pt idx="16">
                  <c:v>81.599999999999909</c:v>
                </c:pt>
                <c:pt idx="17">
                  <c:v>79.199999999999903</c:v>
                </c:pt>
                <c:pt idx="18">
                  <c:v>76.799999999999898</c:v>
                </c:pt>
                <c:pt idx="19">
                  <c:v>74.399999999999892</c:v>
                </c:pt>
                <c:pt idx="20">
                  <c:v>71.999999999999886</c:v>
                </c:pt>
                <c:pt idx="21">
                  <c:v>69.599999999999881</c:v>
                </c:pt>
                <c:pt idx="22">
                  <c:v>67.199999999999875</c:v>
                </c:pt>
                <c:pt idx="23">
                  <c:v>64.799999999999869</c:v>
                </c:pt>
                <c:pt idx="24">
                  <c:v>62.399999999999871</c:v>
                </c:pt>
                <c:pt idx="25">
                  <c:v>59.999999999999872</c:v>
                </c:pt>
                <c:pt idx="26">
                  <c:v>57.599999999999874</c:v>
                </c:pt>
                <c:pt idx="27">
                  <c:v>55.199999999999875</c:v>
                </c:pt>
                <c:pt idx="28">
                  <c:v>52.799999999999876</c:v>
                </c:pt>
                <c:pt idx="29">
                  <c:v>50.399999999999878</c:v>
                </c:pt>
                <c:pt idx="30">
                  <c:v>47.999999999999879</c:v>
                </c:pt>
                <c:pt idx="31">
                  <c:v>45.599999999999881</c:v>
                </c:pt>
                <c:pt idx="32">
                  <c:v>43.199999999999882</c:v>
                </c:pt>
                <c:pt idx="33">
                  <c:v>40.799999999999883</c:v>
                </c:pt>
                <c:pt idx="34">
                  <c:v>38.399999999999885</c:v>
                </c:pt>
                <c:pt idx="35">
                  <c:v>35.999999999999886</c:v>
                </c:pt>
                <c:pt idx="36">
                  <c:v>33.599999999999888</c:v>
                </c:pt>
                <c:pt idx="37">
                  <c:v>31.199999999999889</c:v>
                </c:pt>
                <c:pt idx="38">
                  <c:v>28.799999999999891</c:v>
                </c:pt>
                <c:pt idx="39">
                  <c:v>26.399999999999892</c:v>
                </c:pt>
                <c:pt idx="40">
                  <c:v>23.999999999999893</c:v>
                </c:pt>
                <c:pt idx="41">
                  <c:v>21.599999999999895</c:v>
                </c:pt>
                <c:pt idx="42">
                  <c:v>19.199999999999896</c:v>
                </c:pt>
                <c:pt idx="43">
                  <c:v>16.799999999999898</c:v>
                </c:pt>
                <c:pt idx="44">
                  <c:v>14.399999999999897</c:v>
                </c:pt>
                <c:pt idx="45">
                  <c:v>11.999999999999897</c:v>
                </c:pt>
                <c:pt idx="46">
                  <c:v>9.5999999999998966</c:v>
                </c:pt>
                <c:pt idx="47">
                  <c:v>7.1999999999998963</c:v>
                </c:pt>
                <c:pt idx="48">
                  <c:v>4.7999999999998959</c:v>
                </c:pt>
                <c:pt idx="49">
                  <c:v>2.399999999999896</c:v>
                </c:pt>
                <c:pt idx="50">
                  <c:v>-1.0391687510491465E-13</c:v>
                </c:pt>
              </c:numCache>
            </c:numRef>
          </c:cat>
          <c:val>
            <c:numRef>
              <c:f>'3dGraph'!$Z$28:$Z$78</c:f>
              <c:numCache>
                <c:formatCode>General</c:formatCode>
                <c:ptCount val="51"/>
                <c:pt idx="0">
                  <c:v>81.503840000000011</c:v>
                </c:pt>
                <c:pt idx="1">
                  <c:v>82.125478400000048</c:v>
                </c:pt>
                <c:pt idx="2">
                  <c:v>82.724537600000062</c:v>
                </c:pt>
                <c:pt idx="3">
                  <c:v>83.301017600000023</c:v>
                </c:pt>
                <c:pt idx="4">
                  <c:v>83.854918400000059</c:v>
                </c:pt>
                <c:pt idx="5">
                  <c:v>84.386240000000015</c:v>
                </c:pt>
                <c:pt idx="6">
                  <c:v>84.894982400000046</c:v>
                </c:pt>
                <c:pt idx="7">
                  <c:v>85.381145600000053</c:v>
                </c:pt>
                <c:pt idx="8">
                  <c:v>85.844729600000022</c:v>
                </c:pt>
                <c:pt idx="9">
                  <c:v>86.285734400000052</c:v>
                </c:pt>
                <c:pt idx="10">
                  <c:v>86.704160000000016</c:v>
                </c:pt>
                <c:pt idx="11">
                  <c:v>87.100006400000041</c:v>
                </c:pt>
                <c:pt idx="12">
                  <c:v>87.473273600000056</c:v>
                </c:pt>
                <c:pt idx="13">
                  <c:v>87.823961600000032</c:v>
                </c:pt>
                <c:pt idx="14">
                  <c:v>88.152070400000042</c:v>
                </c:pt>
                <c:pt idx="15">
                  <c:v>88.45760000000007</c:v>
                </c:pt>
                <c:pt idx="16">
                  <c:v>88.740550400000032</c:v>
                </c:pt>
                <c:pt idx="17">
                  <c:v>89.000921600000055</c:v>
                </c:pt>
                <c:pt idx="18">
                  <c:v>89.238713600000025</c:v>
                </c:pt>
                <c:pt idx="19">
                  <c:v>89.453926400000043</c:v>
                </c:pt>
                <c:pt idx="20">
                  <c:v>89.646560000000051</c:v>
                </c:pt>
                <c:pt idx="21">
                  <c:v>89.81661440000002</c:v>
                </c:pt>
                <c:pt idx="22">
                  <c:v>89.964089600000051</c:v>
                </c:pt>
                <c:pt idx="23">
                  <c:v>90.088985600000072</c:v>
                </c:pt>
                <c:pt idx="24">
                  <c:v>90.191302400000026</c:v>
                </c:pt>
                <c:pt idx="25">
                  <c:v>90.271040000000056</c:v>
                </c:pt>
                <c:pt idx="26">
                  <c:v>90.328198400000019</c:v>
                </c:pt>
                <c:pt idx="27">
                  <c:v>90.36277760000003</c:v>
                </c:pt>
                <c:pt idx="28">
                  <c:v>90.374777600000058</c:v>
                </c:pt>
                <c:pt idx="29">
                  <c:v>90.364198400000006</c:v>
                </c:pt>
                <c:pt idx="30">
                  <c:v>90.33104000000003</c:v>
                </c:pt>
                <c:pt idx="31">
                  <c:v>90.275302400000044</c:v>
                </c:pt>
                <c:pt idx="32">
                  <c:v>90.196985600000019</c:v>
                </c:pt>
                <c:pt idx="33">
                  <c:v>90.096089600000028</c:v>
                </c:pt>
                <c:pt idx="34">
                  <c:v>89.972614400000055</c:v>
                </c:pt>
                <c:pt idx="35">
                  <c:v>89.826560000000015</c:v>
                </c:pt>
                <c:pt idx="36">
                  <c:v>89.657926400000036</c:v>
                </c:pt>
                <c:pt idx="37">
                  <c:v>89.466713600000006</c:v>
                </c:pt>
                <c:pt idx="38">
                  <c:v>89.252921600000008</c:v>
                </c:pt>
                <c:pt idx="39">
                  <c:v>89.016550400000042</c:v>
                </c:pt>
                <c:pt idx="40">
                  <c:v>88.757599999999996</c:v>
                </c:pt>
                <c:pt idx="41">
                  <c:v>88.476070400000026</c:v>
                </c:pt>
                <c:pt idx="42">
                  <c:v>88.171961600000046</c:v>
                </c:pt>
                <c:pt idx="43">
                  <c:v>87.845273599999999</c:v>
                </c:pt>
                <c:pt idx="44">
                  <c:v>87.496006400000027</c:v>
                </c:pt>
                <c:pt idx="45">
                  <c:v>87.124160000000032</c:v>
                </c:pt>
                <c:pt idx="46">
                  <c:v>86.729734400000012</c:v>
                </c:pt>
                <c:pt idx="47">
                  <c:v>86.312729600000026</c:v>
                </c:pt>
                <c:pt idx="48">
                  <c:v>85.873145600000001</c:v>
                </c:pt>
                <c:pt idx="49">
                  <c:v>85.410982400000009</c:v>
                </c:pt>
                <c:pt idx="50">
                  <c:v>84.926240000000035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85A-43B2-9C9C-0FB310DD3FD5}"/>
            </c:ext>
          </c:extLst>
        </c:ser>
        <c:ser>
          <c:idx val="25"/>
          <c:order val="25"/>
          <c:tx>
            <c:strRef>
              <c:f>'3dGraph'!$AA$27</c:f>
              <c:strCache>
                <c:ptCount val="1"/>
                <c:pt idx="0">
                  <c:v>1500</c:v>
                </c:pt>
              </c:strCache>
            </c:strRef>
          </c:tx>
          <c:spPr>
            <a:solidFill>
              <a:srgbClr val="33CCCC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'3dGraph'!$A$28:$A$78</c:f>
              <c:numCache>
                <c:formatCode>General</c:formatCode>
                <c:ptCount val="51"/>
                <c:pt idx="0">
                  <c:v>120</c:v>
                </c:pt>
                <c:pt idx="1">
                  <c:v>117.6</c:v>
                </c:pt>
                <c:pt idx="2">
                  <c:v>115.19999999999999</c:v>
                </c:pt>
                <c:pt idx="3">
                  <c:v>112.79999999999998</c:v>
                </c:pt>
                <c:pt idx="4">
                  <c:v>110.39999999999998</c:v>
                </c:pt>
                <c:pt idx="5">
                  <c:v>107.99999999999997</c:v>
                </c:pt>
                <c:pt idx="6">
                  <c:v>105.59999999999997</c:v>
                </c:pt>
                <c:pt idx="7">
                  <c:v>103.19999999999996</c:v>
                </c:pt>
                <c:pt idx="8">
                  <c:v>100.79999999999995</c:v>
                </c:pt>
                <c:pt idx="9">
                  <c:v>98.399999999999949</c:v>
                </c:pt>
                <c:pt idx="10">
                  <c:v>95.999999999999943</c:v>
                </c:pt>
                <c:pt idx="11">
                  <c:v>93.599999999999937</c:v>
                </c:pt>
                <c:pt idx="12">
                  <c:v>91.199999999999932</c:v>
                </c:pt>
                <c:pt idx="13">
                  <c:v>88.799999999999926</c:v>
                </c:pt>
                <c:pt idx="14">
                  <c:v>86.39999999999992</c:v>
                </c:pt>
                <c:pt idx="15">
                  <c:v>83.999999999999915</c:v>
                </c:pt>
                <c:pt idx="16">
                  <c:v>81.599999999999909</c:v>
                </c:pt>
                <c:pt idx="17">
                  <c:v>79.199999999999903</c:v>
                </c:pt>
                <c:pt idx="18">
                  <c:v>76.799999999999898</c:v>
                </c:pt>
                <c:pt idx="19">
                  <c:v>74.399999999999892</c:v>
                </c:pt>
                <c:pt idx="20">
                  <c:v>71.999999999999886</c:v>
                </c:pt>
                <c:pt idx="21">
                  <c:v>69.599999999999881</c:v>
                </c:pt>
                <c:pt idx="22">
                  <c:v>67.199999999999875</c:v>
                </c:pt>
                <c:pt idx="23">
                  <c:v>64.799999999999869</c:v>
                </c:pt>
                <c:pt idx="24">
                  <c:v>62.399999999999871</c:v>
                </c:pt>
                <c:pt idx="25">
                  <c:v>59.999999999999872</c:v>
                </c:pt>
                <c:pt idx="26">
                  <c:v>57.599999999999874</c:v>
                </c:pt>
                <c:pt idx="27">
                  <c:v>55.199999999999875</c:v>
                </c:pt>
                <c:pt idx="28">
                  <c:v>52.799999999999876</c:v>
                </c:pt>
                <c:pt idx="29">
                  <c:v>50.399999999999878</c:v>
                </c:pt>
                <c:pt idx="30">
                  <c:v>47.999999999999879</c:v>
                </c:pt>
                <c:pt idx="31">
                  <c:v>45.599999999999881</c:v>
                </c:pt>
                <c:pt idx="32">
                  <c:v>43.199999999999882</c:v>
                </c:pt>
                <c:pt idx="33">
                  <c:v>40.799999999999883</c:v>
                </c:pt>
                <c:pt idx="34">
                  <c:v>38.399999999999885</c:v>
                </c:pt>
                <c:pt idx="35">
                  <c:v>35.999999999999886</c:v>
                </c:pt>
                <c:pt idx="36">
                  <c:v>33.599999999999888</c:v>
                </c:pt>
                <c:pt idx="37">
                  <c:v>31.199999999999889</c:v>
                </c:pt>
                <c:pt idx="38">
                  <c:v>28.799999999999891</c:v>
                </c:pt>
                <c:pt idx="39">
                  <c:v>26.399999999999892</c:v>
                </c:pt>
                <c:pt idx="40">
                  <c:v>23.999999999999893</c:v>
                </c:pt>
                <c:pt idx="41">
                  <c:v>21.599999999999895</c:v>
                </c:pt>
                <c:pt idx="42">
                  <c:v>19.199999999999896</c:v>
                </c:pt>
                <c:pt idx="43">
                  <c:v>16.799999999999898</c:v>
                </c:pt>
                <c:pt idx="44">
                  <c:v>14.399999999999897</c:v>
                </c:pt>
                <c:pt idx="45">
                  <c:v>11.999999999999897</c:v>
                </c:pt>
                <c:pt idx="46">
                  <c:v>9.5999999999998966</c:v>
                </c:pt>
                <c:pt idx="47">
                  <c:v>7.1999999999998963</c:v>
                </c:pt>
                <c:pt idx="48">
                  <c:v>4.7999999999998959</c:v>
                </c:pt>
                <c:pt idx="49">
                  <c:v>2.399999999999896</c:v>
                </c:pt>
                <c:pt idx="50">
                  <c:v>-1.0391687510491465E-13</c:v>
                </c:pt>
              </c:numCache>
            </c:numRef>
          </c:cat>
          <c:val>
            <c:numRef>
              <c:f>'3dGraph'!$AA$28:$AA$78</c:f>
              <c:numCache>
                <c:formatCode>General</c:formatCode>
                <c:ptCount val="51"/>
                <c:pt idx="0">
                  <c:v>81.175999999999945</c:v>
                </c:pt>
                <c:pt idx="1">
                  <c:v>81.795670399999977</c:v>
                </c:pt>
                <c:pt idx="2">
                  <c:v>82.3927616</c:v>
                </c:pt>
                <c:pt idx="3">
                  <c:v>82.96727359999997</c:v>
                </c:pt>
                <c:pt idx="4">
                  <c:v>83.519206399999987</c:v>
                </c:pt>
                <c:pt idx="5">
                  <c:v>84.048559999999952</c:v>
                </c:pt>
                <c:pt idx="6">
                  <c:v>84.555334399999978</c:v>
                </c:pt>
                <c:pt idx="7">
                  <c:v>85.039529600000009</c:v>
                </c:pt>
                <c:pt idx="8">
                  <c:v>85.501145599999958</c:v>
                </c:pt>
                <c:pt idx="9">
                  <c:v>85.940182399999983</c:v>
                </c:pt>
                <c:pt idx="10">
                  <c:v>86.356639999999956</c:v>
                </c:pt>
                <c:pt idx="11">
                  <c:v>86.750518399999976</c:v>
                </c:pt>
                <c:pt idx="12">
                  <c:v>87.1218176</c:v>
                </c:pt>
                <c:pt idx="13">
                  <c:v>87.470537599999957</c:v>
                </c:pt>
                <c:pt idx="14">
                  <c:v>87.796678399999976</c:v>
                </c:pt>
                <c:pt idx="15">
                  <c:v>88.100240000000014</c:v>
                </c:pt>
                <c:pt idx="16">
                  <c:v>88.38122239999997</c:v>
                </c:pt>
                <c:pt idx="17">
                  <c:v>88.639625599999988</c:v>
                </c:pt>
                <c:pt idx="18">
                  <c:v>88.875449599999953</c:v>
                </c:pt>
                <c:pt idx="19">
                  <c:v>89.08869439999998</c:v>
                </c:pt>
                <c:pt idx="20">
                  <c:v>89.279359999999997</c:v>
                </c:pt>
                <c:pt idx="21">
                  <c:v>89.447446399999961</c:v>
                </c:pt>
                <c:pt idx="22">
                  <c:v>89.592953599999987</c:v>
                </c:pt>
                <c:pt idx="23">
                  <c:v>89.715881600000003</c:v>
                </c:pt>
                <c:pt idx="24">
                  <c:v>89.816230399999966</c:v>
                </c:pt>
                <c:pt idx="25">
                  <c:v>89.893999999999991</c:v>
                </c:pt>
                <c:pt idx="26">
                  <c:v>89.949190399999935</c:v>
                </c:pt>
                <c:pt idx="27">
                  <c:v>89.981801599999969</c:v>
                </c:pt>
                <c:pt idx="28">
                  <c:v>89.991833599999993</c:v>
                </c:pt>
                <c:pt idx="29">
                  <c:v>89.97928639999995</c:v>
                </c:pt>
                <c:pt idx="30">
                  <c:v>89.944159999999968</c:v>
                </c:pt>
                <c:pt idx="31">
                  <c:v>89.886454399999977</c:v>
                </c:pt>
                <c:pt idx="32">
                  <c:v>89.806169599999947</c:v>
                </c:pt>
                <c:pt idx="33">
                  <c:v>89.703305599999965</c:v>
                </c:pt>
                <c:pt idx="34">
                  <c:v>89.577862399999987</c:v>
                </c:pt>
                <c:pt idx="35">
                  <c:v>89.429839999999956</c:v>
                </c:pt>
                <c:pt idx="36">
                  <c:v>89.259238399999973</c:v>
                </c:pt>
                <c:pt idx="37">
                  <c:v>89.066057599999937</c:v>
                </c:pt>
                <c:pt idx="38">
                  <c:v>88.850297599999948</c:v>
                </c:pt>
                <c:pt idx="39">
                  <c:v>88.611958399999978</c:v>
                </c:pt>
                <c:pt idx="40">
                  <c:v>88.351039999999941</c:v>
                </c:pt>
                <c:pt idx="41">
                  <c:v>88.067542399999951</c:v>
                </c:pt>
                <c:pt idx="42">
                  <c:v>87.76146559999998</c:v>
                </c:pt>
                <c:pt idx="43">
                  <c:v>87.432809599999942</c:v>
                </c:pt>
                <c:pt idx="44">
                  <c:v>87.081574399999965</c:v>
                </c:pt>
                <c:pt idx="45">
                  <c:v>86.707759999999979</c:v>
                </c:pt>
                <c:pt idx="46">
                  <c:v>86.31136639999994</c:v>
                </c:pt>
                <c:pt idx="47">
                  <c:v>85.892393599999963</c:v>
                </c:pt>
                <c:pt idx="48">
                  <c:v>85.450841599999933</c:v>
                </c:pt>
                <c:pt idx="49">
                  <c:v>84.98671039999995</c:v>
                </c:pt>
                <c:pt idx="50">
                  <c:v>84.499999999999972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385A-43B2-9C9C-0FB310DD3FD5}"/>
            </c:ext>
          </c:extLst>
        </c:ser>
        <c:ser>
          <c:idx val="26"/>
          <c:order val="26"/>
          <c:tx>
            <c:strRef>
              <c:f>'3dGraph'!$AB$27</c:f>
              <c:strCache>
                <c:ptCount val="1"/>
                <c:pt idx="0">
                  <c:v>1520</c:v>
                </c:pt>
              </c:strCache>
            </c:strRef>
          </c:tx>
          <c:spPr>
            <a:solidFill>
              <a:srgbClr val="339933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'3dGraph'!$A$28:$A$78</c:f>
              <c:numCache>
                <c:formatCode>General</c:formatCode>
                <c:ptCount val="51"/>
                <c:pt idx="0">
                  <c:v>120</c:v>
                </c:pt>
                <c:pt idx="1">
                  <c:v>117.6</c:v>
                </c:pt>
                <c:pt idx="2">
                  <c:v>115.19999999999999</c:v>
                </c:pt>
                <c:pt idx="3">
                  <c:v>112.79999999999998</c:v>
                </c:pt>
                <c:pt idx="4">
                  <c:v>110.39999999999998</c:v>
                </c:pt>
                <c:pt idx="5">
                  <c:v>107.99999999999997</c:v>
                </c:pt>
                <c:pt idx="6">
                  <c:v>105.59999999999997</c:v>
                </c:pt>
                <c:pt idx="7">
                  <c:v>103.19999999999996</c:v>
                </c:pt>
                <c:pt idx="8">
                  <c:v>100.79999999999995</c:v>
                </c:pt>
                <c:pt idx="9">
                  <c:v>98.399999999999949</c:v>
                </c:pt>
                <c:pt idx="10">
                  <c:v>95.999999999999943</c:v>
                </c:pt>
                <c:pt idx="11">
                  <c:v>93.599999999999937</c:v>
                </c:pt>
                <c:pt idx="12">
                  <c:v>91.199999999999932</c:v>
                </c:pt>
                <c:pt idx="13">
                  <c:v>88.799999999999926</c:v>
                </c:pt>
                <c:pt idx="14">
                  <c:v>86.39999999999992</c:v>
                </c:pt>
                <c:pt idx="15">
                  <c:v>83.999999999999915</c:v>
                </c:pt>
                <c:pt idx="16">
                  <c:v>81.599999999999909</c:v>
                </c:pt>
                <c:pt idx="17">
                  <c:v>79.199999999999903</c:v>
                </c:pt>
                <c:pt idx="18">
                  <c:v>76.799999999999898</c:v>
                </c:pt>
                <c:pt idx="19">
                  <c:v>74.399999999999892</c:v>
                </c:pt>
                <c:pt idx="20">
                  <c:v>71.999999999999886</c:v>
                </c:pt>
                <c:pt idx="21">
                  <c:v>69.599999999999881</c:v>
                </c:pt>
                <c:pt idx="22">
                  <c:v>67.199999999999875</c:v>
                </c:pt>
                <c:pt idx="23">
                  <c:v>64.799999999999869</c:v>
                </c:pt>
                <c:pt idx="24">
                  <c:v>62.399999999999871</c:v>
                </c:pt>
                <c:pt idx="25">
                  <c:v>59.999999999999872</c:v>
                </c:pt>
                <c:pt idx="26">
                  <c:v>57.599999999999874</c:v>
                </c:pt>
                <c:pt idx="27">
                  <c:v>55.199999999999875</c:v>
                </c:pt>
                <c:pt idx="28">
                  <c:v>52.799999999999876</c:v>
                </c:pt>
                <c:pt idx="29">
                  <c:v>50.399999999999878</c:v>
                </c:pt>
                <c:pt idx="30">
                  <c:v>47.999999999999879</c:v>
                </c:pt>
                <c:pt idx="31">
                  <c:v>45.599999999999881</c:v>
                </c:pt>
                <c:pt idx="32">
                  <c:v>43.199999999999882</c:v>
                </c:pt>
                <c:pt idx="33">
                  <c:v>40.799999999999883</c:v>
                </c:pt>
                <c:pt idx="34">
                  <c:v>38.399999999999885</c:v>
                </c:pt>
                <c:pt idx="35">
                  <c:v>35.999999999999886</c:v>
                </c:pt>
                <c:pt idx="36">
                  <c:v>33.599999999999888</c:v>
                </c:pt>
                <c:pt idx="37">
                  <c:v>31.199999999999889</c:v>
                </c:pt>
                <c:pt idx="38">
                  <c:v>28.799999999999891</c:v>
                </c:pt>
                <c:pt idx="39">
                  <c:v>26.399999999999892</c:v>
                </c:pt>
                <c:pt idx="40">
                  <c:v>23.999999999999893</c:v>
                </c:pt>
                <c:pt idx="41">
                  <c:v>21.599999999999895</c:v>
                </c:pt>
                <c:pt idx="42">
                  <c:v>19.199999999999896</c:v>
                </c:pt>
                <c:pt idx="43">
                  <c:v>16.799999999999898</c:v>
                </c:pt>
                <c:pt idx="44">
                  <c:v>14.399999999999897</c:v>
                </c:pt>
                <c:pt idx="45">
                  <c:v>11.999999999999897</c:v>
                </c:pt>
                <c:pt idx="46">
                  <c:v>9.5999999999998966</c:v>
                </c:pt>
                <c:pt idx="47">
                  <c:v>7.1999999999998963</c:v>
                </c:pt>
                <c:pt idx="48">
                  <c:v>4.7999999999998959</c:v>
                </c:pt>
                <c:pt idx="49">
                  <c:v>2.399999999999896</c:v>
                </c:pt>
                <c:pt idx="50">
                  <c:v>-1.0391687510491465E-13</c:v>
                </c:pt>
              </c:numCache>
            </c:numRef>
          </c:cat>
          <c:val>
            <c:numRef>
              <c:f>'3dGraph'!$AB$28:$AB$78</c:f>
              <c:numCache>
                <c:formatCode>General</c:formatCode>
                <c:ptCount val="51"/>
                <c:pt idx="0">
                  <c:v>80.772639999999981</c:v>
                </c:pt>
                <c:pt idx="1">
                  <c:v>81.390342400000023</c:v>
                </c:pt>
                <c:pt idx="2">
                  <c:v>81.98546560000004</c:v>
                </c:pt>
                <c:pt idx="3">
                  <c:v>82.558009600000005</c:v>
                </c:pt>
                <c:pt idx="4">
                  <c:v>83.107974400000032</c:v>
                </c:pt>
                <c:pt idx="5">
                  <c:v>83.635359999999991</c:v>
                </c:pt>
                <c:pt idx="6">
                  <c:v>84.140166400000012</c:v>
                </c:pt>
                <c:pt idx="7">
                  <c:v>84.622393600000038</c:v>
                </c:pt>
                <c:pt idx="8">
                  <c:v>85.082041599999997</c:v>
                </c:pt>
                <c:pt idx="9">
                  <c:v>85.519110400000031</c:v>
                </c:pt>
                <c:pt idx="10">
                  <c:v>85.933599999999998</c:v>
                </c:pt>
                <c:pt idx="11">
                  <c:v>86.325510400000013</c:v>
                </c:pt>
                <c:pt idx="12">
                  <c:v>86.694841600000032</c:v>
                </c:pt>
                <c:pt idx="13">
                  <c:v>87.041593599999999</c:v>
                </c:pt>
                <c:pt idx="14">
                  <c:v>87.365766400000012</c:v>
                </c:pt>
                <c:pt idx="15">
                  <c:v>87.667360000000031</c:v>
                </c:pt>
                <c:pt idx="16">
                  <c:v>87.946374399999996</c:v>
                </c:pt>
                <c:pt idx="17">
                  <c:v>88.202809600000037</c:v>
                </c:pt>
                <c:pt idx="18">
                  <c:v>88.436665599999998</c:v>
                </c:pt>
                <c:pt idx="19">
                  <c:v>88.647942400000019</c:v>
                </c:pt>
                <c:pt idx="20">
                  <c:v>88.836640000000031</c:v>
                </c:pt>
                <c:pt idx="21">
                  <c:v>89.002758400000005</c:v>
                </c:pt>
                <c:pt idx="22">
                  <c:v>89.146297600000025</c:v>
                </c:pt>
                <c:pt idx="23">
                  <c:v>89.267257600000036</c:v>
                </c:pt>
                <c:pt idx="24">
                  <c:v>89.365638400000009</c:v>
                </c:pt>
                <c:pt idx="25">
                  <c:v>89.441440000000028</c:v>
                </c:pt>
                <c:pt idx="26">
                  <c:v>89.494662399999982</c:v>
                </c:pt>
                <c:pt idx="27">
                  <c:v>89.52530560000001</c:v>
                </c:pt>
                <c:pt idx="28">
                  <c:v>89.533369600000029</c:v>
                </c:pt>
                <c:pt idx="29">
                  <c:v>89.518854399999981</c:v>
                </c:pt>
                <c:pt idx="30">
                  <c:v>89.481759999999994</c:v>
                </c:pt>
                <c:pt idx="31">
                  <c:v>89.422086400000026</c:v>
                </c:pt>
                <c:pt idx="32">
                  <c:v>89.339833599999992</c:v>
                </c:pt>
                <c:pt idx="33">
                  <c:v>89.235001600000004</c:v>
                </c:pt>
                <c:pt idx="34">
                  <c:v>89.107590400000021</c:v>
                </c:pt>
                <c:pt idx="35">
                  <c:v>88.957599999999985</c:v>
                </c:pt>
                <c:pt idx="36">
                  <c:v>88.785030400000011</c:v>
                </c:pt>
                <c:pt idx="37">
                  <c:v>88.589881599999984</c:v>
                </c:pt>
                <c:pt idx="38">
                  <c:v>88.37215359999999</c:v>
                </c:pt>
                <c:pt idx="39">
                  <c:v>88.131846400000015</c:v>
                </c:pt>
                <c:pt idx="40">
                  <c:v>87.868959999999973</c:v>
                </c:pt>
                <c:pt idx="41">
                  <c:v>87.583494399999992</c:v>
                </c:pt>
                <c:pt idx="42">
                  <c:v>87.275449600000016</c:v>
                </c:pt>
                <c:pt idx="43">
                  <c:v>86.944825599999987</c:v>
                </c:pt>
                <c:pt idx="44">
                  <c:v>86.591622400000006</c:v>
                </c:pt>
                <c:pt idx="45">
                  <c:v>86.215840000000014</c:v>
                </c:pt>
                <c:pt idx="46">
                  <c:v>85.817478399999985</c:v>
                </c:pt>
                <c:pt idx="47">
                  <c:v>85.396537600000002</c:v>
                </c:pt>
                <c:pt idx="48">
                  <c:v>84.953017599999967</c:v>
                </c:pt>
                <c:pt idx="49">
                  <c:v>84.486918399999979</c:v>
                </c:pt>
                <c:pt idx="50">
                  <c:v>83.99824000000001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385A-43B2-9C9C-0FB310DD3FD5}"/>
            </c:ext>
          </c:extLst>
        </c:ser>
        <c:ser>
          <c:idx val="27"/>
          <c:order val="27"/>
          <c:tx>
            <c:strRef>
              <c:f>'3dGraph'!$AC$27</c:f>
              <c:strCache>
                <c:ptCount val="1"/>
                <c:pt idx="0">
                  <c:v>1540</c:v>
                </c:pt>
              </c:strCache>
            </c:strRef>
          </c:tx>
          <c:spPr>
            <a:solidFill>
              <a:srgbClr val="999933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'3dGraph'!$A$28:$A$78</c:f>
              <c:numCache>
                <c:formatCode>General</c:formatCode>
                <c:ptCount val="51"/>
                <c:pt idx="0">
                  <c:v>120</c:v>
                </c:pt>
                <c:pt idx="1">
                  <c:v>117.6</c:v>
                </c:pt>
                <c:pt idx="2">
                  <c:v>115.19999999999999</c:v>
                </c:pt>
                <c:pt idx="3">
                  <c:v>112.79999999999998</c:v>
                </c:pt>
                <c:pt idx="4">
                  <c:v>110.39999999999998</c:v>
                </c:pt>
                <c:pt idx="5">
                  <c:v>107.99999999999997</c:v>
                </c:pt>
                <c:pt idx="6">
                  <c:v>105.59999999999997</c:v>
                </c:pt>
                <c:pt idx="7">
                  <c:v>103.19999999999996</c:v>
                </c:pt>
                <c:pt idx="8">
                  <c:v>100.79999999999995</c:v>
                </c:pt>
                <c:pt idx="9">
                  <c:v>98.399999999999949</c:v>
                </c:pt>
                <c:pt idx="10">
                  <c:v>95.999999999999943</c:v>
                </c:pt>
                <c:pt idx="11">
                  <c:v>93.599999999999937</c:v>
                </c:pt>
                <c:pt idx="12">
                  <c:v>91.199999999999932</c:v>
                </c:pt>
                <c:pt idx="13">
                  <c:v>88.799999999999926</c:v>
                </c:pt>
                <c:pt idx="14">
                  <c:v>86.39999999999992</c:v>
                </c:pt>
                <c:pt idx="15">
                  <c:v>83.999999999999915</c:v>
                </c:pt>
                <c:pt idx="16">
                  <c:v>81.599999999999909</c:v>
                </c:pt>
                <c:pt idx="17">
                  <c:v>79.199999999999903</c:v>
                </c:pt>
                <c:pt idx="18">
                  <c:v>76.799999999999898</c:v>
                </c:pt>
                <c:pt idx="19">
                  <c:v>74.399999999999892</c:v>
                </c:pt>
                <c:pt idx="20">
                  <c:v>71.999999999999886</c:v>
                </c:pt>
                <c:pt idx="21">
                  <c:v>69.599999999999881</c:v>
                </c:pt>
                <c:pt idx="22">
                  <c:v>67.199999999999875</c:v>
                </c:pt>
                <c:pt idx="23">
                  <c:v>64.799999999999869</c:v>
                </c:pt>
                <c:pt idx="24">
                  <c:v>62.399999999999871</c:v>
                </c:pt>
                <c:pt idx="25">
                  <c:v>59.999999999999872</c:v>
                </c:pt>
                <c:pt idx="26">
                  <c:v>57.599999999999874</c:v>
                </c:pt>
                <c:pt idx="27">
                  <c:v>55.199999999999875</c:v>
                </c:pt>
                <c:pt idx="28">
                  <c:v>52.799999999999876</c:v>
                </c:pt>
                <c:pt idx="29">
                  <c:v>50.399999999999878</c:v>
                </c:pt>
                <c:pt idx="30">
                  <c:v>47.999999999999879</c:v>
                </c:pt>
                <c:pt idx="31">
                  <c:v>45.599999999999881</c:v>
                </c:pt>
                <c:pt idx="32">
                  <c:v>43.199999999999882</c:v>
                </c:pt>
                <c:pt idx="33">
                  <c:v>40.799999999999883</c:v>
                </c:pt>
                <c:pt idx="34">
                  <c:v>38.399999999999885</c:v>
                </c:pt>
                <c:pt idx="35">
                  <c:v>35.999999999999886</c:v>
                </c:pt>
                <c:pt idx="36">
                  <c:v>33.599999999999888</c:v>
                </c:pt>
                <c:pt idx="37">
                  <c:v>31.199999999999889</c:v>
                </c:pt>
                <c:pt idx="38">
                  <c:v>28.799999999999891</c:v>
                </c:pt>
                <c:pt idx="39">
                  <c:v>26.399999999999892</c:v>
                </c:pt>
                <c:pt idx="40">
                  <c:v>23.999999999999893</c:v>
                </c:pt>
                <c:pt idx="41">
                  <c:v>21.599999999999895</c:v>
                </c:pt>
                <c:pt idx="42">
                  <c:v>19.199999999999896</c:v>
                </c:pt>
                <c:pt idx="43">
                  <c:v>16.799999999999898</c:v>
                </c:pt>
                <c:pt idx="44">
                  <c:v>14.399999999999897</c:v>
                </c:pt>
                <c:pt idx="45">
                  <c:v>11.999999999999897</c:v>
                </c:pt>
                <c:pt idx="46">
                  <c:v>9.5999999999998966</c:v>
                </c:pt>
                <c:pt idx="47">
                  <c:v>7.1999999999998963</c:v>
                </c:pt>
                <c:pt idx="48">
                  <c:v>4.7999999999998959</c:v>
                </c:pt>
                <c:pt idx="49">
                  <c:v>2.399999999999896</c:v>
                </c:pt>
                <c:pt idx="50">
                  <c:v>-1.0391687510491465E-13</c:v>
                </c:pt>
              </c:numCache>
            </c:numRef>
          </c:cat>
          <c:val>
            <c:numRef>
              <c:f>'3dGraph'!$AC$28:$AC$78</c:f>
              <c:numCache>
                <c:formatCode>General</c:formatCode>
                <c:ptCount val="51"/>
                <c:pt idx="0">
                  <c:v>80.293760000000049</c:v>
                </c:pt>
                <c:pt idx="1">
                  <c:v>80.909494400000071</c:v>
                </c:pt>
                <c:pt idx="2">
                  <c:v>81.502649600000098</c:v>
                </c:pt>
                <c:pt idx="3">
                  <c:v>82.073225600000058</c:v>
                </c:pt>
                <c:pt idx="4">
                  <c:v>82.621222400000093</c:v>
                </c:pt>
                <c:pt idx="5">
                  <c:v>83.146640000000048</c:v>
                </c:pt>
                <c:pt idx="6">
                  <c:v>83.649478400000078</c:v>
                </c:pt>
                <c:pt idx="7">
                  <c:v>84.129737600000084</c:v>
                </c:pt>
                <c:pt idx="8">
                  <c:v>84.587417600000052</c:v>
                </c:pt>
                <c:pt idx="9">
                  <c:v>85.022518400000081</c:v>
                </c:pt>
                <c:pt idx="10">
                  <c:v>85.435040000000043</c:v>
                </c:pt>
                <c:pt idx="11">
                  <c:v>85.824982400000067</c:v>
                </c:pt>
                <c:pt idx="12">
                  <c:v>86.192345600000081</c:v>
                </c:pt>
                <c:pt idx="13">
                  <c:v>86.537129600000057</c:v>
                </c:pt>
                <c:pt idx="14">
                  <c:v>86.859334400000066</c:v>
                </c:pt>
                <c:pt idx="15">
                  <c:v>87.158960000000093</c:v>
                </c:pt>
                <c:pt idx="16">
                  <c:v>87.436006400000053</c:v>
                </c:pt>
                <c:pt idx="17">
                  <c:v>87.69047360000009</c:v>
                </c:pt>
                <c:pt idx="18">
                  <c:v>87.922361600000045</c:v>
                </c:pt>
                <c:pt idx="19">
                  <c:v>88.131670400000075</c:v>
                </c:pt>
                <c:pt idx="20">
                  <c:v>88.318400000000082</c:v>
                </c:pt>
                <c:pt idx="21">
                  <c:v>88.482550400000065</c:v>
                </c:pt>
                <c:pt idx="22">
                  <c:v>88.62412160000008</c:v>
                </c:pt>
                <c:pt idx="23">
                  <c:v>88.7431136000001</c:v>
                </c:pt>
                <c:pt idx="24">
                  <c:v>88.839526400000054</c:v>
                </c:pt>
                <c:pt idx="25">
                  <c:v>88.913360000000083</c:v>
                </c:pt>
                <c:pt idx="26">
                  <c:v>88.964614400000045</c:v>
                </c:pt>
                <c:pt idx="27">
                  <c:v>88.993289600000068</c:v>
                </c:pt>
                <c:pt idx="28">
                  <c:v>88.999385600000082</c:v>
                </c:pt>
                <c:pt idx="29">
                  <c:v>88.982902400000043</c:v>
                </c:pt>
                <c:pt idx="30">
                  <c:v>88.943840000000051</c:v>
                </c:pt>
                <c:pt idx="31">
                  <c:v>88.882198400000078</c:v>
                </c:pt>
                <c:pt idx="32">
                  <c:v>88.797977600000038</c:v>
                </c:pt>
                <c:pt idx="33">
                  <c:v>88.69117760000006</c:v>
                </c:pt>
                <c:pt idx="34">
                  <c:v>88.561798400000072</c:v>
                </c:pt>
                <c:pt idx="35">
                  <c:v>88.409840000000045</c:v>
                </c:pt>
                <c:pt idx="36">
                  <c:v>88.235302400000066</c:v>
                </c:pt>
                <c:pt idx="37">
                  <c:v>88.038185600000034</c:v>
                </c:pt>
                <c:pt idx="38">
                  <c:v>87.818489600000035</c:v>
                </c:pt>
                <c:pt idx="39">
                  <c:v>87.576214400000069</c:v>
                </c:pt>
                <c:pt idx="40">
                  <c:v>87.311360000000022</c:v>
                </c:pt>
                <c:pt idx="41">
                  <c:v>87.02392640000005</c:v>
                </c:pt>
                <c:pt idx="42">
                  <c:v>86.713913600000069</c:v>
                </c:pt>
                <c:pt idx="43">
                  <c:v>86.381321600000035</c:v>
                </c:pt>
                <c:pt idx="44">
                  <c:v>86.026150400000049</c:v>
                </c:pt>
                <c:pt idx="45">
                  <c:v>85.648400000000066</c:v>
                </c:pt>
                <c:pt idx="46">
                  <c:v>85.248070400000046</c:v>
                </c:pt>
                <c:pt idx="47">
                  <c:v>84.825161600000058</c:v>
                </c:pt>
                <c:pt idx="48">
                  <c:v>84.379673600000032</c:v>
                </c:pt>
                <c:pt idx="49">
                  <c:v>83.911606400000039</c:v>
                </c:pt>
                <c:pt idx="50">
                  <c:v>83.420960000000065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385A-43B2-9C9C-0FB310DD3FD5}"/>
            </c:ext>
          </c:extLst>
        </c:ser>
        <c:ser>
          <c:idx val="28"/>
          <c:order val="28"/>
          <c:tx>
            <c:strRef>
              <c:f>'3dGraph'!$AD$27</c:f>
              <c:strCache>
                <c:ptCount val="1"/>
                <c:pt idx="0">
                  <c:v>1560</c:v>
                </c:pt>
              </c:strCache>
            </c:strRef>
          </c:tx>
          <c:spPr>
            <a:solidFill>
              <a:srgbClr val="996633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'3dGraph'!$A$28:$A$78</c:f>
              <c:numCache>
                <c:formatCode>General</c:formatCode>
                <c:ptCount val="51"/>
                <c:pt idx="0">
                  <c:v>120</c:v>
                </c:pt>
                <c:pt idx="1">
                  <c:v>117.6</c:v>
                </c:pt>
                <c:pt idx="2">
                  <c:v>115.19999999999999</c:v>
                </c:pt>
                <c:pt idx="3">
                  <c:v>112.79999999999998</c:v>
                </c:pt>
                <c:pt idx="4">
                  <c:v>110.39999999999998</c:v>
                </c:pt>
                <c:pt idx="5">
                  <c:v>107.99999999999997</c:v>
                </c:pt>
                <c:pt idx="6">
                  <c:v>105.59999999999997</c:v>
                </c:pt>
                <c:pt idx="7">
                  <c:v>103.19999999999996</c:v>
                </c:pt>
                <c:pt idx="8">
                  <c:v>100.79999999999995</c:v>
                </c:pt>
                <c:pt idx="9">
                  <c:v>98.399999999999949</c:v>
                </c:pt>
                <c:pt idx="10">
                  <c:v>95.999999999999943</c:v>
                </c:pt>
                <c:pt idx="11">
                  <c:v>93.599999999999937</c:v>
                </c:pt>
                <c:pt idx="12">
                  <c:v>91.199999999999932</c:v>
                </c:pt>
                <c:pt idx="13">
                  <c:v>88.799999999999926</c:v>
                </c:pt>
                <c:pt idx="14">
                  <c:v>86.39999999999992</c:v>
                </c:pt>
                <c:pt idx="15">
                  <c:v>83.999999999999915</c:v>
                </c:pt>
                <c:pt idx="16">
                  <c:v>81.599999999999909</c:v>
                </c:pt>
                <c:pt idx="17">
                  <c:v>79.199999999999903</c:v>
                </c:pt>
                <c:pt idx="18">
                  <c:v>76.799999999999898</c:v>
                </c:pt>
                <c:pt idx="19">
                  <c:v>74.399999999999892</c:v>
                </c:pt>
                <c:pt idx="20">
                  <c:v>71.999999999999886</c:v>
                </c:pt>
                <c:pt idx="21">
                  <c:v>69.599999999999881</c:v>
                </c:pt>
                <c:pt idx="22">
                  <c:v>67.199999999999875</c:v>
                </c:pt>
                <c:pt idx="23">
                  <c:v>64.799999999999869</c:v>
                </c:pt>
                <c:pt idx="24">
                  <c:v>62.399999999999871</c:v>
                </c:pt>
                <c:pt idx="25">
                  <c:v>59.999999999999872</c:v>
                </c:pt>
                <c:pt idx="26">
                  <c:v>57.599999999999874</c:v>
                </c:pt>
                <c:pt idx="27">
                  <c:v>55.199999999999875</c:v>
                </c:pt>
                <c:pt idx="28">
                  <c:v>52.799999999999876</c:v>
                </c:pt>
                <c:pt idx="29">
                  <c:v>50.399999999999878</c:v>
                </c:pt>
                <c:pt idx="30">
                  <c:v>47.999999999999879</c:v>
                </c:pt>
                <c:pt idx="31">
                  <c:v>45.599999999999881</c:v>
                </c:pt>
                <c:pt idx="32">
                  <c:v>43.199999999999882</c:v>
                </c:pt>
                <c:pt idx="33">
                  <c:v>40.799999999999883</c:v>
                </c:pt>
                <c:pt idx="34">
                  <c:v>38.399999999999885</c:v>
                </c:pt>
                <c:pt idx="35">
                  <c:v>35.999999999999886</c:v>
                </c:pt>
                <c:pt idx="36">
                  <c:v>33.599999999999888</c:v>
                </c:pt>
                <c:pt idx="37">
                  <c:v>31.199999999999889</c:v>
                </c:pt>
                <c:pt idx="38">
                  <c:v>28.799999999999891</c:v>
                </c:pt>
                <c:pt idx="39">
                  <c:v>26.399999999999892</c:v>
                </c:pt>
                <c:pt idx="40">
                  <c:v>23.999999999999893</c:v>
                </c:pt>
                <c:pt idx="41">
                  <c:v>21.599999999999895</c:v>
                </c:pt>
                <c:pt idx="42">
                  <c:v>19.199999999999896</c:v>
                </c:pt>
                <c:pt idx="43">
                  <c:v>16.799999999999898</c:v>
                </c:pt>
                <c:pt idx="44">
                  <c:v>14.399999999999897</c:v>
                </c:pt>
                <c:pt idx="45">
                  <c:v>11.999999999999897</c:v>
                </c:pt>
                <c:pt idx="46">
                  <c:v>9.5999999999998966</c:v>
                </c:pt>
                <c:pt idx="47">
                  <c:v>7.1999999999998963</c:v>
                </c:pt>
                <c:pt idx="48">
                  <c:v>4.7999999999998959</c:v>
                </c:pt>
                <c:pt idx="49">
                  <c:v>2.399999999999896</c:v>
                </c:pt>
                <c:pt idx="50">
                  <c:v>-1.0391687510491465E-13</c:v>
                </c:pt>
              </c:numCache>
            </c:numRef>
          </c:cat>
          <c:val>
            <c:numRef>
              <c:f>'3dGraph'!$AD$28:$AD$78</c:f>
              <c:numCache>
                <c:formatCode>General</c:formatCode>
                <c:ptCount val="51"/>
                <c:pt idx="0">
                  <c:v>79.739359999999976</c:v>
                </c:pt>
                <c:pt idx="1">
                  <c:v>80.353126400000008</c:v>
                </c:pt>
                <c:pt idx="2">
                  <c:v>80.944313600000015</c:v>
                </c:pt>
                <c:pt idx="3">
                  <c:v>81.512921599999984</c:v>
                </c:pt>
                <c:pt idx="4">
                  <c:v>82.058950400000015</c:v>
                </c:pt>
                <c:pt idx="5">
                  <c:v>82.582399999999978</c:v>
                </c:pt>
                <c:pt idx="6">
                  <c:v>83.083270400000004</c:v>
                </c:pt>
                <c:pt idx="7">
                  <c:v>83.561561600000033</c:v>
                </c:pt>
                <c:pt idx="8">
                  <c:v>84.017273599999996</c:v>
                </c:pt>
                <c:pt idx="9">
                  <c:v>84.450406400000006</c:v>
                </c:pt>
                <c:pt idx="10">
                  <c:v>84.860959999999977</c:v>
                </c:pt>
                <c:pt idx="11">
                  <c:v>85.248934399999996</c:v>
                </c:pt>
                <c:pt idx="12">
                  <c:v>85.614329600000019</c:v>
                </c:pt>
                <c:pt idx="13">
                  <c:v>85.95714559999999</c:v>
                </c:pt>
                <c:pt idx="14">
                  <c:v>86.277382399999993</c:v>
                </c:pt>
                <c:pt idx="15">
                  <c:v>86.57504000000003</c:v>
                </c:pt>
                <c:pt idx="16">
                  <c:v>86.850118399999985</c:v>
                </c:pt>
                <c:pt idx="17">
                  <c:v>87.102617600000016</c:v>
                </c:pt>
                <c:pt idx="18">
                  <c:v>87.332537599999981</c:v>
                </c:pt>
                <c:pt idx="19">
                  <c:v>87.539878400000006</c:v>
                </c:pt>
                <c:pt idx="20">
                  <c:v>87.724640000000022</c:v>
                </c:pt>
                <c:pt idx="21">
                  <c:v>87.886822399999971</c:v>
                </c:pt>
                <c:pt idx="22">
                  <c:v>88.02642560000001</c:v>
                </c:pt>
                <c:pt idx="23">
                  <c:v>88.143449600000025</c:v>
                </c:pt>
                <c:pt idx="24">
                  <c:v>88.237894399999988</c:v>
                </c:pt>
                <c:pt idx="25">
                  <c:v>88.309760000000011</c:v>
                </c:pt>
                <c:pt idx="26">
                  <c:v>88.359046399999983</c:v>
                </c:pt>
                <c:pt idx="27">
                  <c:v>88.385753600000001</c:v>
                </c:pt>
                <c:pt idx="28">
                  <c:v>88.38988160000001</c:v>
                </c:pt>
                <c:pt idx="29">
                  <c:v>88.371430399999966</c:v>
                </c:pt>
                <c:pt idx="30">
                  <c:v>88.330399999999983</c:v>
                </c:pt>
                <c:pt idx="31">
                  <c:v>88.266790400000005</c:v>
                </c:pt>
                <c:pt idx="32">
                  <c:v>88.180601599999974</c:v>
                </c:pt>
                <c:pt idx="33">
                  <c:v>88.071833599999991</c:v>
                </c:pt>
                <c:pt idx="34">
                  <c:v>87.940486400000012</c:v>
                </c:pt>
                <c:pt idx="35">
                  <c:v>87.78655999999998</c:v>
                </c:pt>
                <c:pt idx="36">
                  <c:v>87.610054399999996</c:v>
                </c:pt>
                <c:pt idx="37">
                  <c:v>87.410969599999959</c:v>
                </c:pt>
                <c:pt idx="38">
                  <c:v>87.189305599999969</c:v>
                </c:pt>
                <c:pt idx="39">
                  <c:v>86.945062399999998</c:v>
                </c:pt>
                <c:pt idx="40">
                  <c:v>86.67823999999996</c:v>
                </c:pt>
                <c:pt idx="41">
                  <c:v>86.388838399999983</c:v>
                </c:pt>
                <c:pt idx="42">
                  <c:v>86.076857600000011</c:v>
                </c:pt>
                <c:pt idx="43">
                  <c:v>85.742297599999958</c:v>
                </c:pt>
                <c:pt idx="44">
                  <c:v>85.38515839999998</c:v>
                </c:pt>
                <c:pt idx="45">
                  <c:v>85.005439999999993</c:v>
                </c:pt>
                <c:pt idx="46">
                  <c:v>84.603142399999967</c:v>
                </c:pt>
                <c:pt idx="47">
                  <c:v>84.178265599999989</c:v>
                </c:pt>
                <c:pt idx="48">
                  <c:v>83.730809599999958</c:v>
                </c:pt>
                <c:pt idx="49">
                  <c:v>83.260774399999974</c:v>
                </c:pt>
                <c:pt idx="50">
                  <c:v>82.768159999999995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385A-43B2-9C9C-0FB310DD3FD5}"/>
            </c:ext>
          </c:extLst>
        </c:ser>
        <c:ser>
          <c:idx val="29"/>
          <c:order val="29"/>
          <c:tx>
            <c:strRef>
              <c:f>'3dGraph'!$AE$27</c:f>
              <c:strCache>
                <c:ptCount val="1"/>
                <c:pt idx="0">
                  <c:v>1580</c:v>
                </c:pt>
              </c:strCache>
            </c:strRef>
          </c:tx>
          <c:spPr>
            <a:solidFill>
              <a:srgbClr val="996666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'3dGraph'!$A$28:$A$78</c:f>
              <c:numCache>
                <c:formatCode>General</c:formatCode>
                <c:ptCount val="51"/>
                <c:pt idx="0">
                  <c:v>120</c:v>
                </c:pt>
                <c:pt idx="1">
                  <c:v>117.6</c:v>
                </c:pt>
                <c:pt idx="2">
                  <c:v>115.19999999999999</c:v>
                </c:pt>
                <c:pt idx="3">
                  <c:v>112.79999999999998</c:v>
                </c:pt>
                <c:pt idx="4">
                  <c:v>110.39999999999998</c:v>
                </c:pt>
                <c:pt idx="5">
                  <c:v>107.99999999999997</c:v>
                </c:pt>
                <c:pt idx="6">
                  <c:v>105.59999999999997</c:v>
                </c:pt>
                <c:pt idx="7">
                  <c:v>103.19999999999996</c:v>
                </c:pt>
                <c:pt idx="8">
                  <c:v>100.79999999999995</c:v>
                </c:pt>
                <c:pt idx="9">
                  <c:v>98.399999999999949</c:v>
                </c:pt>
                <c:pt idx="10">
                  <c:v>95.999999999999943</c:v>
                </c:pt>
                <c:pt idx="11">
                  <c:v>93.599999999999937</c:v>
                </c:pt>
                <c:pt idx="12">
                  <c:v>91.199999999999932</c:v>
                </c:pt>
                <c:pt idx="13">
                  <c:v>88.799999999999926</c:v>
                </c:pt>
                <c:pt idx="14">
                  <c:v>86.39999999999992</c:v>
                </c:pt>
                <c:pt idx="15">
                  <c:v>83.999999999999915</c:v>
                </c:pt>
                <c:pt idx="16">
                  <c:v>81.599999999999909</c:v>
                </c:pt>
                <c:pt idx="17">
                  <c:v>79.199999999999903</c:v>
                </c:pt>
                <c:pt idx="18">
                  <c:v>76.799999999999898</c:v>
                </c:pt>
                <c:pt idx="19">
                  <c:v>74.399999999999892</c:v>
                </c:pt>
                <c:pt idx="20">
                  <c:v>71.999999999999886</c:v>
                </c:pt>
                <c:pt idx="21">
                  <c:v>69.599999999999881</c:v>
                </c:pt>
                <c:pt idx="22">
                  <c:v>67.199999999999875</c:v>
                </c:pt>
                <c:pt idx="23">
                  <c:v>64.799999999999869</c:v>
                </c:pt>
                <c:pt idx="24">
                  <c:v>62.399999999999871</c:v>
                </c:pt>
                <c:pt idx="25">
                  <c:v>59.999999999999872</c:v>
                </c:pt>
                <c:pt idx="26">
                  <c:v>57.599999999999874</c:v>
                </c:pt>
                <c:pt idx="27">
                  <c:v>55.199999999999875</c:v>
                </c:pt>
                <c:pt idx="28">
                  <c:v>52.799999999999876</c:v>
                </c:pt>
                <c:pt idx="29">
                  <c:v>50.399999999999878</c:v>
                </c:pt>
                <c:pt idx="30">
                  <c:v>47.999999999999879</c:v>
                </c:pt>
                <c:pt idx="31">
                  <c:v>45.599999999999881</c:v>
                </c:pt>
                <c:pt idx="32">
                  <c:v>43.199999999999882</c:v>
                </c:pt>
                <c:pt idx="33">
                  <c:v>40.799999999999883</c:v>
                </c:pt>
                <c:pt idx="34">
                  <c:v>38.399999999999885</c:v>
                </c:pt>
                <c:pt idx="35">
                  <c:v>35.999999999999886</c:v>
                </c:pt>
                <c:pt idx="36">
                  <c:v>33.599999999999888</c:v>
                </c:pt>
                <c:pt idx="37">
                  <c:v>31.199999999999889</c:v>
                </c:pt>
                <c:pt idx="38">
                  <c:v>28.799999999999891</c:v>
                </c:pt>
                <c:pt idx="39">
                  <c:v>26.399999999999892</c:v>
                </c:pt>
                <c:pt idx="40">
                  <c:v>23.999999999999893</c:v>
                </c:pt>
                <c:pt idx="41">
                  <c:v>21.599999999999895</c:v>
                </c:pt>
                <c:pt idx="42">
                  <c:v>19.199999999999896</c:v>
                </c:pt>
                <c:pt idx="43">
                  <c:v>16.799999999999898</c:v>
                </c:pt>
                <c:pt idx="44">
                  <c:v>14.399999999999897</c:v>
                </c:pt>
                <c:pt idx="45">
                  <c:v>11.999999999999897</c:v>
                </c:pt>
                <c:pt idx="46">
                  <c:v>9.5999999999998966</c:v>
                </c:pt>
                <c:pt idx="47">
                  <c:v>7.1999999999998963</c:v>
                </c:pt>
                <c:pt idx="48">
                  <c:v>4.7999999999998959</c:v>
                </c:pt>
                <c:pt idx="49">
                  <c:v>2.399999999999896</c:v>
                </c:pt>
                <c:pt idx="50">
                  <c:v>-1.0391687510491465E-13</c:v>
                </c:pt>
              </c:numCache>
            </c:numRef>
          </c:cat>
          <c:val>
            <c:numRef>
              <c:f>'3dGraph'!$AE$28:$AE$78</c:f>
              <c:numCache>
                <c:formatCode>General</c:formatCode>
                <c:ptCount val="51"/>
                <c:pt idx="0">
                  <c:v>79.109440000000006</c:v>
                </c:pt>
                <c:pt idx="1">
                  <c:v>79.721238400000033</c:v>
                </c:pt>
                <c:pt idx="2">
                  <c:v>80.310457600000049</c:v>
                </c:pt>
                <c:pt idx="3">
                  <c:v>80.877097600000027</c:v>
                </c:pt>
                <c:pt idx="4">
                  <c:v>81.421158400000053</c:v>
                </c:pt>
                <c:pt idx="5">
                  <c:v>81.942640000000011</c:v>
                </c:pt>
                <c:pt idx="6">
                  <c:v>82.441542400000031</c:v>
                </c:pt>
                <c:pt idx="7">
                  <c:v>82.917865600000056</c:v>
                </c:pt>
                <c:pt idx="8">
                  <c:v>83.371609600000014</c:v>
                </c:pt>
                <c:pt idx="9">
                  <c:v>83.802774400000047</c:v>
                </c:pt>
                <c:pt idx="10">
                  <c:v>84.211360000000013</c:v>
                </c:pt>
                <c:pt idx="11">
                  <c:v>84.597366400000027</c:v>
                </c:pt>
                <c:pt idx="12">
                  <c:v>84.960793600000045</c:v>
                </c:pt>
                <c:pt idx="13">
                  <c:v>85.301641600000011</c:v>
                </c:pt>
                <c:pt idx="14">
                  <c:v>85.619910400000037</c:v>
                </c:pt>
                <c:pt idx="15">
                  <c:v>85.915600000000069</c:v>
                </c:pt>
                <c:pt idx="16">
                  <c:v>86.188710400000019</c:v>
                </c:pt>
                <c:pt idx="17">
                  <c:v>86.439241600000045</c:v>
                </c:pt>
                <c:pt idx="18">
                  <c:v>86.667193600000004</c:v>
                </c:pt>
                <c:pt idx="19">
                  <c:v>86.872566400000039</c:v>
                </c:pt>
                <c:pt idx="20">
                  <c:v>87.05536000000005</c:v>
                </c:pt>
                <c:pt idx="21">
                  <c:v>87.215574400000008</c:v>
                </c:pt>
                <c:pt idx="22">
                  <c:v>87.353209600000042</c:v>
                </c:pt>
                <c:pt idx="23">
                  <c:v>87.468265600000052</c:v>
                </c:pt>
                <c:pt idx="24">
                  <c:v>87.560742400000024</c:v>
                </c:pt>
                <c:pt idx="25">
                  <c:v>87.630640000000042</c:v>
                </c:pt>
                <c:pt idx="26">
                  <c:v>87.677958399999994</c:v>
                </c:pt>
                <c:pt idx="27">
                  <c:v>87.702697600000022</c:v>
                </c:pt>
                <c:pt idx="28">
                  <c:v>87.704857600000054</c:v>
                </c:pt>
                <c:pt idx="29">
                  <c:v>87.684438400000005</c:v>
                </c:pt>
                <c:pt idx="30">
                  <c:v>87.641440000000017</c:v>
                </c:pt>
                <c:pt idx="31">
                  <c:v>87.575862400000034</c:v>
                </c:pt>
                <c:pt idx="32">
                  <c:v>87.487705599999998</c:v>
                </c:pt>
                <c:pt idx="33">
                  <c:v>87.376969600000024</c:v>
                </c:pt>
                <c:pt idx="34">
                  <c:v>87.24365440000004</c:v>
                </c:pt>
                <c:pt idx="35">
                  <c:v>87.087760000000003</c:v>
                </c:pt>
                <c:pt idx="36">
                  <c:v>86.909286400000028</c:v>
                </c:pt>
                <c:pt idx="37">
                  <c:v>86.7082336</c:v>
                </c:pt>
                <c:pt idx="38">
                  <c:v>86.484601600000005</c:v>
                </c:pt>
                <c:pt idx="39">
                  <c:v>86.238390400000029</c:v>
                </c:pt>
                <c:pt idx="40">
                  <c:v>85.969599999999986</c:v>
                </c:pt>
                <c:pt idx="41">
                  <c:v>85.678230400000018</c:v>
                </c:pt>
                <c:pt idx="42">
                  <c:v>85.364281600000041</c:v>
                </c:pt>
                <c:pt idx="43">
                  <c:v>85.027753599999997</c:v>
                </c:pt>
                <c:pt idx="44">
                  <c:v>84.668646400000014</c:v>
                </c:pt>
                <c:pt idx="45">
                  <c:v>84.286960000000022</c:v>
                </c:pt>
                <c:pt idx="46">
                  <c:v>83.882694400000005</c:v>
                </c:pt>
                <c:pt idx="47">
                  <c:v>83.455849600000022</c:v>
                </c:pt>
                <c:pt idx="48">
                  <c:v>83.006425599999986</c:v>
                </c:pt>
                <c:pt idx="49">
                  <c:v>82.534422399999997</c:v>
                </c:pt>
                <c:pt idx="50">
                  <c:v>82.039840000000027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385A-43B2-9C9C-0FB310DD3FD5}"/>
            </c:ext>
          </c:extLst>
        </c:ser>
        <c:ser>
          <c:idx val="30"/>
          <c:order val="30"/>
          <c:tx>
            <c:strRef>
              <c:f>'3dGraph'!$AF$27</c:f>
              <c:strCache>
                <c:ptCount val="1"/>
                <c:pt idx="0">
                  <c:v>1600</c:v>
                </c:pt>
              </c:strCache>
            </c:strRef>
          </c:tx>
          <c:spPr>
            <a:solidFill>
              <a:srgbClr val="666699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'3dGraph'!$A$28:$A$78</c:f>
              <c:numCache>
                <c:formatCode>General</c:formatCode>
                <c:ptCount val="51"/>
                <c:pt idx="0">
                  <c:v>120</c:v>
                </c:pt>
                <c:pt idx="1">
                  <c:v>117.6</c:v>
                </c:pt>
                <c:pt idx="2">
                  <c:v>115.19999999999999</c:v>
                </c:pt>
                <c:pt idx="3">
                  <c:v>112.79999999999998</c:v>
                </c:pt>
                <c:pt idx="4">
                  <c:v>110.39999999999998</c:v>
                </c:pt>
                <c:pt idx="5">
                  <c:v>107.99999999999997</c:v>
                </c:pt>
                <c:pt idx="6">
                  <c:v>105.59999999999997</c:v>
                </c:pt>
                <c:pt idx="7">
                  <c:v>103.19999999999996</c:v>
                </c:pt>
                <c:pt idx="8">
                  <c:v>100.79999999999995</c:v>
                </c:pt>
                <c:pt idx="9">
                  <c:v>98.399999999999949</c:v>
                </c:pt>
                <c:pt idx="10">
                  <c:v>95.999999999999943</c:v>
                </c:pt>
                <c:pt idx="11">
                  <c:v>93.599999999999937</c:v>
                </c:pt>
                <c:pt idx="12">
                  <c:v>91.199999999999932</c:v>
                </c:pt>
                <c:pt idx="13">
                  <c:v>88.799999999999926</c:v>
                </c:pt>
                <c:pt idx="14">
                  <c:v>86.39999999999992</c:v>
                </c:pt>
                <c:pt idx="15">
                  <c:v>83.999999999999915</c:v>
                </c:pt>
                <c:pt idx="16">
                  <c:v>81.599999999999909</c:v>
                </c:pt>
                <c:pt idx="17">
                  <c:v>79.199999999999903</c:v>
                </c:pt>
                <c:pt idx="18">
                  <c:v>76.799999999999898</c:v>
                </c:pt>
                <c:pt idx="19">
                  <c:v>74.399999999999892</c:v>
                </c:pt>
                <c:pt idx="20">
                  <c:v>71.999999999999886</c:v>
                </c:pt>
                <c:pt idx="21">
                  <c:v>69.599999999999881</c:v>
                </c:pt>
                <c:pt idx="22">
                  <c:v>67.199999999999875</c:v>
                </c:pt>
                <c:pt idx="23">
                  <c:v>64.799999999999869</c:v>
                </c:pt>
                <c:pt idx="24">
                  <c:v>62.399999999999871</c:v>
                </c:pt>
                <c:pt idx="25">
                  <c:v>59.999999999999872</c:v>
                </c:pt>
                <c:pt idx="26">
                  <c:v>57.599999999999874</c:v>
                </c:pt>
                <c:pt idx="27">
                  <c:v>55.199999999999875</c:v>
                </c:pt>
                <c:pt idx="28">
                  <c:v>52.799999999999876</c:v>
                </c:pt>
                <c:pt idx="29">
                  <c:v>50.399999999999878</c:v>
                </c:pt>
                <c:pt idx="30">
                  <c:v>47.999999999999879</c:v>
                </c:pt>
                <c:pt idx="31">
                  <c:v>45.599999999999881</c:v>
                </c:pt>
                <c:pt idx="32">
                  <c:v>43.199999999999882</c:v>
                </c:pt>
                <c:pt idx="33">
                  <c:v>40.799999999999883</c:v>
                </c:pt>
                <c:pt idx="34">
                  <c:v>38.399999999999885</c:v>
                </c:pt>
                <c:pt idx="35">
                  <c:v>35.999999999999886</c:v>
                </c:pt>
                <c:pt idx="36">
                  <c:v>33.599999999999888</c:v>
                </c:pt>
                <c:pt idx="37">
                  <c:v>31.199999999999889</c:v>
                </c:pt>
                <c:pt idx="38">
                  <c:v>28.799999999999891</c:v>
                </c:pt>
                <c:pt idx="39">
                  <c:v>26.399999999999892</c:v>
                </c:pt>
                <c:pt idx="40">
                  <c:v>23.999999999999893</c:v>
                </c:pt>
                <c:pt idx="41">
                  <c:v>21.599999999999895</c:v>
                </c:pt>
                <c:pt idx="42">
                  <c:v>19.199999999999896</c:v>
                </c:pt>
                <c:pt idx="43">
                  <c:v>16.799999999999898</c:v>
                </c:pt>
                <c:pt idx="44">
                  <c:v>14.399999999999897</c:v>
                </c:pt>
                <c:pt idx="45">
                  <c:v>11.999999999999897</c:v>
                </c:pt>
                <c:pt idx="46">
                  <c:v>9.5999999999998966</c:v>
                </c:pt>
                <c:pt idx="47">
                  <c:v>7.1999999999998963</c:v>
                </c:pt>
                <c:pt idx="48">
                  <c:v>4.7999999999998959</c:v>
                </c:pt>
                <c:pt idx="49">
                  <c:v>2.399999999999896</c:v>
                </c:pt>
                <c:pt idx="50">
                  <c:v>-1.0391687510491465E-13</c:v>
                </c:pt>
              </c:numCache>
            </c:numRef>
          </c:cat>
          <c:val>
            <c:numRef>
              <c:f>'3dGraph'!$AF$28:$AF$78</c:f>
              <c:numCache>
                <c:formatCode>General</c:formatCode>
                <c:ptCount val="51"/>
                <c:pt idx="0">
                  <c:v>78.40399999999994</c:v>
                </c:pt>
                <c:pt idx="1">
                  <c:v>79.013830399999975</c:v>
                </c:pt>
                <c:pt idx="2">
                  <c:v>79.601081599999986</c:v>
                </c:pt>
                <c:pt idx="3">
                  <c:v>80.16575359999996</c:v>
                </c:pt>
                <c:pt idx="4">
                  <c:v>80.70784639999998</c:v>
                </c:pt>
                <c:pt idx="5">
                  <c:v>81.227359999999948</c:v>
                </c:pt>
                <c:pt idx="6">
                  <c:v>81.724294399999962</c:v>
                </c:pt>
                <c:pt idx="7">
                  <c:v>82.198649599999982</c:v>
                </c:pt>
                <c:pt idx="8">
                  <c:v>82.650425599999963</c:v>
                </c:pt>
                <c:pt idx="9">
                  <c:v>83.079622399999977</c:v>
                </c:pt>
                <c:pt idx="10">
                  <c:v>83.486239999999952</c:v>
                </c:pt>
                <c:pt idx="11">
                  <c:v>83.870278399999961</c:v>
                </c:pt>
                <c:pt idx="12">
                  <c:v>84.231737599999988</c:v>
                </c:pt>
                <c:pt idx="13">
                  <c:v>84.570617599999949</c:v>
                </c:pt>
                <c:pt idx="14">
                  <c:v>84.886918399999971</c:v>
                </c:pt>
                <c:pt idx="15">
                  <c:v>85.180639999999983</c:v>
                </c:pt>
                <c:pt idx="16">
                  <c:v>85.451782399999956</c:v>
                </c:pt>
                <c:pt idx="17">
                  <c:v>85.700345599999977</c:v>
                </c:pt>
                <c:pt idx="18">
                  <c:v>85.926329599999946</c:v>
                </c:pt>
                <c:pt idx="19">
                  <c:v>86.129734399999975</c:v>
                </c:pt>
                <c:pt idx="20">
                  <c:v>86.310559999999981</c:v>
                </c:pt>
                <c:pt idx="21">
                  <c:v>86.468806399999949</c:v>
                </c:pt>
                <c:pt idx="22">
                  <c:v>86.604473599999977</c:v>
                </c:pt>
                <c:pt idx="23">
                  <c:v>86.717561599999996</c:v>
                </c:pt>
                <c:pt idx="24">
                  <c:v>86.808070399999949</c:v>
                </c:pt>
                <c:pt idx="25">
                  <c:v>86.875999999999976</c:v>
                </c:pt>
                <c:pt idx="26">
                  <c:v>86.921350399999938</c:v>
                </c:pt>
                <c:pt idx="27">
                  <c:v>86.94412159999996</c:v>
                </c:pt>
                <c:pt idx="28">
                  <c:v>86.944313599999987</c:v>
                </c:pt>
                <c:pt idx="29">
                  <c:v>86.921926399999933</c:v>
                </c:pt>
                <c:pt idx="30">
                  <c:v>86.876959999999954</c:v>
                </c:pt>
                <c:pt idx="31">
                  <c:v>86.809414399999966</c:v>
                </c:pt>
                <c:pt idx="32">
                  <c:v>86.719289599999939</c:v>
                </c:pt>
                <c:pt idx="33">
                  <c:v>86.60658559999996</c:v>
                </c:pt>
                <c:pt idx="34">
                  <c:v>86.471302399999971</c:v>
                </c:pt>
                <c:pt idx="35">
                  <c:v>86.313439999999943</c:v>
                </c:pt>
                <c:pt idx="36">
                  <c:v>86.132998399999963</c:v>
                </c:pt>
                <c:pt idx="37">
                  <c:v>85.92997759999993</c:v>
                </c:pt>
                <c:pt idx="38">
                  <c:v>85.704377599999944</c:v>
                </c:pt>
                <c:pt idx="39">
                  <c:v>85.456198399999963</c:v>
                </c:pt>
                <c:pt idx="40">
                  <c:v>85.185439999999929</c:v>
                </c:pt>
                <c:pt idx="41">
                  <c:v>84.892102399999942</c:v>
                </c:pt>
                <c:pt idx="42">
                  <c:v>84.576185599999974</c:v>
                </c:pt>
                <c:pt idx="43">
                  <c:v>84.237689599999925</c:v>
                </c:pt>
                <c:pt idx="44">
                  <c:v>83.876614399999951</c:v>
                </c:pt>
                <c:pt idx="45">
                  <c:v>83.492959999999968</c:v>
                </c:pt>
                <c:pt idx="46">
                  <c:v>83.086726399999932</c:v>
                </c:pt>
                <c:pt idx="47">
                  <c:v>82.657913599999958</c:v>
                </c:pt>
                <c:pt idx="48">
                  <c:v>82.206521599999917</c:v>
                </c:pt>
                <c:pt idx="49">
                  <c:v>81.732550399999937</c:v>
                </c:pt>
                <c:pt idx="50">
                  <c:v>81.235999999999962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385A-43B2-9C9C-0FB310DD3FD5}"/>
            </c:ext>
          </c:extLst>
        </c:ser>
        <c:ser>
          <c:idx val="31"/>
          <c:order val="31"/>
          <c:tx>
            <c:strRef>
              <c:f>'3dGraph'!$AG$27</c:f>
              <c:strCache>
                <c:ptCount val="1"/>
                <c:pt idx="0">
                  <c:v>1620</c:v>
                </c:pt>
              </c:strCache>
            </c:strRef>
          </c:tx>
          <c:spPr>
            <a:solidFill>
              <a:srgbClr val="969696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'3dGraph'!$A$28:$A$78</c:f>
              <c:numCache>
                <c:formatCode>General</c:formatCode>
                <c:ptCount val="51"/>
                <c:pt idx="0">
                  <c:v>120</c:v>
                </c:pt>
                <c:pt idx="1">
                  <c:v>117.6</c:v>
                </c:pt>
                <c:pt idx="2">
                  <c:v>115.19999999999999</c:v>
                </c:pt>
                <c:pt idx="3">
                  <c:v>112.79999999999998</c:v>
                </c:pt>
                <c:pt idx="4">
                  <c:v>110.39999999999998</c:v>
                </c:pt>
                <c:pt idx="5">
                  <c:v>107.99999999999997</c:v>
                </c:pt>
                <c:pt idx="6">
                  <c:v>105.59999999999997</c:v>
                </c:pt>
                <c:pt idx="7">
                  <c:v>103.19999999999996</c:v>
                </c:pt>
                <c:pt idx="8">
                  <c:v>100.79999999999995</c:v>
                </c:pt>
                <c:pt idx="9">
                  <c:v>98.399999999999949</c:v>
                </c:pt>
                <c:pt idx="10">
                  <c:v>95.999999999999943</c:v>
                </c:pt>
                <c:pt idx="11">
                  <c:v>93.599999999999937</c:v>
                </c:pt>
                <c:pt idx="12">
                  <c:v>91.199999999999932</c:v>
                </c:pt>
                <c:pt idx="13">
                  <c:v>88.799999999999926</c:v>
                </c:pt>
                <c:pt idx="14">
                  <c:v>86.39999999999992</c:v>
                </c:pt>
                <c:pt idx="15">
                  <c:v>83.999999999999915</c:v>
                </c:pt>
                <c:pt idx="16">
                  <c:v>81.599999999999909</c:v>
                </c:pt>
                <c:pt idx="17">
                  <c:v>79.199999999999903</c:v>
                </c:pt>
                <c:pt idx="18">
                  <c:v>76.799999999999898</c:v>
                </c:pt>
                <c:pt idx="19">
                  <c:v>74.399999999999892</c:v>
                </c:pt>
                <c:pt idx="20">
                  <c:v>71.999999999999886</c:v>
                </c:pt>
                <c:pt idx="21">
                  <c:v>69.599999999999881</c:v>
                </c:pt>
                <c:pt idx="22">
                  <c:v>67.199999999999875</c:v>
                </c:pt>
                <c:pt idx="23">
                  <c:v>64.799999999999869</c:v>
                </c:pt>
                <c:pt idx="24">
                  <c:v>62.399999999999871</c:v>
                </c:pt>
                <c:pt idx="25">
                  <c:v>59.999999999999872</c:v>
                </c:pt>
                <c:pt idx="26">
                  <c:v>57.599999999999874</c:v>
                </c:pt>
                <c:pt idx="27">
                  <c:v>55.199999999999875</c:v>
                </c:pt>
                <c:pt idx="28">
                  <c:v>52.799999999999876</c:v>
                </c:pt>
                <c:pt idx="29">
                  <c:v>50.399999999999878</c:v>
                </c:pt>
                <c:pt idx="30">
                  <c:v>47.999999999999879</c:v>
                </c:pt>
                <c:pt idx="31">
                  <c:v>45.599999999999881</c:v>
                </c:pt>
                <c:pt idx="32">
                  <c:v>43.199999999999882</c:v>
                </c:pt>
                <c:pt idx="33">
                  <c:v>40.799999999999883</c:v>
                </c:pt>
                <c:pt idx="34">
                  <c:v>38.399999999999885</c:v>
                </c:pt>
                <c:pt idx="35">
                  <c:v>35.999999999999886</c:v>
                </c:pt>
                <c:pt idx="36">
                  <c:v>33.599999999999888</c:v>
                </c:pt>
                <c:pt idx="37">
                  <c:v>31.199999999999889</c:v>
                </c:pt>
                <c:pt idx="38">
                  <c:v>28.799999999999891</c:v>
                </c:pt>
                <c:pt idx="39">
                  <c:v>26.399999999999892</c:v>
                </c:pt>
                <c:pt idx="40">
                  <c:v>23.999999999999893</c:v>
                </c:pt>
                <c:pt idx="41">
                  <c:v>21.599999999999895</c:v>
                </c:pt>
                <c:pt idx="42">
                  <c:v>19.199999999999896</c:v>
                </c:pt>
                <c:pt idx="43">
                  <c:v>16.799999999999898</c:v>
                </c:pt>
                <c:pt idx="44">
                  <c:v>14.399999999999897</c:v>
                </c:pt>
                <c:pt idx="45">
                  <c:v>11.999999999999897</c:v>
                </c:pt>
                <c:pt idx="46">
                  <c:v>9.5999999999998966</c:v>
                </c:pt>
                <c:pt idx="47">
                  <c:v>7.1999999999998963</c:v>
                </c:pt>
                <c:pt idx="48">
                  <c:v>4.7999999999998959</c:v>
                </c:pt>
                <c:pt idx="49">
                  <c:v>2.399999999999896</c:v>
                </c:pt>
                <c:pt idx="50">
                  <c:v>-1.0391687510491465E-13</c:v>
                </c:pt>
              </c:numCache>
            </c:numRef>
          </c:cat>
          <c:val>
            <c:numRef>
              <c:f>'3dGraph'!$AG$28:$AG$78</c:f>
              <c:numCache>
                <c:formatCode>General</c:formatCode>
                <c:ptCount val="51"/>
                <c:pt idx="0">
                  <c:v>77.623039999999975</c:v>
                </c:pt>
                <c:pt idx="1">
                  <c:v>78.230902400000005</c:v>
                </c:pt>
                <c:pt idx="2">
                  <c:v>78.816185600000026</c:v>
                </c:pt>
                <c:pt idx="3">
                  <c:v>79.378889599999994</c:v>
                </c:pt>
                <c:pt idx="4">
                  <c:v>79.919014400000023</c:v>
                </c:pt>
                <c:pt idx="5">
                  <c:v>80.436559999999986</c:v>
                </c:pt>
                <c:pt idx="6">
                  <c:v>80.93152640000001</c:v>
                </c:pt>
                <c:pt idx="7">
                  <c:v>81.403913600000038</c:v>
                </c:pt>
                <c:pt idx="8">
                  <c:v>81.853721599999986</c:v>
                </c:pt>
                <c:pt idx="9">
                  <c:v>82.280950400000009</c:v>
                </c:pt>
                <c:pt idx="10">
                  <c:v>82.68559999999998</c:v>
                </c:pt>
                <c:pt idx="11">
                  <c:v>83.067670399999997</c:v>
                </c:pt>
                <c:pt idx="12">
                  <c:v>83.427161600000019</c:v>
                </c:pt>
                <c:pt idx="13">
                  <c:v>83.764073599999989</c:v>
                </c:pt>
                <c:pt idx="14">
                  <c:v>84.078406400000006</c:v>
                </c:pt>
                <c:pt idx="15">
                  <c:v>84.370160000000027</c:v>
                </c:pt>
                <c:pt idx="16">
                  <c:v>84.639334399999996</c:v>
                </c:pt>
                <c:pt idx="17">
                  <c:v>84.885929600000026</c:v>
                </c:pt>
                <c:pt idx="18">
                  <c:v>85.109945599999989</c:v>
                </c:pt>
                <c:pt idx="19">
                  <c:v>85.311382399999999</c:v>
                </c:pt>
                <c:pt idx="20">
                  <c:v>85.490240000000014</c:v>
                </c:pt>
                <c:pt idx="21">
                  <c:v>85.646518399999991</c:v>
                </c:pt>
                <c:pt idx="22">
                  <c:v>85.780217600000014</c:v>
                </c:pt>
                <c:pt idx="23">
                  <c:v>85.891337600000028</c:v>
                </c:pt>
                <c:pt idx="24">
                  <c:v>85.97987839999999</c:v>
                </c:pt>
                <c:pt idx="25">
                  <c:v>86.045840000000013</c:v>
                </c:pt>
                <c:pt idx="26">
                  <c:v>86.089222399999983</c:v>
                </c:pt>
                <c:pt idx="27">
                  <c:v>86.1100256</c:v>
                </c:pt>
                <c:pt idx="28">
                  <c:v>86.108249600000022</c:v>
                </c:pt>
                <c:pt idx="29">
                  <c:v>86.083894399999977</c:v>
                </c:pt>
                <c:pt idx="30">
                  <c:v>86.036959999999993</c:v>
                </c:pt>
                <c:pt idx="31">
                  <c:v>85.967446400000014</c:v>
                </c:pt>
                <c:pt idx="32">
                  <c:v>85.875353599999983</c:v>
                </c:pt>
                <c:pt idx="33">
                  <c:v>85.760681599999998</c:v>
                </c:pt>
                <c:pt idx="34">
                  <c:v>85.623430400000004</c:v>
                </c:pt>
                <c:pt idx="35">
                  <c:v>85.463599999999971</c:v>
                </c:pt>
                <c:pt idx="36">
                  <c:v>85.2811904</c:v>
                </c:pt>
                <c:pt idx="37">
                  <c:v>85.076201599999962</c:v>
                </c:pt>
                <c:pt idx="38">
                  <c:v>84.848633599999971</c:v>
                </c:pt>
                <c:pt idx="39">
                  <c:v>84.598486399999999</c:v>
                </c:pt>
                <c:pt idx="40">
                  <c:v>84.32575999999996</c:v>
                </c:pt>
                <c:pt idx="41">
                  <c:v>84.030454399999982</c:v>
                </c:pt>
                <c:pt idx="42">
                  <c:v>83.712569600000009</c:v>
                </c:pt>
                <c:pt idx="43">
                  <c:v>83.372105599999969</c:v>
                </c:pt>
                <c:pt idx="44">
                  <c:v>83.009062399999991</c:v>
                </c:pt>
                <c:pt idx="45">
                  <c:v>82.623440000000002</c:v>
                </c:pt>
                <c:pt idx="46">
                  <c:v>82.215238399999976</c:v>
                </c:pt>
                <c:pt idx="47">
                  <c:v>81.784457599999996</c:v>
                </c:pt>
                <c:pt idx="48">
                  <c:v>81.331097599999964</c:v>
                </c:pt>
                <c:pt idx="49">
                  <c:v>80.855158399999979</c:v>
                </c:pt>
                <c:pt idx="50">
                  <c:v>80.356639999999999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385A-43B2-9C9C-0FB310DD3FD5}"/>
            </c:ext>
          </c:extLst>
        </c:ser>
        <c:ser>
          <c:idx val="32"/>
          <c:order val="32"/>
          <c:tx>
            <c:strRef>
              <c:f>'3dGraph'!$AH$27</c:f>
              <c:strCache>
                <c:ptCount val="1"/>
                <c:pt idx="0">
                  <c:v>1640</c:v>
                </c:pt>
              </c:strCache>
            </c:strRef>
          </c:tx>
          <c:spPr>
            <a:solidFill>
              <a:srgbClr val="3333CC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'3dGraph'!$A$28:$A$78</c:f>
              <c:numCache>
                <c:formatCode>General</c:formatCode>
                <c:ptCount val="51"/>
                <c:pt idx="0">
                  <c:v>120</c:v>
                </c:pt>
                <c:pt idx="1">
                  <c:v>117.6</c:v>
                </c:pt>
                <c:pt idx="2">
                  <c:v>115.19999999999999</c:v>
                </c:pt>
                <c:pt idx="3">
                  <c:v>112.79999999999998</c:v>
                </c:pt>
                <c:pt idx="4">
                  <c:v>110.39999999999998</c:v>
                </c:pt>
                <c:pt idx="5">
                  <c:v>107.99999999999997</c:v>
                </c:pt>
                <c:pt idx="6">
                  <c:v>105.59999999999997</c:v>
                </c:pt>
                <c:pt idx="7">
                  <c:v>103.19999999999996</c:v>
                </c:pt>
                <c:pt idx="8">
                  <c:v>100.79999999999995</c:v>
                </c:pt>
                <c:pt idx="9">
                  <c:v>98.399999999999949</c:v>
                </c:pt>
                <c:pt idx="10">
                  <c:v>95.999999999999943</c:v>
                </c:pt>
                <c:pt idx="11">
                  <c:v>93.599999999999937</c:v>
                </c:pt>
                <c:pt idx="12">
                  <c:v>91.199999999999932</c:v>
                </c:pt>
                <c:pt idx="13">
                  <c:v>88.799999999999926</c:v>
                </c:pt>
                <c:pt idx="14">
                  <c:v>86.39999999999992</c:v>
                </c:pt>
                <c:pt idx="15">
                  <c:v>83.999999999999915</c:v>
                </c:pt>
                <c:pt idx="16">
                  <c:v>81.599999999999909</c:v>
                </c:pt>
                <c:pt idx="17">
                  <c:v>79.199999999999903</c:v>
                </c:pt>
                <c:pt idx="18">
                  <c:v>76.799999999999898</c:v>
                </c:pt>
                <c:pt idx="19">
                  <c:v>74.399999999999892</c:v>
                </c:pt>
                <c:pt idx="20">
                  <c:v>71.999999999999886</c:v>
                </c:pt>
                <c:pt idx="21">
                  <c:v>69.599999999999881</c:v>
                </c:pt>
                <c:pt idx="22">
                  <c:v>67.199999999999875</c:v>
                </c:pt>
                <c:pt idx="23">
                  <c:v>64.799999999999869</c:v>
                </c:pt>
                <c:pt idx="24">
                  <c:v>62.399999999999871</c:v>
                </c:pt>
                <c:pt idx="25">
                  <c:v>59.999999999999872</c:v>
                </c:pt>
                <c:pt idx="26">
                  <c:v>57.599999999999874</c:v>
                </c:pt>
                <c:pt idx="27">
                  <c:v>55.199999999999875</c:v>
                </c:pt>
                <c:pt idx="28">
                  <c:v>52.799999999999876</c:v>
                </c:pt>
                <c:pt idx="29">
                  <c:v>50.399999999999878</c:v>
                </c:pt>
                <c:pt idx="30">
                  <c:v>47.999999999999879</c:v>
                </c:pt>
                <c:pt idx="31">
                  <c:v>45.599999999999881</c:v>
                </c:pt>
                <c:pt idx="32">
                  <c:v>43.199999999999882</c:v>
                </c:pt>
                <c:pt idx="33">
                  <c:v>40.799999999999883</c:v>
                </c:pt>
                <c:pt idx="34">
                  <c:v>38.399999999999885</c:v>
                </c:pt>
                <c:pt idx="35">
                  <c:v>35.999999999999886</c:v>
                </c:pt>
                <c:pt idx="36">
                  <c:v>33.599999999999888</c:v>
                </c:pt>
                <c:pt idx="37">
                  <c:v>31.199999999999889</c:v>
                </c:pt>
                <c:pt idx="38">
                  <c:v>28.799999999999891</c:v>
                </c:pt>
                <c:pt idx="39">
                  <c:v>26.399999999999892</c:v>
                </c:pt>
                <c:pt idx="40">
                  <c:v>23.999999999999893</c:v>
                </c:pt>
                <c:pt idx="41">
                  <c:v>21.599999999999895</c:v>
                </c:pt>
                <c:pt idx="42">
                  <c:v>19.199999999999896</c:v>
                </c:pt>
                <c:pt idx="43">
                  <c:v>16.799999999999898</c:v>
                </c:pt>
                <c:pt idx="44">
                  <c:v>14.399999999999897</c:v>
                </c:pt>
                <c:pt idx="45">
                  <c:v>11.999999999999897</c:v>
                </c:pt>
                <c:pt idx="46">
                  <c:v>9.5999999999998966</c:v>
                </c:pt>
                <c:pt idx="47">
                  <c:v>7.1999999999998963</c:v>
                </c:pt>
                <c:pt idx="48">
                  <c:v>4.7999999999998959</c:v>
                </c:pt>
                <c:pt idx="49">
                  <c:v>2.399999999999896</c:v>
                </c:pt>
                <c:pt idx="50">
                  <c:v>-1.0391687510491465E-13</c:v>
                </c:pt>
              </c:numCache>
            </c:numRef>
          </c:cat>
          <c:val>
            <c:numRef>
              <c:f>'3dGraph'!$AH$28:$AH$78</c:f>
              <c:numCache>
                <c:formatCode>General</c:formatCode>
                <c:ptCount val="51"/>
                <c:pt idx="0">
                  <c:v>76.766560000000027</c:v>
                </c:pt>
                <c:pt idx="1">
                  <c:v>77.372454400000052</c:v>
                </c:pt>
                <c:pt idx="2">
                  <c:v>77.955769600000082</c:v>
                </c:pt>
                <c:pt idx="3">
                  <c:v>78.516505600000045</c:v>
                </c:pt>
                <c:pt idx="4">
                  <c:v>79.054662400000069</c:v>
                </c:pt>
                <c:pt idx="5">
                  <c:v>79.570240000000041</c:v>
                </c:pt>
                <c:pt idx="6">
                  <c:v>80.06323840000006</c:v>
                </c:pt>
                <c:pt idx="7">
                  <c:v>80.533657600000083</c:v>
                </c:pt>
                <c:pt idx="8">
                  <c:v>80.98149760000004</c:v>
                </c:pt>
                <c:pt idx="9">
                  <c:v>81.406758400000072</c:v>
                </c:pt>
                <c:pt idx="10">
                  <c:v>81.809440000000038</c:v>
                </c:pt>
                <c:pt idx="11">
                  <c:v>82.18954240000005</c:v>
                </c:pt>
                <c:pt idx="12">
                  <c:v>82.547065600000067</c:v>
                </c:pt>
                <c:pt idx="13">
                  <c:v>82.882009600000046</c:v>
                </c:pt>
                <c:pt idx="14">
                  <c:v>83.194374400000058</c:v>
                </c:pt>
                <c:pt idx="15">
                  <c:v>83.484160000000088</c:v>
                </c:pt>
                <c:pt idx="16">
                  <c:v>83.751366400000052</c:v>
                </c:pt>
                <c:pt idx="17">
                  <c:v>83.995993600000077</c:v>
                </c:pt>
                <c:pt idx="18">
                  <c:v>84.218041600000035</c:v>
                </c:pt>
                <c:pt idx="19">
                  <c:v>84.417510400000054</c:v>
                </c:pt>
                <c:pt idx="20">
                  <c:v>84.594400000000078</c:v>
                </c:pt>
                <c:pt idx="21">
                  <c:v>84.74871040000005</c:v>
                </c:pt>
                <c:pt idx="22">
                  <c:v>84.880441600000069</c:v>
                </c:pt>
                <c:pt idx="23">
                  <c:v>84.989593600000077</c:v>
                </c:pt>
                <c:pt idx="24">
                  <c:v>85.076166400000048</c:v>
                </c:pt>
                <c:pt idx="25">
                  <c:v>85.140160000000066</c:v>
                </c:pt>
                <c:pt idx="26">
                  <c:v>85.181574400000017</c:v>
                </c:pt>
                <c:pt idx="27">
                  <c:v>85.200409600000057</c:v>
                </c:pt>
                <c:pt idx="28">
                  <c:v>85.196665600000074</c:v>
                </c:pt>
                <c:pt idx="29">
                  <c:v>85.170342400000024</c:v>
                </c:pt>
                <c:pt idx="30">
                  <c:v>85.12144000000005</c:v>
                </c:pt>
                <c:pt idx="31">
                  <c:v>85.049958400000065</c:v>
                </c:pt>
                <c:pt idx="32">
                  <c:v>84.955897600000029</c:v>
                </c:pt>
                <c:pt idx="33">
                  <c:v>84.839257600000039</c:v>
                </c:pt>
                <c:pt idx="34">
                  <c:v>84.700038400000068</c:v>
                </c:pt>
                <c:pt idx="35">
                  <c:v>84.53824000000003</c:v>
                </c:pt>
                <c:pt idx="36">
                  <c:v>84.353862400000054</c:v>
                </c:pt>
                <c:pt idx="37">
                  <c:v>84.146905600000025</c:v>
                </c:pt>
                <c:pt idx="38">
                  <c:v>83.917369600000029</c:v>
                </c:pt>
                <c:pt idx="39">
                  <c:v>83.665254400000052</c:v>
                </c:pt>
                <c:pt idx="40">
                  <c:v>83.390560000000022</c:v>
                </c:pt>
                <c:pt idx="41">
                  <c:v>83.093286400000039</c:v>
                </c:pt>
                <c:pt idx="42">
                  <c:v>82.773433600000061</c:v>
                </c:pt>
                <c:pt idx="43">
                  <c:v>82.431001600000016</c:v>
                </c:pt>
                <c:pt idx="44">
                  <c:v>82.065990400000047</c:v>
                </c:pt>
                <c:pt idx="45">
                  <c:v>81.678400000000053</c:v>
                </c:pt>
                <c:pt idx="46">
                  <c:v>81.268230400000022</c:v>
                </c:pt>
                <c:pt idx="47">
                  <c:v>80.835481600000051</c:v>
                </c:pt>
                <c:pt idx="48">
                  <c:v>80.380153600000014</c:v>
                </c:pt>
                <c:pt idx="49">
                  <c:v>79.902246400000024</c:v>
                </c:pt>
                <c:pt idx="50">
                  <c:v>79.401760000000053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385A-43B2-9C9C-0FB310DD3FD5}"/>
            </c:ext>
          </c:extLst>
        </c:ser>
        <c:ser>
          <c:idx val="33"/>
          <c:order val="33"/>
          <c:tx>
            <c:strRef>
              <c:f>'3dGraph'!$AI$27</c:f>
              <c:strCache>
                <c:ptCount val="1"/>
                <c:pt idx="0">
                  <c:v>1660</c:v>
                </c:pt>
              </c:strCache>
            </c:strRef>
          </c:tx>
          <c:spPr>
            <a:solidFill>
              <a:srgbClr val="336666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'3dGraph'!$A$28:$A$78</c:f>
              <c:numCache>
                <c:formatCode>General</c:formatCode>
                <c:ptCount val="51"/>
                <c:pt idx="0">
                  <c:v>120</c:v>
                </c:pt>
                <c:pt idx="1">
                  <c:v>117.6</c:v>
                </c:pt>
                <c:pt idx="2">
                  <c:v>115.19999999999999</c:v>
                </c:pt>
                <c:pt idx="3">
                  <c:v>112.79999999999998</c:v>
                </c:pt>
                <c:pt idx="4">
                  <c:v>110.39999999999998</c:v>
                </c:pt>
                <c:pt idx="5">
                  <c:v>107.99999999999997</c:v>
                </c:pt>
                <c:pt idx="6">
                  <c:v>105.59999999999997</c:v>
                </c:pt>
                <c:pt idx="7">
                  <c:v>103.19999999999996</c:v>
                </c:pt>
                <c:pt idx="8">
                  <c:v>100.79999999999995</c:v>
                </c:pt>
                <c:pt idx="9">
                  <c:v>98.399999999999949</c:v>
                </c:pt>
                <c:pt idx="10">
                  <c:v>95.999999999999943</c:v>
                </c:pt>
                <c:pt idx="11">
                  <c:v>93.599999999999937</c:v>
                </c:pt>
                <c:pt idx="12">
                  <c:v>91.199999999999932</c:v>
                </c:pt>
                <c:pt idx="13">
                  <c:v>88.799999999999926</c:v>
                </c:pt>
                <c:pt idx="14">
                  <c:v>86.39999999999992</c:v>
                </c:pt>
                <c:pt idx="15">
                  <c:v>83.999999999999915</c:v>
                </c:pt>
                <c:pt idx="16">
                  <c:v>81.599999999999909</c:v>
                </c:pt>
                <c:pt idx="17">
                  <c:v>79.199999999999903</c:v>
                </c:pt>
                <c:pt idx="18">
                  <c:v>76.799999999999898</c:v>
                </c:pt>
                <c:pt idx="19">
                  <c:v>74.399999999999892</c:v>
                </c:pt>
                <c:pt idx="20">
                  <c:v>71.999999999999886</c:v>
                </c:pt>
                <c:pt idx="21">
                  <c:v>69.599999999999881</c:v>
                </c:pt>
                <c:pt idx="22">
                  <c:v>67.199999999999875</c:v>
                </c:pt>
                <c:pt idx="23">
                  <c:v>64.799999999999869</c:v>
                </c:pt>
                <c:pt idx="24">
                  <c:v>62.399999999999871</c:v>
                </c:pt>
                <c:pt idx="25">
                  <c:v>59.999999999999872</c:v>
                </c:pt>
                <c:pt idx="26">
                  <c:v>57.599999999999874</c:v>
                </c:pt>
                <c:pt idx="27">
                  <c:v>55.199999999999875</c:v>
                </c:pt>
                <c:pt idx="28">
                  <c:v>52.799999999999876</c:v>
                </c:pt>
                <c:pt idx="29">
                  <c:v>50.399999999999878</c:v>
                </c:pt>
                <c:pt idx="30">
                  <c:v>47.999999999999879</c:v>
                </c:pt>
                <c:pt idx="31">
                  <c:v>45.599999999999881</c:v>
                </c:pt>
                <c:pt idx="32">
                  <c:v>43.199999999999882</c:v>
                </c:pt>
                <c:pt idx="33">
                  <c:v>40.799999999999883</c:v>
                </c:pt>
                <c:pt idx="34">
                  <c:v>38.399999999999885</c:v>
                </c:pt>
                <c:pt idx="35">
                  <c:v>35.999999999999886</c:v>
                </c:pt>
                <c:pt idx="36">
                  <c:v>33.599999999999888</c:v>
                </c:pt>
                <c:pt idx="37">
                  <c:v>31.199999999999889</c:v>
                </c:pt>
                <c:pt idx="38">
                  <c:v>28.799999999999891</c:v>
                </c:pt>
                <c:pt idx="39">
                  <c:v>26.399999999999892</c:v>
                </c:pt>
                <c:pt idx="40">
                  <c:v>23.999999999999893</c:v>
                </c:pt>
                <c:pt idx="41">
                  <c:v>21.599999999999895</c:v>
                </c:pt>
                <c:pt idx="42">
                  <c:v>19.199999999999896</c:v>
                </c:pt>
                <c:pt idx="43">
                  <c:v>16.799999999999898</c:v>
                </c:pt>
                <c:pt idx="44">
                  <c:v>14.399999999999897</c:v>
                </c:pt>
                <c:pt idx="45">
                  <c:v>11.999999999999897</c:v>
                </c:pt>
                <c:pt idx="46">
                  <c:v>9.5999999999998966</c:v>
                </c:pt>
                <c:pt idx="47">
                  <c:v>7.1999999999998963</c:v>
                </c:pt>
                <c:pt idx="48">
                  <c:v>4.7999999999998959</c:v>
                </c:pt>
                <c:pt idx="49">
                  <c:v>2.399999999999896</c:v>
                </c:pt>
                <c:pt idx="50">
                  <c:v>-1.0391687510491465E-13</c:v>
                </c:pt>
              </c:numCache>
            </c:numRef>
          </c:cat>
          <c:val>
            <c:numRef>
              <c:f>'3dGraph'!$AI$28:$AI$78</c:f>
              <c:numCache>
                <c:formatCode>General</c:formatCode>
                <c:ptCount val="51"/>
                <c:pt idx="0">
                  <c:v>75.834559999999954</c:v>
                </c:pt>
                <c:pt idx="1">
                  <c:v>76.438486399999988</c:v>
                </c:pt>
                <c:pt idx="2">
                  <c:v>77.019833600000013</c:v>
                </c:pt>
                <c:pt idx="3">
                  <c:v>77.578601599999971</c:v>
                </c:pt>
                <c:pt idx="4">
                  <c:v>78.114790400000004</c:v>
                </c:pt>
                <c:pt idx="5">
                  <c:v>78.628399999999971</c:v>
                </c:pt>
                <c:pt idx="6">
                  <c:v>79.119430399999985</c:v>
                </c:pt>
                <c:pt idx="7">
                  <c:v>79.587881600000003</c:v>
                </c:pt>
                <c:pt idx="8">
                  <c:v>80.033753599999969</c:v>
                </c:pt>
                <c:pt idx="9">
                  <c:v>80.457046399999996</c:v>
                </c:pt>
                <c:pt idx="10">
                  <c:v>80.857759999999971</c:v>
                </c:pt>
                <c:pt idx="11">
                  <c:v>81.235894399999978</c:v>
                </c:pt>
                <c:pt idx="12">
                  <c:v>81.591449600000004</c:v>
                </c:pt>
                <c:pt idx="13">
                  <c:v>81.924425599999964</c:v>
                </c:pt>
                <c:pt idx="14">
                  <c:v>82.234822399999985</c:v>
                </c:pt>
                <c:pt idx="15">
                  <c:v>82.522640000000024</c:v>
                </c:pt>
                <c:pt idx="16">
                  <c:v>82.787878399999968</c:v>
                </c:pt>
                <c:pt idx="17">
                  <c:v>83.030537600000002</c:v>
                </c:pt>
                <c:pt idx="18">
                  <c:v>83.25061759999997</c:v>
                </c:pt>
                <c:pt idx="19">
                  <c:v>83.448118399999984</c:v>
                </c:pt>
                <c:pt idx="20">
                  <c:v>83.623040000000003</c:v>
                </c:pt>
                <c:pt idx="21">
                  <c:v>83.775382399999984</c:v>
                </c:pt>
                <c:pt idx="22">
                  <c:v>83.905145599999997</c:v>
                </c:pt>
                <c:pt idx="23">
                  <c:v>84.012329600000015</c:v>
                </c:pt>
                <c:pt idx="24">
                  <c:v>84.096934399999967</c:v>
                </c:pt>
                <c:pt idx="25">
                  <c:v>84.158959999999993</c:v>
                </c:pt>
                <c:pt idx="26">
                  <c:v>84.198406399999953</c:v>
                </c:pt>
                <c:pt idx="27">
                  <c:v>84.215273599999975</c:v>
                </c:pt>
                <c:pt idx="28">
                  <c:v>84.209561600000001</c:v>
                </c:pt>
                <c:pt idx="29">
                  <c:v>84.18127039999996</c:v>
                </c:pt>
                <c:pt idx="30">
                  <c:v>84.130399999999966</c:v>
                </c:pt>
                <c:pt idx="31">
                  <c:v>84.056950399999991</c:v>
                </c:pt>
                <c:pt idx="32">
                  <c:v>83.960921599999963</c:v>
                </c:pt>
                <c:pt idx="33">
                  <c:v>83.842313599999969</c:v>
                </c:pt>
                <c:pt idx="34">
                  <c:v>83.701126399999993</c:v>
                </c:pt>
                <c:pt idx="35">
                  <c:v>83.537359999999964</c:v>
                </c:pt>
                <c:pt idx="36">
                  <c:v>83.351014399999983</c:v>
                </c:pt>
                <c:pt idx="37">
                  <c:v>83.142089599999949</c:v>
                </c:pt>
                <c:pt idx="38">
                  <c:v>82.910585599999962</c:v>
                </c:pt>
                <c:pt idx="39">
                  <c:v>82.65650239999998</c:v>
                </c:pt>
                <c:pt idx="40">
                  <c:v>82.379839999999945</c:v>
                </c:pt>
                <c:pt idx="41">
                  <c:v>82.080598399999971</c:v>
                </c:pt>
                <c:pt idx="42">
                  <c:v>81.758777599999988</c:v>
                </c:pt>
                <c:pt idx="43">
                  <c:v>81.414377599999952</c:v>
                </c:pt>
                <c:pt idx="44">
                  <c:v>81.047398399999977</c:v>
                </c:pt>
                <c:pt idx="45">
                  <c:v>80.657839999999979</c:v>
                </c:pt>
                <c:pt idx="46">
                  <c:v>80.245702399999956</c:v>
                </c:pt>
                <c:pt idx="47">
                  <c:v>79.810985599999981</c:v>
                </c:pt>
                <c:pt idx="48">
                  <c:v>79.353689599999939</c:v>
                </c:pt>
                <c:pt idx="49">
                  <c:v>78.873814399999958</c:v>
                </c:pt>
                <c:pt idx="50">
                  <c:v>78.371359999999981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385A-43B2-9C9C-0FB310DD3FD5}"/>
            </c:ext>
          </c:extLst>
        </c:ser>
        <c:ser>
          <c:idx val="34"/>
          <c:order val="34"/>
          <c:tx>
            <c:strRef>
              <c:f>'3dGraph'!$AJ$27</c:f>
              <c:strCache>
                <c:ptCount val="1"/>
                <c:pt idx="0">
                  <c:v>1680</c:v>
                </c:pt>
              </c:strCache>
            </c:strRef>
          </c:tx>
          <c:spPr>
            <a:solidFill>
              <a:srgbClr val="00330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'3dGraph'!$A$28:$A$78</c:f>
              <c:numCache>
                <c:formatCode>General</c:formatCode>
                <c:ptCount val="51"/>
                <c:pt idx="0">
                  <c:v>120</c:v>
                </c:pt>
                <c:pt idx="1">
                  <c:v>117.6</c:v>
                </c:pt>
                <c:pt idx="2">
                  <c:v>115.19999999999999</c:v>
                </c:pt>
                <c:pt idx="3">
                  <c:v>112.79999999999998</c:v>
                </c:pt>
                <c:pt idx="4">
                  <c:v>110.39999999999998</c:v>
                </c:pt>
                <c:pt idx="5">
                  <c:v>107.99999999999997</c:v>
                </c:pt>
                <c:pt idx="6">
                  <c:v>105.59999999999997</c:v>
                </c:pt>
                <c:pt idx="7">
                  <c:v>103.19999999999996</c:v>
                </c:pt>
                <c:pt idx="8">
                  <c:v>100.79999999999995</c:v>
                </c:pt>
                <c:pt idx="9">
                  <c:v>98.399999999999949</c:v>
                </c:pt>
                <c:pt idx="10">
                  <c:v>95.999999999999943</c:v>
                </c:pt>
                <c:pt idx="11">
                  <c:v>93.599999999999937</c:v>
                </c:pt>
                <c:pt idx="12">
                  <c:v>91.199999999999932</c:v>
                </c:pt>
                <c:pt idx="13">
                  <c:v>88.799999999999926</c:v>
                </c:pt>
                <c:pt idx="14">
                  <c:v>86.39999999999992</c:v>
                </c:pt>
                <c:pt idx="15">
                  <c:v>83.999999999999915</c:v>
                </c:pt>
                <c:pt idx="16">
                  <c:v>81.599999999999909</c:v>
                </c:pt>
                <c:pt idx="17">
                  <c:v>79.199999999999903</c:v>
                </c:pt>
                <c:pt idx="18">
                  <c:v>76.799999999999898</c:v>
                </c:pt>
                <c:pt idx="19">
                  <c:v>74.399999999999892</c:v>
                </c:pt>
                <c:pt idx="20">
                  <c:v>71.999999999999886</c:v>
                </c:pt>
                <c:pt idx="21">
                  <c:v>69.599999999999881</c:v>
                </c:pt>
                <c:pt idx="22">
                  <c:v>67.199999999999875</c:v>
                </c:pt>
                <c:pt idx="23">
                  <c:v>64.799999999999869</c:v>
                </c:pt>
                <c:pt idx="24">
                  <c:v>62.399999999999871</c:v>
                </c:pt>
                <c:pt idx="25">
                  <c:v>59.999999999999872</c:v>
                </c:pt>
                <c:pt idx="26">
                  <c:v>57.599999999999874</c:v>
                </c:pt>
                <c:pt idx="27">
                  <c:v>55.199999999999875</c:v>
                </c:pt>
                <c:pt idx="28">
                  <c:v>52.799999999999876</c:v>
                </c:pt>
                <c:pt idx="29">
                  <c:v>50.399999999999878</c:v>
                </c:pt>
                <c:pt idx="30">
                  <c:v>47.999999999999879</c:v>
                </c:pt>
                <c:pt idx="31">
                  <c:v>45.599999999999881</c:v>
                </c:pt>
                <c:pt idx="32">
                  <c:v>43.199999999999882</c:v>
                </c:pt>
                <c:pt idx="33">
                  <c:v>40.799999999999883</c:v>
                </c:pt>
                <c:pt idx="34">
                  <c:v>38.399999999999885</c:v>
                </c:pt>
                <c:pt idx="35">
                  <c:v>35.999999999999886</c:v>
                </c:pt>
                <c:pt idx="36">
                  <c:v>33.599999999999888</c:v>
                </c:pt>
                <c:pt idx="37">
                  <c:v>31.199999999999889</c:v>
                </c:pt>
                <c:pt idx="38">
                  <c:v>28.799999999999891</c:v>
                </c:pt>
                <c:pt idx="39">
                  <c:v>26.399999999999892</c:v>
                </c:pt>
                <c:pt idx="40">
                  <c:v>23.999999999999893</c:v>
                </c:pt>
                <c:pt idx="41">
                  <c:v>21.599999999999895</c:v>
                </c:pt>
                <c:pt idx="42">
                  <c:v>19.199999999999896</c:v>
                </c:pt>
                <c:pt idx="43">
                  <c:v>16.799999999999898</c:v>
                </c:pt>
                <c:pt idx="44">
                  <c:v>14.399999999999897</c:v>
                </c:pt>
                <c:pt idx="45">
                  <c:v>11.999999999999897</c:v>
                </c:pt>
                <c:pt idx="46">
                  <c:v>9.5999999999998966</c:v>
                </c:pt>
                <c:pt idx="47">
                  <c:v>7.1999999999998963</c:v>
                </c:pt>
                <c:pt idx="48">
                  <c:v>4.7999999999998959</c:v>
                </c:pt>
                <c:pt idx="49">
                  <c:v>2.399999999999896</c:v>
                </c:pt>
                <c:pt idx="50">
                  <c:v>-1.0391687510491465E-13</c:v>
                </c:pt>
              </c:numCache>
            </c:numRef>
          </c:cat>
          <c:val>
            <c:numRef>
              <c:f>'3dGraph'!$AJ$28:$AJ$78</c:f>
              <c:numCache>
                <c:formatCode>General</c:formatCode>
                <c:ptCount val="51"/>
                <c:pt idx="0">
                  <c:v>74.827039999999997</c:v>
                </c:pt>
                <c:pt idx="1">
                  <c:v>75.428998400000026</c:v>
                </c:pt>
                <c:pt idx="2">
                  <c:v>76.008377600000046</c:v>
                </c:pt>
                <c:pt idx="3">
                  <c:v>76.565177600000013</c:v>
                </c:pt>
                <c:pt idx="4">
                  <c:v>77.099398400000027</c:v>
                </c:pt>
                <c:pt idx="5">
                  <c:v>77.611039999999988</c:v>
                </c:pt>
                <c:pt idx="6">
                  <c:v>78.100102400000011</c:v>
                </c:pt>
                <c:pt idx="7">
                  <c:v>78.566585600000025</c:v>
                </c:pt>
                <c:pt idx="8">
                  <c:v>79.0104896</c:v>
                </c:pt>
                <c:pt idx="9">
                  <c:v>79.431814400000022</c:v>
                </c:pt>
                <c:pt idx="10">
                  <c:v>79.830559999999991</c:v>
                </c:pt>
                <c:pt idx="11">
                  <c:v>80.206726400000008</c:v>
                </c:pt>
                <c:pt idx="12">
                  <c:v>80.560313600000029</c:v>
                </c:pt>
                <c:pt idx="13">
                  <c:v>80.891321599999998</c:v>
                </c:pt>
                <c:pt idx="14">
                  <c:v>81.199750400000013</c:v>
                </c:pt>
                <c:pt idx="15">
                  <c:v>81.485600000000034</c:v>
                </c:pt>
                <c:pt idx="16">
                  <c:v>81.748870400000001</c:v>
                </c:pt>
                <c:pt idx="17">
                  <c:v>81.98956160000003</c:v>
                </c:pt>
                <c:pt idx="18">
                  <c:v>82.207673599999993</c:v>
                </c:pt>
                <c:pt idx="19">
                  <c:v>82.403206400000016</c:v>
                </c:pt>
                <c:pt idx="20">
                  <c:v>82.57616000000003</c:v>
                </c:pt>
                <c:pt idx="21">
                  <c:v>82.726534399999991</c:v>
                </c:pt>
                <c:pt idx="22">
                  <c:v>82.854329600000028</c:v>
                </c:pt>
                <c:pt idx="23">
                  <c:v>82.959545600000041</c:v>
                </c:pt>
                <c:pt idx="24">
                  <c:v>83.042182400000002</c:v>
                </c:pt>
                <c:pt idx="25">
                  <c:v>83.102240000000023</c:v>
                </c:pt>
                <c:pt idx="26">
                  <c:v>83.139718399999992</c:v>
                </c:pt>
                <c:pt idx="27">
                  <c:v>83.154617600000009</c:v>
                </c:pt>
                <c:pt idx="28">
                  <c:v>83.14693760000003</c:v>
                </c:pt>
                <c:pt idx="29">
                  <c:v>83.116678399999984</c:v>
                </c:pt>
                <c:pt idx="30">
                  <c:v>83.063839999999999</c:v>
                </c:pt>
                <c:pt idx="31">
                  <c:v>82.988422400000019</c:v>
                </c:pt>
                <c:pt idx="32">
                  <c:v>82.890425599999986</c:v>
                </c:pt>
                <c:pt idx="33">
                  <c:v>82.769849600000001</c:v>
                </c:pt>
                <c:pt idx="34">
                  <c:v>82.626694400000019</c:v>
                </c:pt>
                <c:pt idx="35">
                  <c:v>82.460959999999986</c:v>
                </c:pt>
                <c:pt idx="36">
                  <c:v>82.272646400000014</c:v>
                </c:pt>
                <c:pt idx="37">
                  <c:v>82.061753599999975</c:v>
                </c:pt>
                <c:pt idx="38">
                  <c:v>81.828281599999983</c:v>
                </c:pt>
                <c:pt idx="39">
                  <c:v>81.572230400000009</c:v>
                </c:pt>
                <c:pt idx="40">
                  <c:v>81.293599999999969</c:v>
                </c:pt>
                <c:pt idx="41">
                  <c:v>80.992390399999991</c:v>
                </c:pt>
                <c:pt idx="42">
                  <c:v>80.668601600000017</c:v>
                </c:pt>
                <c:pt idx="43">
                  <c:v>80.322233599999976</c:v>
                </c:pt>
                <c:pt idx="44">
                  <c:v>79.953286399999996</c:v>
                </c:pt>
                <c:pt idx="45">
                  <c:v>79.561760000000007</c:v>
                </c:pt>
                <c:pt idx="46">
                  <c:v>79.147654399999979</c:v>
                </c:pt>
                <c:pt idx="47">
                  <c:v>78.710969599999999</c:v>
                </c:pt>
                <c:pt idx="48">
                  <c:v>78.251705599999966</c:v>
                </c:pt>
                <c:pt idx="49">
                  <c:v>77.76986239999998</c:v>
                </c:pt>
                <c:pt idx="50">
                  <c:v>77.265439999999998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385A-43B2-9C9C-0FB310DD3FD5}"/>
            </c:ext>
          </c:extLst>
        </c:ser>
        <c:ser>
          <c:idx val="35"/>
          <c:order val="35"/>
          <c:tx>
            <c:strRef>
              <c:f>'3dGraph'!$AK$27</c:f>
              <c:strCache>
                <c:ptCount val="1"/>
                <c:pt idx="0">
                  <c:v>1700</c:v>
                </c:pt>
              </c:strCache>
            </c:strRef>
          </c:tx>
          <c:spPr>
            <a:solidFill>
              <a:srgbClr val="33330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'3dGraph'!$A$28:$A$78</c:f>
              <c:numCache>
                <c:formatCode>General</c:formatCode>
                <c:ptCount val="51"/>
                <c:pt idx="0">
                  <c:v>120</c:v>
                </c:pt>
                <c:pt idx="1">
                  <c:v>117.6</c:v>
                </c:pt>
                <c:pt idx="2">
                  <c:v>115.19999999999999</c:v>
                </c:pt>
                <c:pt idx="3">
                  <c:v>112.79999999999998</c:v>
                </c:pt>
                <c:pt idx="4">
                  <c:v>110.39999999999998</c:v>
                </c:pt>
                <c:pt idx="5">
                  <c:v>107.99999999999997</c:v>
                </c:pt>
                <c:pt idx="6">
                  <c:v>105.59999999999997</c:v>
                </c:pt>
                <c:pt idx="7">
                  <c:v>103.19999999999996</c:v>
                </c:pt>
                <c:pt idx="8">
                  <c:v>100.79999999999995</c:v>
                </c:pt>
                <c:pt idx="9">
                  <c:v>98.399999999999949</c:v>
                </c:pt>
                <c:pt idx="10">
                  <c:v>95.999999999999943</c:v>
                </c:pt>
                <c:pt idx="11">
                  <c:v>93.599999999999937</c:v>
                </c:pt>
                <c:pt idx="12">
                  <c:v>91.199999999999932</c:v>
                </c:pt>
                <c:pt idx="13">
                  <c:v>88.799999999999926</c:v>
                </c:pt>
                <c:pt idx="14">
                  <c:v>86.39999999999992</c:v>
                </c:pt>
                <c:pt idx="15">
                  <c:v>83.999999999999915</c:v>
                </c:pt>
                <c:pt idx="16">
                  <c:v>81.599999999999909</c:v>
                </c:pt>
                <c:pt idx="17">
                  <c:v>79.199999999999903</c:v>
                </c:pt>
                <c:pt idx="18">
                  <c:v>76.799999999999898</c:v>
                </c:pt>
                <c:pt idx="19">
                  <c:v>74.399999999999892</c:v>
                </c:pt>
                <c:pt idx="20">
                  <c:v>71.999999999999886</c:v>
                </c:pt>
                <c:pt idx="21">
                  <c:v>69.599999999999881</c:v>
                </c:pt>
                <c:pt idx="22">
                  <c:v>67.199999999999875</c:v>
                </c:pt>
                <c:pt idx="23">
                  <c:v>64.799999999999869</c:v>
                </c:pt>
                <c:pt idx="24">
                  <c:v>62.399999999999871</c:v>
                </c:pt>
                <c:pt idx="25">
                  <c:v>59.999999999999872</c:v>
                </c:pt>
                <c:pt idx="26">
                  <c:v>57.599999999999874</c:v>
                </c:pt>
                <c:pt idx="27">
                  <c:v>55.199999999999875</c:v>
                </c:pt>
                <c:pt idx="28">
                  <c:v>52.799999999999876</c:v>
                </c:pt>
                <c:pt idx="29">
                  <c:v>50.399999999999878</c:v>
                </c:pt>
                <c:pt idx="30">
                  <c:v>47.999999999999879</c:v>
                </c:pt>
                <c:pt idx="31">
                  <c:v>45.599999999999881</c:v>
                </c:pt>
                <c:pt idx="32">
                  <c:v>43.199999999999882</c:v>
                </c:pt>
                <c:pt idx="33">
                  <c:v>40.799999999999883</c:v>
                </c:pt>
                <c:pt idx="34">
                  <c:v>38.399999999999885</c:v>
                </c:pt>
                <c:pt idx="35">
                  <c:v>35.999999999999886</c:v>
                </c:pt>
                <c:pt idx="36">
                  <c:v>33.599999999999888</c:v>
                </c:pt>
                <c:pt idx="37">
                  <c:v>31.199999999999889</c:v>
                </c:pt>
                <c:pt idx="38">
                  <c:v>28.799999999999891</c:v>
                </c:pt>
                <c:pt idx="39">
                  <c:v>26.399999999999892</c:v>
                </c:pt>
                <c:pt idx="40">
                  <c:v>23.999999999999893</c:v>
                </c:pt>
                <c:pt idx="41">
                  <c:v>21.599999999999895</c:v>
                </c:pt>
                <c:pt idx="42">
                  <c:v>19.199999999999896</c:v>
                </c:pt>
                <c:pt idx="43">
                  <c:v>16.799999999999898</c:v>
                </c:pt>
                <c:pt idx="44">
                  <c:v>14.399999999999897</c:v>
                </c:pt>
                <c:pt idx="45">
                  <c:v>11.999999999999897</c:v>
                </c:pt>
                <c:pt idx="46">
                  <c:v>9.5999999999998966</c:v>
                </c:pt>
                <c:pt idx="47">
                  <c:v>7.1999999999998963</c:v>
                </c:pt>
                <c:pt idx="48">
                  <c:v>4.7999999999998959</c:v>
                </c:pt>
                <c:pt idx="49">
                  <c:v>2.399999999999896</c:v>
                </c:pt>
                <c:pt idx="50">
                  <c:v>-1.0391687510491465E-13</c:v>
                </c:pt>
              </c:numCache>
            </c:numRef>
          </c:cat>
          <c:val>
            <c:numRef>
              <c:f>'3dGraph'!$AK$28:$AK$78</c:f>
              <c:numCache>
                <c:formatCode>General</c:formatCode>
                <c:ptCount val="51"/>
                <c:pt idx="0">
                  <c:v>73.743999999999929</c:v>
                </c:pt>
                <c:pt idx="1">
                  <c:v>74.343990399999953</c:v>
                </c:pt>
                <c:pt idx="2">
                  <c:v>74.921401599999967</c:v>
                </c:pt>
                <c:pt idx="3">
                  <c:v>75.476233599999944</c:v>
                </c:pt>
                <c:pt idx="4">
                  <c:v>76.008486399999967</c:v>
                </c:pt>
                <c:pt idx="5">
                  <c:v>76.518159999999924</c:v>
                </c:pt>
                <c:pt idx="6">
                  <c:v>77.005254399999956</c:v>
                </c:pt>
                <c:pt idx="7">
                  <c:v>77.469769599999978</c:v>
                </c:pt>
                <c:pt idx="8">
                  <c:v>77.911705599999934</c:v>
                </c:pt>
                <c:pt idx="9">
                  <c:v>78.331062399999965</c:v>
                </c:pt>
                <c:pt idx="10">
                  <c:v>78.727839999999929</c:v>
                </c:pt>
                <c:pt idx="11">
                  <c:v>79.102038399999941</c:v>
                </c:pt>
                <c:pt idx="12">
                  <c:v>79.453657599999971</c:v>
                </c:pt>
                <c:pt idx="13">
                  <c:v>79.782697599999935</c:v>
                </c:pt>
                <c:pt idx="14">
                  <c:v>80.089158399999945</c:v>
                </c:pt>
                <c:pt idx="15">
                  <c:v>80.373039999999975</c:v>
                </c:pt>
                <c:pt idx="16">
                  <c:v>80.634342399999937</c:v>
                </c:pt>
                <c:pt idx="17">
                  <c:v>80.873065599999961</c:v>
                </c:pt>
                <c:pt idx="18">
                  <c:v>81.089209599999933</c:v>
                </c:pt>
                <c:pt idx="19">
                  <c:v>81.282774399999951</c:v>
                </c:pt>
                <c:pt idx="20">
                  <c:v>81.45375999999996</c:v>
                </c:pt>
                <c:pt idx="21">
                  <c:v>81.60216639999993</c:v>
                </c:pt>
                <c:pt idx="22">
                  <c:v>81.727993599999962</c:v>
                </c:pt>
                <c:pt idx="23">
                  <c:v>81.83124159999997</c:v>
                </c:pt>
                <c:pt idx="24">
                  <c:v>81.91191039999994</c:v>
                </c:pt>
                <c:pt idx="25">
                  <c:v>81.969999999999956</c:v>
                </c:pt>
                <c:pt idx="26">
                  <c:v>82.005510399999935</c:v>
                </c:pt>
                <c:pt idx="27">
                  <c:v>82.018441599999946</c:v>
                </c:pt>
                <c:pt idx="28">
                  <c:v>82.008793599999962</c:v>
                </c:pt>
                <c:pt idx="29">
                  <c:v>81.976566399999925</c:v>
                </c:pt>
                <c:pt idx="30">
                  <c:v>81.921759999999935</c:v>
                </c:pt>
                <c:pt idx="31">
                  <c:v>81.84437439999995</c:v>
                </c:pt>
                <c:pt idx="32">
                  <c:v>81.744409599999926</c:v>
                </c:pt>
                <c:pt idx="33">
                  <c:v>81.621865599999936</c:v>
                </c:pt>
                <c:pt idx="34">
                  <c:v>81.476742399999964</c:v>
                </c:pt>
                <c:pt idx="35">
                  <c:v>81.309039999999925</c:v>
                </c:pt>
                <c:pt idx="36">
                  <c:v>81.118758399999948</c:v>
                </c:pt>
                <c:pt idx="37">
                  <c:v>80.905897599999918</c:v>
                </c:pt>
                <c:pt idx="38">
                  <c:v>80.670457599999921</c:v>
                </c:pt>
                <c:pt idx="39">
                  <c:v>80.412438399999942</c:v>
                </c:pt>
                <c:pt idx="40">
                  <c:v>80.131839999999912</c:v>
                </c:pt>
                <c:pt idx="41">
                  <c:v>79.828662399999928</c:v>
                </c:pt>
                <c:pt idx="42">
                  <c:v>79.502905599999963</c:v>
                </c:pt>
                <c:pt idx="43">
                  <c:v>79.154569599999917</c:v>
                </c:pt>
                <c:pt idx="44">
                  <c:v>78.783654399999932</c:v>
                </c:pt>
                <c:pt idx="45">
                  <c:v>78.390159999999952</c:v>
                </c:pt>
                <c:pt idx="46">
                  <c:v>77.974086399999919</c:v>
                </c:pt>
                <c:pt idx="47">
                  <c:v>77.535433599999934</c:v>
                </c:pt>
                <c:pt idx="48">
                  <c:v>77.07420159999991</c:v>
                </c:pt>
                <c:pt idx="49">
                  <c:v>76.590390399999919</c:v>
                </c:pt>
                <c:pt idx="50">
                  <c:v>76.083999999999932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385A-43B2-9C9C-0FB310DD3FD5}"/>
            </c:ext>
          </c:extLst>
        </c:ser>
        <c:ser>
          <c:idx val="36"/>
          <c:order val="36"/>
          <c:tx>
            <c:strRef>
              <c:f>'3dGraph'!$AL$27</c:f>
              <c:strCache>
                <c:ptCount val="1"/>
                <c:pt idx="0">
                  <c:v>1720</c:v>
                </c:pt>
              </c:strCache>
            </c:strRef>
          </c:tx>
          <c:spPr>
            <a:solidFill>
              <a:srgbClr val="66330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'3dGraph'!$A$28:$A$78</c:f>
              <c:numCache>
                <c:formatCode>General</c:formatCode>
                <c:ptCount val="51"/>
                <c:pt idx="0">
                  <c:v>120</c:v>
                </c:pt>
                <c:pt idx="1">
                  <c:v>117.6</c:v>
                </c:pt>
                <c:pt idx="2">
                  <c:v>115.19999999999999</c:v>
                </c:pt>
                <c:pt idx="3">
                  <c:v>112.79999999999998</c:v>
                </c:pt>
                <c:pt idx="4">
                  <c:v>110.39999999999998</c:v>
                </c:pt>
                <c:pt idx="5">
                  <c:v>107.99999999999997</c:v>
                </c:pt>
                <c:pt idx="6">
                  <c:v>105.59999999999997</c:v>
                </c:pt>
                <c:pt idx="7">
                  <c:v>103.19999999999996</c:v>
                </c:pt>
                <c:pt idx="8">
                  <c:v>100.79999999999995</c:v>
                </c:pt>
                <c:pt idx="9">
                  <c:v>98.399999999999949</c:v>
                </c:pt>
                <c:pt idx="10">
                  <c:v>95.999999999999943</c:v>
                </c:pt>
                <c:pt idx="11">
                  <c:v>93.599999999999937</c:v>
                </c:pt>
                <c:pt idx="12">
                  <c:v>91.199999999999932</c:v>
                </c:pt>
                <c:pt idx="13">
                  <c:v>88.799999999999926</c:v>
                </c:pt>
                <c:pt idx="14">
                  <c:v>86.39999999999992</c:v>
                </c:pt>
                <c:pt idx="15">
                  <c:v>83.999999999999915</c:v>
                </c:pt>
                <c:pt idx="16">
                  <c:v>81.599999999999909</c:v>
                </c:pt>
                <c:pt idx="17">
                  <c:v>79.199999999999903</c:v>
                </c:pt>
                <c:pt idx="18">
                  <c:v>76.799999999999898</c:v>
                </c:pt>
                <c:pt idx="19">
                  <c:v>74.399999999999892</c:v>
                </c:pt>
                <c:pt idx="20">
                  <c:v>71.999999999999886</c:v>
                </c:pt>
                <c:pt idx="21">
                  <c:v>69.599999999999881</c:v>
                </c:pt>
                <c:pt idx="22">
                  <c:v>67.199999999999875</c:v>
                </c:pt>
                <c:pt idx="23">
                  <c:v>64.799999999999869</c:v>
                </c:pt>
                <c:pt idx="24">
                  <c:v>62.399999999999871</c:v>
                </c:pt>
                <c:pt idx="25">
                  <c:v>59.999999999999872</c:v>
                </c:pt>
                <c:pt idx="26">
                  <c:v>57.599999999999874</c:v>
                </c:pt>
                <c:pt idx="27">
                  <c:v>55.199999999999875</c:v>
                </c:pt>
                <c:pt idx="28">
                  <c:v>52.799999999999876</c:v>
                </c:pt>
                <c:pt idx="29">
                  <c:v>50.399999999999878</c:v>
                </c:pt>
                <c:pt idx="30">
                  <c:v>47.999999999999879</c:v>
                </c:pt>
                <c:pt idx="31">
                  <c:v>45.599999999999881</c:v>
                </c:pt>
                <c:pt idx="32">
                  <c:v>43.199999999999882</c:v>
                </c:pt>
                <c:pt idx="33">
                  <c:v>40.799999999999883</c:v>
                </c:pt>
                <c:pt idx="34">
                  <c:v>38.399999999999885</c:v>
                </c:pt>
                <c:pt idx="35">
                  <c:v>35.999999999999886</c:v>
                </c:pt>
                <c:pt idx="36">
                  <c:v>33.599999999999888</c:v>
                </c:pt>
                <c:pt idx="37">
                  <c:v>31.199999999999889</c:v>
                </c:pt>
                <c:pt idx="38">
                  <c:v>28.799999999999891</c:v>
                </c:pt>
                <c:pt idx="39">
                  <c:v>26.399999999999892</c:v>
                </c:pt>
                <c:pt idx="40">
                  <c:v>23.999999999999893</c:v>
                </c:pt>
                <c:pt idx="41">
                  <c:v>21.599999999999895</c:v>
                </c:pt>
                <c:pt idx="42">
                  <c:v>19.199999999999896</c:v>
                </c:pt>
                <c:pt idx="43">
                  <c:v>16.799999999999898</c:v>
                </c:pt>
                <c:pt idx="44">
                  <c:v>14.399999999999897</c:v>
                </c:pt>
                <c:pt idx="45">
                  <c:v>11.999999999999897</c:v>
                </c:pt>
                <c:pt idx="46">
                  <c:v>9.5999999999998966</c:v>
                </c:pt>
                <c:pt idx="47">
                  <c:v>7.1999999999998963</c:v>
                </c:pt>
                <c:pt idx="48">
                  <c:v>4.7999999999998959</c:v>
                </c:pt>
                <c:pt idx="49">
                  <c:v>2.399999999999896</c:v>
                </c:pt>
                <c:pt idx="50">
                  <c:v>-1.0391687510491465E-13</c:v>
                </c:pt>
              </c:numCache>
            </c:numRef>
          </c:cat>
          <c:val>
            <c:numRef>
              <c:f>'3dGraph'!$AL$28:$AL$78</c:f>
              <c:numCache>
                <c:formatCode>General</c:formatCode>
                <c:ptCount val="51"/>
                <c:pt idx="0">
                  <c:v>72.585439999999991</c:v>
                </c:pt>
                <c:pt idx="1">
                  <c:v>73.18346240000001</c:v>
                </c:pt>
                <c:pt idx="2">
                  <c:v>73.758905600000034</c:v>
                </c:pt>
                <c:pt idx="3">
                  <c:v>74.311769600000005</c:v>
                </c:pt>
                <c:pt idx="4">
                  <c:v>74.842054400000038</c:v>
                </c:pt>
                <c:pt idx="5">
                  <c:v>75.349759999999989</c:v>
                </c:pt>
                <c:pt idx="6">
                  <c:v>75.834886400000016</c:v>
                </c:pt>
                <c:pt idx="7">
                  <c:v>76.297433600000033</c:v>
                </c:pt>
                <c:pt idx="8">
                  <c:v>76.737401599999998</c:v>
                </c:pt>
                <c:pt idx="9">
                  <c:v>77.154790400000024</c:v>
                </c:pt>
                <c:pt idx="10">
                  <c:v>77.549599999999998</c:v>
                </c:pt>
                <c:pt idx="11">
                  <c:v>77.921830400000019</c:v>
                </c:pt>
                <c:pt idx="12">
                  <c:v>78.27148160000003</c:v>
                </c:pt>
                <c:pt idx="13">
                  <c:v>78.598553600000002</c:v>
                </c:pt>
                <c:pt idx="14">
                  <c:v>78.903046400000022</c:v>
                </c:pt>
                <c:pt idx="15">
                  <c:v>79.184960000000046</c:v>
                </c:pt>
                <c:pt idx="16">
                  <c:v>79.444294400000004</c:v>
                </c:pt>
                <c:pt idx="17">
                  <c:v>79.681049600000037</c:v>
                </c:pt>
                <c:pt idx="18">
                  <c:v>79.895225599999989</c:v>
                </c:pt>
                <c:pt idx="19">
                  <c:v>80.086822400000017</c:v>
                </c:pt>
                <c:pt idx="20">
                  <c:v>80.255840000000035</c:v>
                </c:pt>
                <c:pt idx="21">
                  <c:v>80.4022784</c:v>
                </c:pt>
                <c:pt idx="22">
                  <c:v>80.526137600000027</c:v>
                </c:pt>
                <c:pt idx="23">
                  <c:v>80.627417600000044</c:v>
                </c:pt>
                <c:pt idx="24">
                  <c:v>80.706118400000008</c:v>
                </c:pt>
                <c:pt idx="25">
                  <c:v>80.76224000000002</c:v>
                </c:pt>
                <c:pt idx="26">
                  <c:v>80.795782399999979</c:v>
                </c:pt>
                <c:pt idx="27">
                  <c:v>80.806745600000013</c:v>
                </c:pt>
                <c:pt idx="28">
                  <c:v>80.795129600000024</c:v>
                </c:pt>
                <c:pt idx="29">
                  <c:v>80.760934399999982</c:v>
                </c:pt>
                <c:pt idx="30">
                  <c:v>80.704160000000002</c:v>
                </c:pt>
                <c:pt idx="31">
                  <c:v>80.624806400000026</c:v>
                </c:pt>
                <c:pt idx="32">
                  <c:v>80.522873599999983</c:v>
                </c:pt>
                <c:pt idx="33">
                  <c:v>80.398361600000001</c:v>
                </c:pt>
                <c:pt idx="34">
                  <c:v>80.251270400000024</c:v>
                </c:pt>
                <c:pt idx="35">
                  <c:v>80.081599999999995</c:v>
                </c:pt>
                <c:pt idx="36">
                  <c:v>79.889350400000012</c:v>
                </c:pt>
                <c:pt idx="37">
                  <c:v>79.674521599999977</c:v>
                </c:pt>
                <c:pt idx="38">
                  <c:v>79.437113599999989</c:v>
                </c:pt>
                <c:pt idx="39">
                  <c:v>79.17712640000002</c:v>
                </c:pt>
                <c:pt idx="40">
                  <c:v>78.89455999999997</c:v>
                </c:pt>
                <c:pt idx="41">
                  <c:v>78.589414399999995</c:v>
                </c:pt>
                <c:pt idx="42">
                  <c:v>78.261689600000025</c:v>
                </c:pt>
                <c:pt idx="43">
                  <c:v>77.911385599999974</c:v>
                </c:pt>
                <c:pt idx="44">
                  <c:v>77.538502399999999</c:v>
                </c:pt>
                <c:pt idx="45">
                  <c:v>77.143040000000013</c:v>
                </c:pt>
                <c:pt idx="46">
                  <c:v>76.72499839999999</c:v>
                </c:pt>
                <c:pt idx="47">
                  <c:v>76.284377599999999</c:v>
                </c:pt>
                <c:pt idx="48">
                  <c:v>75.82117759999997</c:v>
                </c:pt>
                <c:pt idx="49">
                  <c:v>75.335398399999988</c:v>
                </c:pt>
                <c:pt idx="50">
                  <c:v>74.827039999999997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385A-43B2-9C9C-0FB310DD3FD5}"/>
            </c:ext>
          </c:extLst>
        </c:ser>
        <c:ser>
          <c:idx val="37"/>
          <c:order val="37"/>
          <c:tx>
            <c:strRef>
              <c:f>'3dGraph'!$AM$27</c:f>
              <c:strCache>
                <c:ptCount val="1"/>
                <c:pt idx="0">
                  <c:v>1740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'3dGraph'!$A$28:$A$78</c:f>
              <c:numCache>
                <c:formatCode>General</c:formatCode>
                <c:ptCount val="51"/>
                <c:pt idx="0">
                  <c:v>120</c:v>
                </c:pt>
                <c:pt idx="1">
                  <c:v>117.6</c:v>
                </c:pt>
                <c:pt idx="2">
                  <c:v>115.19999999999999</c:v>
                </c:pt>
                <c:pt idx="3">
                  <c:v>112.79999999999998</c:v>
                </c:pt>
                <c:pt idx="4">
                  <c:v>110.39999999999998</c:v>
                </c:pt>
                <c:pt idx="5">
                  <c:v>107.99999999999997</c:v>
                </c:pt>
                <c:pt idx="6">
                  <c:v>105.59999999999997</c:v>
                </c:pt>
                <c:pt idx="7">
                  <c:v>103.19999999999996</c:v>
                </c:pt>
                <c:pt idx="8">
                  <c:v>100.79999999999995</c:v>
                </c:pt>
                <c:pt idx="9">
                  <c:v>98.399999999999949</c:v>
                </c:pt>
                <c:pt idx="10">
                  <c:v>95.999999999999943</c:v>
                </c:pt>
                <c:pt idx="11">
                  <c:v>93.599999999999937</c:v>
                </c:pt>
                <c:pt idx="12">
                  <c:v>91.199999999999932</c:v>
                </c:pt>
                <c:pt idx="13">
                  <c:v>88.799999999999926</c:v>
                </c:pt>
                <c:pt idx="14">
                  <c:v>86.39999999999992</c:v>
                </c:pt>
                <c:pt idx="15">
                  <c:v>83.999999999999915</c:v>
                </c:pt>
                <c:pt idx="16">
                  <c:v>81.599999999999909</c:v>
                </c:pt>
                <c:pt idx="17">
                  <c:v>79.199999999999903</c:v>
                </c:pt>
                <c:pt idx="18">
                  <c:v>76.799999999999898</c:v>
                </c:pt>
                <c:pt idx="19">
                  <c:v>74.399999999999892</c:v>
                </c:pt>
                <c:pt idx="20">
                  <c:v>71.999999999999886</c:v>
                </c:pt>
                <c:pt idx="21">
                  <c:v>69.599999999999881</c:v>
                </c:pt>
                <c:pt idx="22">
                  <c:v>67.199999999999875</c:v>
                </c:pt>
                <c:pt idx="23">
                  <c:v>64.799999999999869</c:v>
                </c:pt>
                <c:pt idx="24">
                  <c:v>62.399999999999871</c:v>
                </c:pt>
                <c:pt idx="25">
                  <c:v>59.999999999999872</c:v>
                </c:pt>
                <c:pt idx="26">
                  <c:v>57.599999999999874</c:v>
                </c:pt>
                <c:pt idx="27">
                  <c:v>55.199999999999875</c:v>
                </c:pt>
                <c:pt idx="28">
                  <c:v>52.799999999999876</c:v>
                </c:pt>
                <c:pt idx="29">
                  <c:v>50.399999999999878</c:v>
                </c:pt>
                <c:pt idx="30">
                  <c:v>47.999999999999879</c:v>
                </c:pt>
                <c:pt idx="31">
                  <c:v>45.599999999999881</c:v>
                </c:pt>
                <c:pt idx="32">
                  <c:v>43.199999999999882</c:v>
                </c:pt>
                <c:pt idx="33">
                  <c:v>40.799999999999883</c:v>
                </c:pt>
                <c:pt idx="34">
                  <c:v>38.399999999999885</c:v>
                </c:pt>
                <c:pt idx="35">
                  <c:v>35.999999999999886</c:v>
                </c:pt>
                <c:pt idx="36">
                  <c:v>33.599999999999888</c:v>
                </c:pt>
                <c:pt idx="37">
                  <c:v>31.199999999999889</c:v>
                </c:pt>
                <c:pt idx="38">
                  <c:v>28.799999999999891</c:v>
                </c:pt>
                <c:pt idx="39">
                  <c:v>26.399999999999892</c:v>
                </c:pt>
                <c:pt idx="40">
                  <c:v>23.999999999999893</c:v>
                </c:pt>
                <c:pt idx="41">
                  <c:v>21.599999999999895</c:v>
                </c:pt>
                <c:pt idx="42">
                  <c:v>19.199999999999896</c:v>
                </c:pt>
                <c:pt idx="43">
                  <c:v>16.799999999999898</c:v>
                </c:pt>
                <c:pt idx="44">
                  <c:v>14.399999999999897</c:v>
                </c:pt>
                <c:pt idx="45">
                  <c:v>11.999999999999897</c:v>
                </c:pt>
                <c:pt idx="46">
                  <c:v>9.5999999999998966</c:v>
                </c:pt>
                <c:pt idx="47">
                  <c:v>7.1999999999998963</c:v>
                </c:pt>
                <c:pt idx="48">
                  <c:v>4.7999999999998959</c:v>
                </c:pt>
                <c:pt idx="49">
                  <c:v>2.399999999999896</c:v>
                </c:pt>
                <c:pt idx="50">
                  <c:v>-1.0391687510491465E-13</c:v>
                </c:pt>
              </c:numCache>
            </c:numRef>
          </c:cat>
          <c:val>
            <c:numRef>
              <c:f>'3dGraph'!$AM$28:$AM$78</c:f>
              <c:numCache>
                <c:formatCode>General</c:formatCode>
                <c:ptCount val="51"/>
                <c:pt idx="0">
                  <c:v>71.351360000000014</c:v>
                </c:pt>
                <c:pt idx="1">
                  <c:v>71.947414400000042</c:v>
                </c:pt>
                <c:pt idx="2">
                  <c:v>72.520889600000061</c:v>
                </c:pt>
                <c:pt idx="3">
                  <c:v>73.071785600000027</c:v>
                </c:pt>
                <c:pt idx="4">
                  <c:v>73.600102400000054</c:v>
                </c:pt>
                <c:pt idx="5">
                  <c:v>74.105840000000015</c:v>
                </c:pt>
                <c:pt idx="6">
                  <c:v>74.588998400000037</c:v>
                </c:pt>
                <c:pt idx="7">
                  <c:v>75.049577600000049</c:v>
                </c:pt>
                <c:pt idx="8">
                  <c:v>75.487577600000023</c:v>
                </c:pt>
                <c:pt idx="9">
                  <c:v>75.902998400000044</c:v>
                </c:pt>
                <c:pt idx="10">
                  <c:v>76.295840000000013</c:v>
                </c:pt>
                <c:pt idx="11">
                  <c:v>76.666102400000042</c:v>
                </c:pt>
                <c:pt idx="12">
                  <c:v>77.013785600000062</c:v>
                </c:pt>
                <c:pt idx="13">
                  <c:v>77.33888960000003</c:v>
                </c:pt>
                <c:pt idx="14">
                  <c:v>77.641414400000045</c:v>
                </c:pt>
                <c:pt idx="15">
                  <c:v>77.921360000000078</c:v>
                </c:pt>
                <c:pt idx="16">
                  <c:v>78.178726400000031</c:v>
                </c:pt>
                <c:pt idx="17">
                  <c:v>78.413513600000059</c:v>
                </c:pt>
                <c:pt idx="18">
                  <c:v>78.62572160000002</c:v>
                </c:pt>
                <c:pt idx="19">
                  <c:v>78.815350400000042</c:v>
                </c:pt>
                <c:pt idx="20">
                  <c:v>78.982400000000055</c:v>
                </c:pt>
                <c:pt idx="21">
                  <c:v>79.12687040000003</c:v>
                </c:pt>
                <c:pt idx="22">
                  <c:v>79.248761600000051</c:v>
                </c:pt>
                <c:pt idx="23">
                  <c:v>79.348073600000063</c:v>
                </c:pt>
                <c:pt idx="24">
                  <c:v>79.424806400000023</c:v>
                </c:pt>
                <c:pt idx="25">
                  <c:v>79.478960000000043</c:v>
                </c:pt>
                <c:pt idx="26">
                  <c:v>79.510534400000012</c:v>
                </c:pt>
                <c:pt idx="27">
                  <c:v>79.519529600000041</c:v>
                </c:pt>
                <c:pt idx="28">
                  <c:v>79.505945600000061</c:v>
                </c:pt>
                <c:pt idx="29">
                  <c:v>79.469782400000014</c:v>
                </c:pt>
                <c:pt idx="30">
                  <c:v>79.411040000000028</c:v>
                </c:pt>
                <c:pt idx="31">
                  <c:v>79.329718400000047</c:v>
                </c:pt>
                <c:pt idx="32">
                  <c:v>79.225817600000013</c:v>
                </c:pt>
                <c:pt idx="33">
                  <c:v>79.099337600000027</c:v>
                </c:pt>
                <c:pt idx="34">
                  <c:v>78.950278400000045</c:v>
                </c:pt>
                <c:pt idx="35">
                  <c:v>78.77864000000001</c:v>
                </c:pt>
                <c:pt idx="36">
                  <c:v>78.584422400000037</c:v>
                </c:pt>
                <c:pt idx="37">
                  <c:v>78.367625599999997</c:v>
                </c:pt>
                <c:pt idx="38">
                  <c:v>78.128249600000004</c:v>
                </c:pt>
                <c:pt idx="39">
                  <c:v>77.866294400000044</c:v>
                </c:pt>
                <c:pt idx="40">
                  <c:v>77.581760000000003</c:v>
                </c:pt>
                <c:pt idx="41">
                  <c:v>77.274646400000023</c:v>
                </c:pt>
                <c:pt idx="42">
                  <c:v>76.944953600000048</c:v>
                </c:pt>
                <c:pt idx="43">
                  <c:v>76.592681600000006</c:v>
                </c:pt>
                <c:pt idx="44">
                  <c:v>76.217830400000025</c:v>
                </c:pt>
                <c:pt idx="45">
                  <c:v>75.820400000000035</c:v>
                </c:pt>
                <c:pt idx="46">
                  <c:v>75.400390400000006</c:v>
                </c:pt>
                <c:pt idx="47">
                  <c:v>74.957801600000025</c:v>
                </c:pt>
                <c:pt idx="48">
                  <c:v>74.492633599999991</c:v>
                </c:pt>
                <c:pt idx="49">
                  <c:v>74.004886400000004</c:v>
                </c:pt>
                <c:pt idx="50">
                  <c:v>73.494560000000021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385A-43B2-9C9C-0FB310DD3FD5}"/>
            </c:ext>
          </c:extLst>
        </c:ser>
        <c:ser>
          <c:idx val="38"/>
          <c:order val="38"/>
          <c:tx>
            <c:strRef>
              <c:f>'3dGraph'!$AN$27</c:f>
              <c:strCache>
                <c:ptCount val="1"/>
                <c:pt idx="0">
                  <c:v>1760</c:v>
                </c:pt>
              </c:strCache>
            </c:strRef>
          </c:tx>
          <c:spPr>
            <a:solidFill>
              <a:srgbClr val="333399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'3dGraph'!$A$28:$A$78</c:f>
              <c:numCache>
                <c:formatCode>General</c:formatCode>
                <c:ptCount val="51"/>
                <c:pt idx="0">
                  <c:v>120</c:v>
                </c:pt>
                <c:pt idx="1">
                  <c:v>117.6</c:v>
                </c:pt>
                <c:pt idx="2">
                  <c:v>115.19999999999999</c:v>
                </c:pt>
                <c:pt idx="3">
                  <c:v>112.79999999999998</c:v>
                </c:pt>
                <c:pt idx="4">
                  <c:v>110.39999999999998</c:v>
                </c:pt>
                <c:pt idx="5">
                  <c:v>107.99999999999997</c:v>
                </c:pt>
                <c:pt idx="6">
                  <c:v>105.59999999999997</c:v>
                </c:pt>
                <c:pt idx="7">
                  <c:v>103.19999999999996</c:v>
                </c:pt>
                <c:pt idx="8">
                  <c:v>100.79999999999995</c:v>
                </c:pt>
                <c:pt idx="9">
                  <c:v>98.399999999999949</c:v>
                </c:pt>
                <c:pt idx="10">
                  <c:v>95.999999999999943</c:v>
                </c:pt>
                <c:pt idx="11">
                  <c:v>93.599999999999937</c:v>
                </c:pt>
                <c:pt idx="12">
                  <c:v>91.199999999999932</c:v>
                </c:pt>
                <c:pt idx="13">
                  <c:v>88.799999999999926</c:v>
                </c:pt>
                <c:pt idx="14">
                  <c:v>86.39999999999992</c:v>
                </c:pt>
                <c:pt idx="15">
                  <c:v>83.999999999999915</c:v>
                </c:pt>
                <c:pt idx="16">
                  <c:v>81.599999999999909</c:v>
                </c:pt>
                <c:pt idx="17">
                  <c:v>79.199999999999903</c:v>
                </c:pt>
                <c:pt idx="18">
                  <c:v>76.799999999999898</c:v>
                </c:pt>
                <c:pt idx="19">
                  <c:v>74.399999999999892</c:v>
                </c:pt>
                <c:pt idx="20">
                  <c:v>71.999999999999886</c:v>
                </c:pt>
                <c:pt idx="21">
                  <c:v>69.599999999999881</c:v>
                </c:pt>
                <c:pt idx="22">
                  <c:v>67.199999999999875</c:v>
                </c:pt>
                <c:pt idx="23">
                  <c:v>64.799999999999869</c:v>
                </c:pt>
                <c:pt idx="24">
                  <c:v>62.399999999999871</c:v>
                </c:pt>
                <c:pt idx="25">
                  <c:v>59.999999999999872</c:v>
                </c:pt>
                <c:pt idx="26">
                  <c:v>57.599999999999874</c:v>
                </c:pt>
                <c:pt idx="27">
                  <c:v>55.199999999999875</c:v>
                </c:pt>
                <c:pt idx="28">
                  <c:v>52.799999999999876</c:v>
                </c:pt>
                <c:pt idx="29">
                  <c:v>50.399999999999878</c:v>
                </c:pt>
                <c:pt idx="30">
                  <c:v>47.999999999999879</c:v>
                </c:pt>
                <c:pt idx="31">
                  <c:v>45.599999999999881</c:v>
                </c:pt>
                <c:pt idx="32">
                  <c:v>43.199999999999882</c:v>
                </c:pt>
                <c:pt idx="33">
                  <c:v>40.799999999999883</c:v>
                </c:pt>
                <c:pt idx="34">
                  <c:v>38.399999999999885</c:v>
                </c:pt>
                <c:pt idx="35">
                  <c:v>35.999999999999886</c:v>
                </c:pt>
                <c:pt idx="36">
                  <c:v>33.599999999999888</c:v>
                </c:pt>
                <c:pt idx="37">
                  <c:v>31.199999999999889</c:v>
                </c:pt>
                <c:pt idx="38">
                  <c:v>28.799999999999891</c:v>
                </c:pt>
                <c:pt idx="39">
                  <c:v>26.399999999999892</c:v>
                </c:pt>
                <c:pt idx="40">
                  <c:v>23.999999999999893</c:v>
                </c:pt>
                <c:pt idx="41">
                  <c:v>21.599999999999895</c:v>
                </c:pt>
                <c:pt idx="42">
                  <c:v>19.199999999999896</c:v>
                </c:pt>
                <c:pt idx="43">
                  <c:v>16.799999999999898</c:v>
                </c:pt>
                <c:pt idx="44">
                  <c:v>14.399999999999897</c:v>
                </c:pt>
                <c:pt idx="45">
                  <c:v>11.999999999999897</c:v>
                </c:pt>
                <c:pt idx="46">
                  <c:v>9.5999999999998966</c:v>
                </c:pt>
                <c:pt idx="47">
                  <c:v>7.1999999999998963</c:v>
                </c:pt>
                <c:pt idx="48">
                  <c:v>4.7999999999998959</c:v>
                </c:pt>
                <c:pt idx="49">
                  <c:v>2.399999999999896</c:v>
                </c:pt>
                <c:pt idx="50">
                  <c:v>-1.0391687510491465E-13</c:v>
                </c:pt>
              </c:numCache>
            </c:numRef>
          </c:cat>
          <c:val>
            <c:numRef>
              <c:f>'3dGraph'!$AN$28:$AN$78</c:f>
              <c:numCache>
                <c:formatCode>General</c:formatCode>
                <c:ptCount val="51"/>
                <c:pt idx="0">
                  <c:v>70.04175999999994</c:v>
                </c:pt>
                <c:pt idx="1">
                  <c:v>70.635846399999977</c:v>
                </c:pt>
                <c:pt idx="2">
                  <c:v>71.20735359999999</c:v>
                </c:pt>
                <c:pt idx="3">
                  <c:v>71.756281599999951</c:v>
                </c:pt>
                <c:pt idx="4">
                  <c:v>72.282630399999988</c:v>
                </c:pt>
                <c:pt idx="5">
                  <c:v>72.786399999999944</c:v>
                </c:pt>
                <c:pt idx="6">
                  <c:v>73.267590399999975</c:v>
                </c:pt>
                <c:pt idx="7">
                  <c:v>73.726201599999996</c:v>
                </c:pt>
                <c:pt idx="8">
                  <c:v>74.162233599999951</c:v>
                </c:pt>
                <c:pt idx="9">
                  <c:v>74.575686399999981</c:v>
                </c:pt>
                <c:pt idx="10">
                  <c:v>74.966559999999944</c:v>
                </c:pt>
                <c:pt idx="11">
                  <c:v>75.334854399999969</c:v>
                </c:pt>
                <c:pt idx="12">
                  <c:v>75.680569599999984</c:v>
                </c:pt>
                <c:pt idx="13">
                  <c:v>76.003705599999947</c:v>
                </c:pt>
                <c:pt idx="14">
                  <c:v>76.304262399999971</c:v>
                </c:pt>
                <c:pt idx="15">
                  <c:v>76.582239999999985</c:v>
                </c:pt>
                <c:pt idx="16">
                  <c:v>76.83763839999996</c:v>
                </c:pt>
                <c:pt idx="17">
                  <c:v>77.070457599999983</c:v>
                </c:pt>
                <c:pt idx="18">
                  <c:v>77.280697599999954</c:v>
                </c:pt>
                <c:pt idx="19">
                  <c:v>77.468358399999971</c:v>
                </c:pt>
                <c:pt idx="20">
                  <c:v>77.633439999999979</c:v>
                </c:pt>
                <c:pt idx="21">
                  <c:v>77.775942399999963</c:v>
                </c:pt>
                <c:pt idx="22">
                  <c:v>77.895865599999979</c:v>
                </c:pt>
                <c:pt idx="23">
                  <c:v>77.993209599999986</c:v>
                </c:pt>
                <c:pt idx="24">
                  <c:v>78.067974399999954</c:v>
                </c:pt>
                <c:pt idx="25">
                  <c:v>78.12015999999997</c:v>
                </c:pt>
                <c:pt idx="26">
                  <c:v>78.149766399999947</c:v>
                </c:pt>
                <c:pt idx="27">
                  <c:v>78.156793599999958</c:v>
                </c:pt>
                <c:pt idx="28">
                  <c:v>78.141241599999987</c:v>
                </c:pt>
                <c:pt idx="29">
                  <c:v>78.103110399999935</c:v>
                </c:pt>
                <c:pt idx="30">
                  <c:v>78.042399999999958</c:v>
                </c:pt>
                <c:pt idx="31">
                  <c:v>77.959110399999972</c:v>
                </c:pt>
                <c:pt idx="32">
                  <c:v>77.853241599999947</c:v>
                </c:pt>
                <c:pt idx="33">
                  <c:v>77.724793599999956</c:v>
                </c:pt>
                <c:pt idx="34">
                  <c:v>77.573766399999968</c:v>
                </c:pt>
                <c:pt idx="35">
                  <c:v>77.400159999999943</c:v>
                </c:pt>
                <c:pt idx="36">
                  <c:v>77.203974399999964</c:v>
                </c:pt>
                <c:pt idx="37">
                  <c:v>76.985209599999934</c:v>
                </c:pt>
                <c:pt idx="38">
                  <c:v>76.743865599999936</c:v>
                </c:pt>
                <c:pt idx="39">
                  <c:v>76.47994239999997</c:v>
                </c:pt>
                <c:pt idx="40">
                  <c:v>76.193439999999924</c:v>
                </c:pt>
                <c:pt idx="41">
                  <c:v>75.884358399999954</c:v>
                </c:pt>
                <c:pt idx="42">
                  <c:v>75.552697599999973</c:v>
                </c:pt>
                <c:pt idx="43">
                  <c:v>75.198457599999927</c:v>
                </c:pt>
                <c:pt idx="44">
                  <c:v>74.821638399999955</c:v>
                </c:pt>
                <c:pt idx="45">
                  <c:v>74.42223999999996</c:v>
                </c:pt>
                <c:pt idx="46">
                  <c:v>74.00026239999994</c:v>
                </c:pt>
                <c:pt idx="47">
                  <c:v>73.555705599999953</c:v>
                </c:pt>
                <c:pt idx="48">
                  <c:v>73.088569599999929</c:v>
                </c:pt>
                <c:pt idx="49">
                  <c:v>72.598854399999937</c:v>
                </c:pt>
                <c:pt idx="50">
                  <c:v>72.086559999999949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385A-43B2-9C9C-0FB310DD3FD5}"/>
            </c:ext>
          </c:extLst>
        </c:ser>
        <c:ser>
          <c:idx val="39"/>
          <c:order val="39"/>
          <c:tx>
            <c:strRef>
              <c:f>'3dGraph'!$AO$27</c:f>
              <c:strCache>
                <c:ptCount val="1"/>
                <c:pt idx="0">
                  <c:v>1780</c:v>
                </c:pt>
              </c:strCache>
            </c:strRef>
          </c:tx>
          <c:spPr>
            <a:solidFill>
              <a:srgbClr val="424242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'3dGraph'!$A$28:$A$78</c:f>
              <c:numCache>
                <c:formatCode>General</c:formatCode>
                <c:ptCount val="51"/>
                <c:pt idx="0">
                  <c:v>120</c:v>
                </c:pt>
                <c:pt idx="1">
                  <c:v>117.6</c:v>
                </c:pt>
                <c:pt idx="2">
                  <c:v>115.19999999999999</c:v>
                </c:pt>
                <c:pt idx="3">
                  <c:v>112.79999999999998</c:v>
                </c:pt>
                <c:pt idx="4">
                  <c:v>110.39999999999998</c:v>
                </c:pt>
                <c:pt idx="5">
                  <c:v>107.99999999999997</c:v>
                </c:pt>
                <c:pt idx="6">
                  <c:v>105.59999999999997</c:v>
                </c:pt>
                <c:pt idx="7">
                  <c:v>103.19999999999996</c:v>
                </c:pt>
                <c:pt idx="8">
                  <c:v>100.79999999999995</c:v>
                </c:pt>
                <c:pt idx="9">
                  <c:v>98.399999999999949</c:v>
                </c:pt>
                <c:pt idx="10">
                  <c:v>95.999999999999943</c:v>
                </c:pt>
                <c:pt idx="11">
                  <c:v>93.599999999999937</c:v>
                </c:pt>
                <c:pt idx="12">
                  <c:v>91.199999999999932</c:v>
                </c:pt>
                <c:pt idx="13">
                  <c:v>88.799999999999926</c:v>
                </c:pt>
                <c:pt idx="14">
                  <c:v>86.39999999999992</c:v>
                </c:pt>
                <c:pt idx="15">
                  <c:v>83.999999999999915</c:v>
                </c:pt>
                <c:pt idx="16">
                  <c:v>81.599999999999909</c:v>
                </c:pt>
                <c:pt idx="17">
                  <c:v>79.199999999999903</c:v>
                </c:pt>
                <c:pt idx="18">
                  <c:v>76.799999999999898</c:v>
                </c:pt>
                <c:pt idx="19">
                  <c:v>74.399999999999892</c:v>
                </c:pt>
                <c:pt idx="20">
                  <c:v>71.999999999999886</c:v>
                </c:pt>
                <c:pt idx="21">
                  <c:v>69.599999999999881</c:v>
                </c:pt>
                <c:pt idx="22">
                  <c:v>67.199999999999875</c:v>
                </c:pt>
                <c:pt idx="23">
                  <c:v>64.799999999999869</c:v>
                </c:pt>
                <c:pt idx="24">
                  <c:v>62.399999999999871</c:v>
                </c:pt>
                <c:pt idx="25">
                  <c:v>59.999999999999872</c:v>
                </c:pt>
                <c:pt idx="26">
                  <c:v>57.599999999999874</c:v>
                </c:pt>
                <c:pt idx="27">
                  <c:v>55.199999999999875</c:v>
                </c:pt>
                <c:pt idx="28">
                  <c:v>52.799999999999876</c:v>
                </c:pt>
                <c:pt idx="29">
                  <c:v>50.399999999999878</c:v>
                </c:pt>
                <c:pt idx="30">
                  <c:v>47.999999999999879</c:v>
                </c:pt>
                <c:pt idx="31">
                  <c:v>45.599999999999881</c:v>
                </c:pt>
                <c:pt idx="32">
                  <c:v>43.199999999999882</c:v>
                </c:pt>
                <c:pt idx="33">
                  <c:v>40.799999999999883</c:v>
                </c:pt>
                <c:pt idx="34">
                  <c:v>38.399999999999885</c:v>
                </c:pt>
                <c:pt idx="35">
                  <c:v>35.999999999999886</c:v>
                </c:pt>
                <c:pt idx="36">
                  <c:v>33.599999999999888</c:v>
                </c:pt>
                <c:pt idx="37">
                  <c:v>31.199999999999889</c:v>
                </c:pt>
                <c:pt idx="38">
                  <c:v>28.799999999999891</c:v>
                </c:pt>
                <c:pt idx="39">
                  <c:v>26.399999999999892</c:v>
                </c:pt>
                <c:pt idx="40">
                  <c:v>23.999999999999893</c:v>
                </c:pt>
                <c:pt idx="41">
                  <c:v>21.599999999999895</c:v>
                </c:pt>
                <c:pt idx="42">
                  <c:v>19.199999999999896</c:v>
                </c:pt>
                <c:pt idx="43">
                  <c:v>16.799999999999898</c:v>
                </c:pt>
                <c:pt idx="44">
                  <c:v>14.399999999999897</c:v>
                </c:pt>
                <c:pt idx="45">
                  <c:v>11.999999999999897</c:v>
                </c:pt>
                <c:pt idx="46">
                  <c:v>9.5999999999998966</c:v>
                </c:pt>
                <c:pt idx="47">
                  <c:v>7.1999999999998963</c:v>
                </c:pt>
                <c:pt idx="48">
                  <c:v>4.7999999999998959</c:v>
                </c:pt>
                <c:pt idx="49">
                  <c:v>2.399999999999896</c:v>
                </c:pt>
                <c:pt idx="50">
                  <c:v>-1.0391687510491465E-13</c:v>
                </c:pt>
              </c:numCache>
            </c:numRef>
          </c:cat>
          <c:val>
            <c:numRef>
              <c:f>'3dGraph'!$AO$28:$AO$78</c:f>
              <c:numCache>
                <c:formatCode>General</c:formatCode>
                <c:ptCount val="51"/>
                <c:pt idx="0">
                  <c:v>68.656639999999996</c:v>
                </c:pt>
                <c:pt idx="1">
                  <c:v>69.248758400000028</c:v>
                </c:pt>
                <c:pt idx="2">
                  <c:v>69.818297600000051</c:v>
                </c:pt>
                <c:pt idx="3">
                  <c:v>70.365257600000021</c:v>
                </c:pt>
                <c:pt idx="4">
                  <c:v>70.889638400000038</c:v>
                </c:pt>
                <c:pt idx="5">
                  <c:v>71.391440000000003</c:v>
                </c:pt>
                <c:pt idx="6">
                  <c:v>71.870662400000029</c:v>
                </c:pt>
                <c:pt idx="7">
                  <c:v>72.327305600000045</c:v>
                </c:pt>
                <c:pt idx="8">
                  <c:v>72.761369600000009</c:v>
                </c:pt>
                <c:pt idx="9">
                  <c:v>73.172854400000034</c:v>
                </c:pt>
                <c:pt idx="10">
                  <c:v>73.561760000000007</c:v>
                </c:pt>
                <c:pt idx="11">
                  <c:v>73.928086400000026</c:v>
                </c:pt>
                <c:pt idx="12">
                  <c:v>74.271833600000036</c:v>
                </c:pt>
                <c:pt idx="13">
                  <c:v>74.593001600000008</c:v>
                </c:pt>
                <c:pt idx="14">
                  <c:v>74.891590400000027</c:v>
                </c:pt>
                <c:pt idx="15">
                  <c:v>75.16760000000005</c:v>
                </c:pt>
                <c:pt idx="16">
                  <c:v>75.421030400000006</c:v>
                </c:pt>
                <c:pt idx="17">
                  <c:v>75.651881600000038</c:v>
                </c:pt>
                <c:pt idx="18">
                  <c:v>75.860153600000004</c:v>
                </c:pt>
                <c:pt idx="19">
                  <c:v>76.04584640000003</c:v>
                </c:pt>
                <c:pt idx="20">
                  <c:v>76.208960000000047</c:v>
                </c:pt>
                <c:pt idx="21">
                  <c:v>76.349494399999998</c:v>
                </c:pt>
                <c:pt idx="22">
                  <c:v>76.467449600000037</c:v>
                </c:pt>
                <c:pt idx="23">
                  <c:v>76.562825600000053</c:v>
                </c:pt>
                <c:pt idx="24">
                  <c:v>76.635622400000017</c:v>
                </c:pt>
                <c:pt idx="25">
                  <c:v>76.685840000000027</c:v>
                </c:pt>
                <c:pt idx="26">
                  <c:v>76.713478399999985</c:v>
                </c:pt>
                <c:pt idx="27">
                  <c:v>76.718537600000019</c:v>
                </c:pt>
                <c:pt idx="28">
                  <c:v>76.701017600000043</c:v>
                </c:pt>
                <c:pt idx="29">
                  <c:v>76.6609184</c:v>
                </c:pt>
                <c:pt idx="30">
                  <c:v>76.598240000000018</c:v>
                </c:pt>
                <c:pt idx="31">
                  <c:v>76.512982400000027</c:v>
                </c:pt>
                <c:pt idx="32">
                  <c:v>76.405145599999997</c:v>
                </c:pt>
                <c:pt idx="33">
                  <c:v>76.274729600000015</c:v>
                </c:pt>
                <c:pt idx="34">
                  <c:v>76.121734400000037</c:v>
                </c:pt>
                <c:pt idx="35">
                  <c:v>75.946159999999992</c:v>
                </c:pt>
                <c:pt idx="36">
                  <c:v>75.748006400000023</c:v>
                </c:pt>
                <c:pt idx="37">
                  <c:v>75.527273599999987</c:v>
                </c:pt>
                <c:pt idx="38">
                  <c:v>75.283961599999998</c:v>
                </c:pt>
                <c:pt idx="39">
                  <c:v>75.018070400000028</c:v>
                </c:pt>
                <c:pt idx="40">
                  <c:v>74.729599999999991</c:v>
                </c:pt>
                <c:pt idx="41">
                  <c:v>74.418550400000001</c:v>
                </c:pt>
                <c:pt idx="42">
                  <c:v>74.08492160000003</c:v>
                </c:pt>
                <c:pt idx="43">
                  <c:v>73.728713599999992</c:v>
                </c:pt>
                <c:pt idx="44">
                  <c:v>73.349926400000015</c:v>
                </c:pt>
                <c:pt idx="45">
                  <c:v>72.948560000000015</c:v>
                </c:pt>
                <c:pt idx="46">
                  <c:v>72.52461439999999</c:v>
                </c:pt>
                <c:pt idx="47">
                  <c:v>72.078089600000013</c:v>
                </c:pt>
                <c:pt idx="48">
                  <c:v>71.608985599999983</c:v>
                </c:pt>
                <c:pt idx="49">
                  <c:v>71.1173024</c:v>
                </c:pt>
                <c:pt idx="50">
                  <c:v>70.603040000000007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385A-43B2-9C9C-0FB310DD3FD5}"/>
            </c:ext>
          </c:extLst>
        </c:ser>
        <c:ser>
          <c:idx val="40"/>
          <c:order val="40"/>
          <c:tx>
            <c:strRef>
              <c:f>'3dGraph'!$AP$27</c:f>
              <c:strCache>
                <c:ptCount val="1"/>
                <c:pt idx="0">
                  <c:v>1800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'3dGraph'!$A$28:$A$78</c:f>
              <c:numCache>
                <c:formatCode>General</c:formatCode>
                <c:ptCount val="51"/>
                <c:pt idx="0">
                  <c:v>120</c:v>
                </c:pt>
                <c:pt idx="1">
                  <c:v>117.6</c:v>
                </c:pt>
                <c:pt idx="2">
                  <c:v>115.19999999999999</c:v>
                </c:pt>
                <c:pt idx="3">
                  <c:v>112.79999999999998</c:v>
                </c:pt>
                <c:pt idx="4">
                  <c:v>110.39999999999998</c:v>
                </c:pt>
                <c:pt idx="5">
                  <c:v>107.99999999999997</c:v>
                </c:pt>
                <c:pt idx="6">
                  <c:v>105.59999999999997</c:v>
                </c:pt>
                <c:pt idx="7">
                  <c:v>103.19999999999996</c:v>
                </c:pt>
                <c:pt idx="8">
                  <c:v>100.79999999999995</c:v>
                </c:pt>
                <c:pt idx="9">
                  <c:v>98.399999999999949</c:v>
                </c:pt>
                <c:pt idx="10">
                  <c:v>95.999999999999943</c:v>
                </c:pt>
                <c:pt idx="11">
                  <c:v>93.599999999999937</c:v>
                </c:pt>
                <c:pt idx="12">
                  <c:v>91.199999999999932</c:v>
                </c:pt>
                <c:pt idx="13">
                  <c:v>88.799999999999926</c:v>
                </c:pt>
                <c:pt idx="14">
                  <c:v>86.39999999999992</c:v>
                </c:pt>
                <c:pt idx="15">
                  <c:v>83.999999999999915</c:v>
                </c:pt>
                <c:pt idx="16">
                  <c:v>81.599999999999909</c:v>
                </c:pt>
                <c:pt idx="17">
                  <c:v>79.199999999999903</c:v>
                </c:pt>
                <c:pt idx="18">
                  <c:v>76.799999999999898</c:v>
                </c:pt>
                <c:pt idx="19">
                  <c:v>74.399999999999892</c:v>
                </c:pt>
                <c:pt idx="20">
                  <c:v>71.999999999999886</c:v>
                </c:pt>
                <c:pt idx="21">
                  <c:v>69.599999999999881</c:v>
                </c:pt>
                <c:pt idx="22">
                  <c:v>67.199999999999875</c:v>
                </c:pt>
                <c:pt idx="23">
                  <c:v>64.799999999999869</c:v>
                </c:pt>
                <c:pt idx="24">
                  <c:v>62.399999999999871</c:v>
                </c:pt>
                <c:pt idx="25">
                  <c:v>59.999999999999872</c:v>
                </c:pt>
                <c:pt idx="26">
                  <c:v>57.599999999999874</c:v>
                </c:pt>
                <c:pt idx="27">
                  <c:v>55.199999999999875</c:v>
                </c:pt>
                <c:pt idx="28">
                  <c:v>52.799999999999876</c:v>
                </c:pt>
                <c:pt idx="29">
                  <c:v>50.399999999999878</c:v>
                </c:pt>
                <c:pt idx="30">
                  <c:v>47.999999999999879</c:v>
                </c:pt>
                <c:pt idx="31">
                  <c:v>45.599999999999881</c:v>
                </c:pt>
                <c:pt idx="32">
                  <c:v>43.199999999999882</c:v>
                </c:pt>
                <c:pt idx="33">
                  <c:v>40.799999999999883</c:v>
                </c:pt>
                <c:pt idx="34">
                  <c:v>38.399999999999885</c:v>
                </c:pt>
                <c:pt idx="35">
                  <c:v>35.999999999999886</c:v>
                </c:pt>
                <c:pt idx="36">
                  <c:v>33.599999999999888</c:v>
                </c:pt>
                <c:pt idx="37">
                  <c:v>31.199999999999889</c:v>
                </c:pt>
                <c:pt idx="38">
                  <c:v>28.799999999999891</c:v>
                </c:pt>
                <c:pt idx="39">
                  <c:v>26.399999999999892</c:v>
                </c:pt>
                <c:pt idx="40">
                  <c:v>23.999999999999893</c:v>
                </c:pt>
                <c:pt idx="41">
                  <c:v>21.599999999999895</c:v>
                </c:pt>
                <c:pt idx="42">
                  <c:v>19.199999999999896</c:v>
                </c:pt>
                <c:pt idx="43">
                  <c:v>16.799999999999898</c:v>
                </c:pt>
                <c:pt idx="44">
                  <c:v>14.399999999999897</c:v>
                </c:pt>
                <c:pt idx="45">
                  <c:v>11.999999999999897</c:v>
                </c:pt>
                <c:pt idx="46">
                  <c:v>9.5999999999998966</c:v>
                </c:pt>
                <c:pt idx="47">
                  <c:v>7.1999999999998963</c:v>
                </c:pt>
                <c:pt idx="48">
                  <c:v>4.7999999999998959</c:v>
                </c:pt>
                <c:pt idx="49">
                  <c:v>2.399999999999896</c:v>
                </c:pt>
                <c:pt idx="50">
                  <c:v>-1.0391687510491465E-13</c:v>
                </c:pt>
              </c:numCache>
            </c:numRef>
          </c:cat>
          <c:val>
            <c:numRef>
              <c:f>'3dGraph'!$AP$28:$AP$78</c:f>
              <c:numCache>
                <c:formatCode>General</c:formatCode>
                <c:ptCount val="51"/>
                <c:pt idx="0">
                  <c:v>67.195999999999955</c:v>
                </c:pt>
                <c:pt idx="1">
                  <c:v>67.786150399999983</c:v>
                </c:pt>
                <c:pt idx="2">
                  <c:v>68.353721600000014</c:v>
                </c:pt>
                <c:pt idx="3">
                  <c:v>68.898713599999979</c:v>
                </c:pt>
                <c:pt idx="4">
                  <c:v>69.421126400000006</c:v>
                </c:pt>
                <c:pt idx="5">
                  <c:v>69.920959999999965</c:v>
                </c:pt>
                <c:pt idx="6">
                  <c:v>70.398214399999986</c:v>
                </c:pt>
                <c:pt idx="7">
                  <c:v>70.852889599999997</c:v>
                </c:pt>
                <c:pt idx="8">
                  <c:v>71.28498559999997</c:v>
                </c:pt>
                <c:pt idx="9">
                  <c:v>71.694502400000005</c:v>
                </c:pt>
                <c:pt idx="10">
                  <c:v>72.081439999999972</c:v>
                </c:pt>
                <c:pt idx="11">
                  <c:v>72.445798399999987</c:v>
                </c:pt>
                <c:pt idx="12">
                  <c:v>72.787577600000006</c:v>
                </c:pt>
                <c:pt idx="13">
                  <c:v>73.106777599999972</c:v>
                </c:pt>
                <c:pt idx="14">
                  <c:v>73.403398399999986</c:v>
                </c:pt>
                <c:pt idx="15">
                  <c:v>73.677440000000018</c:v>
                </c:pt>
                <c:pt idx="16">
                  <c:v>73.92890239999997</c:v>
                </c:pt>
                <c:pt idx="17">
                  <c:v>74.157785599999997</c:v>
                </c:pt>
                <c:pt idx="18">
                  <c:v>74.364089599999971</c:v>
                </c:pt>
                <c:pt idx="19">
                  <c:v>74.547814399999993</c:v>
                </c:pt>
                <c:pt idx="20">
                  <c:v>74.708960000000005</c:v>
                </c:pt>
                <c:pt idx="21">
                  <c:v>74.847526399999964</c:v>
                </c:pt>
                <c:pt idx="22">
                  <c:v>74.963513599999999</c:v>
                </c:pt>
                <c:pt idx="23">
                  <c:v>75.05692160000001</c:v>
                </c:pt>
                <c:pt idx="24">
                  <c:v>75.127750399999968</c:v>
                </c:pt>
                <c:pt idx="25">
                  <c:v>75.176000000000002</c:v>
                </c:pt>
                <c:pt idx="26">
                  <c:v>75.201670399999955</c:v>
                </c:pt>
                <c:pt idx="27">
                  <c:v>75.204761599999983</c:v>
                </c:pt>
                <c:pt idx="28">
                  <c:v>75.185273600000002</c:v>
                </c:pt>
                <c:pt idx="29">
                  <c:v>75.143206399999954</c:v>
                </c:pt>
                <c:pt idx="30">
                  <c:v>75.078559999999968</c:v>
                </c:pt>
                <c:pt idx="31">
                  <c:v>74.991334399999985</c:v>
                </c:pt>
                <c:pt idx="32">
                  <c:v>74.881529599999965</c:v>
                </c:pt>
                <c:pt idx="33">
                  <c:v>74.749145599999977</c:v>
                </c:pt>
                <c:pt idx="34">
                  <c:v>74.594182399999994</c:v>
                </c:pt>
                <c:pt idx="35">
                  <c:v>74.416639999999958</c:v>
                </c:pt>
                <c:pt idx="36">
                  <c:v>74.216518399999984</c:v>
                </c:pt>
                <c:pt idx="37">
                  <c:v>73.993817599999943</c:v>
                </c:pt>
                <c:pt idx="38">
                  <c:v>73.748537599999963</c:v>
                </c:pt>
                <c:pt idx="39">
                  <c:v>73.480678399999988</c:v>
                </c:pt>
                <c:pt idx="40">
                  <c:v>73.190239999999946</c:v>
                </c:pt>
                <c:pt idx="41">
                  <c:v>72.877222399999965</c:v>
                </c:pt>
                <c:pt idx="42">
                  <c:v>72.541625599999989</c:v>
                </c:pt>
                <c:pt idx="43">
                  <c:v>72.183449599999946</c:v>
                </c:pt>
                <c:pt idx="44">
                  <c:v>71.802694399999979</c:v>
                </c:pt>
                <c:pt idx="45">
                  <c:v>71.399359999999987</c:v>
                </c:pt>
                <c:pt idx="46">
                  <c:v>70.973446399999958</c:v>
                </c:pt>
                <c:pt idx="47">
                  <c:v>70.524953599999975</c:v>
                </c:pt>
                <c:pt idx="48">
                  <c:v>70.05388159999994</c:v>
                </c:pt>
                <c:pt idx="49">
                  <c:v>69.560230399999952</c:v>
                </c:pt>
                <c:pt idx="50">
                  <c:v>69.043999999999969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385A-43B2-9C9C-0FB310DD3FD5}"/>
            </c:ext>
          </c:extLst>
        </c:ser>
        <c:ser>
          <c:idx val="41"/>
          <c:order val="41"/>
          <c:tx>
            <c:strRef>
              <c:f>'3dGraph'!$AQ$27</c:f>
              <c:strCache>
                <c:ptCount val="1"/>
                <c:pt idx="0">
                  <c:v>1820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'3dGraph'!$A$28:$A$78</c:f>
              <c:numCache>
                <c:formatCode>General</c:formatCode>
                <c:ptCount val="51"/>
                <c:pt idx="0">
                  <c:v>120</c:v>
                </c:pt>
                <c:pt idx="1">
                  <c:v>117.6</c:v>
                </c:pt>
                <c:pt idx="2">
                  <c:v>115.19999999999999</c:v>
                </c:pt>
                <c:pt idx="3">
                  <c:v>112.79999999999998</c:v>
                </c:pt>
                <c:pt idx="4">
                  <c:v>110.39999999999998</c:v>
                </c:pt>
                <c:pt idx="5">
                  <c:v>107.99999999999997</c:v>
                </c:pt>
                <c:pt idx="6">
                  <c:v>105.59999999999997</c:v>
                </c:pt>
                <c:pt idx="7">
                  <c:v>103.19999999999996</c:v>
                </c:pt>
                <c:pt idx="8">
                  <c:v>100.79999999999995</c:v>
                </c:pt>
                <c:pt idx="9">
                  <c:v>98.399999999999949</c:v>
                </c:pt>
                <c:pt idx="10">
                  <c:v>95.999999999999943</c:v>
                </c:pt>
                <c:pt idx="11">
                  <c:v>93.599999999999937</c:v>
                </c:pt>
                <c:pt idx="12">
                  <c:v>91.199999999999932</c:v>
                </c:pt>
                <c:pt idx="13">
                  <c:v>88.799999999999926</c:v>
                </c:pt>
                <c:pt idx="14">
                  <c:v>86.39999999999992</c:v>
                </c:pt>
                <c:pt idx="15">
                  <c:v>83.999999999999915</c:v>
                </c:pt>
                <c:pt idx="16">
                  <c:v>81.599999999999909</c:v>
                </c:pt>
                <c:pt idx="17">
                  <c:v>79.199999999999903</c:v>
                </c:pt>
                <c:pt idx="18">
                  <c:v>76.799999999999898</c:v>
                </c:pt>
                <c:pt idx="19">
                  <c:v>74.399999999999892</c:v>
                </c:pt>
                <c:pt idx="20">
                  <c:v>71.999999999999886</c:v>
                </c:pt>
                <c:pt idx="21">
                  <c:v>69.599999999999881</c:v>
                </c:pt>
                <c:pt idx="22">
                  <c:v>67.199999999999875</c:v>
                </c:pt>
                <c:pt idx="23">
                  <c:v>64.799999999999869</c:v>
                </c:pt>
                <c:pt idx="24">
                  <c:v>62.399999999999871</c:v>
                </c:pt>
                <c:pt idx="25">
                  <c:v>59.999999999999872</c:v>
                </c:pt>
                <c:pt idx="26">
                  <c:v>57.599999999999874</c:v>
                </c:pt>
                <c:pt idx="27">
                  <c:v>55.199999999999875</c:v>
                </c:pt>
                <c:pt idx="28">
                  <c:v>52.799999999999876</c:v>
                </c:pt>
                <c:pt idx="29">
                  <c:v>50.399999999999878</c:v>
                </c:pt>
                <c:pt idx="30">
                  <c:v>47.999999999999879</c:v>
                </c:pt>
                <c:pt idx="31">
                  <c:v>45.599999999999881</c:v>
                </c:pt>
                <c:pt idx="32">
                  <c:v>43.199999999999882</c:v>
                </c:pt>
                <c:pt idx="33">
                  <c:v>40.799999999999883</c:v>
                </c:pt>
                <c:pt idx="34">
                  <c:v>38.399999999999885</c:v>
                </c:pt>
                <c:pt idx="35">
                  <c:v>35.999999999999886</c:v>
                </c:pt>
                <c:pt idx="36">
                  <c:v>33.599999999999888</c:v>
                </c:pt>
                <c:pt idx="37">
                  <c:v>31.199999999999889</c:v>
                </c:pt>
                <c:pt idx="38">
                  <c:v>28.799999999999891</c:v>
                </c:pt>
                <c:pt idx="39">
                  <c:v>26.399999999999892</c:v>
                </c:pt>
                <c:pt idx="40">
                  <c:v>23.999999999999893</c:v>
                </c:pt>
                <c:pt idx="41">
                  <c:v>21.599999999999895</c:v>
                </c:pt>
                <c:pt idx="42">
                  <c:v>19.199999999999896</c:v>
                </c:pt>
                <c:pt idx="43">
                  <c:v>16.799999999999898</c:v>
                </c:pt>
                <c:pt idx="44">
                  <c:v>14.399999999999897</c:v>
                </c:pt>
                <c:pt idx="45">
                  <c:v>11.999999999999897</c:v>
                </c:pt>
                <c:pt idx="46">
                  <c:v>9.5999999999998966</c:v>
                </c:pt>
                <c:pt idx="47">
                  <c:v>7.1999999999998963</c:v>
                </c:pt>
                <c:pt idx="48">
                  <c:v>4.7999999999998959</c:v>
                </c:pt>
                <c:pt idx="49">
                  <c:v>2.399999999999896</c:v>
                </c:pt>
                <c:pt idx="50">
                  <c:v>-1.0391687510491465E-13</c:v>
                </c:pt>
              </c:numCache>
            </c:numRef>
          </c:cat>
          <c:val>
            <c:numRef>
              <c:f>'3dGraph'!$AQ$28:$AQ$78</c:f>
              <c:numCache>
                <c:formatCode>General</c:formatCode>
                <c:ptCount val="51"/>
                <c:pt idx="0">
                  <c:v>65.659840000000003</c:v>
                </c:pt>
                <c:pt idx="1">
                  <c:v>66.248022400000025</c:v>
                </c:pt>
                <c:pt idx="2">
                  <c:v>66.813625600000051</c:v>
                </c:pt>
                <c:pt idx="3">
                  <c:v>67.356649600000011</c:v>
                </c:pt>
                <c:pt idx="4">
                  <c:v>67.877094400000033</c:v>
                </c:pt>
                <c:pt idx="5">
                  <c:v>68.374960000000002</c:v>
                </c:pt>
                <c:pt idx="6">
                  <c:v>68.850246400000017</c:v>
                </c:pt>
                <c:pt idx="7">
                  <c:v>69.302953600000052</c:v>
                </c:pt>
                <c:pt idx="8">
                  <c:v>69.733081600000006</c:v>
                </c:pt>
                <c:pt idx="9">
                  <c:v>70.140630400000035</c:v>
                </c:pt>
                <c:pt idx="10">
                  <c:v>70.525599999999997</c:v>
                </c:pt>
                <c:pt idx="11">
                  <c:v>70.887990400000021</c:v>
                </c:pt>
                <c:pt idx="12">
                  <c:v>71.227801600000035</c:v>
                </c:pt>
                <c:pt idx="13">
                  <c:v>71.545033600000011</c:v>
                </c:pt>
                <c:pt idx="14">
                  <c:v>71.839686400000019</c:v>
                </c:pt>
                <c:pt idx="15">
                  <c:v>72.111760000000061</c:v>
                </c:pt>
                <c:pt idx="16">
                  <c:v>72.361254400000007</c:v>
                </c:pt>
                <c:pt idx="17">
                  <c:v>72.588169600000043</c:v>
                </c:pt>
                <c:pt idx="18">
                  <c:v>72.792505599999998</c:v>
                </c:pt>
                <c:pt idx="19">
                  <c:v>72.974262400000029</c:v>
                </c:pt>
                <c:pt idx="20">
                  <c:v>73.133440000000036</c:v>
                </c:pt>
                <c:pt idx="21">
                  <c:v>73.270038400000004</c:v>
                </c:pt>
                <c:pt idx="22">
                  <c:v>73.384057600000034</c:v>
                </c:pt>
                <c:pt idx="23">
                  <c:v>73.475497600000054</c:v>
                </c:pt>
                <c:pt idx="24">
                  <c:v>73.544358400000007</c:v>
                </c:pt>
                <c:pt idx="25">
                  <c:v>73.590640000000036</c:v>
                </c:pt>
                <c:pt idx="26">
                  <c:v>73.614342399999998</c:v>
                </c:pt>
                <c:pt idx="27">
                  <c:v>73.615465600000022</c:v>
                </c:pt>
                <c:pt idx="28">
                  <c:v>73.594009600000035</c:v>
                </c:pt>
                <c:pt idx="29">
                  <c:v>73.549974399999996</c:v>
                </c:pt>
                <c:pt idx="30">
                  <c:v>73.483360000000005</c:v>
                </c:pt>
                <c:pt idx="31">
                  <c:v>73.394166400000032</c:v>
                </c:pt>
                <c:pt idx="32">
                  <c:v>73.282393599999992</c:v>
                </c:pt>
                <c:pt idx="33">
                  <c:v>73.148041600000013</c:v>
                </c:pt>
                <c:pt idx="34">
                  <c:v>72.991110400000025</c:v>
                </c:pt>
                <c:pt idx="35">
                  <c:v>72.811599999999999</c:v>
                </c:pt>
                <c:pt idx="36">
                  <c:v>72.609510400000019</c:v>
                </c:pt>
                <c:pt idx="37">
                  <c:v>72.384841599999987</c:v>
                </c:pt>
                <c:pt idx="38">
                  <c:v>72.137593599999988</c:v>
                </c:pt>
                <c:pt idx="39">
                  <c:v>71.867766400000022</c:v>
                </c:pt>
                <c:pt idx="40">
                  <c:v>71.575359999999975</c:v>
                </c:pt>
                <c:pt idx="41">
                  <c:v>71.260374400000003</c:v>
                </c:pt>
                <c:pt idx="42">
                  <c:v>70.922809600000022</c:v>
                </c:pt>
                <c:pt idx="43">
                  <c:v>70.562665599999988</c:v>
                </c:pt>
                <c:pt idx="44">
                  <c:v>70.179942400000002</c:v>
                </c:pt>
                <c:pt idx="45">
                  <c:v>69.774640000000019</c:v>
                </c:pt>
                <c:pt idx="46">
                  <c:v>69.346758399999985</c:v>
                </c:pt>
                <c:pt idx="47">
                  <c:v>68.896297600000011</c:v>
                </c:pt>
                <c:pt idx="48">
                  <c:v>68.423257599999971</c:v>
                </c:pt>
                <c:pt idx="49">
                  <c:v>67.927638399999992</c:v>
                </c:pt>
                <c:pt idx="50">
                  <c:v>67.409440000000004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385A-43B2-9C9C-0FB310DD3FD5}"/>
            </c:ext>
          </c:extLst>
        </c:ser>
        <c:ser>
          <c:idx val="42"/>
          <c:order val="42"/>
          <c:tx>
            <c:strRef>
              <c:f>'3dGraph'!$AR$27</c:f>
              <c:strCache>
                <c:ptCount val="1"/>
                <c:pt idx="0">
                  <c:v>1840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'3dGraph'!$A$28:$A$78</c:f>
              <c:numCache>
                <c:formatCode>General</c:formatCode>
                <c:ptCount val="51"/>
                <c:pt idx="0">
                  <c:v>120</c:v>
                </c:pt>
                <c:pt idx="1">
                  <c:v>117.6</c:v>
                </c:pt>
                <c:pt idx="2">
                  <c:v>115.19999999999999</c:v>
                </c:pt>
                <c:pt idx="3">
                  <c:v>112.79999999999998</c:v>
                </c:pt>
                <c:pt idx="4">
                  <c:v>110.39999999999998</c:v>
                </c:pt>
                <c:pt idx="5">
                  <c:v>107.99999999999997</c:v>
                </c:pt>
                <c:pt idx="6">
                  <c:v>105.59999999999997</c:v>
                </c:pt>
                <c:pt idx="7">
                  <c:v>103.19999999999996</c:v>
                </c:pt>
                <c:pt idx="8">
                  <c:v>100.79999999999995</c:v>
                </c:pt>
                <c:pt idx="9">
                  <c:v>98.399999999999949</c:v>
                </c:pt>
                <c:pt idx="10">
                  <c:v>95.999999999999943</c:v>
                </c:pt>
                <c:pt idx="11">
                  <c:v>93.599999999999937</c:v>
                </c:pt>
                <c:pt idx="12">
                  <c:v>91.199999999999932</c:v>
                </c:pt>
                <c:pt idx="13">
                  <c:v>88.799999999999926</c:v>
                </c:pt>
                <c:pt idx="14">
                  <c:v>86.39999999999992</c:v>
                </c:pt>
                <c:pt idx="15">
                  <c:v>83.999999999999915</c:v>
                </c:pt>
                <c:pt idx="16">
                  <c:v>81.599999999999909</c:v>
                </c:pt>
                <c:pt idx="17">
                  <c:v>79.199999999999903</c:v>
                </c:pt>
                <c:pt idx="18">
                  <c:v>76.799999999999898</c:v>
                </c:pt>
                <c:pt idx="19">
                  <c:v>74.399999999999892</c:v>
                </c:pt>
                <c:pt idx="20">
                  <c:v>71.999999999999886</c:v>
                </c:pt>
                <c:pt idx="21">
                  <c:v>69.599999999999881</c:v>
                </c:pt>
                <c:pt idx="22">
                  <c:v>67.199999999999875</c:v>
                </c:pt>
                <c:pt idx="23">
                  <c:v>64.799999999999869</c:v>
                </c:pt>
                <c:pt idx="24">
                  <c:v>62.399999999999871</c:v>
                </c:pt>
                <c:pt idx="25">
                  <c:v>59.999999999999872</c:v>
                </c:pt>
                <c:pt idx="26">
                  <c:v>57.599999999999874</c:v>
                </c:pt>
                <c:pt idx="27">
                  <c:v>55.199999999999875</c:v>
                </c:pt>
                <c:pt idx="28">
                  <c:v>52.799999999999876</c:v>
                </c:pt>
                <c:pt idx="29">
                  <c:v>50.399999999999878</c:v>
                </c:pt>
                <c:pt idx="30">
                  <c:v>47.999999999999879</c:v>
                </c:pt>
                <c:pt idx="31">
                  <c:v>45.599999999999881</c:v>
                </c:pt>
                <c:pt idx="32">
                  <c:v>43.199999999999882</c:v>
                </c:pt>
                <c:pt idx="33">
                  <c:v>40.799999999999883</c:v>
                </c:pt>
                <c:pt idx="34">
                  <c:v>38.399999999999885</c:v>
                </c:pt>
                <c:pt idx="35">
                  <c:v>35.999999999999886</c:v>
                </c:pt>
                <c:pt idx="36">
                  <c:v>33.599999999999888</c:v>
                </c:pt>
                <c:pt idx="37">
                  <c:v>31.199999999999889</c:v>
                </c:pt>
                <c:pt idx="38">
                  <c:v>28.799999999999891</c:v>
                </c:pt>
                <c:pt idx="39">
                  <c:v>26.399999999999892</c:v>
                </c:pt>
                <c:pt idx="40">
                  <c:v>23.999999999999893</c:v>
                </c:pt>
                <c:pt idx="41">
                  <c:v>21.599999999999895</c:v>
                </c:pt>
                <c:pt idx="42">
                  <c:v>19.199999999999896</c:v>
                </c:pt>
                <c:pt idx="43">
                  <c:v>16.799999999999898</c:v>
                </c:pt>
                <c:pt idx="44">
                  <c:v>14.399999999999897</c:v>
                </c:pt>
                <c:pt idx="45">
                  <c:v>11.999999999999897</c:v>
                </c:pt>
                <c:pt idx="46">
                  <c:v>9.5999999999998966</c:v>
                </c:pt>
                <c:pt idx="47">
                  <c:v>7.1999999999998963</c:v>
                </c:pt>
                <c:pt idx="48">
                  <c:v>4.7999999999998959</c:v>
                </c:pt>
                <c:pt idx="49">
                  <c:v>2.399999999999896</c:v>
                </c:pt>
                <c:pt idx="50">
                  <c:v>-1.0391687510491465E-13</c:v>
                </c:pt>
              </c:numCache>
            </c:numRef>
          </c:cat>
          <c:val>
            <c:numRef>
              <c:f>'3dGraph'!$AR$28:$AR$78</c:f>
              <c:numCache>
                <c:formatCode>General</c:formatCode>
                <c:ptCount val="51"/>
                <c:pt idx="0">
                  <c:v>64.048160000000053</c:v>
                </c:pt>
                <c:pt idx="1">
                  <c:v>64.634374400000084</c:v>
                </c:pt>
                <c:pt idx="2">
                  <c:v>65.198009600000091</c:v>
                </c:pt>
                <c:pt idx="3">
                  <c:v>65.73906560000006</c:v>
                </c:pt>
                <c:pt idx="4">
                  <c:v>66.257542400000091</c:v>
                </c:pt>
                <c:pt idx="5">
                  <c:v>66.753440000000055</c:v>
                </c:pt>
                <c:pt idx="6">
                  <c:v>67.22675840000008</c:v>
                </c:pt>
                <c:pt idx="7">
                  <c:v>67.677497600000095</c:v>
                </c:pt>
                <c:pt idx="8">
                  <c:v>68.105657600000058</c:v>
                </c:pt>
                <c:pt idx="9">
                  <c:v>68.511238400000082</c:v>
                </c:pt>
                <c:pt idx="10">
                  <c:v>68.894240000000053</c:v>
                </c:pt>
                <c:pt idx="11">
                  <c:v>69.254662400000072</c:v>
                </c:pt>
                <c:pt idx="12">
                  <c:v>69.592505600000095</c:v>
                </c:pt>
                <c:pt idx="13">
                  <c:v>69.907769600000066</c:v>
                </c:pt>
                <c:pt idx="14">
                  <c:v>70.200454400000069</c:v>
                </c:pt>
                <c:pt idx="15">
                  <c:v>70.470560000000091</c:v>
                </c:pt>
                <c:pt idx="16">
                  <c:v>70.718086400000061</c:v>
                </c:pt>
                <c:pt idx="17">
                  <c:v>70.943033600000092</c:v>
                </c:pt>
                <c:pt idx="18">
                  <c:v>71.145401600000056</c:v>
                </c:pt>
                <c:pt idx="19">
                  <c:v>71.325190400000082</c:v>
                </c:pt>
                <c:pt idx="20">
                  <c:v>71.482400000000084</c:v>
                </c:pt>
                <c:pt idx="21">
                  <c:v>71.617030400000061</c:v>
                </c:pt>
                <c:pt idx="22">
                  <c:v>71.729081600000086</c:v>
                </c:pt>
                <c:pt idx="23">
                  <c:v>71.818553600000101</c:v>
                </c:pt>
                <c:pt idx="24">
                  <c:v>71.885446400000063</c:v>
                </c:pt>
                <c:pt idx="25">
                  <c:v>71.929760000000087</c:v>
                </c:pt>
                <c:pt idx="26">
                  <c:v>71.951494400000058</c:v>
                </c:pt>
                <c:pt idx="27">
                  <c:v>71.950649600000062</c:v>
                </c:pt>
                <c:pt idx="28">
                  <c:v>71.927225600000085</c:v>
                </c:pt>
                <c:pt idx="29">
                  <c:v>71.881222400000041</c:v>
                </c:pt>
                <c:pt idx="30">
                  <c:v>71.812640000000059</c:v>
                </c:pt>
                <c:pt idx="31">
                  <c:v>71.72147840000008</c:v>
                </c:pt>
                <c:pt idx="32">
                  <c:v>71.60773760000005</c:v>
                </c:pt>
                <c:pt idx="33">
                  <c:v>71.471417600000066</c:v>
                </c:pt>
                <c:pt idx="34">
                  <c:v>71.312518400000087</c:v>
                </c:pt>
                <c:pt idx="35">
                  <c:v>71.131040000000041</c:v>
                </c:pt>
                <c:pt idx="36">
                  <c:v>70.926982400000071</c:v>
                </c:pt>
                <c:pt idx="37">
                  <c:v>70.700345600000034</c:v>
                </c:pt>
                <c:pt idx="38">
                  <c:v>70.451129600000044</c:v>
                </c:pt>
                <c:pt idx="39">
                  <c:v>70.179334400000073</c:v>
                </c:pt>
                <c:pt idx="40">
                  <c:v>69.884960000000035</c:v>
                </c:pt>
                <c:pt idx="41">
                  <c:v>69.568006400000058</c:v>
                </c:pt>
                <c:pt idx="42">
                  <c:v>69.228473600000086</c:v>
                </c:pt>
                <c:pt idx="43">
                  <c:v>68.866361600000033</c:v>
                </c:pt>
                <c:pt idx="44">
                  <c:v>68.481670400000056</c:v>
                </c:pt>
                <c:pt idx="45">
                  <c:v>68.074400000000068</c:v>
                </c:pt>
                <c:pt idx="46">
                  <c:v>67.644550400000043</c:v>
                </c:pt>
                <c:pt idx="47">
                  <c:v>67.192121600000064</c:v>
                </c:pt>
                <c:pt idx="48">
                  <c:v>66.717113600000033</c:v>
                </c:pt>
                <c:pt idx="49">
                  <c:v>66.219526400000049</c:v>
                </c:pt>
                <c:pt idx="50">
                  <c:v>65.699360000000055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385A-43B2-9C9C-0FB310DD3FD5}"/>
            </c:ext>
          </c:extLst>
        </c:ser>
        <c:ser>
          <c:idx val="43"/>
          <c:order val="43"/>
          <c:tx>
            <c:strRef>
              <c:f>'3dGraph'!$AS$27</c:f>
              <c:strCache>
                <c:ptCount val="1"/>
                <c:pt idx="0">
                  <c:v>1860</c:v>
                </c:pt>
              </c:strCache>
            </c:strRef>
          </c:tx>
          <c:spPr>
            <a:solidFill>
              <a:srgbClr val="00FF0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'3dGraph'!$A$28:$A$78</c:f>
              <c:numCache>
                <c:formatCode>General</c:formatCode>
                <c:ptCount val="51"/>
                <c:pt idx="0">
                  <c:v>120</c:v>
                </c:pt>
                <c:pt idx="1">
                  <c:v>117.6</c:v>
                </c:pt>
                <c:pt idx="2">
                  <c:v>115.19999999999999</c:v>
                </c:pt>
                <c:pt idx="3">
                  <c:v>112.79999999999998</c:v>
                </c:pt>
                <c:pt idx="4">
                  <c:v>110.39999999999998</c:v>
                </c:pt>
                <c:pt idx="5">
                  <c:v>107.99999999999997</c:v>
                </c:pt>
                <c:pt idx="6">
                  <c:v>105.59999999999997</c:v>
                </c:pt>
                <c:pt idx="7">
                  <c:v>103.19999999999996</c:v>
                </c:pt>
                <c:pt idx="8">
                  <c:v>100.79999999999995</c:v>
                </c:pt>
                <c:pt idx="9">
                  <c:v>98.399999999999949</c:v>
                </c:pt>
                <c:pt idx="10">
                  <c:v>95.999999999999943</c:v>
                </c:pt>
                <c:pt idx="11">
                  <c:v>93.599999999999937</c:v>
                </c:pt>
                <c:pt idx="12">
                  <c:v>91.199999999999932</c:v>
                </c:pt>
                <c:pt idx="13">
                  <c:v>88.799999999999926</c:v>
                </c:pt>
                <c:pt idx="14">
                  <c:v>86.39999999999992</c:v>
                </c:pt>
                <c:pt idx="15">
                  <c:v>83.999999999999915</c:v>
                </c:pt>
                <c:pt idx="16">
                  <c:v>81.599999999999909</c:v>
                </c:pt>
                <c:pt idx="17">
                  <c:v>79.199999999999903</c:v>
                </c:pt>
                <c:pt idx="18">
                  <c:v>76.799999999999898</c:v>
                </c:pt>
                <c:pt idx="19">
                  <c:v>74.399999999999892</c:v>
                </c:pt>
                <c:pt idx="20">
                  <c:v>71.999999999999886</c:v>
                </c:pt>
                <c:pt idx="21">
                  <c:v>69.599999999999881</c:v>
                </c:pt>
                <c:pt idx="22">
                  <c:v>67.199999999999875</c:v>
                </c:pt>
                <c:pt idx="23">
                  <c:v>64.799999999999869</c:v>
                </c:pt>
                <c:pt idx="24">
                  <c:v>62.399999999999871</c:v>
                </c:pt>
                <c:pt idx="25">
                  <c:v>59.999999999999872</c:v>
                </c:pt>
                <c:pt idx="26">
                  <c:v>57.599999999999874</c:v>
                </c:pt>
                <c:pt idx="27">
                  <c:v>55.199999999999875</c:v>
                </c:pt>
                <c:pt idx="28">
                  <c:v>52.799999999999876</c:v>
                </c:pt>
                <c:pt idx="29">
                  <c:v>50.399999999999878</c:v>
                </c:pt>
                <c:pt idx="30">
                  <c:v>47.999999999999879</c:v>
                </c:pt>
                <c:pt idx="31">
                  <c:v>45.599999999999881</c:v>
                </c:pt>
                <c:pt idx="32">
                  <c:v>43.199999999999882</c:v>
                </c:pt>
                <c:pt idx="33">
                  <c:v>40.799999999999883</c:v>
                </c:pt>
                <c:pt idx="34">
                  <c:v>38.399999999999885</c:v>
                </c:pt>
                <c:pt idx="35">
                  <c:v>35.999999999999886</c:v>
                </c:pt>
                <c:pt idx="36">
                  <c:v>33.599999999999888</c:v>
                </c:pt>
                <c:pt idx="37">
                  <c:v>31.199999999999889</c:v>
                </c:pt>
                <c:pt idx="38">
                  <c:v>28.799999999999891</c:v>
                </c:pt>
                <c:pt idx="39">
                  <c:v>26.399999999999892</c:v>
                </c:pt>
                <c:pt idx="40">
                  <c:v>23.999999999999893</c:v>
                </c:pt>
                <c:pt idx="41">
                  <c:v>21.599999999999895</c:v>
                </c:pt>
                <c:pt idx="42">
                  <c:v>19.199999999999896</c:v>
                </c:pt>
                <c:pt idx="43">
                  <c:v>16.799999999999898</c:v>
                </c:pt>
                <c:pt idx="44">
                  <c:v>14.399999999999897</c:v>
                </c:pt>
                <c:pt idx="45">
                  <c:v>11.999999999999897</c:v>
                </c:pt>
                <c:pt idx="46">
                  <c:v>9.5999999999998966</c:v>
                </c:pt>
                <c:pt idx="47">
                  <c:v>7.1999999999998963</c:v>
                </c:pt>
                <c:pt idx="48">
                  <c:v>4.7999999999998959</c:v>
                </c:pt>
                <c:pt idx="49">
                  <c:v>2.399999999999896</c:v>
                </c:pt>
                <c:pt idx="50">
                  <c:v>-1.0391687510491465E-13</c:v>
                </c:pt>
              </c:numCache>
            </c:numRef>
          </c:cat>
          <c:val>
            <c:numRef>
              <c:f>'3dGraph'!$AS$28:$AS$78</c:f>
              <c:numCache>
                <c:formatCode>General</c:formatCode>
                <c:ptCount val="51"/>
                <c:pt idx="0">
                  <c:v>62.360959999999949</c:v>
                </c:pt>
                <c:pt idx="1">
                  <c:v>62.945206399999975</c:v>
                </c:pt>
                <c:pt idx="2">
                  <c:v>63.506873599999992</c:v>
                </c:pt>
                <c:pt idx="3">
                  <c:v>64.045961599999956</c:v>
                </c:pt>
                <c:pt idx="4">
                  <c:v>64.562470399999995</c:v>
                </c:pt>
                <c:pt idx="5">
                  <c:v>65.056399999999954</c:v>
                </c:pt>
                <c:pt idx="6">
                  <c:v>65.527750399999974</c:v>
                </c:pt>
                <c:pt idx="7">
                  <c:v>65.976521599999984</c:v>
                </c:pt>
                <c:pt idx="8">
                  <c:v>66.402713599999956</c:v>
                </c:pt>
                <c:pt idx="9">
                  <c:v>66.806326399999989</c:v>
                </c:pt>
                <c:pt idx="10">
                  <c:v>67.187359999999956</c:v>
                </c:pt>
                <c:pt idx="11">
                  <c:v>67.545814399999969</c:v>
                </c:pt>
                <c:pt idx="12">
                  <c:v>67.881689599999987</c:v>
                </c:pt>
                <c:pt idx="13">
                  <c:v>68.194985599999953</c:v>
                </c:pt>
                <c:pt idx="14">
                  <c:v>68.48570239999998</c:v>
                </c:pt>
                <c:pt idx="15">
                  <c:v>68.753839999999997</c:v>
                </c:pt>
                <c:pt idx="16">
                  <c:v>68.999398399999961</c:v>
                </c:pt>
                <c:pt idx="17">
                  <c:v>69.222377599999987</c:v>
                </c:pt>
                <c:pt idx="18">
                  <c:v>69.422777599999947</c:v>
                </c:pt>
                <c:pt idx="19">
                  <c:v>69.600598399999967</c:v>
                </c:pt>
                <c:pt idx="20">
                  <c:v>69.755839999999992</c:v>
                </c:pt>
                <c:pt idx="21">
                  <c:v>69.888502399999965</c:v>
                </c:pt>
                <c:pt idx="22">
                  <c:v>69.998585599999984</c:v>
                </c:pt>
                <c:pt idx="23">
                  <c:v>70.086089599999994</c:v>
                </c:pt>
                <c:pt idx="24">
                  <c:v>70.151014399999951</c:v>
                </c:pt>
                <c:pt idx="25">
                  <c:v>70.193359999999984</c:v>
                </c:pt>
                <c:pt idx="26">
                  <c:v>70.213126399999936</c:v>
                </c:pt>
                <c:pt idx="27">
                  <c:v>70.210313599999964</c:v>
                </c:pt>
                <c:pt idx="28">
                  <c:v>70.184921599999981</c:v>
                </c:pt>
                <c:pt idx="29">
                  <c:v>70.136950399999947</c:v>
                </c:pt>
                <c:pt idx="30">
                  <c:v>70.066399999999959</c:v>
                </c:pt>
                <c:pt idx="31">
                  <c:v>69.973270399999976</c:v>
                </c:pt>
                <c:pt idx="32">
                  <c:v>69.85756159999994</c:v>
                </c:pt>
                <c:pt idx="33">
                  <c:v>69.719273599999966</c:v>
                </c:pt>
                <c:pt idx="34">
                  <c:v>69.558406399999981</c:v>
                </c:pt>
                <c:pt idx="35">
                  <c:v>69.374959999999945</c:v>
                </c:pt>
                <c:pt idx="36">
                  <c:v>69.168934399999969</c:v>
                </c:pt>
                <c:pt idx="37">
                  <c:v>68.940329599999927</c:v>
                </c:pt>
                <c:pt idx="38">
                  <c:v>68.689145599999947</c:v>
                </c:pt>
                <c:pt idx="39">
                  <c:v>68.41538239999997</c:v>
                </c:pt>
                <c:pt idx="40">
                  <c:v>68.119039999999927</c:v>
                </c:pt>
                <c:pt idx="41">
                  <c:v>67.800118399999945</c:v>
                </c:pt>
                <c:pt idx="42">
                  <c:v>67.458617599999982</c:v>
                </c:pt>
                <c:pt idx="43">
                  <c:v>67.094537599999938</c:v>
                </c:pt>
                <c:pt idx="44">
                  <c:v>66.707878399999956</c:v>
                </c:pt>
                <c:pt idx="45">
                  <c:v>66.298639999999963</c:v>
                </c:pt>
                <c:pt idx="46">
                  <c:v>65.866822399999947</c:v>
                </c:pt>
                <c:pt idx="47">
                  <c:v>65.412425599999963</c:v>
                </c:pt>
                <c:pt idx="48">
                  <c:v>64.935449599999927</c:v>
                </c:pt>
                <c:pt idx="49">
                  <c:v>64.435894399999938</c:v>
                </c:pt>
                <c:pt idx="50">
                  <c:v>63.913759999999961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385A-43B2-9C9C-0FB310DD3FD5}"/>
            </c:ext>
          </c:extLst>
        </c:ser>
        <c:ser>
          <c:idx val="44"/>
          <c:order val="44"/>
          <c:tx>
            <c:strRef>
              <c:f>'3dGraph'!$AT$27</c:f>
              <c:strCache>
                <c:ptCount val="1"/>
                <c:pt idx="0">
                  <c:v>1880</c:v>
                </c:pt>
              </c:strCache>
            </c:strRef>
          </c:tx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'3dGraph'!$A$28:$A$78</c:f>
              <c:numCache>
                <c:formatCode>General</c:formatCode>
                <c:ptCount val="51"/>
                <c:pt idx="0">
                  <c:v>120</c:v>
                </c:pt>
                <c:pt idx="1">
                  <c:v>117.6</c:v>
                </c:pt>
                <c:pt idx="2">
                  <c:v>115.19999999999999</c:v>
                </c:pt>
                <c:pt idx="3">
                  <c:v>112.79999999999998</c:v>
                </c:pt>
                <c:pt idx="4">
                  <c:v>110.39999999999998</c:v>
                </c:pt>
                <c:pt idx="5">
                  <c:v>107.99999999999997</c:v>
                </c:pt>
                <c:pt idx="6">
                  <c:v>105.59999999999997</c:v>
                </c:pt>
                <c:pt idx="7">
                  <c:v>103.19999999999996</c:v>
                </c:pt>
                <c:pt idx="8">
                  <c:v>100.79999999999995</c:v>
                </c:pt>
                <c:pt idx="9">
                  <c:v>98.399999999999949</c:v>
                </c:pt>
                <c:pt idx="10">
                  <c:v>95.999999999999943</c:v>
                </c:pt>
                <c:pt idx="11">
                  <c:v>93.599999999999937</c:v>
                </c:pt>
                <c:pt idx="12">
                  <c:v>91.199999999999932</c:v>
                </c:pt>
                <c:pt idx="13">
                  <c:v>88.799999999999926</c:v>
                </c:pt>
                <c:pt idx="14">
                  <c:v>86.39999999999992</c:v>
                </c:pt>
                <c:pt idx="15">
                  <c:v>83.999999999999915</c:v>
                </c:pt>
                <c:pt idx="16">
                  <c:v>81.599999999999909</c:v>
                </c:pt>
                <c:pt idx="17">
                  <c:v>79.199999999999903</c:v>
                </c:pt>
                <c:pt idx="18">
                  <c:v>76.799999999999898</c:v>
                </c:pt>
                <c:pt idx="19">
                  <c:v>74.399999999999892</c:v>
                </c:pt>
                <c:pt idx="20">
                  <c:v>71.999999999999886</c:v>
                </c:pt>
                <c:pt idx="21">
                  <c:v>69.599999999999881</c:v>
                </c:pt>
                <c:pt idx="22">
                  <c:v>67.199999999999875</c:v>
                </c:pt>
                <c:pt idx="23">
                  <c:v>64.799999999999869</c:v>
                </c:pt>
                <c:pt idx="24">
                  <c:v>62.399999999999871</c:v>
                </c:pt>
                <c:pt idx="25">
                  <c:v>59.999999999999872</c:v>
                </c:pt>
                <c:pt idx="26">
                  <c:v>57.599999999999874</c:v>
                </c:pt>
                <c:pt idx="27">
                  <c:v>55.199999999999875</c:v>
                </c:pt>
                <c:pt idx="28">
                  <c:v>52.799999999999876</c:v>
                </c:pt>
                <c:pt idx="29">
                  <c:v>50.399999999999878</c:v>
                </c:pt>
                <c:pt idx="30">
                  <c:v>47.999999999999879</c:v>
                </c:pt>
                <c:pt idx="31">
                  <c:v>45.599999999999881</c:v>
                </c:pt>
                <c:pt idx="32">
                  <c:v>43.199999999999882</c:v>
                </c:pt>
                <c:pt idx="33">
                  <c:v>40.799999999999883</c:v>
                </c:pt>
                <c:pt idx="34">
                  <c:v>38.399999999999885</c:v>
                </c:pt>
                <c:pt idx="35">
                  <c:v>35.999999999999886</c:v>
                </c:pt>
                <c:pt idx="36">
                  <c:v>33.599999999999888</c:v>
                </c:pt>
                <c:pt idx="37">
                  <c:v>31.199999999999889</c:v>
                </c:pt>
                <c:pt idx="38">
                  <c:v>28.799999999999891</c:v>
                </c:pt>
                <c:pt idx="39">
                  <c:v>26.399999999999892</c:v>
                </c:pt>
                <c:pt idx="40">
                  <c:v>23.999999999999893</c:v>
                </c:pt>
                <c:pt idx="41">
                  <c:v>21.599999999999895</c:v>
                </c:pt>
                <c:pt idx="42">
                  <c:v>19.199999999999896</c:v>
                </c:pt>
                <c:pt idx="43">
                  <c:v>16.799999999999898</c:v>
                </c:pt>
                <c:pt idx="44">
                  <c:v>14.399999999999897</c:v>
                </c:pt>
                <c:pt idx="45">
                  <c:v>11.999999999999897</c:v>
                </c:pt>
                <c:pt idx="46">
                  <c:v>9.5999999999998966</c:v>
                </c:pt>
                <c:pt idx="47">
                  <c:v>7.1999999999998963</c:v>
                </c:pt>
                <c:pt idx="48">
                  <c:v>4.7999999999998959</c:v>
                </c:pt>
                <c:pt idx="49">
                  <c:v>2.399999999999896</c:v>
                </c:pt>
                <c:pt idx="50">
                  <c:v>-1.0391687510491465E-13</c:v>
                </c:pt>
              </c:numCache>
            </c:numRef>
          </c:cat>
          <c:val>
            <c:numRef>
              <c:f>'3dGraph'!$AT$28:$AT$78</c:f>
              <c:numCache>
                <c:formatCode>General</c:formatCode>
                <c:ptCount val="51"/>
                <c:pt idx="0">
                  <c:v>60.598240000000033</c:v>
                </c:pt>
                <c:pt idx="1">
                  <c:v>61.180518400000054</c:v>
                </c:pt>
                <c:pt idx="2">
                  <c:v>61.740217600000079</c:v>
                </c:pt>
                <c:pt idx="3">
                  <c:v>62.277337600000052</c:v>
                </c:pt>
                <c:pt idx="4">
                  <c:v>62.791878400000073</c:v>
                </c:pt>
                <c:pt idx="5">
                  <c:v>63.283840000000041</c:v>
                </c:pt>
                <c:pt idx="6">
                  <c:v>63.753222400000055</c:v>
                </c:pt>
                <c:pt idx="7">
                  <c:v>64.200025600000089</c:v>
                </c:pt>
                <c:pt idx="8">
                  <c:v>64.624249600000041</c:v>
                </c:pt>
                <c:pt idx="9">
                  <c:v>65.02589440000007</c:v>
                </c:pt>
                <c:pt idx="10">
                  <c:v>65.404960000000031</c:v>
                </c:pt>
                <c:pt idx="11">
                  <c:v>65.761446400000054</c:v>
                </c:pt>
                <c:pt idx="12">
                  <c:v>66.095353600000081</c:v>
                </c:pt>
                <c:pt idx="13">
                  <c:v>66.406681600000041</c:v>
                </c:pt>
                <c:pt idx="14">
                  <c:v>66.695430400000063</c:v>
                </c:pt>
                <c:pt idx="15">
                  <c:v>66.961600000000089</c:v>
                </c:pt>
                <c:pt idx="16">
                  <c:v>67.205190400000049</c:v>
                </c:pt>
                <c:pt idx="17">
                  <c:v>67.42620160000007</c:v>
                </c:pt>
                <c:pt idx="18">
                  <c:v>67.624633600000038</c:v>
                </c:pt>
                <c:pt idx="19">
                  <c:v>67.800486400000054</c:v>
                </c:pt>
                <c:pt idx="20">
                  <c:v>67.953760000000074</c:v>
                </c:pt>
                <c:pt idx="21">
                  <c:v>68.084454400000055</c:v>
                </c:pt>
                <c:pt idx="22">
                  <c:v>68.19256960000007</c:v>
                </c:pt>
                <c:pt idx="23">
                  <c:v>68.278105600000089</c:v>
                </c:pt>
                <c:pt idx="24">
                  <c:v>68.341062400000041</c:v>
                </c:pt>
                <c:pt idx="25">
                  <c:v>68.381440000000069</c:v>
                </c:pt>
                <c:pt idx="26">
                  <c:v>68.39923840000003</c:v>
                </c:pt>
                <c:pt idx="27">
                  <c:v>68.394457600000052</c:v>
                </c:pt>
                <c:pt idx="28">
                  <c:v>68.367097600000065</c:v>
                </c:pt>
                <c:pt idx="29">
                  <c:v>68.317158400000025</c:v>
                </c:pt>
                <c:pt idx="30">
                  <c:v>68.244640000000047</c:v>
                </c:pt>
                <c:pt idx="31">
                  <c:v>68.149542400000058</c:v>
                </c:pt>
                <c:pt idx="32">
                  <c:v>68.031865600000032</c:v>
                </c:pt>
                <c:pt idx="33">
                  <c:v>67.891609600000038</c:v>
                </c:pt>
                <c:pt idx="34">
                  <c:v>67.728774400000063</c:v>
                </c:pt>
                <c:pt idx="35">
                  <c:v>67.543360000000035</c:v>
                </c:pt>
                <c:pt idx="36">
                  <c:v>67.335366400000055</c:v>
                </c:pt>
                <c:pt idx="37">
                  <c:v>67.104793600000022</c:v>
                </c:pt>
                <c:pt idx="38">
                  <c:v>66.851641600000022</c:v>
                </c:pt>
                <c:pt idx="39">
                  <c:v>66.575910400000055</c:v>
                </c:pt>
                <c:pt idx="40">
                  <c:v>66.277600000000021</c:v>
                </c:pt>
                <c:pt idx="41">
                  <c:v>65.956710400000034</c:v>
                </c:pt>
                <c:pt idx="42">
                  <c:v>65.613241600000066</c:v>
                </c:pt>
                <c:pt idx="43">
                  <c:v>65.247193600000017</c:v>
                </c:pt>
                <c:pt idx="44">
                  <c:v>64.858566400000043</c:v>
                </c:pt>
                <c:pt idx="45">
                  <c:v>64.44736000000006</c:v>
                </c:pt>
                <c:pt idx="46">
                  <c:v>64.013574400000024</c:v>
                </c:pt>
                <c:pt idx="47">
                  <c:v>63.557209600000043</c:v>
                </c:pt>
                <c:pt idx="48">
                  <c:v>63.078265600000009</c:v>
                </c:pt>
                <c:pt idx="49">
                  <c:v>62.576742400000029</c:v>
                </c:pt>
                <c:pt idx="50">
                  <c:v>62.052640000000046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385A-43B2-9C9C-0FB310DD3FD5}"/>
            </c:ext>
          </c:extLst>
        </c:ser>
        <c:ser>
          <c:idx val="45"/>
          <c:order val="45"/>
          <c:tx>
            <c:strRef>
              <c:f>'3dGraph'!$AU$27</c:f>
              <c:strCache>
                <c:ptCount val="1"/>
                <c:pt idx="0">
                  <c:v>1900</c:v>
                </c:pt>
              </c:strCache>
            </c:strRef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'3dGraph'!$A$28:$A$78</c:f>
              <c:numCache>
                <c:formatCode>General</c:formatCode>
                <c:ptCount val="51"/>
                <c:pt idx="0">
                  <c:v>120</c:v>
                </c:pt>
                <c:pt idx="1">
                  <c:v>117.6</c:v>
                </c:pt>
                <c:pt idx="2">
                  <c:v>115.19999999999999</c:v>
                </c:pt>
                <c:pt idx="3">
                  <c:v>112.79999999999998</c:v>
                </c:pt>
                <c:pt idx="4">
                  <c:v>110.39999999999998</c:v>
                </c:pt>
                <c:pt idx="5">
                  <c:v>107.99999999999997</c:v>
                </c:pt>
                <c:pt idx="6">
                  <c:v>105.59999999999997</c:v>
                </c:pt>
                <c:pt idx="7">
                  <c:v>103.19999999999996</c:v>
                </c:pt>
                <c:pt idx="8">
                  <c:v>100.79999999999995</c:v>
                </c:pt>
                <c:pt idx="9">
                  <c:v>98.399999999999949</c:v>
                </c:pt>
                <c:pt idx="10">
                  <c:v>95.999999999999943</c:v>
                </c:pt>
                <c:pt idx="11">
                  <c:v>93.599999999999937</c:v>
                </c:pt>
                <c:pt idx="12">
                  <c:v>91.199999999999932</c:v>
                </c:pt>
                <c:pt idx="13">
                  <c:v>88.799999999999926</c:v>
                </c:pt>
                <c:pt idx="14">
                  <c:v>86.39999999999992</c:v>
                </c:pt>
                <c:pt idx="15">
                  <c:v>83.999999999999915</c:v>
                </c:pt>
                <c:pt idx="16">
                  <c:v>81.599999999999909</c:v>
                </c:pt>
                <c:pt idx="17">
                  <c:v>79.199999999999903</c:v>
                </c:pt>
                <c:pt idx="18">
                  <c:v>76.799999999999898</c:v>
                </c:pt>
                <c:pt idx="19">
                  <c:v>74.399999999999892</c:v>
                </c:pt>
                <c:pt idx="20">
                  <c:v>71.999999999999886</c:v>
                </c:pt>
                <c:pt idx="21">
                  <c:v>69.599999999999881</c:v>
                </c:pt>
                <c:pt idx="22">
                  <c:v>67.199999999999875</c:v>
                </c:pt>
                <c:pt idx="23">
                  <c:v>64.799999999999869</c:v>
                </c:pt>
                <c:pt idx="24">
                  <c:v>62.399999999999871</c:v>
                </c:pt>
                <c:pt idx="25">
                  <c:v>59.999999999999872</c:v>
                </c:pt>
                <c:pt idx="26">
                  <c:v>57.599999999999874</c:v>
                </c:pt>
                <c:pt idx="27">
                  <c:v>55.199999999999875</c:v>
                </c:pt>
                <c:pt idx="28">
                  <c:v>52.799999999999876</c:v>
                </c:pt>
                <c:pt idx="29">
                  <c:v>50.399999999999878</c:v>
                </c:pt>
                <c:pt idx="30">
                  <c:v>47.999999999999879</c:v>
                </c:pt>
                <c:pt idx="31">
                  <c:v>45.599999999999881</c:v>
                </c:pt>
                <c:pt idx="32">
                  <c:v>43.199999999999882</c:v>
                </c:pt>
                <c:pt idx="33">
                  <c:v>40.799999999999883</c:v>
                </c:pt>
                <c:pt idx="34">
                  <c:v>38.399999999999885</c:v>
                </c:pt>
                <c:pt idx="35">
                  <c:v>35.999999999999886</c:v>
                </c:pt>
                <c:pt idx="36">
                  <c:v>33.599999999999888</c:v>
                </c:pt>
                <c:pt idx="37">
                  <c:v>31.199999999999889</c:v>
                </c:pt>
                <c:pt idx="38">
                  <c:v>28.799999999999891</c:v>
                </c:pt>
                <c:pt idx="39">
                  <c:v>26.399999999999892</c:v>
                </c:pt>
                <c:pt idx="40">
                  <c:v>23.999999999999893</c:v>
                </c:pt>
                <c:pt idx="41">
                  <c:v>21.599999999999895</c:v>
                </c:pt>
                <c:pt idx="42">
                  <c:v>19.199999999999896</c:v>
                </c:pt>
                <c:pt idx="43">
                  <c:v>16.799999999999898</c:v>
                </c:pt>
                <c:pt idx="44">
                  <c:v>14.399999999999897</c:v>
                </c:pt>
                <c:pt idx="45">
                  <c:v>11.999999999999897</c:v>
                </c:pt>
                <c:pt idx="46">
                  <c:v>9.5999999999998966</c:v>
                </c:pt>
                <c:pt idx="47">
                  <c:v>7.1999999999998963</c:v>
                </c:pt>
                <c:pt idx="48">
                  <c:v>4.7999999999998959</c:v>
                </c:pt>
                <c:pt idx="49">
                  <c:v>2.399999999999896</c:v>
                </c:pt>
                <c:pt idx="50">
                  <c:v>-1.0391687510491465E-13</c:v>
                </c:pt>
              </c:numCache>
            </c:numRef>
          </c:cat>
          <c:val>
            <c:numRef>
              <c:f>'3dGraph'!$AU$28:$AU$78</c:f>
              <c:numCache>
                <c:formatCode>General</c:formatCode>
                <c:ptCount val="51"/>
                <c:pt idx="0">
                  <c:v>58.759999999999962</c:v>
                </c:pt>
                <c:pt idx="1">
                  <c:v>59.340310399999993</c:v>
                </c:pt>
                <c:pt idx="2">
                  <c:v>59.898041600000013</c:v>
                </c:pt>
                <c:pt idx="3">
                  <c:v>60.433193599999981</c:v>
                </c:pt>
                <c:pt idx="4">
                  <c:v>60.945766400000011</c:v>
                </c:pt>
                <c:pt idx="5">
                  <c:v>61.435759999999974</c:v>
                </c:pt>
                <c:pt idx="6">
                  <c:v>61.903174399999983</c:v>
                </c:pt>
                <c:pt idx="7">
                  <c:v>62.348009600000005</c:v>
                </c:pt>
                <c:pt idx="8">
                  <c:v>62.770265599999973</c:v>
                </c:pt>
                <c:pt idx="9">
                  <c:v>63.169942399999996</c:v>
                </c:pt>
                <c:pt idx="10">
                  <c:v>63.547039999999967</c:v>
                </c:pt>
                <c:pt idx="11">
                  <c:v>63.901558399999985</c:v>
                </c:pt>
                <c:pt idx="12">
                  <c:v>64.233497600000007</c:v>
                </c:pt>
                <c:pt idx="13">
                  <c:v>64.542857599999977</c:v>
                </c:pt>
                <c:pt idx="14">
                  <c:v>64.829638399999993</c:v>
                </c:pt>
                <c:pt idx="15">
                  <c:v>65.093840000000029</c:v>
                </c:pt>
                <c:pt idx="16">
                  <c:v>65.335462399999983</c:v>
                </c:pt>
                <c:pt idx="17">
                  <c:v>65.554505600000013</c:v>
                </c:pt>
                <c:pt idx="18">
                  <c:v>65.750969599999962</c:v>
                </c:pt>
                <c:pt idx="19">
                  <c:v>65.924854399999987</c:v>
                </c:pt>
                <c:pt idx="20">
                  <c:v>66.076160000000002</c:v>
                </c:pt>
                <c:pt idx="21">
                  <c:v>66.204886399999964</c:v>
                </c:pt>
                <c:pt idx="22">
                  <c:v>66.311033600000002</c:v>
                </c:pt>
                <c:pt idx="23">
                  <c:v>66.394601600000016</c:v>
                </c:pt>
                <c:pt idx="24">
                  <c:v>66.455590399999977</c:v>
                </c:pt>
                <c:pt idx="25">
                  <c:v>66.494</c:v>
                </c:pt>
                <c:pt idx="26">
                  <c:v>66.50983039999997</c:v>
                </c:pt>
                <c:pt idx="27">
                  <c:v>66.503081599999987</c:v>
                </c:pt>
                <c:pt idx="28">
                  <c:v>66.473753600000009</c:v>
                </c:pt>
                <c:pt idx="29">
                  <c:v>66.421846399999964</c:v>
                </c:pt>
                <c:pt idx="30">
                  <c:v>66.347359999999981</c:v>
                </c:pt>
                <c:pt idx="31">
                  <c:v>66.250294399999987</c:v>
                </c:pt>
                <c:pt idx="32">
                  <c:v>66.130649599999956</c:v>
                </c:pt>
                <c:pt idx="33">
                  <c:v>65.988425599999971</c:v>
                </c:pt>
                <c:pt idx="34">
                  <c:v>65.823622399999991</c:v>
                </c:pt>
                <c:pt idx="35">
                  <c:v>65.636239999999958</c:v>
                </c:pt>
                <c:pt idx="36">
                  <c:v>65.426278399999987</c:v>
                </c:pt>
                <c:pt idx="37">
                  <c:v>65.193737599999949</c:v>
                </c:pt>
                <c:pt idx="38">
                  <c:v>64.938617599999958</c:v>
                </c:pt>
                <c:pt idx="39">
                  <c:v>64.660918399999986</c:v>
                </c:pt>
                <c:pt idx="40">
                  <c:v>64.360639999999947</c:v>
                </c:pt>
                <c:pt idx="41">
                  <c:v>64.037782399999969</c:v>
                </c:pt>
                <c:pt idx="42">
                  <c:v>63.692345599999989</c:v>
                </c:pt>
                <c:pt idx="43">
                  <c:v>63.324329599999956</c:v>
                </c:pt>
                <c:pt idx="44">
                  <c:v>62.933734399999977</c:v>
                </c:pt>
                <c:pt idx="45">
                  <c:v>62.520559999999989</c:v>
                </c:pt>
                <c:pt idx="46">
                  <c:v>62.084806399999955</c:v>
                </c:pt>
                <c:pt idx="47">
                  <c:v>61.626473599999976</c:v>
                </c:pt>
                <c:pt idx="48">
                  <c:v>61.145561599999937</c:v>
                </c:pt>
                <c:pt idx="49">
                  <c:v>60.642070399999959</c:v>
                </c:pt>
                <c:pt idx="50">
                  <c:v>60.115999999999978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385A-43B2-9C9C-0FB310DD3FD5}"/>
            </c:ext>
          </c:extLst>
        </c:ser>
        <c:ser>
          <c:idx val="46"/>
          <c:order val="46"/>
          <c:tx>
            <c:strRef>
              <c:f>'3dGraph'!$AV$27</c:f>
              <c:strCache>
                <c:ptCount val="1"/>
                <c:pt idx="0">
                  <c:v>1920</c:v>
                </c:pt>
              </c:strCache>
            </c:strRef>
          </c:tx>
          <c:spPr>
            <a:solidFill>
              <a:srgbClr val="FF00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'3dGraph'!$A$28:$A$78</c:f>
              <c:numCache>
                <c:formatCode>General</c:formatCode>
                <c:ptCount val="51"/>
                <c:pt idx="0">
                  <c:v>120</c:v>
                </c:pt>
                <c:pt idx="1">
                  <c:v>117.6</c:v>
                </c:pt>
                <c:pt idx="2">
                  <c:v>115.19999999999999</c:v>
                </c:pt>
                <c:pt idx="3">
                  <c:v>112.79999999999998</c:v>
                </c:pt>
                <c:pt idx="4">
                  <c:v>110.39999999999998</c:v>
                </c:pt>
                <c:pt idx="5">
                  <c:v>107.99999999999997</c:v>
                </c:pt>
                <c:pt idx="6">
                  <c:v>105.59999999999997</c:v>
                </c:pt>
                <c:pt idx="7">
                  <c:v>103.19999999999996</c:v>
                </c:pt>
                <c:pt idx="8">
                  <c:v>100.79999999999995</c:v>
                </c:pt>
                <c:pt idx="9">
                  <c:v>98.399999999999949</c:v>
                </c:pt>
                <c:pt idx="10">
                  <c:v>95.999999999999943</c:v>
                </c:pt>
                <c:pt idx="11">
                  <c:v>93.599999999999937</c:v>
                </c:pt>
                <c:pt idx="12">
                  <c:v>91.199999999999932</c:v>
                </c:pt>
                <c:pt idx="13">
                  <c:v>88.799999999999926</c:v>
                </c:pt>
                <c:pt idx="14">
                  <c:v>86.39999999999992</c:v>
                </c:pt>
                <c:pt idx="15">
                  <c:v>83.999999999999915</c:v>
                </c:pt>
                <c:pt idx="16">
                  <c:v>81.599999999999909</c:v>
                </c:pt>
                <c:pt idx="17">
                  <c:v>79.199999999999903</c:v>
                </c:pt>
                <c:pt idx="18">
                  <c:v>76.799999999999898</c:v>
                </c:pt>
                <c:pt idx="19">
                  <c:v>74.399999999999892</c:v>
                </c:pt>
                <c:pt idx="20">
                  <c:v>71.999999999999886</c:v>
                </c:pt>
                <c:pt idx="21">
                  <c:v>69.599999999999881</c:v>
                </c:pt>
                <c:pt idx="22">
                  <c:v>67.199999999999875</c:v>
                </c:pt>
                <c:pt idx="23">
                  <c:v>64.799999999999869</c:v>
                </c:pt>
                <c:pt idx="24">
                  <c:v>62.399999999999871</c:v>
                </c:pt>
                <c:pt idx="25">
                  <c:v>59.999999999999872</c:v>
                </c:pt>
                <c:pt idx="26">
                  <c:v>57.599999999999874</c:v>
                </c:pt>
                <c:pt idx="27">
                  <c:v>55.199999999999875</c:v>
                </c:pt>
                <c:pt idx="28">
                  <c:v>52.799999999999876</c:v>
                </c:pt>
                <c:pt idx="29">
                  <c:v>50.399999999999878</c:v>
                </c:pt>
                <c:pt idx="30">
                  <c:v>47.999999999999879</c:v>
                </c:pt>
                <c:pt idx="31">
                  <c:v>45.599999999999881</c:v>
                </c:pt>
                <c:pt idx="32">
                  <c:v>43.199999999999882</c:v>
                </c:pt>
                <c:pt idx="33">
                  <c:v>40.799999999999883</c:v>
                </c:pt>
                <c:pt idx="34">
                  <c:v>38.399999999999885</c:v>
                </c:pt>
                <c:pt idx="35">
                  <c:v>35.999999999999886</c:v>
                </c:pt>
                <c:pt idx="36">
                  <c:v>33.599999999999888</c:v>
                </c:pt>
                <c:pt idx="37">
                  <c:v>31.199999999999889</c:v>
                </c:pt>
                <c:pt idx="38">
                  <c:v>28.799999999999891</c:v>
                </c:pt>
                <c:pt idx="39">
                  <c:v>26.399999999999892</c:v>
                </c:pt>
                <c:pt idx="40">
                  <c:v>23.999999999999893</c:v>
                </c:pt>
                <c:pt idx="41">
                  <c:v>21.599999999999895</c:v>
                </c:pt>
                <c:pt idx="42">
                  <c:v>19.199999999999896</c:v>
                </c:pt>
                <c:pt idx="43">
                  <c:v>16.799999999999898</c:v>
                </c:pt>
                <c:pt idx="44">
                  <c:v>14.399999999999897</c:v>
                </c:pt>
                <c:pt idx="45">
                  <c:v>11.999999999999897</c:v>
                </c:pt>
                <c:pt idx="46">
                  <c:v>9.5999999999998966</c:v>
                </c:pt>
                <c:pt idx="47">
                  <c:v>7.1999999999998963</c:v>
                </c:pt>
                <c:pt idx="48">
                  <c:v>4.7999999999998959</c:v>
                </c:pt>
                <c:pt idx="49">
                  <c:v>2.399999999999896</c:v>
                </c:pt>
                <c:pt idx="50">
                  <c:v>-1.0391687510491465E-13</c:v>
                </c:pt>
              </c:numCache>
            </c:numRef>
          </c:cat>
          <c:val>
            <c:numRef>
              <c:f>'3dGraph'!$AV$28:$AV$78</c:f>
              <c:numCache>
                <c:formatCode>General</c:formatCode>
                <c:ptCount val="51"/>
                <c:pt idx="0">
                  <c:v>56.846239999999966</c:v>
                </c:pt>
                <c:pt idx="1">
                  <c:v>57.424582400000006</c:v>
                </c:pt>
                <c:pt idx="2">
                  <c:v>57.980345600000021</c:v>
                </c:pt>
                <c:pt idx="3">
                  <c:v>58.513529599999984</c:v>
                </c:pt>
                <c:pt idx="4">
                  <c:v>59.024134400000008</c:v>
                </c:pt>
                <c:pt idx="5">
                  <c:v>59.512159999999966</c:v>
                </c:pt>
                <c:pt idx="6">
                  <c:v>59.977606399999999</c:v>
                </c:pt>
                <c:pt idx="7">
                  <c:v>60.420473600000015</c:v>
                </c:pt>
                <c:pt idx="8">
                  <c:v>60.840761599999979</c:v>
                </c:pt>
                <c:pt idx="9">
                  <c:v>61.238470400000011</c:v>
                </c:pt>
                <c:pt idx="10">
                  <c:v>61.613599999999977</c:v>
                </c:pt>
                <c:pt idx="11">
                  <c:v>61.966150399999989</c:v>
                </c:pt>
                <c:pt idx="12">
                  <c:v>62.296121600000006</c:v>
                </c:pt>
                <c:pt idx="13">
                  <c:v>62.603513599999985</c:v>
                </c:pt>
                <c:pt idx="14">
                  <c:v>62.888326400000004</c:v>
                </c:pt>
                <c:pt idx="15">
                  <c:v>63.15056000000002</c:v>
                </c:pt>
                <c:pt idx="16">
                  <c:v>63.390214399999984</c:v>
                </c:pt>
                <c:pt idx="17">
                  <c:v>63.607289600000016</c:v>
                </c:pt>
                <c:pt idx="18">
                  <c:v>63.801785599999974</c:v>
                </c:pt>
                <c:pt idx="19">
                  <c:v>63.973702399999993</c:v>
                </c:pt>
                <c:pt idx="20">
                  <c:v>64.123040000000003</c:v>
                </c:pt>
                <c:pt idx="21">
                  <c:v>64.249798399999975</c:v>
                </c:pt>
                <c:pt idx="22">
                  <c:v>64.353977600000007</c:v>
                </c:pt>
                <c:pt idx="23">
                  <c:v>64.435577600000016</c:v>
                </c:pt>
                <c:pt idx="24">
                  <c:v>64.494598399999987</c:v>
                </c:pt>
                <c:pt idx="25">
                  <c:v>64.531040000000004</c:v>
                </c:pt>
                <c:pt idx="26">
                  <c:v>64.544902399999955</c:v>
                </c:pt>
                <c:pt idx="27">
                  <c:v>64.536185599999982</c:v>
                </c:pt>
                <c:pt idx="28">
                  <c:v>64.504889600000013</c:v>
                </c:pt>
                <c:pt idx="29">
                  <c:v>64.451014399999963</c:v>
                </c:pt>
                <c:pt idx="30">
                  <c:v>64.374559999999974</c:v>
                </c:pt>
                <c:pt idx="31">
                  <c:v>64.275526400000004</c:v>
                </c:pt>
                <c:pt idx="32">
                  <c:v>64.153913599999967</c:v>
                </c:pt>
                <c:pt idx="33">
                  <c:v>64.009721599999978</c:v>
                </c:pt>
                <c:pt idx="34">
                  <c:v>63.842950400000014</c:v>
                </c:pt>
                <c:pt idx="35">
                  <c:v>63.653599999999969</c:v>
                </c:pt>
                <c:pt idx="36">
                  <c:v>63.441670399999985</c:v>
                </c:pt>
                <c:pt idx="37">
                  <c:v>63.207161599999957</c:v>
                </c:pt>
                <c:pt idx="38">
                  <c:v>62.950073599999975</c:v>
                </c:pt>
                <c:pt idx="39">
                  <c:v>62.67040639999999</c:v>
                </c:pt>
                <c:pt idx="40">
                  <c:v>62.368159999999953</c:v>
                </c:pt>
                <c:pt idx="41">
                  <c:v>62.043334399999978</c:v>
                </c:pt>
                <c:pt idx="42">
                  <c:v>61.695929599999992</c:v>
                </c:pt>
                <c:pt idx="43">
                  <c:v>61.325945599999962</c:v>
                </c:pt>
                <c:pt idx="44">
                  <c:v>60.933382399999978</c:v>
                </c:pt>
                <c:pt idx="45">
                  <c:v>60.518239999999999</c:v>
                </c:pt>
                <c:pt idx="46">
                  <c:v>60.08051839999996</c:v>
                </c:pt>
                <c:pt idx="47">
                  <c:v>59.620217599999982</c:v>
                </c:pt>
                <c:pt idx="48">
                  <c:v>59.137337599999945</c:v>
                </c:pt>
                <c:pt idx="49">
                  <c:v>58.631878399999962</c:v>
                </c:pt>
                <c:pt idx="50">
                  <c:v>58.103839999999984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385A-43B2-9C9C-0FB310DD3FD5}"/>
            </c:ext>
          </c:extLst>
        </c:ser>
        <c:ser>
          <c:idx val="47"/>
          <c:order val="47"/>
          <c:tx>
            <c:strRef>
              <c:f>'3dGraph'!$AW$27</c:f>
              <c:strCache>
                <c:ptCount val="1"/>
                <c:pt idx="0">
                  <c:v>1940</c:v>
                </c:pt>
              </c:strCache>
            </c:strRef>
          </c:tx>
          <c:spPr>
            <a:solidFill>
              <a:srgbClr val="00FF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'3dGraph'!$A$28:$A$78</c:f>
              <c:numCache>
                <c:formatCode>General</c:formatCode>
                <c:ptCount val="51"/>
                <c:pt idx="0">
                  <c:v>120</c:v>
                </c:pt>
                <c:pt idx="1">
                  <c:v>117.6</c:v>
                </c:pt>
                <c:pt idx="2">
                  <c:v>115.19999999999999</c:v>
                </c:pt>
                <c:pt idx="3">
                  <c:v>112.79999999999998</c:v>
                </c:pt>
                <c:pt idx="4">
                  <c:v>110.39999999999998</c:v>
                </c:pt>
                <c:pt idx="5">
                  <c:v>107.99999999999997</c:v>
                </c:pt>
                <c:pt idx="6">
                  <c:v>105.59999999999997</c:v>
                </c:pt>
                <c:pt idx="7">
                  <c:v>103.19999999999996</c:v>
                </c:pt>
                <c:pt idx="8">
                  <c:v>100.79999999999995</c:v>
                </c:pt>
                <c:pt idx="9">
                  <c:v>98.399999999999949</c:v>
                </c:pt>
                <c:pt idx="10">
                  <c:v>95.999999999999943</c:v>
                </c:pt>
                <c:pt idx="11">
                  <c:v>93.599999999999937</c:v>
                </c:pt>
                <c:pt idx="12">
                  <c:v>91.199999999999932</c:v>
                </c:pt>
                <c:pt idx="13">
                  <c:v>88.799999999999926</c:v>
                </c:pt>
                <c:pt idx="14">
                  <c:v>86.39999999999992</c:v>
                </c:pt>
                <c:pt idx="15">
                  <c:v>83.999999999999915</c:v>
                </c:pt>
                <c:pt idx="16">
                  <c:v>81.599999999999909</c:v>
                </c:pt>
                <c:pt idx="17">
                  <c:v>79.199999999999903</c:v>
                </c:pt>
                <c:pt idx="18">
                  <c:v>76.799999999999898</c:v>
                </c:pt>
                <c:pt idx="19">
                  <c:v>74.399999999999892</c:v>
                </c:pt>
                <c:pt idx="20">
                  <c:v>71.999999999999886</c:v>
                </c:pt>
                <c:pt idx="21">
                  <c:v>69.599999999999881</c:v>
                </c:pt>
                <c:pt idx="22">
                  <c:v>67.199999999999875</c:v>
                </c:pt>
                <c:pt idx="23">
                  <c:v>64.799999999999869</c:v>
                </c:pt>
                <c:pt idx="24">
                  <c:v>62.399999999999871</c:v>
                </c:pt>
                <c:pt idx="25">
                  <c:v>59.999999999999872</c:v>
                </c:pt>
                <c:pt idx="26">
                  <c:v>57.599999999999874</c:v>
                </c:pt>
                <c:pt idx="27">
                  <c:v>55.199999999999875</c:v>
                </c:pt>
                <c:pt idx="28">
                  <c:v>52.799999999999876</c:v>
                </c:pt>
                <c:pt idx="29">
                  <c:v>50.399999999999878</c:v>
                </c:pt>
                <c:pt idx="30">
                  <c:v>47.999999999999879</c:v>
                </c:pt>
                <c:pt idx="31">
                  <c:v>45.599999999999881</c:v>
                </c:pt>
                <c:pt idx="32">
                  <c:v>43.199999999999882</c:v>
                </c:pt>
                <c:pt idx="33">
                  <c:v>40.799999999999883</c:v>
                </c:pt>
                <c:pt idx="34">
                  <c:v>38.399999999999885</c:v>
                </c:pt>
                <c:pt idx="35">
                  <c:v>35.999999999999886</c:v>
                </c:pt>
                <c:pt idx="36">
                  <c:v>33.599999999999888</c:v>
                </c:pt>
                <c:pt idx="37">
                  <c:v>31.199999999999889</c:v>
                </c:pt>
                <c:pt idx="38">
                  <c:v>28.799999999999891</c:v>
                </c:pt>
                <c:pt idx="39">
                  <c:v>26.399999999999892</c:v>
                </c:pt>
                <c:pt idx="40">
                  <c:v>23.999999999999893</c:v>
                </c:pt>
                <c:pt idx="41">
                  <c:v>21.599999999999895</c:v>
                </c:pt>
                <c:pt idx="42">
                  <c:v>19.199999999999896</c:v>
                </c:pt>
                <c:pt idx="43">
                  <c:v>16.799999999999898</c:v>
                </c:pt>
                <c:pt idx="44">
                  <c:v>14.399999999999897</c:v>
                </c:pt>
                <c:pt idx="45">
                  <c:v>11.999999999999897</c:v>
                </c:pt>
                <c:pt idx="46">
                  <c:v>9.5999999999998966</c:v>
                </c:pt>
                <c:pt idx="47">
                  <c:v>7.1999999999998963</c:v>
                </c:pt>
                <c:pt idx="48">
                  <c:v>4.7999999999998959</c:v>
                </c:pt>
                <c:pt idx="49">
                  <c:v>2.399999999999896</c:v>
                </c:pt>
                <c:pt idx="50">
                  <c:v>-1.0391687510491465E-13</c:v>
                </c:pt>
              </c:numCache>
            </c:numRef>
          </c:cat>
          <c:val>
            <c:numRef>
              <c:f>'3dGraph'!$AW$28:$AW$78</c:f>
              <c:numCache>
                <c:formatCode>General</c:formatCode>
                <c:ptCount val="51"/>
                <c:pt idx="0">
                  <c:v>54.856960000000043</c:v>
                </c:pt>
                <c:pt idx="1">
                  <c:v>55.433334400000078</c:v>
                </c:pt>
                <c:pt idx="2">
                  <c:v>55.987129600000102</c:v>
                </c:pt>
                <c:pt idx="3">
                  <c:v>56.51834560000006</c:v>
                </c:pt>
                <c:pt idx="4">
                  <c:v>57.026982400000094</c:v>
                </c:pt>
                <c:pt idx="5">
                  <c:v>57.513040000000046</c:v>
                </c:pt>
                <c:pt idx="6">
                  <c:v>57.976518400000074</c:v>
                </c:pt>
                <c:pt idx="7">
                  <c:v>58.4174176000001</c:v>
                </c:pt>
                <c:pt idx="8">
                  <c:v>58.835737600000058</c:v>
                </c:pt>
                <c:pt idx="9">
                  <c:v>59.231478400000086</c:v>
                </c:pt>
                <c:pt idx="10">
                  <c:v>59.60464000000006</c:v>
                </c:pt>
                <c:pt idx="11">
                  <c:v>59.955222400000068</c:v>
                </c:pt>
                <c:pt idx="12">
                  <c:v>60.283225600000094</c:v>
                </c:pt>
                <c:pt idx="13">
                  <c:v>60.588649600000053</c:v>
                </c:pt>
                <c:pt idx="14">
                  <c:v>60.871494400000081</c:v>
                </c:pt>
                <c:pt idx="15">
                  <c:v>61.131760000000106</c:v>
                </c:pt>
                <c:pt idx="16">
                  <c:v>61.369446400000065</c:v>
                </c:pt>
                <c:pt idx="17">
                  <c:v>61.584553600000092</c:v>
                </c:pt>
                <c:pt idx="18">
                  <c:v>61.777081600000045</c:v>
                </c:pt>
                <c:pt idx="19">
                  <c:v>61.947030400000074</c:v>
                </c:pt>
                <c:pt idx="20">
                  <c:v>62.0944000000001</c:v>
                </c:pt>
                <c:pt idx="21">
                  <c:v>62.219190400000052</c:v>
                </c:pt>
                <c:pt idx="22">
                  <c:v>62.32140160000008</c:v>
                </c:pt>
                <c:pt idx="23">
                  <c:v>62.401033600000105</c:v>
                </c:pt>
                <c:pt idx="24">
                  <c:v>62.458086400000056</c:v>
                </c:pt>
                <c:pt idx="25">
                  <c:v>62.492560000000083</c:v>
                </c:pt>
                <c:pt idx="26">
                  <c:v>62.50445440000005</c:v>
                </c:pt>
                <c:pt idx="27">
                  <c:v>62.493769600000057</c:v>
                </c:pt>
                <c:pt idx="28">
                  <c:v>62.460505600000083</c:v>
                </c:pt>
                <c:pt idx="29">
                  <c:v>62.404662400000049</c:v>
                </c:pt>
                <c:pt idx="30">
                  <c:v>62.326240000000062</c:v>
                </c:pt>
                <c:pt idx="31">
                  <c:v>62.225238400000087</c:v>
                </c:pt>
                <c:pt idx="32">
                  <c:v>62.101657600000053</c:v>
                </c:pt>
                <c:pt idx="33">
                  <c:v>61.955497600000065</c:v>
                </c:pt>
                <c:pt idx="34">
                  <c:v>61.786758400000089</c:v>
                </c:pt>
                <c:pt idx="35">
                  <c:v>61.595440000000053</c:v>
                </c:pt>
                <c:pt idx="36">
                  <c:v>61.381542400000065</c:v>
                </c:pt>
                <c:pt idx="37">
                  <c:v>61.145065600000031</c:v>
                </c:pt>
                <c:pt idx="38">
                  <c:v>60.886009600000051</c:v>
                </c:pt>
                <c:pt idx="39">
                  <c:v>60.604374400000069</c:v>
                </c:pt>
                <c:pt idx="40">
                  <c:v>60.300160000000034</c:v>
                </c:pt>
                <c:pt idx="41">
                  <c:v>59.973366400000053</c:v>
                </c:pt>
                <c:pt idx="42">
                  <c:v>59.62399360000007</c:v>
                </c:pt>
                <c:pt idx="43">
                  <c:v>59.252041600000041</c:v>
                </c:pt>
                <c:pt idx="44">
                  <c:v>58.857510400000059</c:v>
                </c:pt>
                <c:pt idx="45">
                  <c:v>58.440400000000075</c:v>
                </c:pt>
                <c:pt idx="46">
                  <c:v>58.000710400000045</c:v>
                </c:pt>
                <c:pt idx="47">
                  <c:v>57.538441600000063</c:v>
                </c:pt>
                <c:pt idx="48">
                  <c:v>57.053593600000021</c:v>
                </c:pt>
                <c:pt idx="49">
                  <c:v>56.546166400000047</c:v>
                </c:pt>
                <c:pt idx="50">
                  <c:v>56.016160000000063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385A-43B2-9C9C-0FB310DD3FD5}"/>
            </c:ext>
          </c:extLst>
        </c:ser>
        <c:ser>
          <c:idx val="48"/>
          <c:order val="48"/>
          <c:tx>
            <c:strRef>
              <c:f>'3dGraph'!$AX$27</c:f>
              <c:strCache>
                <c:ptCount val="1"/>
                <c:pt idx="0">
                  <c:v>1960</c:v>
                </c:pt>
              </c:strCache>
            </c:strRef>
          </c:tx>
          <c:spPr>
            <a:solidFill>
              <a:srgbClr val="80000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'3dGraph'!$A$28:$A$78</c:f>
              <c:numCache>
                <c:formatCode>General</c:formatCode>
                <c:ptCount val="51"/>
                <c:pt idx="0">
                  <c:v>120</c:v>
                </c:pt>
                <c:pt idx="1">
                  <c:v>117.6</c:v>
                </c:pt>
                <c:pt idx="2">
                  <c:v>115.19999999999999</c:v>
                </c:pt>
                <c:pt idx="3">
                  <c:v>112.79999999999998</c:v>
                </c:pt>
                <c:pt idx="4">
                  <c:v>110.39999999999998</c:v>
                </c:pt>
                <c:pt idx="5">
                  <c:v>107.99999999999997</c:v>
                </c:pt>
                <c:pt idx="6">
                  <c:v>105.59999999999997</c:v>
                </c:pt>
                <c:pt idx="7">
                  <c:v>103.19999999999996</c:v>
                </c:pt>
                <c:pt idx="8">
                  <c:v>100.79999999999995</c:v>
                </c:pt>
                <c:pt idx="9">
                  <c:v>98.399999999999949</c:v>
                </c:pt>
                <c:pt idx="10">
                  <c:v>95.999999999999943</c:v>
                </c:pt>
                <c:pt idx="11">
                  <c:v>93.599999999999937</c:v>
                </c:pt>
                <c:pt idx="12">
                  <c:v>91.199999999999932</c:v>
                </c:pt>
                <c:pt idx="13">
                  <c:v>88.799999999999926</c:v>
                </c:pt>
                <c:pt idx="14">
                  <c:v>86.39999999999992</c:v>
                </c:pt>
                <c:pt idx="15">
                  <c:v>83.999999999999915</c:v>
                </c:pt>
                <c:pt idx="16">
                  <c:v>81.599999999999909</c:v>
                </c:pt>
                <c:pt idx="17">
                  <c:v>79.199999999999903</c:v>
                </c:pt>
                <c:pt idx="18">
                  <c:v>76.799999999999898</c:v>
                </c:pt>
                <c:pt idx="19">
                  <c:v>74.399999999999892</c:v>
                </c:pt>
                <c:pt idx="20">
                  <c:v>71.999999999999886</c:v>
                </c:pt>
                <c:pt idx="21">
                  <c:v>69.599999999999881</c:v>
                </c:pt>
                <c:pt idx="22">
                  <c:v>67.199999999999875</c:v>
                </c:pt>
                <c:pt idx="23">
                  <c:v>64.799999999999869</c:v>
                </c:pt>
                <c:pt idx="24">
                  <c:v>62.399999999999871</c:v>
                </c:pt>
                <c:pt idx="25">
                  <c:v>59.999999999999872</c:v>
                </c:pt>
                <c:pt idx="26">
                  <c:v>57.599999999999874</c:v>
                </c:pt>
                <c:pt idx="27">
                  <c:v>55.199999999999875</c:v>
                </c:pt>
                <c:pt idx="28">
                  <c:v>52.799999999999876</c:v>
                </c:pt>
                <c:pt idx="29">
                  <c:v>50.399999999999878</c:v>
                </c:pt>
                <c:pt idx="30">
                  <c:v>47.999999999999879</c:v>
                </c:pt>
                <c:pt idx="31">
                  <c:v>45.599999999999881</c:v>
                </c:pt>
                <c:pt idx="32">
                  <c:v>43.199999999999882</c:v>
                </c:pt>
                <c:pt idx="33">
                  <c:v>40.799999999999883</c:v>
                </c:pt>
                <c:pt idx="34">
                  <c:v>38.399999999999885</c:v>
                </c:pt>
                <c:pt idx="35">
                  <c:v>35.999999999999886</c:v>
                </c:pt>
                <c:pt idx="36">
                  <c:v>33.599999999999888</c:v>
                </c:pt>
                <c:pt idx="37">
                  <c:v>31.199999999999889</c:v>
                </c:pt>
                <c:pt idx="38">
                  <c:v>28.799999999999891</c:v>
                </c:pt>
                <c:pt idx="39">
                  <c:v>26.399999999999892</c:v>
                </c:pt>
                <c:pt idx="40">
                  <c:v>23.999999999999893</c:v>
                </c:pt>
                <c:pt idx="41">
                  <c:v>21.599999999999895</c:v>
                </c:pt>
                <c:pt idx="42">
                  <c:v>19.199999999999896</c:v>
                </c:pt>
                <c:pt idx="43">
                  <c:v>16.799999999999898</c:v>
                </c:pt>
                <c:pt idx="44">
                  <c:v>14.399999999999897</c:v>
                </c:pt>
                <c:pt idx="45">
                  <c:v>11.999999999999897</c:v>
                </c:pt>
                <c:pt idx="46">
                  <c:v>9.5999999999998966</c:v>
                </c:pt>
                <c:pt idx="47">
                  <c:v>7.1999999999998963</c:v>
                </c:pt>
                <c:pt idx="48">
                  <c:v>4.7999999999998959</c:v>
                </c:pt>
                <c:pt idx="49">
                  <c:v>2.399999999999896</c:v>
                </c:pt>
                <c:pt idx="50">
                  <c:v>-1.0391687510491465E-13</c:v>
                </c:pt>
              </c:numCache>
            </c:numRef>
          </c:cat>
          <c:val>
            <c:numRef>
              <c:f>'3dGraph'!$AX$28:$AX$78</c:f>
              <c:numCache>
                <c:formatCode>General</c:formatCode>
                <c:ptCount val="51"/>
                <c:pt idx="0">
                  <c:v>52.792159999999981</c:v>
                </c:pt>
                <c:pt idx="1">
                  <c:v>53.366566399999996</c:v>
                </c:pt>
                <c:pt idx="2">
                  <c:v>53.91839360000003</c:v>
                </c:pt>
                <c:pt idx="3">
                  <c:v>54.447641599999983</c:v>
                </c:pt>
                <c:pt idx="4">
                  <c:v>54.954310400000011</c:v>
                </c:pt>
                <c:pt idx="5">
                  <c:v>55.438399999999973</c:v>
                </c:pt>
                <c:pt idx="6">
                  <c:v>55.899910399999996</c:v>
                </c:pt>
                <c:pt idx="7">
                  <c:v>56.338841600000016</c:v>
                </c:pt>
                <c:pt idx="8">
                  <c:v>56.755193599999984</c:v>
                </c:pt>
                <c:pt idx="9">
                  <c:v>57.148966400000006</c:v>
                </c:pt>
                <c:pt idx="10">
                  <c:v>57.520159999999976</c:v>
                </c:pt>
                <c:pt idx="11">
                  <c:v>57.868774399999992</c:v>
                </c:pt>
                <c:pt idx="12">
                  <c:v>58.194809600000013</c:v>
                </c:pt>
                <c:pt idx="13">
                  <c:v>58.498265599999982</c:v>
                </c:pt>
                <c:pt idx="14">
                  <c:v>58.779142400000005</c:v>
                </c:pt>
                <c:pt idx="15">
                  <c:v>59.037440000000025</c:v>
                </c:pt>
                <c:pt idx="16">
                  <c:v>59.273158399999993</c:v>
                </c:pt>
                <c:pt idx="17">
                  <c:v>59.486297600000015</c:v>
                </c:pt>
                <c:pt idx="18">
                  <c:v>59.676857599999977</c:v>
                </c:pt>
                <c:pt idx="19">
                  <c:v>59.8448384</c:v>
                </c:pt>
                <c:pt idx="20">
                  <c:v>59.990240000000021</c:v>
                </c:pt>
                <c:pt idx="21">
                  <c:v>60.113062399999983</c:v>
                </c:pt>
                <c:pt idx="22">
                  <c:v>60.213305600000005</c:v>
                </c:pt>
                <c:pt idx="23">
                  <c:v>60.290969600000025</c:v>
                </c:pt>
                <c:pt idx="24">
                  <c:v>60.346054399999986</c:v>
                </c:pt>
                <c:pt idx="25">
                  <c:v>60.378560000000007</c:v>
                </c:pt>
                <c:pt idx="26">
                  <c:v>60.388486399999969</c:v>
                </c:pt>
                <c:pt idx="27">
                  <c:v>60.375833599999986</c:v>
                </c:pt>
                <c:pt idx="28">
                  <c:v>60.340601600000006</c:v>
                </c:pt>
                <c:pt idx="29">
                  <c:v>60.282790399999968</c:v>
                </c:pt>
                <c:pt idx="30">
                  <c:v>60.20239999999999</c:v>
                </c:pt>
                <c:pt idx="31">
                  <c:v>60.09943040000001</c:v>
                </c:pt>
                <c:pt idx="32">
                  <c:v>59.97388159999997</c:v>
                </c:pt>
                <c:pt idx="33">
                  <c:v>59.825753599999992</c:v>
                </c:pt>
                <c:pt idx="34">
                  <c:v>59.65504640000001</c:v>
                </c:pt>
                <c:pt idx="35">
                  <c:v>59.46175999999997</c:v>
                </c:pt>
                <c:pt idx="36">
                  <c:v>59.24589439999999</c:v>
                </c:pt>
                <c:pt idx="37">
                  <c:v>59.007449599999951</c:v>
                </c:pt>
                <c:pt idx="38">
                  <c:v>58.746425599999974</c:v>
                </c:pt>
                <c:pt idx="39">
                  <c:v>58.4628224</c:v>
                </c:pt>
                <c:pt idx="40">
                  <c:v>58.15663999999996</c:v>
                </c:pt>
                <c:pt idx="41">
                  <c:v>57.827878399999982</c:v>
                </c:pt>
                <c:pt idx="42">
                  <c:v>57.4765376</c:v>
                </c:pt>
                <c:pt idx="43">
                  <c:v>57.102617599999967</c:v>
                </c:pt>
                <c:pt idx="44">
                  <c:v>56.706118399999987</c:v>
                </c:pt>
                <c:pt idx="45">
                  <c:v>56.287040000000005</c:v>
                </c:pt>
                <c:pt idx="46">
                  <c:v>55.84538239999997</c:v>
                </c:pt>
                <c:pt idx="47">
                  <c:v>55.381145599999989</c:v>
                </c:pt>
                <c:pt idx="48">
                  <c:v>54.894329599999949</c:v>
                </c:pt>
                <c:pt idx="49">
                  <c:v>54.38493439999997</c:v>
                </c:pt>
                <c:pt idx="50">
                  <c:v>53.852959999999989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385A-43B2-9C9C-0FB310DD3FD5}"/>
            </c:ext>
          </c:extLst>
        </c:ser>
        <c:ser>
          <c:idx val="49"/>
          <c:order val="49"/>
          <c:tx>
            <c:strRef>
              <c:f>'3dGraph'!$AY$27</c:f>
              <c:strCache>
                <c:ptCount val="1"/>
                <c:pt idx="0">
                  <c:v>1980</c:v>
                </c:pt>
              </c:strCache>
            </c:strRef>
          </c:tx>
          <c:spPr>
            <a:solidFill>
              <a:srgbClr val="00800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'3dGraph'!$A$28:$A$78</c:f>
              <c:numCache>
                <c:formatCode>General</c:formatCode>
                <c:ptCount val="51"/>
                <c:pt idx="0">
                  <c:v>120</c:v>
                </c:pt>
                <c:pt idx="1">
                  <c:v>117.6</c:v>
                </c:pt>
                <c:pt idx="2">
                  <c:v>115.19999999999999</c:v>
                </c:pt>
                <c:pt idx="3">
                  <c:v>112.79999999999998</c:v>
                </c:pt>
                <c:pt idx="4">
                  <c:v>110.39999999999998</c:v>
                </c:pt>
                <c:pt idx="5">
                  <c:v>107.99999999999997</c:v>
                </c:pt>
                <c:pt idx="6">
                  <c:v>105.59999999999997</c:v>
                </c:pt>
                <c:pt idx="7">
                  <c:v>103.19999999999996</c:v>
                </c:pt>
                <c:pt idx="8">
                  <c:v>100.79999999999995</c:v>
                </c:pt>
                <c:pt idx="9">
                  <c:v>98.399999999999949</c:v>
                </c:pt>
                <c:pt idx="10">
                  <c:v>95.999999999999943</c:v>
                </c:pt>
                <c:pt idx="11">
                  <c:v>93.599999999999937</c:v>
                </c:pt>
                <c:pt idx="12">
                  <c:v>91.199999999999932</c:v>
                </c:pt>
                <c:pt idx="13">
                  <c:v>88.799999999999926</c:v>
                </c:pt>
                <c:pt idx="14">
                  <c:v>86.39999999999992</c:v>
                </c:pt>
                <c:pt idx="15">
                  <c:v>83.999999999999915</c:v>
                </c:pt>
                <c:pt idx="16">
                  <c:v>81.599999999999909</c:v>
                </c:pt>
                <c:pt idx="17">
                  <c:v>79.199999999999903</c:v>
                </c:pt>
                <c:pt idx="18">
                  <c:v>76.799999999999898</c:v>
                </c:pt>
                <c:pt idx="19">
                  <c:v>74.399999999999892</c:v>
                </c:pt>
                <c:pt idx="20">
                  <c:v>71.999999999999886</c:v>
                </c:pt>
                <c:pt idx="21">
                  <c:v>69.599999999999881</c:v>
                </c:pt>
                <c:pt idx="22">
                  <c:v>67.199999999999875</c:v>
                </c:pt>
                <c:pt idx="23">
                  <c:v>64.799999999999869</c:v>
                </c:pt>
                <c:pt idx="24">
                  <c:v>62.399999999999871</c:v>
                </c:pt>
                <c:pt idx="25">
                  <c:v>59.999999999999872</c:v>
                </c:pt>
                <c:pt idx="26">
                  <c:v>57.599999999999874</c:v>
                </c:pt>
                <c:pt idx="27">
                  <c:v>55.199999999999875</c:v>
                </c:pt>
                <c:pt idx="28">
                  <c:v>52.799999999999876</c:v>
                </c:pt>
                <c:pt idx="29">
                  <c:v>50.399999999999878</c:v>
                </c:pt>
                <c:pt idx="30">
                  <c:v>47.999999999999879</c:v>
                </c:pt>
                <c:pt idx="31">
                  <c:v>45.599999999999881</c:v>
                </c:pt>
                <c:pt idx="32">
                  <c:v>43.199999999999882</c:v>
                </c:pt>
                <c:pt idx="33">
                  <c:v>40.799999999999883</c:v>
                </c:pt>
                <c:pt idx="34">
                  <c:v>38.399999999999885</c:v>
                </c:pt>
                <c:pt idx="35">
                  <c:v>35.999999999999886</c:v>
                </c:pt>
                <c:pt idx="36">
                  <c:v>33.599999999999888</c:v>
                </c:pt>
                <c:pt idx="37">
                  <c:v>31.199999999999889</c:v>
                </c:pt>
                <c:pt idx="38">
                  <c:v>28.799999999999891</c:v>
                </c:pt>
                <c:pt idx="39">
                  <c:v>26.399999999999892</c:v>
                </c:pt>
                <c:pt idx="40">
                  <c:v>23.999999999999893</c:v>
                </c:pt>
                <c:pt idx="41">
                  <c:v>21.599999999999895</c:v>
                </c:pt>
                <c:pt idx="42">
                  <c:v>19.199999999999896</c:v>
                </c:pt>
                <c:pt idx="43">
                  <c:v>16.799999999999898</c:v>
                </c:pt>
                <c:pt idx="44">
                  <c:v>14.399999999999897</c:v>
                </c:pt>
                <c:pt idx="45">
                  <c:v>11.999999999999897</c:v>
                </c:pt>
                <c:pt idx="46">
                  <c:v>9.5999999999998966</c:v>
                </c:pt>
                <c:pt idx="47">
                  <c:v>7.1999999999998963</c:v>
                </c:pt>
                <c:pt idx="48">
                  <c:v>4.7999999999998959</c:v>
                </c:pt>
                <c:pt idx="49">
                  <c:v>2.399999999999896</c:v>
                </c:pt>
                <c:pt idx="50">
                  <c:v>-1.0391687510491465E-13</c:v>
                </c:pt>
              </c:numCache>
            </c:numRef>
          </c:cat>
          <c:val>
            <c:numRef>
              <c:f>'3dGraph'!$AY$28:$AY$78</c:f>
              <c:numCache>
                <c:formatCode>General</c:formatCode>
                <c:ptCount val="51"/>
                <c:pt idx="0">
                  <c:v>50.651840000000036</c:v>
                </c:pt>
                <c:pt idx="1">
                  <c:v>51.22427840000006</c:v>
                </c:pt>
                <c:pt idx="2">
                  <c:v>51.774137600000074</c:v>
                </c:pt>
                <c:pt idx="3">
                  <c:v>52.30141760000005</c:v>
                </c:pt>
                <c:pt idx="4">
                  <c:v>52.806118400000074</c:v>
                </c:pt>
                <c:pt idx="5">
                  <c:v>53.28824000000003</c:v>
                </c:pt>
                <c:pt idx="6">
                  <c:v>53.747782400000062</c:v>
                </c:pt>
                <c:pt idx="7">
                  <c:v>54.184745600000078</c:v>
                </c:pt>
                <c:pt idx="8">
                  <c:v>54.59912960000004</c:v>
                </c:pt>
                <c:pt idx="9">
                  <c:v>54.990934400000071</c:v>
                </c:pt>
                <c:pt idx="10">
                  <c:v>55.360160000000036</c:v>
                </c:pt>
                <c:pt idx="11">
                  <c:v>55.706806400000048</c:v>
                </c:pt>
                <c:pt idx="12">
                  <c:v>56.030873600000078</c:v>
                </c:pt>
                <c:pt idx="13">
                  <c:v>56.332361600000041</c:v>
                </c:pt>
                <c:pt idx="14">
                  <c:v>56.611270400000059</c:v>
                </c:pt>
                <c:pt idx="15">
                  <c:v>56.867600000000088</c:v>
                </c:pt>
                <c:pt idx="16">
                  <c:v>57.101350400000051</c:v>
                </c:pt>
                <c:pt idx="17">
                  <c:v>57.312521600000068</c:v>
                </c:pt>
                <c:pt idx="18">
                  <c:v>57.501113600000039</c:v>
                </c:pt>
                <c:pt idx="19">
                  <c:v>57.667126400000058</c:v>
                </c:pt>
                <c:pt idx="20">
                  <c:v>57.810560000000073</c:v>
                </c:pt>
                <c:pt idx="21">
                  <c:v>57.931414400000044</c:v>
                </c:pt>
                <c:pt idx="22">
                  <c:v>58.029689600000061</c:v>
                </c:pt>
                <c:pt idx="23">
                  <c:v>58.105385600000076</c:v>
                </c:pt>
                <c:pt idx="24">
                  <c:v>58.158502400000046</c:v>
                </c:pt>
                <c:pt idx="25">
                  <c:v>58.189040000000062</c:v>
                </c:pt>
                <c:pt idx="26">
                  <c:v>58.19699840000002</c:v>
                </c:pt>
                <c:pt idx="27">
                  <c:v>58.182377600000045</c:v>
                </c:pt>
                <c:pt idx="28">
                  <c:v>58.145177600000061</c:v>
                </c:pt>
                <c:pt idx="29">
                  <c:v>58.085398400000024</c:v>
                </c:pt>
                <c:pt idx="30">
                  <c:v>58.003040000000048</c:v>
                </c:pt>
                <c:pt idx="31">
                  <c:v>57.89810240000007</c:v>
                </c:pt>
                <c:pt idx="32">
                  <c:v>57.770585600000025</c:v>
                </c:pt>
                <c:pt idx="33">
                  <c:v>57.620489600000049</c:v>
                </c:pt>
                <c:pt idx="34">
                  <c:v>57.44781440000007</c:v>
                </c:pt>
                <c:pt idx="35">
                  <c:v>57.252560000000031</c:v>
                </c:pt>
                <c:pt idx="36">
                  <c:v>57.034726400000046</c:v>
                </c:pt>
                <c:pt idx="37">
                  <c:v>56.79431360000001</c:v>
                </c:pt>
                <c:pt idx="38">
                  <c:v>56.531321600000034</c:v>
                </c:pt>
                <c:pt idx="39">
                  <c:v>56.245750400000055</c:v>
                </c:pt>
                <c:pt idx="40">
                  <c:v>55.93760000000001</c:v>
                </c:pt>
                <c:pt idx="41">
                  <c:v>55.606870400000034</c:v>
                </c:pt>
                <c:pt idx="42">
                  <c:v>55.253561600000054</c:v>
                </c:pt>
                <c:pt idx="43">
                  <c:v>54.877673600000023</c:v>
                </c:pt>
                <c:pt idx="44">
                  <c:v>54.479206400000038</c:v>
                </c:pt>
                <c:pt idx="45">
                  <c:v>54.058160000000058</c:v>
                </c:pt>
                <c:pt idx="46">
                  <c:v>53.614534400000025</c:v>
                </c:pt>
                <c:pt idx="47">
                  <c:v>53.148329600000046</c:v>
                </c:pt>
                <c:pt idx="48">
                  <c:v>52.659545600000001</c:v>
                </c:pt>
                <c:pt idx="49">
                  <c:v>52.148182400000024</c:v>
                </c:pt>
                <c:pt idx="50">
                  <c:v>51.614240000000045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385A-43B2-9C9C-0FB310DD3FD5}"/>
            </c:ext>
          </c:extLst>
        </c:ser>
        <c:ser>
          <c:idx val="50"/>
          <c:order val="50"/>
          <c:tx>
            <c:strRef>
              <c:f>'3dGraph'!$AZ$27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'3dGraph'!$A$28:$A$78</c:f>
              <c:numCache>
                <c:formatCode>General</c:formatCode>
                <c:ptCount val="51"/>
                <c:pt idx="0">
                  <c:v>120</c:v>
                </c:pt>
                <c:pt idx="1">
                  <c:v>117.6</c:v>
                </c:pt>
                <c:pt idx="2">
                  <c:v>115.19999999999999</c:v>
                </c:pt>
                <c:pt idx="3">
                  <c:v>112.79999999999998</c:v>
                </c:pt>
                <c:pt idx="4">
                  <c:v>110.39999999999998</c:v>
                </c:pt>
                <c:pt idx="5">
                  <c:v>107.99999999999997</c:v>
                </c:pt>
                <c:pt idx="6">
                  <c:v>105.59999999999997</c:v>
                </c:pt>
                <c:pt idx="7">
                  <c:v>103.19999999999996</c:v>
                </c:pt>
                <c:pt idx="8">
                  <c:v>100.79999999999995</c:v>
                </c:pt>
                <c:pt idx="9">
                  <c:v>98.399999999999949</c:v>
                </c:pt>
                <c:pt idx="10">
                  <c:v>95.999999999999943</c:v>
                </c:pt>
                <c:pt idx="11">
                  <c:v>93.599999999999937</c:v>
                </c:pt>
                <c:pt idx="12">
                  <c:v>91.199999999999932</c:v>
                </c:pt>
                <c:pt idx="13">
                  <c:v>88.799999999999926</c:v>
                </c:pt>
                <c:pt idx="14">
                  <c:v>86.39999999999992</c:v>
                </c:pt>
                <c:pt idx="15">
                  <c:v>83.999999999999915</c:v>
                </c:pt>
                <c:pt idx="16">
                  <c:v>81.599999999999909</c:v>
                </c:pt>
                <c:pt idx="17">
                  <c:v>79.199999999999903</c:v>
                </c:pt>
                <c:pt idx="18">
                  <c:v>76.799999999999898</c:v>
                </c:pt>
                <c:pt idx="19">
                  <c:v>74.399999999999892</c:v>
                </c:pt>
                <c:pt idx="20">
                  <c:v>71.999999999999886</c:v>
                </c:pt>
                <c:pt idx="21">
                  <c:v>69.599999999999881</c:v>
                </c:pt>
                <c:pt idx="22">
                  <c:v>67.199999999999875</c:v>
                </c:pt>
                <c:pt idx="23">
                  <c:v>64.799999999999869</c:v>
                </c:pt>
                <c:pt idx="24">
                  <c:v>62.399999999999871</c:v>
                </c:pt>
                <c:pt idx="25">
                  <c:v>59.999999999999872</c:v>
                </c:pt>
                <c:pt idx="26">
                  <c:v>57.599999999999874</c:v>
                </c:pt>
                <c:pt idx="27">
                  <c:v>55.199999999999875</c:v>
                </c:pt>
                <c:pt idx="28">
                  <c:v>52.799999999999876</c:v>
                </c:pt>
                <c:pt idx="29">
                  <c:v>50.399999999999878</c:v>
                </c:pt>
                <c:pt idx="30">
                  <c:v>47.999999999999879</c:v>
                </c:pt>
                <c:pt idx="31">
                  <c:v>45.599999999999881</c:v>
                </c:pt>
                <c:pt idx="32">
                  <c:v>43.199999999999882</c:v>
                </c:pt>
                <c:pt idx="33">
                  <c:v>40.799999999999883</c:v>
                </c:pt>
                <c:pt idx="34">
                  <c:v>38.399999999999885</c:v>
                </c:pt>
                <c:pt idx="35">
                  <c:v>35.999999999999886</c:v>
                </c:pt>
                <c:pt idx="36">
                  <c:v>33.599999999999888</c:v>
                </c:pt>
                <c:pt idx="37">
                  <c:v>31.199999999999889</c:v>
                </c:pt>
                <c:pt idx="38">
                  <c:v>28.799999999999891</c:v>
                </c:pt>
                <c:pt idx="39">
                  <c:v>26.399999999999892</c:v>
                </c:pt>
                <c:pt idx="40">
                  <c:v>23.999999999999893</c:v>
                </c:pt>
                <c:pt idx="41">
                  <c:v>21.599999999999895</c:v>
                </c:pt>
                <c:pt idx="42">
                  <c:v>19.199999999999896</c:v>
                </c:pt>
                <c:pt idx="43">
                  <c:v>16.799999999999898</c:v>
                </c:pt>
                <c:pt idx="44">
                  <c:v>14.399999999999897</c:v>
                </c:pt>
                <c:pt idx="45">
                  <c:v>11.999999999999897</c:v>
                </c:pt>
                <c:pt idx="46">
                  <c:v>9.5999999999998966</c:v>
                </c:pt>
                <c:pt idx="47">
                  <c:v>7.1999999999998963</c:v>
                </c:pt>
                <c:pt idx="48">
                  <c:v>4.7999999999998959</c:v>
                </c:pt>
                <c:pt idx="49">
                  <c:v>2.399999999999896</c:v>
                </c:pt>
                <c:pt idx="50">
                  <c:v>-1.0391687510491465E-13</c:v>
                </c:pt>
              </c:numCache>
            </c:numRef>
          </c:cat>
          <c:val>
            <c:numRef>
              <c:f>'3dGraph'!$AZ$28:$AZ$78</c:f>
              <c:numCache>
                <c:formatCode>General</c:formatCode>
                <c:ptCount val="51"/>
                <c:pt idx="0">
                  <c:v>48.435999999999936</c:v>
                </c:pt>
                <c:pt idx="1">
                  <c:v>49.006470399999969</c:v>
                </c:pt>
                <c:pt idx="2">
                  <c:v>49.554361599999979</c:v>
                </c:pt>
                <c:pt idx="3">
                  <c:v>50.07967359999995</c:v>
                </c:pt>
                <c:pt idx="4">
                  <c:v>50.582406399999968</c:v>
                </c:pt>
                <c:pt idx="5">
                  <c:v>51.062559999999934</c:v>
                </c:pt>
                <c:pt idx="6">
                  <c:v>51.520134399999961</c:v>
                </c:pt>
                <c:pt idx="7">
                  <c:v>51.955129599999985</c:v>
                </c:pt>
                <c:pt idx="8">
                  <c:v>52.367545599999943</c:v>
                </c:pt>
                <c:pt idx="9">
                  <c:v>52.757382399999969</c:v>
                </c:pt>
                <c:pt idx="10">
                  <c:v>53.124639999999943</c:v>
                </c:pt>
                <c:pt idx="11">
                  <c:v>53.469318399999949</c:v>
                </c:pt>
                <c:pt idx="12">
                  <c:v>53.791417599999974</c:v>
                </c:pt>
                <c:pt idx="13">
                  <c:v>54.090937599999947</c:v>
                </c:pt>
                <c:pt idx="14">
                  <c:v>54.367878399999974</c:v>
                </c:pt>
                <c:pt idx="15">
                  <c:v>54.622239999999984</c:v>
                </c:pt>
                <c:pt idx="16">
                  <c:v>54.854022399999955</c:v>
                </c:pt>
                <c:pt idx="17">
                  <c:v>55.063225599999981</c:v>
                </c:pt>
                <c:pt idx="18">
                  <c:v>55.249849599999934</c:v>
                </c:pt>
                <c:pt idx="19">
                  <c:v>55.413894399999961</c:v>
                </c:pt>
                <c:pt idx="20">
                  <c:v>55.555359999999986</c:v>
                </c:pt>
                <c:pt idx="21">
                  <c:v>55.674246399999937</c:v>
                </c:pt>
                <c:pt idx="22">
                  <c:v>55.770553599999964</c:v>
                </c:pt>
                <c:pt idx="23">
                  <c:v>55.844281599999988</c:v>
                </c:pt>
                <c:pt idx="24">
                  <c:v>55.895430399999945</c:v>
                </c:pt>
                <c:pt idx="25">
                  <c:v>55.923999999999964</c:v>
                </c:pt>
                <c:pt idx="26">
                  <c:v>55.92999039999993</c:v>
                </c:pt>
                <c:pt idx="27">
                  <c:v>55.913401599999943</c:v>
                </c:pt>
                <c:pt idx="28">
                  <c:v>55.874233599999968</c:v>
                </c:pt>
                <c:pt idx="29">
                  <c:v>55.812486399999926</c:v>
                </c:pt>
                <c:pt idx="30">
                  <c:v>55.728159999999953</c:v>
                </c:pt>
                <c:pt idx="31">
                  <c:v>55.62125439999997</c:v>
                </c:pt>
                <c:pt idx="32">
                  <c:v>55.491769599999934</c:v>
                </c:pt>
                <c:pt idx="33">
                  <c:v>55.339705599999952</c:v>
                </c:pt>
                <c:pt idx="34">
                  <c:v>55.165062399999975</c:v>
                </c:pt>
                <c:pt idx="35">
                  <c:v>54.967839999999931</c:v>
                </c:pt>
                <c:pt idx="36">
                  <c:v>54.748038399999949</c:v>
                </c:pt>
                <c:pt idx="37">
                  <c:v>54.505657599999914</c:v>
                </c:pt>
                <c:pt idx="38">
                  <c:v>54.240697599999933</c:v>
                </c:pt>
                <c:pt idx="39">
                  <c:v>53.953158399999957</c:v>
                </c:pt>
                <c:pt idx="40">
                  <c:v>53.643039999999914</c:v>
                </c:pt>
                <c:pt idx="41">
                  <c:v>53.310342399999939</c:v>
                </c:pt>
                <c:pt idx="42">
                  <c:v>52.955065599999955</c:v>
                </c:pt>
                <c:pt idx="43">
                  <c:v>52.577209599999925</c:v>
                </c:pt>
                <c:pt idx="44">
                  <c:v>52.176774399999942</c:v>
                </c:pt>
                <c:pt idx="45">
                  <c:v>51.753759999999964</c:v>
                </c:pt>
                <c:pt idx="46">
                  <c:v>51.308166399999926</c:v>
                </c:pt>
                <c:pt idx="47">
                  <c:v>50.839993599999943</c:v>
                </c:pt>
                <c:pt idx="48">
                  <c:v>50.349241599999907</c:v>
                </c:pt>
                <c:pt idx="49">
                  <c:v>49.835910399999925</c:v>
                </c:pt>
                <c:pt idx="50">
                  <c:v>49.299999999999947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385A-43B2-9C9C-0FB310DD3FD5}"/>
            </c:ext>
          </c:extLst>
        </c:ser>
        <c:bandFmts>
          <c:bandFmt>
            <c:idx val="0"/>
            <c:spPr>
              <a:solidFill>
                <a:srgbClr val="8080FF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1"/>
            <c:spPr>
              <a:solidFill>
                <a:srgbClr val="80206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2"/>
            <c:spPr>
              <a:solidFill>
                <a:srgbClr val="FFFFC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3"/>
            <c:spPr>
              <a:solidFill>
                <a:srgbClr val="A0E0E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4"/>
            <c:spPr>
              <a:solidFill>
                <a:srgbClr val="60008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</c:bandFmts>
        <c:axId val="1008315743"/>
        <c:axId val="1"/>
        <c:axId val="2"/>
      </c:surface3DChart>
      <c:catAx>
        <c:axId val="10083157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y-axis</a:t>
                </a:r>
              </a:p>
            </c:rich>
          </c:tx>
          <c:layout>
            <c:manualLayout>
              <c:xMode val="edge"/>
              <c:yMode val="edge"/>
              <c:x val="0.7120222506953342"/>
              <c:y val="0.755241308189014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24"/>
        <c:tickMarkSkip val="1"/>
        <c:noMultiLvlLbl val="1"/>
      </c:catAx>
      <c:valAx>
        <c:axId val="1"/>
        <c:scaling>
          <c:orientation val="minMax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z-axis</a:t>
                </a:r>
              </a:p>
            </c:rich>
          </c:tx>
          <c:layout>
            <c:manualLayout>
              <c:xMode val="edge"/>
              <c:yMode val="edge"/>
              <c:x val="5.4668375053387085E-2"/>
              <c:y val="0.3586447418284514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8315743"/>
        <c:crosses val="autoZero"/>
        <c:crossBetween val="between"/>
      </c:valAx>
      <c:serAx>
        <c:axId val="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x-axis</a:t>
                </a:r>
              </a:p>
            </c:rich>
          </c:tx>
          <c:layout>
            <c:manualLayout>
              <c:xMode val="edge"/>
              <c:yMode val="edge"/>
              <c:x val="0.22267362521745471"/>
              <c:y val="0.783705176588097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4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tickLblSkip val="11"/>
        <c:tickMarkSkip val="1"/>
      </c:ser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1335875079429565"/>
          <c:y val="0.47250021542478526"/>
          <c:w val="0.1773388751731825"/>
          <c:h val="0.3909037926807460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3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360" verticalDpi="0" copies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Logistic Model: 
y=L/(1+Ae^(-Bx))</a:t>
            </a:r>
          </a:p>
        </c:rich>
      </c:tx>
      <c:layout>
        <c:manualLayout>
          <c:xMode val="edge"/>
          <c:yMode val="edge"/>
          <c:x val="0.30025746124942387"/>
          <c:y val="4.60137000099980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333199597064587"/>
          <c:y val="0.38958266008465053"/>
          <c:w val="0.3771829265282019"/>
          <c:h val="0.32823106007131975"/>
        </c:manualLayout>
      </c:layout>
      <c:scatterChart>
        <c:scatterStyle val="lineMarker"/>
        <c:varyColors val="0"/>
        <c:ser>
          <c:idx val="0"/>
          <c:order val="0"/>
          <c:tx>
            <c:strRef>
              <c:f>'Advanced Logistic Regression'!$B$7</c:f>
              <c:strCache>
                <c:ptCount val="1"/>
                <c:pt idx="0">
                  <c:v>Data (y)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'Advanced Logistic Regression'!$A$8:$A$40</c:f>
              <c:numCache>
                <c:formatCode>General</c:formatCode>
                <c:ptCount val="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xVal>
          <c:yVal>
            <c:numRef>
              <c:f>'Advanced Logistic Regression'!$B$8:$B$40</c:f>
              <c:numCache>
                <c:formatCode>General</c:formatCode>
                <c:ptCount val="33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11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A9-4794-BBEF-083C03A3E049}"/>
            </c:ext>
          </c:extLst>
        </c:ser>
        <c:ser>
          <c:idx val="1"/>
          <c:order val="1"/>
          <c:tx>
            <c:strRef>
              <c:f>'Advanced Logistic Regression'!$F$7</c:f>
              <c:strCache>
                <c:ptCount val="1"/>
                <c:pt idx="0">
                  <c:v>Model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'Advanced Logistic Regression'!$I$25:$I$45</c:f>
              <c:numCache>
                <c:formatCode>General</c:formatCode>
                <c:ptCount val="21"/>
                <c:pt idx="0">
                  <c:v>0</c:v>
                </c:pt>
                <c:pt idx="1">
                  <c:v>0.45</c:v>
                </c:pt>
                <c:pt idx="2">
                  <c:v>0.9</c:v>
                </c:pt>
                <c:pt idx="3">
                  <c:v>1.35</c:v>
                </c:pt>
                <c:pt idx="4">
                  <c:v>1.8</c:v>
                </c:pt>
                <c:pt idx="5">
                  <c:v>2.25</c:v>
                </c:pt>
                <c:pt idx="6">
                  <c:v>2.7</c:v>
                </c:pt>
                <c:pt idx="7">
                  <c:v>3.1500000000000004</c:v>
                </c:pt>
                <c:pt idx="8">
                  <c:v>3.6000000000000005</c:v>
                </c:pt>
                <c:pt idx="9">
                  <c:v>4.0500000000000007</c:v>
                </c:pt>
                <c:pt idx="10">
                  <c:v>4.5000000000000009</c:v>
                </c:pt>
                <c:pt idx="11">
                  <c:v>4.9500000000000011</c:v>
                </c:pt>
                <c:pt idx="12">
                  <c:v>5.4000000000000012</c:v>
                </c:pt>
                <c:pt idx="13">
                  <c:v>5.8500000000000014</c:v>
                </c:pt>
                <c:pt idx="14">
                  <c:v>6.3000000000000016</c:v>
                </c:pt>
                <c:pt idx="15">
                  <c:v>6.7500000000000018</c:v>
                </c:pt>
                <c:pt idx="16">
                  <c:v>7.200000000000002</c:v>
                </c:pt>
                <c:pt idx="17">
                  <c:v>7.6500000000000021</c:v>
                </c:pt>
                <c:pt idx="18">
                  <c:v>8.1000000000000014</c:v>
                </c:pt>
                <c:pt idx="19">
                  <c:v>8.5500000000000007</c:v>
                </c:pt>
                <c:pt idx="20">
                  <c:v>9</c:v>
                </c:pt>
              </c:numCache>
            </c:numRef>
          </c:xVal>
          <c:yVal>
            <c:numRef>
              <c:f>'Advanced Logistic Regression'!$J$25:$J$45</c:f>
              <c:numCache>
                <c:formatCode>General</c:formatCode>
                <c:ptCount val="21"/>
                <c:pt idx="0">
                  <c:v>1.7427596167792014</c:v>
                </c:pt>
                <c:pt idx="1">
                  <c:v>2.1338897981469178</c:v>
                </c:pt>
                <c:pt idx="2">
                  <c:v>2.6014222437799379</c:v>
                </c:pt>
                <c:pt idx="3">
                  <c:v>3.154965318986076</c:v>
                </c:pt>
                <c:pt idx="4">
                  <c:v>3.8029743047725275</c:v>
                </c:pt>
                <c:pt idx="5">
                  <c:v>4.5516059052081639</c:v>
                </c:pt>
                <c:pt idx="6">
                  <c:v>5.4033867795708259</c:v>
                </c:pt>
                <c:pt idx="7">
                  <c:v>6.3558647596734126</c:v>
                </c:pt>
                <c:pt idx="8">
                  <c:v>7.4005065626381832</c:v>
                </c:pt>
                <c:pt idx="9">
                  <c:v>8.5221624077026448</c:v>
                </c:pt>
                <c:pt idx="10">
                  <c:v>9.6993876230492297</c:v>
                </c:pt>
                <c:pt idx="11">
                  <c:v>10.905764265101556</c:v>
                </c:pt>
                <c:pt idx="12">
                  <c:v>12.112121358172894</c:v>
                </c:pt>
                <c:pt idx="13">
                  <c:v>13.289289805929673</c:v>
                </c:pt>
                <c:pt idx="14">
                  <c:v>14.410856929250823</c:v>
                </c:pt>
                <c:pt idx="15">
                  <c:v>15.455385708051562</c:v>
                </c:pt>
                <c:pt idx="16">
                  <c:v>16.407735088262758</c:v>
                </c:pt>
                <c:pt idx="17">
                  <c:v>17.259380319102011</c:v>
                </c:pt>
                <c:pt idx="18">
                  <c:v>18.007876612269452</c:v>
                </c:pt>
                <c:pt idx="19">
                  <c:v>18.655756323598435</c:v>
                </c:pt>
                <c:pt idx="20">
                  <c:v>19.209180038313285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AA9-4794-BBEF-083C03A3E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0076975"/>
        <c:axId val="1"/>
      </c:scatterChart>
      <c:valAx>
        <c:axId val="1230076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x</a:t>
                </a:r>
              </a:p>
            </c:rich>
          </c:tx>
          <c:layout>
            <c:manualLayout>
              <c:xMode val="edge"/>
              <c:yMode val="edge"/>
              <c:x val="0.39455319288147439"/>
              <c:y val="0.8282466001799656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y</a:t>
                </a:r>
              </a:p>
            </c:rich>
          </c:tx>
          <c:layout>
            <c:manualLayout>
              <c:xMode val="edge"/>
              <c:yMode val="edge"/>
              <c:x val="6.6999598791193757E-2"/>
              <c:y val="0.5306913401153113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30076975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8240332102141799"/>
          <c:y val="0.42639362009264903"/>
          <c:w val="0.28040572827425536"/>
          <c:h val="0.1564465800339935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69850</xdr:colOff>
      <xdr:row>0</xdr:row>
      <xdr:rowOff>31750</xdr:rowOff>
    </xdr:from>
    <xdr:to>
      <xdr:col>15</xdr:col>
      <xdr:colOff>565150</xdr:colOff>
      <xdr:row>20</xdr:row>
      <xdr:rowOff>120650</xdr:rowOff>
    </xdr:to>
    <xdr:graphicFrame macro="">
      <xdr:nvGraphicFramePr>
        <xdr:cNvPr id="6145" name="Chart 1">
          <a:extLst>
            <a:ext uri="{FF2B5EF4-FFF2-40B4-BE49-F238E27FC236}">
              <a16:creationId xmlns:a16="http://schemas.microsoft.com/office/drawing/2014/main" id="{5C5DCF55-A47B-4D01-A956-242242D720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685800</xdr:colOff>
      <xdr:row>14</xdr:row>
      <xdr:rowOff>19050</xdr:rowOff>
    </xdr:from>
    <xdr:to>
      <xdr:col>5</xdr:col>
      <xdr:colOff>908050</xdr:colOff>
      <xdr:row>23</xdr:row>
      <xdr:rowOff>19050</xdr:rowOff>
    </xdr:to>
    <xdr:sp macro="" textlink="">
      <xdr:nvSpPr>
        <xdr:cNvPr id="7169" name="Drawing 1">
          <a:extLst>
            <a:ext uri="{FF2B5EF4-FFF2-40B4-BE49-F238E27FC236}">
              <a16:creationId xmlns:a16="http://schemas.microsoft.com/office/drawing/2014/main" id="{8F946F8B-FA83-4E64-98F8-558663E57D96}"/>
            </a:ext>
          </a:extLst>
        </xdr:cNvPr>
        <xdr:cNvSpPr>
          <a:spLocks/>
        </xdr:cNvSpPr>
      </xdr:nvSpPr>
      <xdr:spPr bwMode="auto">
        <a:xfrm>
          <a:off x="5759450" y="2349500"/>
          <a:ext cx="222250" cy="1441450"/>
        </a:xfrm>
        <a:custGeom>
          <a:avLst/>
          <a:gdLst>
            <a:gd name="T0" fmla="*/ 16384 w 16384"/>
            <a:gd name="T1" fmla="*/ 0 h 16384"/>
            <a:gd name="T2" fmla="*/ 11703 w 16384"/>
            <a:gd name="T3" fmla="*/ 630 h 16384"/>
            <a:gd name="T4" fmla="*/ 10533 w 16384"/>
            <a:gd name="T5" fmla="*/ 945 h 16384"/>
            <a:gd name="T6" fmla="*/ 8192 w 16384"/>
            <a:gd name="T7" fmla="*/ 1260 h 16384"/>
            <a:gd name="T8" fmla="*/ 8192 w 16384"/>
            <a:gd name="T9" fmla="*/ 1575 h 16384"/>
            <a:gd name="T10" fmla="*/ 7022 w 16384"/>
            <a:gd name="T11" fmla="*/ 1890 h 16384"/>
            <a:gd name="T12" fmla="*/ 7022 w 16384"/>
            <a:gd name="T13" fmla="*/ 2941 h 16384"/>
            <a:gd name="T14" fmla="*/ 5851 w 16384"/>
            <a:gd name="T15" fmla="*/ 3256 h 16384"/>
            <a:gd name="T16" fmla="*/ 5851 w 16384"/>
            <a:gd name="T17" fmla="*/ 4516 h 16384"/>
            <a:gd name="T18" fmla="*/ 7022 w 16384"/>
            <a:gd name="T19" fmla="*/ 4936 h 16384"/>
            <a:gd name="T20" fmla="*/ 7022 w 16384"/>
            <a:gd name="T21" fmla="*/ 6091 h 16384"/>
            <a:gd name="T22" fmla="*/ 8192 w 16384"/>
            <a:gd name="T23" fmla="*/ 6407 h 16384"/>
            <a:gd name="T24" fmla="*/ 8192 w 16384"/>
            <a:gd name="T25" fmla="*/ 7667 h 16384"/>
            <a:gd name="T26" fmla="*/ 7022 w 16384"/>
            <a:gd name="T27" fmla="*/ 7982 h 16384"/>
            <a:gd name="T28" fmla="*/ 3511 w 16384"/>
            <a:gd name="T29" fmla="*/ 8192 h 16384"/>
            <a:gd name="T30" fmla="*/ 0 w 16384"/>
            <a:gd name="T31" fmla="*/ 8297 h 16384"/>
            <a:gd name="T32" fmla="*/ 2341 w 16384"/>
            <a:gd name="T33" fmla="*/ 8612 h 16384"/>
            <a:gd name="T34" fmla="*/ 5851 w 16384"/>
            <a:gd name="T35" fmla="*/ 8822 h 16384"/>
            <a:gd name="T36" fmla="*/ 7022 w 16384"/>
            <a:gd name="T37" fmla="*/ 9137 h 16384"/>
            <a:gd name="T38" fmla="*/ 9362 w 16384"/>
            <a:gd name="T39" fmla="*/ 9452 h 16384"/>
            <a:gd name="T40" fmla="*/ 9362 w 16384"/>
            <a:gd name="T41" fmla="*/ 9767 h 16384"/>
            <a:gd name="T42" fmla="*/ 10533 w 16384"/>
            <a:gd name="T43" fmla="*/ 10187 h 16384"/>
            <a:gd name="T44" fmla="*/ 10533 w 16384"/>
            <a:gd name="T45" fmla="*/ 15859 h 16384"/>
            <a:gd name="T46" fmla="*/ 11703 w 16384"/>
            <a:gd name="T47" fmla="*/ 16174 h 16384"/>
            <a:gd name="T48" fmla="*/ 15214 w 16384"/>
            <a:gd name="T49" fmla="*/ 16279 h 16384"/>
            <a:gd name="T50" fmla="*/ 15214 w 16384"/>
            <a:gd name="T51" fmla="*/ 16384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</a:cxnLst>
          <a:rect l="0" t="0" r="r" b="b"/>
          <a:pathLst>
            <a:path w="16384" h="16384">
              <a:moveTo>
                <a:pt x="16384" y="0"/>
              </a:moveTo>
              <a:lnTo>
                <a:pt x="11703" y="630"/>
              </a:lnTo>
              <a:lnTo>
                <a:pt x="10533" y="945"/>
              </a:lnTo>
              <a:lnTo>
                <a:pt x="8192" y="1260"/>
              </a:lnTo>
              <a:lnTo>
                <a:pt x="8192" y="1575"/>
              </a:lnTo>
              <a:lnTo>
                <a:pt x="7022" y="1890"/>
              </a:lnTo>
              <a:lnTo>
                <a:pt x="7022" y="2941"/>
              </a:lnTo>
              <a:lnTo>
                <a:pt x="5851" y="3256"/>
              </a:lnTo>
              <a:lnTo>
                <a:pt x="5851" y="4516"/>
              </a:lnTo>
              <a:lnTo>
                <a:pt x="7022" y="4936"/>
              </a:lnTo>
              <a:lnTo>
                <a:pt x="7022" y="6091"/>
              </a:lnTo>
              <a:lnTo>
                <a:pt x="8192" y="6407"/>
              </a:lnTo>
              <a:lnTo>
                <a:pt x="8192" y="7667"/>
              </a:lnTo>
              <a:lnTo>
                <a:pt x="7022" y="7982"/>
              </a:lnTo>
              <a:lnTo>
                <a:pt x="3511" y="8192"/>
              </a:lnTo>
              <a:lnTo>
                <a:pt x="0" y="8297"/>
              </a:lnTo>
              <a:lnTo>
                <a:pt x="2341" y="8612"/>
              </a:lnTo>
              <a:lnTo>
                <a:pt x="5851" y="8822"/>
              </a:lnTo>
              <a:lnTo>
                <a:pt x="7022" y="9137"/>
              </a:lnTo>
              <a:lnTo>
                <a:pt x="9362" y="9452"/>
              </a:lnTo>
              <a:lnTo>
                <a:pt x="9362" y="9767"/>
              </a:lnTo>
              <a:lnTo>
                <a:pt x="10533" y="10187"/>
              </a:lnTo>
              <a:lnTo>
                <a:pt x="10533" y="15859"/>
              </a:lnTo>
              <a:lnTo>
                <a:pt x="11703" y="16174"/>
              </a:lnTo>
              <a:lnTo>
                <a:pt x="15214" y="16279"/>
              </a:lnTo>
              <a:lnTo>
                <a:pt x="15214" y="16384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14</xdr:row>
      <xdr:rowOff>25400</xdr:rowOff>
    </xdr:from>
    <xdr:to>
      <xdr:col>4</xdr:col>
      <xdr:colOff>190500</xdr:colOff>
      <xdr:row>23</xdr:row>
      <xdr:rowOff>12700</xdr:rowOff>
    </xdr:to>
    <xdr:sp macro="" textlink="">
      <xdr:nvSpPr>
        <xdr:cNvPr id="7170" name="Drawing 2">
          <a:extLst>
            <a:ext uri="{FF2B5EF4-FFF2-40B4-BE49-F238E27FC236}">
              <a16:creationId xmlns:a16="http://schemas.microsoft.com/office/drawing/2014/main" id="{3ED3671D-5116-458A-AD5E-BF11F8085F75}"/>
            </a:ext>
          </a:extLst>
        </xdr:cNvPr>
        <xdr:cNvSpPr>
          <a:spLocks/>
        </xdr:cNvSpPr>
      </xdr:nvSpPr>
      <xdr:spPr bwMode="auto">
        <a:xfrm>
          <a:off x="4064000" y="2355850"/>
          <a:ext cx="190500" cy="1428750"/>
        </a:xfrm>
        <a:custGeom>
          <a:avLst/>
          <a:gdLst>
            <a:gd name="T0" fmla="*/ 4096 w 16384"/>
            <a:gd name="T1" fmla="*/ 0 h 16384"/>
            <a:gd name="T2" fmla="*/ 10240 w 16384"/>
            <a:gd name="T3" fmla="*/ 977 h 16384"/>
            <a:gd name="T4" fmla="*/ 12288 w 16384"/>
            <a:gd name="T5" fmla="*/ 1628 h 16384"/>
            <a:gd name="T6" fmla="*/ 12288 w 16384"/>
            <a:gd name="T7" fmla="*/ 3906 h 16384"/>
            <a:gd name="T8" fmla="*/ 10240 w 16384"/>
            <a:gd name="T9" fmla="*/ 4774 h 16384"/>
            <a:gd name="T10" fmla="*/ 10240 w 16384"/>
            <a:gd name="T11" fmla="*/ 5100 h 16384"/>
            <a:gd name="T12" fmla="*/ 9216 w 16384"/>
            <a:gd name="T13" fmla="*/ 5425 h 16384"/>
            <a:gd name="T14" fmla="*/ 8192 w 16384"/>
            <a:gd name="T15" fmla="*/ 5859 h 16384"/>
            <a:gd name="T16" fmla="*/ 8192 w 16384"/>
            <a:gd name="T17" fmla="*/ 6836 h 16384"/>
            <a:gd name="T18" fmla="*/ 10240 w 16384"/>
            <a:gd name="T19" fmla="*/ 7161 h 16384"/>
            <a:gd name="T20" fmla="*/ 11264 w 16384"/>
            <a:gd name="T21" fmla="*/ 7487 h 16384"/>
            <a:gd name="T22" fmla="*/ 14336 w 16384"/>
            <a:gd name="T23" fmla="*/ 7812 h 16384"/>
            <a:gd name="T24" fmla="*/ 16384 w 16384"/>
            <a:gd name="T25" fmla="*/ 8138 h 16384"/>
            <a:gd name="T26" fmla="*/ 14336 w 16384"/>
            <a:gd name="T27" fmla="*/ 8463 h 16384"/>
            <a:gd name="T28" fmla="*/ 11264 w 16384"/>
            <a:gd name="T29" fmla="*/ 8680 h 16384"/>
            <a:gd name="T30" fmla="*/ 10240 w 16384"/>
            <a:gd name="T31" fmla="*/ 9006 h 16384"/>
            <a:gd name="T32" fmla="*/ 8192 w 16384"/>
            <a:gd name="T33" fmla="*/ 9331 h 16384"/>
            <a:gd name="T34" fmla="*/ 8192 w 16384"/>
            <a:gd name="T35" fmla="*/ 9657 h 16384"/>
            <a:gd name="T36" fmla="*/ 7168 w 16384"/>
            <a:gd name="T37" fmla="*/ 9982 h 16384"/>
            <a:gd name="T38" fmla="*/ 7168 w 16384"/>
            <a:gd name="T39" fmla="*/ 14214 h 16384"/>
            <a:gd name="T40" fmla="*/ 6144 w 16384"/>
            <a:gd name="T41" fmla="*/ 14539 h 16384"/>
            <a:gd name="T42" fmla="*/ 6144 w 16384"/>
            <a:gd name="T43" fmla="*/ 15190 h 16384"/>
            <a:gd name="T44" fmla="*/ 5120 w 16384"/>
            <a:gd name="T45" fmla="*/ 15624 h 16384"/>
            <a:gd name="T46" fmla="*/ 3072 w 16384"/>
            <a:gd name="T47" fmla="*/ 15950 h 16384"/>
            <a:gd name="T48" fmla="*/ 2048 w 16384"/>
            <a:gd name="T49" fmla="*/ 16275 h 16384"/>
            <a:gd name="T50" fmla="*/ 0 w 16384"/>
            <a:gd name="T51" fmla="*/ 16384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</a:cxnLst>
          <a:rect l="0" t="0" r="r" b="b"/>
          <a:pathLst>
            <a:path w="16384" h="16384">
              <a:moveTo>
                <a:pt x="4096" y="0"/>
              </a:moveTo>
              <a:lnTo>
                <a:pt x="10240" y="977"/>
              </a:lnTo>
              <a:lnTo>
                <a:pt x="12288" y="1628"/>
              </a:lnTo>
              <a:lnTo>
                <a:pt x="12288" y="3906"/>
              </a:lnTo>
              <a:lnTo>
                <a:pt x="10240" y="4774"/>
              </a:lnTo>
              <a:lnTo>
                <a:pt x="10240" y="5100"/>
              </a:lnTo>
              <a:lnTo>
                <a:pt x="9216" y="5425"/>
              </a:lnTo>
              <a:lnTo>
                <a:pt x="8192" y="5859"/>
              </a:lnTo>
              <a:lnTo>
                <a:pt x="8192" y="6836"/>
              </a:lnTo>
              <a:lnTo>
                <a:pt x="10240" y="7161"/>
              </a:lnTo>
              <a:lnTo>
                <a:pt x="11264" y="7487"/>
              </a:lnTo>
              <a:lnTo>
                <a:pt x="14336" y="7812"/>
              </a:lnTo>
              <a:lnTo>
                <a:pt x="16384" y="8138"/>
              </a:lnTo>
              <a:lnTo>
                <a:pt x="14336" y="8463"/>
              </a:lnTo>
              <a:lnTo>
                <a:pt x="11264" y="8680"/>
              </a:lnTo>
              <a:lnTo>
                <a:pt x="10240" y="9006"/>
              </a:lnTo>
              <a:lnTo>
                <a:pt x="8192" y="9331"/>
              </a:lnTo>
              <a:lnTo>
                <a:pt x="8192" y="9657"/>
              </a:lnTo>
              <a:lnTo>
                <a:pt x="7168" y="9982"/>
              </a:lnTo>
              <a:lnTo>
                <a:pt x="7168" y="14214"/>
              </a:lnTo>
              <a:lnTo>
                <a:pt x="6144" y="14539"/>
              </a:lnTo>
              <a:lnTo>
                <a:pt x="6144" y="15190"/>
              </a:lnTo>
              <a:lnTo>
                <a:pt x="5120" y="15624"/>
              </a:lnTo>
              <a:lnTo>
                <a:pt x="3072" y="15950"/>
              </a:lnTo>
              <a:lnTo>
                <a:pt x="2048" y="16275"/>
              </a:lnTo>
              <a:lnTo>
                <a:pt x="0" y="16384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88900</xdr:colOff>
      <xdr:row>8</xdr:row>
      <xdr:rowOff>95250</xdr:rowOff>
    </xdr:from>
    <xdr:to>
      <xdr:col>11</xdr:col>
      <xdr:colOff>971550</xdr:colOff>
      <xdr:row>21</xdr:row>
      <xdr:rowOff>95250</xdr:rowOff>
    </xdr:to>
    <xdr:graphicFrame macro="">
      <xdr:nvGraphicFramePr>
        <xdr:cNvPr id="5121" name="Chart 1">
          <a:extLst>
            <a:ext uri="{FF2B5EF4-FFF2-40B4-BE49-F238E27FC236}">
              <a16:creationId xmlns:a16="http://schemas.microsoft.com/office/drawing/2014/main" id="{5C1B9EB3-BCFA-42F6-A436-B8AF9FF5A5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685800</xdr:colOff>
      <xdr:row>14</xdr:row>
      <xdr:rowOff>19050</xdr:rowOff>
    </xdr:from>
    <xdr:to>
      <xdr:col>5</xdr:col>
      <xdr:colOff>908050</xdr:colOff>
      <xdr:row>23</xdr:row>
      <xdr:rowOff>19050</xdr:rowOff>
    </xdr:to>
    <xdr:sp macro="" textlink="">
      <xdr:nvSpPr>
        <xdr:cNvPr id="12289" name="Drawing 1">
          <a:extLst>
            <a:ext uri="{FF2B5EF4-FFF2-40B4-BE49-F238E27FC236}">
              <a16:creationId xmlns:a16="http://schemas.microsoft.com/office/drawing/2014/main" id="{177BD14B-E312-487B-9FB8-5DD2E7994B90}"/>
            </a:ext>
          </a:extLst>
        </xdr:cNvPr>
        <xdr:cNvSpPr>
          <a:spLocks/>
        </xdr:cNvSpPr>
      </xdr:nvSpPr>
      <xdr:spPr bwMode="auto">
        <a:xfrm>
          <a:off x="6159500" y="2349500"/>
          <a:ext cx="222250" cy="1441450"/>
        </a:xfrm>
        <a:custGeom>
          <a:avLst/>
          <a:gdLst>
            <a:gd name="T0" fmla="*/ 16384 w 16384"/>
            <a:gd name="T1" fmla="*/ 0 h 16384"/>
            <a:gd name="T2" fmla="*/ 11703 w 16384"/>
            <a:gd name="T3" fmla="*/ 630 h 16384"/>
            <a:gd name="T4" fmla="*/ 10533 w 16384"/>
            <a:gd name="T5" fmla="*/ 945 h 16384"/>
            <a:gd name="T6" fmla="*/ 8192 w 16384"/>
            <a:gd name="T7" fmla="*/ 1260 h 16384"/>
            <a:gd name="T8" fmla="*/ 8192 w 16384"/>
            <a:gd name="T9" fmla="*/ 1575 h 16384"/>
            <a:gd name="T10" fmla="*/ 7022 w 16384"/>
            <a:gd name="T11" fmla="*/ 1890 h 16384"/>
            <a:gd name="T12" fmla="*/ 7022 w 16384"/>
            <a:gd name="T13" fmla="*/ 2941 h 16384"/>
            <a:gd name="T14" fmla="*/ 5851 w 16384"/>
            <a:gd name="T15" fmla="*/ 3256 h 16384"/>
            <a:gd name="T16" fmla="*/ 5851 w 16384"/>
            <a:gd name="T17" fmla="*/ 4516 h 16384"/>
            <a:gd name="T18" fmla="*/ 7022 w 16384"/>
            <a:gd name="T19" fmla="*/ 4936 h 16384"/>
            <a:gd name="T20" fmla="*/ 7022 w 16384"/>
            <a:gd name="T21" fmla="*/ 6091 h 16384"/>
            <a:gd name="T22" fmla="*/ 8192 w 16384"/>
            <a:gd name="T23" fmla="*/ 6407 h 16384"/>
            <a:gd name="T24" fmla="*/ 8192 w 16384"/>
            <a:gd name="T25" fmla="*/ 7667 h 16384"/>
            <a:gd name="T26" fmla="*/ 7022 w 16384"/>
            <a:gd name="T27" fmla="*/ 7982 h 16384"/>
            <a:gd name="T28" fmla="*/ 3511 w 16384"/>
            <a:gd name="T29" fmla="*/ 8192 h 16384"/>
            <a:gd name="T30" fmla="*/ 0 w 16384"/>
            <a:gd name="T31" fmla="*/ 8297 h 16384"/>
            <a:gd name="T32" fmla="*/ 2341 w 16384"/>
            <a:gd name="T33" fmla="*/ 8612 h 16384"/>
            <a:gd name="T34" fmla="*/ 5851 w 16384"/>
            <a:gd name="T35" fmla="*/ 8822 h 16384"/>
            <a:gd name="T36" fmla="*/ 7022 w 16384"/>
            <a:gd name="T37" fmla="*/ 9137 h 16384"/>
            <a:gd name="T38" fmla="*/ 9362 w 16384"/>
            <a:gd name="T39" fmla="*/ 9452 h 16384"/>
            <a:gd name="T40" fmla="*/ 9362 w 16384"/>
            <a:gd name="T41" fmla="*/ 9767 h 16384"/>
            <a:gd name="T42" fmla="*/ 10533 w 16384"/>
            <a:gd name="T43" fmla="*/ 10187 h 16384"/>
            <a:gd name="T44" fmla="*/ 10533 w 16384"/>
            <a:gd name="T45" fmla="*/ 15859 h 16384"/>
            <a:gd name="T46" fmla="*/ 11703 w 16384"/>
            <a:gd name="T47" fmla="*/ 16174 h 16384"/>
            <a:gd name="T48" fmla="*/ 15214 w 16384"/>
            <a:gd name="T49" fmla="*/ 16279 h 16384"/>
            <a:gd name="T50" fmla="*/ 15214 w 16384"/>
            <a:gd name="T51" fmla="*/ 16384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</a:cxnLst>
          <a:rect l="0" t="0" r="r" b="b"/>
          <a:pathLst>
            <a:path w="16384" h="16384">
              <a:moveTo>
                <a:pt x="16384" y="0"/>
              </a:moveTo>
              <a:lnTo>
                <a:pt x="11703" y="630"/>
              </a:lnTo>
              <a:lnTo>
                <a:pt x="10533" y="945"/>
              </a:lnTo>
              <a:lnTo>
                <a:pt x="8192" y="1260"/>
              </a:lnTo>
              <a:lnTo>
                <a:pt x="8192" y="1575"/>
              </a:lnTo>
              <a:lnTo>
                <a:pt x="7022" y="1890"/>
              </a:lnTo>
              <a:lnTo>
                <a:pt x="7022" y="2941"/>
              </a:lnTo>
              <a:lnTo>
                <a:pt x="5851" y="3256"/>
              </a:lnTo>
              <a:lnTo>
                <a:pt x="5851" y="4516"/>
              </a:lnTo>
              <a:lnTo>
                <a:pt x="7022" y="4936"/>
              </a:lnTo>
              <a:lnTo>
                <a:pt x="7022" y="6091"/>
              </a:lnTo>
              <a:lnTo>
                <a:pt x="8192" y="6407"/>
              </a:lnTo>
              <a:lnTo>
                <a:pt x="8192" y="7667"/>
              </a:lnTo>
              <a:lnTo>
                <a:pt x="7022" y="7982"/>
              </a:lnTo>
              <a:lnTo>
                <a:pt x="3511" y="8192"/>
              </a:lnTo>
              <a:lnTo>
                <a:pt x="0" y="8297"/>
              </a:lnTo>
              <a:lnTo>
                <a:pt x="2341" y="8612"/>
              </a:lnTo>
              <a:lnTo>
                <a:pt x="5851" y="8822"/>
              </a:lnTo>
              <a:lnTo>
                <a:pt x="7022" y="9137"/>
              </a:lnTo>
              <a:lnTo>
                <a:pt x="9362" y="9452"/>
              </a:lnTo>
              <a:lnTo>
                <a:pt x="9362" y="9767"/>
              </a:lnTo>
              <a:lnTo>
                <a:pt x="10533" y="10187"/>
              </a:lnTo>
              <a:lnTo>
                <a:pt x="10533" y="15859"/>
              </a:lnTo>
              <a:lnTo>
                <a:pt x="11703" y="16174"/>
              </a:lnTo>
              <a:lnTo>
                <a:pt x="15214" y="16279"/>
              </a:lnTo>
              <a:lnTo>
                <a:pt x="15214" y="16384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14</xdr:row>
      <xdr:rowOff>25400</xdr:rowOff>
    </xdr:from>
    <xdr:to>
      <xdr:col>4</xdr:col>
      <xdr:colOff>190500</xdr:colOff>
      <xdr:row>23</xdr:row>
      <xdr:rowOff>12700</xdr:rowOff>
    </xdr:to>
    <xdr:sp macro="" textlink="">
      <xdr:nvSpPr>
        <xdr:cNvPr id="12290" name="Drawing 2">
          <a:extLst>
            <a:ext uri="{FF2B5EF4-FFF2-40B4-BE49-F238E27FC236}">
              <a16:creationId xmlns:a16="http://schemas.microsoft.com/office/drawing/2014/main" id="{EC972197-3A9A-40D1-B544-D6296875B5D4}"/>
            </a:ext>
          </a:extLst>
        </xdr:cNvPr>
        <xdr:cNvSpPr>
          <a:spLocks/>
        </xdr:cNvSpPr>
      </xdr:nvSpPr>
      <xdr:spPr bwMode="auto">
        <a:xfrm>
          <a:off x="4464050" y="2355850"/>
          <a:ext cx="190500" cy="1428750"/>
        </a:xfrm>
        <a:custGeom>
          <a:avLst/>
          <a:gdLst>
            <a:gd name="T0" fmla="*/ 4096 w 16384"/>
            <a:gd name="T1" fmla="*/ 0 h 16384"/>
            <a:gd name="T2" fmla="*/ 10240 w 16384"/>
            <a:gd name="T3" fmla="*/ 977 h 16384"/>
            <a:gd name="T4" fmla="*/ 12288 w 16384"/>
            <a:gd name="T5" fmla="*/ 1628 h 16384"/>
            <a:gd name="T6" fmla="*/ 12288 w 16384"/>
            <a:gd name="T7" fmla="*/ 3906 h 16384"/>
            <a:gd name="T8" fmla="*/ 10240 w 16384"/>
            <a:gd name="T9" fmla="*/ 4774 h 16384"/>
            <a:gd name="T10" fmla="*/ 10240 w 16384"/>
            <a:gd name="T11" fmla="*/ 5100 h 16384"/>
            <a:gd name="T12" fmla="*/ 9216 w 16384"/>
            <a:gd name="T13" fmla="*/ 5425 h 16384"/>
            <a:gd name="T14" fmla="*/ 8192 w 16384"/>
            <a:gd name="T15" fmla="*/ 5859 h 16384"/>
            <a:gd name="T16" fmla="*/ 8192 w 16384"/>
            <a:gd name="T17" fmla="*/ 6836 h 16384"/>
            <a:gd name="T18" fmla="*/ 10240 w 16384"/>
            <a:gd name="T19" fmla="*/ 7161 h 16384"/>
            <a:gd name="T20" fmla="*/ 11264 w 16384"/>
            <a:gd name="T21" fmla="*/ 7487 h 16384"/>
            <a:gd name="T22" fmla="*/ 14336 w 16384"/>
            <a:gd name="T23" fmla="*/ 7812 h 16384"/>
            <a:gd name="T24" fmla="*/ 16384 w 16384"/>
            <a:gd name="T25" fmla="*/ 8138 h 16384"/>
            <a:gd name="T26" fmla="*/ 14336 w 16384"/>
            <a:gd name="T27" fmla="*/ 8463 h 16384"/>
            <a:gd name="T28" fmla="*/ 11264 w 16384"/>
            <a:gd name="T29" fmla="*/ 8680 h 16384"/>
            <a:gd name="T30" fmla="*/ 10240 w 16384"/>
            <a:gd name="T31" fmla="*/ 9006 h 16384"/>
            <a:gd name="T32" fmla="*/ 8192 w 16384"/>
            <a:gd name="T33" fmla="*/ 9331 h 16384"/>
            <a:gd name="T34" fmla="*/ 8192 w 16384"/>
            <a:gd name="T35" fmla="*/ 9657 h 16384"/>
            <a:gd name="T36" fmla="*/ 7168 w 16384"/>
            <a:gd name="T37" fmla="*/ 9982 h 16384"/>
            <a:gd name="T38" fmla="*/ 7168 w 16384"/>
            <a:gd name="T39" fmla="*/ 14214 h 16384"/>
            <a:gd name="T40" fmla="*/ 6144 w 16384"/>
            <a:gd name="T41" fmla="*/ 14539 h 16384"/>
            <a:gd name="T42" fmla="*/ 6144 w 16384"/>
            <a:gd name="T43" fmla="*/ 15190 h 16384"/>
            <a:gd name="T44" fmla="*/ 5120 w 16384"/>
            <a:gd name="T45" fmla="*/ 15624 h 16384"/>
            <a:gd name="T46" fmla="*/ 3072 w 16384"/>
            <a:gd name="T47" fmla="*/ 15950 h 16384"/>
            <a:gd name="T48" fmla="*/ 2048 w 16384"/>
            <a:gd name="T49" fmla="*/ 16275 h 16384"/>
            <a:gd name="T50" fmla="*/ 0 w 16384"/>
            <a:gd name="T51" fmla="*/ 16384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</a:cxnLst>
          <a:rect l="0" t="0" r="r" b="b"/>
          <a:pathLst>
            <a:path w="16384" h="16384">
              <a:moveTo>
                <a:pt x="4096" y="0"/>
              </a:moveTo>
              <a:lnTo>
                <a:pt x="10240" y="977"/>
              </a:lnTo>
              <a:lnTo>
                <a:pt x="12288" y="1628"/>
              </a:lnTo>
              <a:lnTo>
                <a:pt x="12288" y="3906"/>
              </a:lnTo>
              <a:lnTo>
                <a:pt x="10240" y="4774"/>
              </a:lnTo>
              <a:lnTo>
                <a:pt x="10240" y="5100"/>
              </a:lnTo>
              <a:lnTo>
                <a:pt x="9216" y="5425"/>
              </a:lnTo>
              <a:lnTo>
                <a:pt x="8192" y="5859"/>
              </a:lnTo>
              <a:lnTo>
                <a:pt x="8192" y="6836"/>
              </a:lnTo>
              <a:lnTo>
                <a:pt x="10240" y="7161"/>
              </a:lnTo>
              <a:lnTo>
                <a:pt x="11264" y="7487"/>
              </a:lnTo>
              <a:lnTo>
                <a:pt x="14336" y="7812"/>
              </a:lnTo>
              <a:lnTo>
                <a:pt x="16384" y="8138"/>
              </a:lnTo>
              <a:lnTo>
                <a:pt x="14336" y="8463"/>
              </a:lnTo>
              <a:lnTo>
                <a:pt x="11264" y="8680"/>
              </a:lnTo>
              <a:lnTo>
                <a:pt x="10240" y="9006"/>
              </a:lnTo>
              <a:lnTo>
                <a:pt x="8192" y="9331"/>
              </a:lnTo>
              <a:lnTo>
                <a:pt x="8192" y="9657"/>
              </a:lnTo>
              <a:lnTo>
                <a:pt x="7168" y="9982"/>
              </a:lnTo>
              <a:lnTo>
                <a:pt x="7168" y="14214"/>
              </a:lnTo>
              <a:lnTo>
                <a:pt x="6144" y="14539"/>
              </a:lnTo>
              <a:lnTo>
                <a:pt x="6144" y="15190"/>
              </a:lnTo>
              <a:lnTo>
                <a:pt x="5120" y="15624"/>
              </a:lnTo>
              <a:lnTo>
                <a:pt x="3072" y="15950"/>
              </a:lnTo>
              <a:lnTo>
                <a:pt x="2048" y="16275"/>
              </a:lnTo>
              <a:lnTo>
                <a:pt x="0" y="16384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685800</xdr:colOff>
      <xdr:row>14</xdr:row>
      <xdr:rowOff>19050</xdr:rowOff>
    </xdr:from>
    <xdr:to>
      <xdr:col>5</xdr:col>
      <xdr:colOff>908050</xdr:colOff>
      <xdr:row>23</xdr:row>
      <xdr:rowOff>19050</xdr:rowOff>
    </xdr:to>
    <xdr:sp macro="" textlink="">
      <xdr:nvSpPr>
        <xdr:cNvPr id="13313" name="Drawing 1">
          <a:extLst>
            <a:ext uri="{FF2B5EF4-FFF2-40B4-BE49-F238E27FC236}">
              <a16:creationId xmlns:a16="http://schemas.microsoft.com/office/drawing/2014/main" id="{5FC5ECD9-D13E-4BA4-AF1B-4CB3DBF24020}"/>
            </a:ext>
          </a:extLst>
        </xdr:cNvPr>
        <xdr:cNvSpPr>
          <a:spLocks/>
        </xdr:cNvSpPr>
      </xdr:nvSpPr>
      <xdr:spPr bwMode="auto">
        <a:xfrm>
          <a:off x="6159500" y="2349500"/>
          <a:ext cx="222250" cy="1441450"/>
        </a:xfrm>
        <a:custGeom>
          <a:avLst/>
          <a:gdLst>
            <a:gd name="T0" fmla="*/ 16384 w 16384"/>
            <a:gd name="T1" fmla="*/ 0 h 16384"/>
            <a:gd name="T2" fmla="*/ 11703 w 16384"/>
            <a:gd name="T3" fmla="*/ 630 h 16384"/>
            <a:gd name="T4" fmla="*/ 10533 w 16384"/>
            <a:gd name="T5" fmla="*/ 945 h 16384"/>
            <a:gd name="T6" fmla="*/ 8192 w 16384"/>
            <a:gd name="T7" fmla="*/ 1260 h 16384"/>
            <a:gd name="T8" fmla="*/ 8192 w 16384"/>
            <a:gd name="T9" fmla="*/ 1575 h 16384"/>
            <a:gd name="T10" fmla="*/ 7022 w 16384"/>
            <a:gd name="T11" fmla="*/ 1890 h 16384"/>
            <a:gd name="T12" fmla="*/ 7022 w 16384"/>
            <a:gd name="T13" fmla="*/ 2941 h 16384"/>
            <a:gd name="T14" fmla="*/ 5851 w 16384"/>
            <a:gd name="T15" fmla="*/ 3256 h 16384"/>
            <a:gd name="T16" fmla="*/ 5851 w 16384"/>
            <a:gd name="T17" fmla="*/ 4516 h 16384"/>
            <a:gd name="T18" fmla="*/ 7022 w 16384"/>
            <a:gd name="T19" fmla="*/ 4936 h 16384"/>
            <a:gd name="T20" fmla="*/ 7022 w 16384"/>
            <a:gd name="T21" fmla="*/ 6091 h 16384"/>
            <a:gd name="T22" fmla="*/ 8192 w 16384"/>
            <a:gd name="T23" fmla="*/ 6407 h 16384"/>
            <a:gd name="T24" fmla="*/ 8192 w 16384"/>
            <a:gd name="T25" fmla="*/ 7667 h 16384"/>
            <a:gd name="T26" fmla="*/ 7022 w 16384"/>
            <a:gd name="T27" fmla="*/ 7982 h 16384"/>
            <a:gd name="T28" fmla="*/ 3511 w 16384"/>
            <a:gd name="T29" fmla="*/ 8192 h 16384"/>
            <a:gd name="T30" fmla="*/ 0 w 16384"/>
            <a:gd name="T31" fmla="*/ 8297 h 16384"/>
            <a:gd name="T32" fmla="*/ 2341 w 16384"/>
            <a:gd name="T33" fmla="*/ 8612 h 16384"/>
            <a:gd name="T34" fmla="*/ 5851 w 16384"/>
            <a:gd name="T35" fmla="*/ 8822 h 16384"/>
            <a:gd name="T36" fmla="*/ 7022 w 16384"/>
            <a:gd name="T37" fmla="*/ 9137 h 16384"/>
            <a:gd name="T38" fmla="*/ 9362 w 16384"/>
            <a:gd name="T39" fmla="*/ 9452 h 16384"/>
            <a:gd name="T40" fmla="*/ 9362 w 16384"/>
            <a:gd name="T41" fmla="*/ 9767 h 16384"/>
            <a:gd name="T42" fmla="*/ 10533 w 16384"/>
            <a:gd name="T43" fmla="*/ 10187 h 16384"/>
            <a:gd name="T44" fmla="*/ 10533 w 16384"/>
            <a:gd name="T45" fmla="*/ 15859 h 16384"/>
            <a:gd name="T46" fmla="*/ 11703 w 16384"/>
            <a:gd name="T47" fmla="*/ 16174 h 16384"/>
            <a:gd name="T48" fmla="*/ 15214 w 16384"/>
            <a:gd name="T49" fmla="*/ 16279 h 16384"/>
            <a:gd name="T50" fmla="*/ 15214 w 16384"/>
            <a:gd name="T51" fmla="*/ 16384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</a:cxnLst>
          <a:rect l="0" t="0" r="r" b="b"/>
          <a:pathLst>
            <a:path w="16384" h="16384">
              <a:moveTo>
                <a:pt x="16384" y="0"/>
              </a:moveTo>
              <a:lnTo>
                <a:pt x="11703" y="630"/>
              </a:lnTo>
              <a:lnTo>
                <a:pt x="10533" y="945"/>
              </a:lnTo>
              <a:lnTo>
                <a:pt x="8192" y="1260"/>
              </a:lnTo>
              <a:lnTo>
                <a:pt x="8192" y="1575"/>
              </a:lnTo>
              <a:lnTo>
                <a:pt x="7022" y="1890"/>
              </a:lnTo>
              <a:lnTo>
                <a:pt x="7022" y="2941"/>
              </a:lnTo>
              <a:lnTo>
                <a:pt x="5851" y="3256"/>
              </a:lnTo>
              <a:lnTo>
                <a:pt x="5851" y="4516"/>
              </a:lnTo>
              <a:lnTo>
                <a:pt x="7022" y="4936"/>
              </a:lnTo>
              <a:lnTo>
                <a:pt x="7022" y="6091"/>
              </a:lnTo>
              <a:lnTo>
                <a:pt x="8192" y="6407"/>
              </a:lnTo>
              <a:lnTo>
                <a:pt x="8192" y="7667"/>
              </a:lnTo>
              <a:lnTo>
                <a:pt x="7022" y="7982"/>
              </a:lnTo>
              <a:lnTo>
                <a:pt x="3511" y="8192"/>
              </a:lnTo>
              <a:lnTo>
                <a:pt x="0" y="8297"/>
              </a:lnTo>
              <a:lnTo>
                <a:pt x="2341" y="8612"/>
              </a:lnTo>
              <a:lnTo>
                <a:pt x="5851" y="8822"/>
              </a:lnTo>
              <a:lnTo>
                <a:pt x="7022" y="9137"/>
              </a:lnTo>
              <a:lnTo>
                <a:pt x="9362" y="9452"/>
              </a:lnTo>
              <a:lnTo>
                <a:pt x="9362" y="9767"/>
              </a:lnTo>
              <a:lnTo>
                <a:pt x="10533" y="10187"/>
              </a:lnTo>
              <a:lnTo>
                <a:pt x="10533" y="15859"/>
              </a:lnTo>
              <a:lnTo>
                <a:pt x="11703" y="16174"/>
              </a:lnTo>
              <a:lnTo>
                <a:pt x="15214" y="16279"/>
              </a:lnTo>
              <a:lnTo>
                <a:pt x="15214" y="16384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14</xdr:row>
      <xdr:rowOff>25400</xdr:rowOff>
    </xdr:from>
    <xdr:to>
      <xdr:col>4</xdr:col>
      <xdr:colOff>190500</xdr:colOff>
      <xdr:row>23</xdr:row>
      <xdr:rowOff>12700</xdr:rowOff>
    </xdr:to>
    <xdr:sp macro="" textlink="">
      <xdr:nvSpPr>
        <xdr:cNvPr id="13314" name="Drawing 2">
          <a:extLst>
            <a:ext uri="{FF2B5EF4-FFF2-40B4-BE49-F238E27FC236}">
              <a16:creationId xmlns:a16="http://schemas.microsoft.com/office/drawing/2014/main" id="{8B25A68E-6E1B-4BBD-AB22-364B75C4522F}"/>
            </a:ext>
          </a:extLst>
        </xdr:cNvPr>
        <xdr:cNvSpPr>
          <a:spLocks/>
        </xdr:cNvSpPr>
      </xdr:nvSpPr>
      <xdr:spPr bwMode="auto">
        <a:xfrm>
          <a:off x="4464050" y="2355850"/>
          <a:ext cx="190500" cy="1428750"/>
        </a:xfrm>
        <a:custGeom>
          <a:avLst/>
          <a:gdLst>
            <a:gd name="T0" fmla="*/ 4096 w 16384"/>
            <a:gd name="T1" fmla="*/ 0 h 16384"/>
            <a:gd name="T2" fmla="*/ 10240 w 16384"/>
            <a:gd name="T3" fmla="*/ 977 h 16384"/>
            <a:gd name="T4" fmla="*/ 12288 w 16384"/>
            <a:gd name="T5" fmla="*/ 1628 h 16384"/>
            <a:gd name="T6" fmla="*/ 12288 w 16384"/>
            <a:gd name="T7" fmla="*/ 3906 h 16384"/>
            <a:gd name="T8" fmla="*/ 10240 w 16384"/>
            <a:gd name="T9" fmla="*/ 4774 h 16384"/>
            <a:gd name="T10" fmla="*/ 10240 w 16384"/>
            <a:gd name="T11" fmla="*/ 5100 h 16384"/>
            <a:gd name="T12" fmla="*/ 9216 w 16384"/>
            <a:gd name="T13" fmla="*/ 5425 h 16384"/>
            <a:gd name="T14" fmla="*/ 8192 w 16384"/>
            <a:gd name="T15" fmla="*/ 5859 h 16384"/>
            <a:gd name="T16" fmla="*/ 8192 w 16384"/>
            <a:gd name="T17" fmla="*/ 6836 h 16384"/>
            <a:gd name="T18" fmla="*/ 10240 w 16384"/>
            <a:gd name="T19" fmla="*/ 7161 h 16384"/>
            <a:gd name="T20" fmla="*/ 11264 w 16384"/>
            <a:gd name="T21" fmla="*/ 7487 h 16384"/>
            <a:gd name="T22" fmla="*/ 14336 w 16384"/>
            <a:gd name="T23" fmla="*/ 7812 h 16384"/>
            <a:gd name="T24" fmla="*/ 16384 w 16384"/>
            <a:gd name="T25" fmla="*/ 8138 h 16384"/>
            <a:gd name="T26" fmla="*/ 14336 w 16384"/>
            <a:gd name="T27" fmla="*/ 8463 h 16384"/>
            <a:gd name="T28" fmla="*/ 11264 w 16384"/>
            <a:gd name="T29" fmla="*/ 8680 h 16384"/>
            <a:gd name="T30" fmla="*/ 10240 w 16384"/>
            <a:gd name="T31" fmla="*/ 9006 h 16384"/>
            <a:gd name="T32" fmla="*/ 8192 w 16384"/>
            <a:gd name="T33" fmla="*/ 9331 h 16384"/>
            <a:gd name="T34" fmla="*/ 8192 w 16384"/>
            <a:gd name="T35" fmla="*/ 9657 h 16384"/>
            <a:gd name="T36" fmla="*/ 7168 w 16384"/>
            <a:gd name="T37" fmla="*/ 9982 h 16384"/>
            <a:gd name="T38" fmla="*/ 7168 w 16384"/>
            <a:gd name="T39" fmla="*/ 14214 h 16384"/>
            <a:gd name="T40" fmla="*/ 6144 w 16384"/>
            <a:gd name="T41" fmla="*/ 14539 h 16384"/>
            <a:gd name="T42" fmla="*/ 6144 w 16384"/>
            <a:gd name="T43" fmla="*/ 15190 h 16384"/>
            <a:gd name="T44" fmla="*/ 5120 w 16384"/>
            <a:gd name="T45" fmla="*/ 15624 h 16384"/>
            <a:gd name="T46" fmla="*/ 3072 w 16384"/>
            <a:gd name="T47" fmla="*/ 15950 h 16384"/>
            <a:gd name="T48" fmla="*/ 2048 w 16384"/>
            <a:gd name="T49" fmla="*/ 16275 h 16384"/>
            <a:gd name="T50" fmla="*/ 0 w 16384"/>
            <a:gd name="T51" fmla="*/ 16384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</a:cxnLst>
          <a:rect l="0" t="0" r="r" b="b"/>
          <a:pathLst>
            <a:path w="16384" h="16384">
              <a:moveTo>
                <a:pt x="4096" y="0"/>
              </a:moveTo>
              <a:lnTo>
                <a:pt x="10240" y="977"/>
              </a:lnTo>
              <a:lnTo>
                <a:pt x="12288" y="1628"/>
              </a:lnTo>
              <a:lnTo>
                <a:pt x="12288" y="3906"/>
              </a:lnTo>
              <a:lnTo>
                <a:pt x="10240" y="4774"/>
              </a:lnTo>
              <a:lnTo>
                <a:pt x="10240" y="5100"/>
              </a:lnTo>
              <a:lnTo>
                <a:pt x="9216" y="5425"/>
              </a:lnTo>
              <a:lnTo>
                <a:pt x="8192" y="5859"/>
              </a:lnTo>
              <a:lnTo>
                <a:pt x="8192" y="6836"/>
              </a:lnTo>
              <a:lnTo>
                <a:pt x="10240" y="7161"/>
              </a:lnTo>
              <a:lnTo>
                <a:pt x="11264" y="7487"/>
              </a:lnTo>
              <a:lnTo>
                <a:pt x="14336" y="7812"/>
              </a:lnTo>
              <a:lnTo>
                <a:pt x="16384" y="8138"/>
              </a:lnTo>
              <a:lnTo>
                <a:pt x="14336" y="8463"/>
              </a:lnTo>
              <a:lnTo>
                <a:pt x="11264" y="8680"/>
              </a:lnTo>
              <a:lnTo>
                <a:pt x="10240" y="9006"/>
              </a:lnTo>
              <a:lnTo>
                <a:pt x="8192" y="9331"/>
              </a:lnTo>
              <a:lnTo>
                <a:pt x="8192" y="9657"/>
              </a:lnTo>
              <a:lnTo>
                <a:pt x="7168" y="9982"/>
              </a:lnTo>
              <a:lnTo>
                <a:pt x="7168" y="14214"/>
              </a:lnTo>
              <a:lnTo>
                <a:pt x="6144" y="14539"/>
              </a:lnTo>
              <a:lnTo>
                <a:pt x="6144" y="15190"/>
              </a:lnTo>
              <a:lnTo>
                <a:pt x="5120" y="15624"/>
              </a:lnTo>
              <a:lnTo>
                <a:pt x="3072" y="15950"/>
              </a:lnTo>
              <a:lnTo>
                <a:pt x="2048" y="16275"/>
              </a:lnTo>
              <a:lnTo>
                <a:pt x="0" y="16384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685800</xdr:colOff>
      <xdr:row>14</xdr:row>
      <xdr:rowOff>19050</xdr:rowOff>
    </xdr:from>
    <xdr:to>
      <xdr:col>5</xdr:col>
      <xdr:colOff>908050</xdr:colOff>
      <xdr:row>23</xdr:row>
      <xdr:rowOff>19050</xdr:rowOff>
    </xdr:to>
    <xdr:sp macro="" textlink="">
      <xdr:nvSpPr>
        <xdr:cNvPr id="14337" name="Drawing 1">
          <a:extLst>
            <a:ext uri="{FF2B5EF4-FFF2-40B4-BE49-F238E27FC236}">
              <a16:creationId xmlns:a16="http://schemas.microsoft.com/office/drawing/2014/main" id="{A118C0C3-EAA1-4CD2-83D8-CE07DDB2E0B9}"/>
            </a:ext>
          </a:extLst>
        </xdr:cNvPr>
        <xdr:cNvSpPr>
          <a:spLocks/>
        </xdr:cNvSpPr>
      </xdr:nvSpPr>
      <xdr:spPr bwMode="auto">
        <a:xfrm>
          <a:off x="5867400" y="2349500"/>
          <a:ext cx="222250" cy="1441450"/>
        </a:xfrm>
        <a:custGeom>
          <a:avLst/>
          <a:gdLst>
            <a:gd name="T0" fmla="*/ 16384 w 16384"/>
            <a:gd name="T1" fmla="*/ 0 h 16384"/>
            <a:gd name="T2" fmla="*/ 11703 w 16384"/>
            <a:gd name="T3" fmla="*/ 630 h 16384"/>
            <a:gd name="T4" fmla="*/ 10533 w 16384"/>
            <a:gd name="T5" fmla="*/ 945 h 16384"/>
            <a:gd name="T6" fmla="*/ 8192 w 16384"/>
            <a:gd name="T7" fmla="*/ 1260 h 16384"/>
            <a:gd name="T8" fmla="*/ 8192 w 16384"/>
            <a:gd name="T9" fmla="*/ 1575 h 16384"/>
            <a:gd name="T10" fmla="*/ 7022 w 16384"/>
            <a:gd name="T11" fmla="*/ 1890 h 16384"/>
            <a:gd name="T12" fmla="*/ 7022 w 16384"/>
            <a:gd name="T13" fmla="*/ 2941 h 16384"/>
            <a:gd name="T14" fmla="*/ 5851 w 16384"/>
            <a:gd name="T15" fmla="*/ 3256 h 16384"/>
            <a:gd name="T16" fmla="*/ 5851 w 16384"/>
            <a:gd name="T17" fmla="*/ 4516 h 16384"/>
            <a:gd name="T18" fmla="*/ 7022 w 16384"/>
            <a:gd name="T19" fmla="*/ 4936 h 16384"/>
            <a:gd name="T20" fmla="*/ 7022 w 16384"/>
            <a:gd name="T21" fmla="*/ 6091 h 16384"/>
            <a:gd name="T22" fmla="*/ 8192 w 16384"/>
            <a:gd name="T23" fmla="*/ 6407 h 16384"/>
            <a:gd name="T24" fmla="*/ 8192 w 16384"/>
            <a:gd name="T25" fmla="*/ 7667 h 16384"/>
            <a:gd name="T26" fmla="*/ 7022 w 16384"/>
            <a:gd name="T27" fmla="*/ 7982 h 16384"/>
            <a:gd name="T28" fmla="*/ 3511 w 16384"/>
            <a:gd name="T29" fmla="*/ 8192 h 16384"/>
            <a:gd name="T30" fmla="*/ 0 w 16384"/>
            <a:gd name="T31" fmla="*/ 8297 h 16384"/>
            <a:gd name="T32" fmla="*/ 2341 w 16384"/>
            <a:gd name="T33" fmla="*/ 8612 h 16384"/>
            <a:gd name="T34" fmla="*/ 5851 w 16384"/>
            <a:gd name="T35" fmla="*/ 8822 h 16384"/>
            <a:gd name="T36" fmla="*/ 7022 w 16384"/>
            <a:gd name="T37" fmla="*/ 9137 h 16384"/>
            <a:gd name="T38" fmla="*/ 9362 w 16384"/>
            <a:gd name="T39" fmla="*/ 9452 h 16384"/>
            <a:gd name="T40" fmla="*/ 9362 w 16384"/>
            <a:gd name="T41" fmla="*/ 9767 h 16384"/>
            <a:gd name="T42" fmla="*/ 10533 w 16384"/>
            <a:gd name="T43" fmla="*/ 10187 h 16384"/>
            <a:gd name="T44" fmla="*/ 10533 w 16384"/>
            <a:gd name="T45" fmla="*/ 15859 h 16384"/>
            <a:gd name="T46" fmla="*/ 11703 w 16384"/>
            <a:gd name="T47" fmla="*/ 16174 h 16384"/>
            <a:gd name="T48" fmla="*/ 15214 w 16384"/>
            <a:gd name="T49" fmla="*/ 16279 h 16384"/>
            <a:gd name="T50" fmla="*/ 15214 w 16384"/>
            <a:gd name="T51" fmla="*/ 16384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</a:cxnLst>
          <a:rect l="0" t="0" r="r" b="b"/>
          <a:pathLst>
            <a:path w="16384" h="16384">
              <a:moveTo>
                <a:pt x="16384" y="0"/>
              </a:moveTo>
              <a:lnTo>
                <a:pt x="11703" y="630"/>
              </a:lnTo>
              <a:lnTo>
                <a:pt x="10533" y="945"/>
              </a:lnTo>
              <a:lnTo>
                <a:pt x="8192" y="1260"/>
              </a:lnTo>
              <a:lnTo>
                <a:pt x="8192" y="1575"/>
              </a:lnTo>
              <a:lnTo>
                <a:pt x="7022" y="1890"/>
              </a:lnTo>
              <a:lnTo>
                <a:pt x="7022" y="2941"/>
              </a:lnTo>
              <a:lnTo>
                <a:pt x="5851" y="3256"/>
              </a:lnTo>
              <a:lnTo>
                <a:pt x="5851" y="4516"/>
              </a:lnTo>
              <a:lnTo>
                <a:pt x="7022" y="4936"/>
              </a:lnTo>
              <a:lnTo>
                <a:pt x="7022" y="6091"/>
              </a:lnTo>
              <a:lnTo>
                <a:pt x="8192" y="6407"/>
              </a:lnTo>
              <a:lnTo>
                <a:pt x="8192" y="7667"/>
              </a:lnTo>
              <a:lnTo>
                <a:pt x="7022" y="7982"/>
              </a:lnTo>
              <a:lnTo>
                <a:pt x="3511" y="8192"/>
              </a:lnTo>
              <a:lnTo>
                <a:pt x="0" y="8297"/>
              </a:lnTo>
              <a:lnTo>
                <a:pt x="2341" y="8612"/>
              </a:lnTo>
              <a:lnTo>
                <a:pt x="5851" y="8822"/>
              </a:lnTo>
              <a:lnTo>
                <a:pt x="7022" y="9137"/>
              </a:lnTo>
              <a:lnTo>
                <a:pt x="9362" y="9452"/>
              </a:lnTo>
              <a:lnTo>
                <a:pt x="9362" y="9767"/>
              </a:lnTo>
              <a:lnTo>
                <a:pt x="10533" y="10187"/>
              </a:lnTo>
              <a:lnTo>
                <a:pt x="10533" y="15859"/>
              </a:lnTo>
              <a:lnTo>
                <a:pt x="11703" y="16174"/>
              </a:lnTo>
              <a:lnTo>
                <a:pt x="15214" y="16279"/>
              </a:lnTo>
              <a:lnTo>
                <a:pt x="15214" y="16384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14</xdr:row>
      <xdr:rowOff>25400</xdr:rowOff>
    </xdr:from>
    <xdr:to>
      <xdr:col>4</xdr:col>
      <xdr:colOff>190500</xdr:colOff>
      <xdr:row>23</xdr:row>
      <xdr:rowOff>12700</xdr:rowOff>
    </xdr:to>
    <xdr:sp macro="" textlink="">
      <xdr:nvSpPr>
        <xdr:cNvPr id="14338" name="Drawing 2">
          <a:extLst>
            <a:ext uri="{FF2B5EF4-FFF2-40B4-BE49-F238E27FC236}">
              <a16:creationId xmlns:a16="http://schemas.microsoft.com/office/drawing/2014/main" id="{EA60689D-B711-4B93-A842-E075D41B29D6}"/>
            </a:ext>
          </a:extLst>
        </xdr:cNvPr>
        <xdr:cNvSpPr>
          <a:spLocks/>
        </xdr:cNvSpPr>
      </xdr:nvSpPr>
      <xdr:spPr bwMode="auto">
        <a:xfrm>
          <a:off x="4171950" y="2355850"/>
          <a:ext cx="190500" cy="1428750"/>
        </a:xfrm>
        <a:custGeom>
          <a:avLst/>
          <a:gdLst>
            <a:gd name="T0" fmla="*/ 4096 w 16384"/>
            <a:gd name="T1" fmla="*/ 0 h 16384"/>
            <a:gd name="T2" fmla="*/ 10240 w 16384"/>
            <a:gd name="T3" fmla="*/ 977 h 16384"/>
            <a:gd name="T4" fmla="*/ 12288 w 16384"/>
            <a:gd name="T5" fmla="*/ 1628 h 16384"/>
            <a:gd name="T6" fmla="*/ 12288 w 16384"/>
            <a:gd name="T7" fmla="*/ 3906 h 16384"/>
            <a:gd name="T8" fmla="*/ 10240 w 16384"/>
            <a:gd name="T9" fmla="*/ 4774 h 16384"/>
            <a:gd name="T10" fmla="*/ 10240 w 16384"/>
            <a:gd name="T11" fmla="*/ 5100 h 16384"/>
            <a:gd name="T12" fmla="*/ 9216 w 16384"/>
            <a:gd name="T13" fmla="*/ 5425 h 16384"/>
            <a:gd name="T14" fmla="*/ 8192 w 16384"/>
            <a:gd name="T15" fmla="*/ 5859 h 16384"/>
            <a:gd name="T16" fmla="*/ 8192 w 16384"/>
            <a:gd name="T17" fmla="*/ 6836 h 16384"/>
            <a:gd name="T18" fmla="*/ 10240 w 16384"/>
            <a:gd name="T19" fmla="*/ 7161 h 16384"/>
            <a:gd name="T20" fmla="*/ 11264 w 16384"/>
            <a:gd name="T21" fmla="*/ 7487 h 16384"/>
            <a:gd name="T22" fmla="*/ 14336 w 16384"/>
            <a:gd name="T23" fmla="*/ 7812 h 16384"/>
            <a:gd name="T24" fmla="*/ 16384 w 16384"/>
            <a:gd name="T25" fmla="*/ 8138 h 16384"/>
            <a:gd name="T26" fmla="*/ 14336 w 16384"/>
            <a:gd name="T27" fmla="*/ 8463 h 16384"/>
            <a:gd name="T28" fmla="*/ 11264 w 16384"/>
            <a:gd name="T29" fmla="*/ 8680 h 16384"/>
            <a:gd name="T30" fmla="*/ 10240 w 16384"/>
            <a:gd name="T31" fmla="*/ 9006 h 16384"/>
            <a:gd name="T32" fmla="*/ 8192 w 16384"/>
            <a:gd name="T33" fmla="*/ 9331 h 16384"/>
            <a:gd name="T34" fmla="*/ 8192 w 16384"/>
            <a:gd name="T35" fmla="*/ 9657 h 16384"/>
            <a:gd name="T36" fmla="*/ 7168 w 16384"/>
            <a:gd name="T37" fmla="*/ 9982 h 16384"/>
            <a:gd name="T38" fmla="*/ 7168 w 16384"/>
            <a:gd name="T39" fmla="*/ 14214 h 16384"/>
            <a:gd name="T40" fmla="*/ 6144 w 16384"/>
            <a:gd name="T41" fmla="*/ 14539 h 16384"/>
            <a:gd name="T42" fmla="*/ 6144 w 16384"/>
            <a:gd name="T43" fmla="*/ 15190 h 16384"/>
            <a:gd name="T44" fmla="*/ 5120 w 16384"/>
            <a:gd name="T45" fmla="*/ 15624 h 16384"/>
            <a:gd name="T46" fmla="*/ 3072 w 16384"/>
            <a:gd name="T47" fmla="*/ 15950 h 16384"/>
            <a:gd name="T48" fmla="*/ 2048 w 16384"/>
            <a:gd name="T49" fmla="*/ 16275 h 16384"/>
            <a:gd name="T50" fmla="*/ 0 w 16384"/>
            <a:gd name="T51" fmla="*/ 16384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</a:cxnLst>
          <a:rect l="0" t="0" r="r" b="b"/>
          <a:pathLst>
            <a:path w="16384" h="16384">
              <a:moveTo>
                <a:pt x="4096" y="0"/>
              </a:moveTo>
              <a:lnTo>
                <a:pt x="10240" y="977"/>
              </a:lnTo>
              <a:lnTo>
                <a:pt x="12288" y="1628"/>
              </a:lnTo>
              <a:lnTo>
                <a:pt x="12288" y="3906"/>
              </a:lnTo>
              <a:lnTo>
                <a:pt x="10240" y="4774"/>
              </a:lnTo>
              <a:lnTo>
                <a:pt x="10240" y="5100"/>
              </a:lnTo>
              <a:lnTo>
                <a:pt x="9216" y="5425"/>
              </a:lnTo>
              <a:lnTo>
                <a:pt x="8192" y="5859"/>
              </a:lnTo>
              <a:lnTo>
                <a:pt x="8192" y="6836"/>
              </a:lnTo>
              <a:lnTo>
                <a:pt x="10240" y="7161"/>
              </a:lnTo>
              <a:lnTo>
                <a:pt x="11264" y="7487"/>
              </a:lnTo>
              <a:lnTo>
                <a:pt x="14336" y="7812"/>
              </a:lnTo>
              <a:lnTo>
                <a:pt x="16384" y="8138"/>
              </a:lnTo>
              <a:lnTo>
                <a:pt x="14336" y="8463"/>
              </a:lnTo>
              <a:lnTo>
                <a:pt x="11264" y="8680"/>
              </a:lnTo>
              <a:lnTo>
                <a:pt x="10240" y="9006"/>
              </a:lnTo>
              <a:lnTo>
                <a:pt x="8192" y="9331"/>
              </a:lnTo>
              <a:lnTo>
                <a:pt x="8192" y="9657"/>
              </a:lnTo>
              <a:lnTo>
                <a:pt x="7168" y="9982"/>
              </a:lnTo>
              <a:lnTo>
                <a:pt x="7168" y="14214"/>
              </a:lnTo>
              <a:lnTo>
                <a:pt x="6144" y="14539"/>
              </a:lnTo>
              <a:lnTo>
                <a:pt x="6144" y="15190"/>
              </a:lnTo>
              <a:lnTo>
                <a:pt x="5120" y="15624"/>
              </a:lnTo>
              <a:lnTo>
                <a:pt x="3072" y="15950"/>
              </a:lnTo>
              <a:lnTo>
                <a:pt x="2048" y="16275"/>
              </a:lnTo>
              <a:lnTo>
                <a:pt x="0" y="16384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37"/>
  <sheetViews>
    <sheetView tabSelected="1" zoomScale="65" workbookViewId="0">
      <selection activeCell="A3" sqref="A3"/>
    </sheetView>
  </sheetViews>
  <sheetFormatPr defaultRowHeight="12.5" x14ac:dyDescent="0.25"/>
  <sheetData>
    <row r="1" spans="1:2" ht="13" x14ac:dyDescent="0.3">
      <c r="A1" s="8" t="s">
        <v>413</v>
      </c>
    </row>
    <row r="2" spans="1:2" ht="13" x14ac:dyDescent="0.3">
      <c r="A2" s="8"/>
      <c r="B2" t="s">
        <v>414</v>
      </c>
    </row>
    <row r="3" spans="1:2" ht="13" x14ac:dyDescent="0.3">
      <c r="A3" s="8"/>
    </row>
    <row r="4" spans="1:2" ht="13" x14ac:dyDescent="0.3">
      <c r="A4" t="s">
        <v>401</v>
      </c>
    </row>
    <row r="5" spans="1:2" x14ac:dyDescent="0.25">
      <c r="B5" t="s">
        <v>402</v>
      </c>
    </row>
    <row r="7" spans="1:2" ht="13" x14ac:dyDescent="0.3">
      <c r="A7" s="39" t="s">
        <v>111</v>
      </c>
    </row>
    <row r="8" spans="1:2" ht="13" x14ac:dyDescent="0.3">
      <c r="A8" s="39"/>
      <c r="B8" t="s">
        <v>318</v>
      </c>
    </row>
    <row r="9" spans="1:2" ht="13" x14ac:dyDescent="0.3">
      <c r="A9" s="38"/>
    </row>
    <row r="10" spans="1:2" ht="13" x14ac:dyDescent="0.3">
      <c r="A10" t="s">
        <v>112</v>
      </c>
    </row>
    <row r="11" spans="1:2" ht="13" x14ac:dyDescent="0.3">
      <c r="B11" s="10" t="s">
        <v>107</v>
      </c>
    </row>
    <row r="12" spans="1:2" ht="13" x14ac:dyDescent="0.3">
      <c r="B12" t="s">
        <v>108</v>
      </c>
    </row>
    <row r="13" spans="1:2" x14ac:dyDescent="0.25">
      <c r="B13" t="s">
        <v>113</v>
      </c>
    </row>
    <row r="15" spans="1:2" x14ac:dyDescent="0.25">
      <c r="A15" t="s">
        <v>319</v>
      </c>
    </row>
    <row r="17" spans="1:2" ht="13" x14ac:dyDescent="0.3">
      <c r="A17" t="s">
        <v>403</v>
      </c>
    </row>
    <row r="18" spans="1:2" x14ac:dyDescent="0.25">
      <c r="B18" t="s">
        <v>404</v>
      </c>
    </row>
    <row r="19" spans="1:2" ht="13" x14ac:dyDescent="0.3">
      <c r="B19" t="s">
        <v>422</v>
      </c>
    </row>
    <row r="21" spans="1:2" ht="13" x14ac:dyDescent="0.3">
      <c r="A21" t="s">
        <v>47</v>
      </c>
    </row>
    <row r="23" spans="1:2" ht="13" x14ac:dyDescent="0.3">
      <c r="A23" s="9" t="s">
        <v>410</v>
      </c>
    </row>
    <row r="25" spans="1:2" ht="13" x14ac:dyDescent="0.3">
      <c r="A25" t="s">
        <v>391</v>
      </c>
    </row>
    <row r="26" spans="1:2" ht="13" x14ac:dyDescent="0.3">
      <c r="B26" t="s">
        <v>114</v>
      </c>
    </row>
    <row r="27" spans="1:2" ht="13" x14ac:dyDescent="0.3">
      <c r="B27" t="s">
        <v>428</v>
      </c>
    </row>
    <row r="29" spans="1:2" ht="13" x14ac:dyDescent="0.3">
      <c r="A29" s="35" t="s">
        <v>396</v>
      </c>
    </row>
    <row r="30" spans="1:2" ht="13" x14ac:dyDescent="0.3">
      <c r="A30" s="35"/>
      <c r="B30" t="s">
        <v>397</v>
      </c>
    </row>
    <row r="32" spans="1:2" x14ac:dyDescent="0.25">
      <c r="A32" t="s">
        <v>82</v>
      </c>
    </row>
    <row r="34" spans="1:2" ht="13" x14ac:dyDescent="0.3">
      <c r="A34" s="38" t="s">
        <v>398</v>
      </c>
    </row>
    <row r="35" spans="1:2" ht="13" x14ac:dyDescent="0.3">
      <c r="A35" s="38"/>
      <c r="B35" t="s">
        <v>399</v>
      </c>
    </row>
    <row r="36" spans="1:2" x14ac:dyDescent="0.25">
      <c r="B36" t="s">
        <v>400</v>
      </c>
    </row>
    <row r="37" spans="1:2" x14ac:dyDescent="0.25">
      <c r="B37" t="s">
        <v>415</v>
      </c>
    </row>
  </sheetData>
  <sheetProtection sheet="1" objects="1" scenarios="1"/>
  <phoneticPr fontId="13" type="noConversion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Z78"/>
  <sheetViews>
    <sheetView zoomScale="60" workbookViewId="0">
      <selection activeCell="B22" sqref="B22"/>
    </sheetView>
  </sheetViews>
  <sheetFormatPr defaultRowHeight="12.5" x14ac:dyDescent="0.25"/>
  <sheetData>
    <row r="1" spans="1:52" ht="13" x14ac:dyDescent="0.3">
      <c r="A1" s="52" t="s">
        <v>284</v>
      </c>
      <c r="B1" s="52"/>
      <c r="C1" s="52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</row>
    <row r="2" spans="1:52" ht="13" x14ac:dyDescent="0.3">
      <c r="A2" s="52" t="s">
        <v>313</v>
      </c>
      <c r="B2" s="52"/>
      <c r="C2" s="52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</row>
    <row r="3" spans="1:52" ht="13" x14ac:dyDescent="0.3">
      <c r="A3" s="54" t="s">
        <v>314</v>
      </c>
      <c r="B3" s="52"/>
      <c r="C3" s="52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</row>
    <row r="4" spans="1:52" ht="13" x14ac:dyDescent="0.3">
      <c r="A4" s="54" t="s">
        <v>299</v>
      </c>
      <c r="B4" s="52"/>
      <c r="C4" s="52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</row>
    <row r="5" spans="1:52" ht="13" x14ac:dyDescent="0.3">
      <c r="A5" s="46" t="s">
        <v>320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</row>
    <row r="6" spans="1:52" x14ac:dyDescent="0.25">
      <c r="A6" s="54" t="s">
        <v>321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</row>
    <row r="7" spans="1:52" ht="13" x14ac:dyDescent="0.3">
      <c r="A7" s="46" t="s">
        <v>322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</row>
    <row r="8" spans="1:52" ht="13" x14ac:dyDescent="0.3">
      <c r="A8" s="54" t="s">
        <v>406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</row>
    <row r="9" spans="1:52" ht="13" x14ac:dyDescent="0.3">
      <c r="A9" s="53" t="s">
        <v>407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</row>
    <row r="10" spans="1:52" ht="13" x14ac:dyDescent="0.3">
      <c r="A10" s="46" t="s">
        <v>315</v>
      </c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</row>
    <row r="11" spans="1:52" x14ac:dyDescent="0.25">
      <c r="A11" s="53" t="s">
        <v>323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</row>
    <row r="12" spans="1:52" ht="13" x14ac:dyDescent="0.3">
      <c r="A12" s="53" t="s">
        <v>429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</row>
    <row r="13" spans="1:52" ht="13" x14ac:dyDescent="0.3">
      <c r="A13" s="52" t="s">
        <v>329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</row>
    <row r="14" spans="1:52" x14ac:dyDescent="0.25">
      <c r="A14" s="53" t="s">
        <v>324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</row>
    <row r="15" spans="1:52" x14ac:dyDescent="0.25">
      <c r="A15" s="53" t="s">
        <v>325</v>
      </c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</row>
    <row r="16" spans="1:52" x14ac:dyDescent="0.25">
      <c r="A16" s="53" t="s">
        <v>326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</row>
    <row r="17" spans="1:52" ht="13" x14ac:dyDescent="0.3">
      <c r="A17" s="53" t="s">
        <v>328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</row>
    <row r="18" spans="1:52" x14ac:dyDescent="0.25">
      <c r="A18" s="53" t="s">
        <v>405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</row>
    <row r="19" spans="1:52" x14ac:dyDescent="0.25">
      <c r="A19" s="53" t="s">
        <v>327</v>
      </c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</row>
    <row r="20" spans="1:52" ht="13" x14ac:dyDescent="0.3">
      <c r="A20" s="53" t="s">
        <v>46</v>
      </c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</row>
    <row r="21" spans="1:52" x14ac:dyDescent="0.25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</row>
    <row r="22" spans="1:52" x14ac:dyDescent="0.25">
      <c r="A22" s="53" t="s">
        <v>115</v>
      </c>
      <c r="B22" s="36" t="s">
        <v>388</v>
      </c>
      <c r="C22" s="36"/>
      <c r="D22" s="36"/>
      <c r="E22" s="36"/>
      <c r="F22" s="36"/>
      <c r="G22" s="36"/>
      <c r="H22" s="36"/>
      <c r="I22" s="36"/>
      <c r="J22" s="36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</row>
    <row r="23" spans="1:52" ht="13" x14ac:dyDescent="0.3">
      <c r="A23" s="53" t="s">
        <v>116</v>
      </c>
      <c r="B23" s="36">
        <v>1000</v>
      </c>
      <c r="C23" s="53" t="s">
        <v>117</v>
      </c>
      <c r="D23" s="36">
        <v>2000</v>
      </c>
      <c r="E23" s="53"/>
      <c r="F23" s="53"/>
      <c r="G23" s="53"/>
      <c r="H23" s="55" t="s">
        <v>118</v>
      </c>
      <c r="I23">
        <f>(D23-B23)/50</f>
        <v>20</v>
      </c>
      <c r="J23" s="52" t="s">
        <v>316</v>
      </c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</row>
    <row r="24" spans="1:52" x14ac:dyDescent="0.25">
      <c r="A24" s="53"/>
      <c r="B24" s="36">
        <v>0</v>
      </c>
      <c r="C24" s="53" t="s">
        <v>119</v>
      </c>
      <c r="D24" s="36">
        <v>120</v>
      </c>
      <c r="E24" s="53"/>
      <c r="F24" s="53"/>
      <c r="G24" s="53"/>
      <c r="H24" s="55" t="s">
        <v>120</v>
      </c>
      <c r="I24">
        <f>(D24-B24)/50</f>
        <v>2.4</v>
      </c>
      <c r="J24" s="53" t="s">
        <v>317</v>
      </c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</row>
    <row r="25" spans="1:52" x14ac:dyDescent="0.25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</row>
    <row r="26" spans="1:52" x14ac:dyDescent="0.25">
      <c r="A26" s="53"/>
      <c r="B26" s="53" t="s">
        <v>121</v>
      </c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</row>
    <row r="27" spans="1:52" x14ac:dyDescent="0.25">
      <c r="A27" s="56" t="s">
        <v>285</v>
      </c>
      <c r="B27" s="18">
        <f>B23</f>
        <v>1000</v>
      </c>
      <c r="C27" s="18">
        <f t="shared" ref="C27:AH27" si="0">B27+$I23</f>
        <v>1020</v>
      </c>
      <c r="D27" s="18">
        <f t="shared" si="0"/>
        <v>1040</v>
      </c>
      <c r="E27" s="18">
        <f t="shared" si="0"/>
        <v>1060</v>
      </c>
      <c r="F27" s="18">
        <f t="shared" si="0"/>
        <v>1080</v>
      </c>
      <c r="G27" s="18">
        <f t="shared" si="0"/>
        <v>1100</v>
      </c>
      <c r="H27" s="18">
        <f t="shared" si="0"/>
        <v>1120</v>
      </c>
      <c r="I27" s="18">
        <f t="shared" si="0"/>
        <v>1140</v>
      </c>
      <c r="J27" s="18">
        <f t="shared" si="0"/>
        <v>1160</v>
      </c>
      <c r="K27" s="18">
        <f t="shared" si="0"/>
        <v>1180</v>
      </c>
      <c r="L27" s="18">
        <f t="shared" si="0"/>
        <v>1200</v>
      </c>
      <c r="M27" s="18">
        <f t="shared" si="0"/>
        <v>1220</v>
      </c>
      <c r="N27" s="18">
        <f t="shared" si="0"/>
        <v>1240</v>
      </c>
      <c r="O27" s="18">
        <f t="shared" si="0"/>
        <v>1260</v>
      </c>
      <c r="P27" s="18">
        <f t="shared" si="0"/>
        <v>1280</v>
      </c>
      <c r="Q27" s="18">
        <f t="shared" si="0"/>
        <v>1300</v>
      </c>
      <c r="R27" s="18">
        <f t="shared" si="0"/>
        <v>1320</v>
      </c>
      <c r="S27" s="18">
        <f t="shared" si="0"/>
        <v>1340</v>
      </c>
      <c r="T27" s="18">
        <f t="shared" si="0"/>
        <v>1360</v>
      </c>
      <c r="U27" s="18">
        <f t="shared" si="0"/>
        <v>1380</v>
      </c>
      <c r="V27" s="18">
        <f t="shared" si="0"/>
        <v>1400</v>
      </c>
      <c r="W27" s="18">
        <f t="shared" si="0"/>
        <v>1420</v>
      </c>
      <c r="X27" s="18">
        <f t="shared" si="0"/>
        <v>1440</v>
      </c>
      <c r="Y27" s="18">
        <f t="shared" si="0"/>
        <v>1460</v>
      </c>
      <c r="Z27" s="18">
        <f t="shared" si="0"/>
        <v>1480</v>
      </c>
      <c r="AA27" s="18">
        <f t="shared" si="0"/>
        <v>1500</v>
      </c>
      <c r="AB27" s="18">
        <f t="shared" si="0"/>
        <v>1520</v>
      </c>
      <c r="AC27" s="18">
        <f t="shared" si="0"/>
        <v>1540</v>
      </c>
      <c r="AD27" s="18">
        <f t="shared" si="0"/>
        <v>1560</v>
      </c>
      <c r="AE27" s="18">
        <f t="shared" si="0"/>
        <v>1580</v>
      </c>
      <c r="AF27" s="18">
        <f t="shared" si="0"/>
        <v>1600</v>
      </c>
      <c r="AG27" s="18">
        <f t="shared" si="0"/>
        <v>1620</v>
      </c>
      <c r="AH27" s="18">
        <f t="shared" si="0"/>
        <v>1640</v>
      </c>
      <c r="AI27" s="18">
        <f t="shared" ref="AI27:AZ27" si="1">AH27+$I23</f>
        <v>1660</v>
      </c>
      <c r="AJ27" s="18">
        <f t="shared" si="1"/>
        <v>1680</v>
      </c>
      <c r="AK27" s="18">
        <f t="shared" si="1"/>
        <v>1700</v>
      </c>
      <c r="AL27" s="18">
        <f t="shared" si="1"/>
        <v>1720</v>
      </c>
      <c r="AM27" s="18">
        <f t="shared" si="1"/>
        <v>1740</v>
      </c>
      <c r="AN27" s="18">
        <f t="shared" si="1"/>
        <v>1760</v>
      </c>
      <c r="AO27" s="18">
        <f t="shared" si="1"/>
        <v>1780</v>
      </c>
      <c r="AP27" s="18">
        <f t="shared" si="1"/>
        <v>1800</v>
      </c>
      <c r="AQ27" s="18">
        <f t="shared" si="1"/>
        <v>1820</v>
      </c>
      <c r="AR27" s="18">
        <f t="shared" si="1"/>
        <v>1840</v>
      </c>
      <c r="AS27" s="18">
        <f t="shared" si="1"/>
        <v>1860</v>
      </c>
      <c r="AT27" s="18">
        <f t="shared" si="1"/>
        <v>1880</v>
      </c>
      <c r="AU27" s="18">
        <f t="shared" si="1"/>
        <v>1900</v>
      </c>
      <c r="AV27" s="18">
        <f t="shared" si="1"/>
        <v>1920</v>
      </c>
      <c r="AW27" s="18">
        <f t="shared" si="1"/>
        <v>1940</v>
      </c>
      <c r="AX27" s="18">
        <f t="shared" si="1"/>
        <v>1960</v>
      </c>
      <c r="AY27" s="18">
        <f t="shared" si="1"/>
        <v>1980</v>
      </c>
      <c r="AZ27" s="18">
        <f t="shared" si="1"/>
        <v>2000</v>
      </c>
    </row>
    <row r="28" spans="1:52" x14ac:dyDescent="0.25">
      <c r="A28" s="18">
        <f>D24</f>
        <v>120</v>
      </c>
      <c r="B28" s="36">
        <f t="shared" ref="B28:B44" si="2">-93.1+0.26*B$27+0.146*$A28-0.0000944*B$27^2+0.000041*B$27*$A28-0.00196*$A28^2</f>
        <v>66.716000000000008</v>
      </c>
      <c r="C28" s="59">
        <f t="shared" ref="C28:R43" si="3">-93.1+0.26*C$27+0.146*$A28-0.0000944*C$27^2+0.000041*C$27*$A28-0.00196*$A28^2</f>
        <v>68.200639999999993</v>
      </c>
      <c r="D28" s="59">
        <f t="shared" si="3"/>
        <v>69.609760000000037</v>
      </c>
      <c r="E28" s="59">
        <f t="shared" si="3"/>
        <v>70.943360000000027</v>
      </c>
      <c r="F28" s="59">
        <f t="shared" si="3"/>
        <v>72.201440000000019</v>
      </c>
      <c r="G28" s="59">
        <f t="shared" si="3"/>
        <v>73.384000000000015</v>
      </c>
      <c r="H28" s="59">
        <f t="shared" si="3"/>
        <v>74.491039999999998</v>
      </c>
      <c r="I28" s="59">
        <f t="shared" si="3"/>
        <v>75.522560000000041</v>
      </c>
      <c r="J28" s="59">
        <f t="shared" si="3"/>
        <v>76.47856000000003</v>
      </c>
      <c r="K28" s="59">
        <f t="shared" si="3"/>
        <v>77.359040000000007</v>
      </c>
      <c r="L28" s="59">
        <f t="shared" si="3"/>
        <v>78.164000000000001</v>
      </c>
      <c r="M28" s="59">
        <f t="shared" si="3"/>
        <v>78.893439999999984</v>
      </c>
      <c r="N28" s="59">
        <f t="shared" si="3"/>
        <v>79.547360000000054</v>
      </c>
      <c r="O28" s="59">
        <f t="shared" si="3"/>
        <v>80.125760000000042</v>
      </c>
      <c r="P28" s="59">
        <f t="shared" si="3"/>
        <v>80.628640000000019</v>
      </c>
      <c r="Q28" s="59">
        <f t="shared" si="3"/>
        <v>81.056000000000012</v>
      </c>
      <c r="R28" s="59">
        <f t="shared" si="3"/>
        <v>81.407839999999993</v>
      </c>
      <c r="S28" s="59">
        <f t="shared" ref="S28:AH43" si="4">-93.1+0.26*S$27+0.146*$A28-0.0000944*S$27^2+0.000041*S$27*$A28-0.00196*$A28^2</f>
        <v>81.684160000000048</v>
      </c>
      <c r="T28" s="59">
        <f t="shared" si="4"/>
        <v>81.884959999999978</v>
      </c>
      <c r="U28" s="59">
        <f t="shared" si="4"/>
        <v>82.010240000000024</v>
      </c>
      <c r="V28" s="59">
        <f t="shared" si="4"/>
        <v>82.05999999999996</v>
      </c>
      <c r="W28" s="59">
        <f t="shared" si="4"/>
        <v>82.034239999999997</v>
      </c>
      <c r="X28" s="59">
        <f t="shared" si="4"/>
        <v>81.932960000000051</v>
      </c>
      <c r="Y28" s="59">
        <f t="shared" si="4"/>
        <v>81.75615999999998</v>
      </c>
      <c r="Z28" s="59">
        <f t="shared" si="4"/>
        <v>81.503840000000011</v>
      </c>
      <c r="AA28" s="59">
        <f t="shared" si="4"/>
        <v>81.175999999999945</v>
      </c>
      <c r="AB28" s="59">
        <f t="shared" si="4"/>
        <v>80.772639999999981</v>
      </c>
      <c r="AC28" s="59">
        <f t="shared" si="4"/>
        <v>80.293760000000049</v>
      </c>
      <c r="AD28" s="59">
        <f t="shared" si="4"/>
        <v>79.739359999999976</v>
      </c>
      <c r="AE28" s="59">
        <f t="shared" si="4"/>
        <v>79.109440000000006</v>
      </c>
      <c r="AF28" s="59">
        <f t="shared" si="4"/>
        <v>78.40399999999994</v>
      </c>
      <c r="AG28" s="59">
        <f t="shared" si="4"/>
        <v>77.623039999999975</v>
      </c>
      <c r="AH28" s="59">
        <f t="shared" si="4"/>
        <v>76.766560000000027</v>
      </c>
      <c r="AI28" s="59">
        <f t="shared" ref="AI28:AX43" si="5">-93.1+0.26*AI$27+0.146*$A28-0.0000944*AI$27^2+0.000041*AI$27*$A28-0.00196*$A28^2</f>
        <v>75.834559999999954</v>
      </c>
      <c r="AJ28" s="59">
        <f t="shared" si="5"/>
        <v>74.827039999999997</v>
      </c>
      <c r="AK28" s="59">
        <f t="shared" si="5"/>
        <v>73.743999999999929</v>
      </c>
      <c r="AL28" s="59">
        <f t="shared" si="5"/>
        <v>72.585439999999991</v>
      </c>
      <c r="AM28" s="59">
        <f t="shared" si="5"/>
        <v>71.351360000000014</v>
      </c>
      <c r="AN28" s="59">
        <f t="shared" si="5"/>
        <v>70.04175999999994</v>
      </c>
      <c r="AO28" s="59">
        <f t="shared" si="5"/>
        <v>68.656639999999996</v>
      </c>
      <c r="AP28" s="59">
        <f t="shared" si="5"/>
        <v>67.195999999999955</v>
      </c>
      <c r="AQ28" s="59">
        <f t="shared" si="5"/>
        <v>65.659840000000003</v>
      </c>
      <c r="AR28" s="59">
        <f t="shared" si="5"/>
        <v>64.048160000000053</v>
      </c>
      <c r="AS28" s="59">
        <f t="shared" si="5"/>
        <v>62.360959999999949</v>
      </c>
      <c r="AT28" s="59">
        <f t="shared" si="5"/>
        <v>60.598240000000033</v>
      </c>
      <c r="AU28" s="59">
        <f t="shared" si="5"/>
        <v>58.759999999999962</v>
      </c>
      <c r="AV28" s="59">
        <f t="shared" si="5"/>
        <v>56.846239999999966</v>
      </c>
      <c r="AW28" s="59">
        <f t="shared" si="5"/>
        <v>54.856960000000043</v>
      </c>
      <c r="AX28" s="59">
        <f t="shared" si="5"/>
        <v>52.792159999999981</v>
      </c>
      <c r="AY28" s="59">
        <f t="shared" ref="AY28:AZ47" si="6">-93.1+0.26*AY$27+0.146*$A28-0.0000944*AY$27^2+0.000041*AY$27*$A28-0.00196*$A28^2</f>
        <v>50.651840000000036</v>
      </c>
      <c r="AZ28" s="59">
        <f t="shared" si="6"/>
        <v>48.435999999999936</v>
      </c>
    </row>
    <row r="29" spans="1:52" x14ac:dyDescent="0.25">
      <c r="A29" s="18">
        <f t="shared" ref="A29:A60" si="7">A28-I$24</f>
        <v>117.6</v>
      </c>
      <c r="B29" s="59">
        <f t="shared" si="2"/>
        <v>67.384870400000011</v>
      </c>
      <c r="C29" s="59">
        <f t="shared" si="3"/>
        <v>68.867542399999991</v>
      </c>
      <c r="D29" s="59">
        <f t="shared" si="3"/>
        <v>70.274694400000044</v>
      </c>
      <c r="E29" s="59">
        <f t="shared" si="3"/>
        <v>71.606326400000029</v>
      </c>
      <c r="F29" s="59">
        <f t="shared" si="3"/>
        <v>72.86243840000003</v>
      </c>
      <c r="G29" s="59">
        <f t="shared" si="3"/>
        <v>74.043030400000006</v>
      </c>
      <c r="H29" s="59">
        <f t="shared" si="3"/>
        <v>75.148102399999999</v>
      </c>
      <c r="I29" s="59">
        <f t="shared" si="3"/>
        <v>76.177654400000037</v>
      </c>
      <c r="J29" s="59">
        <f t="shared" si="3"/>
        <v>77.131686400000035</v>
      </c>
      <c r="K29" s="59">
        <f t="shared" si="3"/>
        <v>78.010198400000007</v>
      </c>
      <c r="L29" s="59">
        <f t="shared" si="3"/>
        <v>78.813190400000011</v>
      </c>
      <c r="M29" s="59">
        <f t="shared" si="3"/>
        <v>79.540662399999988</v>
      </c>
      <c r="N29" s="59">
        <f t="shared" si="3"/>
        <v>80.192614400000053</v>
      </c>
      <c r="O29" s="59">
        <f t="shared" si="3"/>
        <v>80.769046400000036</v>
      </c>
      <c r="P29" s="59">
        <f t="shared" si="3"/>
        <v>81.269958399999993</v>
      </c>
      <c r="Q29" s="59">
        <f t="shared" si="3"/>
        <v>81.695350399999981</v>
      </c>
      <c r="R29" s="59">
        <f t="shared" si="3"/>
        <v>82.045222399999972</v>
      </c>
      <c r="S29" s="59">
        <f t="shared" si="4"/>
        <v>82.319574400000022</v>
      </c>
      <c r="T29" s="59">
        <f t="shared" si="4"/>
        <v>82.518406400000018</v>
      </c>
      <c r="U29" s="59">
        <f t="shared" si="4"/>
        <v>82.641718400000045</v>
      </c>
      <c r="V29" s="59">
        <f t="shared" si="4"/>
        <v>82.689510399999989</v>
      </c>
      <c r="W29" s="59">
        <f t="shared" si="4"/>
        <v>82.661782400000021</v>
      </c>
      <c r="X29" s="59">
        <f t="shared" si="4"/>
        <v>82.558534400000084</v>
      </c>
      <c r="Y29" s="59">
        <f t="shared" si="4"/>
        <v>82.379766400000008</v>
      </c>
      <c r="Z29" s="59">
        <f t="shared" si="4"/>
        <v>82.125478400000048</v>
      </c>
      <c r="AA29" s="59">
        <f t="shared" si="4"/>
        <v>81.795670399999977</v>
      </c>
      <c r="AB29" s="59">
        <f t="shared" si="4"/>
        <v>81.390342400000023</v>
      </c>
      <c r="AC29" s="59">
        <f t="shared" si="4"/>
        <v>80.909494400000071</v>
      </c>
      <c r="AD29" s="59">
        <f t="shared" si="4"/>
        <v>80.353126400000008</v>
      </c>
      <c r="AE29" s="59">
        <f t="shared" si="4"/>
        <v>79.721238400000033</v>
      </c>
      <c r="AF29" s="59">
        <f t="shared" si="4"/>
        <v>79.013830399999975</v>
      </c>
      <c r="AG29" s="59">
        <f t="shared" si="4"/>
        <v>78.230902400000005</v>
      </c>
      <c r="AH29" s="59">
        <f t="shared" si="4"/>
        <v>77.372454400000052</v>
      </c>
      <c r="AI29" s="59">
        <f t="shared" si="5"/>
        <v>76.438486399999988</v>
      </c>
      <c r="AJ29" s="59">
        <f t="shared" si="5"/>
        <v>75.428998400000026</v>
      </c>
      <c r="AK29" s="59">
        <f t="shared" si="5"/>
        <v>74.343990399999953</v>
      </c>
      <c r="AL29" s="59">
        <f t="shared" si="5"/>
        <v>73.18346240000001</v>
      </c>
      <c r="AM29" s="59">
        <f t="shared" si="5"/>
        <v>71.947414400000042</v>
      </c>
      <c r="AN29" s="59">
        <f t="shared" si="5"/>
        <v>70.635846399999977</v>
      </c>
      <c r="AO29" s="59">
        <f t="shared" si="5"/>
        <v>69.248758400000028</v>
      </c>
      <c r="AP29" s="59">
        <f t="shared" si="5"/>
        <v>67.786150399999983</v>
      </c>
      <c r="AQ29" s="59">
        <f t="shared" si="5"/>
        <v>66.248022400000025</v>
      </c>
      <c r="AR29" s="59">
        <f t="shared" si="5"/>
        <v>64.634374400000084</v>
      </c>
      <c r="AS29" s="59">
        <f t="shared" si="5"/>
        <v>62.945206399999975</v>
      </c>
      <c r="AT29" s="59">
        <f t="shared" si="5"/>
        <v>61.180518400000054</v>
      </c>
      <c r="AU29" s="59">
        <f t="shared" si="5"/>
        <v>59.340310399999993</v>
      </c>
      <c r="AV29" s="59">
        <f t="shared" si="5"/>
        <v>57.424582400000006</v>
      </c>
      <c r="AW29" s="59">
        <f t="shared" si="5"/>
        <v>55.433334400000078</v>
      </c>
      <c r="AX29" s="59">
        <f t="shared" si="5"/>
        <v>53.366566399999996</v>
      </c>
      <c r="AY29" s="59">
        <f t="shared" si="6"/>
        <v>51.22427840000006</v>
      </c>
      <c r="AZ29" s="59">
        <f t="shared" si="6"/>
        <v>49.006470399999969</v>
      </c>
    </row>
    <row r="30" spans="1:52" x14ac:dyDescent="0.25">
      <c r="A30" s="18">
        <f t="shared" si="7"/>
        <v>115.19999999999999</v>
      </c>
      <c r="B30" s="59">
        <f t="shared" si="2"/>
        <v>68.031161600000004</v>
      </c>
      <c r="C30" s="59">
        <f t="shared" si="3"/>
        <v>69.511865599999979</v>
      </c>
      <c r="D30" s="59">
        <f t="shared" si="3"/>
        <v>70.917049600000027</v>
      </c>
      <c r="E30" s="59">
        <f t="shared" si="3"/>
        <v>72.246713600000021</v>
      </c>
      <c r="F30" s="59">
        <f t="shared" si="3"/>
        <v>73.500857600000018</v>
      </c>
      <c r="G30" s="59">
        <f t="shared" si="3"/>
        <v>74.679481600000003</v>
      </c>
      <c r="H30" s="59">
        <f t="shared" si="3"/>
        <v>75.78258559999999</v>
      </c>
      <c r="I30" s="59">
        <f t="shared" si="3"/>
        <v>76.810169600000037</v>
      </c>
      <c r="J30" s="59">
        <f t="shared" si="3"/>
        <v>77.762233600000016</v>
      </c>
      <c r="K30" s="59">
        <f t="shared" si="3"/>
        <v>78.638777599999997</v>
      </c>
      <c r="L30" s="59">
        <f t="shared" si="3"/>
        <v>79.439801599999996</v>
      </c>
      <c r="M30" s="59">
        <f t="shared" si="3"/>
        <v>80.165305599999982</v>
      </c>
      <c r="N30" s="59">
        <f t="shared" si="3"/>
        <v>80.815289600000042</v>
      </c>
      <c r="O30" s="59">
        <f t="shared" si="3"/>
        <v>81.389753600000034</v>
      </c>
      <c r="P30" s="59">
        <f t="shared" si="3"/>
        <v>81.8886976</v>
      </c>
      <c r="Q30" s="59">
        <f t="shared" si="3"/>
        <v>82.312121599999998</v>
      </c>
      <c r="R30" s="59">
        <f t="shared" si="3"/>
        <v>82.660025599999983</v>
      </c>
      <c r="S30" s="59">
        <f t="shared" si="4"/>
        <v>82.932409600000042</v>
      </c>
      <c r="T30" s="59">
        <f t="shared" si="4"/>
        <v>83.129273600000033</v>
      </c>
      <c r="U30" s="59">
        <f t="shared" si="4"/>
        <v>83.250617600000069</v>
      </c>
      <c r="V30" s="59">
        <f t="shared" si="4"/>
        <v>83.296441600000009</v>
      </c>
      <c r="W30" s="59">
        <f t="shared" si="4"/>
        <v>83.266745600000036</v>
      </c>
      <c r="X30" s="59">
        <f t="shared" si="4"/>
        <v>83.161529600000094</v>
      </c>
      <c r="Y30" s="59">
        <f t="shared" si="4"/>
        <v>82.980793600000027</v>
      </c>
      <c r="Z30" s="59">
        <f t="shared" si="4"/>
        <v>82.724537600000062</v>
      </c>
      <c r="AA30" s="59">
        <f t="shared" si="4"/>
        <v>82.3927616</v>
      </c>
      <c r="AB30" s="59">
        <f t="shared" si="4"/>
        <v>81.98546560000004</v>
      </c>
      <c r="AC30" s="59">
        <f t="shared" si="4"/>
        <v>81.502649600000098</v>
      </c>
      <c r="AD30" s="59">
        <f t="shared" si="4"/>
        <v>80.944313600000015</v>
      </c>
      <c r="AE30" s="59">
        <f t="shared" si="4"/>
        <v>80.310457600000049</v>
      </c>
      <c r="AF30" s="59">
        <f t="shared" si="4"/>
        <v>79.601081599999986</v>
      </c>
      <c r="AG30" s="59">
        <f t="shared" si="4"/>
        <v>78.816185600000026</v>
      </c>
      <c r="AH30" s="59">
        <f t="shared" si="4"/>
        <v>77.955769600000082</v>
      </c>
      <c r="AI30" s="59">
        <f t="shared" si="5"/>
        <v>77.019833600000013</v>
      </c>
      <c r="AJ30" s="59">
        <f t="shared" si="5"/>
        <v>76.008377600000046</v>
      </c>
      <c r="AK30" s="59">
        <f t="shared" si="5"/>
        <v>74.921401599999967</v>
      </c>
      <c r="AL30" s="59">
        <f t="shared" si="5"/>
        <v>73.758905600000034</v>
      </c>
      <c r="AM30" s="59">
        <f t="shared" si="5"/>
        <v>72.520889600000061</v>
      </c>
      <c r="AN30" s="59">
        <f t="shared" si="5"/>
        <v>71.20735359999999</v>
      </c>
      <c r="AO30" s="59">
        <f t="shared" si="5"/>
        <v>69.818297600000051</v>
      </c>
      <c r="AP30" s="59">
        <f t="shared" si="5"/>
        <v>68.353721600000014</v>
      </c>
      <c r="AQ30" s="59">
        <f t="shared" si="5"/>
        <v>66.813625600000051</v>
      </c>
      <c r="AR30" s="59">
        <f t="shared" si="5"/>
        <v>65.198009600000091</v>
      </c>
      <c r="AS30" s="59">
        <f t="shared" si="5"/>
        <v>63.506873599999992</v>
      </c>
      <c r="AT30" s="59">
        <f t="shared" si="5"/>
        <v>61.740217600000079</v>
      </c>
      <c r="AU30" s="59">
        <f t="shared" si="5"/>
        <v>59.898041600000013</v>
      </c>
      <c r="AV30" s="59">
        <f t="shared" si="5"/>
        <v>57.980345600000021</v>
      </c>
      <c r="AW30" s="59">
        <f t="shared" si="5"/>
        <v>55.987129600000102</v>
      </c>
      <c r="AX30" s="59">
        <f t="shared" si="5"/>
        <v>53.91839360000003</v>
      </c>
      <c r="AY30" s="59">
        <f t="shared" si="6"/>
        <v>51.774137600000074</v>
      </c>
      <c r="AZ30" s="59">
        <f t="shared" si="6"/>
        <v>49.554361599999979</v>
      </c>
    </row>
    <row r="31" spans="1:52" x14ac:dyDescent="0.25">
      <c r="A31" s="18">
        <f t="shared" si="7"/>
        <v>112.79999999999998</v>
      </c>
      <c r="B31" s="59">
        <f t="shared" si="2"/>
        <v>68.654873599999988</v>
      </c>
      <c r="C31" s="59">
        <f t="shared" si="3"/>
        <v>70.133609599999986</v>
      </c>
      <c r="D31" s="59">
        <f t="shared" si="3"/>
        <v>71.536825600000029</v>
      </c>
      <c r="E31" s="59">
        <f t="shared" si="3"/>
        <v>72.864521600000018</v>
      </c>
      <c r="F31" s="59">
        <f t="shared" si="3"/>
        <v>74.116697600000009</v>
      </c>
      <c r="G31" s="59">
        <f t="shared" si="3"/>
        <v>75.293353600000003</v>
      </c>
      <c r="H31" s="59">
        <f t="shared" si="3"/>
        <v>76.394489599999986</v>
      </c>
      <c r="I31" s="59">
        <f t="shared" si="3"/>
        <v>77.420105600000028</v>
      </c>
      <c r="J31" s="59">
        <f t="shared" si="3"/>
        <v>78.370201600000016</v>
      </c>
      <c r="K31" s="59">
        <f t="shared" si="3"/>
        <v>79.244777599999992</v>
      </c>
      <c r="L31" s="59">
        <f t="shared" si="3"/>
        <v>80.043833599999985</v>
      </c>
      <c r="M31" s="59">
        <f t="shared" si="3"/>
        <v>80.767369599999981</v>
      </c>
      <c r="N31" s="59">
        <f t="shared" si="3"/>
        <v>81.415385600000036</v>
      </c>
      <c r="O31" s="59">
        <f t="shared" si="3"/>
        <v>81.987881600000023</v>
      </c>
      <c r="P31" s="59">
        <f t="shared" si="3"/>
        <v>82.484857600000026</v>
      </c>
      <c r="Q31" s="59">
        <f t="shared" si="3"/>
        <v>82.906313600000033</v>
      </c>
      <c r="R31" s="59">
        <f t="shared" si="3"/>
        <v>83.252249600000013</v>
      </c>
      <c r="S31" s="59">
        <f t="shared" si="4"/>
        <v>83.522665600000067</v>
      </c>
      <c r="T31" s="59">
        <f t="shared" si="4"/>
        <v>83.717561599999996</v>
      </c>
      <c r="U31" s="59">
        <f t="shared" si="4"/>
        <v>83.836937600000027</v>
      </c>
      <c r="V31" s="59">
        <f t="shared" si="4"/>
        <v>83.880793599999976</v>
      </c>
      <c r="W31" s="59">
        <f t="shared" si="4"/>
        <v>83.849129600000012</v>
      </c>
      <c r="X31" s="59">
        <f t="shared" si="4"/>
        <v>83.741945600000065</v>
      </c>
      <c r="Y31" s="59">
        <f t="shared" si="4"/>
        <v>83.559241599999993</v>
      </c>
      <c r="Z31" s="59">
        <f t="shared" si="4"/>
        <v>83.301017600000023</v>
      </c>
      <c r="AA31" s="59">
        <f t="shared" si="4"/>
        <v>82.96727359999997</v>
      </c>
      <c r="AB31" s="59">
        <f t="shared" si="4"/>
        <v>82.558009600000005</v>
      </c>
      <c r="AC31" s="59">
        <f t="shared" si="4"/>
        <v>82.073225600000058</v>
      </c>
      <c r="AD31" s="59">
        <f t="shared" si="4"/>
        <v>81.512921599999984</v>
      </c>
      <c r="AE31" s="59">
        <f t="shared" si="4"/>
        <v>80.877097600000027</v>
      </c>
      <c r="AF31" s="59">
        <f t="shared" si="4"/>
        <v>80.16575359999996</v>
      </c>
      <c r="AG31" s="59">
        <f t="shared" si="4"/>
        <v>79.378889599999994</v>
      </c>
      <c r="AH31" s="59">
        <f t="shared" si="4"/>
        <v>78.516505600000045</v>
      </c>
      <c r="AI31" s="59">
        <f t="shared" si="5"/>
        <v>77.578601599999971</v>
      </c>
      <c r="AJ31" s="59">
        <f t="shared" si="5"/>
        <v>76.565177600000013</v>
      </c>
      <c r="AK31" s="59">
        <f t="shared" si="5"/>
        <v>75.476233599999944</v>
      </c>
      <c r="AL31" s="59">
        <f t="shared" si="5"/>
        <v>74.311769600000005</v>
      </c>
      <c r="AM31" s="59">
        <f t="shared" si="5"/>
        <v>73.071785600000027</v>
      </c>
      <c r="AN31" s="59">
        <f t="shared" si="5"/>
        <v>71.756281599999951</v>
      </c>
      <c r="AO31" s="59">
        <f t="shared" si="5"/>
        <v>70.365257600000021</v>
      </c>
      <c r="AP31" s="59">
        <f t="shared" si="5"/>
        <v>68.898713599999979</v>
      </c>
      <c r="AQ31" s="59">
        <f t="shared" si="5"/>
        <v>67.356649600000011</v>
      </c>
      <c r="AR31" s="59">
        <f t="shared" si="5"/>
        <v>65.73906560000006</v>
      </c>
      <c r="AS31" s="59">
        <f t="shared" si="5"/>
        <v>64.045961599999956</v>
      </c>
      <c r="AT31" s="59">
        <f t="shared" si="5"/>
        <v>62.277337600000052</v>
      </c>
      <c r="AU31" s="59">
        <f t="shared" si="5"/>
        <v>60.433193599999981</v>
      </c>
      <c r="AV31" s="59">
        <f t="shared" si="5"/>
        <v>58.513529599999984</v>
      </c>
      <c r="AW31" s="59">
        <f t="shared" si="5"/>
        <v>56.51834560000006</v>
      </c>
      <c r="AX31" s="59">
        <f t="shared" si="5"/>
        <v>54.447641599999983</v>
      </c>
      <c r="AY31" s="59">
        <f t="shared" si="6"/>
        <v>52.30141760000005</v>
      </c>
      <c r="AZ31" s="59">
        <f t="shared" si="6"/>
        <v>50.07967359999995</v>
      </c>
    </row>
    <row r="32" spans="1:52" x14ac:dyDescent="0.25">
      <c r="A32" s="18">
        <f t="shared" si="7"/>
        <v>110.39999999999998</v>
      </c>
      <c r="B32" s="59">
        <f t="shared" si="2"/>
        <v>69.25600639999999</v>
      </c>
      <c r="C32" s="59">
        <f t="shared" si="3"/>
        <v>70.732774399999983</v>
      </c>
      <c r="D32" s="59">
        <f t="shared" si="3"/>
        <v>72.134022400000021</v>
      </c>
      <c r="E32" s="59">
        <f t="shared" si="3"/>
        <v>73.459750400000019</v>
      </c>
      <c r="F32" s="59">
        <f t="shared" si="3"/>
        <v>74.709958400000005</v>
      </c>
      <c r="G32" s="59">
        <f t="shared" si="3"/>
        <v>75.884646399999994</v>
      </c>
      <c r="H32" s="59">
        <f t="shared" si="3"/>
        <v>76.983814399999986</v>
      </c>
      <c r="I32" s="59">
        <f t="shared" si="3"/>
        <v>78.007462400000023</v>
      </c>
      <c r="J32" s="59">
        <f t="shared" si="3"/>
        <v>78.95559040000002</v>
      </c>
      <c r="K32" s="59">
        <f t="shared" si="3"/>
        <v>79.828198399999991</v>
      </c>
      <c r="L32" s="59">
        <f t="shared" si="3"/>
        <v>80.625286399999993</v>
      </c>
      <c r="M32" s="59">
        <f t="shared" si="3"/>
        <v>81.346854399999984</v>
      </c>
      <c r="N32" s="59">
        <f t="shared" si="3"/>
        <v>81.992902400000034</v>
      </c>
      <c r="O32" s="59">
        <f t="shared" si="3"/>
        <v>82.56343040000003</v>
      </c>
      <c r="P32" s="59">
        <f t="shared" si="3"/>
        <v>83.0584384</v>
      </c>
      <c r="Q32" s="59">
        <f t="shared" si="3"/>
        <v>83.477926400000001</v>
      </c>
      <c r="R32" s="59">
        <f t="shared" si="3"/>
        <v>83.821894399999977</v>
      </c>
      <c r="S32" s="59">
        <f t="shared" si="4"/>
        <v>84.09034240000004</v>
      </c>
      <c r="T32" s="59">
        <f t="shared" si="4"/>
        <v>84.283270400000021</v>
      </c>
      <c r="U32" s="59">
        <f t="shared" si="4"/>
        <v>84.400678400000061</v>
      </c>
      <c r="V32" s="59">
        <f t="shared" si="4"/>
        <v>84.442566400000004</v>
      </c>
      <c r="W32" s="59">
        <f t="shared" si="4"/>
        <v>84.408934400000035</v>
      </c>
      <c r="X32" s="59">
        <f t="shared" si="4"/>
        <v>84.299782400000097</v>
      </c>
      <c r="Y32" s="59">
        <f t="shared" si="4"/>
        <v>84.11511040000002</v>
      </c>
      <c r="Z32" s="59">
        <f t="shared" si="4"/>
        <v>83.854918400000059</v>
      </c>
      <c r="AA32" s="59">
        <f t="shared" si="4"/>
        <v>83.519206399999987</v>
      </c>
      <c r="AB32" s="59">
        <f t="shared" si="4"/>
        <v>83.107974400000032</v>
      </c>
      <c r="AC32" s="59">
        <f t="shared" si="4"/>
        <v>82.621222400000093</v>
      </c>
      <c r="AD32" s="59">
        <f t="shared" si="4"/>
        <v>82.058950400000015</v>
      </c>
      <c r="AE32" s="59">
        <f t="shared" si="4"/>
        <v>81.421158400000053</v>
      </c>
      <c r="AF32" s="59">
        <f t="shared" si="4"/>
        <v>80.70784639999998</v>
      </c>
      <c r="AG32" s="59">
        <f t="shared" si="4"/>
        <v>79.919014400000023</v>
      </c>
      <c r="AH32" s="59">
        <f t="shared" si="4"/>
        <v>79.054662400000069</v>
      </c>
      <c r="AI32" s="59">
        <f t="shared" si="5"/>
        <v>78.114790400000004</v>
      </c>
      <c r="AJ32" s="59">
        <f t="shared" si="5"/>
        <v>77.099398400000027</v>
      </c>
      <c r="AK32" s="59">
        <f t="shared" si="5"/>
        <v>76.008486399999967</v>
      </c>
      <c r="AL32" s="59">
        <f t="shared" si="5"/>
        <v>74.842054400000038</v>
      </c>
      <c r="AM32" s="59">
        <f t="shared" si="5"/>
        <v>73.600102400000054</v>
      </c>
      <c r="AN32" s="59">
        <f t="shared" si="5"/>
        <v>72.282630399999988</v>
      </c>
      <c r="AO32" s="59">
        <f t="shared" si="5"/>
        <v>70.889638400000038</v>
      </c>
      <c r="AP32" s="59">
        <f t="shared" si="5"/>
        <v>69.421126400000006</v>
      </c>
      <c r="AQ32" s="59">
        <f t="shared" si="5"/>
        <v>67.877094400000033</v>
      </c>
      <c r="AR32" s="59">
        <f t="shared" si="5"/>
        <v>66.257542400000091</v>
      </c>
      <c r="AS32" s="59">
        <f t="shared" si="5"/>
        <v>64.562470399999995</v>
      </c>
      <c r="AT32" s="59">
        <f t="shared" si="5"/>
        <v>62.791878400000073</v>
      </c>
      <c r="AU32" s="59">
        <f t="shared" si="5"/>
        <v>60.945766400000011</v>
      </c>
      <c r="AV32" s="59">
        <f t="shared" si="5"/>
        <v>59.024134400000008</v>
      </c>
      <c r="AW32" s="59">
        <f t="shared" si="5"/>
        <v>57.026982400000094</v>
      </c>
      <c r="AX32" s="59">
        <f t="shared" si="5"/>
        <v>54.954310400000011</v>
      </c>
      <c r="AY32" s="59">
        <f t="shared" si="6"/>
        <v>52.806118400000074</v>
      </c>
      <c r="AZ32" s="59">
        <f t="shared" si="6"/>
        <v>50.582406399999968</v>
      </c>
    </row>
    <row r="33" spans="1:52" x14ac:dyDescent="0.25">
      <c r="A33" s="18">
        <f t="shared" si="7"/>
        <v>107.99999999999997</v>
      </c>
      <c r="B33" s="59">
        <f t="shared" si="2"/>
        <v>69.83456000000001</v>
      </c>
      <c r="C33" s="59">
        <f t="shared" si="3"/>
        <v>71.309359999999998</v>
      </c>
      <c r="D33" s="59">
        <f t="shared" si="3"/>
        <v>72.708640000000045</v>
      </c>
      <c r="E33" s="59">
        <f t="shared" si="3"/>
        <v>74.032400000000038</v>
      </c>
      <c r="F33" s="59">
        <f t="shared" si="3"/>
        <v>75.280640000000034</v>
      </c>
      <c r="G33" s="59">
        <f t="shared" si="3"/>
        <v>76.453360000000018</v>
      </c>
      <c r="H33" s="59">
        <f t="shared" si="3"/>
        <v>77.550560000000004</v>
      </c>
      <c r="I33" s="59">
        <f t="shared" si="3"/>
        <v>78.57224000000005</v>
      </c>
      <c r="J33" s="59">
        <f t="shared" si="3"/>
        <v>79.518400000000042</v>
      </c>
      <c r="K33" s="59">
        <f t="shared" si="3"/>
        <v>80.389040000000008</v>
      </c>
      <c r="L33" s="59">
        <f t="shared" si="3"/>
        <v>81.184160000000006</v>
      </c>
      <c r="M33" s="59">
        <f t="shared" si="3"/>
        <v>81.903759999999991</v>
      </c>
      <c r="N33" s="59">
        <f t="shared" si="3"/>
        <v>82.547840000000051</v>
      </c>
      <c r="O33" s="59">
        <f t="shared" si="3"/>
        <v>83.116400000000041</v>
      </c>
      <c r="P33" s="59">
        <f t="shared" si="3"/>
        <v>83.609440000000021</v>
      </c>
      <c r="Q33" s="59">
        <f t="shared" si="3"/>
        <v>84.026960000000017</v>
      </c>
      <c r="R33" s="59">
        <f t="shared" si="3"/>
        <v>84.368960000000001</v>
      </c>
      <c r="S33" s="59">
        <f t="shared" si="4"/>
        <v>84.63544000000006</v>
      </c>
      <c r="T33" s="59">
        <f t="shared" si="4"/>
        <v>84.826399999999992</v>
      </c>
      <c r="U33" s="59">
        <f t="shared" si="4"/>
        <v>84.941840000000028</v>
      </c>
      <c r="V33" s="59">
        <f t="shared" si="4"/>
        <v>84.981759999999966</v>
      </c>
      <c r="W33" s="59">
        <f t="shared" si="4"/>
        <v>84.946159999999992</v>
      </c>
      <c r="X33" s="59">
        <f t="shared" si="4"/>
        <v>84.835040000000049</v>
      </c>
      <c r="Y33" s="59">
        <f t="shared" si="4"/>
        <v>84.648399999999981</v>
      </c>
      <c r="Z33" s="59">
        <f t="shared" si="4"/>
        <v>84.386240000000015</v>
      </c>
      <c r="AA33" s="59">
        <f t="shared" si="4"/>
        <v>84.048559999999952</v>
      </c>
      <c r="AB33" s="59">
        <f t="shared" si="4"/>
        <v>83.635359999999991</v>
      </c>
      <c r="AC33" s="59">
        <f t="shared" si="4"/>
        <v>83.146640000000048</v>
      </c>
      <c r="AD33" s="59">
        <f t="shared" si="4"/>
        <v>82.582399999999978</v>
      </c>
      <c r="AE33" s="59">
        <f t="shared" si="4"/>
        <v>81.942640000000011</v>
      </c>
      <c r="AF33" s="59">
        <f t="shared" si="4"/>
        <v>81.227359999999948</v>
      </c>
      <c r="AG33" s="59">
        <f t="shared" si="4"/>
        <v>80.436559999999986</v>
      </c>
      <c r="AH33" s="59">
        <f t="shared" si="4"/>
        <v>79.570240000000041</v>
      </c>
      <c r="AI33" s="59">
        <f t="shared" si="5"/>
        <v>78.628399999999971</v>
      </c>
      <c r="AJ33" s="59">
        <f t="shared" si="5"/>
        <v>77.611039999999988</v>
      </c>
      <c r="AK33" s="59">
        <f t="shared" si="5"/>
        <v>76.518159999999924</v>
      </c>
      <c r="AL33" s="59">
        <f t="shared" si="5"/>
        <v>75.349759999999989</v>
      </c>
      <c r="AM33" s="59">
        <f t="shared" si="5"/>
        <v>74.105840000000015</v>
      </c>
      <c r="AN33" s="59">
        <f t="shared" si="5"/>
        <v>72.786399999999944</v>
      </c>
      <c r="AO33" s="59">
        <f t="shared" si="5"/>
        <v>71.391440000000003</v>
      </c>
      <c r="AP33" s="59">
        <f t="shared" si="5"/>
        <v>69.920959999999965</v>
      </c>
      <c r="AQ33" s="59">
        <f t="shared" si="5"/>
        <v>68.374960000000002</v>
      </c>
      <c r="AR33" s="59">
        <f t="shared" si="5"/>
        <v>66.753440000000055</v>
      </c>
      <c r="AS33" s="59">
        <f t="shared" si="5"/>
        <v>65.056399999999954</v>
      </c>
      <c r="AT33" s="59">
        <f t="shared" si="5"/>
        <v>63.283840000000041</v>
      </c>
      <c r="AU33" s="59">
        <f t="shared" si="5"/>
        <v>61.435759999999974</v>
      </c>
      <c r="AV33" s="59">
        <f t="shared" si="5"/>
        <v>59.512159999999966</v>
      </c>
      <c r="AW33" s="59">
        <f t="shared" si="5"/>
        <v>57.513040000000046</v>
      </c>
      <c r="AX33" s="59">
        <f t="shared" si="5"/>
        <v>55.438399999999973</v>
      </c>
      <c r="AY33" s="59">
        <f t="shared" si="6"/>
        <v>53.28824000000003</v>
      </c>
      <c r="AZ33" s="59">
        <f t="shared" si="6"/>
        <v>51.062559999999934</v>
      </c>
    </row>
    <row r="34" spans="1:52" x14ac:dyDescent="0.25">
      <c r="A34" s="18">
        <f t="shared" si="7"/>
        <v>105.59999999999997</v>
      </c>
      <c r="B34" s="59">
        <f t="shared" si="2"/>
        <v>70.390534400000007</v>
      </c>
      <c r="C34" s="59">
        <f t="shared" si="3"/>
        <v>71.86336639999999</v>
      </c>
      <c r="D34" s="59">
        <f t="shared" si="3"/>
        <v>73.260678400000046</v>
      </c>
      <c r="E34" s="59">
        <f t="shared" si="3"/>
        <v>74.582470400000034</v>
      </c>
      <c r="F34" s="59">
        <f t="shared" si="3"/>
        <v>75.828742400000024</v>
      </c>
      <c r="G34" s="59">
        <f t="shared" si="3"/>
        <v>76.999494400000003</v>
      </c>
      <c r="H34" s="59">
        <f t="shared" si="3"/>
        <v>78.094726399999999</v>
      </c>
      <c r="I34" s="59">
        <f t="shared" si="3"/>
        <v>79.11443840000004</v>
      </c>
      <c r="J34" s="59">
        <f t="shared" si="3"/>
        <v>80.058630400000027</v>
      </c>
      <c r="K34" s="59">
        <f t="shared" si="3"/>
        <v>80.927302400000002</v>
      </c>
      <c r="L34" s="59">
        <f t="shared" si="3"/>
        <v>81.720454400000008</v>
      </c>
      <c r="M34" s="59">
        <f t="shared" si="3"/>
        <v>82.438086399999989</v>
      </c>
      <c r="N34" s="59">
        <f t="shared" si="3"/>
        <v>83.080198400000043</v>
      </c>
      <c r="O34" s="59">
        <f t="shared" si="3"/>
        <v>83.646790400000043</v>
      </c>
      <c r="P34" s="59">
        <f t="shared" si="3"/>
        <v>84.137862400000017</v>
      </c>
      <c r="Q34" s="59">
        <f t="shared" si="3"/>
        <v>84.553414400000037</v>
      </c>
      <c r="R34" s="59">
        <f t="shared" si="3"/>
        <v>84.893446400000016</v>
      </c>
      <c r="S34" s="59">
        <f t="shared" si="4"/>
        <v>85.157958400000084</v>
      </c>
      <c r="T34" s="59">
        <f t="shared" si="4"/>
        <v>85.346950400000011</v>
      </c>
      <c r="U34" s="59">
        <f t="shared" si="4"/>
        <v>85.460422400000041</v>
      </c>
      <c r="V34" s="59">
        <f t="shared" si="4"/>
        <v>85.498374399999989</v>
      </c>
      <c r="W34" s="59">
        <f t="shared" si="4"/>
        <v>85.460806400000024</v>
      </c>
      <c r="X34" s="59">
        <f t="shared" si="4"/>
        <v>85.347718400000076</v>
      </c>
      <c r="Y34" s="59">
        <f t="shared" si="4"/>
        <v>85.159110400000003</v>
      </c>
      <c r="Z34" s="59">
        <f t="shared" si="4"/>
        <v>84.894982400000046</v>
      </c>
      <c r="AA34" s="59">
        <f t="shared" si="4"/>
        <v>84.555334399999978</v>
      </c>
      <c r="AB34" s="59">
        <f t="shared" si="4"/>
        <v>84.140166400000012</v>
      </c>
      <c r="AC34" s="59">
        <f t="shared" si="4"/>
        <v>83.649478400000078</v>
      </c>
      <c r="AD34" s="59">
        <f t="shared" si="4"/>
        <v>83.083270400000004</v>
      </c>
      <c r="AE34" s="59">
        <f t="shared" si="4"/>
        <v>82.441542400000031</v>
      </c>
      <c r="AF34" s="59">
        <f t="shared" si="4"/>
        <v>81.724294399999962</v>
      </c>
      <c r="AG34" s="59">
        <f t="shared" si="4"/>
        <v>80.93152640000001</v>
      </c>
      <c r="AH34" s="59">
        <f t="shared" si="4"/>
        <v>80.06323840000006</v>
      </c>
      <c r="AI34" s="59">
        <f t="shared" si="5"/>
        <v>79.119430399999985</v>
      </c>
      <c r="AJ34" s="59">
        <f t="shared" si="5"/>
        <v>78.100102400000011</v>
      </c>
      <c r="AK34" s="59">
        <f t="shared" si="5"/>
        <v>77.005254399999956</v>
      </c>
      <c r="AL34" s="59">
        <f t="shared" si="5"/>
        <v>75.834886400000016</v>
      </c>
      <c r="AM34" s="59">
        <f t="shared" si="5"/>
        <v>74.588998400000037</v>
      </c>
      <c r="AN34" s="59">
        <f t="shared" si="5"/>
        <v>73.267590399999975</v>
      </c>
      <c r="AO34" s="59">
        <f t="shared" si="5"/>
        <v>71.870662400000029</v>
      </c>
      <c r="AP34" s="59">
        <f t="shared" si="5"/>
        <v>70.398214399999986</v>
      </c>
      <c r="AQ34" s="59">
        <f t="shared" si="5"/>
        <v>68.850246400000017</v>
      </c>
      <c r="AR34" s="59">
        <f t="shared" si="5"/>
        <v>67.22675840000008</v>
      </c>
      <c r="AS34" s="59">
        <f t="shared" si="5"/>
        <v>65.527750399999974</v>
      </c>
      <c r="AT34" s="59">
        <f t="shared" si="5"/>
        <v>63.753222400000055</v>
      </c>
      <c r="AU34" s="59">
        <f t="shared" si="5"/>
        <v>61.903174399999983</v>
      </c>
      <c r="AV34" s="59">
        <f t="shared" si="5"/>
        <v>59.977606399999999</v>
      </c>
      <c r="AW34" s="59">
        <f t="shared" si="5"/>
        <v>57.976518400000074</v>
      </c>
      <c r="AX34" s="59">
        <f t="shared" si="5"/>
        <v>55.899910399999996</v>
      </c>
      <c r="AY34" s="59">
        <f t="shared" si="6"/>
        <v>53.747782400000062</v>
      </c>
      <c r="AZ34" s="59">
        <f t="shared" si="6"/>
        <v>51.520134399999961</v>
      </c>
    </row>
    <row r="35" spans="1:52" x14ac:dyDescent="0.25">
      <c r="A35" s="18">
        <f t="shared" si="7"/>
        <v>103.19999999999996</v>
      </c>
      <c r="B35" s="59">
        <f t="shared" si="2"/>
        <v>70.923929600000008</v>
      </c>
      <c r="C35" s="59">
        <f t="shared" si="3"/>
        <v>72.394793599999986</v>
      </c>
      <c r="D35" s="59">
        <f t="shared" si="3"/>
        <v>73.790137600000037</v>
      </c>
      <c r="E35" s="59">
        <f t="shared" si="3"/>
        <v>75.10996160000002</v>
      </c>
      <c r="F35" s="59">
        <f t="shared" si="3"/>
        <v>76.354265600000019</v>
      </c>
      <c r="G35" s="59">
        <f t="shared" si="3"/>
        <v>77.523049600000007</v>
      </c>
      <c r="H35" s="59">
        <f t="shared" si="3"/>
        <v>78.616313599999984</v>
      </c>
      <c r="I35" s="59">
        <f t="shared" si="3"/>
        <v>79.634057600000034</v>
      </c>
      <c r="J35" s="59">
        <f t="shared" si="3"/>
        <v>80.576281600000016</v>
      </c>
      <c r="K35" s="59">
        <f t="shared" si="3"/>
        <v>81.442985600000014</v>
      </c>
      <c r="L35" s="59">
        <f t="shared" si="3"/>
        <v>82.234169600000001</v>
      </c>
      <c r="M35" s="59">
        <f t="shared" si="3"/>
        <v>82.949833599999977</v>
      </c>
      <c r="N35" s="59">
        <f t="shared" si="3"/>
        <v>83.589977600000026</v>
      </c>
      <c r="O35" s="59">
        <f t="shared" si="3"/>
        <v>84.154601600000035</v>
      </c>
      <c r="P35" s="59">
        <f t="shared" si="3"/>
        <v>84.643705600000004</v>
      </c>
      <c r="Q35" s="59">
        <f t="shared" si="3"/>
        <v>85.05728959999999</v>
      </c>
      <c r="R35" s="59">
        <f t="shared" si="3"/>
        <v>85.395353599999993</v>
      </c>
      <c r="S35" s="59">
        <f t="shared" si="4"/>
        <v>85.657897600000041</v>
      </c>
      <c r="T35" s="59">
        <f t="shared" si="4"/>
        <v>85.844921600000021</v>
      </c>
      <c r="U35" s="59">
        <f t="shared" si="4"/>
        <v>85.956425600000074</v>
      </c>
      <c r="V35" s="59">
        <f t="shared" si="4"/>
        <v>85.992409600000002</v>
      </c>
      <c r="W35" s="59">
        <f t="shared" si="4"/>
        <v>85.952873600000032</v>
      </c>
      <c r="X35" s="59">
        <f t="shared" si="4"/>
        <v>85.837817600000108</v>
      </c>
      <c r="Y35" s="59">
        <f t="shared" si="4"/>
        <v>85.647241600000029</v>
      </c>
      <c r="Z35" s="59">
        <f t="shared" si="4"/>
        <v>85.381145600000053</v>
      </c>
      <c r="AA35" s="59">
        <f t="shared" si="4"/>
        <v>85.039529600000009</v>
      </c>
      <c r="AB35" s="59">
        <f t="shared" si="4"/>
        <v>84.622393600000038</v>
      </c>
      <c r="AC35" s="59">
        <f t="shared" si="4"/>
        <v>84.129737600000084</v>
      </c>
      <c r="AD35" s="59">
        <f t="shared" si="4"/>
        <v>83.561561600000033</v>
      </c>
      <c r="AE35" s="59">
        <f t="shared" si="4"/>
        <v>82.917865600000056</v>
      </c>
      <c r="AF35" s="59">
        <f t="shared" si="4"/>
        <v>82.198649599999982</v>
      </c>
      <c r="AG35" s="59">
        <f t="shared" si="4"/>
        <v>81.403913600000038</v>
      </c>
      <c r="AH35" s="59">
        <f t="shared" si="4"/>
        <v>80.533657600000083</v>
      </c>
      <c r="AI35" s="59">
        <f t="shared" si="5"/>
        <v>79.587881600000003</v>
      </c>
      <c r="AJ35" s="59">
        <f t="shared" si="5"/>
        <v>78.566585600000025</v>
      </c>
      <c r="AK35" s="59">
        <f t="shared" si="5"/>
        <v>77.469769599999978</v>
      </c>
      <c r="AL35" s="59">
        <f t="shared" si="5"/>
        <v>76.297433600000033</v>
      </c>
      <c r="AM35" s="59">
        <f t="shared" si="5"/>
        <v>75.049577600000049</v>
      </c>
      <c r="AN35" s="59">
        <f t="shared" si="5"/>
        <v>73.726201599999996</v>
      </c>
      <c r="AO35" s="59">
        <f t="shared" si="5"/>
        <v>72.327305600000045</v>
      </c>
      <c r="AP35" s="59">
        <f t="shared" si="5"/>
        <v>70.852889599999997</v>
      </c>
      <c r="AQ35" s="59">
        <f t="shared" si="5"/>
        <v>69.302953600000052</v>
      </c>
      <c r="AR35" s="59">
        <f t="shared" si="5"/>
        <v>67.677497600000095</v>
      </c>
      <c r="AS35" s="59">
        <f t="shared" si="5"/>
        <v>65.976521599999984</v>
      </c>
      <c r="AT35" s="59">
        <f t="shared" si="5"/>
        <v>64.200025600000089</v>
      </c>
      <c r="AU35" s="59">
        <f t="shared" si="5"/>
        <v>62.348009600000005</v>
      </c>
      <c r="AV35" s="59">
        <f t="shared" si="5"/>
        <v>60.420473600000015</v>
      </c>
      <c r="AW35" s="59">
        <f t="shared" si="5"/>
        <v>58.4174176000001</v>
      </c>
      <c r="AX35" s="59">
        <f t="shared" si="5"/>
        <v>56.338841600000016</v>
      </c>
      <c r="AY35" s="59">
        <f t="shared" si="6"/>
        <v>54.184745600000078</v>
      </c>
      <c r="AZ35" s="59">
        <f t="shared" si="6"/>
        <v>51.955129599999985</v>
      </c>
    </row>
    <row r="36" spans="1:52" x14ac:dyDescent="0.25">
      <c r="A36" s="18">
        <f t="shared" si="7"/>
        <v>100.79999999999995</v>
      </c>
      <c r="B36" s="59">
        <f t="shared" si="2"/>
        <v>71.434745600000028</v>
      </c>
      <c r="C36" s="59">
        <f t="shared" si="3"/>
        <v>72.903641600000014</v>
      </c>
      <c r="D36" s="59">
        <f t="shared" si="3"/>
        <v>74.297017600000061</v>
      </c>
      <c r="E36" s="59">
        <f t="shared" si="3"/>
        <v>75.614873600000053</v>
      </c>
      <c r="F36" s="59">
        <f t="shared" si="3"/>
        <v>76.857209600000047</v>
      </c>
      <c r="G36" s="59">
        <f t="shared" si="3"/>
        <v>78.02402560000003</v>
      </c>
      <c r="H36" s="59">
        <f t="shared" si="3"/>
        <v>79.115321600000016</v>
      </c>
      <c r="I36" s="59">
        <f t="shared" si="3"/>
        <v>80.131097600000061</v>
      </c>
      <c r="J36" s="59">
        <f t="shared" si="3"/>
        <v>81.071353600000052</v>
      </c>
      <c r="K36" s="59">
        <f t="shared" si="3"/>
        <v>81.936089600000031</v>
      </c>
      <c r="L36" s="59">
        <f t="shared" si="3"/>
        <v>82.725305600000027</v>
      </c>
      <c r="M36" s="59">
        <f t="shared" si="3"/>
        <v>83.439001600000012</v>
      </c>
      <c r="N36" s="59">
        <f t="shared" si="3"/>
        <v>84.07717760000007</v>
      </c>
      <c r="O36" s="59">
        <f t="shared" si="3"/>
        <v>84.63983360000006</v>
      </c>
      <c r="P36" s="59">
        <f t="shared" si="3"/>
        <v>85.126969600000038</v>
      </c>
      <c r="Q36" s="59">
        <f t="shared" si="3"/>
        <v>85.538585600000033</v>
      </c>
      <c r="R36" s="59">
        <f t="shared" si="3"/>
        <v>85.874681600000017</v>
      </c>
      <c r="S36" s="59">
        <f t="shared" si="4"/>
        <v>86.135257600000074</v>
      </c>
      <c r="T36" s="59">
        <f t="shared" si="4"/>
        <v>86.320313600000006</v>
      </c>
      <c r="U36" s="59">
        <f t="shared" si="4"/>
        <v>86.429849600000026</v>
      </c>
      <c r="V36" s="59">
        <f t="shared" si="4"/>
        <v>86.463865599999977</v>
      </c>
      <c r="W36" s="59">
        <f t="shared" si="4"/>
        <v>86.422361600000002</v>
      </c>
      <c r="X36" s="59">
        <f t="shared" si="4"/>
        <v>86.305337600000072</v>
      </c>
      <c r="Y36" s="59">
        <f t="shared" si="4"/>
        <v>86.112793599999989</v>
      </c>
      <c r="Z36" s="59">
        <f t="shared" si="4"/>
        <v>85.844729600000022</v>
      </c>
      <c r="AA36" s="59">
        <f t="shared" si="4"/>
        <v>85.501145599999958</v>
      </c>
      <c r="AB36" s="59">
        <f t="shared" si="4"/>
        <v>85.082041599999997</v>
      </c>
      <c r="AC36" s="59">
        <f t="shared" si="4"/>
        <v>84.587417600000052</v>
      </c>
      <c r="AD36" s="59">
        <f t="shared" si="4"/>
        <v>84.017273599999996</v>
      </c>
      <c r="AE36" s="59">
        <f t="shared" si="4"/>
        <v>83.371609600000014</v>
      </c>
      <c r="AF36" s="59">
        <f t="shared" si="4"/>
        <v>82.650425599999963</v>
      </c>
      <c r="AG36" s="59">
        <f t="shared" si="4"/>
        <v>81.853721599999986</v>
      </c>
      <c r="AH36" s="59">
        <f t="shared" si="4"/>
        <v>80.98149760000004</v>
      </c>
      <c r="AI36" s="59">
        <f t="shared" si="5"/>
        <v>80.033753599999969</v>
      </c>
      <c r="AJ36" s="59">
        <f t="shared" si="5"/>
        <v>79.0104896</v>
      </c>
      <c r="AK36" s="59">
        <f t="shared" si="5"/>
        <v>77.911705599999934</v>
      </c>
      <c r="AL36" s="59">
        <f t="shared" si="5"/>
        <v>76.737401599999998</v>
      </c>
      <c r="AM36" s="59">
        <f t="shared" si="5"/>
        <v>75.487577600000023</v>
      </c>
      <c r="AN36" s="59">
        <f t="shared" si="5"/>
        <v>74.162233599999951</v>
      </c>
      <c r="AO36" s="59">
        <f t="shared" si="5"/>
        <v>72.761369600000009</v>
      </c>
      <c r="AP36" s="59">
        <f t="shared" si="5"/>
        <v>71.28498559999997</v>
      </c>
      <c r="AQ36" s="59">
        <f t="shared" si="5"/>
        <v>69.733081600000006</v>
      </c>
      <c r="AR36" s="59">
        <f t="shared" si="5"/>
        <v>68.105657600000058</v>
      </c>
      <c r="AS36" s="59">
        <f t="shared" si="5"/>
        <v>66.402713599999956</v>
      </c>
      <c r="AT36" s="59">
        <f t="shared" si="5"/>
        <v>64.624249600000041</v>
      </c>
      <c r="AU36" s="59">
        <f t="shared" si="5"/>
        <v>62.770265599999973</v>
      </c>
      <c r="AV36" s="59">
        <f t="shared" si="5"/>
        <v>60.840761599999979</v>
      </c>
      <c r="AW36" s="59">
        <f t="shared" si="5"/>
        <v>58.835737600000058</v>
      </c>
      <c r="AX36" s="59">
        <f t="shared" si="5"/>
        <v>56.755193599999984</v>
      </c>
      <c r="AY36" s="59">
        <f t="shared" si="6"/>
        <v>54.59912960000004</v>
      </c>
      <c r="AZ36" s="59">
        <f t="shared" si="6"/>
        <v>52.367545599999943</v>
      </c>
    </row>
    <row r="37" spans="1:52" x14ac:dyDescent="0.25">
      <c r="A37" s="18">
        <f t="shared" si="7"/>
        <v>98.399999999999949</v>
      </c>
      <c r="B37" s="59">
        <f t="shared" si="2"/>
        <v>71.922982400000024</v>
      </c>
      <c r="C37" s="59">
        <f t="shared" si="3"/>
        <v>73.389910400000005</v>
      </c>
      <c r="D37" s="59">
        <f t="shared" si="3"/>
        <v>74.781318400000046</v>
      </c>
      <c r="E37" s="59">
        <f t="shared" si="3"/>
        <v>76.097206400000047</v>
      </c>
      <c r="F37" s="59">
        <f t="shared" si="3"/>
        <v>77.337574400000037</v>
      </c>
      <c r="G37" s="59">
        <f t="shared" si="3"/>
        <v>78.502422400000015</v>
      </c>
      <c r="H37" s="59">
        <f t="shared" si="3"/>
        <v>79.591750400000009</v>
      </c>
      <c r="I37" s="59">
        <f t="shared" si="3"/>
        <v>80.605558400000049</v>
      </c>
      <c r="J37" s="59">
        <f t="shared" si="3"/>
        <v>81.543846400000035</v>
      </c>
      <c r="K37" s="59">
        <f t="shared" si="3"/>
        <v>82.406614400000024</v>
      </c>
      <c r="L37" s="59">
        <f t="shared" si="3"/>
        <v>83.193862400000015</v>
      </c>
      <c r="M37" s="59">
        <f t="shared" si="3"/>
        <v>83.905590399999994</v>
      </c>
      <c r="N37" s="59">
        <f t="shared" si="3"/>
        <v>84.541798400000062</v>
      </c>
      <c r="O37" s="59">
        <f t="shared" si="3"/>
        <v>85.102486400000046</v>
      </c>
      <c r="P37" s="59">
        <f t="shared" si="3"/>
        <v>85.587654400000019</v>
      </c>
      <c r="Q37" s="59">
        <f t="shared" si="3"/>
        <v>85.997302399999995</v>
      </c>
      <c r="R37" s="59">
        <f t="shared" si="3"/>
        <v>86.331430399999974</v>
      </c>
      <c r="S37" s="59">
        <f t="shared" si="4"/>
        <v>86.590038400000026</v>
      </c>
      <c r="T37" s="59">
        <f t="shared" si="4"/>
        <v>86.773126400000024</v>
      </c>
      <c r="U37" s="59">
        <f t="shared" si="4"/>
        <v>86.880694400000053</v>
      </c>
      <c r="V37" s="59">
        <f t="shared" si="4"/>
        <v>86.912742399999985</v>
      </c>
      <c r="W37" s="59">
        <f t="shared" si="4"/>
        <v>86.869270400000033</v>
      </c>
      <c r="X37" s="59">
        <f t="shared" si="4"/>
        <v>86.750278400000084</v>
      </c>
      <c r="Y37" s="59">
        <f t="shared" si="4"/>
        <v>86.555766400000024</v>
      </c>
      <c r="Z37" s="59">
        <f t="shared" si="4"/>
        <v>86.285734400000052</v>
      </c>
      <c r="AA37" s="59">
        <f t="shared" si="4"/>
        <v>85.940182399999983</v>
      </c>
      <c r="AB37" s="59">
        <f t="shared" si="4"/>
        <v>85.519110400000031</v>
      </c>
      <c r="AC37" s="59">
        <f t="shared" si="4"/>
        <v>85.022518400000081</v>
      </c>
      <c r="AD37" s="59">
        <f t="shared" si="4"/>
        <v>84.450406400000006</v>
      </c>
      <c r="AE37" s="59">
        <f t="shared" si="4"/>
        <v>83.802774400000047</v>
      </c>
      <c r="AF37" s="59">
        <f t="shared" si="4"/>
        <v>83.079622399999977</v>
      </c>
      <c r="AG37" s="59">
        <f t="shared" si="4"/>
        <v>82.280950400000009</v>
      </c>
      <c r="AH37" s="59">
        <f t="shared" si="4"/>
        <v>81.406758400000072</v>
      </c>
      <c r="AI37" s="59">
        <f t="shared" si="5"/>
        <v>80.457046399999996</v>
      </c>
      <c r="AJ37" s="59">
        <f t="shared" si="5"/>
        <v>79.431814400000022</v>
      </c>
      <c r="AK37" s="59">
        <f t="shared" si="5"/>
        <v>78.331062399999965</v>
      </c>
      <c r="AL37" s="59">
        <f t="shared" si="5"/>
        <v>77.154790400000024</v>
      </c>
      <c r="AM37" s="59">
        <f t="shared" si="5"/>
        <v>75.902998400000044</v>
      </c>
      <c r="AN37" s="59">
        <f t="shared" si="5"/>
        <v>74.575686399999981</v>
      </c>
      <c r="AO37" s="59">
        <f t="shared" si="5"/>
        <v>73.172854400000034</v>
      </c>
      <c r="AP37" s="59">
        <f t="shared" si="5"/>
        <v>71.694502400000005</v>
      </c>
      <c r="AQ37" s="59">
        <f t="shared" si="5"/>
        <v>70.140630400000035</v>
      </c>
      <c r="AR37" s="59">
        <f t="shared" si="5"/>
        <v>68.511238400000082</v>
      </c>
      <c r="AS37" s="59">
        <f t="shared" si="5"/>
        <v>66.806326399999989</v>
      </c>
      <c r="AT37" s="59">
        <f t="shared" si="5"/>
        <v>65.02589440000007</v>
      </c>
      <c r="AU37" s="59">
        <f t="shared" si="5"/>
        <v>63.169942399999996</v>
      </c>
      <c r="AV37" s="59">
        <f t="shared" si="5"/>
        <v>61.238470400000011</v>
      </c>
      <c r="AW37" s="59">
        <f t="shared" si="5"/>
        <v>59.231478400000086</v>
      </c>
      <c r="AX37" s="59">
        <f t="shared" si="5"/>
        <v>57.148966400000006</v>
      </c>
      <c r="AY37" s="59">
        <f t="shared" si="6"/>
        <v>54.990934400000071</v>
      </c>
      <c r="AZ37" s="59">
        <f t="shared" si="6"/>
        <v>52.757382399999969</v>
      </c>
    </row>
    <row r="38" spans="1:52" x14ac:dyDescent="0.25">
      <c r="A38" s="18">
        <f t="shared" si="7"/>
        <v>95.999999999999943</v>
      </c>
      <c r="B38" s="59">
        <f t="shared" si="2"/>
        <v>72.388640000000009</v>
      </c>
      <c r="C38" s="59">
        <f t="shared" si="3"/>
        <v>73.8536</v>
      </c>
      <c r="D38" s="59">
        <f t="shared" si="3"/>
        <v>75.24304000000005</v>
      </c>
      <c r="E38" s="59">
        <f t="shared" si="3"/>
        <v>76.556960000000032</v>
      </c>
      <c r="F38" s="59">
        <f t="shared" si="3"/>
        <v>77.795360000000031</v>
      </c>
      <c r="G38" s="59">
        <f t="shared" si="3"/>
        <v>78.958240000000018</v>
      </c>
      <c r="H38" s="59">
        <f t="shared" si="3"/>
        <v>80.045600000000007</v>
      </c>
      <c r="I38" s="59">
        <f t="shared" si="3"/>
        <v>81.057440000000042</v>
      </c>
      <c r="J38" s="59">
        <f t="shared" si="3"/>
        <v>81.993760000000037</v>
      </c>
      <c r="K38" s="59">
        <f t="shared" si="3"/>
        <v>82.854560000000021</v>
      </c>
      <c r="L38" s="59">
        <f t="shared" si="3"/>
        <v>83.639840000000007</v>
      </c>
      <c r="M38" s="59">
        <f t="shared" si="3"/>
        <v>84.349599999999995</v>
      </c>
      <c r="N38" s="59">
        <f t="shared" si="3"/>
        <v>84.983840000000058</v>
      </c>
      <c r="O38" s="59">
        <f t="shared" si="3"/>
        <v>85.542560000000051</v>
      </c>
      <c r="P38" s="59">
        <f t="shared" si="3"/>
        <v>86.02576000000002</v>
      </c>
      <c r="Q38" s="59">
        <f t="shared" si="3"/>
        <v>86.433440000000019</v>
      </c>
      <c r="R38" s="59">
        <f t="shared" si="3"/>
        <v>86.765600000000006</v>
      </c>
      <c r="S38" s="59">
        <f t="shared" si="4"/>
        <v>87.022240000000053</v>
      </c>
      <c r="T38" s="59">
        <f t="shared" si="4"/>
        <v>87.203359999999989</v>
      </c>
      <c r="U38" s="59">
        <f t="shared" si="4"/>
        <v>87.308960000000027</v>
      </c>
      <c r="V38" s="59">
        <f t="shared" si="4"/>
        <v>87.339039999999969</v>
      </c>
      <c r="W38" s="59">
        <f t="shared" si="4"/>
        <v>87.293599999999998</v>
      </c>
      <c r="X38" s="59">
        <f t="shared" si="4"/>
        <v>87.172640000000058</v>
      </c>
      <c r="Y38" s="59">
        <f t="shared" si="4"/>
        <v>86.976159999999993</v>
      </c>
      <c r="Z38" s="59">
        <f t="shared" si="4"/>
        <v>86.704160000000016</v>
      </c>
      <c r="AA38" s="59">
        <f t="shared" si="4"/>
        <v>86.356639999999956</v>
      </c>
      <c r="AB38" s="59">
        <f t="shared" si="4"/>
        <v>85.933599999999998</v>
      </c>
      <c r="AC38" s="59">
        <f t="shared" si="4"/>
        <v>85.435040000000043</v>
      </c>
      <c r="AD38" s="59">
        <f t="shared" si="4"/>
        <v>84.860959999999977</v>
      </c>
      <c r="AE38" s="59">
        <f t="shared" si="4"/>
        <v>84.211360000000013</v>
      </c>
      <c r="AF38" s="59">
        <f t="shared" si="4"/>
        <v>83.486239999999952</v>
      </c>
      <c r="AG38" s="59">
        <f t="shared" si="4"/>
        <v>82.68559999999998</v>
      </c>
      <c r="AH38" s="59">
        <f t="shared" si="4"/>
        <v>81.809440000000038</v>
      </c>
      <c r="AI38" s="59">
        <f t="shared" si="5"/>
        <v>80.857759999999971</v>
      </c>
      <c r="AJ38" s="59">
        <f t="shared" si="5"/>
        <v>79.830559999999991</v>
      </c>
      <c r="AK38" s="59">
        <f t="shared" si="5"/>
        <v>78.727839999999929</v>
      </c>
      <c r="AL38" s="59">
        <f t="shared" si="5"/>
        <v>77.549599999999998</v>
      </c>
      <c r="AM38" s="59">
        <f t="shared" si="5"/>
        <v>76.295840000000013</v>
      </c>
      <c r="AN38" s="59">
        <f t="shared" si="5"/>
        <v>74.966559999999944</v>
      </c>
      <c r="AO38" s="59">
        <f t="shared" si="5"/>
        <v>73.561760000000007</v>
      </c>
      <c r="AP38" s="59">
        <f t="shared" si="5"/>
        <v>72.081439999999972</v>
      </c>
      <c r="AQ38" s="59">
        <f t="shared" si="5"/>
        <v>70.525599999999997</v>
      </c>
      <c r="AR38" s="59">
        <f t="shared" si="5"/>
        <v>68.894240000000053</v>
      </c>
      <c r="AS38" s="59">
        <f t="shared" si="5"/>
        <v>67.187359999999956</v>
      </c>
      <c r="AT38" s="59">
        <f t="shared" si="5"/>
        <v>65.404960000000031</v>
      </c>
      <c r="AU38" s="59">
        <f t="shared" si="5"/>
        <v>63.547039999999967</v>
      </c>
      <c r="AV38" s="59">
        <f t="shared" si="5"/>
        <v>61.613599999999977</v>
      </c>
      <c r="AW38" s="59">
        <f t="shared" si="5"/>
        <v>59.60464000000006</v>
      </c>
      <c r="AX38" s="59">
        <f t="shared" si="5"/>
        <v>57.520159999999976</v>
      </c>
      <c r="AY38" s="59">
        <f t="shared" si="6"/>
        <v>55.360160000000036</v>
      </c>
      <c r="AZ38" s="59">
        <f t="shared" si="6"/>
        <v>53.124639999999943</v>
      </c>
    </row>
    <row r="39" spans="1:52" x14ac:dyDescent="0.25">
      <c r="A39" s="18">
        <f t="shared" si="7"/>
        <v>93.599999999999937</v>
      </c>
      <c r="B39" s="59">
        <f t="shared" si="2"/>
        <v>72.8317184</v>
      </c>
      <c r="C39" s="59">
        <f t="shared" si="3"/>
        <v>74.294710399999985</v>
      </c>
      <c r="D39" s="59">
        <f t="shared" si="3"/>
        <v>75.68218240000003</v>
      </c>
      <c r="E39" s="59">
        <f t="shared" si="3"/>
        <v>76.994134400000021</v>
      </c>
      <c r="F39" s="59">
        <f t="shared" si="3"/>
        <v>78.230566400000015</v>
      </c>
      <c r="G39" s="59">
        <f t="shared" si="3"/>
        <v>79.391478399999997</v>
      </c>
      <c r="H39" s="59">
        <f t="shared" si="3"/>
        <v>80.476870399999996</v>
      </c>
      <c r="I39" s="59">
        <f t="shared" si="3"/>
        <v>81.48674240000004</v>
      </c>
      <c r="J39" s="59">
        <f t="shared" si="3"/>
        <v>82.42109440000003</v>
      </c>
      <c r="K39" s="59">
        <f t="shared" si="3"/>
        <v>83.279926400000008</v>
      </c>
      <c r="L39" s="59">
        <f t="shared" si="3"/>
        <v>84.063238400000003</v>
      </c>
      <c r="M39" s="59">
        <f t="shared" si="3"/>
        <v>84.771030399999987</v>
      </c>
      <c r="N39" s="59">
        <f t="shared" si="3"/>
        <v>85.403302400000044</v>
      </c>
      <c r="O39" s="59">
        <f t="shared" si="3"/>
        <v>85.960054400000033</v>
      </c>
      <c r="P39" s="59">
        <f t="shared" si="3"/>
        <v>86.44128640000001</v>
      </c>
      <c r="Q39" s="59">
        <f t="shared" si="3"/>
        <v>86.846998400000032</v>
      </c>
      <c r="R39" s="59">
        <f t="shared" si="3"/>
        <v>87.177190400000015</v>
      </c>
      <c r="S39" s="59">
        <f t="shared" si="4"/>
        <v>87.431862400000071</v>
      </c>
      <c r="T39" s="59">
        <f t="shared" si="4"/>
        <v>87.611014400000002</v>
      </c>
      <c r="U39" s="59">
        <f t="shared" si="4"/>
        <v>87.714646400000035</v>
      </c>
      <c r="V39" s="59">
        <f t="shared" si="4"/>
        <v>87.742758399999971</v>
      </c>
      <c r="W39" s="59">
        <f t="shared" si="4"/>
        <v>87.695350400000009</v>
      </c>
      <c r="X39" s="59">
        <f t="shared" si="4"/>
        <v>87.572422400000079</v>
      </c>
      <c r="Y39" s="59">
        <f t="shared" si="4"/>
        <v>87.373974400000009</v>
      </c>
      <c r="Z39" s="59">
        <f t="shared" si="4"/>
        <v>87.100006400000041</v>
      </c>
      <c r="AA39" s="59">
        <f t="shared" si="4"/>
        <v>86.750518399999976</v>
      </c>
      <c r="AB39" s="59">
        <f t="shared" si="4"/>
        <v>86.325510400000013</v>
      </c>
      <c r="AC39" s="59">
        <f t="shared" si="4"/>
        <v>85.824982400000067</v>
      </c>
      <c r="AD39" s="59">
        <f t="shared" si="4"/>
        <v>85.248934399999996</v>
      </c>
      <c r="AE39" s="59">
        <f t="shared" si="4"/>
        <v>84.597366400000027</v>
      </c>
      <c r="AF39" s="59">
        <f t="shared" si="4"/>
        <v>83.870278399999961</v>
      </c>
      <c r="AG39" s="59">
        <f t="shared" si="4"/>
        <v>83.067670399999997</v>
      </c>
      <c r="AH39" s="59">
        <f t="shared" si="4"/>
        <v>82.18954240000005</v>
      </c>
      <c r="AI39" s="59">
        <f t="shared" si="5"/>
        <v>81.235894399999978</v>
      </c>
      <c r="AJ39" s="59">
        <f t="shared" si="5"/>
        <v>80.206726400000008</v>
      </c>
      <c r="AK39" s="59">
        <f t="shared" si="5"/>
        <v>79.102038399999941</v>
      </c>
      <c r="AL39" s="59">
        <f t="shared" si="5"/>
        <v>77.921830400000019</v>
      </c>
      <c r="AM39" s="59">
        <f t="shared" si="5"/>
        <v>76.666102400000042</v>
      </c>
      <c r="AN39" s="59">
        <f t="shared" si="5"/>
        <v>75.334854399999969</v>
      </c>
      <c r="AO39" s="59">
        <f t="shared" si="5"/>
        <v>73.928086400000026</v>
      </c>
      <c r="AP39" s="59">
        <f t="shared" si="5"/>
        <v>72.445798399999987</v>
      </c>
      <c r="AQ39" s="59">
        <f t="shared" si="5"/>
        <v>70.887990400000021</v>
      </c>
      <c r="AR39" s="59">
        <f t="shared" si="5"/>
        <v>69.254662400000072</v>
      </c>
      <c r="AS39" s="59">
        <f t="shared" si="5"/>
        <v>67.545814399999969</v>
      </c>
      <c r="AT39" s="59">
        <f t="shared" si="5"/>
        <v>65.761446400000054</v>
      </c>
      <c r="AU39" s="59">
        <f t="shared" si="5"/>
        <v>63.901558399999985</v>
      </c>
      <c r="AV39" s="59">
        <f t="shared" si="5"/>
        <v>61.966150399999989</v>
      </c>
      <c r="AW39" s="59">
        <f t="shared" si="5"/>
        <v>59.955222400000068</v>
      </c>
      <c r="AX39" s="59">
        <f t="shared" si="5"/>
        <v>57.868774399999992</v>
      </c>
      <c r="AY39" s="59">
        <f t="shared" si="6"/>
        <v>55.706806400000048</v>
      </c>
      <c r="AZ39" s="59">
        <f t="shared" si="6"/>
        <v>53.469318399999949</v>
      </c>
    </row>
    <row r="40" spans="1:52" x14ac:dyDescent="0.25">
      <c r="A40" s="18">
        <f t="shared" si="7"/>
        <v>91.199999999999932</v>
      </c>
      <c r="B40" s="59">
        <f t="shared" si="2"/>
        <v>73.252217599999994</v>
      </c>
      <c r="C40" s="59">
        <f t="shared" si="3"/>
        <v>74.713241599999975</v>
      </c>
      <c r="D40" s="59">
        <f t="shared" si="3"/>
        <v>76.098745600000029</v>
      </c>
      <c r="E40" s="59">
        <f t="shared" si="3"/>
        <v>77.408729600000015</v>
      </c>
      <c r="F40" s="59">
        <f t="shared" si="3"/>
        <v>78.643193600000018</v>
      </c>
      <c r="G40" s="59">
        <f t="shared" si="3"/>
        <v>79.802137599999995</v>
      </c>
      <c r="H40" s="59">
        <f t="shared" si="3"/>
        <v>80.885561599999988</v>
      </c>
      <c r="I40" s="59">
        <f t="shared" si="3"/>
        <v>81.893465600000027</v>
      </c>
      <c r="J40" s="59">
        <f t="shared" si="3"/>
        <v>82.825849600000012</v>
      </c>
      <c r="K40" s="59">
        <f t="shared" si="3"/>
        <v>83.6827136</v>
      </c>
      <c r="L40" s="59">
        <f t="shared" si="3"/>
        <v>84.46405759999999</v>
      </c>
      <c r="M40" s="59">
        <f t="shared" si="3"/>
        <v>85.169881599999982</v>
      </c>
      <c r="N40" s="59">
        <f t="shared" si="3"/>
        <v>85.800185600000034</v>
      </c>
      <c r="O40" s="59">
        <f t="shared" si="3"/>
        <v>86.354969600000018</v>
      </c>
      <c r="P40" s="59">
        <f t="shared" si="3"/>
        <v>86.834233600000005</v>
      </c>
      <c r="Q40" s="59">
        <f t="shared" si="3"/>
        <v>87.237977599999994</v>
      </c>
      <c r="R40" s="59">
        <f t="shared" si="3"/>
        <v>87.566201599999985</v>
      </c>
      <c r="S40" s="59">
        <f t="shared" si="4"/>
        <v>87.818905600000036</v>
      </c>
      <c r="T40" s="59">
        <f t="shared" si="4"/>
        <v>87.996089600000033</v>
      </c>
      <c r="U40" s="59">
        <f t="shared" si="4"/>
        <v>88.097753600000061</v>
      </c>
      <c r="V40" s="59">
        <f t="shared" si="4"/>
        <v>88.123897599999992</v>
      </c>
      <c r="W40" s="59">
        <f t="shared" si="4"/>
        <v>88.07452160000004</v>
      </c>
      <c r="X40" s="59">
        <f t="shared" si="4"/>
        <v>87.94962560000009</v>
      </c>
      <c r="Y40" s="59">
        <f t="shared" si="4"/>
        <v>87.749209600000029</v>
      </c>
      <c r="Z40" s="59">
        <f t="shared" si="4"/>
        <v>87.473273600000056</v>
      </c>
      <c r="AA40" s="59">
        <f t="shared" si="4"/>
        <v>87.1218176</v>
      </c>
      <c r="AB40" s="59">
        <f t="shared" si="4"/>
        <v>86.694841600000032</v>
      </c>
      <c r="AC40" s="59">
        <f t="shared" si="4"/>
        <v>86.192345600000081</v>
      </c>
      <c r="AD40" s="59">
        <f t="shared" si="4"/>
        <v>85.614329600000019</v>
      </c>
      <c r="AE40" s="59">
        <f t="shared" si="4"/>
        <v>84.960793600000045</v>
      </c>
      <c r="AF40" s="59">
        <f t="shared" si="4"/>
        <v>84.231737599999988</v>
      </c>
      <c r="AG40" s="59">
        <f t="shared" si="4"/>
        <v>83.427161600000019</v>
      </c>
      <c r="AH40" s="59">
        <f t="shared" si="4"/>
        <v>82.547065600000067</v>
      </c>
      <c r="AI40" s="59">
        <f t="shared" si="5"/>
        <v>81.591449600000004</v>
      </c>
      <c r="AJ40" s="59">
        <f t="shared" si="5"/>
        <v>80.560313600000029</v>
      </c>
      <c r="AK40" s="59">
        <f t="shared" si="5"/>
        <v>79.453657599999971</v>
      </c>
      <c r="AL40" s="59">
        <f t="shared" si="5"/>
        <v>78.27148160000003</v>
      </c>
      <c r="AM40" s="59">
        <f t="shared" si="5"/>
        <v>77.013785600000062</v>
      </c>
      <c r="AN40" s="59">
        <f t="shared" si="5"/>
        <v>75.680569599999984</v>
      </c>
      <c r="AO40" s="59">
        <f t="shared" si="5"/>
        <v>74.271833600000036</v>
      </c>
      <c r="AP40" s="59">
        <f t="shared" si="5"/>
        <v>72.787577600000006</v>
      </c>
      <c r="AQ40" s="59">
        <f t="shared" si="5"/>
        <v>71.227801600000035</v>
      </c>
      <c r="AR40" s="59">
        <f t="shared" si="5"/>
        <v>69.592505600000095</v>
      </c>
      <c r="AS40" s="59">
        <f t="shared" si="5"/>
        <v>67.881689599999987</v>
      </c>
      <c r="AT40" s="59">
        <f t="shared" si="5"/>
        <v>66.095353600000081</v>
      </c>
      <c r="AU40" s="59">
        <f t="shared" si="5"/>
        <v>64.233497600000007</v>
      </c>
      <c r="AV40" s="59">
        <f t="shared" si="5"/>
        <v>62.296121600000006</v>
      </c>
      <c r="AW40" s="59">
        <f t="shared" si="5"/>
        <v>60.283225600000094</v>
      </c>
      <c r="AX40" s="59">
        <f t="shared" si="5"/>
        <v>58.194809600000013</v>
      </c>
      <c r="AY40" s="59">
        <f t="shared" si="6"/>
        <v>56.030873600000078</v>
      </c>
      <c r="AZ40" s="59">
        <f t="shared" si="6"/>
        <v>53.791417599999974</v>
      </c>
    </row>
    <row r="41" spans="1:52" x14ac:dyDescent="0.25">
      <c r="A41" s="18">
        <f t="shared" si="7"/>
        <v>88.799999999999926</v>
      </c>
      <c r="B41" s="59">
        <f t="shared" si="2"/>
        <v>73.650137600000022</v>
      </c>
      <c r="C41" s="59">
        <f t="shared" si="3"/>
        <v>75.109193600000012</v>
      </c>
      <c r="D41" s="59">
        <f t="shared" si="3"/>
        <v>76.492729600000047</v>
      </c>
      <c r="E41" s="59">
        <f t="shared" si="3"/>
        <v>77.800745600000042</v>
      </c>
      <c r="F41" s="59">
        <f t="shared" si="3"/>
        <v>79.033241600000039</v>
      </c>
      <c r="G41" s="59">
        <f t="shared" si="3"/>
        <v>80.190217600000025</v>
      </c>
      <c r="H41" s="59">
        <f t="shared" si="3"/>
        <v>81.271673600000014</v>
      </c>
      <c r="I41" s="59">
        <f t="shared" si="3"/>
        <v>82.277609600000048</v>
      </c>
      <c r="J41" s="59">
        <f t="shared" si="3"/>
        <v>83.208025600000042</v>
      </c>
      <c r="K41" s="59">
        <f t="shared" si="3"/>
        <v>84.062921600000024</v>
      </c>
      <c r="L41" s="59">
        <f t="shared" si="3"/>
        <v>84.842297600000023</v>
      </c>
      <c r="M41" s="59">
        <f t="shared" si="3"/>
        <v>85.546153599999997</v>
      </c>
      <c r="N41" s="59">
        <f t="shared" si="3"/>
        <v>86.174489600000058</v>
      </c>
      <c r="O41" s="59">
        <f t="shared" si="3"/>
        <v>86.727305600000051</v>
      </c>
      <c r="P41" s="59">
        <f t="shared" si="3"/>
        <v>87.204601600000032</v>
      </c>
      <c r="Q41" s="59">
        <f t="shared" si="3"/>
        <v>87.60637760000003</v>
      </c>
      <c r="R41" s="59">
        <f t="shared" si="3"/>
        <v>87.932633600000003</v>
      </c>
      <c r="S41" s="59">
        <f t="shared" si="4"/>
        <v>88.183369600000063</v>
      </c>
      <c r="T41" s="59">
        <f t="shared" si="4"/>
        <v>88.358585599999998</v>
      </c>
      <c r="U41" s="59">
        <f t="shared" si="4"/>
        <v>88.458281600000035</v>
      </c>
      <c r="V41" s="59">
        <f t="shared" si="4"/>
        <v>88.482457599999961</v>
      </c>
      <c r="W41" s="59">
        <f t="shared" si="4"/>
        <v>88.431113600000003</v>
      </c>
      <c r="X41" s="59">
        <f t="shared" si="4"/>
        <v>88.304249600000063</v>
      </c>
      <c r="Y41" s="59">
        <f t="shared" si="4"/>
        <v>88.101865599999996</v>
      </c>
      <c r="Z41" s="59">
        <f t="shared" si="4"/>
        <v>87.823961600000032</v>
      </c>
      <c r="AA41" s="59">
        <f t="shared" si="4"/>
        <v>87.470537599999957</v>
      </c>
      <c r="AB41" s="59">
        <f t="shared" si="4"/>
        <v>87.041593599999999</v>
      </c>
      <c r="AC41" s="59">
        <f t="shared" si="4"/>
        <v>86.537129600000057</v>
      </c>
      <c r="AD41" s="59">
        <f t="shared" si="4"/>
        <v>85.95714559999999</v>
      </c>
      <c r="AE41" s="59">
        <f t="shared" si="4"/>
        <v>85.301641600000011</v>
      </c>
      <c r="AF41" s="59">
        <f t="shared" si="4"/>
        <v>84.570617599999949</v>
      </c>
      <c r="AG41" s="59">
        <f t="shared" si="4"/>
        <v>83.764073599999989</v>
      </c>
      <c r="AH41" s="59">
        <f t="shared" si="4"/>
        <v>82.882009600000046</v>
      </c>
      <c r="AI41" s="59">
        <f t="shared" si="5"/>
        <v>81.924425599999964</v>
      </c>
      <c r="AJ41" s="59">
        <f t="shared" si="5"/>
        <v>80.891321599999998</v>
      </c>
      <c r="AK41" s="59">
        <f t="shared" si="5"/>
        <v>79.782697599999935</v>
      </c>
      <c r="AL41" s="59">
        <f t="shared" si="5"/>
        <v>78.598553600000002</v>
      </c>
      <c r="AM41" s="59">
        <f t="shared" si="5"/>
        <v>77.33888960000003</v>
      </c>
      <c r="AN41" s="59">
        <f t="shared" si="5"/>
        <v>76.003705599999947</v>
      </c>
      <c r="AO41" s="59">
        <f t="shared" si="5"/>
        <v>74.593001600000008</v>
      </c>
      <c r="AP41" s="59">
        <f t="shared" si="5"/>
        <v>73.106777599999972</v>
      </c>
      <c r="AQ41" s="59">
        <f t="shared" si="5"/>
        <v>71.545033600000011</v>
      </c>
      <c r="AR41" s="59">
        <f t="shared" si="5"/>
        <v>69.907769600000066</v>
      </c>
      <c r="AS41" s="59">
        <f t="shared" si="5"/>
        <v>68.194985599999953</v>
      </c>
      <c r="AT41" s="59">
        <f t="shared" si="5"/>
        <v>66.406681600000041</v>
      </c>
      <c r="AU41" s="59">
        <f t="shared" si="5"/>
        <v>64.542857599999977</v>
      </c>
      <c r="AV41" s="59">
        <f t="shared" si="5"/>
        <v>62.603513599999985</v>
      </c>
      <c r="AW41" s="59">
        <f t="shared" si="5"/>
        <v>60.588649600000053</v>
      </c>
      <c r="AX41" s="59">
        <f t="shared" si="5"/>
        <v>58.498265599999982</v>
      </c>
      <c r="AY41" s="59">
        <f t="shared" si="6"/>
        <v>56.332361600000041</v>
      </c>
      <c r="AZ41" s="59">
        <f t="shared" si="6"/>
        <v>54.090937599999947</v>
      </c>
    </row>
    <row r="42" spans="1:52" x14ac:dyDescent="0.25">
      <c r="A42" s="18">
        <f t="shared" si="7"/>
        <v>86.39999999999992</v>
      </c>
      <c r="B42" s="59">
        <f t="shared" si="2"/>
        <v>74.025478400000011</v>
      </c>
      <c r="C42" s="59">
        <f t="shared" si="3"/>
        <v>75.482566399999996</v>
      </c>
      <c r="D42" s="59">
        <f t="shared" si="3"/>
        <v>76.86413440000004</v>
      </c>
      <c r="E42" s="59">
        <f t="shared" si="3"/>
        <v>78.17018240000003</v>
      </c>
      <c r="F42" s="59">
        <f t="shared" si="3"/>
        <v>79.400710400000023</v>
      </c>
      <c r="G42" s="59">
        <f t="shared" si="3"/>
        <v>80.555718400000003</v>
      </c>
      <c r="H42" s="59">
        <f t="shared" si="3"/>
        <v>81.635206400000001</v>
      </c>
      <c r="I42" s="59">
        <f t="shared" si="3"/>
        <v>82.639174400000044</v>
      </c>
      <c r="J42" s="59">
        <f t="shared" si="3"/>
        <v>83.567622400000033</v>
      </c>
      <c r="K42" s="59">
        <f t="shared" si="3"/>
        <v>84.42055040000001</v>
      </c>
      <c r="L42" s="59">
        <f t="shared" si="3"/>
        <v>85.197958400000005</v>
      </c>
      <c r="M42" s="59">
        <f t="shared" si="3"/>
        <v>85.899846399999987</v>
      </c>
      <c r="N42" s="59">
        <f t="shared" si="3"/>
        <v>86.526214400000043</v>
      </c>
      <c r="O42" s="59">
        <f t="shared" si="3"/>
        <v>87.077062400000031</v>
      </c>
      <c r="P42" s="59">
        <f t="shared" si="3"/>
        <v>87.552390400000021</v>
      </c>
      <c r="Q42" s="59">
        <f t="shared" si="3"/>
        <v>87.952198399999986</v>
      </c>
      <c r="R42" s="59">
        <f t="shared" si="3"/>
        <v>88.276486399999968</v>
      </c>
      <c r="S42" s="59">
        <f t="shared" si="4"/>
        <v>88.525254400000023</v>
      </c>
      <c r="T42" s="59">
        <f t="shared" si="4"/>
        <v>88.69850240000001</v>
      </c>
      <c r="U42" s="59">
        <f t="shared" si="4"/>
        <v>88.796230400000042</v>
      </c>
      <c r="V42" s="59">
        <f t="shared" si="4"/>
        <v>88.818438399999977</v>
      </c>
      <c r="W42" s="59">
        <f t="shared" si="4"/>
        <v>88.765126400000028</v>
      </c>
      <c r="X42" s="59">
        <f t="shared" si="4"/>
        <v>88.636294400000082</v>
      </c>
      <c r="Y42" s="59">
        <f t="shared" si="4"/>
        <v>88.431942400000011</v>
      </c>
      <c r="Z42" s="59">
        <f t="shared" si="4"/>
        <v>88.152070400000042</v>
      </c>
      <c r="AA42" s="59">
        <f t="shared" si="4"/>
        <v>87.796678399999976</v>
      </c>
      <c r="AB42" s="59">
        <f t="shared" si="4"/>
        <v>87.365766400000012</v>
      </c>
      <c r="AC42" s="59">
        <f t="shared" si="4"/>
        <v>86.859334400000066</v>
      </c>
      <c r="AD42" s="59">
        <f t="shared" si="4"/>
        <v>86.277382399999993</v>
      </c>
      <c r="AE42" s="59">
        <f t="shared" si="4"/>
        <v>85.619910400000037</v>
      </c>
      <c r="AF42" s="59">
        <f t="shared" si="4"/>
        <v>84.886918399999971</v>
      </c>
      <c r="AG42" s="59">
        <f t="shared" si="4"/>
        <v>84.078406400000006</v>
      </c>
      <c r="AH42" s="59">
        <f t="shared" si="4"/>
        <v>83.194374400000058</v>
      </c>
      <c r="AI42" s="59">
        <f t="shared" si="5"/>
        <v>82.234822399999985</v>
      </c>
      <c r="AJ42" s="59">
        <f t="shared" si="5"/>
        <v>81.199750400000013</v>
      </c>
      <c r="AK42" s="59">
        <f t="shared" si="5"/>
        <v>80.089158399999945</v>
      </c>
      <c r="AL42" s="59">
        <f t="shared" si="5"/>
        <v>78.903046400000022</v>
      </c>
      <c r="AM42" s="59">
        <f t="shared" si="5"/>
        <v>77.641414400000045</v>
      </c>
      <c r="AN42" s="59">
        <f t="shared" si="5"/>
        <v>76.304262399999971</v>
      </c>
      <c r="AO42" s="59">
        <f t="shared" si="5"/>
        <v>74.891590400000027</v>
      </c>
      <c r="AP42" s="59">
        <f t="shared" si="5"/>
        <v>73.403398399999986</v>
      </c>
      <c r="AQ42" s="59">
        <f t="shared" si="5"/>
        <v>71.839686400000019</v>
      </c>
      <c r="AR42" s="59">
        <f t="shared" si="5"/>
        <v>70.200454400000069</v>
      </c>
      <c r="AS42" s="59">
        <f t="shared" si="5"/>
        <v>68.48570239999998</v>
      </c>
      <c r="AT42" s="59">
        <f t="shared" si="5"/>
        <v>66.695430400000063</v>
      </c>
      <c r="AU42" s="59">
        <f t="shared" si="5"/>
        <v>64.829638399999993</v>
      </c>
      <c r="AV42" s="59">
        <f t="shared" si="5"/>
        <v>62.888326400000004</v>
      </c>
      <c r="AW42" s="59">
        <f t="shared" si="5"/>
        <v>60.871494400000081</v>
      </c>
      <c r="AX42" s="59">
        <f t="shared" si="5"/>
        <v>58.779142400000005</v>
      </c>
      <c r="AY42" s="59">
        <f t="shared" si="6"/>
        <v>56.611270400000059</v>
      </c>
      <c r="AZ42" s="59">
        <f t="shared" si="6"/>
        <v>54.367878399999974</v>
      </c>
    </row>
    <row r="43" spans="1:52" x14ac:dyDescent="0.25">
      <c r="A43" s="18">
        <f t="shared" si="7"/>
        <v>83.999999999999915</v>
      </c>
      <c r="B43" s="59">
        <f t="shared" si="2"/>
        <v>74.378240000000005</v>
      </c>
      <c r="C43" s="59">
        <f t="shared" si="3"/>
        <v>75.833359999999999</v>
      </c>
      <c r="D43" s="59">
        <f t="shared" si="3"/>
        <v>77.212960000000038</v>
      </c>
      <c r="E43" s="59">
        <f t="shared" si="3"/>
        <v>78.517040000000037</v>
      </c>
      <c r="F43" s="59">
        <f t="shared" si="3"/>
        <v>79.745600000000024</v>
      </c>
      <c r="G43" s="59">
        <f t="shared" si="3"/>
        <v>80.89864</v>
      </c>
      <c r="H43" s="59">
        <f t="shared" si="3"/>
        <v>81.976159999999993</v>
      </c>
      <c r="I43" s="59">
        <f t="shared" si="3"/>
        <v>82.978160000000031</v>
      </c>
      <c r="J43" s="59">
        <f t="shared" si="3"/>
        <v>83.904640000000029</v>
      </c>
      <c r="K43" s="59">
        <f t="shared" si="3"/>
        <v>84.755600000000015</v>
      </c>
      <c r="L43" s="59">
        <f t="shared" si="3"/>
        <v>85.531040000000019</v>
      </c>
      <c r="M43" s="59">
        <f t="shared" si="3"/>
        <v>86.230959999999982</v>
      </c>
      <c r="N43" s="59">
        <f t="shared" si="3"/>
        <v>86.855360000000047</v>
      </c>
      <c r="O43" s="59">
        <f t="shared" si="3"/>
        <v>87.404240000000044</v>
      </c>
      <c r="P43" s="59">
        <f t="shared" si="3"/>
        <v>87.877600000000001</v>
      </c>
      <c r="Q43" s="59">
        <f t="shared" si="3"/>
        <v>88.275440000000003</v>
      </c>
      <c r="R43" s="59">
        <f t="shared" ref="R43:AG58" si="8">-93.1+0.26*R$27+0.146*$A43-0.0000944*R$27^2+0.000041*R$27*$A43-0.00196*$A43^2</f>
        <v>88.597759999999994</v>
      </c>
      <c r="S43" s="59">
        <f t="shared" si="4"/>
        <v>88.844560000000058</v>
      </c>
      <c r="T43" s="59">
        <f t="shared" si="4"/>
        <v>89.015840000000026</v>
      </c>
      <c r="U43" s="59">
        <f t="shared" si="4"/>
        <v>89.111600000000067</v>
      </c>
      <c r="V43" s="59">
        <f t="shared" si="4"/>
        <v>89.131840000000011</v>
      </c>
      <c r="W43" s="59">
        <f t="shared" si="4"/>
        <v>89.076560000000057</v>
      </c>
      <c r="X43" s="59">
        <f t="shared" si="4"/>
        <v>88.945760000000092</v>
      </c>
      <c r="Y43" s="59">
        <f t="shared" si="4"/>
        <v>88.73944000000003</v>
      </c>
      <c r="Z43" s="59">
        <f t="shared" si="4"/>
        <v>88.45760000000007</v>
      </c>
      <c r="AA43" s="59">
        <f t="shared" si="4"/>
        <v>88.100240000000014</v>
      </c>
      <c r="AB43" s="59">
        <f t="shared" si="4"/>
        <v>87.667360000000031</v>
      </c>
      <c r="AC43" s="59">
        <f t="shared" si="4"/>
        <v>87.158960000000093</v>
      </c>
      <c r="AD43" s="59">
        <f t="shared" si="4"/>
        <v>86.57504000000003</v>
      </c>
      <c r="AE43" s="59">
        <f t="shared" si="4"/>
        <v>85.915600000000069</v>
      </c>
      <c r="AF43" s="59">
        <f t="shared" si="4"/>
        <v>85.180639999999983</v>
      </c>
      <c r="AG43" s="59">
        <f t="shared" si="4"/>
        <v>84.370160000000027</v>
      </c>
      <c r="AH43" s="59">
        <f t="shared" ref="AH43:AW58" si="9">-93.1+0.26*AH$27+0.146*$A43-0.0000944*AH$27^2+0.000041*AH$27*$A43-0.00196*$A43^2</f>
        <v>83.484160000000088</v>
      </c>
      <c r="AI43" s="59">
        <f t="shared" si="5"/>
        <v>82.522640000000024</v>
      </c>
      <c r="AJ43" s="59">
        <f t="shared" si="5"/>
        <v>81.485600000000034</v>
      </c>
      <c r="AK43" s="59">
        <f t="shared" si="5"/>
        <v>80.373039999999975</v>
      </c>
      <c r="AL43" s="59">
        <f t="shared" si="5"/>
        <v>79.184960000000046</v>
      </c>
      <c r="AM43" s="59">
        <f t="shared" si="5"/>
        <v>77.921360000000078</v>
      </c>
      <c r="AN43" s="59">
        <f t="shared" si="5"/>
        <v>76.582239999999985</v>
      </c>
      <c r="AO43" s="59">
        <f t="shared" si="5"/>
        <v>75.16760000000005</v>
      </c>
      <c r="AP43" s="59">
        <f t="shared" si="5"/>
        <v>73.677440000000018</v>
      </c>
      <c r="AQ43" s="59">
        <f t="shared" si="5"/>
        <v>72.111760000000061</v>
      </c>
      <c r="AR43" s="59">
        <f t="shared" si="5"/>
        <v>70.470560000000091</v>
      </c>
      <c r="AS43" s="59">
        <f t="shared" si="5"/>
        <v>68.753839999999997</v>
      </c>
      <c r="AT43" s="59">
        <f t="shared" si="5"/>
        <v>66.961600000000089</v>
      </c>
      <c r="AU43" s="59">
        <f t="shared" si="5"/>
        <v>65.093840000000029</v>
      </c>
      <c r="AV43" s="59">
        <f t="shared" si="5"/>
        <v>63.15056000000002</v>
      </c>
      <c r="AW43" s="59">
        <f t="shared" si="5"/>
        <v>61.131760000000106</v>
      </c>
      <c r="AX43" s="59">
        <f t="shared" ref="AX43:AZ62" si="10">-93.1+0.26*AX$27+0.146*$A43-0.0000944*AX$27^2+0.000041*AX$27*$A43-0.00196*$A43^2</f>
        <v>59.037440000000025</v>
      </c>
      <c r="AY43" s="59">
        <f t="shared" si="6"/>
        <v>56.867600000000088</v>
      </c>
      <c r="AZ43" s="59">
        <f t="shared" si="6"/>
        <v>54.622239999999984</v>
      </c>
    </row>
    <row r="44" spans="1:52" x14ac:dyDescent="0.25">
      <c r="A44" s="18">
        <f t="shared" si="7"/>
        <v>81.599999999999909</v>
      </c>
      <c r="B44" s="59">
        <f t="shared" si="2"/>
        <v>74.708422399999989</v>
      </c>
      <c r="C44" s="59">
        <f t="shared" ref="C44:Q44" si="11">-93.1+0.26*C$27+0.146*$A44-0.0000944*C$27^2+0.000041*C$27*$A44-0.00196*$A44^2</f>
        <v>76.161574399999978</v>
      </c>
      <c r="D44" s="59">
        <f t="shared" si="11"/>
        <v>77.539206400000026</v>
      </c>
      <c r="E44" s="59">
        <f t="shared" si="11"/>
        <v>78.84131840000002</v>
      </c>
      <c r="F44" s="59">
        <f t="shared" si="11"/>
        <v>80.067910400000017</v>
      </c>
      <c r="G44" s="59">
        <f t="shared" si="11"/>
        <v>81.218982400000002</v>
      </c>
      <c r="H44" s="59">
        <f t="shared" si="11"/>
        <v>82.294534399999989</v>
      </c>
      <c r="I44" s="59">
        <f t="shared" si="11"/>
        <v>83.294566400000022</v>
      </c>
      <c r="J44" s="59">
        <f t="shared" si="11"/>
        <v>84.219078400000015</v>
      </c>
      <c r="K44" s="59">
        <f t="shared" si="11"/>
        <v>85.068070399999996</v>
      </c>
      <c r="L44" s="59">
        <f t="shared" si="11"/>
        <v>85.841542399999994</v>
      </c>
      <c r="M44" s="59">
        <f t="shared" si="11"/>
        <v>86.539494399999981</v>
      </c>
      <c r="N44" s="59">
        <f t="shared" si="11"/>
        <v>87.161926400000041</v>
      </c>
      <c r="O44" s="59">
        <f t="shared" si="11"/>
        <v>87.708838400000019</v>
      </c>
      <c r="P44" s="59">
        <f t="shared" si="11"/>
        <v>88.180230399999999</v>
      </c>
      <c r="Q44" s="59">
        <f t="shared" si="11"/>
        <v>88.576102400000025</v>
      </c>
      <c r="R44" s="59">
        <f t="shared" si="8"/>
        <v>88.89645440000001</v>
      </c>
      <c r="S44" s="59">
        <f t="shared" si="8"/>
        <v>89.14128640000007</v>
      </c>
      <c r="T44" s="59">
        <f t="shared" si="8"/>
        <v>89.310598400000003</v>
      </c>
      <c r="U44" s="59">
        <f t="shared" si="8"/>
        <v>89.40439040000004</v>
      </c>
      <c r="V44" s="59">
        <f t="shared" si="8"/>
        <v>89.422662399999965</v>
      </c>
      <c r="W44" s="59">
        <f t="shared" si="8"/>
        <v>89.365414400000006</v>
      </c>
      <c r="X44" s="59">
        <f t="shared" si="8"/>
        <v>89.232646400000064</v>
      </c>
      <c r="Y44" s="59">
        <f t="shared" si="8"/>
        <v>89.024358399999997</v>
      </c>
      <c r="Z44" s="59">
        <f t="shared" si="8"/>
        <v>88.740550400000032</v>
      </c>
      <c r="AA44" s="59">
        <f t="shared" si="8"/>
        <v>88.38122239999997</v>
      </c>
      <c r="AB44" s="59">
        <f t="shared" si="8"/>
        <v>87.946374399999996</v>
      </c>
      <c r="AC44" s="59">
        <f t="shared" si="8"/>
        <v>87.436006400000053</v>
      </c>
      <c r="AD44" s="59">
        <f t="shared" si="8"/>
        <v>86.850118399999985</v>
      </c>
      <c r="AE44" s="59">
        <f t="shared" si="8"/>
        <v>86.188710400000019</v>
      </c>
      <c r="AF44" s="59">
        <f t="shared" si="8"/>
        <v>85.451782399999956</v>
      </c>
      <c r="AG44" s="59">
        <f t="shared" si="8"/>
        <v>84.639334399999996</v>
      </c>
      <c r="AH44" s="59">
        <f t="shared" si="9"/>
        <v>83.751366400000052</v>
      </c>
      <c r="AI44" s="59">
        <f t="shared" si="9"/>
        <v>82.787878399999968</v>
      </c>
      <c r="AJ44" s="59">
        <f t="shared" si="9"/>
        <v>81.748870400000001</v>
      </c>
      <c r="AK44" s="59">
        <f t="shared" si="9"/>
        <v>80.634342399999937</v>
      </c>
      <c r="AL44" s="59">
        <f t="shared" si="9"/>
        <v>79.444294400000004</v>
      </c>
      <c r="AM44" s="59">
        <f t="shared" si="9"/>
        <v>78.178726400000031</v>
      </c>
      <c r="AN44" s="59">
        <f t="shared" si="9"/>
        <v>76.83763839999996</v>
      </c>
      <c r="AO44" s="59">
        <f t="shared" si="9"/>
        <v>75.421030400000006</v>
      </c>
      <c r="AP44" s="59">
        <f t="shared" si="9"/>
        <v>73.92890239999997</v>
      </c>
      <c r="AQ44" s="59">
        <f t="shared" si="9"/>
        <v>72.361254400000007</v>
      </c>
      <c r="AR44" s="59">
        <f t="shared" si="9"/>
        <v>70.718086400000061</v>
      </c>
      <c r="AS44" s="59">
        <f t="shared" si="9"/>
        <v>68.999398399999961</v>
      </c>
      <c r="AT44" s="59">
        <f t="shared" si="9"/>
        <v>67.205190400000049</v>
      </c>
      <c r="AU44" s="59">
        <f t="shared" si="9"/>
        <v>65.335462399999983</v>
      </c>
      <c r="AV44" s="59">
        <f t="shared" si="9"/>
        <v>63.390214399999984</v>
      </c>
      <c r="AW44" s="59">
        <f t="shared" si="9"/>
        <v>61.369446400000065</v>
      </c>
      <c r="AX44" s="59">
        <f t="shared" si="10"/>
        <v>59.273158399999993</v>
      </c>
      <c r="AY44" s="59">
        <f t="shared" si="6"/>
        <v>57.101350400000051</v>
      </c>
      <c r="AZ44" s="59">
        <f t="shared" si="6"/>
        <v>54.854022399999955</v>
      </c>
    </row>
    <row r="45" spans="1:52" x14ac:dyDescent="0.25">
      <c r="A45" s="18">
        <f t="shared" si="7"/>
        <v>79.199999999999903</v>
      </c>
      <c r="B45" s="59">
        <f t="shared" ref="B45:Q60" si="12">-93.1+0.26*B$27+0.146*$A45-0.0000944*B$27^2+0.000041*B$27*$A45-0.00196*$A45^2</f>
        <v>75.01602560000002</v>
      </c>
      <c r="C45" s="59">
        <f t="shared" si="12"/>
        <v>76.467209600000004</v>
      </c>
      <c r="D45" s="59">
        <f t="shared" si="12"/>
        <v>77.842873600000061</v>
      </c>
      <c r="E45" s="59">
        <f t="shared" si="12"/>
        <v>79.14301760000005</v>
      </c>
      <c r="F45" s="59">
        <f t="shared" si="12"/>
        <v>80.367641600000042</v>
      </c>
      <c r="G45" s="59">
        <f t="shared" si="12"/>
        <v>81.516745600000021</v>
      </c>
      <c r="H45" s="59">
        <f t="shared" si="12"/>
        <v>82.590329600000004</v>
      </c>
      <c r="I45" s="59">
        <f t="shared" si="12"/>
        <v>83.58839360000006</v>
      </c>
      <c r="J45" s="59">
        <f t="shared" si="12"/>
        <v>84.510937600000048</v>
      </c>
      <c r="K45" s="59">
        <f t="shared" si="12"/>
        <v>85.357961600000024</v>
      </c>
      <c r="L45" s="59">
        <f t="shared" si="12"/>
        <v>86.129465600000017</v>
      </c>
      <c r="M45" s="59">
        <f t="shared" si="12"/>
        <v>86.825449600000013</v>
      </c>
      <c r="N45" s="59">
        <f t="shared" si="12"/>
        <v>87.445913600000068</v>
      </c>
      <c r="O45" s="59">
        <f t="shared" si="12"/>
        <v>87.990857600000055</v>
      </c>
      <c r="P45" s="59">
        <f t="shared" si="12"/>
        <v>88.46028160000003</v>
      </c>
      <c r="Q45" s="59">
        <f t="shared" si="12"/>
        <v>88.854185599999994</v>
      </c>
      <c r="R45" s="59">
        <f t="shared" si="8"/>
        <v>89.172569599999989</v>
      </c>
      <c r="S45" s="59">
        <f t="shared" si="8"/>
        <v>89.415433600000043</v>
      </c>
      <c r="T45" s="59">
        <f t="shared" si="8"/>
        <v>89.582777600000028</v>
      </c>
      <c r="U45" s="59">
        <f t="shared" si="8"/>
        <v>89.674601600000059</v>
      </c>
      <c r="V45" s="59">
        <f t="shared" si="8"/>
        <v>89.690905599999994</v>
      </c>
      <c r="W45" s="59">
        <f t="shared" si="8"/>
        <v>89.631689600000044</v>
      </c>
      <c r="X45" s="59">
        <f t="shared" si="8"/>
        <v>89.496953600000097</v>
      </c>
      <c r="Y45" s="59">
        <f t="shared" si="8"/>
        <v>89.286697600000025</v>
      </c>
      <c r="Z45" s="59">
        <f t="shared" si="8"/>
        <v>89.000921600000055</v>
      </c>
      <c r="AA45" s="59">
        <f t="shared" si="8"/>
        <v>88.639625599999988</v>
      </c>
      <c r="AB45" s="59">
        <f t="shared" si="8"/>
        <v>88.202809600000037</v>
      </c>
      <c r="AC45" s="59">
        <f t="shared" si="8"/>
        <v>87.69047360000009</v>
      </c>
      <c r="AD45" s="59">
        <f t="shared" si="8"/>
        <v>87.102617600000016</v>
      </c>
      <c r="AE45" s="59">
        <f t="shared" si="8"/>
        <v>86.439241600000045</v>
      </c>
      <c r="AF45" s="59">
        <f t="shared" si="8"/>
        <v>85.700345599999977</v>
      </c>
      <c r="AG45" s="59">
        <f t="shared" si="8"/>
        <v>84.885929600000026</v>
      </c>
      <c r="AH45" s="59">
        <f t="shared" si="9"/>
        <v>83.995993600000077</v>
      </c>
      <c r="AI45" s="59">
        <f t="shared" si="9"/>
        <v>83.030537600000002</v>
      </c>
      <c r="AJ45" s="59">
        <f t="shared" si="9"/>
        <v>81.98956160000003</v>
      </c>
      <c r="AK45" s="59">
        <f t="shared" si="9"/>
        <v>80.873065599999961</v>
      </c>
      <c r="AL45" s="59">
        <f t="shared" si="9"/>
        <v>79.681049600000037</v>
      </c>
      <c r="AM45" s="59">
        <f t="shared" si="9"/>
        <v>78.413513600000059</v>
      </c>
      <c r="AN45" s="59">
        <f t="shared" si="9"/>
        <v>77.070457599999983</v>
      </c>
      <c r="AO45" s="59">
        <f t="shared" si="9"/>
        <v>75.651881600000038</v>
      </c>
      <c r="AP45" s="59">
        <f t="shared" si="9"/>
        <v>74.157785599999997</v>
      </c>
      <c r="AQ45" s="59">
        <f t="shared" si="9"/>
        <v>72.588169600000043</v>
      </c>
      <c r="AR45" s="59">
        <f t="shared" si="9"/>
        <v>70.943033600000092</v>
      </c>
      <c r="AS45" s="59">
        <f t="shared" si="9"/>
        <v>69.222377599999987</v>
      </c>
      <c r="AT45" s="59">
        <f t="shared" si="9"/>
        <v>67.42620160000007</v>
      </c>
      <c r="AU45" s="59">
        <f t="shared" si="9"/>
        <v>65.554505600000013</v>
      </c>
      <c r="AV45" s="59">
        <f t="shared" si="9"/>
        <v>63.607289600000016</v>
      </c>
      <c r="AW45" s="59">
        <f t="shared" si="9"/>
        <v>61.584553600000092</v>
      </c>
      <c r="AX45" s="59">
        <f t="shared" si="10"/>
        <v>59.486297600000015</v>
      </c>
      <c r="AY45" s="59">
        <f t="shared" si="6"/>
        <v>57.312521600000068</v>
      </c>
      <c r="AZ45" s="59">
        <f t="shared" si="6"/>
        <v>55.063225599999981</v>
      </c>
    </row>
    <row r="46" spans="1:52" x14ac:dyDescent="0.25">
      <c r="A46" s="18">
        <f t="shared" si="7"/>
        <v>76.799999999999898</v>
      </c>
      <c r="B46" s="59">
        <f t="shared" si="12"/>
        <v>75.301049600000013</v>
      </c>
      <c r="C46" s="59">
        <f t="shared" si="12"/>
        <v>76.750265600000006</v>
      </c>
      <c r="D46" s="59">
        <f t="shared" si="12"/>
        <v>78.123961600000044</v>
      </c>
      <c r="E46" s="59">
        <f t="shared" si="12"/>
        <v>79.422137600000042</v>
      </c>
      <c r="F46" s="59">
        <f t="shared" si="12"/>
        <v>80.644793600000028</v>
      </c>
      <c r="G46" s="59">
        <f t="shared" si="12"/>
        <v>81.791929600000017</v>
      </c>
      <c r="H46" s="59">
        <f t="shared" si="12"/>
        <v>82.863545599999995</v>
      </c>
      <c r="I46" s="59">
        <f t="shared" si="12"/>
        <v>83.859641600000046</v>
      </c>
      <c r="J46" s="59">
        <f t="shared" si="12"/>
        <v>84.780217600000043</v>
      </c>
      <c r="K46" s="59">
        <f t="shared" si="12"/>
        <v>85.625273600000014</v>
      </c>
      <c r="L46" s="59">
        <f t="shared" si="12"/>
        <v>86.394809600000016</v>
      </c>
      <c r="M46" s="59">
        <f t="shared" si="12"/>
        <v>87.088825599999993</v>
      </c>
      <c r="N46" s="59">
        <f t="shared" si="12"/>
        <v>87.707321600000057</v>
      </c>
      <c r="O46" s="59">
        <f t="shared" si="12"/>
        <v>88.250297600000039</v>
      </c>
      <c r="P46" s="59">
        <f t="shared" si="12"/>
        <v>88.717753600000023</v>
      </c>
      <c r="Q46" s="59">
        <f t="shared" si="12"/>
        <v>89.109689600000024</v>
      </c>
      <c r="R46" s="59">
        <f t="shared" si="8"/>
        <v>89.4261056</v>
      </c>
      <c r="S46" s="59">
        <f t="shared" si="8"/>
        <v>89.667001600000063</v>
      </c>
      <c r="T46" s="59">
        <f t="shared" si="8"/>
        <v>89.832377599999987</v>
      </c>
      <c r="U46" s="59">
        <f t="shared" si="8"/>
        <v>89.922233600000027</v>
      </c>
      <c r="V46" s="59">
        <f t="shared" si="8"/>
        <v>89.936569599999956</v>
      </c>
      <c r="W46" s="59">
        <f t="shared" si="8"/>
        <v>89.875385600000001</v>
      </c>
      <c r="X46" s="59">
        <f t="shared" si="8"/>
        <v>89.738681600000049</v>
      </c>
      <c r="Y46" s="59">
        <f t="shared" si="8"/>
        <v>89.526457599999986</v>
      </c>
      <c r="Z46" s="59">
        <f t="shared" si="8"/>
        <v>89.238713600000025</v>
      </c>
      <c r="AA46" s="59">
        <f t="shared" si="8"/>
        <v>88.875449599999953</v>
      </c>
      <c r="AB46" s="59">
        <f t="shared" si="8"/>
        <v>88.436665599999998</v>
      </c>
      <c r="AC46" s="59">
        <f t="shared" si="8"/>
        <v>87.922361600000045</v>
      </c>
      <c r="AD46" s="59">
        <f t="shared" si="8"/>
        <v>87.332537599999981</v>
      </c>
      <c r="AE46" s="59">
        <f t="shared" si="8"/>
        <v>86.667193600000004</v>
      </c>
      <c r="AF46" s="59">
        <f t="shared" si="8"/>
        <v>85.926329599999946</v>
      </c>
      <c r="AG46" s="59">
        <f t="shared" si="8"/>
        <v>85.109945599999989</v>
      </c>
      <c r="AH46" s="59">
        <f t="shared" si="9"/>
        <v>84.218041600000035</v>
      </c>
      <c r="AI46" s="59">
        <f t="shared" si="9"/>
        <v>83.25061759999997</v>
      </c>
      <c r="AJ46" s="59">
        <f t="shared" si="9"/>
        <v>82.207673599999993</v>
      </c>
      <c r="AK46" s="59">
        <f t="shared" si="9"/>
        <v>81.089209599999933</v>
      </c>
      <c r="AL46" s="59">
        <f t="shared" si="9"/>
        <v>79.895225599999989</v>
      </c>
      <c r="AM46" s="59">
        <f t="shared" si="9"/>
        <v>78.62572160000002</v>
      </c>
      <c r="AN46" s="59">
        <f t="shared" si="9"/>
        <v>77.280697599999954</v>
      </c>
      <c r="AO46" s="59">
        <f t="shared" si="9"/>
        <v>75.860153600000004</v>
      </c>
      <c r="AP46" s="59">
        <f t="shared" si="9"/>
        <v>74.364089599999971</v>
      </c>
      <c r="AQ46" s="59">
        <f t="shared" si="9"/>
        <v>72.792505599999998</v>
      </c>
      <c r="AR46" s="59">
        <f t="shared" si="9"/>
        <v>71.145401600000056</v>
      </c>
      <c r="AS46" s="59">
        <f t="shared" si="9"/>
        <v>69.422777599999947</v>
      </c>
      <c r="AT46" s="59">
        <f t="shared" si="9"/>
        <v>67.624633600000038</v>
      </c>
      <c r="AU46" s="59">
        <f t="shared" si="9"/>
        <v>65.750969599999962</v>
      </c>
      <c r="AV46" s="59">
        <f t="shared" si="9"/>
        <v>63.801785599999974</v>
      </c>
      <c r="AW46" s="59">
        <f t="shared" si="9"/>
        <v>61.777081600000045</v>
      </c>
      <c r="AX46" s="59">
        <f t="shared" si="10"/>
        <v>59.676857599999977</v>
      </c>
      <c r="AY46" s="59">
        <f t="shared" si="6"/>
        <v>57.501113600000039</v>
      </c>
      <c r="AZ46" s="59">
        <f t="shared" si="6"/>
        <v>55.249849599999934</v>
      </c>
    </row>
    <row r="47" spans="1:52" x14ac:dyDescent="0.25">
      <c r="A47" s="18">
        <f t="shared" si="7"/>
        <v>74.399999999999892</v>
      </c>
      <c r="B47" s="59">
        <f t="shared" si="12"/>
        <v>75.56349440000001</v>
      </c>
      <c r="C47" s="59">
        <f t="shared" si="12"/>
        <v>77.010742399999998</v>
      </c>
      <c r="D47" s="59">
        <f t="shared" si="12"/>
        <v>78.382470400000045</v>
      </c>
      <c r="E47" s="59">
        <f t="shared" si="12"/>
        <v>79.678678400000038</v>
      </c>
      <c r="F47" s="59">
        <f t="shared" si="12"/>
        <v>80.899366400000034</v>
      </c>
      <c r="G47" s="59">
        <f t="shared" si="12"/>
        <v>82.044534400000018</v>
      </c>
      <c r="H47" s="59">
        <f t="shared" si="12"/>
        <v>83.11418239999999</v>
      </c>
      <c r="I47" s="59">
        <f t="shared" si="12"/>
        <v>84.108310400000036</v>
      </c>
      <c r="J47" s="59">
        <f t="shared" si="12"/>
        <v>85.026918400000028</v>
      </c>
      <c r="K47" s="59">
        <f t="shared" si="12"/>
        <v>85.870006400000008</v>
      </c>
      <c r="L47" s="59">
        <f t="shared" si="12"/>
        <v>86.637574400000005</v>
      </c>
      <c r="M47" s="59">
        <f t="shared" si="12"/>
        <v>87.329622399999991</v>
      </c>
      <c r="N47" s="59">
        <f t="shared" si="12"/>
        <v>87.94615040000005</v>
      </c>
      <c r="O47" s="59">
        <f t="shared" si="12"/>
        <v>88.487158400000041</v>
      </c>
      <c r="P47" s="59">
        <f t="shared" si="12"/>
        <v>88.95264640000002</v>
      </c>
      <c r="Q47" s="59">
        <f t="shared" si="12"/>
        <v>89.342614400000016</v>
      </c>
      <c r="R47" s="59">
        <f t="shared" si="8"/>
        <v>89.657062400000029</v>
      </c>
      <c r="S47" s="59">
        <f t="shared" si="8"/>
        <v>89.895990400000088</v>
      </c>
      <c r="T47" s="59">
        <f t="shared" si="8"/>
        <v>90.059398400000006</v>
      </c>
      <c r="U47" s="59">
        <f t="shared" si="8"/>
        <v>90.147286400000041</v>
      </c>
      <c r="V47" s="59">
        <f t="shared" si="8"/>
        <v>90.15965439999998</v>
      </c>
      <c r="W47" s="59">
        <f t="shared" si="8"/>
        <v>90.09650240000002</v>
      </c>
      <c r="X47" s="59">
        <f t="shared" si="8"/>
        <v>89.957830400000077</v>
      </c>
      <c r="Y47" s="59">
        <f t="shared" si="8"/>
        <v>89.743638400000009</v>
      </c>
      <c r="Z47" s="59">
        <f t="shared" si="8"/>
        <v>89.453926400000043</v>
      </c>
      <c r="AA47" s="59">
        <f t="shared" si="8"/>
        <v>89.08869439999998</v>
      </c>
      <c r="AB47" s="59">
        <f t="shared" si="8"/>
        <v>88.647942400000019</v>
      </c>
      <c r="AC47" s="59">
        <f t="shared" si="8"/>
        <v>88.131670400000075</v>
      </c>
      <c r="AD47" s="59">
        <f t="shared" si="8"/>
        <v>87.539878400000006</v>
      </c>
      <c r="AE47" s="59">
        <f t="shared" si="8"/>
        <v>86.872566400000039</v>
      </c>
      <c r="AF47" s="59">
        <f t="shared" si="8"/>
        <v>86.129734399999975</v>
      </c>
      <c r="AG47" s="59">
        <f t="shared" si="8"/>
        <v>85.311382399999999</v>
      </c>
      <c r="AH47" s="59">
        <f t="shared" si="9"/>
        <v>84.417510400000054</v>
      </c>
      <c r="AI47" s="59">
        <f t="shared" si="9"/>
        <v>83.448118399999984</v>
      </c>
      <c r="AJ47" s="59">
        <f t="shared" si="9"/>
        <v>82.403206400000016</v>
      </c>
      <c r="AK47" s="59">
        <f t="shared" si="9"/>
        <v>81.282774399999951</v>
      </c>
      <c r="AL47" s="59">
        <f t="shared" si="9"/>
        <v>80.086822400000017</v>
      </c>
      <c r="AM47" s="59">
        <f t="shared" si="9"/>
        <v>78.815350400000042</v>
      </c>
      <c r="AN47" s="59">
        <f t="shared" si="9"/>
        <v>77.468358399999971</v>
      </c>
      <c r="AO47" s="59">
        <f t="shared" si="9"/>
        <v>76.04584640000003</v>
      </c>
      <c r="AP47" s="59">
        <f t="shared" si="9"/>
        <v>74.547814399999993</v>
      </c>
      <c r="AQ47" s="59">
        <f t="shared" si="9"/>
        <v>72.974262400000029</v>
      </c>
      <c r="AR47" s="59">
        <f t="shared" si="9"/>
        <v>71.325190400000082</v>
      </c>
      <c r="AS47" s="59">
        <f t="shared" si="9"/>
        <v>69.600598399999967</v>
      </c>
      <c r="AT47" s="59">
        <f t="shared" si="9"/>
        <v>67.800486400000054</v>
      </c>
      <c r="AU47" s="59">
        <f t="shared" si="9"/>
        <v>65.924854399999987</v>
      </c>
      <c r="AV47" s="59">
        <f t="shared" si="9"/>
        <v>63.973702399999993</v>
      </c>
      <c r="AW47" s="59">
        <f t="shared" si="9"/>
        <v>61.947030400000074</v>
      </c>
      <c r="AX47" s="59">
        <f t="shared" si="10"/>
        <v>59.8448384</v>
      </c>
      <c r="AY47" s="59">
        <f t="shared" si="6"/>
        <v>57.667126400000058</v>
      </c>
      <c r="AZ47" s="59">
        <f t="shared" si="6"/>
        <v>55.413894399999961</v>
      </c>
    </row>
    <row r="48" spans="1:52" x14ac:dyDescent="0.25">
      <c r="A48" s="18">
        <f t="shared" si="7"/>
        <v>71.999999999999886</v>
      </c>
      <c r="B48" s="59">
        <f t="shared" si="12"/>
        <v>75.803359999999998</v>
      </c>
      <c r="C48" s="59">
        <f t="shared" si="12"/>
        <v>77.24863999999998</v>
      </c>
      <c r="D48" s="59">
        <f t="shared" si="12"/>
        <v>78.618400000000022</v>
      </c>
      <c r="E48" s="59">
        <f t="shared" si="12"/>
        <v>79.912640000000025</v>
      </c>
      <c r="F48" s="59">
        <f t="shared" si="12"/>
        <v>81.131360000000015</v>
      </c>
      <c r="G48" s="59">
        <f t="shared" si="12"/>
        <v>82.274559999999994</v>
      </c>
      <c r="H48" s="59">
        <f t="shared" si="12"/>
        <v>83.342239999999975</v>
      </c>
      <c r="I48" s="59">
        <f t="shared" si="12"/>
        <v>84.334400000000031</v>
      </c>
      <c r="J48" s="59">
        <f t="shared" si="12"/>
        <v>85.251040000000017</v>
      </c>
      <c r="K48" s="59">
        <f t="shared" si="12"/>
        <v>86.092159999999993</v>
      </c>
      <c r="L48" s="59">
        <f t="shared" si="12"/>
        <v>86.857759999999999</v>
      </c>
      <c r="M48" s="59">
        <f t="shared" si="12"/>
        <v>87.547839999999979</v>
      </c>
      <c r="N48" s="59">
        <f t="shared" si="12"/>
        <v>88.162400000000034</v>
      </c>
      <c r="O48" s="59">
        <f t="shared" si="12"/>
        <v>88.701440000000019</v>
      </c>
      <c r="P48" s="59">
        <f t="shared" si="12"/>
        <v>89.164960000000008</v>
      </c>
      <c r="Q48" s="59">
        <f t="shared" si="12"/>
        <v>89.552959999999999</v>
      </c>
      <c r="R48" s="59">
        <f t="shared" si="8"/>
        <v>89.865439999999978</v>
      </c>
      <c r="S48" s="59">
        <f t="shared" si="8"/>
        <v>90.102400000000046</v>
      </c>
      <c r="T48" s="59">
        <f t="shared" si="8"/>
        <v>90.26384000000003</v>
      </c>
      <c r="U48" s="59">
        <f t="shared" si="8"/>
        <v>90.34976000000006</v>
      </c>
      <c r="V48" s="59">
        <f t="shared" si="8"/>
        <v>90.360159999999993</v>
      </c>
      <c r="W48" s="59">
        <f t="shared" si="8"/>
        <v>90.295040000000043</v>
      </c>
      <c r="X48" s="59">
        <f t="shared" si="8"/>
        <v>90.154400000000095</v>
      </c>
      <c r="Y48" s="59">
        <f t="shared" si="8"/>
        <v>89.938240000000022</v>
      </c>
      <c r="Z48" s="59">
        <f t="shared" si="8"/>
        <v>89.646560000000051</v>
      </c>
      <c r="AA48" s="59">
        <f t="shared" si="8"/>
        <v>89.279359999999997</v>
      </c>
      <c r="AB48" s="59">
        <f t="shared" si="8"/>
        <v>88.836640000000031</v>
      </c>
      <c r="AC48" s="59">
        <f t="shared" si="8"/>
        <v>88.318400000000082</v>
      </c>
      <c r="AD48" s="59">
        <f t="shared" si="8"/>
        <v>87.724640000000022</v>
      </c>
      <c r="AE48" s="59">
        <f t="shared" si="8"/>
        <v>87.05536000000005</v>
      </c>
      <c r="AF48" s="59">
        <f t="shared" si="8"/>
        <v>86.310559999999981</v>
      </c>
      <c r="AG48" s="59">
        <f t="shared" si="8"/>
        <v>85.490240000000014</v>
      </c>
      <c r="AH48" s="59">
        <f t="shared" si="9"/>
        <v>84.594400000000078</v>
      </c>
      <c r="AI48" s="59">
        <f t="shared" si="9"/>
        <v>83.623040000000003</v>
      </c>
      <c r="AJ48" s="59">
        <f t="shared" si="9"/>
        <v>82.57616000000003</v>
      </c>
      <c r="AK48" s="59">
        <f t="shared" si="9"/>
        <v>81.45375999999996</v>
      </c>
      <c r="AL48" s="59">
        <f t="shared" si="9"/>
        <v>80.255840000000035</v>
      </c>
      <c r="AM48" s="59">
        <f t="shared" si="9"/>
        <v>78.982400000000055</v>
      </c>
      <c r="AN48" s="59">
        <f t="shared" si="9"/>
        <v>77.633439999999979</v>
      </c>
      <c r="AO48" s="59">
        <f t="shared" si="9"/>
        <v>76.208960000000047</v>
      </c>
      <c r="AP48" s="59">
        <f t="shared" si="9"/>
        <v>74.708960000000005</v>
      </c>
      <c r="AQ48" s="59">
        <f t="shared" si="9"/>
        <v>73.133440000000036</v>
      </c>
      <c r="AR48" s="59">
        <f t="shared" si="9"/>
        <v>71.482400000000084</v>
      </c>
      <c r="AS48" s="59">
        <f t="shared" si="9"/>
        <v>69.755839999999992</v>
      </c>
      <c r="AT48" s="59">
        <f t="shared" si="9"/>
        <v>67.953760000000074</v>
      </c>
      <c r="AU48" s="59">
        <f t="shared" si="9"/>
        <v>66.076160000000002</v>
      </c>
      <c r="AV48" s="59">
        <f t="shared" si="9"/>
        <v>64.123040000000003</v>
      </c>
      <c r="AW48" s="59">
        <f t="shared" si="9"/>
        <v>62.0944000000001</v>
      </c>
      <c r="AX48" s="59">
        <f t="shared" si="10"/>
        <v>59.990240000000021</v>
      </c>
      <c r="AY48" s="59">
        <f t="shared" si="10"/>
        <v>57.810560000000073</v>
      </c>
      <c r="AZ48" s="59">
        <f t="shared" si="10"/>
        <v>55.555359999999986</v>
      </c>
    </row>
    <row r="49" spans="1:52" x14ac:dyDescent="0.25">
      <c r="A49" s="18">
        <f t="shared" si="7"/>
        <v>69.599999999999881</v>
      </c>
      <c r="B49" s="59">
        <f t="shared" si="12"/>
        <v>76.020646400000032</v>
      </c>
      <c r="C49" s="59">
        <f t="shared" si="12"/>
        <v>77.463958399999996</v>
      </c>
      <c r="D49" s="59">
        <f t="shared" si="12"/>
        <v>78.831750400000061</v>
      </c>
      <c r="E49" s="59">
        <f t="shared" si="12"/>
        <v>80.124022400000058</v>
      </c>
      <c r="F49" s="59">
        <f t="shared" si="12"/>
        <v>81.340774400000043</v>
      </c>
      <c r="G49" s="59">
        <f t="shared" si="12"/>
        <v>82.482006400000017</v>
      </c>
      <c r="H49" s="59">
        <f t="shared" si="12"/>
        <v>83.547718400000008</v>
      </c>
      <c r="I49" s="59">
        <f t="shared" si="12"/>
        <v>84.537910400000044</v>
      </c>
      <c r="J49" s="59">
        <f t="shared" si="12"/>
        <v>85.45258240000004</v>
      </c>
      <c r="K49" s="59">
        <f t="shared" si="12"/>
        <v>86.291734400000024</v>
      </c>
      <c r="L49" s="59">
        <f t="shared" si="12"/>
        <v>87.055366400000025</v>
      </c>
      <c r="M49" s="59">
        <f t="shared" si="12"/>
        <v>87.743478400000015</v>
      </c>
      <c r="N49" s="59">
        <f t="shared" si="12"/>
        <v>88.35607040000005</v>
      </c>
      <c r="O49" s="59">
        <f t="shared" si="12"/>
        <v>88.893142400000045</v>
      </c>
      <c r="P49" s="59">
        <f t="shared" si="12"/>
        <v>89.354694400000028</v>
      </c>
      <c r="Q49" s="59">
        <f t="shared" si="12"/>
        <v>89.740726400000028</v>
      </c>
      <c r="R49" s="59">
        <f t="shared" si="8"/>
        <v>90.051238400000017</v>
      </c>
      <c r="S49" s="59">
        <f t="shared" si="8"/>
        <v>90.286230400000051</v>
      </c>
      <c r="T49" s="59">
        <f t="shared" si="8"/>
        <v>90.445702399999988</v>
      </c>
      <c r="U49" s="59">
        <f t="shared" si="8"/>
        <v>90.529654400000027</v>
      </c>
      <c r="V49" s="59">
        <f t="shared" si="8"/>
        <v>90.538086399999969</v>
      </c>
      <c r="W49" s="59">
        <f t="shared" si="8"/>
        <v>90.470998400000013</v>
      </c>
      <c r="X49" s="59">
        <f t="shared" si="8"/>
        <v>90.328390400000075</v>
      </c>
      <c r="Y49" s="59">
        <f t="shared" si="8"/>
        <v>90.110262399999982</v>
      </c>
      <c r="Z49" s="59">
        <f t="shared" si="8"/>
        <v>89.81661440000002</v>
      </c>
      <c r="AA49" s="59">
        <f t="shared" si="8"/>
        <v>89.447446399999961</v>
      </c>
      <c r="AB49" s="59">
        <f t="shared" si="8"/>
        <v>89.002758400000005</v>
      </c>
      <c r="AC49" s="59">
        <f t="shared" si="8"/>
        <v>88.482550400000065</v>
      </c>
      <c r="AD49" s="59">
        <f t="shared" si="8"/>
        <v>87.886822399999971</v>
      </c>
      <c r="AE49" s="59">
        <f t="shared" si="8"/>
        <v>87.215574400000008</v>
      </c>
      <c r="AF49" s="59">
        <f t="shared" si="8"/>
        <v>86.468806399999949</v>
      </c>
      <c r="AG49" s="59">
        <f t="shared" si="8"/>
        <v>85.646518399999991</v>
      </c>
      <c r="AH49" s="59">
        <f t="shared" si="9"/>
        <v>84.74871040000005</v>
      </c>
      <c r="AI49" s="59">
        <f t="shared" si="9"/>
        <v>83.775382399999984</v>
      </c>
      <c r="AJ49" s="59">
        <f t="shared" si="9"/>
        <v>82.726534399999991</v>
      </c>
      <c r="AK49" s="59">
        <f t="shared" si="9"/>
        <v>81.60216639999993</v>
      </c>
      <c r="AL49" s="59">
        <f t="shared" si="9"/>
        <v>80.4022784</v>
      </c>
      <c r="AM49" s="59">
        <f t="shared" si="9"/>
        <v>79.12687040000003</v>
      </c>
      <c r="AN49" s="59">
        <f t="shared" si="9"/>
        <v>77.775942399999963</v>
      </c>
      <c r="AO49" s="59">
        <f t="shared" si="9"/>
        <v>76.349494399999998</v>
      </c>
      <c r="AP49" s="59">
        <f t="shared" si="9"/>
        <v>74.847526399999964</v>
      </c>
      <c r="AQ49" s="59">
        <f t="shared" si="9"/>
        <v>73.270038400000004</v>
      </c>
      <c r="AR49" s="59">
        <f t="shared" si="9"/>
        <v>71.617030400000061</v>
      </c>
      <c r="AS49" s="59">
        <f t="shared" si="9"/>
        <v>69.888502399999965</v>
      </c>
      <c r="AT49" s="59">
        <f t="shared" si="9"/>
        <v>68.084454400000055</v>
      </c>
      <c r="AU49" s="59">
        <f t="shared" si="9"/>
        <v>66.204886399999964</v>
      </c>
      <c r="AV49" s="59">
        <f t="shared" si="9"/>
        <v>64.249798399999975</v>
      </c>
      <c r="AW49" s="59">
        <f t="shared" si="9"/>
        <v>62.219190400000052</v>
      </c>
      <c r="AX49" s="59">
        <f t="shared" si="10"/>
        <v>60.113062399999983</v>
      </c>
      <c r="AY49" s="59">
        <f t="shared" si="10"/>
        <v>57.931414400000044</v>
      </c>
      <c r="AZ49" s="59">
        <f t="shared" si="10"/>
        <v>55.674246399999937</v>
      </c>
    </row>
    <row r="50" spans="1:52" x14ac:dyDescent="0.25">
      <c r="A50" s="18">
        <f t="shared" si="7"/>
        <v>67.199999999999875</v>
      </c>
      <c r="B50" s="59">
        <f t="shared" si="12"/>
        <v>76.215353600000014</v>
      </c>
      <c r="C50" s="59">
        <f t="shared" si="12"/>
        <v>77.656697600000001</v>
      </c>
      <c r="D50" s="59">
        <f t="shared" si="12"/>
        <v>79.022521600000033</v>
      </c>
      <c r="E50" s="59">
        <f t="shared" si="12"/>
        <v>80.312825600000025</v>
      </c>
      <c r="F50" s="59">
        <f t="shared" si="12"/>
        <v>81.527609600000034</v>
      </c>
      <c r="G50" s="59">
        <f t="shared" si="12"/>
        <v>82.666873600000002</v>
      </c>
      <c r="H50" s="59">
        <f t="shared" si="12"/>
        <v>83.730617599999988</v>
      </c>
      <c r="I50" s="59">
        <f t="shared" si="12"/>
        <v>84.718841600000047</v>
      </c>
      <c r="J50" s="59">
        <f t="shared" si="12"/>
        <v>85.631545600000038</v>
      </c>
      <c r="K50" s="59">
        <f t="shared" si="12"/>
        <v>86.468729600000017</v>
      </c>
      <c r="L50" s="59">
        <f t="shared" si="12"/>
        <v>87.230393600000014</v>
      </c>
      <c r="M50" s="59">
        <f t="shared" si="12"/>
        <v>87.916537599999998</v>
      </c>
      <c r="N50" s="59">
        <f t="shared" si="12"/>
        <v>88.527161600000056</v>
      </c>
      <c r="O50" s="59">
        <f t="shared" si="12"/>
        <v>89.062265600000046</v>
      </c>
      <c r="P50" s="59">
        <f t="shared" si="12"/>
        <v>89.521849600000024</v>
      </c>
      <c r="Q50" s="59">
        <f t="shared" si="12"/>
        <v>89.905913600000019</v>
      </c>
      <c r="R50" s="59">
        <f t="shared" si="8"/>
        <v>90.214457599999974</v>
      </c>
      <c r="S50" s="59">
        <f t="shared" si="8"/>
        <v>90.447481600000032</v>
      </c>
      <c r="T50" s="59">
        <f t="shared" si="8"/>
        <v>90.60498560000002</v>
      </c>
      <c r="U50" s="59">
        <f t="shared" si="8"/>
        <v>90.686969600000054</v>
      </c>
      <c r="V50" s="59">
        <f t="shared" si="8"/>
        <v>90.693433599999992</v>
      </c>
      <c r="W50" s="59">
        <f t="shared" si="8"/>
        <v>90.624377600000031</v>
      </c>
      <c r="X50" s="59">
        <f t="shared" si="8"/>
        <v>90.479801600000087</v>
      </c>
      <c r="Y50" s="59">
        <f t="shared" si="8"/>
        <v>90.259705600000018</v>
      </c>
      <c r="Z50" s="59">
        <f t="shared" si="8"/>
        <v>89.964089600000051</v>
      </c>
      <c r="AA50" s="59">
        <f t="shared" si="8"/>
        <v>89.592953599999987</v>
      </c>
      <c r="AB50" s="59">
        <f t="shared" si="8"/>
        <v>89.146297600000025</v>
      </c>
      <c r="AC50" s="59">
        <f t="shared" si="8"/>
        <v>88.62412160000008</v>
      </c>
      <c r="AD50" s="59">
        <f t="shared" si="8"/>
        <v>88.02642560000001</v>
      </c>
      <c r="AE50" s="59">
        <f t="shared" si="8"/>
        <v>87.353209600000042</v>
      </c>
      <c r="AF50" s="59">
        <f t="shared" si="8"/>
        <v>86.604473599999977</v>
      </c>
      <c r="AG50" s="59">
        <f t="shared" si="8"/>
        <v>85.780217600000014</v>
      </c>
      <c r="AH50" s="59">
        <f t="shared" si="9"/>
        <v>84.880441600000069</v>
      </c>
      <c r="AI50" s="59">
        <f t="shared" si="9"/>
        <v>83.905145599999997</v>
      </c>
      <c r="AJ50" s="59">
        <f t="shared" si="9"/>
        <v>82.854329600000028</v>
      </c>
      <c r="AK50" s="59">
        <f t="shared" si="9"/>
        <v>81.727993599999962</v>
      </c>
      <c r="AL50" s="59">
        <f t="shared" si="9"/>
        <v>80.526137600000027</v>
      </c>
      <c r="AM50" s="59">
        <f t="shared" si="9"/>
        <v>79.248761600000051</v>
      </c>
      <c r="AN50" s="59">
        <f t="shared" si="9"/>
        <v>77.895865599999979</v>
      </c>
      <c r="AO50" s="59">
        <f t="shared" si="9"/>
        <v>76.467449600000037</v>
      </c>
      <c r="AP50" s="59">
        <f t="shared" si="9"/>
        <v>74.963513599999999</v>
      </c>
      <c r="AQ50" s="59">
        <f t="shared" si="9"/>
        <v>73.384057600000034</v>
      </c>
      <c r="AR50" s="59">
        <f t="shared" si="9"/>
        <v>71.729081600000086</v>
      </c>
      <c r="AS50" s="59">
        <f t="shared" si="9"/>
        <v>69.998585599999984</v>
      </c>
      <c r="AT50" s="59">
        <f t="shared" si="9"/>
        <v>68.19256960000007</v>
      </c>
      <c r="AU50" s="59">
        <f t="shared" si="9"/>
        <v>66.311033600000002</v>
      </c>
      <c r="AV50" s="59">
        <f t="shared" si="9"/>
        <v>64.353977600000007</v>
      </c>
      <c r="AW50" s="59">
        <f t="shared" si="9"/>
        <v>62.32140160000008</v>
      </c>
      <c r="AX50" s="59">
        <f t="shared" si="10"/>
        <v>60.213305600000005</v>
      </c>
      <c r="AY50" s="59">
        <f t="shared" si="10"/>
        <v>58.029689600000061</v>
      </c>
      <c r="AZ50" s="59">
        <f t="shared" si="10"/>
        <v>55.770553599999964</v>
      </c>
    </row>
    <row r="51" spans="1:52" x14ac:dyDescent="0.25">
      <c r="A51" s="18">
        <f t="shared" si="7"/>
        <v>64.799999999999869</v>
      </c>
      <c r="B51" s="59">
        <f t="shared" si="12"/>
        <v>76.387481600000001</v>
      </c>
      <c r="C51" s="59">
        <f t="shared" si="12"/>
        <v>77.826857599999997</v>
      </c>
      <c r="D51" s="59">
        <f t="shared" si="12"/>
        <v>79.190713600000038</v>
      </c>
      <c r="E51" s="59">
        <f t="shared" si="12"/>
        <v>80.479049600000025</v>
      </c>
      <c r="F51" s="59">
        <f t="shared" si="12"/>
        <v>81.691865600000028</v>
      </c>
      <c r="G51" s="59">
        <f t="shared" si="12"/>
        <v>82.829161600000006</v>
      </c>
      <c r="H51" s="59">
        <f t="shared" si="12"/>
        <v>83.890937599999987</v>
      </c>
      <c r="I51" s="59">
        <f t="shared" si="12"/>
        <v>84.877193600000041</v>
      </c>
      <c r="J51" s="59">
        <f t="shared" si="12"/>
        <v>85.787929600000027</v>
      </c>
      <c r="K51" s="59">
        <f t="shared" si="12"/>
        <v>86.623145600000001</v>
      </c>
      <c r="L51" s="59">
        <f t="shared" si="12"/>
        <v>87.382841600000006</v>
      </c>
      <c r="M51" s="59">
        <f t="shared" si="12"/>
        <v>88.067017599999986</v>
      </c>
      <c r="N51" s="59">
        <f t="shared" si="12"/>
        <v>88.675673600000053</v>
      </c>
      <c r="O51" s="59">
        <f t="shared" si="12"/>
        <v>89.208809600000038</v>
      </c>
      <c r="P51" s="59">
        <f t="shared" si="12"/>
        <v>89.666425600000011</v>
      </c>
      <c r="Q51" s="59">
        <f t="shared" si="12"/>
        <v>90.048521600000015</v>
      </c>
      <c r="R51" s="59">
        <f t="shared" si="8"/>
        <v>90.355097599999993</v>
      </c>
      <c r="S51" s="59">
        <f t="shared" si="8"/>
        <v>90.586153600000046</v>
      </c>
      <c r="T51" s="59">
        <f t="shared" si="8"/>
        <v>90.741689600000043</v>
      </c>
      <c r="U51" s="59">
        <f t="shared" si="8"/>
        <v>90.821705600000072</v>
      </c>
      <c r="V51" s="59">
        <f t="shared" si="8"/>
        <v>90.826201600000005</v>
      </c>
      <c r="W51" s="59">
        <f t="shared" si="8"/>
        <v>90.755177600000053</v>
      </c>
      <c r="X51" s="59">
        <f t="shared" si="8"/>
        <v>90.608633600000104</v>
      </c>
      <c r="Y51" s="59">
        <f t="shared" si="8"/>
        <v>90.38656960000003</v>
      </c>
      <c r="Z51" s="59">
        <f t="shared" si="8"/>
        <v>90.088985600000072</v>
      </c>
      <c r="AA51" s="59">
        <f t="shared" si="8"/>
        <v>89.715881600000003</v>
      </c>
      <c r="AB51" s="59">
        <f t="shared" si="8"/>
        <v>89.267257600000036</v>
      </c>
      <c r="AC51" s="59">
        <f t="shared" si="8"/>
        <v>88.7431136000001</v>
      </c>
      <c r="AD51" s="59">
        <f t="shared" si="8"/>
        <v>88.143449600000025</v>
      </c>
      <c r="AE51" s="59">
        <f t="shared" si="8"/>
        <v>87.468265600000052</v>
      </c>
      <c r="AF51" s="59">
        <f t="shared" si="8"/>
        <v>86.717561599999996</v>
      </c>
      <c r="AG51" s="59">
        <f t="shared" si="8"/>
        <v>85.891337600000028</v>
      </c>
      <c r="AH51" s="59">
        <f t="shared" si="9"/>
        <v>84.989593600000077</v>
      </c>
      <c r="AI51" s="59">
        <f t="shared" si="9"/>
        <v>84.012329600000015</v>
      </c>
      <c r="AJ51" s="59">
        <f t="shared" si="9"/>
        <v>82.959545600000041</v>
      </c>
      <c r="AK51" s="59">
        <f t="shared" si="9"/>
        <v>81.83124159999997</v>
      </c>
      <c r="AL51" s="59">
        <f t="shared" si="9"/>
        <v>80.627417600000044</v>
      </c>
      <c r="AM51" s="59">
        <f t="shared" si="9"/>
        <v>79.348073600000063</v>
      </c>
      <c r="AN51" s="59">
        <f t="shared" si="9"/>
        <v>77.993209599999986</v>
      </c>
      <c r="AO51" s="59">
        <f t="shared" si="9"/>
        <v>76.562825600000053</v>
      </c>
      <c r="AP51" s="59">
        <f t="shared" si="9"/>
        <v>75.05692160000001</v>
      </c>
      <c r="AQ51" s="59">
        <f t="shared" si="9"/>
        <v>73.475497600000054</v>
      </c>
      <c r="AR51" s="59">
        <f t="shared" si="9"/>
        <v>71.818553600000101</v>
      </c>
      <c r="AS51" s="59">
        <f t="shared" si="9"/>
        <v>70.086089599999994</v>
      </c>
      <c r="AT51" s="59">
        <f t="shared" si="9"/>
        <v>68.278105600000089</v>
      </c>
      <c r="AU51" s="59">
        <f t="shared" si="9"/>
        <v>66.394601600000016</v>
      </c>
      <c r="AV51" s="59">
        <f t="shared" si="9"/>
        <v>64.435577600000016</v>
      </c>
      <c r="AW51" s="59">
        <f t="shared" si="9"/>
        <v>62.401033600000105</v>
      </c>
      <c r="AX51" s="59">
        <f t="shared" si="10"/>
        <v>60.290969600000025</v>
      </c>
      <c r="AY51" s="59">
        <f t="shared" si="10"/>
        <v>58.105385600000076</v>
      </c>
      <c r="AZ51" s="59">
        <f t="shared" si="10"/>
        <v>55.844281599999988</v>
      </c>
    </row>
    <row r="52" spans="1:52" x14ac:dyDescent="0.25">
      <c r="A52" s="18">
        <f t="shared" si="7"/>
        <v>62.399999999999871</v>
      </c>
      <c r="B52" s="59">
        <f t="shared" si="12"/>
        <v>76.537030399999992</v>
      </c>
      <c r="C52" s="59">
        <f t="shared" si="12"/>
        <v>77.974438399999983</v>
      </c>
      <c r="D52" s="59">
        <f t="shared" si="12"/>
        <v>79.336326400000033</v>
      </c>
      <c r="E52" s="59">
        <f t="shared" si="12"/>
        <v>80.622694400000015</v>
      </c>
      <c r="F52" s="59">
        <f t="shared" si="12"/>
        <v>81.833542400000013</v>
      </c>
      <c r="G52" s="59">
        <f t="shared" si="12"/>
        <v>82.9688704</v>
      </c>
      <c r="H52" s="59">
        <f t="shared" si="12"/>
        <v>84.028678399999976</v>
      </c>
      <c r="I52" s="59">
        <f t="shared" si="12"/>
        <v>85.012966400000025</v>
      </c>
      <c r="J52" s="59">
        <f t="shared" si="12"/>
        <v>85.92173440000002</v>
      </c>
      <c r="K52" s="59">
        <f t="shared" si="12"/>
        <v>86.754982400000003</v>
      </c>
      <c r="L52" s="59">
        <f t="shared" si="12"/>
        <v>87.512710399999989</v>
      </c>
      <c r="M52" s="59">
        <f t="shared" si="12"/>
        <v>88.194918399999978</v>
      </c>
      <c r="N52" s="59">
        <f t="shared" si="12"/>
        <v>88.80160640000004</v>
      </c>
      <c r="O52" s="59">
        <f t="shared" si="12"/>
        <v>89.332774400000019</v>
      </c>
      <c r="P52" s="59">
        <f t="shared" si="12"/>
        <v>89.788422400000002</v>
      </c>
      <c r="Q52" s="59">
        <f t="shared" si="12"/>
        <v>90.168550400000001</v>
      </c>
      <c r="R52" s="59">
        <f t="shared" si="8"/>
        <v>90.473158400000003</v>
      </c>
      <c r="S52" s="59">
        <f t="shared" si="8"/>
        <v>90.702246400000064</v>
      </c>
      <c r="T52" s="59">
        <f t="shared" si="8"/>
        <v>90.8558144</v>
      </c>
      <c r="U52" s="59">
        <f t="shared" si="8"/>
        <v>90.933862400000038</v>
      </c>
      <c r="V52" s="59">
        <f t="shared" si="8"/>
        <v>90.936390399999965</v>
      </c>
      <c r="W52" s="59">
        <f t="shared" si="8"/>
        <v>90.863398400000008</v>
      </c>
      <c r="X52" s="59">
        <f t="shared" si="8"/>
        <v>90.714886400000069</v>
      </c>
      <c r="Y52" s="59">
        <f t="shared" si="8"/>
        <v>90.490854399999989</v>
      </c>
      <c r="Z52" s="59">
        <f t="shared" si="8"/>
        <v>90.191302400000026</v>
      </c>
      <c r="AA52" s="59">
        <f t="shared" si="8"/>
        <v>89.816230399999966</v>
      </c>
      <c r="AB52" s="59">
        <f t="shared" si="8"/>
        <v>89.365638400000009</v>
      </c>
      <c r="AC52" s="59">
        <f t="shared" si="8"/>
        <v>88.839526400000054</v>
      </c>
      <c r="AD52" s="59">
        <f t="shared" si="8"/>
        <v>88.237894399999988</v>
      </c>
      <c r="AE52" s="59">
        <f t="shared" si="8"/>
        <v>87.560742400000024</v>
      </c>
      <c r="AF52" s="59">
        <f t="shared" si="8"/>
        <v>86.808070399999949</v>
      </c>
      <c r="AG52" s="59">
        <f t="shared" si="8"/>
        <v>85.97987839999999</v>
      </c>
      <c r="AH52" s="59">
        <f t="shared" si="9"/>
        <v>85.076166400000048</v>
      </c>
      <c r="AI52" s="59">
        <f t="shared" si="9"/>
        <v>84.096934399999967</v>
      </c>
      <c r="AJ52" s="59">
        <f t="shared" si="9"/>
        <v>83.042182400000002</v>
      </c>
      <c r="AK52" s="59">
        <f t="shared" si="9"/>
        <v>81.91191039999994</v>
      </c>
      <c r="AL52" s="59">
        <f t="shared" si="9"/>
        <v>80.706118400000008</v>
      </c>
      <c r="AM52" s="59">
        <f t="shared" si="9"/>
        <v>79.424806400000023</v>
      </c>
      <c r="AN52" s="59">
        <f t="shared" si="9"/>
        <v>78.067974399999954</v>
      </c>
      <c r="AO52" s="59">
        <f t="shared" si="9"/>
        <v>76.635622400000017</v>
      </c>
      <c r="AP52" s="59">
        <f t="shared" si="9"/>
        <v>75.127750399999968</v>
      </c>
      <c r="AQ52" s="59">
        <f t="shared" si="9"/>
        <v>73.544358400000007</v>
      </c>
      <c r="AR52" s="59">
        <f t="shared" si="9"/>
        <v>71.885446400000063</v>
      </c>
      <c r="AS52" s="59">
        <f t="shared" si="9"/>
        <v>70.151014399999951</v>
      </c>
      <c r="AT52" s="59">
        <f t="shared" si="9"/>
        <v>68.341062400000041</v>
      </c>
      <c r="AU52" s="59">
        <f t="shared" si="9"/>
        <v>66.455590399999977</v>
      </c>
      <c r="AV52" s="59">
        <f t="shared" si="9"/>
        <v>64.494598399999987</v>
      </c>
      <c r="AW52" s="59">
        <f t="shared" si="9"/>
        <v>62.458086400000056</v>
      </c>
      <c r="AX52" s="59">
        <f t="shared" si="10"/>
        <v>60.346054399999986</v>
      </c>
      <c r="AY52" s="59">
        <f t="shared" si="10"/>
        <v>58.158502400000046</v>
      </c>
      <c r="AZ52" s="59">
        <f t="shared" si="10"/>
        <v>55.895430399999945</v>
      </c>
    </row>
    <row r="53" spans="1:52" x14ac:dyDescent="0.25">
      <c r="A53" s="18">
        <f t="shared" si="7"/>
        <v>59.999999999999872</v>
      </c>
      <c r="B53" s="59">
        <f t="shared" si="12"/>
        <v>76.664000000000016</v>
      </c>
      <c r="C53" s="59">
        <f t="shared" si="12"/>
        <v>78.099440000000001</v>
      </c>
      <c r="D53" s="59">
        <f t="shared" si="12"/>
        <v>79.459360000000046</v>
      </c>
      <c r="E53" s="59">
        <f t="shared" si="12"/>
        <v>80.743760000000037</v>
      </c>
      <c r="F53" s="59">
        <f t="shared" si="12"/>
        <v>81.952640000000031</v>
      </c>
      <c r="G53" s="59">
        <f t="shared" si="12"/>
        <v>83.086000000000013</v>
      </c>
      <c r="H53" s="59">
        <f t="shared" si="12"/>
        <v>84.143839999999997</v>
      </c>
      <c r="I53" s="59">
        <f t="shared" si="12"/>
        <v>85.126160000000056</v>
      </c>
      <c r="J53" s="59">
        <f t="shared" si="12"/>
        <v>86.032960000000045</v>
      </c>
      <c r="K53" s="59">
        <f t="shared" si="12"/>
        <v>86.864240000000024</v>
      </c>
      <c r="L53" s="59">
        <f t="shared" si="12"/>
        <v>87.620000000000019</v>
      </c>
      <c r="M53" s="59">
        <f t="shared" si="12"/>
        <v>88.300240000000002</v>
      </c>
      <c r="N53" s="59">
        <f t="shared" si="12"/>
        <v>88.904960000000059</v>
      </c>
      <c r="O53" s="59">
        <f t="shared" si="12"/>
        <v>89.434160000000048</v>
      </c>
      <c r="P53" s="59">
        <f t="shared" si="12"/>
        <v>89.887840000000025</v>
      </c>
      <c r="Q53" s="59">
        <f t="shared" si="12"/>
        <v>90.26600000000002</v>
      </c>
      <c r="R53" s="59">
        <f t="shared" si="8"/>
        <v>90.568639999999974</v>
      </c>
      <c r="S53" s="59">
        <f t="shared" si="8"/>
        <v>90.79576000000003</v>
      </c>
      <c r="T53" s="59">
        <f t="shared" si="8"/>
        <v>90.947360000000018</v>
      </c>
      <c r="U53" s="59">
        <f t="shared" si="8"/>
        <v>91.023440000000051</v>
      </c>
      <c r="V53" s="59">
        <f t="shared" si="8"/>
        <v>91.023999999999987</v>
      </c>
      <c r="W53" s="59">
        <f t="shared" si="8"/>
        <v>90.949040000000025</v>
      </c>
      <c r="X53" s="59">
        <f t="shared" si="8"/>
        <v>90.79856000000008</v>
      </c>
      <c r="Y53" s="59">
        <f t="shared" si="8"/>
        <v>90.572560000000024</v>
      </c>
      <c r="Z53" s="59">
        <f t="shared" si="8"/>
        <v>90.271040000000056</v>
      </c>
      <c r="AA53" s="59">
        <f t="shared" si="8"/>
        <v>89.893999999999991</v>
      </c>
      <c r="AB53" s="59">
        <f t="shared" si="8"/>
        <v>89.441440000000028</v>
      </c>
      <c r="AC53" s="59">
        <f t="shared" si="8"/>
        <v>88.913360000000083</v>
      </c>
      <c r="AD53" s="59">
        <f t="shared" si="8"/>
        <v>88.309760000000011</v>
      </c>
      <c r="AE53" s="59">
        <f t="shared" si="8"/>
        <v>87.630640000000042</v>
      </c>
      <c r="AF53" s="59">
        <f t="shared" si="8"/>
        <v>86.875999999999976</v>
      </c>
      <c r="AG53" s="59">
        <f t="shared" si="8"/>
        <v>86.045840000000013</v>
      </c>
      <c r="AH53" s="59">
        <f t="shared" si="9"/>
        <v>85.140160000000066</v>
      </c>
      <c r="AI53" s="59">
        <f t="shared" si="9"/>
        <v>84.158959999999993</v>
      </c>
      <c r="AJ53" s="59">
        <f t="shared" si="9"/>
        <v>83.102240000000023</v>
      </c>
      <c r="AK53" s="59">
        <f t="shared" si="9"/>
        <v>81.969999999999956</v>
      </c>
      <c r="AL53" s="59">
        <f t="shared" si="9"/>
        <v>80.76224000000002</v>
      </c>
      <c r="AM53" s="59">
        <f t="shared" si="9"/>
        <v>79.478960000000043</v>
      </c>
      <c r="AN53" s="59">
        <f t="shared" si="9"/>
        <v>78.12015999999997</v>
      </c>
      <c r="AO53" s="59">
        <f t="shared" si="9"/>
        <v>76.685840000000027</v>
      </c>
      <c r="AP53" s="59">
        <f t="shared" si="9"/>
        <v>75.176000000000002</v>
      </c>
      <c r="AQ53" s="59">
        <f t="shared" si="9"/>
        <v>73.590640000000036</v>
      </c>
      <c r="AR53" s="59">
        <f t="shared" si="9"/>
        <v>71.929760000000087</v>
      </c>
      <c r="AS53" s="59">
        <f t="shared" si="9"/>
        <v>70.193359999999984</v>
      </c>
      <c r="AT53" s="59">
        <f t="shared" si="9"/>
        <v>68.381440000000069</v>
      </c>
      <c r="AU53" s="59">
        <f t="shared" si="9"/>
        <v>66.494</v>
      </c>
      <c r="AV53" s="59">
        <f t="shared" si="9"/>
        <v>64.531040000000004</v>
      </c>
      <c r="AW53" s="59">
        <f t="shared" si="9"/>
        <v>62.492560000000083</v>
      </c>
      <c r="AX53" s="59">
        <f t="shared" si="10"/>
        <v>60.378560000000007</v>
      </c>
      <c r="AY53" s="59">
        <f t="shared" si="10"/>
        <v>58.189040000000062</v>
      </c>
      <c r="AZ53" s="59">
        <f t="shared" si="10"/>
        <v>55.923999999999964</v>
      </c>
    </row>
    <row r="54" spans="1:52" x14ac:dyDescent="0.25">
      <c r="A54" s="18">
        <f t="shared" si="7"/>
        <v>57.599999999999874</v>
      </c>
      <c r="B54" s="59">
        <f t="shared" si="12"/>
        <v>76.768390400000015</v>
      </c>
      <c r="C54" s="59">
        <f t="shared" si="12"/>
        <v>78.201862399999982</v>
      </c>
      <c r="D54" s="59">
        <f t="shared" si="12"/>
        <v>79.55981440000005</v>
      </c>
      <c r="E54" s="59">
        <f t="shared" si="12"/>
        <v>80.842246400000022</v>
      </c>
      <c r="F54" s="59">
        <f t="shared" si="12"/>
        <v>82.049158400000039</v>
      </c>
      <c r="G54" s="59">
        <f t="shared" si="12"/>
        <v>83.180550400000016</v>
      </c>
      <c r="H54" s="59">
        <f t="shared" si="12"/>
        <v>84.236422399999981</v>
      </c>
      <c r="I54" s="59">
        <f t="shared" si="12"/>
        <v>85.216774400000048</v>
      </c>
      <c r="J54" s="59">
        <f t="shared" si="12"/>
        <v>86.121606400000019</v>
      </c>
      <c r="K54" s="59">
        <f t="shared" si="12"/>
        <v>86.950918400000006</v>
      </c>
      <c r="L54" s="59">
        <f t="shared" si="12"/>
        <v>87.70471040000001</v>
      </c>
      <c r="M54" s="59">
        <f t="shared" si="12"/>
        <v>88.382982400000003</v>
      </c>
      <c r="N54" s="59">
        <f t="shared" si="12"/>
        <v>88.985734400000041</v>
      </c>
      <c r="O54" s="59">
        <f t="shared" si="12"/>
        <v>89.512966400000039</v>
      </c>
      <c r="P54" s="59">
        <f t="shared" si="12"/>
        <v>89.964678400000025</v>
      </c>
      <c r="Q54" s="59">
        <f t="shared" si="12"/>
        <v>90.3408704</v>
      </c>
      <c r="R54" s="59">
        <f t="shared" si="8"/>
        <v>90.641542399999992</v>
      </c>
      <c r="S54" s="59">
        <f t="shared" si="8"/>
        <v>90.866694400000057</v>
      </c>
      <c r="T54" s="59">
        <f t="shared" si="8"/>
        <v>91.016326399999969</v>
      </c>
      <c r="U54" s="59">
        <f t="shared" si="8"/>
        <v>91.090438400000011</v>
      </c>
      <c r="V54" s="59">
        <f t="shared" si="8"/>
        <v>91.089030399999956</v>
      </c>
      <c r="W54" s="59">
        <f t="shared" si="8"/>
        <v>91.012102400000003</v>
      </c>
      <c r="X54" s="59">
        <f t="shared" si="8"/>
        <v>90.859654400000039</v>
      </c>
      <c r="Y54" s="59">
        <f t="shared" si="8"/>
        <v>90.631686399999978</v>
      </c>
      <c r="Z54" s="59">
        <f t="shared" si="8"/>
        <v>90.328198400000019</v>
      </c>
      <c r="AA54" s="59">
        <f t="shared" si="8"/>
        <v>89.949190399999935</v>
      </c>
      <c r="AB54" s="59">
        <f t="shared" si="8"/>
        <v>89.494662399999982</v>
      </c>
      <c r="AC54" s="59">
        <f t="shared" si="8"/>
        <v>88.964614400000045</v>
      </c>
      <c r="AD54" s="59">
        <f t="shared" si="8"/>
        <v>88.359046399999983</v>
      </c>
      <c r="AE54" s="59">
        <f t="shared" si="8"/>
        <v>87.677958399999994</v>
      </c>
      <c r="AF54" s="59">
        <f t="shared" si="8"/>
        <v>86.921350399999938</v>
      </c>
      <c r="AG54" s="59">
        <f t="shared" si="8"/>
        <v>86.089222399999983</v>
      </c>
      <c r="AH54" s="59">
        <f t="shared" si="9"/>
        <v>85.181574400000017</v>
      </c>
      <c r="AI54" s="59">
        <f t="shared" si="9"/>
        <v>84.198406399999953</v>
      </c>
      <c r="AJ54" s="59">
        <f t="shared" si="9"/>
        <v>83.139718399999992</v>
      </c>
      <c r="AK54" s="59">
        <f t="shared" si="9"/>
        <v>82.005510399999935</v>
      </c>
      <c r="AL54" s="59">
        <f t="shared" si="9"/>
        <v>80.795782399999979</v>
      </c>
      <c r="AM54" s="59">
        <f t="shared" si="9"/>
        <v>79.510534400000012</v>
      </c>
      <c r="AN54" s="59">
        <f t="shared" si="9"/>
        <v>78.149766399999947</v>
      </c>
      <c r="AO54" s="59">
        <f t="shared" si="9"/>
        <v>76.713478399999985</v>
      </c>
      <c r="AP54" s="59">
        <f t="shared" si="9"/>
        <v>75.201670399999955</v>
      </c>
      <c r="AQ54" s="59">
        <f t="shared" si="9"/>
        <v>73.614342399999998</v>
      </c>
      <c r="AR54" s="59">
        <f t="shared" si="9"/>
        <v>71.951494400000058</v>
      </c>
      <c r="AS54" s="59">
        <f t="shared" si="9"/>
        <v>70.213126399999936</v>
      </c>
      <c r="AT54" s="59">
        <f t="shared" si="9"/>
        <v>68.39923840000003</v>
      </c>
      <c r="AU54" s="59">
        <f t="shared" si="9"/>
        <v>66.50983039999997</v>
      </c>
      <c r="AV54" s="59">
        <f t="shared" si="9"/>
        <v>64.544902399999955</v>
      </c>
      <c r="AW54" s="59">
        <f t="shared" si="9"/>
        <v>62.50445440000005</v>
      </c>
      <c r="AX54" s="59">
        <f t="shared" si="10"/>
        <v>60.388486399999969</v>
      </c>
      <c r="AY54" s="59">
        <f t="shared" si="10"/>
        <v>58.19699840000002</v>
      </c>
      <c r="AZ54" s="59">
        <f t="shared" si="10"/>
        <v>55.92999039999993</v>
      </c>
    </row>
    <row r="55" spans="1:52" x14ac:dyDescent="0.25">
      <c r="A55" s="18">
        <f t="shared" si="7"/>
        <v>55.199999999999875</v>
      </c>
      <c r="B55" s="59">
        <f t="shared" si="12"/>
        <v>76.850201600000005</v>
      </c>
      <c r="C55" s="59">
        <f t="shared" si="12"/>
        <v>78.281705599999995</v>
      </c>
      <c r="D55" s="59">
        <f t="shared" si="12"/>
        <v>79.63768960000003</v>
      </c>
      <c r="E55" s="59">
        <f t="shared" si="12"/>
        <v>80.918153600000025</v>
      </c>
      <c r="F55" s="59">
        <f t="shared" si="12"/>
        <v>82.123097600000023</v>
      </c>
      <c r="G55" s="59">
        <f t="shared" si="12"/>
        <v>83.252521600000009</v>
      </c>
      <c r="H55" s="59">
        <f t="shared" si="12"/>
        <v>84.306425599999983</v>
      </c>
      <c r="I55" s="59">
        <f t="shared" si="12"/>
        <v>85.284809600000031</v>
      </c>
      <c r="J55" s="59">
        <f t="shared" si="12"/>
        <v>86.187673600000025</v>
      </c>
      <c r="K55" s="59">
        <f t="shared" si="12"/>
        <v>87.015017600000007</v>
      </c>
      <c r="L55" s="59">
        <f t="shared" si="12"/>
        <v>87.766841600000006</v>
      </c>
      <c r="M55" s="59">
        <f t="shared" si="12"/>
        <v>88.44314559999998</v>
      </c>
      <c r="N55" s="59">
        <f t="shared" si="12"/>
        <v>89.043929600000041</v>
      </c>
      <c r="O55" s="59">
        <f t="shared" si="12"/>
        <v>89.569193600000034</v>
      </c>
      <c r="P55" s="59">
        <f t="shared" si="12"/>
        <v>90.018937600000015</v>
      </c>
      <c r="Q55" s="59">
        <f t="shared" si="12"/>
        <v>90.393161599999999</v>
      </c>
      <c r="R55" s="59">
        <f t="shared" si="8"/>
        <v>90.691865600000014</v>
      </c>
      <c r="S55" s="59">
        <f t="shared" si="8"/>
        <v>90.915049600000074</v>
      </c>
      <c r="T55" s="59">
        <f t="shared" si="8"/>
        <v>91.062713600000009</v>
      </c>
      <c r="U55" s="59">
        <f t="shared" si="8"/>
        <v>91.134857600000046</v>
      </c>
      <c r="V55" s="59">
        <f t="shared" si="8"/>
        <v>91.131481599999972</v>
      </c>
      <c r="W55" s="59">
        <f t="shared" si="8"/>
        <v>91.052585600000015</v>
      </c>
      <c r="X55" s="59">
        <f t="shared" si="8"/>
        <v>90.898169600000074</v>
      </c>
      <c r="Y55" s="59">
        <f t="shared" si="8"/>
        <v>90.668233600000008</v>
      </c>
      <c r="Z55" s="59">
        <f t="shared" si="8"/>
        <v>90.36277760000003</v>
      </c>
      <c r="AA55" s="59">
        <f t="shared" si="8"/>
        <v>89.981801599999969</v>
      </c>
      <c r="AB55" s="59">
        <f t="shared" si="8"/>
        <v>89.52530560000001</v>
      </c>
      <c r="AC55" s="59">
        <f t="shared" si="8"/>
        <v>88.993289600000068</v>
      </c>
      <c r="AD55" s="59">
        <f t="shared" si="8"/>
        <v>88.385753600000001</v>
      </c>
      <c r="AE55" s="59">
        <f t="shared" si="8"/>
        <v>87.702697600000022</v>
      </c>
      <c r="AF55" s="59">
        <f t="shared" si="8"/>
        <v>86.94412159999996</v>
      </c>
      <c r="AG55" s="59">
        <f t="shared" si="8"/>
        <v>86.1100256</v>
      </c>
      <c r="AH55" s="59">
        <f t="shared" si="9"/>
        <v>85.200409600000057</v>
      </c>
      <c r="AI55" s="59">
        <f t="shared" si="9"/>
        <v>84.215273599999975</v>
      </c>
      <c r="AJ55" s="59">
        <f t="shared" si="9"/>
        <v>83.154617600000009</v>
      </c>
      <c r="AK55" s="59">
        <f t="shared" si="9"/>
        <v>82.018441599999946</v>
      </c>
      <c r="AL55" s="59">
        <f t="shared" si="9"/>
        <v>80.806745600000013</v>
      </c>
      <c r="AM55" s="59">
        <f t="shared" si="9"/>
        <v>79.519529600000041</v>
      </c>
      <c r="AN55" s="59">
        <f t="shared" si="9"/>
        <v>78.156793599999958</v>
      </c>
      <c r="AO55" s="59">
        <f t="shared" si="9"/>
        <v>76.718537600000019</v>
      </c>
      <c r="AP55" s="59">
        <f t="shared" si="9"/>
        <v>75.204761599999983</v>
      </c>
      <c r="AQ55" s="59">
        <f t="shared" si="9"/>
        <v>73.615465600000022</v>
      </c>
      <c r="AR55" s="59">
        <f t="shared" si="9"/>
        <v>71.950649600000062</v>
      </c>
      <c r="AS55" s="59">
        <f t="shared" si="9"/>
        <v>70.210313599999964</v>
      </c>
      <c r="AT55" s="59">
        <f t="shared" si="9"/>
        <v>68.394457600000052</v>
      </c>
      <c r="AU55" s="59">
        <f t="shared" si="9"/>
        <v>66.503081599999987</v>
      </c>
      <c r="AV55" s="59">
        <f t="shared" si="9"/>
        <v>64.536185599999982</v>
      </c>
      <c r="AW55" s="59">
        <f t="shared" si="9"/>
        <v>62.493769600000057</v>
      </c>
      <c r="AX55" s="59">
        <f t="shared" si="10"/>
        <v>60.375833599999986</v>
      </c>
      <c r="AY55" s="59">
        <f t="shared" si="10"/>
        <v>58.182377600000045</v>
      </c>
      <c r="AZ55" s="59">
        <f t="shared" si="10"/>
        <v>55.913401599999943</v>
      </c>
    </row>
    <row r="56" spans="1:52" x14ac:dyDescent="0.25">
      <c r="A56" s="18">
        <f t="shared" si="7"/>
        <v>52.799999999999876</v>
      </c>
      <c r="B56" s="59">
        <f t="shared" si="12"/>
        <v>76.9094336</v>
      </c>
      <c r="C56" s="59">
        <f t="shared" si="12"/>
        <v>78.338969599999984</v>
      </c>
      <c r="D56" s="59">
        <f t="shared" si="12"/>
        <v>79.692985600000029</v>
      </c>
      <c r="E56" s="59">
        <f t="shared" si="12"/>
        <v>80.971481600000018</v>
      </c>
      <c r="F56" s="59">
        <f t="shared" si="12"/>
        <v>82.174457600000011</v>
      </c>
      <c r="G56" s="59">
        <f t="shared" si="12"/>
        <v>83.301913599999992</v>
      </c>
      <c r="H56" s="59">
        <f t="shared" si="12"/>
        <v>84.353849599999975</v>
      </c>
      <c r="I56" s="59">
        <f t="shared" si="12"/>
        <v>85.330265600000033</v>
      </c>
      <c r="J56" s="59">
        <f t="shared" si="12"/>
        <v>86.231161600000021</v>
      </c>
      <c r="K56" s="59">
        <f t="shared" si="12"/>
        <v>87.056537599999999</v>
      </c>
      <c r="L56" s="59">
        <f t="shared" si="12"/>
        <v>87.806393599999993</v>
      </c>
      <c r="M56" s="59">
        <f t="shared" si="12"/>
        <v>88.480729599999975</v>
      </c>
      <c r="N56" s="59">
        <f t="shared" si="12"/>
        <v>89.079545600000031</v>
      </c>
      <c r="O56" s="59">
        <f t="shared" si="12"/>
        <v>89.602841600000019</v>
      </c>
      <c r="P56" s="59">
        <f t="shared" si="12"/>
        <v>90.05061760000001</v>
      </c>
      <c r="Q56" s="59">
        <f t="shared" si="12"/>
        <v>90.422873600000003</v>
      </c>
      <c r="R56" s="59">
        <f t="shared" si="8"/>
        <v>90.719609599999984</v>
      </c>
      <c r="S56" s="59">
        <f t="shared" si="8"/>
        <v>90.940825600000039</v>
      </c>
      <c r="T56" s="59">
        <f t="shared" si="8"/>
        <v>91.086521600000026</v>
      </c>
      <c r="U56" s="59">
        <f t="shared" si="8"/>
        <v>91.156697600000058</v>
      </c>
      <c r="V56" s="59">
        <f t="shared" si="8"/>
        <v>91.151353599999993</v>
      </c>
      <c r="W56" s="59">
        <f t="shared" si="8"/>
        <v>91.07048960000003</v>
      </c>
      <c r="X56" s="59">
        <f t="shared" si="8"/>
        <v>90.914105600000099</v>
      </c>
      <c r="Y56" s="59">
        <f t="shared" si="8"/>
        <v>90.682201600000027</v>
      </c>
      <c r="Z56" s="59">
        <f t="shared" si="8"/>
        <v>90.374777600000058</v>
      </c>
      <c r="AA56" s="59">
        <f t="shared" si="8"/>
        <v>89.991833599999993</v>
      </c>
      <c r="AB56" s="59">
        <f t="shared" si="8"/>
        <v>89.533369600000029</v>
      </c>
      <c r="AC56" s="59">
        <f t="shared" si="8"/>
        <v>88.999385600000082</v>
      </c>
      <c r="AD56" s="59">
        <f t="shared" si="8"/>
        <v>88.38988160000001</v>
      </c>
      <c r="AE56" s="59">
        <f t="shared" si="8"/>
        <v>87.704857600000054</v>
      </c>
      <c r="AF56" s="59">
        <f t="shared" si="8"/>
        <v>86.944313599999987</v>
      </c>
      <c r="AG56" s="59">
        <f t="shared" si="8"/>
        <v>86.108249600000022</v>
      </c>
      <c r="AH56" s="59">
        <f t="shared" si="9"/>
        <v>85.196665600000074</v>
      </c>
      <c r="AI56" s="59">
        <f t="shared" si="9"/>
        <v>84.209561600000001</v>
      </c>
      <c r="AJ56" s="59">
        <f t="shared" si="9"/>
        <v>83.14693760000003</v>
      </c>
      <c r="AK56" s="59">
        <f t="shared" si="9"/>
        <v>82.008793599999962</v>
      </c>
      <c r="AL56" s="59">
        <f t="shared" si="9"/>
        <v>80.795129600000024</v>
      </c>
      <c r="AM56" s="59">
        <f t="shared" si="9"/>
        <v>79.505945600000061</v>
      </c>
      <c r="AN56" s="59">
        <f t="shared" si="9"/>
        <v>78.141241599999987</v>
      </c>
      <c r="AO56" s="59">
        <f t="shared" si="9"/>
        <v>76.701017600000043</v>
      </c>
      <c r="AP56" s="59">
        <f t="shared" si="9"/>
        <v>75.185273600000002</v>
      </c>
      <c r="AQ56" s="59">
        <f t="shared" si="9"/>
        <v>73.594009600000035</v>
      </c>
      <c r="AR56" s="59">
        <f t="shared" si="9"/>
        <v>71.927225600000085</v>
      </c>
      <c r="AS56" s="59">
        <f t="shared" si="9"/>
        <v>70.184921599999981</v>
      </c>
      <c r="AT56" s="59">
        <f t="shared" si="9"/>
        <v>68.367097600000065</v>
      </c>
      <c r="AU56" s="59">
        <f t="shared" si="9"/>
        <v>66.473753600000009</v>
      </c>
      <c r="AV56" s="59">
        <f t="shared" si="9"/>
        <v>64.504889600000013</v>
      </c>
      <c r="AW56" s="59">
        <f t="shared" si="9"/>
        <v>62.460505600000083</v>
      </c>
      <c r="AX56" s="59">
        <f t="shared" si="10"/>
        <v>60.340601600000006</v>
      </c>
      <c r="AY56" s="59">
        <f t="shared" si="10"/>
        <v>58.145177600000061</v>
      </c>
      <c r="AZ56" s="59">
        <f t="shared" si="10"/>
        <v>55.874233599999968</v>
      </c>
    </row>
    <row r="57" spans="1:52" x14ac:dyDescent="0.25">
      <c r="A57" s="18">
        <f t="shared" si="7"/>
        <v>50.399999999999878</v>
      </c>
      <c r="B57" s="59">
        <f t="shared" si="12"/>
        <v>76.946086400000013</v>
      </c>
      <c r="C57" s="59">
        <f t="shared" si="12"/>
        <v>78.373654399999992</v>
      </c>
      <c r="D57" s="59">
        <f t="shared" si="12"/>
        <v>79.725702400000031</v>
      </c>
      <c r="E57" s="59">
        <f t="shared" si="12"/>
        <v>81.00223040000003</v>
      </c>
      <c r="F57" s="59">
        <f t="shared" si="12"/>
        <v>82.203238400000018</v>
      </c>
      <c r="G57" s="59">
        <f t="shared" si="12"/>
        <v>83.328726400000008</v>
      </c>
      <c r="H57" s="59">
        <f t="shared" si="12"/>
        <v>84.378694399999986</v>
      </c>
      <c r="I57" s="59">
        <f t="shared" si="12"/>
        <v>85.353142400000038</v>
      </c>
      <c r="J57" s="59">
        <f t="shared" si="12"/>
        <v>86.252070400000022</v>
      </c>
      <c r="K57" s="59">
        <f t="shared" si="12"/>
        <v>87.075478400000009</v>
      </c>
      <c r="L57" s="59">
        <f t="shared" si="12"/>
        <v>87.823366399999998</v>
      </c>
      <c r="M57" s="59">
        <f t="shared" si="12"/>
        <v>88.495734399999989</v>
      </c>
      <c r="N57" s="59">
        <f t="shared" si="12"/>
        <v>89.09258240000004</v>
      </c>
      <c r="O57" s="59">
        <f t="shared" si="12"/>
        <v>89.613910400000037</v>
      </c>
      <c r="P57" s="59">
        <f t="shared" si="12"/>
        <v>90.059718400000008</v>
      </c>
      <c r="Q57" s="59">
        <f t="shared" si="12"/>
        <v>90.430006400000011</v>
      </c>
      <c r="R57" s="59">
        <f t="shared" si="8"/>
        <v>90.724774399999987</v>
      </c>
      <c r="S57" s="59">
        <f t="shared" si="8"/>
        <v>90.944022400000051</v>
      </c>
      <c r="T57" s="59">
        <f t="shared" si="8"/>
        <v>91.087750399999976</v>
      </c>
      <c r="U57" s="59">
        <f t="shared" si="8"/>
        <v>91.155958400000017</v>
      </c>
      <c r="V57" s="59">
        <f t="shared" si="8"/>
        <v>91.148646399999947</v>
      </c>
      <c r="W57" s="59">
        <f t="shared" si="8"/>
        <v>91.065814399999994</v>
      </c>
      <c r="X57" s="59">
        <f t="shared" si="8"/>
        <v>90.907462400000043</v>
      </c>
      <c r="Y57" s="59">
        <f t="shared" si="8"/>
        <v>90.673590399999981</v>
      </c>
      <c r="Z57" s="59">
        <f t="shared" si="8"/>
        <v>90.364198400000006</v>
      </c>
      <c r="AA57" s="59">
        <f t="shared" si="8"/>
        <v>89.97928639999995</v>
      </c>
      <c r="AB57" s="59">
        <f t="shared" si="8"/>
        <v>89.518854399999981</v>
      </c>
      <c r="AC57" s="59">
        <f t="shared" si="8"/>
        <v>88.982902400000043</v>
      </c>
      <c r="AD57" s="59">
        <f t="shared" si="8"/>
        <v>88.371430399999966</v>
      </c>
      <c r="AE57" s="59">
        <f t="shared" si="8"/>
        <v>87.684438400000005</v>
      </c>
      <c r="AF57" s="59">
        <f t="shared" si="8"/>
        <v>86.921926399999933</v>
      </c>
      <c r="AG57" s="59">
        <f t="shared" si="8"/>
        <v>86.083894399999977</v>
      </c>
      <c r="AH57" s="59">
        <f t="shared" si="9"/>
        <v>85.170342400000024</v>
      </c>
      <c r="AI57" s="59">
        <f t="shared" si="9"/>
        <v>84.18127039999996</v>
      </c>
      <c r="AJ57" s="59">
        <f t="shared" si="9"/>
        <v>83.116678399999984</v>
      </c>
      <c r="AK57" s="59">
        <f t="shared" si="9"/>
        <v>81.976566399999925</v>
      </c>
      <c r="AL57" s="59">
        <f t="shared" si="9"/>
        <v>80.760934399999982</v>
      </c>
      <c r="AM57" s="59">
        <f t="shared" si="9"/>
        <v>79.469782400000014</v>
      </c>
      <c r="AN57" s="59">
        <f t="shared" si="9"/>
        <v>78.103110399999935</v>
      </c>
      <c r="AO57" s="59">
        <f t="shared" si="9"/>
        <v>76.6609184</v>
      </c>
      <c r="AP57" s="59">
        <f t="shared" si="9"/>
        <v>75.143206399999954</v>
      </c>
      <c r="AQ57" s="59">
        <f t="shared" si="9"/>
        <v>73.549974399999996</v>
      </c>
      <c r="AR57" s="59">
        <f t="shared" si="9"/>
        <v>71.881222400000041</v>
      </c>
      <c r="AS57" s="59">
        <f t="shared" si="9"/>
        <v>70.136950399999947</v>
      </c>
      <c r="AT57" s="59">
        <f t="shared" si="9"/>
        <v>68.317158400000025</v>
      </c>
      <c r="AU57" s="59">
        <f t="shared" si="9"/>
        <v>66.421846399999964</v>
      </c>
      <c r="AV57" s="59">
        <f t="shared" si="9"/>
        <v>64.451014399999963</v>
      </c>
      <c r="AW57" s="59">
        <f t="shared" si="9"/>
        <v>62.404662400000049</v>
      </c>
      <c r="AX57" s="59">
        <f t="shared" si="10"/>
        <v>60.282790399999968</v>
      </c>
      <c r="AY57" s="59">
        <f t="shared" si="10"/>
        <v>58.085398400000024</v>
      </c>
      <c r="AZ57" s="59">
        <f t="shared" si="10"/>
        <v>55.812486399999926</v>
      </c>
    </row>
    <row r="58" spans="1:52" x14ac:dyDescent="0.25">
      <c r="A58" s="18">
        <f t="shared" si="7"/>
        <v>47.999999999999879</v>
      </c>
      <c r="B58" s="59">
        <f t="shared" si="12"/>
        <v>76.960159999999988</v>
      </c>
      <c r="C58" s="59">
        <f t="shared" si="12"/>
        <v>78.385759999999976</v>
      </c>
      <c r="D58" s="59">
        <f t="shared" si="12"/>
        <v>79.735840000000024</v>
      </c>
      <c r="E58" s="59">
        <f t="shared" si="12"/>
        <v>81.010400000000018</v>
      </c>
      <c r="F58" s="59">
        <f t="shared" si="12"/>
        <v>82.209440000000015</v>
      </c>
      <c r="G58" s="59">
        <f t="shared" si="12"/>
        <v>83.33296</v>
      </c>
      <c r="H58" s="59">
        <f t="shared" si="12"/>
        <v>84.380959999999973</v>
      </c>
      <c r="I58" s="59">
        <f t="shared" si="12"/>
        <v>85.35344000000002</v>
      </c>
      <c r="J58" s="59">
        <f t="shared" si="12"/>
        <v>86.250400000000013</v>
      </c>
      <c r="K58" s="59">
        <f t="shared" si="12"/>
        <v>87.071839999999995</v>
      </c>
      <c r="L58" s="59">
        <f t="shared" si="12"/>
        <v>87.817759999999993</v>
      </c>
      <c r="M58" s="59">
        <f t="shared" si="12"/>
        <v>88.488159999999979</v>
      </c>
      <c r="N58" s="59">
        <f t="shared" si="12"/>
        <v>89.08304000000004</v>
      </c>
      <c r="O58" s="59">
        <f t="shared" si="12"/>
        <v>89.602400000000017</v>
      </c>
      <c r="P58" s="59">
        <f t="shared" si="12"/>
        <v>90.046239999999997</v>
      </c>
      <c r="Q58" s="59">
        <f t="shared" si="12"/>
        <v>90.414559999999994</v>
      </c>
      <c r="R58" s="59">
        <f t="shared" si="8"/>
        <v>90.707360000000008</v>
      </c>
      <c r="S58" s="59">
        <f t="shared" si="8"/>
        <v>90.924640000000068</v>
      </c>
      <c r="T58" s="59">
        <f t="shared" si="8"/>
        <v>91.066400000000002</v>
      </c>
      <c r="U58" s="59">
        <f t="shared" si="8"/>
        <v>91.132640000000023</v>
      </c>
      <c r="V58" s="59">
        <f t="shared" si="8"/>
        <v>91.123359999999963</v>
      </c>
      <c r="W58" s="59">
        <f t="shared" si="8"/>
        <v>91.038560000000004</v>
      </c>
      <c r="X58" s="59">
        <f t="shared" si="8"/>
        <v>90.878240000000062</v>
      </c>
      <c r="Y58" s="59">
        <f t="shared" si="8"/>
        <v>90.642399999999995</v>
      </c>
      <c r="Z58" s="59">
        <f t="shared" si="8"/>
        <v>90.33104000000003</v>
      </c>
      <c r="AA58" s="59">
        <f t="shared" si="8"/>
        <v>89.944159999999968</v>
      </c>
      <c r="AB58" s="59">
        <f t="shared" si="8"/>
        <v>89.481759999999994</v>
      </c>
      <c r="AC58" s="59">
        <f t="shared" si="8"/>
        <v>88.943840000000051</v>
      </c>
      <c r="AD58" s="59">
        <f t="shared" si="8"/>
        <v>88.330399999999983</v>
      </c>
      <c r="AE58" s="59">
        <f t="shared" si="8"/>
        <v>87.641440000000017</v>
      </c>
      <c r="AF58" s="59">
        <f t="shared" si="8"/>
        <v>86.876959999999954</v>
      </c>
      <c r="AG58" s="59">
        <f t="shared" si="8"/>
        <v>86.036959999999993</v>
      </c>
      <c r="AH58" s="59">
        <f t="shared" si="9"/>
        <v>85.12144000000005</v>
      </c>
      <c r="AI58" s="59">
        <f t="shared" si="9"/>
        <v>84.130399999999966</v>
      </c>
      <c r="AJ58" s="59">
        <f t="shared" si="9"/>
        <v>83.063839999999999</v>
      </c>
      <c r="AK58" s="59">
        <f t="shared" si="9"/>
        <v>81.921759999999935</v>
      </c>
      <c r="AL58" s="59">
        <f t="shared" si="9"/>
        <v>80.704160000000002</v>
      </c>
      <c r="AM58" s="59">
        <f t="shared" si="9"/>
        <v>79.411040000000028</v>
      </c>
      <c r="AN58" s="59">
        <f t="shared" si="9"/>
        <v>78.042399999999958</v>
      </c>
      <c r="AO58" s="59">
        <f t="shared" si="9"/>
        <v>76.598240000000018</v>
      </c>
      <c r="AP58" s="59">
        <f t="shared" si="9"/>
        <v>75.078559999999968</v>
      </c>
      <c r="AQ58" s="59">
        <f t="shared" si="9"/>
        <v>73.483360000000005</v>
      </c>
      <c r="AR58" s="59">
        <f t="shared" si="9"/>
        <v>71.812640000000059</v>
      </c>
      <c r="AS58" s="59">
        <f t="shared" si="9"/>
        <v>70.066399999999959</v>
      </c>
      <c r="AT58" s="59">
        <f t="shared" si="9"/>
        <v>68.244640000000047</v>
      </c>
      <c r="AU58" s="59">
        <f t="shared" si="9"/>
        <v>66.347359999999981</v>
      </c>
      <c r="AV58" s="59">
        <f t="shared" si="9"/>
        <v>64.374559999999974</v>
      </c>
      <c r="AW58" s="59">
        <f t="shared" si="9"/>
        <v>62.326240000000062</v>
      </c>
      <c r="AX58" s="59">
        <f t="shared" si="10"/>
        <v>60.20239999999999</v>
      </c>
      <c r="AY58" s="59">
        <f t="shared" si="10"/>
        <v>58.003040000000048</v>
      </c>
      <c r="AZ58" s="59">
        <f t="shared" si="10"/>
        <v>55.728159999999953</v>
      </c>
    </row>
    <row r="59" spans="1:52" x14ac:dyDescent="0.25">
      <c r="A59" s="18">
        <f t="shared" si="7"/>
        <v>45.599999999999881</v>
      </c>
      <c r="B59" s="59">
        <f t="shared" si="12"/>
        <v>76.951654399999981</v>
      </c>
      <c r="C59" s="59">
        <f t="shared" si="12"/>
        <v>78.375286399999965</v>
      </c>
      <c r="D59" s="59">
        <f t="shared" si="12"/>
        <v>79.723398400000022</v>
      </c>
      <c r="E59" s="59">
        <f t="shared" si="12"/>
        <v>80.995990400000011</v>
      </c>
      <c r="F59" s="59">
        <f t="shared" si="12"/>
        <v>82.193062400000002</v>
      </c>
      <c r="G59" s="59">
        <f t="shared" si="12"/>
        <v>83.314614399999982</v>
      </c>
      <c r="H59" s="59">
        <f t="shared" si="12"/>
        <v>84.360646399999965</v>
      </c>
      <c r="I59" s="59">
        <f t="shared" si="12"/>
        <v>85.331158400000021</v>
      </c>
      <c r="J59" s="59">
        <f t="shared" si="12"/>
        <v>86.226150400000009</v>
      </c>
      <c r="K59" s="59">
        <f t="shared" si="12"/>
        <v>87.045622399999985</v>
      </c>
      <c r="L59" s="59">
        <f t="shared" si="12"/>
        <v>87.789574399999978</v>
      </c>
      <c r="M59" s="59">
        <f t="shared" si="12"/>
        <v>88.458006399999974</v>
      </c>
      <c r="N59" s="59">
        <f t="shared" si="12"/>
        <v>89.050918400000029</v>
      </c>
      <c r="O59" s="59">
        <f t="shared" si="12"/>
        <v>89.568310400000016</v>
      </c>
      <c r="P59" s="59">
        <f t="shared" si="12"/>
        <v>90.010182399999991</v>
      </c>
      <c r="Q59" s="59">
        <f t="shared" si="12"/>
        <v>90.376534399999983</v>
      </c>
      <c r="R59" s="59">
        <f t="shared" ref="R59:AG74" si="13">-93.1+0.26*R$27+0.146*$A59-0.0000944*R$27^2+0.000041*R$27*$A59-0.00196*$A59^2</f>
        <v>90.667366399999977</v>
      </c>
      <c r="S59" s="59">
        <f t="shared" si="13"/>
        <v>90.882678400000032</v>
      </c>
      <c r="T59" s="59">
        <f t="shared" si="13"/>
        <v>91.022470400000017</v>
      </c>
      <c r="U59" s="59">
        <f t="shared" si="13"/>
        <v>91.086742400000048</v>
      </c>
      <c r="V59" s="59">
        <f t="shared" si="13"/>
        <v>91.075494399999982</v>
      </c>
      <c r="W59" s="59">
        <f t="shared" si="13"/>
        <v>90.988726400000033</v>
      </c>
      <c r="X59" s="59">
        <f t="shared" si="13"/>
        <v>90.826438400000086</v>
      </c>
      <c r="Y59" s="59">
        <f t="shared" si="13"/>
        <v>90.588630400000014</v>
      </c>
      <c r="Z59" s="59">
        <f t="shared" si="13"/>
        <v>90.275302400000044</v>
      </c>
      <c r="AA59" s="59">
        <f t="shared" si="13"/>
        <v>89.886454399999977</v>
      </c>
      <c r="AB59" s="59">
        <f t="shared" si="13"/>
        <v>89.422086400000026</v>
      </c>
      <c r="AC59" s="59">
        <f t="shared" si="13"/>
        <v>88.882198400000078</v>
      </c>
      <c r="AD59" s="59">
        <f t="shared" si="13"/>
        <v>88.266790400000005</v>
      </c>
      <c r="AE59" s="59">
        <f t="shared" si="13"/>
        <v>87.575862400000034</v>
      </c>
      <c r="AF59" s="59">
        <f t="shared" si="13"/>
        <v>86.809414399999966</v>
      </c>
      <c r="AG59" s="59">
        <f t="shared" si="13"/>
        <v>85.967446400000014</v>
      </c>
      <c r="AH59" s="59">
        <f t="shared" ref="AH59:AW74" si="14">-93.1+0.26*AH$27+0.146*$A59-0.0000944*AH$27^2+0.000041*AH$27*$A59-0.00196*$A59^2</f>
        <v>85.049958400000065</v>
      </c>
      <c r="AI59" s="59">
        <f t="shared" si="14"/>
        <v>84.056950399999991</v>
      </c>
      <c r="AJ59" s="59">
        <f t="shared" si="14"/>
        <v>82.988422400000019</v>
      </c>
      <c r="AK59" s="59">
        <f t="shared" si="14"/>
        <v>81.84437439999995</v>
      </c>
      <c r="AL59" s="59">
        <f t="shared" si="14"/>
        <v>80.624806400000026</v>
      </c>
      <c r="AM59" s="59">
        <f t="shared" si="14"/>
        <v>79.329718400000047</v>
      </c>
      <c r="AN59" s="59">
        <f t="shared" si="14"/>
        <v>77.959110399999972</v>
      </c>
      <c r="AO59" s="59">
        <f t="shared" si="14"/>
        <v>76.512982400000027</v>
      </c>
      <c r="AP59" s="59">
        <f t="shared" si="14"/>
        <v>74.991334399999985</v>
      </c>
      <c r="AQ59" s="59">
        <f t="shared" si="14"/>
        <v>73.394166400000032</v>
      </c>
      <c r="AR59" s="59">
        <f t="shared" si="14"/>
        <v>71.72147840000008</v>
      </c>
      <c r="AS59" s="59">
        <f t="shared" si="14"/>
        <v>69.973270399999976</v>
      </c>
      <c r="AT59" s="59">
        <f t="shared" si="14"/>
        <v>68.149542400000058</v>
      </c>
      <c r="AU59" s="59">
        <f t="shared" si="14"/>
        <v>66.250294399999987</v>
      </c>
      <c r="AV59" s="59">
        <f t="shared" si="14"/>
        <v>64.275526400000004</v>
      </c>
      <c r="AW59" s="59">
        <f t="shared" si="14"/>
        <v>62.225238400000087</v>
      </c>
      <c r="AX59" s="59">
        <f t="shared" si="10"/>
        <v>60.09943040000001</v>
      </c>
      <c r="AY59" s="59">
        <f t="shared" si="10"/>
        <v>57.89810240000007</v>
      </c>
      <c r="AZ59" s="59">
        <f t="shared" si="10"/>
        <v>55.62125439999997</v>
      </c>
    </row>
    <row r="60" spans="1:52" x14ac:dyDescent="0.25">
      <c r="A60" s="18">
        <f t="shared" si="7"/>
        <v>43.199999999999882</v>
      </c>
      <c r="B60" s="59">
        <f t="shared" si="12"/>
        <v>76.920569600000007</v>
      </c>
      <c r="C60" s="59">
        <f t="shared" si="12"/>
        <v>78.3422336</v>
      </c>
      <c r="D60" s="59">
        <f t="shared" si="12"/>
        <v>79.688377600000038</v>
      </c>
      <c r="E60" s="59">
        <f t="shared" si="12"/>
        <v>80.959001600000036</v>
      </c>
      <c r="F60" s="59">
        <f t="shared" si="12"/>
        <v>82.154105600000022</v>
      </c>
      <c r="G60" s="59">
        <f t="shared" si="12"/>
        <v>83.273689600000012</v>
      </c>
      <c r="H60" s="59">
        <f t="shared" si="12"/>
        <v>84.317753600000003</v>
      </c>
      <c r="I60" s="59">
        <f t="shared" si="12"/>
        <v>85.28629760000004</v>
      </c>
      <c r="J60" s="59">
        <f t="shared" si="12"/>
        <v>86.179321600000037</v>
      </c>
      <c r="K60" s="59">
        <f t="shared" si="12"/>
        <v>86.996825600000008</v>
      </c>
      <c r="L60" s="59">
        <f t="shared" si="12"/>
        <v>87.73880960000001</v>
      </c>
      <c r="M60" s="59">
        <f t="shared" si="12"/>
        <v>88.405273599999987</v>
      </c>
      <c r="N60" s="59">
        <f t="shared" si="12"/>
        <v>88.996217600000051</v>
      </c>
      <c r="O60" s="59">
        <f t="shared" si="12"/>
        <v>89.511641600000033</v>
      </c>
      <c r="P60" s="59">
        <f t="shared" si="12"/>
        <v>89.951545600000017</v>
      </c>
      <c r="Q60" s="59">
        <f t="shared" ref="Q60:Q75" si="15">-93.1+0.26*Q$27+0.146*$A60-0.0000944*Q$27^2+0.000041*Q$27*$A60-0.00196*$A60^2</f>
        <v>90.315929600000018</v>
      </c>
      <c r="R60" s="59">
        <f t="shared" si="13"/>
        <v>90.604793599999994</v>
      </c>
      <c r="S60" s="59">
        <f t="shared" si="13"/>
        <v>90.818137600000057</v>
      </c>
      <c r="T60" s="59">
        <f t="shared" si="13"/>
        <v>90.955961599999981</v>
      </c>
      <c r="U60" s="59">
        <f t="shared" si="13"/>
        <v>91.018265600000021</v>
      </c>
      <c r="V60" s="59">
        <f t="shared" si="13"/>
        <v>91.00504959999995</v>
      </c>
      <c r="W60" s="59">
        <f t="shared" si="13"/>
        <v>90.916313599999995</v>
      </c>
      <c r="X60" s="59">
        <f t="shared" si="13"/>
        <v>90.752057600000057</v>
      </c>
      <c r="Y60" s="59">
        <f t="shared" si="13"/>
        <v>90.51228159999998</v>
      </c>
      <c r="Z60" s="59">
        <f t="shared" si="13"/>
        <v>90.196985600000019</v>
      </c>
      <c r="AA60" s="59">
        <f t="shared" si="13"/>
        <v>89.806169599999947</v>
      </c>
      <c r="AB60" s="59">
        <f t="shared" si="13"/>
        <v>89.339833599999992</v>
      </c>
      <c r="AC60" s="59">
        <f t="shared" si="13"/>
        <v>88.797977600000038</v>
      </c>
      <c r="AD60" s="59">
        <f t="shared" si="13"/>
        <v>88.180601599999974</v>
      </c>
      <c r="AE60" s="59">
        <f t="shared" si="13"/>
        <v>87.487705599999998</v>
      </c>
      <c r="AF60" s="59">
        <f t="shared" si="13"/>
        <v>86.719289599999939</v>
      </c>
      <c r="AG60" s="59">
        <f t="shared" si="13"/>
        <v>85.875353599999983</v>
      </c>
      <c r="AH60" s="59">
        <f t="shared" si="14"/>
        <v>84.955897600000029</v>
      </c>
      <c r="AI60" s="59">
        <f t="shared" si="14"/>
        <v>83.960921599999963</v>
      </c>
      <c r="AJ60" s="59">
        <f t="shared" si="14"/>
        <v>82.890425599999986</v>
      </c>
      <c r="AK60" s="59">
        <f t="shared" si="14"/>
        <v>81.744409599999926</v>
      </c>
      <c r="AL60" s="59">
        <f t="shared" si="14"/>
        <v>80.522873599999983</v>
      </c>
      <c r="AM60" s="59">
        <f t="shared" si="14"/>
        <v>79.225817600000013</v>
      </c>
      <c r="AN60" s="59">
        <f t="shared" si="14"/>
        <v>77.853241599999947</v>
      </c>
      <c r="AO60" s="59">
        <f t="shared" si="14"/>
        <v>76.405145599999997</v>
      </c>
      <c r="AP60" s="59">
        <f t="shared" si="14"/>
        <v>74.881529599999965</v>
      </c>
      <c r="AQ60" s="59">
        <f t="shared" si="14"/>
        <v>73.282393599999992</v>
      </c>
      <c r="AR60" s="59">
        <f t="shared" si="14"/>
        <v>71.60773760000005</v>
      </c>
      <c r="AS60" s="59">
        <f t="shared" si="14"/>
        <v>69.85756159999994</v>
      </c>
      <c r="AT60" s="59">
        <f t="shared" si="14"/>
        <v>68.031865600000032</v>
      </c>
      <c r="AU60" s="59">
        <f t="shared" si="14"/>
        <v>66.130649599999956</v>
      </c>
      <c r="AV60" s="59">
        <f t="shared" si="14"/>
        <v>64.153913599999967</v>
      </c>
      <c r="AW60" s="59">
        <f t="shared" si="14"/>
        <v>62.101657600000053</v>
      </c>
      <c r="AX60" s="59">
        <f t="shared" si="10"/>
        <v>59.97388159999997</v>
      </c>
      <c r="AY60" s="59">
        <f t="shared" si="10"/>
        <v>57.770585600000025</v>
      </c>
      <c r="AZ60" s="59">
        <f t="shared" si="10"/>
        <v>55.491769599999934</v>
      </c>
    </row>
    <row r="61" spans="1:52" x14ac:dyDescent="0.25">
      <c r="A61" s="18">
        <f t="shared" ref="A61:A78" si="16">A60-I$24</f>
        <v>40.799999999999883</v>
      </c>
      <c r="B61" s="59">
        <f t="shared" ref="B61:Q76" si="17">-93.1+0.26*B$27+0.146*$A61-0.0000944*B$27^2+0.000041*B$27*$A61-0.00196*$A61^2</f>
        <v>76.866905599999996</v>
      </c>
      <c r="C61" s="59">
        <f t="shared" si="17"/>
        <v>78.286601599999983</v>
      </c>
      <c r="D61" s="59">
        <f t="shared" si="17"/>
        <v>79.63077760000003</v>
      </c>
      <c r="E61" s="59">
        <f t="shared" si="17"/>
        <v>80.899433600000023</v>
      </c>
      <c r="F61" s="59">
        <f t="shared" si="17"/>
        <v>82.092569600000019</v>
      </c>
      <c r="G61" s="59">
        <f t="shared" si="17"/>
        <v>83.210185600000003</v>
      </c>
      <c r="H61" s="59">
        <f t="shared" si="17"/>
        <v>84.252281599999989</v>
      </c>
      <c r="I61" s="59">
        <f t="shared" si="17"/>
        <v>85.218857600000021</v>
      </c>
      <c r="J61" s="59">
        <f t="shared" si="17"/>
        <v>86.109913600000013</v>
      </c>
      <c r="K61" s="59">
        <f t="shared" si="17"/>
        <v>86.925449599999993</v>
      </c>
      <c r="L61" s="59">
        <f t="shared" si="17"/>
        <v>87.66546559999999</v>
      </c>
      <c r="M61" s="59">
        <f t="shared" si="17"/>
        <v>88.329961599999976</v>
      </c>
      <c r="N61" s="59">
        <f t="shared" si="17"/>
        <v>88.918937600000035</v>
      </c>
      <c r="O61" s="59">
        <f t="shared" si="17"/>
        <v>89.432393600000026</v>
      </c>
      <c r="P61" s="59">
        <f t="shared" si="17"/>
        <v>89.870329600000005</v>
      </c>
      <c r="Q61" s="59">
        <f t="shared" si="15"/>
        <v>90.232745600000001</v>
      </c>
      <c r="R61" s="59">
        <f t="shared" si="13"/>
        <v>90.519641599999957</v>
      </c>
      <c r="S61" s="59">
        <f t="shared" si="13"/>
        <v>90.731017600000015</v>
      </c>
      <c r="T61" s="59">
        <f t="shared" si="13"/>
        <v>90.866873600000005</v>
      </c>
      <c r="U61" s="59">
        <f t="shared" si="13"/>
        <v>90.927209600000026</v>
      </c>
      <c r="V61" s="59">
        <f t="shared" si="13"/>
        <v>90.912025599999964</v>
      </c>
      <c r="W61" s="59">
        <f t="shared" si="13"/>
        <v>90.821321600000005</v>
      </c>
      <c r="X61" s="59">
        <f t="shared" si="13"/>
        <v>90.655097600000062</v>
      </c>
      <c r="Y61" s="59">
        <f t="shared" si="13"/>
        <v>90.413353599999994</v>
      </c>
      <c r="Z61" s="59">
        <f t="shared" si="13"/>
        <v>90.096089600000028</v>
      </c>
      <c r="AA61" s="59">
        <f t="shared" si="13"/>
        <v>89.703305599999965</v>
      </c>
      <c r="AB61" s="59">
        <f t="shared" si="13"/>
        <v>89.235001600000004</v>
      </c>
      <c r="AC61" s="59">
        <f t="shared" si="13"/>
        <v>88.69117760000006</v>
      </c>
      <c r="AD61" s="59">
        <f t="shared" si="13"/>
        <v>88.071833599999991</v>
      </c>
      <c r="AE61" s="59">
        <f t="shared" si="13"/>
        <v>87.376969600000024</v>
      </c>
      <c r="AF61" s="59">
        <f t="shared" si="13"/>
        <v>86.60658559999996</v>
      </c>
      <c r="AG61" s="59">
        <f t="shared" si="13"/>
        <v>85.760681599999998</v>
      </c>
      <c r="AH61" s="59">
        <f t="shared" si="14"/>
        <v>84.839257600000039</v>
      </c>
      <c r="AI61" s="59">
        <f t="shared" si="14"/>
        <v>83.842313599999969</v>
      </c>
      <c r="AJ61" s="59">
        <f t="shared" si="14"/>
        <v>82.769849600000001</v>
      </c>
      <c r="AK61" s="59">
        <f t="shared" si="14"/>
        <v>81.621865599999936</v>
      </c>
      <c r="AL61" s="59">
        <f t="shared" si="14"/>
        <v>80.398361600000001</v>
      </c>
      <c r="AM61" s="59">
        <f t="shared" si="14"/>
        <v>79.099337600000027</v>
      </c>
      <c r="AN61" s="59">
        <f t="shared" si="14"/>
        <v>77.724793599999956</v>
      </c>
      <c r="AO61" s="59">
        <f t="shared" si="14"/>
        <v>76.274729600000015</v>
      </c>
      <c r="AP61" s="59">
        <f t="shared" si="14"/>
        <v>74.749145599999977</v>
      </c>
      <c r="AQ61" s="59">
        <f t="shared" si="14"/>
        <v>73.148041600000013</v>
      </c>
      <c r="AR61" s="59">
        <f t="shared" si="14"/>
        <v>71.471417600000066</v>
      </c>
      <c r="AS61" s="59">
        <f t="shared" si="14"/>
        <v>69.719273599999966</v>
      </c>
      <c r="AT61" s="59">
        <f t="shared" si="14"/>
        <v>67.891609600000038</v>
      </c>
      <c r="AU61" s="59">
        <f t="shared" si="14"/>
        <v>65.988425599999971</v>
      </c>
      <c r="AV61" s="59">
        <f t="shared" si="14"/>
        <v>64.009721599999978</v>
      </c>
      <c r="AW61" s="59">
        <f t="shared" si="14"/>
        <v>61.955497600000065</v>
      </c>
      <c r="AX61" s="59">
        <f t="shared" si="10"/>
        <v>59.825753599999992</v>
      </c>
      <c r="AY61" s="59">
        <f t="shared" si="10"/>
        <v>57.620489600000049</v>
      </c>
      <c r="AZ61" s="59">
        <f t="shared" si="10"/>
        <v>55.339705599999952</v>
      </c>
    </row>
    <row r="62" spans="1:52" x14ac:dyDescent="0.25">
      <c r="A62" s="18">
        <f t="shared" si="16"/>
        <v>38.399999999999885</v>
      </c>
      <c r="B62" s="59">
        <f t="shared" si="17"/>
        <v>76.790662399999988</v>
      </c>
      <c r="C62" s="59">
        <f t="shared" si="17"/>
        <v>78.208390399999971</v>
      </c>
      <c r="D62" s="59">
        <f t="shared" si="17"/>
        <v>79.550598400000013</v>
      </c>
      <c r="E62" s="59">
        <f t="shared" si="17"/>
        <v>80.817286400000015</v>
      </c>
      <c r="F62" s="59">
        <f t="shared" si="17"/>
        <v>82.008454400000005</v>
      </c>
      <c r="G62" s="59">
        <f t="shared" si="17"/>
        <v>83.124102399999984</v>
      </c>
      <c r="H62" s="59">
        <f t="shared" si="17"/>
        <v>84.16423039999998</v>
      </c>
      <c r="I62" s="59">
        <f t="shared" si="17"/>
        <v>85.128838400000021</v>
      </c>
      <c r="J62" s="59">
        <f t="shared" si="17"/>
        <v>86.017926400000007</v>
      </c>
      <c r="K62" s="59">
        <f t="shared" si="17"/>
        <v>86.831494399999983</v>
      </c>
      <c r="L62" s="59">
        <f t="shared" si="17"/>
        <v>87.569542399999989</v>
      </c>
      <c r="M62" s="59">
        <f t="shared" si="17"/>
        <v>88.232070399999969</v>
      </c>
      <c r="N62" s="59">
        <f t="shared" si="17"/>
        <v>88.819078400000024</v>
      </c>
      <c r="O62" s="59">
        <f t="shared" si="17"/>
        <v>89.330566400000009</v>
      </c>
      <c r="P62" s="59">
        <f t="shared" si="17"/>
        <v>89.766534399999998</v>
      </c>
      <c r="Q62" s="59">
        <f t="shared" si="15"/>
        <v>90.126982399999989</v>
      </c>
      <c r="R62" s="59">
        <f t="shared" si="13"/>
        <v>90.411910399999968</v>
      </c>
      <c r="S62" s="59">
        <f t="shared" si="13"/>
        <v>90.621318400000035</v>
      </c>
      <c r="T62" s="59">
        <f t="shared" si="13"/>
        <v>90.75520640000002</v>
      </c>
      <c r="U62" s="59">
        <f t="shared" si="13"/>
        <v>90.81357440000005</v>
      </c>
      <c r="V62" s="59">
        <f t="shared" si="13"/>
        <v>90.796422399999983</v>
      </c>
      <c r="W62" s="59">
        <f t="shared" si="13"/>
        <v>90.703750400000033</v>
      </c>
      <c r="X62" s="59">
        <f t="shared" si="13"/>
        <v>90.535558400000085</v>
      </c>
      <c r="Y62" s="59">
        <f t="shared" si="13"/>
        <v>90.291846400000011</v>
      </c>
      <c r="Z62" s="59">
        <f t="shared" si="13"/>
        <v>89.972614400000055</v>
      </c>
      <c r="AA62" s="59">
        <f t="shared" si="13"/>
        <v>89.577862399999987</v>
      </c>
      <c r="AB62" s="59">
        <f t="shared" si="13"/>
        <v>89.107590400000021</v>
      </c>
      <c r="AC62" s="59">
        <f t="shared" si="13"/>
        <v>88.561798400000072</v>
      </c>
      <c r="AD62" s="59">
        <f t="shared" si="13"/>
        <v>87.940486400000012</v>
      </c>
      <c r="AE62" s="59">
        <f t="shared" si="13"/>
        <v>87.24365440000004</v>
      </c>
      <c r="AF62" s="59">
        <f t="shared" si="13"/>
        <v>86.471302399999971</v>
      </c>
      <c r="AG62" s="59">
        <f t="shared" si="13"/>
        <v>85.623430400000004</v>
      </c>
      <c r="AH62" s="59">
        <f t="shared" si="14"/>
        <v>84.700038400000068</v>
      </c>
      <c r="AI62" s="59">
        <f t="shared" si="14"/>
        <v>83.701126399999993</v>
      </c>
      <c r="AJ62" s="59">
        <f t="shared" si="14"/>
        <v>82.626694400000019</v>
      </c>
      <c r="AK62" s="59">
        <f t="shared" si="14"/>
        <v>81.476742399999964</v>
      </c>
      <c r="AL62" s="59">
        <f t="shared" si="14"/>
        <v>80.251270400000024</v>
      </c>
      <c r="AM62" s="59">
        <f t="shared" si="14"/>
        <v>78.950278400000045</v>
      </c>
      <c r="AN62" s="59">
        <f t="shared" si="14"/>
        <v>77.573766399999968</v>
      </c>
      <c r="AO62" s="59">
        <f t="shared" si="14"/>
        <v>76.121734400000037</v>
      </c>
      <c r="AP62" s="59">
        <f t="shared" si="14"/>
        <v>74.594182399999994</v>
      </c>
      <c r="AQ62" s="59">
        <f t="shared" si="14"/>
        <v>72.991110400000025</v>
      </c>
      <c r="AR62" s="59">
        <f t="shared" si="14"/>
        <v>71.312518400000087</v>
      </c>
      <c r="AS62" s="59">
        <f t="shared" si="14"/>
        <v>69.558406399999981</v>
      </c>
      <c r="AT62" s="59">
        <f t="shared" si="14"/>
        <v>67.728774400000063</v>
      </c>
      <c r="AU62" s="59">
        <f t="shared" si="14"/>
        <v>65.823622399999991</v>
      </c>
      <c r="AV62" s="59">
        <f t="shared" si="14"/>
        <v>63.842950400000014</v>
      </c>
      <c r="AW62" s="59">
        <f t="shared" si="14"/>
        <v>61.786758400000089</v>
      </c>
      <c r="AX62" s="59">
        <f t="shared" si="10"/>
        <v>59.65504640000001</v>
      </c>
      <c r="AY62" s="59">
        <f t="shared" si="10"/>
        <v>57.44781440000007</v>
      </c>
      <c r="AZ62" s="59">
        <f t="shared" si="10"/>
        <v>55.165062399999975</v>
      </c>
    </row>
    <row r="63" spans="1:52" x14ac:dyDescent="0.25">
      <c r="A63" s="18">
        <f t="shared" si="16"/>
        <v>35.999999999999886</v>
      </c>
      <c r="B63" s="59">
        <f t="shared" si="17"/>
        <v>76.691839999999985</v>
      </c>
      <c r="C63" s="59">
        <f t="shared" si="17"/>
        <v>78.107599999999962</v>
      </c>
      <c r="D63" s="59">
        <f t="shared" si="17"/>
        <v>79.447840000000014</v>
      </c>
      <c r="E63" s="59">
        <f t="shared" si="17"/>
        <v>80.712560000000011</v>
      </c>
      <c r="F63" s="59">
        <f t="shared" si="17"/>
        <v>81.901759999999996</v>
      </c>
      <c r="G63" s="59">
        <f t="shared" si="17"/>
        <v>83.015439999999984</v>
      </c>
      <c r="H63" s="59">
        <f t="shared" si="17"/>
        <v>84.053599999999975</v>
      </c>
      <c r="I63" s="59">
        <f t="shared" si="17"/>
        <v>85.01624000000001</v>
      </c>
      <c r="J63" s="59">
        <f t="shared" si="17"/>
        <v>85.903360000000006</v>
      </c>
      <c r="K63" s="59">
        <f t="shared" si="17"/>
        <v>86.714959999999977</v>
      </c>
      <c r="L63" s="59">
        <f t="shared" si="17"/>
        <v>87.451039999999978</v>
      </c>
      <c r="M63" s="59">
        <f t="shared" si="17"/>
        <v>88.111599999999967</v>
      </c>
      <c r="N63" s="59">
        <f t="shared" si="17"/>
        <v>88.696640000000016</v>
      </c>
      <c r="O63" s="59">
        <f t="shared" si="17"/>
        <v>89.206160000000011</v>
      </c>
      <c r="P63" s="59">
        <f t="shared" si="17"/>
        <v>89.640159999999995</v>
      </c>
      <c r="Q63" s="59">
        <f t="shared" si="15"/>
        <v>89.99863999999998</v>
      </c>
      <c r="R63" s="59">
        <f t="shared" si="13"/>
        <v>90.281599999999969</v>
      </c>
      <c r="S63" s="59">
        <f t="shared" si="13"/>
        <v>90.48904000000006</v>
      </c>
      <c r="T63" s="59">
        <f t="shared" si="13"/>
        <v>90.620959999999982</v>
      </c>
      <c r="U63" s="59">
        <f t="shared" si="13"/>
        <v>90.677360000000022</v>
      </c>
      <c r="V63" s="59">
        <f t="shared" si="13"/>
        <v>90.65823999999995</v>
      </c>
      <c r="W63" s="59">
        <f t="shared" si="13"/>
        <v>90.563599999999994</v>
      </c>
      <c r="X63" s="59">
        <f t="shared" si="13"/>
        <v>90.393440000000055</v>
      </c>
      <c r="Y63" s="59">
        <f t="shared" si="13"/>
        <v>90.147759999999977</v>
      </c>
      <c r="Z63" s="59">
        <f t="shared" si="13"/>
        <v>89.826560000000015</v>
      </c>
      <c r="AA63" s="59">
        <f t="shared" si="13"/>
        <v>89.429839999999956</v>
      </c>
      <c r="AB63" s="59">
        <f t="shared" si="13"/>
        <v>88.957599999999985</v>
      </c>
      <c r="AC63" s="59">
        <f t="shared" si="13"/>
        <v>88.409840000000045</v>
      </c>
      <c r="AD63" s="59">
        <f t="shared" si="13"/>
        <v>87.78655999999998</v>
      </c>
      <c r="AE63" s="59">
        <f t="shared" si="13"/>
        <v>87.087760000000003</v>
      </c>
      <c r="AF63" s="59">
        <f t="shared" si="13"/>
        <v>86.313439999999943</v>
      </c>
      <c r="AG63" s="59">
        <f t="shared" si="13"/>
        <v>85.463599999999971</v>
      </c>
      <c r="AH63" s="59">
        <f t="shared" si="14"/>
        <v>84.53824000000003</v>
      </c>
      <c r="AI63" s="59">
        <f t="shared" si="14"/>
        <v>83.537359999999964</v>
      </c>
      <c r="AJ63" s="59">
        <f t="shared" si="14"/>
        <v>82.460959999999986</v>
      </c>
      <c r="AK63" s="59">
        <f t="shared" si="14"/>
        <v>81.309039999999925</v>
      </c>
      <c r="AL63" s="59">
        <f t="shared" si="14"/>
        <v>80.081599999999995</v>
      </c>
      <c r="AM63" s="59">
        <f t="shared" si="14"/>
        <v>78.77864000000001</v>
      </c>
      <c r="AN63" s="59">
        <f t="shared" si="14"/>
        <v>77.400159999999943</v>
      </c>
      <c r="AO63" s="59">
        <f t="shared" si="14"/>
        <v>75.946159999999992</v>
      </c>
      <c r="AP63" s="59">
        <f t="shared" si="14"/>
        <v>74.416639999999958</v>
      </c>
      <c r="AQ63" s="59">
        <f t="shared" si="14"/>
        <v>72.811599999999999</v>
      </c>
      <c r="AR63" s="59">
        <f t="shared" si="14"/>
        <v>71.131040000000041</v>
      </c>
      <c r="AS63" s="59">
        <f t="shared" si="14"/>
        <v>69.374959999999945</v>
      </c>
      <c r="AT63" s="59">
        <f t="shared" si="14"/>
        <v>67.543360000000035</v>
      </c>
      <c r="AU63" s="59">
        <f t="shared" si="14"/>
        <v>65.636239999999958</v>
      </c>
      <c r="AV63" s="59">
        <f t="shared" si="14"/>
        <v>63.653599999999969</v>
      </c>
      <c r="AW63" s="59">
        <f t="shared" si="14"/>
        <v>61.595440000000053</v>
      </c>
      <c r="AX63" s="59">
        <f t="shared" ref="AX63:AZ78" si="18">-93.1+0.26*AX$27+0.146*$A63-0.0000944*AX$27^2+0.000041*AX$27*$A63-0.00196*$A63^2</f>
        <v>59.46175999999997</v>
      </c>
      <c r="AY63" s="59">
        <f t="shared" si="18"/>
        <v>57.252560000000031</v>
      </c>
      <c r="AZ63" s="59">
        <f t="shared" si="18"/>
        <v>54.967839999999931</v>
      </c>
    </row>
    <row r="64" spans="1:52" x14ac:dyDescent="0.25">
      <c r="A64" s="18">
        <f t="shared" si="16"/>
        <v>33.599999999999888</v>
      </c>
      <c r="B64" s="59">
        <f t="shared" si="17"/>
        <v>76.570438400000015</v>
      </c>
      <c r="C64" s="59">
        <f t="shared" si="17"/>
        <v>77.984230400000001</v>
      </c>
      <c r="D64" s="59">
        <f t="shared" si="17"/>
        <v>79.322502400000047</v>
      </c>
      <c r="E64" s="59">
        <f t="shared" si="17"/>
        <v>80.585254400000039</v>
      </c>
      <c r="F64" s="59">
        <f t="shared" si="17"/>
        <v>81.772486400000034</v>
      </c>
      <c r="G64" s="59">
        <f t="shared" si="17"/>
        <v>82.884198400000017</v>
      </c>
      <c r="H64" s="59">
        <f t="shared" si="17"/>
        <v>83.920390400000002</v>
      </c>
      <c r="I64" s="59">
        <f t="shared" si="17"/>
        <v>84.881062400000047</v>
      </c>
      <c r="J64" s="59">
        <f t="shared" si="17"/>
        <v>85.766214400000038</v>
      </c>
      <c r="K64" s="59">
        <f t="shared" si="17"/>
        <v>86.575846400000017</v>
      </c>
      <c r="L64" s="59">
        <f t="shared" si="17"/>
        <v>87.309958400000014</v>
      </c>
      <c r="M64" s="59">
        <f t="shared" si="17"/>
        <v>87.968550399999998</v>
      </c>
      <c r="N64" s="59">
        <f t="shared" si="17"/>
        <v>88.551622400000056</v>
      </c>
      <c r="O64" s="59">
        <f t="shared" si="17"/>
        <v>89.059174400000032</v>
      </c>
      <c r="P64" s="59">
        <f t="shared" si="17"/>
        <v>89.49120640000001</v>
      </c>
      <c r="Q64" s="59">
        <f t="shared" si="15"/>
        <v>89.847718400000005</v>
      </c>
      <c r="R64" s="59">
        <f t="shared" si="13"/>
        <v>90.128710399999989</v>
      </c>
      <c r="S64" s="59">
        <f t="shared" si="13"/>
        <v>90.334182400000017</v>
      </c>
      <c r="T64" s="59">
        <f t="shared" si="13"/>
        <v>90.464134400000006</v>
      </c>
      <c r="U64" s="59">
        <f t="shared" si="13"/>
        <v>90.51856640000004</v>
      </c>
      <c r="V64" s="59">
        <f t="shared" si="13"/>
        <v>90.497478399999977</v>
      </c>
      <c r="W64" s="59">
        <f t="shared" si="13"/>
        <v>90.400870400000017</v>
      </c>
      <c r="X64" s="59">
        <f t="shared" si="13"/>
        <v>90.228742400000073</v>
      </c>
      <c r="Y64" s="59">
        <f t="shared" si="13"/>
        <v>89.981094400000003</v>
      </c>
      <c r="Z64" s="59">
        <f t="shared" si="13"/>
        <v>89.657926400000036</v>
      </c>
      <c r="AA64" s="59">
        <f t="shared" si="13"/>
        <v>89.259238399999973</v>
      </c>
      <c r="AB64" s="59">
        <f t="shared" si="13"/>
        <v>88.785030400000011</v>
      </c>
      <c r="AC64" s="59">
        <f t="shared" si="13"/>
        <v>88.235302400000066</v>
      </c>
      <c r="AD64" s="59">
        <f t="shared" si="13"/>
        <v>87.610054399999996</v>
      </c>
      <c r="AE64" s="59">
        <f t="shared" si="13"/>
        <v>86.909286400000028</v>
      </c>
      <c r="AF64" s="59">
        <f t="shared" si="13"/>
        <v>86.132998399999963</v>
      </c>
      <c r="AG64" s="59">
        <f t="shared" si="13"/>
        <v>85.2811904</v>
      </c>
      <c r="AH64" s="59">
        <f t="shared" si="14"/>
        <v>84.353862400000054</v>
      </c>
      <c r="AI64" s="59">
        <f t="shared" si="14"/>
        <v>83.351014399999983</v>
      </c>
      <c r="AJ64" s="59">
        <f t="shared" si="14"/>
        <v>82.272646400000014</v>
      </c>
      <c r="AK64" s="59">
        <f t="shared" si="14"/>
        <v>81.118758399999948</v>
      </c>
      <c r="AL64" s="59">
        <f t="shared" si="14"/>
        <v>79.889350400000012</v>
      </c>
      <c r="AM64" s="59">
        <f t="shared" si="14"/>
        <v>78.584422400000037</v>
      </c>
      <c r="AN64" s="59">
        <f t="shared" si="14"/>
        <v>77.203974399999964</v>
      </c>
      <c r="AO64" s="59">
        <f t="shared" si="14"/>
        <v>75.748006400000023</v>
      </c>
      <c r="AP64" s="59">
        <f t="shared" si="14"/>
        <v>74.216518399999984</v>
      </c>
      <c r="AQ64" s="59">
        <f t="shared" si="14"/>
        <v>72.609510400000019</v>
      </c>
      <c r="AR64" s="59">
        <f t="shared" si="14"/>
        <v>70.926982400000071</v>
      </c>
      <c r="AS64" s="59">
        <f t="shared" si="14"/>
        <v>69.168934399999969</v>
      </c>
      <c r="AT64" s="59">
        <f t="shared" si="14"/>
        <v>67.335366400000055</v>
      </c>
      <c r="AU64" s="59">
        <f t="shared" si="14"/>
        <v>65.426278399999987</v>
      </c>
      <c r="AV64" s="59">
        <f t="shared" si="14"/>
        <v>63.441670399999985</v>
      </c>
      <c r="AW64" s="59">
        <f t="shared" si="14"/>
        <v>61.381542400000065</v>
      </c>
      <c r="AX64" s="59">
        <f t="shared" si="18"/>
        <v>59.24589439999999</v>
      </c>
      <c r="AY64" s="59">
        <f t="shared" si="18"/>
        <v>57.034726400000046</v>
      </c>
      <c r="AZ64" s="59">
        <f t="shared" si="18"/>
        <v>54.748038399999949</v>
      </c>
    </row>
    <row r="65" spans="1:52" x14ac:dyDescent="0.25">
      <c r="A65" s="18">
        <f t="shared" si="16"/>
        <v>31.199999999999889</v>
      </c>
      <c r="B65" s="59">
        <f t="shared" si="17"/>
        <v>76.426457599999992</v>
      </c>
      <c r="C65" s="59">
        <f t="shared" si="17"/>
        <v>77.838281599999988</v>
      </c>
      <c r="D65" s="59">
        <f t="shared" si="17"/>
        <v>79.174585600000029</v>
      </c>
      <c r="E65" s="59">
        <f t="shared" si="17"/>
        <v>80.43536960000003</v>
      </c>
      <c r="F65" s="59">
        <f t="shared" si="17"/>
        <v>81.620633600000019</v>
      </c>
      <c r="G65" s="59">
        <f t="shared" si="17"/>
        <v>82.730377599999997</v>
      </c>
      <c r="H65" s="59">
        <f t="shared" si="17"/>
        <v>83.764601599999992</v>
      </c>
      <c r="I65" s="59">
        <f t="shared" si="17"/>
        <v>84.723305600000032</v>
      </c>
      <c r="J65" s="59">
        <f t="shared" si="17"/>
        <v>85.606489600000018</v>
      </c>
      <c r="K65" s="59">
        <f t="shared" si="17"/>
        <v>86.414153600000006</v>
      </c>
      <c r="L65" s="59">
        <f t="shared" si="17"/>
        <v>87.146297599999997</v>
      </c>
      <c r="M65" s="59">
        <f t="shared" si="17"/>
        <v>87.802921599999976</v>
      </c>
      <c r="N65" s="59">
        <f t="shared" si="17"/>
        <v>88.384025600000044</v>
      </c>
      <c r="O65" s="59">
        <f t="shared" si="17"/>
        <v>88.889609600000028</v>
      </c>
      <c r="P65" s="59">
        <f t="shared" si="17"/>
        <v>89.319673600000002</v>
      </c>
      <c r="Q65" s="59">
        <f t="shared" si="15"/>
        <v>89.674217600000006</v>
      </c>
      <c r="R65" s="59">
        <f t="shared" si="13"/>
        <v>89.953241599999984</v>
      </c>
      <c r="S65" s="59">
        <f t="shared" si="13"/>
        <v>90.156745600000036</v>
      </c>
      <c r="T65" s="59">
        <f t="shared" si="13"/>
        <v>90.284729599999977</v>
      </c>
      <c r="U65" s="59">
        <f t="shared" si="13"/>
        <v>90.337193600000006</v>
      </c>
      <c r="V65" s="59">
        <f t="shared" si="13"/>
        <v>90.314137599999938</v>
      </c>
      <c r="W65" s="59">
        <f t="shared" si="13"/>
        <v>90.215561599999987</v>
      </c>
      <c r="X65" s="59">
        <f t="shared" si="13"/>
        <v>90.041465600000038</v>
      </c>
      <c r="Y65" s="59">
        <f t="shared" si="13"/>
        <v>89.791849599999978</v>
      </c>
      <c r="Z65" s="59">
        <f t="shared" si="13"/>
        <v>89.466713600000006</v>
      </c>
      <c r="AA65" s="59">
        <f t="shared" si="13"/>
        <v>89.066057599999937</v>
      </c>
      <c r="AB65" s="59">
        <f t="shared" si="13"/>
        <v>88.589881599999984</v>
      </c>
      <c r="AC65" s="59">
        <f t="shared" si="13"/>
        <v>88.038185600000034</v>
      </c>
      <c r="AD65" s="59">
        <f t="shared" si="13"/>
        <v>87.410969599999959</v>
      </c>
      <c r="AE65" s="59">
        <f t="shared" si="13"/>
        <v>86.7082336</v>
      </c>
      <c r="AF65" s="59">
        <f t="shared" si="13"/>
        <v>85.92997759999993</v>
      </c>
      <c r="AG65" s="59">
        <f t="shared" si="13"/>
        <v>85.076201599999962</v>
      </c>
      <c r="AH65" s="59">
        <f t="shared" si="14"/>
        <v>84.146905600000025</v>
      </c>
      <c r="AI65" s="59">
        <f t="shared" si="14"/>
        <v>83.142089599999949</v>
      </c>
      <c r="AJ65" s="59">
        <f t="shared" si="14"/>
        <v>82.061753599999975</v>
      </c>
      <c r="AK65" s="59">
        <f t="shared" si="14"/>
        <v>80.905897599999918</v>
      </c>
      <c r="AL65" s="59">
        <f t="shared" si="14"/>
        <v>79.674521599999977</v>
      </c>
      <c r="AM65" s="59">
        <f t="shared" si="14"/>
        <v>78.367625599999997</v>
      </c>
      <c r="AN65" s="59">
        <f t="shared" si="14"/>
        <v>76.985209599999934</v>
      </c>
      <c r="AO65" s="59">
        <f t="shared" si="14"/>
        <v>75.527273599999987</v>
      </c>
      <c r="AP65" s="59">
        <f t="shared" si="14"/>
        <v>73.993817599999943</v>
      </c>
      <c r="AQ65" s="59">
        <f t="shared" si="14"/>
        <v>72.384841599999987</v>
      </c>
      <c r="AR65" s="59">
        <f t="shared" si="14"/>
        <v>70.700345600000034</v>
      </c>
      <c r="AS65" s="59">
        <f t="shared" si="14"/>
        <v>68.940329599999927</v>
      </c>
      <c r="AT65" s="59">
        <f t="shared" si="14"/>
        <v>67.104793600000022</v>
      </c>
      <c r="AU65" s="59">
        <f t="shared" si="14"/>
        <v>65.193737599999949</v>
      </c>
      <c r="AV65" s="59">
        <f t="shared" si="14"/>
        <v>63.207161599999957</v>
      </c>
      <c r="AW65" s="59">
        <f t="shared" si="14"/>
        <v>61.145065600000031</v>
      </c>
      <c r="AX65" s="59">
        <f t="shared" si="18"/>
        <v>59.007449599999951</v>
      </c>
      <c r="AY65" s="59">
        <f t="shared" si="18"/>
        <v>56.79431360000001</v>
      </c>
      <c r="AZ65" s="59">
        <f t="shared" si="18"/>
        <v>54.505657599999914</v>
      </c>
    </row>
    <row r="66" spans="1:52" x14ac:dyDescent="0.25">
      <c r="A66" s="18">
        <f t="shared" si="16"/>
        <v>28.799999999999891</v>
      </c>
      <c r="B66" s="59">
        <f t="shared" si="17"/>
        <v>76.259897599999974</v>
      </c>
      <c r="C66" s="59">
        <f t="shared" si="17"/>
        <v>77.669753599999964</v>
      </c>
      <c r="D66" s="59">
        <f t="shared" si="17"/>
        <v>79.004089600000015</v>
      </c>
      <c r="E66" s="59">
        <f t="shared" si="17"/>
        <v>80.262905599999996</v>
      </c>
      <c r="F66" s="59">
        <f t="shared" si="17"/>
        <v>81.446201599999995</v>
      </c>
      <c r="G66" s="59">
        <f t="shared" si="17"/>
        <v>82.553977599999982</v>
      </c>
      <c r="H66" s="59">
        <f t="shared" si="17"/>
        <v>83.586233599999971</v>
      </c>
      <c r="I66" s="59">
        <f t="shared" si="17"/>
        <v>84.542969600000006</v>
      </c>
      <c r="J66" s="59">
        <f t="shared" si="17"/>
        <v>85.424185600000001</v>
      </c>
      <c r="K66" s="59">
        <f t="shared" si="17"/>
        <v>86.229881599999985</v>
      </c>
      <c r="L66" s="59">
        <f t="shared" si="17"/>
        <v>86.960057599999971</v>
      </c>
      <c r="M66" s="59">
        <f t="shared" si="17"/>
        <v>87.614713599999959</v>
      </c>
      <c r="N66" s="59">
        <f t="shared" si="17"/>
        <v>88.193849600000021</v>
      </c>
      <c r="O66" s="59">
        <f t="shared" si="17"/>
        <v>88.697465600000015</v>
      </c>
      <c r="P66" s="59">
        <f t="shared" si="17"/>
        <v>89.125561599999983</v>
      </c>
      <c r="Q66" s="59">
        <f t="shared" si="15"/>
        <v>89.478137599999982</v>
      </c>
      <c r="R66" s="59">
        <f t="shared" si="13"/>
        <v>89.75519359999997</v>
      </c>
      <c r="S66" s="59">
        <f t="shared" si="13"/>
        <v>89.956729600000045</v>
      </c>
      <c r="T66" s="59">
        <f t="shared" si="13"/>
        <v>90.082745599999981</v>
      </c>
      <c r="U66" s="59">
        <f t="shared" si="13"/>
        <v>90.133241600000019</v>
      </c>
      <c r="V66" s="59">
        <f t="shared" si="13"/>
        <v>90.108217599999946</v>
      </c>
      <c r="W66" s="59">
        <f t="shared" si="13"/>
        <v>90.00767359999999</v>
      </c>
      <c r="X66" s="59">
        <f t="shared" si="13"/>
        <v>89.83160960000005</v>
      </c>
      <c r="Y66" s="59">
        <f t="shared" si="13"/>
        <v>89.580025599999985</v>
      </c>
      <c r="Z66" s="59">
        <f t="shared" si="13"/>
        <v>89.252921600000008</v>
      </c>
      <c r="AA66" s="59">
        <f t="shared" si="13"/>
        <v>88.850297599999948</v>
      </c>
      <c r="AB66" s="59">
        <f t="shared" si="13"/>
        <v>88.37215359999999</v>
      </c>
      <c r="AC66" s="59">
        <f t="shared" si="13"/>
        <v>87.818489600000035</v>
      </c>
      <c r="AD66" s="59">
        <f t="shared" si="13"/>
        <v>87.189305599999969</v>
      </c>
      <c r="AE66" s="59">
        <f t="shared" si="13"/>
        <v>86.484601600000005</v>
      </c>
      <c r="AF66" s="59">
        <f t="shared" si="13"/>
        <v>85.704377599999944</v>
      </c>
      <c r="AG66" s="59">
        <f t="shared" si="13"/>
        <v>84.848633599999971</v>
      </c>
      <c r="AH66" s="59">
        <f t="shared" si="14"/>
        <v>83.917369600000029</v>
      </c>
      <c r="AI66" s="59">
        <f t="shared" si="14"/>
        <v>82.910585599999962</v>
      </c>
      <c r="AJ66" s="59">
        <f t="shared" si="14"/>
        <v>81.828281599999983</v>
      </c>
      <c r="AK66" s="59">
        <f t="shared" si="14"/>
        <v>80.670457599999921</v>
      </c>
      <c r="AL66" s="59">
        <f t="shared" si="14"/>
        <v>79.437113599999989</v>
      </c>
      <c r="AM66" s="59">
        <f t="shared" si="14"/>
        <v>78.128249600000004</v>
      </c>
      <c r="AN66" s="59">
        <f t="shared" si="14"/>
        <v>76.743865599999936</v>
      </c>
      <c r="AO66" s="59">
        <f t="shared" si="14"/>
        <v>75.283961599999998</v>
      </c>
      <c r="AP66" s="59">
        <f t="shared" si="14"/>
        <v>73.748537599999963</v>
      </c>
      <c r="AQ66" s="59">
        <f t="shared" si="14"/>
        <v>72.137593599999988</v>
      </c>
      <c r="AR66" s="59">
        <f t="shared" si="14"/>
        <v>70.451129600000044</v>
      </c>
      <c r="AS66" s="59">
        <f t="shared" si="14"/>
        <v>68.689145599999947</v>
      </c>
      <c r="AT66" s="59">
        <f t="shared" si="14"/>
        <v>66.851641600000022</v>
      </c>
      <c r="AU66" s="59">
        <f t="shared" si="14"/>
        <v>64.938617599999958</v>
      </c>
      <c r="AV66" s="59">
        <f t="shared" si="14"/>
        <v>62.950073599999975</v>
      </c>
      <c r="AW66" s="59">
        <f t="shared" si="14"/>
        <v>60.886009600000051</v>
      </c>
      <c r="AX66" s="59">
        <f t="shared" si="18"/>
        <v>58.746425599999974</v>
      </c>
      <c r="AY66" s="59">
        <f t="shared" si="18"/>
        <v>56.531321600000034</v>
      </c>
      <c r="AZ66" s="59">
        <f t="shared" si="18"/>
        <v>54.240697599999933</v>
      </c>
    </row>
    <row r="67" spans="1:52" x14ac:dyDescent="0.25">
      <c r="A67" s="18">
        <f t="shared" si="16"/>
        <v>26.399999999999892</v>
      </c>
      <c r="B67" s="59">
        <f t="shared" si="17"/>
        <v>76.070758399999974</v>
      </c>
      <c r="C67" s="59">
        <f t="shared" si="17"/>
        <v>77.47864639999996</v>
      </c>
      <c r="D67" s="59">
        <f t="shared" si="17"/>
        <v>78.811014400000005</v>
      </c>
      <c r="E67" s="59">
        <f t="shared" si="17"/>
        <v>80.067862399999996</v>
      </c>
      <c r="F67" s="59">
        <f t="shared" si="17"/>
        <v>81.249190399999989</v>
      </c>
      <c r="G67" s="59">
        <f t="shared" si="17"/>
        <v>82.354998399999985</v>
      </c>
      <c r="H67" s="59">
        <f t="shared" si="17"/>
        <v>83.38528639999997</v>
      </c>
      <c r="I67" s="59">
        <f t="shared" si="17"/>
        <v>84.340054400000014</v>
      </c>
      <c r="J67" s="59">
        <f t="shared" si="17"/>
        <v>85.219302400000004</v>
      </c>
      <c r="K67" s="59">
        <f t="shared" si="17"/>
        <v>86.023030399999982</v>
      </c>
      <c r="L67" s="59">
        <f t="shared" si="17"/>
        <v>86.751238399999977</v>
      </c>
      <c r="M67" s="59">
        <f t="shared" si="17"/>
        <v>87.40392639999996</v>
      </c>
      <c r="N67" s="59">
        <f t="shared" si="17"/>
        <v>87.981094400000018</v>
      </c>
      <c r="O67" s="59">
        <f t="shared" si="17"/>
        <v>88.482742400000006</v>
      </c>
      <c r="P67" s="59">
        <f t="shared" si="17"/>
        <v>88.908870399999984</v>
      </c>
      <c r="Q67" s="59">
        <f t="shared" si="15"/>
        <v>89.259478399999978</v>
      </c>
      <c r="R67" s="59">
        <f t="shared" si="13"/>
        <v>89.53456639999996</v>
      </c>
      <c r="S67" s="59">
        <f t="shared" si="13"/>
        <v>89.734134400000016</v>
      </c>
      <c r="T67" s="59">
        <f t="shared" si="13"/>
        <v>89.858182400000004</v>
      </c>
      <c r="U67" s="59">
        <f t="shared" si="13"/>
        <v>89.906710400000037</v>
      </c>
      <c r="V67" s="59">
        <f t="shared" si="13"/>
        <v>89.879718399999973</v>
      </c>
      <c r="W67" s="59">
        <f t="shared" si="13"/>
        <v>89.777206400000026</v>
      </c>
      <c r="X67" s="59">
        <f t="shared" si="13"/>
        <v>89.599174400000081</v>
      </c>
      <c r="Y67" s="59">
        <f t="shared" si="13"/>
        <v>89.345622400000011</v>
      </c>
      <c r="Z67" s="59">
        <f t="shared" si="13"/>
        <v>89.016550400000042</v>
      </c>
      <c r="AA67" s="59">
        <f t="shared" si="13"/>
        <v>88.611958399999978</v>
      </c>
      <c r="AB67" s="59">
        <f t="shared" si="13"/>
        <v>88.131846400000015</v>
      </c>
      <c r="AC67" s="59">
        <f t="shared" si="13"/>
        <v>87.576214400000069</v>
      </c>
      <c r="AD67" s="59">
        <f t="shared" si="13"/>
        <v>86.945062399999998</v>
      </c>
      <c r="AE67" s="59">
        <f t="shared" si="13"/>
        <v>86.238390400000029</v>
      </c>
      <c r="AF67" s="59">
        <f t="shared" si="13"/>
        <v>85.456198399999963</v>
      </c>
      <c r="AG67" s="59">
        <f t="shared" si="13"/>
        <v>84.598486399999999</v>
      </c>
      <c r="AH67" s="59">
        <f t="shared" si="14"/>
        <v>83.665254400000052</v>
      </c>
      <c r="AI67" s="59">
        <f t="shared" si="14"/>
        <v>82.65650239999998</v>
      </c>
      <c r="AJ67" s="59">
        <f t="shared" si="14"/>
        <v>81.572230400000009</v>
      </c>
      <c r="AK67" s="59">
        <f t="shared" si="14"/>
        <v>80.412438399999942</v>
      </c>
      <c r="AL67" s="59">
        <f t="shared" si="14"/>
        <v>79.17712640000002</v>
      </c>
      <c r="AM67" s="59">
        <f t="shared" si="14"/>
        <v>77.866294400000044</v>
      </c>
      <c r="AN67" s="59">
        <f t="shared" si="14"/>
        <v>76.47994239999997</v>
      </c>
      <c r="AO67" s="59">
        <f t="shared" si="14"/>
        <v>75.018070400000028</v>
      </c>
      <c r="AP67" s="59">
        <f t="shared" si="14"/>
        <v>73.480678399999988</v>
      </c>
      <c r="AQ67" s="59">
        <f t="shared" si="14"/>
        <v>71.867766400000022</v>
      </c>
      <c r="AR67" s="59">
        <f t="shared" si="14"/>
        <v>70.179334400000073</v>
      </c>
      <c r="AS67" s="59">
        <f t="shared" si="14"/>
        <v>68.41538239999997</v>
      </c>
      <c r="AT67" s="59">
        <f t="shared" si="14"/>
        <v>66.575910400000055</v>
      </c>
      <c r="AU67" s="59">
        <f t="shared" si="14"/>
        <v>64.660918399999986</v>
      </c>
      <c r="AV67" s="59">
        <f t="shared" si="14"/>
        <v>62.67040639999999</v>
      </c>
      <c r="AW67" s="59">
        <f t="shared" si="14"/>
        <v>60.604374400000069</v>
      </c>
      <c r="AX67" s="59">
        <f t="shared" si="18"/>
        <v>58.4628224</v>
      </c>
      <c r="AY67" s="59">
        <f t="shared" si="18"/>
        <v>56.245750400000055</v>
      </c>
      <c r="AZ67" s="59">
        <f t="shared" si="18"/>
        <v>53.953158399999957</v>
      </c>
    </row>
    <row r="68" spans="1:52" x14ac:dyDescent="0.25">
      <c r="A68" s="18">
        <f t="shared" si="16"/>
        <v>23.999999999999893</v>
      </c>
      <c r="B68" s="59">
        <f t="shared" si="17"/>
        <v>75.859039999999993</v>
      </c>
      <c r="C68" s="59">
        <f t="shared" si="17"/>
        <v>77.264959999999988</v>
      </c>
      <c r="D68" s="59">
        <f t="shared" si="17"/>
        <v>78.595360000000028</v>
      </c>
      <c r="E68" s="59">
        <f t="shared" si="17"/>
        <v>79.850240000000014</v>
      </c>
      <c r="F68" s="59">
        <f t="shared" si="17"/>
        <v>81.029600000000016</v>
      </c>
      <c r="G68" s="59">
        <f t="shared" si="17"/>
        <v>82.133439999999993</v>
      </c>
      <c r="H68" s="59">
        <f t="shared" si="17"/>
        <v>83.161759999999987</v>
      </c>
      <c r="I68" s="59">
        <f t="shared" si="17"/>
        <v>84.114560000000026</v>
      </c>
      <c r="J68" s="59">
        <f t="shared" si="17"/>
        <v>84.99184000000001</v>
      </c>
      <c r="K68" s="59">
        <f t="shared" si="17"/>
        <v>85.793599999999998</v>
      </c>
      <c r="L68" s="59">
        <f t="shared" si="17"/>
        <v>86.519839999999988</v>
      </c>
      <c r="M68" s="59">
        <f t="shared" si="17"/>
        <v>87.170559999999981</v>
      </c>
      <c r="N68" s="59">
        <f t="shared" si="17"/>
        <v>87.745760000000033</v>
      </c>
      <c r="O68" s="59">
        <f t="shared" si="17"/>
        <v>88.245440000000031</v>
      </c>
      <c r="P68" s="59">
        <f t="shared" si="17"/>
        <v>88.669600000000003</v>
      </c>
      <c r="Q68" s="59">
        <f t="shared" si="15"/>
        <v>89.018239999999992</v>
      </c>
      <c r="R68" s="59">
        <f t="shared" si="13"/>
        <v>89.291359999999983</v>
      </c>
      <c r="S68" s="59">
        <f t="shared" si="13"/>
        <v>89.488960000000034</v>
      </c>
      <c r="T68" s="59">
        <f t="shared" si="13"/>
        <v>89.611039999999974</v>
      </c>
      <c r="U68" s="59">
        <f t="shared" si="13"/>
        <v>89.657600000000002</v>
      </c>
      <c r="V68" s="59">
        <f t="shared" si="13"/>
        <v>89.628639999999947</v>
      </c>
      <c r="W68" s="59">
        <f t="shared" si="13"/>
        <v>89.524159999999981</v>
      </c>
      <c r="X68" s="59">
        <f t="shared" si="13"/>
        <v>89.344160000000031</v>
      </c>
      <c r="Y68" s="59">
        <f t="shared" si="13"/>
        <v>89.08863999999997</v>
      </c>
      <c r="Z68" s="59">
        <f t="shared" si="13"/>
        <v>88.757599999999996</v>
      </c>
      <c r="AA68" s="59">
        <f t="shared" si="13"/>
        <v>88.351039999999941</v>
      </c>
      <c r="AB68" s="59">
        <f t="shared" si="13"/>
        <v>87.868959999999973</v>
      </c>
      <c r="AC68" s="59">
        <f t="shared" si="13"/>
        <v>87.311360000000022</v>
      </c>
      <c r="AD68" s="59">
        <f t="shared" si="13"/>
        <v>86.67823999999996</v>
      </c>
      <c r="AE68" s="59">
        <f t="shared" si="13"/>
        <v>85.969599999999986</v>
      </c>
      <c r="AF68" s="59">
        <f t="shared" si="13"/>
        <v>85.185439999999929</v>
      </c>
      <c r="AG68" s="59">
        <f t="shared" si="13"/>
        <v>84.32575999999996</v>
      </c>
      <c r="AH68" s="59">
        <f t="shared" si="14"/>
        <v>83.390560000000022</v>
      </c>
      <c r="AI68" s="59">
        <f t="shared" si="14"/>
        <v>82.379839999999945</v>
      </c>
      <c r="AJ68" s="59">
        <f t="shared" si="14"/>
        <v>81.293599999999969</v>
      </c>
      <c r="AK68" s="59">
        <f t="shared" si="14"/>
        <v>80.131839999999912</v>
      </c>
      <c r="AL68" s="59">
        <f t="shared" si="14"/>
        <v>78.89455999999997</v>
      </c>
      <c r="AM68" s="59">
        <f t="shared" si="14"/>
        <v>77.581760000000003</v>
      </c>
      <c r="AN68" s="59">
        <f t="shared" si="14"/>
        <v>76.193439999999924</v>
      </c>
      <c r="AO68" s="59">
        <f t="shared" si="14"/>
        <v>74.729599999999991</v>
      </c>
      <c r="AP68" s="59">
        <f t="shared" si="14"/>
        <v>73.190239999999946</v>
      </c>
      <c r="AQ68" s="59">
        <f t="shared" si="14"/>
        <v>71.575359999999975</v>
      </c>
      <c r="AR68" s="59">
        <f t="shared" si="14"/>
        <v>69.884960000000035</v>
      </c>
      <c r="AS68" s="59">
        <f t="shared" si="14"/>
        <v>68.119039999999927</v>
      </c>
      <c r="AT68" s="59">
        <f t="shared" si="14"/>
        <v>66.277600000000021</v>
      </c>
      <c r="AU68" s="59">
        <f t="shared" si="14"/>
        <v>64.360639999999947</v>
      </c>
      <c r="AV68" s="59">
        <f t="shared" si="14"/>
        <v>62.368159999999953</v>
      </c>
      <c r="AW68" s="59">
        <f t="shared" si="14"/>
        <v>60.300160000000034</v>
      </c>
      <c r="AX68" s="59">
        <f t="shared" si="18"/>
        <v>58.15663999999996</v>
      </c>
      <c r="AY68" s="59">
        <f t="shared" si="18"/>
        <v>55.93760000000001</v>
      </c>
      <c r="AZ68" s="59">
        <f t="shared" si="18"/>
        <v>53.643039999999914</v>
      </c>
    </row>
    <row r="69" spans="1:52" x14ac:dyDescent="0.25">
      <c r="A69" s="18">
        <f t="shared" si="16"/>
        <v>21.599999999999895</v>
      </c>
      <c r="B69" s="59">
        <f t="shared" si="17"/>
        <v>75.624742399999988</v>
      </c>
      <c r="C69" s="59">
        <f t="shared" si="17"/>
        <v>77.028694399999978</v>
      </c>
      <c r="D69" s="59">
        <f t="shared" si="17"/>
        <v>78.357126400000013</v>
      </c>
      <c r="E69" s="59">
        <f t="shared" si="17"/>
        <v>79.610038400000008</v>
      </c>
      <c r="F69" s="59">
        <f t="shared" si="17"/>
        <v>80.787430400000005</v>
      </c>
      <c r="G69" s="59">
        <f t="shared" si="17"/>
        <v>81.889302399999991</v>
      </c>
      <c r="H69" s="59">
        <f t="shared" si="17"/>
        <v>82.91565439999998</v>
      </c>
      <c r="I69" s="59">
        <f t="shared" si="17"/>
        <v>83.866486400000014</v>
      </c>
      <c r="J69" s="59">
        <f t="shared" si="17"/>
        <v>84.741798400000008</v>
      </c>
      <c r="K69" s="59">
        <f t="shared" si="17"/>
        <v>85.54159039999999</v>
      </c>
      <c r="L69" s="59">
        <f t="shared" si="17"/>
        <v>86.265862399999989</v>
      </c>
      <c r="M69" s="59">
        <f t="shared" si="17"/>
        <v>86.914614399999977</v>
      </c>
      <c r="N69" s="59">
        <f t="shared" si="17"/>
        <v>87.487846400000024</v>
      </c>
      <c r="O69" s="59">
        <f t="shared" si="17"/>
        <v>87.985558400000016</v>
      </c>
      <c r="P69" s="59">
        <f t="shared" si="17"/>
        <v>88.407750399999998</v>
      </c>
      <c r="Q69" s="59">
        <f t="shared" si="15"/>
        <v>88.754422399999996</v>
      </c>
      <c r="R69" s="59">
        <f t="shared" si="13"/>
        <v>89.025574399999968</v>
      </c>
      <c r="S69" s="59">
        <f t="shared" si="13"/>
        <v>89.221206400000057</v>
      </c>
      <c r="T69" s="59">
        <f t="shared" si="13"/>
        <v>89.341318399999992</v>
      </c>
      <c r="U69" s="59">
        <f t="shared" si="13"/>
        <v>89.385910400000029</v>
      </c>
      <c r="V69" s="59">
        <f t="shared" si="13"/>
        <v>89.354982399999969</v>
      </c>
      <c r="W69" s="59">
        <f t="shared" si="13"/>
        <v>89.248534399999997</v>
      </c>
      <c r="X69" s="59">
        <f t="shared" si="13"/>
        <v>89.066566400000056</v>
      </c>
      <c r="Y69" s="59">
        <f t="shared" si="13"/>
        <v>88.80907839999999</v>
      </c>
      <c r="Z69" s="59">
        <f t="shared" si="13"/>
        <v>88.476070400000026</v>
      </c>
      <c r="AA69" s="59">
        <f t="shared" si="13"/>
        <v>88.067542399999951</v>
      </c>
      <c r="AB69" s="59">
        <f t="shared" si="13"/>
        <v>87.583494399999992</v>
      </c>
      <c r="AC69" s="59">
        <f t="shared" si="13"/>
        <v>87.02392640000005</v>
      </c>
      <c r="AD69" s="59">
        <f t="shared" si="13"/>
        <v>86.388838399999983</v>
      </c>
      <c r="AE69" s="59">
        <f t="shared" si="13"/>
        <v>85.678230400000018</v>
      </c>
      <c r="AF69" s="59">
        <f t="shared" si="13"/>
        <v>84.892102399999942</v>
      </c>
      <c r="AG69" s="59">
        <f t="shared" si="13"/>
        <v>84.030454399999982</v>
      </c>
      <c r="AH69" s="59">
        <f t="shared" si="14"/>
        <v>83.093286400000039</v>
      </c>
      <c r="AI69" s="59">
        <f t="shared" si="14"/>
        <v>82.080598399999971</v>
      </c>
      <c r="AJ69" s="59">
        <f t="shared" si="14"/>
        <v>80.992390399999991</v>
      </c>
      <c r="AK69" s="59">
        <f t="shared" si="14"/>
        <v>79.828662399999928</v>
      </c>
      <c r="AL69" s="59">
        <f t="shared" si="14"/>
        <v>78.589414399999995</v>
      </c>
      <c r="AM69" s="59">
        <f t="shared" si="14"/>
        <v>77.274646400000023</v>
      </c>
      <c r="AN69" s="59">
        <f t="shared" si="14"/>
        <v>75.884358399999954</v>
      </c>
      <c r="AO69" s="59">
        <f t="shared" si="14"/>
        <v>74.418550400000001</v>
      </c>
      <c r="AP69" s="59">
        <f t="shared" si="14"/>
        <v>72.877222399999965</v>
      </c>
      <c r="AQ69" s="59">
        <f t="shared" si="14"/>
        <v>71.260374400000003</v>
      </c>
      <c r="AR69" s="59">
        <f t="shared" si="14"/>
        <v>69.568006400000058</v>
      </c>
      <c r="AS69" s="59">
        <f t="shared" si="14"/>
        <v>67.800118399999945</v>
      </c>
      <c r="AT69" s="59">
        <f t="shared" si="14"/>
        <v>65.956710400000034</v>
      </c>
      <c r="AU69" s="59">
        <f t="shared" si="14"/>
        <v>64.037782399999969</v>
      </c>
      <c r="AV69" s="59">
        <f t="shared" si="14"/>
        <v>62.043334399999978</v>
      </c>
      <c r="AW69" s="59">
        <f t="shared" si="14"/>
        <v>59.973366400000053</v>
      </c>
      <c r="AX69" s="59">
        <f t="shared" si="18"/>
        <v>57.827878399999982</v>
      </c>
      <c r="AY69" s="59">
        <f t="shared" si="18"/>
        <v>55.606870400000034</v>
      </c>
      <c r="AZ69" s="59">
        <f t="shared" si="18"/>
        <v>53.310342399999939</v>
      </c>
    </row>
    <row r="70" spans="1:52" x14ac:dyDescent="0.25">
      <c r="A70" s="18">
        <f t="shared" si="16"/>
        <v>19.199999999999896</v>
      </c>
      <c r="B70" s="59">
        <f t="shared" si="17"/>
        <v>75.367865599999988</v>
      </c>
      <c r="C70" s="59">
        <f t="shared" si="17"/>
        <v>76.769849599999972</v>
      </c>
      <c r="D70" s="59">
        <f t="shared" si="17"/>
        <v>78.096313600000016</v>
      </c>
      <c r="E70" s="59">
        <f t="shared" si="17"/>
        <v>79.347257600000006</v>
      </c>
      <c r="F70" s="59">
        <f t="shared" si="17"/>
        <v>80.522681599999999</v>
      </c>
      <c r="G70" s="59">
        <f t="shared" si="17"/>
        <v>81.622585599999979</v>
      </c>
      <c r="H70" s="59">
        <f t="shared" si="17"/>
        <v>82.646969599999977</v>
      </c>
      <c r="I70" s="59">
        <f t="shared" si="17"/>
        <v>83.59583360000002</v>
      </c>
      <c r="J70" s="59">
        <f t="shared" si="17"/>
        <v>84.469177600000009</v>
      </c>
      <c r="K70" s="59">
        <f t="shared" si="17"/>
        <v>85.267001599999986</v>
      </c>
      <c r="L70" s="59">
        <f t="shared" si="17"/>
        <v>85.98930559999998</v>
      </c>
      <c r="M70" s="59">
        <f t="shared" si="17"/>
        <v>86.636089599999963</v>
      </c>
      <c r="N70" s="59">
        <f t="shared" si="17"/>
        <v>87.207353600000019</v>
      </c>
      <c r="O70" s="59">
        <f t="shared" si="17"/>
        <v>87.703097600000021</v>
      </c>
      <c r="P70" s="59">
        <f t="shared" si="17"/>
        <v>88.123321599999997</v>
      </c>
      <c r="Q70" s="59">
        <f t="shared" si="15"/>
        <v>88.46802559999999</v>
      </c>
      <c r="R70" s="59">
        <f t="shared" si="13"/>
        <v>88.737209599999971</v>
      </c>
      <c r="S70" s="59">
        <f t="shared" si="13"/>
        <v>88.930873600000027</v>
      </c>
      <c r="T70" s="59">
        <f t="shared" si="13"/>
        <v>89.049017600000013</v>
      </c>
      <c r="U70" s="59">
        <f t="shared" si="13"/>
        <v>89.091641600000045</v>
      </c>
      <c r="V70" s="59">
        <f t="shared" si="13"/>
        <v>89.058745599999995</v>
      </c>
      <c r="W70" s="59">
        <f t="shared" si="13"/>
        <v>88.950329600000032</v>
      </c>
      <c r="X70" s="59">
        <f t="shared" si="13"/>
        <v>88.766393600000086</v>
      </c>
      <c r="Y70" s="59">
        <f t="shared" si="13"/>
        <v>88.506937600000015</v>
      </c>
      <c r="Z70" s="59">
        <f t="shared" si="13"/>
        <v>88.171961600000046</v>
      </c>
      <c r="AA70" s="59">
        <f t="shared" si="13"/>
        <v>87.76146559999998</v>
      </c>
      <c r="AB70" s="59">
        <f t="shared" si="13"/>
        <v>87.275449600000016</v>
      </c>
      <c r="AC70" s="59">
        <f t="shared" si="13"/>
        <v>86.713913600000069</v>
      </c>
      <c r="AD70" s="59">
        <f t="shared" si="13"/>
        <v>86.076857600000011</v>
      </c>
      <c r="AE70" s="59">
        <f t="shared" si="13"/>
        <v>85.364281600000041</v>
      </c>
      <c r="AF70" s="59">
        <f t="shared" si="13"/>
        <v>84.576185599999974</v>
      </c>
      <c r="AG70" s="59">
        <f t="shared" si="13"/>
        <v>83.712569600000009</v>
      </c>
      <c r="AH70" s="59">
        <f t="shared" si="14"/>
        <v>82.773433600000061</v>
      </c>
      <c r="AI70" s="59">
        <f t="shared" si="14"/>
        <v>81.758777599999988</v>
      </c>
      <c r="AJ70" s="59">
        <f t="shared" si="14"/>
        <v>80.668601600000017</v>
      </c>
      <c r="AK70" s="59">
        <f t="shared" si="14"/>
        <v>79.502905599999963</v>
      </c>
      <c r="AL70" s="59">
        <f t="shared" si="14"/>
        <v>78.261689600000025</v>
      </c>
      <c r="AM70" s="59">
        <f t="shared" si="14"/>
        <v>76.944953600000048</v>
      </c>
      <c r="AN70" s="59">
        <f t="shared" si="14"/>
        <v>75.552697599999973</v>
      </c>
      <c r="AO70" s="59">
        <f t="shared" si="14"/>
        <v>74.08492160000003</v>
      </c>
      <c r="AP70" s="59">
        <f t="shared" si="14"/>
        <v>72.541625599999989</v>
      </c>
      <c r="AQ70" s="59">
        <f t="shared" si="14"/>
        <v>70.922809600000022</v>
      </c>
      <c r="AR70" s="59">
        <f t="shared" si="14"/>
        <v>69.228473600000086</v>
      </c>
      <c r="AS70" s="59">
        <f t="shared" si="14"/>
        <v>67.458617599999982</v>
      </c>
      <c r="AT70" s="59">
        <f t="shared" si="14"/>
        <v>65.613241600000066</v>
      </c>
      <c r="AU70" s="59">
        <f t="shared" si="14"/>
        <v>63.692345599999989</v>
      </c>
      <c r="AV70" s="59">
        <f t="shared" si="14"/>
        <v>61.695929599999992</v>
      </c>
      <c r="AW70" s="59">
        <f t="shared" si="14"/>
        <v>59.62399360000007</v>
      </c>
      <c r="AX70" s="59">
        <f t="shared" si="18"/>
        <v>57.4765376</v>
      </c>
      <c r="AY70" s="59">
        <f t="shared" si="18"/>
        <v>55.253561600000054</v>
      </c>
      <c r="AZ70" s="59">
        <f t="shared" si="18"/>
        <v>52.955065599999955</v>
      </c>
    </row>
    <row r="71" spans="1:52" x14ac:dyDescent="0.25">
      <c r="A71" s="18">
        <f t="shared" si="16"/>
        <v>16.799999999999898</v>
      </c>
      <c r="B71" s="59">
        <f t="shared" si="17"/>
        <v>75.088409600000006</v>
      </c>
      <c r="C71" s="59">
        <f t="shared" si="17"/>
        <v>76.488425599999985</v>
      </c>
      <c r="D71" s="59">
        <f t="shared" si="17"/>
        <v>77.812921600000038</v>
      </c>
      <c r="E71" s="59">
        <f t="shared" si="17"/>
        <v>79.061897600000023</v>
      </c>
      <c r="F71" s="59">
        <f t="shared" si="17"/>
        <v>80.235353600000025</v>
      </c>
      <c r="G71" s="59">
        <f t="shared" si="17"/>
        <v>81.333289600000001</v>
      </c>
      <c r="H71" s="59">
        <f t="shared" si="17"/>
        <v>82.355705599999993</v>
      </c>
      <c r="I71" s="59">
        <f t="shared" si="17"/>
        <v>83.302601600000031</v>
      </c>
      <c r="J71" s="59">
        <f t="shared" si="17"/>
        <v>84.173977600000029</v>
      </c>
      <c r="K71" s="59">
        <f t="shared" si="17"/>
        <v>84.969833600000001</v>
      </c>
      <c r="L71" s="59">
        <f t="shared" si="17"/>
        <v>85.690169600000004</v>
      </c>
      <c r="M71" s="59">
        <f t="shared" si="17"/>
        <v>86.334985599999982</v>
      </c>
      <c r="N71" s="59">
        <f t="shared" si="17"/>
        <v>86.904281600000047</v>
      </c>
      <c r="O71" s="59">
        <f t="shared" si="17"/>
        <v>87.39805760000003</v>
      </c>
      <c r="P71" s="59">
        <f t="shared" si="17"/>
        <v>87.816313600000015</v>
      </c>
      <c r="Q71" s="59">
        <f t="shared" si="15"/>
        <v>88.159049600000003</v>
      </c>
      <c r="R71" s="59">
        <f t="shared" si="13"/>
        <v>88.426265599999994</v>
      </c>
      <c r="S71" s="59">
        <f t="shared" si="13"/>
        <v>88.617961600000044</v>
      </c>
      <c r="T71" s="59">
        <f t="shared" si="13"/>
        <v>88.734137599999983</v>
      </c>
      <c r="U71" s="59">
        <f t="shared" si="13"/>
        <v>88.77479360000001</v>
      </c>
      <c r="V71" s="59">
        <f t="shared" si="13"/>
        <v>88.739929599999954</v>
      </c>
      <c r="W71" s="59">
        <f t="shared" si="13"/>
        <v>88.629545599999986</v>
      </c>
      <c r="X71" s="59">
        <f t="shared" si="13"/>
        <v>88.443641600000049</v>
      </c>
      <c r="Y71" s="59">
        <f t="shared" si="13"/>
        <v>88.182217599999973</v>
      </c>
      <c r="Z71" s="59">
        <f t="shared" si="13"/>
        <v>87.845273599999999</v>
      </c>
      <c r="AA71" s="59">
        <f t="shared" si="13"/>
        <v>87.432809599999942</v>
      </c>
      <c r="AB71" s="59">
        <f t="shared" si="13"/>
        <v>86.944825599999987</v>
      </c>
      <c r="AC71" s="59">
        <f t="shared" si="13"/>
        <v>86.381321600000035</v>
      </c>
      <c r="AD71" s="59">
        <f t="shared" si="13"/>
        <v>85.742297599999958</v>
      </c>
      <c r="AE71" s="59">
        <f t="shared" si="13"/>
        <v>85.027753599999997</v>
      </c>
      <c r="AF71" s="59">
        <f t="shared" si="13"/>
        <v>84.237689599999925</v>
      </c>
      <c r="AG71" s="59">
        <f t="shared" si="13"/>
        <v>83.372105599999969</v>
      </c>
      <c r="AH71" s="59">
        <f t="shared" si="14"/>
        <v>82.431001600000016</v>
      </c>
      <c r="AI71" s="59">
        <f t="shared" si="14"/>
        <v>81.414377599999952</v>
      </c>
      <c r="AJ71" s="59">
        <f t="shared" si="14"/>
        <v>80.322233599999976</v>
      </c>
      <c r="AK71" s="59">
        <f t="shared" si="14"/>
        <v>79.154569599999917</v>
      </c>
      <c r="AL71" s="59">
        <f t="shared" si="14"/>
        <v>77.911385599999974</v>
      </c>
      <c r="AM71" s="59">
        <f t="shared" si="14"/>
        <v>76.592681600000006</v>
      </c>
      <c r="AN71" s="59">
        <f t="shared" si="14"/>
        <v>75.198457599999927</v>
      </c>
      <c r="AO71" s="59">
        <f t="shared" si="14"/>
        <v>73.728713599999992</v>
      </c>
      <c r="AP71" s="59">
        <f t="shared" si="14"/>
        <v>72.183449599999946</v>
      </c>
      <c r="AQ71" s="59">
        <f t="shared" si="14"/>
        <v>70.562665599999988</v>
      </c>
      <c r="AR71" s="59">
        <f t="shared" si="14"/>
        <v>68.866361600000033</v>
      </c>
      <c r="AS71" s="59">
        <f t="shared" si="14"/>
        <v>67.094537599999938</v>
      </c>
      <c r="AT71" s="59">
        <f t="shared" si="14"/>
        <v>65.247193600000017</v>
      </c>
      <c r="AU71" s="59">
        <f t="shared" si="14"/>
        <v>63.324329599999956</v>
      </c>
      <c r="AV71" s="59">
        <f t="shared" si="14"/>
        <v>61.325945599999962</v>
      </c>
      <c r="AW71" s="59">
        <f t="shared" si="14"/>
        <v>59.252041600000041</v>
      </c>
      <c r="AX71" s="59">
        <f t="shared" si="18"/>
        <v>57.102617599999967</v>
      </c>
      <c r="AY71" s="59">
        <f t="shared" si="18"/>
        <v>54.877673600000023</v>
      </c>
      <c r="AZ71" s="59">
        <f t="shared" si="18"/>
        <v>52.577209599999925</v>
      </c>
    </row>
    <row r="72" spans="1:52" x14ac:dyDescent="0.25">
      <c r="A72" s="18">
        <f t="shared" si="16"/>
        <v>14.399999999999897</v>
      </c>
      <c r="B72" s="59">
        <f t="shared" si="17"/>
        <v>74.7863744</v>
      </c>
      <c r="C72" s="59">
        <f t="shared" si="17"/>
        <v>76.184422399999974</v>
      </c>
      <c r="D72" s="59">
        <f t="shared" si="17"/>
        <v>77.506950400000022</v>
      </c>
      <c r="E72" s="59">
        <f t="shared" si="17"/>
        <v>78.753958400000016</v>
      </c>
      <c r="F72" s="59">
        <f t="shared" si="17"/>
        <v>79.925446400000013</v>
      </c>
      <c r="G72" s="59">
        <f t="shared" si="17"/>
        <v>81.021414399999998</v>
      </c>
      <c r="H72" s="59">
        <f t="shared" si="17"/>
        <v>82.041862399999985</v>
      </c>
      <c r="I72" s="59">
        <f t="shared" si="17"/>
        <v>82.986790400000018</v>
      </c>
      <c r="J72" s="59">
        <f t="shared" si="17"/>
        <v>83.856198400000011</v>
      </c>
      <c r="K72" s="59">
        <f t="shared" si="17"/>
        <v>84.650086399999992</v>
      </c>
      <c r="L72" s="59">
        <f t="shared" si="17"/>
        <v>85.36845439999999</v>
      </c>
      <c r="M72" s="59">
        <f t="shared" si="17"/>
        <v>86.011302399999977</v>
      </c>
      <c r="N72" s="59">
        <f t="shared" si="17"/>
        <v>86.578630400000037</v>
      </c>
      <c r="O72" s="59">
        <f t="shared" si="17"/>
        <v>87.070438400000029</v>
      </c>
      <c r="P72" s="59">
        <f t="shared" si="17"/>
        <v>87.486726399999995</v>
      </c>
      <c r="Q72" s="59">
        <f t="shared" si="15"/>
        <v>87.827494399999992</v>
      </c>
      <c r="R72" s="59">
        <f t="shared" si="13"/>
        <v>88.092742399999977</v>
      </c>
      <c r="S72" s="59">
        <f t="shared" si="13"/>
        <v>88.282470400000008</v>
      </c>
      <c r="T72" s="59">
        <f t="shared" si="13"/>
        <v>88.396678399999999</v>
      </c>
      <c r="U72" s="59">
        <f t="shared" si="13"/>
        <v>88.435366400000035</v>
      </c>
      <c r="V72" s="59">
        <f t="shared" si="13"/>
        <v>88.398534399999974</v>
      </c>
      <c r="W72" s="59">
        <f t="shared" si="13"/>
        <v>88.286182400000001</v>
      </c>
      <c r="X72" s="59">
        <f t="shared" si="13"/>
        <v>88.098310400000059</v>
      </c>
      <c r="Y72" s="59">
        <f t="shared" si="13"/>
        <v>87.834918399999992</v>
      </c>
      <c r="Z72" s="59">
        <f t="shared" si="13"/>
        <v>87.496006400000027</v>
      </c>
      <c r="AA72" s="59">
        <f t="shared" si="13"/>
        <v>87.081574399999965</v>
      </c>
      <c r="AB72" s="59">
        <f t="shared" si="13"/>
        <v>86.591622400000006</v>
      </c>
      <c r="AC72" s="59">
        <f t="shared" si="13"/>
        <v>86.026150400000049</v>
      </c>
      <c r="AD72" s="59">
        <f t="shared" si="13"/>
        <v>85.38515839999998</v>
      </c>
      <c r="AE72" s="59">
        <f t="shared" si="13"/>
        <v>84.668646400000014</v>
      </c>
      <c r="AF72" s="59">
        <f t="shared" si="13"/>
        <v>83.876614399999951</v>
      </c>
      <c r="AG72" s="59">
        <f t="shared" si="13"/>
        <v>83.009062399999991</v>
      </c>
      <c r="AH72" s="59">
        <f t="shared" si="14"/>
        <v>82.065990400000047</v>
      </c>
      <c r="AI72" s="59">
        <f t="shared" si="14"/>
        <v>81.047398399999977</v>
      </c>
      <c r="AJ72" s="59">
        <f t="shared" si="14"/>
        <v>79.953286399999996</v>
      </c>
      <c r="AK72" s="59">
        <f t="shared" si="14"/>
        <v>78.783654399999932</v>
      </c>
      <c r="AL72" s="59">
        <f t="shared" si="14"/>
        <v>77.538502399999999</v>
      </c>
      <c r="AM72" s="59">
        <f t="shared" si="14"/>
        <v>76.217830400000025</v>
      </c>
      <c r="AN72" s="59">
        <f t="shared" si="14"/>
        <v>74.821638399999955</v>
      </c>
      <c r="AO72" s="59">
        <f t="shared" si="14"/>
        <v>73.349926400000015</v>
      </c>
      <c r="AP72" s="59">
        <f t="shared" si="14"/>
        <v>71.802694399999979</v>
      </c>
      <c r="AQ72" s="59">
        <f t="shared" si="14"/>
        <v>70.179942400000002</v>
      </c>
      <c r="AR72" s="59">
        <f t="shared" si="14"/>
        <v>68.481670400000056</v>
      </c>
      <c r="AS72" s="59">
        <f t="shared" si="14"/>
        <v>66.707878399999956</v>
      </c>
      <c r="AT72" s="59">
        <f t="shared" si="14"/>
        <v>64.858566400000043</v>
      </c>
      <c r="AU72" s="59">
        <f t="shared" si="14"/>
        <v>62.933734399999977</v>
      </c>
      <c r="AV72" s="59">
        <f t="shared" si="14"/>
        <v>60.933382399999978</v>
      </c>
      <c r="AW72" s="59">
        <f t="shared" si="14"/>
        <v>58.857510400000059</v>
      </c>
      <c r="AX72" s="59">
        <f t="shared" si="18"/>
        <v>56.706118399999987</v>
      </c>
      <c r="AY72" s="59">
        <f t="shared" si="18"/>
        <v>54.479206400000038</v>
      </c>
      <c r="AZ72" s="59">
        <f t="shared" si="18"/>
        <v>52.176774399999942</v>
      </c>
    </row>
    <row r="73" spans="1:52" x14ac:dyDescent="0.25">
      <c r="A73" s="18">
        <f t="shared" si="16"/>
        <v>11.999999999999897</v>
      </c>
      <c r="B73" s="59">
        <f t="shared" si="17"/>
        <v>74.46175999999997</v>
      </c>
      <c r="C73" s="59">
        <f t="shared" si="17"/>
        <v>75.857839999999968</v>
      </c>
      <c r="D73" s="59">
        <f t="shared" si="17"/>
        <v>77.178400000000011</v>
      </c>
      <c r="E73" s="59">
        <f t="shared" si="17"/>
        <v>78.423439999999999</v>
      </c>
      <c r="F73" s="59">
        <f t="shared" si="17"/>
        <v>79.592959999999991</v>
      </c>
      <c r="G73" s="59">
        <f t="shared" si="17"/>
        <v>80.686959999999971</v>
      </c>
      <c r="H73" s="59">
        <f t="shared" si="17"/>
        <v>81.705439999999967</v>
      </c>
      <c r="I73" s="59">
        <f t="shared" si="17"/>
        <v>82.648400000000009</v>
      </c>
      <c r="J73" s="59">
        <f t="shared" si="17"/>
        <v>83.515839999999997</v>
      </c>
      <c r="K73" s="59">
        <f t="shared" si="17"/>
        <v>84.307759999999973</v>
      </c>
      <c r="L73" s="59">
        <f t="shared" si="17"/>
        <v>85.024159999999966</v>
      </c>
      <c r="M73" s="59">
        <f t="shared" si="17"/>
        <v>85.665039999999962</v>
      </c>
      <c r="N73" s="59">
        <f t="shared" si="17"/>
        <v>86.230400000000017</v>
      </c>
      <c r="O73" s="59">
        <f t="shared" si="17"/>
        <v>86.720240000000004</v>
      </c>
      <c r="P73" s="59">
        <f t="shared" si="17"/>
        <v>87.134559999999979</v>
      </c>
      <c r="Q73" s="59">
        <f t="shared" si="15"/>
        <v>87.473359999999985</v>
      </c>
      <c r="R73" s="59">
        <f t="shared" si="13"/>
        <v>87.736639999999966</v>
      </c>
      <c r="S73" s="59">
        <f t="shared" si="13"/>
        <v>87.92440000000002</v>
      </c>
      <c r="T73" s="59">
        <f t="shared" si="13"/>
        <v>88.036640000000006</v>
      </c>
      <c r="U73" s="59">
        <f t="shared" si="13"/>
        <v>88.073360000000037</v>
      </c>
      <c r="V73" s="59">
        <f t="shared" si="13"/>
        <v>88.034559999999985</v>
      </c>
      <c r="W73" s="59">
        <f t="shared" si="13"/>
        <v>87.920240000000021</v>
      </c>
      <c r="X73" s="59">
        <f t="shared" si="13"/>
        <v>87.730400000000074</v>
      </c>
      <c r="Y73" s="59">
        <f t="shared" si="13"/>
        <v>87.465040000000002</v>
      </c>
      <c r="Z73" s="59">
        <f t="shared" si="13"/>
        <v>87.124160000000032</v>
      </c>
      <c r="AA73" s="59">
        <f t="shared" si="13"/>
        <v>86.707759999999979</v>
      </c>
      <c r="AB73" s="59">
        <f t="shared" si="13"/>
        <v>86.215840000000014</v>
      </c>
      <c r="AC73" s="59">
        <f t="shared" si="13"/>
        <v>85.648400000000066</v>
      </c>
      <c r="AD73" s="59">
        <f t="shared" si="13"/>
        <v>85.005439999999993</v>
      </c>
      <c r="AE73" s="59">
        <f t="shared" si="13"/>
        <v>84.286960000000022</v>
      </c>
      <c r="AF73" s="59">
        <f t="shared" si="13"/>
        <v>83.492959999999968</v>
      </c>
      <c r="AG73" s="59">
        <f t="shared" si="13"/>
        <v>82.623440000000002</v>
      </c>
      <c r="AH73" s="59">
        <f t="shared" si="14"/>
        <v>81.678400000000053</v>
      </c>
      <c r="AI73" s="59">
        <f t="shared" si="14"/>
        <v>80.657839999999979</v>
      </c>
      <c r="AJ73" s="59">
        <f t="shared" si="14"/>
        <v>79.561760000000007</v>
      </c>
      <c r="AK73" s="59">
        <f t="shared" si="14"/>
        <v>78.390159999999952</v>
      </c>
      <c r="AL73" s="59">
        <f t="shared" si="14"/>
        <v>77.143040000000013</v>
      </c>
      <c r="AM73" s="59">
        <f t="shared" si="14"/>
        <v>75.820400000000035</v>
      </c>
      <c r="AN73" s="59">
        <f t="shared" si="14"/>
        <v>74.42223999999996</v>
      </c>
      <c r="AO73" s="59">
        <f t="shared" si="14"/>
        <v>72.948560000000015</v>
      </c>
      <c r="AP73" s="59">
        <f t="shared" si="14"/>
        <v>71.399359999999987</v>
      </c>
      <c r="AQ73" s="59">
        <f t="shared" si="14"/>
        <v>69.774640000000019</v>
      </c>
      <c r="AR73" s="59">
        <f t="shared" si="14"/>
        <v>68.074400000000068</v>
      </c>
      <c r="AS73" s="59">
        <f t="shared" si="14"/>
        <v>66.298639999999963</v>
      </c>
      <c r="AT73" s="59">
        <f t="shared" si="14"/>
        <v>64.44736000000006</v>
      </c>
      <c r="AU73" s="59">
        <f t="shared" si="14"/>
        <v>62.520559999999989</v>
      </c>
      <c r="AV73" s="59">
        <f t="shared" si="14"/>
        <v>60.518239999999999</v>
      </c>
      <c r="AW73" s="59">
        <f t="shared" si="14"/>
        <v>58.440400000000075</v>
      </c>
      <c r="AX73" s="59">
        <f t="shared" si="18"/>
        <v>56.287040000000005</v>
      </c>
      <c r="AY73" s="59">
        <f t="shared" si="18"/>
        <v>54.058160000000058</v>
      </c>
      <c r="AZ73" s="59">
        <f t="shared" si="18"/>
        <v>51.753759999999964</v>
      </c>
    </row>
    <row r="74" spans="1:52" x14ac:dyDescent="0.25">
      <c r="A74" s="18">
        <f t="shared" si="16"/>
        <v>9.5999999999998966</v>
      </c>
      <c r="B74" s="59">
        <f t="shared" si="17"/>
        <v>74.114566399999973</v>
      </c>
      <c r="C74" s="59">
        <f t="shared" si="17"/>
        <v>75.508678399999965</v>
      </c>
      <c r="D74" s="59">
        <f t="shared" si="17"/>
        <v>76.827270400000003</v>
      </c>
      <c r="E74" s="59">
        <f t="shared" si="17"/>
        <v>78.070342400000001</v>
      </c>
      <c r="F74" s="59">
        <f t="shared" si="17"/>
        <v>79.237894400000002</v>
      </c>
      <c r="G74" s="59">
        <f t="shared" si="17"/>
        <v>80.329926399999977</v>
      </c>
      <c r="H74" s="59">
        <f t="shared" si="17"/>
        <v>81.346438399999968</v>
      </c>
      <c r="I74" s="59">
        <f t="shared" si="17"/>
        <v>82.287430400000005</v>
      </c>
      <c r="J74" s="59">
        <f t="shared" si="17"/>
        <v>83.152902400000002</v>
      </c>
      <c r="K74" s="59">
        <f t="shared" si="17"/>
        <v>83.942854399999973</v>
      </c>
      <c r="L74" s="59">
        <f t="shared" si="17"/>
        <v>84.657286399999975</v>
      </c>
      <c r="M74" s="59">
        <f t="shared" si="17"/>
        <v>85.296198399999952</v>
      </c>
      <c r="N74" s="59">
        <f t="shared" si="17"/>
        <v>85.859590400000016</v>
      </c>
      <c r="O74" s="59">
        <f t="shared" si="17"/>
        <v>86.347462400000012</v>
      </c>
      <c r="P74" s="59">
        <f t="shared" si="17"/>
        <v>86.759814399999982</v>
      </c>
      <c r="Q74" s="59">
        <f t="shared" si="15"/>
        <v>87.096646399999983</v>
      </c>
      <c r="R74" s="59">
        <f t="shared" si="13"/>
        <v>87.357958399999958</v>
      </c>
      <c r="S74" s="59">
        <f t="shared" si="13"/>
        <v>87.54375040000005</v>
      </c>
      <c r="T74" s="59">
        <f t="shared" si="13"/>
        <v>87.654022399999974</v>
      </c>
      <c r="U74" s="59">
        <f t="shared" si="13"/>
        <v>87.688774400000014</v>
      </c>
      <c r="V74" s="59">
        <f t="shared" si="13"/>
        <v>87.648006399999957</v>
      </c>
      <c r="W74" s="59">
        <f t="shared" si="13"/>
        <v>87.531718399999988</v>
      </c>
      <c r="X74" s="59">
        <f t="shared" si="13"/>
        <v>87.339910400000051</v>
      </c>
      <c r="Y74" s="59">
        <f t="shared" si="13"/>
        <v>87.072582399999973</v>
      </c>
      <c r="Z74" s="59">
        <f t="shared" si="13"/>
        <v>86.729734400000012</v>
      </c>
      <c r="AA74" s="59">
        <f t="shared" si="13"/>
        <v>86.31136639999994</v>
      </c>
      <c r="AB74" s="59">
        <f t="shared" si="13"/>
        <v>85.817478399999985</v>
      </c>
      <c r="AC74" s="59">
        <f t="shared" si="13"/>
        <v>85.248070400000046</v>
      </c>
      <c r="AD74" s="59">
        <f t="shared" si="13"/>
        <v>84.603142399999967</v>
      </c>
      <c r="AE74" s="59">
        <f t="shared" si="13"/>
        <v>83.882694400000005</v>
      </c>
      <c r="AF74" s="59">
        <f t="shared" si="13"/>
        <v>83.086726399999932</v>
      </c>
      <c r="AG74" s="59">
        <f t="shared" ref="AG74:AV78" si="19">-93.1+0.26*AG$27+0.146*$A74-0.0000944*AG$27^2+0.000041*AG$27*$A74-0.00196*$A74^2</f>
        <v>82.215238399999976</v>
      </c>
      <c r="AH74" s="59">
        <f t="shared" si="14"/>
        <v>81.268230400000022</v>
      </c>
      <c r="AI74" s="59">
        <f t="shared" si="14"/>
        <v>80.245702399999956</v>
      </c>
      <c r="AJ74" s="59">
        <f t="shared" si="14"/>
        <v>79.147654399999979</v>
      </c>
      <c r="AK74" s="59">
        <f t="shared" si="14"/>
        <v>77.974086399999919</v>
      </c>
      <c r="AL74" s="59">
        <f t="shared" si="14"/>
        <v>76.72499839999999</v>
      </c>
      <c r="AM74" s="59">
        <f t="shared" si="14"/>
        <v>75.400390400000006</v>
      </c>
      <c r="AN74" s="59">
        <f t="shared" si="14"/>
        <v>74.00026239999994</v>
      </c>
      <c r="AO74" s="59">
        <f t="shared" si="14"/>
        <v>72.52461439999999</v>
      </c>
      <c r="AP74" s="59">
        <f t="shared" si="14"/>
        <v>70.973446399999958</v>
      </c>
      <c r="AQ74" s="59">
        <f t="shared" si="14"/>
        <v>69.346758399999985</v>
      </c>
      <c r="AR74" s="59">
        <f t="shared" si="14"/>
        <v>67.644550400000043</v>
      </c>
      <c r="AS74" s="59">
        <f t="shared" si="14"/>
        <v>65.866822399999947</v>
      </c>
      <c r="AT74" s="59">
        <f t="shared" si="14"/>
        <v>64.013574400000024</v>
      </c>
      <c r="AU74" s="59">
        <f t="shared" si="14"/>
        <v>62.084806399999955</v>
      </c>
      <c r="AV74" s="59">
        <f t="shared" si="14"/>
        <v>60.08051839999996</v>
      </c>
      <c r="AW74" s="59">
        <f>-93.1+0.26*AW$27+0.146*$A74-0.0000944*AW$27^2+0.000041*AW$27*$A74-0.00196*$A74^2</f>
        <v>58.000710400000045</v>
      </c>
      <c r="AX74" s="59">
        <f t="shared" si="18"/>
        <v>55.84538239999997</v>
      </c>
      <c r="AY74" s="59">
        <f t="shared" si="18"/>
        <v>53.614534400000025</v>
      </c>
      <c r="AZ74" s="59">
        <f t="shared" si="18"/>
        <v>51.308166399999926</v>
      </c>
    </row>
    <row r="75" spans="1:52" x14ac:dyDescent="0.25">
      <c r="A75" s="18">
        <f t="shared" si="16"/>
        <v>7.1999999999998963</v>
      </c>
      <c r="B75" s="59">
        <f t="shared" si="17"/>
        <v>73.744793599999994</v>
      </c>
      <c r="C75" s="59">
        <f t="shared" si="17"/>
        <v>75.136937599999982</v>
      </c>
      <c r="D75" s="59">
        <f t="shared" si="17"/>
        <v>76.453561600000029</v>
      </c>
      <c r="E75" s="59">
        <f t="shared" si="17"/>
        <v>77.694665600000022</v>
      </c>
      <c r="F75" s="59">
        <f t="shared" si="17"/>
        <v>78.860249600000017</v>
      </c>
      <c r="G75" s="59">
        <f t="shared" si="17"/>
        <v>79.950313600000001</v>
      </c>
      <c r="H75" s="59">
        <f t="shared" si="17"/>
        <v>80.964857599999988</v>
      </c>
      <c r="I75" s="59">
        <f t="shared" si="17"/>
        <v>81.903881600000034</v>
      </c>
      <c r="J75" s="59">
        <f t="shared" si="17"/>
        <v>82.767385600000011</v>
      </c>
      <c r="K75" s="59">
        <f t="shared" si="17"/>
        <v>83.555369599999992</v>
      </c>
      <c r="L75" s="59">
        <f t="shared" si="17"/>
        <v>84.267833599999989</v>
      </c>
      <c r="M75" s="59">
        <f t="shared" si="17"/>
        <v>84.904777599999974</v>
      </c>
      <c r="N75" s="59">
        <f t="shared" si="17"/>
        <v>85.466201600000034</v>
      </c>
      <c r="O75" s="59">
        <f t="shared" si="17"/>
        <v>85.952105600000024</v>
      </c>
      <c r="P75" s="59">
        <f t="shared" si="17"/>
        <v>86.362489600000004</v>
      </c>
      <c r="Q75" s="59">
        <f t="shared" si="15"/>
        <v>86.6973536</v>
      </c>
      <c r="R75" s="59">
        <f t="shared" ref="R75:AF75" si="20">-93.1+0.26*R$27+0.146*$A75-0.0000944*R$27^2+0.000041*R$27*$A75-0.00196*$A75^2</f>
        <v>86.956697599999984</v>
      </c>
      <c r="S75" s="59">
        <f t="shared" si="20"/>
        <v>87.140521600000014</v>
      </c>
      <c r="T75" s="59">
        <f t="shared" si="20"/>
        <v>87.248825600000004</v>
      </c>
      <c r="U75" s="59">
        <f t="shared" si="20"/>
        <v>87.281609600000039</v>
      </c>
      <c r="V75" s="59">
        <f t="shared" si="20"/>
        <v>87.238873599999977</v>
      </c>
      <c r="W75" s="59">
        <f t="shared" si="20"/>
        <v>87.120617600000003</v>
      </c>
      <c r="X75" s="59">
        <f t="shared" si="20"/>
        <v>86.92684160000006</v>
      </c>
      <c r="Y75" s="59">
        <f t="shared" si="20"/>
        <v>86.657545599999992</v>
      </c>
      <c r="Z75" s="59">
        <f t="shared" si="20"/>
        <v>86.312729600000026</v>
      </c>
      <c r="AA75" s="59">
        <f t="shared" si="20"/>
        <v>85.892393599999963</v>
      </c>
      <c r="AB75" s="59">
        <f t="shared" si="20"/>
        <v>85.396537600000002</v>
      </c>
      <c r="AC75" s="59">
        <f t="shared" si="20"/>
        <v>84.825161600000058</v>
      </c>
      <c r="AD75" s="59">
        <f t="shared" si="20"/>
        <v>84.178265599999989</v>
      </c>
      <c r="AE75" s="59">
        <f t="shared" si="20"/>
        <v>83.455849600000022</v>
      </c>
      <c r="AF75" s="59">
        <f t="shared" si="20"/>
        <v>82.657913599999958</v>
      </c>
      <c r="AG75" s="59">
        <f t="shared" si="19"/>
        <v>81.784457599999996</v>
      </c>
      <c r="AH75" s="59">
        <f t="shared" si="19"/>
        <v>80.835481600000051</v>
      </c>
      <c r="AI75" s="59">
        <f t="shared" si="19"/>
        <v>79.810985599999981</v>
      </c>
      <c r="AJ75" s="59">
        <f t="shared" si="19"/>
        <v>78.710969599999999</v>
      </c>
      <c r="AK75" s="59">
        <f t="shared" si="19"/>
        <v>77.535433599999934</v>
      </c>
      <c r="AL75" s="59">
        <f t="shared" si="19"/>
        <v>76.284377599999999</v>
      </c>
      <c r="AM75" s="59">
        <f t="shared" si="19"/>
        <v>74.957801600000025</v>
      </c>
      <c r="AN75" s="59">
        <f t="shared" si="19"/>
        <v>73.555705599999953</v>
      </c>
      <c r="AO75" s="59">
        <f t="shared" si="19"/>
        <v>72.078089600000013</v>
      </c>
      <c r="AP75" s="59">
        <f t="shared" si="19"/>
        <v>70.524953599999975</v>
      </c>
      <c r="AQ75" s="59">
        <f t="shared" si="19"/>
        <v>68.896297600000011</v>
      </c>
      <c r="AR75" s="59">
        <f t="shared" si="19"/>
        <v>67.192121600000064</v>
      </c>
      <c r="AS75" s="59">
        <f t="shared" si="19"/>
        <v>65.412425599999963</v>
      </c>
      <c r="AT75" s="59">
        <f t="shared" si="19"/>
        <v>63.557209600000043</v>
      </c>
      <c r="AU75" s="59">
        <f t="shared" si="19"/>
        <v>61.626473599999976</v>
      </c>
      <c r="AV75" s="59">
        <f t="shared" si="19"/>
        <v>59.620217599999982</v>
      </c>
      <c r="AW75" s="59">
        <f>-93.1+0.26*AW$27+0.146*$A75-0.0000944*AW$27^2+0.000041*AW$27*$A75-0.00196*$A75^2</f>
        <v>57.538441600000063</v>
      </c>
      <c r="AX75" s="59">
        <f t="shared" si="18"/>
        <v>55.381145599999989</v>
      </c>
      <c r="AY75" s="59">
        <f t="shared" si="18"/>
        <v>53.148329600000046</v>
      </c>
      <c r="AZ75" s="59">
        <f t="shared" si="18"/>
        <v>50.839993599999943</v>
      </c>
    </row>
    <row r="76" spans="1:52" x14ac:dyDescent="0.25">
      <c r="A76" s="18">
        <f t="shared" si="16"/>
        <v>4.7999999999998959</v>
      </c>
      <c r="B76" s="59">
        <f t="shared" si="17"/>
        <v>73.352441599999992</v>
      </c>
      <c r="C76" s="59">
        <f t="shared" si="17"/>
        <v>74.742617599999974</v>
      </c>
      <c r="D76" s="59">
        <f t="shared" si="17"/>
        <v>76.05727360000003</v>
      </c>
      <c r="E76" s="59">
        <f t="shared" si="17"/>
        <v>77.296409600000018</v>
      </c>
      <c r="F76" s="59">
        <f t="shared" si="17"/>
        <v>78.460025600000009</v>
      </c>
      <c r="G76" s="59">
        <f t="shared" si="17"/>
        <v>79.548121599999988</v>
      </c>
      <c r="H76" s="59">
        <f t="shared" si="17"/>
        <v>80.560697599999983</v>
      </c>
      <c r="I76" s="59">
        <f t="shared" si="17"/>
        <v>81.497753600000024</v>
      </c>
      <c r="J76" s="59">
        <f t="shared" si="17"/>
        <v>82.359289600000011</v>
      </c>
      <c r="K76" s="59">
        <f t="shared" si="17"/>
        <v>83.145305599999986</v>
      </c>
      <c r="L76" s="59">
        <f t="shared" si="17"/>
        <v>83.855801599999992</v>
      </c>
      <c r="M76" s="59">
        <f t="shared" si="17"/>
        <v>84.490777599999973</v>
      </c>
      <c r="N76" s="59">
        <f t="shared" si="17"/>
        <v>85.050233600000027</v>
      </c>
      <c r="O76" s="59">
        <f t="shared" si="17"/>
        <v>85.534169600000027</v>
      </c>
      <c r="P76" s="59">
        <f t="shared" si="17"/>
        <v>85.942585600000001</v>
      </c>
      <c r="Q76" s="59">
        <f t="shared" si="17"/>
        <v>86.275481599999992</v>
      </c>
      <c r="R76" s="59">
        <f t="shared" ref="R76:AF78" si="21">-93.1+0.26*R$27+0.146*$A76-0.0000944*R$27^2+0.000041*R$27*$A76-0.00196*$A76^2</f>
        <v>86.532857599999971</v>
      </c>
      <c r="S76" s="59">
        <f t="shared" si="21"/>
        <v>86.714713600000039</v>
      </c>
      <c r="T76" s="59">
        <f t="shared" si="21"/>
        <v>86.821049599999967</v>
      </c>
      <c r="U76" s="59">
        <f t="shared" si="21"/>
        <v>86.851865599999996</v>
      </c>
      <c r="V76" s="59">
        <f t="shared" si="21"/>
        <v>86.807161599999944</v>
      </c>
      <c r="W76" s="59">
        <f t="shared" si="21"/>
        <v>86.686937599999979</v>
      </c>
      <c r="X76" s="59">
        <f t="shared" si="21"/>
        <v>86.491193600000031</v>
      </c>
      <c r="Y76" s="59">
        <f t="shared" si="21"/>
        <v>86.219929599999958</v>
      </c>
      <c r="Z76" s="59">
        <f t="shared" si="21"/>
        <v>85.873145600000001</v>
      </c>
      <c r="AA76" s="59">
        <f t="shared" si="21"/>
        <v>85.450841599999933</v>
      </c>
      <c r="AB76" s="59">
        <f t="shared" si="21"/>
        <v>84.953017599999967</v>
      </c>
      <c r="AC76" s="59">
        <f t="shared" si="21"/>
        <v>84.379673600000032</v>
      </c>
      <c r="AD76" s="59">
        <f t="shared" si="21"/>
        <v>83.730809599999958</v>
      </c>
      <c r="AE76" s="59">
        <f t="shared" si="21"/>
        <v>83.006425599999986</v>
      </c>
      <c r="AF76" s="59">
        <f t="shared" si="21"/>
        <v>82.206521599999917</v>
      </c>
      <c r="AG76" s="59">
        <f t="shared" si="19"/>
        <v>81.331097599999964</v>
      </c>
      <c r="AH76" s="59">
        <f t="shared" si="19"/>
        <v>80.380153600000014</v>
      </c>
      <c r="AI76" s="59">
        <f t="shared" si="19"/>
        <v>79.353689599999939</v>
      </c>
      <c r="AJ76" s="59">
        <f t="shared" si="19"/>
        <v>78.251705599999966</v>
      </c>
      <c r="AK76" s="59">
        <f t="shared" si="19"/>
        <v>77.07420159999991</v>
      </c>
      <c r="AL76" s="59">
        <f t="shared" si="19"/>
        <v>75.82117759999997</v>
      </c>
      <c r="AM76" s="59">
        <f t="shared" si="19"/>
        <v>74.492633599999991</v>
      </c>
      <c r="AN76" s="59">
        <f t="shared" si="19"/>
        <v>73.088569599999929</v>
      </c>
      <c r="AO76" s="59">
        <f t="shared" si="19"/>
        <v>71.608985599999983</v>
      </c>
      <c r="AP76" s="59">
        <f t="shared" si="19"/>
        <v>70.05388159999994</v>
      </c>
      <c r="AQ76" s="59">
        <f t="shared" si="19"/>
        <v>68.423257599999971</v>
      </c>
      <c r="AR76" s="59">
        <f t="shared" si="19"/>
        <v>66.717113600000033</v>
      </c>
      <c r="AS76" s="59">
        <f t="shared" si="19"/>
        <v>64.935449599999927</v>
      </c>
      <c r="AT76" s="59">
        <f t="shared" si="19"/>
        <v>63.078265600000009</v>
      </c>
      <c r="AU76" s="59">
        <f t="shared" si="19"/>
        <v>61.145561599999937</v>
      </c>
      <c r="AV76" s="59">
        <f t="shared" si="19"/>
        <v>59.137337599999945</v>
      </c>
      <c r="AW76" s="59">
        <f>-93.1+0.26*AW$27+0.146*$A76-0.0000944*AW$27^2+0.000041*AW$27*$A76-0.00196*$A76^2</f>
        <v>57.053593600000021</v>
      </c>
      <c r="AX76" s="59">
        <f t="shared" si="18"/>
        <v>54.894329599999949</v>
      </c>
      <c r="AY76" s="59">
        <f t="shared" si="18"/>
        <v>52.659545600000001</v>
      </c>
      <c r="AZ76" s="59">
        <f t="shared" si="18"/>
        <v>50.349241599999907</v>
      </c>
    </row>
    <row r="77" spans="1:52" x14ac:dyDescent="0.25">
      <c r="A77" s="18">
        <f t="shared" si="16"/>
        <v>2.399999999999896</v>
      </c>
      <c r="B77" s="59">
        <f t="shared" ref="B77:Q78" si="22">-93.1+0.26*B$27+0.146*$A77-0.0000944*B$27^2+0.000041*B$27*$A77-0.00196*$A77^2</f>
        <v>72.937510399999979</v>
      </c>
      <c r="C77" s="59">
        <f t="shared" si="22"/>
        <v>74.325718399999957</v>
      </c>
      <c r="D77" s="59">
        <f t="shared" si="22"/>
        <v>75.638406400000008</v>
      </c>
      <c r="E77" s="59">
        <f t="shared" si="22"/>
        <v>76.875574400000005</v>
      </c>
      <c r="F77" s="59">
        <f t="shared" si="22"/>
        <v>78.03722239999999</v>
      </c>
      <c r="G77" s="59">
        <f t="shared" si="22"/>
        <v>79.123350399999978</v>
      </c>
      <c r="H77" s="59">
        <f t="shared" si="22"/>
        <v>80.133958399999969</v>
      </c>
      <c r="I77" s="59">
        <f t="shared" si="22"/>
        <v>81.069046400000005</v>
      </c>
      <c r="J77" s="59">
        <f t="shared" si="22"/>
        <v>81.928614400000001</v>
      </c>
      <c r="K77" s="59">
        <f t="shared" si="22"/>
        <v>82.712662399999985</v>
      </c>
      <c r="L77" s="59">
        <f t="shared" si="22"/>
        <v>83.421190399999972</v>
      </c>
      <c r="M77" s="59">
        <f t="shared" si="22"/>
        <v>84.054198399999962</v>
      </c>
      <c r="N77" s="59">
        <f t="shared" si="22"/>
        <v>84.611686400000011</v>
      </c>
      <c r="O77" s="59">
        <f t="shared" si="22"/>
        <v>85.093654400000005</v>
      </c>
      <c r="P77" s="59">
        <f t="shared" si="22"/>
        <v>85.500102399999989</v>
      </c>
      <c r="Q77" s="59">
        <f t="shared" si="22"/>
        <v>85.831030399999975</v>
      </c>
      <c r="R77" s="59">
        <f t="shared" si="21"/>
        <v>86.086438399999963</v>
      </c>
      <c r="S77" s="59">
        <f t="shared" si="21"/>
        <v>86.266326400000025</v>
      </c>
      <c r="T77" s="59">
        <f t="shared" si="21"/>
        <v>86.370694399999977</v>
      </c>
      <c r="U77" s="59">
        <f t="shared" si="21"/>
        <v>86.399542400000016</v>
      </c>
      <c r="V77" s="59">
        <f t="shared" si="21"/>
        <v>86.352870399999958</v>
      </c>
      <c r="W77" s="59">
        <f t="shared" si="21"/>
        <v>86.230678399999988</v>
      </c>
      <c r="X77" s="59">
        <f t="shared" si="21"/>
        <v>86.032966400000049</v>
      </c>
      <c r="Y77" s="59">
        <f t="shared" si="21"/>
        <v>85.759734399999971</v>
      </c>
      <c r="Z77" s="59">
        <f t="shared" si="21"/>
        <v>85.410982400000009</v>
      </c>
      <c r="AA77" s="59">
        <f t="shared" si="21"/>
        <v>84.98671039999995</v>
      </c>
      <c r="AB77" s="59">
        <f t="shared" si="21"/>
        <v>84.486918399999979</v>
      </c>
      <c r="AC77" s="59">
        <f t="shared" si="21"/>
        <v>83.911606400000039</v>
      </c>
      <c r="AD77" s="59">
        <f t="shared" si="21"/>
        <v>83.260774399999974</v>
      </c>
      <c r="AE77" s="59">
        <f t="shared" si="21"/>
        <v>82.534422399999997</v>
      </c>
      <c r="AF77" s="59">
        <f t="shared" si="21"/>
        <v>81.732550399999937</v>
      </c>
      <c r="AG77" s="59">
        <f t="shared" si="19"/>
        <v>80.855158399999979</v>
      </c>
      <c r="AH77" s="59">
        <f t="shared" si="19"/>
        <v>79.902246400000024</v>
      </c>
      <c r="AI77" s="59">
        <f t="shared" si="19"/>
        <v>78.873814399999958</v>
      </c>
      <c r="AJ77" s="59">
        <f t="shared" si="19"/>
        <v>77.76986239999998</v>
      </c>
      <c r="AK77" s="59">
        <f t="shared" si="19"/>
        <v>76.590390399999919</v>
      </c>
      <c r="AL77" s="59">
        <f t="shared" si="19"/>
        <v>75.335398399999988</v>
      </c>
      <c r="AM77" s="59">
        <f t="shared" si="19"/>
        <v>74.004886400000004</v>
      </c>
      <c r="AN77" s="59">
        <f t="shared" si="19"/>
        <v>72.598854399999937</v>
      </c>
      <c r="AO77" s="59">
        <f t="shared" si="19"/>
        <v>71.1173024</v>
      </c>
      <c r="AP77" s="59">
        <f t="shared" si="19"/>
        <v>69.560230399999952</v>
      </c>
      <c r="AQ77" s="59">
        <f t="shared" si="19"/>
        <v>67.927638399999992</v>
      </c>
      <c r="AR77" s="59">
        <f t="shared" si="19"/>
        <v>66.219526400000049</v>
      </c>
      <c r="AS77" s="59">
        <f t="shared" si="19"/>
        <v>64.435894399999938</v>
      </c>
      <c r="AT77" s="59">
        <f t="shared" si="19"/>
        <v>62.576742400000029</v>
      </c>
      <c r="AU77" s="59">
        <f t="shared" si="19"/>
        <v>60.642070399999959</v>
      </c>
      <c r="AV77" s="59">
        <f t="shared" si="19"/>
        <v>58.631878399999962</v>
      </c>
      <c r="AW77" s="59">
        <f>-93.1+0.26*AW$27+0.146*$A77-0.0000944*AW$27^2+0.000041*AW$27*$A77-0.00196*$A77^2</f>
        <v>56.546166400000047</v>
      </c>
      <c r="AX77" s="59">
        <f t="shared" si="18"/>
        <v>54.38493439999997</v>
      </c>
      <c r="AY77" s="59">
        <f t="shared" si="18"/>
        <v>52.148182400000024</v>
      </c>
      <c r="AZ77" s="59">
        <f t="shared" si="18"/>
        <v>49.835910399999925</v>
      </c>
    </row>
    <row r="78" spans="1:52" x14ac:dyDescent="0.25">
      <c r="A78" s="18">
        <f t="shared" si="16"/>
        <v>-1.0391687510491465E-13</v>
      </c>
      <c r="B78" s="59">
        <f t="shared" si="22"/>
        <v>72.499999999999972</v>
      </c>
      <c r="C78" s="59">
        <f t="shared" si="22"/>
        <v>73.886239999999958</v>
      </c>
      <c r="D78" s="59">
        <f t="shared" si="22"/>
        <v>75.196960000000004</v>
      </c>
      <c r="E78" s="59">
        <f t="shared" si="22"/>
        <v>76.432159999999996</v>
      </c>
      <c r="F78" s="59">
        <f t="shared" si="22"/>
        <v>77.591839999999991</v>
      </c>
      <c r="G78" s="59">
        <f t="shared" si="22"/>
        <v>78.675999999999974</v>
      </c>
      <c r="H78" s="59">
        <f t="shared" si="22"/>
        <v>79.684639999999959</v>
      </c>
      <c r="I78" s="59">
        <f t="shared" si="22"/>
        <v>80.617760000000004</v>
      </c>
      <c r="J78" s="59">
        <f t="shared" si="22"/>
        <v>81.475359999999995</v>
      </c>
      <c r="K78" s="59">
        <f t="shared" si="22"/>
        <v>82.257439999999974</v>
      </c>
      <c r="L78" s="59">
        <f t="shared" si="22"/>
        <v>82.96399999999997</v>
      </c>
      <c r="M78" s="59">
        <f t="shared" si="22"/>
        <v>83.595039999999955</v>
      </c>
      <c r="N78" s="59">
        <f t="shared" si="22"/>
        <v>84.150560000000013</v>
      </c>
      <c r="O78" s="59">
        <f t="shared" si="22"/>
        <v>84.630560000000003</v>
      </c>
      <c r="P78" s="59">
        <f t="shared" si="22"/>
        <v>85.035039999999981</v>
      </c>
      <c r="Q78" s="59">
        <f t="shared" si="22"/>
        <v>85.363999999999976</v>
      </c>
      <c r="R78" s="59">
        <f t="shared" si="21"/>
        <v>85.617439999999959</v>
      </c>
      <c r="S78" s="59">
        <f t="shared" si="21"/>
        <v>85.795360000000016</v>
      </c>
      <c r="T78" s="59">
        <f t="shared" si="21"/>
        <v>85.897760000000005</v>
      </c>
      <c r="U78" s="59">
        <f t="shared" si="21"/>
        <v>85.924640000000039</v>
      </c>
      <c r="V78" s="59">
        <f t="shared" si="21"/>
        <v>85.875999999999976</v>
      </c>
      <c r="W78" s="59">
        <f t="shared" si="21"/>
        <v>85.751840000000016</v>
      </c>
      <c r="X78" s="59">
        <f t="shared" si="21"/>
        <v>85.552160000000072</v>
      </c>
      <c r="Y78" s="59">
        <f t="shared" si="21"/>
        <v>85.276960000000003</v>
      </c>
      <c r="Z78" s="59">
        <f t="shared" si="21"/>
        <v>84.926240000000035</v>
      </c>
      <c r="AA78" s="59">
        <f t="shared" si="21"/>
        <v>84.499999999999972</v>
      </c>
      <c r="AB78" s="59">
        <f t="shared" si="21"/>
        <v>83.99824000000001</v>
      </c>
      <c r="AC78" s="59">
        <f t="shared" si="21"/>
        <v>83.420960000000065</v>
      </c>
      <c r="AD78" s="59">
        <f t="shared" si="21"/>
        <v>82.768159999999995</v>
      </c>
      <c r="AE78" s="59">
        <f t="shared" si="21"/>
        <v>82.039840000000027</v>
      </c>
      <c r="AF78" s="59">
        <f t="shared" si="21"/>
        <v>81.235999999999962</v>
      </c>
      <c r="AG78" s="59">
        <f t="shared" si="19"/>
        <v>80.356639999999999</v>
      </c>
      <c r="AH78" s="59">
        <f t="shared" si="19"/>
        <v>79.401760000000053</v>
      </c>
      <c r="AI78" s="59">
        <f t="shared" si="19"/>
        <v>78.371359999999981</v>
      </c>
      <c r="AJ78" s="59">
        <f t="shared" si="19"/>
        <v>77.265439999999998</v>
      </c>
      <c r="AK78" s="59">
        <f t="shared" si="19"/>
        <v>76.083999999999932</v>
      </c>
      <c r="AL78" s="59">
        <f t="shared" si="19"/>
        <v>74.827039999999997</v>
      </c>
      <c r="AM78" s="59">
        <f t="shared" si="19"/>
        <v>73.494560000000021</v>
      </c>
      <c r="AN78" s="59">
        <f t="shared" si="19"/>
        <v>72.086559999999949</v>
      </c>
      <c r="AO78" s="59">
        <f t="shared" si="19"/>
        <v>70.603040000000007</v>
      </c>
      <c r="AP78" s="59">
        <f t="shared" si="19"/>
        <v>69.043999999999969</v>
      </c>
      <c r="AQ78" s="59">
        <f t="shared" si="19"/>
        <v>67.409440000000004</v>
      </c>
      <c r="AR78" s="59">
        <f t="shared" si="19"/>
        <v>65.699360000000055</v>
      </c>
      <c r="AS78" s="59">
        <f t="shared" si="19"/>
        <v>63.913759999999961</v>
      </c>
      <c r="AT78" s="59">
        <f t="shared" si="19"/>
        <v>62.052640000000046</v>
      </c>
      <c r="AU78" s="59">
        <f t="shared" si="19"/>
        <v>60.115999999999978</v>
      </c>
      <c r="AV78" s="59">
        <f t="shared" si="19"/>
        <v>58.103839999999984</v>
      </c>
      <c r="AW78" s="59">
        <f>-93.1+0.26*AW$27+0.146*$A78-0.0000944*AW$27^2+0.000041*AW$27*$A78-0.00196*$A78^2</f>
        <v>56.016160000000063</v>
      </c>
      <c r="AX78" s="59">
        <f t="shared" si="18"/>
        <v>53.852959999999989</v>
      </c>
      <c r="AY78" s="59">
        <f t="shared" si="18"/>
        <v>51.614240000000045</v>
      </c>
      <c r="AZ78" s="59">
        <f t="shared" si="18"/>
        <v>49.299999999999947</v>
      </c>
    </row>
  </sheetData>
  <phoneticPr fontId="13" type="noConversion"/>
  <printOptions headings="1" gridLines="1"/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O41"/>
  <sheetViews>
    <sheetView zoomScale="65" workbookViewId="0">
      <selection activeCell="C13" sqref="C13"/>
    </sheetView>
  </sheetViews>
  <sheetFormatPr defaultRowHeight="12.5" x14ac:dyDescent="0.25"/>
  <cols>
    <col min="3" max="3" width="10.81640625" customWidth="1"/>
    <col min="4" max="4" width="12.54296875" customWidth="1"/>
    <col min="5" max="5" width="11.54296875" customWidth="1"/>
    <col min="9" max="9" width="10.7265625" customWidth="1"/>
    <col min="10" max="10" width="12.453125" customWidth="1"/>
    <col min="11" max="11" width="9.54296875" bestFit="1" customWidth="1"/>
    <col min="14" max="14" width="10.54296875" customWidth="1"/>
  </cols>
  <sheetData>
    <row r="1" spans="1:15" ht="13" x14ac:dyDescent="0.3">
      <c r="A1" s="8" t="s">
        <v>25</v>
      </c>
    </row>
    <row r="2" spans="1:15" ht="13" x14ac:dyDescent="0.3">
      <c r="A2" s="9" t="s">
        <v>29</v>
      </c>
      <c r="F2" s="9"/>
    </row>
    <row r="3" spans="1:15" ht="13" x14ac:dyDescent="0.3">
      <c r="A3" s="9" t="s">
        <v>30</v>
      </c>
    </row>
    <row r="4" spans="1:15" ht="13" x14ac:dyDescent="0.3">
      <c r="A4" s="9" t="s">
        <v>109</v>
      </c>
    </row>
    <row r="5" spans="1:15" ht="13" x14ac:dyDescent="0.3">
      <c r="A5" s="10" t="s">
        <v>110</v>
      </c>
    </row>
    <row r="6" spans="1:15" ht="13" x14ac:dyDescent="0.3">
      <c r="A6" s="9" t="s">
        <v>31</v>
      </c>
    </row>
    <row r="7" spans="1:15" ht="13" x14ac:dyDescent="0.3">
      <c r="A7" s="9" t="s">
        <v>430</v>
      </c>
    </row>
    <row r="8" spans="1:15" ht="13" x14ac:dyDescent="0.3">
      <c r="A8" s="9" t="s">
        <v>32</v>
      </c>
    </row>
    <row r="9" spans="1:15" ht="13" x14ac:dyDescent="0.3">
      <c r="A9" s="47" t="s">
        <v>23</v>
      </c>
    </row>
    <row r="10" spans="1:15" ht="13" x14ac:dyDescent="0.3">
      <c r="A10" s="47" t="s">
        <v>20</v>
      </c>
    </row>
    <row r="11" spans="1:15" ht="13" x14ac:dyDescent="0.3">
      <c r="A11" s="9"/>
    </row>
    <row r="12" spans="1:15" ht="13" x14ac:dyDescent="0.3">
      <c r="C12" s="19" t="s">
        <v>286</v>
      </c>
      <c r="D12" s="19" t="s">
        <v>287</v>
      </c>
      <c r="J12" s="3"/>
      <c r="K12" s="9"/>
    </row>
    <row r="13" spans="1:15" ht="13" x14ac:dyDescent="0.3">
      <c r="B13" s="12" t="s">
        <v>288</v>
      </c>
      <c r="C13" s="13">
        <v>0</v>
      </c>
      <c r="D13" s="14">
        <v>0</v>
      </c>
      <c r="J13" s="1"/>
    </row>
    <row r="14" spans="1:15" ht="13" x14ac:dyDescent="0.3">
      <c r="B14" s="12" t="s">
        <v>124</v>
      </c>
      <c r="C14" s="13">
        <v>1</v>
      </c>
      <c r="D14" s="14">
        <v>1</v>
      </c>
      <c r="K14" s="3"/>
    </row>
    <row r="15" spans="1:15" ht="13" x14ac:dyDescent="0.3">
      <c r="A15" s="1"/>
      <c r="B15" s="15"/>
      <c r="C15" s="1"/>
      <c r="D15" s="16"/>
      <c r="E15" s="17"/>
      <c r="F15" s="1"/>
      <c r="G15" s="1"/>
      <c r="H15" s="1"/>
      <c r="I15" s="1"/>
      <c r="J15" s="1"/>
      <c r="K15" s="17"/>
    </row>
    <row r="16" spans="1:15" ht="13" x14ac:dyDescent="0.3">
      <c r="A16" s="30" t="s">
        <v>19</v>
      </c>
      <c r="B16" s="31"/>
      <c r="C16" s="31"/>
      <c r="D16" s="13"/>
      <c r="E16" s="13"/>
      <c r="F16" s="13"/>
      <c r="G16" s="13"/>
      <c r="H16" s="13"/>
      <c r="I16" s="13"/>
      <c r="J16" s="18"/>
      <c r="K16" s="18"/>
      <c r="L16" s="19"/>
      <c r="M16" s="19"/>
      <c r="N16" s="20"/>
      <c r="O16" s="21"/>
    </row>
    <row r="17" spans="1:14" x14ac:dyDescent="0.25">
      <c r="C17" s="11"/>
      <c r="D17" s="18"/>
      <c r="E17" s="18"/>
      <c r="F17" s="18"/>
      <c r="G17" s="18"/>
      <c r="H17" s="18"/>
      <c r="I17" s="18"/>
      <c r="J17" s="18"/>
      <c r="K17" s="18" t="s">
        <v>36</v>
      </c>
      <c r="L17" s="1"/>
      <c r="M17" s="1"/>
      <c r="N17" s="1"/>
    </row>
    <row r="18" spans="1:14" ht="13" x14ac:dyDescent="0.3">
      <c r="A18" s="23" t="s">
        <v>125</v>
      </c>
      <c r="B18" s="18"/>
      <c r="C18" s="18"/>
      <c r="D18" s="18"/>
      <c r="E18" s="24" t="s">
        <v>126</v>
      </c>
      <c r="F18" s="18"/>
      <c r="G18" s="23" t="s">
        <v>127</v>
      </c>
      <c r="H18" s="18"/>
      <c r="I18" s="18"/>
      <c r="J18" s="18"/>
      <c r="K18" t="s">
        <v>37</v>
      </c>
      <c r="L18" s="2"/>
      <c r="M18" s="2"/>
      <c r="N18" s="1"/>
    </row>
    <row r="19" spans="1:14" x14ac:dyDescent="0.25">
      <c r="A19" s="30">
        <f t="shared" ref="A19:C20" si="0">2+0*A$23+0*$E19+A$23^2+0*A$23*$E19-$E19^2</f>
        <v>2</v>
      </c>
      <c r="B19" s="30">
        <f t="shared" si="0"/>
        <v>1</v>
      </c>
      <c r="C19" s="30">
        <f t="shared" si="0"/>
        <v>2</v>
      </c>
      <c r="E19">
        <f>+$D$13+$D$14</f>
        <v>1</v>
      </c>
      <c r="G19" s="29">
        <f t="shared" ref="G19:I21" si="1">+A19-$B$20</f>
        <v>0</v>
      </c>
      <c r="H19" s="29">
        <f t="shared" si="1"/>
        <v>-1</v>
      </c>
      <c r="I19" s="29">
        <f t="shared" si="1"/>
        <v>0</v>
      </c>
      <c r="K19" t="s">
        <v>38</v>
      </c>
      <c r="L19" s="2"/>
      <c r="M19" s="2"/>
      <c r="N19" s="1"/>
    </row>
    <row r="20" spans="1:14" x14ac:dyDescent="0.25">
      <c r="A20" s="30">
        <f t="shared" si="0"/>
        <v>3</v>
      </c>
      <c r="B20" s="30">
        <f>2+0*B$23+0*$E20+B$23^2+0*B$23*$E20-$E20^2</f>
        <v>2</v>
      </c>
      <c r="C20" s="30">
        <f t="shared" si="0"/>
        <v>3</v>
      </c>
      <c r="E20">
        <f>+$D$13</f>
        <v>0</v>
      </c>
      <c r="G20" s="29">
        <f t="shared" si="1"/>
        <v>1</v>
      </c>
      <c r="H20" s="29">
        <f t="shared" si="1"/>
        <v>0</v>
      </c>
      <c r="I20" s="29">
        <f t="shared" si="1"/>
        <v>1</v>
      </c>
      <c r="K20" t="s">
        <v>40</v>
      </c>
      <c r="L20" s="2"/>
      <c r="M20" s="2"/>
      <c r="N20" s="1"/>
    </row>
    <row r="21" spans="1:14" x14ac:dyDescent="0.25">
      <c r="A21" s="30">
        <f>2+0*A$23+0*$E21+A$23^2+0*A$23*$E21-$E21^2</f>
        <v>2</v>
      </c>
      <c r="B21" s="30">
        <f>2+0*B$23+0*$E21+B$23^2+0*B$23*$E21-$E21^2</f>
        <v>1</v>
      </c>
      <c r="C21" s="30">
        <f>2+0*C$23+0*$E21+C$23^2+0*C$23*$E21-$E21^2</f>
        <v>2</v>
      </c>
      <c r="E21">
        <f>+$D$13-$D$14</f>
        <v>-1</v>
      </c>
      <c r="G21" s="29">
        <f t="shared" si="1"/>
        <v>0</v>
      </c>
      <c r="H21" s="29">
        <f t="shared" si="1"/>
        <v>-1</v>
      </c>
      <c r="I21" s="29">
        <f t="shared" si="1"/>
        <v>0</v>
      </c>
      <c r="K21" t="s">
        <v>41</v>
      </c>
      <c r="L21" s="2"/>
      <c r="M21" s="2"/>
      <c r="N21" s="1"/>
    </row>
    <row r="22" spans="1:14" x14ac:dyDescent="0.25">
      <c r="K22" t="s">
        <v>39</v>
      </c>
      <c r="L22" s="2"/>
      <c r="M22" s="2"/>
      <c r="N22" s="1"/>
    </row>
    <row r="23" spans="1:14" ht="13" x14ac:dyDescent="0.3">
      <c r="A23">
        <f>+$C$13-$C$14</f>
        <v>-1</v>
      </c>
      <c r="B23">
        <f>+$C$13</f>
        <v>0</v>
      </c>
      <c r="C23">
        <f>+$C$13+$C$14</f>
        <v>1</v>
      </c>
      <c r="E23" s="9" t="s">
        <v>128</v>
      </c>
      <c r="F23" s="25" t="s">
        <v>129</v>
      </c>
      <c r="G23">
        <f>+$C$13-$C$14</f>
        <v>-1</v>
      </c>
      <c r="H23">
        <f>+$C$13</f>
        <v>0</v>
      </c>
      <c r="I23">
        <f>+$C$13+$C$14</f>
        <v>1</v>
      </c>
      <c r="K23" t="s">
        <v>42</v>
      </c>
      <c r="L23" s="2"/>
      <c r="M23" s="2"/>
      <c r="N23" s="1"/>
    </row>
    <row r="24" spans="1:14" ht="13" x14ac:dyDescent="0.3">
      <c r="E24" s="9"/>
      <c r="F24" s="25"/>
      <c r="K24" t="s">
        <v>43</v>
      </c>
      <c r="L24" s="2"/>
      <c r="M24" s="2"/>
      <c r="N24" s="1"/>
    </row>
    <row r="25" spans="1:14" ht="13" x14ac:dyDescent="0.3">
      <c r="E25" s="9"/>
      <c r="F25" s="25"/>
      <c r="K25" s="60" t="s">
        <v>44</v>
      </c>
      <c r="L25" s="2"/>
      <c r="M25" s="2"/>
      <c r="N25" s="1"/>
    </row>
    <row r="26" spans="1:14" ht="13" x14ac:dyDescent="0.3">
      <c r="E26" s="9"/>
      <c r="F26" s="25"/>
      <c r="L26" s="2"/>
      <c r="M26" s="2"/>
      <c r="N26" s="1"/>
    </row>
    <row r="27" spans="1:14" ht="13" x14ac:dyDescent="0.3">
      <c r="A27" s="35" t="s">
        <v>21</v>
      </c>
      <c r="E27" s="9"/>
      <c r="F27" s="25"/>
      <c r="L27" s="2"/>
      <c r="M27" s="2"/>
      <c r="N27" s="1"/>
    </row>
    <row r="28" spans="1:14" ht="13" x14ac:dyDescent="0.3">
      <c r="A28" t="s">
        <v>22</v>
      </c>
      <c r="E28" s="9"/>
      <c r="F28" s="25"/>
      <c r="L28" s="2"/>
      <c r="M28" s="2"/>
      <c r="N28" s="1"/>
    </row>
    <row r="29" spans="1:14" ht="13" x14ac:dyDescent="0.3">
      <c r="A29" t="s">
        <v>33</v>
      </c>
      <c r="E29" s="9"/>
      <c r="F29" s="25"/>
      <c r="L29" s="2"/>
      <c r="M29" s="2"/>
      <c r="N29" s="1"/>
    </row>
    <row r="30" spans="1:14" ht="13" x14ac:dyDescent="0.3">
      <c r="A30" t="s">
        <v>34</v>
      </c>
      <c r="E30" s="9"/>
      <c r="F30" s="25"/>
      <c r="L30" s="2"/>
      <c r="M30" s="2"/>
      <c r="N30" s="1"/>
    </row>
    <row r="31" spans="1:14" ht="13" x14ac:dyDescent="0.3">
      <c r="A31" t="s">
        <v>24</v>
      </c>
      <c r="E31" s="9"/>
      <c r="F31" s="25"/>
      <c r="L31" s="2"/>
      <c r="M31" s="2"/>
      <c r="N31" s="1"/>
    </row>
    <row r="32" spans="1:14" ht="13" x14ac:dyDescent="0.3">
      <c r="A32" t="s">
        <v>26</v>
      </c>
      <c r="E32" s="9"/>
      <c r="F32" s="25"/>
      <c r="L32" s="2"/>
      <c r="M32" s="2"/>
      <c r="N32" s="1"/>
    </row>
    <row r="33" spans="1:14" ht="13" x14ac:dyDescent="0.3">
      <c r="A33" t="s">
        <v>27</v>
      </c>
      <c r="E33" s="9"/>
      <c r="F33" s="25"/>
      <c r="L33" s="2"/>
      <c r="M33" s="2"/>
      <c r="N33" s="1"/>
    </row>
    <row r="34" spans="1:14" ht="13" x14ac:dyDescent="0.3">
      <c r="A34" t="s">
        <v>28</v>
      </c>
      <c r="E34" s="9"/>
      <c r="F34" s="25"/>
      <c r="L34" s="2"/>
      <c r="M34" s="2"/>
      <c r="N34" s="1"/>
    </row>
    <row r="35" spans="1:14" ht="13" x14ac:dyDescent="0.3">
      <c r="A35" t="s">
        <v>35</v>
      </c>
      <c r="E35" s="9"/>
      <c r="F35" s="25"/>
      <c r="L35" s="2"/>
      <c r="M35" s="2"/>
      <c r="N35" s="1"/>
    </row>
    <row r="36" spans="1:14" ht="13" x14ac:dyDescent="0.3">
      <c r="A36" t="s">
        <v>45</v>
      </c>
      <c r="E36" s="9"/>
      <c r="F36" s="25"/>
      <c r="L36" s="2"/>
      <c r="M36" s="2"/>
      <c r="N36" s="1"/>
    </row>
    <row r="37" spans="1:14" ht="13" x14ac:dyDescent="0.3">
      <c r="E37" s="9"/>
      <c r="F37" s="25"/>
      <c r="L37" s="2"/>
      <c r="M37" s="2"/>
      <c r="N37" s="1"/>
    </row>
    <row r="38" spans="1:14" ht="13" x14ac:dyDescent="0.3">
      <c r="E38" s="9"/>
      <c r="F38" s="25"/>
      <c r="L38" s="2"/>
      <c r="M38" s="2"/>
      <c r="N38" s="1"/>
    </row>
    <row r="39" spans="1:14" ht="13" x14ac:dyDescent="0.3">
      <c r="E39" s="9"/>
      <c r="F39" s="25"/>
      <c r="L39" s="2"/>
      <c r="M39" s="2"/>
      <c r="N39" s="1"/>
    </row>
    <row r="40" spans="1:14" ht="13" x14ac:dyDescent="0.3">
      <c r="E40" s="9"/>
      <c r="F40" s="25"/>
      <c r="L40" s="2"/>
      <c r="M40" s="2"/>
      <c r="N40" s="1"/>
    </row>
    <row r="41" spans="1:14" ht="13" x14ac:dyDescent="0.3">
      <c r="E41" s="9"/>
      <c r="F41" s="25"/>
      <c r="L41" s="2"/>
      <c r="M41" s="2"/>
      <c r="N41" s="1"/>
    </row>
  </sheetData>
  <phoneticPr fontId="13" type="noConversion"/>
  <printOptions headings="1" gridLines="1"/>
  <pageMargins left="0.5" right="0.5" top="1" bottom="1" header="0.5" footer="0.5"/>
  <pageSetup orientation="portrait" horizontalDpi="300" verticalDpi="300" r:id="rId1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N37"/>
  <sheetViews>
    <sheetView zoomScale="65" workbookViewId="0">
      <selection activeCell="A10" sqref="A10"/>
    </sheetView>
  </sheetViews>
  <sheetFormatPr defaultRowHeight="12.5" x14ac:dyDescent="0.25"/>
  <cols>
    <col min="1" max="1" width="4" customWidth="1"/>
    <col min="2" max="2" width="6.1796875" customWidth="1"/>
    <col min="3" max="3" width="24.26953125" customWidth="1"/>
    <col min="4" max="4" width="23.7265625" customWidth="1"/>
    <col min="5" max="5" width="14.453125" customWidth="1"/>
    <col min="6" max="6" width="13.26953125" customWidth="1"/>
    <col min="7" max="7" width="11.1796875" customWidth="1"/>
    <col min="8" max="8" width="11" customWidth="1"/>
    <col min="9" max="9" width="10.54296875" customWidth="1"/>
    <col min="10" max="10" width="11" customWidth="1"/>
  </cols>
  <sheetData>
    <row r="1" spans="1:14" ht="13" x14ac:dyDescent="0.3">
      <c r="A1" s="8" t="s">
        <v>331</v>
      </c>
      <c r="L1" s="2"/>
      <c r="M1" s="2"/>
      <c r="N1" s="1"/>
    </row>
    <row r="2" spans="1:14" ht="13" x14ac:dyDescent="0.3">
      <c r="A2" s="9" t="s">
        <v>297</v>
      </c>
      <c r="L2" s="2"/>
      <c r="M2" s="2"/>
      <c r="N2" s="1"/>
    </row>
    <row r="3" spans="1:14" ht="13" x14ac:dyDescent="0.3">
      <c r="A3" s="9" t="s">
        <v>419</v>
      </c>
    </row>
    <row r="4" spans="1:14" ht="13" x14ac:dyDescent="0.3">
      <c r="A4" s="35" t="s">
        <v>330</v>
      </c>
    </row>
    <row r="5" spans="1:14" ht="13" x14ac:dyDescent="0.3">
      <c r="A5" s="35" t="s">
        <v>298</v>
      </c>
    </row>
    <row r="6" spans="1:14" ht="13" x14ac:dyDescent="0.3">
      <c r="A6" t="s">
        <v>420</v>
      </c>
    </row>
    <row r="7" spans="1:14" ht="13" x14ac:dyDescent="0.3">
      <c r="A7" s="9" t="s">
        <v>308</v>
      </c>
    </row>
    <row r="8" spans="1:14" ht="13" x14ac:dyDescent="0.3">
      <c r="A8" t="s">
        <v>421</v>
      </c>
    </row>
    <row r="9" spans="1:14" ht="13" x14ac:dyDescent="0.3">
      <c r="A9" s="8" t="s">
        <v>394</v>
      </c>
    </row>
    <row r="10" spans="1:14" x14ac:dyDescent="0.25">
      <c r="A10" s="36" t="s">
        <v>389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</row>
    <row r="11" spans="1:14" ht="13" x14ac:dyDescent="0.3">
      <c r="C11" s="58" t="s">
        <v>395</v>
      </c>
      <c r="D11" s="18"/>
      <c r="F11" s="12" t="s">
        <v>392</v>
      </c>
      <c r="G11" s="3"/>
      <c r="H11" s="3"/>
      <c r="I11" s="3"/>
      <c r="J11" s="3"/>
      <c r="K11" s="3"/>
    </row>
    <row r="12" spans="1:14" ht="13" x14ac:dyDescent="0.3">
      <c r="C12" s="18"/>
      <c r="D12" s="18"/>
      <c r="E12" s="18"/>
      <c r="F12" s="22" t="s">
        <v>124</v>
      </c>
      <c r="G12" s="13">
        <v>700</v>
      </c>
      <c r="H12" s="13">
        <v>70</v>
      </c>
      <c r="I12" s="13"/>
      <c r="J12" s="13"/>
      <c r="K12" s="13"/>
    </row>
    <row r="13" spans="1:14" ht="15" x14ac:dyDescent="0.4">
      <c r="B13" s="26" t="s">
        <v>130</v>
      </c>
      <c r="C13" s="24" t="s">
        <v>66</v>
      </c>
      <c r="D13" s="27" t="s">
        <v>131</v>
      </c>
      <c r="E13" s="18"/>
      <c r="F13" s="22" t="s">
        <v>393</v>
      </c>
      <c r="G13" s="19" t="s">
        <v>132</v>
      </c>
      <c r="H13" s="19" t="s">
        <v>133</v>
      </c>
      <c r="I13" s="19" t="s">
        <v>134</v>
      </c>
      <c r="J13" s="19" t="s">
        <v>135</v>
      </c>
      <c r="K13" s="19" t="s">
        <v>136</v>
      </c>
    </row>
    <row r="14" spans="1:14" ht="13" x14ac:dyDescent="0.3">
      <c r="B14" s="28"/>
      <c r="C14" s="36">
        <f>-93.1+0.26*G14+0.146*H14-0.0000944*G14^2+0.000041*G14*H14-0.00196*H14^2</f>
        <v>91.165745414129333</v>
      </c>
      <c r="D14">
        <f t="shared" ref="D14:D23" si="0">+C14-C$14</f>
        <v>0</v>
      </c>
      <c r="F14" s="12" t="s">
        <v>137</v>
      </c>
      <c r="G14" s="13">
        <v>1388.3596387151294</v>
      </c>
      <c r="H14" s="13">
        <v>51.766055583287695</v>
      </c>
      <c r="I14" s="13"/>
      <c r="J14" s="13"/>
      <c r="K14" s="13"/>
    </row>
    <row r="15" spans="1:14" x14ac:dyDescent="0.25">
      <c r="B15" s="28">
        <v>1</v>
      </c>
      <c r="C15" s="36">
        <f t="shared" ref="C15:C23" ca="1" si="1">-93.1+0.26*G15+0.146*H15-0.0000944*G15^2+0.000041*G15*H15-0.00196*H15^2</f>
        <v>78.932633315573213</v>
      </c>
      <c r="D15" s="29">
        <f t="shared" ca="1" si="0"/>
        <v>-12.23311209855612</v>
      </c>
      <c r="G15">
        <f t="shared" ref="G15:K23" ca="1" si="2">+G$14+2*G$12*RAND()-G$12</f>
        <v>1728.4562084676991</v>
      </c>
      <c r="H15">
        <f t="shared" ca="1" si="2"/>
        <v>81.461591701225871</v>
      </c>
      <c r="I15">
        <f t="shared" ca="1" si="2"/>
        <v>0</v>
      </c>
      <c r="J15">
        <f t="shared" ca="1" si="2"/>
        <v>0</v>
      </c>
      <c r="K15">
        <f t="shared" ca="1" si="2"/>
        <v>0</v>
      </c>
    </row>
    <row r="16" spans="1:14" x14ac:dyDescent="0.25">
      <c r="B16" s="28">
        <v>2</v>
      </c>
      <c r="C16" s="36">
        <f t="shared" ca="1" si="1"/>
        <v>86.19051786684129</v>
      </c>
      <c r="D16" s="29">
        <f t="shared" ca="1" si="0"/>
        <v>-4.9752275472880427</v>
      </c>
      <c r="G16">
        <f t="shared" ca="1" si="2"/>
        <v>1262.0855689196294</v>
      </c>
      <c r="H16">
        <f t="shared" ca="1" si="2"/>
        <v>92.542180615775266</v>
      </c>
      <c r="I16">
        <f t="shared" ca="1" si="2"/>
        <v>0</v>
      </c>
      <c r="J16">
        <f t="shared" ca="1" si="2"/>
        <v>0</v>
      </c>
      <c r="K16">
        <f t="shared" ca="1" si="2"/>
        <v>0</v>
      </c>
    </row>
    <row r="17" spans="1:11" x14ac:dyDescent="0.25">
      <c r="B17" s="28">
        <v>3</v>
      </c>
      <c r="C17" s="36">
        <f t="shared" ca="1" si="1"/>
        <v>49.27306263117157</v>
      </c>
      <c r="D17" s="29">
        <f t="shared" ca="1" si="0"/>
        <v>-41.892682782957763</v>
      </c>
      <c r="G17">
        <f t="shared" ca="1" si="2"/>
        <v>728.54399684319378</v>
      </c>
      <c r="H17">
        <f t="shared" ca="1" si="2"/>
        <v>23.576186365667112</v>
      </c>
      <c r="I17">
        <f t="shared" ca="1" si="2"/>
        <v>0</v>
      </c>
      <c r="J17">
        <f t="shared" ca="1" si="2"/>
        <v>0</v>
      </c>
      <c r="K17">
        <f t="shared" ca="1" si="2"/>
        <v>0</v>
      </c>
    </row>
    <row r="18" spans="1:11" x14ac:dyDescent="0.25">
      <c r="B18" s="28">
        <v>4</v>
      </c>
      <c r="C18" s="36">
        <f t="shared" ca="1" si="1"/>
        <v>73.235449807677711</v>
      </c>
      <c r="D18" s="29">
        <f t="shared" ca="1" si="0"/>
        <v>-17.930295606451622</v>
      </c>
      <c r="G18">
        <f t="shared" ca="1" si="2"/>
        <v>1730.0665329747771</v>
      </c>
      <c r="H18">
        <f t="shared" ca="1" si="2"/>
        <v>-4.1342610930033032</v>
      </c>
      <c r="I18">
        <f t="shared" ca="1" si="2"/>
        <v>0</v>
      </c>
      <c r="J18">
        <f t="shared" ca="1" si="2"/>
        <v>0</v>
      </c>
      <c r="K18">
        <f t="shared" ca="1" si="2"/>
        <v>0</v>
      </c>
    </row>
    <row r="19" spans="1:11" ht="13" x14ac:dyDescent="0.3">
      <c r="B19" s="28">
        <v>5</v>
      </c>
      <c r="C19" s="36">
        <f t="shared" ca="1" si="1"/>
        <v>70.926942486164748</v>
      </c>
      <c r="D19" s="29">
        <f t="shared" ca="1" si="0"/>
        <v>-20.238802927964585</v>
      </c>
      <c r="F19" s="12" t="s">
        <v>17</v>
      </c>
      <c r="G19">
        <f t="shared" ca="1" si="2"/>
        <v>1729.6434782003853</v>
      </c>
      <c r="H19">
        <f t="shared" ca="1" si="2"/>
        <v>-13.431297025759804</v>
      </c>
      <c r="I19">
        <f t="shared" ca="1" si="2"/>
        <v>0</v>
      </c>
      <c r="J19">
        <f t="shared" ca="1" si="2"/>
        <v>0</v>
      </c>
      <c r="K19">
        <f t="shared" ca="1" si="2"/>
        <v>0</v>
      </c>
    </row>
    <row r="20" spans="1:11" ht="13" x14ac:dyDescent="0.3">
      <c r="B20" s="28">
        <v>6</v>
      </c>
      <c r="C20" s="36">
        <f t="shared" ca="1" si="1"/>
        <v>72.08479335566102</v>
      </c>
      <c r="D20" s="29">
        <f t="shared" ca="1" si="0"/>
        <v>-19.080952058468313</v>
      </c>
      <c r="F20" s="12" t="s">
        <v>18</v>
      </c>
      <c r="G20">
        <f t="shared" ca="1" si="2"/>
        <v>947.0865037305332</v>
      </c>
      <c r="H20">
        <f t="shared" ca="1" si="2"/>
        <v>27.708149790712838</v>
      </c>
      <c r="I20">
        <f t="shared" ca="1" si="2"/>
        <v>0</v>
      </c>
      <c r="J20">
        <f t="shared" ca="1" si="2"/>
        <v>0</v>
      </c>
      <c r="K20">
        <f t="shared" ca="1" si="2"/>
        <v>0</v>
      </c>
    </row>
    <row r="21" spans="1:11" x14ac:dyDescent="0.25">
      <c r="B21" s="28">
        <v>7</v>
      </c>
      <c r="C21" s="36">
        <f t="shared" ca="1" si="1"/>
        <v>86.204565678181055</v>
      </c>
      <c r="D21" s="29">
        <f t="shared" ca="1" si="0"/>
        <v>-4.9611797359482779</v>
      </c>
      <c r="G21">
        <f t="shared" ca="1" si="2"/>
        <v>1575.696224171329</v>
      </c>
      <c r="H21">
        <f t="shared" ca="1" si="2"/>
        <v>24.660399551665364</v>
      </c>
      <c r="I21">
        <f t="shared" ca="1" si="2"/>
        <v>0</v>
      </c>
      <c r="J21">
        <f t="shared" ca="1" si="2"/>
        <v>0</v>
      </c>
      <c r="K21">
        <f t="shared" ca="1" si="2"/>
        <v>0</v>
      </c>
    </row>
    <row r="22" spans="1:11" x14ac:dyDescent="0.25">
      <c r="B22" s="28">
        <v>8</v>
      </c>
      <c r="C22" s="36">
        <f t="shared" ca="1" si="1"/>
        <v>77.706299546047092</v>
      </c>
      <c r="D22" s="29">
        <f t="shared" ca="1" si="0"/>
        <v>-13.459445868082241</v>
      </c>
      <c r="G22">
        <f t="shared" ca="1" si="2"/>
        <v>1010.907237611184</v>
      </c>
      <c r="H22">
        <f t="shared" ca="1" si="2"/>
        <v>43.258162248302895</v>
      </c>
      <c r="I22">
        <f t="shared" ca="1" si="2"/>
        <v>0</v>
      </c>
      <c r="J22">
        <f t="shared" ca="1" si="2"/>
        <v>0</v>
      </c>
      <c r="K22">
        <f t="shared" ca="1" si="2"/>
        <v>0</v>
      </c>
    </row>
    <row r="23" spans="1:11" x14ac:dyDescent="0.25">
      <c r="B23" s="28">
        <v>9</v>
      </c>
      <c r="C23" s="36">
        <f t="shared" ca="1" si="1"/>
        <v>84.226582532120034</v>
      </c>
      <c r="D23" s="29">
        <f t="shared" ca="1" si="0"/>
        <v>-6.939162882009299</v>
      </c>
      <c r="G23">
        <f t="shared" ca="1" si="2"/>
        <v>1348.5390048706595</v>
      </c>
      <c r="H23">
        <f t="shared" ca="1" si="2"/>
        <v>-7.5078452033913194</v>
      </c>
      <c r="I23">
        <f t="shared" ca="1" si="2"/>
        <v>0</v>
      </c>
      <c r="J23">
        <f t="shared" ca="1" si="2"/>
        <v>0</v>
      </c>
      <c r="K23">
        <f t="shared" ca="1" si="2"/>
        <v>0</v>
      </c>
    </row>
    <row r="24" spans="1:11" ht="13" x14ac:dyDescent="0.3">
      <c r="D24" s="28" t="s">
        <v>14</v>
      </c>
      <c r="E24" s="28"/>
      <c r="F24" s="3"/>
      <c r="G24" t="s">
        <v>0</v>
      </c>
    </row>
    <row r="26" spans="1:11" ht="13" x14ac:dyDescent="0.3">
      <c r="A26" t="s">
        <v>97</v>
      </c>
    </row>
    <row r="27" spans="1:11" ht="13" x14ac:dyDescent="0.3">
      <c r="A27" t="s">
        <v>98</v>
      </c>
    </row>
    <row r="28" spans="1:11" ht="13" x14ac:dyDescent="0.3">
      <c r="A28" s="35" t="s">
        <v>423</v>
      </c>
    </row>
    <row r="29" spans="1:11" ht="13" x14ac:dyDescent="0.3">
      <c r="A29" t="s">
        <v>424</v>
      </c>
    </row>
    <row r="30" spans="1:11" ht="13" x14ac:dyDescent="0.3">
      <c r="A30" t="s">
        <v>418</v>
      </c>
    </row>
    <row r="31" spans="1:11" ht="13" x14ac:dyDescent="0.3">
      <c r="A31" t="s">
        <v>425</v>
      </c>
    </row>
    <row r="32" spans="1:11" ht="13" x14ac:dyDescent="0.3">
      <c r="A32" t="s">
        <v>417</v>
      </c>
    </row>
    <row r="33" spans="1:1" x14ac:dyDescent="0.25">
      <c r="A33" t="s">
        <v>416</v>
      </c>
    </row>
    <row r="34" spans="1:1" ht="13" x14ac:dyDescent="0.3">
      <c r="A34" t="s">
        <v>15</v>
      </c>
    </row>
    <row r="35" spans="1:1" ht="13" x14ac:dyDescent="0.3">
      <c r="A35" t="s">
        <v>16</v>
      </c>
    </row>
    <row r="36" spans="1:1" x14ac:dyDescent="0.25">
      <c r="A36" t="s">
        <v>55</v>
      </c>
    </row>
    <row r="37" spans="1:1" ht="13" x14ac:dyDescent="0.3">
      <c r="A37" t="s">
        <v>426</v>
      </c>
    </row>
  </sheetData>
  <phoneticPr fontId="13" type="noConversion"/>
  <printOptions headings="1" gridLines="1"/>
  <pageMargins left="0.5" right="0.5" top="1" bottom="1" header="0.5" footer="0.5"/>
  <pageSetup orientation="portrait" horizontalDpi="300" verticalDpi="300" r:id="rId1"/>
  <headerFooter alignWithMargins="0">
    <oddHeader>&amp;A</oddHead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B33"/>
  <sheetViews>
    <sheetView zoomScale="70" workbookViewId="0">
      <selection activeCell="A2" sqref="A2"/>
    </sheetView>
  </sheetViews>
  <sheetFormatPr defaultRowHeight="12.5" x14ac:dyDescent="0.25"/>
  <sheetData>
    <row r="1" spans="1:2" ht="13" x14ac:dyDescent="0.3">
      <c r="A1" s="8" t="s">
        <v>411</v>
      </c>
    </row>
    <row r="4" spans="1:2" ht="13" x14ac:dyDescent="0.3">
      <c r="A4" t="s">
        <v>309</v>
      </c>
    </row>
    <row r="5" spans="1:2" x14ac:dyDescent="0.25">
      <c r="B5" t="s">
        <v>333</v>
      </c>
    </row>
    <row r="6" spans="1:2" x14ac:dyDescent="0.25">
      <c r="B6" t="s">
        <v>89</v>
      </c>
    </row>
    <row r="8" spans="1:2" ht="13" x14ac:dyDescent="0.3">
      <c r="A8" t="s">
        <v>412</v>
      </c>
    </row>
    <row r="9" spans="1:2" ht="13" x14ac:dyDescent="0.3">
      <c r="B9" t="s">
        <v>90</v>
      </c>
    </row>
    <row r="10" spans="1:2" x14ac:dyDescent="0.25">
      <c r="B10" t="s">
        <v>91</v>
      </c>
    </row>
    <row r="12" spans="1:2" ht="13" x14ac:dyDescent="0.3">
      <c r="A12" s="9" t="s">
        <v>300</v>
      </c>
    </row>
    <row r="13" spans="1:2" x14ac:dyDescent="0.25">
      <c r="B13" t="s">
        <v>301</v>
      </c>
    </row>
    <row r="15" spans="1:2" ht="13" x14ac:dyDescent="0.3">
      <c r="A15" t="s">
        <v>92</v>
      </c>
    </row>
    <row r="16" spans="1:2" ht="13" x14ac:dyDescent="0.3">
      <c r="B16" t="s">
        <v>93</v>
      </c>
    </row>
    <row r="17" spans="1:2" x14ac:dyDescent="0.25">
      <c r="B17" t="s">
        <v>94</v>
      </c>
    </row>
    <row r="18" spans="1:2" ht="13" x14ac:dyDescent="0.3">
      <c r="B18" t="s">
        <v>95</v>
      </c>
    </row>
    <row r="19" spans="1:2" x14ac:dyDescent="0.25">
      <c r="B19" t="s">
        <v>96</v>
      </c>
    </row>
    <row r="21" spans="1:2" ht="13" x14ac:dyDescent="0.3">
      <c r="A21" t="s">
        <v>302</v>
      </c>
    </row>
    <row r="22" spans="1:2" x14ac:dyDescent="0.25">
      <c r="B22" s="10" t="s">
        <v>332</v>
      </c>
    </row>
    <row r="24" spans="1:2" ht="13" x14ac:dyDescent="0.3">
      <c r="A24" t="s">
        <v>312</v>
      </c>
    </row>
    <row r="25" spans="1:2" x14ac:dyDescent="0.25">
      <c r="B25" t="s">
        <v>353</v>
      </c>
    </row>
    <row r="27" spans="1:2" ht="13" x14ac:dyDescent="0.3">
      <c r="A27" s="35" t="s">
        <v>408</v>
      </c>
    </row>
    <row r="28" spans="1:2" ht="13" x14ac:dyDescent="0.3">
      <c r="B28" t="s">
        <v>409</v>
      </c>
    </row>
    <row r="30" spans="1:2" ht="15" x14ac:dyDescent="0.3">
      <c r="A30" t="s">
        <v>432</v>
      </c>
    </row>
    <row r="31" spans="1:2" ht="13" x14ac:dyDescent="0.3">
      <c r="B31" s="35" t="s">
        <v>431</v>
      </c>
    </row>
    <row r="33" spans="1:1" ht="13" x14ac:dyDescent="0.3">
      <c r="A33" s="35" t="s">
        <v>433</v>
      </c>
    </row>
  </sheetData>
  <sheetProtection sheet="1" objects="1" scenarios="1"/>
  <phoneticPr fontId="13" type="noConversion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32"/>
  <sheetViews>
    <sheetView zoomScale="70" workbookViewId="0">
      <selection activeCell="F6" sqref="F6"/>
    </sheetView>
  </sheetViews>
  <sheetFormatPr defaultRowHeight="12.5" x14ac:dyDescent="0.25"/>
  <cols>
    <col min="3" max="3" width="10.26953125" customWidth="1"/>
    <col min="4" max="4" width="6.81640625" customWidth="1"/>
    <col min="5" max="5" width="6.7265625" customWidth="1"/>
    <col min="7" max="7" width="8.26953125" customWidth="1"/>
    <col min="12" max="12" width="11.1796875" customWidth="1"/>
  </cols>
  <sheetData>
    <row r="1" spans="1:9" ht="13" x14ac:dyDescent="0.3">
      <c r="A1" t="s">
        <v>138</v>
      </c>
    </row>
    <row r="2" spans="1:9" x14ac:dyDescent="0.25">
      <c r="A2" t="s">
        <v>289</v>
      </c>
    </row>
    <row r="3" spans="1:9" x14ac:dyDescent="0.25">
      <c r="A3" t="s">
        <v>290</v>
      </c>
    </row>
    <row r="4" spans="1:9" x14ac:dyDescent="0.25">
      <c r="A4" t="s">
        <v>291</v>
      </c>
    </row>
    <row r="6" spans="1:9" ht="13" x14ac:dyDescent="0.3">
      <c r="A6" s="37" t="s">
        <v>139</v>
      </c>
      <c r="B6" s="37" t="s">
        <v>140</v>
      </c>
      <c r="C6" s="37" t="s">
        <v>141</v>
      </c>
      <c r="E6" t="s">
        <v>142</v>
      </c>
      <c r="F6" s="57">
        <f>EXP(0.05)-1</f>
        <v>5.1271096376024117E-2</v>
      </c>
      <c r="G6" s="3" t="s">
        <v>143</v>
      </c>
      <c r="H6" t="s">
        <v>310</v>
      </c>
    </row>
    <row r="7" spans="1:9" ht="13" x14ac:dyDescent="0.3">
      <c r="A7" s="49">
        <v>0</v>
      </c>
      <c r="B7" s="49">
        <v>-1000</v>
      </c>
      <c r="C7">
        <f>B7/(1+$F$6)^A7</f>
        <v>-1000</v>
      </c>
      <c r="H7" s="9" t="s">
        <v>144</v>
      </c>
    </row>
    <row r="8" spans="1:9" x14ac:dyDescent="0.25">
      <c r="A8" s="49">
        <v>1</v>
      </c>
      <c r="B8" s="49">
        <v>-1000</v>
      </c>
      <c r="C8">
        <f>B8/(1+$F$6)^A8</f>
        <v>-951.22942450071389</v>
      </c>
      <c r="D8" s="32"/>
      <c r="E8" s="33"/>
      <c r="H8" t="s">
        <v>145</v>
      </c>
    </row>
    <row r="9" spans="1:9" ht="13" x14ac:dyDescent="0.3">
      <c r="A9" s="49">
        <v>2</v>
      </c>
      <c r="B9" s="49">
        <v>1500</v>
      </c>
      <c r="C9">
        <f>B9/(1+$F$6)^A9</f>
        <v>1357.2561270539393</v>
      </c>
      <c r="D9" s="32"/>
      <c r="H9" t="s">
        <v>146</v>
      </c>
    </row>
    <row r="10" spans="1:9" ht="13" x14ac:dyDescent="0.3">
      <c r="A10" s="49">
        <v>3</v>
      </c>
      <c r="B10" s="49">
        <v>0</v>
      </c>
      <c r="C10">
        <f>B10/(1+$F$6)^A10</f>
        <v>0</v>
      </c>
      <c r="H10" t="s">
        <v>147</v>
      </c>
      <c r="I10" s="32"/>
    </row>
    <row r="11" spans="1:9" x14ac:dyDescent="0.25">
      <c r="A11" s="49">
        <v>4</v>
      </c>
      <c r="B11" s="49">
        <v>2000</v>
      </c>
      <c r="C11">
        <f>B11/(1+$F$6)^A11</f>
        <v>1637.4615061559634</v>
      </c>
      <c r="H11" t="s">
        <v>148</v>
      </c>
    </row>
    <row r="12" spans="1:9" ht="13" x14ac:dyDescent="0.3">
      <c r="A12" s="49"/>
      <c r="B12" s="49"/>
      <c r="H12" s="40" t="s">
        <v>149</v>
      </c>
    </row>
    <row r="13" spans="1:9" x14ac:dyDescent="0.25">
      <c r="A13" s="49"/>
      <c r="B13" s="49"/>
      <c r="H13" s="32" t="s">
        <v>150</v>
      </c>
    </row>
    <row r="14" spans="1:9" x14ac:dyDescent="0.25">
      <c r="A14" s="49"/>
      <c r="B14" s="49"/>
      <c r="H14" s="32" t="s">
        <v>151</v>
      </c>
    </row>
    <row r="15" spans="1:9" x14ac:dyDescent="0.25">
      <c r="A15" s="49"/>
      <c r="B15" s="49"/>
      <c r="H15" t="s">
        <v>152</v>
      </c>
    </row>
    <row r="16" spans="1:9" ht="13" x14ac:dyDescent="0.3">
      <c r="A16" s="49"/>
      <c r="B16" s="49"/>
      <c r="H16" s="40" t="s">
        <v>153</v>
      </c>
    </row>
    <row r="17" spans="1:8" ht="13" x14ac:dyDescent="0.3">
      <c r="B17" s="3" t="s">
        <v>154</v>
      </c>
      <c r="C17" s="57">
        <f>SUM(C6:C16)</f>
        <v>1043.4882087091889</v>
      </c>
      <c r="H17" t="s">
        <v>155</v>
      </c>
    </row>
    <row r="18" spans="1:8" x14ac:dyDescent="0.25">
      <c r="C18" s="32"/>
      <c r="H18" t="s">
        <v>156</v>
      </c>
    </row>
    <row r="19" spans="1:8" x14ac:dyDescent="0.25">
      <c r="C19" s="32"/>
    </row>
    <row r="20" spans="1:8" ht="13" x14ac:dyDescent="0.3">
      <c r="A20" s="9" t="s">
        <v>292</v>
      </c>
      <c r="C20" s="32"/>
    </row>
    <row r="21" spans="1:8" x14ac:dyDescent="0.25">
      <c r="A21" t="s">
        <v>75</v>
      </c>
      <c r="C21" s="32"/>
    </row>
    <row r="22" spans="1:8" ht="13" x14ac:dyDescent="0.3">
      <c r="A22" t="s">
        <v>76</v>
      </c>
      <c r="C22" s="32"/>
    </row>
    <row r="23" spans="1:8" ht="13" x14ac:dyDescent="0.3">
      <c r="A23" t="s">
        <v>80</v>
      </c>
      <c r="C23" s="32"/>
    </row>
    <row r="24" spans="1:8" x14ac:dyDescent="0.25">
      <c r="A24" t="s">
        <v>81</v>
      </c>
      <c r="C24" s="32"/>
    </row>
    <row r="25" spans="1:8" x14ac:dyDescent="0.25">
      <c r="C25" s="32"/>
    </row>
    <row r="26" spans="1:8" ht="13" x14ac:dyDescent="0.3">
      <c r="A26" s="9" t="s">
        <v>157</v>
      </c>
    </row>
    <row r="27" spans="1:8" ht="13" x14ac:dyDescent="0.3">
      <c r="A27" t="s">
        <v>77</v>
      </c>
      <c r="B27" s="34"/>
    </row>
    <row r="28" spans="1:8" x14ac:dyDescent="0.25">
      <c r="A28" t="s">
        <v>78</v>
      </c>
    </row>
    <row r="29" spans="1:8" ht="13" x14ac:dyDescent="0.3">
      <c r="A29" t="s">
        <v>79</v>
      </c>
    </row>
    <row r="32" spans="1:8" x14ac:dyDescent="0.25">
      <c r="C32" s="32"/>
    </row>
  </sheetData>
  <phoneticPr fontId="13" type="noConversion"/>
  <printOptions headings="1" gridLines="1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I36"/>
  <sheetViews>
    <sheetView zoomScale="70" workbookViewId="0">
      <selection activeCell="C8" sqref="C8"/>
    </sheetView>
  </sheetViews>
  <sheetFormatPr defaultRowHeight="12.5" x14ac:dyDescent="0.25"/>
  <cols>
    <col min="1" max="1" width="16.1796875" customWidth="1"/>
    <col min="2" max="2" width="9.26953125" customWidth="1"/>
    <col min="4" max="4" width="6.54296875" customWidth="1"/>
    <col min="6" max="6" width="7.26953125" customWidth="1"/>
    <col min="7" max="8" width="9" customWidth="1"/>
    <col min="9" max="9" width="11.26953125" customWidth="1"/>
    <col min="11" max="11" width="11" customWidth="1"/>
  </cols>
  <sheetData>
    <row r="1" spans="1:9" ht="13" x14ac:dyDescent="0.3">
      <c r="A1" t="s">
        <v>158</v>
      </c>
    </row>
    <row r="2" spans="1:9" x14ac:dyDescent="0.25">
      <c r="A2" t="s">
        <v>335</v>
      </c>
    </row>
    <row r="3" spans="1:9" x14ac:dyDescent="0.25">
      <c r="A3" t="s">
        <v>159</v>
      </c>
    </row>
    <row r="4" spans="1:9" x14ac:dyDescent="0.25">
      <c r="A4" t="s">
        <v>160</v>
      </c>
    </row>
    <row r="5" spans="1:9" ht="13" x14ac:dyDescent="0.3">
      <c r="A5" t="s">
        <v>74</v>
      </c>
    </row>
    <row r="6" spans="1:9" ht="13" x14ac:dyDescent="0.3">
      <c r="A6" s="47" t="s">
        <v>334</v>
      </c>
    </row>
    <row r="7" spans="1:9" x14ac:dyDescent="0.25">
      <c r="A7" s="37" t="s">
        <v>122</v>
      </c>
      <c r="B7" s="37" t="s">
        <v>123</v>
      </c>
      <c r="C7" s="37" t="s">
        <v>161</v>
      </c>
      <c r="D7" s="37" t="s">
        <v>162</v>
      </c>
      <c r="E7" s="37" t="s">
        <v>163</v>
      </c>
      <c r="F7" s="37" t="s">
        <v>164</v>
      </c>
      <c r="G7" s="37" t="s">
        <v>165</v>
      </c>
      <c r="H7" s="37" t="s">
        <v>166</v>
      </c>
      <c r="I7" s="37" t="s">
        <v>167</v>
      </c>
    </row>
    <row r="8" spans="1:9" x14ac:dyDescent="0.25">
      <c r="A8" s="13">
        <v>1</v>
      </c>
      <c r="B8" s="13">
        <v>1</v>
      </c>
      <c r="C8" s="13">
        <f>2.3*A8-1</f>
        <v>1.2999999999999998</v>
      </c>
      <c r="D8">
        <f>B8-C8</f>
        <v>-0.29999999999999982</v>
      </c>
      <c r="E8">
        <f>D8^2</f>
        <v>8.99999999999999E-2</v>
      </c>
      <c r="F8">
        <f>B8-$B$16</f>
        <v>-3.75</v>
      </c>
      <c r="G8">
        <f>F8^2</f>
        <v>14.0625</v>
      </c>
      <c r="H8">
        <f>C8-$B$16</f>
        <v>-3.45</v>
      </c>
      <c r="I8">
        <f>H8^2</f>
        <v>11.902500000000002</v>
      </c>
    </row>
    <row r="9" spans="1:9" x14ac:dyDescent="0.25">
      <c r="A9" s="13">
        <v>2</v>
      </c>
      <c r="B9" s="13">
        <v>4</v>
      </c>
      <c r="C9" s="13">
        <f>2.3*A9-1</f>
        <v>3.5999999999999996</v>
      </c>
      <c r="D9">
        <f>B9-C9</f>
        <v>0.40000000000000036</v>
      </c>
      <c r="E9">
        <f>D9^2</f>
        <v>0.16000000000000028</v>
      </c>
      <c r="F9">
        <f>B9-$B$16</f>
        <v>-0.75</v>
      </c>
      <c r="G9">
        <f>F9^2</f>
        <v>0.5625</v>
      </c>
      <c r="H9">
        <f>C9-$B$16</f>
        <v>-1.1500000000000004</v>
      </c>
      <c r="I9">
        <f>H9^2</f>
        <v>1.3225000000000009</v>
      </c>
    </row>
    <row r="10" spans="1:9" x14ac:dyDescent="0.25">
      <c r="A10" s="13">
        <v>3</v>
      </c>
      <c r="B10" s="13">
        <v>6</v>
      </c>
      <c r="C10" s="13">
        <f>2.3*A10-1</f>
        <v>5.8999999999999995</v>
      </c>
      <c r="D10">
        <f>B10-C10</f>
        <v>0.10000000000000053</v>
      </c>
      <c r="E10">
        <f>D10^2</f>
        <v>1.0000000000000106E-2</v>
      </c>
      <c r="F10">
        <f>B10-$B$16</f>
        <v>1.25</v>
      </c>
      <c r="G10">
        <f>F10^2</f>
        <v>1.5625</v>
      </c>
      <c r="H10">
        <f>C10-$B$16</f>
        <v>1.1499999999999995</v>
      </c>
      <c r="I10">
        <f>H10^2</f>
        <v>1.3224999999999987</v>
      </c>
    </row>
    <row r="11" spans="1:9" x14ac:dyDescent="0.25">
      <c r="A11" s="13">
        <v>4</v>
      </c>
      <c r="B11" s="13">
        <v>8</v>
      </c>
      <c r="C11" s="13">
        <f>2.3*A11-1</f>
        <v>8.1999999999999993</v>
      </c>
      <c r="D11">
        <f>B11-C11</f>
        <v>-0.19999999999999929</v>
      </c>
      <c r="E11">
        <f>D11^2</f>
        <v>3.9999999999999716E-2</v>
      </c>
      <c r="F11">
        <f>B11-$B$16</f>
        <v>3.25</v>
      </c>
      <c r="G11">
        <f>F11^2</f>
        <v>10.5625</v>
      </c>
      <c r="H11">
        <f>C11-$B$16</f>
        <v>3.4499999999999993</v>
      </c>
      <c r="I11">
        <f>H11^2</f>
        <v>11.902499999999995</v>
      </c>
    </row>
    <row r="12" spans="1:9" x14ac:dyDescent="0.25">
      <c r="A12" s="13"/>
      <c r="B12" s="13"/>
      <c r="C12" s="13"/>
    </row>
    <row r="13" spans="1:9" x14ac:dyDescent="0.25">
      <c r="A13" s="13"/>
      <c r="B13" s="13"/>
      <c r="C13" s="13"/>
    </row>
    <row r="14" spans="1:9" x14ac:dyDescent="0.25">
      <c r="A14" s="13"/>
      <c r="B14" s="13"/>
      <c r="C14" s="13"/>
    </row>
    <row r="15" spans="1:9" x14ac:dyDescent="0.25">
      <c r="A15" s="49"/>
      <c r="B15" s="49"/>
      <c r="C15" s="49"/>
    </row>
    <row r="16" spans="1:9" x14ac:dyDescent="0.25">
      <c r="A16" s="3" t="s">
        <v>168</v>
      </c>
      <c r="B16" s="50">
        <f>AVERAGE(B8:B15)</f>
        <v>4.75</v>
      </c>
      <c r="C16" s="3"/>
      <c r="D16" s="3" t="s">
        <v>169</v>
      </c>
      <c r="E16" s="50">
        <f>SUM(E8:E15)</f>
        <v>0.3</v>
      </c>
      <c r="F16" s="3" t="s">
        <v>170</v>
      </c>
      <c r="G16" s="50">
        <f>SUM(G8:G15)</f>
        <v>26.75</v>
      </c>
      <c r="H16" s="3" t="s">
        <v>171</v>
      </c>
      <c r="I16" s="50">
        <f>SUM(I8:I15)</f>
        <v>26.449999999999996</v>
      </c>
    </row>
    <row r="17" spans="1:8" ht="13" x14ac:dyDescent="0.3">
      <c r="F17" s="3" t="s">
        <v>172</v>
      </c>
      <c r="G17" s="50">
        <f>I16/G16</f>
        <v>0.98878504672897183</v>
      </c>
      <c r="H17" t="s">
        <v>173</v>
      </c>
    </row>
    <row r="19" spans="1:8" ht="13" x14ac:dyDescent="0.3">
      <c r="A19" t="s">
        <v>174</v>
      </c>
      <c r="D19" t="s">
        <v>175</v>
      </c>
      <c r="E19" s="9" t="s">
        <v>177</v>
      </c>
    </row>
    <row r="20" spans="1:8" ht="13.5" thickBot="1" x14ac:dyDescent="0.35">
      <c r="A20" s="35" t="s">
        <v>336</v>
      </c>
      <c r="E20" t="s">
        <v>179</v>
      </c>
    </row>
    <row r="21" spans="1:8" ht="13" x14ac:dyDescent="0.3">
      <c r="A21" s="4" t="s">
        <v>178</v>
      </c>
      <c r="B21" s="4"/>
      <c r="E21" s="9" t="s">
        <v>176</v>
      </c>
    </row>
    <row r="22" spans="1:8" ht="13" x14ac:dyDescent="0.3">
      <c r="A22" s="5" t="s">
        <v>180</v>
      </c>
      <c r="B22" s="5">
        <v>0.99437671268436889</v>
      </c>
      <c r="E22" s="9" t="s">
        <v>181</v>
      </c>
    </row>
    <row r="23" spans="1:8" x14ac:dyDescent="0.25">
      <c r="A23" s="5" t="s">
        <v>182</v>
      </c>
      <c r="B23" s="5">
        <v>0.98878504672897194</v>
      </c>
      <c r="E23" t="s">
        <v>183</v>
      </c>
    </row>
    <row r="24" spans="1:8" ht="13" x14ac:dyDescent="0.3">
      <c r="A24" s="5" t="s">
        <v>184</v>
      </c>
      <c r="B24" s="5">
        <v>0.98317757009345796</v>
      </c>
      <c r="E24" t="s">
        <v>307</v>
      </c>
    </row>
    <row r="25" spans="1:8" x14ac:dyDescent="0.25">
      <c r="A25" s="5" t="s">
        <v>185</v>
      </c>
      <c r="B25" s="5">
        <v>0.38729833462074137</v>
      </c>
    </row>
    <row r="26" spans="1:8" ht="13" thickBot="1" x14ac:dyDescent="0.3">
      <c r="A26" s="6" t="s">
        <v>186</v>
      </c>
      <c r="B26" s="6">
        <v>4</v>
      </c>
      <c r="H26" t="s">
        <v>3</v>
      </c>
    </row>
    <row r="27" spans="1:8" ht="13" x14ac:dyDescent="0.3">
      <c r="H27" t="s">
        <v>8</v>
      </c>
    </row>
    <row r="28" spans="1:8" ht="13" thickBot="1" x14ac:dyDescent="0.3">
      <c r="A28" t="s">
        <v>187</v>
      </c>
      <c r="H28" t="s">
        <v>1</v>
      </c>
    </row>
    <row r="29" spans="1:8" ht="13" x14ac:dyDescent="0.3">
      <c r="A29" s="7"/>
      <c r="B29" s="7" t="s">
        <v>188</v>
      </c>
      <c r="C29" s="7" t="s">
        <v>189</v>
      </c>
      <c r="D29" s="7" t="s">
        <v>190</v>
      </c>
      <c r="E29" s="7" t="s">
        <v>191</v>
      </c>
      <c r="F29" s="7" t="s">
        <v>192</v>
      </c>
      <c r="H29" t="s">
        <v>2</v>
      </c>
    </row>
    <row r="30" spans="1:8" x14ac:dyDescent="0.25">
      <c r="A30" s="5" t="s">
        <v>193</v>
      </c>
      <c r="B30" s="5">
        <v>1</v>
      </c>
      <c r="C30" s="5">
        <v>26.45</v>
      </c>
      <c r="D30" s="5">
        <v>26.45</v>
      </c>
      <c r="E30" s="5">
        <v>176.33333333333363</v>
      </c>
      <c r="F30" s="5">
        <v>5.6232873151360156E-3</v>
      </c>
      <c r="H30" t="s">
        <v>4</v>
      </c>
    </row>
    <row r="31" spans="1:8" x14ac:dyDescent="0.25">
      <c r="A31" s="5" t="s">
        <v>194</v>
      </c>
      <c r="B31" s="5">
        <v>2</v>
      </c>
      <c r="C31" s="5">
        <v>0.3</v>
      </c>
      <c r="D31" s="5">
        <v>0.15</v>
      </c>
      <c r="E31" s="5"/>
      <c r="F31" s="5"/>
      <c r="H31" t="s">
        <v>5</v>
      </c>
    </row>
    <row r="32" spans="1:8" ht="13" thickBot="1" x14ac:dyDescent="0.3">
      <c r="A32" s="6" t="s">
        <v>195</v>
      </c>
      <c r="B32" s="6">
        <v>3</v>
      </c>
      <c r="C32" s="6">
        <v>26.75</v>
      </c>
      <c r="D32" s="6"/>
      <c r="E32" s="6"/>
      <c r="F32" s="6"/>
      <c r="H32" t="s">
        <v>6</v>
      </c>
    </row>
    <row r="33" spans="1:9" ht="13.5" thickBot="1" x14ac:dyDescent="0.35">
      <c r="H33" t="s">
        <v>7</v>
      </c>
    </row>
    <row r="34" spans="1:9" ht="13" x14ac:dyDescent="0.3">
      <c r="A34" s="7"/>
      <c r="B34" s="7" t="s">
        <v>196</v>
      </c>
      <c r="C34" s="7" t="s">
        <v>185</v>
      </c>
      <c r="D34" s="7" t="s">
        <v>197</v>
      </c>
      <c r="E34" s="7" t="s">
        <v>198</v>
      </c>
      <c r="F34" s="7" t="s">
        <v>199</v>
      </c>
      <c r="G34" s="7" t="s">
        <v>200</v>
      </c>
      <c r="H34" s="7" t="s">
        <v>201</v>
      </c>
      <c r="I34" s="7" t="s">
        <v>202</v>
      </c>
    </row>
    <row r="35" spans="1:9" x14ac:dyDescent="0.25">
      <c r="A35" s="5" t="s">
        <v>203</v>
      </c>
      <c r="B35" s="5">
        <v>-1</v>
      </c>
      <c r="C35" s="5">
        <v>0.47434164902525644</v>
      </c>
      <c r="D35" s="5">
        <v>-2.1081851067789277</v>
      </c>
      <c r="E35" s="5">
        <v>0.16954520143906257</v>
      </c>
      <c r="F35" s="5">
        <v>-3.0409288118041031</v>
      </c>
      <c r="G35" s="5">
        <v>1.0409288118040971</v>
      </c>
      <c r="H35" s="5">
        <v>-3.0409288118041031</v>
      </c>
      <c r="I35" s="5">
        <v>1.0409288118040971</v>
      </c>
    </row>
    <row r="36" spans="1:9" ht="13" thickBot="1" x14ac:dyDescent="0.3">
      <c r="A36" s="6" t="s">
        <v>204</v>
      </c>
      <c r="B36" s="6">
        <v>2.2999999999999998</v>
      </c>
      <c r="C36" s="6">
        <v>0.17320508075688759</v>
      </c>
      <c r="D36" s="6">
        <v>13.279056191361407</v>
      </c>
      <c r="E36" s="6">
        <v>5.6232873151360156E-3</v>
      </c>
      <c r="F36" s="6">
        <v>1.5547581676751194</v>
      </c>
      <c r="G36" s="6">
        <v>3.0452418323248818</v>
      </c>
      <c r="H36" s="6">
        <v>1.5547581676751194</v>
      </c>
      <c r="I36" s="6">
        <v>3.0452418323248818</v>
      </c>
    </row>
  </sheetData>
  <phoneticPr fontId="13" type="noConversion"/>
  <printOptions headings="1" gridLines="1"/>
  <pageMargins left="0.75" right="0.75" top="1" bottom="1" header="0.5" footer="0.5"/>
  <pageSetup orientation="portrait" horizontalDpi="360" r:id="rId1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H23"/>
  <sheetViews>
    <sheetView zoomScale="70" workbookViewId="0">
      <selection activeCell="A9" sqref="A9"/>
    </sheetView>
  </sheetViews>
  <sheetFormatPr defaultRowHeight="12.5" x14ac:dyDescent="0.25"/>
  <sheetData>
    <row r="1" spans="1:8" ht="13" x14ac:dyDescent="0.3">
      <c r="A1" t="s">
        <v>205</v>
      </c>
    </row>
    <row r="2" spans="1:8" ht="13" x14ac:dyDescent="0.3">
      <c r="A2" t="s">
        <v>206</v>
      </c>
    </row>
    <row r="3" spans="1:8" x14ac:dyDescent="0.25">
      <c r="A3" t="s">
        <v>207</v>
      </c>
    </row>
    <row r="4" spans="1:8" x14ac:dyDescent="0.25">
      <c r="A4" t="s">
        <v>208</v>
      </c>
    </row>
    <row r="5" spans="1:8" ht="13" x14ac:dyDescent="0.3">
      <c r="A5" t="s">
        <v>209</v>
      </c>
    </row>
    <row r="6" spans="1:8" x14ac:dyDescent="0.25">
      <c r="A6" t="s">
        <v>210</v>
      </c>
      <c r="E6" t="s">
        <v>211</v>
      </c>
    </row>
    <row r="8" spans="1:8" ht="13" x14ac:dyDescent="0.3">
      <c r="A8" s="37" t="s">
        <v>212</v>
      </c>
      <c r="B8" s="37" t="s">
        <v>213</v>
      </c>
      <c r="C8" s="37" t="s">
        <v>214</v>
      </c>
      <c r="D8" s="37" t="s">
        <v>164</v>
      </c>
      <c r="E8" s="37" t="s">
        <v>215</v>
      </c>
      <c r="G8" t="s">
        <v>295</v>
      </c>
    </row>
    <row r="9" spans="1:8" x14ac:dyDescent="0.25">
      <c r="A9" s="51">
        <v>1990</v>
      </c>
      <c r="B9" s="51">
        <v>100</v>
      </c>
      <c r="H9" t="s">
        <v>296</v>
      </c>
    </row>
    <row r="10" spans="1:8" x14ac:dyDescent="0.25">
      <c r="A10" s="51">
        <v>1991</v>
      </c>
      <c r="B10" s="51">
        <v>137</v>
      </c>
      <c r="C10">
        <f>(B10-B9)/B9*100</f>
        <v>37</v>
      </c>
      <c r="D10">
        <f>C10-C$20</f>
        <v>2.6107226738011917</v>
      </c>
      <c r="E10">
        <f>D10^2</f>
        <v>6.8158728794996435</v>
      </c>
      <c r="G10" t="s">
        <v>293</v>
      </c>
      <c r="H10" t="s">
        <v>218</v>
      </c>
    </row>
    <row r="11" spans="1:8" x14ac:dyDescent="0.25">
      <c r="A11" s="51">
        <v>1992</v>
      </c>
      <c r="B11" s="51">
        <v>162</v>
      </c>
      <c r="C11">
        <f>(B11-B10)/B10*100</f>
        <v>18.248175182481752</v>
      </c>
      <c r="D11">
        <f>C11-C$20</f>
        <v>-16.141102143717056</v>
      </c>
      <c r="E11">
        <f>D11^2</f>
        <v>260.53517841390732</v>
      </c>
      <c r="H11" t="s">
        <v>219</v>
      </c>
    </row>
    <row r="12" spans="1:8" ht="13" x14ac:dyDescent="0.3">
      <c r="A12" s="51">
        <v>1993</v>
      </c>
      <c r="B12" s="51">
        <v>277</v>
      </c>
      <c r="C12">
        <f>(B12-B11)/B11*100</f>
        <v>70.987654320987659</v>
      </c>
      <c r="D12">
        <f>C12-C$20</f>
        <v>36.59837699478885</v>
      </c>
      <c r="E12">
        <f>D12^2</f>
        <v>1339.4411986526898</v>
      </c>
      <c r="F12" t="s">
        <v>217</v>
      </c>
      <c r="G12" s="35" t="s">
        <v>294</v>
      </c>
    </row>
    <row r="13" spans="1:8" x14ac:dyDescent="0.25">
      <c r="A13" s="51">
        <v>1994</v>
      </c>
      <c r="B13" s="51">
        <v>296</v>
      </c>
      <c r="C13">
        <f>(B13-B12)/B12*100</f>
        <v>6.8592057761732859</v>
      </c>
      <c r="D13">
        <f>C13-C$20</f>
        <v>-27.530071550025522</v>
      </c>
      <c r="E13">
        <f>D13^2</f>
        <v>757.90483954952458</v>
      </c>
      <c r="H13" t="s">
        <v>216</v>
      </c>
    </row>
    <row r="14" spans="1:8" x14ac:dyDescent="0.25">
      <c r="A14" s="51">
        <v>1995</v>
      </c>
      <c r="B14" s="51">
        <v>411</v>
      </c>
      <c r="C14">
        <f>(B14-B13)/B13*100</f>
        <v>38.851351351351347</v>
      </c>
      <c r="D14">
        <f>C14-C$20</f>
        <v>4.462074025152539</v>
      </c>
      <c r="E14">
        <f>D14^2</f>
        <v>19.910104605940983</v>
      </c>
    </row>
    <row r="15" spans="1:8" ht="13" x14ac:dyDescent="0.3">
      <c r="A15" s="51"/>
      <c r="B15" s="51"/>
      <c r="G15" t="s">
        <v>220</v>
      </c>
    </row>
    <row r="16" spans="1:8" x14ac:dyDescent="0.25">
      <c r="A16" s="51"/>
      <c r="B16" s="51"/>
      <c r="H16" t="s">
        <v>221</v>
      </c>
    </row>
    <row r="17" spans="1:8" x14ac:dyDescent="0.25">
      <c r="A17" s="51"/>
      <c r="B17" s="51"/>
      <c r="H17" t="s">
        <v>222</v>
      </c>
    </row>
    <row r="18" spans="1:8" x14ac:dyDescent="0.25">
      <c r="A18" s="51"/>
      <c r="B18" s="51"/>
      <c r="H18" t="s">
        <v>223</v>
      </c>
    </row>
    <row r="19" spans="1:8" ht="13" x14ac:dyDescent="0.3">
      <c r="A19" s="49"/>
      <c r="B19" s="49"/>
      <c r="D19" s="3" t="s">
        <v>224</v>
      </c>
      <c r="E19">
        <f>SUM(E10:E18)</f>
        <v>2384.6071941015621</v>
      </c>
      <c r="G19" t="s">
        <v>306</v>
      </c>
    </row>
    <row r="20" spans="1:8" x14ac:dyDescent="0.25">
      <c r="B20" s="3" t="s">
        <v>225</v>
      </c>
      <c r="C20" s="29">
        <f>AVERAGE(C10:C18)</f>
        <v>34.389277326198808</v>
      </c>
    </row>
    <row r="22" spans="1:8" ht="13" x14ac:dyDescent="0.3">
      <c r="B22" s="3" t="s">
        <v>226</v>
      </c>
      <c r="C22">
        <f>COUNT(C10:C18)</f>
        <v>5</v>
      </c>
      <c r="D22" s="3" t="s">
        <v>227</v>
      </c>
      <c r="E22" s="29">
        <f>E19/($C22-1)</f>
        <v>596.15179852539052</v>
      </c>
      <c r="F22" t="s">
        <v>228</v>
      </c>
    </row>
    <row r="23" spans="1:8" ht="13" x14ac:dyDescent="0.3">
      <c r="D23" s="3" t="s">
        <v>229</v>
      </c>
      <c r="E23" s="29">
        <f>SQRT(E22)</f>
        <v>24.416219988470584</v>
      </c>
      <c r="G23" s="9" t="s">
        <v>230</v>
      </c>
    </row>
  </sheetData>
  <phoneticPr fontId="13" type="noConversion"/>
  <printOptions headings="1" gridLines="1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B38"/>
  <sheetViews>
    <sheetView zoomScale="65" workbookViewId="0">
      <selection activeCell="A2" sqref="A2"/>
    </sheetView>
  </sheetViews>
  <sheetFormatPr defaultRowHeight="12.5" x14ac:dyDescent="0.25"/>
  <sheetData>
    <row r="1" spans="1:2" ht="13" x14ac:dyDescent="0.3">
      <c r="A1" s="8" t="s">
        <v>311</v>
      </c>
    </row>
    <row r="4" spans="1:2" ht="13" x14ac:dyDescent="0.3">
      <c r="A4" s="9" t="s">
        <v>63</v>
      </c>
    </row>
    <row r="5" spans="1:2" ht="13" x14ac:dyDescent="0.3">
      <c r="A5" s="9"/>
      <c r="B5" t="s">
        <v>83</v>
      </c>
    </row>
    <row r="6" spans="1:2" ht="13" x14ac:dyDescent="0.3">
      <c r="A6" s="9"/>
      <c r="B6" t="s">
        <v>84</v>
      </c>
    </row>
    <row r="7" spans="1:2" ht="13" x14ac:dyDescent="0.3">
      <c r="A7" s="9"/>
      <c r="B7" t="s">
        <v>427</v>
      </c>
    </row>
    <row r="8" spans="1:2" ht="13" x14ac:dyDescent="0.3">
      <c r="A8" s="9"/>
      <c r="B8" t="s">
        <v>85</v>
      </c>
    </row>
    <row r="9" spans="1:2" ht="13" x14ac:dyDescent="0.3">
      <c r="A9" s="9"/>
      <c r="B9" t="s">
        <v>86</v>
      </c>
    </row>
    <row r="10" spans="1:2" ht="13" x14ac:dyDescent="0.3">
      <c r="A10" s="9"/>
      <c r="B10" t="s">
        <v>67</v>
      </c>
    </row>
    <row r="11" spans="1:2" ht="13" x14ac:dyDescent="0.3">
      <c r="A11" s="9"/>
      <c r="B11" t="s">
        <v>68</v>
      </c>
    </row>
    <row r="12" spans="1:2" ht="13" x14ac:dyDescent="0.3">
      <c r="A12" s="9"/>
      <c r="B12" t="s">
        <v>379</v>
      </c>
    </row>
    <row r="13" spans="1:2" ht="13" x14ac:dyDescent="0.3">
      <c r="A13" s="9"/>
      <c r="B13" t="s">
        <v>380</v>
      </c>
    </row>
    <row r="14" spans="1:2" ht="13" x14ac:dyDescent="0.3">
      <c r="A14" s="9"/>
      <c r="B14" t="s">
        <v>87</v>
      </c>
    </row>
    <row r="15" spans="1:2" ht="13" x14ac:dyDescent="0.3">
      <c r="A15" s="9"/>
      <c r="B15" t="s">
        <v>381</v>
      </c>
    </row>
    <row r="16" spans="1:2" ht="13" x14ac:dyDescent="0.3">
      <c r="A16" s="9"/>
      <c r="B16" t="s">
        <v>382</v>
      </c>
    </row>
    <row r="17" spans="1:2" ht="13" x14ac:dyDescent="0.3">
      <c r="A17" s="9"/>
      <c r="B17" t="s">
        <v>383</v>
      </c>
    </row>
    <row r="18" spans="1:2" ht="13" x14ac:dyDescent="0.3">
      <c r="A18" s="9"/>
      <c r="B18" t="s">
        <v>384</v>
      </c>
    </row>
    <row r="19" spans="1:2" x14ac:dyDescent="0.25">
      <c r="B19" t="s">
        <v>69</v>
      </c>
    </row>
    <row r="20" spans="1:2" x14ac:dyDescent="0.25">
      <c r="B20" t="s">
        <v>70</v>
      </c>
    </row>
    <row r="21" spans="1:2" x14ac:dyDescent="0.25">
      <c r="B21" t="s">
        <v>9</v>
      </c>
    </row>
    <row r="22" spans="1:2" x14ac:dyDescent="0.25">
      <c r="B22" t="s">
        <v>11</v>
      </c>
    </row>
    <row r="23" spans="1:2" x14ac:dyDescent="0.25">
      <c r="B23" t="s">
        <v>10</v>
      </c>
    </row>
    <row r="25" spans="1:2" ht="13" x14ac:dyDescent="0.3">
      <c r="A25" s="35" t="s">
        <v>385</v>
      </c>
    </row>
    <row r="26" spans="1:2" ht="13" x14ac:dyDescent="0.3">
      <c r="A26" s="9"/>
      <c r="B26" t="s">
        <v>12</v>
      </c>
    </row>
    <row r="27" spans="1:2" ht="13" x14ac:dyDescent="0.3">
      <c r="A27" s="9"/>
      <c r="B27" t="s">
        <v>73</v>
      </c>
    </row>
    <row r="29" spans="1:2" ht="13" x14ac:dyDescent="0.3">
      <c r="A29" s="9" t="s">
        <v>386</v>
      </c>
    </row>
    <row r="30" spans="1:2" ht="13" x14ac:dyDescent="0.3">
      <c r="A30" s="9"/>
      <c r="B30" t="s">
        <v>387</v>
      </c>
    </row>
    <row r="31" spans="1:2" ht="13" x14ac:dyDescent="0.3">
      <c r="A31" s="9"/>
      <c r="B31" t="s">
        <v>390</v>
      </c>
    </row>
    <row r="32" spans="1:2" ht="13" x14ac:dyDescent="0.3">
      <c r="A32" s="9"/>
      <c r="B32" t="s">
        <v>13</v>
      </c>
    </row>
    <row r="34" spans="1:2" ht="13" x14ac:dyDescent="0.3">
      <c r="A34" s="35" t="s">
        <v>88</v>
      </c>
    </row>
    <row r="37" spans="1:2" ht="13" x14ac:dyDescent="0.3">
      <c r="A37" s="9"/>
    </row>
    <row r="38" spans="1:2" ht="13" x14ac:dyDescent="0.3">
      <c r="B38" s="38"/>
    </row>
  </sheetData>
  <sheetProtection sheet="1" objects="1" scenarios="1"/>
  <phoneticPr fontId="13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M45"/>
  <sheetViews>
    <sheetView zoomScale="75" workbookViewId="0">
      <selection activeCell="A8" sqref="A8:B17"/>
    </sheetView>
  </sheetViews>
  <sheetFormatPr defaultRowHeight="12.5" x14ac:dyDescent="0.25"/>
  <cols>
    <col min="2" max="2" width="7.81640625" customWidth="1"/>
    <col min="3" max="3" width="4.453125" customWidth="1"/>
    <col min="4" max="4" width="3.54296875" customWidth="1"/>
    <col min="5" max="5" width="11.81640625" customWidth="1"/>
    <col min="6" max="6" width="7" customWidth="1"/>
    <col min="7" max="7" width="7.81640625" customWidth="1"/>
    <col min="8" max="8" width="6.1796875" customWidth="1"/>
    <col min="9" max="9" width="6.54296875" customWidth="1"/>
    <col min="12" max="12" width="14.453125" customWidth="1"/>
    <col min="15" max="15" width="13" customWidth="1"/>
    <col min="16" max="16" width="21.26953125" customWidth="1"/>
  </cols>
  <sheetData>
    <row r="1" spans="1:13" ht="13" x14ac:dyDescent="0.3">
      <c r="A1" s="46" t="s">
        <v>268</v>
      </c>
      <c r="B1" s="47"/>
      <c r="C1" s="47"/>
    </row>
    <row r="2" spans="1:13" ht="13" x14ac:dyDescent="0.3">
      <c r="A2" s="9" t="s">
        <v>50</v>
      </c>
    </row>
    <row r="3" spans="1:13" ht="13" x14ac:dyDescent="0.3">
      <c r="A3" s="35" t="s">
        <v>49</v>
      </c>
    </row>
    <row r="4" spans="1:13" x14ac:dyDescent="0.25">
      <c r="A4" t="s">
        <v>48</v>
      </c>
    </row>
    <row r="5" spans="1:13" ht="13" x14ac:dyDescent="0.3">
      <c r="A5" s="35" t="s">
        <v>282</v>
      </c>
    </row>
    <row r="6" spans="1:13" x14ac:dyDescent="0.25">
      <c r="A6" s="10"/>
    </row>
    <row r="7" spans="1:13" ht="14.5" x14ac:dyDescent="0.25">
      <c r="A7" s="37" t="s">
        <v>269</v>
      </c>
      <c r="B7" s="37" t="s">
        <v>270</v>
      </c>
      <c r="C7" s="37" t="s">
        <v>122</v>
      </c>
      <c r="D7" s="37" t="s">
        <v>271</v>
      </c>
      <c r="F7" s="37" t="s">
        <v>272</v>
      </c>
      <c r="G7" s="37" t="s">
        <v>273</v>
      </c>
      <c r="H7" s="37" t="s">
        <v>283</v>
      </c>
      <c r="I7" s="37" t="s">
        <v>274</v>
      </c>
      <c r="J7" s="37" t="s">
        <v>275</v>
      </c>
      <c r="K7" s="37" t="s">
        <v>276</v>
      </c>
      <c r="L7" s="37" t="s">
        <v>277</v>
      </c>
    </row>
    <row r="8" spans="1:13" x14ac:dyDescent="0.25">
      <c r="A8" s="13">
        <v>0</v>
      </c>
      <c r="B8" s="13">
        <v>2</v>
      </c>
      <c r="C8">
        <f t="shared" ref="C8:C40" si="0">IF(ISBLANK(A8)," ",+A8)</f>
        <v>0</v>
      </c>
      <c r="D8">
        <f t="shared" ref="D8:D40" si="1">IF(ISBLANK(B8)," ",1)</f>
        <v>1</v>
      </c>
      <c r="F8">
        <f>IF(ISBLANK(A8)," ",$J$8/(1+$K$8*EXP(-$L$8*A8)))</f>
        <v>1.7427596167792014</v>
      </c>
      <c r="G8">
        <f t="shared" ref="G8:G40" si="2">IF(ISBLANK(B8)," ",+B8-F8)</f>
        <v>0.25724038322079856</v>
      </c>
      <c r="H8">
        <f t="shared" ref="H8:H40" si="3">IF(ISBLANK(B8)," ",+G8^2)</f>
        <v>6.6172614759583304E-2</v>
      </c>
      <c r="I8" s="48">
        <f>SUM($H$8:INDEX($H$8:$H$40,$B$42))</f>
        <v>0.4941989266762199</v>
      </c>
      <c r="J8" s="29">
        <v>21.80993112933135</v>
      </c>
      <c r="K8" s="29">
        <v>11.514595196805363</v>
      </c>
      <c r="L8" s="29">
        <v>0.49368926505814958</v>
      </c>
    </row>
    <row r="9" spans="1:13" x14ac:dyDescent="0.25">
      <c r="A9" s="13">
        <v>1</v>
      </c>
      <c r="B9" s="13">
        <v>3</v>
      </c>
      <c r="C9">
        <f t="shared" si="0"/>
        <v>1</v>
      </c>
      <c r="D9">
        <f t="shared" si="1"/>
        <v>1</v>
      </c>
      <c r="F9">
        <f t="shared" ref="F9:F40" si="4">IF(ISBLANK(A9)," ",$J$8/(1+$K$8*EXP(-$L$8*A9)))</f>
        <v>2.7166758828979809</v>
      </c>
      <c r="G9">
        <f t="shared" si="2"/>
        <v>0.2833241171020191</v>
      </c>
      <c r="H9">
        <f t="shared" si="3"/>
        <v>8.0272555331638629E-2</v>
      </c>
    </row>
    <row r="10" spans="1:13" x14ac:dyDescent="0.25">
      <c r="A10" s="13">
        <v>2</v>
      </c>
      <c r="B10" s="13">
        <v>4</v>
      </c>
      <c r="C10">
        <f t="shared" si="0"/>
        <v>2</v>
      </c>
      <c r="D10">
        <f t="shared" si="1"/>
        <v>1</v>
      </c>
      <c r="E10" s="37"/>
      <c r="F10">
        <f t="shared" si="4"/>
        <v>4.1230271189910068</v>
      </c>
      <c r="G10">
        <f t="shared" si="2"/>
        <v>-0.12302711899100682</v>
      </c>
      <c r="H10">
        <f t="shared" si="3"/>
        <v>1.5135672007227352E-2</v>
      </c>
      <c r="M10" t="s">
        <v>303</v>
      </c>
    </row>
    <row r="11" spans="1:13" ht="13" x14ac:dyDescent="0.3">
      <c r="A11" s="13">
        <v>3</v>
      </c>
      <c r="B11" s="13">
        <v>6</v>
      </c>
      <c r="C11">
        <f t="shared" si="0"/>
        <v>3</v>
      </c>
      <c r="D11">
        <f t="shared" si="1"/>
        <v>1</v>
      </c>
      <c r="F11">
        <f t="shared" si="4"/>
        <v>6.0275761269061237</v>
      </c>
      <c r="G11">
        <f t="shared" si="2"/>
        <v>-2.7576126906123655E-2</v>
      </c>
      <c r="H11">
        <f t="shared" si="3"/>
        <v>7.6044277514263699E-4</v>
      </c>
      <c r="M11" s="35" t="s">
        <v>304</v>
      </c>
    </row>
    <row r="12" spans="1:13" x14ac:dyDescent="0.25">
      <c r="A12" s="13">
        <v>4</v>
      </c>
      <c r="B12" s="13">
        <v>8</v>
      </c>
      <c r="C12">
        <f t="shared" si="0"/>
        <v>4</v>
      </c>
      <c r="D12">
        <f t="shared" si="1"/>
        <v>1</v>
      </c>
      <c r="F12">
        <f t="shared" si="4"/>
        <v>8.3943480575936853</v>
      </c>
      <c r="G12">
        <f t="shared" si="2"/>
        <v>-0.3943480575936853</v>
      </c>
      <c r="H12">
        <f t="shared" si="3"/>
        <v>0.15551039052791255</v>
      </c>
      <c r="M12" t="s">
        <v>305</v>
      </c>
    </row>
    <row r="13" spans="1:13" x14ac:dyDescent="0.25">
      <c r="A13" s="13">
        <v>5</v>
      </c>
      <c r="B13" s="13">
        <v>11</v>
      </c>
      <c r="C13">
        <f t="shared" si="0"/>
        <v>5</v>
      </c>
      <c r="D13">
        <f t="shared" si="1"/>
        <v>1</v>
      </c>
      <c r="E13" s="41"/>
      <c r="F13">
        <f t="shared" si="4"/>
        <v>11.040348919875536</v>
      </c>
      <c r="G13">
        <f t="shared" si="2"/>
        <v>-4.0348919875535572E-2</v>
      </c>
      <c r="H13">
        <f t="shared" si="3"/>
        <v>1.6280353351223896E-3</v>
      </c>
    </row>
    <row r="14" spans="1:13" x14ac:dyDescent="0.25">
      <c r="A14" s="13">
        <v>6</v>
      </c>
      <c r="B14" s="13">
        <v>14</v>
      </c>
      <c r="C14">
        <f t="shared" si="0"/>
        <v>6</v>
      </c>
      <c r="D14">
        <f t="shared" si="1"/>
        <v>1</v>
      </c>
      <c r="F14">
        <f t="shared" si="4"/>
        <v>13.67050141497351</v>
      </c>
      <c r="G14">
        <f t="shared" si="2"/>
        <v>0.32949858502649043</v>
      </c>
      <c r="H14">
        <f t="shared" si="3"/>
        <v>0.10856931753445935</v>
      </c>
    </row>
    <row r="15" spans="1:13" x14ac:dyDescent="0.25">
      <c r="A15" s="13">
        <v>7</v>
      </c>
      <c r="B15" s="13">
        <v>16</v>
      </c>
      <c r="C15">
        <f t="shared" si="0"/>
        <v>7</v>
      </c>
      <c r="D15">
        <f t="shared" si="1"/>
        <v>1</v>
      </c>
      <c r="F15">
        <f t="shared" si="4"/>
        <v>15.996544690472728</v>
      </c>
      <c r="G15">
        <f t="shared" si="2"/>
        <v>3.4553095272720213E-3</v>
      </c>
      <c r="H15">
        <f t="shared" si="3"/>
        <v>1.19391639292568E-5</v>
      </c>
    </row>
    <row r="16" spans="1:13" x14ac:dyDescent="0.25">
      <c r="A16" s="13">
        <v>8</v>
      </c>
      <c r="B16" s="13">
        <v>18</v>
      </c>
      <c r="C16">
        <f t="shared" si="0"/>
        <v>8</v>
      </c>
      <c r="D16">
        <f t="shared" si="1"/>
        <v>1</v>
      </c>
      <c r="E16" s="28"/>
      <c r="F16">
        <f t="shared" si="4"/>
        <v>17.850394950578341</v>
      </c>
      <c r="G16">
        <f t="shared" si="2"/>
        <v>0.14960504942165898</v>
      </c>
      <c r="H16">
        <f t="shared" si="3"/>
        <v>2.2381670812457025E-2</v>
      </c>
      <c r="K16">
        <f>IF(ISBLANK(B16)," ",B16)</f>
        <v>18</v>
      </c>
    </row>
    <row r="17" spans="1:11" x14ac:dyDescent="0.25">
      <c r="A17" s="13">
        <v>9</v>
      </c>
      <c r="B17" s="13">
        <v>19</v>
      </c>
      <c r="C17">
        <f>IF(ISBLANK(A17)," ",+A17)</f>
        <v>9</v>
      </c>
      <c r="D17">
        <f>IF(ISBLANK(B17)," ",1)</f>
        <v>1</v>
      </c>
      <c r="E17" s="28"/>
      <c r="F17">
        <f t="shared" si="4"/>
        <v>19.209180038313285</v>
      </c>
      <c r="G17">
        <f t="shared" si="2"/>
        <v>-0.20918003831328491</v>
      </c>
      <c r="H17">
        <f t="shared" si="3"/>
        <v>4.3756288428747341E-2</v>
      </c>
      <c r="K17">
        <f>IF(ISBLANK(B17)," ",B17)</f>
        <v>19</v>
      </c>
    </row>
    <row r="18" spans="1:11" x14ac:dyDescent="0.25">
      <c r="A18" s="13"/>
      <c r="B18" s="13"/>
      <c r="C18" t="str">
        <f>IF(ISBLANK(A18)," ",+A18)</f>
        <v xml:space="preserve"> </v>
      </c>
      <c r="D18" t="str">
        <f>IF(ISBLANK(B18)," ",1)</f>
        <v xml:space="preserve"> </v>
      </c>
      <c r="E18" s="28"/>
      <c r="F18" t="str">
        <f t="shared" si="4"/>
        <v xml:space="preserve"> </v>
      </c>
      <c r="G18" t="str">
        <f t="shared" si="2"/>
        <v xml:space="preserve"> </v>
      </c>
      <c r="H18" t="str">
        <f t="shared" si="3"/>
        <v xml:space="preserve"> </v>
      </c>
      <c r="K18" t="str">
        <f>IF(ISBLANK(B18)," ",B18)</f>
        <v xml:space="preserve"> </v>
      </c>
    </row>
    <row r="19" spans="1:11" x14ac:dyDescent="0.25">
      <c r="A19" s="13"/>
      <c r="B19" s="13"/>
      <c r="C19" t="str">
        <f>IF(ISBLANK(A19)," ",+A19)</f>
        <v xml:space="preserve"> </v>
      </c>
      <c r="D19" t="str">
        <f>IF(ISBLANK(B19)," ",1)</f>
        <v xml:space="preserve"> </v>
      </c>
      <c r="E19" s="28"/>
      <c r="F19" t="str">
        <f t="shared" si="4"/>
        <v xml:space="preserve"> </v>
      </c>
      <c r="G19" t="str">
        <f t="shared" si="2"/>
        <v xml:space="preserve"> </v>
      </c>
      <c r="H19" t="str">
        <f t="shared" si="3"/>
        <v xml:space="preserve"> </v>
      </c>
      <c r="K19" t="str">
        <f>IF(ISBLANK(B19)," ",B19)</f>
        <v xml:space="preserve"> </v>
      </c>
    </row>
    <row r="20" spans="1:11" x14ac:dyDescent="0.25">
      <c r="A20" s="13"/>
      <c r="B20" s="13"/>
      <c r="C20" t="str">
        <f>IF(ISBLANK(A20)," ",+A20)</f>
        <v xml:space="preserve"> </v>
      </c>
      <c r="D20" t="str">
        <f>IF(ISBLANK(B20)," ",1)</f>
        <v xml:space="preserve"> </v>
      </c>
      <c r="E20" s="28"/>
      <c r="F20" t="str">
        <f t="shared" si="4"/>
        <v xml:space="preserve"> </v>
      </c>
      <c r="G20" t="str">
        <f t="shared" si="2"/>
        <v xml:space="preserve"> </v>
      </c>
      <c r="H20" t="str">
        <f t="shared" si="3"/>
        <v xml:space="preserve"> </v>
      </c>
      <c r="K20" t="str">
        <f>IF(ISBLANK(B20)," ",B20)</f>
        <v xml:space="preserve"> </v>
      </c>
    </row>
    <row r="21" spans="1:11" x14ac:dyDescent="0.25">
      <c r="A21" s="13"/>
      <c r="B21" s="13"/>
      <c r="C21" t="str">
        <f>IF(ISBLANK(A21)," ",+A21)</f>
        <v xml:space="preserve"> </v>
      </c>
      <c r="D21" t="str">
        <f>IF(ISBLANK(B21)," ",1)</f>
        <v xml:space="preserve"> </v>
      </c>
      <c r="E21" s="28"/>
      <c r="F21" t="str">
        <f t="shared" si="4"/>
        <v xml:space="preserve"> </v>
      </c>
      <c r="G21" t="str">
        <f t="shared" si="2"/>
        <v xml:space="preserve"> </v>
      </c>
      <c r="H21" t="str">
        <f t="shared" si="3"/>
        <v xml:space="preserve"> </v>
      </c>
    </row>
    <row r="22" spans="1:11" x14ac:dyDescent="0.25">
      <c r="A22" s="13"/>
      <c r="B22" s="13"/>
      <c r="C22" t="str">
        <f t="shared" si="0"/>
        <v xml:space="preserve"> </v>
      </c>
      <c r="D22" t="str">
        <f t="shared" si="1"/>
        <v xml:space="preserve"> </v>
      </c>
      <c r="F22" t="str">
        <f t="shared" si="4"/>
        <v xml:space="preserve"> </v>
      </c>
      <c r="G22" t="str">
        <f t="shared" si="2"/>
        <v xml:space="preserve"> </v>
      </c>
      <c r="H22" t="str">
        <f t="shared" si="3"/>
        <v xml:space="preserve"> </v>
      </c>
    </row>
    <row r="23" spans="1:11" x14ac:dyDescent="0.25">
      <c r="A23" s="13"/>
      <c r="B23" s="13"/>
      <c r="C23" t="str">
        <f t="shared" si="0"/>
        <v xml:space="preserve"> </v>
      </c>
      <c r="D23" t="str">
        <f t="shared" si="1"/>
        <v xml:space="preserve"> </v>
      </c>
      <c r="F23" t="str">
        <f t="shared" si="4"/>
        <v xml:space="preserve"> </v>
      </c>
      <c r="G23" t="str">
        <f t="shared" si="2"/>
        <v xml:space="preserve"> </v>
      </c>
      <c r="H23" t="str">
        <f t="shared" si="3"/>
        <v xml:space="preserve"> </v>
      </c>
    </row>
    <row r="24" spans="1:11" x14ac:dyDescent="0.25">
      <c r="A24" s="13"/>
      <c r="B24" s="13"/>
      <c r="C24" t="str">
        <f t="shared" si="0"/>
        <v xml:space="preserve"> </v>
      </c>
      <c r="D24" t="str">
        <f t="shared" si="1"/>
        <v xml:space="preserve"> </v>
      </c>
      <c r="E24" s="41" t="s">
        <v>278</v>
      </c>
      <c r="F24" t="str">
        <f t="shared" si="4"/>
        <v xml:space="preserve"> </v>
      </c>
      <c r="G24" t="str">
        <f t="shared" si="2"/>
        <v xml:space="preserve"> </v>
      </c>
      <c r="H24" t="str">
        <f t="shared" si="3"/>
        <v xml:space="preserve"> </v>
      </c>
      <c r="I24" s="41" t="s">
        <v>122</v>
      </c>
      <c r="J24" s="41" t="s">
        <v>279</v>
      </c>
    </row>
    <row r="25" spans="1:11" x14ac:dyDescent="0.25">
      <c r="A25" s="13"/>
      <c r="B25" s="13"/>
      <c r="C25" t="str">
        <f t="shared" si="0"/>
        <v xml:space="preserve"> </v>
      </c>
      <c r="D25" t="str">
        <f t="shared" si="1"/>
        <v xml:space="preserve"> </v>
      </c>
      <c r="E25">
        <f>MIN(A7:A40)</f>
        <v>0</v>
      </c>
      <c r="F25" t="str">
        <f t="shared" si="4"/>
        <v xml:space="preserve"> </v>
      </c>
      <c r="G25" t="str">
        <f t="shared" si="2"/>
        <v xml:space="preserve"> </v>
      </c>
      <c r="H25" t="str">
        <f t="shared" si="3"/>
        <v xml:space="preserve"> </v>
      </c>
      <c r="I25">
        <f>E25</f>
        <v>0</v>
      </c>
      <c r="J25">
        <f>$J$8/(1+$K$8*EXP(-$L$8*I25))</f>
        <v>1.7427596167792014</v>
      </c>
    </row>
    <row r="26" spans="1:11" x14ac:dyDescent="0.25">
      <c r="A26" s="13"/>
      <c r="B26" s="13"/>
      <c r="C26" t="str">
        <f t="shared" si="0"/>
        <v xml:space="preserve"> </v>
      </c>
      <c r="D26" t="str">
        <f t="shared" si="1"/>
        <v xml:space="preserve"> </v>
      </c>
      <c r="F26" t="str">
        <f t="shared" si="4"/>
        <v xml:space="preserve"> </v>
      </c>
      <c r="G26" t="str">
        <f t="shared" si="2"/>
        <v xml:space="preserve"> </v>
      </c>
      <c r="H26" t="str">
        <f t="shared" si="3"/>
        <v xml:space="preserve"> </v>
      </c>
      <c r="I26">
        <f t="shared" ref="I26:I45" si="5">I25+$E$32</f>
        <v>0.45</v>
      </c>
      <c r="J26">
        <f t="shared" ref="J26:J45" si="6">$J$8/(1+$K$8*EXP(-$L$8*I26))</f>
        <v>2.1338897981469178</v>
      </c>
    </row>
    <row r="27" spans="1:11" x14ac:dyDescent="0.25">
      <c r="A27" s="13"/>
      <c r="B27" s="13"/>
      <c r="C27" t="str">
        <f t="shared" si="0"/>
        <v xml:space="preserve"> </v>
      </c>
      <c r="D27" t="str">
        <f t="shared" si="1"/>
        <v xml:space="preserve"> </v>
      </c>
      <c r="E27" s="41" t="s">
        <v>280</v>
      </c>
      <c r="F27" t="str">
        <f t="shared" si="4"/>
        <v xml:space="preserve"> </v>
      </c>
      <c r="G27" t="str">
        <f t="shared" si="2"/>
        <v xml:space="preserve"> </v>
      </c>
      <c r="H27" t="str">
        <f t="shared" si="3"/>
        <v xml:space="preserve"> </v>
      </c>
      <c r="I27">
        <f t="shared" si="5"/>
        <v>0.9</v>
      </c>
      <c r="J27">
        <f t="shared" si="6"/>
        <v>2.6014222437799379</v>
      </c>
    </row>
    <row r="28" spans="1:11" x14ac:dyDescent="0.25">
      <c r="A28" s="13"/>
      <c r="B28" s="13"/>
      <c r="C28" t="str">
        <f t="shared" si="0"/>
        <v xml:space="preserve"> </v>
      </c>
      <c r="D28" t="str">
        <f t="shared" si="1"/>
        <v xml:space="preserve"> </v>
      </c>
      <c r="E28">
        <f>MAX(A7:A40)</f>
        <v>9</v>
      </c>
      <c r="F28" t="str">
        <f t="shared" si="4"/>
        <v xml:space="preserve"> </v>
      </c>
      <c r="G28" t="str">
        <f t="shared" si="2"/>
        <v xml:space="preserve"> </v>
      </c>
      <c r="H28" t="str">
        <f t="shared" si="3"/>
        <v xml:space="preserve"> </v>
      </c>
      <c r="I28">
        <f t="shared" si="5"/>
        <v>1.35</v>
      </c>
      <c r="J28">
        <f t="shared" si="6"/>
        <v>3.154965318986076</v>
      </c>
    </row>
    <row r="29" spans="1:11" x14ac:dyDescent="0.25">
      <c r="A29" s="13"/>
      <c r="B29" s="13"/>
      <c r="C29" t="str">
        <f t="shared" si="0"/>
        <v xml:space="preserve"> </v>
      </c>
      <c r="D29" t="str">
        <f t="shared" si="1"/>
        <v xml:space="preserve"> </v>
      </c>
      <c r="F29" t="str">
        <f t="shared" si="4"/>
        <v xml:space="preserve"> </v>
      </c>
      <c r="G29" t="str">
        <f t="shared" si="2"/>
        <v xml:space="preserve"> </v>
      </c>
      <c r="H29" t="str">
        <f t="shared" si="3"/>
        <v xml:space="preserve"> </v>
      </c>
      <c r="I29">
        <f t="shared" si="5"/>
        <v>1.8</v>
      </c>
      <c r="J29">
        <f t="shared" si="6"/>
        <v>3.8029743047725275</v>
      </c>
    </row>
    <row r="30" spans="1:11" x14ac:dyDescent="0.25">
      <c r="A30" s="13"/>
      <c r="B30" s="13"/>
      <c r="C30" t="str">
        <f t="shared" si="0"/>
        <v xml:space="preserve"> </v>
      </c>
      <c r="D30" t="str">
        <f t="shared" si="1"/>
        <v xml:space="preserve"> </v>
      </c>
      <c r="F30" t="str">
        <f t="shared" si="4"/>
        <v xml:space="preserve"> </v>
      </c>
      <c r="G30" t="str">
        <f t="shared" si="2"/>
        <v xml:space="preserve"> </v>
      </c>
      <c r="H30" t="str">
        <f t="shared" si="3"/>
        <v xml:space="preserve"> </v>
      </c>
      <c r="I30">
        <f t="shared" si="5"/>
        <v>2.25</v>
      </c>
      <c r="J30">
        <f t="shared" si="6"/>
        <v>4.5516059052081639</v>
      </c>
    </row>
    <row r="31" spans="1:11" x14ac:dyDescent="0.25">
      <c r="A31" s="13"/>
      <c r="B31" s="13"/>
      <c r="C31" t="str">
        <f t="shared" si="0"/>
        <v xml:space="preserve"> </v>
      </c>
      <c r="D31" t="str">
        <f t="shared" si="1"/>
        <v xml:space="preserve"> </v>
      </c>
      <c r="E31" s="41" t="s">
        <v>281</v>
      </c>
      <c r="F31" t="str">
        <f t="shared" si="4"/>
        <v xml:space="preserve"> </v>
      </c>
      <c r="G31" t="str">
        <f t="shared" si="2"/>
        <v xml:space="preserve"> </v>
      </c>
      <c r="H31" t="str">
        <f t="shared" si="3"/>
        <v xml:space="preserve"> </v>
      </c>
      <c r="I31">
        <f t="shared" si="5"/>
        <v>2.7</v>
      </c>
      <c r="J31">
        <f t="shared" si="6"/>
        <v>5.4033867795708259</v>
      </c>
    </row>
    <row r="32" spans="1:11" x14ac:dyDescent="0.25">
      <c r="A32" s="13"/>
      <c r="B32" s="13"/>
      <c r="C32" t="str">
        <f t="shared" si="0"/>
        <v xml:space="preserve"> </v>
      </c>
      <c r="D32" t="str">
        <f t="shared" si="1"/>
        <v xml:space="preserve"> </v>
      </c>
      <c r="E32">
        <f>(E28-E25)/20</f>
        <v>0.45</v>
      </c>
      <c r="F32" t="str">
        <f t="shared" si="4"/>
        <v xml:space="preserve"> </v>
      </c>
      <c r="G32" t="str">
        <f t="shared" si="2"/>
        <v xml:space="preserve"> </v>
      </c>
      <c r="H32" t="str">
        <f t="shared" si="3"/>
        <v xml:space="preserve"> </v>
      </c>
      <c r="I32">
        <f t="shared" si="5"/>
        <v>3.1500000000000004</v>
      </c>
      <c r="J32">
        <f t="shared" si="6"/>
        <v>6.3558647596734126</v>
      </c>
    </row>
    <row r="33" spans="1:10" x14ac:dyDescent="0.25">
      <c r="A33" s="13"/>
      <c r="B33" s="13"/>
      <c r="C33" t="str">
        <f t="shared" si="0"/>
        <v xml:space="preserve"> </v>
      </c>
      <c r="D33" t="str">
        <f t="shared" si="1"/>
        <v xml:space="preserve"> </v>
      </c>
      <c r="F33" t="str">
        <f t="shared" si="4"/>
        <v xml:space="preserve"> </v>
      </c>
      <c r="G33" t="str">
        <f t="shared" si="2"/>
        <v xml:space="preserve"> </v>
      </c>
      <c r="H33" t="str">
        <f t="shared" si="3"/>
        <v xml:space="preserve"> </v>
      </c>
      <c r="I33">
        <f t="shared" si="5"/>
        <v>3.6000000000000005</v>
      </c>
      <c r="J33">
        <f t="shared" si="6"/>
        <v>7.4005065626381832</v>
      </c>
    </row>
    <row r="34" spans="1:10" x14ac:dyDescent="0.25">
      <c r="A34" s="13"/>
      <c r="B34" s="13"/>
      <c r="C34" t="str">
        <f t="shared" si="0"/>
        <v xml:space="preserve"> </v>
      </c>
      <c r="D34" t="str">
        <f t="shared" si="1"/>
        <v xml:space="preserve"> </v>
      </c>
      <c r="F34" t="str">
        <f t="shared" si="4"/>
        <v xml:space="preserve"> </v>
      </c>
      <c r="G34" t="str">
        <f t="shared" si="2"/>
        <v xml:space="preserve"> </v>
      </c>
      <c r="H34" t="str">
        <f t="shared" si="3"/>
        <v xml:space="preserve"> </v>
      </c>
      <c r="I34">
        <f t="shared" si="5"/>
        <v>4.0500000000000007</v>
      </c>
      <c r="J34">
        <f t="shared" si="6"/>
        <v>8.5221624077026448</v>
      </c>
    </row>
    <row r="35" spans="1:10" x14ac:dyDescent="0.25">
      <c r="A35" s="13"/>
      <c r="B35" s="13"/>
      <c r="C35" t="str">
        <f t="shared" si="0"/>
        <v xml:space="preserve"> </v>
      </c>
      <c r="D35" t="str">
        <f t="shared" si="1"/>
        <v xml:space="preserve"> </v>
      </c>
      <c r="F35" t="str">
        <f t="shared" si="4"/>
        <v xml:space="preserve"> </v>
      </c>
      <c r="G35" t="str">
        <f t="shared" si="2"/>
        <v xml:space="preserve"> </v>
      </c>
      <c r="H35" t="str">
        <f t="shared" si="3"/>
        <v xml:space="preserve"> </v>
      </c>
      <c r="I35">
        <f t="shared" si="5"/>
        <v>4.5000000000000009</v>
      </c>
      <c r="J35">
        <f t="shared" si="6"/>
        <v>9.6993876230492297</v>
      </c>
    </row>
    <row r="36" spans="1:10" x14ac:dyDescent="0.25">
      <c r="A36" s="13"/>
      <c r="B36" s="13"/>
      <c r="C36" t="str">
        <f t="shared" si="0"/>
        <v xml:space="preserve"> </v>
      </c>
      <c r="D36" t="str">
        <f t="shared" si="1"/>
        <v xml:space="preserve"> </v>
      </c>
      <c r="F36" t="str">
        <f t="shared" si="4"/>
        <v xml:space="preserve"> </v>
      </c>
      <c r="G36" t="str">
        <f t="shared" si="2"/>
        <v xml:space="preserve"> </v>
      </c>
      <c r="H36" t="str">
        <f t="shared" si="3"/>
        <v xml:space="preserve"> </v>
      </c>
      <c r="I36">
        <f t="shared" si="5"/>
        <v>4.9500000000000011</v>
      </c>
      <c r="J36">
        <f t="shared" si="6"/>
        <v>10.905764265101556</v>
      </c>
    </row>
    <row r="37" spans="1:10" x14ac:dyDescent="0.25">
      <c r="A37" s="13"/>
      <c r="B37" s="13"/>
      <c r="C37" t="str">
        <f t="shared" si="0"/>
        <v xml:space="preserve"> </v>
      </c>
      <c r="D37" t="str">
        <f t="shared" si="1"/>
        <v xml:space="preserve"> </v>
      </c>
      <c r="F37" t="str">
        <f t="shared" si="4"/>
        <v xml:space="preserve"> </v>
      </c>
      <c r="G37" t="str">
        <f t="shared" si="2"/>
        <v xml:space="preserve"> </v>
      </c>
      <c r="H37" t="str">
        <f t="shared" si="3"/>
        <v xml:space="preserve"> </v>
      </c>
      <c r="I37">
        <f t="shared" si="5"/>
        <v>5.4000000000000012</v>
      </c>
      <c r="J37">
        <f t="shared" si="6"/>
        <v>12.112121358172894</v>
      </c>
    </row>
    <row r="38" spans="1:10" x14ac:dyDescent="0.25">
      <c r="A38" s="13"/>
      <c r="B38" s="13"/>
      <c r="C38" t="str">
        <f t="shared" si="0"/>
        <v xml:space="preserve"> </v>
      </c>
      <c r="D38" t="str">
        <f t="shared" si="1"/>
        <v xml:space="preserve"> </v>
      </c>
      <c r="F38" t="str">
        <f t="shared" si="4"/>
        <v xml:space="preserve"> </v>
      </c>
      <c r="G38" t="str">
        <f t="shared" si="2"/>
        <v xml:space="preserve"> </v>
      </c>
      <c r="H38" t="str">
        <f t="shared" si="3"/>
        <v xml:space="preserve"> </v>
      </c>
      <c r="I38">
        <f t="shared" si="5"/>
        <v>5.8500000000000014</v>
      </c>
      <c r="J38">
        <f t="shared" si="6"/>
        <v>13.289289805929673</v>
      </c>
    </row>
    <row r="39" spans="1:10" x14ac:dyDescent="0.25">
      <c r="A39" s="13"/>
      <c r="B39" s="13"/>
      <c r="C39" t="str">
        <f t="shared" si="0"/>
        <v xml:space="preserve"> </v>
      </c>
      <c r="D39" t="str">
        <f t="shared" si="1"/>
        <v xml:space="preserve"> </v>
      </c>
      <c r="F39" t="str">
        <f t="shared" si="4"/>
        <v xml:space="preserve"> </v>
      </c>
      <c r="G39" t="str">
        <f t="shared" si="2"/>
        <v xml:space="preserve"> </v>
      </c>
      <c r="H39" t="str">
        <f t="shared" si="3"/>
        <v xml:space="preserve"> </v>
      </c>
      <c r="I39">
        <f t="shared" si="5"/>
        <v>6.3000000000000016</v>
      </c>
      <c r="J39">
        <f t="shared" si="6"/>
        <v>14.410856929250823</v>
      </c>
    </row>
    <row r="40" spans="1:10" x14ac:dyDescent="0.25">
      <c r="A40" s="13"/>
      <c r="B40" s="13"/>
      <c r="C40" t="str">
        <f t="shared" si="0"/>
        <v xml:space="preserve"> </v>
      </c>
      <c r="D40" t="str">
        <f t="shared" si="1"/>
        <v xml:space="preserve"> </v>
      </c>
      <c r="F40" t="str">
        <f t="shared" si="4"/>
        <v xml:space="preserve"> </v>
      </c>
      <c r="G40" t="str">
        <f t="shared" si="2"/>
        <v xml:space="preserve"> </v>
      </c>
      <c r="H40" t="str">
        <f t="shared" si="3"/>
        <v xml:space="preserve"> </v>
      </c>
      <c r="I40">
        <f t="shared" si="5"/>
        <v>6.7500000000000018</v>
      </c>
      <c r="J40">
        <f t="shared" si="6"/>
        <v>15.455385708051562</v>
      </c>
    </row>
    <row r="41" spans="1:10" x14ac:dyDescent="0.25">
      <c r="I41">
        <f t="shared" si="5"/>
        <v>7.200000000000002</v>
      </c>
      <c r="J41">
        <f t="shared" si="6"/>
        <v>16.407735088262758</v>
      </c>
    </row>
    <row r="42" spans="1:10" x14ac:dyDescent="0.25">
      <c r="B42">
        <f>COUNT(B8:B40)</f>
        <v>10</v>
      </c>
      <c r="I42">
        <f t="shared" si="5"/>
        <v>7.6500000000000021</v>
      </c>
      <c r="J42">
        <f t="shared" si="6"/>
        <v>17.259380319102011</v>
      </c>
    </row>
    <row r="43" spans="1:10" x14ac:dyDescent="0.25">
      <c r="I43">
        <f t="shared" si="5"/>
        <v>8.1000000000000014</v>
      </c>
      <c r="J43">
        <f t="shared" si="6"/>
        <v>18.007876612269452</v>
      </c>
    </row>
    <row r="44" spans="1:10" x14ac:dyDescent="0.25">
      <c r="I44">
        <f t="shared" si="5"/>
        <v>8.5500000000000007</v>
      </c>
      <c r="J44">
        <f t="shared" si="6"/>
        <v>18.655756323598435</v>
      </c>
    </row>
    <row r="45" spans="1:10" x14ac:dyDescent="0.25">
      <c r="I45">
        <f t="shared" si="5"/>
        <v>9</v>
      </c>
      <c r="J45">
        <f t="shared" si="6"/>
        <v>19.209180038313285</v>
      </c>
    </row>
  </sheetData>
  <phoneticPr fontId="13" type="noConversion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N37"/>
  <sheetViews>
    <sheetView zoomScale="65" workbookViewId="0">
      <selection activeCell="A10" sqref="A10"/>
    </sheetView>
  </sheetViews>
  <sheetFormatPr defaultRowHeight="12.5" x14ac:dyDescent="0.25"/>
  <cols>
    <col min="1" max="1" width="4" customWidth="1"/>
    <col min="2" max="2" width="6.1796875" customWidth="1"/>
    <col min="3" max="3" width="30.26953125" customWidth="1"/>
    <col min="4" max="4" width="23.453125" customWidth="1"/>
    <col min="5" max="5" width="14.453125" customWidth="1"/>
    <col min="6" max="6" width="13.26953125" customWidth="1"/>
    <col min="7" max="7" width="11.1796875" customWidth="1"/>
    <col min="8" max="8" width="11" customWidth="1"/>
    <col min="9" max="9" width="10.54296875" customWidth="1"/>
    <col min="10" max="10" width="14" customWidth="1"/>
  </cols>
  <sheetData>
    <row r="1" spans="1:14" ht="13" x14ac:dyDescent="0.3">
      <c r="A1" s="8" t="s">
        <v>331</v>
      </c>
      <c r="L1" s="2"/>
      <c r="M1" s="2"/>
      <c r="N1" s="1"/>
    </row>
    <row r="2" spans="1:14" ht="13" x14ac:dyDescent="0.3">
      <c r="A2" s="9" t="s">
        <v>297</v>
      </c>
      <c r="L2" s="2"/>
      <c r="M2" s="2"/>
      <c r="N2" s="1"/>
    </row>
    <row r="3" spans="1:14" ht="13" x14ac:dyDescent="0.3">
      <c r="A3" s="9" t="s">
        <v>419</v>
      </c>
    </row>
    <row r="4" spans="1:14" ht="13" x14ac:dyDescent="0.3">
      <c r="A4" s="35" t="s">
        <v>330</v>
      </c>
    </row>
    <row r="5" spans="1:14" ht="13" x14ac:dyDescent="0.3">
      <c r="A5" s="35" t="s">
        <v>298</v>
      </c>
    </row>
    <row r="6" spans="1:14" ht="13" x14ac:dyDescent="0.3">
      <c r="A6" t="s">
        <v>420</v>
      </c>
    </row>
    <row r="7" spans="1:14" ht="13" x14ac:dyDescent="0.3">
      <c r="A7" s="9" t="s">
        <v>308</v>
      </c>
    </row>
    <row r="8" spans="1:14" ht="13" x14ac:dyDescent="0.3">
      <c r="A8" t="s">
        <v>421</v>
      </c>
    </row>
    <row r="9" spans="1:14" ht="13" x14ac:dyDescent="0.3">
      <c r="A9" s="8" t="s">
        <v>394</v>
      </c>
    </row>
    <row r="10" spans="1:14" x14ac:dyDescent="0.25">
      <c r="A10" s="36" t="s">
        <v>52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</row>
    <row r="11" spans="1:14" ht="13" x14ac:dyDescent="0.3">
      <c r="C11" s="58" t="s">
        <v>233</v>
      </c>
      <c r="D11" s="18"/>
      <c r="F11" s="12" t="s">
        <v>392</v>
      </c>
      <c r="G11" s="3" t="s">
        <v>105</v>
      </c>
      <c r="H11" s="3" t="s">
        <v>106</v>
      </c>
      <c r="I11" s="3" t="s">
        <v>354</v>
      </c>
      <c r="J11" s="3" t="s">
        <v>103</v>
      </c>
      <c r="K11" s="3" t="s">
        <v>104</v>
      </c>
    </row>
    <row r="12" spans="1:14" ht="13" x14ac:dyDescent="0.3">
      <c r="C12" s="18"/>
      <c r="D12" s="18"/>
      <c r="E12" s="18"/>
      <c r="F12" s="22" t="s">
        <v>124</v>
      </c>
      <c r="G12" s="13">
        <v>3</v>
      </c>
      <c r="H12" s="13">
        <v>2</v>
      </c>
      <c r="I12" s="13"/>
      <c r="J12" s="13"/>
      <c r="K12" s="13"/>
    </row>
    <row r="13" spans="1:14" ht="15" x14ac:dyDescent="0.4">
      <c r="B13" s="26" t="s">
        <v>130</v>
      </c>
      <c r="C13" s="24" t="s">
        <v>51</v>
      </c>
      <c r="D13" s="27" t="s">
        <v>131</v>
      </c>
      <c r="E13" s="18"/>
      <c r="F13" s="22" t="s">
        <v>393</v>
      </c>
      <c r="G13" s="19" t="s">
        <v>267</v>
      </c>
      <c r="H13" s="19" t="s">
        <v>99</v>
      </c>
      <c r="I13" s="19" t="s">
        <v>100</v>
      </c>
      <c r="J13" s="19" t="s">
        <v>101</v>
      </c>
      <c r="K13" s="19" t="s">
        <v>102</v>
      </c>
    </row>
    <row r="14" spans="1:14" ht="13" x14ac:dyDescent="0.3">
      <c r="B14" s="28"/>
      <c r="C14" s="36">
        <f>24*G14+39*H14</f>
        <v>48.71052631578948</v>
      </c>
      <c r="D14">
        <f t="shared" ref="D14:D23" si="0">+C14-C$14</f>
        <v>0</v>
      </c>
      <c r="F14" s="12" t="s">
        <v>137</v>
      </c>
      <c r="G14" s="13">
        <v>1.1315789473684212</v>
      </c>
      <c r="H14" s="13">
        <v>0.55263157894736836</v>
      </c>
      <c r="I14" s="13">
        <f>G14+7*H14</f>
        <v>5</v>
      </c>
      <c r="J14" s="13">
        <f>150*G14+210*H14</f>
        <v>285.78947368421052</v>
      </c>
      <c r="K14" s="13">
        <f>6*G14+4*H14</f>
        <v>9</v>
      </c>
    </row>
    <row r="15" spans="1:14" x14ac:dyDescent="0.25">
      <c r="B15" s="28">
        <v>1</v>
      </c>
      <c r="C15" s="36">
        <f t="shared" ref="C15:C23" ca="1" si="1">24*G15+39*H15</f>
        <v>25.195599890798011</v>
      </c>
      <c r="D15" s="29">
        <f t="shared" ca="1" si="0"/>
        <v>-23.514926424991469</v>
      </c>
      <c r="G15">
        <f t="shared" ref="G15:H23" ca="1" si="2">+G$14+2*G$12*RAND()-G$12</f>
        <v>0.98524241520617561</v>
      </c>
      <c r="H15">
        <f t="shared" ca="1" si="2"/>
        <v>3.9737998098712701E-2</v>
      </c>
      <c r="I15" s="13">
        <f t="shared" ref="I15:I23" ca="1" si="3">G15+7*H15</f>
        <v>1.2634084018971645</v>
      </c>
      <c r="J15" s="13">
        <f t="shared" ref="J15:J23" ca="1" si="4">150*G15+210*H15</f>
        <v>156.131341881656</v>
      </c>
      <c r="K15" s="13">
        <f t="shared" ref="K15:K23" ca="1" si="5">6*G15+4*H15</f>
        <v>6.0704064836319045</v>
      </c>
    </row>
    <row r="16" spans="1:14" x14ac:dyDescent="0.25">
      <c r="B16" s="28">
        <v>2</v>
      </c>
      <c r="C16" s="36">
        <f t="shared" ca="1" si="1"/>
        <v>1.788111661920361</v>
      </c>
      <c r="D16" s="29">
        <f t="shared" ca="1" si="0"/>
        <v>-46.922414653869119</v>
      </c>
      <c r="G16">
        <f t="shared" ca="1" si="2"/>
        <v>-1.3333412983215356</v>
      </c>
      <c r="H16">
        <f t="shared" ca="1" si="2"/>
        <v>0.86636673901633898</v>
      </c>
      <c r="I16" s="13">
        <f t="shared" ca="1" si="3"/>
        <v>4.7312258747928375</v>
      </c>
      <c r="J16" s="13">
        <f t="shared" ca="1" si="4"/>
        <v>-18.064179554799153</v>
      </c>
      <c r="K16" s="13">
        <f t="shared" ca="1" si="5"/>
        <v>-4.534580833863858</v>
      </c>
    </row>
    <row r="17" spans="1:11" x14ac:dyDescent="0.25">
      <c r="B17" s="28">
        <v>3</v>
      </c>
      <c r="C17" s="36">
        <f t="shared" ca="1" si="1"/>
        <v>-7.1002652953306828</v>
      </c>
      <c r="D17" s="29">
        <f t="shared" ca="1" si="0"/>
        <v>-55.810791611120166</v>
      </c>
      <c r="G17">
        <f t="shared" ca="1" si="2"/>
        <v>0.45869591381540165</v>
      </c>
      <c r="H17">
        <f t="shared" ca="1" si="2"/>
        <v>-0.46433249299744417</v>
      </c>
      <c r="I17" s="13">
        <f t="shared" ca="1" si="3"/>
        <v>-2.7916315371667073</v>
      </c>
      <c r="J17" s="13">
        <f t="shared" ca="1" si="4"/>
        <v>-28.705436457153027</v>
      </c>
      <c r="K17" s="13">
        <f t="shared" ca="1" si="5"/>
        <v>0.8948455109026332</v>
      </c>
    </row>
    <row r="18" spans="1:11" x14ac:dyDescent="0.25">
      <c r="B18" s="28">
        <v>4</v>
      </c>
      <c r="C18" s="36">
        <f t="shared" ca="1" si="1"/>
        <v>40.919370088867076</v>
      </c>
      <c r="D18" s="29">
        <f t="shared" ca="1" si="0"/>
        <v>-7.7911562269224035</v>
      </c>
      <c r="G18">
        <f t="shared" ca="1" si="2"/>
        <v>0.30820994123922407</v>
      </c>
      <c r="H18">
        <f t="shared" ca="1" si="2"/>
        <v>0.85954696151604359</v>
      </c>
      <c r="I18" s="13">
        <f t="shared" ca="1" si="3"/>
        <v>6.3250386718515292</v>
      </c>
      <c r="J18" s="13">
        <f t="shared" ca="1" si="4"/>
        <v>226.73635310425277</v>
      </c>
      <c r="K18" s="13">
        <f t="shared" ca="1" si="5"/>
        <v>5.2874474934995188</v>
      </c>
    </row>
    <row r="19" spans="1:11" ht="13" x14ac:dyDescent="0.3">
      <c r="B19" s="28">
        <v>5</v>
      </c>
      <c r="C19" s="36">
        <f t="shared" ca="1" si="1"/>
        <v>17.945852585497093</v>
      </c>
      <c r="D19" s="29">
        <f t="shared" ca="1" si="0"/>
        <v>-30.764673730292387</v>
      </c>
      <c r="F19" s="12" t="s">
        <v>17</v>
      </c>
      <c r="G19">
        <f t="shared" ca="1" si="2"/>
        <v>0.12557332949059763</v>
      </c>
      <c r="H19">
        <f t="shared" ca="1" si="2"/>
        <v>0.3828741712236603</v>
      </c>
      <c r="I19" s="13">
        <f t="shared" ca="1" si="3"/>
        <v>2.8056925280562197</v>
      </c>
      <c r="J19" s="13">
        <f t="shared" ca="1" si="4"/>
        <v>99.239575380558307</v>
      </c>
      <c r="K19" s="13">
        <f t="shared" ca="1" si="5"/>
        <v>2.284936661838227</v>
      </c>
    </row>
    <row r="20" spans="1:11" ht="13" x14ac:dyDescent="0.3">
      <c r="B20" s="28">
        <v>6</v>
      </c>
      <c r="C20" s="36">
        <f t="shared" ca="1" si="1"/>
        <v>-47.735842727026963</v>
      </c>
      <c r="D20" s="29">
        <f t="shared" ca="1" si="0"/>
        <v>-96.446369042816443</v>
      </c>
      <c r="F20" s="12" t="s">
        <v>18</v>
      </c>
      <c r="G20">
        <f t="shared" ca="1" si="2"/>
        <v>-0.83456024930276085</v>
      </c>
      <c r="H20">
        <f t="shared" ca="1" si="2"/>
        <v>-0.71042042932719762</v>
      </c>
      <c r="I20" s="13">
        <f t="shared" ca="1" si="3"/>
        <v>-5.8075032545931435</v>
      </c>
      <c r="J20" s="13">
        <f t="shared" ca="1" si="4"/>
        <v>-274.3723275541256</v>
      </c>
      <c r="K20" s="13">
        <f t="shared" ca="1" si="5"/>
        <v>-7.8490432131253556</v>
      </c>
    </row>
    <row r="21" spans="1:11" x14ac:dyDescent="0.25">
      <c r="B21" s="28">
        <v>7</v>
      </c>
      <c r="C21" s="36">
        <f t="shared" ca="1" si="1"/>
        <v>-18.572647123016154</v>
      </c>
      <c r="D21" s="29">
        <f t="shared" ca="1" si="0"/>
        <v>-67.283173438805633</v>
      </c>
      <c r="G21">
        <f t="shared" ca="1" si="2"/>
        <v>-0.10918959303413445</v>
      </c>
      <c r="H21">
        <f t="shared" ca="1" si="2"/>
        <v>-0.40902812538966482</v>
      </c>
      <c r="I21" s="13">
        <f t="shared" ca="1" si="3"/>
        <v>-2.972386470761788</v>
      </c>
      <c r="J21" s="13">
        <f t="shared" ca="1" si="4"/>
        <v>-102.27434528694977</v>
      </c>
      <c r="K21" s="13">
        <f t="shared" ca="1" si="5"/>
        <v>-2.291250059763466</v>
      </c>
    </row>
    <row r="22" spans="1:11" x14ac:dyDescent="0.25">
      <c r="B22" s="28">
        <v>8</v>
      </c>
      <c r="C22" s="36">
        <f t="shared" ca="1" si="1"/>
        <v>99.245619745207506</v>
      </c>
      <c r="D22" s="29">
        <f t="shared" ca="1" si="0"/>
        <v>50.535093429418026</v>
      </c>
      <c r="G22">
        <f t="shared" ca="1" si="2"/>
        <v>1.3071525957604884</v>
      </c>
      <c r="H22">
        <f t="shared" ca="1" si="2"/>
        <v>1.7403578832552764</v>
      </c>
      <c r="I22" s="13">
        <f t="shared" ca="1" si="3"/>
        <v>13.489657778547423</v>
      </c>
      <c r="J22" s="13">
        <f t="shared" ca="1" si="4"/>
        <v>561.54804484768124</v>
      </c>
      <c r="K22" s="13">
        <f t="shared" ca="1" si="5"/>
        <v>14.804347107584036</v>
      </c>
    </row>
    <row r="23" spans="1:11" x14ac:dyDescent="0.25">
      <c r="B23" s="28">
        <v>9</v>
      </c>
      <c r="C23" s="36">
        <f t="shared" ca="1" si="1"/>
        <v>44.155676957584703</v>
      </c>
      <c r="D23" s="29">
        <f t="shared" ca="1" si="0"/>
        <v>-4.5548493582047769</v>
      </c>
      <c r="G23">
        <f t="shared" ca="1" si="2"/>
        <v>-0.18760400570142011</v>
      </c>
      <c r="H23">
        <f t="shared" ca="1" si="2"/>
        <v>1.2476454639594561</v>
      </c>
      <c r="I23" s="13">
        <f t="shared" ca="1" si="3"/>
        <v>8.5459142420147725</v>
      </c>
      <c r="J23" s="13">
        <f t="shared" ca="1" si="4"/>
        <v>233.86494657627273</v>
      </c>
      <c r="K23" s="13">
        <f t="shared" ca="1" si="5"/>
        <v>3.8649578216293037</v>
      </c>
    </row>
    <row r="24" spans="1:11" ht="13" x14ac:dyDescent="0.3">
      <c r="D24" s="28" t="s">
        <v>14</v>
      </c>
      <c r="E24" s="28"/>
      <c r="F24" s="3"/>
      <c r="G24" t="s">
        <v>0</v>
      </c>
    </row>
    <row r="26" spans="1:11" ht="13" x14ac:dyDescent="0.3">
      <c r="A26" t="s">
        <v>97</v>
      </c>
    </row>
    <row r="27" spans="1:11" ht="13" x14ac:dyDescent="0.3">
      <c r="A27" t="s">
        <v>98</v>
      </c>
    </row>
    <row r="28" spans="1:11" ht="13" x14ac:dyDescent="0.3">
      <c r="A28" s="35" t="s">
        <v>423</v>
      </c>
    </row>
    <row r="29" spans="1:11" ht="13" x14ac:dyDescent="0.3">
      <c r="A29" t="s">
        <v>424</v>
      </c>
    </row>
    <row r="30" spans="1:11" ht="13" x14ac:dyDescent="0.3">
      <c r="A30" t="s">
        <v>418</v>
      </c>
    </row>
    <row r="31" spans="1:11" ht="13" x14ac:dyDescent="0.3">
      <c r="A31" t="s">
        <v>425</v>
      </c>
    </row>
    <row r="32" spans="1:11" ht="13" x14ac:dyDescent="0.3">
      <c r="A32" t="s">
        <v>417</v>
      </c>
    </row>
    <row r="33" spans="1:1" x14ac:dyDescent="0.25">
      <c r="A33" t="s">
        <v>416</v>
      </c>
    </row>
    <row r="34" spans="1:1" ht="13" x14ac:dyDescent="0.3">
      <c r="A34" t="s">
        <v>15</v>
      </c>
    </row>
    <row r="35" spans="1:1" ht="13" x14ac:dyDescent="0.3">
      <c r="A35" t="s">
        <v>16</v>
      </c>
    </row>
    <row r="36" spans="1:1" x14ac:dyDescent="0.25">
      <c r="A36" t="s">
        <v>55</v>
      </c>
    </row>
    <row r="37" spans="1:1" ht="13" x14ac:dyDescent="0.3">
      <c r="A37" t="s">
        <v>426</v>
      </c>
    </row>
  </sheetData>
  <phoneticPr fontId="13" type="noConversion"/>
  <printOptions headings="1" gridLines="1"/>
  <pageMargins left="0.5" right="0.5" top="1" bottom="1" header="0.5" footer="0.5"/>
  <pageSetup orientation="portrait" horizontalDpi="300" verticalDpi="300" r:id="rId1"/>
  <headerFooter alignWithMargins="0">
    <oddHeader>&amp;A</oddHeader>
    <oddFooter>Page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showGridLines="0" workbookViewId="0">
      <selection activeCell="A4" sqref="A4"/>
    </sheetView>
  </sheetViews>
  <sheetFormatPr defaultRowHeight="12.5" x14ac:dyDescent="0.25"/>
  <cols>
    <col min="1" max="1" width="2.26953125" customWidth="1"/>
    <col min="2" max="2" width="6.453125" bestFit="1" customWidth="1"/>
    <col min="3" max="3" width="27.7265625" bestFit="1" customWidth="1"/>
    <col min="4" max="4" width="14.1796875" bestFit="1" customWidth="1"/>
    <col min="5" max="5" width="12" bestFit="1" customWidth="1"/>
    <col min="6" max="6" width="10.54296875" bestFit="1" customWidth="1"/>
    <col min="7" max="7" width="12" bestFit="1" customWidth="1"/>
  </cols>
  <sheetData>
    <row r="1" spans="1:5" ht="13" x14ac:dyDescent="0.3">
      <c r="A1" s="35" t="s">
        <v>337</v>
      </c>
    </row>
    <row r="2" spans="1:5" ht="13" x14ac:dyDescent="0.3">
      <c r="A2" s="35" t="s">
        <v>56</v>
      </c>
    </row>
    <row r="3" spans="1:5" ht="13" x14ac:dyDescent="0.3">
      <c r="A3" s="35" t="s">
        <v>57</v>
      </c>
    </row>
    <row r="6" spans="1:5" ht="13" thickBot="1" x14ac:dyDescent="0.3">
      <c r="A6" t="s">
        <v>234</v>
      </c>
    </row>
    <row r="7" spans="1:5" ht="13.5" thickBot="1" x14ac:dyDescent="0.35">
      <c r="B7" s="61" t="s">
        <v>235</v>
      </c>
      <c r="C7" s="61" t="s">
        <v>236</v>
      </c>
      <c r="D7" s="61" t="s">
        <v>237</v>
      </c>
      <c r="E7" s="61" t="s">
        <v>238</v>
      </c>
    </row>
    <row r="8" spans="1:5" ht="13" thickBot="1" x14ac:dyDescent="0.3">
      <c r="B8" s="42" t="s">
        <v>338</v>
      </c>
      <c r="C8" s="42" t="s">
        <v>51</v>
      </c>
      <c r="D8" s="43">
        <v>55.5</v>
      </c>
      <c r="E8" s="43">
        <v>48.710526315799875</v>
      </c>
    </row>
    <row r="11" spans="1:5" ht="13" thickBot="1" x14ac:dyDescent="0.3">
      <c r="A11" t="s">
        <v>239</v>
      </c>
    </row>
    <row r="12" spans="1:5" ht="13.5" thickBot="1" x14ac:dyDescent="0.35">
      <c r="B12" s="61" t="s">
        <v>235</v>
      </c>
      <c r="C12" s="61" t="s">
        <v>236</v>
      </c>
      <c r="D12" s="61" t="s">
        <v>237</v>
      </c>
      <c r="E12" s="61" t="s">
        <v>238</v>
      </c>
    </row>
    <row r="13" spans="1:5" x14ac:dyDescent="0.25">
      <c r="B13" s="44" t="s">
        <v>339</v>
      </c>
      <c r="C13" s="44" t="s">
        <v>340</v>
      </c>
      <c r="D13" s="45">
        <v>1.5</v>
      </c>
      <c r="E13" s="45">
        <v>1.1315789473692683</v>
      </c>
    </row>
    <row r="14" spans="1:5" ht="13" thickBot="1" x14ac:dyDescent="0.3">
      <c r="B14" s="42" t="s">
        <v>341</v>
      </c>
      <c r="C14" s="42" t="s">
        <v>342</v>
      </c>
      <c r="D14" s="43">
        <v>0.5</v>
      </c>
      <c r="E14" s="43">
        <v>0.55263157894711379</v>
      </c>
    </row>
    <row r="17" spans="1:7" ht="13" thickBot="1" x14ac:dyDescent="0.3">
      <c r="A17" t="s">
        <v>240</v>
      </c>
    </row>
    <row r="18" spans="1:7" ht="13.5" thickBot="1" x14ac:dyDescent="0.35">
      <c r="B18" s="61" t="s">
        <v>235</v>
      </c>
      <c r="C18" s="61" t="s">
        <v>236</v>
      </c>
      <c r="D18" s="61" t="s">
        <v>241</v>
      </c>
      <c r="E18" s="61" t="s">
        <v>231</v>
      </c>
      <c r="F18" s="61" t="s">
        <v>242</v>
      </c>
      <c r="G18" s="61" t="s">
        <v>243</v>
      </c>
    </row>
    <row r="19" spans="1:7" x14ac:dyDescent="0.25">
      <c r="B19" s="44" t="s">
        <v>343</v>
      </c>
      <c r="C19" s="44" t="s">
        <v>344</v>
      </c>
      <c r="D19" s="45">
        <v>4.9999999999990647</v>
      </c>
      <c r="E19" s="44" t="s">
        <v>355</v>
      </c>
      <c r="F19" s="44" t="s">
        <v>245</v>
      </c>
      <c r="G19" s="45">
        <v>0</v>
      </c>
    </row>
    <row r="20" spans="1:7" x14ac:dyDescent="0.25">
      <c r="B20" s="44" t="s">
        <v>348</v>
      </c>
      <c r="C20" s="44" t="s">
        <v>349</v>
      </c>
      <c r="D20" s="45">
        <v>9.0000000000040643</v>
      </c>
      <c r="E20" s="44" t="s">
        <v>350</v>
      </c>
      <c r="F20" s="44" t="s">
        <v>245</v>
      </c>
      <c r="G20" s="45">
        <v>0</v>
      </c>
    </row>
    <row r="21" spans="1:7" x14ac:dyDescent="0.25">
      <c r="B21" s="44" t="s">
        <v>345</v>
      </c>
      <c r="C21" s="44" t="s">
        <v>346</v>
      </c>
      <c r="D21" s="45">
        <v>285.78947368428413</v>
      </c>
      <c r="E21" s="44" t="s">
        <v>347</v>
      </c>
      <c r="F21" s="44" t="s">
        <v>244</v>
      </c>
      <c r="G21" s="44">
        <v>64.210526315715867</v>
      </c>
    </row>
    <row r="22" spans="1:7" ht="13" thickBot="1" x14ac:dyDescent="0.3">
      <c r="B22" s="42" t="s">
        <v>341</v>
      </c>
      <c r="C22" s="42" t="s">
        <v>342</v>
      </c>
      <c r="D22" s="43">
        <v>0.55263157894711379</v>
      </c>
      <c r="E22" s="42" t="s">
        <v>351</v>
      </c>
      <c r="F22" s="42" t="s">
        <v>244</v>
      </c>
      <c r="G22" s="42">
        <v>1.4473684210528863</v>
      </c>
    </row>
  </sheetData>
  <phoneticPr fontId="13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showGridLines="0" workbookViewId="0">
      <selection activeCell="A4" sqref="A4"/>
    </sheetView>
  </sheetViews>
  <sheetFormatPr defaultRowHeight="12.5" x14ac:dyDescent="0.25"/>
  <cols>
    <col min="1" max="1" width="2.26953125" customWidth="1"/>
    <col min="2" max="2" width="6.453125" bestFit="1" customWidth="1"/>
    <col min="3" max="3" width="27.7265625" bestFit="1" customWidth="1"/>
    <col min="4" max="5" width="12" bestFit="1" customWidth="1"/>
    <col min="6" max="6" width="10.7265625" bestFit="1" customWidth="1"/>
    <col min="7" max="8" width="12" bestFit="1" customWidth="1"/>
  </cols>
  <sheetData>
    <row r="1" spans="1:8" ht="13" x14ac:dyDescent="0.3">
      <c r="A1" s="35" t="s">
        <v>356</v>
      </c>
    </row>
    <row r="2" spans="1:8" ht="13" x14ac:dyDescent="0.3">
      <c r="A2" s="35" t="s">
        <v>56</v>
      </c>
    </row>
    <row r="3" spans="1:8" ht="13" x14ac:dyDescent="0.3">
      <c r="A3" s="35" t="s">
        <v>58</v>
      </c>
    </row>
    <row r="6" spans="1:8" ht="13" thickBot="1" x14ac:dyDescent="0.3">
      <c r="A6" t="s">
        <v>239</v>
      </c>
    </row>
    <row r="7" spans="1:8" ht="13" x14ac:dyDescent="0.3">
      <c r="B7" s="62"/>
      <c r="C7" s="62"/>
      <c r="D7" s="62" t="s">
        <v>246</v>
      </c>
      <c r="E7" s="62" t="s">
        <v>247</v>
      </c>
      <c r="F7" s="62" t="s">
        <v>258</v>
      </c>
      <c r="G7" s="62" t="s">
        <v>259</v>
      </c>
      <c r="H7" s="62" t="s">
        <v>259</v>
      </c>
    </row>
    <row r="8" spans="1:8" ht="13.5" thickBot="1" x14ac:dyDescent="0.35">
      <c r="B8" s="63" t="s">
        <v>235</v>
      </c>
      <c r="C8" s="63" t="s">
        <v>236</v>
      </c>
      <c r="D8" s="63" t="s">
        <v>248</v>
      </c>
      <c r="E8" s="63" t="s">
        <v>232</v>
      </c>
      <c r="F8" s="63" t="s">
        <v>260</v>
      </c>
      <c r="G8" s="63" t="s">
        <v>261</v>
      </c>
      <c r="H8" s="63" t="s">
        <v>262</v>
      </c>
    </row>
    <row r="9" spans="1:8" x14ac:dyDescent="0.25">
      <c r="B9" s="44" t="s">
        <v>339</v>
      </c>
      <c r="C9" s="44" t="s">
        <v>340</v>
      </c>
      <c r="D9" s="45">
        <v>1.1315789473692683</v>
      </c>
      <c r="E9" s="45">
        <v>0</v>
      </c>
      <c r="F9" s="44">
        <v>24.000000000038803</v>
      </c>
      <c r="G9" s="44">
        <v>34.50000000021565</v>
      </c>
      <c r="H9" s="44">
        <v>18.428571428622128</v>
      </c>
    </row>
    <row r="10" spans="1:8" ht="13" thickBot="1" x14ac:dyDescent="0.3">
      <c r="B10" s="42" t="s">
        <v>341</v>
      </c>
      <c r="C10" s="42" t="s">
        <v>342</v>
      </c>
      <c r="D10" s="43">
        <v>0.55263157894711379</v>
      </c>
      <c r="E10" s="43">
        <v>0</v>
      </c>
      <c r="F10" s="42">
        <v>39.000000000015689</v>
      </c>
      <c r="G10" s="42">
        <v>129.00000000068229</v>
      </c>
      <c r="H10" s="42">
        <v>23.000000000052978</v>
      </c>
    </row>
    <row r="12" spans="1:8" ht="13" thickBot="1" x14ac:dyDescent="0.3">
      <c r="A12" t="s">
        <v>240</v>
      </c>
    </row>
    <row r="13" spans="1:8" ht="13" x14ac:dyDescent="0.3">
      <c r="B13" s="62"/>
      <c r="C13" s="62"/>
      <c r="D13" s="62" t="s">
        <v>246</v>
      </c>
      <c r="E13" s="62" t="s">
        <v>263</v>
      </c>
      <c r="F13" s="62" t="s">
        <v>264</v>
      </c>
      <c r="G13" s="62" t="s">
        <v>259</v>
      </c>
      <c r="H13" s="62" t="s">
        <v>259</v>
      </c>
    </row>
    <row r="14" spans="1:8" ht="13.5" thickBot="1" x14ac:dyDescent="0.35">
      <c r="B14" s="63" t="s">
        <v>235</v>
      </c>
      <c r="C14" s="63" t="s">
        <v>236</v>
      </c>
      <c r="D14" s="63" t="s">
        <v>248</v>
      </c>
      <c r="E14" s="63" t="s">
        <v>265</v>
      </c>
      <c r="F14" s="63" t="s">
        <v>266</v>
      </c>
      <c r="G14" s="63" t="s">
        <v>261</v>
      </c>
      <c r="H14" s="63" t="s">
        <v>262</v>
      </c>
    </row>
    <row r="15" spans="1:8" x14ac:dyDescent="0.25">
      <c r="B15" s="44" t="s">
        <v>343</v>
      </c>
      <c r="C15" s="44" t="s">
        <v>344</v>
      </c>
      <c r="D15" s="45">
        <v>4.9999999999990647</v>
      </c>
      <c r="E15" s="45">
        <v>3.6315789473735545</v>
      </c>
      <c r="F15" s="44">
        <v>5</v>
      </c>
      <c r="G15" s="44">
        <v>3.6969696969813874</v>
      </c>
      <c r="H15" s="44">
        <v>3.5000000000015019</v>
      </c>
    </row>
    <row r="16" spans="1:8" x14ac:dyDescent="0.25">
      <c r="B16" s="44" t="s">
        <v>348</v>
      </c>
      <c r="C16" s="44" t="s">
        <v>349</v>
      </c>
      <c r="D16" s="45">
        <v>9.0000000000040643</v>
      </c>
      <c r="E16" s="45">
        <v>3.3947368421067963</v>
      </c>
      <c r="F16" s="44">
        <v>9</v>
      </c>
      <c r="G16" s="44">
        <v>2.9047619047611311</v>
      </c>
      <c r="H16" s="44">
        <v>6.1428571428758678</v>
      </c>
    </row>
    <row r="17" spans="2:8" ht="13" thickBot="1" x14ac:dyDescent="0.3">
      <c r="B17" s="42" t="s">
        <v>345</v>
      </c>
      <c r="C17" s="42" t="s">
        <v>346</v>
      </c>
      <c r="D17" s="43">
        <v>285.78947368428413</v>
      </c>
      <c r="E17" s="43">
        <v>0</v>
      </c>
      <c r="F17" s="42">
        <v>350</v>
      </c>
      <c r="G17" s="42">
        <v>1E+30</v>
      </c>
      <c r="H17" s="42">
        <v>64.210526315827209</v>
      </c>
    </row>
  </sheetData>
  <phoneticPr fontId="13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showGridLines="0" workbookViewId="0">
      <selection activeCell="A4" sqref="A4"/>
    </sheetView>
  </sheetViews>
  <sheetFormatPr defaultRowHeight="12.5" x14ac:dyDescent="0.25"/>
  <cols>
    <col min="1" max="1" width="2.26953125" customWidth="1"/>
    <col min="2" max="2" width="6.453125" bestFit="1" customWidth="1"/>
    <col min="3" max="3" width="23.26953125" bestFit="1" customWidth="1"/>
    <col min="4" max="4" width="12" bestFit="1" customWidth="1"/>
    <col min="5" max="5" width="2.26953125" customWidth="1"/>
    <col min="6" max="7" width="12" bestFit="1" customWidth="1"/>
    <col min="8" max="8" width="2.26953125" customWidth="1"/>
    <col min="9" max="10" width="12" bestFit="1" customWidth="1"/>
  </cols>
  <sheetData>
    <row r="1" spans="1:10" ht="13" x14ac:dyDescent="0.3">
      <c r="A1" s="35" t="s">
        <v>357</v>
      </c>
    </row>
    <row r="2" spans="1:10" ht="13" x14ac:dyDescent="0.3">
      <c r="A2" s="35" t="s">
        <v>56</v>
      </c>
    </row>
    <row r="3" spans="1:10" ht="13" x14ac:dyDescent="0.3">
      <c r="A3" s="35" t="s">
        <v>58</v>
      </c>
    </row>
    <row r="5" spans="1:10" ht="13" thickBot="1" x14ac:dyDescent="0.3"/>
    <row r="6" spans="1:10" ht="13" x14ac:dyDescent="0.3">
      <c r="B6" s="62"/>
      <c r="C6" s="62" t="s">
        <v>252</v>
      </c>
      <c r="D6" s="62"/>
    </row>
    <row r="7" spans="1:10" ht="13.5" thickBot="1" x14ac:dyDescent="0.35">
      <c r="B7" s="63" t="s">
        <v>235</v>
      </c>
      <c r="C7" s="63" t="s">
        <v>236</v>
      </c>
      <c r="D7" s="63" t="s">
        <v>248</v>
      </c>
    </row>
    <row r="8" spans="1:10" ht="13" thickBot="1" x14ac:dyDescent="0.3">
      <c r="B8" s="42" t="s">
        <v>338</v>
      </c>
      <c r="C8" s="42" t="s">
        <v>51</v>
      </c>
      <c r="D8" s="43">
        <v>48.710526315799875</v>
      </c>
    </row>
    <row r="10" spans="1:10" ht="13" thickBot="1" x14ac:dyDescent="0.3"/>
    <row r="11" spans="1:10" ht="13" x14ac:dyDescent="0.3">
      <c r="B11" s="62"/>
      <c r="C11" s="62" t="s">
        <v>253</v>
      </c>
      <c r="D11" s="62"/>
      <c r="F11" s="62" t="s">
        <v>254</v>
      </c>
      <c r="G11" s="62" t="s">
        <v>252</v>
      </c>
      <c r="I11" s="62" t="s">
        <v>255</v>
      </c>
      <c r="J11" s="62" t="s">
        <v>252</v>
      </c>
    </row>
    <row r="12" spans="1:10" ht="13.5" thickBot="1" x14ac:dyDescent="0.35">
      <c r="B12" s="63" t="s">
        <v>235</v>
      </c>
      <c r="C12" s="63" t="s">
        <v>236</v>
      </c>
      <c r="D12" s="63" t="s">
        <v>248</v>
      </c>
      <c r="F12" s="63" t="s">
        <v>256</v>
      </c>
      <c r="G12" s="63" t="s">
        <v>257</v>
      </c>
      <c r="I12" s="63" t="s">
        <v>256</v>
      </c>
      <c r="J12" s="63" t="s">
        <v>257</v>
      </c>
    </row>
    <row r="13" spans="1:10" x14ac:dyDescent="0.25">
      <c r="B13" s="44" t="s">
        <v>339</v>
      </c>
      <c r="C13" s="44" t="s">
        <v>340</v>
      </c>
      <c r="D13" s="45">
        <v>1.1315789473692683</v>
      </c>
      <c r="F13" s="45">
        <v>1.1315789473702036</v>
      </c>
      <c r="G13" s="45">
        <v>48.710526315822321</v>
      </c>
      <c r="I13" s="45">
        <v>1.5596491228062497</v>
      </c>
      <c r="J13" s="45">
        <v>58.984210526287427</v>
      </c>
    </row>
    <row r="14" spans="1:10" ht="13" thickBot="1" x14ac:dyDescent="0.3">
      <c r="B14" s="42" t="s">
        <v>341</v>
      </c>
      <c r="C14" s="42" t="s">
        <v>342</v>
      </c>
      <c r="D14" s="43">
        <v>0.55263157894711379</v>
      </c>
      <c r="F14" s="43">
        <v>0.55263157894724735</v>
      </c>
      <c r="G14" s="43">
        <v>48.710526315805083</v>
      </c>
      <c r="I14" s="43">
        <v>0.85839598997440136</v>
      </c>
      <c r="J14" s="43">
        <v>60.635338345864092</v>
      </c>
    </row>
  </sheetData>
  <phoneticPr fontId="13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showGridLines="0" zoomScale="90" workbookViewId="0">
      <selection activeCell="A4" sqref="A4"/>
    </sheetView>
  </sheetViews>
  <sheetFormatPr defaultRowHeight="12.5" x14ac:dyDescent="0.25"/>
  <cols>
    <col min="1" max="1" width="2.26953125" customWidth="1"/>
    <col min="2" max="2" width="6.453125" bestFit="1" customWidth="1"/>
    <col min="3" max="3" width="27.7265625" bestFit="1" customWidth="1"/>
    <col min="4" max="4" width="14.1796875" bestFit="1" customWidth="1"/>
    <col min="5" max="5" width="12" bestFit="1" customWidth="1"/>
    <col min="6" max="6" width="10.54296875" bestFit="1" customWidth="1"/>
    <col min="7" max="7" width="12" bestFit="1" customWidth="1"/>
  </cols>
  <sheetData>
    <row r="1" spans="1:5" ht="13" x14ac:dyDescent="0.3">
      <c r="A1" s="35" t="s">
        <v>337</v>
      </c>
    </row>
    <row r="2" spans="1:5" ht="13" x14ac:dyDescent="0.3">
      <c r="A2" s="35" t="s">
        <v>56</v>
      </c>
    </row>
    <row r="3" spans="1:5" ht="13" x14ac:dyDescent="0.3">
      <c r="A3" s="35" t="s">
        <v>64</v>
      </c>
    </row>
    <row r="6" spans="1:5" ht="13" thickBot="1" x14ac:dyDescent="0.3">
      <c r="A6" t="s">
        <v>234</v>
      </c>
    </row>
    <row r="7" spans="1:5" ht="13.5" thickBot="1" x14ac:dyDescent="0.35">
      <c r="B7" s="61" t="s">
        <v>235</v>
      </c>
      <c r="C7" s="61" t="s">
        <v>236</v>
      </c>
      <c r="D7" s="61" t="s">
        <v>237</v>
      </c>
      <c r="E7" s="61" t="s">
        <v>238</v>
      </c>
    </row>
    <row r="8" spans="1:5" ht="13" thickBot="1" x14ac:dyDescent="0.3">
      <c r="B8" s="42" t="s">
        <v>338</v>
      </c>
      <c r="C8" s="42" t="s">
        <v>51</v>
      </c>
      <c r="D8" s="43">
        <v>55.5</v>
      </c>
      <c r="E8" s="43">
        <v>48.71052631578948</v>
      </c>
    </row>
    <row r="11" spans="1:5" ht="13" thickBot="1" x14ac:dyDescent="0.3">
      <c r="A11" t="s">
        <v>239</v>
      </c>
    </row>
    <row r="12" spans="1:5" ht="13.5" thickBot="1" x14ac:dyDescent="0.35">
      <c r="B12" s="61" t="s">
        <v>235</v>
      </c>
      <c r="C12" s="61" t="s">
        <v>236</v>
      </c>
      <c r="D12" s="61" t="s">
        <v>237</v>
      </c>
      <c r="E12" s="61" t="s">
        <v>238</v>
      </c>
    </row>
    <row r="13" spans="1:5" x14ac:dyDescent="0.25">
      <c r="B13" s="44" t="s">
        <v>339</v>
      </c>
      <c r="C13" s="44" t="s">
        <v>340</v>
      </c>
      <c r="D13" s="45">
        <v>1.5</v>
      </c>
      <c r="E13" s="45">
        <v>1.1315789473684212</v>
      </c>
    </row>
    <row r="14" spans="1:5" ht="13" thickBot="1" x14ac:dyDescent="0.3">
      <c r="B14" s="42" t="s">
        <v>341</v>
      </c>
      <c r="C14" s="42" t="s">
        <v>342</v>
      </c>
      <c r="D14" s="43">
        <v>0.5</v>
      </c>
      <c r="E14" s="43">
        <v>0.55263157894736836</v>
      </c>
    </row>
    <row r="17" spans="1:7" ht="13" thickBot="1" x14ac:dyDescent="0.3">
      <c r="A17" t="s">
        <v>240</v>
      </c>
    </row>
    <row r="18" spans="1:7" ht="13.5" thickBot="1" x14ac:dyDescent="0.35">
      <c r="B18" s="61" t="s">
        <v>235</v>
      </c>
      <c r="C18" s="61" t="s">
        <v>236</v>
      </c>
      <c r="D18" s="61" t="s">
        <v>241</v>
      </c>
      <c r="E18" s="61" t="s">
        <v>231</v>
      </c>
      <c r="F18" s="61" t="s">
        <v>242</v>
      </c>
      <c r="G18" s="61" t="s">
        <v>243</v>
      </c>
    </row>
    <row r="19" spans="1:7" x14ac:dyDescent="0.25">
      <c r="B19" s="44" t="s">
        <v>343</v>
      </c>
      <c r="C19" s="44" t="s">
        <v>344</v>
      </c>
      <c r="D19" s="45">
        <v>5</v>
      </c>
      <c r="E19" s="44" t="s">
        <v>355</v>
      </c>
      <c r="F19" s="44" t="s">
        <v>245</v>
      </c>
      <c r="G19" s="45">
        <v>0</v>
      </c>
    </row>
    <row r="20" spans="1:7" x14ac:dyDescent="0.25">
      <c r="B20" s="44" t="s">
        <v>348</v>
      </c>
      <c r="C20" s="44" t="s">
        <v>349</v>
      </c>
      <c r="D20" s="45">
        <v>9</v>
      </c>
      <c r="E20" s="44" t="s">
        <v>350</v>
      </c>
      <c r="F20" s="44" t="s">
        <v>245</v>
      </c>
      <c r="G20" s="45">
        <v>0</v>
      </c>
    </row>
    <row r="21" spans="1:7" x14ac:dyDescent="0.25">
      <c r="B21" s="44" t="s">
        <v>345</v>
      </c>
      <c r="C21" s="44" t="s">
        <v>346</v>
      </c>
      <c r="D21" s="45">
        <v>285.78947368421052</v>
      </c>
      <c r="E21" s="44" t="s">
        <v>347</v>
      </c>
      <c r="F21" s="44" t="s">
        <v>244</v>
      </c>
      <c r="G21" s="44">
        <v>64.21052631578948</v>
      </c>
    </row>
    <row r="22" spans="1:7" x14ac:dyDescent="0.25">
      <c r="B22" s="44" t="s">
        <v>341</v>
      </c>
      <c r="C22" s="44" t="s">
        <v>342</v>
      </c>
      <c r="D22" s="45">
        <v>0.55263157894736836</v>
      </c>
      <c r="E22" s="44" t="s">
        <v>351</v>
      </c>
      <c r="F22" s="44" t="s">
        <v>244</v>
      </c>
      <c r="G22" s="44">
        <v>1.4473684210526316</v>
      </c>
    </row>
    <row r="23" spans="1:7" x14ac:dyDescent="0.25">
      <c r="B23" s="44" t="s">
        <v>339</v>
      </c>
      <c r="C23" s="44" t="s">
        <v>340</v>
      </c>
      <c r="D23" s="45">
        <v>1.1315789473684212</v>
      </c>
      <c r="E23" s="44" t="s">
        <v>358</v>
      </c>
      <c r="F23" s="44" t="s">
        <v>244</v>
      </c>
      <c r="G23" s="45">
        <v>1.1315789473684212</v>
      </c>
    </row>
    <row r="24" spans="1:7" ht="13" thickBot="1" x14ac:dyDescent="0.3">
      <c r="B24" s="42" t="s">
        <v>341</v>
      </c>
      <c r="C24" s="42" t="s">
        <v>342</v>
      </c>
      <c r="D24" s="43">
        <v>0.55263157894736836</v>
      </c>
      <c r="E24" s="42" t="s">
        <v>359</v>
      </c>
      <c r="F24" s="42" t="s">
        <v>244</v>
      </c>
      <c r="G24" s="43">
        <v>0.55263157894736836</v>
      </c>
    </row>
  </sheetData>
  <phoneticPr fontId="13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showGridLines="0" workbookViewId="0">
      <selection activeCell="A4" sqref="A4"/>
    </sheetView>
  </sheetViews>
  <sheetFormatPr defaultRowHeight="12.5" x14ac:dyDescent="0.25"/>
  <cols>
    <col min="1" max="1" width="2.26953125" customWidth="1"/>
    <col min="2" max="2" width="6.453125" bestFit="1" customWidth="1"/>
    <col min="3" max="3" width="27.7265625" bestFit="1" customWidth="1"/>
    <col min="4" max="5" width="12" bestFit="1" customWidth="1"/>
  </cols>
  <sheetData>
    <row r="1" spans="1:5" ht="13" x14ac:dyDescent="0.3">
      <c r="A1" s="35" t="s">
        <v>356</v>
      </c>
    </row>
    <row r="2" spans="1:5" ht="13" x14ac:dyDescent="0.3">
      <c r="A2" s="35" t="s">
        <v>56</v>
      </c>
    </row>
    <row r="3" spans="1:5" ht="13" x14ac:dyDescent="0.3">
      <c r="A3" s="35" t="s">
        <v>64</v>
      </c>
    </row>
    <row r="6" spans="1:5" ht="13" thickBot="1" x14ac:dyDescent="0.3">
      <c r="A6" t="s">
        <v>239</v>
      </c>
    </row>
    <row r="7" spans="1:5" ht="13" x14ac:dyDescent="0.3">
      <c r="B7" s="62"/>
      <c r="C7" s="62"/>
      <c r="D7" s="62" t="s">
        <v>246</v>
      </c>
      <c r="E7" s="62" t="s">
        <v>247</v>
      </c>
    </row>
    <row r="8" spans="1:5" ht="13.5" thickBot="1" x14ac:dyDescent="0.35">
      <c r="B8" s="63" t="s">
        <v>235</v>
      </c>
      <c r="C8" s="63" t="s">
        <v>236</v>
      </c>
      <c r="D8" s="63" t="s">
        <v>248</v>
      </c>
      <c r="E8" s="63" t="s">
        <v>249</v>
      </c>
    </row>
    <row r="9" spans="1:5" x14ac:dyDescent="0.25">
      <c r="B9" s="44" t="s">
        <v>339</v>
      </c>
      <c r="C9" s="44" t="s">
        <v>340</v>
      </c>
      <c r="D9" s="45">
        <v>1.1315789473684212</v>
      </c>
      <c r="E9" s="45">
        <v>0</v>
      </c>
    </row>
    <row r="10" spans="1:5" ht="13" thickBot="1" x14ac:dyDescent="0.3">
      <c r="B10" s="42" t="s">
        <v>341</v>
      </c>
      <c r="C10" s="42" t="s">
        <v>342</v>
      </c>
      <c r="D10" s="43">
        <v>0.55263157894736836</v>
      </c>
      <c r="E10" s="43">
        <v>0</v>
      </c>
    </row>
    <row r="12" spans="1:5" ht="13" thickBot="1" x14ac:dyDescent="0.3">
      <c r="A12" t="s">
        <v>240</v>
      </c>
    </row>
    <row r="13" spans="1:5" ht="13" x14ac:dyDescent="0.3">
      <c r="B13" s="62"/>
      <c r="C13" s="62"/>
      <c r="D13" s="62" t="s">
        <v>246</v>
      </c>
      <c r="E13" s="62" t="s">
        <v>250</v>
      </c>
    </row>
    <row r="14" spans="1:5" ht="13.5" thickBot="1" x14ac:dyDescent="0.35">
      <c r="B14" s="63" t="s">
        <v>235</v>
      </c>
      <c r="C14" s="63" t="s">
        <v>236</v>
      </c>
      <c r="D14" s="63" t="s">
        <v>248</v>
      </c>
      <c r="E14" s="63" t="s">
        <v>251</v>
      </c>
    </row>
    <row r="15" spans="1:5" x14ac:dyDescent="0.25">
      <c r="B15" s="44" t="s">
        <v>343</v>
      </c>
      <c r="C15" s="44" t="s">
        <v>344</v>
      </c>
      <c r="D15" s="45">
        <v>5</v>
      </c>
      <c r="E15" s="45">
        <v>3.6315789473684212</v>
      </c>
    </row>
    <row r="16" spans="1:5" x14ac:dyDescent="0.25">
      <c r="B16" s="44" t="s">
        <v>348</v>
      </c>
      <c r="C16" s="44" t="s">
        <v>349</v>
      </c>
      <c r="D16" s="45">
        <v>9</v>
      </c>
      <c r="E16" s="45">
        <v>3.3947368421052628</v>
      </c>
    </row>
    <row r="17" spans="2:5" ht="13" thickBot="1" x14ac:dyDescent="0.3">
      <c r="B17" s="42" t="s">
        <v>345</v>
      </c>
      <c r="C17" s="42" t="s">
        <v>346</v>
      </c>
      <c r="D17" s="43">
        <v>285.78947368421052</v>
      </c>
      <c r="E17" s="43">
        <v>0</v>
      </c>
    </row>
  </sheetData>
  <phoneticPr fontId="13" type="noConversion"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showGridLines="0" workbookViewId="0">
      <selection activeCell="A4" sqref="A4"/>
    </sheetView>
  </sheetViews>
  <sheetFormatPr defaultRowHeight="12.5" x14ac:dyDescent="0.25"/>
  <cols>
    <col min="1" max="1" width="2.26953125" customWidth="1"/>
    <col min="2" max="2" width="6.453125" bestFit="1" customWidth="1"/>
    <col min="3" max="3" width="23.26953125" bestFit="1" customWidth="1"/>
    <col min="4" max="4" width="12" bestFit="1" customWidth="1"/>
    <col min="5" max="5" width="2.26953125" customWidth="1"/>
    <col min="6" max="7" width="12" bestFit="1" customWidth="1"/>
    <col min="8" max="8" width="2.26953125" customWidth="1"/>
    <col min="9" max="10" width="12" bestFit="1" customWidth="1"/>
  </cols>
  <sheetData>
    <row r="1" spans="1:10" ht="13" x14ac:dyDescent="0.3">
      <c r="A1" s="35" t="s">
        <v>357</v>
      </c>
    </row>
    <row r="2" spans="1:10" ht="13" x14ac:dyDescent="0.3">
      <c r="A2" s="35" t="s">
        <v>56</v>
      </c>
    </row>
    <row r="3" spans="1:10" ht="13" x14ac:dyDescent="0.3">
      <c r="A3" s="35" t="s">
        <v>65</v>
      </c>
    </row>
    <row r="5" spans="1:10" ht="13" thickBot="1" x14ac:dyDescent="0.3"/>
    <row r="6" spans="1:10" ht="13" x14ac:dyDescent="0.3">
      <c r="B6" s="62"/>
      <c r="C6" s="62" t="s">
        <v>252</v>
      </c>
      <c r="D6" s="62"/>
    </row>
    <row r="7" spans="1:10" ht="13.5" thickBot="1" x14ac:dyDescent="0.35">
      <c r="B7" s="63" t="s">
        <v>235</v>
      </c>
      <c r="C7" s="63" t="s">
        <v>236</v>
      </c>
      <c r="D7" s="63" t="s">
        <v>248</v>
      </c>
    </row>
    <row r="8" spans="1:10" ht="13" thickBot="1" x14ac:dyDescent="0.3">
      <c r="B8" s="42" t="s">
        <v>338</v>
      </c>
      <c r="C8" s="42" t="s">
        <v>51</v>
      </c>
      <c r="D8" s="43">
        <v>48.71052631578948</v>
      </c>
    </row>
    <row r="10" spans="1:10" ht="13" thickBot="1" x14ac:dyDescent="0.3"/>
    <row r="11" spans="1:10" ht="13" x14ac:dyDescent="0.3">
      <c r="B11" s="62"/>
      <c r="C11" s="62" t="s">
        <v>253</v>
      </c>
      <c r="D11" s="62"/>
      <c r="F11" s="62" t="s">
        <v>254</v>
      </c>
      <c r="G11" s="62" t="s">
        <v>252</v>
      </c>
      <c r="I11" s="62" t="s">
        <v>255</v>
      </c>
      <c r="J11" s="62" t="s">
        <v>252</v>
      </c>
    </row>
    <row r="12" spans="1:10" ht="13.5" thickBot="1" x14ac:dyDescent="0.35">
      <c r="B12" s="63" t="s">
        <v>235</v>
      </c>
      <c r="C12" s="63" t="s">
        <v>236</v>
      </c>
      <c r="D12" s="63" t="s">
        <v>248</v>
      </c>
      <c r="F12" s="63" t="s">
        <v>256</v>
      </c>
      <c r="G12" s="63" t="s">
        <v>257</v>
      </c>
      <c r="I12" s="63" t="s">
        <v>256</v>
      </c>
      <c r="J12" s="63" t="s">
        <v>257</v>
      </c>
    </row>
    <row r="13" spans="1:10" x14ac:dyDescent="0.25">
      <c r="B13" s="44" t="s">
        <v>339</v>
      </c>
      <c r="C13" s="44" t="s">
        <v>340</v>
      </c>
      <c r="D13" s="45">
        <v>1.1315789473684212</v>
      </c>
      <c r="F13" s="45">
        <v>1.1315789473684212</v>
      </c>
      <c r="G13" s="45">
        <v>48.71052631578948</v>
      </c>
      <c r="I13" s="45">
        <v>1.5596491228070177</v>
      </c>
      <c r="J13" s="45">
        <v>58.984210526315792</v>
      </c>
    </row>
    <row r="14" spans="1:10" ht="13" thickBot="1" x14ac:dyDescent="0.3">
      <c r="B14" s="42" t="s">
        <v>341</v>
      </c>
      <c r="C14" s="42" t="s">
        <v>342</v>
      </c>
      <c r="D14" s="43">
        <v>0.55263157894736836</v>
      </c>
      <c r="F14" s="43">
        <v>0.55263157894736836</v>
      </c>
      <c r="G14" s="43">
        <v>48.71052631578948</v>
      </c>
      <c r="I14" s="43">
        <v>0.85839598997493716</v>
      </c>
      <c r="J14" s="43">
        <v>60.63533834586466</v>
      </c>
    </row>
  </sheetData>
  <phoneticPr fontId="13" type="noConversion"/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1"/>
  <dimension ref="A1:N37"/>
  <sheetViews>
    <sheetView zoomScale="65" workbookViewId="0">
      <selection activeCell="A10" sqref="A10"/>
    </sheetView>
  </sheetViews>
  <sheetFormatPr defaultRowHeight="12.5" x14ac:dyDescent="0.25"/>
  <cols>
    <col min="1" max="1" width="4" customWidth="1"/>
    <col min="2" max="2" width="6.1796875" customWidth="1"/>
    <col min="3" max="3" width="30.26953125" customWidth="1"/>
    <col min="4" max="4" width="23.453125" customWidth="1"/>
    <col min="5" max="5" width="14.453125" customWidth="1"/>
    <col min="6" max="6" width="13.26953125" customWidth="1"/>
    <col min="7" max="7" width="11.1796875" customWidth="1"/>
    <col min="8" max="8" width="15.81640625" customWidth="1"/>
    <col min="9" max="9" width="10.54296875" customWidth="1"/>
    <col min="10" max="10" width="14" customWidth="1"/>
  </cols>
  <sheetData>
    <row r="1" spans="1:14" ht="13" x14ac:dyDescent="0.3">
      <c r="A1" s="8" t="s">
        <v>331</v>
      </c>
      <c r="L1" s="2"/>
      <c r="M1" s="2"/>
      <c r="N1" s="1"/>
    </row>
    <row r="2" spans="1:14" ht="13" x14ac:dyDescent="0.3">
      <c r="A2" s="9" t="s">
        <v>297</v>
      </c>
      <c r="L2" s="2"/>
      <c r="M2" s="2"/>
      <c r="N2" s="1"/>
    </row>
    <row r="3" spans="1:14" ht="13" x14ac:dyDescent="0.3">
      <c r="A3" s="9" t="s">
        <v>419</v>
      </c>
    </row>
    <row r="4" spans="1:14" ht="13" x14ac:dyDescent="0.3">
      <c r="A4" s="35" t="s">
        <v>330</v>
      </c>
    </row>
    <row r="5" spans="1:14" ht="13" x14ac:dyDescent="0.3">
      <c r="A5" s="35" t="s">
        <v>298</v>
      </c>
    </row>
    <row r="6" spans="1:14" ht="13" x14ac:dyDescent="0.3">
      <c r="A6" t="s">
        <v>420</v>
      </c>
    </row>
    <row r="7" spans="1:14" ht="13" x14ac:dyDescent="0.3">
      <c r="A7" s="9" t="s">
        <v>308</v>
      </c>
    </row>
    <row r="8" spans="1:14" ht="13" x14ac:dyDescent="0.3">
      <c r="A8" t="s">
        <v>421</v>
      </c>
    </row>
    <row r="9" spans="1:14" ht="13" x14ac:dyDescent="0.3">
      <c r="A9" s="8" t="s">
        <v>394</v>
      </c>
    </row>
    <row r="10" spans="1:14" x14ac:dyDescent="0.25">
      <c r="A10" s="36" t="s">
        <v>52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</row>
    <row r="11" spans="1:14" ht="13" x14ac:dyDescent="0.3">
      <c r="C11" s="58" t="s">
        <v>233</v>
      </c>
      <c r="D11" s="18"/>
      <c r="F11" s="12" t="s">
        <v>392</v>
      </c>
      <c r="G11" s="3" t="s">
        <v>105</v>
      </c>
      <c r="H11" s="3" t="s">
        <v>106</v>
      </c>
      <c r="I11" s="3" t="s">
        <v>354</v>
      </c>
      <c r="J11" s="3" t="s">
        <v>103</v>
      </c>
      <c r="K11" s="3" t="s">
        <v>53</v>
      </c>
    </row>
    <row r="12" spans="1:14" ht="13" x14ac:dyDescent="0.3">
      <c r="C12" s="18"/>
      <c r="D12" s="18"/>
      <c r="E12" s="18"/>
      <c r="F12" s="22" t="s">
        <v>124</v>
      </c>
      <c r="G12" s="13">
        <v>1</v>
      </c>
      <c r="H12" s="13">
        <v>1</v>
      </c>
      <c r="I12" s="13"/>
      <c r="J12" s="13"/>
      <c r="K12" s="13"/>
    </row>
    <row r="13" spans="1:14" ht="15" x14ac:dyDescent="0.4">
      <c r="B13" s="26" t="s">
        <v>130</v>
      </c>
      <c r="C13" s="24" t="s">
        <v>51</v>
      </c>
      <c r="D13" s="27" t="s">
        <v>131</v>
      </c>
      <c r="E13" s="18"/>
      <c r="F13" s="22" t="s">
        <v>393</v>
      </c>
      <c r="G13" s="19" t="s">
        <v>267</v>
      </c>
      <c r="H13" s="19" t="s">
        <v>352</v>
      </c>
      <c r="I13" s="19" t="s">
        <v>100</v>
      </c>
      <c r="J13" s="19" t="s">
        <v>101</v>
      </c>
      <c r="K13" s="19" t="s">
        <v>102</v>
      </c>
    </row>
    <row r="14" spans="1:14" ht="13" x14ac:dyDescent="0.3">
      <c r="B14" s="28"/>
      <c r="C14" s="36">
        <f t="shared" ref="C14:C23" si="0">24*G14+39*H14</f>
        <v>48.710526315767609</v>
      </c>
      <c r="D14">
        <f t="shared" ref="D14:D23" si="1">+C14-C$14</f>
        <v>0</v>
      </c>
      <c r="F14" s="12" t="s">
        <v>137</v>
      </c>
      <c r="G14" s="13">
        <v>1.131578947369055</v>
      </c>
      <c r="H14" s="13">
        <f>(9-6*G14)/4</f>
        <v>0.55263157894641757</v>
      </c>
      <c r="I14" s="13">
        <f t="shared" ref="I14:I23" si="2">G14+7*H14</f>
        <v>4.9999999999939782</v>
      </c>
      <c r="J14" s="13">
        <f t="shared" ref="J14:J23" si="3">150*G14+210*H14</f>
        <v>285.78947368410593</v>
      </c>
      <c r="K14" s="13">
        <f t="shared" ref="K14:K23" si="4">6*G14+4*H14</f>
        <v>9</v>
      </c>
    </row>
    <row r="15" spans="1:14" x14ac:dyDescent="0.25">
      <c r="B15" s="28">
        <v>1</v>
      </c>
      <c r="C15" s="36">
        <f t="shared" si="0"/>
        <v>33.866327415972783</v>
      </c>
      <c r="D15" s="29">
        <f t="shared" si="1"/>
        <v>-14.844198899794826</v>
      </c>
      <c r="G15">
        <v>1.5618455821457164</v>
      </c>
      <c r="H15" s="13">
        <f t="shared" ref="H15:H23" si="5">(9-6*G15)/4</f>
        <v>-9.2768373218574673E-2</v>
      </c>
      <c r="I15" s="13">
        <f t="shared" si="2"/>
        <v>0.91246696961569373</v>
      </c>
      <c r="J15" s="13">
        <f t="shared" si="3"/>
        <v>214.7954789459568</v>
      </c>
      <c r="K15" s="13">
        <f t="shared" si="4"/>
        <v>9</v>
      </c>
    </row>
    <row r="16" spans="1:14" x14ac:dyDescent="0.25">
      <c r="B16" s="28">
        <v>2</v>
      </c>
      <c r="C16" s="36">
        <f t="shared" si="0"/>
        <v>46.251568503193113</v>
      </c>
      <c r="D16" s="29">
        <f t="shared" si="1"/>
        <v>-2.4589578125744964</v>
      </c>
      <c r="G16">
        <v>1.2028530868639677</v>
      </c>
      <c r="H16" s="13">
        <f t="shared" si="5"/>
        <v>0.44572036970404838</v>
      </c>
      <c r="I16" s="13">
        <f t="shared" si="2"/>
        <v>4.3228956747923064</v>
      </c>
      <c r="J16" s="13">
        <f t="shared" si="3"/>
        <v>274.02924066744532</v>
      </c>
      <c r="K16" s="13">
        <f t="shared" si="4"/>
        <v>9</v>
      </c>
    </row>
    <row r="17" spans="1:11" x14ac:dyDescent="0.25">
      <c r="B17" s="28">
        <v>3</v>
      </c>
      <c r="C17" s="36">
        <f t="shared" si="0"/>
        <v>34.704286094056364</v>
      </c>
      <c r="D17" s="29">
        <f t="shared" si="1"/>
        <v>-14.006240221711245</v>
      </c>
      <c r="G17">
        <v>1.5375569248099605</v>
      </c>
      <c r="H17" s="13">
        <f t="shared" si="5"/>
        <v>-5.6335387214940802E-2</v>
      </c>
      <c r="I17" s="13">
        <f t="shared" si="2"/>
        <v>1.1432092143053749</v>
      </c>
      <c r="J17" s="13">
        <f t="shared" si="3"/>
        <v>218.80310740635653</v>
      </c>
      <c r="K17" s="13">
        <f t="shared" si="4"/>
        <v>9</v>
      </c>
    </row>
    <row r="18" spans="1:11" x14ac:dyDescent="0.25">
      <c r="B18" s="28">
        <v>4</v>
      </c>
      <c r="C18" s="36">
        <f t="shared" si="0"/>
        <v>64.843745962022922</v>
      </c>
      <c r="D18" s="29">
        <f t="shared" si="1"/>
        <v>16.133219646255313</v>
      </c>
      <c r="G18">
        <v>0.66394939240513273</v>
      </c>
      <c r="H18" s="13">
        <f t="shared" si="5"/>
        <v>1.254075911392301</v>
      </c>
      <c r="I18" s="13">
        <f t="shared" si="2"/>
        <v>9.4424807721512405</v>
      </c>
      <c r="J18" s="13">
        <f t="shared" si="3"/>
        <v>362.94835025315314</v>
      </c>
      <c r="K18" s="13">
        <f t="shared" si="4"/>
        <v>9</v>
      </c>
    </row>
    <row r="19" spans="1:11" ht="13" x14ac:dyDescent="0.3">
      <c r="B19" s="28">
        <v>5</v>
      </c>
      <c r="C19" s="36">
        <f t="shared" si="0"/>
        <v>54.479109261525387</v>
      </c>
      <c r="D19" s="29">
        <f t="shared" si="1"/>
        <v>5.7685829457577782</v>
      </c>
      <c r="F19" s="12" t="s">
        <v>17</v>
      </c>
      <c r="G19">
        <v>0.96437364459346697</v>
      </c>
      <c r="H19" s="13">
        <f t="shared" si="5"/>
        <v>0.80343953310979943</v>
      </c>
      <c r="I19" s="13">
        <f t="shared" si="2"/>
        <v>6.5884503763620632</v>
      </c>
      <c r="J19" s="13">
        <f t="shared" si="3"/>
        <v>313.37834864207798</v>
      </c>
      <c r="K19" s="13">
        <f t="shared" si="4"/>
        <v>9</v>
      </c>
    </row>
    <row r="20" spans="1:11" ht="13" x14ac:dyDescent="0.3">
      <c r="B20" s="28">
        <v>6</v>
      </c>
      <c r="C20" s="36">
        <f t="shared" si="0"/>
        <v>38.382073675270739</v>
      </c>
      <c r="D20" s="29">
        <f t="shared" si="1"/>
        <v>-10.32845264049687</v>
      </c>
      <c r="F20" s="12" t="s">
        <v>18</v>
      </c>
      <c r="G20">
        <v>1.4309543862240366</v>
      </c>
      <c r="H20" s="13">
        <f t="shared" si="5"/>
        <v>0.10356842066394512</v>
      </c>
      <c r="I20" s="13">
        <f t="shared" si="2"/>
        <v>2.1559333308716524</v>
      </c>
      <c r="J20" s="13">
        <f t="shared" si="3"/>
        <v>236.39252627303398</v>
      </c>
      <c r="K20" s="13">
        <f t="shared" si="4"/>
        <v>9</v>
      </c>
    </row>
    <row r="21" spans="1:11" x14ac:dyDescent="0.25">
      <c r="B21" s="28">
        <v>7</v>
      </c>
      <c r="C21" s="36">
        <f t="shared" si="0"/>
        <v>28.395581068410593</v>
      </c>
      <c r="D21" s="29">
        <f t="shared" si="1"/>
        <v>-20.314945247357016</v>
      </c>
      <c r="G21">
        <v>1.7204179400460697</v>
      </c>
      <c r="H21" s="13">
        <f t="shared" si="5"/>
        <v>-0.33062691006910461</v>
      </c>
      <c r="I21" s="13">
        <f t="shared" si="2"/>
        <v>-0.59397043043766251</v>
      </c>
      <c r="J21" s="13">
        <f t="shared" si="3"/>
        <v>188.63103989239852</v>
      </c>
      <c r="K21" s="13">
        <f t="shared" si="4"/>
        <v>9</v>
      </c>
    </row>
    <row r="22" spans="1:11" x14ac:dyDescent="0.25">
      <c r="B22" s="28">
        <v>8</v>
      </c>
      <c r="C22" s="36">
        <f t="shared" si="0"/>
        <v>69.051689094940144</v>
      </c>
      <c r="D22" s="29">
        <f t="shared" si="1"/>
        <v>20.341162779172535</v>
      </c>
      <c r="G22">
        <v>0.54198002623361918</v>
      </c>
      <c r="H22" s="13">
        <f t="shared" si="5"/>
        <v>1.4370299606495713</v>
      </c>
      <c r="I22" s="13">
        <f t="shared" si="2"/>
        <v>10.601189750780618</v>
      </c>
      <c r="J22" s="13">
        <f t="shared" si="3"/>
        <v>383.07329567145285</v>
      </c>
      <c r="K22" s="13">
        <f t="shared" si="4"/>
        <v>9</v>
      </c>
    </row>
    <row r="23" spans="1:11" x14ac:dyDescent="0.25">
      <c r="B23" s="28">
        <v>9</v>
      </c>
      <c r="C23" s="36">
        <f t="shared" si="0"/>
        <v>49.688617641517908</v>
      </c>
      <c r="D23" s="29">
        <f t="shared" si="1"/>
        <v>0.97809132575029878</v>
      </c>
      <c r="G23">
        <v>1.1032284741589011</v>
      </c>
      <c r="H23" s="13">
        <f t="shared" si="5"/>
        <v>0.59515728876164831</v>
      </c>
      <c r="I23" s="13">
        <f t="shared" si="2"/>
        <v>5.2693294954904397</v>
      </c>
      <c r="J23" s="13">
        <f t="shared" si="3"/>
        <v>290.46730176378128</v>
      </c>
      <c r="K23" s="13">
        <f t="shared" si="4"/>
        <v>9</v>
      </c>
    </row>
    <row r="24" spans="1:11" ht="13" x14ac:dyDescent="0.3">
      <c r="D24" s="28" t="s">
        <v>14</v>
      </c>
      <c r="E24" s="28"/>
      <c r="F24" s="3"/>
      <c r="G24" t="s">
        <v>0</v>
      </c>
    </row>
    <row r="26" spans="1:11" ht="13" x14ac:dyDescent="0.3">
      <c r="A26" t="s">
        <v>97</v>
      </c>
    </row>
    <row r="27" spans="1:11" ht="13" x14ac:dyDescent="0.3">
      <c r="A27" t="s">
        <v>98</v>
      </c>
    </row>
    <row r="28" spans="1:11" ht="13" x14ac:dyDescent="0.3">
      <c r="A28" s="35" t="s">
        <v>423</v>
      </c>
    </row>
    <row r="29" spans="1:11" ht="13" x14ac:dyDescent="0.3">
      <c r="A29" t="s">
        <v>424</v>
      </c>
    </row>
    <row r="30" spans="1:11" ht="13" x14ac:dyDescent="0.3">
      <c r="A30" t="s">
        <v>418</v>
      </c>
    </row>
    <row r="31" spans="1:11" ht="13" x14ac:dyDescent="0.3">
      <c r="A31" t="s">
        <v>425</v>
      </c>
    </row>
    <row r="32" spans="1:11" ht="13" x14ac:dyDescent="0.3">
      <c r="A32" t="s">
        <v>417</v>
      </c>
    </row>
    <row r="33" spans="1:1" x14ac:dyDescent="0.25">
      <c r="A33" t="s">
        <v>416</v>
      </c>
    </row>
    <row r="34" spans="1:1" ht="13" x14ac:dyDescent="0.3">
      <c r="A34" t="s">
        <v>15</v>
      </c>
    </row>
    <row r="35" spans="1:1" ht="13" x14ac:dyDescent="0.3">
      <c r="A35" t="s">
        <v>16</v>
      </c>
    </row>
    <row r="36" spans="1:1" x14ac:dyDescent="0.25">
      <c r="A36" t="s">
        <v>55</v>
      </c>
    </row>
    <row r="37" spans="1:1" ht="13" x14ac:dyDescent="0.3">
      <c r="A37" t="s">
        <v>426</v>
      </c>
    </row>
  </sheetData>
  <phoneticPr fontId="13" type="noConversion"/>
  <printOptions headings="1" gridLines="1"/>
  <pageMargins left="0.5" right="0.5" top="1" bottom="1" header="0.5" footer="0.5"/>
  <pageSetup orientation="portrait" horizontalDpi="300" verticalDpi="300" r:id="rId1"/>
  <headerFooter alignWithMargins="0">
    <oddHeader>&amp;A</oddHeader>
    <oddFooter>Page &amp;P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showGridLines="0" workbookViewId="0">
      <selection activeCell="A4" sqref="A4"/>
    </sheetView>
  </sheetViews>
  <sheetFormatPr defaultRowHeight="12.5" x14ac:dyDescent="0.25"/>
  <cols>
    <col min="1" max="1" width="2.26953125" customWidth="1"/>
    <col min="2" max="2" width="6.453125" bestFit="1" customWidth="1"/>
    <col min="3" max="3" width="28.1796875" bestFit="1" customWidth="1"/>
    <col min="4" max="4" width="14.1796875" bestFit="1" customWidth="1"/>
    <col min="5" max="5" width="12" bestFit="1" customWidth="1"/>
    <col min="6" max="6" width="10.54296875" bestFit="1" customWidth="1"/>
    <col min="7" max="7" width="12" bestFit="1" customWidth="1"/>
  </cols>
  <sheetData>
    <row r="1" spans="1:5" ht="13" x14ac:dyDescent="0.3">
      <c r="A1" s="35" t="s">
        <v>337</v>
      </c>
    </row>
    <row r="2" spans="1:5" ht="13" x14ac:dyDescent="0.3">
      <c r="A2" s="35" t="s">
        <v>59</v>
      </c>
    </row>
    <row r="3" spans="1:5" ht="13" x14ac:dyDescent="0.3">
      <c r="A3" s="35" t="s">
        <v>71</v>
      </c>
    </row>
    <row r="6" spans="1:5" ht="13" thickBot="1" x14ac:dyDescent="0.3">
      <c r="A6" t="s">
        <v>234</v>
      </c>
    </row>
    <row r="7" spans="1:5" ht="13.5" thickBot="1" x14ac:dyDescent="0.35">
      <c r="B7" s="61" t="s">
        <v>235</v>
      </c>
      <c r="C7" s="61" t="s">
        <v>236</v>
      </c>
      <c r="D7" s="61" t="s">
        <v>237</v>
      </c>
      <c r="E7" s="61" t="s">
        <v>238</v>
      </c>
    </row>
    <row r="8" spans="1:5" ht="13" thickBot="1" x14ac:dyDescent="0.3">
      <c r="B8" s="42" t="s">
        <v>338</v>
      </c>
      <c r="C8" s="42" t="s">
        <v>51</v>
      </c>
      <c r="D8" s="43">
        <v>36</v>
      </c>
      <c r="E8" s="43">
        <v>48.710526315767609</v>
      </c>
    </row>
    <row r="11" spans="1:5" ht="13" thickBot="1" x14ac:dyDescent="0.3">
      <c r="A11" t="s">
        <v>239</v>
      </c>
    </row>
    <row r="12" spans="1:5" ht="13.5" thickBot="1" x14ac:dyDescent="0.35">
      <c r="B12" s="61" t="s">
        <v>235</v>
      </c>
      <c r="C12" s="61" t="s">
        <v>236</v>
      </c>
      <c r="D12" s="61" t="s">
        <v>237</v>
      </c>
      <c r="E12" s="61" t="s">
        <v>238</v>
      </c>
    </row>
    <row r="13" spans="1:5" ht="13" thickBot="1" x14ac:dyDescent="0.3">
      <c r="B13" s="42" t="s">
        <v>339</v>
      </c>
      <c r="C13" s="42" t="s">
        <v>340</v>
      </c>
      <c r="D13" s="43">
        <v>1.5</v>
      </c>
      <c r="E13" s="43">
        <v>1.131578947369055</v>
      </c>
    </row>
    <row r="16" spans="1:5" ht="13" thickBot="1" x14ac:dyDescent="0.3">
      <c r="A16" t="s">
        <v>240</v>
      </c>
    </row>
    <row r="17" spans="2:7" ht="13.5" thickBot="1" x14ac:dyDescent="0.35">
      <c r="B17" s="61" t="s">
        <v>235</v>
      </c>
      <c r="C17" s="61" t="s">
        <v>236</v>
      </c>
      <c r="D17" s="61" t="s">
        <v>241</v>
      </c>
      <c r="E17" s="61" t="s">
        <v>231</v>
      </c>
      <c r="F17" s="61" t="s">
        <v>242</v>
      </c>
      <c r="G17" s="61" t="s">
        <v>243</v>
      </c>
    </row>
    <row r="18" spans="2:7" x14ac:dyDescent="0.25">
      <c r="B18" s="44" t="s">
        <v>341</v>
      </c>
      <c r="C18" s="44" t="s">
        <v>360</v>
      </c>
      <c r="D18" s="45">
        <v>0.55263157894641757</v>
      </c>
      <c r="E18" s="44" t="s">
        <v>351</v>
      </c>
      <c r="F18" s="44" t="s">
        <v>244</v>
      </c>
      <c r="G18" s="44">
        <v>1.4473684210535824</v>
      </c>
    </row>
    <row r="19" spans="2:7" x14ac:dyDescent="0.25">
      <c r="B19" s="44" t="s">
        <v>343</v>
      </c>
      <c r="C19" s="44" t="s">
        <v>344</v>
      </c>
      <c r="D19" s="45">
        <v>4.9999999999939782</v>
      </c>
      <c r="E19" s="44" t="s">
        <v>355</v>
      </c>
      <c r="F19" s="44" t="s">
        <v>245</v>
      </c>
      <c r="G19" s="45">
        <v>0</v>
      </c>
    </row>
    <row r="20" spans="2:7" x14ac:dyDescent="0.25">
      <c r="B20" s="44" t="s">
        <v>345</v>
      </c>
      <c r="C20" s="44" t="s">
        <v>346</v>
      </c>
      <c r="D20" s="45">
        <v>285.78947368410593</v>
      </c>
      <c r="E20" s="44" t="s">
        <v>347</v>
      </c>
      <c r="F20" s="44" t="s">
        <v>244</v>
      </c>
      <c r="G20" s="44">
        <v>64.210526315894072</v>
      </c>
    </row>
    <row r="21" spans="2:7" ht="13" thickBot="1" x14ac:dyDescent="0.3">
      <c r="B21" s="42" t="s">
        <v>341</v>
      </c>
      <c r="C21" s="42" t="s">
        <v>360</v>
      </c>
      <c r="D21" s="43">
        <v>0.55263157894641757</v>
      </c>
      <c r="E21" s="42" t="s">
        <v>359</v>
      </c>
      <c r="F21" s="42" t="s">
        <v>244</v>
      </c>
      <c r="G21" s="43">
        <v>0.55263157894641757</v>
      </c>
    </row>
  </sheetData>
  <phoneticPr fontId="13" type="noConversion"/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showGridLines="0" workbookViewId="0">
      <selection activeCell="A4" sqref="A4"/>
    </sheetView>
  </sheetViews>
  <sheetFormatPr defaultRowHeight="12.5" x14ac:dyDescent="0.25"/>
  <cols>
    <col min="1" max="1" width="2.26953125" customWidth="1"/>
    <col min="2" max="2" width="6.453125" bestFit="1" customWidth="1"/>
    <col min="3" max="3" width="28.1796875" bestFit="1" customWidth="1"/>
    <col min="4" max="5" width="12" bestFit="1" customWidth="1"/>
    <col min="6" max="6" width="10.7265625" bestFit="1" customWidth="1"/>
    <col min="7" max="8" width="12" bestFit="1" customWidth="1"/>
  </cols>
  <sheetData>
    <row r="1" spans="1:8" ht="13" x14ac:dyDescent="0.3">
      <c r="A1" s="35" t="s">
        <v>356</v>
      </c>
    </row>
    <row r="2" spans="1:8" ht="13" x14ac:dyDescent="0.3">
      <c r="A2" s="35" t="s">
        <v>59</v>
      </c>
    </row>
    <row r="3" spans="1:8" ht="13" x14ac:dyDescent="0.3">
      <c r="A3" s="35" t="s">
        <v>71</v>
      </c>
    </row>
    <row r="6" spans="1:8" ht="13" thickBot="1" x14ac:dyDescent="0.3">
      <c r="A6" t="s">
        <v>239</v>
      </c>
    </row>
    <row r="7" spans="1:8" ht="13" x14ac:dyDescent="0.3">
      <c r="B7" s="62"/>
      <c r="C7" s="62"/>
      <c r="D7" s="62" t="s">
        <v>246</v>
      </c>
      <c r="E7" s="62" t="s">
        <v>247</v>
      </c>
      <c r="F7" s="62" t="s">
        <v>258</v>
      </c>
      <c r="G7" s="62" t="s">
        <v>259</v>
      </c>
      <c r="H7" s="62" t="s">
        <v>259</v>
      </c>
    </row>
    <row r="8" spans="1:8" ht="13.5" thickBot="1" x14ac:dyDescent="0.35">
      <c r="B8" s="63" t="s">
        <v>235</v>
      </c>
      <c r="C8" s="63" t="s">
        <v>236</v>
      </c>
      <c r="D8" s="63" t="s">
        <v>248</v>
      </c>
      <c r="E8" s="63" t="s">
        <v>232</v>
      </c>
      <c r="F8" s="63" t="s">
        <v>260</v>
      </c>
      <c r="G8" s="63" t="s">
        <v>261</v>
      </c>
      <c r="H8" s="63" t="s">
        <v>262</v>
      </c>
    </row>
    <row r="9" spans="1:8" ht="13" thickBot="1" x14ac:dyDescent="0.3">
      <c r="B9" s="42" t="s">
        <v>339</v>
      </c>
      <c r="C9" s="42" t="s">
        <v>340</v>
      </c>
      <c r="D9" s="43">
        <v>1.131578947369055</v>
      </c>
      <c r="E9" s="43">
        <v>0</v>
      </c>
      <c r="F9" s="42">
        <v>-34.500000000055778</v>
      </c>
      <c r="G9" s="42">
        <v>34.500000000055778</v>
      </c>
      <c r="H9" s="42">
        <v>1E+30</v>
      </c>
    </row>
    <row r="11" spans="1:8" ht="13" thickBot="1" x14ac:dyDescent="0.3">
      <c r="A11" t="s">
        <v>240</v>
      </c>
    </row>
    <row r="12" spans="1:8" ht="13" x14ac:dyDescent="0.3">
      <c r="B12" s="62"/>
      <c r="C12" s="62"/>
      <c r="D12" s="62" t="s">
        <v>246</v>
      </c>
      <c r="E12" s="62" t="s">
        <v>263</v>
      </c>
      <c r="F12" s="62" t="s">
        <v>264</v>
      </c>
      <c r="G12" s="62" t="s">
        <v>259</v>
      </c>
      <c r="H12" s="62" t="s">
        <v>259</v>
      </c>
    </row>
    <row r="13" spans="1:8" ht="13.5" thickBot="1" x14ac:dyDescent="0.35">
      <c r="B13" s="63" t="s">
        <v>235</v>
      </c>
      <c r="C13" s="63" t="s">
        <v>236</v>
      </c>
      <c r="D13" s="63" t="s">
        <v>248</v>
      </c>
      <c r="E13" s="63" t="s">
        <v>265</v>
      </c>
      <c r="F13" s="63" t="s">
        <v>266</v>
      </c>
      <c r="G13" s="63" t="s">
        <v>261</v>
      </c>
      <c r="H13" s="63" t="s">
        <v>262</v>
      </c>
    </row>
    <row r="14" spans="1:8" x14ac:dyDescent="0.25">
      <c r="B14" s="44" t="s">
        <v>341</v>
      </c>
      <c r="C14" s="44" t="s">
        <v>360</v>
      </c>
      <c r="D14" s="45">
        <v>0.55263157894641757</v>
      </c>
      <c r="E14" s="45">
        <v>0</v>
      </c>
      <c r="F14" s="44">
        <v>2</v>
      </c>
      <c r="G14" s="44">
        <v>1E+30</v>
      </c>
      <c r="H14" s="44">
        <v>1.4473684210526889</v>
      </c>
    </row>
    <row r="15" spans="1:8" x14ac:dyDescent="0.25">
      <c r="B15" s="44" t="s">
        <v>343</v>
      </c>
      <c r="C15" s="44" t="s">
        <v>344</v>
      </c>
      <c r="D15" s="45">
        <v>4.9999999999939782</v>
      </c>
      <c r="E15" s="45">
        <v>3.6315789473680433</v>
      </c>
      <c r="F15" s="44">
        <v>5</v>
      </c>
      <c r="G15" s="44">
        <v>3.6969696969621797</v>
      </c>
      <c r="H15" s="44">
        <v>3.5</v>
      </c>
    </row>
    <row r="16" spans="1:8" x14ac:dyDescent="0.25">
      <c r="B16" s="44" t="s">
        <v>345</v>
      </c>
      <c r="C16" s="44" t="s">
        <v>346</v>
      </c>
      <c r="D16" s="45">
        <v>285.78947368410593</v>
      </c>
      <c r="E16" s="45">
        <v>0</v>
      </c>
      <c r="F16" s="44">
        <v>350</v>
      </c>
      <c r="G16" s="44">
        <v>1E+30</v>
      </c>
      <c r="H16" s="44">
        <v>64.210526315725971</v>
      </c>
    </row>
    <row r="17" spans="2:8" ht="13" thickBot="1" x14ac:dyDescent="0.3">
      <c r="B17" s="42" t="s">
        <v>341</v>
      </c>
      <c r="C17" s="42" t="s">
        <v>360</v>
      </c>
      <c r="D17" s="43">
        <v>0.55263157894641757</v>
      </c>
      <c r="E17" s="43">
        <v>0</v>
      </c>
      <c r="F17" s="42">
        <v>0</v>
      </c>
      <c r="G17" s="42">
        <v>0.55263157894731119</v>
      </c>
      <c r="H17" s="42">
        <v>1E+30</v>
      </c>
    </row>
  </sheetData>
  <phoneticPr fontId="13" type="noConversion"/>
  <pageMargins left="0.75" right="0.75" top="1" bottom="1" header="0.5" footer="0.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showGridLines="0" workbookViewId="0">
      <selection activeCell="A4" sqref="A4"/>
    </sheetView>
  </sheetViews>
  <sheetFormatPr defaultRowHeight="12.5" x14ac:dyDescent="0.25"/>
  <cols>
    <col min="1" max="1" width="2.26953125" customWidth="1"/>
    <col min="2" max="2" width="6.453125" bestFit="1" customWidth="1"/>
    <col min="3" max="3" width="23.26953125" bestFit="1" customWidth="1"/>
    <col min="4" max="4" width="12" bestFit="1" customWidth="1"/>
    <col min="5" max="5" width="2.26953125" customWidth="1"/>
    <col min="6" max="7" width="12" bestFit="1" customWidth="1"/>
    <col min="8" max="8" width="2.26953125" customWidth="1"/>
    <col min="9" max="10" width="12" bestFit="1" customWidth="1"/>
  </cols>
  <sheetData>
    <row r="1" spans="1:10" ht="13" x14ac:dyDescent="0.3">
      <c r="A1" s="35" t="s">
        <v>357</v>
      </c>
    </row>
    <row r="2" spans="1:10" ht="13" x14ac:dyDescent="0.3">
      <c r="A2" s="35" t="s">
        <v>59</v>
      </c>
    </row>
    <row r="3" spans="1:10" ht="13" x14ac:dyDescent="0.3">
      <c r="A3" s="35" t="s">
        <v>72</v>
      </c>
    </row>
    <row r="5" spans="1:10" ht="13" thickBot="1" x14ac:dyDescent="0.3"/>
    <row r="6" spans="1:10" ht="13" x14ac:dyDescent="0.3">
      <c r="B6" s="62"/>
      <c r="C6" s="62" t="s">
        <v>252</v>
      </c>
      <c r="D6" s="62"/>
    </row>
    <row r="7" spans="1:10" ht="13.5" thickBot="1" x14ac:dyDescent="0.35">
      <c r="B7" s="63" t="s">
        <v>235</v>
      </c>
      <c r="C7" s="63" t="s">
        <v>236</v>
      </c>
      <c r="D7" s="63" t="s">
        <v>248</v>
      </c>
    </row>
    <row r="8" spans="1:10" ht="13" thickBot="1" x14ac:dyDescent="0.3">
      <c r="B8" s="42" t="s">
        <v>338</v>
      </c>
      <c r="C8" s="42" t="s">
        <v>51</v>
      </c>
      <c r="D8" s="43">
        <v>48.710526315767609</v>
      </c>
    </row>
    <row r="10" spans="1:10" ht="13" thickBot="1" x14ac:dyDescent="0.3"/>
    <row r="11" spans="1:10" ht="13" x14ac:dyDescent="0.3">
      <c r="B11" s="62"/>
      <c r="C11" s="62" t="s">
        <v>253</v>
      </c>
      <c r="D11" s="62"/>
      <c r="F11" s="62" t="s">
        <v>254</v>
      </c>
      <c r="G11" s="62" t="s">
        <v>252</v>
      </c>
      <c r="I11" s="62" t="s">
        <v>255</v>
      </c>
      <c r="J11" s="62" t="s">
        <v>252</v>
      </c>
    </row>
    <row r="12" spans="1:10" ht="13.5" thickBot="1" x14ac:dyDescent="0.35">
      <c r="B12" s="63" t="s">
        <v>235</v>
      </c>
      <c r="C12" s="63" t="s">
        <v>236</v>
      </c>
      <c r="D12" s="63" t="s">
        <v>248</v>
      </c>
      <c r="F12" s="63" t="s">
        <v>256</v>
      </c>
      <c r="G12" s="63" t="s">
        <v>257</v>
      </c>
      <c r="I12" s="63" t="s">
        <v>256</v>
      </c>
      <c r="J12" s="63" t="s">
        <v>257</v>
      </c>
    </row>
    <row r="13" spans="1:10" ht="13" thickBot="1" x14ac:dyDescent="0.3">
      <c r="B13" s="42" t="s">
        <v>339</v>
      </c>
      <c r="C13" s="42" t="s">
        <v>340</v>
      </c>
      <c r="D13" s="43">
        <v>1.131578947369055</v>
      </c>
      <c r="F13" s="43">
        <v>0.74242424242423788</v>
      </c>
      <c r="G13" s="43">
        <v>62.136363636363797</v>
      </c>
      <c r="I13" s="43">
        <v>1.1315789473684197</v>
      </c>
      <c r="J13" s="43">
        <v>48.710526315789522</v>
      </c>
    </row>
  </sheetData>
  <phoneticPr fontId="13" type="noConversion"/>
  <pageMargins left="0.75" right="0.75" top="1" bottom="1" header="0.5" footer="0.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N37"/>
  <sheetViews>
    <sheetView zoomScale="65" workbookViewId="0">
      <selection activeCell="A10" sqref="A10"/>
    </sheetView>
  </sheetViews>
  <sheetFormatPr defaultRowHeight="12.5" x14ac:dyDescent="0.25"/>
  <cols>
    <col min="1" max="1" width="4" customWidth="1"/>
    <col min="2" max="2" width="6.1796875" customWidth="1"/>
    <col min="3" max="3" width="25.81640625" customWidth="1"/>
    <col min="4" max="4" width="23.7265625" customWidth="1"/>
    <col min="5" max="5" width="14.453125" customWidth="1"/>
    <col min="6" max="6" width="13.26953125" customWidth="1"/>
    <col min="7" max="7" width="11.81640625" customWidth="1"/>
    <col min="8" max="8" width="13" customWidth="1"/>
    <col min="9" max="9" width="12.54296875" customWidth="1"/>
    <col min="10" max="10" width="11" customWidth="1"/>
  </cols>
  <sheetData>
    <row r="1" spans="1:14" ht="13" x14ac:dyDescent="0.3">
      <c r="A1" s="8" t="s">
        <v>331</v>
      </c>
      <c r="L1" s="2"/>
      <c r="M1" s="2"/>
      <c r="N1" s="1"/>
    </row>
    <row r="2" spans="1:14" ht="13" x14ac:dyDescent="0.3">
      <c r="A2" s="9" t="s">
        <v>297</v>
      </c>
      <c r="L2" s="2"/>
      <c r="M2" s="2"/>
      <c r="N2" s="1"/>
    </row>
    <row r="3" spans="1:14" ht="13" x14ac:dyDescent="0.3">
      <c r="A3" s="9" t="s">
        <v>419</v>
      </c>
    </row>
    <row r="4" spans="1:14" ht="13" x14ac:dyDescent="0.3">
      <c r="A4" s="35" t="s">
        <v>330</v>
      </c>
    </row>
    <row r="5" spans="1:14" ht="13" x14ac:dyDescent="0.3">
      <c r="A5" s="35" t="s">
        <v>298</v>
      </c>
    </row>
    <row r="6" spans="1:14" ht="13" x14ac:dyDescent="0.3">
      <c r="A6" t="s">
        <v>420</v>
      </c>
    </row>
    <row r="7" spans="1:14" ht="13" x14ac:dyDescent="0.3">
      <c r="A7" s="9" t="s">
        <v>308</v>
      </c>
    </row>
    <row r="8" spans="1:14" ht="13" x14ac:dyDescent="0.3">
      <c r="A8" t="s">
        <v>421</v>
      </c>
    </row>
    <row r="9" spans="1:14" ht="13" x14ac:dyDescent="0.3">
      <c r="A9" s="8" t="s">
        <v>394</v>
      </c>
    </row>
    <row r="10" spans="1:14" x14ac:dyDescent="0.25">
      <c r="A10" s="36" t="s">
        <v>369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</row>
    <row r="11" spans="1:14" ht="13" x14ac:dyDescent="0.3">
      <c r="C11" s="58" t="s">
        <v>395</v>
      </c>
      <c r="D11" s="18"/>
      <c r="F11" s="12" t="s">
        <v>392</v>
      </c>
      <c r="G11" t="s">
        <v>366</v>
      </c>
      <c r="H11" t="s">
        <v>367</v>
      </c>
      <c r="I11" t="s">
        <v>368</v>
      </c>
      <c r="J11" s="3" t="s">
        <v>365</v>
      </c>
      <c r="K11" s="3"/>
    </row>
    <row r="12" spans="1:14" ht="13" x14ac:dyDescent="0.3">
      <c r="C12" s="18"/>
      <c r="D12" s="18"/>
      <c r="E12" s="18"/>
      <c r="F12" s="22" t="s">
        <v>124</v>
      </c>
      <c r="G12" s="13">
        <v>20</v>
      </c>
      <c r="H12" s="13">
        <v>20</v>
      </c>
      <c r="I12" s="13">
        <v>10</v>
      </c>
      <c r="J12" s="13"/>
      <c r="K12" s="13"/>
    </row>
    <row r="13" spans="1:14" ht="15" x14ac:dyDescent="0.4">
      <c r="B13" s="26" t="s">
        <v>130</v>
      </c>
      <c r="C13" s="24" t="s">
        <v>54</v>
      </c>
      <c r="D13" s="27" t="s">
        <v>131</v>
      </c>
      <c r="E13" s="18"/>
      <c r="F13" s="22" t="s">
        <v>393</v>
      </c>
      <c r="G13" s="19" t="s">
        <v>361</v>
      </c>
      <c r="H13" s="19" t="s">
        <v>362</v>
      </c>
      <c r="I13" s="19" t="s">
        <v>363</v>
      </c>
      <c r="J13" s="19" t="s">
        <v>364</v>
      </c>
      <c r="K13" s="19" t="s">
        <v>136</v>
      </c>
    </row>
    <row r="14" spans="1:14" ht="13" x14ac:dyDescent="0.3">
      <c r="B14" s="28"/>
      <c r="C14" s="36">
        <f>G14*H14*I14</f>
        <v>4000</v>
      </c>
      <c r="D14">
        <f t="shared" ref="D14:D23" si="0">+C14-C$14</f>
        <v>0</v>
      </c>
      <c r="F14" s="12" t="s">
        <v>137</v>
      </c>
      <c r="G14" s="13">
        <v>20</v>
      </c>
      <c r="H14" s="13">
        <v>20</v>
      </c>
      <c r="I14" s="13">
        <v>10</v>
      </c>
      <c r="J14" s="13">
        <f>G14+H14+I14</f>
        <v>50</v>
      </c>
      <c r="K14" s="13"/>
    </row>
    <row r="15" spans="1:14" x14ac:dyDescent="0.25">
      <c r="B15" s="28">
        <v>1</v>
      </c>
      <c r="C15" s="36">
        <f t="shared" ref="C15:C23" si="1">G15*H15*I15</f>
        <v>9774.8327714588031</v>
      </c>
      <c r="D15" s="29">
        <f t="shared" si="0"/>
        <v>5774.8327714588031</v>
      </c>
      <c r="G15">
        <v>25.074424768570971</v>
      </c>
      <c r="H15">
        <v>24.378732135505317</v>
      </c>
      <c r="I15">
        <v>15.99069139885712</v>
      </c>
      <c r="J15" s="13">
        <f t="shared" ref="J15:J23" si="2">G15+H15+I15</f>
        <v>65.443848302933404</v>
      </c>
      <c r="K15">
        <f t="shared" ref="K15:K23" ca="1" si="3">+K$14+2*K$12*RAND()-K$12</f>
        <v>0</v>
      </c>
    </row>
    <row r="16" spans="1:14" x14ac:dyDescent="0.25">
      <c r="B16" s="28">
        <v>2</v>
      </c>
      <c r="C16" s="36">
        <f t="shared" si="1"/>
        <v>9959.0046206390834</v>
      </c>
      <c r="D16" s="29">
        <f t="shared" si="0"/>
        <v>5959.0046206390834</v>
      </c>
      <c r="G16">
        <v>17.613536351546415</v>
      </c>
      <c r="H16">
        <v>30.993588537341203</v>
      </c>
      <c r="I16">
        <v>18.243052613979529</v>
      </c>
      <c r="J16" s="13">
        <f t="shared" si="2"/>
        <v>66.850177502867155</v>
      </c>
      <c r="K16">
        <f t="shared" ca="1" si="3"/>
        <v>0</v>
      </c>
    </row>
    <row r="17" spans="1:11" x14ac:dyDescent="0.25">
      <c r="B17" s="28">
        <v>3</v>
      </c>
      <c r="C17" s="36">
        <f t="shared" si="1"/>
        <v>1858.7571635926117</v>
      </c>
      <c r="D17" s="29">
        <f t="shared" si="0"/>
        <v>-2141.2428364073885</v>
      </c>
      <c r="G17">
        <v>18.492523785909434</v>
      </c>
      <c r="H17">
        <v>23.529181416549321</v>
      </c>
      <c r="I17">
        <v>4.2718859654393704</v>
      </c>
      <c r="J17" s="13">
        <f t="shared" si="2"/>
        <v>46.293591167898128</v>
      </c>
      <c r="K17">
        <f t="shared" ca="1" si="3"/>
        <v>0</v>
      </c>
    </row>
    <row r="18" spans="1:11" x14ac:dyDescent="0.25">
      <c r="B18" s="28">
        <v>4</v>
      </c>
      <c r="C18" s="36">
        <f t="shared" si="1"/>
        <v>9941.0298056125375</v>
      </c>
      <c r="D18" s="29">
        <f t="shared" si="0"/>
        <v>5941.0298056125375</v>
      </c>
      <c r="G18">
        <v>36.837213160113016</v>
      </c>
      <c r="H18">
        <v>26.723525469951355</v>
      </c>
      <c r="I18">
        <v>10.098360196127221</v>
      </c>
      <c r="J18" s="13">
        <f t="shared" si="2"/>
        <v>73.659098826191595</v>
      </c>
      <c r="K18">
        <f t="shared" ca="1" si="3"/>
        <v>0</v>
      </c>
    </row>
    <row r="19" spans="1:11" ht="13" x14ac:dyDescent="0.3">
      <c r="B19" s="28">
        <v>5</v>
      </c>
      <c r="C19" s="36">
        <f t="shared" si="1"/>
        <v>41.670675296455173</v>
      </c>
      <c r="D19" s="29">
        <f t="shared" si="0"/>
        <v>-3958.3293247035449</v>
      </c>
      <c r="F19" s="12" t="s">
        <v>17</v>
      </c>
      <c r="G19">
        <v>0.44405233086877161</v>
      </c>
      <c r="H19">
        <v>9.4910214622059357</v>
      </c>
      <c r="I19">
        <v>9.8874301622449643</v>
      </c>
      <c r="J19" s="13">
        <f t="shared" si="2"/>
        <v>19.822503955319672</v>
      </c>
      <c r="K19">
        <f t="shared" ca="1" si="3"/>
        <v>0</v>
      </c>
    </row>
    <row r="20" spans="1:11" ht="13" x14ac:dyDescent="0.3">
      <c r="B20" s="28">
        <v>6</v>
      </c>
      <c r="C20" s="36">
        <f t="shared" si="1"/>
        <v>2548.7275872318373</v>
      </c>
      <c r="D20" s="29">
        <f t="shared" si="0"/>
        <v>-1451.2724127681627</v>
      </c>
      <c r="F20" s="12" t="s">
        <v>18</v>
      </c>
      <c r="G20">
        <v>17.356326815571208</v>
      </c>
      <c r="H20">
        <v>24.938735724834196</v>
      </c>
      <c r="I20">
        <v>5.8883167983177387</v>
      </c>
      <c r="J20" s="13">
        <f t="shared" si="2"/>
        <v>48.183379338723142</v>
      </c>
      <c r="K20">
        <f t="shared" ca="1" si="3"/>
        <v>0</v>
      </c>
    </row>
    <row r="21" spans="1:11" x14ac:dyDescent="0.25">
      <c r="B21" s="28">
        <v>7</v>
      </c>
      <c r="C21" s="36">
        <f t="shared" si="1"/>
        <v>4604.5224955202584</v>
      </c>
      <c r="D21" s="29">
        <f t="shared" si="0"/>
        <v>604.52249552025842</v>
      </c>
      <c r="G21">
        <v>26.771632557023295</v>
      </c>
      <c r="H21">
        <v>12.656422525801183</v>
      </c>
      <c r="I21">
        <v>13.589352946709607</v>
      </c>
      <c r="J21" s="13">
        <f t="shared" si="2"/>
        <v>53.017408029534081</v>
      </c>
      <c r="K21">
        <f t="shared" ca="1" si="3"/>
        <v>0</v>
      </c>
    </row>
    <row r="22" spans="1:11" x14ac:dyDescent="0.25">
      <c r="B22" s="28">
        <v>8</v>
      </c>
      <c r="C22" s="36">
        <f t="shared" si="1"/>
        <v>10.638269295896169</v>
      </c>
      <c r="D22" s="29">
        <f t="shared" si="0"/>
        <v>-3989.361730704104</v>
      </c>
      <c r="G22">
        <v>10.52365927010996</v>
      </c>
      <c r="H22">
        <v>1.3107717499133003</v>
      </c>
      <c r="I22">
        <v>0.77121794926962295</v>
      </c>
      <c r="J22" s="13">
        <f t="shared" si="2"/>
        <v>12.605648969292883</v>
      </c>
      <c r="K22">
        <f t="shared" ca="1" si="3"/>
        <v>0</v>
      </c>
    </row>
    <row r="23" spans="1:11" x14ac:dyDescent="0.25">
      <c r="B23" s="28">
        <v>9</v>
      </c>
      <c r="C23" s="36">
        <f t="shared" si="1"/>
        <v>12501.448150755279</v>
      </c>
      <c r="D23" s="29">
        <f t="shared" si="0"/>
        <v>8501.4481507552791</v>
      </c>
      <c r="G23">
        <v>36.716039553947041</v>
      </c>
      <c r="H23">
        <v>36.677539313920136</v>
      </c>
      <c r="I23">
        <v>9.2833410048256404</v>
      </c>
      <c r="J23" s="13">
        <f t="shared" si="2"/>
        <v>82.676919872692821</v>
      </c>
      <c r="K23">
        <f t="shared" ca="1" si="3"/>
        <v>0</v>
      </c>
    </row>
    <row r="24" spans="1:11" ht="13" x14ac:dyDescent="0.3">
      <c r="D24" s="28" t="s">
        <v>14</v>
      </c>
      <c r="E24" s="28"/>
      <c r="F24" s="3"/>
      <c r="G24" t="s">
        <v>0</v>
      </c>
    </row>
    <row r="26" spans="1:11" ht="13" x14ac:dyDescent="0.3">
      <c r="A26" t="s">
        <v>97</v>
      </c>
    </row>
    <row r="27" spans="1:11" ht="13" x14ac:dyDescent="0.3">
      <c r="A27" t="s">
        <v>98</v>
      </c>
    </row>
    <row r="28" spans="1:11" ht="13" x14ac:dyDescent="0.3">
      <c r="A28" s="35" t="s">
        <v>423</v>
      </c>
    </row>
    <row r="29" spans="1:11" ht="13" x14ac:dyDescent="0.3">
      <c r="A29" t="s">
        <v>424</v>
      </c>
    </row>
    <row r="30" spans="1:11" ht="13" x14ac:dyDescent="0.3">
      <c r="A30" t="s">
        <v>418</v>
      </c>
    </row>
    <row r="31" spans="1:11" ht="13" x14ac:dyDescent="0.3">
      <c r="A31" t="s">
        <v>425</v>
      </c>
    </row>
    <row r="32" spans="1:11" ht="13" x14ac:dyDescent="0.3">
      <c r="A32" t="s">
        <v>417</v>
      </c>
    </row>
    <row r="33" spans="1:1" x14ac:dyDescent="0.25">
      <c r="A33" t="s">
        <v>416</v>
      </c>
    </row>
    <row r="34" spans="1:1" ht="13" x14ac:dyDescent="0.3">
      <c r="A34" t="s">
        <v>15</v>
      </c>
    </row>
    <row r="35" spans="1:1" ht="13" x14ac:dyDescent="0.3">
      <c r="A35" t="s">
        <v>16</v>
      </c>
    </row>
    <row r="36" spans="1:1" x14ac:dyDescent="0.25">
      <c r="A36" t="s">
        <v>55</v>
      </c>
    </row>
    <row r="37" spans="1:1" ht="13" x14ac:dyDescent="0.3">
      <c r="A37" t="s">
        <v>426</v>
      </c>
    </row>
  </sheetData>
  <phoneticPr fontId="13" type="noConversion"/>
  <printOptions headings="1" gridLines="1"/>
  <pageMargins left="0.5" right="0.5" top="1" bottom="1" header="0.5" footer="0.5"/>
  <pageSetup orientation="portrait" horizontalDpi="300" verticalDpi="300" r:id="rId1"/>
  <headerFooter alignWithMargins="0">
    <oddHeader>&amp;A</oddHeader>
    <oddFooter>Page &amp;P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showGridLines="0" workbookViewId="0">
      <selection activeCell="A4" sqref="A4"/>
    </sheetView>
  </sheetViews>
  <sheetFormatPr defaultRowHeight="12.5" x14ac:dyDescent="0.25"/>
  <cols>
    <col min="1" max="1" width="2.26953125" customWidth="1"/>
    <col min="2" max="2" width="6.453125" bestFit="1" customWidth="1"/>
    <col min="3" max="3" width="23" bestFit="1" customWidth="1"/>
    <col min="4" max="4" width="14.1796875" bestFit="1" customWidth="1"/>
    <col min="5" max="5" width="11.453125" bestFit="1" customWidth="1"/>
    <col min="6" max="6" width="10.54296875" bestFit="1" customWidth="1"/>
    <col min="7" max="7" width="6" customWidth="1"/>
  </cols>
  <sheetData>
    <row r="1" spans="1:5" ht="13" x14ac:dyDescent="0.3">
      <c r="A1" s="35" t="s">
        <v>337</v>
      </c>
    </row>
    <row r="2" spans="1:5" ht="13" x14ac:dyDescent="0.3">
      <c r="A2" s="35" t="s">
        <v>60</v>
      </c>
    </row>
    <row r="3" spans="1:5" ht="13" x14ac:dyDescent="0.3">
      <c r="A3" s="35" t="s">
        <v>61</v>
      </c>
    </row>
    <row r="6" spans="1:5" ht="13" thickBot="1" x14ac:dyDescent="0.3">
      <c r="A6" t="s">
        <v>370</v>
      </c>
    </row>
    <row r="7" spans="1:5" ht="13.5" thickBot="1" x14ac:dyDescent="0.35">
      <c r="B7" s="61" t="s">
        <v>235</v>
      </c>
      <c r="C7" s="61" t="s">
        <v>236</v>
      </c>
      <c r="D7" s="61" t="s">
        <v>237</v>
      </c>
      <c r="E7" s="61" t="s">
        <v>238</v>
      </c>
    </row>
    <row r="8" spans="1:5" ht="13" thickBot="1" x14ac:dyDescent="0.3">
      <c r="B8" s="42" t="s">
        <v>338</v>
      </c>
      <c r="C8" s="42" t="s">
        <v>54</v>
      </c>
      <c r="D8" s="43">
        <v>3000</v>
      </c>
      <c r="E8" s="43">
        <v>4000</v>
      </c>
    </row>
    <row r="11" spans="1:5" ht="13" thickBot="1" x14ac:dyDescent="0.3">
      <c r="A11" t="s">
        <v>239</v>
      </c>
    </row>
    <row r="12" spans="1:5" ht="13.5" thickBot="1" x14ac:dyDescent="0.35">
      <c r="B12" s="61" t="s">
        <v>235</v>
      </c>
      <c r="C12" s="61" t="s">
        <v>236</v>
      </c>
      <c r="D12" s="61" t="s">
        <v>237</v>
      </c>
      <c r="E12" s="61" t="s">
        <v>238</v>
      </c>
    </row>
    <row r="13" spans="1:5" x14ac:dyDescent="0.25">
      <c r="B13" s="44" t="s">
        <v>339</v>
      </c>
      <c r="C13" s="44" t="s">
        <v>371</v>
      </c>
      <c r="D13" s="45">
        <v>20</v>
      </c>
      <c r="E13" s="45">
        <v>20</v>
      </c>
    </row>
    <row r="14" spans="1:5" x14ac:dyDescent="0.25">
      <c r="B14" s="44" t="s">
        <v>341</v>
      </c>
      <c r="C14" s="44" t="s">
        <v>372</v>
      </c>
      <c r="D14" s="45">
        <v>15</v>
      </c>
      <c r="E14" s="45">
        <v>20</v>
      </c>
    </row>
    <row r="15" spans="1:5" ht="13" thickBot="1" x14ac:dyDescent="0.3">
      <c r="B15" s="42" t="s">
        <v>343</v>
      </c>
      <c r="C15" s="42" t="s">
        <v>373</v>
      </c>
      <c r="D15" s="43">
        <v>10</v>
      </c>
      <c r="E15" s="43">
        <v>10</v>
      </c>
    </row>
    <row r="18" spans="1:7" ht="13" thickBot="1" x14ac:dyDescent="0.3">
      <c r="A18" t="s">
        <v>240</v>
      </c>
    </row>
    <row r="19" spans="1:7" ht="13.5" thickBot="1" x14ac:dyDescent="0.35">
      <c r="B19" s="61" t="s">
        <v>235</v>
      </c>
      <c r="C19" s="61" t="s">
        <v>236</v>
      </c>
      <c r="D19" s="61" t="s">
        <v>241</v>
      </c>
      <c r="E19" s="61" t="s">
        <v>231</v>
      </c>
      <c r="F19" s="61" t="s">
        <v>242</v>
      </c>
      <c r="G19" s="61" t="s">
        <v>243</v>
      </c>
    </row>
    <row r="20" spans="1:7" x14ac:dyDescent="0.25">
      <c r="B20" s="44" t="s">
        <v>345</v>
      </c>
      <c r="C20" s="44" t="s">
        <v>374</v>
      </c>
      <c r="D20" s="45">
        <v>50</v>
      </c>
      <c r="E20" s="44" t="s">
        <v>375</v>
      </c>
      <c r="F20" s="44" t="s">
        <v>245</v>
      </c>
      <c r="G20" s="44">
        <v>0</v>
      </c>
    </row>
    <row r="21" spans="1:7" x14ac:dyDescent="0.25">
      <c r="B21" s="44" t="s">
        <v>339</v>
      </c>
      <c r="C21" s="44" t="s">
        <v>371</v>
      </c>
      <c r="D21" s="45">
        <v>20</v>
      </c>
      <c r="E21" s="44" t="s">
        <v>376</v>
      </c>
      <c r="F21" s="44" t="s">
        <v>244</v>
      </c>
      <c r="G21" s="44">
        <v>6</v>
      </c>
    </row>
    <row r="22" spans="1:7" x14ac:dyDescent="0.25">
      <c r="B22" s="44" t="s">
        <v>341</v>
      </c>
      <c r="C22" s="44" t="s">
        <v>372</v>
      </c>
      <c r="D22" s="45">
        <v>20</v>
      </c>
      <c r="E22" s="44" t="s">
        <v>377</v>
      </c>
      <c r="F22" s="44" t="s">
        <v>244</v>
      </c>
      <c r="G22" s="44">
        <v>4</v>
      </c>
    </row>
    <row r="23" spans="1:7" ht="13" thickBot="1" x14ac:dyDescent="0.3">
      <c r="B23" s="42" t="s">
        <v>343</v>
      </c>
      <c r="C23" s="42" t="s">
        <v>373</v>
      </c>
      <c r="D23" s="43">
        <v>10</v>
      </c>
      <c r="E23" s="42" t="s">
        <v>378</v>
      </c>
      <c r="F23" s="42" t="s">
        <v>245</v>
      </c>
      <c r="G23" s="42">
        <v>0</v>
      </c>
    </row>
  </sheetData>
  <phoneticPr fontId="13" type="noConversion"/>
  <pageMargins left="0.75" right="0.75" top="1" bottom="1" header="0.5" footer="0.5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showGridLines="0" workbookViewId="0">
      <selection activeCell="A4" sqref="A4"/>
    </sheetView>
  </sheetViews>
  <sheetFormatPr defaultRowHeight="12.5" x14ac:dyDescent="0.25"/>
  <cols>
    <col min="1" max="1" width="2.26953125" customWidth="1"/>
    <col min="2" max="2" width="6.453125" bestFit="1" customWidth="1"/>
    <col min="3" max="3" width="23" bestFit="1" customWidth="1"/>
    <col min="4" max="4" width="6.26953125" customWidth="1"/>
    <col min="5" max="5" width="9.7265625" customWidth="1"/>
  </cols>
  <sheetData>
    <row r="1" spans="1:5" ht="13" x14ac:dyDescent="0.3">
      <c r="A1" s="35" t="s">
        <v>356</v>
      </c>
    </row>
    <row r="2" spans="1:5" ht="13" x14ac:dyDescent="0.3">
      <c r="A2" s="35" t="s">
        <v>60</v>
      </c>
    </row>
    <row r="3" spans="1:5" ht="13" x14ac:dyDescent="0.3">
      <c r="A3" s="35" t="s">
        <v>62</v>
      </c>
    </row>
    <row r="6" spans="1:5" ht="13" thickBot="1" x14ac:dyDescent="0.3">
      <c r="A6" t="s">
        <v>239</v>
      </c>
    </row>
    <row r="7" spans="1:5" ht="13" x14ac:dyDescent="0.3">
      <c r="B7" s="62"/>
      <c r="C7" s="62"/>
      <c r="D7" s="62" t="s">
        <v>246</v>
      </c>
      <c r="E7" s="62" t="s">
        <v>247</v>
      </c>
    </row>
    <row r="8" spans="1:5" ht="13.5" thickBot="1" x14ac:dyDescent="0.35">
      <c r="B8" s="63" t="s">
        <v>235</v>
      </c>
      <c r="C8" s="63" t="s">
        <v>236</v>
      </c>
      <c r="D8" s="63" t="s">
        <v>248</v>
      </c>
      <c r="E8" s="63" t="s">
        <v>249</v>
      </c>
    </row>
    <row r="9" spans="1:5" x14ac:dyDescent="0.25">
      <c r="B9" s="44" t="s">
        <v>339</v>
      </c>
      <c r="C9" s="44" t="s">
        <v>371</v>
      </c>
      <c r="D9" s="45">
        <v>20</v>
      </c>
      <c r="E9" s="45">
        <v>0</v>
      </c>
    </row>
    <row r="10" spans="1:5" x14ac:dyDescent="0.25">
      <c r="B10" s="44" t="s">
        <v>341</v>
      </c>
      <c r="C10" s="44" t="s">
        <v>372</v>
      </c>
      <c r="D10" s="45">
        <v>20</v>
      </c>
      <c r="E10" s="45">
        <v>0</v>
      </c>
    </row>
    <row r="11" spans="1:5" ht="13" thickBot="1" x14ac:dyDescent="0.3">
      <c r="B11" s="42" t="s">
        <v>343</v>
      </c>
      <c r="C11" s="42" t="s">
        <v>373</v>
      </c>
      <c r="D11" s="43">
        <v>10</v>
      </c>
      <c r="E11" s="43">
        <v>200</v>
      </c>
    </row>
    <row r="13" spans="1:5" ht="13" thickBot="1" x14ac:dyDescent="0.3">
      <c r="A13" t="s">
        <v>240</v>
      </c>
    </row>
    <row r="14" spans="1:5" ht="13" x14ac:dyDescent="0.3">
      <c r="B14" s="62"/>
      <c r="C14" s="62"/>
      <c r="D14" s="62" t="s">
        <v>246</v>
      </c>
      <c r="E14" s="62" t="s">
        <v>250</v>
      </c>
    </row>
    <row r="15" spans="1:5" ht="13.5" thickBot="1" x14ac:dyDescent="0.35">
      <c r="B15" s="63" t="s">
        <v>235</v>
      </c>
      <c r="C15" s="63" t="s">
        <v>236</v>
      </c>
      <c r="D15" s="63" t="s">
        <v>248</v>
      </c>
      <c r="E15" s="63" t="s">
        <v>251</v>
      </c>
    </row>
    <row r="16" spans="1:5" ht="13" thickBot="1" x14ac:dyDescent="0.3">
      <c r="B16" s="42" t="s">
        <v>345</v>
      </c>
      <c r="C16" s="42" t="s">
        <v>374</v>
      </c>
      <c r="D16" s="43">
        <v>50</v>
      </c>
      <c r="E16" s="43">
        <v>200</v>
      </c>
    </row>
  </sheetData>
  <phoneticPr fontId="13" type="noConversion"/>
  <pageMargins left="0.75" right="0.75" top="1" bottom="1" header="0.5" footer="0.5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showGridLines="0" workbookViewId="0">
      <selection activeCell="A4" sqref="A4"/>
    </sheetView>
  </sheetViews>
  <sheetFormatPr defaultRowHeight="12.5" x14ac:dyDescent="0.25"/>
  <cols>
    <col min="1" max="1" width="2.26953125" customWidth="1"/>
    <col min="2" max="2" width="6.453125" bestFit="1" customWidth="1"/>
    <col min="3" max="3" width="19.26953125" bestFit="1" customWidth="1"/>
    <col min="4" max="4" width="6.26953125" customWidth="1"/>
    <col min="5" max="5" width="2.26953125" customWidth="1"/>
    <col min="6" max="6" width="6.7265625" customWidth="1"/>
    <col min="7" max="7" width="6.81640625" customWidth="1"/>
    <col min="8" max="8" width="2.26953125" customWidth="1"/>
    <col min="9" max="9" width="6.453125" customWidth="1"/>
    <col min="10" max="10" width="6.81640625" customWidth="1"/>
  </cols>
  <sheetData>
    <row r="1" spans="1:10" ht="13" x14ac:dyDescent="0.3">
      <c r="A1" s="35" t="s">
        <v>357</v>
      </c>
    </row>
    <row r="2" spans="1:10" ht="13" x14ac:dyDescent="0.3">
      <c r="A2" s="35" t="s">
        <v>60</v>
      </c>
    </row>
    <row r="3" spans="1:10" ht="13" x14ac:dyDescent="0.3">
      <c r="A3" s="35" t="s">
        <v>62</v>
      </c>
    </row>
    <row r="5" spans="1:10" ht="13" thickBot="1" x14ac:dyDescent="0.3"/>
    <row r="6" spans="1:10" ht="13" x14ac:dyDescent="0.3">
      <c r="B6" s="62"/>
      <c r="C6" s="62" t="s">
        <v>252</v>
      </c>
      <c r="D6" s="62"/>
    </row>
    <row r="7" spans="1:10" ht="13.5" thickBot="1" x14ac:dyDescent="0.35">
      <c r="B7" s="63" t="s">
        <v>235</v>
      </c>
      <c r="C7" s="63" t="s">
        <v>236</v>
      </c>
      <c r="D7" s="63" t="s">
        <v>248</v>
      </c>
    </row>
    <row r="8" spans="1:10" ht="13" thickBot="1" x14ac:dyDescent="0.3">
      <c r="B8" s="42" t="s">
        <v>338</v>
      </c>
      <c r="C8" s="42" t="s">
        <v>54</v>
      </c>
      <c r="D8" s="43">
        <v>4000</v>
      </c>
    </row>
    <row r="10" spans="1:10" ht="13" thickBot="1" x14ac:dyDescent="0.3"/>
    <row r="11" spans="1:10" ht="13" x14ac:dyDescent="0.3">
      <c r="B11" s="62"/>
      <c r="C11" s="62" t="s">
        <v>253</v>
      </c>
      <c r="D11" s="62"/>
      <c r="F11" s="62" t="s">
        <v>254</v>
      </c>
      <c r="G11" s="62" t="s">
        <v>252</v>
      </c>
      <c r="I11" s="62" t="s">
        <v>255</v>
      </c>
      <c r="J11" s="62" t="s">
        <v>252</v>
      </c>
    </row>
    <row r="12" spans="1:10" ht="13.5" thickBot="1" x14ac:dyDescent="0.35">
      <c r="B12" s="63" t="s">
        <v>235</v>
      </c>
      <c r="C12" s="63" t="s">
        <v>236</v>
      </c>
      <c r="D12" s="63" t="s">
        <v>248</v>
      </c>
      <c r="F12" s="63" t="s">
        <v>256</v>
      </c>
      <c r="G12" s="63" t="s">
        <v>257</v>
      </c>
      <c r="I12" s="63" t="s">
        <v>256</v>
      </c>
      <c r="J12" s="63" t="s">
        <v>257</v>
      </c>
    </row>
    <row r="13" spans="1:10" x14ac:dyDescent="0.25">
      <c r="B13" s="44" t="s">
        <v>339</v>
      </c>
      <c r="C13" s="44" t="s">
        <v>371</v>
      </c>
      <c r="D13" s="45">
        <v>20</v>
      </c>
      <c r="F13" s="45">
        <v>0</v>
      </c>
      <c r="G13" s="45">
        <v>0</v>
      </c>
      <c r="I13" s="45">
        <v>20</v>
      </c>
      <c r="J13" s="45">
        <v>4000</v>
      </c>
    </row>
    <row r="14" spans="1:10" x14ac:dyDescent="0.25">
      <c r="B14" s="44" t="s">
        <v>341</v>
      </c>
      <c r="C14" s="44" t="s">
        <v>372</v>
      </c>
      <c r="D14" s="45">
        <v>20</v>
      </c>
      <c r="F14" s="45">
        <v>0</v>
      </c>
      <c r="G14" s="45">
        <v>0</v>
      </c>
      <c r="I14" s="45">
        <v>20</v>
      </c>
      <c r="J14" s="45">
        <v>4000</v>
      </c>
    </row>
    <row r="15" spans="1:10" ht="13" thickBot="1" x14ac:dyDescent="0.3">
      <c r="B15" s="42" t="s">
        <v>343</v>
      </c>
      <c r="C15" s="42" t="s">
        <v>373</v>
      </c>
      <c r="D15" s="43">
        <v>10</v>
      </c>
      <c r="F15" s="43">
        <v>0</v>
      </c>
      <c r="G15" s="43">
        <v>0</v>
      </c>
      <c r="I15" s="43">
        <v>10</v>
      </c>
      <c r="J15" s="43">
        <v>4000</v>
      </c>
    </row>
  </sheetData>
  <phoneticPr fontId="13" type="noConversion"/>
  <pageMargins left="0.75" right="0.75" top="1" bottom="1" header="0.5" footer="0.5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"/>
  <sheetViews>
    <sheetView workbookViewId="0"/>
  </sheetViews>
  <sheetFormatPr defaultRowHeight="12.5" x14ac:dyDescent="0.25"/>
  <sheetData/>
  <phoneticPr fontId="13" type="noConversion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Comments</vt:lpstr>
      <vt:lpstr>3dGraph</vt:lpstr>
      <vt:lpstr>3x3 Test Template</vt:lpstr>
      <vt:lpstr>Randomized Test Template</vt:lpstr>
      <vt:lpstr>Extensions</vt:lpstr>
      <vt:lpstr>NPV&amp;IRR Sample</vt:lpstr>
      <vt:lpstr>SSE,SSR,TSS,R^2 Sample</vt:lpstr>
      <vt:lpstr>Risk-Return Sample</vt:lpstr>
      <vt:lpstr>Optimization Notes</vt:lpstr>
      <vt:lpstr>Advanced Logistic Regression</vt:lpstr>
      <vt:lpstr>2 Cereal LP Inequality Example</vt:lpstr>
      <vt:lpstr>Answer Report 1</vt:lpstr>
      <vt:lpstr>Sensitivity Report 1</vt:lpstr>
      <vt:lpstr>Limits Report 1</vt:lpstr>
      <vt:lpstr>Answer Report 2</vt:lpstr>
      <vt:lpstr>Sensitivity Report 2</vt:lpstr>
      <vt:lpstr>Limits Report 2</vt:lpstr>
      <vt:lpstr>2 Cereal LP =Constraint Example</vt:lpstr>
      <vt:lpstr>Answer Report 3</vt:lpstr>
      <vt:lpstr>Sensitivity Report 3</vt:lpstr>
      <vt:lpstr>Limits Report 3</vt:lpstr>
      <vt:lpstr>Nonlin. 3-Var. Ineq. Constr. Ex</vt:lpstr>
      <vt:lpstr>Answer Report 4</vt:lpstr>
      <vt:lpstr>Sensitivity Report 4</vt:lpstr>
      <vt:lpstr>Limits Report 4</vt:lpstr>
      <vt:lpstr>Sheet1</vt:lpstr>
    </vt:vector>
  </TitlesOfParts>
  <Company>VILLANOVA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Pollack-Johnson</dc:creator>
  <cp:lastModifiedBy>Carina Negreanu</cp:lastModifiedBy>
  <cp:lastPrinted>2002-07-15T14:58:02Z</cp:lastPrinted>
  <dcterms:created xsi:type="dcterms:W3CDTF">1998-06-09T02:48:51Z</dcterms:created>
  <dcterms:modified xsi:type="dcterms:W3CDTF">2020-01-27T12:49:06Z</dcterms:modified>
</cp:coreProperties>
</file>