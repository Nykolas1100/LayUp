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654A8F-55CC-4724-9677-9C3B190507A2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9" i="1" l="1"/>
  <c r="L19" i="1"/>
  <c r="J19" i="1"/>
  <c r="B19" i="1"/>
  <c r="N19" i="1"/>
  <c r="P19" i="1" s="1"/>
  <c r="Q19" i="1" s="1"/>
  <c r="R19" i="1" s="1"/>
  <c r="O19" i="1"/>
  <c r="M13" i="1"/>
  <c r="O13" i="1"/>
  <c r="J8" i="1"/>
  <c r="M8" i="1"/>
  <c r="N8" i="1" s="1"/>
  <c r="P8" i="1" s="1"/>
  <c r="Q8" i="1" s="1"/>
  <c r="R8" i="1" s="1"/>
  <c r="O8" i="1"/>
  <c r="J13" i="1"/>
  <c r="N13" i="1" s="1"/>
  <c r="P13" i="1" s="1"/>
  <c r="Q13" i="1" s="1"/>
  <c r="R13" i="1" s="1"/>
  <c r="L13" i="1"/>
  <c r="L8" i="1"/>
  <c r="B13" i="1"/>
  <c r="B8" i="1"/>
</calcChain>
</file>

<file path=xl/sharedStrings.xml><?xml version="1.0" encoding="utf-8"?>
<sst xmlns="http://schemas.openxmlformats.org/spreadsheetml/2006/main" count="36" uniqueCount="35">
  <si>
    <t>NAME</t>
  </si>
  <si>
    <t>Test Grade 1 – CH 10</t>
  </si>
  <si>
    <t>Test Grade 2 – CH 11</t>
  </si>
  <si>
    <t>Test Grade 3 – CH 12</t>
  </si>
  <si>
    <t>Test Grade 4 – CH 14</t>
  </si>
  <si>
    <t>Test Grade 5 – Final</t>
  </si>
  <si>
    <t>Quiz Score (Web Assignment + Outside Assignment I)/2</t>
  </si>
  <si>
    <t>Term Paper</t>
  </si>
  <si>
    <t>Homework</t>
  </si>
  <si>
    <t>Lowest Test Grade</t>
  </si>
  <si>
    <t>Test Grade Total – Lowest Test Grade</t>
  </si>
  <si>
    <t>Grade</t>
  </si>
  <si>
    <t>Possible Points</t>
  </si>
  <si>
    <t>%</t>
  </si>
  <si>
    <t>(Your Points / 30) * 100%</t>
  </si>
  <si>
    <t>DUMMY</t>
  </si>
  <si>
    <t>(16/30)*100</t>
  </si>
  <si>
    <t>Your name Here:</t>
  </si>
  <si>
    <t>Test Grade Total        (Test Grades +  Quiz Score + Term Paper + homework + Attendance)</t>
  </si>
  <si>
    <t>.</t>
  </si>
  <si>
    <t>(/30)*100</t>
  </si>
  <si>
    <t xml:space="preserve">Web Assignment </t>
  </si>
  <si>
    <t>Outside Assignment I</t>
  </si>
  <si>
    <t># Quizes</t>
  </si>
  <si>
    <t>Attendance, # days present</t>
  </si>
  <si>
    <t>Divide Total Points by</t>
  </si>
  <si>
    <t xml:space="preserve">Instructions: </t>
  </si>
  <si>
    <t>1.  Fill in Your Name</t>
  </si>
  <si>
    <t>2.  Fill in your first test grade</t>
  </si>
  <si>
    <t>4.  Fill in your homework</t>
  </si>
  <si>
    <t>5.  Fill in you days present</t>
  </si>
  <si>
    <t>6.  Look at your grade.</t>
  </si>
  <si>
    <t>Change the yellow blocks only</t>
  </si>
  <si>
    <t>3a.  Fill in your Web Assignement score</t>
  </si>
  <si>
    <t xml:space="preserve">3b.  Fill in your Outside Assignment I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</si>
</sst>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Fill="1"/>
    <xf numFmtId="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topLeftCell="H2" workbookViewId="0">
      <selection activeCell="M12" sqref="M12"/>
    </sheetView>
  </sheetViews>
  <sheetFormatPr defaultRowHeight="12.5" x14ac:dyDescent="0.25"/>
  <cols>
    <col min="1" max="1" width="14.453125" customWidth="1"/>
    <col min="2" max="2" width="12.81640625" customWidth="1"/>
    <col min="3" max="4" width="10.81640625" customWidth="1"/>
    <col min="5" max="5" width="10.453125" customWidth="1"/>
    <col min="6" max="6" width="11.453125" customWidth="1"/>
    <col min="7" max="7" width="12.453125" customWidth="1"/>
    <col min="8" max="8" width="12.81640625" customWidth="1"/>
    <col min="9" max="9" width="11.453125" customWidth="1"/>
    <col min="10" max="10" width="11.1796875" customWidth="1"/>
    <col min="11" max="12" width="10.453125" customWidth="1"/>
    <col min="13" max="13" width="12.26953125" customWidth="1"/>
    <col min="14" max="14" width="13.26953125" customWidth="1"/>
  </cols>
  <sheetData>
    <row r="1" spans="1:19" ht="37.5" x14ac:dyDescent="0.25">
      <c r="A1" s="5" t="s">
        <v>26</v>
      </c>
      <c r="B1" s="5" t="s">
        <v>32</v>
      </c>
    </row>
    <row r="2" spans="1:19" x14ac:dyDescent="0.25">
      <c r="A2" s="6"/>
      <c r="B2" s="6"/>
      <c r="C2" s="9"/>
      <c r="D2" s="6"/>
      <c r="E2" s="6"/>
      <c r="F2" s="6"/>
      <c r="G2" s="6"/>
      <c r="H2" s="6"/>
      <c r="I2" s="6"/>
      <c r="J2" s="9"/>
      <c r="K2" s="9"/>
      <c r="L2" s="9"/>
      <c r="M2" s="9"/>
      <c r="N2" s="9"/>
      <c r="O2" s="9"/>
      <c r="P2" s="9"/>
      <c r="Q2" s="9"/>
      <c r="R2" s="9"/>
    </row>
    <row r="3" spans="1:19" ht="50" x14ac:dyDescent="0.25">
      <c r="A3" s="5" t="s">
        <v>27</v>
      </c>
      <c r="B3" s="5" t="s">
        <v>28</v>
      </c>
      <c r="C3" s="5"/>
      <c r="D3" s="5"/>
      <c r="G3" s="5" t="s">
        <v>33</v>
      </c>
      <c r="H3" s="5" t="s">
        <v>34</v>
      </c>
      <c r="L3" s="5" t="s">
        <v>29</v>
      </c>
      <c r="M3" s="5" t="s">
        <v>30</v>
      </c>
      <c r="R3" s="5" t="s">
        <v>31</v>
      </c>
    </row>
    <row r="4" spans="1:19" ht="87.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21</v>
      </c>
      <c r="H4" s="1" t="s">
        <v>22</v>
      </c>
      <c r="I4" s="1" t="s">
        <v>23</v>
      </c>
      <c r="J4" s="1" t="s">
        <v>6</v>
      </c>
      <c r="K4" s="1" t="s">
        <v>7</v>
      </c>
      <c r="L4" s="1" t="s">
        <v>8</v>
      </c>
      <c r="M4" s="1" t="s">
        <v>24</v>
      </c>
      <c r="N4" s="1" t="s">
        <v>18</v>
      </c>
      <c r="O4" s="1" t="s">
        <v>9</v>
      </c>
      <c r="P4" s="1" t="s">
        <v>10</v>
      </c>
      <c r="Q4" s="1" t="s">
        <v>25</v>
      </c>
      <c r="R4" s="1" t="s">
        <v>11</v>
      </c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3</v>
      </c>
      <c r="R5" s="1"/>
      <c r="S5" s="1"/>
    </row>
    <row r="6" spans="1:19" x14ac:dyDescent="0.25">
      <c r="A6" s="1" t="s">
        <v>12</v>
      </c>
      <c r="B6" s="1">
        <v>30</v>
      </c>
      <c r="C6" s="1"/>
      <c r="D6" s="1"/>
      <c r="E6" s="1"/>
      <c r="F6" s="1"/>
      <c r="G6" s="1">
        <v>100</v>
      </c>
      <c r="H6" s="1">
        <v>100</v>
      </c>
      <c r="I6" s="1">
        <v>2</v>
      </c>
      <c r="J6" s="1"/>
      <c r="K6" s="1"/>
      <c r="L6" s="3">
        <v>7</v>
      </c>
      <c r="M6" s="3">
        <v>13</v>
      </c>
      <c r="N6" s="1"/>
      <c r="O6" s="1"/>
      <c r="P6" s="1"/>
      <c r="Q6" s="1"/>
      <c r="R6" s="1"/>
      <c r="S6" s="1"/>
    </row>
    <row r="7" spans="1:19" ht="25" x14ac:dyDescent="0.25">
      <c r="A7" s="1" t="s">
        <v>13</v>
      </c>
      <c r="B7" s="1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 t="s">
        <v>13</v>
      </c>
      <c r="B8" s="1">
        <f>+(B6/$B$6)*100</f>
        <v>100</v>
      </c>
      <c r="C8" s="1"/>
      <c r="D8" s="1"/>
      <c r="E8" s="1"/>
      <c r="F8" s="1">
        <v>0</v>
      </c>
      <c r="G8" s="1"/>
      <c r="H8" s="1"/>
      <c r="I8" s="1"/>
      <c r="J8" s="1">
        <f>+(G6+H6)/I6</f>
        <v>100</v>
      </c>
      <c r="K8" s="1"/>
      <c r="L8" s="1">
        <f>+(L6/$L$6)*100</f>
        <v>100</v>
      </c>
      <c r="M8" s="1">
        <f>+(M6/$M$6)*100</f>
        <v>100</v>
      </c>
      <c r="N8" s="2">
        <f>+B8+C8+D8+E8+F8+J8+K8+L8+M8</f>
        <v>400</v>
      </c>
      <c r="O8" s="2">
        <f>+MIN(B8:F8)</f>
        <v>0</v>
      </c>
      <c r="P8" s="2">
        <f>+N8-O8</f>
        <v>400</v>
      </c>
      <c r="Q8" s="2">
        <f>+P8/$Q$5</f>
        <v>133.33333333333334</v>
      </c>
      <c r="R8" s="1" t="str">
        <f>+IF(Q8&gt;89, "A",IF(Q8&gt;79, "B",IF(Q8&gt;69, "C", IF(Q8&gt;59, "D", "F"))))</f>
        <v>A</v>
      </c>
      <c r="S8" s="1"/>
    </row>
    <row r="9" spans="1:19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/>
      <c r="O9" s="2"/>
      <c r="P9" s="2"/>
      <c r="Q9" s="2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  <c r="O10" s="2"/>
      <c r="P10" s="2"/>
      <c r="Q10" s="2"/>
      <c r="R10" s="1"/>
      <c r="S10" s="1"/>
    </row>
    <row r="11" spans="1:19" x14ac:dyDescent="0.25">
      <c r="A11" s="1" t="s">
        <v>15</v>
      </c>
      <c r="B11" s="1">
        <v>16</v>
      </c>
      <c r="C11" s="1"/>
      <c r="D11" s="1"/>
      <c r="E11" s="1"/>
      <c r="F11" s="1"/>
      <c r="G11" s="1">
        <v>55</v>
      </c>
      <c r="H11" s="1">
        <v>85</v>
      </c>
      <c r="I11" s="1">
        <v>2</v>
      </c>
      <c r="L11" s="4">
        <v>3</v>
      </c>
      <c r="M11" s="4">
        <v>4</v>
      </c>
      <c r="N11" s="8"/>
      <c r="O11" s="8"/>
      <c r="P11" s="8"/>
      <c r="Q11" s="8"/>
    </row>
    <row r="12" spans="1:19" x14ac:dyDescent="0.25">
      <c r="A12" s="1"/>
      <c r="B12" s="1" t="s">
        <v>16</v>
      </c>
      <c r="C12" s="1"/>
      <c r="D12" s="1"/>
      <c r="E12" s="1"/>
      <c r="F12" s="1"/>
      <c r="J12" s="1"/>
      <c r="K12" s="1"/>
      <c r="L12" s="1"/>
      <c r="M12" s="1"/>
      <c r="N12" s="2"/>
      <c r="O12" s="2"/>
      <c r="P12" s="2"/>
      <c r="Q12" s="2"/>
      <c r="R12" s="1"/>
      <c r="S12" s="1"/>
    </row>
    <row r="13" spans="1:19" x14ac:dyDescent="0.25">
      <c r="A13" s="1"/>
      <c r="B13" s="2">
        <f>+(B11/$B$6)*100</f>
        <v>53.333333333333336</v>
      </c>
      <c r="C13" s="2"/>
      <c r="D13" s="2"/>
      <c r="E13" s="2"/>
      <c r="F13" s="2">
        <v>0</v>
      </c>
      <c r="G13" s="2"/>
      <c r="H13" s="2"/>
      <c r="I13" s="2"/>
      <c r="J13" s="1">
        <f>+(G11+H11)/I11</f>
        <v>70</v>
      </c>
      <c r="K13" s="3"/>
      <c r="L13" s="2">
        <f>+(L11/$L$6)*100</f>
        <v>42.857142857142854</v>
      </c>
      <c r="M13" s="2">
        <f>+(M11/$M$6)*100</f>
        <v>30.76923076923077</v>
      </c>
      <c r="N13" s="2">
        <f>+B13+C13+D13+E13+F13+J13+K13+L13+M13</f>
        <v>196.95970695970698</v>
      </c>
      <c r="O13" s="2">
        <f>+MIN(B13:F13)</f>
        <v>0</v>
      </c>
      <c r="P13" s="2">
        <f>+N13-O13</f>
        <v>196.95970695970698</v>
      </c>
      <c r="Q13" s="2">
        <f>+P13/$Q$5</f>
        <v>65.653235653235654</v>
      </c>
      <c r="R13" s="1" t="str">
        <f>+IF(Q13&gt;89, "A",IF(Q13&gt;79, "B",IF(Q13&gt;69, "C", IF(Q13&gt;59, "D", "F"))))</f>
        <v>D</v>
      </c>
      <c r="S13" s="1"/>
    </row>
    <row r="14" spans="1:19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1" t="s">
        <v>19</v>
      </c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  <c r="O15" s="2"/>
      <c r="P15" s="2"/>
      <c r="Q15" s="2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2"/>
      <c r="P16" s="2"/>
      <c r="Q16" s="2"/>
      <c r="R16" s="1"/>
      <c r="S16" s="1"/>
    </row>
    <row r="17" spans="1:18" ht="25" x14ac:dyDescent="0.25">
      <c r="A17" s="3" t="s">
        <v>17</v>
      </c>
      <c r="B17" s="3"/>
      <c r="C17" s="3"/>
      <c r="D17" s="3"/>
      <c r="E17" s="3"/>
      <c r="F17" s="3"/>
      <c r="G17" s="3"/>
      <c r="H17" s="3"/>
      <c r="I17" s="6">
        <v>2</v>
      </c>
      <c r="L17" s="4"/>
      <c r="M17" s="4"/>
      <c r="N17" s="8"/>
      <c r="O17" s="8"/>
      <c r="P17" s="8"/>
      <c r="Q17" s="8"/>
    </row>
    <row r="18" spans="1:18" x14ac:dyDescent="0.25">
      <c r="A18" s="1"/>
      <c r="B18" s="1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  <c r="O18" s="2"/>
      <c r="P18" s="2"/>
      <c r="Q18" s="2"/>
      <c r="R18" s="1"/>
    </row>
    <row r="19" spans="1:18" x14ac:dyDescent="0.25">
      <c r="A19" s="1"/>
      <c r="B19" s="2">
        <f>+(B17/$B$6)*100</f>
        <v>0</v>
      </c>
      <c r="C19" s="2"/>
      <c r="D19" s="2"/>
      <c r="E19" s="2"/>
      <c r="F19" s="2">
        <v>0</v>
      </c>
      <c r="G19" s="2"/>
      <c r="H19" s="2"/>
      <c r="I19" s="2"/>
      <c r="J19" s="1">
        <f>+(G17+H17)/I17</f>
        <v>0</v>
      </c>
      <c r="K19" s="3"/>
      <c r="L19" s="2">
        <f>+(L17/$L$6)*100</f>
        <v>0</v>
      </c>
      <c r="M19" s="2">
        <f>+(M17/$M$6)*100</f>
        <v>0</v>
      </c>
      <c r="N19" s="2">
        <f>+B19+C19+D19+E19+F19+J19+K19+L19+M19</f>
        <v>0</v>
      </c>
      <c r="O19" s="2">
        <f>+MIN(B19:F19)</f>
        <v>0</v>
      </c>
      <c r="P19" s="2">
        <f>+N19-O19</f>
        <v>0</v>
      </c>
      <c r="Q19" s="2">
        <f>+P19/$Q$5</f>
        <v>0</v>
      </c>
      <c r="R19" s="1" t="str">
        <f>+IF(Q19&gt;89, "A",IF(Q19&gt;79, "B",IF(Q19&gt;69, "C", IF(Q19&gt;59, "D", "F"))))</f>
        <v>F</v>
      </c>
    </row>
    <row r="21" spans="1:18" x14ac:dyDescent="0.25">
      <c r="M2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Univ. of Maryland Eastern Shore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Portable Workstation</dc:creator>
  <cp:lastModifiedBy>Carina Negreanu</cp:lastModifiedBy>
  <dcterms:created xsi:type="dcterms:W3CDTF">2002-02-25T23:12:56Z</dcterms:created>
  <dcterms:modified xsi:type="dcterms:W3CDTF">2020-01-27T11:38:57Z</dcterms:modified>
</cp:coreProperties>
</file>