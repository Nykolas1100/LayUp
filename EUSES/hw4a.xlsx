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DC88B2C-2A14-4337-8C76-43CEBD083849}" xr6:coauthVersionLast="45" xr6:coauthVersionMax="45" xr10:uidLastSave="{00000000-0000-0000-0000-000000000000}"/>
  <bookViews>
    <workbookView xWindow="380" yWindow="380" windowWidth="28800" windowHeight="15460" activeTab="2"/>
  </bookViews>
  <sheets>
    <sheet name="Eff4" sheetId="1" r:id="rId1"/>
    <sheet name="Problem Data" sheetId="2" r:id="rId2"/>
    <sheet name="Solution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 iterate="1" iterateCount="50"/>
</workbook>
</file>

<file path=xl/calcChain.xml><?xml version="1.0" encoding="utf-8"?>
<calcChain xmlns="http://schemas.openxmlformats.org/spreadsheetml/2006/main">
  <c r="D20" i="1" l="1"/>
  <c r="D20" i="1" a="1"/>
  <c r="E20" i="1"/>
  <c r="F20" i="1"/>
  <c r="G20" i="1"/>
  <c r="B23" i="1"/>
  <c r="B23" i="1" a="1"/>
  <c r="D23" i="1"/>
  <c r="E23" i="1"/>
  <c r="F23" i="1"/>
  <c r="G23" i="1"/>
  <c r="B24" i="1"/>
  <c r="D24" i="1"/>
  <c r="E24" i="1"/>
  <c r="F24" i="1"/>
  <c r="G24" i="1"/>
  <c r="B25" i="1"/>
  <c r="D25" i="1"/>
  <c r="E25" i="1"/>
  <c r="F25" i="1"/>
  <c r="G25" i="1"/>
  <c r="B26" i="1"/>
  <c r="D26" i="1"/>
  <c r="E26" i="1"/>
  <c r="F26" i="1"/>
  <c r="G26" i="1"/>
  <c r="D29" i="1"/>
  <c r="D29" i="1" a="1"/>
  <c r="E29" i="1"/>
  <c r="E29" i="1" a="1"/>
  <c r="F29" i="1"/>
  <c r="F29" i="1" a="1"/>
  <c r="H29" i="1"/>
  <c r="H29" i="1" a="1"/>
  <c r="D30" i="1"/>
  <c r="E30" i="1"/>
  <c r="F30" i="1"/>
  <c r="H30" i="1"/>
  <c r="H30" i="1" a="1"/>
  <c r="D31" i="1"/>
  <c r="E31" i="1"/>
  <c r="F31" i="1"/>
  <c r="H31" i="1"/>
  <c r="H31" i="1" a="1"/>
  <c r="D32" i="1"/>
  <c r="E32" i="1"/>
  <c r="F32" i="1"/>
  <c r="D33" i="1"/>
  <c r="E33" i="1"/>
  <c r="F33" i="1"/>
  <c r="D35" i="1"/>
  <c r="D35" i="1" a="1"/>
  <c r="E35" i="1"/>
  <c r="E35" i="1" a="1"/>
  <c r="F35" i="1"/>
  <c r="F35" i="1" a="1"/>
  <c r="D36" i="1"/>
  <c r="D36" i="1" a="1"/>
  <c r="E36" i="1"/>
  <c r="E36" i="1" a="1"/>
  <c r="F36" i="1"/>
  <c r="F36" i="1" a="1"/>
  <c r="D37" i="1"/>
  <c r="E37" i="1"/>
  <c r="F37" i="1"/>
  <c r="D40" i="1"/>
  <c r="D40" i="1" a="1"/>
  <c r="E40" i="1"/>
  <c r="F40" i="1"/>
  <c r="D41" i="1"/>
  <c r="E41" i="1"/>
  <c r="F41" i="1"/>
  <c r="D42" i="1"/>
  <c r="E42" i="1"/>
  <c r="F42" i="1"/>
  <c r="C3" i="2"/>
  <c r="C4" i="2"/>
  <c r="C5" i="2"/>
  <c r="C6" i="2"/>
  <c r="D6" i="3"/>
  <c r="D7" i="3"/>
  <c r="D8" i="3"/>
  <c r="D9" i="3"/>
  <c r="C10" i="3"/>
  <c r="C12" i="3"/>
  <c r="C12" i="3" a="1"/>
  <c r="D12" i="3"/>
  <c r="E12" i="3"/>
  <c r="F12" i="3"/>
  <c r="C14" i="3"/>
  <c r="D14" i="3"/>
  <c r="E14" i="3"/>
  <c r="F14" i="3"/>
  <c r="C15" i="3"/>
  <c r="D15" i="3"/>
  <c r="E15" i="3"/>
  <c r="F15" i="3"/>
  <c r="C16" i="3"/>
  <c r="D16" i="3"/>
  <c r="E16" i="3"/>
  <c r="F16" i="3"/>
  <c r="C17" i="3"/>
  <c r="D17" i="3"/>
  <c r="E17" i="3"/>
  <c r="F17" i="3"/>
  <c r="D19" i="3"/>
  <c r="C26" i="3"/>
  <c r="C26" i="3" a="1"/>
  <c r="D26" i="3"/>
  <c r="E26" i="3"/>
  <c r="F26" i="3"/>
  <c r="A28" i="3"/>
  <c r="C28" i="3"/>
  <c r="D28" i="3"/>
  <c r="E28" i="3"/>
  <c r="F28" i="3"/>
  <c r="A29" i="3"/>
  <c r="C29" i="3"/>
  <c r="D29" i="3"/>
  <c r="E29" i="3"/>
  <c r="F29" i="3"/>
  <c r="A30" i="3"/>
  <c r="C30" i="3"/>
  <c r="D30" i="3"/>
  <c r="E30" i="3"/>
  <c r="F30" i="3"/>
  <c r="A31" i="3"/>
  <c r="C31" i="3"/>
  <c r="D31" i="3"/>
  <c r="E31" i="3"/>
  <c r="F31" i="3"/>
  <c r="C36" i="3"/>
  <c r="C37" i="3"/>
  <c r="C38" i="3"/>
  <c r="C39" i="3"/>
  <c r="C45" i="3"/>
  <c r="C46" i="3"/>
  <c r="C47" i="3"/>
  <c r="C48" i="3"/>
  <c r="C66" i="3"/>
  <c r="C67" i="3"/>
  <c r="C68" i="3"/>
  <c r="C69" i="3"/>
  <c r="C83" i="3"/>
  <c r="C84" i="3"/>
  <c r="C85" i="3"/>
  <c r="C86" i="3"/>
  <c r="D94" i="3"/>
  <c r="D95" i="3"/>
  <c r="D96" i="3"/>
  <c r="D97" i="3"/>
  <c r="G97" i="3"/>
  <c r="C98" i="3"/>
  <c r="D98" i="3"/>
  <c r="C103" i="3"/>
  <c r="C103" i="3" a="1"/>
  <c r="D103" i="3"/>
  <c r="E103" i="3"/>
  <c r="F103" i="3"/>
  <c r="A105" i="3"/>
  <c r="C105" i="3"/>
  <c r="D105" i="3"/>
  <c r="E105" i="3"/>
  <c r="F105" i="3"/>
  <c r="A106" i="3"/>
  <c r="C106" i="3"/>
  <c r="D106" i="3"/>
  <c r="E106" i="3"/>
  <c r="F106" i="3"/>
  <c r="A107" i="3"/>
  <c r="C107" i="3"/>
  <c r="D107" i="3"/>
  <c r="E107" i="3"/>
  <c r="F107" i="3"/>
  <c r="A108" i="3"/>
  <c r="C108" i="3"/>
  <c r="D108" i="3"/>
  <c r="E108" i="3"/>
  <c r="F108" i="3"/>
  <c r="D110" i="3"/>
  <c r="C112" i="3"/>
  <c r="D112" i="3"/>
  <c r="E112" i="3"/>
  <c r="F112" i="3"/>
  <c r="A114" i="3"/>
  <c r="C114" i="3"/>
  <c r="D114" i="3"/>
  <c r="E114" i="3"/>
  <c r="F114" i="3"/>
  <c r="A115" i="3"/>
  <c r="C115" i="3"/>
  <c r="D115" i="3"/>
  <c r="E115" i="3"/>
  <c r="F115" i="3"/>
  <c r="A116" i="3"/>
  <c r="C116" i="3"/>
  <c r="D116" i="3"/>
  <c r="E116" i="3"/>
  <c r="F116" i="3"/>
  <c r="A117" i="3"/>
  <c r="C117" i="3"/>
  <c r="D117" i="3"/>
  <c r="E117" i="3"/>
  <c r="F117" i="3"/>
  <c r="G119" i="3"/>
  <c r="C120" i="3"/>
  <c r="D120" i="3"/>
  <c r="C121" i="3"/>
  <c r="D121" i="3"/>
  <c r="C122" i="3"/>
  <c r="D122" i="3"/>
  <c r="C123" i="3"/>
  <c r="D123" i="3"/>
</calcChain>
</file>

<file path=xl/sharedStrings.xml><?xml version="1.0" encoding="utf-8"?>
<sst xmlns="http://schemas.openxmlformats.org/spreadsheetml/2006/main" count="180" uniqueCount="74">
  <si>
    <t>Inputs:</t>
  </si>
  <si>
    <t>Correlation Matrix</t>
  </si>
  <si>
    <t>E(R)</t>
  </si>
  <si>
    <t>Vol/Std Dev</t>
  </si>
  <si>
    <t>R_f</t>
  </si>
  <si>
    <t>Outputs:</t>
  </si>
  <si>
    <t>Note: The equations here are almost all implemented using array</t>
  </si>
  <si>
    <t xml:space="preserve">  functions.  These are functions that multiply groups of numbers</t>
  </si>
  <si>
    <t xml:space="preserve">  (like vectors or matricies).  If you change these functions, you will </t>
  </si>
  <si>
    <t xml:space="preserve">  have to press CNTL-SHIFT-ENTER to re-enter them properly.  You </t>
  </si>
  <si>
    <t xml:space="preserve">  should not have to change anything for the homework assignment.</t>
  </si>
  <si>
    <t>stdev</t>
  </si>
  <si>
    <t>Covariance Matrix</t>
  </si>
  <si>
    <t>ones</t>
  </si>
  <si>
    <t>Portfolio Weghts</t>
  </si>
  <si>
    <t>MV</t>
  </si>
  <si>
    <t>P</t>
  </si>
  <si>
    <t>MVE</t>
  </si>
  <si>
    <t>k1</t>
  </si>
  <si>
    <t>k2</t>
  </si>
  <si>
    <t>k3</t>
  </si>
  <si>
    <t>sum</t>
  </si>
  <si>
    <t>VAR</t>
  </si>
  <si>
    <t>STD DEV</t>
  </si>
  <si>
    <t xml:space="preserve">Covariance </t>
  </si>
  <si>
    <t>Matrix</t>
  </si>
  <si>
    <t>WVE</t>
  </si>
  <si>
    <t>Security</t>
  </si>
  <si>
    <t>Variance</t>
  </si>
  <si>
    <t>Stdev</t>
  </si>
  <si>
    <t>Market Value</t>
  </si>
  <si>
    <t>A</t>
  </si>
  <si>
    <t>B</t>
  </si>
  <si>
    <t>C</t>
  </si>
  <si>
    <t>D</t>
  </si>
  <si>
    <t>Variance/Covariance Matrix:</t>
  </si>
  <si>
    <t>Correlation Matrix:</t>
  </si>
  <si>
    <t xml:space="preserve"> To get the variance of the market portfolio, we just find its weights</t>
  </si>
  <si>
    <t>and then calculate its variance using the method in the</t>
  </si>
  <si>
    <t>portfolio_covariance example spreadsheet.</t>
  </si>
  <si>
    <t>Mkt Value</t>
  </si>
  <si>
    <t>weight</t>
  </si>
  <si>
    <t>Total</t>
  </si>
  <si>
    <t xml:space="preserve">To get the covariance of the market with A, for example, we  </t>
  </si>
  <si>
    <t>just sum up the market weights on each of the four assets</t>
  </si>
  <si>
    <t xml:space="preserve"> times their covariances with A.  This is easy to do with the </t>
  </si>
  <si>
    <t>covariance matrix</t>
  </si>
  <si>
    <t>cov(Ri,Rm)</t>
  </si>
  <si>
    <t>The betas are just the covariances divided by the market variances:</t>
  </si>
  <si>
    <t>Beta</t>
  </si>
  <si>
    <t>The expected returns come from the CAPM:</t>
  </si>
  <si>
    <t>E(Rm)=</t>
  </si>
  <si>
    <t>Rf=</t>
  </si>
  <si>
    <t>E(Ri)</t>
  </si>
  <si>
    <t>If we copy these onto the expected returns section of spreadsheet</t>
  </si>
  <si>
    <t>one ('Eff4'), and use the rf of 0.05, we get MVE weights of:</t>
  </si>
  <si>
    <t>w_I</t>
  </si>
  <si>
    <t xml:space="preserve">Note that these are exactly the same as the market weights, as </t>
  </si>
  <si>
    <t>we would expect.</t>
  </si>
  <si>
    <t>With the new values, we get</t>
  </si>
  <si>
    <t>Again, these are exactly the same as the market weights</t>
  </si>
  <si>
    <t xml:space="preserve">The expected returns are just those from 3, except that we up </t>
  </si>
  <si>
    <t>the return on A by 0.02:</t>
  </si>
  <si>
    <t>To maximize the Sharpe Ratio, we want to choose the MVE portfolio</t>
  </si>
  <si>
    <t>which we get by plugging these (and the rf of 0.05) into eff4.</t>
  </si>
  <si>
    <t>The expected returns, variance, and standard deviation are taken</t>
  </si>
  <si>
    <t>from the eff4 spreadsheet.</t>
  </si>
  <si>
    <t>$ Invstd</t>
  </si>
  <si>
    <t>SR</t>
  </si>
  <si>
    <t xml:space="preserve">The answer here must be that you will get the expected returns from </t>
  </si>
  <si>
    <t>the first part of question 6.  Let's verify:</t>
  </si>
  <si>
    <t>cov(Ri,Rp)</t>
  </si>
  <si>
    <t>E(Rp)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</si>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</sst>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0.0000"/>
    <numFmt numFmtId="178" formatCode="_(&quot;$&quot;* #,##0_);_(&quot;$&quot;* \(#,##0\);_(&quot;$&quot;* &quot;-&quot;??_);_(@_)"/>
    <numFmt numFmtId="185" formatCode="_(* #,##0.0000_);_(* \(#,##0.0000\);_(* &quot;-&quot;??_);_(@_)"/>
    <numFmt numFmtId="187" formatCode="_(* #,##0_);_(* \(#,##0\);_(* &quot;-&quot;??_);_(@_)"/>
  </numFmts>
  <fonts count="15" x14ac:knownFonts="1">
    <font>
      <sz val="10"/>
      <name val="Arial"/>
    </font>
    <font>
      <b/>
      <sz val="10"/>
      <name val="Arial"/>
    </font>
    <font>
      <i/>
      <sz val="10"/>
      <name val="Arial"/>
    </font>
    <font>
      <b/>
      <i/>
      <sz val="10"/>
      <name val="Arial"/>
    </font>
    <font>
      <sz val="10"/>
      <name val="Arial"/>
      <family val="2"/>
    </font>
    <font>
      <b/>
      <i/>
      <sz val="11"/>
      <name val="Arial"/>
      <family val="2"/>
    </font>
    <font>
      <b/>
      <i/>
      <sz val="11"/>
      <name val="Arial"/>
      <family val="2"/>
    </font>
    <font>
      <b/>
      <i/>
      <sz val="12"/>
      <name val="Arial"/>
      <family val="2"/>
    </font>
    <font>
      <b/>
      <i/>
      <sz val="12"/>
      <name val="Arial"/>
      <family val="2"/>
    </font>
    <font>
      <sz val="8"/>
      <name val="Arial"/>
      <family val="2"/>
    </font>
    <font>
      <b/>
      <i/>
      <u/>
      <sz val="10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/>
    <xf numFmtId="0" fontId="8" fillId="0" borderId="0" xfId="0" applyFont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0" xfId="0" applyFont="1" applyBorder="1"/>
    <xf numFmtId="0" fontId="9" fillId="0" borderId="2" xfId="0" applyFont="1" applyBorder="1"/>
    <xf numFmtId="0" fontId="9" fillId="0" borderId="12" xfId="0" applyFont="1" applyBorder="1"/>
    <xf numFmtId="0" fontId="9" fillId="0" borderId="3" xfId="0" applyFont="1" applyBorder="1"/>
    <xf numFmtId="0" fontId="9" fillId="0" borderId="4" xfId="0" applyFont="1" applyBorder="1"/>
    <xf numFmtId="0" fontId="0" fillId="0" borderId="10" xfId="0" applyBorder="1"/>
    <xf numFmtId="0" fontId="3" fillId="0" borderId="0" xfId="0" applyFont="1" applyAlignment="1">
      <alignment horizontal="center"/>
    </xf>
    <xf numFmtId="0" fontId="10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9" xfId="0" applyBorder="1"/>
    <xf numFmtId="0" fontId="11" fillId="0" borderId="8" xfId="0" applyFont="1" applyBorder="1"/>
    <xf numFmtId="0" fontId="11" fillId="0" borderId="11" xfId="0" applyFont="1" applyBorder="1"/>
    <xf numFmtId="0" fontId="11" fillId="0" borderId="12" xfId="0" applyFont="1" applyBorder="1"/>
    <xf numFmtId="173" fontId="0" fillId="0" borderId="0" xfId="0" applyNumberFormat="1"/>
    <xf numFmtId="170" fontId="0" fillId="0" borderId="0" xfId="2" applyNumberFormat="1" applyFont="1"/>
    <xf numFmtId="0" fontId="0" fillId="0" borderId="13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0" fontId="7" fillId="0" borderId="8" xfId="0" applyFont="1" applyBorder="1"/>
    <xf numFmtId="0" fontId="5" fillId="0" borderId="0" xfId="0" applyFont="1" applyBorder="1"/>
    <xf numFmtId="0" fontId="3" fillId="0" borderId="0" xfId="0" applyFont="1" applyBorder="1"/>
    <xf numFmtId="0" fontId="3" fillId="0" borderId="11" xfId="0" applyFont="1" applyBorder="1"/>
    <xf numFmtId="178" fontId="0" fillId="0" borderId="0" xfId="2" applyNumberFormat="1" applyFont="1"/>
    <xf numFmtId="178" fontId="0" fillId="0" borderId="0" xfId="0" applyNumberFormat="1"/>
    <xf numFmtId="178" fontId="0" fillId="0" borderId="14" xfId="2" applyNumberFormat="1" applyFont="1" applyBorder="1"/>
    <xf numFmtId="0" fontId="14" fillId="0" borderId="0" xfId="0" applyFont="1"/>
    <xf numFmtId="0" fontId="13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10" xfId="0" applyFont="1" applyBorder="1" applyAlignment="1">
      <alignment horizontal="right"/>
    </xf>
    <xf numFmtId="0" fontId="13" fillId="0" borderId="11" xfId="0" applyFont="1" applyBorder="1" applyAlignment="1">
      <alignment horizontal="right"/>
    </xf>
    <xf numFmtId="0" fontId="13" fillId="0" borderId="12" xfId="0" applyFont="1" applyBorder="1" applyAlignment="1">
      <alignment horizontal="right"/>
    </xf>
    <xf numFmtId="0" fontId="12" fillId="0" borderId="5" xfId="0" applyFont="1" applyBorder="1"/>
    <xf numFmtId="0" fontId="12" fillId="0" borderId="6" xfId="0" applyFont="1" applyBorder="1"/>
    <xf numFmtId="173" fontId="12" fillId="0" borderId="6" xfId="0" applyNumberFormat="1" applyFont="1" applyBorder="1"/>
    <xf numFmtId="173" fontId="12" fillId="0" borderId="7" xfId="0" applyNumberFormat="1" applyFont="1" applyBorder="1"/>
    <xf numFmtId="0" fontId="12" fillId="0" borderId="15" xfId="0" applyFont="1" applyBorder="1"/>
    <xf numFmtId="173" fontId="12" fillId="0" borderId="16" xfId="0" applyNumberFormat="1" applyFont="1" applyBorder="1"/>
    <xf numFmtId="173" fontId="12" fillId="0" borderId="2" xfId="0" applyNumberFormat="1" applyFont="1" applyBorder="1"/>
    <xf numFmtId="173" fontId="12" fillId="0" borderId="4" xfId="0" applyNumberFormat="1" applyFont="1" applyBorder="1"/>
    <xf numFmtId="0" fontId="13" fillId="0" borderId="10" xfId="0" applyFont="1" applyBorder="1" applyAlignment="1">
      <alignment horizontal="center"/>
    </xf>
    <xf numFmtId="9" fontId="0" fillId="0" borderId="4" xfId="3" applyFont="1" applyBorder="1"/>
    <xf numFmtId="10" fontId="0" fillId="0" borderId="2" xfId="3" applyNumberFormat="1" applyFont="1" applyBorder="1"/>
    <xf numFmtId="10" fontId="0" fillId="0" borderId="4" xfId="3" applyNumberFormat="1" applyFont="1" applyBorder="1"/>
    <xf numFmtId="10" fontId="0" fillId="0" borderId="0" xfId="3" applyNumberFormat="1" applyFont="1"/>
    <xf numFmtId="10" fontId="0" fillId="0" borderId="5" xfId="3" applyNumberFormat="1" applyFont="1" applyBorder="1"/>
    <xf numFmtId="10" fontId="0" fillId="0" borderId="6" xfId="3" applyNumberFormat="1" applyFont="1" applyBorder="1"/>
    <xf numFmtId="10" fontId="0" fillId="0" borderId="7" xfId="3" applyNumberFormat="1" applyFont="1" applyBorder="1"/>
    <xf numFmtId="10" fontId="0" fillId="0" borderId="0" xfId="0" applyNumberFormat="1"/>
    <xf numFmtId="171" fontId="0" fillId="0" borderId="0" xfId="1" applyFont="1"/>
    <xf numFmtId="185" fontId="0" fillId="0" borderId="0" xfId="1" applyNumberFormat="1" applyFont="1"/>
    <xf numFmtId="187" fontId="0" fillId="0" borderId="0" xfId="1" applyNumberFormat="1" applyFont="1"/>
    <xf numFmtId="0" fontId="12" fillId="0" borderId="5" xfId="0" applyFont="1" applyBorder="1" applyAlignment="1">
      <alignment horizontal="center"/>
    </xf>
    <xf numFmtId="187" fontId="0" fillId="0" borderId="6" xfId="1" applyNumberFormat="1" applyFont="1" applyBorder="1"/>
    <xf numFmtId="187" fontId="0" fillId="0" borderId="7" xfId="1" applyNumberFormat="1" applyFont="1" applyBorder="1"/>
    <xf numFmtId="10" fontId="0" fillId="0" borderId="10" xfId="0" applyNumberForma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opLeftCell="B10" workbookViewId="0">
      <selection activeCell="F35" sqref="F35:F37"/>
    </sheetView>
  </sheetViews>
  <sheetFormatPr defaultRowHeight="12.5" x14ac:dyDescent="0.25"/>
  <cols>
    <col min="1" max="1" width="4" customWidth="1"/>
    <col min="2" max="2" width="7.26953125" customWidth="1"/>
    <col min="3" max="7" width="8.1796875" customWidth="1"/>
    <col min="9" max="14" width="5.54296875" customWidth="1"/>
  </cols>
  <sheetData>
    <row r="1" spans="1:15" ht="15.5" x14ac:dyDescent="0.35">
      <c r="A1" s="43" t="s">
        <v>0</v>
      </c>
      <c r="B1" s="29"/>
      <c r="C1" s="29"/>
      <c r="D1" s="29"/>
      <c r="E1" s="29"/>
      <c r="F1" s="29"/>
      <c r="G1" s="29"/>
      <c r="H1" s="29"/>
      <c r="I1" s="23"/>
    </row>
    <row r="2" spans="1:15" ht="14" x14ac:dyDescent="0.3">
      <c r="A2" s="37"/>
      <c r="B2" s="44" t="s">
        <v>1</v>
      </c>
      <c r="C2" s="5"/>
      <c r="D2" s="5"/>
      <c r="E2" s="5"/>
      <c r="F2" s="5"/>
      <c r="G2" s="5"/>
      <c r="H2" s="5"/>
      <c r="I2" s="6"/>
    </row>
    <row r="3" spans="1:15" ht="13.5" thickBot="1" x14ac:dyDescent="0.35">
      <c r="A3" s="37"/>
      <c r="B3" s="45">
        <v>1</v>
      </c>
      <c r="C3" s="45">
        <v>2</v>
      </c>
      <c r="D3" s="45">
        <v>3</v>
      </c>
      <c r="E3" s="45">
        <v>4</v>
      </c>
      <c r="F3" s="5"/>
      <c r="G3" s="5"/>
      <c r="H3" s="5"/>
      <c r="I3" s="6"/>
    </row>
    <row r="4" spans="1:15" s="2" customFormat="1" ht="13" x14ac:dyDescent="0.3">
      <c r="A4" s="46">
        <v>1</v>
      </c>
      <c r="B4" s="36">
        <v>1</v>
      </c>
      <c r="C4" s="29">
        <v>0.26103538645893137</v>
      </c>
      <c r="D4" s="29">
        <v>0.2939741400256114</v>
      </c>
      <c r="E4" s="23">
        <v>0.32109094134588761</v>
      </c>
      <c r="F4" s="5"/>
      <c r="G4" s="5"/>
      <c r="H4" s="5"/>
      <c r="I4" s="6"/>
      <c r="J4"/>
      <c r="K4"/>
      <c r="L4"/>
      <c r="M4"/>
      <c r="N4"/>
      <c r="O4"/>
    </row>
    <row r="5" spans="1:15" ht="13" x14ac:dyDescent="0.3">
      <c r="A5" s="46">
        <v>2</v>
      </c>
      <c r="B5" s="37">
        <v>0.26103538645893137</v>
      </c>
      <c r="C5" s="5">
        <v>1</v>
      </c>
      <c r="D5" s="5">
        <v>0.34651846545936799</v>
      </c>
      <c r="E5" s="6">
        <v>0.37848206736275325</v>
      </c>
      <c r="F5" s="5"/>
      <c r="G5" s="5"/>
      <c r="H5" s="5"/>
      <c r="I5" s="6"/>
    </row>
    <row r="6" spans="1:15" ht="13" x14ac:dyDescent="0.3">
      <c r="A6" s="46">
        <v>3</v>
      </c>
      <c r="B6" s="37">
        <v>0.2939741400256114</v>
      </c>
      <c r="C6" s="5">
        <v>0.34651846545936799</v>
      </c>
      <c r="D6" s="5">
        <v>1</v>
      </c>
      <c r="E6" s="6">
        <v>0.42624083185589878</v>
      </c>
      <c r="F6" s="5"/>
      <c r="G6" s="5"/>
      <c r="H6" s="5"/>
      <c r="I6" s="6"/>
    </row>
    <row r="7" spans="1:15" ht="13.5" thickBot="1" x14ac:dyDescent="0.35">
      <c r="A7" s="46">
        <v>4</v>
      </c>
      <c r="B7" s="38">
        <v>0.32109094134588761</v>
      </c>
      <c r="C7" s="7">
        <v>0.37848206736275325</v>
      </c>
      <c r="D7" s="7">
        <v>0.42624083185589878</v>
      </c>
      <c r="E7" s="8">
        <v>1</v>
      </c>
      <c r="F7" s="5"/>
      <c r="G7" s="5"/>
      <c r="H7" s="5"/>
      <c r="I7" s="6"/>
    </row>
    <row r="8" spans="1:15" x14ac:dyDescent="0.25">
      <c r="A8" s="37"/>
      <c r="B8" s="5"/>
      <c r="C8" s="5"/>
      <c r="D8" s="5"/>
      <c r="E8" s="5"/>
      <c r="F8" s="5"/>
      <c r="G8" s="5"/>
      <c r="H8" s="5"/>
      <c r="I8" s="6"/>
    </row>
    <row r="9" spans="1:15" ht="14.5" thickBot="1" x14ac:dyDescent="0.35">
      <c r="A9" s="37"/>
      <c r="B9" s="44" t="s">
        <v>2</v>
      </c>
      <c r="C9" s="5"/>
      <c r="D9" s="45" t="s">
        <v>3</v>
      </c>
      <c r="E9" s="5"/>
      <c r="F9" s="5"/>
      <c r="G9" s="5"/>
      <c r="H9" s="5"/>
      <c r="I9" s="6"/>
    </row>
    <row r="10" spans="1:15" ht="13.5" thickBot="1" x14ac:dyDescent="0.35">
      <c r="A10" s="46">
        <v>1</v>
      </c>
      <c r="B10" s="9">
        <v>0.12573650854618781</v>
      </c>
      <c r="C10" s="5"/>
      <c r="D10" s="9">
        <v>0.34</v>
      </c>
      <c r="E10" s="5"/>
      <c r="F10" s="5"/>
      <c r="G10" s="5"/>
      <c r="H10" s="5"/>
      <c r="I10" s="6"/>
    </row>
    <row r="11" spans="1:15" ht="13.5" thickBot="1" x14ac:dyDescent="0.35">
      <c r="A11" s="46">
        <v>2</v>
      </c>
      <c r="B11" s="9">
        <v>0.11502592663721911</v>
      </c>
      <c r="C11" s="5"/>
      <c r="D11" s="10">
        <v>0.36055512754639896</v>
      </c>
      <c r="E11" s="5"/>
      <c r="F11" s="45" t="s">
        <v>4</v>
      </c>
      <c r="G11" s="4">
        <v>0.05</v>
      </c>
      <c r="H11" s="5"/>
      <c r="I11" s="6"/>
    </row>
    <row r="12" spans="1:15" ht="13.5" thickBot="1" x14ac:dyDescent="0.35">
      <c r="A12" s="46">
        <v>3</v>
      </c>
      <c r="B12" s="9">
        <v>0.1243153447282504</v>
      </c>
      <c r="C12" s="5"/>
      <c r="D12" s="10">
        <v>0.38418745424597095</v>
      </c>
      <c r="E12" s="5"/>
      <c r="F12" s="5"/>
      <c r="G12" s="5"/>
      <c r="H12" s="5"/>
      <c r="I12" s="6"/>
    </row>
    <row r="13" spans="1:15" ht="13.5" thickBot="1" x14ac:dyDescent="0.35">
      <c r="A13" s="46">
        <v>4</v>
      </c>
      <c r="B13" s="35">
        <v>0.13360476281928169</v>
      </c>
      <c r="C13" s="5"/>
      <c r="D13" s="11">
        <v>0.41036569057366379</v>
      </c>
      <c r="E13" s="5"/>
      <c r="F13" s="5"/>
      <c r="G13" s="5"/>
      <c r="H13" s="5"/>
      <c r="I13" s="6"/>
    </row>
    <row r="14" spans="1:15" ht="13" thickBot="1" x14ac:dyDescent="0.3">
      <c r="A14" s="38"/>
      <c r="B14" s="7"/>
      <c r="C14" s="7"/>
      <c r="D14" s="7"/>
      <c r="E14" s="7"/>
      <c r="F14" s="7"/>
      <c r="G14" s="7"/>
      <c r="H14" s="7"/>
      <c r="I14" s="8"/>
    </row>
    <row r="15" spans="1:15" ht="15.5" x14ac:dyDescent="0.35">
      <c r="A15" s="13" t="s">
        <v>5</v>
      </c>
      <c r="C15" s="30" t="s">
        <v>6</v>
      </c>
      <c r="D15" s="29"/>
      <c r="E15" s="29"/>
      <c r="F15" s="29"/>
      <c r="G15" s="29"/>
      <c r="H15" s="29"/>
      <c r="I15" s="23"/>
    </row>
    <row r="16" spans="1:15" ht="15.5" x14ac:dyDescent="0.35">
      <c r="A16" s="13"/>
      <c r="C16" s="31" t="s">
        <v>7</v>
      </c>
      <c r="D16" s="5"/>
      <c r="E16" s="5"/>
      <c r="F16" s="5"/>
      <c r="G16" s="5"/>
      <c r="H16" s="5"/>
      <c r="I16" s="6"/>
    </row>
    <row r="17" spans="1:9" ht="15.5" x14ac:dyDescent="0.35">
      <c r="A17" s="13"/>
      <c r="C17" s="31" t="s">
        <v>8</v>
      </c>
      <c r="D17" s="5"/>
      <c r="E17" s="5"/>
      <c r="F17" s="5"/>
      <c r="G17" s="5"/>
      <c r="H17" s="5"/>
      <c r="I17" s="6"/>
    </row>
    <row r="18" spans="1:9" ht="15.5" x14ac:dyDescent="0.35">
      <c r="A18" s="13"/>
      <c r="C18" s="31" t="s">
        <v>9</v>
      </c>
      <c r="D18" s="5"/>
      <c r="E18" s="5"/>
      <c r="F18" s="5"/>
      <c r="G18" s="5"/>
      <c r="H18" s="5"/>
      <c r="I18" s="6"/>
    </row>
    <row r="19" spans="1:9" ht="16" thickBot="1" x14ac:dyDescent="0.4">
      <c r="A19" s="13"/>
      <c r="C19" s="32" t="s">
        <v>10</v>
      </c>
      <c r="D19" s="7"/>
      <c r="E19" s="7"/>
      <c r="F19" s="7"/>
      <c r="G19" s="7"/>
      <c r="H19" s="7"/>
      <c r="I19" s="8"/>
    </row>
    <row r="20" spans="1:9" s="1" customFormat="1" ht="13" x14ac:dyDescent="0.3">
      <c r="C20" s="25" t="s">
        <v>11</v>
      </c>
      <c r="D20" s="1">
        <f t="array" ref="D20:G20">TRANSPOSE(D10:D13)</f>
        <v>0.34</v>
      </c>
      <c r="E20" s="1">
        <v>0.36055512754639896</v>
      </c>
      <c r="F20" s="1">
        <v>0.38418745424597095</v>
      </c>
      <c r="G20" s="1">
        <v>0.41036569057366379</v>
      </c>
    </row>
    <row r="21" spans="1:9" ht="14" x14ac:dyDescent="0.3">
      <c r="D21" s="12" t="s">
        <v>12</v>
      </c>
    </row>
    <row r="22" spans="1:9" ht="13.5" thickBot="1" x14ac:dyDescent="0.35">
      <c r="B22" s="25" t="s">
        <v>11</v>
      </c>
      <c r="D22" s="3">
        <v>1</v>
      </c>
      <c r="E22" s="3">
        <v>2</v>
      </c>
      <c r="F22" s="3">
        <v>3</v>
      </c>
      <c r="G22" s="3">
        <v>4</v>
      </c>
      <c r="I22" t="s">
        <v>13</v>
      </c>
    </row>
    <row r="23" spans="1:9" ht="13" x14ac:dyDescent="0.3">
      <c r="B23">
        <f t="array" ref="B23:B26">D10:D13</f>
        <v>0.34</v>
      </c>
      <c r="C23" s="3">
        <v>1</v>
      </c>
      <c r="D23" s="14">
        <f t="shared" ref="D23:G26" si="0">B4*D$20*$B23</f>
        <v>0.11560000000000002</v>
      </c>
      <c r="E23" s="15">
        <f t="shared" si="0"/>
        <v>3.2000000000000008E-2</v>
      </c>
      <c r="F23" s="15">
        <f t="shared" si="0"/>
        <v>3.8400000000000004E-2</v>
      </c>
      <c r="G23" s="16">
        <f t="shared" si="0"/>
        <v>4.4800000000000006E-2</v>
      </c>
      <c r="I23" s="26">
        <v>1</v>
      </c>
    </row>
    <row r="24" spans="1:9" ht="13" x14ac:dyDescent="0.3">
      <c r="B24">
        <v>0.36055512754639896</v>
      </c>
      <c r="C24" s="3">
        <v>2</v>
      </c>
      <c r="D24" s="17">
        <f t="shared" si="0"/>
        <v>3.2000000000000008E-2</v>
      </c>
      <c r="E24" s="18">
        <f t="shared" si="0"/>
        <v>0.13000000000000003</v>
      </c>
      <c r="F24" s="18">
        <f t="shared" si="0"/>
        <v>4.8000000000000015E-2</v>
      </c>
      <c r="G24" s="19">
        <f t="shared" si="0"/>
        <v>5.6000000000000008E-2</v>
      </c>
      <c r="I24" s="27">
        <v>1</v>
      </c>
    </row>
    <row r="25" spans="1:9" ht="13" x14ac:dyDescent="0.3">
      <c r="B25">
        <v>0.38418745424597095</v>
      </c>
      <c r="C25" s="3">
        <v>3</v>
      </c>
      <c r="D25" s="17">
        <f t="shared" si="0"/>
        <v>3.8400000000000004E-2</v>
      </c>
      <c r="E25" s="18">
        <f t="shared" si="0"/>
        <v>4.8000000000000008E-2</v>
      </c>
      <c r="F25" s="18">
        <f t="shared" si="0"/>
        <v>0.14760000000000001</v>
      </c>
      <c r="G25" s="19">
        <f t="shared" si="0"/>
        <v>6.720000000000001E-2</v>
      </c>
      <c r="I25" s="27">
        <v>1</v>
      </c>
    </row>
    <row r="26" spans="1:9" ht="13.5" thickBot="1" x14ac:dyDescent="0.35">
      <c r="B26">
        <v>0.41036569057366379</v>
      </c>
      <c r="C26" s="3">
        <v>4</v>
      </c>
      <c r="D26" s="20">
        <f t="shared" si="0"/>
        <v>4.4800000000000006E-2</v>
      </c>
      <c r="E26" s="21">
        <f t="shared" si="0"/>
        <v>5.6000000000000008E-2</v>
      </c>
      <c r="F26" s="21">
        <f t="shared" si="0"/>
        <v>6.720000000000001E-2</v>
      </c>
      <c r="G26" s="22">
        <f t="shared" si="0"/>
        <v>0.16839999999999997</v>
      </c>
      <c r="I26" s="28">
        <v>1</v>
      </c>
    </row>
    <row r="28" spans="1:9" ht="13.5" thickBot="1" x14ac:dyDescent="0.35">
      <c r="A28" s="3" t="s">
        <v>14</v>
      </c>
      <c r="D28" s="24" t="s">
        <v>15</v>
      </c>
      <c r="E28" s="24" t="s">
        <v>16</v>
      </c>
      <c r="F28" s="24" t="s">
        <v>17</v>
      </c>
    </row>
    <row r="29" spans="1:9" ht="13.5" thickBot="1" x14ac:dyDescent="0.35">
      <c r="C29" s="3">
        <v>1</v>
      </c>
      <c r="D29" s="9">
        <f t="array" ref="D29:D32">MMULT(MINVERSE($D$23:$G$26),$I$23:$I$26)/H29</f>
        <v>0.38469387755102047</v>
      </c>
      <c r="E29" s="9">
        <f t="array" ref="E29:E32">MMULT(MINVERSE($D$23:$G$26),$B$10:$B$13)/H30</f>
        <v>0.39356204042094156</v>
      </c>
      <c r="F29" s="9">
        <f t="array" ref="F29:F32">MMULT(MINVERSE($D$23:$G$26),$B$10:$B$13-$G$11)/H31</f>
        <v>0.39962004562922376</v>
      </c>
      <c r="G29" s="24" t="s">
        <v>18</v>
      </c>
      <c r="H29" s="9">
        <f t="array" ref="H29">MMULT(TRANSPOSE(I23:I26),MMULT(MINVERSE($D$23:$G$26),$I$23:$I$26))</f>
        <v>14.936747447035513</v>
      </c>
    </row>
    <row r="30" spans="1:9" ht="13.5" thickBot="1" x14ac:dyDescent="0.35">
      <c r="C30" s="3">
        <v>2</v>
      </c>
      <c r="D30" s="10">
        <v>0.2948979591836734</v>
      </c>
      <c r="E30" s="10">
        <v>0.23747128088219838</v>
      </c>
      <c r="F30" s="10">
        <v>0.1982420604283596</v>
      </c>
      <c r="G30" s="24" t="s">
        <v>19</v>
      </c>
      <c r="H30" s="9">
        <f t="array" ref="H30">MMULT(TRANSPOSE(I23:I26),MMULT(MINVERSE($D$23:$G$26),$B$10:$B$13))</f>
        <v>1.8401139919071221</v>
      </c>
    </row>
    <row r="31" spans="1:9" ht="13.5" thickBot="1" x14ac:dyDescent="0.35">
      <c r="C31" s="3">
        <v>3</v>
      </c>
      <c r="D31" s="10">
        <v>0.20510204081632646</v>
      </c>
      <c r="E31" s="10">
        <v>0.20214598652635274</v>
      </c>
      <c r="F31" s="10">
        <v>0.20012665145692532</v>
      </c>
      <c r="G31" s="24" t="s">
        <v>20</v>
      </c>
      <c r="H31" s="4">
        <f t="array" ref="H31">MMULT(TRANSPOSE(I23:I26),MMULT(MINVERSE($D$23:$G$26),$B$10:$B$13-$G$11))</f>
        <v>1.0932766195553465</v>
      </c>
    </row>
    <row r="32" spans="1:9" ht="13.5" thickBot="1" x14ac:dyDescent="0.35">
      <c r="C32" s="3">
        <v>4</v>
      </c>
      <c r="D32" s="11">
        <v>0.11530612244897963</v>
      </c>
      <c r="E32" s="11">
        <v>0.16682069217050732</v>
      </c>
      <c r="F32" s="11">
        <v>0.2020112424854914</v>
      </c>
    </row>
    <row r="33" spans="1:6" ht="13" x14ac:dyDescent="0.3">
      <c r="C33" s="3" t="s">
        <v>21</v>
      </c>
      <c r="D33">
        <f>SUM(D29:D32)</f>
        <v>0.99999999999999989</v>
      </c>
      <c r="E33">
        <f>SUM(E29:E32)</f>
        <v>1</v>
      </c>
      <c r="F33">
        <f>SUM(F29:F32)</f>
        <v>1</v>
      </c>
    </row>
    <row r="34" spans="1:6" ht="13" thickBot="1" x14ac:dyDescent="0.3"/>
    <row r="35" spans="1:6" ht="13" x14ac:dyDescent="0.3">
      <c r="C35" s="3" t="s">
        <v>2</v>
      </c>
      <c r="D35" s="9">
        <f t="array" ref="D35">MMULT(TRANSPOSE(D29:D32),$B$10:$B$13)</f>
        <v>0.12319375409084314</v>
      </c>
      <c r="E35" s="9">
        <f t="array" ref="E35">MMULT(TRANSPOSE(E29:E32),$B$10:$B$13)</f>
        <v>0.12421835800328987</v>
      </c>
      <c r="F35" s="9">
        <f t="array" ref="F35">MMULT(TRANSPOSE(F29:F32),$B$10:$B$13)</f>
        <v>0.12491828378601108</v>
      </c>
    </row>
    <row r="36" spans="1:6" ht="13" x14ac:dyDescent="0.3">
      <c r="C36" s="3" t="s">
        <v>22</v>
      </c>
      <c r="D36" s="10">
        <f t="array" ref="D36">MMULT(MMULT(TRANSPOSE(D29:D32),$D$23:$G$26),D29:D32)</f>
        <v>6.6948979591836738E-2</v>
      </c>
      <c r="E36" s="10">
        <f t="array" ref="E36">MMULT(MMULT(TRANSPOSE(E29:E32),$D$23:$G$26),E29:E32)</f>
        <v>6.7505795048353551E-2</v>
      </c>
      <c r="F36" s="10">
        <f t="array" ref="F36">MMULT(MMULT(TRANSPOSE(F29:F32),$D$23:$G$26),F29:F32)</f>
        <v>6.8526375160644679E-2</v>
      </c>
    </row>
    <row r="37" spans="1:6" ht="13.5" thickBot="1" x14ac:dyDescent="0.35">
      <c r="C37" s="3" t="s">
        <v>23</v>
      </c>
      <c r="D37" s="11">
        <f>SQRT(D36)</f>
        <v>0.2587450088249757</v>
      </c>
      <c r="E37" s="11">
        <f>SQRT(E36)</f>
        <v>0.25981877347172883</v>
      </c>
      <c r="F37" s="11">
        <f>SQRT(F36)</f>
        <v>0.26177542887109301</v>
      </c>
    </row>
    <row r="38" spans="1:6" ht="13" x14ac:dyDescent="0.3">
      <c r="C38" s="3"/>
    </row>
    <row r="39" spans="1:6" ht="13.5" thickBot="1" x14ac:dyDescent="0.35">
      <c r="D39" s="3" t="s">
        <v>15</v>
      </c>
      <c r="E39" s="3" t="s">
        <v>16</v>
      </c>
      <c r="F39" s="3" t="s">
        <v>17</v>
      </c>
    </row>
    <row r="40" spans="1:6" ht="13" x14ac:dyDescent="0.3">
      <c r="A40" s="3" t="s">
        <v>24</v>
      </c>
      <c r="C40" s="3" t="s">
        <v>15</v>
      </c>
      <c r="D40" s="14">
        <f t="array" ref="D40:F42">MMULT(MMULT(TRANSPOSE(D29:F32),D23:G26),D29:F32)</f>
        <v>6.6948979591836738E-2</v>
      </c>
      <c r="E40" s="15">
        <v>6.6948979591836738E-2</v>
      </c>
      <c r="F40" s="16">
        <v>6.6948979591836752E-2</v>
      </c>
    </row>
    <row r="41" spans="1:6" ht="13" x14ac:dyDescent="0.3">
      <c r="A41" s="3" t="s">
        <v>25</v>
      </c>
      <c r="C41" s="3" t="s">
        <v>16</v>
      </c>
      <c r="D41" s="17">
        <v>6.6948979591836738E-2</v>
      </c>
      <c r="E41" s="18">
        <v>6.7505795048353551E-2</v>
      </c>
      <c r="F41" s="19">
        <v>6.7886165930700779E-2</v>
      </c>
    </row>
    <row r="42" spans="1:6" ht="13.5" thickBot="1" x14ac:dyDescent="0.35">
      <c r="C42" s="3" t="s">
        <v>26</v>
      </c>
      <c r="D42" s="20">
        <v>6.6948979591836738E-2</v>
      </c>
      <c r="E42" s="21">
        <v>6.7886165930700793E-2</v>
      </c>
      <c r="F42" s="22">
        <v>6.8526375160644679E-2</v>
      </c>
    </row>
  </sheetData>
  <pageMargins left="0.75" right="0.75" top="1" bottom="1" header="0.5" footer="0.5"/>
  <pageSetup orientation="portrait" horizontalDpi="144" verticalDpi="144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0"/>
  <sheetViews>
    <sheetView workbookViewId="0">
      <selection activeCell="B10" sqref="B10"/>
    </sheetView>
  </sheetViews>
  <sheetFormatPr defaultRowHeight="12.5" x14ac:dyDescent="0.25"/>
  <cols>
    <col min="2" max="2" width="8.81640625" customWidth="1"/>
    <col min="3" max="3" width="9" customWidth="1"/>
    <col min="4" max="4" width="12.1796875" customWidth="1"/>
    <col min="5" max="6" width="10.453125" customWidth="1"/>
    <col min="8" max="8" width="3.7265625" customWidth="1"/>
    <col min="9" max="9" width="4.453125" customWidth="1"/>
  </cols>
  <sheetData>
    <row r="2" spans="1:5" ht="13" x14ac:dyDescent="0.3">
      <c r="A2" s="40" t="s">
        <v>27</v>
      </c>
      <c r="B2" s="40" t="s">
        <v>28</v>
      </c>
      <c r="C2" s="40" t="s">
        <v>29</v>
      </c>
      <c r="D2" s="40" t="s">
        <v>30</v>
      </c>
    </row>
    <row r="3" spans="1:5" ht="13" x14ac:dyDescent="0.3">
      <c r="A3" s="42" t="s">
        <v>31</v>
      </c>
      <c r="B3" s="33">
        <v>0.11560000000000002</v>
      </c>
      <c r="C3" s="33">
        <f>SQRT(B3)</f>
        <v>0.34</v>
      </c>
      <c r="D3" s="34">
        <v>239363.24167872657</v>
      </c>
    </row>
    <row r="4" spans="1:5" ht="13" x14ac:dyDescent="0.3">
      <c r="A4" s="42" t="s">
        <v>32</v>
      </c>
      <c r="B4" s="33">
        <v>0.13</v>
      </c>
      <c r="C4" s="33">
        <f>SQRT(B4)</f>
        <v>0.36055512754639896</v>
      </c>
      <c r="D4" s="34">
        <v>246454.41389290895</v>
      </c>
    </row>
    <row r="5" spans="1:5" ht="13" x14ac:dyDescent="0.3">
      <c r="A5" s="42" t="s">
        <v>33</v>
      </c>
      <c r="B5" s="33">
        <v>0.14760000000000001</v>
      </c>
      <c r="C5" s="33">
        <f>SQRT(B5)</f>
        <v>0.38418745424597095</v>
      </c>
      <c r="D5" s="34">
        <v>253545.58610709093</v>
      </c>
    </row>
    <row r="6" spans="1:5" ht="13" x14ac:dyDescent="0.3">
      <c r="A6" s="42" t="s">
        <v>34</v>
      </c>
      <c r="B6" s="33">
        <v>0.16839999999999997</v>
      </c>
      <c r="C6" s="33">
        <f>SQRT(B6)</f>
        <v>0.41036569057366379</v>
      </c>
      <c r="D6" s="34">
        <v>260636.75832127364</v>
      </c>
    </row>
    <row r="8" spans="1:5" ht="13" x14ac:dyDescent="0.3">
      <c r="A8" s="39" t="s">
        <v>35</v>
      </c>
    </row>
    <row r="9" spans="1:5" ht="13" x14ac:dyDescent="0.3">
      <c r="B9" s="41" t="s">
        <v>31</v>
      </c>
      <c r="C9" s="41" t="s">
        <v>32</v>
      </c>
      <c r="D9" s="41" t="s">
        <v>33</v>
      </c>
      <c r="E9" s="41" t="s">
        <v>34</v>
      </c>
    </row>
    <row r="10" spans="1:5" ht="13" x14ac:dyDescent="0.3">
      <c r="A10" s="41" t="s">
        <v>31</v>
      </c>
      <c r="B10" s="33">
        <v>0.11560000000000001</v>
      </c>
      <c r="C10" s="33">
        <v>3.2000000000000008E-2</v>
      </c>
      <c r="D10" s="33">
        <v>3.8400000000000004E-2</v>
      </c>
      <c r="E10" s="33">
        <v>4.4800000000000006E-2</v>
      </c>
    </row>
    <row r="11" spans="1:5" ht="13" x14ac:dyDescent="0.3">
      <c r="A11" s="41" t="s">
        <v>32</v>
      </c>
      <c r="B11" s="33">
        <v>3.2000000000000008E-2</v>
      </c>
      <c r="C11" s="33">
        <v>0.13</v>
      </c>
      <c r="D11" s="33">
        <v>4.8000000000000008E-2</v>
      </c>
      <c r="E11" s="33">
        <v>5.6000000000000008E-2</v>
      </c>
    </row>
    <row r="12" spans="1:5" ht="13" x14ac:dyDescent="0.3">
      <c r="A12" s="41" t="s">
        <v>33</v>
      </c>
      <c r="B12" s="33">
        <v>3.8400000000000004E-2</v>
      </c>
      <c r="C12" s="33">
        <v>4.8000000000000008E-2</v>
      </c>
      <c r="D12" s="33">
        <v>0.14760000000000001</v>
      </c>
      <c r="E12" s="33">
        <v>6.720000000000001E-2</v>
      </c>
    </row>
    <row r="13" spans="1:5" ht="13" x14ac:dyDescent="0.3">
      <c r="A13" s="41" t="s">
        <v>34</v>
      </c>
      <c r="B13" s="33">
        <v>4.4800000000000006E-2</v>
      </c>
      <c r="C13" s="33">
        <v>5.6000000000000008E-2</v>
      </c>
      <c r="D13" s="33">
        <v>6.720000000000001E-2</v>
      </c>
      <c r="E13" s="33">
        <v>0.16839999999999999</v>
      </c>
    </row>
    <row r="15" spans="1:5" ht="13" x14ac:dyDescent="0.3">
      <c r="A15" s="39" t="s">
        <v>36</v>
      </c>
    </row>
    <row r="16" spans="1:5" ht="13" x14ac:dyDescent="0.3">
      <c r="B16" s="41" t="s">
        <v>31</v>
      </c>
      <c r="C16" s="41" t="s">
        <v>32</v>
      </c>
      <c r="D16" s="41" t="s">
        <v>33</v>
      </c>
      <c r="E16" s="41" t="s">
        <v>34</v>
      </c>
    </row>
    <row r="17" spans="1:5" ht="13" x14ac:dyDescent="0.3">
      <c r="A17" s="41" t="s">
        <v>31</v>
      </c>
      <c r="B17">
        <v>1</v>
      </c>
      <c r="C17">
        <v>0.26103538645893137</v>
      </c>
      <c r="D17">
        <v>0.2939741400256114</v>
      </c>
      <c r="E17">
        <v>0.32109094134588761</v>
      </c>
    </row>
    <row r="18" spans="1:5" ht="13" x14ac:dyDescent="0.3">
      <c r="A18" s="41" t="s">
        <v>32</v>
      </c>
      <c r="B18">
        <v>0.26103538645893137</v>
      </c>
      <c r="C18">
        <v>1</v>
      </c>
      <c r="D18">
        <v>0.34651846545936799</v>
      </c>
      <c r="E18">
        <v>0.37848206736275325</v>
      </c>
    </row>
    <row r="19" spans="1:5" ht="13" x14ac:dyDescent="0.3">
      <c r="A19" s="41" t="s">
        <v>33</v>
      </c>
      <c r="B19">
        <v>0.2939741400256114</v>
      </c>
      <c r="C19">
        <v>0.34651846545936799</v>
      </c>
      <c r="D19">
        <v>1</v>
      </c>
      <c r="E19">
        <v>0.42624083185589878</v>
      </c>
    </row>
    <row r="20" spans="1:5" ht="13" x14ac:dyDescent="0.3">
      <c r="A20" s="41" t="s">
        <v>34</v>
      </c>
      <c r="B20">
        <v>0.32109094134588761</v>
      </c>
      <c r="C20">
        <v>0.37848206736275325</v>
      </c>
      <c r="D20">
        <v>0.42624083185589878</v>
      </c>
      <c r="E20">
        <v>1</v>
      </c>
    </row>
  </sheetData>
  <pageMargins left="0.75" right="0.75" top="1" bottom="1" header="0.5" footer="0.5"/>
  <pageSetup orientation="portrait" verticalDpi="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tabSelected="1" workbookViewId="0">
      <selection activeCell="C3" sqref="C3"/>
    </sheetView>
  </sheetViews>
  <sheetFormatPr defaultRowHeight="12.5" x14ac:dyDescent="0.25"/>
  <cols>
    <col min="1" max="1" width="10.26953125" customWidth="1"/>
    <col min="2" max="2" width="4.7265625" customWidth="1"/>
    <col min="3" max="3" width="11.26953125" customWidth="1"/>
    <col min="4" max="4" width="10.453125" customWidth="1"/>
    <col min="5" max="5" width="8" customWidth="1"/>
    <col min="6" max="6" width="9.1796875" customWidth="1"/>
    <col min="7" max="7" width="8.54296875" customWidth="1"/>
  </cols>
  <sheetData>
    <row r="1" spans="1:6" ht="15.5" x14ac:dyDescent="0.35">
      <c r="A1" s="50">
        <v>1</v>
      </c>
      <c r="B1" t="s">
        <v>37</v>
      </c>
    </row>
    <row r="2" spans="1:6" ht="13" x14ac:dyDescent="0.3">
      <c r="A2" s="39"/>
      <c r="B2" t="s">
        <v>38</v>
      </c>
    </row>
    <row r="3" spans="1:6" x14ac:dyDescent="0.25">
      <c r="B3" t="s">
        <v>39</v>
      </c>
    </row>
    <row r="5" spans="1:6" ht="13" x14ac:dyDescent="0.3">
      <c r="A5" s="40" t="s">
        <v>27</v>
      </c>
      <c r="C5" s="40" t="s">
        <v>40</v>
      </c>
      <c r="D5" s="40" t="s">
        <v>41</v>
      </c>
    </row>
    <row r="6" spans="1:6" ht="13" x14ac:dyDescent="0.3">
      <c r="A6" s="42" t="s">
        <v>31</v>
      </c>
      <c r="C6" s="47">
        <v>239363.24167872657</v>
      </c>
      <c r="D6" s="68">
        <f>C6/$C$10</f>
        <v>0.23936324167872658</v>
      </c>
    </row>
    <row r="7" spans="1:6" ht="13" x14ac:dyDescent="0.3">
      <c r="A7" s="42" t="s">
        <v>32</v>
      </c>
      <c r="C7" s="47">
        <v>246454.41389290895</v>
      </c>
      <c r="D7" s="68">
        <f>C7/$C$10</f>
        <v>0.24645441389290895</v>
      </c>
    </row>
    <row r="8" spans="1:6" ht="13" x14ac:dyDescent="0.3">
      <c r="A8" s="42" t="s">
        <v>33</v>
      </c>
      <c r="C8" s="47">
        <v>253545.58610709093</v>
      </c>
      <c r="D8" s="68">
        <f>C8/$C$10</f>
        <v>0.25354558610709094</v>
      </c>
    </row>
    <row r="9" spans="1:6" ht="13" x14ac:dyDescent="0.3">
      <c r="A9" s="42" t="s">
        <v>34</v>
      </c>
      <c r="C9" s="49">
        <v>260636.75832127364</v>
      </c>
      <c r="D9" s="68">
        <f>C9/$C$10</f>
        <v>0.26063675832127364</v>
      </c>
    </row>
    <row r="10" spans="1:6" ht="13" x14ac:dyDescent="0.3">
      <c r="A10" s="39" t="s">
        <v>42</v>
      </c>
      <c r="C10" s="48">
        <f>SUM(C6:C9)</f>
        <v>1000000</v>
      </c>
    </row>
    <row r="12" spans="1:6" x14ac:dyDescent="0.25">
      <c r="C12" s="33">
        <f t="array" ref="C12:F12">TRANSPOSE($D$6:$D$9)</f>
        <v>0.23936324167872658</v>
      </c>
      <c r="D12" s="33">
        <v>0.24645441389290895</v>
      </c>
      <c r="E12" s="33">
        <v>0.25354558610709094</v>
      </c>
      <c r="F12" s="33">
        <v>0.26063675832127364</v>
      </c>
    </row>
    <row r="13" spans="1:6" ht="13" x14ac:dyDescent="0.3">
      <c r="C13" s="41" t="s">
        <v>31</v>
      </c>
      <c r="D13" s="41" t="s">
        <v>32</v>
      </c>
      <c r="E13" s="41" t="s">
        <v>33</v>
      </c>
      <c r="F13" s="41" t="s">
        <v>34</v>
      </c>
    </row>
    <row r="14" spans="1:6" ht="13" x14ac:dyDescent="0.3">
      <c r="A14" s="33">
        <v>0.23936324167872658</v>
      </c>
      <c r="B14" s="41" t="s">
        <v>31</v>
      </c>
      <c r="C14" s="33">
        <f>C$12*$A14*'Problem Data'!B10</f>
        <v>6.623274425579243E-3</v>
      </c>
      <c r="D14" s="33">
        <f>D$12*$A14*'Problem Data'!C10</f>
        <v>1.8877480779339933E-3</v>
      </c>
      <c r="E14" s="33">
        <f>E$12*$A14*'Problem Data'!D10</f>
        <v>2.330476546710758E-3</v>
      </c>
      <c r="F14" s="33">
        <f>F$12*$A14*'Problem Data'!E10</f>
        <v>2.7949312998841866E-3</v>
      </c>
    </row>
    <row r="15" spans="1:6" ht="13" x14ac:dyDescent="0.3">
      <c r="A15" s="33">
        <v>0.24645441389290895</v>
      </c>
      <c r="B15" s="41" t="s">
        <v>32</v>
      </c>
      <c r="C15" s="33">
        <f>C$12*$A15*'Problem Data'!B11</f>
        <v>1.8877480779339933E-3</v>
      </c>
      <c r="D15" s="33">
        <f>D$12*$A15*'Problem Data'!C11</f>
        <v>7.896171156548646E-3</v>
      </c>
      <c r="E15" s="33">
        <f>E$12*$A15*'Problem Data'!D11</f>
        <v>2.9993965833195451E-3</v>
      </c>
      <c r="F15" s="33">
        <f>F$12*$A15*'Problem Data'!E11</f>
        <v>3.5971644526169668E-3</v>
      </c>
    </row>
    <row r="16" spans="1:6" ht="13" x14ac:dyDescent="0.3">
      <c r="A16" s="33">
        <v>0.25354558610709094</v>
      </c>
      <c r="B16" s="41" t="s">
        <v>33</v>
      </c>
      <c r="C16" s="33">
        <f>C$12*$A16*'Problem Data'!B12</f>
        <v>2.330476546710758E-3</v>
      </c>
      <c r="D16" s="33">
        <f>D$12*$A16*'Problem Data'!C12</f>
        <v>2.9993965833195451E-3</v>
      </c>
      <c r="E16" s="33">
        <f>E$12*$A16*'Problem Data'!D12</f>
        <v>9.48851976099571E-3</v>
      </c>
      <c r="F16" s="33">
        <f>F$12*$A16*'Problem Data'!E12</f>
        <v>4.4407977364544337E-3</v>
      </c>
    </row>
    <row r="17" spans="1:6" ht="13" x14ac:dyDescent="0.3">
      <c r="A17" s="33">
        <v>0.26063675832127364</v>
      </c>
      <c r="B17" s="41" t="s">
        <v>34</v>
      </c>
      <c r="C17" s="33">
        <f>C$12*$A17*'Problem Data'!B13</f>
        <v>2.7949312998841866E-3</v>
      </c>
      <c r="D17" s="33">
        <f>D$12*$A17*'Problem Data'!C13</f>
        <v>3.5971644526169668E-3</v>
      </c>
      <c r="E17" s="33">
        <f>E$12*$A17*'Problem Data'!D13</f>
        <v>4.4407977364544337E-3</v>
      </c>
      <c r="F17" s="33">
        <f>F$12*$A17*'Problem Data'!E13</f>
        <v>1.1439667932336587E-2</v>
      </c>
    </row>
    <row r="18" spans="1:6" ht="13" thickBot="1" x14ac:dyDescent="0.3"/>
    <row r="19" spans="1:6" ht="13.5" thickBot="1" x14ac:dyDescent="0.35">
      <c r="C19" s="60" t="s">
        <v>28</v>
      </c>
      <c r="D19" s="61">
        <f>SUM(C14:F17)</f>
        <v>7.1548662669299962E-2</v>
      </c>
    </row>
    <row r="20" spans="1:6" x14ac:dyDescent="0.25">
      <c r="C20" s="33"/>
    </row>
    <row r="21" spans="1:6" x14ac:dyDescent="0.25">
      <c r="B21" t="s">
        <v>43</v>
      </c>
    </row>
    <row r="22" spans="1:6" x14ac:dyDescent="0.25">
      <c r="B22" t="s">
        <v>44</v>
      </c>
    </row>
    <row r="23" spans="1:6" x14ac:dyDescent="0.25">
      <c r="B23" t="s">
        <v>45</v>
      </c>
    </row>
    <row r="24" spans="1:6" x14ac:dyDescent="0.25">
      <c r="B24" t="s">
        <v>46</v>
      </c>
    </row>
    <row r="25" spans="1:6" ht="13" thickBot="1" x14ac:dyDescent="0.3"/>
    <row r="26" spans="1:6" ht="13" x14ac:dyDescent="0.3">
      <c r="A26" s="56" t="s">
        <v>47</v>
      </c>
      <c r="C26" s="33">
        <f t="array" ref="C26:F26">TRANSPOSE($D$6:$D$9)</f>
        <v>0.23936324167872658</v>
      </c>
      <c r="D26" s="33">
        <v>0.24645441389290895</v>
      </c>
      <c r="E26" s="33">
        <v>0.25354558610709094</v>
      </c>
      <c r="F26" s="33">
        <v>0.26063675832127364</v>
      </c>
    </row>
    <row r="27" spans="1:6" ht="13" x14ac:dyDescent="0.3">
      <c r="A27" s="57"/>
      <c r="C27" s="41" t="s">
        <v>31</v>
      </c>
      <c r="D27" s="41" t="s">
        <v>32</v>
      </c>
      <c r="E27" s="41" t="s">
        <v>33</v>
      </c>
      <c r="F27" s="41" t="s">
        <v>34</v>
      </c>
    </row>
    <row r="28" spans="1:6" ht="13" x14ac:dyDescent="0.3">
      <c r="A28" s="58">
        <f>SUM(C28:F28)</f>
        <v>5.6969609261939239E-2</v>
      </c>
      <c r="B28" s="51" t="s">
        <v>31</v>
      </c>
      <c r="C28" s="33">
        <f>C$26*'Problem Data'!B10</f>
        <v>2.7670390738060796E-2</v>
      </c>
      <c r="D28" s="33">
        <f>D$26*'Problem Data'!C10</f>
        <v>7.8865412445730879E-3</v>
      </c>
      <c r="E28" s="33">
        <f>E$26*'Problem Data'!D10</f>
        <v>9.7361505065122929E-3</v>
      </c>
      <c r="F28" s="33">
        <f>F$26*'Problem Data'!E10</f>
        <v>1.167652677279306E-2</v>
      </c>
    </row>
    <row r="29" spans="1:6" ht="13" x14ac:dyDescent="0.3">
      <c r="A29" s="58">
        <f>SUM(C29:F29)</f>
        <v>6.6464544138929105E-2</v>
      </c>
      <c r="B29" s="51" t="s">
        <v>32</v>
      </c>
      <c r="C29" s="33">
        <f>C$26*'Problem Data'!B11</f>
        <v>7.659623733719252E-3</v>
      </c>
      <c r="D29" s="33">
        <f>D$26*'Problem Data'!C11</f>
        <v>3.2039073806078164E-2</v>
      </c>
      <c r="E29" s="33">
        <f>E$26*'Problem Data'!D11</f>
        <v>1.2170188133140367E-2</v>
      </c>
      <c r="F29" s="33">
        <f>F$26*'Problem Data'!E11</f>
        <v>1.4595658465991326E-2</v>
      </c>
    </row>
    <row r="30" spans="1:6" ht="13" x14ac:dyDescent="0.3">
      <c r="A30" s="58">
        <f>SUM(C30:F30)</f>
        <v>7.5959479015918957E-2</v>
      </c>
      <c r="B30" s="51" t="s">
        <v>33</v>
      </c>
      <c r="C30" s="33">
        <f>C$26*'Problem Data'!B12</f>
        <v>9.1915484804631006E-3</v>
      </c>
      <c r="D30" s="33">
        <f>D$26*'Problem Data'!C12</f>
        <v>1.1829811866859632E-2</v>
      </c>
      <c r="E30" s="33">
        <f>E$26*'Problem Data'!D12</f>
        <v>3.7423328509406627E-2</v>
      </c>
      <c r="F30" s="33">
        <f>F$26*'Problem Data'!E12</f>
        <v>1.7514790159189591E-2</v>
      </c>
    </row>
    <row r="31" spans="1:6" ht="13.5" thickBot="1" x14ac:dyDescent="0.35">
      <c r="A31" s="59">
        <f>SUM(C31:F31)</f>
        <v>8.5454413892908837E-2</v>
      </c>
      <c r="B31" s="51" t="s">
        <v>34</v>
      </c>
      <c r="C31" s="33">
        <f>C$26*'Problem Data'!B13</f>
        <v>1.0723473227206952E-2</v>
      </c>
      <c r="D31" s="33">
        <f>D$26*'Problem Data'!C13</f>
        <v>1.3801447178002904E-2</v>
      </c>
      <c r="E31" s="33">
        <f>E$26*'Problem Data'!D13</f>
        <v>1.7038263386396513E-2</v>
      </c>
      <c r="F31" s="33">
        <f>F$26*'Problem Data'!E13</f>
        <v>4.3891230101302477E-2</v>
      </c>
    </row>
    <row r="34" spans="1:4" ht="13.5" thickBot="1" x14ac:dyDescent="0.35">
      <c r="A34" s="39">
        <v>2</v>
      </c>
      <c r="B34" t="s">
        <v>48</v>
      </c>
    </row>
    <row r="35" spans="1:4" ht="13" x14ac:dyDescent="0.3">
      <c r="B35" s="36"/>
      <c r="C35" s="53" t="s">
        <v>49</v>
      </c>
    </row>
    <row r="36" spans="1:4" ht="13" x14ac:dyDescent="0.3">
      <c r="B36" s="54" t="s">
        <v>31</v>
      </c>
      <c r="C36" s="62">
        <f>A28/$D$19</f>
        <v>0.79623583637411166</v>
      </c>
    </row>
    <row r="37" spans="1:4" ht="13" x14ac:dyDescent="0.3">
      <c r="B37" s="54" t="s">
        <v>32</v>
      </c>
      <c r="C37" s="62">
        <f>A29/$D$19</f>
        <v>0.92894180910313018</v>
      </c>
    </row>
    <row r="38" spans="1:4" ht="13" x14ac:dyDescent="0.3">
      <c r="B38" s="54" t="s">
        <v>33</v>
      </c>
      <c r="C38" s="62">
        <f>A30/$D$19</f>
        <v>1.0616477818321486</v>
      </c>
    </row>
    <row r="39" spans="1:4" ht="13.5" thickBot="1" x14ac:dyDescent="0.35">
      <c r="B39" s="55" t="s">
        <v>34</v>
      </c>
      <c r="C39" s="63">
        <f>A31/$D$19</f>
        <v>1.1943537545611673</v>
      </c>
    </row>
    <row r="41" spans="1:4" ht="13" x14ac:dyDescent="0.3">
      <c r="A41" s="52">
        <v>3</v>
      </c>
      <c r="B41" t="s">
        <v>50</v>
      </c>
    </row>
    <row r="42" spans="1:4" ht="13" x14ac:dyDescent="0.3">
      <c r="A42" s="52"/>
      <c r="C42" s="51" t="s">
        <v>51</v>
      </c>
      <c r="D42">
        <v>0.12</v>
      </c>
    </row>
    <row r="43" spans="1:4" ht="13.5" thickBot="1" x14ac:dyDescent="0.35">
      <c r="A43" s="52"/>
      <c r="C43" s="51" t="s">
        <v>52</v>
      </c>
      <c r="D43">
        <v>0.05</v>
      </c>
    </row>
    <row r="44" spans="1:4" ht="13" x14ac:dyDescent="0.3">
      <c r="B44" s="36"/>
      <c r="C44" s="53" t="s">
        <v>53</v>
      </c>
    </row>
    <row r="45" spans="1:4" ht="13" x14ac:dyDescent="0.3">
      <c r="B45" s="54" t="s">
        <v>31</v>
      </c>
      <c r="C45" s="66">
        <f>$D$43+C36*($D$42-$D$43)</f>
        <v>0.10573650854618781</v>
      </c>
    </row>
    <row r="46" spans="1:4" ht="13" x14ac:dyDescent="0.3">
      <c r="B46" s="54" t="s">
        <v>32</v>
      </c>
      <c r="C46" s="66">
        <f>$D$43+C37*($D$42-$D$43)</f>
        <v>0.11502592663721911</v>
      </c>
    </row>
    <row r="47" spans="1:4" ht="13" x14ac:dyDescent="0.3">
      <c r="B47" s="54" t="s">
        <v>33</v>
      </c>
      <c r="C47" s="66">
        <f>$D$43+C38*($D$42-$D$43)</f>
        <v>0.1243153447282504</v>
      </c>
    </row>
    <row r="48" spans="1:4" ht="13.5" thickBot="1" x14ac:dyDescent="0.35">
      <c r="B48" s="55" t="s">
        <v>34</v>
      </c>
      <c r="C48" s="67">
        <f>$D$43+C39*($D$42-$D$43)</f>
        <v>0.13360476281928169</v>
      </c>
    </row>
    <row r="49" spans="1:4" x14ac:dyDescent="0.25">
      <c r="B49" s="5"/>
      <c r="C49" s="5"/>
    </row>
    <row r="50" spans="1:4" ht="13" x14ac:dyDescent="0.3">
      <c r="A50" s="39">
        <v>4</v>
      </c>
      <c r="B50" t="s">
        <v>54</v>
      </c>
    </row>
    <row r="51" spans="1:4" x14ac:dyDescent="0.25">
      <c r="B51" t="s">
        <v>55</v>
      </c>
    </row>
    <row r="52" spans="1:4" ht="13" thickBot="1" x14ac:dyDescent="0.3"/>
    <row r="53" spans="1:4" ht="13.5" thickBot="1" x14ac:dyDescent="0.35">
      <c r="B53" s="36"/>
      <c r="C53" s="64" t="s">
        <v>56</v>
      </c>
    </row>
    <row r="54" spans="1:4" ht="13" x14ac:dyDescent="0.3">
      <c r="B54" s="54" t="s">
        <v>31</v>
      </c>
      <c r="C54" s="69">
        <v>0.23936324167872663</v>
      </c>
    </row>
    <row r="55" spans="1:4" ht="13" x14ac:dyDescent="0.3">
      <c r="B55" s="54" t="s">
        <v>32</v>
      </c>
      <c r="C55" s="70">
        <v>0.24645441389290892</v>
      </c>
    </row>
    <row r="56" spans="1:4" ht="13" x14ac:dyDescent="0.3">
      <c r="B56" s="54" t="s">
        <v>33</v>
      </c>
      <c r="C56" s="70">
        <v>0.25354558610709099</v>
      </c>
    </row>
    <row r="57" spans="1:4" ht="13.5" thickBot="1" x14ac:dyDescent="0.35">
      <c r="B57" s="55" t="s">
        <v>34</v>
      </c>
      <c r="C57" s="71">
        <v>0.26063675832127348</v>
      </c>
    </row>
    <row r="59" spans="1:4" x14ac:dyDescent="0.25">
      <c r="B59" t="s">
        <v>57</v>
      </c>
    </row>
    <row r="60" spans="1:4" x14ac:dyDescent="0.25">
      <c r="B60" t="s">
        <v>58</v>
      </c>
    </row>
    <row r="62" spans="1:4" ht="13" x14ac:dyDescent="0.3">
      <c r="A62" s="39">
        <v>5</v>
      </c>
      <c r="B62" t="s">
        <v>59</v>
      </c>
    </row>
    <row r="63" spans="1:4" ht="13" x14ac:dyDescent="0.3">
      <c r="C63" s="51" t="s">
        <v>51</v>
      </c>
      <c r="D63">
        <v>0.2</v>
      </c>
    </row>
    <row r="64" spans="1:4" ht="13.5" thickBot="1" x14ac:dyDescent="0.35">
      <c r="C64" s="51" t="s">
        <v>52</v>
      </c>
      <c r="D64">
        <v>0.02</v>
      </c>
    </row>
    <row r="65" spans="1:3" ht="13" x14ac:dyDescent="0.3">
      <c r="B65" s="36"/>
      <c r="C65" s="53" t="s">
        <v>53</v>
      </c>
    </row>
    <row r="66" spans="1:3" ht="13" x14ac:dyDescent="0.3">
      <c r="B66" s="54" t="s">
        <v>31</v>
      </c>
      <c r="C66" s="6">
        <f>$D$64+C36*($D$63-$D$64)</f>
        <v>0.1633224505473401</v>
      </c>
    </row>
    <row r="67" spans="1:3" ht="13" x14ac:dyDescent="0.3">
      <c r="B67" s="54" t="s">
        <v>32</v>
      </c>
      <c r="C67" s="6">
        <f>$D$64+C37*($D$63-$D$64)</f>
        <v>0.18720952563856344</v>
      </c>
    </row>
    <row r="68" spans="1:3" ht="13" x14ac:dyDescent="0.3">
      <c r="B68" s="54" t="s">
        <v>33</v>
      </c>
      <c r="C68" s="6">
        <f>$D$64+C38*($D$63-$D$64)</f>
        <v>0.21109660072978675</v>
      </c>
    </row>
    <row r="69" spans="1:3" ht="13.5" thickBot="1" x14ac:dyDescent="0.35">
      <c r="B69" s="55" t="s">
        <v>34</v>
      </c>
      <c r="C69" s="8">
        <f>$D$64+C39*($D$63-$D$64)</f>
        <v>0.23498367582101012</v>
      </c>
    </row>
    <row r="70" spans="1:3" ht="13" thickBot="1" x14ac:dyDescent="0.3"/>
    <row r="71" spans="1:3" ht="13" x14ac:dyDescent="0.3">
      <c r="B71" s="36"/>
      <c r="C71" s="64" t="s">
        <v>56</v>
      </c>
    </row>
    <row r="72" spans="1:3" ht="13" x14ac:dyDescent="0.3">
      <c r="B72" s="54" t="s">
        <v>31</v>
      </c>
      <c r="C72" s="66">
        <v>0.23936324167872658</v>
      </c>
    </row>
    <row r="73" spans="1:3" ht="13" x14ac:dyDescent="0.3">
      <c r="B73" s="54" t="s">
        <v>32</v>
      </c>
      <c r="C73" s="66">
        <v>0.24645441389290881</v>
      </c>
    </row>
    <row r="74" spans="1:3" ht="13" x14ac:dyDescent="0.3">
      <c r="B74" s="54" t="s">
        <v>33</v>
      </c>
      <c r="C74" s="66">
        <v>0.25354558610709099</v>
      </c>
    </row>
    <row r="75" spans="1:3" ht="13.5" thickBot="1" x14ac:dyDescent="0.35">
      <c r="B75" s="55" t="s">
        <v>34</v>
      </c>
      <c r="C75" s="67">
        <v>0.26063675832127359</v>
      </c>
    </row>
    <row r="77" spans="1:3" x14ac:dyDescent="0.25">
      <c r="B77" t="s">
        <v>60</v>
      </c>
    </row>
    <row r="79" spans="1:3" ht="13" x14ac:dyDescent="0.3">
      <c r="A79" s="39">
        <v>6</v>
      </c>
      <c r="B79" t="s">
        <v>61</v>
      </c>
    </row>
    <row r="80" spans="1:3" x14ac:dyDescent="0.25">
      <c r="B80" t="s">
        <v>62</v>
      </c>
    </row>
    <row r="81" spans="2:7" ht="13" thickBot="1" x14ac:dyDescent="0.3"/>
    <row r="82" spans="2:7" ht="13" x14ac:dyDescent="0.3">
      <c r="B82" s="36"/>
      <c r="C82" s="53" t="s">
        <v>53</v>
      </c>
    </row>
    <row r="83" spans="2:7" ht="13" x14ac:dyDescent="0.3">
      <c r="B83" s="54" t="s">
        <v>31</v>
      </c>
      <c r="C83" s="66">
        <f>C45+0.02</f>
        <v>0.12573650854618781</v>
      </c>
    </row>
    <row r="84" spans="2:7" ht="13" x14ac:dyDescent="0.3">
      <c r="B84" s="54" t="s">
        <v>32</v>
      </c>
      <c r="C84" s="66">
        <f>C46</f>
        <v>0.11502592663721911</v>
      </c>
    </row>
    <row r="85" spans="2:7" ht="13" x14ac:dyDescent="0.3">
      <c r="B85" s="54" t="s">
        <v>33</v>
      </c>
      <c r="C85" s="66">
        <f>C47</f>
        <v>0.1243153447282504</v>
      </c>
    </row>
    <row r="86" spans="2:7" ht="13.5" thickBot="1" x14ac:dyDescent="0.35">
      <c r="B86" s="55" t="s">
        <v>34</v>
      </c>
      <c r="C86" s="67">
        <f>C48</f>
        <v>0.13360476281928169</v>
      </c>
    </row>
    <row r="87" spans="2:7" x14ac:dyDescent="0.25">
      <c r="C87" s="68"/>
    </row>
    <row r="88" spans="2:7" x14ac:dyDescent="0.25">
      <c r="B88" t="s">
        <v>63</v>
      </c>
    </row>
    <row r="89" spans="2:7" x14ac:dyDescent="0.25">
      <c r="B89" t="s">
        <v>64</v>
      </c>
    </row>
    <row r="90" spans="2:7" x14ac:dyDescent="0.25">
      <c r="B90" t="s">
        <v>65</v>
      </c>
    </row>
    <row r="91" spans="2:7" x14ac:dyDescent="0.25">
      <c r="B91" t="s">
        <v>66</v>
      </c>
    </row>
    <row r="92" spans="2:7" ht="13" thickBot="1" x14ac:dyDescent="0.3"/>
    <row r="93" spans="2:7" ht="13" x14ac:dyDescent="0.3">
      <c r="B93" s="36"/>
      <c r="C93" s="64" t="s">
        <v>56</v>
      </c>
      <c r="D93" s="76" t="s">
        <v>67</v>
      </c>
      <c r="F93" s="3" t="s">
        <v>2</v>
      </c>
      <c r="G93" s="68">
        <v>0.12491828378601108</v>
      </c>
    </row>
    <row r="94" spans="2:7" ht="13" x14ac:dyDescent="0.3">
      <c r="B94" s="54" t="s">
        <v>31</v>
      </c>
      <c r="C94" s="66">
        <v>0.39962004562922376</v>
      </c>
      <c r="D94" s="77">
        <f>C94*1000000</f>
        <v>399620.04562922375</v>
      </c>
      <c r="F94" s="3" t="s">
        <v>22</v>
      </c>
      <c r="G94" s="74">
        <v>6.8526375160644679E-2</v>
      </c>
    </row>
    <row r="95" spans="2:7" ht="13" x14ac:dyDescent="0.3">
      <c r="B95" s="54" t="s">
        <v>32</v>
      </c>
      <c r="C95" s="66">
        <v>0.1982420604283596</v>
      </c>
      <c r="D95" s="77">
        <f>C95*1000000</f>
        <v>198242.0604283596</v>
      </c>
      <c r="F95" s="3" t="s">
        <v>23</v>
      </c>
      <c r="G95" s="68">
        <v>0.26177542887109301</v>
      </c>
    </row>
    <row r="96" spans="2:7" ht="13" x14ac:dyDescent="0.3">
      <c r="B96" s="54" t="s">
        <v>33</v>
      </c>
      <c r="C96" s="66">
        <v>0.20012665145692532</v>
      </c>
      <c r="D96" s="77">
        <f>C96*1000000</f>
        <v>200126.65145692532</v>
      </c>
    </row>
    <row r="97" spans="1:7" ht="13.5" thickBot="1" x14ac:dyDescent="0.35">
      <c r="B97" s="55" t="s">
        <v>34</v>
      </c>
      <c r="C97" s="67">
        <v>0.2020112424854914</v>
      </c>
      <c r="D97" s="78">
        <f>C97*1000000</f>
        <v>202011.24248549141</v>
      </c>
      <c r="F97" t="s">
        <v>68</v>
      </c>
      <c r="G97" s="73">
        <f>G93/G95</f>
        <v>0.47719636760685064</v>
      </c>
    </row>
    <row r="98" spans="1:7" x14ac:dyDescent="0.25">
      <c r="B98" t="s">
        <v>21</v>
      </c>
      <c r="C98" s="72">
        <f>SUM(C94:C97)</f>
        <v>1</v>
      </c>
      <c r="D98" s="75">
        <f>SUM(D94:D97)</f>
        <v>1000000.0000000001</v>
      </c>
    </row>
    <row r="100" spans="1:7" ht="13" x14ac:dyDescent="0.3">
      <c r="A100" s="52">
        <v>7</v>
      </c>
      <c r="B100" t="s">
        <v>69</v>
      </c>
    </row>
    <row r="101" spans="1:7" x14ac:dyDescent="0.25">
      <c r="B101" t="s">
        <v>70</v>
      </c>
    </row>
    <row r="103" spans="1:7" x14ac:dyDescent="0.25">
      <c r="C103" s="33">
        <f t="array" ref="C103:F103">TRANSPOSE(A105:A108)</f>
        <v>0.39962004562922376</v>
      </c>
      <c r="D103" s="33">
        <v>0.1982420604283596</v>
      </c>
      <c r="E103" s="33">
        <v>0.20012665145692532</v>
      </c>
      <c r="F103" s="33">
        <v>0.2020112424854914</v>
      </c>
    </row>
    <row r="104" spans="1:7" ht="13" x14ac:dyDescent="0.3">
      <c r="C104" s="41" t="s">
        <v>31</v>
      </c>
      <c r="D104" s="41" t="s">
        <v>32</v>
      </c>
      <c r="E104" s="41" t="s">
        <v>33</v>
      </c>
      <c r="F104" s="41" t="s">
        <v>34</v>
      </c>
    </row>
    <row r="105" spans="1:7" ht="13" x14ac:dyDescent="0.3">
      <c r="A105" s="33">
        <f>C94</f>
        <v>0.39962004562922376</v>
      </c>
      <c r="B105" s="41" t="s">
        <v>31</v>
      </c>
      <c r="C105" s="33">
        <f>C$103*$A105*'Problem Data'!B10</f>
        <v>1.8460878508422054E-2</v>
      </c>
      <c r="D105" s="33">
        <f>D$103*$A105*'Problem Data'!C10</f>
        <v>2.5350880394883974E-3</v>
      </c>
      <c r="E105" s="33">
        <f>E$103*$A105*'Problem Data'!D10</f>
        <v>3.0710254689346661E-3</v>
      </c>
      <c r="F105" s="33">
        <f>F$103*$A105*'Problem Data'!E10</f>
        <v>3.6166028388971388E-3</v>
      </c>
    </row>
    <row r="106" spans="1:7" ht="13" x14ac:dyDescent="0.3">
      <c r="A106" s="33">
        <f>C95</f>
        <v>0.1982420604283596</v>
      </c>
      <c r="B106" s="41" t="s">
        <v>32</v>
      </c>
      <c r="C106" s="33">
        <f>C$103*$A106*'Problem Data'!B11</f>
        <v>2.5350880394883974E-3</v>
      </c>
      <c r="D106" s="33">
        <f>D$103*$A106*'Problem Data'!C11</f>
        <v>5.1089888879745794E-3</v>
      </c>
      <c r="E106" s="33">
        <f>E$103*$A106*'Problem Data'!D11</f>
        <v>1.9043289471095547E-3</v>
      </c>
      <c r="F106" s="33">
        <f>F$103*$A106*'Problem Data'!E11</f>
        <v>2.2426389966409407E-3</v>
      </c>
    </row>
    <row r="107" spans="1:7" ht="13" x14ac:dyDescent="0.3">
      <c r="A107" s="33">
        <f>C96</f>
        <v>0.20012665145692532</v>
      </c>
      <c r="B107" s="41" t="s">
        <v>33</v>
      </c>
      <c r="C107" s="33">
        <f>C$103*$A107*'Problem Data'!B12</f>
        <v>3.0710254689346661E-3</v>
      </c>
      <c r="D107" s="33">
        <f>D$103*$A107*'Problem Data'!C12</f>
        <v>1.9043289471095547E-3</v>
      </c>
      <c r="E107" s="33">
        <f>E$103*$A107*'Problem Data'!D12</f>
        <v>5.9114798696081822E-3</v>
      </c>
      <c r="F107" s="33">
        <f>F$103*$A107*'Problem Data'!E12</f>
        <v>2.7167504122264374E-3</v>
      </c>
    </row>
    <row r="108" spans="1:7" ht="13" x14ac:dyDescent="0.3">
      <c r="A108" s="33">
        <f>C97</f>
        <v>0.2020112424854914</v>
      </c>
      <c r="B108" s="41" t="s">
        <v>34</v>
      </c>
      <c r="C108" s="33">
        <f>C$103*$A108*'Problem Data'!B13</f>
        <v>3.6166028388971388E-3</v>
      </c>
      <c r="D108" s="33">
        <f>D$103*$A108*'Problem Data'!C13</f>
        <v>2.2426389966409407E-3</v>
      </c>
      <c r="E108" s="33">
        <f>E$103*$A108*'Problem Data'!D13</f>
        <v>2.7167504122264374E-3</v>
      </c>
      <c r="F108" s="33">
        <f>F$103*$A108*'Problem Data'!E13</f>
        <v>6.8721584880455898E-3</v>
      </c>
    </row>
    <row r="109" spans="1:7" ht="13" thickBot="1" x14ac:dyDescent="0.3"/>
    <row r="110" spans="1:7" ht="13.5" thickBot="1" x14ac:dyDescent="0.35">
      <c r="C110" s="60" t="s">
        <v>28</v>
      </c>
      <c r="D110" s="61">
        <f>SUM(C105:F108)</f>
        <v>6.8526375160644679E-2</v>
      </c>
    </row>
    <row r="111" spans="1:7" ht="13" thickBot="1" x14ac:dyDescent="0.3"/>
    <row r="112" spans="1:7" ht="13" x14ac:dyDescent="0.3">
      <c r="A112" s="56" t="s">
        <v>71</v>
      </c>
      <c r="C112" s="33">
        <f>C103</f>
        <v>0.39962004562922376</v>
      </c>
      <c r="D112" s="33">
        <f>D103</f>
        <v>0.1982420604283596</v>
      </c>
      <c r="E112" s="33">
        <f>E103</f>
        <v>0.20012665145692532</v>
      </c>
      <c r="F112" s="33">
        <f>F103</f>
        <v>0.2020112424854914</v>
      </c>
    </row>
    <row r="113" spans="1:7" ht="13" x14ac:dyDescent="0.3">
      <c r="A113" s="57"/>
      <c r="C113" s="41" t="s">
        <v>31</v>
      </c>
      <c r="D113" s="41" t="s">
        <v>32</v>
      </c>
      <c r="E113" s="41" t="s">
        <v>33</v>
      </c>
      <c r="F113" s="41" t="s">
        <v>34</v>
      </c>
    </row>
    <row r="114" spans="1:7" ht="13" x14ac:dyDescent="0.3">
      <c r="A114" s="58">
        <f>SUM(C114:F114)</f>
        <v>6.9274790287741722E-2</v>
      </c>
      <c r="B114" s="51" t="s">
        <v>31</v>
      </c>
      <c r="C114" s="33">
        <f>C$112*'Problem Data'!B10</f>
        <v>4.6196077274738269E-2</v>
      </c>
      <c r="D114" s="33">
        <f>D$112*'Problem Data'!C10</f>
        <v>6.3437459337075085E-3</v>
      </c>
      <c r="E114" s="33">
        <f>E$112*'Problem Data'!D10</f>
        <v>7.6848634159459332E-3</v>
      </c>
      <c r="F114" s="33">
        <f>F$112*'Problem Data'!E10</f>
        <v>9.0501036633500159E-3</v>
      </c>
    </row>
    <row r="115" spans="1:7" ht="13" x14ac:dyDescent="0.3">
      <c r="A115" s="58">
        <f>SUM(C115:F115)</f>
        <v>5.9478018164941845E-2</v>
      </c>
      <c r="B115" s="51" t="s">
        <v>32</v>
      </c>
      <c r="C115" s="33">
        <f>C$112*'Problem Data'!B11</f>
        <v>1.2787841460135164E-2</v>
      </c>
      <c r="D115" s="33">
        <f>D$112*'Problem Data'!C11</f>
        <v>2.577146785568675E-2</v>
      </c>
      <c r="E115" s="33">
        <f>E$112*'Problem Data'!D11</f>
        <v>9.6060792699324167E-3</v>
      </c>
      <c r="F115" s="33">
        <f>F$112*'Problem Data'!E11</f>
        <v>1.131262957918752E-2</v>
      </c>
    </row>
    <row r="116" spans="1:7" ht="13" x14ac:dyDescent="0.3">
      <c r="A116" s="58">
        <f>SUM(C116:F116)</f>
        <v>6.7974877902790665E-2</v>
      </c>
      <c r="B116" s="51" t="s">
        <v>33</v>
      </c>
      <c r="C116" s="33">
        <f>C$112*'Problem Data'!B12</f>
        <v>1.5345409752162194E-2</v>
      </c>
      <c r="D116" s="33">
        <f>D$112*'Problem Data'!C12</f>
        <v>9.5156189005612627E-3</v>
      </c>
      <c r="E116" s="33">
        <f>E$112*'Problem Data'!D12</f>
        <v>2.9538693755042179E-2</v>
      </c>
      <c r="F116" s="33">
        <f>F$112*'Problem Data'!E12</f>
        <v>1.3575155495025025E-2</v>
      </c>
    </row>
    <row r="117" spans="1:7" ht="13.5" thickBot="1" x14ac:dyDescent="0.35">
      <c r="A117" s="59">
        <f>SUM(C117:F117)</f>
        <v>7.6471737640639498E-2</v>
      </c>
      <c r="B117" s="51" t="s">
        <v>34</v>
      </c>
      <c r="C117" s="33">
        <f>C$112*'Problem Data'!B13</f>
        <v>1.7902978044189229E-2</v>
      </c>
      <c r="D117" s="33">
        <f>D$112*'Problem Data'!C13</f>
        <v>1.1101555383988139E-2</v>
      </c>
      <c r="E117" s="33">
        <f>E$112*'Problem Data'!D13</f>
        <v>1.3448510977905384E-2</v>
      </c>
      <c r="F117" s="33">
        <f>F$112*'Problem Data'!E13</f>
        <v>3.4018693234556752E-2</v>
      </c>
    </row>
    <row r="118" spans="1:7" ht="13" thickBot="1" x14ac:dyDescent="0.3"/>
    <row r="119" spans="1:7" ht="13" x14ac:dyDescent="0.3">
      <c r="B119" s="36"/>
      <c r="C119" s="53" t="s">
        <v>49</v>
      </c>
      <c r="D119" s="64" t="s">
        <v>53</v>
      </c>
      <c r="F119" s="36" t="s">
        <v>72</v>
      </c>
      <c r="G119" s="79">
        <f>G93</f>
        <v>0.12491828378601108</v>
      </c>
    </row>
    <row r="120" spans="1:7" ht="13.5" thickBot="1" x14ac:dyDescent="0.35">
      <c r="B120" s="54" t="s">
        <v>31</v>
      </c>
      <c r="C120" s="62">
        <f>A114/$D$110</f>
        <v>1.0109215630528035</v>
      </c>
      <c r="D120" s="66">
        <f>$G$120+C120*($G$119-$G$120)</f>
        <v>0.12573650854618784</v>
      </c>
      <c r="F120" s="38" t="s">
        <v>73</v>
      </c>
      <c r="G120" s="65">
        <v>0.05</v>
      </c>
    </row>
    <row r="121" spans="1:7" ht="13" x14ac:dyDescent="0.3">
      <c r="B121" s="54" t="s">
        <v>32</v>
      </c>
      <c r="C121" s="62">
        <f>A115/$D$110</f>
        <v>0.86795803842694152</v>
      </c>
      <c r="D121" s="66">
        <f>$G$120+C121*($G$119-$G$120)</f>
        <v>0.11502592663721911</v>
      </c>
    </row>
    <row r="122" spans="1:7" ht="13" x14ac:dyDescent="0.3">
      <c r="B122" s="54" t="s">
        <v>33</v>
      </c>
      <c r="C122" s="62">
        <f>A116/$D$110</f>
        <v>0.99195204391650438</v>
      </c>
      <c r="D122" s="66">
        <f>$G$120+C122*($G$119-$G$120)</f>
        <v>0.1243153447282504</v>
      </c>
    </row>
    <row r="123" spans="1:7" ht="13.5" thickBot="1" x14ac:dyDescent="0.35">
      <c r="B123" s="55" t="s">
        <v>34</v>
      </c>
      <c r="C123" s="63">
        <f>A117/$D$110</f>
        <v>1.1159460494060673</v>
      </c>
      <c r="D123" s="67">
        <f>$G$120+C123*($G$119-$G$120)</f>
        <v>0.13360476281928169</v>
      </c>
    </row>
  </sheetData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Eff4</vt:lpstr>
      <vt:lpstr>Problem Data</vt:lpstr>
      <vt:lpstr>Solution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>Northwestern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Daniel</dc:creator>
  <cp:lastModifiedBy>Carina Negreanu</cp:lastModifiedBy>
  <dcterms:created xsi:type="dcterms:W3CDTF">1996-10-04T20:00:20Z</dcterms:created>
  <dcterms:modified xsi:type="dcterms:W3CDTF">2020-01-27T11:43:39Z</dcterms:modified>
</cp:coreProperties>
</file>