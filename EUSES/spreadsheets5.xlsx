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DEC4E9-2790-4683-8FF8-E9123221B74B}" xr6:coauthVersionLast="45" xr6:coauthVersionMax="45" xr10:uidLastSave="{00000000-0000-0000-0000-000000000000}"/>
  <bookViews>
    <workbookView xWindow="3040" yWindow="3040" windowWidth="28800" windowHeight="15460"/>
  </bookViews>
  <sheets>
    <sheet name="37" sheetId="5" r:id="rId1"/>
    <sheet name="38" sheetId="4" r:id="rId2"/>
    <sheet name="39" sheetId="7" r:id="rId3"/>
    <sheet name="40" sheetId="8" r:id="rId4"/>
    <sheet name="41" sheetId="9" r:id="rId5"/>
    <sheet name="42" sheetId="10" r:id="rId6"/>
    <sheet name="43" sheetId="1" r:id="rId7"/>
    <sheet name="44" sheetId="11" r:id="rId8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8" i="4" l="1"/>
  <c r="B29" i="4"/>
  <c r="B30" i="4"/>
  <c r="B31" i="4"/>
  <c r="B32" i="4"/>
  <c r="B33" i="4"/>
  <c r="B34" i="4"/>
  <c r="B35" i="4"/>
  <c r="E4" i="11" a="1"/>
  <c r="E15" i="11" s="1"/>
  <c r="B181" i="11"/>
  <c r="C181" i="11"/>
  <c r="D181" i="11"/>
  <c r="E181" i="11"/>
  <c r="B182" i="11"/>
  <c r="C182" i="11"/>
  <c r="D182" i="11"/>
  <c r="B184" i="11"/>
  <c r="C184" i="11"/>
  <c r="D184" i="11"/>
  <c r="E154" i="11" l="1"/>
  <c r="E54" i="11"/>
  <c r="E153" i="11"/>
  <c r="E93" i="11"/>
  <c r="E132" i="11"/>
  <c r="E112" i="11"/>
  <c r="E32" i="11"/>
  <c r="E171" i="11"/>
  <c r="E150" i="11"/>
  <c r="E110" i="11"/>
  <c r="E10" i="11"/>
  <c r="E149" i="11"/>
  <c r="E148" i="11"/>
  <c r="E8" i="11"/>
  <c r="E53" i="11"/>
  <c r="E91" i="11"/>
  <c r="E13" i="11"/>
  <c r="E71" i="11"/>
  <c r="E50" i="11"/>
  <c r="E88" i="11"/>
  <c r="E134" i="11"/>
  <c r="E113" i="11"/>
  <c r="E172" i="11"/>
  <c r="E51" i="11"/>
  <c r="E69" i="11"/>
  <c r="E94" i="11"/>
  <c r="E133" i="11"/>
  <c r="E92" i="11"/>
  <c r="E11" i="11"/>
  <c r="E130" i="11"/>
  <c r="E129" i="11"/>
  <c r="E109" i="11"/>
  <c r="E49" i="11"/>
  <c r="E108" i="11"/>
  <c r="E28" i="11"/>
  <c r="E167" i="11"/>
  <c r="E166" i="11"/>
  <c r="E146" i="11"/>
  <c r="E126" i="11"/>
  <c r="E66" i="11"/>
  <c r="E6" i="11"/>
  <c r="E145" i="11"/>
  <c r="E85" i="11"/>
  <c r="E5" i="11"/>
  <c r="E164" i="11"/>
  <c r="E163" i="11"/>
  <c r="E143" i="11"/>
  <c r="E123" i="11"/>
  <c r="E103" i="11"/>
  <c r="E83" i="11"/>
  <c r="E63" i="11"/>
  <c r="E43" i="11"/>
  <c r="E23" i="11"/>
  <c r="E4" i="11"/>
  <c r="E174" i="11"/>
  <c r="E173" i="11"/>
  <c r="E73" i="11"/>
  <c r="E152" i="11"/>
  <c r="E31" i="11"/>
  <c r="E170" i="11"/>
  <c r="E90" i="11"/>
  <c r="E89" i="11"/>
  <c r="E168" i="11"/>
  <c r="E68" i="11"/>
  <c r="E147" i="11"/>
  <c r="E127" i="11"/>
  <c r="E107" i="11"/>
  <c r="E87" i="11"/>
  <c r="E47" i="11"/>
  <c r="E86" i="11"/>
  <c r="E26" i="11"/>
  <c r="E165" i="11"/>
  <c r="E105" i="11"/>
  <c r="E45" i="11"/>
  <c r="E124" i="11"/>
  <c r="E84" i="11"/>
  <c r="E44" i="11"/>
  <c r="E24" i="11"/>
  <c r="E162" i="11"/>
  <c r="E142" i="11"/>
  <c r="E122" i="11"/>
  <c r="E102" i="11"/>
  <c r="E82" i="11"/>
  <c r="E62" i="11"/>
  <c r="E42" i="11"/>
  <c r="E22" i="11"/>
  <c r="E12" i="11"/>
  <c r="E48" i="11"/>
  <c r="E106" i="11"/>
  <c r="E21" i="11"/>
  <c r="E74" i="11"/>
  <c r="E29" i="11"/>
  <c r="E64" i="11"/>
  <c r="E180" i="11"/>
  <c r="E161" i="11"/>
  <c r="E141" i="11"/>
  <c r="E121" i="11"/>
  <c r="E101" i="11"/>
  <c r="E81" i="11"/>
  <c r="E61" i="11"/>
  <c r="E41" i="11"/>
  <c r="E160" i="11"/>
  <c r="E140" i="11"/>
  <c r="E120" i="11"/>
  <c r="E100" i="11"/>
  <c r="E80" i="11"/>
  <c r="E60" i="11"/>
  <c r="E40" i="11"/>
  <c r="E20" i="11"/>
  <c r="E179" i="11"/>
  <c r="E159" i="11"/>
  <c r="E139" i="11"/>
  <c r="E119" i="11"/>
  <c r="E99" i="11"/>
  <c r="E79" i="11"/>
  <c r="E59" i="11"/>
  <c r="E39" i="11"/>
  <c r="E19" i="11"/>
  <c r="E114" i="11"/>
  <c r="E151" i="11"/>
  <c r="E27" i="11"/>
  <c r="E118" i="11"/>
  <c r="E34" i="11"/>
  <c r="E72" i="11"/>
  <c r="E67" i="11"/>
  <c r="E46" i="11"/>
  <c r="E65" i="11"/>
  <c r="E104" i="11"/>
  <c r="E158" i="11"/>
  <c r="E58" i="11"/>
  <c r="E137" i="11"/>
  <c r="E97" i="11"/>
  <c r="E57" i="11"/>
  <c r="E37" i="11"/>
  <c r="E17" i="11"/>
  <c r="E33" i="11"/>
  <c r="E111" i="11"/>
  <c r="E30" i="11"/>
  <c r="E128" i="11"/>
  <c r="E25" i="11"/>
  <c r="E144" i="11"/>
  <c r="E178" i="11"/>
  <c r="E78" i="11"/>
  <c r="E18" i="11"/>
  <c r="E157" i="11"/>
  <c r="E176" i="11"/>
  <c r="E156" i="11"/>
  <c r="E136" i="11"/>
  <c r="E116" i="11"/>
  <c r="E96" i="11"/>
  <c r="E76" i="11"/>
  <c r="E56" i="11"/>
  <c r="E36" i="11"/>
  <c r="E16" i="11"/>
  <c r="E14" i="11"/>
  <c r="E52" i="11"/>
  <c r="E131" i="11"/>
  <c r="E70" i="11"/>
  <c r="E169" i="11"/>
  <c r="E9" i="11"/>
  <c r="E7" i="11"/>
  <c r="E125" i="11"/>
  <c r="E138" i="11"/>
  <c r="E98" i="11"/>
  <c r="E38" i="11"/>
  <c r="E177" i="11"/>
  <c r="E117" i="11"/>
  <c r="E77" i="11"/>
  <c r="E175" i="11"/>
  <c r="E155" i="11"/>
  <c r="E135" i="11"/>
  <c r="E115" i="11"/>
  <c r="E95" i="11"/>
  <c r="E75" i="11"/>
  <c r="E55" i="11"/>
  <c r="E35" i="11"/>
  <c r="E184" i="11" l="1"/>
  <c r="B185" i="11" l="1"/>
  <c r="D185" i="11"/>
  <c r="C185" i="11"/>
</calcChain>
</file>

<file path=xl/sharedStrings.xml><?xml version="1.0" encoding="utf-8"?>
<sst xmlns="http://schemas.openxmlformats.org/spreadsheetml/2006/main" count="116" uniqueCount="108">
  <si>
    <t>World Gold Production, 1835-1989</t>
  </si>
  <si>
    <t>Metric tonnes</t>
  </si>
  <si>
    <t>Central Banks/Treasuries Reserves*</t>
  </si>
  <si>
    <t>World Gold Production (metric tonnes)</t>
  </si>
  <si>
    <t>UK</t>
  </si>
  <si>
    <t>France</t>
  </si>
  <si>
    <t>US</t>
  </si>
  <si>
    <t>1835-39</t>
  </si>
  <si>
    <t>1840-44</t>
  </si>
  <si>
    <t>1845-49</t>
  </si>
  <si>
    <t>1850-54</t>
  </si>
  <si>
    <t>1855-59</t>
  </si>
  <si>
    <t>1860-64</t>
  </si>
  <si>
    <t>1865-69</t>
  </si>
  <si>
    <t>1870-74</t>
  </si>
  <si>
    <t>1875-79</t>
  </si>
  <si>
    <t>1880-84</t>
  </si>
  <si>
    <t>1885-89</t>
  </si>
  <si>
    <t>1890-94</t>
  </si>
  <si>
    <t>1895-99</t>
  </si>
  <si>
    <t>1900-04</t>
  </si>
  <si>
    <t>1905-09</t>
  </si>
  <si>
    <t>1910-14</t>
  </si>
  <si>
    <t>1915-19</t>
  </si>
  <si>
    <t>1920-24</t>
  </si>
  <si>
    <t>1925-29</t>
  </si>
  <si>
    <t>1930-34</t>
  </si>
  <si>
    <t>1935-39</t>
  </si>
  <si>
    <t>1940-44</t>
  </si>
  <si>
    <t>1945-49</t>
  </si>
  <si>
    <t>1950-54</t>
  </si>
  <si>
    <t>1955-59</t>
  </si>
  <si>
    <t>1960-64</t>
  </si>
  <si>
    <t>1965-69</t>
  </si>
  <si>
    <t>1970-74</t>
  </si>
  <si>
    <t>1975-79</t>
  </si>
  <si>
    <t>1980-84</t>
  </si>
  <si>
    <t>1985-89</t>
  </si>
  <si>
    <t>* End of period.</t>
  </si>
  <si>
    <t>Exchange rates since 1792: units of currency per dollar</t>
  </si>
  <si>
    <t>1913=100</t>
  </si>
  <si>
    <t>British</t>
  </si>
  <si>
    <t>French</t>
  </si>
  <si>
    <t>German</t>
  </si>
  <si>
    <t>Italian</t>
  </si>
  <si>
    <t>Japanese</t>
  </si>
  <si>
    <t>Swiss</t>
  </si>
  <si>
    <t>Pound</t>
  </si>
  <si>
    <t>Franc</t>
  </si>
  <si>
    <t>Thaler/mark</t>
  </si>
  <si>
    <t>Lira</t>
  </si>
  <si>
    <t>Yen</t>
  </si>
  <si>
    <t>Notes:</t>
  </si>
  <si>
    <t>British Pounds are given as the number of dollars needed to buy a British Pound.</t>
  </si>
  <si>
    <t>All other currencies are given as the number of foreign currency units per US Dollar.</t>
  </si>
  <si>
    <t>All exchange rates are official exchange rates rather than black market exchange rates.</t>
  </si>
  <si>
    <t>The old French Franc was replaced by the New Franc at 100 to 1 in 1960.</t>
  </si>
  <si>
    <t>The German Mark replaced the Thaler at 2 Thalers to 3 Marks in 1872.</t>
  </si>
  <si>
    <t>The Rentenmark replaced the Mark at the rate of 1,000,000,000 Marks to 1 Rentenmark in 1924.</t>
  </si>
  <si>
    <t>The Deutsche Mark replaced the Reichsmark at the rate of 10 to 1 in 1948.</t>
  </si>
  <si>
    <t>The Euro replaced the European Currency Unit at par in 1999.</t>
  </si>
  <si>
    <t>Copyright 2000, Global Financial Data (www.globalfindata.com) 1-877-DATA-999</t>
  </si>
  <si>
    <t>Germany</t>
  </si>
  <si>
    <t>Italy</t>
  </si>
  <si>
    <t>Spain</t>
  </si>
  <si>
    <t>$/ECU or EUR</t>
  </si>
  <si>
    <t>Democracy in the World, 1800-1996</t>
  </si>
  <si>
    <t>Proportion of countries with Polity III score above 6</t>
  </si>
  <si>
    <t>Mean level of democracy (scale of 0 to 10)</t>
  </si>
  <si>
    <t>29 Countries</t>
  </si>
  <si>
    <t>Real National Output Indices</t>
  </si>
  <si>
    <t>Rebased (1927=100)</t>
  </si>
  <si>
    <t>Democracies</t>
  </si>
  <si>
    <t>Dictatorships (i.e.where democracy failed before 1939)</t>
  </si>
  <si>
    <t>Belgium</t>
  </si>
  <si>
    <t>Czechoslovakia</t>
  </si>
  <si>
    <t>Denmark</t>
  </si>
  <si>
    <t>Finland</t>
  </si>
  <si>
    <t>Ireland</t>
  </si>
  <si>
    <t>Netherlands</t>
  </si>
  <si>
    <t>Norway</t>
  </si>
  <si>
    <t>Sweden</t>
  </si>
  <si>
    <t>Switzerland</t>
  </si>
  <si>
    <t>Austria</t>
  </si>
  <si>
    <t>Bulgaria</t>
  </si>
  <si>
    <t>Hungary</t>
  </si>
  <si>
    <t>Rumania</t>
  </si>
  <si>
    <t>Yugoslavia</t>
  </si>
  <si>
    <t>Numbers of wars in progress each year</t>
  </si>
  <si>
    <t>Interstate</t>
  </si>
  <si>
    <t xml:space="preserve"> 'Extra-systemic'</t>
  </si>
  <si>
    <t>Civil</t>
  </si>
  <si>
    <t>Total</t>
  </si>
  <si>
    <t>Percentages</t>
  </si>
  <si>
    <t>Total since 1945</t>
  </si>
  <si>
    <t>Percentage</t>
  </si>
  <si>
    <r>
      <t>Sources</t>
    </r>
    <r>
      <rPr>
        <sz val="10"/>
        <rFont val="Arial"/>
      </rPr>
      <t>: Green, 'Central Bank Gold Reserves'.</t>
    </r>
  </si>
  <si>
    <r>
      <t xml:space="preserve">idem, </t>
    </r>
    <r>
      <rPr>
        <i/>
        <sz val="10"/>
        <rFont val="Arial"/>
        <family val="2"/>
      </rPr>
      <t>World of Gold</t>
    </r>
    <r>
      <rPr>
        <sz val="10"/>
        <rFont val="Arial"/>
      </rPr>
      <t>, appendix I, pp. 364f.</t>
    </r>
  </si>
  <si>
    <t>Exchange Rate of the Ecu or Euro: Dollars per Ecu/Euro</t>
  </si>
  <si>
    <r>
      <t>Source</t>
    </r>
    <r>
      <rPr>
        <sz val="10"/>
        <rFont val="Arial"/>
      </rPr>
      <t>: Global Financial Data.</t>
    </r>
  </si>
  <si>
    <t xml:space="preserve">Source: </t>
  </si>
  <si>
    <t>Data kindly provided by Michael Ward and Kristian Gleditsch.</t>
  </si>
  <si>
    <t>The average Democracy score for 29 European Countries, 1900-1950 (Polity III scale)</t>
  </si>
  <si>
    <t>Source:</t>
  </si>
  <si>
    <t>Polity III database.</t>
  </si>
  <si>
    <r>
      <t xml:space="preserve">Flora </t>
    </r>
    <r>
      <rPr>
        <i/>
        <sz val="10"/>
        <rFont val="Arial"/>
        <family val="2"/>
      </rPr>
      <t>et al</t>
    </r>
    <r>
      <rPr>
        <sz val="10"/>
        <rFont val="Arial"/>
      </rPr>
      <t xml:space="preserve">., </t>
    </r>
    <r>
      <rPr>
        <i/>
        <sz val="10"/>
        <rFont val="Arial"/>
        <family val="2"/>
      </rPr>
      <t>State, Economy and Society</t>
    </r>
    <r>
      <rPr>
        <sz val="10"/>
        <rFont val="Arial"/>
      </rPr>
      <t xml:space="preserve">, vol. II, pp. 370-400; Mitchell, </t>
    </r>
    <r>
      <rPr>
        <i/>
        <sz val="10"/>
        <rFont val="Arial"/>
        <family val="2"/>
      </rPr>
      <t>European Historical Statistics</t>
    </r>
    <r>
      <rPr>
        <sz val="10"/>
        <rFont val="Arial"/>
      </rPr>
      <t>, pp. 409-16.</t>
    </r>
  </si>
  <si>
    <r>
      <t>Sources</t>
    </r>
    <r>
      <rPr>
        <sz val="10"/>
        <rFont val="Arial"/>
        <family val="2"/>
      </rPr>
      <t xml:space="preserve">: Lethbridge, ‘National Income’, pp. 542, 555, 571, 575, 582, 592; </t>
    </r>
  </si>
  <si>
    <r>
      <t>Source</t>
    </r>
    <r>
      <rPr>
        <sz val="10"/>
        <rFont val="Arial"/>
        <family val="2"/>
      </rPr>
      <t>: Correlates of War database.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</si>
</sst>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73" formatCode="_-* #,##0_-;\-* #,##0_-;_-* &quot;-&quot;??_-;_-@_-"/>
    <numFmt numFmtId="177" formatCode="0.0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Courier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2" fillId="0" borderId="0" xfId="0" applyFont="1"/>
    <xf numFmtId="0" fontId="0" fillId="0" borderId="0" xfId="0" applyAlignment="1">
      <alignment horizontal="center" wrapText="1"/>
    </xf>
    <xf numFmtId="173" fontId="1" fillId="0" borderId="0" xfId="1" applyNumberFormat="1"/>
    <xf numFmtId="0" fontId="3" fillId="0" borderId="0" xfId="0" applyFont="1"/>
    <xf numFmtId="177" fontId="0" fillId="0" borderId="0" xfId="0" applyNumberFormat="1"/>
    <xf numFmtId="0" fontId="0" fillId="0" borderId="0" xfId="0" applyBorder="1"/>
    <xf numFmtId="0" fontId="0" fillId="0" borderId="0" xfId="0" applyAlignment="1">
      <alignment wrapText="1"/>
    </xf>
    <xf numFmtId="0" fontId="4" fillId="0" borderId="0" xfId="2"/>
    <xf numFmtId="0" fontId="0" fillId="0" borderId="0" xfId="0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177" fontId="5" fillId="0" borderId="0" xfId="0" applyNumberFormat="1" applyFont="1"/>
    <xf numFmtId="0" fontId="6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/>
    <xf numFmtId="0" fontId="6" fillId="0" borderId="0" xfId="2" applyNumberFormat="1" applyFont="1" applyAlignment="1" applyProtection="1">
      <alignment horizontal="right" wrapText="1"/>
      <protection locked="0"/>
    </xf>
    <xf numFmtId="1" fontId="6" fillId="0" borderId="0" xfId="2" applyNumberFormat="1" applyFont="1" applyAlignment="1" applyProtection="1">
      <alignment horizontal="right"/>
      <protection locked="0"/>
    </xf>
    <xf numFmtId="0" fontId="2" fillId="0" borderId="0" xfId="2" applyFont="1"/>
    <xf numFmtId="0" fontId="4" fillId="0" borderId="0" xfId="2" applyAlignment="1">
      <alignment horizontal="center"/>
    </xf>
    <xf numFmtId="177" fontId="6" fillId="0" borderId="0" xfId="2" applyNumberFormat="1" applyFont="1" applyAlignment="1">
      <alignment horizontal="center"/>
    </xf>
    <xf numFmtId="0" fontId="5" fillId="0" borderId="0" xfId="2" applyFont="1" applyAlignment="1">
      <alignment horizontal="center" wrapText="1"/>
    </xf>
    <xf numFmtId="0" fontId="6" fillId="0" borderId="0" xfId="2" applyFont="1"/>
    <xf numFmtId="0" fontId="6" fillId="0" borderId="0" xfId="2" applyFont="1" applyAlignment="1">
      <alignment horizontal="center"/>
    </xf>
    <xf numFmtId="0" fontId="5" fillId="0" borderId="0" xfId="2" applyFont="1"/>
    <xf numFmtId="0" fontId="5" fillId="0" borderId="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177" fontId="5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Normal_polity9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"/>
  <sheetViews>
    <sheetView tabSelected="1" workbookViewId="0">
      <pane ySplit="4" topLeftCell="A5" activePane="bottomLeft" state="frozen"/>
      <selection pane="bottomLeft"/>
    </sheetView>
  </sheetViews>
  <sheetFormatPr defaultRowHeight="12.5" x14ac:dyDescent="0.25"/>
  <cols>
    <col min="2" max="2" width="9.1796875" style="14" customWidth="1"/>
    <col min="3" max="3" width="9.54296875" style="14" bestFit="1" customWidth="1"/>
    <col min="4" max="4" width="13.7265625" style="14" customWidth="1"/>
    <col min="5" max="5" width="9.54296875" style="14" bestFit="1" customWidth="1"/>
    <col min="6" max="7" width="9.1796875" style="14" customWidth="1"/>
  </cols>
  <sheetData>
    <row r="1" spans="1:7" ht="15.5" x14ac:dyDescent="0.35">
      <c r="A1" s="1" t="s">
        <v>39</v>
      </c>
    </row>
    <row r="2" spans="1:7" x14ac:dyDescent="0.25">
      <c r="A2" s="13" t="s">
        <v>40</v>
      </c>
    </row>
    <row r="3" spans="1:7" ht="13" x14ac:dyDescent="0.3">
      <c r="A3" s="11"/>
      <c r="B3" s="15" t="s">
        <v>41</v>
      </c>
      <c r="C3" s="15" t="s">
        <v>42</v>
      </c>
      <c r="D3" s="15" t="s">
        <v>43</v>
      </c>
      <c r="E3" s="15" t="s">
        <v>44</v>
      </c>
      <c r="F3" s="15" t="s">
        <v>45</v>
      </c>
      <c r="G3" s="15" t="s">
        <v>46</v>
      </c>
    </row>
    <row r="4" spans="1:7" ht="13" x14ac:dyDescent="0.3">
      <c r="A4" s="11"/>
      <c r="B4" s="15" t="s">
        <v>47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48</v>
      </c>
    </row>
    <row r="5" spans="1:7" s="6" customFormat="1" x14ac:dyDescent="0.25">
      <c r="A5">
        <v>1792</v>
      </c>
      <c r="B5" s="16">
        <v>109.45945945945945</v>
      </c>
      <c r="C5" s="17"/>
      <c r="D5" s="17"/>
      <c r="E5" s="17"/>
      <c r="F5" s="17"/>
      <c r="G5" s="17"/>
    </row>
    <row r="6" spans="1:7" s="6" customFormat="1" x14ac:dyDescent="0.25">
      <c r="A6">
        <v>1793</v>
      </c>
      <c r="B6" s="16">
        <v>103.40425531914894</v>
      </c>
      <c r="C6" s="17"/>
      <c r="D6" s="17"/>
      <c r="E6" s="17"/>
      <c r="F6" s="17"/>
      <c r="G6" s="17"/>
    </row>
    <row r="7" spans="1:7" x14ac:dyDescent="0.25">
      <c r="A7">
        <v>1794</v>
      </c>
      <c r="B7" s="16">
        <v>100.8298755186722</v>
      </c>
    </row>
    <row r="8" spans="1:7" x14ac:dyDescent="0.25">
      <c r="A8">
        <v>1795</v>
      </c>
      <c r="B8" s="16">
        <v>111.46788990825689</v>
      </c>
      <c r="C8" s="16">
        <v>57.389635316698659</v>
      </c>
    </row>
    <row r="9" spans="1:7" x14ac:dyDescent="0.25">
      <c r="A9">
        <v>1796</v>
      </c>
      <c r="B9" s="16">
        <v>107.76053215077607</v>
      </c>
      <c r="C9" s="16">
        <v>56.429942418426101</v>
      </c>
    </row>
    <row r="10" spans="1:7" x14ac:dyDescent="0.25">
      <c r="A10">
        <v>1797</v>
      </c>
      <c r="B10" s="16">
        <v>111.21281464530892</v>
      </c>
      <c r="C10" s="16">
        <v>55.662188099808063</v>
      </c>
    </row>
    <row r="11" spans="1:7" x14ac:dyDescent="0.25">
      <c r="A11">
        <v>1798</v>
      </c>
      <c r="B11" s="16">
        <v>111.46788990825689</v>
      </c>
      <c r="C11" s="16">
        <v>55.662188099808063</v>
      </c>
    </row>
    <row r="12" spans="1:7" x14ac:dyDescent="0.25">
      <c r="A12">
        <v>1799</v>
      </c>
      <c r="B12" s="16">
        <v>109.45945945945945</v>
      </c>
      <c r="C12" s="16">
        <v>55.662188099808063</v>
      </c>
    </row>
    <row r="13" spans="1:7" x14ac:dyDescent="0.25">
      <c r="A13">
        <v>1800</v>
      </c>
      <c r="B13" s="16">
        <v>108.96860986547088</v>
      </c>
      <c r="C13" s="16">
        <v>97.312859884836854</v>
      </c>
      <c r="D13" s="16">
        <v>75.296912114014248</v>
      </c>
    </row>
    <row r="14" spans="1:7" x14ac:dyDescent="0.25">
      <c r="A14">
        <v>1801</v>
      </c>
      <c r="B14" s="16">
        <v>111.46788990825689</v>
      </c>
      <c r="C14" s="16">
        <v>100</v>
      </c>
      <c r="D14" s="16">
        <v>65.083135391924003</v>
      </c>
    </row>
    <row r="15" spans="1:7" x14ac:dyDescent="0.25">
      <c r="A15">
        <v>1802</v>
      </c>
      <c r="B15" s="16">
        <v>108.72483221476512</v>
      </c>
      <c r="C15" s="16">
        <v>87.140115163147797</v>
      </c>
      <c r="D15" s="16">
        <v>65.083135391924003</v>
      </c>
    </row>
    <row r="16" spans="1:7" x14ac:dyDescent="0.25">
      <c r="A16">
        <v>1803</v>
      </c>
      <c r="B16" s="16">
        <v>104.29184549356225</v>
      </c>
      <c r="C16" s="16">
        <v>86.564299424184256</v>
      </c>
      <c r="D16" s="16">
        <v>67.933491686460798</v>
      </c>
    </row>
    <row r="17" spans="1:6" x14ac:dyDescent="0.25">
      <c r="A17">
        <v>1804</v>
      </c>
      <c r="B17" s="16">
        <v>107.28476821192055</v>
      </c>
      <c r="C17" s="16">
        <v>91.746641074856043</v>
      </c>
      <c r="D17" s="16">
        <v>66.983372921615199</v>
      </c>
    </row>
    <row r="18" spans="1:6" x14ac:dyDescent="0.25">
      <c r="A18">
        <v>1805</v>
      </c>
      <c r="B18" s="16">
        <v>110.45454545454547</v>
      </c>
      <c r="C18" s="16">
        <v>83.109404990403064</v>
      </c>
      <c r="D18" s="16">
        <v>67.933491686460798</v>
      </c>
    </row>
    <row r="19" spans="1:6" x14ac:dyDescent="0.25">
      <c r="A19">
        <v>1806</v>
      </c>
      <c r="B19" s="16">
        <v>110.45454545454547</v>
      </c>
      <c r="C19" s="16">
        <v>92.322456813819571</v>
      </c>
      <c r="D19" s="16">
        <v>71.021377672209027</v>
      </c>
    </row>
    <row r="20" spans="1:6" x14ac:dyDescent="0.25">
      <c r="A20">
        <v>1807</v>
      </c>
      <c r="B20" s="16">
        <v>108.96860986547088</v>
      </c>
      <c r="C20" s="16">
        <v>86.75623800383876</v>
      </c>
      <c r="D20" s="16">
        <v>71.258907363420434</v>
      </c>
    </row>
    <row r="21" spans="1:6" x14ac:dyDescent="0.25">
      <c r="A21">
        <v>1808</v>
      </c>
      <c r="B21" s="16">
        <v>99.590163934426243</v>
      </c>
      <c r="C21" s="16">
        <v>78.502879078694818</v>
      </c>
      <c r="D21" s="16">
        <v>69.358669833729209</v>
      </c>
    </row>
    <row r="22" spans="1:6" x14ac:dyDescent="0.25">
      <c r="A22">
        <v>1809</v>
      </c>
      <c r="B22" s="16">
        <v>109.45945945945945</v>
      </c>
      <c r="C22" s="16">
        <v>83.301343570057583</v>
      </c>
      <c r="D22" s="16">
        <v>67.933491686460798</v>
      </c>
    </row>
    <row r="23" spans="1:6" x14ac:dyDescent="0.25">
      <c r="A23">
        <v>1810</v>
      </c>
      <c r="B23" s="16">
        <v>118.24817518248176</v>
      </c>
      <c r="C23" s="16">
        <v>88.867562380038393</v>
      </c>
      <c r="D23" s="16">
        <v>64.133016627078391</v>
      </c>
    </row>
    <row r="24" spans="1:6" x14ac:dyDescent="0.25">
      <c r="A24">
        <v>1811</v>
      </c>
      <c r="B24" s="16">
        <v>130.29490616621985</v>
      </c>
      <c r="C24" s="16">
        <v>89.44337811900192</v>
      </c>
      <c r="D24" s="16">
        <v>73.396674584323037</v>
      </c>
    </row>
    <row r="25" spans="1:6" x14ac:dyDescent="0.25">
      <c r="A25">
        <v>1812</v>
      </c>
      <c r="B25" s="16">
        <v>128.91246684350136</v>
      </c>
      <c r="C25" s="16">
        <v>83.685220729366605</v>
      </c>
      <c r="D25" s="16">
        <v>51.068883610451309</v>
      </c>
    </row>
    <row r="26" spans="1:6" x14ac:dyDescent="0.25">
      <c r="A26">
        <v>1813</v>
      </c>
      <c r="B26" s="16">
        <v>124.61538461538464</v>
      </c>
      <c r="C26" s="16">
        <v>97.696737044145877</v>
      </c>
      <c r="D26" s="16">
        <v>57.00712589073634</v>
      </c>
    </row>
    <row r="27" spans="1:6" x14ac:dyDescent="0.25">
      <c r="A27">
        <v>1814</v>
      </c>
      <c r="B27" s="16">
        <v>108.48214285714286</v>
      </c>
      <c r="C27" s="16">
        <v>108.63723608445297</v>
      </c>
      <c r="D27" s="16">
        <v>60.807600950118768</v>
      </c>
    </row>
    <row r="28" spans="1:6" x14ac:dyDescent="0.25">
      <c r="A28">
        <v>1815</v>
      </c>
      <c r="B28" s="16">
        <v>102.31578947368421</v>
      </c>
      <c r="C28" s="16">
        <v>86.372360844529751</v>
      </c>
      <c r="D28" s="16">
        <v>67.458432304038013</v>
      </c>
    </row>
    <row r="29" spans="1:6" x14ac:dyDescent="0.25">
      <c r="A29">
        <v>1816</v>
      </c>
      <c r="B29" s="16">
        <v>106.34573304157551</v>
      </c>
      <c r="C29" s="16">
        <v>103.64683301343571</v>
      </c>
      <c r="D29" s="16">
        <v>61.52019002375296</v>
      </c>
      <c r="E29" s="16">
        <v>112.81070745697896</v>
      </c>
      <c r="F29" s="16">
        <v>261.57635467980299</v>
      </c>
    </row>
    <row r="30" spans="1:6" x14ac:dyDescent="0.25">
      <c r="A30">
        <v>1817</v>
      </c>
      <c r="B30" s="16">
        <v>107.28476821192055</v>
      </c>
      <c r="C30" s="16">
        <v>103.07101727447217</v>
      </c>
      <c r="D30" s="16">
        <v>60.570071258907355</v>
      </c>
      <c r="E30" s="16">
        <v>113.95793499043975</v>
      </c>
      <c r="F30" s="16">
        <v>264.53201970443354</v>
      </c>
    </row>
    <row r="31" spans="1:6" x14ac:dyDescent="0.25">
      <c r="A31">
        <v>1818</v>
      </c>
      <c r="B31" s="16">
        <v>111.98156682027651</v>
      </c>
      <c r="C31" s="16">
        <v>105.56621880998081</v>
      </c>
      <c r="D31" s="16">
        <v>64.845605700712596</v>
      </c>
      <c r="E31" s="16">
        <v>112.23709369024857</v>
      </c>
      <c r="F31" s="16">
        <v>268.9655172413793</v>
      </c>
    </row>
    <row r="32" spans="1:6" x14ac:dyDescent="0.25">
      <c r="A32">
        <v>1819</v>
      </c>
      <c r="B32" s="16">
        <v>107.28476821192055</v>
      </c>
      <c r="C32" s="16">
        <v>103.64683301343571</v>
      </c>
      <c r="D32" s="16">
        <v>69.121140142517817</v>
      </c>
      <c r="E32" s="16">
        <v>115.2963671128107</v>
      </c>
      <c r="F32" s="16">
        <v>264.03940886699513</v>
      </c>
    </row>
    <row r="33" spans="1:6" x14ac:dyDescent="0.25">
      <c r="A33">
        <v>1820</v>
      </c>
      <c r="B33" s="16">
        <v>105.1948051948052</v>
      </c>
      <c r="C33" s="16">
        <v>106.52591170825336</v>
      </c>
      <c r="D33" s="16">
        <v>68.171021377672218</v>
      </c>
      <c r="E33" s="16">
        <v>114.14913957934989</v>
      </c>
      <c r="F33" s="16">
        <v>271.92118226600985</v>
      </c>
    </row>
    <row r="34" spans="1:6" x14ac:dyDescent="0.25">
      <c r="A34">
        <v>1821</v>
      </c>
      <c r="B34" s="16">
        <v>98.580121703853976</v>
      </c>
      <c r="C34" s="16">
        <v>99.808061420345496</v>
      </c>
      <c r="D34" s="16">
        <v>67.695961995249405</v>
      </c>
      <c r="E34" s="16">
        <v>107.07456978967494</v>
      </c>
      <c r="F34" s="16">
        <v>253.69458128078821</v>
      </c>
    </row>
    <row r="35" spans="1:6" x14ac:dyDescent="0.25">
      <c r="A35">
        <v>1822</v>
      </c>
      <c r="B35" s="16">
        <v>97.394789579158314</v>
      </c>
      <c r="C35" s="16">
        <v>100</v>
      </c>
      <c r="D35" s="16">
        <v>67.458432304038013</v>
      </c>
      <c r="E35" s="16">
        <v>105.54493307839385</v>
      </c>
      <c r="F35" s="16">
        <v>252.21674876847294</v>
      </c>
    </row>
    <row r="36" spans="1:6" x14ac:dyDescent="0.25">
      <c r="A36">
        <v>1823</v>
      </c>
      <c r="B36" s="16">
        <v>101.46137787056368</v>
      </c>
      <c r="C36" s="16">
        <v>102.49520153550864</v>
      </c>
      <c r="D36" s="16">
        <v>66.5083135391924</v>
      </c>
      <c r="E36" s="16">
        <v>110.13384321223707</v>
      </c>
      <c r="F36" s="16">
        <v>257.14285714285717</v>
      </c>
    </row>
    <row r="37" spans="1:6" x14ac:dyDescent="0.25">
      <c r="A37">
        <v>1824</v>
      </c>
      <c r="B37" s="16">
        <v>100</v>
      </c>
      <c r="C37" s="16">
        <v>99.232245681381954</v>
      </c>
      <c r="D37" s="16">
        <v>66.270783847980994</v>
      </c>
      <c r="E37" s="16">
        <v>106.11854684512427</v>
      </c>
      <c r="F37" s="16">
        <v>251.23152709359607</v>
      </c>
    </row>
    <row r="38" spans="1:6" x14ac:dyDescent="0.25">
      <c r="A38">
        <v>1825</v>
      </c>
      <c r="B38" s="16">
        <v>100.41322314049587</v>
      </c>
      <c r="C38" s="16">
        <v>102.49520153550864</v>
      </c>
      <c r="D38" s="16">
        <v>67.220902612826606</v>
      </c>
      <c r="E38" s="16">
        <v>106.50095602294454</v>
      </c>
      <c r="F38" s="16">
        <v>260.59113300492618</v>
      </c>
    </row>
    <row r="39" spans="1:6" x14ac:dyDescent="0.25">
      <c r="A39">
        <v>1826</v>
      </c>
      <c r="B39" s="16">
        <v>97.786720321931611</v>
      </c>
      <c r="C39" s="16">
        <v>100.57581573896353</v>
      </c>
      <c r="D39" s="16">
        <v>64.845605700712596</v>
      </c>
      <c r="E39" s="16">
        <v>100</v>
      </c>
      <c r="F39" s="16">
        <v>255.17241379310346</v>
      </c>
    </row>
    <row r="40" spans="1:6" x14ac:dyDescent="0.25">
      <c r="A40">
        <v>1827</v>
      </c>
      <c r="B40" s="16">
        <v>98.380566801619437</v>
      </c>
      <c r="C40" s="16">
        <v>98.272552783109418</v>
      </c>
      <c r="D40" s="16">
        <v>66.270783847980994</v>
      </c>
      <c r="E40" s="16">
        <v>98.279158699808775</v>
      </c>
      <c r="F40" s="16">
        <v>249.75369458128083</v>
      </c>
    </row>
    <row r="41" spans="1:6" x14ac:dyDescent="0.25">
      <c r="A41">
        <v>1828</v>
      </c>
      <c r="B41" s="16">
        <v>99.794661190965101</v>
      </c>
      <c r="C41" s="16">
        <v>99.808061420345496</v>
      </c>
      <c r="D41" s="16">
        <v>67.220902612826606</v>
      </c>
      <c r="E41" s="16">
        <v>99.808795411089861</v>
      </c>
      <c r="F41" s="16">
        <v>253.69458128078821</v>
      </c>
    </row>
    <row r="42" spans="1:6" x14ac:dyDescent="0.25">
      <c r="A42">
        <v>1829</v>
      </c>
      <c r="B42" s="16">
        <v>100</v>
      </c>
      <c r="C42" s="16">
        <v>100.76775431861805</v>
      </c>
      <c r="D42" s="16">
        <v>64.370546318289783</v>
      </c>
      <c r="E42" s="16">
        <v>102.29445506692159</v>
      </c>
      <c r="F42" s="16">
        <v>257.14285714285717</v>
      </c>
    </row>
    <row r="43" spans="1:6" x14ac:dyDescent="0.25">
      <c r="A43">
        <v>1830</v>
      </c>
      <c r="B43" s="16">
        <v>102.74841437632136</v>
      </c>
      <c r="C43" s="16">
        <v>100.57581573896353</v>
      </c>
      <c r="D43" s="16">
        <v>66.270783847980994</v>
      </c>
      <c r="E43" s="16">
        <v>104.01529636711282</v>
      </c>
      <c r="F43" s="16">
        <v>256.6502463054187</v>
      </c>
    </row>
    <row r="44" spans="1:6" x14ac:dyDescent="0.25">
      <c r="A44">
        <v>1831</v>
      </c>
      <c r="B44" s="16">
        <v>99.590163934426243</v>
      </c>
      <c r="C44" s="16">
        <v>99.232245681381954</v>
      </c>
      <c r="D44" s="16">
        <v>67.933491686460798</v>
      </c>
      <c r="E44" s="16">
        <v>100.38240917782026</v>
      </c>
      <c r="F44" s="16">
        <v>252.21674876847294</v>
      </c>
    </row>
    <row r="45" spans="1:6" x14ac:dyDescent="0.25">
      <c r="A45">
        <v>1832</v>
      </c>
      <c r="B45" s="16">
        <v>100.62111801242237</v>
      </c>
      <c r="C45" s="16">
        <v>102.49520153550864</v>
      </c>
      <c r="D45" s="16">
        <v>69.59619952494063</v>
      </c>
      <c r="E45" s="16">
        <v>102.868068833652</v>
      </c>
      <c r="F45" s="16">
        <v>260.09852216748772</v>
      </c>
    </row>
    <row r="46" spans="1:6" x14ac:dyDescent="0.25">
      <c r="A46">
        <v>1833</v>
      </c>
      <c r="B46" s="16">
        <v>104.29184549356225</v>
      </c>
      <c r="C46" s="16">
        <v>104.99040307101728</v>
      </c>
      <c r="D46" s="16">
        <v>68.171021377672218</v>
      </c>
      <c r="E46" s="16">
        <v>105.73613766730401</v>
      </c>
      <c r="F46" s="16">
        <v>266.99507389162562</v>
      </c>
    </row>
    <row r="47" spans="1:6" x14ac:dyDescent="0.25">
      <c r="A47">
        <v>1834</v>
      </c>
      <c r="B47" s="16">
        <v>103.18471337579621</v>
      </c>
      <c r="C47" s="16">
        <v>103.07101727447217</v>
      </c>
      <c r="D47" s="16">
        <v>66.5083135391924</v>
      </c>
      <c r="E47" s="16">
        <v>104.20650095602294</v>
      </c>
      <c r="F47" s="16">
        <v>262.06896551724139</v>
      </c>
    </row>
    <row r="48" spans="1:6" x14ac:dyDescent="0.25">
      <c r="A48">
        <v>1835</v>
      </c>
      <c r="B48" s="16">
        <v>100.41322314049587</v>
      </c>
      <c r="C48" s="16">
        <v>100.95969289827255</v>
      </c>
      <c r="D48" s="16">
        <v>66.745843230403807</v>
      </c>
      <c r="E48" s="16">
        <v>102.29445506692159</v>
      </c>
      <c r="F48" s="16">
        <v>256.6502463054187</v>
      </c>
    </row>
    <row r="49" spans="1:6" x14ac:dyDescent="0.25">
      <c r="A49">
        <v>1836</v>
      </c>
      <c r="B49" s="16">
        <v>101.46137787056368</v>
      </c>
      <c r="C49" s="16">
        <v>100.95969289827255</v>
      </c>
      <c r="D49" s="16">
        <v>64.133016627078391</v>
      </c>
      <c r="E49" s="16">
        <v>103.25047801147227</v>
      </c>
      <c r="F49" s="16">
        <v>257.63546798029557</v>
      </c>
    </row>
    <row r="50" spans="1:6" x14ac:dyDescent="0.25">
      <c r="A50">
        <v>1837</v>
      </c>
      <c r="B50" s="16">
        <v>95.857988165680467</v>
      </c>
      <c r="C50" s="16">
        <v>98.656429942418427</v>
      </c>
      <c r="D50" s="16">
        <v>65.558194774346788</v>
      </c>
      <c r="E50" s="16">
        <v>99.808795411089861</v>
      </c>
      <c r="F50" s="16">
        <v>251.72413793103453</v>
      </c>
    </row>
    <row r="51" spans="1:6" x14ac:dyDescent="0.25">
      <c r="A51">
        <v>1838</v>
      </c>
      <c r="B51" s="16">
        <v>99.386503067484682</v>
      </c>
      <c r="C51" s="16">
        <v>99.04030710172745</v>
      </c>
      <c r="D51" s="16">
        <v>64.845605700712596</v>
      </c>
      <c r="E51" s="16">
        <v>100.95602294455065</v>
      </c>
      <c r="F51" s="16">
        <v>252.70935960591135</v>
      </c>
    </row>
    <row r="52" spans="1:6" x14ac:dyDescent="0.25">
      <c r="A52">
        <v>1839</v>
      </c>
      <c r="B52" s="16">
        <v>100.20618556701034</v>
      </c>
      <c r="C52" s="16">
        <v>100</v>
      </c>
      <c r="D52" s="16">
        <v>65.083135391924003</v>
      </c>
      <c r="E52" s="16">
        <v>101.33843212237093</v>
      </c>
      <c r="F52" s="16">
        <v>254.18719211822665</v>
      </c>
    </row>
    <row r="53" spans="1:6" x14ac:dyDescent="0.25">
      <c r="A53">
        <v>1840</v>
      </c>
      <c r="B53" s="16">
        <v>100.8298755186722</v>
      </c>
      <c r="C53" s="16">
        <v>99.232245681381954</v>
      </c>
      <c r="D53" s="16">
        <v>66.033254156769601</v>
      </c>
      <c r="E53" s="16">
        <v>102.10325047801146</v>
      </c>
      <c r="F53" s="16">
        <v>252.21674876847294</v>
      </c>
    </row>
    <row r="54" spans="1:6" x14ac:dyDescent="0.25">
      <c r="A54">
        <v>1841</v>
      </c>
      <c r="B54" s="16">
        <v>100.41322314049587</v>
      </c>
      <c r="C54" s="16">
        <v>100.76775431861805</v>
      </c>
      <c r="D54" s="16">
        <v>66.5083135391924</v>
      </c>
      <c r="E54" s="16">
        <v>101.52963671128106</v>
      </c>
      <c r="F54" s="16">
        <v>255.66502463054189</v>
      </c>
    </row>
    <row r="55" spans="1:6" x14ac:dyDescent="0.25">
      <c r="A55">
        <v>1842</v>
      </c>
      <c r="B55" s="16">
        <v>102.96610169491527</v>
      </c>
      <c r="C55" s="16">
        <v>104.03071017274472</v>
      </c>
      <c r="D55" s="16">
        <v>67.695961995249405</v>
      </c>
      <c r="E55" s="16">
        <v>105.16252390057362</v>
      </c>
      <c r="F55" s="16">
        <v>264.03940886699513</v>
      </c>
    </row>
    <row r="56" spans="1:6" x14ac:dyDescent="0.25">
      <c r="A56">
        <v>1843</v>
      </c>
      <c r="B56" s="16">
        <v>100.8298755186722</v>
      </c>
      <c r="C56" s="16">
        <v>102.11132437619963</v>
      </c>
      <c r="D56" s="16">
        <v>66.270783847980994</v>
      </c>
      <c r="E56" s="16">
        <v>102.868068833652</v>
      </c>
      <c r="F56" s="16">
        <v>259.60591133004925</v>
      </c>
    </row>
    <row r="57" spans="1:6" x14ac:dyDescent="0.25">
      <c r="A57">
        <v>1844</v>
      </c>
      <c r="B57" s="16">
        <v>99.590163934426243</v>
      </c>
      <c r="C57" s="16">
        <v>100.19193857965452</v>
      </c>
      <c r="D57" s="16">
        <v>65.795724465558195</v>
      </c>
      <c r="E57" s="16">
        <v>101.14722753346079</v>
      </c>
      <c r="F57" s="16">
        <v>257.14285714285717</v>
      </c>
    </row>
    <row r="58" spans="1:6" x14ac:dyDescent="0.25">
      <c r="A58">
        <v>1845</v>
      </c>
      <c r="B58" s="16">
        <v>101.25</v>
      </c>
      <c r="C58" s="16">
        <v>101.15163147792705</v>
      </c>
      <c r="D58" s="16">
        <v>68.171021377672218</v>
      </c>
      <c r="E58" s="16">
        <v>105.73613766730401</v>
      </c>
      <c r="F58" s="16">
        <v>258.12807881773404</v>
      </c>
    </row>
    <row r="59" spans="1:6" x14ac:dyDescent="0.25">
      <c r="A59">
        <v>1846</v>
      </c>
      <c r="B59" s="16">
        <v>102.96610169491527</v>
      </c>
      <c r="C59" s="16">
        <v>103.45489443378118</v>
      </c>
      <c r="D59" s="16">
        <v>66.270783847980994</v>
      </c>
      <c r="E59" s="16">
        <v>105.16252390057362</v>
      </c>
      <c r="F59" s="16">
        <v>264.03940886699513</v>
      </c>
    </row>
    <row r="60" spans="1:6" x14ac:dyDescent="0.25">
      <c r="A60">
        <v>1847</v>
      </c>
      <c r="B60" s="16">
        <v>99.386503067484682</v>
      </c>
      <c r="C60" s="16">
        <v>100.38387715930904</v>
      </c>
      <c r="D60" s="16">
        <v>67.695961995249405</v>
      </c>
      <c r="E60" s="16">
        <v>102.29445506692159</v>
      </c>
      <c r="F60" s="16">
        <v>255.66502463054189</v>
      </c>
    </row>
    <row r="61" spans="1:6" x14ac:dyDescent="0.25">
      <c r="A61">
        <v>1848</v>
      </c>
      <c r="B61" s="16">
        <v>101.03950103950106</v>
      </c>
      <c r="C61" s="16">
        <v>100.95969289827255</v>
      </c>
      <c r="D61" s="16">
        <v>67.458432304038013</v>
      </c>
      <c r="E61" s="16">
        <v>104.01529636711282</v>
      </c>
      <c r="F61" s="16">
        <v>257.63546798029557</v>
      </c>
    </row>
    <row r="62" spans="1:6" x14ac:dyDescent="0.25">
      <c r="A62">
        <v>1849</v>
      </c>
      <c r="B62" s="16">
        <v>100.8298755186722</v>
      </c>
      <c r="C62" s="16">
        <v>100.95969289827255</v>
      </c>
      <c r="D62" s="16">
        <v>65.795724465558195</v>
      </c>
      <c r="E62" s="16">
        <v>105.54493307839385</v>
      </c>
      <c r="F62" s="16">
        <v>257.63546798029557</v>
      </c>
    </row>
    <row r="63" spans="1:6" x14ac:dyDescent="0.25">
      <c r="A63">
        <v>1850</v>
      </c>
      <c r="B63" s="16">
        <v>100</v>
      </c>
      <c r="C63" s="16">
        <v>99.616122840690991</v>
      </c>
      <c r="D63" s="16">
        <v>65.083135391924003</v>
      </c>
      <c r="E63" s="16">
        <v>102.10325047801146</v>
      </c>
      <c r="F63" s="16">
        <v>253.69458128078821</v>
      </c>
    </row>
    <row r="64" spans="1:6" x14ac:dyDescent="0.25">
      <c r="A64">
        <v>1851</v>
      </c>
      <c r="B64" s="16">
        <v>98.981670061099805</v>
      </c>
      <c r="C64" s="16">
        <v>98.656429942418427</v>
      </c>
      <c r="D64" s="16">
        <v>64.845605700712596</v>
      </c>
      <c r="E64" s="16">
        <v>99.617590822179721</v>
      </c>
      <c r="F64" s="16">
        <v>252.21674876847294</v>
      </c>
    </row>
    <row r="65" spans="1:7" x14ac:dyDescent="0.25">
      <c r="A65">
        <v>1852</v>
      </c>
      <c r="B65" s="16">
        <v>99.386503067484682</v>
      </c>
      <c r="C65" s="16">
        <v>98.464491362763923</v>
      </c>
      <c r="D65" s="16">
        <v>63.895486935866984</v>
      </c>
      <c r="E65" s="16">
        <v>100</v>
      </c>
      <c r="F65" s="16">
        <v>251.72413793103453</v>
      </c>
    </row>
    <row r="66" spans="1:7" x14ac:dyDescent="0.25">
      <c r="A66">
        <v>1853</v>
      </c>
      <c r="B66" s="16">
        <v>100.20618556701034</v>
      </c>
      <c r="C66" s="16">
        <v>98.464491362763923</v>
      </c>
      <c r="D66" s="16">
        <v>65.083135391924003</v>
      </c>
      <c r="E66" s="16">
        <v>100.76481835564053</v>
      </c>
      <c r="F66" s="16">
        <v>251.72413793103453</v>
      </c>
    </row>
    <row r="67" spans="1:7" x14ac:dyDescent="0.25">
      <c r="A67">
        <v>1854</v>
      </c>
      <c r="B67" s="16">
        <v>101.03950103950106</v>
      </c>
      <c r="C67" s="16">
        <v>99.616122840690991</v>
      </c>
      <c r="D67" s="16">
        <v>65.795724465558195</v>
      </c>
      <c r="E67" s="16">
        <v>101.33843212237093</v>
      </c>
      <c r="F67" s="16">
        <v>254.18719211822665</v>
      </c>
    </row>
    <row r="68" spans="1:7" x14ac:dyDescent="0.25">
      <c r="A68">
        <v>1855</v>
      </c>
      <c r="B68" s="16">
        <v>100.8298755186722</v>
      </c>
      <c r="C68" s="16">
        <v>99.808061420345496</v>
      </c>
      <c r="D68" s="16">
        <v>64.133016627078391</v>
      </c>
      <c r="E68" s="16">
        <v>102.10325047801146</v>
      </c>
      <c r="F68" s="16">
        <v>254.67980295566502</v>
      </c>
    </row>
    <row r="69" spans="1:7" x14ac:dyDescent="0.25">
      <c r="A69">
        <v>1856</v>
      </c>
      <c r="B69" s="16">
        <v>100.41322314049587</v>
      </c>
      <c r="C69" s="16">
        <v>98.848368522072946</v>
      </c>
      <c r="D69" s="16">
        <v>65.083135391924003</v>
      </c>
      <c r="E69" s="16">
        <v>101.72084130019121</v>
      </c>
      <c r="F69" s="16">
        <v>252.70935960591135</v>
      </c>
    </row>
    <row r="70" spans="1:7" x14ac:dyDescent="0.25">
      <c r="A70">
        <v>1857</v>
      </c>
      <c r="B70" s="16">
        <v>100.20618556701034</v>
      </c>
      <c r="C70" s="16">
        <v>100.38387715930904</v>
      </c>
      <c r="D70" s="16">
        <v>64.845605700712596</v>
      </c>
      <c r="E70" s="16">
        <v>104.01529636711282</v>
      </c>
      <c r="F70" s="16">
        <v>256.15763546798036</v>
      </c>
    </row>
    <row r="71" spans="1:7" x14ac:dyDescent="0.25">
      <c r="A71">
        <v>1858</v>
      </c>
      <c r="B71" s="16">
        <v>99.794661190965101</v>
      </c>
      <c r="C71" s="16">
        <v>98.656429942418427</v>
      </c>
      <c r="D71" s="16">
        <v>64.60807600950119</v>
      </c>
      <c r="E71" s="16">
        <v>100</v>
      </c>
      <c r="F71" s="16">
        <v>253.20197044334978</v>
      </c>
    </row>
    <row r="72" spans="1:7" x14ac:dyDescent="0.25">
      <c r="A72">
        <v>1859</v>
      </c>
      <c r="B72" s="16">
        <v>100</v>
      </c>
      <c r="C72" s="16">
        <v>99.04030710172745</v>
      </c>
      <c r="D72" s="16">
        <v>67.458432304038013</v>
      </c>
      <c r="E72" s="16">
        <v>99.808795411089861</v>
      </c>
      <c r="F72" s="16">
        <v>253.20197044334978</v>
      </c>
    </row>
    <row r="73" spans="1:7" x14ac:dyDescent="0.25">
      <c r="A73">
        <v>1860</v>
      </c>
      <c r="B73" s="16">
        <v>105.1948051948052</v>
      </c>
      <c r="C73" s="16">
        <v>103.64683301343571</v>
      </c>
      <c r="D73" s="16">
        <v>65.320665083135381</v>
      </c>
      <c r="E73" s="16">
        <v>105.92734225621415</v>
      </c>
      <c r="F73" s="16">
        <v>265.02463054187194</v>
      </c>
    </row>
    <row r="74" spans="1:7" x14ac:dyDescent="0.25">
      <c r="A74">
        <v>1861</v>
      </c>
      <c r="B74" s="16">
        <v>100.41322314049587</v>
      </c>
      <c r="C74" s="16">
        <v>100</v>
      </c>
      <c r="D74" s="16">
        <v>48.931116389548698</v>
      </c>
      <c r="E74" s="16">
        <v>101.52963671128106</v>
      </c>
      <c r="F74" s="16">
        <v>256.15763546798036</v>
      </c>
    </row>
    <row r="75" spans="1:7" x14ac:dyDescent="0.25">
      <c r="A75">
        <v>1862</v>
      </c>
      <c r="B75" s="16">
        <v>75.115919629057188</v>
      </c>
      <c r="C75" s="16">
        <v>73.896353166986557</v>
      </c>
      <c r="D75" s="16">
        <v>42.99287410926366</v>
      </c>
      <c r="E75" s="16">
        <v>75.717017208412997</v>
      </c>
      <c r="F75" s="16">
        <v>29.55665024630542</v>
      </c>
      <c r="G75" s="16">
        <v>73.754789272030649</v>
      </c>
    </row>
    <row r="76" spans="1:7" x14ac:dyDescent="0.25">
      <c r="A76">
        <v>1863</v>
      </c>
      <c r="B76" s="16">
        <v>65.764546684709074</v>
      </c>
      <c r="C76" s="16">
        <v>65.451055662188111</v>
      </c>
      <c r="D76" s="16">
        <v>65.083135391924003</v>
      </c>
      <c r="E76" s="16">
        <v>66.921606118546833</v>
      </c>
      <c r="F76" s="16">
        <v>26.600985221674883</v>
      </c>
      <c r="G76" s="16">
        <v>65.325670498084293</v>
      </c>
    </row>
    <row r="77" spans="1:7" x14ac:dyDescent="0.25">
      <c r="A77">
        <v>1864</v>
      </c>
      <c r="B77" s="16">
        <v>100.62111801242237</v>
      </c>
      <c r="C77" s="16">
        <v>99.232245681381954</v>
      </c>
      <c r="D77" s="16">
        <v>65.320665083135381</v>
      </c>
      <c r="E77" s="16">
        <v>101.91204588910132</v>
      </c>
      <c r="F77" s="16">
        <v>44.334975369458135</v>
      </c>
      <c r="G77" s="16">
        <v>98.850574712643692</v>
      </c>
    </row>
    <row r="78" spans="1:7" x14ac:dyDescent="0.25">
      <c r="A78">
        <v>1865</v>
      </c>
      <c r="B78" s="16">
        <v>100.41322314049587</v>
      </c>
      <c r="C78" s="16">
        <v>98.272552783109418</v>
      </c>
      <c r="D78" s="16">
        <v>64.845605700712596</v>
      </c>
      <c r="E78" s="16">
        <v>100.95602294455065</v>
      </c>
      <c r="F78" s="16">
        <v>45.320197044334982</v>
      </c>
      <c r="G78" s="16">
        <v>99.042145593869733</v>
      </c>
    </row>
    <row r="79" spans="1:7" x14ac:dyDescent="0.25">
      <c r="A79">
        <v>1866</v>
      </c>
      <c r="B79" s="16">
        <v>101.03950103950106</v>
      </c>
      <c r="C79" s="16">
        <v>98.464491362763923</v>
      </c>
      <c r="D79" s="16">
        <v>65.795724465558195</v>
      </c>
      <c r="E79" s="16">
        <v>108.22179732313575</v>
      </c>
      <c r="F79" s="16">
        <v>45.320197044334982</v>
      </c>
      <c r="G79" s="16">
        <v>99.42528735632186</v>
      </c>
    </row>
    <row r="80" spans="1:7" x14ac:dyDescent="0.25">
      <c r="A80">
        <v>1867</v>
      </c>
      <c r="B80" s="16">
        <v>99.183673469387756</v>
      </c>
      <c r="C80" s="16">
        <v>98.464491362763923</v>
      </c>
      <c r="D80" s="16">
        <v>66.033254156769601</v>
      </c>
      <c r="E80" s="16">
        <v>110.89866156787762</v>
      </c>
      <c r="F80" s="16">
        <v>44.827586206896555</v>
      </c>
      <c r="G80" s="16">
        <v>99.042145593869733</v>
      </c>
    </row>
    <row r="81" spans="1:7" x14ac:dyDescent="0.25">
      <c r="A81">
        <v>1868</v>
      </c>
      <c r="B81" s="16">
        <v>99.794661190965101</v>
      </c>
      <c r="C81" s="16">
        <v>98.848368522072946</v>
      </c>
      <c r="D81" s="16">
        <v>65.795724465558195</v>
      </c>
      <c r="E81" s="16">
        <v>106.69216061185467</v>
      </c>
      <c r="F81" s="16">
        <v>46.305418719211829</v>
      </c>
      <c r="G81" s="16">
        <v>99.42528735632186</v>
      </c>
    </row>
    <row r="82" spans="1:7" x14ac:dyDescent="0.25">
      <c r="A82">
        <v>1869</v>
      </c>
      <c r="B82" s="16">
        <v>100</v>
      </c>
      <c r="C82" s="16">
        <v>98.848368522072946</v>
      </c>
      <c r="D82" s="16">
        <v>66.033254156769601</v>
      </c>
      <c r="E82" s="16">
        <v>105.73613766730401</v>
      </c>
      <c r="F82" s="16">
        <v>45.320197044334982</v>
      </c>
      <c r="G82" s="16">
        <v>99.23371647509579</v>
      </c>
    </row>
    <row r="83" spans="1:7" x14ac:dyDescent="0.25">
      <c r="A83">
        <v>1870</v>
      </c>
      <c r="B83" s="16">
        <v>99.794661190965101</v>
      </c>
      <c r="C83" s="16">
        <v>100.38387715930904</v>
      </c>
      <c r="D83" s="16">
        <v>65.083135391924003</v>
      </c>
      <c r="E83" s="16">
        <v>105.92734225621415</v>
      </c>
      <c r="F83" s="16">
        <v>44.334975369458135</v>
      </c>
      <c r="G83" s="16">
        <v>98.659003831417635</v>
      </c>
    </row>
    <row r="84" spans="1:7" x14ac:dyDescent="0.25">
      <c r="A84">
        <v>1871</v>
      </c>
      <c r="B84" s="16">
        <v>99.590163934426243</v>
      </c>
      <c r="C84" s="16">
        <v>101.34357005758159</v>
      </c>
      <c r="D84" s="16">
        <v>66.983372921615199</v>
      </c>
      <c r="E84" s="16">
        <v>107.07456978967494</v>
      </c>
      <c r="F84" s="16">
        <v>44.827586206896555</v>
      </c>
      <c r="G84" s="16">
        <v>99.23371647509579</v>
      </c>
    </row>
    <row r="85" spans="1:7" x14ac:dyDescent="0.25">
      <c r="A85">
        <v>1872</v>
      </c>
      <c r="B85" s="16">
        <v>99.386503067484682</v>
      </c>
      <c r="C85" s="16">
        <v>100.38387715930904</v>
      </c>
      <c r="D85" s="16">
        <v>97.862232779097397</v>
      </c>
      <c r="E85" s="16">
        <v>112.61950286806881</v>
      </c>
      <c r="F85" s="16">
        <v>44.827586206896555</v>
      </c>
      <c r="G85" s="16">
        <v>99.42528735632186</v>
      </c>
    </row>
    <row r="86" spans="1:7" x14ac:dyDescent="0.25">
      <c r="A86">
        <v>1873</v>
      </c>
      <c r="B86" s="16">
        <v>99.590163934426243</v>
      </c>
      <c r="C86" s="16">
        <v>99.232245681381954</v>
      </c>
      <c r="D86" s="16">
        <v>98.337292161520182</v>
      </c>
      <c r="E86" s="16">
        <v>116.63479923518163</v>
      </c>
      <c r="F86" s="16">
        <v>47.783251231527096</v>
      </c>
      <c r="G86" s="16">
        <v>99.042145593869733</v>
      </c>
    </row>
    <row r="87" spans="1:7" x14ac:dyDescent="0.25">
      <c r="A87">
        <v>1874</v>
      </c>
      <c r="B87" s="16">
        <v>99.183673469387756</v>
      </c>
      <c r="C87" s="16">
        <v>98.464491362763923</v>
      </c>
      <c r="D87" s="16">
        <v>98.812351543942995</v>
      </c>
      <c r="E87" s="16">
        <v>110.32504780114721</v>
      </c>
      <c r="F87" s="16">
        <v>47.783251231527096</v>
      </c>
      <c r="G87" s="16">
        <v>98.275862068965523</v>
      </c>
    </row>
    <row r="88" spans="1:7" x14ac:dyDescent="0.25">
      <c r="A88">
        <v>1875</v>
      </c>
      <c r="B88" s="16">
        <v>99.386503067484682</v>
      </c>
      <c r="C88" s="16">
        <v>98.848368522072946</v>
      </c>
      <c r="D88" s="16">
        <v>98.574821852731603</v>
      </c>
      <c r="E88" s="16">
        <v>108.03059273422562</v>
      </c>
      <c r="F88" s="16">
        <v>49.26108374384237</v>
      </c>
      <c r="G88" s="16">
        <v>98.659003831417635</v>
      </c>
    </row>
    <row r="89" spans="1:7" x14ac:dyDescent="0.25">
      <c r="A89">
        <v>1876</v>
      </c>
      <c r="B89" s="16">
        <v>100.41322314049587</v>
      </c>
      <c r="C89" s="16">
        <v>99.616122840690991</v>
      </c>
      <c r="D89" s="16">
        <v>100</v>
      </c>
      <c r="E89" s="16">
        <v>110.32504780114721</v>
      </c>
      <c r="F89" s="16">
        <v>48.275862068965516</v>
      </c>
      <c r="G89" s="16">
        <v>99.42528735632186</v>
      </c>
    </row>
    <row r="90" spans="1:7" x14ac:dyDescent="0.25">
      <c r="A90">
        <v>1877</v>
      </c>
      <c r="B90" s="16">
        <v>100</v>
      </c>
      <c r="C90" s="16">
        <v>99.616122840690991</v>
      </c>
      <c r="D90" s="16">
        <v>100.23752969121141</v>
      </c>
      <c r="E90" s="16">
        <v>109.56022944550669</v>
      </c>
      <c r="F90" s="16">
        <v>51.231527093596064</v>
      </c>
      <c r="G90" s="16">
        <v>99.42528735632186</v>
      </c>
    </row>
    <row r="91" spans="1:7" x14ac:dyDescent="0.25">
      <c r="A91">
        <v>1878</v>
      </c>
      <c r="B91" s="16">
        <v>99.590163934426243</v>
      </c>
      <c r="C91" s="16">
        <v>99.616122840690991</v>
      </c>
      <c r="D91" s="16">
        <v>99.762470308788608</v>
      </c>
      <c r="E91" s="16">
        <v>106.11854684512427</v>
      </c>
      <c r="F91" s="16">
        <v>53.201970443349765</v>
      </c>
      <c r="G91" s="16">
        <v>99.42528735632186</v>
      </c>
    </row>
    <row r="92" spans="1:7" x14ac:dyDescent="0.25">
      <c r="A92">
        <v>1879</v>
      </c>
      <c r="B92" s="16">
        <v>100.41322314049587</v>
      </c>
      <c r="C92" s="16">
        <v>99.808061420345496</v>
      </c>
      <c r="D92" s="16">
        <v>99.762470308788608</v>
      </c>
      <c r="E92" s="16">
        <v>113.76673040152963</v>
      </c>
      <c r="F92" s="16">
        <v>53.694581280788192</v>
      </c>
      <c r="G92" s="16">
        <v>99.42528735632186</v>
      </c>
    </row>
    <row r="93" spans="1:7" x14ac:dyDescent="0.25">
      <c r="A93">
        <v>1880</v>
      </c>
      <c r="B93" s="16">
        <v>100.8298755186722</v>
      </c>
      <c r="C93" s="16">
        <v>100.57581573896353</v>
      </c>
      <c r="D93" s="16">
        <v>100.23752969121141</v>
      </c>
      <c r="E93" s="16">
        <v>106.30975143403441</v>
      </c>
      <c r="F93" s="16">
        <v>54.679802955665039</v>
      </c>
      <c r="G93" s="16">
        <v>99.808429118773958</v>
      </c>
    </row>
    <row r="94" spans="1:7" x14ac:dyDescent="0.25">
      <c r="A94">
        <v>1881</v>
      </c>
      <c r="B94" s="16">
        <v>100.20618556701034</v>
      </c>
      <c r="C94" s="16">
        <v>99.808061420345496</v>
      </c>
      <c r="D94" s="16">
        <v>100</v>
      </c>
      <c r="E94" s="16">
        <v>103.25047801147227</v>
      </c>
      <c r="F94" s="16">
        <v>54.679802955665039</v>
      </c>
      <c r="G94" s="16">
        <v>99.616858237547902</v>
      </c>
    </row>
    <row r="95" spans="1:7" x14ac:dyDescent="0.25">
      <c r="A95">
        <v>1882</v>
      </c>
      <c r="B95" s="16">
        <v>100.20618556701034</v>
      </c>
      <c r="C95" s="16">
        <v>97.504798464491358</v>
      </c>
      <c r="D95" s="16">
        <v>99.524940617577201</v>
      </c>
      <c r="E95" s="16">
        <v>101.52963671128106</v>
      </c>
      <c r="F95" s="16">
        <v>55.665024630541872</v>
      </c>
      <c r="G95" s="16">
        <v>100.19157088122608</v>
      </c>
    </row>
    <row r="96" spans="1:7" x14ac:dyDescent="0.25">
      <c r="A96">
        <v>1883</v>
      </c>
      <c r="B96" s="16">
        <v>100.20618556701034</v>
      </c>
      <c r="C96" s="16">
        <v>99.808061420345496</v>
      </c>
      <c r="D96" s="16">
        <v>99.762470308788608</v>
      </c>
      <c r="E96" s="16">
        <v>100.38240917782026</v>
      </c>
      <c r="F96" s="16">
        <v>54.187192118226612</v>
      </c>
      <c r="G96" s="16">
        <v>100.57471264367817</v>
      </c>
    </row>
    <row r="97" spans="1:7" x14ac:dyDescent="0.25">
      <c r="A97">
        <v>1884</v>
      </c>
      <c r="B97" s="16">
        <v>100.20618556701034</v>
      </c>
      <c r="C97" s="16">
        <v>100.19193857965452</v>
      </c>
      <c r="D97" s="16">
        <v>100</v>
      </c>
      <c r="E97" s="16">
        <v>101.14722753346079</v>
      </c>
      <c r="F97" s="16">
        <v>56.157635467980292</v>
      </c>
      <c r="G97" s="16">
        <v>100.95785440613025</v>
      </c>
    </row>
    <row r="98" spans="1:7" x14ac:dyDescent="0.25">
      <c r="A98">
        <v>1885</v>
      </c>
      <c r="B98" s="16">
        <v>99.386503067484682</v>
      </c>
      <c r="C98" s="16">
        <v>99.616122840690991</v>
      </c>
      <c r="D98" s="16">
        <v>99.524940617577201</v>
      </c>
      <c r="E98" s="16">
        <v>100.19120458891013</v>
      </c>
      <c r="F98" s="16">
        <v>59.605911330049267</v>
      </c>
      <c r="G98" s="16">
        <v>99.808429118773958</v>
      </c>
    </row>
    <row r="99" spans="1:7" x14ac:dyDescent="0.25">
      <c r="A99">
        <v>1886</v>
      </c>
      <c r="B99" s="16">
        <v>100.41322314049587</v>
      </c>
      <c r="C99" s="16">
        <v>100.38387715930904</v>
      </c>
      <c r="D99" s="16">
        <v>100</v>
      </c>
      <c r="E99" s="16">
        <v>101.52963671128106</v>
      </c>
      <c r="F99" s="16">
        <v>62.561576354679815</v>
      </c>
      <c r="G99" s="16">
        <v>101.14942528735634</v>
      </c>
    </row>
    <row r="100" spans="1:7" x14ac:dyDescent="0.25">
      <c r="A100">
        <v>1887</v>
      </c>
      <c r="B100" s="16">
        <v>99.794661190965101</v>
      </c>
      <c r="C100" s="16">
        <v>100.19193857965452</v>
      </c>
      <c r="D100" s="16">
        <v>99.762470308788608</v>
      </c>
      <c r="E100" s="16">
        <v>102.10325047801146</v>
      </c>
      <c r="F100" s="16">
        <v>64.039408866995089</v>
      </c>
      <c r="G100" s="16">
        <v>100.57471264367817</v>
      </c>
    </row>
    <row r="101" spans="1:7" x14ac:dyDescent="0.25">
      <c r="A101">
        <v>1888</v>
      </c>
      <c r="B101" s="16">
        <v>99.386503067484682</v>
      </c>
      <c r="C101" s="16">
        <v>99.424184261036459</v>
      </c>
      <c r="D101" s="16">
        <v>99.049881235154388</v>
      </c>
      <c r="E101" s="16">
        <v>101.33843212237093</v>
      </c>
      <c r="F101" s="16">
        <v>65.024630541871929</v>
      </c>
      <c r="G101" s="16">
        <v>99.42528735632186</v>
      </c>
    </row>
    <row r="102" spans="1:7" x14ac:dyDescent="0.25">
      <c r="A102">
        <v>1889</v>
      </c>
      <c r="B102" s="16">
        <v>100.20618556701034</v>
      </c>
      <c r="C102" s="16">
        <v>99.424184261036459</v>
      </c>
      <c r="D102" s="16">
        <v>99.762470308788608</v>
      </c>
      <c r="E102" s="16">
        <v>102.29445506692159</v>
      </c>
      <c r="F102" s="16">
        <v>62.561576354679815</v>
      </c>
      <c r="G102" s="16">
        <v>99.616858237547902</v>
      </c>
    </row>
    <row r="103" spans="1:7" x14ac:dyDescent="0.25">
      <c r="A103">
        <v>1890</v>
      </c>
      <c r="B103" s="16">
        <v>100</v>
      </c>
      <c r="C103" s="16">
        <v>99.808061420345496</v>
      </c>
      <c r="D103" s="16">
        <v>100</v>
      </c>
      <c r="E103" s="16">
        <v>104.01529636711282</v>
      </c>
      <c r="F103" s="16">
        <v>59.11330049261084</v>
      </c>
      <c r="G103" s="16">
        <v>99.808429118773958</v>
      </c>
    </row>
    <row r="104" spans="1:7" x14ac:dyDescent="0.25">
      <c r="A104">
        <v>1891</v>
      </c>
      <c r="B104" s="16">
        <v>100.41322314049587</v>
      </c>
      <c r="C104" s="16">
        <v>99.424184261036459</v>
      </c>
      <c r="D104" s="16">
        <v>99.762470308788608</v>
      </c>
      <c r="E104" s="16">
        <v>106.11854684512427</v>
      </c>
      <c r="F104" s="16">
        <v>64.039408866995089</v>
      </c>
      <c r="G104" s="16">
        <v>99.616858237547902</v>
      </c>
    </row>
    <row r="105" spans="1:7" x14ac:dyDescent="0.25">
      <c r="A105">
        <v>1892</v>
      </c>
      <c r="B105" s="16">
        <v>99.386503067484682</v>
      </c>
      <c r="C105" s="16">
        <v>99.04030710172745</v>
      </c>
      <c r="D105" s="16">
        <v>99.049881235154388</v>
      </c>
      <c r="E105" s="16">
        <v>104.39770554493306</v>
      </c>
      <c r="F105" s="16">
        <v>71.428571428571431</v>
      </c>
      <c r="G105" s="16">
        <v>98.467432950191565</v>
      </c>
    </row>
    <row r="106" spans="1:7" x14ac:dyDescent="0.25">
      <c r="A106">
        <v>1893</v>
      </c>
      <c r="B106" s="16">
        <v>99.794661190965101</v>
      </c>
      <c r="C106" s="16">
        <v>99.232245681381954</v>
      </c>
      <c r="D106" s="16">
        <v>99.287410926365794</v>
      </c>
      <c r="E106" s="16">
        <v>118.1644359464627</v>
      </c>
      <c r="F106" s="16">
        <v>88.66995073891627</v>
      </c>
      <c r="G106" s="16">
        <v>99.042145593869733</v>
      </c>
    </row>
    <row r="107" spans="1:7" x14ac:dyDescent="0.25">
      <c r="A107">
        <v>1894</v>
      </c>
      <c r="B107" s="16">
        <v>99.590163934426243</v>
      </c>
      <c r="C107" s="16">
        <v>98.848368522072946</v>
      </c>
      <c r="D107" s="16">
        <v>99.287410926365794</v>
      </c>
      <c r="E107" s="16">
        <v>108.79541108986615</v>
      </c>
      <c r="F107" s="16">
        <v>102.46305418719213</v>
      </c>
      <c r="G107" s="16">
        <v>99.42528735632186</v>
      </c>
    </row>
    <row r="108" spans="1:7" x14ac:dyDescent="0.25">
      <c r="A108">
        <v>1895</v>
      </c>
      <c r="B108" s="16">
        <v>99.386503067484682</v>
      </c>
      <c r="C108" s="16">
        <v>98.656429942418427</v>
      </c>
      <c r="D108" s="16">
        <v>99.762470308788608</v>
      </c>
      <c r="E108" s="16">
        <v>108.98661567877627</v>
      </c>
      <c r="F108" s="16">
        <v>95.073891625615772</v>
      </c>
      <c r="G108" s="16">
        <v>99.042145593869733</v>
      </c>
    </row>
    <row r="109" spans="1:7" x14ac:dyDescent="0.25">
      <c r="A109">
        <v>1896</v>
      </c>
      <c r="B109" s="16">
        <v>99.794661190965101</v>
      </c>
      <c r="C109" s="16">
        <v>99.04030710172745</v>
      </c>
      <c r="D109" s="16">
        <v>99.524940617577201</v>
      </c>
      <c r="E109" s="16">
        <v>107.83938814531547</v>
      </c>
      <c r="F109" s="16">
        <v>95.566502463054192</v>
      </c>
      <c r="G109" s="16">
        <v>99.42528735632186</v>
      </c>
    </row>
    <row r="110" spans="1:7" x14ac:dyDescent="0.25">
      <c r="A110">
        <v>1897</v>
      </c>
      <c r="B110" s="16">
        <v>100</v>
      </c>
      <c r="C110" s="16">
        <v>99.616122840690991</v>
      </c>
      <c r="D110" s="16">
        <v>99.524940617577201</v>
      </c>
      <c r="E110" s="16">
        <v>106.69216061185467</v>
      </c>
      <c r="F110" s="16">
        <v>101.47783251231527</v>
      </c>
      <c r="G110" s="16">
        <v>99.808429118773958</v>
      </c>
    </row>
    <row r="111" spans="1:7" x14ac:dyDescent="0.25">
      <c r="A111">
        <v>1898</v>
      </c>
      <c r="B111" s="16">
        <v>100.20618556701034</v>
      </c>
      <c r="C111" s="16">
        <v>100</v>
      </c>
      <c r="D111" s="16">
        <v>100.23752969121141</v>
      </c>
      <c r="E111" s="16">
        <v>109.56022944550669</v>
      </c>
      <c r="F111" s="16">
        <v>100</v>
      </c>
      <c r="G111" s="16">
        <v>100.38314176245211</v>
      </c>
    </row>
    <row r="112" spans="1:7" x14ac:dyDescent="0.25">
      <c r="A112">
        <v>1899</v>
      </c>
      <c r="B112" s="16">
        <v>99.386503067484682</v>
      </c>
      <c r="C112" s="16">
        <v>99.424184261036459</v>
      </c>
      <c r="D112" s="16">
        <v>100</v>
      </c>
      <c r="E112" s="16">
        <v>110.13384321223707</v>
      </c>
      <c r="F112" s="16">
        <v>99.507389162561594</v>
      </c>
      <c r="G112" s="16">
        <v>99.808429118773958</v>
      </c>
    </row>
    <row r="113" spans="1:7" x14ac:dyDescent="0.25">
      <c r="A113">
        <v>1900</v>
      </c>
      <c r="B113" s="16">
        <v>100.20618556701034</v>
      </c>
      <c r="C113" s="16">
        <v>99.04030710172745</v>
      </c>
      <c r="D113" s="16">
        <v>99.762470308788608</v>
      </c>
      <c r="E113" s="16">
        <v>108.22179732313575</v>
      </c>
      <c r="F113" s="16">
        <v>100</v>
      </c>
      <c r="G113" s="16">
        <v>99.42528735632186</v>
      </c>
    </row>
    <row r="114" spans="1:7" x14ac:dyDescent="0.25">
      <c r="A114">
        <v>1901</v>
      </c>
      <c r="B114" s="16">
        <v>100</v>
      </c>
      <c r="C114" s="16">
        <v>98.656429942418427</v>
      </c>
      <c r="D114" s="16">
        <v>99.287410926365794</v>
      </c>
      <c r="E114" s="16">
        <v>102.48565965583174</v>
      </c>
      <c r="F114" s="16">
        <v>100</v>
      </c>
      <c r="G114" s="16">
        <v>99.23371647509579</v>
      </c>
    </row>
    <row r="115" spans="1:7" x14ac:dyDescent="0.25">
      <c r="A115">
        <v>1902</v>
      </c>
      <c r="B115" s="16">
        <v>99.590163934426243</v>
      </c>
      <c r="C115" s="16">
        <v>98.656429942418427</v>
      </c>
      <c r="D115" s="16">
        <v>99.524940617577201</v>
      </c>
      <c r="E115" s="16">
        <v>100</v>
      </c>
      <c r="F115" s="16">
        <v>98.52216748768474</v>
      </c>
      <c r="G115" s="16">
        <v>99.23371647509579</v>
      </c>
    </row>
    <row r="116" spans="1:7" x14ac:dyDescent="0.25">
      <c r="A116">
        <v>1903</v>
      </c>
      <c r="B116" s="16">
        <v>100.41322314049587</v>
      </c>
      <c r="C116" s="16">
        <v>99.616122840690991</v>
      </c>
      <c r="D116" s="16">
        <v>100.23752969121141</v>
      </c>
      <c r="E116" s="16">
        <v>100.38240917782026</v>
      </c>
      <c r="F116" s="16">
        <v>100.49261083743843</v>
      </c>
      <c r="G116" s="16">
        <v>99.616858237547902</v>
      </c>
    </row>
    <row r="117" spans="1:7" x14ac:dyDescent="0.25">
      <c r="A117">
        <v>1904</v>
      </c>
      <c r="B117" s="16">
        <v>99.590163934426243</v>
      </c>
      <c r="C117" s="16">
        <v>98.848368522072946</v>
      </c>
      <c r="D117" s="16">
        <v>99.287410926365794</v>
      </c>
      <c r="E117" s="16">
        <v>100</v>
      </c>
      <c r="F117" s="16">
        <v>100.49261083743843</v>
      </c>
      <c r="G117" s="16">
        <v>99.042145593869733</v>
      </c>
    </row>
    <row r="118" spans="1:7" x14ac:dyDescent="0.25">
      <c r="A118">
        <v>1905</v>
      </c>
      <c r="B118" s="16">
        <v>100</v>
      </c>
      <c r="C118" s="16">
        <v>98.656429942418427</v>
      </c>
      <c r="D118" s="16">
        <v>99.287410926365794</v>
      </c>
      <c r="E118" s="16">
        <v>99.808795411089861</v>
      </c>
      <c r="F118" s="16">
        <v>99.01477832512316</v>
      </c>
      <c r="G118" s="16">
        <v>98.850574712643692</v>
      </c>
    </row>
    <row r="119" spans="1:7" x14ac:dyDescent="0.25">
      <c r="A119">
        <v>1906</v>
      </c>
      <c r="B119" s="16">
        <v>100.41322314049587</v>
      </c>
      <c r="C119" s="16">
        <v>99.808061420345496</v>
      </c>
      <c r="D119" s="16">
        <v>100.23752969121141</v>
      </c>
      <c r="E119" s="16">
        <v>100.76481835564053</v>
      </c>
      <c r="F119" s="16">
        <v>100</v>
      </c>
      <c r="G119" s="16">
        <v>99.616858237547902</v>
      </c>
    </row>
    <row r="120" spans="1:7" x14ac:dyDescent="0.25">
      <c r="A120">
        <v>1907</v>
      </c>
      <c r="B120" s="16">
        <v>99.794661190965101</v>
      </c>
      <c r="C120" s="16">
        <v>99.232245681381954</v>
      </c>
      <c r="D120" s="16">
        <v>99.762470308788608</v>
      </c>
      <c r="E120" s="16">
        <v>100.76481835564053</v>
      </c>
      <c r="F120" s="16">
        <v>100</v>
      </c>
      <c r="G120" s="16">
        <v>99.23371647509579</v>
      </c>
    </row>
    <row r="121" spans="1:7" x14ac:dyDescent="0.25">
      <c r="A121">
        <v>1908</v>
      </c>
      <c r="B121" s="16">
        <v>99.794661190965101</v>
      </c>
      <c r="C121" s="16">
        <v>98.848368522072946</v>
      </c>
      <c r="D121" s="16">
        <v>99.762470308788608</v>
      </c>
      <c r="E121" s="16">
        <v>100.19120458891013</v>
      </c>
      <c r="F121" s="16">
        <v>99.507389162561594</v>
      </c>
      <c r="G121" s="16">
        <v>98.850574712643692</v>
      </c>
    </row>
    <row r="122" spans="1:7" x14ac:dyDescent="0.25">
      <c r="A122">
        <v>1909</v>
      </c>
      <c r="B122" s="16">
        <v>99.590163934426243</v>
      </c>
      <c r="C122" s="16">
        <v>99.04030710172745</v>
      </c>
      <c r="D122" s="16">
        <v>99.524940617577201</v>
      </c>
      <c r="E122" s="16">
        <v>99.426386233269596</v>
      </c>
      <c r="F122" s="16">
        <v>99.507389162561594</v>
      </c>
      <c r="G122" s="16">
        <v>98.850574712643692</v>
      </c>
    </row>
    <row r="123" spans="1:7" x14ac:dyDescent="0.25">
      <c r="A123">
        <v>1910</v>
      </c>
      <c r="B123" s="16">
        <v>100</v>
      </c>
      <c r="C123" s="16">
        <v>99.808061420345496</v>
      </c>
      <c r="D123" s="16">
        <v>99.762470308788608</v>
      </c>
      <c r="E123" s="16">
        <v>99.617590822179721</v>
      </c>
      <c r="F123" s="16">
        <v>100</v>
      </c>
      <c r="G123" s="16">
        <v>99.616858237547902</v>
      </c>
    </row>
    <row r="124" spans="1:7" x14ac:dyDescent="0.25">
      <c r="A124">
        <v>1911</v>
      </c>
      <c r="B124" s="16">
        <v>99.794661190965101</v>
      </c>
      <c r="C124" s="16">
        <v>99.424184261036459</v>
      </c>
      <c r="D124" s="16">
        <v>99.762470308788608</v>
      </c>
      <c r="E124" s="16">
        <v>99.808795411089861</v>
      </c>
      <c r="F124" s="16">
        <v>100</v>
      </c>
      <c r="G124" s="16">
        <v>99.42528735632186</v>
      </c>
    </row>
    <row r="125" spans="1:7" x14ac:dyDescent="0.25">
      <c r="A125">
        <v>1912</v>
      </c>
      <c r="B125" s="16">
        <v>99.794661190965101</v>
      </c>
      <c r="C125" s="16">
        <v>99.424184261036459</v>
      </c>
      <c r="D125" s="16">
        <v>99.762470308788608</v>
      </c>
      <c r="E125" s="16">
        <v>100.5736137667304</v>
      </c>
      <c r="F125" s="16">
        <v>99.507389162561594</v>
      </c>
      <c r="G125" s="16">
        <v>99.808429118773958</v>
      </c>
    </row>
    <row r="126" spans="1:7" x14ac:dyDescent="0.25">
      <c r="A126">
        <v>1913</v>
      </c>
      <c r="B126" s="16">
        <v>100</v>
      </c>
      <c r="C126" s="16">
        <v>100</v>
      </c>
      <c r="D126" s="16">
        <v>100</v>
      </c>
      <c r="E126" s="16">
        <v>100</v>
      </c>
      <c r="F126" s="16">
        <v>100</v>
      </c>
      <c r="G126" s="16">
        <v>100</v>
      </c>
    </row>
    <row r="127" spans="1:7" x14ac:dyDescent="0.25">
      <c r="A127">
        <v>1914</v>
      </c>
      <c r="B127" s="16">
        <v>99.590163934426243</v>
      </c>
      <c r="C127" s="16">
        <v>98.656429942418427</v>
      </c>
      <c r="D127" s="16">
        <v>106.41330166270787</v>
      </c>
      <c r="E127" s="16">
        <v>101.33843212237093</v>
      </c>
      <c r="F127" s="16">
        <v>100.49261083743843</v>
      </c>
      <c r="G127" s="16">
        <v>99.808429118773958</v>
      </c>
    </row>
    <row r="128" spans="1:7" x14ac:dyDescent="0.25">
      <c r="A128">
        <v>1915</v>
      </c>
      <c r="B128" s="16">
        <v>102.74841437632136</v>
      </c>
      <c r="C128" s="16">
        <v>112.09213051823417</v>
      </c>
      <c r="D128" s="16">
        <v>122.32779097387174</v>
      </c>
      <c r="E128" s="16">
        <v>125.62141491395793</v>
      </c>
      <c r="F128" s="16">
        <v>100</v>
      </c>
      <c r="G128" s="16">
        <v>101.34099616858239</v>
      </c>
    </row>
    <row r="129" spans="1:7" x14ac:dyDescent="0.25">
      <c r="A129">
        <v>1916</v>
      </c>
      <c r="B129" s="16">
        <v>102.10084033613447</v>
      </c>
      <c r="C129" s="16">
        <v>112.09213051823417</v>
      </c>
      <c r="D129" s="16">
        <v>135.15439429928742</v>
      </c>
      <c r="E129" s="16">
        <v>131.1663479923518</v>
      </c>
      <c r="F129" s="16">
        <v>96.551724137931032</v>
      </c>
      <c r="G129" s="16">
        <v>96.36015325670499</v>
      </c>
    </row>
    <row r="130" spans="1:7" x14ac:dyDescent="0.25">
      <c r="A130">
        <v>1917</v>
      </c>
      <c r="B130" s="16">
        <v>102.10084033613447</v>
      </c>
      <c r="C130" s="16">
        <v>109.59692898272553</v>
      </c>
      <c r="D130" s="16">
        <v>135.39192399049881</v>
      </c>
      <c r="E130" s="16">
        <v>158.31739961759078</v>
      </c>
      <c r="F130" s="16">
        <v>95.073891625615772</v>
      </c>
      <c r="G130" s="16">
        <v>83.524904214559399</v>
      </c>
    </row>
    <row r="131" spans="1:7" x14ac:dyDescent="0.25">
      <c r="A131">
        <v>1918</v>
      </c>
      <c r="B131" s="16">
        <v>101.88679245283021</v>
      </c>
      <c r="C131" s="16">
        <v>104.60652591170825</v>
      </c>
      <c r="D131" s="16">
        <v>198.81235154394295</v>
      </c>
      <c r="E131" s="16">
        <v>121.03250478011472</v>
      </c>
      <c r="F131" s="16">
        <v>93.103448275862078</v>
      </c>
      <c r="G131" s="16">
        <v>92.911877394636008</v>
      </c>
    </row>
    <row r="132" spans="1:7" x14ac:dyDescent="0.25">
      <c r="A132">
        <v>1919</v>
      </c>
      <c r="B132" s="16">
        <v>127.55905511811025</v>
      </c>
      <c r="C132" s="16">
        <v>207.6775431861804</v>
      </c>
      <c r="D132" s="16">
        <v>1131.1163895486934</v>
      </c>
      <c r="E132" s="16">
        <v>250.09560229445506</v>
      </c>
      <c r="F132" s="16">
        <v>97.536945812807886</v>
      </c>
      <c r="G132" s="16">
        <v>103.06513409961686</v>
      </c>
    </row>
    <row r="133" spans="1:7" x14ac:dyDescent="0.25">
      <c r="A133">
        <v>1920</v>
      </c>
      <c r="B133" s="16">
        <v>139.25501432664757</v>
      </c>
      <c r="C133" s="16">
        <v>324.18426103646834</v>
      </c>
      <c r="D133" s="16">
        <v>1733.7292161520188</v>
      </c>
      <c r="E133" s="16">
        <v>546.46271510516249</v>
      </c>
      <c r="F133" s="16">
        <v>98.02955665024632</v>
      </c>
      <c r="G133" s="16">
        <v>124.32950191570882</v>
      </c>
    </row>
    <row r="134" spans="1:7" x14ac:dyDescent="0.25">
      <c r="A134">
        <v>1921</v>
      </c>
      <c r="B134" s="16">
        <v>116.82692307692308</v>
      </c>
      <c r="C134" s="16">
        <v>244.72168905950099</v>
      </c>
      <c r="D134" s="16">
        <v>4517.5771971496442</v>
      </c>
      <c r="E134" s="16">
        <v>434.03441682600379</v>
      </c>
      <c r="F134" s="16">
        <v>102.95566502463053</v>
      </c>
      <c r="G134" s="16">
        <v>98.659003831417635</v>
      </c>
    </row>
    <row r="135" spans="1:7" x14ac:dyDescent="0.25">
      <c r="A135">
        <v>1922</v>
      </c>
      <c r="B135" s="16">
        <v>105.4229934924078</v>
      </c>
      <c r="C135" s="16">
        <v>265.45105566218814</v>
      </c>
      <c r="D135" s="16">
        <v>174654.15676959619</v>
      </c>
      <c r="E135" s="16">
        <v>380.11472275334603</v>
      </c>
      <c r="F135" s="16">
        <v>100.98522167487684</v>
      </c>
      <c r="G135" s="16">
        <v>101.14942528735634</v>
      </c>
    </row>
    <row r="136" spans="1:7" x14ac:dyDescent="0.25">
      <c r="A136">
        <v>1923</v>
      </c>
      <c r="B136" s="16">
        <v>111.46788990825689</v>
      </c>
      <c r="C136" s="16">
        <v>365.64299424184259</v>
      </c>
      <c r="D136" s="16">
        <v>10463862422.802851</v>
      </c>
      <c r="E136" s="16">
        <v>440.53537284894827</v>
      </c>
      <c r="F136" s="16">
        <v>104.92610837438423</v>
      </c>
      <c r="G136" s="16">
        <v>109.57854406130268</v>
      </c>
    </row>
    <row r="137" spans="1:7" x14ac:dyDescent="0.25">
      <c r="A137">
        <v>1924</v>
      </c>
      <c r="B137" s="16">
        <v>103.40425531914894</v>
      </c>
      <c r="C137" s="16">
        <v>355.47024952015357</v>
      </c>
      <c r="D137" s="16">
        <v>99.762470308788608</v>
      </c>
      <c r="E137" s="16">
        <v>444.55066921606112</v>
      </c>
      <c r="F137" s="16">
        <v>128.07881773399018</v>
      </c>
      <c r="G137" s="16">
        <v>98.850574712643692</v>
      </c>
    </row>
    <row r="138" spans="1:7" x14ac:dyDescent="0.25">
      <c r="A138">
        <v>1925</v>
      </c>
      <c r="B138" s="16">
        <v>100.20618556701034</v>
      </c>
      <c r="C138" s="16">
        <v>513.81957773512477</v>
      </c>
      <c r="D138" s="16">
        <v>99.762470308788608</v>
      </c>
      <c r="E138" s="16">
        <v>474.37858508604205</v>
      </c>
      <c r="F138" s="16">
        <v>114.28571428571428</v>
      </c>
      <c r="G138" s="16">
        <v>99.23371647509579</v>
      </c>
    </row>
    <row r="139" spans="1:7" x14ac:dyDescent="0.25">
      <c r="A139">
        <v>1926</v>
      </c>
      <c r="B139" s="16">
        <v>100.20618556701034</v>
      </c>
      <c r="C139" s="16">
        <v>485.98848368522073</v>
      </c>
      <c r="D139" s="16">
        <v>99.762470308788608</v>
      </c>
      <c r="E139" s="16">
        <v>431.1663479923518</v>
      </c>
      <c r="F139" s="16">
        <v>100.49261083743843</v>
      </c>
      <c r="G139" s="16">
        <v>99.23371647509579</v>
      </c>
    </row>
    <row r="140" spans="1:7" x14ac:dyDescent="0.25">
      <c r="A140">
        <v>1927</v>
      </c>
      <c r="B140" s="16">
        <v>99.590163934426243</v>
      </c>
      <c r="C140" s="16">
        <v>487.14011516314775</v>
      </c>
      <c r="D140" s="16">
        <v>99.524940617577201</v>
      </c>
      <c r="E140" s="16">
        <v>355.44933078393876</v>
      </c>
      <c r="F140" s="16">
        <v>106.89655172413795</v>
      </c>
      <c r="G140" s="16">
        <v>99.23371647509579</v>
      </c>
    </row>
    <row r="141" spans="1:7" x14ac:dyDescent="0.25">
      <c r="A141">
        <v>1928</v>
      </c>
      <c r="B141" s="16">
        <v>100.20618556701034</v>
      </c>
      <c r="C141" s="16">
        <v>490.97888675623801</v>
      </c>
      <c r="D141" s="16">
        <v>99.762470308788608</v>
      </c>
      <c r="E141" s="16">
        <v>365.20076481835565</v>
      </c>
      <c r="F141" s="16">
        <v>107.38916256157638</v>
      </c>
      <c r="G141" s="16">
        <v>99.42528735632186</v>
      </c>
    </row>
    <row r="142" spans="1:7" x14ac:dyDescent="0.25">
      <c r="A142">
        <v>1929</v>
      </c>
      <c r="B142" s="16">
        <v>99.590163934426243</v>
      </c>
      <c r="C142" s="16">
        <v>487.33205374280237</v>
      </c>
      <c r="D142" s="16">
        <v>99.287410926365794</v>
      </c>
      <c r="E142" s="16">
        <v>365.20076481835565</v>
      </c>
      <c r="F142" s="16">
        <v>100.49261083743843</v>
      </c>
      <c r="G142" s="16">
        <v>98.467432950191565</v>
      </c>
    </row>
    <row r="143" spans="1:7" x14ac:dyDescent="0.25">
      <c r="A143">
        <v>1930</v>
      </c>
      <c r="B143" s="16">
        <v>100</v>
      </c>
      <c r="C143" s="16">
        <v>488.48368522072928</v>
      </c>
      <c r="D143" s="16">
        <v>99.524940617577201</v>
      </c>
      <c r="E143" s="16">
        <v>365.00956022944547</v>
      </c>
      <c r="F143" s="16">
        <v>99.507389162561594</v>
      </c>
      <c r="G143" s="16">
        <v>98.850574712643692</v>
      </c>
    </row>
    <row r="144" spans="1:7" x14ac:dyDescent="0.25">
      <c r="A144">
        <v>1931</v>
      </c>
      <c r="B144" s="16">
        <v>144.21364985163206</v>
      </c>
      <c r="C144" s="16">
        <v>489.25143953934736</v>
      </c>
      <c r="D144" s="16">
        <v>100.4750593824228</v>
      </c>
      <c r="E144" s="16">
        <v>374.18738049713187</v>
      </c>
      <c r="F144" s="16">
        <v>113.30049261083744</v>
      </c>
      <c r="G144" s="16">
        <v>98.275862068965523</v>
      </c>
    </row>
    <row r="145" spans="1:7" x14ac:dyDescent="0.25">
      <c r="A145">
        <v>1932</v>
      </c>
      <c r="B145" s="16">
        <v>148.17073170731709</v>
      </c>
      <c r="C145" s="16">
        <v>491.74664107485609</v>
      </c>
      <c r="D145" s="16">
        <v>99.762470308788608</v>
      </c>
      <c r="E145" s="16">
        <v>374.18738049713187</v>
      </c>
      <c r="F145" s="16">
        <v>237.43842364532023</v>
      </c>
      <c r="G145" s="16">
        <v>99.616858237547902</v>
      </c>
    </row>
    <row r="146" spans="1:7" x14ac:dyDescent="0.25">
      <c r="A146">
        <v>1933</v>
      </c>
      <c r="B146" s="16">
        <v>94.921875</v>
      </c>
      <c r="C146" s="16">
        <v>313.62763915547026</v>
      </c>
      <c r="D146" s="16">
        <v>63.657957244655584</v>
      </c>
      <c r="E146" s="16">
        <v>232.50478011472273</v>
      </c>
      <c r="F146" s="16">
        <v>160.09852216748769</v>
      </c>
      <c r="G146" s="16">
        <v>63.218390804597703</v>
      </c>
    </row>
    <row r="147" spans="1:7" x14ac:dyDescent="0.25">
      <c r="A147">
        <v>1934</v>
      </c>
      <c r="B147" s="16">
        <v>98.181818181818187</v>
      </c>
      <c r="C147" s="16">
        <v>290.97888675623801</v>
      </c>
      <c r="D147" s="16">
        <v>58.669833729216158</v>
      </c>
      <c r="E147" s="16">
        <v>223.90057361376674</v>
      </c>
      <c r="F147" s="16">
        <v>170.93596059113304</v>
      </c>
      <c r="G147" s="16">
        <v>59.195402298850574</v>
      </c>
    </row>
    <row r="148" spans="1:7" x14ac:dyDescent="0.25">
      <c r="A148">
        <v>1935</v>
      </c>
      <c r="B148" s="16">
        <v>98.580121703853976</v>
      </c>
      <c r="C148" s="16">
        <v>290.78694817658351</v>
      </c>
      <c r="D148" s="16">
        <v>58.669833729216158</v>
      </c>
      <c r="E148" s="16">
        <v>236.71128107074568</v>
      </c>
      <c r="F148" s="16">
        <v>171.42857142857144</v>
      </c>
      <c r="G148" s="16">
        <v>59.003831417624532</v>
      </c>
    </row>
    <row r="149" spans="1:7" x14ac:dyDescent="0.25">
      <c r="A149">
        <v>1936</v>
      </c>
      <c r="B149" s="16">
        <v>98.981670061099805</v>
      </c>
      <c r="C149" s="16">
        <v>411.13243761996159</v>
      </c>
      <c r="D149" s="16">
        <v>58.432304038004744</v>
      </c>
      <c r="E149" s="16">
        <v>363.47992351816447</v>
      </c>
      <c r="F149" s="16">
        <v>172.90640394088669</v>
      </c>
      <c r="G149" s="16">
        <v>83.333333333333329</v>
      </c>
    </row>
    <row r="150" spans="1:7" x14ac:dyDescent="0.25">
      <c r="A150">
        <v>1937</v>
      </c>
      <c r="B150" s="16">
        <v>97.2</v>
      </c>
      <c r="C150" s="16">
        <v>565.45105566218808</v>
      </c>
      <c r="D150" s="16">
        <v>58.907363420427551</v>
      </c>
      <c r="E150" s="16">
        <v>363.47992351816447</v>
      </c>
      <c r="F150" s="16">
        <v>169.45812807881774</v>
      </c>
      <c r="G150" s="16">
        <v>82.758620689655189</v>
      </c>
    </row>
    <row r="151" spans="1:7" x14ac:dyDescent="0.25">
      <c r="A151">
        <v>1938</v>
      </c>
      <c r="B151" s="16">
        <v>104.06852248394006</v>
      </c>
      <c r="C151" s="16">
        <v>729.17466410748557</v>
      </c>
      <c r="D151" s="16">
        <v>58.669833729216158</v>
      </c>
      <c r="E151" s="16">
        <v>363.47992351816447</v>
      </c>
      <c r="F151" s="16">
        <v>181.28078817733993</v>
      </c>
      <c r="G151" s="16">
        <v>84.674329501915707</v>
      </c>
    </row>
    <row r="152" spans="1:7" x14ac:dyDescent="0.25">
      <c r="A152">
        <v>1939</v>
      </c>
      <c r="B152" s="16">
        <v>123.66412213740459</v>
      </c>
      <c r="C152" s="16">
        <v>861.80422264875233</v>
      </c>
      <c r="D152" s="16">
        <v>59.144893111638964</v>
      </c>
      <c r="E152" s="16">
        <v>712.23709369024857</v>
      </c>
      <c r="F152" s="16">
        <v>210.34482758620689</v>
      </c>
      <c r="G152" s="16">
        <v>85.440613026819918</v>
      </c>
    </row>
    <row r="153" spans="1:7" x14ac:dyDescent="0.25">
      <c r="A153">
        <v>1940</v>
      </c>
      <c r="B153" s="16">
        <v>120.29702970297032</v>
      </c>
      <c r="C153" s="16">
        <v>944.14587332053748</v>
      </c>
      <c r="D153" s="16">
        <v>59.144893111638964</v>
      </c>
      <c r="E153" s="16">
        <v>825.62141491395789</v>
      </c>
      <c r="F153" s="16">
        <v>210.34482758620689</v>
      </c>
      <c r="G153" s="16">
        <v>82.567049808429118</v>
      </c>
    </row>
    <row r="154" spans="1:7" x14ac:dyDescent="0.25">
      <c r="A154">
        <v>1941</v>
      </c>
      <c r="B154" s="16">
        <v>120.29702970297032</v>
      </c>
      <c r="C154" s="16">
        <v>862.57197696737046</v>
      </c>
      <c r="D154" s="16">
        <v>59.382422802850357</v>
      </c>
      <c r="E154" s="16">
        <v>1009.1778202676863</v>
      </c>
      <c r="F154" s="16">
        <v>210.34482758620689</v>
      </c>
      <c r="G154" s="16">
        <v>82.567049808429118</v>
      </c>
    </row>
    <row r="155" spans="1:7" x14ac:dyDescent="0.25">
      <c r="A155">
        <v>1942</v>
      </c>
      <c r="B155" s="16">
        <v>120.29702970297032</v>
      </c>
      <c r="C155" s="16">
        <v>2491.9385796545107</v>
      </c>
      <c r="D155" s="16">
        <v>59.144893111638964</v>
      </c>
      <c r="E155" s="16">
        <v>2136.9024856596557</v>
      </c>
      <c r="F155" s="16">
        <v>210.34482758620689</v>
      </c>
      <c r="G155" s="16">
        <v>82.375478927203062</v>
      </c>
    </row>
    <row r="156" spans="1:7" x14ac:dyDescent="0.25">
      <c r="A156">
        <v>1943</v>
      </c>
      <c r="B156" s="16">
        <v>120.29702970297032</v>
      </c>
      <c r="C156" s="16">
        <v>1302.8790786948175</v>
      </c>
      <c r="D156" s="16">
        <v>59.144893111638964</v>
      </c>
      <c r="E156" s="16">
        <v>4541.108986615679</v>
      </c>
      <c r="F156" s="16">
        <v>210.34482758620689</v>
      </c>
      <c r="G156" s="16">
        <v>82.18390804597702</v>
      </c>
    </row>
    <row r="157" spans="1:7" x14ac:dyDescent="0.25">
      <c r="A157">
        <v>1944</v>
      </c>
      <c r="B157" s="16">
        <v>120.29702970297032</v>
      </c>
      <c r="C157" s="16">
        <v>1062.5719769673703</v>
      </c>
      <c r="D157" s="16">
        <v>59.144893111638964</v>
      </c>
      <c r="E157" s="16">
        <v>4541.108986615679</v>
      </c>
      <c r="F157" s="16">
        <v>210.34482758620689</v>
      </c>
      <c r="G157" s="16">
        <v>82.18390804597702</v>
      </c>
    </row>
    <row r="158" spans="1:7" x14ac:dyDescent="0.25">
      <c r="A158">
        <v>1945</v>
      </c>
      <c r="B158" s="16">
        <v>120.59553349875931</v>
      </c>
      <c r="C158" s="16">
        <v>1059.3090211132437</v>
      </c>
      <c r="D158" s="16">
        <v>237.52969121140143</v>
      </c>
      <c r="E158" s="16">
        <v>4541.108986615679</v>
      </c>
      <c r="F158" s="16">
        <v>2463.0541871921187</v>
      </c>
      <c r="G158" s="16">
        <v>82.18390804597702</v>
      </c>
    </row>
    <row r="159" spans="1:7" x14ac:dyDescent="0.25">
      <c r="A159">
        <v>1946</v>
      </c>
      <c r="B159" s="16">
        <v>162</v>
      </c>
      <c r="C159" s="16">
        <v>2289.827255278311</v>
      </c>
      <c r="D159" s="16">
        <v>237.52969121140143</v>
      </c>
      <c r="E159" s="16">
        <v>12906.309751434033</v>
      </c>
      <c r="F159" s="16">
        <v>2463.0541871921187</v>
      </c>
      <c r="G159" s="16">
        <v>68.965517241379317</v>
      </c>
    </row>
    <row r="160" spans="1:7" x14ac:dyDescent="0.25">
      <c r="A160">
        <v>1947</v>
      </c>
      <c r="B160" s="16">
        <v>194.4</v>
      </c>
      <c r="C160" s="16">
        <v>2289.827255278311</v>
      </c>
      <c r="D160" s="16">
        <v>237.52969121140143</v>
      </c>
      <c r="E160" s="16">
        <v>11185.468451242828</v>
      </c>
      <c r="F160" s="16">
        <v>11724.137931034484</v>
      </c>
      <c r="G160" s="16">
        <v>79.310344827586206</v>
      </c>
    </row>
    <row r="161" spans="1:7" x14ac:dyDescent="0.25">
      <c r="A161">
        <v>1948</v>
      </c>
      <c r="B161" s="16">
        <v>160.39603960396042</v>
      </c>
      <c r="C161" s="16">
        <v>2289.827255278311</v>
      </c>
      <c r="D161" s="16">
        <v>79.097387173396669</v>
      </c>
      <c r="E161" s="16">
        <v>12619.502868068832</v>
      </c>
      <c r="F161" s="16">
        <v>10837.438423645321</v>
      </c>
      <c r="G161" s="16">
        <v>76.436781609195421</v>
      </c>
    </row>
    <row r="162" spans="1:7" x14ac:dyDescent="0.25">
      <c r="A162">
        <v>1949</v>
      </c>
      <c r="B162" s="16">
        <v>204.20168067226894</v>
      </c>
      <c r="C162" s="16">
        <v>4114.0115163147793</v>
      </c>
      <c r="D162" s="16">
        <v>79.097387173396669</v>
      </c>
      <c r="E162" s="16">
        <v>12715.1051625239</v>
      </c>
      <c r="F162" s="16">
        <v>16108.374384236455</v>
      </c>
      <c r="G162" s="16">
        <v>82.375478927203062</v>
      </c>
    </row>
    <row r="163" spans="1:7" x14ac:dyDescent="0.25">
      <c r="A163">
        <v>1950</v>
      </c>
      <c r="B163" s="16">
        <v>192.85714285714286</v>
      </c>
      <c r="C163" s="16">
        <v>6708.2533589251443</v>
      </c>
      <c r="D163" s="16">
        <v>99.762470308788608</v>
      </c>
      <c r="E163" s="16">
        <v>13384.321223709367</v>
      </c>
      <c r="F163" s="16">
        <v>17733.990147783254</v>
      </c>
      <c r="G163" s="16">
        <v>82.567049808429118</v>
      </c>
    </row>
    <row r="164" spans="1:7" x14ac:dyDescent="0.25">
      <c r="A164">
        <v>1951</v>
      </c>
      <c r="B164" s="16">
        <v>198.36734693877551</v>
      </c>
      <c r="C164" s="16">
        <v>6708.2533589251443</v>
      </c>
      <c r="D164" s="16">
        <v>99.762470308788608</v>
      </c>
      <c r="E164" s="16">
        <v>13193.116634799233</v>
      </c>
      <c r="F164" s="16">
        <v>17733.990147783254</v>
      </c>
      <c r="G164" s="16">
        <v>83.716475095785441</v>
      </c>
    </row>
    <row r="165" spans="1:7" x14ac:dyDescent="0.25">
      <c r="A165">
        <v>1952</v>
      </c>
      <c r="B165" s="16">
        <v>178.02197802197804</v>
      </c>
      <c r="C165" s="16">
        <v>6708.2533589251443</v>
      </c>
      <c r="D165" s="16">
        <v>99.762470308788608</v>
      </c>
      <c r="E165" s="16">
        <v>12122.370936902484</v>
      </c>
      <c r="F165" s="16">
        <v>17733.990147783254</v>
      </c>
      <c r="G165" s="16">
        <v>81.992337164750964</v>
      </c>
    </row>
    <row r="166" spans="1:7" x14ac:dyDescent="0.25">
      <c r="A166">
        <v>1953</v>
      </c>
      <c r="B166" s="16">
        <v>174.82014388489213</v>
      </c>
      <c r="C166" s="16">
        <v>6708.2533589251443</v>
      </c>
      <c r="D166" s="16">
        <v>99.762470308788608</v>
      </c>
      <c r="E166" s="16">
        <v>12026.768642447418</v>
      </c>
      <c r="F166" s="16">
        <v>17733.990147783254</v>
      </c>
      <c r="G166" s="16">
        <v>82.18390804597702</v>
      </c>
    </row>
    <row r="167" spans="1:7" x14ac:dyDescent="0.25">
      <c r="A167">
        <v>1954</v>
      </c>
      <c r="B167" s="16">
        <v>178.6764705882353</v>
      </c>
      <c r="C167" s="16">
        <v>6708.2533589251443</v>
      </c>
      <c r="D167" s="16">
        <v>99.287410926365794</v>
      </c>
      <c r="E167" s="16">
        <v>12208.413001912046</v>
      </c>
      <c r="F167" s="16">
        <v>17733.990147783254</v>
      </c>
      <c r="G167" s="16">
        <v>81.992337164750964</v>
      </c>
    </row>
    <row r="168" spans="1:7" x14ac:dyDescent="0.25">
      <c r="A168">
        <v>1955</v>
      </c>
      <c r="B168" s="16">
        <v>175.45126353790616</v>
      </c>
      <c r="C168" s="16">
        <v>6708.2533589251443</v>
      </c>
      <c r="D168" s="16">
        <v>99.762470308788608</v>
      </c>
      <c r="E168" s="16">
        <v>12151.051625239004</v>
      </c>
      <c r="F168" s="16">
        <v>17733.990147783254</v>
      </c>
      <c r="G168" s="16">
        <v>81.992337164750964</v>
      </c>
    </row>
    <row r="169" spans="1:7" x14ac:dyDescent="0.25">
      <c r="A169">
        <v>1956</v>
      </c>
      <c r="B169" s="16">
        <v>176.72727272727275</v>
      </c>
      <c r="C169" s="16">
        <v>6708.2533589251443</v>
      </c>
      <c r="D169" s="16">
        <v>99.762470308788608</v>
      </c>
      <c r="E169" s="16">
        <v>12002.86806883365</v>
      </c>
      <c r="F169" s="16">
        <v>17733.990147783254</v>
      </c>
      <c r="G169" s="16">
        <v>82.18390804597702</v>
      </c>
    </row>
    <row r="170" spans="1:7" x14ac:dyDescent="0.25">
      <c r="A170">
        <v>1957</v>
      </c>
      <c r="B170" s="16">
        <v>169.93006993006995</v>
      </c>
      <c r="C170" s="16">
        <v>6717.8502879078696</v>
      </c>
      <c r="D170" s="16">
        <v>99.762470308788608</v>
      </c>
      <c r="E170" s="16">
        <v>11948.183556405353</v>
      </c>
      <c r="F170" s="16">
        <v>17717.241379310348</v>
      </c>
      <c r="G170" s="16">
        <v>82.18390804597702</v>
      </c>
    </row>
    <row r="171" spans="1:7" x14ac:dyDescent="0.25">
      <c r="A171">
        <v>1958</v>
      </c>
      <c r="B171" s="16">
        <v>173.57142857142861</v>
      </c>
      <c r="C171" s="16">
        <v>8044.1458733205382</v>
      </c>
      <c r="D171" s="16">
        <v>99.287410926365794</v>
      </c>
      <c r="E171" s="16">
        <v>11931.166347992352</v>
      </c>
      <c r="F171" s="16">
        <v>17719.211822660101</v>
      </c>
      <c r="G171" s="16">
        <v>82.567049808429118</v>
      </c>
    </row>
    <row r="172" spans="1:7" x14ac:dyDescent="0.25">
      <c r="A172">
        <v>1959</v>
      </c>
      <c r="B172" s="16">
        <v>173.57142857142861</v>
      </c>
      <c r="C172" s="16">
        <v>9366.6026871401154</v>
      </c>
      <c r="D172" s="16">
        <v>99.049881235154388</v>
      </c>
      <c r="E172" s="16">
        <v>11866.156787762906</v>
      </c>
      <c r="F172" s="16">
        <v>17645.320197044337</v>
      </c>
      <c r="G172" s="16">
        <v>82.758620689655189</v>
      </c>
    </row>
    <row r="173" spans="1:7" x14ac:dyDescent="0.25">
      <c r="A173">
        <v>1960</v>
      </c>
      <c r="B173" s="16">
        <v>173.57142857142861</v>
      </c>
      <c r="C173" s="16">
        <v>94.817658349328227</v>
      </c>
      <c r="D173" s="16">
        <v>99.049881235154388</v>
      </c>
      <c r="E173" s="16">
        <v>11866.156787762906</v>
      </c>
      <c r="F173" s="16">
        <v>17645.320197044337</v>
      </c>
      <c r="G173" s="16">
        <v>82.567049808429118</v>
      </c>
    </row>
    <row r="174" spans="1:7" x14ac:dyDescent="0.25">
      <c r="A174">
        <v>1961</v>
      </c>
      <c r="B174" s="16">
        <v>172.95373665480429</v>
      </c>
      <c r="C174" s="16">
        <v>95.39347408829174</v>
      </c>
      <c r="D174" s="16">
        <v>95.011876484560574</v>
      </c>
      <c r="E174" s="16">
        <v>11866.156787762906</v>
      </c>
      <c r="F174" s="16">
        <v>17645.320197044337</v>
      </c>
      <c r="G174" s="16">
        <v>82.758620689655189</v>
      </c>
    </row>
    <row r="175" spans="1:7" x14ac:dyDescent="0.25">
      <c r="A175">
        <v>1962</v>
      </c>
      <c r="B175" s="16">
        <v>173.57142857142861</v>
      </c>
      <c r="C175" s="16">
        <v>94.049904030710181</v>
      </c>
      <c r="D175" s="16">
        <v>95.011876484560574</v>
      </c>
      <c r="E175" s="16">
        <v>11866.156787762906</v>
      </c>
      <c r="F175" s="16">
        <v>17645.320197044337</v>
      </c>
      <c r="G175" s="16">
        <v>82.758620689655189</v>
      </c>
    </row>
    <row r="176" spans="1:7" x14ac:dyDescent="0.25">
      <c r="A176">
        <v>1963</v>
      </c>
      <c r="B176" s="16">
        <v>173.57142857142861</v>
      </c>
      <c r="C176" s="16">
        <v>93.857965451055662</v>
      </c>
      <c r="D176" s="16">
        <v>94.536817102137775</v>
      </c>
      <c r="E176" s="16">
        <v>11900.191204588909</v>
      </c>
      <c r="F176" s="16">
        <v>17655.172413793105</v>
      </c>
      <c r="G176" s="16">
        <v>82.758620689655189</v>
      </c>
    </row>
    <row r="177" spans="1:7" x14ac:dyDescent="0.25">
      <c r="A177">
        <v>1964</v>
      </c>
      <c r="B177" s="16">
        <v>174.1935483870968</v>
      </c>
      <c r="C177" s="16">
        <v>94.049904030710181</v>
      </c>
      <c r="D177" s="16">
        <v>94.536817102137775</v>
      </c>
      <c r="E177" s="16">
        <v>11946.462715105161</v>
      </c>
      <c r="F177" s="16">
        <v>17650.246305418721</v>
      </c>
      <c r="G177" s="16">
        <v>82.758620689655189</v>
      </c>
    </row>
    <row r="178" spans="1:7" x14ac:dyDescent="0.25">
      <c r="A178">
        <v>1965</v>
      </c>
      <c r="B178" s="16">
        <v>173.57142857142861</v>
      </c>
      <c r="C178" s="16">
        <v>94.049904030710181</v>
      </c>
      <c r="D178" s="16">
        <v>95.249406175771966</v>
      </c>
      <c r="E178" s="16">
        <v>11944.55066921606</v>
      </c>
      <c r="F178" s="16">
        <v>17681.280788177341</v>
      </c>
      <c r="G178" s="16">
        <v>82.758620689655189</v>
      </c>
    </row>
    <row r="179" spans="1:7" x14ac:dyDescent="0.25">
      <c r="A179">
        <v>1966</v>
      </c>
      <c r="B179" s="16">
        <v>174.1935483870968</v>
      </c>
      <c r="C179" s="16">
        <v>95.009596928982731</v>
      </c>
      <c r="D179" s="16">
        <v>94.536817102137775</v>
      </c>
      <c r="E179" s="16">
        <v>11939.770554493307</v>
      </c>
      <c r="F179" s="16">
        <v>17795.566502463054</v>
      </c>
      <c r="G179" s="16">
        <v>82.950191570881231</v>
      </c>
    </row>
    <row r="180" spans="1:7" x14ac:dyDescent="0.25">
      <c r="A180">
        <v>1967</v>
      </c>
      <c r="B180" s="16">
        <v>201.65975103734439</v>
      </c>
      <c r="C180" s="16">
        <v>94.241842610364685</v>
      </c>
      <c r="D180" s="16">
        <v>95.011876484560574</v>
      </c>
      <c r="E180" s="16">
        <v>11928.489483747609</v>
      </c>
      <c r="F180" s="16">
        <v>17817.733990147783</v>
      </c>
      <c r="G180" s="16">
        <v>82.950191570881231</v>
      </c>
    </row>
    <row r="181" spans="1:7" x14ac:dyDescent="0.25">
      <c r="A181">
        <v>1968</v>
      </c>
      <c r="B181" s="16">
        <v>204.20168067226894</v>
      </c>
      <c r="C181" s="16">
        <v>97.312859884836854</v>
      </c>
      <c r="D181" s="16">
        <v>95.011876484560574</v>
      </c>
      <c r="E181" s="16">
        <v>11921.606118546844</v>
      </c>
      <c r="F181" s="16">
        <v>17620.689655172417</v>
      </c>
      <c r="G181" s="16">
        <v>82.375478927203062</v>
      </c>
    </row>
    <row r="182" spans="1:7" x14ac:dyDescent="0.25">
      <c r="A182">
        <v>1969</v>
      </c>
      <c r="B182" s="16">
        <v>202.5</v>
      </c>
      <c r="C182" s="16">
        <v>111.70825335892516</v>
      </c>
      <c r="D182" s="16">
        <v>87.648456057007124</v>
      </c>
      <c r="E182" s="16">
        <v>11959.847036328871</v>
      </c>
      <c r="F182" s="16">
        <v>17618.226600985221</v>
      </c>
      <c r="G182" s="16">
        <v>82.758620689655189</v>
      </c>
    </row>
    <row r="183" spans="1:7" x14ac:dyDescent="0.25">
      <c r="A183">
        <v>1970</v>
      </c>
      <c r="B183" s="16">
        <v>203.34728033472805</v>
      </c>
      <c r="C183" s="16">
        <v>106.14203454894435</v>
      </c>
      <c r="D183" s="16">
        <v>86.698337292161526</v>
      </c>
      <c r="E183" s="16">
        <v>11912.045889101337</v>
      </c>
      <c r="F183" s="16">
        <v>17612.31527093596</v>
      </c>
      <c r="G183" s="16">
        <v>82.758620689655189</v>
      </c>
    </row>
    <row r="184" spans="1:7" x14ac:dyDescent="0.25">
      <c r="A184">
        <v>1971</v>
      </c>
      <c r="B184" s="16">
        <v>190.58823529411768</v>
      </c>
      <c r="C184" s="16">
        <v>100.19193857965452</v>
      </c>
      <c r="D184" s="16">
        <v>77.672209026128272</v>
      </c>
      <c r="E184" s="16">
        <v>11350.095602294456</v>
      </c>
      <c r="F184" s="16">
        <v>15517.733990147784</v>
      </c>
      <c r="G184" s="16">
        <v>74.904214559386986</v>
      </c>
    </row>
    <row r="185" spans="1:7" x14ac:dyDescent="0.25">
      <c r="A185">
        <v>1972</v>
      </c>
      <c r="B185" s="16">
        <v>206.80851063829789</v>
      </c>
      <c r="C185" s="16">
        <v>98.272552783109418</v>
      </c>
      <c r="D185" s="16">
        <v>76.009501187648468</v>
      </c>
      <c r="E185" s="16">
        <v>11135.946462715105</v>
      </c>
      <c r="F185" s="16">
        <v>14860.098522167491</v>
      </c>
      <c r="G185" s="16">
        <v>72.222222222222214</v>
      </c>
    </row>
    <row r="186" spans="1:7" x14ac:dyDescent="0.25">
      <c r="A186">
        <v>1973</v>
      </c>
      <c r="B186" s="16">
        <v>209.48275862068968</v>
      </c>
      <c r="C186" s="16">
        <v>90.211132437619966</v>
      </c>
      <c r="D186" s="16">
        <v>64.133016627078391</v>
      </c>
      <c r="E186" s="16">
        <v>11630.401529636711</v>
      </c>
      <c r="F186" s="16">
        <v>13806.403940886699</v>
      </c>
      <c r="G186" s="16">
        <v>62.260536398467437</v>
      </c>
    </row>
    <row r="187" spans="1:7" x14ac:dyDescent="0.25">
      <c r="A187">
        <v>1974</v>
      </c>
      <c r="B187" s="16">
        <v>206.80851063829789</v>
      </c>
      <c r="C187" s="16">
        <v>85.220729366602697</v>
      </c>
      <c r="D187" s="16">
        <v>57.244655581947747</v>
      </c>
      <c r="E187" s="16">
        <v>12391.778202676864</v>
      </c>
      <c r="F187" s="16">
        <v>14828.571428571428</v>
      </c>
      <c r="G187" s="16">
        <v>48.659003831417628</v>
      </c>
    </row>
    <row r="188" spans="1:7" x14ac:dyDescent="0.25">
      <c r="A188">
        <v>1975</v>
      </c>
      <c r="B188" s="16">
        <v>240.59405940594064</v>
      </c>
      <c r="C188" s="16">
        <v>85.79654510556621</v>
      </c>
      <c r="D188" s="16">
        <v>62.23277909738718</v>
      </c>
      <c r="E188" s="16">
        <v>13078.202676864243</v>
      </c>
      <c r="F188" s="16">
        <v>15032.512315270938</v>
      </c>
      <c r="G188" s="16">
        <v>50.191570881226056</v>
      </c>
    </row>
    <row r="189" spans="1:7" x14ac:dyDescent="0.25">
      <c r="A189">
        <v>1976</v>
      </c>
      <c r="B189" s="16">
        <v>285.88235294117652</v>
      </c>
      <c r="C189" s="16">
        <v>95.39347408829174</v>
      </c>
      <c r="D189" s="16">
        <v>56.057007125890735</v>
      </c>
      <c r="E189" s="16">
        <v>16684.51242829828</v>
      </c>
      <c r="F189" s="16">
        <v>14437.438423645321</v>
      </c>
      <c r="G189" s="16">
        <v>46.934865900383151</v>
      </c>
    </row>
    <row r="190" spans="1:7" x14ac:dyDescent="0.25">
      <c r="A190">
        <v>1977</v>
      </c>
      <c r="B190" s="16">
        <v>254.45026178010471</v>
      </c>
      <c r="C190" s="16">
        <v>90.211132437619966</v>
      </c>
      <c r="D190" s="16">
        <v>49.881235154394304</v>
      </c>
      <c r="E190" s="16">
        <v>16655.449330783937</v>
      </c>
      <c r="F190" s="16">
        <v>11821.674876847292</v>
      </c>
      <c r="G190" s="16">
        <v>38.122605363984675</v>
      </c>
    </row>
    <row r="191" spans="1:7" x14ac:dyDescent="0.25">
      <c r="A191">
        <v>1978</v>
      </c>
      <c r="B191" s="16">
        <v>239.40886699507394</v>
      </c>
      <c r="C191" s="16">
        <v>80.038387715930909</v>
      </c>
      <c r="D191" s="16">
        <v>43.230403800475059</v>
      </c>
      <c r="E191" s="16">
        <v>15889.101338432121</v>
      </c>
      <c r="F191" s="16">
        <v>9571.4285714285725</v>
      </c>
      <c r="G191" s="16">
        <v>31.03448275862069</v>
      </c>
    </row>
    <row r="192" spans="1:7" x14ac:dyDescent="0.25">
      <c r="A192">
        <v>1979</v>
      </c>
      <c r="B192" s="16">
        <v>218.91891891891891</v>
      </c>
      <c r="C192" s="16">
        <v>77.159309021113231</v>
      </c>
      <c r="D192" s="16">
        <v>41.092636579572442</v>
      </c>
      <c r="E192" s="16">
        <v>15372.848948374762</v>
      </c>
      <c r="F192" s="16">
        <v>11837.438423645322</v>
      </c>
      <c r="G192" s="16">
        <v>30.651340996168585</v>
      </c>
    </row>
    <row r="193" spans="1:7" x14ac:dyDescent="0.25">
      <c r="A193">
        <v>1980</v>
      </c>
      <c r="B193" s="16">
        <v>204.20168067226894</v>
      </c>
      <c r="C193" s="16">
        <v>87.332053742802302</v>
      </c>
      <c r="D193" s="16">
        <v>46.793349168646081</v>
      </c>
      <c r="E193" s="16">
        <v>17782.026768642449</v>
      </c>
      <c r="F193" s="16">
        <v>10004.926108374384</v>
      </c>
      <c r="G193" s="16">
        <v>34.291187739463602</v>
      </c>
    </row>
    <row r="194" spans="1:7" x14ac:dyDescent="0.25">
      <c r="A194">
        <v>1981</v>
      </c>
      <c r="B194" s="16">
        <v>254.45026178010471</v>
      </c>
      <c r="C194" s="16">
        <v>109.21305182341652</v>
      </c>
      <c r="D194" s="16">
        <v>53.206650831353933</v>
      </c>
      <c r="E194" s="16">
        <v>22810.707456978966</v>
      </c>
      <c r="F194" s="16">
        <v>10827.586206896554</v>
      </c>
      <c r="G194" s="16">
        <v>34.291187739463602</v>
      </c>
    </row>
    <row r="195" spans="1:7" x14ac:dyDescent="0.25">
      <c r="A195">
        <v>1982</v>
      </c>
      <c r="B195" s="16">
        <v>301.86335403726707</v>
      </c>
      <c r="C195" s="16">
        <v>129.36660268714013</v>
      </c>
      <c r="D195" s="16">
        <v>56.532066508313541</v>
      </c>
      <c r="E195" s="16">
        <v>26214.149139579349</v>
      </c>
      <c r="F195" s="16">
        <v>11561.576354679804</v>
      </c>
      <c r="G195" s="16">
        <v>38.505747126436781</v>
      </c>
    </row>
    <row r="196" spans="1:7" x14ac:dyDescent="0.25">
      <c r="A196">
        <v>1983</v>
      </c>
      <c r="B196" s="16">
        <v>335.17241379310349</v>
      </c>
      <c r="C196" s="16">
        <v>160.07677543186182</v>
      </c>
      <c r="D196" s="16">
        <v>64.845605700712596</v>
      </c>
      <c r="E196" s="16">
        <v>31663.479923518164</v>
      </c>
      <c r="F196" s="16">
        <v>11413.793103448275</v>
      </c>
      <c r="G196" s="16">
        <v>41.762452107279699</v>
      </c>
    </row>
    <row r="197" spans="1:7" x14ac:dyDescent="0.25">
      <c r="A197">
        <v>1984</v>
      </c>
      <c r="B197" s="16">
        <v>418.96551724137936</v>
      </c>
      <c r="C197" s="16">
        <v>185.22072936660271</v>
      </c>
      <c r="D197" s="16">
        <v>75.059382422802855</v>
      </c>
      <c r="E197" s="16">
        <v>37017.208413001907</v>
      </c>
      <c r="F197" s="16">
        <v>12394.088669950741</v>
      </c>
      <c r="G197" s="16">
        <v>49.808429118773951</v>
      </c>
    </row>
    <row r="198" spans="1:7" x14ac:dyDescent="0.25">
      <c r="A198">
        <v>1985</v>
      </c>
      <c r="B198" s="16">
        <v>337.5</v>
      </c>
      <c r="C198" s="16">
        <v>144.14587332053742</v>
      </c>
      <c r="D198" s="16">
        <v>58.194774346793352</v>
      </c>
      <c r="E198" s="16">
        <v>31892.925430210322</v>
      </c>
      <c r="F198" s="16">
        <v>9864.5320197044348</v>
      </c>
      <c r="G198" s="16">
        <v>39.463601532567054</v>
      </c>
    </row>
    <row r="199" spans="1:7" x14ac:dyDescent="0.25">
      <c r="A199">
        <v>1986</v>
      </c>
      <c r="B199" s="16">
        <v>330.61224489795921</v>
      </c>
      <c r="C199" s="16">
        <v>122.45681381957773</v>
      </c>
      <c r="D199" s="16">
        <v>45.605700712589069</v>
      </c>
      <c r="E199" s="16">
        <v>25602.29445506692</v>
      </c>
      <c r="F199" s="16">
        <v>7757.1428571428587</v>
      </c>
      <c r="G199" s="16">
        <v>30.842911877394641</v>
      </c>
    </row>
    <row r="200" spans="1:7" x14ac:dyDescent="0.25">
      <c r="A200">
        <v>1987</v>
      </c>
      <c r="B200" s="16">
        <v>259.89304812834223</v>
      </c>
      <c r="C200" s="16">
        <v>102.30326295585412</v>
      </c>
      <c r="D200" s="16">
        <v>37.292161520190028</v>
      </c>
      <c r="E200" s="16">
        <v>22179.732313575525</v>
      </c>
      <c r="F200" s="16">
        <v>5961.083743842365</v>
      </c>
      <c r="G200" s="16">
        <v>24.329501915708814</v>
      </c>
    </row>
    <row r="201" spans="1:7" x14ac:dyDescent="0.25">
      <c r="A201">
        <v>1988</v>
      </c>
      <c r="B201" s="16">
        <v>268.50828729281773</v>
      </c>
      <c r="C201" s="16">
        <v>116.31477927063338</v>
      </c>
      <c r="D201" s="16">
        <v>42.042755344418055</v>
      </c>
      <c r="E201" s="16">
        <v>25009.560229445502</v>
      </c>
      <c r="F201" s="16">
        <v>6154.1871921182274</v>
      </c>
      <c r="G201" s="16">
        <v>28.735632183908049</v>
      </c>
    </row>
    <row r="202" spans="1:7" x14ac:dyDescent="0.25">
      <c r="A202">
        <v>1989</v>
      </c>
      <c r="B202" s="16">
        <v>301.86335403726707</v>
      </c>
      <c r="C202" s="16">
        <v>110.74856046065258</v>
      </c>
      <c r="D202" s="16">
        <v>40.142517814726844</v>
      </c>
      <c r="E202" s="16">
        <v>24225.621414913956</v>
      </c>
      <c r="F202" s="16">
        <v>7086.2068965517237</v>
      </c>
      <c r="G202" s="16">
        <v>29.501915708812266</v>
      </c>
    </row>
    <row r="203" spans="1:7" x14ac:dyDescent="0.25">
      <c r="A203">
        <v>1990</v>
      </c>
      <c r="B203" s="16">
        <v>251.81347150259072</v>
      </c>
      <c r="C203" s="16">
        <v>97.888675623800381</v>
      </c>
      <c r="D203" s="16">
        <v>35.39192399049881</v>
      </c>
      <c r="E203" s="16">
        <v>21558.31739961759</v>
      </c>
      <c r="F203" s="16">
        <v>6669.9507389162573</v>
      </c>
      <c r="G203" s="16">
        <v>24.329501915708814</v>
      </c>
    </row>
    <row r="204" spans="1:7" x14ac:dyDescent="0.25">
      <c r="A204">
        <v>1991</v>
      </c>
      <c r="B204" s="16">
        <v>259.89304812834223</v>
      </c>
      <c r="C204" s="16">
        <v>99.808061420345496</v>
      </c>
      <c r="D204" s="16">
        <v>36.104513064133016</v>
      </c>
      <c r="E204" s="16">
        <v>22012.428298279156</v>
      </c>
      <c r="F204" s="16">
        <v>6147.7832512315272</v>
      </c>
      <c r="G204" s="16">
        <v>26.053639846743298</v>
      </c>
    </row>
    <row r="205" spans="1:7" x14ac:dyDescent="0.25">
      <c r="A205">
        <v>1992</v>
      </c>
      <c r="B205" s="16">
        <v>321.85430463576165</v>
      </c>
      <c r="C205" s="16">
        <v>106.14203454894435</v>
      </c>
      <c r="D205" s="16">
        <v>38.479809976247033</v>
      </c>
      <c r="E205" s="16">
        <v>28202.676864244739</v>
      </c>
      <c r="F205" s="16">
        <v>6147.7832512315272</v>
      </c>
      <c r="G205" s="16">
        <v>28.160919540229884</v>
      </c>
    </row>
    <row r="206" spans="1:7" x14ac:dyDescent="0.25">
      <c r="A206">
        <v>1993</v>
      </c>
      <c r="B206" s="16">
        <v>328.37837837837844</v>
      </c>
      <c r="C206" s="16">
        <v>113.62763915547025</v>
      </c>
      <c r="D206" s="16">
        <v>41.330166270783849</v>
      </c>
      <c r="E206" s="16">
        <v>32839.388145315483</v>
      </c>
      <c r="F206" s="16">
        <v>5507.3891625615761</v>
      </c>
      <c r="G206" s="16">
        <v>28.544061302681996</v>
      </c>
    </row>
    <row r="207" spans="1:7" x14ac:dyDescent="0.25">
      <c r="A207">
        <v>1994</v>
      </c>
      <c r="B207" s="16">
        <v>311.53846153846155</v>
      </c>
      <c r="C207" s="16">
        <v>102.49520153550864</v>
      </c>
      <c r="D207" s="16">
        <v>36.817102137767222</v>
      </c>
      <c r="E207" s="16">
        <v>31013.384321223708</v>
      </c>
      <c r="F207" s="16">
        <v>4911.3300492610852</v>
      </c>
      <c r="G207" s="16">
        <v>25.095785440613028</v>
      </c>
    </row>
    <row r="208" spans="1:7" x14ac:dyDescent="0.25">
      <c r="A208">
        <v>1995</v>
      </c>
      <c r="B208" s="16">
        <v>313.54838709677421</v>
      </c>
      <c r="C208" s="16">
        <v>94.049904030710181</v>
      </c>
      <c r="D208" s="16">
        <v>34.204275534441805</v>
      </c>
      <c r="E208" s="16">
        <v>30294.455066921604</v>
      </c>
      <c r="F208" s="16">
        <v>5091.1330049261087</v>
      </c>
      <c r="G208" s="16">
        <v>22.030651340996169</v>
      </c>
    </row>
    <row r="209" spans="1:7" x14ac:dyDescent="0.25">
      <c r="A209">
        <v>1996</v>
      </c>
      <c r="B209" s="16">
        <v>285.88235294117652</v>
      </c>
      <c r="C209" s="16">
        <v>99.616122840690991</v>
      </c>
      <c r="D209" s="16">
        <v>36.579572446555822</v>
      </c>
      <c r="E209" s="16">
        <v>29043.97705544933</v>
      </c>
      <c r="F209" s="16">
        <v>5709.3596059113306</v>
      </c>
      <c r="G209" s="16">
        <v>25.670498084291189</v>
      </c>
    </row>
    <row r="210" spans="1:7" x14ac:dyDescent="0.25">
      <c r="A210">
        <v>1997</v>
      </c>
      <c r="B210" s="16">
        <v>294.54545454545456</v>
      </c>
      <c r="C210" s="16">
        <v>115.54702495201535</v>
      </c>
      <c r="D210" s="16">
        <v>42.75534441805226</v>
      </c>
      <c r="E210" s="16">
        <v>33824.091778202674</v>
      </c>
      <c r="F210" s="16">
        <v>6433.9901477832527</v>
      </c>
      <c r="G210" s="16">
        <v>27.969348659003835</v>
      </c>
    </row>
    <row r="211" spans="1:7" x14ac:dyDescent="0.25">
      <c r="A211">
        <v>1998</v>
      </c>
      <c r="B211" s="16">
        <v>292.77108433734946</v>
      </c>
      <c r="C211" s="16">
        <v>107.29366602687141</v>
      </c>
      <c r="D211" s="16">
        <v>39.429928741092638</v>
      </c>
      <c r="E211" s="16">
        <v>31528.489483747609</v>
      </c>
      <c r="F211" s="16">
        <v>5576.3546798029565</v>
      </c>
      <c r="G211" s="16">
        <v>26.436781609195403</v>
      </c>
    </row>
    <row r="212" spans="1:7" x14ac:dyDescent="0.25">
      <c r="A212">
        <v>1999</v>
      </c>
      <c r="B212" s="16">
        <v>301.86335403726707</v>
      </c>
      <c r="C212" s="16">
        <v>125.5278310940499</v>
      </c>
      <c r="D212" s="16">
        <v>46.318289786223275</v>
      </c>
      <c r="E212" s="16">
        <v>36935.56405353728</v>
      </c>
      <c r="F212" s="16">
        <v>5042.3645320197047</v>
      </c>
      <c r="G212" s="16">
        <v>30.651340996168585</v>
      </c>
    </row>
    <row r="213" spans="1:7" x14ac:dyDescent="0.25">
      <c r="B213" s="16"/>
      <c r="C213" s="16"/>
      <c r="D213" s="16"/>
      <c r="E213" s="16"/>
      <c r="F213" s="16"/>
      <c r="G213" s="16"/>
    </row>
    <row r="214" spans="1:7" ht="13" x14ac:dyDescent="0.3">
      <c r="A214" s="11" t="s">
        <v>52</v>
      </c>
    </row>
    <row r="215" spans="1:7" x14ac:dyDescent="0.25">
      <c r="A215" t="s">
        <v>53</v>
      </c>
    </row>
    <row r="216" spans="1:7" x14ac:dyDescent="0.25">
      <c r="A216" t="s">
        <v>54</v>
      </c>
    </row>
    <row r="217" spans="1:7" x14ac:dyDescent="0.25">
      <c r="A217" t="s">
        <v>55</v>
      </c>
    </row>
    <row r="218" spans="1:7" x14ac:dyDescent="0.25">
      <c r="A218" t="s">
        <v>56</v>
      </c>
    </row>
    <row r="219" spans="1:7" x14ac:dyDescent="0.25">
      <c r="A219" t="s">
        <v>57</v>
      </c>
    </row>
    <row r="220" spans="1:7" x14ac:dyDescent="0.25">
      <c r="A220" t="s">
        <v>58</v>
      </c>
    </row>
    <row r="221" spans="1:7" x14ac:dyDescent="0.25">
      <c r="A221" t="s">
        <v>59</v>
      </c>
    </row>
    <row r="222" spans="1:7" x14ac:dyDescent="0.25">
      <c r="A222" t="s">
        <v>60</v>
      </c>
    </row>
    <row r="224" spans="1:7" x14ac:dyDescent="0.25">
      <c r="A224" t="s">
        <v>61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4" topLeftCell="A5" activePane="bottomLeft" state="frozen"/>
      <selection pane="bottomLeft"/>
    </sheetView>
  </sheetViews>
  <sheetFormatPr defaultRowHeight="12.5" x14ac:dyDescent="0.25"/>
  <cols>
    <col min="2" max="2" width="9.26953125" bestFit="1" customWidth="1"/>
  </cols>
  <sheetData>
    <row r="1" spans="1:5" ht="15.5" x14ac:dyDescent="0.35">
      <c r="A1" s="1" t="s">
        <v>0</v>
      </c>
    </row>
    <row r="2" spans="1:5" x14ac:dyDescent="0.25">
      <c r="A2" t="s">
        <v>1</v>
      </c>
    </row>
    <row r="3" spans="1:5" ht="13" x14ac:dyDescent="0.3">
      <c r="B3" s="11"/>
      <c r="C3" s="11" t="s">
        <v>2</v>
      </c>
      <c r="D3" s="11"/>
      <c r="E3" s="11"/>
    </row>
    <row r="4" spans="1:5" s="2" customFormat="1" ht="65" x14ac:dyDescent="0.3">
      <c r="B4" s="10" t="s">
        <v>3</v>
      </c>
      <c r="C4" s="10" t="s">
        <v>4</v>
      </c>
      <c r="D4" s="10" t="s">
        <v>5</v>
      </c>
      <c r="E4" s="10" t="s">
        <v>6</v>
      </c>
    </row>
    <row r="5" spans="1:5" x14ac:dyDescent="0.25">
      <c r="A5" t="s">
        <v>7</v>
      </c>
      <c r="B5" s="3">
        <v>102</v>
      </c>
    </row>
    <row r="6" spans="1:5" x14ac:dyDescent="0.25">
      <c r="A6" t="s">
        <v>8</v>
      </c>
      <c r="B6" s="3">
        <v>146</v>
      </c>
    </row>
    <row r="7" spans="1:5" x14ac:dyDescent="0.25">
      <c r="A7" t="s">
        <v>9</v>
      </c>
      <c r="B7" s="3">
        <v>278</v>
      </c>
    </row>
    <row r="8" spans="1:5" x14ac:dyDescent="0.25">
      <c r="A8" t="s">
        <v>10</v>
      </c>
      <c r="B8" s="3">
        <v>864</v>
      </c>
    </row>
    <row r="9" spans="1:5" x14ac:dyDescent="0.25">
      <c r="A9" t="s">
        <v>11</v>
      </c>
      <c r="B9" s="3">
        <v>1011</v>
      </c>
    </row>
    <row r="10" spans="1:5" x14ac:dyDescent="0.25">
      <c r="A10" t="s">
        <v>12</v>
      </c>
      <c r="B10" s="3">
        <v>915</v>
      </c>
    </row>
    <row r="11" spans="1:5" x14ac:dyDescent="0.25">
      <c r="A11" t="s">
        <v>13</v>
      </c>
      <c r="B11" s="3">
        <v>981</v>
      </c>
    </row>
    <row r="12" spans="1:5" x14ac:dyDescent="0.25">
      <c r="A12" t="s">
        <v>14</v>
      </c>
      <c r="B12" s="3">
        <v>878</v>
      </c>
    </row>
    <row r="13" spans="1:5" x14ac:dyDescent="0.25">
      <c r="A13" t="s">
        <v>15</v>
      </c>
      <c r="B13" s="3">
        <v>820</v>
      </c>
    </row>
    <row r="14" spans="1:5" x14ac:dyDescent="0.25">
      <c r="A14" t="s">
        <v>16</v>
      </c>
      <c r="B14" s="3">
        <v>765</v>
      </c>
    </row>
    <row r="15" spans="1:5" x14ac:dyDescent="0.25">
      <c r="A15" t="s">
        <v>17</v>
      </c>
      <c r="B15" s="3">
        <v>835</v>
      </c>
    </row>
    <row r="16" spans="1:5" x14ac:dyDescent="0.25">
      <c r="A16" t="s">
        <v>18</v>
      </c>
      <c r="B16" s="3">
        <v>1106</v>
      </c>
    </row>
    <row r="17" spans="1:2" x14ac:dyDescent="0.25">
      <c r="A17" t="s">
        <v>19</v>
      </c>
      <c r="B17" s="3">
        <v>1851</v>
      </c>
    </row>
    <row r="18" spans="1:2" x14ac:dyDescent="0.25">
      <c r="A18" t="s">
        <v>20</v>
      </c>
      <c r="B18" s="3">
        <v>2240</v>
      </c>
    </row>
    <row r="19" spans="1:2" x14ac:dyDescent="0.25">
      <c r="A19" t="s">
        <v>21</v>
      </c>
      <c r="B19" s="3">
        <v>3154</v>
      </c>
    </row>
    <row r="20" spans="1:2" x14ac:dyDescent="0.25">
      <c r="A20" t="s">
        <v>22</v>
      </c>
      <c r="B20" s="3">
        <v>3340</v>
      </c>
    </row>
    <row r="21" spans="1:2" x14ac:dyDescent="0.25">
      <c r="A21" t="s">
        <v>23</v>
      </c>
      <c r="B21" s="3">
        <v>3150</v>
      </c>
    </row>
    <row r="22" spans="1:2" x14ac:dyDescent="0.25">
      <c r="A22" t="s">
        <v>24</v>
      </c>
      <c r="B22" s="3">
        <v>2630</v>
      </c>
    </row>
    <row r="23" spans="1:2" x14ac:dyDescent="0.25">
      <c r="A23" t="s">
        <v>25</v>
      </c>
      <c r="B23" s="3">
        <v>3021</v>
      </c>
    </row>
    <row r="24" spans="1:2" x14ac:dyDescent="0.25">
      <c r="A24" t="s">
        <v>26</v>
      </c>
      <c r="B24" s="3">
        <v>3730</v>
      </c>
    </row>
    <row r="25" spans="1:2" x14ac:dyDescent="0.25">
      <c r="A25" t="s">
        <v>27</v>
      </c>
      <c r="B25" s="3">
        <v>5387</v>
      </c>
    </row>
    <row r="26" spans="1:2" x14ac:dyDescent="0.25">
      <c r="A26" t="s">
        <v>28</v>
      </c>
      <c r="B26" s="3">
        <v>5123</v>
      </c>
    </row>
    <row r="27" spans="1:2" x14ac:dyDescent="0.25">
      <c r="A27" t="s">
        <v>29</v>
      </c>
      <c r="B27" s="3">
        <v>3770</v>
      </c>
    </row>
    <row r="28" spans="1:2" x14ac:dyDescent="0.25">
      <c r="A28" t="s">
        <v>30</v>
      </c>
      <c r="B28" s="3">
        <f>755+733+755+755+795</f>
        <v>3793</v>
      </c>
    </row>
    <row r="29" spans="1:2" x14ac:dyDescent="0.25">
      <c r="A29" t="s">
        <v>31</v>
      </c>
      <c r="B29" s="3">
        <f>835+871+906+933+1000</f>
        <v>4545</v>
      </c>
    </row>
    <row r="30" spans="1:2" x14ac:dyDescent="0.25">
      <c r="A30" t="s">
        <v>32</v>
      </c>
      <c r="B30" s="3">
        <f>1049+1080+1155+1204+1249</f>
        <v>5737</v>
      </c>
    </row>
    <row r="31" spans="1:2" x14ac:dyDescent="0.25">
      <c r="A31" t="s">
        <v>33</v>
      </c>
      <c r="B31" s="3">
        <f>1280+1285+1250+1245+1252</f>
        <v>6312</v>
      </c>
    </row>
    <row r="32" spans="1:2" x14ac:dyDescent="0.25">
      <c r="A32" t="s">
        <v>34</v>
      </c>
      <c r="B32" s="3">
        <f>1273+1233+1177+1111+996</f>
        <v>5790</v>
      </c>
    </row>
    <row r="33" spans="1:2" x14ac:dyDescent="0.25">
      <c r="A33" t="s">
        <v>35</v>
      </c>
      <c r="B33" s="3">
        <f>946+964+962+972+959</f>
        <v>4803</v>
      </c>
    </row>
    <row r="34" spans="1:2" x14ac:dyDescent="0.25">
      <c r="A34" t="s">
        <v>36</v>
      </c>
      <c r="B34" s="3">
        <f>962+985+1031+1121+1170</f>
        <v>5269</v>
      </c>
    </row>
    <row r="35" spans="1:2" x14ac:dyDescent="0.25">
      <c r="A35" t="s">
        <v>37</v>
      </c>
      <c r="B35" s="3">
        <f>1239+1300+1387+1552+1682</f>
        <v>7160</v>
      </c>
    </row>
    <row r="37" spans="1:2" ht="13" x14ac:dyDescent="0.3">
      <c r="A37" s="11" t="s">
        <v>96</v>
      </c>
    </row>
    <row r="38" spans="1:2" ht="13" x14ac:dyDescent="0.3">
      <c r="A38" t="s">
        <v>97</v>
      </c>
    </row>
    <row r="40" spans="1:2" x14ac:dyDescent="0.25">
      <c r="A40" t="s">
        <v>38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RowHeight="12.5" x14ac:dyDescent="0.25"/>
  <sheetData>
    <row r="1" spans="1:2" ht="15.5" x14ac:dyDescent="0.35">
      <c r="A1" s="1" t="s">
        <v>98</v>
      </c>
    </row>
    <row r="3" spans="1:2" ht="13" x14ac:dyDescent="0.3">
      <c r="B3" s="11" t="s">
        <v>65</v>
      </c>
    </row>
    <row r="4" spans="1:2" x14ac:dyDescent="0.25">
      <c r="A4">
        <v>1975</v>
      </c>
      <c r="B4" s="18">
        <v>1.1627906976744187</v>
      </c>
    </row>
    <row r="5" spans="1:2" x14ac:dyDescent="0.25">
      <c r="A5">
        <v>1976</v>
      </c>
      <c r="B5" s="18">
        <v>1.1363636363636365</v>
      </c>
    </row>
    <row r="6" spans="1:2" x14ac:dyDescent="0.25">
      <c r="A6">
        <v>1977</v>
      </c>
      <c r="B6" s="18">
        <v>1.2345679012345678</v>
      </c>
    </row>
    <row r="7" spans="1:2" x14ac:dyDescent="0.25">
      <c r="A7">
        <v>1978</v>
      </c>
      <c r="B7" s="18">
        <v>1.3888888888888888</v>
      </c>
    </row>
    <row r="8" spans="1:2" x14ac:dyDescent="0.25">
      <c r="A8">
        <v>1979</v>
      </c>
      <c r="B8" s="18">
        <v>1.4492753623188408</v>
      </c>
    </row>
    <row r="9" spans="1:2" x14ac:dyDescent="0.25">
      <c r="A9">
        <v>1980</v>
      </c>
      <c r="B9" s="18">
        <v>1.3157894736842106</v>
      </c>
    </row>
    <row r="10" spans="1:2" x14ac:dyDescent="0.25">
      <c r="A10">
        <v>1981</v>
      </c>
      <c r="B10" s="18">
        <v>1.0869565217391304</v>
      </c>
    </row>
    <row r="11" spans="1:2" x14ac:dyDescent="0.25">
      <c r="A11">
        <v>1982</v>
      </c>
      <c r="B11" s="18">
        <v>0.970873786407767</v>
      </c>
    </row>
    <row r="12" spans="1:2" x14ac:dyDescent="0.25">
      <c r="A12">
        <v>1983</v>
      </c>
      <c r="B12" s="18">
        <v>0.82644628099173556</v>
      </c>
    </row>
    <row r="13" spans="1:2" x14ac:dyDescent="0.25">
      <c r="A13">
        <v>1984</v>
      </c>
      <c r="B13" s="18">
        <v>0.70921985815602839</v>
      </c>
    </row>
    <row r="14" spans="1:2" x14ac:dyDescent="0.25">
      <c r="A14">
        <v>1985</v>
      </c>
      <c r="B14" s="18">
        <v>0.88495575221238942</v>
      </c>
    </row>
    <row r="15" spans="1:2" x14ac:dyDescent="0.25">
      <c r="A15">
        <v>1986</v>
      </c>
      <c r="B15" s="18">
        <v>1.075268817204301</v>
      </c>
    </row>
    <row r="16" spans="1:2" x14ac:dyDescent="0.25">
      <c r="A16">
        <v>1987</v>
      </c>
      <c r="B16" s="18">
        <v>1.2987012987012987</v>
      </c>
    </row>
    <row r="17" spans="1:2" x14ac:dyDescent="0.25">
      <c r="A17">
        <v>1988</v>
      </c>
      <c r="B17" s="18">
        <v>1.1764705882352942</v>
      </c>
    </row>
    <row r="18" spans="1:2" x14ac:dyDescent="0.25">
      <c r="A18">
        <v>1989</v>
      </c>
      <c r="B18" s="18">
        <v>1.1904761904761905</v>
      </c>
    </row>
    <row r="19" spans="1:2" x14ac:dyDescent="0.25">
      <c r="A19">
        <v>1990</v>
      </c>
      <c r="B19" s="18">
        <v>1.3698630136986301</v>
      </c>
    </row>
    <row r="20" spans="1:2" x14ac:dyDescent="0.25">
      <c r="A20">
        <v>1991</v>
      </c>
      <c r="B20" s="18">
        <v>1.3333333333333333</v>
      </c>
    </row>
    <row r="21" spans="1:2" x14ac:dyDescent="0.25">
      <c r="A21">
        <v>1992</v>
      </c>
      <c r="B21" s="18">
        <v>1.2048192771084338</v>
      </c>
    </row>
    <row r="22" spans="1:2" x14ac:dyDescent="0.25">
      <c r="A22">
        <v>1993</v>
      </c>
      <c r="B22" s="18">
        <v>1.1235955056179776</v>
      </c>
    </row>
    <row r="23" spans="1:2" x14ac:dyDescent="0.25">
      <c r="A23">
        <v>1994</v>
      </c>
      <c r="B23" s="18">
        <v>1.2345679012345678</v>
      </c>
    </row>
    <row r="24" spans="1:2" x14ac:dyDescent="0.25">
      <c r="A24">
        <v>1995</v>
      </c>
      <c r="B24" s="18">
        <v>1.3157894736842106</v>
      </c>
    </row>
    <row r="25" spans="1:2" x14ac:dyDescent="0.25">
      <c r="A25">
        <v>1996</v>
      </c>
      <c r="B25" s="18">
        <v>1.2345679012345678</v>
      </c>
    </row>
    <row r="26" spans="1:2" x14ac:dyDescent="0.25">
      <c r="A26">
        <v>1997</v>
      </c>
      <c r="B26" s="18">
        <v>1.0989010989010988</v>
      </c>
    </row>
    <row r="27" spans="1:2" x14ac:dyDescent="0.25">
      <c r="A27">
        <v>1998</v>
      </c>
      <c r="B27" s="18">
        <v>1.1764705882352942</v>
      </c>
    </row>
    <row r="28" spans="1:2" x14ac:dyDescent="0.25">
      <c r="A28">
        <v>1999</v>
      </c>
      <c r="B28" s="18">
        <v>1</v>
      </c>
    </row>
    <row r="30" spans="1:2" ht="13" x14ac:dyDescent="0.3">
      <c r="A30" s="11" t="s">
        <v>99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4"/>
  <sheetViews>
    <sheetView workbookViewId="0">
      <pane ySplit="3" topLeftCell="A4" activePane="bottomLeft" state="frozen"/>
      <selection pane="bottomLeft"/>
    </sheetView>
  </sheetViews>
  <sheetFormatPr defaultRowHeight="12.5" x14ac:dyDescent="0.25"/>
  <sheetData>
    <row r="1" spans="1:3" ht="15.5" x14ac:dyDescent="0.35">
      <c r="A1" s="1" t="s">
        <v>66</v>
      </c>
    </row>
    <row r="3" spans="1:3" s="7" customFormat="1" ht="91" x14ac:dyDescent="0.3">
      <c r="B3" s="10" t="s">
        <v>67</v>
      </c>
      <c r="C3" s="10" t="s">
        <v>68</v>
      </c>
    </row>
    <row r="4" spans="1:3" x14ac:dyDescent="0.25">
      <c r="A4">
        <v>1800</v>
      </c>
      <c r="B4" s="18">
        <v>0</v>
      </c>
      <c r="C4" s="18">
        <v>1.3180000000000001</v>
      </c>
    </row>
    <row r="5" spans="1:3" x14ac:dyDescent="0.25">
      <c r="A5">
        <v>1801</v>
      </c>
      <c r="B5" s="18">
        <v>0</v>
      </c>
      <c r="C5" s="18">
        <v>1.3809999999999998</v>
      </c>
    </row>
    <row r="6" spans="1:3" x14ac:dyDescent="0.25">
      <c r="A6">
        <v>1802</v>
      </c>
      <c r="B6" s="18">
        <v>0</v>
      </c>
      <c r="C6" s="18">
        <v>1.3180000000000001</v>
      </c>
    </row>
    <row r="7" spans="1:3" x14ac:dyDescent="0.25">
      <c r="A7">
        <v>1803</v>
      </c>
      <c r="B7" s="18">
        <v>0</v>
      </c>
      <c r="C7" s="18">
        <v>1.3180000000000001</v>
      </c>
    </row>
    <row r="8" spans="1:3" x14ac:dyDescent="0.25">
      <c r="A8">
        <v>1804</v>
      </c>
      <c r="B8" s="18">
        <v>0</v>
      </c>
      <c r="C8" s="18">
        <v>1.3180000000000001</v>
      </c>
    </row>
    <row r="9" spans="1:3" x14ac:dyDescent="0.25">
      <c r="A9">
        <v>1805</v>
      </c>
      <c r="B9" s="18">
        <v>0</v>
      </c>
      <c r="C9" s="18">
        <v>1.3809999999999998</v>
      </c>
    </row>
    <row r="10" spans="1:3" x14ac:dyDescent="0.25">
      <c r="A10">
        <v>1806</v>
      </c>
      <c r="B10" s="18">
        <v>0</v>
      </c>
      <c r="C10" s="18">
        <v>1.2610000000000001</v>
      </c>
    </row>
    <row r="11" spans="1:3" x14ac:dyDescent="0.25">
      <c r="A11">
        <v>1807</v>
      </c>
      <c r="B11" s="18">
        <v>0</v>
      </c>
      <c r="C11" s="18">
        <v>1.3809999999999998</v>
      </c>
    </row>
    <row r="12" spans="1:3" x14ac:dyDescent="0.25">
      <c r="A12">
        <v>1808</v>
      </c>
      <c r="B12" s="18">
        <v>0</v>
      </c>
      <c r="C12" s="18">
        <v>1.45</v>
      </c>
    </row>
    <row r="13" spans="1:3" x14ac:dyDescent="0.25">
      <c r="A13">
        <v>1809</v>
      </c>
      <c r="B13" s="18">
        <v>0</v>
      </c>
      <c r="C13" s="18">
        <v>1.6110000000000002</v>
      </c>
    </row>
    <row r="14" spans="1:3" x14ac:dyDescent="0.25">
      <c r="A14">
        <v>1810</v>
      </c>
      <c r="B14" s="18">
        <v>4.2999999999999997E-2</v>
      </c>
      <c r="C14" s="18">
        <v>1.6579999999999999</v>
      </c>
    </row>
    <row r="15" spans="1:3" x14ac:dyDescent="0.25">
      <c r="A15">
        <v>1811</v>
      </c>
      <c r="B15" s="18">
        <v>4.2000000000000003E-2</v>
      </c>
      <c r="C15" s="18">
        <v>1.575</v>
      </c>
    </row>
    <row r="16" spans="1:3" x14ac:dyDescent="0.25">
      <c r="A16">
        <v>1812</v>
      </c>
      <c r="B16" s="18">
        <v>4.2000000000000003E-2</v>
      </c>
      <c r="C16" s="18">
        <v>1.625</v>
      </c>
    </row>
    <row r="17" spans="1:3" x14ac:dyDescent="0.25">
      <c r="A17">
        <v>1813</v>
      </c>
      <c r="B17" s="18">
        <v>4.2000000000000003E-2</v>
      </c>
      <c r="C17" s="18">
        <v>1.5475000000000001</v>
      </c>
    </row>
    <row r="18" spans="1:3" x14ac:dyDescent="0.25">
      <c r="A18">
        <v>1814</v>
      </c>
      <c r="B18" s="18">
        <v>0.04</v>
      </c>
      <c r="C18" s="18">
        <v>1.5209999999999999</v>
      </c>
    </row>
    <row r="19" spans="1:3" x14ac:dyDescent="0.25">
      <c r="A19">
        <v>1815</v>
      </c>
      <c r="B19" s="18">
        <v>3.2000000000000001E-2</v>
      </c>
      <c r="C19" s="18">
        <v>1.3</v>
      </c>
    </row>
    <row r="20" spans="1:3" x14ac:dyDescent="0.25">
      <c r="A20">
        <v>1816</v>
      </c>
      <c r="B20" s="18">
        <v>0.03</v>
      </c>
      <c r="C20" s="18">
        <v>1.2345000000000002</v>
      </c>
    </row>
    <row r="21" spans="1:3" x14ac:dyDescent="0.25">
      <c r="A21">
        <v>1817</v>
      </c>
      <c r="B21" s="18">
        <v>0.03</v>
      </c>
      <c r="C21" s="18">
        <v>1.2345000000000002</v>
      </c>
    </row>
    <row r="22" spans="1:3" x14ac:dyDescent="0.25">
      <c r="A22">
        <v>1818</v>
      </c>
      <c r="B22" s="18">
        <v>2.9000000000000001E-2</v>
      </c>
      <c r="C22" s="18">
        <v>1.294</v>
      </c>
    </row>
    <row r="23" spans="1:3" x14ac:dyDescent="0.25">
      <c r="A23">
        <v>1819</v>
      </c>
      <c r="B23" s="18">
        <v>2.9000000000000001E-2</v>
      </c>
      <c r="C23" s="18">
        <v>1.3380000000000001</v>
      </c>
    </row>
    <row r="24" spans="1:3" x14ac:dyDescent="0.25">
      <c r="A24">
        <v>1820</v>
      </c>
      <c r="B24" s="18">
        <v>2.8000000000000001E-2</v>
      </c>
      <c r="C24" s="18">
        <v>1.5285000000000002</v>
      </c>
    </row>
    <row r="25" spans="1:3" x14ac:dyDescent="0.25">
      <c r="A25">
        <v>1821</v>
      </c>
      <c r="B25" s="18">
        <v>2.5999999999999999E-2</v>
      </c>
      <c r="C25" s="18">
        <v>1.6080000000000001</v>
      </c>
    </row>
    <row r="26" spans="1:3" x14ac:dyDescent="0.25">
      <c r="A26">
        <v>1822</v>
      </c>
      <c r="B26" s="18">
        <v>2.5999999999999999E-2</v>
      </c>
      <c r="C26" s="18">
        <v>1.6579999999999999</v>
      </c>
    </row>
    <row r="27" spans="1:3" x14ac:dyDescent="0.25">
      <c r="A27">
        <v>1823</v>
      </c>
      <c r="B27" s="18">
        <v>2.5999999999999999E-2</v>
      </c>
      <c r="C27" s="18">
        <v>1.6795</v>
      </c>
    </row>
    <row r="28" spans="1:3" x14ac:dyDescent="0.25">
      <c r="A28">
        <v>1824</v>
      </c>
      <c r="B28" s="18">
        <v>2.4E-2</v>
      </c>
      <c r="C28" s="18">
        <v>1.7925</v>
      </c>
    </row>
    <row r="29" spans="1:3" x14ac:dyDescent="0.25">
      <c r="A29">
        <v>1825</v>
      </c>
      <c r="B29" s="18">
        <v>2.4E-2</v>
      </c>
      <c r="C29" s="18">
        <v>1.7925</v>
      </c>
    </row>
    <row r="30" spans="1:3" x14ac:dyDescent="0.25">
      <c r="A30">
        <v>1826</v>
      </c>
      <c r="B30" s="18">
        <v>2.3E-2</v>
      </c>
      <c r="C30" s="18">
        <v>1.8334999999999999</v>
      </c>
    </row>
    <row r="31" spans="1:3" x14ac:dyDescent="0.25">
      <c r="A31">
        <v>1827</v>
      </c>
      <c r="B31" s="18">
        <v>2.3E-2</v>
      </c>
      <c r="C31" s="18">
        <v>1.8490000000000002</v>
      </c>
    </row>
    <row r="32" spans="1:3" x14ac:dyDescent="0.25">
      <c r="A32">
        <v>1828</v>
      </c>
      <c r="B32" s="18">
        <v>2.3E-2</v>
      </c>
      <c r="C32" s="18">
        <v>1.9319999999999999</v>
      </c>
    </row>
    <row r="33" spans="1:3" x14ac:dyDescent="0.25">
      <c r="A33">
        <v>1829</v>
      </c>
      <c r="B33" s="18">
        <v>2.3E-2</v>
      </c>
      <c r="C33" s="18">
        <v>1.9184999999999999</v>
      </c>
    </row>
    <row r="34" spans="1:3" x14ac:dyDescent="0.25">
      <c r="A34">
        <v>1830</v>
      </c>
      <c r="B34" s="18">
        <v>2.1000000000000001E-2</v>
      </c>
      <c r="C34" s="18">
        <v>2.0425</v>
      </c>
    </row>
    <row r="35" spans="1:3" x14ac:dyDescent="0.25">
      <c r="A35">
        <v>1831</v>
      </c>
      <c r="B35" s="18">
        <v>2.1000000000000001E-2</v>
      </c>
      <c r="C35" s="18">
        <v>2.0954999999999999</v>
      </c>
    </row>
    <row r="36" spans="1:3" x14ac:dyDescent="0.25">
      <c r="A36">
        <v>1832</v>
      </c>
      <c r="B36" s="18">
        <v>0.02</v>
      </c>
      <c r="C36" s="18">
        <v>2.177</v>
      </c>
    </row>
    <row r="37" spans="1:3" x14ac:dyDescent="0.25">
      <c r="A37">
        <v>1833</v>
      </c>
      <c r="B37" s="18">
        <v>0.02</v>
      </c>
      <c r="C37" s="18">
        <v>2.1595</v>
      </c>
    </row>
    <row r="38" spans="1:3" x14ac:dyDescent="0.25">
      <c r="A38">
        <v>1834</v>
      </c>
      <c r="B38" s="18">
        <v>0.02</v>
      </c>
      <c r="C38" s="18">
        <v>2.1385000000000001</v>
      </c>
    </row>
    <row r="39" spans="1:3" x14ac:dyDescent="0.25">
      <c r="A39">
        <v>1835</v>
      </c>
      <c r="B39" s="18">
        <v>0.02</v>
      </c>
      <c r="C39" s="18">
        <v>2.0920000000000001</v>
      </c>
    </row>
    <row r="40" spans="1:3" x14ac:dyDescent="0.25">
      <c r="A40">
        <v>1836</v>
      </c>
      <c r="B40" s="18">
        <v>0.02</v>
      </c>
      <c r="C40" s="18">
        <v>2.1665000000000001</v>
      </c>
    </row>
    <row r="41" spans="1:3" x14ac:dyDescent="0.25">
      <c r="A41">
        <v>1837</v>
      </c>
      <c r="B41" s="18">
        <v>0.02</v>
      </c>
      <c r="C41" s="18">
        <v>2.2450000000000001</v>
      </c>
    </row>
    <row r="42" spans="1:3" x14ac:dyDescent="0.25">
      <c r="A42">
        <v>1838</v>
      </c>
      <c r="B42" s="18">
        <v>0.02</v>
      </c>
      <c r="C42" s="18">
        <v>2.3624999999999998</v>
      </c>
    </row>
    <row r="43" spans="1:3" x14ac:dyDescent="0.25">
      <c r="A43">
        <v>1839</v>
      </c>
      <c r="B43" s="18">
        <v>1.9E-2</v>
      </c>
      <c r="C43" s="18">
        <v>2.3559999999999999</v>
      </c>
    </row>
    <row r="44" spans="1:3" x14ac:dyDescent="0.25">
      <c r="A44">
        <v>1840</v>
      </c>
      <c r="B44" s="18">
        <v>1.9E-2</v>
      </c>
      <c r="C44" s="18">
        <v>2.3559999999999999</v>
      </c>
    </row>
    <row r="45" spans="1:3" x14ac:dyDescent="0.25">
      <c r="A45">
        <v>1841</v>
      </c>
      <c r="B45" s="18">
        <v>1.9E-2</v>
      </c>
      <c r="C45" s="18">
        <v>2.4424999999999999</v>
      </c>
    </row>
    <row r="46" spans="1:3" x14ac:dyDescent="0.25">
      <c r="A46">
        <v>1842</v>
      </c>
      <c r="B46" s="18">
        <v>1.9E-2</v>
      </c>
      <c r="C46" s="18">
        <v>2.4245000000000001</v>
      </c>
    </row>
    <row r="47" spans="1:3" x14ac:dyDescent="0.25">
      <c r="A47">
        <v>1843</v>
      </c>
      <c r="B47" s="18">
        <v>1.9E-2</v>
      </c>
      <c r="C47" s="18">
        <v>2.4245000000000001</v>
      </c>
    </row>
    <row r="48" spans="1:3" x14ac:dyDescent="0.25">
      <c r="A48">
        <v>1844</v>
      </c>
      <c r="B48" s="18">
        <v>1.9E-2</v>
      </c>
      <c r="C48" s="18">
        <v>2.4350000000000001</v>
      </c>
    </row>
    <row r="49" spans="1:3" x14ac:dyDescent="0.25">
      <c r="A49">
        <v>1845</v>
      </c>
      <c r="B49" s="18">
        <v>1.9E-2</v>
      </c>
      <c r="C49" s="18">
        <v>2.4260000000000002</v>
      </c>
    </row>
    <row r="50" spans="1:3" x14ac:dyDescent="0.25">
      <c r="A50">
        <v>1846</v>
      </c>
      <c r="B50" s="18">
        <v>1.9E-2</v>
      </c>
      <c r="C50" s="18">
        <v>2.4340000000000002</v>
      </c>
    </row>
    <row r="51" spans="1:3" x14ac:dyDescent="0.25">
      <c r="A51">
        <v>1847</v>
      </c>
      <c r="B51" s="18">
        <v>1.7999999999999999E-2</v>
      </c>
      <c r="C51" s="18">
        <v>2.5185</v>
      </c>
    </row>
    <row r="52" spans="1:3" x14ac:dyDescent="0.25">
      <c r="A52">
        <v>1848</v>
      </c>
      <c r="B52" s="18">
        <v>5.3999999999999999E-2</v>
      </c>
      <c r="C52" s="18">
        <v>2.9275000000000002</v>
      </c>
    </row>
    <row r="53" spans="1:3" x14ac:dyDescent="0.25">
      <c r="A53">
        <v>1849</v>
      </c>
      <c r="B53" s="18">
        <v>5.3999999999999999E-2</v>
      </c>
      <c r="C53" s="18">
        <v>3.0274999999999999</v>
      </c>
    </row>
    <row r="54" spans="1:3" x14ac:dyDescent="0.25">
      <c r="A54">
        <v>1850</v>
      </c>
      <c r="B54" s="18">
        <v>5.3999999999999999E-2</v>
      </c>
      <c r="C54" s="18">
        <v>2.9729999999999999</v>
      </c>
    </row>
    <row r="55" spans="1:3" x14ac:dyDescent="0.25">
      <c r="A55">
        <v>1851</v>
      </c>
      <c r="B55" s="18">
        <v>3.5999999999999997E-2</v>
      </c>
      <c r="C55" s="18">
        <v>2.9275000000000002</v>
      </c>
    </row>
    <row r="56" spans="1:3" x14ac:dyDescent="0.25">
      <c r="A56">
        <v>1852</v>
      </c>
      <c r="B56" s="18">
        <v>3.5999999999999997E-2</v>
      </c>
      <c r="C56" s="18">
        <v>2.8725000000000001</v>
      </c>
    </row>
    <row r="57" spans="1:3" x14ac:dyDescent="0.25">
      <c r="A57">
        <v>1853</v>
      </c>
      <c r="B57" s="18">
        <v>5.3999999999999999E-2</v>
      </c>
      <c r="C57" s="18">
        <v>2.9365000000000001</v>
      </c>
    </row>
    <row r="58" spans="1:3" x14ac:dyDescent="0.25">
      <c r="A58">
        <v>1854</v>
      </c>
      <c r="B58" s="18">
        <v>5.2999999999999999E-2</v>
      </c>
      <c r="C58" s="18">
        <v>3.0350000000000001</v>
      </c>
    </row>
    <row r="59" spans="1:3" x14ac:dyDescent="0.25">
      <c r="A59">
        <v>1855</v>
      </c>
      <c r="B59" s="18">
        <v>5.1999999999999998E-2</v>
      </c>
      <c r="C59" s="18">
        <v>3.07</v>
      </c>
    </row>
    <row r="60" spans="1:3" x14ac:dyDescent="0.25">
      <c r="A60">
        <v>1856</v>
      </c>
      <c r="B60" s="18">
        <v>5.0999999999999997E-2</v>
      </c>
      <c r="C60" s="18">
        <v>5.5949999999999998</v>
      </c>
    </row>
    <row r="61" spans="1:3" x14ac:dyDescent="0.25">
      <c r="A61">
        <v>1857</v>
      </c>
      <c r="B61" s="18">
        <v>6.7000000000000004E-2</v>
      </c>
      <c r="C61" s="18">
        <v>5.7119999999999997</v>
      </c>
    </row>
    <row r="62" spans="1:3" x14ac:dyDescent="0.25">
      <c r="A62">
        <v>1858</v>
      </c>
      <c r="B62" s="18">
        <v>6.7000000000000004E-2</v>
      </c>
      <c r="C62" s="18">
        <v>5.75</v>
      </c>
    </row>
    <row r="63" spans="1:3" x14ac:dyDescent="0.25">
      <c r="A63">
        <v>1859</v>
      </c>
      <c r="B63" s="18">
        <v>6.6000000000000003E-2</v>
      </c>
      <c r="C63" s="18">
        <v>5.7249999999999996</v>
      </c>
    </row>
    <row r="64" spans="1:3" x14ac:dyDescent="0.25">
      <c r="A64">
        <v>1860</v>
      </c>
      <c r="B64" s="18">
        <v>6.6000000000000003E-2</v>
      </c>
      <c r="C64" s="18">
        <v>5.7854999999999999</v>
      </c>
    </row>
    <row r="65" spans="1:3" x14ac:dyDescent="0.25">
      <c r="A65">
        <v>1861</v>
      </c>
      <c r="B65" s="18">
        <v>7.0000000000000007E-2</v>
      </c>
      <c r="C65" s="18">
        <v>6.0945</v>
      </c>
    </row>
    <row r="66" spans="1:3" x14ac:dyDescent="0.25">
      <c r="A66">
        <v>1862</v>
      </c>
      <c r="B66" s="18">
        <v>7.0000000000000007E-2</v>
      </c>
      <c r="C66" s="18">
        <v>6.0754999999999999</v>
      </c>
    </row>
    <row r="67" spans="1:3" x14ac:dyDescent="0.25">
      <c r="A67">
        <v>1863</v>
      </c>
      <c r="B67" s="18">
        <v>7.0000000000000007E-2</v>
      </c>
      <c r="C67" s="18">
        <v>6.0469999999999997</v>
      </c>
    </row>
    <row r="68" spans="1:3" x14ac:dyDescent="0.25">
      <c r="A68">
        <v>1864</v>
      </c>
      <c r="B68" s="18">
        <v>8.7999999999999995E-2</v>
      </c>
      <c r="C68" s="18">
        <v>6.0819999999999999</v>
      </c>
    </row>
    <row r="69" spans="1:3" x14ac:dyDescent="0.25">
      <c r="A69">
        <v>1865</v>
      </c>
      <c r="B69" s="18">
        <v>8.7999999999999995E-2</v>
      </c>
      <c r="C69" s="18">
        <v>6.0534999999999997</v>
      </c>
    </row>
    <row r="70" spans="1:3" x14ac:dyDescent="0.25">
      <c r="A70">
        <v>1866</v>
      </c>
      <c r="B70" s="18">
        <v>8.7999999999999995E-2</v>
      </c>
      <c r="C70" s="18">
        <v>5.9820000000000002</v>
      </c>
    </row>
    <row r="71" spans="1:3" x14ac:dyDescent="0.25">
      <c r="A71">
        <v>1867</v>
      </c>
      <c r="B71" s="18">
        <v>0.1</v>
      </c>
      <c r="C71" s="18">
        <v>6.1440000000000001</v>
      </c>
    </row>
    <row r="72" spans="1:3" x14ac:dyDescent="0.25">
      <c r="A72">
        <v>1868</v>
      </c>
      <c r="B72" s="18">
        <v>0.1</v>
      </c>
      <c r="C72" s="18">
        <v>6.2454999999999998</v>
      </c>
    </row>
    <row r="73" spans="1:3" x14ac:dyDescent="0.25">
      <c r="A73">
        <v>1869</v>
      </c>
      <c r="B73" s="18">
        <v>0.1</v>
      </c>
      <c r="C73" s="18">
        <v>6.2805</v>
      </c>
    </row>
    <row r="74" spans="1:3" x14ac:dyDescent="0.25">
      <c r="A74">
        <v>1870</v>
      </c>
      <c r="B74" s="18">
        <v>0.1</v>
      </c>
      <c r="C74" s="18">
        <v>6.2805</v>
      </c>
    </row>
    <row r="75" spans="1:3" x14ac:dyDescent="0.25">
      <c r="A75">
        <v>1871</v>
      </c>
      <c r="B75" s="18">
        <v>0.10199999999999999</v>
      </c>
      <c r="C75" s="18">
        <v>6.4284999999999997</v>
      </c>
    </row>
    <row r="76" spans="1:3" x14ac:dyDescent="0.25">
      <c r="A76">
        <v>1872</v>
      </c>
      <c r="B76" s="18">
        <v>0.109</v>
      </c>
      <c r="C76" s="18">
        <v>6.5865</v>
      </c>
    </row>
    <row r="77" spans="1:3" x14ac:dyDescent="0.25">
      <c r="A77">
        <v>1873</v>
      </c>
      <c r="B77" s="18">
        <v>0.109</v>
      </c>
      <c r="C77" s="18">
        <v>6.5555000000000003</v>
      </c>
    </row>
    <row r="78" spans="1:3" x14ac:dyDescent="0.25">
      <c r="A78">
        <v>1874</v>
      </c>
      <c r="B78" s="18">
        <v>0.109</v>
      </c>
      <c r="C78" s="18">
        <v>6.585</v>
      </c>
    </row>
    <row r="79" spans="1:3" x14ac:dyDescent="0.25">
      <c r="A79">
        <v>1875</v>
      </c>
      <c r="B79" s="18">
        <v>0.127</v>
      </c>
      <c r="C79" s="18">
        <v>6.6224999999999996</v>
      </c>
    </row>
    <row r="80" spans="1:3" x14ac:dyDescent="0.25">
      <c r="A80">
        <v>1876</v>
      </c>
      <c r="B80" s="18">
        <v>0.109</v>
      </c>
      <c r="C80" s="18">
        <v>6.585</v>
      </c>
    </row>
    <row r="81" spans="1:3" x14ac:dyDescent="0.25">
      <c r="A81">
        <v>1877</v>
      </c>
      <c r="B81" s="18">
        <v>0.14499999999999999</v>
      </c>
      <c r="C81" s="18">
        <v>6.6479999999999997</v>
      </c>
    </row>
    <row r="82" spans="1:3" x14ac:dyDescent="0.25">
      <c r="A82">
        <v>1878</v>
      </c>
      <c r="B82" s="18">
        <v>0.14499999999999999</v>
      </c>
      <c r="C82" s="18">
        <v>6.6479999999999997</v>
      </c>
    </row>
    <row r="83" spans="1:3" x14ac:dyDescent="0.25">
      <c r="A83">
        <v>1879</v>
      </c>
      <c r="B83" s="18">
        <v>0.14299999999999999</v>
      </c>
      <c r="C83" s="18">
        <v>6.6849999999999996</v>
      </c>
    </row>
    <row r="84" spans="1:3" x14ac:dyDescent="0.25">
      <c r="A84">
        <v>1880</v>
      </c>
      <c r="B84" s="18">
        <v>0.161</v>
      </c>
      <c r="C84" s="18">
        <v>6.8840000000000003</v>
      </c>
    </row>
    <row r="85" spans="1:3" x14ac:dyDescent="0.25">
      <c r="A85">
        <v>1881</v>
      </c>
      <c r="B85" s="18">
        <v>0.161</v>
      </c>
      <c r="C85" s="18">
        <v>6.8819999999999997</v>
      </c>
    </row>
    <row r="86" spans="1:3" x14ac:dyDescent="0.25">
      <c r="A86">
        <v>1882</v>
      </c>
      <c r="B86" s="18">
        <v>0.161</v>
      </c>
      <c r="C86" s="18">
        <v>6.9455</v>
      </c>
    </row>
    <row r="87" spans="1:3" x14ac:dyDescent="0.25">
      <c r="A87">
        <v>1883</v>
      </c>
      <c r="B87" s="18">
        <v>0.161</v>
      </c>
      <c r="C87" s="18">
        <v>7</v>
      </c>
    </row>
    <row r="88" spans="1:3" x14ac:dyDescent="0.25">
      <c r="A88">
        <v>1884</v>
      </c>
      <c r="B88" s="18">
        <v>0.161</v>
      </c>
      <c r="C88" s="18">
        <v>6.9544999999999995</v>
      </c>
    </row>
    <row r="89" spans="1:3" x14ac:dyDescent="0.25">
      <c r="A89">
        <v>1885</v>
      </c>
      <c r="B89" s="18">
        <v>0.161</v>
      </c>
      <c r="C89" s="18">
        <v>6.9544999999999995</v>
      </c>
    </row>
    <row r="90" spans="1:3" x14ac:dyDescent="0.25">
      <c r="A90">
        <v>1886</v>
      </c>
      <c r="B90" s="18">
        <v>0.14299999999999999</v>
      </c>
      <c r="C90" s="18">
        <v>6.8635000000000002</v>
      </c>
    </row>
    <row r="91" spans="1:3" x14ac:dyDescent="0.25">
      <c r="A91">
        <v>1887</v>
      </c>
      <c r="B91" s="18">
        <v>0.14299999999999999</v>
      </c>
      <c r="C91" s="18">
        <v>6.8635000000000002</v>
      </c>
    </row>
    <row r="92" spans="1:3" x14ac:dyDescent="0.25">
      <c r="A92">
        <v>1888</v>
      </c>
      <c r="B92" s="18">
        <v>0.161</v>
      </c>
      <c r="C92" s="18">
        <v>6.9275000000000002</v>
      </c>
    </row>
    <row r="93" spans="1:3" x14ac:dyDescent="0.25">
      <c r="A93">
        <v>1889</v>
      </c>
      <c r="B93" s="18">
        <v>0.161</v>
      </c>
      <c r="C93" s="18">
        <v>6.9544999999999995</v>
      </c>
    </row>
    <row r="94" spans="1:3" x14ac:dyDescent="0.25">
      <c r="A94">
        <v>1890</v>
      </c>
      <c r="B94" s="18">
        <v>0.17899999999999999</v>
      </c>
      <c r="C94" s="18">
        <v>7.0910000000000002</v>
      </c>
    </row>
    <row r="95" spans="1:3" x14ac:dyDescent="0.25">
      <c r="A95">
        <v>1891</v>
      </c>
      <c r="B95" s="18">
        <v>0.17899999999999999</v>
      </c>
      <c r="C95" s="18">
        <v>7.0724999999999998</v>
      </c>
    </row>
    <row r="96" spans="1:3" x14ac:dyDescent="0.25">
      <c r="A96">
        <v>1892</v>
      </c>
      <c r="B96" s="18">
        <v>0.17899999999999999</v>
      </c>
      <c r="C96" s="18">
        <v>7.0819999999999999</v>
      </c>
    </row>
    <row r="97" spans="1:3" x14ac:dyDescent="0.25">
      <c r="A97">
        <v>1893</v>
      </c>
      <c r="B97" s="18">
        <v>0.17899999999999999</v>
      </c>
      <c r="C97" s="18">
        <v>7.0910000000000002</v>
      </c>
    </row>
    <row r="98" spans="1:3" x14ac:dyDescent="0.25">
      <c r="A98">
        <v>1894</v>
      </c>
      <c r="B98" s="18">
        <v>0.17899999999999999</v>
      </c>
      <c r="C98" s="18">
        <v>7.1275000000000004</v>
      </c>
    </row>
    <row r="99" spans="1:3" x14ac:dyDescent="0.25">
      <c r="A99">
        <v>1895</v>
      </c>
      <c r="B99" s="18">
        <v>0.17899999999999999</v>
      </c>
      <c r="C99" s="18">
        <v>7.1180000000000003</v>
      </c>
    </row>
    <row r="100" spans="1:3" x14ac:dyDescent="0.25">
      <c r="A100">
        <v>1896</v>
      </c>
      <c r="B100" s="18">
        <v>0.17899999999999999</v>
      </c>
      <c r="C100" s="18">
        <v>7.0724999999999998</v>
      </c>
    </row>
    <row r="101" spans="1:3" x14ac:dyDescent="0.25">
      <c r="A101">
        <v>1897</v>
      </c>
      <c r="B101" s="18">
        <v>0.17899999999999999</v>
      </c>
      <c r="C101" s="18">
        <v>7.0724999999999998</v>
      </c>
    </row>
    <row r="102" spans="1:3" x14ac:dyDescent="0.25">
      <c r="A102">
        <v>1898</v>
      </c>
      <c r="B102" s="18">
        <v>0.19600000000000001</v>
      </c>
      <c r="C102" s="18">
        <v>7.2364999999999995</v>
      </c>
    </row>
    <row r="103" spans="1:3" x14ac:dyDescent="0.25">
      <c r="A103">
        <v>1899</v>
      </c>
      <c r="B103" s="18">
        <v>0.19600000000000001</v>
      </c>
      <c r="C103" s="18">
        <v>7.2364999999999995</v>
      </c>
    </row>
    <row r="104" spans="1:3" x14ac:dyDescent="0.25">
      <c r="A104">
        <v>1900</v>
      </c>
      <c r="B104" s="18">
        <v>0.214</v>
      </c>
      <c r="C104" s="18">
        <v>7.2275</v>
      </c>
    </row>
    <row r="105" spans="1:3" x14ac:dyDescent="0.25">
      <c r="A105">
        <v>1901</v>
      </c>
      <c r="B105" s="18">
        <v>0.22800000000000001</v>
      </c>
      <c r="C105" s="18">
        <v>7.3274999999999997</v>
      </c>
    </row>
    <row r="106" spans="1:3" x14ac:dyDescent="0.25">
      <c r="A106">
        <v>1902</v>
      </c>
      <c r="B106" s="18">
        <v>0.224</v>
      </c>
      <c r="C106" s="18">
        <v>7.3724999999999996</v>
      </c>
    </row>
    <row r="107" spans="1:3" x14ac:dyDescent="0.25">
      <c r="A107">
        <v>1903</v>
      </c>
      <c r="B107" s="18">
        <v>0.224</v>
      </c>
      <c r="C107" s="18">
        <v>7.3454999999999995</v>
      </c>
    </row>
    <row r="108" spans="1:3" x14ac:dyDescent="0.25">
      <c r="A108">
        <v>1904</v>
      </c>
      <c r="B108" s="18">
        <v>0.224</v>
      </c>
      <c r="C108" s="18">
        <v>7.2910000000000004</v>
      </c>
    </row>
    <row r="109" spans="1:3" x14ac:dyDescent="0.25">
      <c r="A109">
        <v>1905</v>
      </c>
      <c r="B109" s="18">
        <v>0.224</v>
      </c>
      <c r="C109" s="18">
        <v>7.3795000000000002</v>
      </c>
    </row>
    <row r="110" spans="1:3" x14ac:dyDescent="0.25">
      <c r="A110">
        <v>1906</v>
      </c>
      <c r="B110" s="18">
        <v>0.224</v>
      </c>
      <c r="C110" s="18">
        <v>7.4349999999999996</v>
      </c>
    </row>
    <row r="111" spans="1:3" x14ac:dyDescent="0.25">
      <c r="A111">
        <v>1907</v>
      </c>
      <c r="B111" s="18">
        <v>0.22</v>
      </c>
      <c r="C111" s="18">
        <v>7.3019999999999996</v>
      </c>
    </row>
    <row r="112" spans="1:3" x14ac:dyDescent="0.25">
      <c r="A112">
        <v>1908</v>
      </c>
      <c r="B112" s="18">
        <v>0.22</v>
      </c>
      <c r="C112" s="18">
        <v>7.4904999999999999</v>
      </c>
    </row>
    <row r="113" spans="1:3" x14ac:dyDescent="0.25">
      <c r="A113">
        <v>1909</v>
      </c>
      <c r="B113" s="18">
        <v>0.22</v>
      </c>
      <c r="C113" s="18">
        <v>7.5369999999999999</v>
      </c>
    </row>
    <row r="114" spans="1:3" x14ac:dyDescent="0.25">
      <c r="A114">
        <v>1910</v>
      </c>
      <c r="B114" s="18">
        <v>0.22</v>
      </c>
      <c r="C114" s="18">
        <v>7.5739999999999998</v>
      </c>
    </row>
    <row r="115" spans="1:3" x14ac:dyDescent="0.25">
      <c r="A115">
        <v>1911</v>
      </c>
      <c r="B115" s="18">
        <v>0.24099999999999999</v>
      </c>
      <c r="C115" s="18">
        <v>7.7789999999999999</v>
      </c>
    </row>
    <row r="116" spans="1:3" x14ac:dyDescent="0.25">
      <c r="A116">
        <v>1912</v>
      </c>
      <c r="B116" s="18">
        <v>0.24099999999999999</v>
      </c>
      <c r="C116" s="18">
        <v>7.8235000000000001</v>
      </c>
    </row>
    <row r="117" spans="1:3" x14ac:dyDescent="0.25">
      <c r="A117">
        <v>1913</v>
      </c>
      <c r="B117" s="18">
        <v>0.24099999999999999</v>
      </c>
      <c r="C117" s="18">
        <v>7.96</v>
      </c>
    </row>
    <row r="118" spans="1:3" x14ac:dyDescent="0.25">
      <c r="A118">
        <v>1914</v>
      </c>
      <c r="B118" s="18">
        <v>0.22</v>
      </c>
      <c r="C118" s="18">
        <v>7.85</v>
      </c>
    </row>
    <row r="119" spans="1:3" x14ac:dyDescent="0.25">
      <c r="A119">
        <v>1915</v>
      </c>
      <c r="B119" s="18">
        <v>0.23699999999999999</v>
      </c>
      <c r="C119" s="18">
        <v>7.8825000000000003</v>
      </c>
    </row>
    <row r="120" spans="1:3" x14ac:dyDescent="0.25">
      <c r="A120">
        <v>1916</v>
      </c>
      <c r="B120" s="18">
        <v>0.23699999999999999</v>
      </c>
      <c r="C120" s="18">
        <v>7.875</v>
      </c>
    </row>
    <row r="121" spans="1:3" x14ac:dyDescent="0.25">
      <c r="A121">
        <v>1917</v>
      </c>
      <c r="B121" s="18">
        <v>0.29499999999999998</v>
      </c>
      <c r="C121" s="18">
        <v>8.25</v>
      </c>
    </row>
    <row r="122" spans="1:3" x14ac:dyDescent="0.25">
      <c r="A122">
        <v>1918</v>
      </c>
      <c r="B122" s="18">
        <v>0.318</v>
      </c>
      <c r="C122" s="18">
        <v>8.535499999999999</v>
      </c>
    </row>
    <row r="123" spans="1:3" x14ac:dyDescent="0.25">
      <c r="A123">
        <v>1919</v>
      </c>
      <c r="B123" s="18">
        <v>0.30299999999999999</v>
      </c>
      <c r="C123" s="18">
        <v>8.3209999999999997</v>
      </c>
    </row>
    <row r="124" spans="1:3" x14ac:dyDescent="0.25">
      <c r="A124">
        <v>1920</v>
      </c>
      <c r="B124" s="18">
        <v>0.35799999999999998</v>
      </c>
      <c r="C124" s="18">
        <v>8.6585000000000001</v>
      </c>
    </row>
    <row r="125" spans="1:3" x14ac:dyDescent="0.25">
      <c r="A125">
        <v>1921</v>
      </c>
      <c r="B125" s="18">
        <v>0.35799999999999998</v>
      </c>
      <c r="C125" s="18">
        <v>8.6475000000000009</v>
      </c>
    </row>
    <row r="126" spans="1:3" x14ac:dyDescent="0.25">
      <c r="A126">
        <v>1922</v>
      </c>
      <c r="B126" s="18">
        <v>0.36799999999999999</v>
      </c>
      <c r="C126" s="18">
        <v>8.6999999999999993</v>
      </c>
    </row>
    <row r="127" spans="1:3" x14ac:dyDescent="0.25">
      <c r="A127">
        <v>1923</v>
      </c>
      <c r="B127" s="18">
        <v>0.34799999999999998</v>
      </c>
      <c r="C127" s="18">
        <v>8.5555000000000003</v>
      </c>
    </row>
    <row r="128" spans="1:3" x14ac:dyDescent="0.25">
      <c r="A128">
        <v>1924</v>
      </c>
      <c r="B128" s="18">
        <v>0.33800000000000002</v>
      </c>
      <c r="C128" s="18">
        <v>8.3670000000000009</v>
      </c>
    </row>
    <row r="129" spans="1:3" x14ac:dyDescent="0.25">
      <c r="A129">
        <v>1925</v>
      </c>
      <c r="B129" s="18">
        <v>0.33800000000000002</v>
      </c>
      <c r="C129" s="18">
        <v>8.1739999999999995</v>
      </c>
    </row>
    <row r="130" spans="1:3" x14ac:dyDescent="0.25">
      <c r="A130">
        <v>1926</v>
      </c>
      <c r="B130" s="18">
        <v>0.31900000000000001</v>
      </c>
      <c r="C130" s="18">
        <v>8.0969999999999995</v>
      </c>
    </row>
    <row r="131" spans="1:3" x14ac:dyDescent="0.25">
      <c r="A131">
        <v>1927</v>
      </c>
      <c r="B131" s="18">
        <v>0.31900000000000001</v>
      </c>
      <c r="C131" s="18">
        <v>8.0809999999999995</v>
      </c>
    </row>
    <row r="132" spans="1:3" x14ac:dyDescent="0.25">
      <c r="A132">
        <v>1928</v>
      </c>
      <c r="B132" s="18">
        <v>0.31900000000000001</v>
      </c>
      <c r="C132" s="18">
        <v>7.8985000000000003</v>
      </c>
    </row>
    <row r="133" spans="1:3" x14ac:dyDescent="0.25">
      <c r="A133">
        <v>1929</v>
      </c>
      <c r="B133" s="18">
        <v>0.31900000000000001</v>
      </c>
      <c r="C133" s="18">
        <v>7.8260000000000005</v>
      </c>
    </row>
    <row r="134" spans="1:3" x14ac:dyDescent="0.25">
      <c r="A134">
        <v>1930</v>
      </c>
      <c r="B134" s="18">
        <v>0.30599999999999999</v>
      </c>
      <c r="C134" s="18">
        <v>7.7350000000000003</v>
      </c>
    </row>
    <row r="135" spans="1:3" x14ac:dyDescent="0.25">
      <c r="A135">
        <v>1931</v>
      </c>
      <c r="B135" s="18">
        <v>0.31900000000000001</v>
      </c>
      <c r="C135" s="18">
        <v>7.7869999999999999</v>
      </c>
    </row>
    <row r="136" spans="1:3" x14ac:dyDescent="0.25">
      <c r="A136">
        <v>1932</v>
      </c>
      <c r="B136" s="18">
        <v>0.31900000000000001</v>
      </c>
      <c r="C136" s="18">
        <v>7.7130000000000001</v>
      </c>
    </row>
    <row r="137" spans="1:3" x14ac:dyDescent="0.25">
      <c r="A137">
        <v>1933</v>
      </c>
      <c r="B137" s="18">
        <v>0.27800000000000002</v>
      </c>
      <c r="C137" s="18">
        <v>7.4775</v>
      </c>
    </row>
    <row r="138" spans="1:3" x14ac:dyDescent="0.25">
      <c r="A138">
        <v>1934</v>
      </c>
      <c r="B138" s="18">
        <v>0.26400000000000001</v>
      </c>
      <c r="C138" s="18">
        <v>7.2059999999999995</v>
      </c>
    </row>
    <row r="139" spans="1:3" x14ac:dyDescent="0.25">
      <c r="A139">
        <v>1935</v>
      </c>
      <c r="B139" s="18">
        <v>0.26</v>
      </c>
      <c r="C139" s="18">
        <v>7.2389999999999999</v>
      </c>
    </row>
    <row r="140" spans="1:3" x14ac:dyDescent="0.25">
      <c r="A140">
        <v>1936</v>
      </c>
      <c r="B140" s="18">
        <v>0.247</v>
      </c>
      <c r="C140" s="18">
        <v>6.9225000000000003</v>
      </c>
    </row>
    <row r="141" spans="1:3" x14ac:dyDescent="0.25">
      <c r="A141">
        <v>1937</v>
      </c>
      <c r="B141" s="18">
        <v>0.247</v>
      </c>
      <c r="C141" s="18">
        <v>7.1355000000000004</v>
      </c>
    </row>
    <row r="142" spans="1:3" x14ac:dyDescent="0.25">
      <c r="A142">
        <v>1938</v>
      </c>
      <c r="B142" s="18">
        <v>0.247</v>
      </c>
      <c r="C142" s="18">
        <v>7.1884999999999994</v>
      </c>
    </row>
    <row r="143" spans="1:3" x14ac:dyDescent="0.25">
      <c r="A143">
        <v>1939</v>
      </c>
      <c r="B143" s="18">
        <v>0.219</v>
      </c>
      <c r="C143" s="18">
        <v>7.1820000000000004</v>
      </c>
    </row>
    <row r="144" spans="1:3" x14ac:dyDescent="0.25">
      <c r="A144">
        <v>1940</v>
      </c>
      <c r="B144" s="18">
        <v>0.13700000000000001</v>
      </c>
      <c r="C144" s="18">
        <v>6.4414999999999996</v>
      </c>
    </row>
    <row r="145" spans="1:3" x14ac:dyDescent="0.25">
      <c r="A145">
        <v>1941</v>
      </c>
      <c r="B145" s="18">
        <v>0.13700000000000001</v>
      </c>
      <c r="C145" s="18">
        <v>6.5739999999999998</v>
      </c>
    </row>
    <row r="146" spans="1:3" x14ac:dyDescent="0.25">
      <c r="A146">
        <v>1942</v>
      </c>
      <c r="B146" s="18">
        <v>0.13700000000000001</v>
      </c>
      <c r="C146" s="18">
        <v>6.609</v>
      </c>
    </row>
    <row r="147" spans="1:3" x14ac:dyDescent="0.25">
      <c r="A147">
        <v>1943</v>
      </c>
      <c r="B147" s="18">
        <v>0.13700000000000001</v>
      </c>
      <c r="C147" s="18">
        <v>6.6760000000000002</v>
      </c>
    </row>
    <row r="148" spans="1:3" x14ac:dyDescent="0.25">
      <c r="A148">
        <v>1944</v>
      </c>
      <c r="B148" s="18">
        <v>0.16</v>
      </c>
      <c r="C148" s="18">
        <v>7.1665000000000001</v>
      </c>
    </row>
    <row r="149" spans="1:3" x14ac:dyDescent="0.25">
      <c r="A149">
        <v>1945</v>
      </c>
      <c r="B149" s="18">
        <v>0.23699999999999999</v>
      </c>
      <c r="C149" s="18">
        <v>7.7084999999999999</v>
      </c>
    </row>
    <row r="150" spans="1:3" x14ac:dyDescent="0.25">
      <c r="A150">
        <v>1946</v>
      </c>
      <c r="B150" s="18">
        <v>0.28899999999999998</v>
      </c>
      <c r="C150" s="18">
        <v>8.0240000000000009</v>
      </c>
    </row>
    <row r="151" spans="1:3" x14ac:dyDescent="0.25">
      <c r="A151">
        <v>1947</v>
      </c>
      <c r="B151" s="18">
        <v>0.27300000000000002</v>
      </c>
      <c r="C151" s="18">
        <v>7.8904999999999994</v>
      </c>
    </row>
    <row r="152" spans="1:3" x14ac:dyDescent="0.25">
      <c r="A152">
        <v>1948</v>
      </c>
      <c r="B152" s="18">
        <v>0.28399999999999997</v>
      </c>
      <c r="C152" s="18">
        <v>7.6825000000000001</v>
      </c>
    </row>
    <row r="153" spans="1:3" x14ac:dyDescent="0.25">
      <c r="A153">
        <v>1949</v>
      </c>
      <c r="B153" s="18">
        <v>0.27900000000000003</v>
      </c>
      <c r="C153" s="18">
        <v>7.5380000000000003</v>
      </c>
    </row>
    <row r="154" spans="1:3" x14ac:dyDescent="0.25">
      <c r="A154">
        <v>1950</v>
      </c>
      <c r="B154" s="18">
        <v>0.28699999999999998</v>
      </c>
      <c r="C154" s="18">
        <v>7.5914999999999999</v>
      </c>
    </row>
    <row r="155" spans="1:3" x14ac:dyDescent="0.25">
      <c r="A155">
        <v>1951</v>
      </c>
      <c r="B155" s="18">
        <v>0.28399999999999997</v>
      </c>
      <c r="C155" s="18">
        <v>7.6159999999999997</v>
      </c>
    </row>
    <row r="156" spans="1:3" x14ac:dyDescent="0.25">
      <c r="A156">
        <v>1952</v>
      </c>
      <c r="B156" s="18">
        <v>0.307</v>
      </c>
      <c r="C156" s="18">
        <v>7.7059999999999995</v>
      </c>
    </row>
    <row r="157" spans="1:3" x14ac:dyDescent="0.25">
      <c r="A157">
        <v>1953</v>
      </c>
      <c r="B157" s="18">
        <v>0.29499999999999998</v>
      </c>
      <c r="C157" s="18">
        <v>7.6560000000000006</v>
      </c>
    </row>
    <row r="158" spans="1:3" x14ac:dyDescent="0.25">
      <c r="A158">
        <v>1954</v>
      </c>
      <c r="B158" s="18">
        <v>0.308</v>
      </c>
      <c r="C158" s="18">
        <v>7.6585000000000001</v>
      </c>
    </row>
    <row r="159" spans="1:3" x14ac:dyDescent="0.25">
      <c r="A159">
        <v>1955</v>
      </c>
      <c r="B159" s="18">
        <v>0.30399999999999999</v>
      </c>
      <c r="C159" s="18">
        <v>7.5644999999999998</v>
      </c>
    </row>
    <row r="160" spans="1:3" x14ac:dyDescent="0.25">
      <c r="A160">
        <v>1956</v>
      </c>
      <c r="B160" s="18">
        <v>0.315</v>
      </c>
      <c r="C160" s="18">
        <v>7.6165000000000003</v>
      </c>
    </row>
    <row r="161" spans="1:3" x14ac:dyDescent="0.25">
      <c r="A161">
        <v>1957</v>
      </c>
      <c r="B161" s="18">
        <v>0.33300000000000002</v>
      </c>
      <c r="C161" s="18">
        <v>7.6180000000000003</v>
      </c>
    </row>
    <row r="162" spans="1:3" x14ac:dyDescent="0.25">
      <c r="A162">
        <v>1958</v>
      </c>
      <c r="B162" s="18">
        <v>0.31900000000000001</v>
      </c>
      <c r="C162" s="18">
        <v>7.4269999999999996</v>
      </c>
    </row>
    <row r="163" spans="1:3" x14ac:dyDescent="0.25">
      <c r="A163">
        <v>1959</v>
      </c>
      <c r="B163" s="18">
        <v>0.316</v>
      </c>
      <c r="C163" s="18">
        <v>7.4245000000000001</v>
      </c>
    </row>
    <row r="164" spans="1:3" x14ac:dyDescent="0.25">
      <c r="A164">
        <v>1960</v>
      </c>
      <c r="B164" s="18">
        <v>0.32100000000000001</v>
      </c>
      <c r="C164" s="18">
        <v>7.3580000000000005</v>
      </c>
    </row>
    <row r="165" spans="1:3" x14ac:dyDescent="0.25">
      <c r="A165">
        <v>1961</v>
      </c>
      <c r="B165" s="18">
        <v>0.29899999999999999</v>
      </c>
      <c r="C165" s="18">
        <v>7.2795000000000005</v>
      </c>
    </row>
    <row r="166" spans="1:3" x14ac:dyDescent="0.25">
      <c r="A166">
        <v>1962</v>
      </c>
      <c r="B166" s="18">
        <v>0.28899999999999998</v>
      </c>
      <c r="C166" s="18">
        <v>7.2435</v>
      </c>
    </row>
    <row r="167" spans="1:3" x14ac:dyDescent="0.25">
      <c r="A167">
        <v>1963</v>
      </c>
      <c r="B167" s="18">
        <v>0.28999999999999998</v>
      </c>
      <c r="C167" s="18">
        <v>7.0954999999999995</v>
      </c>
    </row>
    <row r="168" spans="1:3" x14ac:dyDescent="0.25">
      <c r="A168">
        <v>1964</v>
      </c>
      <c r="B168" s="18">
        <v>0.28000000000000003</v>
      </c>
      <c r="C168" s="18">
        <v>7.0570000000000004</v>
      </c>
    </row>
    <row r="169" spans="1:3" x14ac:dyDescent="0.25">
      <c r="A169">
        <v>1965</v>
      </c>
      <c r="B169" s="18">
        <v>0.28899999999999998</v>
      </c>
      <c r="C169" s="18">
        <v>6.9835000000000003</v>
      </c>
    </row>
    <row r="170" spans="1:3" x14ac:dyDescent="0.25">
      <c r="A170">
        <v>1966</v>
      </c>
      <c r="B170" s="18">
        <v>0.28199999999999997</v>
      </c>
      <c r="C170" s="18">
        <v>6.94</v>
      </c>
    </row>
    <row r="171" spans="1:3" x14ac:dyDescent="0.25">
      <c r="A171">
        <v>1967</v>
      </c>
      <c r="B171" s="18">
        <v>0.27300000000000002</v>
      </c>
      <c r="C171" s="18">
        <v>6.7874999999999996</v>
      </c>
    </row>
    <row r="172" spans="1:3" x14ac:dyDescent="0.25">
      <c r="A172">
        <v>1968</v>
      </c>
      <c r="B172" s="18">
        <v>0.28100000000000003</v>
      </c>
      <c r="C172" s="18">
        <v>6.9024999999999999</v>
      </c>
    </row>
    <row r="173" spans="1:3" x14ac:dyDescent="0.25">
      <c r="A173">
        <v>1969</v>
      </c>
      <c r="B173" s="18">
        <v>0.26700000000000002</v>
      </c>
      <c r="C173" s="18">
        <v>6.7345000000000006</v>
      </c>
    </row>
    <row r="174" spans="1:3" x14ac:dyDescent="0.25">
      <c r="A174">
        <v>1970</v>
      </c>
      <c r="B174" s="18">
        <v>0.26500000000000001</v>
      </c>
      <c r="C174" s="18">
        <v>6.7270000000000003</v>
      </c>
    </row>
    <row r="175" spans="1:3" x14ac:dyDescent="0.25">
      <c r="A175">
        <v>1971</v>
      </c>
      <c r="B175" s="18">
        <v>0.252</v>
      </c>
      <c r="C175" s="18">
        <v>6.5410000000000004</v>
      </c>
    </row>
    <row r="176" spans="1:3" x14ac:dyDescent="0.25">
      <c r="A176">
        <v>1972</v>
      </c>
      <c r="B176" s="18">
        <v>0.25</v>
      </c>
      <c r="C176" s="18">
        <v>6.3505000000000003</v>
      </c>
    </row>
    <row r="177" spans="1:3" x14ac:dyDescent="0.25">
      <c r="A177">
        <v>1973</v>
      </c>
      <c r="B177" s="18">
        <v>0.26400000000000001</v>
      </c>
      <c r="C177" s="18">
        <v>6.4035000000000002</v>
      </c>
    </row>
    <row r="178" spans="1:3" x14ac:dyDescent="0.25">
      <c r="A178">
        <v>1974</v>
      </c>
      <c r="B178" s="18">
        <v>0.255</v>
      </c>
      <c r="C178" s="18">
        <v>6.4210000000000003</v>
      </c>
    </row>
    <row r="179" spans="1:3" x14ac:dyDescent="0.25">
      <c r="A179">
        <v>1975</v>
      </c>
      <c r="B179" s="18">
        <v>0.25900000000000001</v>
      </c>
      <c r="C179" s="18">
        <v>6.4414999999999996</v>
      </c>
    </row>
    <row r="180" spans="1:3" x14ac:dyDescent="0.25">
      <c r="A180">
        <v>1976</v>
      </c>
      <c r="B180" s="18">
        <v>0.26400000000000001</v>
      </c>
      <c r="C180" s="18">
        <v>6.3380000000000001</v>
      </c>
    </row>
    <row r="181" spans="1:3" x14ac:dyDescent="0.25">
      <c r="A181">
        <v>1977</v>
      </c>
      <c r="B181" s="18">
        <v>0.255</v>
      </c>
      <c r="C181" s="18">
        <v>6.2824999999999998</v>
      </c>
    </row>
    <row r="182" spans="1:3" x14ac:dyDescent="0.25">
      <c r="A182">
        <v>1978</v>
      </c>
      <c r="B182" s="18">
        <v>0.26900000000000002</v>
      </c>
      <c r="C182" s="18">
        <v>6.4855</v>
      </c>
    </row>
    <row r="183" spans="1:3" x14ac:dyDescent="0.25">
      <c r="A183">
        <v>1979</v>
      </c>
      <c r="B183" s="18">
        <v>0.28999999999999998</v>
      </c>
      <c r="C183" s="18">
        <v>6.6715</v>
      </c>
    </row>
    <row r="184" spans="1:3" x14ac:dyDescent="0.25">
      <c r="A184">
        <v>1980</v>
      </c>
      <c r="B184" s="18">
        <v>0.28999999999999998</v>
      </c>
      <c r="C184" s="18">
        <v>6.57</v>
      </c>
    </row>
    <row r="185" spans="1:3" x14ac:dyDescent="0.25">
      <c r="A185">
        <v>1981</v>
      </c>
      <c r="B185" s="18">
        <v>0.28299999999999997</v>
      </c>
      <c r="C185" s="18">
        <v>6.5984999999999996</v>
      </c>
    </row>
    <row r="186" spans="1:3" x14ac:dyDescent="0.25">
      <c r="A186">
        <v>1982</v>
      </c>
      <c r="B186" s="18">
        <v>0.29699999999999999</v>
      </c>
      <c r="C186" s="18">
        <v>6.6545000000000005</v>
      </c>
    </row>
    <row r="187" spans="1:3" x14ac:dyDescent="0.25">
      <c r="A187">
        <v>1983</v>
      </c>
      <c r="B187" s="18">
        <v>0.30299999999999999</v>
      </c>
      <c r="C187" s="18">
        <v>6.7445000000000004</v>
      </c>
    </row>
    <row r="188" spans="1:3" x14ac:dyDescent="0.25">
      <c r="A188">
        <v>1984</v>
      </c>
      <c r="B188" s="18">
        <v>0.30299999999999999</v>
      </c>
      <c r="C188" s="18">
        <v>6.7569999999999997</v>
      </c>
    </row>
    <row r="189" spans="1:3" x14ac:dyDescent="0.25">
      <c r="A189">
        <v>1985</v>
      </c>
      <c r="B189" s="18">
        <v>0.317</v>
      </c>
      <c r="C189" s="18">
        <v>6.8624999999999998</v>
      </c>
    </row>
    <row r="190" spans="1:3" x14ac:dyDescent="0.25">
      <c r="A190">
        <v>1986</v>
      </c>
      <c r="B190" s="18">
        <v>0.32400000000000001</v>
      </c>
      <c r="C190" s="18">
        <v>6.9420000000000002</v>
      </c>
    </row>
    <row r="191" spans="1:3" x14ac:dyDescent="0.25">
      <c r="A191">
        <v>1987</v>
      </c>
      <c r="B191" s="18">
        <v>0.32400000000000001</v>
      </c>
      <c r="C191" s="18">
        <v>6.9459999999999997</v>
      </c>
    </row>
    <row r="192" spans="1:3" x14ac:dyDescent="0.25">
      <c r="A192">
        <v>1988</v>
      </c>
      <c r="B192" s="18">
        <v>0.33800000000000002</v>
      </c>
      <c r="C192" s="18">
        <v>7.0529999999999999</v>
      </c>
    </row>
    <row r="193" spans="1:3" x14ac:dyDescent="0.25">
      <c r="A193">
        <v>1989</v>
      </c>
      <c r="B193" s="18">
        <v>0.33100000000000002</v>
      </c>
      <c r="C193" s="18">
        <v>7.21</v>
      </c>
    </row>
    <row r="194" spans="1:3" x14ac:dyDescent="0.25">
      <c r="A194">
        <v>1990</v>
      </c>
      <c r="B194" s="18">
        <v>0.38600000000000001</v>
      </c>
      <c r="C194" s="18">
        <v>7.8580000000000005</v>
      </c>
    </row>
    <row r="195" spans="1:3" x14ac:dyDescent="0.25">
      <c r="A195">
        <v>1991</v>
      </c>
      <c r="B195" s="18">
        <v>0.44700000000000001</v>
      </c>
      <c r="C195" s="18">
        <v>8.4860000000000007</v>
      </c>
    </row>
    <row r="196" spans="1:3" x14ac:dyDescent="0.25">
      <c r="A196">
        <v>1992</v>
      </c>
      <c r="B196" s="18">
        <v>0.46200000000000002</v>
      </c>
      <c r="C196" s="18">
        <v>8.6589999999999989</v>
      </c>
    </row>
    <row r="197" spans="1:3" x14ac:dyDescent="0.25">
      <c r="A197">
        <v>1993</v>
      </c>
      <c r="B197" s="18">
        <v>0.49099999999999999</v>
      </c>
      <c r="C197" s="18">
        <v>8.8464999999999989</v>
      </c>
    </row>
    <row r="198" spans="1:3" x14ac:dyDescent="0.25">
      <c r="A198">
        <v>1994</v>
      </c>
      <c r="B198" s="18">
        <v>0.50900000000000001</v>
      </c>
      <c r="C198" s="18">
        <v>9.0165000000000006</v>
      </c>
    </row>
    <row r="199" spans="1:3" x14ac:dyDescent="0.25">
      <c r="A199">
        <v>1995</v>
      </c>
      <c r="B199" s="18">
        <v>0.49099999999999999</v>
      </c>
      <c r="C199" s="18">
        <v>8.9674999999999994</v>
      </c>
    </row>
    <row r="200" spans="1:3" x14ac:dyDescent="0.25">
      <c r="A200">
        <v>1996</v>
      </c>
      <c r="B200" s="18">
        <v>0.497</v>
      </c>
      <c r="C200" s="18">
        <v>8.8789999999999996</v>
      </c>
    </row>
    <row r="203" spans="1:3" ht="13" x14ac:dyDescent="0.3">
      <c r="A203" s="11" t="s">
        <v>100</v>
      </c>
    </row>
    <row r="204" spans="1:3" x14ac:dyDescent="0.25">
      <c r="A204" t="s">
        <v>101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>
      <pane ySplit="3" topLeftCell="A4" activePane="bottomLeft" state="frozen"/>
      <selection pane="bottomLeft" activeCell="A3" sqref="A3"/>
    </sheetView>
  </sheetViews>
  <sheetFormatPr defaultColWidth="10.26953125" defaultRowHeight="10" x14ac:dyDescent="0.2"/>
  <cols>
    <col min="1" max="1" width="7.54296875" style="8" customWidth="1"/>
    <col min="2" max="2" width="10.26953125" style="22" customWidth="1"/>
    <col min="3" max="16384" width="10.26953125" style="8"/>
  </cols>
  <sheetData>
    <row r="1" spans="1:2" ht="15.5" x14ac:dyDescent="0.35">
      <c r="A1" s="21" t="s">
        <v>102</v>
      </c>
    </row>
    <row r="3" spans="1:2" ht="26" x14ac:dyDescent="0.3">
      <c r="A3" s="19"/>
      <c r="B3" s="24" t="s">
        <v>69</v>
      </c>
    </row>
    <row r="4" spans="1:2" ht="12.5" x14ac:dyDescent="0.25">
      <c r="A4" s="20">
        <v>1900</v>
      </c>
      <c r="B4" s="23">
        <v>2.896551724137931</v>
      </c>
    </row>
    <row r="5" spans="1:2" ht="12.5" x14ac:dyDescent="0.25">
      <c r="A5" s="20">
        <v>1901</v>
      </c>
      <c r="B5" s="23">
        <v>2.8620689655172415</v>
      </c>
    </row>
    <row r="6" spans="1:2" ht="12.5" x14ac:dyDescent="0.25">
      <c r="A6" s="20">
        <v>1902</v>
      </c>
      <c r="B6" s="23">
        <v>2.896551724137931</v>
      </c>
    </row>
    <row r="7" spans="1:2" ht="12.5" x14ac:dyDescent="0.25">
      <c r="A7" s="20">
        <v>1903</v>
      </c>
      <c r="B7" s="23">
        <v>3.0344827586206895</v>
      </c>
    </row>
    <row r="8" spans="1:2" ht="12.5" x14ac:dyDescent="0.25">
      <c r="A8" s="20">
        <v>1904</v>
      </c>
      <c r="B8" s="23">
        <v>3.0344827586206895</v>
      </c>
    </row>
    <row r="9" spans="1:2" ht="12.5" x14ac:dyDescent="0.25">
      <c r="A9" s="20">
        <v>1905</v>
      </c>
      <c r="B9" s="23">
        <v>3.0344827586206895</v>
      </c>
    </row>
    <row r="10" spans="1:2" ht="12.5" x14ac:dyDescent="0.25">
      <c r="A10" s="20">
        <v>1906</v>
      </c>
      <c r="B10" s="23">
        <v>3.103448275862069</v>
      </c>
    </row>
    <row r="11" spans="1:2" ht="12.5" x14ac:dyDescent="0.25">
      <c r="A11" s="20">
        <v>1907</v>
      </c>
      <c r="B11" s="23">
        <v>2.9310344827586206</v>
      </c>
    </row>
    <row r="12" spans="1:2" ht="12.5" x14ac:dyDescent="0.25">
      <c r="A12" s="20">
        <v>1908</v>
      </c>
      <c r="B12" s="23">
        <v>3.1379310344827585</v>
      </c>
    </row>
    <row r="13" spans="1:2" ht="12.5" x14ac:dyDescent="0.25">
      <c r="A13" s="20">
        <v>1909</v>
      </c>
      <c r="B13" s="23">
        <v>3.1379310344827585</v>
      </c>
    </row>
    <row r="14" spans="1:2" ht="12.5" x14ac:dyDescent="0.25">
      <c r="A14" s="20">
        <v>1910</v>
      </c>
      <c r="B14" s="23">
        <v>3</v>
      </c>
    </row>
    <row r="15" spans="1:2" ht="12.5" x14ac:dyDescent="0.25">
      <c r="A15" s="20">
        <v>1911</v>
      </c>
      <c r="B15" s="23">
        <v>3.2758620689655173</v>
      </c>
    </row>
    <row r="16" spans="1:2" ht="12.5" x14ac:dyDescent="0.25">
      <c r="A16" s="20">
        <v>1912</v>
      </c>
      <c r="B16" s="23">
        <v>3.2758620689655173</v>
      </c>
    </row>
    <row r="17" spans="1:2" ht="12.5" x14ac:dyDescent="0.25">
      <c r="A17" s="20">
        <v>1913</v>
      </c>
      <c r="B17" s="23">
        <v>3.3103448275862069</v>
      </c>
    </row>
    <row r="18" spans="1:2" ht="12.5" x14ac:dyDescent="0.25">
      <c r="A18" s="20">
        <v>1914</v>
      </c>
      <c r="B18" s="23">
        <v>3.103448275862069</v>
      </c>
    </row>
    <row r="19" spans="1:2" ht="12.5" x14ac:dyDescent="0.25">
      <c r="A19" s="20">
        <v>1915</v>
      </c>
      <c r="B19" s="23">
        <v>3.4137931034482758</v>
      </c>
    </row>
    <row r="20" spans="1:2" ht="12.5" x14ac:dyDescent="0.25">
      <c r="A20" s="20">
        <v>1916</v>
      </c>
      <c r="B20" s="23">
        <v>3.2068965517241379</v>
      </c>
    </row>
    <row r="21" spans="1:2" ht="12.5" x14ac:dyDescent="0.25">
      <c r="A21" s="20">
        <v>1917</v>
      </c>
      <c r="B21" s="23">
        <v>4.3793103448275863</v>
      </c>
    </row>
    <row r="22" spans="1:2" ht="12.5" x14ac:dyDescent="0.25">
      <c r="A22" s="20">
        <v>1918</v>
      </c>
      <c r="B22" s="23">
        <v>5.3103448275862073</v>
      </c>
    </row>
    <row r="23" spans="1:2" ht="12.5" x14ac:dyDescent="0.25">
      <c r="A23" s="20">
        <v>1919</v>
      </c>
      <c r="B23" s="23">
        <v>5.1034482758620694</v>
      </c>
    </row>
    <row r="24" spans="1:2" ht="12.5" x14ac:dyDescent="0.25">
      <c r="A24" s="20">
        <v>1920</v>
      </c>
      <c r="B24" s="23">
        <v>6.3103448275862073</v>
      </c>
    </row>
    <row r="25" spans="1:2" ht="12.5" x14ac:dyDescent="0.25">
      <c r="A25" s="20">
        <v>1921</v>
      </c>
      <c r="B25" s="23">
        <v>6.4137931034482758</v>
      </c>
    </row>
    <row r="26" spans="1:2" ht="12.5" x14ac:dyDescent="0.25">
      <c r="A26" s="20">
        <v>1922</v>
      </c>
      <c r="B26" s="23">
        <v>6.5172413793103452</v>
      </c>
    </row>
    <row r="27" spans="1:2" ht="12.5" x14ac:dyDescent="0.25">
      <c r="A27" s="20">
        <v>1923</v>
      </c>
      <c r="B27" s="23">
        <v>6.3103448275862073</v>
      </c>
    </row>
    <row r="28" spans="1:2" ht="12.5" x14ac:dyDescent="0.25">
      <c r="A28" s="20">
        <v>1924</v>
      </c>
      <c r="B28" s="23">
        <v>6.3448275862068968</v>
      </c>
    </row>
    <row r="29" spans="1:2" ht="12.5" x14ac:dyDescent="0.25">
      <c r="A29" s="20">
        <v>1925</v>
      </c>
      <c r="B29" s="23">
        <v>6.3103448275862073</v>
      </c>
    </row>
    <row r="30" spans="1:2" ht="12.5" x14ac:dyDescent="0.25">
      <c r="A30" s="20">
        <v>1926</v>
      </c>
      <c r="B30" s="23">
        <v>5.931034482758621</v>
      </c>
    </row>
    <row r="31" spans="1:2" ht="12.5" x14ac:dyDescent="0.25">
      <c r="A31" s="20">
        <v>1927</v>
      </c>
      <c r="B31" s="23">
        <v>6</v>
      </c>
    </row>
    <row r="32" spans="1:2" ht="12.5" x14ac:dyDescent="0.25">
      <c r="A32" s="20">
        <v>1928</v>
      </c>
      <c r="B32" s="23">
        <v>6</v>
      </c>
    </row>
    <row r="33" spans="1:2" ht="12.5" x14ac:dyDescent="0.25">
      <c r="A33" s="20">
        <v>1929</v>
      </c>
      <c r="B33" s="23">
        <v>5.931034482758621</v>
      </c>
    </row>
    <row r="34" spans="1:2" ht="12.5" x14ac:dyDescent="0.25">
      <c r="A34" s="20">
        <v>1930</v>
      </c>
      <c r="B34" s="23">
        <v>5.6551724137931032</v>
      </c>
    </row>
    <row r="35" spans="1:2" ht="12.5" x14ac:dyDescent="0.25">
      <c r="A35" s="20">
        <v>1931</v>
      </c>
      <c r="B35" s="23">
        <v>6.1724137931034484</v>
      </c>
    </row>
    <row r="36" spans="1:2" ht="12.5" x14ac:dyDescent="0.25">
      <c r="A36" s="20">
        <v>1932</v>
      </c>
      <c r="B36" s="23">
        <v>6.1724137931034484</v>
      </c>
    </row>
    <row r="37" spans="1:2" ht="12.5" x14ac:dyDescent="0.25">
      <c r="A37" s="20">
        <v>1933</v>
      </c>
      <c r="B37" s="23">
        <v>5.2758620689655169</v>
      </c>
    </row>
    <row r="38" spans="1:2" ht="12.5" x14ac:dyDescent="0.25">
      <c r="A38" s="20">
        <v>1934</v>
      </c>
      <c r="B38" s="23">
        <v>4.8965517241379306</v>
      </c>
    </row>
    <row r="39" spans="1:2" ht="12.5" x14ac:dyDescent="0.25">
      <c r="A39" s="20">
        <v>1935</v>
      </c>
      <c r="B39" s="23">
        <v>4.8275862068965516</v>
      </c>
    </row>
    <row r="40" spans="1:2" ht="12.5" x14ac:dyDescent="0.25">
      <c r="A40" s="20">
        <v>1936</v>
      </c>
      <c r="B40" s="23">
        <v>4.5517241379310347</v>
      </c>
    </row>
    <row r="41" spans="1:2" ht="12.5" x14ac:dyDescent="0.25">
      <c r="A41" s="20">
        <v>1937</v>
      </c>
      <c r="B41" s="23">
        <v>4.5517241379310347</v>
      </c>
    </row>
    <row r="42" spans="1:2" ht="12.5" x14ac:dyDescent="0.25">
      <c r="A42" s="20">
        <v>1938</v>
      </c>
      <c r="B42" s="23">
        <v>4.5517241379310347</v>
      </c>
    </row>
    <row r="43" spans="1:2" ht="12.5" x14ac:dyDescent="0.25">
      <c r="A43" s="20">
        <v>1939</v>
      </c>
      <c r="B43" s="23">
        <v>4.2068965517241379</v>
      </c>
    </row>
    <row r="44" spans="1:2" ht="12.5" x14ac:dyDescent="0.25">
      <c r="A44" s="20">
        <v>1940</v>
      </c>
      <c r="B44" s="23">
        <v>2.103448275862069</v>
      </c>
    </row>
    <row r="45" spans="1:2" ht="12.5" x14ac:dyDescent="0.25">
      <c r="A45" s="20">
        <v>1941</v>
      </c>
      <c r="B45" s="23">
        <v>1.9310344827586208</v>
      </c>
    </row>
    <row r="46" spans="1:2" ht="12.5" x14ac:dyDescent="0.25">
      <c r="A46" s="20">
        <v>1942</v>
      </c>
      <c r="B46" s="23">
        <v>1.9310344827586208</v>
      </c>
    </row>
    <row r="47" spans="1:2" ht="12.5" x14ac:dyDescent="0.25">
      <c r="A47" s="20">
        <v>1943</v>
      </c>
      <c r="B47" s="23">
        <v>1.9310344827586208</v>
      </c>
    </row>
    <row r="48" spans="1:2" ht="12.5" x14ac:dyDescent="0.25">
      <c r="A48" s="20">
        <v>1944</v>
      </c>
      <c r="B48" s="23">
        <v>2.2758620689655173</v>
      </c>
    </row>
    <row r="49" spans="1:2" ht="12.5" x14ac:dyDescent="0.25">
      <c r="A49" s="20">
        <v>1945</v>
      </c>
      <c r="B49" s="23">
        <v>4.3448275862068968</v>
      </c>
    </row>
    <row r="50" spans="1:2" ht="12.5" x14ac:dyDescent="0.25">
      <c r="A50" s="20">
        <v>1946</v>
      </c>
      <c r="B50" s="23">
        <v>5.0344827586206895</v>
      </c>
    </row>
    <row r="51" spans="1:2" ht="12.5" x14ac:dyDescent="0.25">
      <c r="A51" s="20">
        <v>1947</v>
      </c>
      <c r="B51" s="23">
        <v>4.6896551724137927</v>
      </c>
    </row>
    <row r="52" spans="1:2" ht="12.5" x14ac:dyDescent="0.25">
      <c r="A52" s="20">
        <v>1948</v>
      </c>
      <c r="B52" s="23">
        <v>5.0344827586206895</v>
      </c>
    </row>
    <row r="53" spans="1:2" ht="12.5" x14ac:dyDescent="0.25">
      <c r="A53" s="20">
        <v>1949</v>
      </c>
      <c r="B53" s="23">
        <v>5.3448275862068968</v>
      </c>
    </row>
    <row r="54" spans="1:2" ht="12.5" x14ac:dyDescent="0.25">
      <c r="A54" s="20">
        <v>1950</v>
      </c>
      <c r="B54" s="23">
        <v>5.3448275862068968</v>
      </c>
    </row>
    <row r="56" spans="1:2" ht="13" x14ac:dyDescent="0.3">
      <c r="A56" s="27" t="s">
        <v>103</v>
      </c>
      <c r="B56" s="26"/>
    </row>
    <row r="57" spans="1:2" ht="12.5" x14ac:dyDescent="0.25">
      <c r="A57" s="25" t="s">
        <v>104</v>
      </c>
      <c r="B57" s="26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/>
  </sheetViews>
  <sheetFormatPr defaultRowHeight="12.5" x14ac:dyDescent="0.25"/>
  <cols>
    <col min="2" max="12" width="9.1796875" style="14" customWidth="1"/>
  </cols>
  <sheetData>
    <row r="1" spans="1:12" ht="15.5" x14ac:dyDescent="0.35">
      <c r="A1" s="1" t="s">
        <v>70</v>
      </c>
    </row>
    <row r="2" spans="1:12" x14ac:dyDescent="0.25">
      <c r="A2" s="13" t="s">
        <v>71</v>
      </c>
    </row>
    <row r="3" spans="1:12" ht="13" x14ac:dyDescent="0.3">
      <c r="B3" s="30" t="s">
        <v>72</v>
      </c>
    </row>
    <row r="4" spans="1:12" ht="26" x14ac:dyDescent="0.3">
      <c r="A4" s="9"/>
      <c r="B4" s="28" t="s">
        <v>74</v>
      </c>
      <c r="C4" s="28" t="s">
        <v>75</v>
      </c>
      <c r="D4" s="28" t="s">
        <v>76</v>
      </c>
      <c r="E4" s="28" t="s">
        <v>77</v>
      </c>
      <c r="F4" s="28" t="s">
        <v>5</v>
      </c>
      <c r="G4" s="28" t="s">
        <v>78</v>
      </c>
      <c r="H4" s="28" t="s">
        <v>79</v>
      </c>
      <c r="I4" s="28" t="s">
        <v>80</v>
      </c>
      <c r="J4" s="28" t="s">
        <v>81</v>
      </c>
      <c r="K4" s="28" t="s">
        <v>82</v>
      </c>
      <c r="L4" s="28" t="s">
        <v>4</v>
      </c>
    </row>
    <row r="5" spans="1:12" x14ac:dyDescent="0.25">
      <c r="A5" s="6">
        <v>1919</v>
      </c>
      <c r="B5" s="16"/>
      <c r="C5" s="16"/>
      <c r="D5" s="16"/>
      <c r="E5" s="16"/>
      <c r="F5" s="16"/>
      <c r="G5" s="16"/>
      <c r="H5" s="16">
        <v>128.12887236679057</v>
      </c>
      <c r="I5" s="16">
        <v>81.762384918895222</v>
      </c>
      <c r="J5" s="16">
        <v>75.58288966403525</v>
      </c>
      <c r="K5" s="16"/>
      <c r="L5" s="16">
        <v>97.898423817863403</v>
      </c>
    </row>
    <row r="6" spans="1:12" x14ac:dyDescent="0.25">
      <c r="A6" s="6">
        <v>1920</v>
      </c>
      <c r="B6" s="16"/>
      <c r="C6" s="16">
        <v>66.442953020134226</v>
      </c>
      <c r="D6" s="16"/>
      <c r="E6" s="16"/>
      <c r="F6" s="16">
        <v>69.767441860465112</v>
      </c>
      <c r="G6" s="16"/>
      <c r="H6" s="16">
        <v>143.75529902823973</v>
      </c>
      <c r="I6" s="16">
        <v>87.110916264796145</v>
      </c>
      <c r="J6" s="16">
        <v>86.029006792729945</v>
      </c>
      <c r="K6" s="16"/>
      <c r="L6" s="16">
        <v>88.791593695271459</v>
      </c>
    </row>
    <row r="7" spans="1:12" x14ac:dyDescent="0.25">
      <c r="A7" s="6">
        <v>1921</v>
      </c>
      <c r="B7" s="16"/>
      <c r="C7" s="16">
        <v>71.812080536912745</v>
      </c>
      <c r="D7" s="16">
        <v>78.091397849462368</v>
      </c>
      <c r="E7" s="16"/>
      <c r="F7" s="16">
        <v>64.599483204134373</v>
      </c>
      <c r="G7" s="16"/>
      <c r="H7" s="16">
        <v>121.8809104545751</v>
      </c>
      <c r="I7" s="16">
        <v>78.693555458132408</v>
      </c>
      <c r="J7" s="16">
        <v>75.803194418946205</v>
      </c>
      <c r="K7" s="16"/>
      <c r="L7" s="16">
        <v>83.537653239929938</v>
      </c>
    </row>
    <row r="8" spans="1:12" x14ac:dyDescent="0.25">
      <c r="A8" s="6">
        <v>1922</v>
      </c>
      <c r="B8" s="16"/>
      <c r="C8" s="16">
        <v>69.91051454138703</v>
      </c>
      <c r="D8" s="16">
        <v>85.675883256528422</v>
      </c>
      <c r="E8" s="16"/>
      <c r="F8" s="16">
        <v>78.552971576227392</v>
      </c>
      <c r="G8" s="16"/>
      <c r="H8" s="16"/>
      <c r="I8" s="16">
        <v>87.110916264796145</v>
      </c>
      <c r="J8" s="16">
        <v>71.819350100973011</v>
      </c>
      <c r="K8" s="16"/>
      <c r="L8" s="16">
        <v>86.295971978984241</v>
      </c>
    </row>
    <row r="9" spans="1:12" x14ac:dyDescent="0.25">
      <c r="A9" s="6">
        <v>1923</v>
      </c>
      <c r="B9" s="16"/>
      <c r="C9" s="16">
        <v>75.727069351230426</v>
      </c>
      <c r="D9" s="16">
        <v>97.561443932411677</v>
      </c>
      <c r="E9" s="16"/>
      <c r="F9" s="16">
        <v>85.012919896640824</v>
      </c>
      <c r="G9" s="16"/>
      <c r="H9" s="16">
        <v>106.25448379312594</v>
      </c>
      <c r="I9" s="16">
        <v>89.478298991670329</v>
      </c>
      <c r="J9" s="16">
        <v>77.785937213144848</v>
      </c>
      <c r="K9" s="16"/>
      <c r="L9" s="16">
        <v>88.96672504378283</v>
      </c>
    </row>
    <row r="10" spans="1:12" x14ac:dyDescent="0.25">
      <c r="A10" s="6">
        <v>1924</v>
      </c>
      <c r="B10" s="16">
        <v>101.73410404624276</v>
      </c>
      <c r="C10" s="16">
        <v>83.557046979865774</v>
      </c>
      <c r="D10" s="16">
        <v>97.043010752688176</v>
      </c>
      <c r="E10" s="16"/>
      <c r="F10" s="16">
        <v>98.449612403100772</v>
      </c>
      <c r="G10" s="16"/>
      <c r="H10" s="16">
        <v>106.25448379312594</v>
      </c>
      <c r="I10" s="16">
        <v>89.434458570802278</v>
      </c>
      <c r="J10" s="16">
        <v>83.679089407013024</v>
      </c>
      <c r="K10" s="16"/>
      <c r="L10" s="16">
        <v>92.206654991243425</v>
      </c>
    </row>
    <row r="11" spans="1:12" x14ac:dyDescent="0.25">
      <c r="A11" s="6">
        <v>1925</v>
      </c>
      <c r="B11" s="16"/>
      <c r="C11" s="16">
        <v>93.400447427293059</v>
      </c>
      <c r="D11" s="16">
        <v>93.759600614439321</v>
      </c>
      <c r="E11" s="16"/>
      <c r="F11" s="16">
        <v>99.224806201550393</v>
      </c>
      <c r="G11" s="16"/>
      <c r="H11" s="16">
        <v>106.25448379312594</v>
      </c>
      <c r="I11" s="16">
        <v>94.958351600175362</v>
      </c>
      <c r="J11" s="16">
        <v>91.701854231687165</v>
      </c>
      <c r="K11" s="16"/>
      <c r="L11" s="16">
        <v>97.154115586690011</v>
      </c>
    </row>
    <row r="12" spans="1:12" x14ac:dyDescent="0.25">
      <c r="A12" s="6">
        <v>1926</v>
      </c>
      <c r="B12" s="16"/>
      <c r="C12" s="16">
        <v>93.064876957494405</v>
      </c>
      <c r="D12" s="16">
        <v>96.67818740399386</v>
      </c>
      <c r="E12" s="16">
        <v>92.270531400966178</v>
      </c>
      <c r="F12" s="16">
        <v>103.61757105943153</v>
      </c>
      <c r="G12" s="16">
        <v>92.771084337349393</v>
      </c>
      <c r="H12" s="16">
        <v>103.12398095610776</v>
      </c>
      <c r="I12" s="16">
        <v>96.361245067952652</v>
      </c>
      <c r="J12" s="16">
        <v>95.557187442628972</v>
      </c>
      <c r="K12" s="16"/>
      <c r="L12" s="16">
        <v>93.082311733800353</v>
      </c>
    </row>
    <row r="13" spans="1:12" x14ac:dyDescent="0.25">
      <c r="A13" s="6">
        <v>1927</v>
      </c>
      <c r="B13" s="16">
        <v>100</v>
      </c>
      <c r="C13" s="16">
        <v>100</v>
      </c>
      <c r="D13" s="16">
        <v>100</v>
      </c>
      <c r="E13" s="16">
        <v>100</v>
      </c>
      <c r="F13" s="16">
        <v>100</v>
      </c>
      <c r="G13" s="16">
        <v>100</v>
      </c>
      <c r="H13" s="16">
        <v>100</v>
      </c>
      <c r="I13" s="16">
        <v>100</v>
      </c>
      <c r="J13" s="16">
        <v>100</v>
      </c>
      <c r="K13" s="16"/>
      <c r="L13" s="16">
        <v>100</v>
      </c>
    </row>
    <row r="14" spans="1:12" x14ac:dyDescent="0.25">
      <c r="A14" s="6">
        <v>1928</v>
      </c>
      <c r="B14" s="16"/>
      <c r="C14" s="16">
        <v>108.83668903803132</v>
      </c>
      <c r="D14" s="16">
        <v>103.72503840245774</v>
      </c>
      <c r="E14" s="16">
        <v>103.38164251207729</v>
      </c>
      <c r="F14" s="16">
        <v>105.94315245478036</v>
      </c>
      <c r="G14" s="16">
        <v>101.20481927710843</v>
      </c>
      <c r="H14" s="16">
        <v>103.12398095610776</v>
      </c>
      <c r="I14" s="16">
        <v>104.42788250767208</v>
      </c>
      <c r="J14" s="16">
        <v>100.29373967321462</v>
      </c>
      <c r="K14" s="16"/>
      <c r="L14" s="16">
        <v>101.66374781085814</v>
      </c>
    </row>
    <row r="15" spans="1:12" x14ac:dyDescent="0.25">
      <c r="A15" s="6">
        <v>1929</v>
      </c>
      <c r="B15" s="16"/>
      <c r="C15" s="16">
        <v>111.85682326621924</v>
      </c>
      <c r="D15" s="16">
        <v>106.68202764976959</v>
      </c>
      <c r="E15" s="16">
        <v>102.89855072463767</v>
      </c>
      <c r="F15" s="16">
        <v>117.05426356589147</v>
      </c>
      <c r="G15" s="16">
        <v>101.20481927710843</v>
      </c>
      <c r="H15" s="16">
        <v>103.12398095610776</v>
      </c>
      <c r="I15" s="16">
        <v>114.29197720298114</v>
      </c>
      <c r="J15" s="16">
        <v>108.68367908940701</v>
      </c>
      <c r="K15" s="16">
        <v>100</v>
      </c>
      <c r="L15" s="16">
        <v>104.6847635726795</v>
      </c>
    </row>
    <row r="16" spans="1:12" x14ac:dyDescent="0.25">
      <c r="A16" s="6">
        <v>1930</v>
      </c>
      <c r="B16" s="16">
        <v>124.27745664739885</v>
      </c>
      <c r="C16" s="16">
        <v>108.16554809843399</v>
      </c>
      <c r="D16" s="16">
        <v>112.73041474654377</v>
      </c>
      <c r="E16" s="16">
        <v>100.48309178743962</v>
      </c>
      <c r="F16" s="16">
        <v>115.50387596899225</v>
      </c>
      <c r="G16" s="16">
        <v>102.40963855421687</v>
      </c>
      <c r="H16" s="16">
        <v>96.876019043892256</v>
      </c>
      <c r="I16" s="16"/>
      <c r="J16" s="16">
        <v>112.3737837341656</v>
      </c>
      <c r="K16" s="16">
        <v>101.06257378984651</v>
      </c>
      <c r="L16" s="16">
        <v>104.37828371278459</v>
      </c>
    </row>
    <row r="17" spans="1:12" x14ac:dyDescent="0.25">
      <c r="A17" s="6">
        <v>1931</v>
      </c>
      <c r="B17" s="16"/>
      <c r="C17" s="16">
        <v>104.47427293064877</v>
      </c>
      <c r="D17" s="16">
        <v>115.30337941628264</v>
      </c>
      <c r="E17" s="16">
        <v>96.618357487922708</v>
      </c>
      <c r="F17" s="16">
        <v>110.59431524547803</v>
      </c>
      <c r="G17" s="16">
        <v>104.81927710843372</v>
      </c>
      <c r="H17" s="16">
        <v>90.628057131676769</v>
      </c>
      <c r="I17" s="16"/>
      <c r="J17" s="16">
        <v>101.6522856618322</v>
      </c>
      <c r="K17" s="16">
        <v>98.110979929161743</v>
      </c>
      <c r="L17" s="16">
        <v>98.686514886164616</v>
      </c>
    </row>
    <row r="18" spans="1:12" x14ac:dyDescent="0.25">
      <c r="A18" s="6">
        <v>1932</v>
      </c>
      <c r="B18" s="16"/>
      <c r="C18" s="16">
        <v>100.33557046979867</v>
      </c>
      <c r="D18" s="16">
        <v>110.15745007680491</v>
      </c>
      <c r="E18" s="16">
        <v>98.550724637681171</v>
      </c>
      <c r="F18" s="16">
        <v>102.84237726098191</v>
      </c>
      <c r="G18" s="16">
        <v>104.81927710843372</v>
      </c>
      <c r="H18" s="16">
        <v>84.373573338550827</v>
      </c>
      <c r="I18" s="16"/>
      <c r="J18" s="16">
        <v>99.026987332476594</v>
      </c>
      <c r="K18" s="16">
        <v>95.159386068476977</v>
      </c>
      <c r="L18" s="16">
        <v>99.387040280210158</v>
      </c>
    </row>
    <row r="19" spans="1:12" x14ac:dyDescent="0.25">
      <c r="A19" s="6">
        <v>1933</v>
      </c>
      <c r="B19" s="16"/>
      <c r="C19" s="16">
        <v>96.085011185682319</v>
      </c>
      <c r="D19" s="16">
        <v>112.21198156682028</v>
      </c>
      <c r="E19" s="16">
        <v>105.31400966183575</v>
      </c>
      <c r="F19" s="16">
        <v>103.35917312661498</v>
      </c>
      <c r="G19" s="16">
        <v>104.21686746987953</v>
      </c>
      <c r="H19" s="16">
        <v>84.373573338550827</v>
      </c>
      <c r="I19" s="16"/>
      <c r="J19" s="16">
        <v>100.29373967321462</v>
      </c>
      <c r="K19" s="16">
        <v>100.47225501770956</v>
      </c>
      <c r="L19" s="16">
        <v>101.53239929947459</v>
      </c>
    </row>
    <row r="20" spans="1:12" x14ac:dyDescent="0.25">
      <c r="A20" s="6">
        <v>1934</v>
      </c>
      <c r="B20" s="16">
        <v>120.80924855491328</v>
      </c>
      <c r="C20" s="16">
        <v>92.393736017897083</v>
      </c>
      <c r="D20" s="16">
        <v>117.97235023041475</v>
      </c>
      <c r="E20" s="16">
        <v>118.3574879227053</v>
      </c>
      <c r="F20" s="16">
        <v>101.29198966408268</v>
      </c>
      <c r="G20" s="16">
        <v>106.62650602409639</v>
      </c>
      <c r="H20" s="16">
        <v>84.373573338550827</v>
      </c>
      <c r="I20" s="16"/>
      <c r="J20" s="16">
        <v>110.06058380760051</v>
      </c>
      <c r="K20" s="16">
        <v>101.06257378984651</v>
      </c>
      <c r="L20" s="16">
        <v>108.53765323992994</v>
      </c>
    </row>
    <row r="21" spans="1:12" x14ac:dyDescent="0.25">
      <c r="A21" s="6">
        <v>1935</v>
      </c>
      <c r="B21" s="16">
        <v>126.58959537572254</v>
      </c>
      <c r="C21" s="16">
        <v>91.49888143176733</v>
      </c>
      <c r="D21" s="16">
        <v>118.47158218125959</v>
      </c>
      <c r="E21" s="16">
        <v>121.256038647343</v>
      </c>
      <c r="F21" s="16">
        <v>96.899224806201545</v>
      </c>
      <c r="G21" s="16">
        <v>106.62650602409639</v>
      </c>
      <c r="H21" s="16">
        <v>81.249592382443097</v>
      </c>
      <c r="I21" s="16"/>
      <c r="J21" s="16">
        <v>115.51312649164677</v>
      </c>
      <c r="K21" s="16">
        <v>101.06257378984651</v>
      </c>
      <c r="L21" s="16">
        <v>112.30297723292469</v>
      </c>
    </row>
    <row r="22" spans="1:12" x14ac:dyDescent="0.25">
      <c r="A22" s="6">
        <v>1936</v>
      </c>
      <c r="B22" s="16">
        <v>142.19653179190752</v>
      </c>
      <c r="C22" s="16">
        <v>98.993288590604024</v>
      </c>
      <c r="D22" s="16">
        <v>123.48310291858679</v>
      </c>
      <c r="E22" s="16">
        <v>129.95169082125605</v>
      </c>
      <c r="F22" s="16">
        <v>95.865633074935403</v>
      </c>
      <c r="G22" s="16">
        <v>107.83132530120483</v>
      </c>
      <c r="H22" s="16">
        <v>81.249592382443097</v>
      </c>
      <c r="I22" s="16"/>
      <c r="J22" s="16">
        <v>123.79291353038371</v>
      </c>
      <c r="K22" s="16">
        <v>101.29870129870129</v>
      </c>
      <c r="L22" s="16">
        <v>116.85639229422067</v>
      </c>
    </row>
    <row r="23" spans="1:12" x14ac:dyDescent="0.25">
      <c r="A23" s="6">
        <v>1937</v>
      </c>
      <c r="B23" s="16">
        <v>144.50867052023122</v>
      </c>
      <c r="C23" s="16">
        <v>110.06711409395973</v>
      </c>
      <c r="D23" s="16">
        <v>126.01766513056836</v>
      </c>
      <c r="E23" s="16">
        <v>142.51207729468598</v>
      </c>
      <c r="F23" s="16">
        <v>99.224806201550393</v>
      </c>
      <c r="G23" s="16">
        <v>102.40963855421687</v>
      </c>
      <c r="H23" s="16">
        <v>84.373573338550827</v>
      </c>
      <c r="I23" s="16"/>
      <c r="J23" s="16">
        <v>132.03598310996878</v>
      </c>
      <c r="K23" s="16">
        <v>103.6599763872491</v>
      </c>
      <c r="L23" s="16">
        <v>120.79684763572681</v>
      </c>
    </row>
    <row r="24" spans="1:12" x14ac:dyDescent="0.25">
      <c r="A24" s="6">
        <v>1938</v>
      </c>
      <c r="B24" s="16">
        <v>139.30635838150289</v>
      </c>
      <c r="C24" s="16"/>
      <c r="D24" s="16">
        <v>126.57450076804915</v>
      </c>
      <c r="E24" s="16">
        <v>143.47826086956522</v>
      </c>
      <c r="F24" s="16">
        <v>98.191214470284237</v>
      </c>
      <c r="G24" s="16">
        <v>102.40963855421687</v>
      </c>
      <c r="H24" s="16">
        <v>84.373573338550827</v>
      </c>
      <c r="I24" s="16"/>
      <c r="J24" s="16">
        <v>136.91940517716174</v>
      </c>
      <c r="K24" s="16">
        <v>104.72255017709564</v>
      </c>
      <c r="L24" s="16">
        <v>123.81786339754817</v>
      </c>
    </row>
    <row r="25" spans="1:12" x14ac:dyDescent="0.25">
      <c r="A25" s="6">
        <v>1939</v>
      </c>
      <c r="B25" s="16"/>
      <c r="C25" s="16"/>
      <c r="D25" s="16">
        <v>134.83102918586789</v>
      </c>
      <c r="E25" s="16">
        <v>139.61352657004829</v>
      </c>
      <c r="F25" s="16">
        <v>105.16795865633075</v>
      </c>
      <c r="G25" s="16">
        <v>107.83132530120483</v>
      </c>
      <c r="H25" s="16">
        <v>87.50407617556904</v>
      </c>
      <c r="I25" s="16"/>
      <c r="J25" s="16">
        <v>144.44648430328621</v>
      </c>
      <c r="K25" s="16">
        <v>105.66706021251476</v>
      </c>
      <c r="L25" s="16">
        <v>127.23292469352015</v>
      </c>
    </row>
    <row r="28" spans="1:12" ht="13" x14ac:dyDescent="0.3">
      <c r="A28" s="11" t="s">
        <v>106</v>
      </c>
    </row>
    <row r="29" spans="1:12" ht="13" x14ac:dyDescent="0.3">
      <c r="A29" t="s">
        <v>105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/>
  </sheetViews>
  <sheetFormatPr defaultRowHeight="12.5" x14ac:dyDescent="0.25"/>
  <sheetData>
    <row r="1" spans="1:9" ht="15.5" x14ac:dyDescent="0.35">
      <c r="A1" s="1" t="s">
        <v>70</v>
      </c>
    </row>
    <row r="2" spans="1:9" x14ac:dyDescent="0.25">
      <c r="A2" s="13" t="s">
        <v>71</v>
      </c>
    </row>
    <row r="3" spans="1:9" ht="13" x14ac:dyDescent="0.3">
      <c r="B3" s="4" t="s">
        <v>73</v>
      </c>
    </row>
    <row r="4" spans="1:9" ht="26" x14ac:dyDescent="0.3">
      <c r="A4" s="9"/>
      <c r="B4" s="28" t="s">
        <v>83</v>
      </c>
      <c r="C4" s="28" t="s">
        <v>84</v>
      </c>
      <c r="D4" s="28" t="s">
        <v>62</v>
      </c>
      <c r="E4" s="28" t="s">
        <v>85</v>
      </c>
      <c r="F4" s="28" t="s">
        <v>63</v>
      </c>
      <c r="G4" s="28" t="s">
        <v>86</v>
      </c>
      <c r="H4" s="28" t="s">
        <v>87</v>
      </c>
      <c r="I4" s="31" t="s">
        <v>64</v>
      </c>
    </row>
    <row r="5" spans="1:9" x14ac:dyDescent="0.25">
      <c r="A5" s="6">
        <v>1919</v>
      </c>
      <c r="B5" s="5"/>
      <c r="C5" s="5"/>
      <c r="D5" s="5"/>
      <c r="E5" s="5"/>
      <c r="F5" s="5">
        <v>83.346613545816723</v>
      </c>
      <c r="G5" s="5"/>
      <c r="H5" s="5"/>
      <c r="I5" s="5">
        <v>85.606156175097766</v>
      </c>
    </row>
    <row r="6" spans="1:9" x14ac:dyDescent="0.25">
      <c r="A6" s="6">
        <v>1920</v>
      </c>
      <c r="B6" s="5">
        <v>67.074880807703096</v>
      </c>
      <c r="C6" s="5"/>
      <c r="D6" s="5"/>
      <c r="E6" s="5"/>
      <c r="F6" s="5">
        <v>88.286852589641427</v>
      </c>
      <c r="G6" s="5"/>
      <c r="H6" s="5">
        <v>76.576576576576571</v>
      </c>
      <c r="I6" s="5">
        <v>91.699255708338583</v>
      </c>
    </row>
    <row r="7" spans="1:9" x14ac:dyDescent="0.25">
      <c r="A7" s="6">
        <v>1921</v>
      </c>
      <c r="B7" s="5">
        <v>74.245115452930733</v>
      </c>
      <c r="C7" s="5"/>
      <c r="D7" s="5"/>
      <c r="E7" s="5"/>
      <c r="F7" s="5">
        <v>85.019920318725113</v>
      </c>
      <c r="G7" s="5"/>
      <c r="H7" s="5">
        <v>78.507078507078504</v>
      </c>
      <c r="I7" s="5">
        <v>87.81800597115344</v>
      </c>
    </row>
    <row r="8" spans="1:9" x14ac:dyDescent="0.25">
      <c r="A8" s="6">
        <v>1922</v>
      </c>
      <c r="B8" s="5">
        <v>80.92923249509208</v>
      </c>
      <c r="C8" s="5"/>
      <c r="D8" s="5"/>
      <c r="E8" s="5"/>
      <c r="F8" s="5">
        <v>90.039840637450197</v>
      </c>
      <c r="G8" s="5"/>
      <c r="H8" s="5">
        <v>80.823680823680817</v>
      </c>
      <c r="I8" s="5">
        <v>85.757537529960899</v>
      </c>
    </row>
    <row r="9" spans="1:9" x14ac:dyDescent="0.25">
      <c r="A9" s="6">
        <v>1923</v>
      </c>
      <c r="B9" s="5">
        <v>80.041133027951759</v>
      </c>
      <c r="C9" s="5"/>
      <c r="D9" s="5"/>
      <c r="E9" s="5"/>
      <c r="F9" s="5">
        <v>94.26294820717132</v>
      </c>
      <c r="G9" s="5"/>
      <c r="H9" s="5">
        <v>84.813384813384815</v>
      </c>
      <c r="I9" s="5">
        <v>90.307388251124848</v>
      </c>
    </row>
    <row r="10" spans="1:9" x14ac:dyDescent="0.25">
      <c r="A10" s="6">
        <v>1924</v>
      </c>
      <c r="B10" s="5">
        <v>89.417593717864818</v>
      </c>
      <c r="C10" s="5">
        <v>93.704770204220807</v>
      </c>
      <c r="D10" s="5"/>
      <c r="E10" s="5">
        <v>79.73305954825463</v>
      </c>
      <c r="F10" s="5">
        <v>94.26294820717132</v>
      </c>
      <c r="G10" s="5"/>
      <c r="H10" s="5">
        <v>90.476190476190482</v>
      </c>
      <c r="I10" s="5">
        <v>89.2056683907321</v>
      </c>
    </row>
    <row r="11" spans="1:9" x14ac:dyDescent="0.25">
      <c r="A11" s="6">
        <v>1925</v>
      </c>
      <c r="B11" s="5">
        <v>95.456670094418996</v>
      </c>
      <c r="C11" s="5">
        <v>98.232485886409265</v>
      </c>
      <c r="D11" s="5">
        <v>88.304963470663552</v>
      </c>
      <c r="E11" s="5">
        <v>95.420944558521555</v>
      </c>
      <c r="F11" s="5">
        <v>100.23904382470118</v>
      </c>
      <c r="G11" s="5"/>
      <c r="H11" s="5">
        <v>94.851994851994846</v>
      </c>
      <c r="I11" s="5">
        <v>95.294562886337829</v>
      </c>
    </row>
    <row r="12" spans="1:9" x14ac:dyDescent="0.25">
      <c r="A12" s="6">
        <v>1926</v>
      </c>
      <c r="B12" s="5">
        <v>97.017855473497235</v>
      </c>
      <c r="C12" s="5">
        <v>95.92695032773841</v>
      </c>
      <c r="D12" s="5">
        <v>87.721247269714539</v>
      </c>
      <c r="E12" s="5">
        <v>94.045174537987677</v>
      </c>
      <c r="F12" s="5">
        <v>101.03585657370517</v>
      </c>
      <c r="G12" s="5">
        <v>96.229470275271794</v>
      </c>
      <c r="H12" s="5">
        <v>101.02960102960104</v>
      </c>
      <c r="I12" s="5">
        <v>93.301375047306678</v>
      </c>
    </row>
    <row r="13" spans="1:9" x14ac:dyDescent="0.25">
      <c r="A13" s="6">
        <v>1927</v>
      </c>
      <c r="B13" s="5">
        <v>100</v>
      </c>
      <c r="C13" s="5">
        <v>100</v>
      </c>
      <c r="D13" s="5">
        <v>100</v>
      </c>
      <c r="E13" s="5">
        <v>100</v>
      </c>
      <c r="F13" s="5">
        <v>100</v>
      </c>
      <c r="G13" s="5">
        <v>100</v>
      </c>
      <c r="H13" s="5">
        <v>100</v>
      </c>
      <c r="I13" s="5">
        <v>100</v>
      </c>
    </row>
    <row r="14" spans="1:9" x14ac:dyDescent="0.25">
      <c r="A14" s="6">
        <v>1928</v>
      </c>
      <c r="B14" s="5">
        <v>104.64616247546041</v>
      </c>
      <c r="C14" s="5">
        <v>102.77914598567801</v>
      </c>
      <c r="D14" s="5">
        <v>101.58544851999697</v>
      </c>
      <c r="E14" s="5">
        <v>106.71457905544148</v>
      </c>
      <c r="F14" s="5">
        <v>109.5617529880478</v>
      </c>
      <c r="G14" s="5">
        <v>98.750867453157525</v>
      </c>
      <c r="H14" s="5">
        <v>108.10810810810811</v>
      </c>
      <c r="I14" s="5">
        <v>94.907699423909847</v>
      </c>
    </row>
    <row r="15" spans="1:9" x14ac:dyDescent="0.25">
      <c r="A15" s="6">
        <v>1929</v>
      </c>
      <c r="B15" s="5">
        <v>106.17930260820792</v>
      </c>
      <c r="C15" s="5">
        <v>102.51581858826204</v>
      </c>
      <c r="D15" s="5">
        <v>97.337500941477742</v>
      </c>
      <c r="E15" s="5">
        <v>108.13141683778234</v>
      </c>
      <c r="F15" s="5">
        <v>111.15537848605577</v>
      </c>
      <c r="G15" s="5">
        <v>89.70622253065001</v>
      </c>
      <c r="H15" s="5">
        <v>113.51351351351352</v>
      </c>
      <c r="I15" s="5">
        <v>106.02161389344435</v>
      </c>
    </row>
    <row r="16" spans="1:9" x14ac:dyDescent="0.25">
      <c r="A16" s="6">
        <v>1930</v>
      </c>
      <c r="B16" s="5">
        <v>103.2252033280359</v>
      </c>
      <c r="C16" s="5">
        <v>97.029515401811082</v>
      </c>
      <c r="D16" s="5">
        <v>92.808992995405589</v>
      </c>
      <c r="E16" s="5">
        <v>106.13963039014374</v>
      </c>
      <c r="F16" s="5">
        <v>103.58565737051792</v>
      </c>
      <c r="G16" s="5">
        <v>91.047883414295626</v>
      </c>
      <c r="H16" s="5">
        <v>111.7117117117117</v>
      </c>
      <c r="I16" s="5">
        <v>101.35822715613305</v>
      </c>
    </row>
    <row r="17" spans="1:9" x14ac:dyDescent="0.25">
      <c r="A17" s="6">
        <v>1931</v>
      </c>
      <c r="B17" s="5">
        <v>94.923810414134806</v>
      </c>
      <c r="C17" s="5">
        <v>102.17860796423295</v>
      </c>
      <c r="D17" s="5">
        <v>82.686224297657603</v>
      </c>
      <c r="E17" s="5">
        <v>100.47227926078028</v>
      </c>
      <c r="F17" s="5">
        <v>101.35458167330678</v>
      </c>
      <c r="G17" s="5">
        <v>99.537358315984264</v>
      </c>
      <c r="H17" s="5">
        <v>108.88030888030889</v>
      </c>
      <c r="I17" s="5">
        <v>101.03864429586645</v>
      </c>
    </row>
    <row r="18" spans="1:9" x14ac:dyDescent="0.25">
      <c r="A18" s="6">
        <v>1932</v>
      </c>
      <c r="B18" s="5">
        <v>85.136019444704118</v>
      </c>
      <c r="C18" s="5">
        <v>98.118819383927558</v>
      </c>
      <c r="D18" s="5">
        <v>78.632221134292394</v>
      </c>
      <c r="E18" s="5">
        <v>95.687885010266939</v>
      </c>
      <c r="F18" s="5">
        <v>105.4183266932271</v>
      </c>
      <c r="G18" s="5">
        <v>100.71709461022438</v>
      </c>
      <c r="H18" s="5">
        <v>100</v>
      </c>
      <c r="I18" s="5">
        <v>108.24607880240529</v>
      </c>
    </row>
    <row r="19" spans="1:9" x14ac:dyDescent="0.25">
      <c r="A19" s="6">
        <v>1933</v>
      </c>
      <c r="B19" s="5">
        <v>82.294101149855109</v>
      </c>
      <c r="C19" s="5">
        <v>93.138332133520251</v>
      </c>
      <c r="D19" s="5">
        <v>89.20501619341718</v>
      </c>
      <c r="E19" s="5">
        <v>104.08624229979466</v>
      </c>
      <c r="F19" s="5">
        <v>106.13545816733068</v>
      </c>
      <c r="G19" s="5">
        <v>105.852417302799</v>
      </c>
      <c r="H19" s="5">
        <v>102.70270270270269</v>
      </c>
      <c r="I19" s="5">
        <v>97.540052983474197</v>
      </c>
    </row>
    <row r="20" spans="1:9" x14ac:dyDescent="0.25">
      <c r="A20" s="6">
        <v>1934</v>
      </c>
      <c r="B20" s="5">
        <v>82.967187061793027</v>
      </c>
      <c r="C20" s="5">
        <v>94.896374038570826</v>
      </c>
      <c r="D20" s="5">
        <v>98.10574678014612</v>
      </c>
      <c r="E20" s="5">
        <v>105.0924024640657</v>
      </c>
      <c r="F20" s="5">
        <v>105.57768924302789</v>
      </c>
      <c r="G20" s="5">
        <v>111.05713624797595</v>
      </c>
      <c r="H20" s="5">
        <v>106.17760617760619</v>
      </c>
      <c r="I20" s="5">
        <v>109.94491400698037</v>
      </c>
    </row>
    <row r="21" spans="1:9" x14ac:dyDescent="0.25">
      <c r="A21" s="6">
        <v>1935</v>
      </c>
      <c r="B21" s="5">
        <v>84.659250257081425</v>
      </c>
      <c r="C21" s="5">
        <v>102.53855188875838</v>
      </c>
      <c r="D21" s="5">
        <v>110.45040295247421</v>
      </c>
      <c r="E21" s="5">
        <v>109.71252566735113</v>
      </c>
      <c r="F21" s="5">
        <v>116.41434262948206</v>
      </c>
      <c r="G21" s="5">
        <v>108.0499653018737</v>
      </c>
      <c r="H21" s="5">
        <v>104.89060489060489</v>
      </c>
      <c r="I21" s="5">
        <v>106.34119675371095</v>
      </c>
    </row>
    <row r="22" spans="1:9" x14ac:dyDescent="0.25">
      <c r="A22" s="6">
        <v>1936</v>
      </c>
      <c r="B22" s="5">
        <v>87.136580349630734</v>
      </c>
      <c r="C22" s="5"/>
      <c r="D22" s="5">
        <v>124.70061007757775</v>
      </c>
      <c r="E22" s="5">
        <v>116.38603696098562</v>
      </c>
      <c r="F22" s="5">
        <v>113.54581673306774</v>
      </c>
      <c r="G22" s="5">
        <v>108.74392782789729</v>
      </c>
      <c r="H22" s="5">
        <v>117.11711711711712</v>
      </c>
      <c r="I22" s="5"/>
    </row>
    <row r="23" spans="1:9" x14ac:dyDescent="0.25">
      <c r="A23" s="6">
        <v>1937</v>
      </c>
      <c r="B23" s="5">
        <v>91.820136486865479</v>
      </c>
      <c r="C23" s="5"/>
      <c r="D23" s="5">
        <v>137.77020411237478</v>
      </c>
      <c r="E23" s="5">
        <v>113.83983572895278</v>
      </c>
      <c r="F23" s="5">
        <v>123.58565737051792</v>
      </c>
      <c r="G23" s="5">
        <v>109.25283368031459</v>
      </c>
      <c r="H23" s="5">
        <v>119.17631917631917</v>
      </c>
      <c r="I23" s="5"/>
    </row>
    <row r="24" spans="1:9" x14ac:dyDescent="0.25">
      <c r="A24" s="6">
        <v>1938</v>
      </c>
      <c r="B24" s="5"/>
      <c r="C24" s="5"/>
      <c r="D24" s="5">
        <v>153.1501845296377</v>
      </c>
      <c r="E24" s="5">
        <v>119.09650924024642</v>
      </c>
      <c r="F24" s="5">
        <v>122.47011952191234</v>
      </c>
      <c r="G24" s="5">
        <v>113.41660883645616</v>
      </c>
      <c r="H24" s="5">
        <v>128.05662805662806</v>
      </c>
      <c r="I24" s="5"/>
    </row>
    <row r="25" spans="1:9" x14ac:dyDescent="0.25">
      <c r="A25" s="6">
        <v>1939</v>
      </c>
      <c r="B25" s="5"/>
      <c r="C25" s="5"/>
      <c r="D25" s="5"/>
      <c r="F25" s="5">
        <v>129.6414342629482</v>
      </c>
      <c r="G25" s="5"/>
      <c r="H25" s="5">
        <v>134.74903474903473</v>
      </c>
      <c r="I25" s="5"/>
    </row>
    <row r="27" spans="1:9" ht="13" x14ac:dyDescent="0.3">
      <c r="A27" s="11" t="s">
        <v>106</v>
      </c>
    </row>
    <row r="28" spans="1:9" ht="13" x14ac:dyDescent="0.3">
      <c r="A28" t="s">
        <v>105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workbookViewId="0">
      <pane ySplit="3" topLeftCell="A167" activePane="bottomLeft" state="frozen"/>
      <selection pane="bottomLeft"/>
    </sheetView>
  </sheetViews>
  <sheetFormatPr defaultRowHeight="12.5" x14ac:dyDescent="0.25"/>
  <cols>
    <col min="1" max="5" width="9.1796875" style="13" customWidth="1"/>
  </cols>
  <sheetData>
    <row r="1" spans="1:5" ht="15.5" x14ac:dyDescent="0.35">
      <c r="A1" s="1" t="s">
        <v>88</v>
      </c>
    </row>
    <row r="2" spans="1:5" ht="15.5" x14ac:dyDescent="0.35">
      <c r="A2" s="1"/>
    </row>
    <row r="3" spans="1:5" s="7" customFormat="1" ht="26" x14ac:dyDescent="0.3">
      <c r="A3" s="32"/>
      <c r="B3" s="10" t="s">
        <v>89</v>
      </c>
      <c r="C3" s="10" t="s">
        <v>90</v>
      </c>
      <c r="D3" s="10" t="s">
        <v>91</v>
      </c>
      <c r="E3" s="10" t="s">
        <v>92</v>
      </c>
    </row>
    <row r="4" spans="1:5" x14ac:dyDescent="0.25">
      <c r="A4" s="13">
        <v>1816</v>
      </c>
      <c r="B4" s="33"/>
      <c r="C4" s="33">
        <v>1</v>
      </c>
      <c r="D4" s="33"/>
      <c r="E4" s="33">
        <f t="array" ref="E4:E180">B4:B180+C4:C180+D4:D180</f>
        <v>1</v>
      </c>
    </row>
    <row r="5" spans="1:5" x14ac:dyDescent="0.25">
      <c r="A5" s="13">
        <v>1817</v>
      </c>
      <c r="B5" s="33"/>
      <c r="C5" s="33">
        <v>3</v>
      </c>
      <c r="D5" s="33"/>
      <c r="E5" s="33">
        <v>3</v>
      </c>
    </row>
    <row r="6" spans="1:5" x14ac:dyDescent="0.25">
      <c r="A6" s="13">
        <v>1818</v>
      </c>
      <c r="B6" s="33"/>
      <c r="C6" s="33">
        <v>3</v>
      </c>
      <c r="D6" s="33"/>
      <c r="E6" s="33">
        <v>3</v>
      </c>
    </row>
    <row r="7" spans="1:5" x14ac:dyDescent="0.25">
      <c r="A7" s="13">
        <v>1819</v>
      </c>
      <c r="B7" s="33"/>
      <c r="C7" s="33">
        <v>1</v>
      </c>
      <c r="D7" s="33"/>
      <c r="E7" s="33">
        <v>1</v>
      </c>
    </row>
    <row r="8" spans="1:5" x14ac:dyDescent="0.25">
      <c r="A8" s="13">
        <v>1820</v>
      </c>
      <c r="B8" s="33"/>
      <c r="C8" s="33">
        <v>1</v>
      </c>
      <c r="D8" s="33">
        <v>1</v>
      </c>
      <c r="E8" s="33">
        <v>2</v>
      </c>
    </row>
    <row r="9" spans="1:5" x14ac:dyDescent="0.25">
      <c r="A9" s="13">
        <v>1821</v>
      </c>
      <c r="B9" s="33"/>
      <c r="C9" s="33">
        <v>3</v>
      </c>
      <c r="D9" s="33">
        <v>3</v>
      </c>
      <c r="E9" s="33">
        <v>6</v>
      </c>
    </row>
    <row r="10" spans="1:5" x14ac:dyDescent="0.25">
      <c r="A10" s="13">
        <v>1822</v>
      </c>
      <c r="B10" s="33"/>
      <c r="C10" s="33">
        <v>2</v>
      </c>
      <c r="D10" s="33">
        <v>1</v>
      </c>
      <c r="E10" s="33">
        <v>3</v>
      </c>
    </row>
    <row r="11" spans="1:5" x14ac:dyDescent="0.25">
      <c r="A11" s="13">
        <v>1823</v>
      </c>
      <c r="B11" s="33">
        <v>1</v>
      </c>
      <c r="C11" s="33">
        <v>3</v>
      </c>
      <c r="D11" s="33">
        <v>1</v>
      </c>
      <c r="E11" s="33">
        <v>5</v>
      </c>
    </row>
    <row r="12" spans="1:5" x14ac:dyDescent="0.25">
      <c r="A12" s="13">
        <v>1824</v>
      </c>
      <c r="B12" s="33"/>
      <c r="C12" s="33">
        <v>4</v>
      </c>
      <c r="D12" s="33"/>
      <c r="E12" s="33">
        <v>4</v>
      </c>
    </row>
    <row r="13" spans="1:5" x14ac:dyDescent="0.25">
      <c r="A13" s="13">
        <v>1825</v>
      </c>
      <c r="B13" s="33"/>
      <c r="C13" s="33">
        <v>6</v>
      </c>
      <c r="D13" s="33"/>
      <c r="E13" s="33">
        <v>6</v>
      </c>
    </row>
    <row r="14" spans="1:5" x14ac:dyDescent="0.25">
      <c r="A14" s="13">
        <v>1826</v>
      </c>
      <c r="B14" s="33"/>
      <c r="C14" s="33">
        <v>6</v>
      </c>
      <c r="D14" s="33">
        <v>1</v>
      </c>
      <c r="E14" s="33">
        <v>7</v>
      </c>
    </row>
    <row r="15" spans="1:5" x14ac:dyDescent="0.25">
      <c r="A15" s="13">
        <v>1827</v>
      </c>
      <c r="B15" s="33"/>
      <c r="C15" s="33">
        <v>3</v>
      </c>
      <c r="D15" s="33"/>
      <c r="E15" s="33">
        <v>3</v>
      </c>
    </row>
    <row r="16" spans="1:5" x14ac:dyDescent="0.25">
      <c r="A16" s="13">
        <v>1828</v>
      </c>
      <c r="B16" s="33">
        <v>1</v>
      </c>
      <c r="C16" s="33">
        <v>3</v>
      </c>
      <c r="D16" s="33"/>
      <c r="E16" s="33">
        <v>4</v>
      </c>
    </row>
    <row r="17" spans="1:5" x14ac:dyDescent="0.25">
      <c r="A17" s="13">
        <v>1829</v>
      </c>
      <c r="B17" s="33">
        <v>1</v>
      </c>
      <c r="C17" s="33">
        <v>2</v>
      </c>
      <c r="D17" s="33">
        <v>1</v>
      </c>
      <c r="E17" s="33">
        <v>4</v>
      </c>
    </row>
    <row r="18" spans="1:5" x14ac:dyDescent="0.25">
      <c r="A18" s="13">
        <v>1830</v>
      </c>
      <c r="B18" s="33"/>
      <c r="C18" s="33">
        <v>4</v>
      </c>
      <c r="D18" s="33">
        <v>2</v>
      </c>
      <c r="E18" s="33">
        <v>6</v>
      </c>
    </row>
    <row r="19" spans="1:5" x14ac:dyDescent="0.25">
      <c r="A19" s="13">
        <v>1831</v>
      </c>
      <c r="B19" s="33"/>
      <c r="C19" s="33">
        <v>5</v>
      </c>
      <c r="D19" s="33">
        <v>1</v>
      </c>
      <c r="E19" s="33">
        <v>6</v>
      </c>
    </row>
    <row r="20" spans="1:5" x14ac:dyDescent="0.25">
      <c r="A20" s="13">
        <v>1832</v>
      </c>
      <c r="B20" s="33"/>
      <c r="C20" s="33">
        <v>2</v>
      </c>
      <c r="D20" s="33">
        <v>2</v>
      </c>
      <c r="E20" s="33">
        <v>4</v>
      </c>
    </row>
    <row r="21" spans="1:5" x14ac:dyDescent="0.25">
      <c r="A21" s="13">
        <v>1833</v>
      </c>
      <c r="B21" s="33"/>
      <c r="C21" s="33">
        <v>1</v>
      </c>
      <c r="D21" s="33">
        <v>1</v>
      </c>
      <c r="E21" s="33">
        <v>2</v>
      </c>
    </row>
    <row r="22" spans="1:5" x14ac:dyDescent="0.25">
      <c r="A22" s="13">
        <v>1834</v>
      </c>
      <c r="B22" s="33"/>
      <c r="C22" s="33">
        <v>1</v>
      </c>
      <c r="D22" s="33">
        <v>2</v>
      </c>
      <c r="E22" s="33">
        <v>3</v>
      </c>
    </row>
    <row r="23" spans="1:5" x14ac:dyDescent="0.25">
      <c r="A23" s="13">
        <v>1835</v>
      </c>
      <c r="B23" s="33"/>
      <c r="C23" s="33">
        <v>2</v>
      </c>
      <c r="D23" s="33">
        <v>1</v>
      </c>
      <c r="E23" s="33">
        <v>3</v>
      </c>
    </row>
    <row r="24" spans="1:5" x14ac:dyDescent="0.25">
      <c r="A24" s="13">
        <v>1836</v>
      </c>
      <c r="B24" s="33"/>
      <c r="C24" s="33">
        <v>3</v>
      </c>
      <c r="D24" s="33">
        <v>1</v>
      </c>
      <c r="E24" s="33">
        <v>4</v>
      </c>
    </row>
    <row r="25" spans="1:5" x14ac:dyDescent="0.25">
      <c r="A25" s="13">
        <v>1837</v>
      </c>
      <c r="B25" s="33"/>
      <c r="C25" s="33">
        <v>2</v>
      </c>
      <c r="D25" s="33">
        <v>1</v>
      </c>
      <c r="E25" s="33">
        <v>3</v>
      </c>
    </row>
    <row r="26" spans="1:5" x14ac:dyDescent="0.25">
      <c r="A26" s="13">
        <v>1838</v>
      </c>
      <c r="B26" s="33"/>
      <c r="C26" s="33">
        <v>3</v>
      </c>
      <c r="D26" s="33">
        <v>1</v>
      </c>
      <c r="E26" s="33">
        <v>4</v>
      </c>
    </row>
    <row r="27" spans="1:5" x14ac:dyDescent="0.25">
      <c r="A27" s="13">
        <v>1839</v>
      </c>
      <c r="B27" s="33"/>
      <c r="C27" s="33">
        <v>7</v>
      </c>
      <c r="D27" s="33">
        <v>1</v>
      </c>
      <c r="E27" s="33">
        <v>8</v>
      </c>
    </row>
    <row r="28" spans="1:5" x14ac:dyDescent="0.25">
      <c r="A28" s="13">
        <v>1840</v>
      </c>
      <c r="B28" s="33"/>
      <c r="C28" s="33">
        <v>6</v>
      </c>
      <c r="D28" s="33">
        <v>2</v>
      </c>
      <c r="E28" s="33">
        <v>8</v>
      </c>
    </row>
    <row r="29" spans="1:5" x14ac:dyDescent="0.25">
      <c r="A29" s="13">
        <v>1841</v>
      </c>
      <c r="B29" s="33"/>
      <c r="C29" s="33">
        <v>4</v>
      </c>
      <c r="D29" s="33">
        <v>2</v>
      </c>
      <c r="E29" s="33">
        <v>6</v>
      </c>
    </row>
    <row r="30" spans="1:5" x14ac:dyDescent="0.25">
      <c r="A30" s="13">
        <v>1842</v>
      </c>
      <c r="B30" s="33"/>
      <c r="C30" s="33">
        <v>2</v>
      </c>
      <c r="D30" s="33">
        <v>2</v>
      </c>
      <c r="E30" s="33">
        <v>4</v>
      </c>
    </row>
    <row r="31" spans="1:5" x14ac:dyDescent="0.25">
      <c r="A31" s="13">
        <v>1843</v>
      </c>
      <c r="B31" s="33"/>
      <c r="C31" s="33">
        <v>2</v>
      </c>
      <c r="D31" s="33">
        <v>1</v>
      </c>
      <c r="E31" s="33">
        <v>3</v>
      </c>
    </row>
    <row r="32" spans="1:5" x14ac:dyDescent="0.25">
      <c r="A32" s="13">
        <v>1844</v>
      </c>
      <c r="B32" s="33"/>
      <c r="C32" s="33">
        <v>2</v>
      </c>
      <c r="D32" s="33">
        <v>1</v>
      </c>
      <c r="E32" s="33">
        <v>3</v>
      </c>
    </row>
    <row r="33" spans="1:5" x14ac:dyDescent="0.25">
      <c r="A33" s="13">
        <v>1845</v>
      </c>
      <c r="B33" s="33"/>
      <c r="C33" s="33">
        <v>2</v>
      </c>
      <c r="D33" s="33">
        <v>1</v>
      </c>
      <c r="E33" s="33">
        <v>3</v>
      </c>
    </row>
    <row r="34" spans="1:5" x14ac:dyDescent="0.25">
      <c r="A34" s="13">
        <v>1846</v>
      </c>
      <c r="B34" s="33">
        <v>1</v>
      </c>
      <c r="C34" s="33">
        <v>4</v>
      </c>
      <c r="D34" s="33">
        <v>1</v>
      </c>
      <c r="E34" s="33">
        <v>6</v>
      </c>
    </row>
    <row r="35" spans="1:5" x14ac:dyDescent="0.25">
      <c r="A35" s="13">
        <v>1847</v>
      </c>
      <c r="B35" s="33">
        <v>1</v>
      </c>
      <c r="C35" s="33">
        <v>2</v>
      </c>
      <c r="D35" s="33">
        <v>4</v>
      </c>
      <c r="E35" s="33">
        <v>7</v>
      </c>
    </row>
    <row r="36" spans="1:5" x14ac:dyDescent="0.25">
      <c r="A36" s="13">
        <v>1848</v>
      </c>
      <c r="B36" s="33">
        <v>3</v>
      </c>
      <c r="C36" s="33">
        <v>2</v>
      </c>
      <c r="D36" s="33">
        <v>7</v>
      </c>
      <c r="E36" s="33">
        <v>12</v>
      </c>
    </row>
    <row r="37" spans="1:5" x14ac:dyDescent="0.25">
      <c r="A37" s="13">
        <v>1849</v>
      </c>
      <c r="B37" s="33">
        <v>3</v>
      </c>
      <c r="C37" s="33">
        <v>2</v>
      </c>
      <c r="D37" s="33">
        <v>5</v>
      </c>
      <c r="E37" s="33">
        <v>10</v>
      </c>
    </row>
    <row r="38" spans="1:5" x14ac:dyDescent="0.25">
      <c r="A38" s="13">
        <v>1850</v>
      </c>
      <c r="B38" s="33"/>
      <c r="C38" s="33">
        <v>1</v>
      </c>
      <c r="D38" s="33">
        <v>3</v>
      </c>
      <c r="E38" s="33">
        <v>4</v>
      </c>
    </row>
    <row r="39" spans="1:5" x14ac:dyDescent="0.25">
      <c r="A39" s="13">
        <v>1851</v>
      </c>
      <c r="B39" s="33">
        <v>1</v>
      </c>
      <c r="C39" s="33">
        <v>1</v>
      </c>
      <c r="D39" s="33">
        <v>5</v>
      </c>
      <c r="E39" s="33">
        <v>7</v>
      </c>
    </row>
    <row r="40" spans="1:5" x14ac:dyDescent="0.25">
      <c r="A40" s="13">
        <v>1852</v>
      </c>
      <c r="B40" s="33">
        <v>1</v>
      </c>
      <c r="C40" s="33">
        <v>3</v>
      </c>
      <c r="D40" s="33">
        <v>2</v>
      </c>
      <c r="E40" s="33">
        <v>6</v>
      </c>
    </row>
    <row r="41" spans="1:5" x14ac:dyDescent="0.25">
      <c r="A41" s="13">
        <v>1853</v>
      </c>
      <c r="B41" s="33">
        <v>1</v>
      </c>
      <c r="C41" s="33">
        <v>3</v>
      </c>
      <c r="D41" s="33">
        <v>3</v>
      </c>
      <c r="E41" s="33">
        <v>7</v>
      </c>
    </row>
    <row r="42" spans="1:5" x14ac:dyDescent="0.25">
      <c r="A42" s="13">
        <v>1854</v>
      </c>
      <c r="B42" s="33">
        <v>1</v>
      </c>
      <c r="C42" s="33"/>
      <c r="D42" s="33">
        <v>3</v>
      </c>
      <c r="E42" s="33">
        <v>4</v>
      </c>
    </row>
    <row r="43" spans="1:5" x14ac:dyDescent="0.25">
      <c r="A43" s="13">
        <v>1855</v>
      </c>
      <c r="B43" s="33">
        <v>1</v>
      </c>
      <c r="C43" s="33"/>
      <c r="D43" s="33">
        <v>3</v>
      </c>
      <c r="E43" s="33">
        <v>4</v>
      </c>
    </row>
    <row r="44" spans="1:5" x14ac:dyDescent="0.25">
      <c r="A44" s="13">
        <v>1856</v>
      </c>
      <c r="B44" s="33">
        <v>2</v>
      </c>
      <c r="C44" s="33">
        <v>2</v>
      </c>
      <c r="D44" s="33">
        <v>1</v>
      </c>
      <c r="E44" s="33">
        <v>5</v>
      </c>
    </row>
    <row r="45" spans="1:5" x14ac:dyDescent="0.25">
      <c r="A45" s="13">
        <v>1857</v>
      </c>
      <c r="B45" s="33">
        <v>1</v>
      </c>
      <c r="C45" s="33">
        <v>4</v>
      </c>
      <c r="D45" s="33">
        <v>1</v>
      </c>
      <c r="E45" s="33">
        <v>6</v>
      </c>
    </row>
    <row r="46" spans="1:5" x14ac:dyDescent="0.25">
      <c r="A46" s="13">
        <v>1858</v>
      </c>
      <c r="B46" s="33"/>
      <c r="C46" s="33">
        <v>4</v>
      </c>
      <c r="D46" s="33">
        <v>2</v>
      </c>
      <c r="E46" s="33">
        <v>6</v>
      </c>
    </row>
    <row r="47" spans="1:5" x14ac:dyDescent="0.25">
      <c r="A47" s="13">
        <v>1859</v>
      </c>
      <c r="B47" s="33">
        <v>2</v>
      </c>
      <c r="C47" s="33">
        <v>4</v>
      </c>
      <c r="D47" s="33">
        <v>2</v>
      </c>
      <c r="E47" s="33">
        <v>8</v>
      </c>
    </row>
    <row r="48" spans="1:5" x14ac:dyDescent="0.25">
      <c r="A48" s="13">
        <v>1860</v>
      </c>
      <c r="B48" s="33">
        <v>3</v>
      </c>
      <c r="C48" s="33">
        <v>2</v>
      </c>
      <c r="D48" s="33">
        <v>6</v>
      </c>
      <c r="E48" s="33">
        <v>11</v>
      </c>
    </row>
    <row r="49" spans="1:5" x14ac:dyDescent="0.25">
      <c r="A49" s="13">
        <v>1861</v>
      </c>
      <c r="B49" s="33">
        <v>1</v>
      </c>
      <c r="C49" s="33">
        <v>2</v>
      </c>
      <c r="D49" s="33">
        <v>7</v>
      </c>
      <c r="E49" s="33">
        <v>10</v>
      </c>
    </row>
    <row r="50" spans="1:5" x14ac:dyDescent="0.25">
      <c r="A50" s="13">
        <v>1862</v>
      </c>
      <c r="B50" s="33">
        <v>1</v>
      </c>
      <c r="C50" s="33">
        <v>1</v>
      </c>
      <c r="D50" s="33">
        <v>6</v>
      </c>
      <c r="E50" s="33">
        <v>8</v>
      </c>
    </row>
    <row r="51" spans="1:5" x14ac:dyDescent="0.25">
      <c r="A51" s="13">
        <v>1863</v>
      </c>
      <c r="B51" s="33">
        <v>2</v>
      </c>
      <c r="C51" s="33">
        <v>3</v>
      </c>
      <c r="D51" s="33">
        <v>6</v>
      </c>
      <c r="E51" s="33">
        <v>11</v>
      </c>
    </row>
    <row r="52" spans="1:5" x14ac:dyDescent="0.25">
      <c r="A52" s="13">
        <v>1864</v>
      </c>
      <c r="B52" s="33">
        <v>3</v>
      </c>
      <c r="C52" s="33">
        <v>3</v>
      </c>
      <c r="D52" s="33">
        <v>4</v>
      </c>
      <c r="E52" s="33">
        <v>10</v>
      </c>
    </row>
    <row r="53" spans="1:5" x14ac:dyDescent="0.25">
      <c r="A53" s="13">
        <v>1865</v>
      </c>
      <c r="B53" s="33">
        <v>3</v>
      </c>
      <c r="C53" s="33">
        <v>3</v>
      </c>
      <c r="D53" s="33">
        <v>3</v>
      </c>
      <c r="E53" s="33">
        <v>9</v>
      </c>
    </row>
    <row r="54" spans="1:5" x14ac:dyDescent="0.25">
      <c r="A54" s="13">
        <v>1866</v>
      </c>
      <c r="B54" s="33">
        <v>3</v>
      </c>
      <c r="C54" s="33">
        <v>2</v>
      </c>
      <c r="D54" s="33">
        <v>3</v>
      </c>
      <c r="E54" s="33">
        <v>8</v>
      </c>
    </row>
    <row r="55" spans="1:5" x14ac:dyDescent="0.25">
      <c r="A55" s="13">
        <v>1867</v>
      </c>
      <c r="B55" s="33">
        <v>3</v>
      </c>
      <c r="C55" s="33">
        <v>2</v>
      </c>
      <c r="D55" s="33">
        <v>3</v>
      </c>
      <c r="E55" s="33">
        <v>8</v>
      </c>
    </row>
    <row r="56" spans="1:5" x14ac:dyDescent="0.25">
      <c r="A56" s="13">
        <v>1868</v>
      </c>
      <c r="B56" s="33">
        <v>1</v>
      </c>
      <c r="C56" s="33">
        <v>2</v>
      </c>
      <c r="D56" s="33">
        <v>4</v>
      </c>
      <c r="E56" s="33">
        <v>7</v>
      </c>
    </row>
    <row r="57" spans="1:5" x14ac:dyDescent="0.25">
      <c r="A57" s="13">
        <v>1869</v>
      </c>
      <c r="B57" s="33">
        <v>1</v>
      </c>
      <c r="C57" s="33">
        <v>2</v>
      </c>
      <c r="D57" s="33">
        <v>2</v>
      </c>
      <c r="E57" s="33">
        <v>5</v>
      </c>
    </row>
    <row r="58" spans="1:5" x14ac:dyDescent="0.25">
      <c r="A58" s="13">
        <v>1870</v>
      </c>
      <c r="B58" s="33">
        <v>2</v>
      </c>
      <c r="C58" s="33">
        <v>2</v>
      </c>
      <c r="D58" s="33">
        <v>3</v>
      </c>
      <c r="E58" s="33">
        <v>7</v>
      </c>
    </row>
    <row r="59" spans="1:5" x14ac:dyDescent="0.25">
      <c r="A59" s="13">
        <v>1871</v>
      </c>
      <c r="B59" s="33">
        <v>1</v>
      </c>
      <c r="C59" s="33">
        <v>2</v>
      </c>
      <c r="D59" s="33">
        <v>4</v>
      </c>
      <c r="E59" s="33">
        <v>7</v>
      </c>
    </row>
    <row r="60" spans="1:5" x14ac:dyDescent="0.25">
      <c r="A60" s="13">
        <v>1872</v>
      </c>
      <c r="B60" s="33"/>
      <c r="C60" s="33">
        <v>2</v>
      </c>
      <c r="D60" s="33">
        <v>2</v>
      </c>
      <c r="E60" s="33">
        <v>4</v>
      </c>
    </row>
    <row r="61" spans="1:5" x14ac:dyDescent="0.25">
      <c r="A61" s="13">
        <v>1873</v>
      </c>
      <c r="B61" s="33"/>
      <c r="C61" s="33">
        <v>4</v>
      </c>
      <c r="D61" s="33">
        <v>1</v>
      </c>
      <c r="E61" s="33">
        <v>5</v>
      </c>
    </row>
    <row r="62" spans="1:5" x14ac:dyDescent="0.25">
      <c r="A62" s="13">
        <v>1874</v>
      </c>
      <c r="B62" s="33"/>
      <c r="C62" s="33">
        <v>4</v>
      </c>
      <c r="D62" s="33">
        <v>1</v>
      </c>
      <c r="E62" s="33">
        <v>5</v>
      </c>
    </row>
    <row r="63" spans="1:5" x14ac:dyDescent="0.25">
      <c r="A63" s="13">
        <v>1875</v>
      </c>
      <c r="B63" s="33"/>
      <c r="C63" s="33">
        <v>6</v>
      </c>
      <c r="D63" s="33">
        <v>1</v>
      </c>
      <c r="E63" s="33">
        <v>7</v>
      </c>
    </row>
    <row r="64" spans="1:5" x14ac:dyDescent="0.25">
      <c r="A64" s="13">
        <v>1876</v>
      </c>
      <c r="B64" s="33"/>
      <c r="C64" s="33">
        <v>5</v>
      </c>
      <c r="D64" s="33">
        <v>3</v>
      </c>
      <c r="E64" s="33">
        <v>8</v>
      </c>
    </row>
    <row r="65" spans="1:5" x14ac:dyDescent="0.25">
      <c r="A65" s="13">
        <v>1877</v>
      </c>
      <c r="B65" s="33">
        <v>1</v>
      </c>
      <c r="C65" s="33">
        <v>5</v>
      </c>
      <c r="D65" s="33">
        <v>2</v>
      </c>
      <c r="E65" s="33">
        <v>8</v>
      </c>
    </row>
    <row r="66" spans="1:5" x14ac:dyDescent="0.25">
      <c r="A66" s="13">
        <v>1878</v>
      </c>
      <c r="B66" s="33">
        <v>1</v>
      </c>
      <c r="C66" s="33">
        <v>7</v>
      </c>
      <c r="D66" s="33"/>
      <c r="E66" s="33">
        <v>8</v>
      </c>
    </row>
    <row r="67" spans="1:5" x14ac:dyDescent="0.25">
      <c r="A67" s="13">
        <v>1879</v>
      </c>
      <c r="B67" s="33">
        <v>1</v>
      </c>
      <c r="C67" s="33">
        <v>4</v>
      </c>
      <c r="D67" s="33"/>
      <c r="E67" s="33">
        <v>5</v>
      </c>
    </row>
    <row r="68" spans="1:5" x14ac:dyDescent="0.25">
      <c r="A68" s="13">
        <v>1880</v>
      </c>
      <c r="B68" s="33">
        <v>1</v>
      </c>
      <c r="C68" s="33">
        <v>5</v>
      </c>
      <c r="D68" s="33">
        <v>1</v>
      </c>
      <c r="E68" s="33">
        <v>7</v>
      </c>
    </row>
    <row r="69" spans="1:5" x14ac:dyDescent="0.25">
      <c r="A69" s="13">
        <v>1881</v>
      </c>
      <c r="B69" s="33">
        <v>1</v>
      </c>
      <c r="C69" s="33">
        <v>4</v>
      </c>
      <c r="D69" s="33"/>
      <c r="E69" s="33">
        <v>5</v>
      </c>
    </row>
    <row r="70" spans="1:5" x14ac:dyDescent="0.25">
      <c r="A70" s="13">
        <v>1882</v>
      </c>
      <c r="B70" s="33">
        <v>1</v>
      </c>
      <c r="C70" s="33">
        <v>4</v>
      </c>
      <c r="D70" s="33"/>
      <c r="E70" s="33">
        <v>5</v>
      </c>
    </row>
    <row r="71" spans="1:5" x14ac:dyDescent="0.25">
      <c r="A71" s="13">
        <v>1883</v>
      </c>
      <c r="B71" s="33">
        <v>1</v>
      </c>
      <c r="C71" s="33">
        <v>4</v>
      </c>
      <c r="D71" s="33"/>
      <c r="E71" s="33">
        <v>5</v>
      </c>
    </row>
    <row r="72" spans="1:5" x14ac:dyDescent="0.25">
      <c r="A72" s="13">
        <v>1884</v>
      </c>
      <c r="B72" s="33">
        <v>1</v>
      </c>
      <c r="C72" s="33">
        <v>4</v>
      </c>
      <c r="D72" s="33">
        <v>1</v>
      </c>
      <c r="E72" s="33">
        <v>6</v>
      </c>
    </row>
    <row r="73" spans="1:5" x14ac:dyDescent="0.25">
      <c r="A73" s="13">
        <v>1885</v>
      </c>
      <c r="B73" s="33">
        <v>2</v>
      </c>
      <c r="C73" s="33">
        <v>7</v>
      </c>
      <c r="D73" s="33">
        <v>1</v>
      </c>
      <c r="E73" s="33">
        <v>10</v>
      </c>
    </row>
    <row r="74" spans="1:5" x14ac:dyDescent="0.25">
      <c r="A74" s="13">
        <v>1886</v>
      </c>
      <c r="B74" s="33"/>
      <c r="C74" s="33">
        <v>2</v>
      </c>
      <c r="D74" s="33"/>
      <c r="E74" s="33">
        <v>2</v>
      </c>
    </row>
    <row r="75" spans="1:5" x14ac:dyDescent="0.25">
      <c r="A75" s="13">
        <v>1887</v>
      </c>
      <c r="B75" s="33"/>
      <c r="C75" s="33">
        <v>1</v>
      </c>
      <c r="D75" s="33"/>
      <c r="E75" s="33">
        <v>1</v>
      </c>
    </row>
    <row r="76" spans="1:5" x14ac:dyDescent="0.25">
      <c r="A76" s="13">
        <v>1888</v>
      </c>
      <c r="B76" s="33"/>
      <c r="C76" s="33">
        <v>1</v>
      </c>
      <c r="D76" s="33"/>
      <c r="E76" s="33">
        <v>1</v>
      </c>
    </row>
    <row r="77" spans="1:5" x14ac:dyDescent="0.25">
      <c r="A77" s="13">
        <v>1889</v>
      </c>
      <c r="B77" s="33"/>
      <c r="C77" s="33">
        <v>2</v>
      </c>
      <c r="D77" s="33"/>
      <c r="E77" s="33">
        <v>2</v>
      </c>
    </row>
    <row r="78" spans="1:5" x14ac:dyDescent="0.25">
      <c r="A78" s="13">
        <v>1890</v>
      </c>
      <c r="B78" s="33"/>
      <c r="C78" s="33">
        <v>2</v>
      </c>
      <c r="D78" s="33"/>
      <c r="E78" s="33">
        <v>2</v>
      </c>
    </row>
    <row r="79" spans="1:5" x14ac:dyDescent="0.25">
      <c r="A79" s="13">
        <v>1891</v>
      </c>
      <c r="B79" s="33"/>
      <c r="C79" s="33">
        <v>2</v>
      </c>
      <c r="D79" s="33">
        <v>1</v>
      </c>
      <c r="E79" s="33">
        <v>3</v>
      </c>
    </row>
    <row r="80" spans="1:5" x14ac:dyDescent="0.25">
      <c r="A80" s="13">
        <v>1892</v>
      </c>
      <c r="B80" s="33"/>
      <c r="C80" s="33">
        <v>2</v>
      </c>
      <c r="D80" s="33"/>
      <c r="E80" s="33">
        <v>2</v>
      </c>
    </row>
    <row r="81" spans="1:5" x14ac:dyDescent="0.25">
      <c r="A81" s="13">
        <v>1893</v>
      </c>
      <c r="B81" s="33">
        <v>1</v>
      </c>
      <c r="C81" s="33">
        <v>1</v>
      </c>
      <c r="D81" s="33">
        <v>2</v>
      </c>
      <c r="E81" s="33">
        <v>4</v>
      </c>
    </row>
    <row r="82" spans="1:5" x14ac:dyDescent="0.25">
      <c r="A82" s="13">
        <v>1894</v>
      </c>
      <c r="B82" s="33">
        <v>1</v>
      </c>
      <c r="C82" s="33">
        <v>3</v>
      </c>
      <c r="D82" s="33">
        <v>3</v>
      </c>
      <c r="E82" s="33">
        <v>7</v>
      </c>
    </row>
    <row r="83" spans="1:5" x14ac:dyDescent="0.25">
      <c r="A83" s="13">
        <v>1895</v>
      </c>
      <c r="B83" s="33">
        <v>1</v>
      </c>
      <c r="C83" s="33">
        <v>3</v>
      </c>
      <c r="D83" s="33">
        <v>1</v>
      </c>
      <c r="E83" s="33">
        <v>5</v>
      </c>
    </row>
    <row r="84" spans="1:5" x14ac:dyDescent="0.25">
      <c r="A84" s="13">
        <v>1896</v>
      </c>
      <c r="B84" s="33"/>
      <c r="C84" s="33">
        <v>6</v>
      </c>
      <c r="D84" s="33">
        <v>1</v>
      </c>
      <c r="E84" s="33">
        <v>7</v>
      </c>
    </row>
    <row r="85" spans="1:5" x14ac:dyDescent="0.25">
      <c r="A85" s="13">
        <v>1897</v>
      </c>
      <c r="B85" s="33">
        <v>1</v>
      </c>
      <c r="C85" s="33">
        <v>6</v>
      </c>
      <c r="D85" s="33">
        <v>1</v>
      </c>
      <c r="E85" s="33">
        <v>8</v>
      </c>
    </row>
    <row r="86" spans="1:5" x14ac:dyDescent="0.25">
      <c r="A86" s="13">
        <v>1898</v>
      </c>
      <c r="B86" s="33">
        <v>1</v>
      </c>
      <c r="C86" s="33">
        <v>5</v>
      </c>
      <c r="D86" s="33"/>
      <c r="E86" s="33">
        <v>6</v>
      </c>
    </row>
    <row r="87" spans="1:5" x14ac:dyDescent="0.25">
      <c r="A87" s="13">
        <v>1899</v>
      </c>
      <c r="B87" s="33"/>
      <c r="C87" s="33">
        <v>4</v>
      </c>
      <c r="D87" s="33">
        <v>1</v>
      </c>
      <c r="E87" s="33">
        <v>5</v>
      </c>
    </row>
    <row r="88" spans="1:5" x14ac:dyDescent="0.25">
      <c r="A88" s="13">
        <v>1900</v>
      </c>
      <c r="B88" s="33">
        <v>1</v>
      </c>
      <c r="C88" s="33">
        <v>4</v>
      </c>
      <c r="D88" s="33">
        <v>1</v>
      </c>
      <c r="E88" s="33">
        <v>6</v>
      </c>
    </row>
    <row r="89" spans="1:5" x14ac:dyDescent="0.25">
      <c r="A89" s="13">
        <v>1901</v>
      </c>
      <c r="B89" s="33"/>
      <c r="C89" s="33">
        <v>3</v>
      </c>
      <c r="D89" s="33">
        <v>1</v>
      </c>
      <c r="E89" s="33">
        <v>4</v>
      </c>
    </row>
    <row r="90" spans="1:5" x14ac:dyDescent="0.25">
      <c r="A90" s="13">
        <v>1902</v>
      </c>
      <c r="B90" s="33"/>
      <c r="C90" s="33">
        <v>3</v>
      </c>
      <c r="D90" s="33">
        <v>1</v>
      </c>
      <c r="E90" s="33">
        <v>4</v>
      </c>
    </row>
    <row r="91" spans="1:5" x14ac:dyDescent="0.25">
      <c r="A91" s="13">
        <v>1903</v>
      </c>
      <c r="B91" s="33"/>
      <c r="C91" s="33">
        <v>2</v>
      </c>
      <c r="D91" s="33">
        <v>1</v>
      </c>
      <c r="E91" s="33">
        <v>3</v>
      </c>
    </row>
    <row r="92" spans="1:5" x14ac:dyDescent="0.25">
      <c r="A92" s="13">
        <v>1904</v>
      </c>
      <c r="B92" s="33">
        <v>1</v>
      </c>
      <c r="C92" s="33">
        <v>2</v>
      </c>
      <c r="D92" s="33">
        <v>1</v>
      </c>
      <c r="E92" s="33">
        <v>4</v>
      </c>
    </row>
    <row r="93" spans="1:5" x14ac:dyDescent="0.25">
      <c r="A93" s="13">
        <v>1905</v>
      </c>
      <c r="B93" s="33">
        <v>1</v>
      </c>
      <c r="C93" s="33">
        <v>3</v>
      </c>
      <c r="D93" s="33">
        <v>1</v>
      </c>
      <c r="E93" s="33">
        <v>5</v>
      </c>
    </row>
    <row r="94" spans="1:5" x14ac:dyDescent="0.25">
      <c r="A94" s="13">
        <v>1906</v>
      </c>
      <c r="B94" s="33">
        <v>1</v>
      </c>
      <c r="C94" s="33">
        <v>2</v>
      </c>
      <c r="D94" s="33">
        <v>1</v>
      </c>
      <c r="E94" s="33">
        <v>4</v>
      </c>
    </row>
    <row r="95" spans="1:5" x14ac:dyDescent="0.25">
      <c r="A95" s="13">
        <v>1907</v>
      </c>
      <c r="B95" s="33">
        <v>1</v>
      </c>
      <c r="C95" s="33"/>
      <c r="D95" s="33">
        <v>2</v>
      </c>
      <c r="E95" s="33">
        <v>3</v>
      </c>
    </row>
    <row r="96" spans="1:5" x14ac:dyDescent="0.25">
      <c r="A96" s="13">
        <v>1908</v>
      </c>
      <c r="B96" s="33"/>
      <c r="C96" s="33"/>
      <c r="D96" s="33">
        <v>2</v>
      </c>
      <c r="E96" s="33">
        <v>2</v>
      </c>
    </row>
    <row r="97" spans="1:5" x14ac:dyDescent="0.25">
      <c r="A97" s="13">
        <v>1909</v>
      </c>
      <c r="B97" s="33">
        <v>1</v>
      </c>
      <c r="C97" s="33"/>
      <c r="D97" s="33">
        <v>1</v>
      </c>
      <c r="E97" s="33">
        <v>2</v>
      </c>
    </row>
    <row r="98" spans="1:5" x14ac:dyDescent="0.25">
      <c r="A98" s="13">
        <v>1910</v>
      </c>
      <c r="B98" s="33">
        <v>1</v>
      </c>
      <c r="C98" s="33"/>
      <c r="D98" s="33">
        <v>1</v>
      </c>
      <c r="E98" s="33">
        <v>2</v>
      </c>
    </row>
    <row r="99" spans="1:5" x14ac:dyDescent="0.25">
      <c r="A99" s="13">
        <v>1911</v>
      </c>
      <c r="B99" s="33">
        <v>1</v>
      </c>
      <c r="C99" s="33">
        <v>1</v>
      </c>
      <c r="D99" s="33">
        <v>4</v>
      </c>
      <c r="E99" s="33">
        <v>6</v>
      </c>
    </row>
    <row r="100" spans="1:5" x14ac:dyDescent="0.25">
      <c r="A100" s="13">
        <v>1912</v>
      </c>
      <c r="B100" s="33">
        <v>2</v>
      </c>
      <c r="C100" s="33">
        <v>2</v>
      </c>
      <c r="D100" s="33">
        <v>2</v>
      </c>
      <c r="E100" s="33">
        <v>6</v>
      </c>
    </row>
    <row r="101" spans="1:5" x14ac:dyDescent="0.25">
      <c r="A101" s="13">
        <v>1913</v>
      </c>
      <c r="B101" s="33">
        <v>2</v>
      </c>
      <c r="C101" s="33">
        <v>1</v>
      </c>
      <c r="D101" s="33">
        <v>2</v>
      </c>
      <c r="E101" s="33">
        <v>5</v>
      </c>
    </row>
    <row r="102" spans="1:5" x14ac:dyDescent="0.25">
      <c r="A102" s="13">
        <v>1914</v>
      </c>
      <c r="B102" s="33">
        <v>1</v>
      </c>
      <c r="C102" s="33"/>
      <c r="D102" s="33">
        <v>2</v>
      </c>
      <c r="E102" s="33">
        <v>3</v>
      </c>
    </row>
    <row r="103" spans="1:5" x14ac:dyDescent="0.25">
      <c r="A103" s="13">
        <v>1915</v>
      </c>
      <c r="B103" s="33">
        <v>1</v>
      </c>
      <c r="C103" s="33"/>
      <c r="D103" s="33">
        <v>1</v>
      </c>
      <c r="E103" s="33">
        <v>2</v>
      </c>
    </row>
    <row r="104" spans="1:5" x14ac:dyDescent="0.25">
      <c r="A104" s="13">
        <v>1916</v>
      </c>
      <c r="B104" s="33">
        <v>1</v>
      </c>
      <c r="C104" s="33">
        <v>1</v>
      </c>
      <c r="D104" s="33">
        <v>1</v>
      </c>
      <c r="E104" s="33">
        <v>3</v>
      </c>
    </row>
    <row r="105" spans="1:5" x14ac:dyDescent="0.25">
      <c r="A105" s="13">
        <v>1917</v>
      </c>
      <c r="B105" s="33">
        <v>1</v>
      </c>
      <c r="C105" s="33">
        <v>3</v>
      </c>
      <c r="D105" s="33">
        <v>2</v>
      </c>
      <c r="E105" s="33">
        <v>6</v>
      </c>
    </row>
    <row r="106" spans="1:5" x14ac:dyDescent="0.25">
      <c r="A106" s="13">
        <v>1918</v>
      </c>
      <c r="B106" s="33">
        <v>1</v>
      </c>
      <c r="C106" s="33">
        <v>3</v>
      </c>
      <c r="D106" s="33">
        <v>3</v>
      </c>
      <c r="E106" s="33">
        <v>7</v>
      </c>
    </row>
    <row r="107" spans="1:5" x14ac:dyDescent="0.25">
      <c r="A107" s="13">
        <v>1919</v>
      </c>
      <c r="B107" s="33">
        <v>5</v>
      </c>
      <c r="C107" s="33">
        <v>2</v>
      </c>
      <c r="D107" s="33">
        <v>3</v>
      </c>
      <c r="E107" s="33">
        <v>10</v>
      </c>
    </row>
    <row r="108" spans="1:5" x14ac:dyDescent="0.25">
      <c r="A108" s="13">
        <v>1920</v>
      </c>
      <c r="B108" s="33">
        <v>4</v>
      </c>
      <c r="C108" s="33">
        <v>4</v>
      </c>
      <c r="D108" s="33">
        <v>3</v>
      </c>
      <c r="E108" s="33">
        <v>11</v>
      </c>
    </row>
    <row r="109" spans="1:5" x14ac:dyDescent="0.25">
      <c r="A109" s="13">
        <v>1921</v>
      </c>
      <c r="B109" s="33">
        <v>2</v>
      </c>
      <c r="C109" s="33">
        <v>4</v>
      </c>
      <c r="D109" s="33"/>
      <c r="E109" s="33">
        <v>6</v>
      </c>
    </row>
    <row r="110" spans="1:5" x14ac:dyDescent="0.25">
      <c r="A110" s="13">
        <v>1922</v>
      </c>
      <c r="B110" s="33">
        <v>1</v>
      </c>
      <c r="C110" s="33">
        <v>2</v>
      </c>
      <c r="D110" s="33"/>
      <c r="E110" s="33">
        <v>3</v>
      </c>
    </row>
    <row r="111" spans="1:5" x14ac:dyDescent="0.25">
      <c r="A111" s="13">
        <v>1923</v>
      </c>
      <c r="B111" s="33"/>
      <c r="C111" s="33">
        <v>2</v>
      </c>
      <c r="D111" s="33"/>
      <c r="E111" s="33">
        <v>2</v>
      </c>
    </row>
    <row r="112" spans="1:5" x14ac:dyDescent="0.25">
      <c r="A112" s="13">
        <v>1924</v>
      </c>
      <c r="B112" s="33"/>
      <c r="C112" s="33">
        <v>2</v>
      </c>
      <c r="D112" s="33">
        <v>2</v>
      </c>
      <c r="E112" s="33">
        <v>4</v>
      </c>
    </row>
    <row r="113" spans="1:5" x14ac:dyDescent="0.25">
      <c r="A113" s="13">
        <v>1925</v>
      </c>
      <c r="B113" s="33"/>
      <c r="C113" s="33">
        <v>3</v>
      </c>
      <c r="D113" s="33">
        <v>1</v>
      </c>
      <c r="E113" s="33">
        <v>4</v>
      </c>
    </row>
    <row r="114" spans="1:5" x14ac:dyDescent="0.25">
      <c r="A114" s="13">
        <v>1926</v>
      </c>
      <c r="B114" s="33"/>
      <c r="C114" s="33">
        <v>3</v>
      </c>
      <c r="D114" s="33">
        <v>2</v>
      </c>
      <c r="E114" s="33">
        <v>5</v>
      </c>
    </row>
    <row r="115" spans="1:5" x14ac:dyDescent="0.25">
      <c r="A115" s="13">
        <v>1927</v>
      </c>
      <c r="B115" s="33"/>
      <c r="C115" s="33">
        <v>2</v>
      </c>
      <c r="D115" s="33">
        <v>2</v>
      </c>
      <c r="E115" s="33">
        <v>4</v>
      </c>
    </row>
    <row r="116" spans="1:5" x14ac:dyDescent="0.25">
      <c r="A116" s="13">
        <v>1928</v>
      </c>
      <c r="B116" s="33"/>
      <c r="C116" s="33">
        <v>2</v>
      </c>
      <c r="D116" s="33">
        <v>3</v>
      </c>
      <c r="E116" s="33">
        <v>5</v>
      </c>
    </row>
    <row r="117" spans="1:5" x14ac:dyDescent="0.25">
      <c r="A117" s="13">
        <v>1929</v>
      </c>
      <c r="B117" s="33">
        <v>1</v>
      </c>
      <c r="C117" s="33">
        <v>1</v>
      </c>
      <c r="D117" s="33">
        <v>3</v>
      </c>
      <c r="E117" s="33">
        <v>5</v>
      </c>
    </row>
    <row r="118" spans="1:5" x14ac:dyDescent="0.25">
      <c r="A118" s="13">
        <v>1930</v>
      </c>
      <c r="B118" s="33"/>
      <c r="C118" s="33">
        <v>1</v>
      </c>
      <c r="D118" s="33">
        <v>3</v>
      </c>
      <c r="E118" s="33">
        <v>4</v>
      </c>
    </row>
    <row r="119" spans="1:5" x14ac:dyDescent="0.25">
      <c r="A119" s="13">
        <v>1931</v>
      </c>
      <c r="B119" s="33">
        <v>1</v>
      </c>
      <c r="C119" s="33">
        <v>2</v>
      </c>
      <c r="D119" s="33">
        <v>1</v>
      </c>
      <c r="E119" s="33">
        <v>4</v>
      </c>
    </row>
    <row r="120" spans="1:5" x14ac:dyDescent="0.25">
      <c r="A120" s="13">
        <v>1932</v>
      </c>
      <c r="B120" s="33">
        <v>3</v>
      </c>
      <c r="C120" s="33">
        <v>2</v>
      </c>
      <c r="D120" s="33">
        <v>3</v>
      </c>
      <c r="E120" s="33">
        <v>8</v>
      </c>
    </row>
    <row r="121" spans="1:5" x14ac:dyDescent="0.25">
      <c r="A121" s="13">
        <v>1933</v>
      </c>
      <c r="B121" s="33">
        <v>2</v>
      </c>
      <c r="C121" s="33">
        <v>1</v>
      </c>
      <c r="D121" s="33">
        <v>1</v>
      </c>
      <c r="E121" s="33">
        <v>4</v>
      </c>
    </row>
    <row r="122" spans="1:5" x14ac:dyDescent="0.25">
      <c r="A122" s="13">
        <v>1934</v>
      </c>
      <c r="B122" s="33">
        <v>1</v>
      </c>
      <c r="C122" s="33">
        <v>1</v>
      </c>
      <c r="D122" s="33">
        <v>3</v>
      </c>
      <c r="E122" s="33">
        <v>5</v>
      </c>
    </row>
    <row r="123" spans="1:5" x14ac:dyDescent="0.25">
      <c r="A123" s="13">
        <v>1935</v>
      </c>
      <c r="B123" s="33">
        <v>2</v>
      </c>
      <c r="C123" s="33"/>
      <c r="D123" s="33">
        <v>1</v>
      </c>
      <c r="E123" s="33">
        <v>3</v>
      </c>
    </row>
    <row r="124" spans="1:5" x14ac:dyDescent="0.25">
      <c r="A124" s="13">
        <v>1936</v>
      </c>
      <c r="B124" s="33">
        <v>1</v>
      </c>
      <c r="C124" s="33"/>
      <c r="D124" s="33">
        <v>1</v>
      </c>
      <c r="E124" s="33">
        <v>2</v>
      </c>
    </row>
    <row r="125" spans="1:5" x14ac:dyDescent="0.25">
      <c r="A125" s="13">
        <v>1937</v>
      </c>
      <c r="B125" s="33">
        <v>1</v>
      </c>
      <c r="C125" s="33"/>
      <c r="D125" s="33">
        <v>1</v>
      </c>
      <c r="E125" s="33">
        <v>2</v>
      </c>
    </row>
    <row r="126" spans="1:5" x14ac:dyDescent="0.25">
      <c r="A126" s="13">
        <v>1938</v>
      </c>
      <c r="B126" s="33">
        <v>2</v>
      </c>
      <c r="C126" s="33"/>
      <c r="D126" s="33">
        <v>1</v>
      </c>
      <c r="E126" s="33">
        <v>3</v>
      </c>
    </row>
    <row r="127" spans="1:5" x14ac:dyDescent="0.25">
      <c r="A127" s="13">
        <v>1939</v>
      </c>
      <c r="B127" s="33">
        <v>4</v>
      </c>
      <c r="C127" s="33"/>
      <c r="D127" s="33">
        <v>1</v>
      </c>
      <c r="E127" s="33">
        <v>5</v>
      </c>
    </row>
    <row r="128" spans="1:5" x14ac:dyDescent="0.25">
      <c r="A128" s="13">
        <v>1940</v>
      </c>
      <c r="B128" s="33">
        <v>4</v>
      </c>
      <c r="C128" s="33"/>
      <c r="D128" s="33"/>
      <c r="E128" s="33">
        <v>4</v>
      </c>
    </row>
    <row r="129" spans="1:5" x14ac:dyDescent="0.25">
      <c r="A129" s="13">
        <v>1941</v>
      </c>
      <c r="B129" s="33">
        <v>3</v>
      </c>
      <c r="C129" s="33"/>
      <c r="D129" s="33"/>
      <c r="E129" s="33">
        <v>3</v>
      </c>
    </row>
    <row r="130" spans="1:5" x14ac:dyDescent="0.25">
      <c r="A130" s="13">
        <v>1942</v>
      </c>
      <c r="B130" s="33">
        <v>1</v>
      </c>
      <c r="C130" s="33"/>
      <c r="D130" s="33"/>
      <c r="E130" s="33">
        <v>1</v>
      </c>
    </row>
    <row r="131" spans="1:5" x14ac:dyDescent="0.25">
      <c r="A131" s="13">
        <v>1943</v>
      </c>
      <c r="B131" s="33">
        <v>1</v>
      </c>
      <c r="C131" s="33"/>
      <c r="D131" s="33"/>
      <c r="E131" s="33">
        <v>1</v>
      </c>
    </row>
    <row r="132" spans="1:5" x14ac:dyDescent="0.25">
      <c r="A132" s="13">
        <v>1944</v>
      </c>
      <c r="B132" s="33">
        <v>1</v>
      </c>
      <c r="C132" s="33"/>
      <c r="D132" s="33">
        <v>1</v>
      </c>
      <c r="E132" s="33">
        <v>2</v>
      </c>
    </row>
    <row r="133" spans="1:5" x14ac:dyDescent="0.25">
      <c r="A133" s="13">
        <v>1945</v>
      </c>
      <c r="B133" s="33">
        <v>1</v>
      </c>
      <c r="C133" s="33">
        <v>2</v>
      </c>
      <c r="D133" s="33">
        <v>1</v>
      </c>
      <c r="E133" s="33">
        <v>4</v>
      </c>
    </row>
    <row r="134" spans="1:5" x14ac:dyDescent="0.25">
      <c r="A134" s="13">
        <v>1946</v>
      </c>
      <c r="B134" s="33"/>
      <c r="C134" s="33">
        <v>2</v>
      </c>
      <c r="D134" s="33">
        <v>2</v>
      </c>
      <c r="E134" s="33">
        <v>4</v>
      </c>
    </row>
    <row r="135" spans="1:5" x14ac:dyDescent="0.25">
      <c r="A135" s="13">
        <v>1947</v>
      </c>
      <c r="B135" s="33"/>
      <c r="C135" s="33">
        <v>3</v>
      </c>
      <c r="D135" s="33">
        <v>4</v>
      </c>
      <c r="E135" s="33">
        <v>7</v>
      </c>
    </row>
    <row r="136" spans="1:5" x14ac:dyDescent="0.25">
      <c r="A136" s="13">
        <v>1948</v>
      </c>
      <c r="B136" s="33">
        <v>1</v>
      </c>
      <c r="C136" s="33">
        <v>5</v>
      </c>
      <c r="D136" s="33">
        <v>5</v>
      </c>
      <c r="E136" s="33">
        <v>11</v>
      </c>
    </row>
    <row r="137" spans="1:5" x14ac:dyDescent="0.25">
      <c r="A137" s="13">
        <v>1949</v>
      </c>
      <c r="B137" s="33">
        <v>1</v>
      </c>
      <c r="C137" s="33">
        <v>3</v>
      </c>
      <c r="D137" s="33">
        <v>4</v>
      </c>
      <c r="E137" s="33">
        <v>8</v>
      </c>
    </row>
    <row r="138" spans="1:5" x14ac:dyDescent="0.25">
      <c r="A138" s="13">
        <v>1950</v>
      </c>
      <c r="B138" s="33">
        <v>1</v>
      </c>
      <c r="C138" s="33">
        <v>3</v>
      </c>
      <c r="D138" s="33">
        <v>5</v>
      </c>
      <c r="E138" s="33">
        <v>9</v>
      </c>
    </row>
    <row r="139" spans="1:5" x14ac:dyDescent="0.25">
      <c r="A139" s="13">
        <v>1951</v>
      </c>
      <c r="B139" s="33">
        <v>1</v>
      </c>
      <c r="C139" s="33">
        <v>3</v>
      </c>
      <c r="D139" s="33">
        <v>3</v>
      </c>
      <c r="E139" s="33">
        <v>7</v>
      </c>
    </row>
    <row r="140" spans="1:5" x14ac:dyDescent="0.25">
      <c r="A140" s="13">
        <v>1952</v>
      </c>
      <c r="B140" s="33">
        <v>1</v>
      </c>
      <c r="C140" s="33">
        <v>4</v>
      </c>
      <c r="D140" s="33">
        <v>3</v>
      </c>
      <c r="E140" s="33">
        <v>8</v>
      </c>
    </row>
    <row r="141" spans="1:5" x14ac:dyDescent="0.25">
      <c r="A141" s="13">
        <v>1953</v>
      </c>
      <c r="B141" s="33">
        <v>1</v>
      </c>
      <c r="C141" s="33">
        <v>5</v>
      </c>
      <c r="D141" s="33">
        <v>2</v>
      </c>
      <c r="E141" s="33">
        <v>8</v>
      </c>
    </row>
    <row r="142" spans="1:5" x14ac:dyDescent="0.25">
      <c r="A142" s="13">
        <v>1954</v>
      </c>
      <c r="B142" s="33"/>
      <c r="C142" s="33">
        <v>6</v>
      </c>
      <c r="D142" s="33">
        <v>2</v>
      </c>
      <c r="E142" s="33">
        <v>8</v>
      </c>
    </row>
    <row r="143" spans="1:5" x14ac:dyDescent="0.25">
      <c r="A143" s="13">
        <v>1955</v>
      </c>
      <c r="B143" s="33"/>
      <c r="C143" s="33">
        <v>5</v>
      </c>
      <c r="D143" s="33">
        <v>2</v>
      </c>
      <c r="E143" s="33">
        <v>7</v>
      </c>
    </row>
    <row r="144" spans="1:5" x14ac:dyDescent="0.25">
      <c r="A144" s="13">
        <v>1956</v>
      </c>
      <c r="B144" s="33">
        <v>2</v>
      </c>
      <c r="C144" s="33">
        <v>6</v>
      </c>
      <c r="D144" s="33">
        <v>2</v>
      </c>
      <c r="E144" s="33">
        <v>10</v>
      </c>
    </row>
    <row r="145" spans="1:5" x14ac:dyDescent="0.25">
      <c r="A145" s="13">
        <v>1957</v>
      </c>
      <c r="B145" s="33"/>
      <c r="C145" s="33">
        <v>4</v>
      </c>
      <c r="D145" s="33">
        <v>2</v>
      </c>
      <c r="E145" s="33">
        <v>6</v>
      </c>
    </row>
    <row r="146" spans="1:5" x14ac:dyDescent="0.25">
      <c r="A146" s="13">
        <v>1958</v>
      </c>
      <c r="B146" s="33"/>
      <c r="C146" s="33">
        <v>3</v>
      </c>
      <c r="D146" s="33">
        <v>4</v>
      </c>
      <c r="E146" s="33">
        <v>7</v>
      </c>
    </row>
    <row r="147" spans="1:5" x14ac:dyDescent="0.25">
      <c r="A147" s="13">
        <v>1959</v>
      </c>
      <c r="B147" s="33"/>
      <c r="C147" s="33">
        <v>3</v>
      </c>
      <c r="D147" s="33">
        <v>4</v>
      </c>
      <c r="E147" s="33">
        <v>7</v>
      </c>
    </row>
    <row r="148" spans="1:5" x14ac:dyDescent="0.25">
      <c r="A148" s="13">
        <v>1960</v>
      </c>
      <c r="B148" s="33"/>
      <c r="C148" s="33">
        <v>2</v>
      </c>
      <c r="D148" s="33">
        <v>5</v>
      </c>
      <c r="E148" s="33">
        <v>7</v>
      </c>
    </row>
    <row r="149" spans="1:5" x14ac:dyDescent="0.25">
      <c r="A149" s="13">
        <v>1961</v>
      </c>
      <c r="B149" s="33"/>
      <c r="C149" s="33">
        <v>3</v>
      </c>
      <c r="D149" s="33">
        <v>4</v>
      </c>
      <c r="E149" s="33">
        <v>7</v>
      </c>
    </row>
    <row r="150" spans="1:5" x14ac:dyDescent="0.25">
      <c r="A150" s="13">
        <v>1962</v>
      </c>
      <c r="B150" s="33">
        <v>1</v>
      </c>
      <c r="C150" s="33">
        <v>4</v>
      </c>
      <c r="D150" s="33">
        <v>6</v>
      </c>
      <c r="E150" s="33">
        <v>11</v>
      </c>
    </row>
    <row r="151" spans="1:5" x14ac:dyDescent="0.25">
      <c r="A151" s="13">
        <v>1963</v>
      </c>
      <c r="B151" s="33"/>
      <c r="C151" s="33">
        <v>3</v>
      </c>
      <c r="D151" s="33">
        <v>7</v>
      </c>
      <c r="E151" s="33">
        <v>10</v>
      </c>
    </row>
    <row r="152" spans="1:5" x14ac:dyDescent="0.25">
      <c r="A152" s="13">
        <v>1964</v>
      </c>
      <c r="B152" s="33"/>
      <c r="C152" s="33">
        <v>3</v>
      </c>
      <c r="D152" s="33">
        <v>6</v>
      </c>
      <c r="E152" s="33">
        <v>9</v>
      </c>
    </row>
    <row r="153" spans="1:5" x14ac:dyDescent="0.25">
      <c r="A153" s="13">
        <v>1965</v>
      </c>
      <c r="B153" s="33">
        <v>2</v>
      </c>
      <c r="C153" s="33">
        <v>3</v>
      </c>
      <c r="D153" s="33">
        <v>6</v>
      </c>
      <c r="E153" s="33">
        <v>11</v>
      </c>
    </row>
    <row r="154" spans="1:5" x14ac:dyDescent="0.25">
      <c r="A154" s="13">
        <v>1966</v>
      </c>
      <c r="B154" s="33">
        <v>1</v>
      </c>
      <c r="C154" s="33">
        <v>3</v>
      </c>
      <c r="D154" s="33">
        <v>5</v>
      </c>
      <c r="E154" s="33">
        <v>9</v>
      </c>
    </row>
    <row r="155" spans="1:5" x14ac:dyDescent="0.25">
      <c r="A155" s="13">
        <v>1967</v>
      </c>
      <c r="B155" s="33">
        <v>2</v>
      </c>
      <c r="C155" s="33">
        <v>3</v>
      </c>
      <c r="D155" s="33">
        <v>6</v>
      </c>
      <c r="E155" s="33">
        <v>11</v>
      </c>
    </row>
    <row r="156" spans="1:5" x14ac:dyDescent="0.25">
      <c r="A156" s="13">
        <v>1968</v>
      </c>
      <c r="B156" s="33">
        <v>1</v>
      </c>
      <c r="C156" s="33">
        <v>3</v>
      </c>
      <c r="D156" s="33">
        <v>7</v>
      </c>
      <c r="E156" s="33">
        <v>11</v>
      </c>
    </row>
    <row r="157" spans="1:5" x14ac:dyDescent="0.25">
      <c r="A157" s="13">
        <v>1969</v>
      </c>
      <c r="B157" s="33">
        <v>3</v>
      </c>
      <c r="C157" s="33">
        <v>3</v>
      </c>
      <c r="D157" s="33">
        <v>6</v>
      </c>
      <c r="E157" s="33">
        <v>12</v>
      </c>
    </row>
    <row r="158" spans="1:5" x14ac:dyDescent="0.25">
      <c r="A158" s="13">
        <v>1970</v>
      </c>
      <c r="B158" s="33">
        <v>2</v>
      </c>
      <c r="C158" s="33">
        <v>3</v>
      </c>
      <c r="D158" s="33">
        <v>8</v>
      </c>
      <c r="E158" s="33">
        <v>13</v>
      </c>
    </row>
    <row r="159" spans="1:5" x14ac:dyDescent="0.25">
      <c r="A159" s="13">
        <v>1971</v>
      </c>
      <c r="B159" s="33">
        <v>2</v>
      </c>
      <c r="C159" s="33">
        <v>4</v>
      </c>
      <c r="D159" s="33">
        <v>8</v>
      </c>
      <c r="E159" s="33">
        <v>14</v>
      </c>
    </row>
    <row r="160" spans="1:5" x14ac:dyDescent="0.25">
      <c r="A160" s="13">
        <v>1972</v>
      </c>
      <c r="B160" s="33">
        <v>1</v>
      </c>
      <c r="C160" s="33">
        <v>4</v>
      </c>
      <c r="D160" s="33">
        <v>8</v>
      </c>
      <c r="E160" s="33">
        <v>13</v>
      </c>
    </row>
    <row r="161" spans="1:5" x14ac:dyDescent="0.25">
      <c r="A161" s="13">
        <v>1973</v>
      </c>
      <c r="B161" s="33">
        <v>2</v>
      </c>
      <c r="C161" s="33">
        <v>4</v>
      </c>
      <c r="D161" s="33">
        <v>6</v>
      </c>
      <c r="E161" s="33">
        <v>12</v>
      </c>
    </row>
    <row r="162" spans="1:5" x14ac:dyDescent="0.25">
      <c r="A162" s="13">
        <v>1974</v>
      </c>
      <c r="B162" s="33">
        <v>2</v>
      </c>
      <c r="C162" s="33">
        <v>7</v>
      </c>
      <c r="D162" s="33">
        <v>5</v>
      </c>
      <c r="E162" s="33">
        <v>14</v>
      </c>
    </row>
    <row r="163" spans="1:5" x14ac:dyDescent="0.25">
      <c r="A163" s="13">
        <v>1975</v>
      </c>
      <c r="B163" s="33">
        <v>2</v>
      </c>
      <c r="C163" s="33">
        <v>7</v>
      </c>
      <c r="D163" s="33">
        <v>7</v>
      </c>
      <c r="E163" s="33">
        <v>16</v>
      </c>
    </row>
    <row r="164" spans="1:5" x14ac:dyDescent="0.25">
      <c r="A164" s="13">
        <v>1976</v>
      </c>
      <c r="B164" s="33">
        <v>1</v>
      </c>
      <c r="C164" s="33">
        <v>5</v>
      </c>
      <c r="D164" s="33">
        <v>6</v>
      </c>
      <c r="E164" s="33">
        <v>12</v>
      </c>
    </row>
    <row r="165" spans="1:5" x14ac:dyDescent="0.25">
      <c r="A165" s="13">
        <v>1977</v>
      </c>
      <c r="B165" s="33">
        <v>2</v>
      </c>
      <c r="C165" s="33">
        <v>5</v>
      </c>
      <c r="D165" s="33">
        <v>6</v>
      </c>
      <c r="E165" s="33">
        <v>13</v>
      </c>
    </row>
    <row r="166" spans="1:5" x14ac:dyDescent="0.25">
      <c r="A166" s="13">
        <v>1978</v>
      </c>
      <c r="B166" s="33">
        <v>3</v>
      </c>
      <c r="C166" s="33">
        <v>5</v>
      </c>
      <c r="D166" s="33">
        <v>9</v>
      </c>
      <c r="E166" s="33">
        <v>17</v>
      </c>
    </row>
    <row r="167" spans="1:5" x14ac:dyDescent="0.25">
      <c r="A167" s="13">
        <v>1979</v>
      </c>
      <c r="B167" s="33">
        <v>3</v>
      </c>
      <c r="C167" s="33">
        <v>5</v>
      </c>
      <c r="D167" s="33">
        <v>12</v>
      </c>
      <c r="E167" s="33">
        <v>20</v>
      </c>
    </row>
    <row r="168" spans="1:5" x14ac:dyDescent="0.25">
      <c r="A168" s="13">
        <v>1980</v>
      </c>
      <c r="B168" s="33">
        <v>1</v>
      </c>
      <c r="C168" s="33">
        <v>5</v>
      </c>
      <c r="D168" s="33">
        <v>12</v>
      </c>
      <c r="E168" s="33">
        <v>18</v>
      </c>
    </row>
    <row r="169" spans="1:5" x14ac:dyDescent="0.25">
      <c r="A169" s="13">
        <v>1981</v>
      </c>
      <c r="B169" s="33">
        <v>1</v>
      </c>
      <c r="C169" s="33">
        <v>4</v>
      </c>
      <c r="D169" s="33">
        <v>12</v>
      </c>
      <c r="E169" s="33">
        <v>17</v>
      </c>
    </row>
    <row r="170" spans="1:5" x14ac:dyDescent="0.25">
      <c r="A170" s="13">
        <v>1982</v>
      </c>
      <c r="B170" s="33">
        <v>3</v>
      </c>
      <c r="C170" s="33">
        <v>4</v>
      </c>
      <c r="D170" s="33">
        <v>14</v>
      </c>
      <c r="E170" s="33">
        <v>21</v>
      </c>
    </row>
    <row r="171" spans="1:5" x14ac:dyDescent="0.25">
      <c r="A171" s="13">
        <v>1983</v>
      </c>
      <c r="B171" s="33">
        <v>1</v>
      </c>
      <c r="C171" s="33">
        <v>4</v>
      </c>
      <c r="D171" s="33">
        <v>16</v>
      </c>
      <c r="E171" s="33">
        <v>21</v>
      </c>
    </row>
    <row r="172" spans="1:5" x14ac:dyDescent="0.25">
      <c r="A172" s="13">
        <v>1984</v>
      </c>
      <c r="B172" s="33">
        <v>1</v>
      </c>
      <c r="C172" s="33">
        <v>2</v>
      </c>
      <c r="D172" s="33">
        <v>18</v>
      </c>
      <c r="E172" s="33">
        <v>21</v>
      </c>
    </row>
    <row r="173" spans="1:5" x14ac:dyDescent="0.25">
      <c r="A173" s="13">
        <v>1985</v>
      </c>
      <c r="B173" s="33">
        <v>2</v>
      </c>
      <c r="C173" s="33">
        <v>2</v>
      </c>
      <c r="D173" s="33">
        <v>18</v>
      </c>
      <c r="E173" s="33">
        <v>22</v>
      </c>
    </row>
    <row r="174" spans="1:5" x14ac:dyDescent="0.25">
      <c r="A174" s="13">
        <v>1986</v>
      </c>
      <c r="B174" s="33">
        <v>2</v>
      </c>
      <c r="C174" s="33">
        <v>2</v>
      </c>
      <c r="D174" s="33">
        <v>19</v>
      </c>
      <c r="E174" s="33">
        <v>23</v>
      </c>
    </row>
    <row r="175" spans="1:5" x14ac:dyDescent="0.25">
      <c r="A175" s="13">
        <v>1987</v>
      </c>
      <c r="B175" s="33">
        <v>2</v>
      </c>
      <c r="C175" s="33">
        <v>2</v>
      </c>
      <c r="D175" s="33">
        <v>19</v>
      </c>
      <c r="E175" s="33">
        <v>23</v>
      </c>
    </row>
    <row r="176" spans="1:5" x14ac:dyDescent="0.25">
      <c r="A176" s="13">
        <v>1988</v>
      </c>
      <c r="B176" s="33">
        <v>1</v>
      </c>
      <c r="C176" s="33">
        <v>2</v>
      </c>
      <c r="D176" s="33">
        <v>20</v>
      </c>
      <c r="E176" s="33">
        <v>23</v>
      </c>
    </row>
    <row r="177" spans="1:5" x14ac:dyDescent="0.25">
      <c r="A177" s="13">
        <v>1989</v>
      </c>
      <c r="B177" s="33"/>
      <c r="C177" s="33">
        <v>2</v>
      </c>
      <c r="D177" s="33">
        <v>19</v>
      </c>
      <c r="E177" s="33">
        <v>21</v>
      </c>
    </row>
    <row r="178" spans="1:5" x14ac:dyDescent="0.25">
      <c r="A178" s="13">
        <v>1990</v>
      </c>
      <c r="B178" s="33">
        <v>1</v>
      </c>
      <c r="C178" s="33">
        <v>2</v>
      </c>
      <c r="D178" s="33">
        <v>18</v>
      </c>
      <c r="E178" s="33">
        <v>21</v>
      </c>
    </row>
    <row r="179" spans="1:5" x14ac:dyDescent="0.25">
      <c r="A179" s="13">
        <v>1991</v>
      </c>
      <c r="B179" s="33">
        <v>1</v>
      </c>
      <c r="C179" s="33">
        <v>2</v>
      </c>
      <c r="D179" s="33">
        <v>20</v>
      </c>
      <c r="E179" s="33">
        <v>23</v>
      </c>
    </row>
    <row r="180" spans="1:5" x14ac:dyDescent="0.25">
      <c r="A180" s="13">
        <v>1992</v>
      </c>
      <c r="B180" s="33">
        <v>1</v>
      </c>
      <c r="C180" s="33"/>
      <c r="D180" s="33">
        <v>20</v>
      </c>
      <c r="E180" s="33">
        <v>21</v>
      </c>
    </row>
    <row r="181" spans="1:5" ht="13" x14ac:dyDescent="0.3">
      <c r="A181" s="4" t="s">
        <v>92</v>
      </c>
      <c r="B181" s="29">
        <f>SUM(B4:B180)</f>
        <v>173</v>
      </c>
      <c r="C181" s="29">
        <f>SUM(C4:C180)</f>
        <v>485</v>
      </c>
      <c r="D181" s="29">
        <f>SUM(D4:D180)</f>
        <v>615</v>
      </c>
      <c r="E181" s="29">
        <f>SUM(B181:D181)</f>
        <v>1273</v>
      </c>
    </row>
    <row r="182" spans="1:5" ht="13" x14ac:dyDescent="0.3">
      <c r="A182" s="11" t="s">
        <v>93</v>
      </c>
      <c r="B182" s="34">
        <f>B181/E181*100</f>
        <v>13.58994501178319</v>
      </c>
      <c r="C182" s="34">
        <f>C181/E181*100</f>
        <v>38.098978790259231</v>
      </c>
      <c r="D182" s="34">
        <f>D181/E181*100</f>
        <v>48.311076197957583</v>
      </c>
      <c r="E182" s="34">
        <v>100</v>
      </c>
    </row>
    <row r="184" spans="1:5" ht="37.5" x14ac:dyDescent="0.25">
      <c r="A184" s="32" t="s">
        <v>94</v>
      </c>
      <c r="B184" s="13">
        <f>SUM(B134:B180)</f>
        <v>55</v>
      </c>
      <c r="C184" s="13">
        <f>SUM(C134:C180)</f>
        <v>167</v>
      </c>
      <c r="D184" s="13">
        <f>SUM(D134:D180)</f>
        <v>402</v>
      </c>
      <c r="E184" s="13">
        <f>SUM(E134:E180)</f>
        <v>624</v>
      </c>
    </row>
    <row r="185" spans="1:5" ht="13" x14ac:dyDescent="0.3">
      <c r="A185" s="11" t="s">
        <v>95</v>
      </c>
      <c r="B185" s="12">
        <f>B184/E184*100</f>
        <v>8.8141025641025639</v>
      </c>
      <c r="C185" s="12">
        <f>C184/E184*100</f>
        <v>26.762820512820511</v>
      </c>
      <c r="D185" s="12">
        <f>D184/E184*100</f>
        <v>64.423076923076934</v>
      </c>
      <c r="E185" s="12">
        <v>100</v>
      </c>
    </row>
    <row r="187" spans="1:5" ht="13" x14ac:dyDescent="0.3">
      <c r="A187" s="11" t="s">
        <v>107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37</vt:lpstr>
      <vt:lpstr>38</vt:lpstr>
      <vt:lpstr>39</vt:lpstr>
      <vt:lpstr>40</vt:lpstr>
      <vt:lpstr>41</vt:lpstr>
      <vt:lpstr>42</vt:lpstr>
      <vt:lpstr>43</vt:lpstr>
      <vt:lpstr>44</vt:lpstr>
    </vt:vector>
  </TitlesOfParts>
  <Company>Ferguson's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Ferguson</dc:creator>
  <cp:lastModifiedBy>Carina Negreanu</cp:lastModifiedBy>
  <dcterms:created xsi:type="dcterms:W3CDTF">2000-10-03T21:33:00Z</dcterms:created>
  <dcterms:modified xsi:type="dcterms:W3CDTF">2020-01-27T12:41:16Z</dcterms:modified>
</cp:coreProperties>
</file>