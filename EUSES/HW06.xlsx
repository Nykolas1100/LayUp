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268ABA-0329-42A2-8C7E-0265F1C8F45B}" xr6:coauthVersionLast="45" xr6:coauthVersionMax="45" xr10:uidLastSave="{00000000-0000-0000-0000-000000000000}"/>
  <bookViews>
    <workbookView xWindow="380" yWindow="380" windowWidth="28800" windowHeight="15460"/>
  </bookViews>
  <sheets>
    <sheet name="Planck distrib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1" l="1"/>
  <c r="I2" i="1"/>
  <c r="C6" i="1"/>
  <c r="D6" i="1"/>
  <c r="E6" i="1" s="1"/>
  <c r="G6" i="1"/>
  <c r="B7" i="1"/>
  <c r="C7" i="1"/>
  <c r="D7" i="1"/>
  <c r="E7" i="1"/>
  <c r="G7" i="1"/>
  <c r="B8" i="1"/>
  <c r="C8" i="1"/>
  <c r="D8" i="1"/>
  <c r="E8" i="1"/>
  <c r="G8" i="1"/>
  <c r="B9" i="1"/>
  <c r="G9" i="1" s="1"/>
  <c r="C9" i="1"/>
  <c r="D9" i="1"/>
  <c r="E9" i="1"/>
  <c r="D508" i="1"/>
  <c r="B10" i="1" l="1"/>
  <c r="C10" i="1" l="1"/>
  <c r="D10" i="1"/>
  <c r="G10" i="1"/>
  <c r="B11" i="1"/>
  <c r="C11" i="1" l="1"/>
  <c r="D11" i="1"/>
  <c r="G11" i="1"/>
  <c r="B12" i="1"/>
  <c r="E10" i="1"/>
  <c r="C12" i="1" l="1"/>
  <c r="D12" i="1"/>
  <c r="G12" i="1"/>
  <c r="B13" i="1"/>
  <c r="E11" i="1"/>
  <c r="G13" i="1" l="1"/>
  <c r="B14" i="1"/>
  <c r="C13" i="1"/>
  <c r="E13" i="1" s="1"/>
  <c r="D13" i="1"/>
  <c r="E12" i="1"/>
  <c r="C14" i="1" l="1"/>
  <c r="D14" i="1"/>
  <c r="G14" i="1"/>
  <c r="B15" i="1"/>
  <c r="C15" i="1" l="1"/>
  <c r="D15" i="1"/>
  <c r="G15" i="1"/>
  <c r="B16" i="1"/>
  <c r="E14" i="1"/>
  <c r="C16" i="1" l="1"/>
  <c r="D16" i="1"/>
  <c r="G16" i="1"/>
  <c r="B17" i="1"/>
  <c r="E15" i="1"/>
  <c r="G17" i="1" l="1"/>
  <c r="B18" i="1"/>
  <c r="C17" i="1"/>
  <c r="D17" i="1"/>
  <c r="E16" i="1"/>
  <c r="E17" i="1" l="1"/>
  <c r="C18" i="1"/>
  <c r="E18" i="1" s="1"/>
  <c r="D18" i="1"/>
  <c r="G18" i="1"/>
  <c r="B19" i="1"/>
  <c r="C19" i="1" l="1"/>
  <c r="D19" i="1"/>
  <c r="G19" i="1"/>
  <c r="B20" i="1"/>
  <c r="C20" i="1" l="1"/>
  <c r="D20" i="1"/>
  <c r="G20" i="1"/>
  <c r="B21" i="1"/>
  <c r="E19" i="1"/>
  <c r="G21" i="1" l="1"/>
  <c r="B22" i="1"/>
  <c r="C21" i="1"/>
  <c r="E21" i="1" s="1"/>
  <c r="D21" i="1"/>
  <c r="E20" i="1"/>
  <c r="C22" i="1" l="1"/>
  <c r="D22" i="1"/>
  <c r="G22" i="1"/>
  <c r="B23" i="1"/>
  <c r="C23" i="1" l="1"/>
  <c r="D23" i="1"/>
  <c r="G23" i="1"/>
  <c r="B24" i="1"/>
  <c r="E22" i="1"/>
  <c r="C24" i="1" l="1"/>
  <c r="D24" i="1"/>
  <c r="G24" i="1"/>
  <c r="B25" i="1"/>
  <c r="E23" i="1"/>
  <c r="G25" i="1" l="1"/>
  <c r="B26" i="1"/>
  <c r="C25" i="1"/>
  <c r="D25" i="1"/>
  <c r="E24" i="1"/>
  <c r="E25" i="1" l="1"/>
  <c r="C26" i="1"/>
  <c r="D26" i="1"/>
  <c r="G26" i="1"/>
  <c r="B27" i="1"/>
  <c r="C27" i="1" l="1"/>
  <c r="D27" i="1"/>
  <c r="G27" i="1"/>
  <c r="B28" i="1"/>
  <c r="E26" i="1"/>
  <c r="C28" i="1" l="1"/>
  <c r="D28" i="1"/>
  <c r="G28" i="1"/>
  <c r="B29" i="1"/>
  <c r="E27" i="1"/>
  <c r="G29" i="1" l="1"/>
  <c r="B30" i="1"/>
  <c r="C29" i="1"/>
  <c r="D29" i="1"/>
  <c r="E28" i="1"/>
  <c r="C30" i="1" l="1"/>
  <c r="D30" i="1"/>
  <c r="G30" i="1"/>
  <c r="B31" i="1"/>
  <c r="E29" i="1"/>
  <c r="C31" i="1" l="1"/>
  <c r="D31" i="1"/>
  <c r="G31" i="1"/>
  <c r="B32" i="1"/>
  <c r="E30" i="1"/>
  <c r="C32" i="1" l="1"/>
  <c r="D32" i="1"/>
  <c r="G32" i="1"/>
  <c r="B33" i="1"/>
  <c r="E31" i="1"/>
  <c r="G33" i="1" l="1"/>
  <c r="B34" i="1"/>
  <c r="C33" i="1"/>
  <c r="D33" i="1"/>
  <c r="E32" i="1"/>
  <c r="E33" i="1" l="1"/>
  <c r="C34" i="1"/>
  <c r="D34" i="1"/>
  <c r="G34" i="1"/>
  <c r="B35" i="1"/>
  <c r="C35" i="1" l="1"/>
  <c r="D35" i="1"/>
  <c r="G35" i="1"/>
  <c r="B36" i="1"/>
  <c r="E34" i="1"/>
  <c r="C36" i="1" l="1"/>
  <c r="D36" i="1"/>
  <c r="G36" i="1"/>
  <c r="B37" i="1"/>
  <c r="E35" i="1"/>
  <c r="G37" i="1" l="1"/>
  <c r="B38" i="1"/>
  <c r="C37" i="1"/>
  <c r="D37" i="1"/>
  <c r="E36" i="1"/>
  <c r="E37" i="1" l="1"/>
  <c r="C38" i="1"/>
  <c r="D38" i="1"/>
  <c r="G38" i="1"/>
  <c r="B39" i="1"/>
  <c r="C39" i="1" l="1"/>
  <c r="D39" i="1"/>
  <c r="G39" i="1"/>
  <c r="B40" i="1"/>
  <c r="E38" i="1"/>
  <c r="C40" i="1" l="1"/>
  <c r="D40" i="1"/>
  <c r="G40" i="1"/>
  <c r="B41" i="1"/>
  <c r="E39" i="1"/>
  <c r="G41" i="1" l="1"/>
  <c r="B42" i="1"/>
  <c r="D41" i="1"/>
  <c r="C41" i="1"/>
  <c r="E41" i="1" s="1"/>
  <c r="E40" i="1"/>
  <c r="C42" i="1" l="1"/>
  <c r="D42" i="1"/>
  <c r="G42" i="1"/>
  <c r="B43" i="1"/>
  <c r="C43" i="1" l="1"/>
  <c r="D43" i="1"/>
  <c r="G43" i="1"/>
  <c r="B44" i="1"/>
  <c r="E42" i="1"/>
  <c r="C44" i="1" l="1"/>
  <c r="D44" i="1"/>
  <c r="G44" i="1"/>
  <c r="B45" i="1"/>
  <c r="E43" i="1"/>
  <c r="G45" i="1" l="1"/>
  <c r="B46" i="1"/>
  <c r="C45" i="1"/>
  <c r="D45" i="1"/>
  <c r="E44" i="1"/>
  <c r="E45" i="1" l="1"/>
  <c r="C46" i="1"/>
  <c r="D46" i="1"/>
  <c r="G46" i="1"/>
  <c r="B47" i="1"/>
  <c r="E46" i="1" l="1"/>
  <c r="C47" i="1"/>
  <c r="D47" i="1"/>
  <c r="G47" i="1"/>
  <c r="B48" i="1"/>
  <c r="C48" i="1" l="1"/>
  <c r="D48" i="1"/>
  <c r="G48" i="1"/>
  <c r="B49" i="1"/>
  <c r="E47" i="1"/>
  <c r="G49" i="1" l="1"/>
  <c r="B50" i="1"/>
  <c r="C49" i="1"/>
  <c r="D49" i="1"/>
  <c r="E48" i="1"/>
  <c r="C50" i="1" l="1"/>
  <c r="D50" i="1"/>
  <c r="G50" i="1"/>
  <c r="B51" i="1"/>
  <c r="E49" i="1"/>
  <c r="C51" i="1" l="1"/>
  <c r="D51" i="1"/>
  <c r="G51" i="1"/>
  <c r="B52" i="1"/>
  <c r="E50" i="1"/>
  <c r="C52" i="1" l="1"/>
  <c r="D52" i="1"/>
  <c r="G52" i="1"/>
  <c r="B53" i="1"/>
  <c r="E51" i="1"/>
  <c r="G53" i="1" l="1"/>
  <c r="B54" i="1"/>
  <c r="C53" i="1"/>
  <c r="D53" i="1"/>
  <c r="E52" i="1"/>
  <c r="C54" i="1" l="1"/>
  <c r="D54" i="1"/>
  <c r="G54" i="1"/>
  <c r="B55" i="1"/>
  <c r="E53" i="1"/>
  <c r="C55" i="1" l="1"/>
  <c r="D55" i="1"/>
  <c r="G55" i="1"/>
  <c r="B56" i="1"/>
  <c r="E54" i="1"/>
  <c r="C56" i="1" l="1"/>
  <c r="E56" i="1" s="1"/>
  <c r="D56" i="1"/>
  <c r="G56" i="1"/>
  <c r="B57" i="1"/>
  <c r="E55" i="1"/>
  <c r="G57" i="1" l="1"/>
  <c r="B58" i="1"/>
  <c r="D57" i="1"/>
  <c r="C57" i="1"/>
  <c r="E57" i="1" s="1"/>
  <c r="C58" i="1" l="1"/>
  <c r="E58" i="1" s="1"/>
  <c r="D58" i="1"/>
  <c r="G58" i="1"/>
  <c r="B59" i="1"/>
  <c r="C59" i="1" l="1"/>
  <c r="D59" i="1"/>
  <c r="G59" i="1"/>
  <c r="B60" i="1"/>
  <c r="C60" i="1" l="1"/>
  <c r="D60" i="1"/>
  <c r="G60" i="1"/>
  <c r="B61" i="1"/>
  <c r="E59" i="1"/>
  <c r="G61" i="1" l="1"/>
  <c r="B62" i="1"/>
  <c r="C61" i="1"/>
  <c r="D61" i="1"/>
  <c r="E60" i="1"/>
  <c r="E61" i="1" l="1"/>
  <c r="C62" i="1"/>
  <c r="D62" i="1"/>
  <c r="G62" i="1"/>
  <c r="B63" i="1"/>
  <c r="C63" i="1" l="1"/>
  <c r="D63" i="1"/>
  <c r="G63" i="1"/>
  <c r="B64" i="1"/>
  <c r="E62" i="1"/>
  <c r="C64" i="1" l="1"/>
  <c r="D64" i="1"/>
  <c r="G64" i="1"/>
  <c r="B65" i="1"/>
  <c r="E63" i="1"/>
  <c r="G65" i="1" l="1"/>
  <c r="B66" i="1"/>
  <c r="C65" i="1"/>
  <c r="D65" i="1"/>
  <c r="E64" i="1"/>
  <c r="E65" i="1" l="1"/>
  <c r="C66" i="1"/>
  <c r="D66" i="1"/>
  <c r="G66" i="1"/>
  <c r="B67" i="1"/>
  <c r="C67" i="1" l="1"/>
  <c r="D67" i="1"/>
  <c r="G67" i="1"/>
  <c r="B68" i="1"/>
  <c r="E66" i="1"/>
  <c r="C68" i="1" l="1"/>
  <c r="D68" i="1"/>
  <c r="G68" i="1"/>
  <c r="B69" i="1"/>
  <c r="E67" i="1"/>
  <c r="G69" i="1" l="1"/>
  <c r="B70" i="1"/>
  <c r="C69" i="1"/>
  <c r="D69" i="1"/>
  <c r="E68" i="1"/>
  <c r="E69" i="1" l="1"/>
  <c r="C70" i="1"/>
  <c r="D70" i="1"/>
  <c r="G70" i="1"/>
  <c r="B71" i="1"/>
  <c r="C71" i="1" l="1"/>
  <c r="D71" i="1"/>
  <c r="G71" i="1"/>
  <c r="B72" i="1"/>
  <c r="E70" i="1"/>
  <c r="C72" i="1" l="1"/>
  <c r="D72" i="1"/>
  <c r="G72" i="1"/>
  <c r="B73" i="1"/>
  <c r="E71" i="1"/>
  <c r="G73" i="1" l="1"/>
  <c r="B74" i="1"/>
  <c r="D73" i="1"/>
  <c r="C73" i="1"/>
  <c r="E73" i="1" s="1"/>
  <c r="E72" i="1"/>
  <c r="C74" i="1" l="1"/>
  <c r="D74" i="1"/>
  <c r="G74" i="1"/>
  <c r="B75" i="1"/>
  <c r="C75" i="1" l="1"/>
  <c r="D75" i="1"/>
  <c r="G75" i="1"/>
  <c r="B76" i="1"/>
  <c r="E74" i="1"/>
  <c r="C76" i="1" l="1"/>
  <c r="D76" i="1"/>
  <c r="G76" i="1"/>
  <c r="B77" i="1"/>
  <c r="E75" i="1"/>
  <c r="G77" i="1" l="1"/>
  <c r="B78" i="1"/>
  <c r="C77" i="1"/>
  <c r="D77" i="1"/>
  <c r="E76" i="1"/>
  <c r="E77" i="1" l="1"/>
  <c r="C78" i="1"/>
  <c r="D78" i="1"/>
  <c r="G78" i="1"/>
  <c r="B79" i="1"/>
  <c r="C79" i="1" l="1"/>
  <c r="D79" i="1"/>
  <c r="G79" i="1"/>
  <c r="B80" i="1"/>
  <c r="E78" i="1"/>
  <c r="C80" i="1" l="1"/>
  <c r="D80" i="1"/>
  <c r="G80" i="1"/>
  <c r="B81" i="1"/>
  <c r="E79" i="1"/>
  <c r="G81" i="1" l="1"/>
  <c r="B82" i="1"/>
  <c r="C81" i="1"/>
  <c r="D81" i="1"/>
  <c r="E80" i="1"/>
  <c r="C82" i="1" l="1"/>
  <c r="D82" i="1"/>
  <c r="G82" i="1"/>
  <c r="B83" i="1"/>
  <c r="E81" i="1"/>
  <c r="C83" i="1" l="1"/>
  <c r="D83" i="1"/>
  <c r="G83" i="1"/>
  <c r="B84" i="1"/>
  <c r="E82" i="1"/>
  <c r="C84" i="1" l="1"/>
  <c r="D84" i="1"/>
  <c r="G84" i="1"/>
  <c r="B85" i="1"/>
  <c r="E83" i="1"/>
  <c r="G85" i="1" l="1"/>
  <c r="B86" i="1"/>
  <c r="C85" i="1"/>
  <c r="D85" i="1"/>
  <c r="E84" i="1"/>
  <c r="C86" i="1" l="1"/>
  <c r="D86" i="1"/>
  <c r="G86" i="1"/>
  <c r="B87" i="1"/>
  <c r="E85" i="1"/>
  <c r="C87" i="1" l="1"/>
  <c r="D87" i="1"/>
  <c r="G87" i="1"/>
  <c r="B88" i="1"/>
  <c r="E86" i="1"/>
  <c r="C88" i="1" l="1"/>
  <c r="D88" i="1"/>
  <c r="B89" i="1"/>
  <c r="G88" i="1"/>
  <c r="E87" i="1"/>
  <c r="G89" i="1" l="1"/>
  <c r="B90" i="1"/>
  <c r="C89" i="1"/>
  <c r="D89" i="1"/>
  <c r="E88" i="1"/>
  <c r="E89" i="1" l="1"/>
  <c r="C90" i="1"/>
  <c r="D90" i="1"/>
  <c r="G90" i="1"/>
  <c r="B91" i="1"/>
  <c r="C91" i="1" l="1"/>
  <c r="D91" i="1"/>
  <c r="G91" i="1"/>
  <c r="B92" i="1"/>
  <c r="E90" i="1"/>
  <c r="C92" i="1" l="1"/>
  <c r="D92" i="1"/>
  <c r="G92" i="1"/>
  <c r="B93" i="1"/>
  <c r="E91" i="1"/>
  <c r="G93" i="1" l="1"/>
  <c r="B94" i="1"/>
  <c r="C93" i="1"/>
  <c r="D93" i="1"/>
  <c r="E92" i="1"/>
  <c r="E93" i="1" l="1"/>
  <c r="C94" i="1"/>
  <c r="D94" i="1"/>
  <c r="G94" i="1"/>
  <c r="B95" i="1"/>
  <c r="C95" i="1" l="1"/>
  <c r="D95" i="1"/>
  <c r="G95" i="1"/>
  <c r="B96" i="1"/>
  <c r="E94" i="1"/>
  <c r="C96" i="1" l="1"/>
  <c r="D96" i="1"/>
  <c r="G96" i="1"/>
  <c r="B97" i="1"/>
  <c r="E95" i="1"/>
  <c r="G97" i="1" l="1"/>
  <c r="B98" i="1"/>
  <c r="C97" i="1"/>
  <c r="D97" i="1"/>
  <c r="E96" i="1"/>
  <c r="E97" i="1" l="1"/>
  <c r="C98" i="1"/>
  <c r="D98" i="1"/>
  <c r="G98" i="1"/>
  <c r="B99" i="1"/>
  <c r="C99" i="1" l="1"/>
  <c r="D99" i="1"/>
  <c r="G99" i="1"/>
  <c r="B100" i="1"/>
  <c r="E98" i="1"/>
  <c r="D100" i="1" l="1"/>
  <c r="C100" i="1"/>
  <c r="E100" i="1" s="1"/>
  <c r="G100" i="1"/>
  <c r="B101" i="1"/>
  <c r="E99" i="1"/>
  <c r="G101" i="1" l="1"/>
  <c r="B102" i="1"/>
  <c r="C101" i="1"/>
  <c r="D101" i="1"/>
  <c r="E101" i="1" l="1"/>
  <c r="C102" i="1"/>
  <c r="D102" i="1"/>
  <c r="G102" i="1"/>
  <c r="B103" i="1"/>
  <c r="C103" i="1" l="1"/>
  <c r="D103" i="1"/>
  <c r="G103" i="1"/>
  <c r="B104" i="1"/>
  <c r="E102" i="1"/>
  <c r="D104" i="1" l="1"/>
  <c r="C104" i="1"/>
  <c r="E104" i="1" s="1"/>
  <c r="G104" i="1"/>
  <c r="B105" i="1"/>
  <c r="E103" i="1"/>
  <c r="G105" i="1" l="1"/>
  <c r="B106" i="1"/>
  <c r="C105" i="1"/>
  <c r="D105" i="1"/>
  <c r="C106" i="1" l="1"/>
  <c r="D106" i="1"/>
  <c r="G106" i="1"/>
  <c r="B107" i="1"/>
  <c r="E105" i="1"/>
  <c r="C107" i="1" l="1"/>
  <c r="D107" i="1"/>
  <c r="G107" i="1"/>
  <c r="B108" i="1"/>
  <c r="E106" i="1"/>
  <c r="C108" i="1" l="1"/>
  <c r="D108" i="1"/>
  <c r="G108" i="1"/>
  <c r="B109" i="1"/>
  <c r="E107" i="1"/>
  <c r="G109" i="1" l="1"/>
  <c r="B110" i="1"/>
  <c r="C109" i="1"/>
  <c r="D109" i="1"/>
  <c r="E108" i="1"/>
  <c r="E109" i="1" l="1"/>
  <c r="C110" i="1"/>
  <c r="D110" i="1"/>
  <c r="G110" i="1"/>
  <c r="B111" i="1"/>
  <c r="C111" i="1" l="1"/>
  <c r="D111" i="1"/>
  <c r="B112" i="1"/>
  <c r="G111" i="1"/>
  <c r="E110" i="1"/>
  <c r="D112" i="1" l="1"/>
  <c r="G112" i="1"/>
  <c r="B113" i="1"/>
  <c r="C112" i="1"/>
  <c r="E112" i="1" s="1"/>
  <c r="E111" i="1"/>
  <c r="G113" i="1" l="1"/>
  <c r="B114" i="1"/>
  <c r="C113" i="1"/>
  <c r="E113" i="1" s="1"/>
  <c r="D113" i="1"/>
  <c r="C114" i="1" l="1"/>
  <c r="D114" i="1"/>
  <c r="G114" i="1"/>
  <c r="B115" i="1"/>
  <c r="C115" i="1" l="1"/>
  <c r="D115" i="1"/>
  <c r="B116" i="1"/>
  <c r="G115" i="1"/>
  <c r="E114" i="1"/>
  <c r="C116" i="1" l="1"/>
  <c r="D116" i="1"/>
  <c r="G116" i="1"/>
  <c r="B117" i="1"/>
  <c r="E115" i="1"/>
  <c r="G117" i="1" l="1"/>
  <c r="B118" i="1"/>
  <c r="C117" i="1"/>
  <c r="D117" i="1"/>
  <c r="E116" i="1"/>
  <c r="E117" i="1" l="1"/>
  <c r="C118" i="1"/>
  <c r="D118" i="1"/>
  <c r="G118" i="1"/>
  <c r="B119" i="1"/>
  <c r="C119" i="1" l="1"/>
  <c r="D119" i="1"/>
  <c r="B120" i="1"/>
  <c r="G119" i="1"/>
  <c r="E118" i="1"/>
  <c r="G120" i="1" l="1"/>
  <c r="B121" i="1"/>
  <c r="C120" i="1"/>
  <c r="D120" i="1"/>
  <c r="E119" i="1"/>
  <c r="E120" i="1" l="1"/>
  <c r="G121" i="1"/>
  <c r="B122" i="1"/>
  <c r="C121" i="1"/>
  <c r="D121" i="1"/>
  <c r="E121" i="1" l="1"/>
  <c r="C122" i="1"/>
  <c r="D122" i="1"/>
  <c r="G122" i="1"/>
  <c r="B123" i="1"/>
  <c r="C123" i="1" l="1"/>
  <c r="D123" i="1"/>
  <c r="B124" i="1"/>
  <c r="G123" i="1"/>
  <c r="E122" i="1"/>
  <c r="C124" i="1" l="1"/>
  <c r="D124" i="1"/>
  <c r="G124" i="1"/>
  <c r="B125" i="1"/>
  <c r="E123" i="1"/>
  <c r="G125" i="1" l="1"/>
  <c r="B126" i="1"/>
  <c r="C125" i="1"/>
  <c r="D125" i="1"/>
  <c r="E124" i="1"/>
  <c r="E125" i="1" l="1"/>
  <c r="C126" i="1"/>
  <c r="D126" i="1"/>
  <c r="G126" i="1"/>
  <c r="B127" i="1"/>
  <c r="C127" i="1" l="1"/>
  <c r="D127" i="1"/>
  <c r="B128" i="1"/>
  <c r="G127" i="1"/>
  <c r="E126" i="1"/>
  <c r="C128" i="1" l="1"/>
  <c r="D128" i="1"/>
  <c r="B129" i="1"/>
  <c r="G128" i="1"/>
  <c r="E127" i="1"/>
  <c r="G129" i="1" l="1"/>
  <c r="B130" i="1"/>
  <c r="C129" i="1"/>
  <c r="D129" i="1"/>
  <c r="E128" i="1"/>
  <c r="C130" i="1" l="1"/>
  <c r="D130" i="1"/>
  <c r="G130" i="1"/>
  <c r="B131" i="1"/>
  <c r="E129" i="1"/>
  <c r="C131" i="1" l="1"/>
  <c r="D131" i="1"/>
  <c r="B132" i="1"/>
  <c r="G131" i="1"/>
  <c r="E130" i="1"/>
  <c r="C132" i="1" l="1"/>
  <c r="D132" i="1"/>
  <c r="G132" i="1"/>
  <c r="B133" i="1"/>
  <c r="E131" i="1"/>
  <c r="G133" i="1" l="1"/>
  <c r="B134" i="1"/>
  <c r="C133" i="1"/>
  <c r="D133" i="1"/>
  <c r="E132" i="1"/>
  <c r="E133" i="1" l="1"/>
  <c r="C134" i="1"/>
  <c r="D134" i="1"/>
  <c r="G134" i="1"/>
  <c r="B135" i="1"/>
  <c r="C135" i="1" l="1"/>
  <c r="E135" i="1" s="1"/>
  <c r="D135" i="1"/>
  <c r="B136" i="1"/>
  <c r="G135" i="1"/>
  <c r="E134" i="1"/>
  <c r="C136" i="1" l="1"/>
  <c r="D136" i="1"/>
  <c r="G136" i="1"/>
  <c r="B137" i="1"/>
  <c r="G137" i="1" l="1"/>
  <c r="B138" i="1"/>
  <c r="C137" i="1"/>
  <c r="D137" i="1"/>
  <c r="E136" i="1"/>
  <c r="E137" i="1" l="1"/>
  <c r="C138" i="1"/>
  <c r="D138" i="1"/>
  <c r="G138" i="1"/>
  <c r="B139" i="1"/>
  <c r="E138" i="1" l="1"/>
  <c r="C139" i="1"/>
  <c r="D139" i="1"/>
  <c r="B140" i="1"/>
  <c r="G139" i="1"/>
  <c r="E139" i="1" l="1"/>
  <c r="C140" i="1"/>
  <c r="D140" i="1"/>
  <c r="G140" i="1"/>
  <c r="B141" i="1"/>
  <c r="G141" i="1" l="1"/>
  <c r="B142" i="1"/>
  <c r="C141" i="1"/>
  <c r="D141" i="1"/>
  <c r="E140" i="1"/>
  <c r="E141" i="1" l="1"/>
  <c r="C142" i="1"/>
  <c r="D142" i="1"/>
  <c r="G142" i="1"/>
  <c r="B143" i="1"/>
  <c r="C143" i="1" l="1"/>
  <c r="D143" i="1"/>
  <c r="B144" i="1"/>
  <c r="G143" i="1"/>
  <c r="E142" i="1"/>
  <c r="C144" i="1" l="1"/>
  <c r="D144" i="1"/>
  <c r="G144" i="1"/>
  <c r="B145" i="1"/>
  <c r="E143" i="1"/>
  <c r="G145" i="1" l="1"/>
  <c r="B146" i="1"/>
  <c r="C145" i="1"/>
  <c r="D145" i="1"/>
  <c r="E144" i="1"/>
  <c r="E145" i="1" l="1"/>
  <c r="C146" i="1"/>
  <c r="D146" i="1"/>
  <c r="G146" i="1"/>
  <c r="B147" i="1"/>
  <c r="C147" i="1" l="1"/>
  <c r="D147" i="1"/>
  <c r="B148" i="1"/>
  <c r="G147" i="1"/>
  <c r="E146" i="1"/>
  <c r="C148" i="1" l="1"/>
  <c r="D148" i="1"/>
  <c r="G148" i="1"/>
  <c r="B149" i="1"/>
  <c r="E147" i="1"/>
  <c r="G149" i="1" l="1"/>
  <c r="B150" i="1"/>
  <c r="C149" i="1"/>
  <c r="D149" i="1"/>
  <c r="E148" i="1"/>
  <c r="E149" i="1" l="1"/>
  <c r="C150" i="1"/>
  <c r="D150" i="1"/>
  <c r="G150" i="1"/>
  <c r="B151" i="1"/>
  <c r="C151" i="1" l="1"/>
  <c r="D151" i="1"/>
  <c r="B152" i="1"/>
  <c r="G151" i="1"/>
  <c r="E150" i="1"/>
  <c r="D152" i="1" l="1"/>
  <c r="G152" i="1"/>
  <c r="B153" i="1"/>
  <c r="C152" i="1"/>
  <c r="E152" i="1" s="1"/>
  <c r="E151" i="1"/>
  <c r="G153" i="1" l="1"/>
  <c r="B154" i="1"/>
  <c r="C153" i="1"/>
  <c r="D153" i="1"/>
  <c r="E153" i="1" l="1"/>
  <c r="C154" i="1"/>
  <c r="D154" i="1"/>
  <c r="G154" i="1"/>
  <c r="B155" i="1"/>
  <c r="C155" i="1" l="1"/>
  <c r="D155" i="1"/>
  <c r="B156" i="1"/>
  <c r="G155" i="1"/>
  <c r="E154" i="1"/>
  <c r="G156" i="1" l="1"/>
  <c r="B157" i="1"/>
  <c r="C156" i="1"/>
  <c r="D156" i="1"/>
  <c r="E155" i="1"/>
  <c r="E156" i="1" l="1"/>
  <c r="G157" i="1"/>
  <c r="B158" i="1"/>
  <c r="C157" i="1"/>
  <c r="D157" i="1"/>
  <c r="E157" i="1" l="1"/>
  <c r="C158" i="1"/>
  <c r="D158" i="1"/>
  <c r="G158" i="1"/>
  <c r="B159" i="1"/>
  <c r="C159" i="1" l="1"/>
  <c r="D159" i="1"/>
  <c r="B160" i="1"/>
  <c r="G159" i="1"/>
  <c r="E158" i="1"/>
  <c r="C160" i="1" l="1"/>
  <c r="D160" i="1"/>
  <c r="G160" i="1"/>
  <c r="B161" i="1"/>
  <c r="E159" i="1"/>
  <c r="G161" i="1" l="1"/>
  <c r="B162" i="1"/>
  <c r="C161" i="1"/>
  <c r="D161" i="1"/>
  <c r="E160" i="1"/>
  <c r="E161" i="1" l="1"/>
  <c r="C162" i="1"/>
  <c r="D162" i="1"/>
  <c r="G162" i="1"/>
  <c r="B163" i="1"/>
  <c r="C163" i="1" l="1"/>
  <c r="D163" i="1"/>
  <c r="B164" i="1"/>
  <c r="G163" i="1"/>
  <c r="E162" i="1"/>
  <c r="B165" i="1" l="1"/>
  <c r="D164" i="1"/>
  <c r="C164" i="1"/>
  <c r="E164" i="1" s="1"/>
  <c r="G164" i="1"/>
  <c r="E163" i="1"/>
  <c r="G165" i="1" l="1"/>
  <c r="B166" i="1"/>
  <c r="C165" i="1"/>
  <c r="D165" i="1"/>
  <c r="E165" i="1" l="1"/>
  <c r="C166" i="1"/>
  <c r="D166" i="1"/>
  <c r="G166" i="1"/>
  <c r="B167" i="1"/>
  <c r="C167" i="1" l="1"/>
  <c r="E167" i="1" s="1"/>
  <c r="D167" i="1"/>
  <c r="B168" i="1"/>
  <c r="G167" i="1"/>
  <c r="E166" i="1"/>
  <c r="C168" i="1" l="1"/>
  <c r="D168" i="1"/>
  <c r="G168" i="1"/>
  <c r="B169" i="1"/>
  <c r="G169" i="1" l="1"/>
  <c r="B170" i="1"/>
  <c r="C169" i="1"/>
  <c r="D169" i="1"/>
  <c r="E168" i="1"/>
  <c r="E169" i="1" l="1"/>
  <c r="C170" i="1"/>
  <c r="D170" i="1"/>
  <c r="G170" i="1"/>
  <c r="B171" i="1"/>
  <c r="C171" i="1" l="1"/>
  <c r="D171" i="1"/>
  <c r="B172" i="1"/>
  <c r="G171" i="1"/>
  <c r="E170" i="1"/>
  <c r="C172" i="1" l="1"/>
  <c r="D172" i="1"/>
  <c r="G172" i="1"/>
  <c r="B173" i="1"/>
  <c r="E171" i="1"/>
  <c r="G173" i="1" l="1"/>
  <c r="B174" i="1"/>
  <c r="D173" i="1"/>
  <c r="C173" i="1"/>
  <c r="E173" i="1" s="1"/>
  <c r="E172" i="1"/>
  <c r="C174" i="1" l="1"/>
  <c r="D174" i="1"/>
  <c r="G174" i="1"/>
  <c r="B175" i="1"/>
  <c r="C175" i="1" l="1"/>
  <c r="D175" i="1"/>
  <c r="B176" i="1"/>
  <c r="G175" i="1"/>
  <c r="E174" i="1"/>
  <c r="C176" i="1" l="1"/>
  <c r="D176" i="1"/>
  <c r="G176" i="1"/>
  <c r="B177" i="1"/>
  <c r="E175" i="1"/>
  <c r="G177" i="1" l="1"/>
  <c r="B178" i="1"/>
  <c r="C177" i="1"/>
  <c r="D177" i="1"/>
  <c r="E176" i="1"/>
  <c r="E177" i="1" l="1"/>
  <c r="C178" i="1"/>
  <c r="D178" i="1"/>
  <c r="B179" i="1"/>
  <c r="G178" i="1"/>
  <c r="C179" i="1" l="1"/>
  <c r="D179" i="1"/>
  <c r="B180" i="1"/>
  <c r="G179" i="1"/>
  <c r="E178" i="1"/>
  <c r="C180" i="1" l="1"/>
  <c r="D180" i="1"/>
  <c r="G180" i="1"/>
  <c r="B181" i="1"/>
  <c r="E179" i="1"/>
  <c r="G181" i="1" l="1"/>
  <c r="B182" i="1"/>
  <c r="C181" i="1"/>
  <c r="D181" i="1"/>
  <c r="E180" i="1"/>
  <c r="E181" i="1" l="1"/>
  <c r="C182" i="1"/>
  <c r="D182" i="1"/>
  <c r="B183" i="1"/>
  <c r="G182" i="1"/>
  <c r="C183" i="1" l="1"/>
  <c r="D183" i="1"/>
  <c r="B184" i="1"/>
  <c r="G183" i="1"/>
  <c r="E182" i="1"/>
  <c r="C184" i="1" l="1"/>
  <c r="D184" i="1"/>
  <c r="G184" i="1"/>
  <c r="B185" i="1"/>
  <c r="E183" i="1"/>
  <c r="G185" i="1" l="1"/>
  <c r="B186" i="1"/>
  <c r="C185" i="1"/>
  <c r="D185" i="1"/>
  <c r="E184" i="1"/>
  <c r="E185" i="1" l="1"/>
  <c r="C186" i="1"/>
  <c r="D186" i="1"/>
  <c r="B187" i="1"/>
  <c r="G186" i="1"/>
  <c r="C187" i="1" l="1"/>
  <c r="D187" i="1"/>
  <c r="G187" i="1"/>
  <c r="B188" i="1"/>
  <c r="E186" i="1"/>
  <c r="C188" i="1" l="1"/>
  <c r="D188" i="1"/>
  <c r="G188" i="1"/>
  <c r="B189" i="1"/>
  <c r="E187" i="1"/>
  <c r="G189" i="1" l="1"/>
  <c r="B190" i="1"/>
  <c r="C189" i="1"/>
  <c r="D189" i="1"/>
  <c r="E188" i="1"/>
  <c r="E189" i="1" l="1"/>
  <c r="C190" i="1"/>
  <c r="D190" i="1"/>
  <c r="B191" i="1"/>
  <c r="G190" i="1"/>
  <c r="C191" i="1" l="1"/>
  <c r="D191" i="1"/>
  <c r="G191" i="1"/>
  <c r="B192" i="1"/>
  <c r="E190" i="1"/>
  <c r="C192" i="1" l="1"/>
  <c r="D192" i="1"/>
  <c r="G192" i="1"/>
  <c r="B193" i="1"/>
  <c r="E191" i="1"/>
  <c r="G193" i="1" l="1"/>
  <c r="B194" i="1"/>
  <c r="C193" i="1"/>
  <c r="D193" i="1"/>
  <c r="E192" i="1"/>
  <c r="C194" i="1" l="1"/>
  <c r="D194" i="1"/>
  <c r="B195" i="1"/>
  <c r="G194" i="1"/>
  <c r="E193" i="1"/>
  <c r="C195" i="1" l="1"/>
  <c r="D195" i="1"/>
  <c r="G195" i="1"/>
  <c r="B196" i="1"/>
  <c r="E194" i="1"/>
  <c r="D196" i="1" l="1"/>
  <c r="G196" i="1"/>
  <c r="B197" i="1"/>
  <c r="C196" i="1"/>
  <c r="E196" i="1" s="1"/>
  <c r="E195" i="1"/>
  <c r="G197" i="1" l="1"/>
  <c r="B198" i="1"/>
  <c r="C197" i="1"/>
  <c r="D197" i="1"/>
  <c r="E197" i="1" l="1"/>
  <c r="C198" i="1"/>
  <c r="D198" i="1"/>
  <c r="B199" i="1"/>
  <c r="G198" i="1"/>
  <c r="C199" i="1" l="1"/>
  <c r="D199" i="1"/>
  <c r="B200" i="1"/>
  <c r="G199" i="1"/>
  <c r="E198" i="1"/>
  <c r="C200" i="1" l="1"/>
  <c r="D200" i="1"/>
  <c r="G200" i="1"/>
  <c r="B201" i="1"/>
  <c r="E199" i="1"/>
  <c r="G201" i="1" l="1"/>
  <c r="B202" i="1"/>
  <c r="D201" i="1"/>
  <c r="C201" i="1"/>
  <c r="E200" i="1"/>
  <c r="E201" i="1" l="1"/>
  <c r="C202" i="1"/>
  <c r="D202" i="1"/>
  <c r="B203" i="1"/>
  <c r="G202" i="1"/>
  <c r="C203" i="1" l="1"/>
  <c r="D203" i="1"/>
  <c r="G203" i="1"/>
  <c r="B204" i="1"/>
  <c r="E202" i="1"/>
  <c r="C204" i="1" l="1"/>
  <c r="D204" i="1"/>
  <c r="G204" i="1"/>
  <c r="B205" i="1"/>
  <c r="E203" i="1"/>
  <c r="G205" i="1" l="1"/>
  <c r="B206" i="1"/>
  <c r="C205" i="1"/>
  <c r="D205" i="1"/>
  <c r="E204" i="1"/>
  <c r="E205" i="1" l="1"/>
  <c r="C206" i="1"/>
  <c r="D206" i="1"/>
  <c r="B207" i="1"/>
  <c r="G206" i="1"/>
  <c r="C207" i="1" l="1"/>
  <c r="D207" i="1"/>
  <c r="G207" i="1"/>
  <c r="B208" i="1"/>
  <c r="E206" i="1"/>
  <c r="C208" i="1" l="1"/>
  <c r="D208" i="1"/>
  <c r="G208" i="1"/>
  <c r="B209" i="1"/>
  <c r="E207" i="1"/>
  <c r="G209" i="1" l="1"/>
  <c r="B210" i="1"/>
  <c r="C209" i="1"/>
  <c r="D209" i="1"/>
  <c r="E208" i="1"/>
  <c r="E209" i="1" l="1"/>
  <c r="C210" i="1"/>
  <c r="D210" i="1"/>
  <c r="B211" i="1"/>
  <c r="G210" i="1"/>
  <c r="E210" i="1" l="1"/>
  <c r="C211" i="1"/>
  <c r="D211" i="1"/>
  <c r="G211" i="1"/>
  <c r="B212" i="1"/>
  <c r="C212" i="1" l="1"/>
  <c r="G212" i="1"/>
  <c r="B213" i="1"/>
  <c r="D212" i="1"/>
  <c r="E211" i="1"/>
  <c r="G213" i="1" l="1"/>
  <c r="B214" i="1"/>
  <c r="C213" i="1"/>
  <c r="D213" i="1"/>
  <c r="E212" i="1"/>
  <c r="E213" i="1" l="1"/>
  <c r="C214" i="1"/>
  <c r="D214" i="1"/>
  <c r="B215" i="1"/>
  <c r="G214" i="1"/>
  <c r="C215" i="1" l="1"/>
  <c r="B216" i="1"/>
  <c r="D215" i="1"/>
  <c r="G215" i="1"/>
  <c r="E214" i="1"/>
  <c r="C216" i="1" l="1"/>
  <c r="D216" i="1"/>
  <c r="G216" i="1"/>
  <c r="B217" i="1"/>
  <c r="E215" i="1"/>
  <c r="G217" i="1" l="1"/>
  <c r="B218" i="1"/>
  <c r="C217" i="1"/>
  <c r="D217" i="1"/>
  <c r="E216" i="1"/>
  <c r="E217" i="1" l="1"/>
  <c r="C218" i="1"/>
  <c r="D218" i="1"/>
  <c r="B219" i="1"/>
  <c r="G218" i="1"/>
  <c r="C219" i="1" l="1"/>
  <c r="D219" i="1"/>
  <c r="G219" i="1"/>
  <c r="B220" i="1"/>
  <c r="E218" i="1"/>
  <c r="C220" i="1" l="1"/>
  <c r="D220" i="1"/>
  <c r="G220" i="1"/>
  <c r="B221" i="1"/>
  <c r="E219" i="1"/>
  <c r="G221" i="1" l="1"/>
  <c r="B222" i="1"/>
  <c r="D221" i="1"/>
  <c r="C221" i="1"/>
  <c r="E221" i="1" s="1"/>
  <c r="E220" i="1"/>
  <c r="C222" i="1" l="1"/>
  <c r="D222" i="1"/>
  <c r="B223" i="1"/>
  <c r="G222" i="1"/>
  <c r="C223" i="1" l="1"/>
  <c r="D223" i="1"/>
  <c r="G223" i="1"/>
  <c r="B224" i="1"/>
  <c r="E222" i="1"/>
  <c r="C224" i="1" l="1"/>
  <c r="D224" i="1"/>
  <c r="G224" i="1"/>
  <c r="B225" i="1"/>
  <c r="E223" i="1"/>
  <c r="G225" i="1" l="1"/>
  <c r="B226" i="1"/>
  <c r="C225" i="1"/>
  <c r="D225" i="1"/>
  <c r="E224" i="1"/>
  <c r="E225" i="1" l="1"/>
  <c r="C226" i="1"/>
  <c r="D226" i="1"/>
  <c r="B227" i="1"/>
  <c r="G226" i="1"/>
  <c r="E226" i="1" l="1"/>
  <c r="C227" i="1"/>
  <c r="G227" i="1"/>
  <c r="B228" i="1"/>
  <c r="D227" i="1"/>
  <c r="C228" i="1" l="1"/>
  <c r="D228" i="1"/>
  <c r="G228" i="1"/>
  <c r="B229" i="1"/>
  <c r="E227" i="1"/>
  <c r="G229" i="1" l="1"/>
  <c r="B230" i="1"/>
  <c r="C229" i="1"/>
  <c r="D229" i="1"/>
  <c r="E228" i="1"/>
  <c r="E229" i="1" l="1"/>
  <c r="C230" i="1"/>
  <c r="D230" i="1"/>
  <c r="B231" i="1"/>
  <c r="G230" i="1"/>
  <c r="C231" i="1" l="1"/>
  <c r="G231" i="1"/>
  <c r="B232" i="1"/>
  <c r="D231" i="1"/>
  <c r="E230" i="1"/>
  <c r="C232" i="1" l="1"/>
  <c r="D232" i="1"/>
  <c r="G232" i="1"/>
  <c r="B233" i="1"/>
  <c r="E231" i="1"/>
  <c r="G233" i="1" l="1"/>
  <c r="B234" i="1"/>
  <c r="C233" i="1"/>
  <c r="D233" i="1"/>
  <c r="E232" i="1"/>
  <c r="C234" i="1" l="1"/>
  <c r="E234" i="1" s="1"/>
  <c r="D234" i="1"/>
  <c r="G234" i="1"/>
  <c r="B235" i="1"/>
  <c r="E233" i="1"/>
  <c r="H233" i="1"/>
  <c r="C235" i="1" l="1"/>
  <c r="E235" i="1" s="1"/>
  <c r="D235" i="1"/>
  <c r="G235" i="1"/>
  <c r="H235" i="1" s="1"/>
  <c r="B236" i="1"/>
  <c r="H234" i="1"/>
  <c r="B237" i="1" l="1"/>
  <c r="C236" i="1"/>
  <c r="D236" i="1"/>
  <c r="G236" i="1"/>
  <c r="E236" i="1" l="1"/>
  <c r="H236" i="1"/>
  <c r="C237" i="1"/>
  <c r="D237" i="1"/>
  <c r="G237" i="1"/>
  <c r="B238" i="1"/>
  <c r="C238" i="1" l="1"/>
  <c r="D238" i="1"/>
  <c r="G238" i="1"/>
  <c r="B239" i="1"/>
  <c r="E237" i="1"/>
  <c r="C239" i="1" l="1"/>
  <c r="D239" i="1"/>
  <c r="G239" i="1"/>
  <c r="B240" i="1"/>
  <c r="E238" i="1"/>
  <c r="B241" i="1" l="1"/>
  <c r="C240" i="1"/>
  <c r="D240" i="1"/>
  <c r="G240" i="1"/>
  <c r="E239" i="1"/>
  <c r="E240" i="1" l="1"/>
  <c r="C241" i="1"/>
  <c r="D241" i="1"/>
  <c r="G241" i="1"/>
  <c r="B242" i="1"/>
  <c r="C242" i="1" l="1"/>
  <c r="D242" i="1"/>
  <c r="G242" i="1"/>
  <c r="B243" i="1"/>
  <c r="E241" i="1"/>
  <c r="C243" i="1" l="1"/>
  <c r="B244" i="1"/>
  <c r="D243" i="1"/>
  <c r="G243" i="1"/>
  <c r="E242" i="1"/>
  <c r="B245" i="1" l="1"/>
  <c r="D244" i="1"/>
  <c r="G244" i="1"/>
  <c r="C244" i="1"/>
  <c r="E244" i="1" s="1"/>
  <c r="E243" i="1"/>
  <c r="C245" i="1" l="1"/>
  <c r="D245" i="1"/>
  <c r="G245" i="1"/>
  <c r="B246" i="1"/>
  <c r="C246" i="1" l="1"/>
  <c r="D246" i="1"/>
  <c r="G246" i="1"/>
  <c r="B247" i="1"/>
  <c r="E245" i="1"/>
  <c r="D247" i="1" l="1"/>
  <c r="G247" i="1"/>
  <c r="B248" i="1"/>
  <c r="C247" i="1"/>
  <c r="E247" i="1" s="1"/>
  <c r="E246" i="1"/>
  <c r="B249" i="1" l="1"/>
  <c r="C248" i="1"/>
  <c r="D248" i="1"/>
  <c r="G248" i="1"/>
  <c r="E248" i="1" l="1"/>
  <c r="C249" i="1"/>
  <c r="D249" i="1"/>
  <c r="G249" i="1"/>
  <c r="B250" i="1"/>
  <c r="D250" i="1" l="1"/>
  <c r="G250" i="1"/>
  <c r="B251" i="1"/>
  <c r="C250" i="1"/>
  <c r="E250" i="1" s="1"/>
  <c r="E249" i="1"/>
  <c r="C251" i="1" l="1"/>
  <c r="D251" i="1"/>
  <c r="G251" i="1"/>
  <c r="B252" i="1"/>
  <c r="B253" i="1" l="1"/>
  <c r="D252" i="1"/>
  <c r="G252" i="1"/>
  <c r="C252" i="1"/>
  <c r="E252" i="1" s="1"/>
  <c r="E251" i="1"/>
  <c r="C253" i="1" l="1"/>
  <c r="D253" i="1"/>
  <c r="G253" i="1"/>
  <c r="B254" i="1"/>
  <c r="D254" i="1" l="1"/>
  <c r="C254" i="1"/>
  <c r="E254" i="1" s="1"/>
  <c r="G254" i="1"/>
  <c r="B255" i="1"/>
  <c r="E253" i="1"/>
  <c r="C255" i="1" l="1"/>
  <c r="D255" i="1"/>
  <c r="G255" i="1"/>
  <c r="B256" i="1"/>
  <c r="B257" i="1" l="1"/>
  <c r="C256" i="1"/>
  <c r="D256" i="1"/>
  <c r="G256" i="1"/>
  <c r="E255" i="1"/>
  <c r="E256" i="1" l="1"/>
  <c r="C257" i="1"/>
  <c r="D257" i="1"/>
  <c r="G257" i="1"/>
  <c r="B258" i="1"/>
  <c r="C258" i="1" l="1"/>
  <c r="D258" i="1"/>
  <c r="B259" i="1"/>
  <c r="G258" i="1"/>
  <c r="E257" i="1"/>
  <c r="B260" i="1" l="1"/>
  <c r="G259" i="1"/>
  <c r="C259" i="1"/>
  <c r="D259" i="1"/>
  <c r="E258" i="1"/>
  <c r="E259" i="1" l="1"/>
  <c r="B261" i="1"/>
  <c r="C260" i="1"/>
  <c r="D260" i="1"/>
  <c r="G260" i="1"/>
  <c r="E260" i="1" l="1"/>
  <c r="C261" i="1"/>
  <c r="D261" i="1"/>
  <c r="G261" i="1"/>
  <c r="B262" i="1"/>
  <c r="C262" i="1" l="1"/>
  <c r="E262" i="1" s="1"/>
  <c r="D262" i="1"/>
  <c r="G262" i="1"/>
  <c r="B263" i="1"/>
  <c r="E261" i="1"/>
  <c r="C263" i="1" l="1"/>
  <c r="D263" i="1"/>
  <c r="G263" i="1"/>
  <c r="B264" i="1"/>
  <c r="B265" i="1" l="1"/>
  <c r="G264" i="1"/>
  <c r="C264" i="1"/>
  <c r="D264" i="1"/>
  <c r="E263" i="1"/>
  <c r="E264" i="1" l="1"/>
  <c r="C265" i="1"/>
  <c r="D265" i="1"/>
  <c r="G265" i="1"/>
  <c r="B266" i="1"/>
  <c r="C266" i="1" l="1"/>
  <c r="D266" i="1"/>
  <c r="G266" i="1"/>
  <c r="B267" i="1"/>
  <c r="E265" i="1"/>
  <c r="C267" i="1" l="1"/>
  <c r="G267" i="1"/>
  <c r="B268" i="1"/>
  <c r="D267" i="1"/>
  <c r="E266" i="1"/>
  <c r="B269" i="1" l="1"/>
  <c r="C268" i="1"/>
  <c r="D268" i="1"/>
  <c r="G268" i="1"/>
  <c r="E267" i="1"/>
  <c r="E268" i="1" l="1"/>
  <c r="C269" i="1"/>
  <c r="D269" i="1"/>
  <c r="G269" i="1"/>
  <c r="B270" i="1"/>
  <c r="D270" i="1" l="1"/>
  <c r="G270" i="1"/>
  <c r="B271" i="1"/>
  <c r="C270" i="1"/>
  <c r="E270" i="1" s="1"/>
  <c r="E269" i="1"/>
  <c r="C271" i="1" l="1"/>
  <c r="D271" i="1"/>
  <c r="G271" i="1"/>
  <c r="B272" i="1"/>
  <c r="B273" i="1" l="1"/>
  <c r="D272" i="1"/>
  <c r="G272" i="1"/>
  <c r="C272" i="1"/>
  <c r="E272" i="1" s="1"/>
  <c r="E271" i="1"/>
  <c r="C273" i="1" l="1"/>
  <c r="D273" i="1"/>
  <c r="G273" i="1"/>
  <c r="B274" i="1"/>
  <c r="B275" i="1" l="1"/>
  <c r="G274" i="1"/>
  <c r="C274" i="1"/>
  <c r="D274" i="1"/>
  <c r="E273" i="1"/>
  <c r="E274" i="1" l="1"/>
  <c r="C275" i="1"/>
  <c r="D275" i="1"/>
  <c r="G275" i="1"/>
  <c r="B276" i="1"/>
  <c r="B277" i="1" l="1"/>
  <c r="C276" i="1"/>
  <c r="D276" i="1"/>
  <c r="G276" i="1"/>
  <c r="E275" i="1"/>
  <c r="E276" i="1" l="1"/>
  <c r="C277" i="1"/>
  <c r="D277" i="1"/>
  <c r="G277" i="1"/>
  <c r="B278" i="1"/>
  <c r="C278" i="1" l="1"/>
  <c r="D278" i="1"/>
  <c r="G278" i="1"/>
  <c r="B279" i="1"/>
  <c r="E277" i="1"/>
  <c r="B280" i="1" l="1"/>
  <c r="C279" i="1"/>
  <c r="D279" i="1"/>
  <c r="G279" i="1"/>
  <c r="E278" i="1"/>
  <c r="E279" i="1" l="1"/>
  <c r="B281" i="1"/>
  <c r="C280" i="1"/>
  <c r="D280" i="1"/>
  <c r="G280" i="1"/>
  <c r="E280" i="1" l="1"/>
  <c r="C281" i="1"/>
  <c r="D281" i="1"/>
  <c r="G281" i="1"/>
  <c r="B282" i="1"/>
  <c r="C282" i="1" l="1"/>
  <c r="D282" i="1"/>
  <c r="G282" i="1"/>
  <c r="B283" i="1"/>
  <c r="E281" i="1"/>
  <c r="C283" i="1" l="1"/>
  <c r="D283" i="1"/>
  <c r="G283" i="1"/>
  <c r="B284" i="1"/>
  <c r="E282" i="1"/>
  <c r="B285" i="1" l="1"/>
  <c r="G284" i="1"/>
  <c r="C284" i="1"/>
  <c r="D284" i="1"/>
  <c r="E283" i="1"/>
  <c r="E284" i="1" l="1"/>
  <c r="C285" i="1"/>
  <c r="G285" i="1"/>
  <c r="D285" i="1"/>
  <c r="B286" i="1"/>
  <c r="C286" i="1" l="1"/>
  <c r="D286" i="1"/>
  <c r="G286" i="1"/>
  <c r="B287" i="1"/>
  <c r="E285" i="1"/>
  <c r="D287" i="1" l="1"/>
  <c r="G287" i="1"/>
  <c r="B288" i="1"/>
  <c r="C287" i="1"/>
  <c r="E286" i="1"/>
  <c r="E287" i="1" l="1"/>
  <c r="B289" i="1"/>
  <c r="G288" i="1"/>
  <c r="C288" i="1"/>
  <c r="D288" i="1"/>
  <c r="E288" i="1" l="1"/>
  <c r="C289" i="1"/>
  <c r="G289" i="1"/>
  <c r="B290" i="1"/>
  <c r="D289" i="1"/>
  <c r="C290" i="1" l="1"/>
  <c r="D290" i="1"/>
  <c r="G290" i="1"/>
  <c r="B291" i="1"/>
  <c r="E289" i="1"/>
  <c r="C291" i="1" l="1"/>
  <c r="D291" i="1"/>
  <c r="B292" i="1"/>
  <c r="G291" i="1"/>
  <c r="E290" i="1"/>
  <c r="B293" i="1" l="1"/>
  <c r="C292" i="1"/>
  <c r="D292" i="1"/>
  <c r="G292" i="1"/>
  <c r="E291" i="1"/>
  <c r="E292" i="1" l="1"/>
  <c r="C293" i="1"/>
  <c r="G293" i="1"/>
  <c r="D293" i="1"/>
  <c r="B294" i="1"/>
  <c r="G294" i="1" l="1"/>
  <c r="B295" i="1"/>
  <c r="C294" i="1"/>
  <c r="D294" i="1"/>
  <c r="E293" i="1"/>
  <c r="E294" i="1" l="1"/>
  <c r="C295" i="1"/>
  <c r="D295" i="1"/>
  <c r="G295" i="1"/>
  <c r="B296" i="1"/>
  <c r="B297" i="1" l="1"/>
  <c r="C296" i="1"/>
  <c r="G296" i="1"/>
  <c r="D296" i="1"/>
  <c r="E295" i="1"/>
  <c r="E296" i="1" l="1"/>
  <c r="C297" i="1"/>
  <c r="G297" i="1"/>
  <c r="D297" i="1"/>
  <c r="B298" i="1"/>
  <c r="B299" i="1" l="1"/>
  <c r="C298" i="1"/>
  <c r="D298" i="1"/>
  <c r="G298" i="1"/>
  <c r="E297" i="1"/>
  <c r="E298" i="1" l="1"/>
  <c r="C299" i="1"/>
  <c r="D299" i="1"/>
  <c r="G299" i="1"/>
  <c r="B300" i="1"/>
  <c r="B301" i="1" l="1"/>
  <c r="C300" i="1"/>
  <c r="D300" i="1"/>
  <c r="G300" i="1"/>
  <c r="E299" i="1"/>
  <c r="E300" i="1" l="1"/>
  <c r="C301" i="1"/>
  <c r="G301" i="1"/>
  <c r="B302" i="1"/>
  <c r="D301" i="1"/>
  <c r="C302" i="1" l="1"/>
  <c r="D302" i="1"/>
  <c r="G302" i="1"/>
  <c r="B303" i="1"/>
  <c r="E301" i="1"/>
  <c r="G303" i="1" l="1"/>
  <c r="B304" i="1"/>
  <c r="C303" i="1"/>
  <c r="D303" i="1"/>
  <c r="E302" i="1"/>
  <c r="E303" i="1" l="1"/>
  <c r="B305" i="1"/>
  <c r="C304" i="1"/>
  <c r="D304" i="1"/>
  <c r="G304" i="1"/>
  <c r="E304" i="1" l="1"/>
  <c r="C305" i="1"/>
  <c r="D305" i="1"/>
  <c r="G305" i="1"/>
  <c r="B306" i="1"/>
  <c r="C306" i="1" l="1"/>
  <c r="D306" i="1"/>
  <c r="G306" i="1"/>
  <c r="B307" i="1"/>
  <c r="E305" i="1"/>
  <c r="C307" i="1" l="1"/>
  <c r="D307" i="1"/>
  <c r="G307" i="1"/>
  <c r="B308" i="1"/>
  <c r="E306" i="1"/>
  <c r="B309" i="1" l="1"/>
  <c r="C308" i="1"/>
  <c r="D308" i="1"/>
  <c r="G308" i="1"/>
  <c r="E307" i="1"/>
  <c r="E308" i="1" l="1"/>
  <c r="C309" i="1"/>
  <c r="D309" i="1"/>
  <c r="G309" i="1"/>
  <c r="B310" i="1"/>
  <c r="C310" i="1" l="1"/>
  <c r="G310" i="1"/>
  <c r="D310" i="1"/>
  <c r="B311" i="1"/>
  <c r="E309" i="1"/>
  <c r="D311" i="1" l="1"/>
  <c r="B312" i="1"/>
  <c r="C311" i="1"/>
  <c r="E311" i="1" s="1"/>
  <c r="G311" i="1"/>
  <c r="E310" i="1"/>
  <c r="B313" i="1" l="1"/>
  <c r="G312" i="1"/>
  <c r="D312" i="1"/>
  <c r="C312" i="1"/>
  <c r="E312" i="1" s="1"/>
  <c r="C313" i="1" l="1"/>
  <c r="D313" i="1"/>
  <c r="G313" i="1"/>
  <c r="B314" i="1"/>
  <c r="C314" i="1" l="1"/>
  <c r="D314" i="1"/>
  <c r="B315" i="1"/>
  <c r="G314" i="1"/>
  <c r="E313" i="1"/>
  <c r="C315" i="1" l="1"/>
  <c r="D315" i="1"/>
  <c r="G315" i="1"/>
  <c r="B316" i="1"/>
  <c r="E314" i="1"/>
  <c r="B317" i="1" l="1"/>
  <c r="G316" i="1"/>
  <c r="C316" i="1"/>
  <c r="D316" i="1"/>
  <c r="E315" i="1"/>
  <c r="E316" i="1" l="1"/>
  <c r="C317" i="1"/>
  <c r="D317" i="1"/>
  <c r="G317" i="1"/>
  <c r="B318" i="1"/>
  <c r="C318" i="1" l="1"/>
  <c r="D318" i="1"/>
  <c r="G318" i="1"/>
  <c r="B319" i="1"/>
  <c r="E317" i="1"/>
  <c r="D319" i="1" l="1"/>
  <c r="C319" i="1"/>
  <c r="E319" i="1" s="1"/>
  <c r="G319" i="1"/>
  <c r="B320" i="1"/>
  <c r="E318" i="1"/>
  <c r="B321" i="1" l="1"/>
  <c r="C320" i="1"/>
  <c r="D320" i="1"/>
  <c r="G320" i="1"/>
  <c r="E320" i="1" l="1"/>
  <c r="C321" i="1"/>
  <c r="G321" i="1"/>
  <c r="B322" i="1"/>
  <c r="D321" i="1"/>
  <c r="C322" i="1" l="1"/>
  <c r="D322" i="1"/>
  <c r="G322" i="1"/>
  <c r="B323" i="1"/>
  <c r="E321" i="1"/>
  <c r="C323" i="1" l="1"/>
  <c r="D323" i="1"/>
  <c r="G323" i="1"/>
  <c r="B324" i="1"/>
  <c r="E322" i="1"/>
  <c r="B325" i="1" l="1"/>
  <c r="C324" i="1"/>
  <c r="D324" i="1"/>
  <c r="G324" i="1"/>
  <c r="E323" i="1"/>
  <c r="E324" i="1" l="1"/>
  <c r="C325" i="1"/>
  <c r="D325" i="1"/>
  <c r="G325" i="1"/>
  <c r="B326" i="1"/>
  <c r="C326" i="1" l="1"/>
  <c r="D326" i="1"/>
  <c r="G326" i="1"/>
  <c r="B327" i="1"/>
  <c r="E325" i="1"/>
  <c r="C327" i="1" l="1"/>
  <c r="D327" i="1"/>
  <c r="G327" i="1"/>
  <c r="B328" i="1"/>
  <c r="E326" i="1"/>
  <c r="B329" i="1" l="1"/>
  <c r="C328" i="1"/>
  <c r="D328" i="1"/>
  <c r="G328" i="1"/>
  <c r="E327" i="1"/>
  <c r="E328" i="1" l="1"/>
  <c r="C329" i="1"/>
  <c r="D329" i="1"/>
  <c r="G329" i="1"/>
  <c r="B330" i="1"/>
  <c r="G330" i="1" l="1"/>
  <c r="B331" i="1"/>
  <c r="C330" i="1"/>
  <c r="D330" i="1"/>
  <c r="E329" i="1"/>
  <c r="E330" i="1" l="1"/>
  <c r="C331" i="1"/>
  <c r="D331" i="1"/>
  <c r="G331" i="1"/>
  <c r="B332" i="1"/>
  <c r="B333" i="1" l="1"/>
  <c r="C332" i="1"/>
  <c r="G332" i="1"/>
  <c r="D332" i="1"/>
  <c r="E331" i="1"/>
  <c r="E332" i="1" l="1"/>
  <c r="C333" i="1"/>
  <c r="G333" i="1"/>
  <c r="B334" i="1"/>
  <c r="D333" i="1"/>
  <c r="B335" i="1" l="1"/>
  <c r="C334" i="1"/>
  <c r="D334" i="1"/>
  <c r="G334" i="1"/>
  <c r="E333" i="1"/>
  <c r="E334" i="1" l="1"/>
  <c r="C335" i="1"/>
  <c r="D335" i="1"/>
  <c r="G335" i="1"/>
  <c r="B336" i="1"/>
  <c r="B337" i="1" l="1"/>
  <c r="C336" i="1"/>
  <c r="D336" i="1"/>
  <c r="G336" i="1"/>
  <c r="E335" i="1"/>
  <c r="E336" i="1" l="1"/>
  <c r="C337" i="1"/>
  <c r="D337" i="1"/>
  <c r="G337" i="1"/>
  <c r="B338" i="1"/>
  <c r="C338" i="1" l="1"/>
  <c r="D338" i="1"/>
  <c r="G338" i="1"/>
  <c r="B339" i="1"/>
  <c r="E337" i="1"/>
  <c r="D339" i="1" l="1"/>
  <c r="G339" i="1"/>
  <c r="B340" i="1"/>
  <c r="C339" i="1"/>
  <c r="E339" i="1" s="1"/>
  <c r="E338" i="1"/>
  <c r="B341" i="1" l="1"/>
  <c r="C340" i="1"/>
  <c r="D340" i="1"/>
  <c r="G340" i="1"/>
  <c r="E340" i="1" l="1"/>
  <c r="C341" i="1"/>
  <c r="D341" i="1"/>
  <c r="G341" i="1"/>
  <c r="B342" i="1"/>
  <c r="B343" i="1" l="1"/>
  <c r="G342" i="1"/>
  <c r="C342" i="1"/>
  <c r="D342" i="1"/>
  <c r="E341" i="1"/>
  <c r="E342" i="1" l="1"/>
  <c r="G343" i="1"/>
  <c r="B344" i="1"/>
  <c r="C343" i="1"/>
  <c r="D343" i="1"/>
  <c r="E343" i="1" l="1"/>
  <c r="B345" i="1"/>
  <c r="C344" i="1"/>
  <c r="D344" i="1"/>
  <c r="G344" i="1"/>
  <c r="E344" i="1" l="1"/>
  <c r="C345" i="1"/>
  <c r="D345" i="1"/>
  <c r="G345" i="1"/>
  <c r="B346" i="1"/>
  <c r="C346" i="1" l="1"/>
  <c r="D346" i="1"/>
  <c r="G346" i="1"/>
  <c r="B347" i="1"/>
  <c r="E345" i="1"/>
  <c r="C347" i="1" l="1"/>
  <c r="D347" i="1"/>
  <c r="G347" i="1"/>
  <c r="B348" i="1"/>
  <c r="E346" i="1"/>
  <c r="C348" i="1" l="1"/>
  <c r="D348" i="1"/>
  <c r="G348" i="1"/>
  <c r="B349" i="1"/>
  <c r="E347" i="1"/>
  <c r="C349" i="1" l="1"/>
  <c r="D349" i="1"/>
  <c r="G349" i="1"/>
  <c r="B350" i="1"/>
  <c r="E348" i="1"/>
  <c r="C350" i="1" l="1"/>
  <c r="D350" i="1"/>
  <c r="G350" i="1"/>
  <c r="B351" i="1"/>
  <c r="E349" i="1"/>
  <c r="G351" i="1" l="1"/>
  <c r="D351" i="1"/>
  <c r="B352" i="1"/>
  <c r="C351" i="1"/>
  <c r="E351" i="1" s="1"/>
  <c r="E350" i="1"/>
  <c r="C352" i="1" l="1"/>
  <c r="D352" i="1"/>
  <c r="G352" i="1"/>
  <c r="B353" i="1"/>
  <c r="C353" i="1" l="1"/>
  <c r="D353" i="1"/>
  <c r="G353" i="1"/>
  <c r="B354" i="1"/>
  <c r="E352" i="1"/>
  <c r="C354" i="1" l="1"/>
  <c r="D354" i="1"/>
  <c r="G354" i="1"/>
  <c r="B355" i="1"/>
  <c r="E353" i="1"/>
  <c r="D355" i="1" l="1"/>
  <c r="C355" i="1"/>
  <c r="E355" i="1" s="1"/>
  <c r="G355" i="1"/>
  <c r="B356" i="1"/>
  <c r="E354" i="1"/>
  <c r="C356" i="1" l="1"/>
  <c r="D356" i="1"/>
  <c r="G356" i="1"/>
  <c r="B357" i="1"/>
  <c r="C357" i="1" l="1"/>
  <c r="D357" i="1"/>
  <c r="G357" i="1"/>
  <c r="B358" i="1"/>
  <c r="E356" i="1"/>
  <c r="B359" i="1" l="1"/>
  <c r="C358" i="1"/>
  <c r="D358" i="1"/>
  <c r="G358" i="1"/>
  <c r="E357" i="1"/>
  <c r="E358" i="1" l="1"/>
  <c r="D359" i="1"/>
  <c r="G359" i="1"/>
  <c r="B360" i="1"/>
  <c r="C359" i="1"/>
  <c r="E359" i="1" s="1"/>
  <c r="C360" i="1" l="1"/>
  <c r="D360" i="1"/>
  <c r="G360" i="1"/>
  <c r="B361" i="1"/>
  <c r="C361" i="1" l="1"/>
  <c r="D361" i="1"/>
  <c r="G361" i="1"/>
  <c r="B362" i="1"/>
  <c r="E360" i="1"/>
  <c r="C362" i="1" l="1"/>
  <c r="D362" i="1"/>
  <c r="B363" i="1"/>
  <c r="G362" i="1"/>
  <c r="E361" i="1"/>
  <c r="C363" i="1" l="1"/>
  <c r="D363" i="1"/>
  <c r="G363" i="1"/>
  <c r="B364" i="1"/>
  <c r="E362" i="1"/>
  <c r="C364" i="1" l="1"/>
  <c r="D364" i="1"/>
  <c r="G364" i="1"/>
  <c r="B365" i="1"/>
  <c r="E363" i="1"/>
  <c r="C365" i="1" l="1"/>
  <c r="D365" i="1"/>
  <c r="G365" i="1"/>
  <c r="B366" i="1"/>
  <c r="E364" i="1"/>
  <c r="B367" i="1" l="1"/>
  <c r="G366" i="1"/>
  <c r="C366" i="1"/>
  <c r="D366" i="1"/>
  <c r="E365" i="1"/>
  <c r="E366" i="1" l="1"/>
  <c r="C367" i="1"/>
  <c r="D367" i="1"/>
  <c r="G367" i="1"/>
  <c r="B368" i="1"/>
  <c r="C368" i="1" l="1"/>
  <c r="D368" i="1"/>
  <c r="G368" i="1"/>
  <c r="B369" i="1"/>
  <c r="E367" i="1"/>
  <c r="C369" i="1" l="1"/>
  <c r="D369" i="1"/>
  <c r="G369" i="1"/>
  <c r="B370" i="1"/>
  <c r="E368" i="1"/>
  <c r="C370" i="1" l="1"/>
  <c r="D370" i="1"/>
  <c r="G370" i="1"/>
  <c r="B371" i="1"/>
  <c r="E369" i="1"/>
  <c r="G371" i="1" l="1"/>
  <c r="C371" i="1"/>
  <c r="D371" i="1"/>
  <c r="B372" i="1"/>
  <c r="E370" i="1"/>
  <c r="C372" i="1" l="1"/>
  <c r="D372" i="1"/>
  <c r="G372" i="1"/>
  <c r="B373" i="1"/>
  <c r="E371" i="1"/>
  <c r="C373" i="1" l="1"/>
  <c r="D373" i="1"/>
  <c r="G373" i="1"/>
  <c r="B374" i="1"/>
  <c r="E372" i="1"/>
  <c r="G374" i="1" l="1"/>
  <c r="B375" i="1"/>
  <c r="C374" i="1"/>
  <c r="D374" i="1"/>
  <c r="E373" i="1"/>
  <c r="E374" i="1" l="1"/>
  <c r="C375" i="1"/>
  <c r="D375" i="1"/>
  <c r="G375" i="1"/>
  <c r="B376" i="1"/>
  <c r="C376" i="1" l="1"/>
  <c r="D376" i="1"/>
  <c r="G376" i="1"/>
  <c r="B377" i="1"/>
  <c r="E375" i="1"/>
  <c r="C377" i="1" l="1"/>
  <c r="D377" i="1"/>
  <c r="G377" i="1"/>
  <c r="B378" i="1"/>
  <c r="E376" i="1"/>
  <c r="C378" i="1" l="1"/>
  <c r="D378" i="1"/>
  <c r="G378" i="1"/>
  <c r="B379" i="1"/>
  <c r="E377" i="1"/>
  <c r="D379" i="1" l="1"/>
  <c r="C379" i="1"/>
  <c r="E379" i="1" s="1"/>
  <c r="B380" i="1"/>
  <c r="G379" i="1"/>
  <c r="E378" i="1"/>
  <c r="C380" i="1" l="1"/>
  <c r="D380" i="1"/>
  <c r="G380" i="1"/>
  <c r="B381" i="1"/>
  <c r="C381" i="1" l="1"/>
  <c r="D381" i="1"/>
  <c r="G381" i="1"/>
  <c r="B382" i="1"/>
  <c r="E380" i="1"/>
  <c r="C382" i="1" l="1"/>
  <c r="D382" i="1"/>
  <c r="G382" i="1"/>
  <c r="B383" i="1"/>
  <c r="E381" i="1"/>
  <c r="B384" i="1" l="1"/>
  <c r="C383" i="1"/>
  <c r="D383" i="1"/>
  <c r="G383" i="1"/>
  <c r="E382" i="1"/>
  <c r="E383" i="1" l="1"/>
  <c r="C384" i="1"/>
  <c r="D384" i="1"/>
  <c r="G384" i="1"/>
  <c r="B385" i="1"/>
  <c r="C385" i="1" l="1"/>
  <c r="D385" i="1"/>
  <c r="G385" i="1"/>
  <c r="B386" i="1"/>
  <c r="E384" i="1"/>
  <c r="C386" i="1" l="1"/>
  <c r="D386" i="1"/>
  <c r="G386" i="1"/>
  <c r="B387" i="1"/>
  <c r="E385" i="1"/>
  <c r="G387" i="1" l="1"/>
  <c r="B388" i="1"/>
  <c r="D387" i="1"/>
  <c r="C387" i="1"/>
  <c r="E387" i="1" s="1"/>
  <c r="E386" i="1"/>
  <c r="C388" i="1" l="1"/>
  <c r="D388" i="1"/>
  <c r="G388" i="1"/>
  <c r="B389" i="1"/>
  <c r="C389" i="1" l="1"/>
  <c r="D389" i="1"/>
  <c r="G389" i="1"/>
  <c r="B390" i="1"/>
  <c r="E388" i="1"/>
  <c r="C390" i="1" l="1"/>
  <c r="D390" i="1"/>
  <c r="G390" i="1"/>
  <c r="B391" i="1"/>
  <c r="E389" i="1"/>
  <c r="C391" i="1" l="1"/>
  <c r="D391" i="1"/>
  <c r="G391" i="1"/>
  <c r="B392" i="1"/>
  <c r="E390" i="1"/>
  <c r="C392" i="1" l="1"/>
  <c r="D392" i="1"/>
  <c r="G392" i="1"/>
  <c r="B393" i="1"/>
  <c r="E391" i="1"/>
  <c r="C393" i="1" l="1"/>
  <c r="D393" i="1"/>
  <c r="G393" i="1"/>
  <c r="B394" i="1"/>
  <c r="E392" i="1"/>
  <c r="B395" i="1" l="1"/>
  <c r="G394" i="1"/>
  <c r="C394" i="1"/>
  <c r="D394" i="1"/>
  <c r="E393" i="1"/>
  <c r="E394" i="1" l="1"/>
  <c r="C395" i="1"/>
  <c r="D395" i="1"/>
  <c r="G395" i="1"/>
  <c r="B396" i="1"/>
  <c r="C396" i="1" l="1"/>
  <c r="D396" i="1"/>
  <c r="G396" i="1"/>
  <c r="B397" i="1"/>
  <c r="E395" i="1"/>
  <c r="C397" i="1" l="1"/>
  <c r="D397" i="1"/>
  <c r="G397" i="1"/>
  <c r="B398" i="1"/>
  <c r="E396" i="1"/>
  <c r="D398" i="1" l="1"/>
  <c r="C398" i="1"/>
  <c r="E398" i="1" s="1"/>
  <c r="G398" i="1"/>
  <c r="B399" i="1"/>
  <c r="E397" i="1"/>
  <c r="C399" i="1" l="1"/>
  <c r="D399" i="1"/>
  <c r="G399" i="1"/>
  <c r="B400" i="1"/>
  <c r="C400" i="1" l="1"/>
  <c r="D400" i="1"/>
  <c r="G400" i="1"/>
  <c r="B401" i="1"/>
  <c r="E399" i="1"/>
  <c r="C401" i="1" l="1"/>
  <c r="D401" i="1"/>
  <c r="G401" i="1"/>
  <c r="B402" i="1"/>
  <c r="E400" i="1"/>
  <c r="C402" i="1" l="1"/>
  <c r="D402" i="1"/>
  <c r="G402" i="1"/>
  <c r="B403" i="1"/>
  <c r="E401" i="1"/>
  <c r="B404" i="1" l="1"/>
  <c r="C403" i="1"/>
  <c r="D403" i="1"/>
  <c r="G403" i="1"/>
  <c r="E402" i="1"/>
  <c r="E403" i="1" l="1"/>
  <c r="C404" i="1"/>
  <c r="G404" i="1"/>
  <c r="D404" i="1"/>
  <c r="B405" i="1"/>
  <c r="D405" i="1" l="1"/>
  <c r="G405" i="1"/>
  <c r="C405" i="1"/>
  <c r="E405" i="1" s="1"/>
  <c r="B406" i="1"/>
  <c r="E404" i="1"/>
  <c r="C406" i="1" l="1"/>
  <c r="D406" i="1"/>
  <c r="G406" i="1"/>
  <c r="B407" i="1"/>
  <c r="G407" i="1" l="1"/>
  <c r="B408" i="1"/>
  <c r="D407" i="1"/>
  <c r="C407" i="1"/>
  <c r="E407" i="1" s="1"/>
  <c r="E406" i="1"/>
  <c r="C408" i="1" l="1"/>
  <c r="D408" i="1"/>
  <c r="G408" i="1"/>
  <c r="B409" i="1"/>
  <c r="C409" i="1" l="1"/>
  <c r="D409" i="1"/>
  <c r="G409" i="1"/>
  <c r="B410" i="1"/>
  <c r="E408" i="1"/>
  <c r="C410" i="1" l="1"/>
  <c r="D410" i="1"/>
  <c r="G410" i="1"/>
  <c r="B411" i="1"/>
  <c r="E409" i="1"/>
  <c r="C411" i="1" l="1"/>
  <c r="D411" i="1"/>
  <c r="G411" i="1"/>
  <c r="B412" i="1"/>
  <c r="E410" i="1"/>
  <c r="C412" i="1" l="1"/>
  <c r="D412" i="1"/>
  <c r="G412" i="1"/>
  <c r="B413" i="1"/>
  <c r="E411" i="1"/>
  <c r="D413" i="1" l="1"/>
  <c r="G413" i="1"/>
  <c r="B414" i="1"/>
  <c r="C413" i="1"/>
  <c r="E413" i="1" s="1"/>
  <c r="E412" i="1"/>
  <c r="C414" i="1" l="1"/>
  <c r="D414" i="1"/>
  <c r="G414" i="1"/>
  <c r="B415" i="1"/>
  <c r="C415" i="1" l="1"/>
  <c r="D415" i="1"/>
  <c r="G415" i="1"/>
  <c r="B416" i="1"/>
  <c r="E414" i="1"/>
  <c r="C416" i="1" l="1"/>
  <c r="D416" i="1"/>
  <c r="G416" i="1"/>
  <c r="B417" i="1"/>
  <c r="E415" i="1"/>
  <c r="D417" i="1" l="1"/>
  <c r="C417" i="1"/>
  <c r="E417" i="1" s="1"/>
  <c r="G417" i="1"/>
  <c r="B418" i="1"/>
  <c r="E416" i="1"/>
  <c r="G418" i="1" l="1"/>
  <c r="D418" i="1"/>
  <c r="B419" i="1"/>
  <c r="C418" i="1"/>
  <c r="E418" i="1" s="1"/>
  <c r="C419" i="1" l="1"/>
  <c r="D419" i="1"/>
  <c r="G419" i="1"/>
  <c r="B420" i="1"/>
  <c r="C420" i="1" l="1"/>
  <c r="D420" i="1"/>
  <c r="G420" i="1"/>
  <c r="B421" i="1"/>
  <c r="E419" i="1"/>
  <c r="C421" i="1" l="1"/>
  <c r="D421" i="1"/>
  <c r="G421" i="1"/>
  <c r="B422" i="1"/>
  <c r="E420" i="1"/>
  <c r="C422" i="1" l="1"/>
  <c r="D422" i="1"/>
  <c r="G422" i="1"/>
  <c r="B423" i="1"/>
  <c r="E421" i="1"/>
  <c r="G423" i="1" l="1"/>
  <c r="B424" i="1"/>
  <c r="C423" i="1"/>
  <c r="D423" i="1"/>
  <c r="E422" i="1"/>
  <c r="E423" i="1" l="1"/>
  <c r="C424" i="1"/>
  <c r="D424" i="1"/>
  <c r="G424" i="1"/>
  <c r="B425" i="1"/>
  <c r="C425" i="1" l="1"/>
  <c r="D425" i="1"/>
  <c r="G425" i="1"/>
  <c r="B426" i="1"/>
  <c r="E424" i="1"/>
  <c r="D426" i="1" l="1"/>
  <c r="C426" i="1"/>
  <c r="E426" i="1" s="1"/>
  <c r="G426" i="1"/>
  <c r="B427" i="1"/>
  <c r="E425" i="1"/>
  <c r="C427" i="1" l="1"/>
  <c r="D427" i="1"/>
  <c r="G427" i="1"/>
  <c r="B428" i="1"/>
  <c r="C428" i="1" l="1"/>
  <c r="D428" i="1"/>
  <c r="G428" i="1"/>
  <c r="B429" i="1"/>
  <c r="E427" i="1"/>
  <c r="D429" i="1" l="1"/>
  <c r="G429" i="1"/>
  <c r="B430" i="1"/>
  <c r="C429" i="1"/>
  <c r="E429" i="1" s="1"/>
  <c r="E428" i="1"/>
  <c r="C430" i="1" l="1"/>
  <c r="D430" i="1"/>
  <c r="G430" i="1"/>
  <c r="B431" i="1"/>
  <c r="C431" i="1" l="1"/>
  <c r="D431" i="1"/>
  <c r="G431" i="1"/>
  <c r="B432" i="1"/>
  <c r="E430" i="1"/>
  <c r="C432" i="1" l="1"/>
  <c r="D432" i="1"/>
  <c r="G432" i="1"/>
  <c r="B433" i="1"/>
  <c r="E431" i="1"/>
  <c r="C433" i="1" l="1"/>
  <c r="D433" i="1"/>
  <c r="G433" i="1"/>
  <c r="B434" i="1"/>
  <c r="E432" i="1"/>
  <c r="G434" i="1" l="1"/>
  <c r="B435" i="1"/>
  <c r="C434" i="1"/>
  <c r="D434" i="1"/>
  <c r="E433" i="1"/>
  <c r="E434" i="1" l="1"/>
  <c r="C435" i="1"/>
  <c r="D435" i="1"/>
  <c r="G435" i="1"/>
  <c r="B436" i="1"/>
  <c r="C436" i="1" l="1"/>
  <c r="D436" i="1"/>
  <c r="G436" i="1"/>
  <c r="B437" i="1"/>
  <c r="E435" i="1"/>
  <c r="C437" i="1" l="1"/>
  <c r="D437" i="1"/>
  <c r="G437" i="1"/>
  <c r="B438" i="1"/>
  <c r="E436" i="1"/>
  <c r="D438" i="1" l="1"/>
  <c r="C438" i="1"/>
  <c r="E438" i="1" s="1"/>
  <c r="B439" i="1"/>
  <c r="G438" i="1"/>
  <c r="E437" i="1"/>
  <c r="D439" i="1" l="1"/>
  <c r="G439" i="1"/>
  <c r="B440" i="1"/>
  <c r="C439" i="1"/>
  <c r="E439" i="1" s="1"/>
  <c r="C440" i="1" l="1"/>
  <c r="D440" i="1"/>
  <c r="G440" i="1"/>
  <c r="B441" i="1"/>
  <c r="C441" i="1" l="1"/>
  <c r="G441" i="1"/>
  <c r="B442" i="1"/>
  <c r="D441" i="1"/>
  <c r="E440" i="1"/>
  <c r="C442" i="1" l="1"/>
  <c r="D442" i="1"/>
  <c r="G442" i="1"/>
  <c r="B443" i="1"/>
  <c r="E441" i="1"/>
  <c r="C443" i="1" l="1"/>
  <c r="G443" i="1"/>
  <c r="B444" i="1"/>
  <c r="D443" i="1"/>
  <c r="E442" i="1"/>
  <c r="C444" i="1" l="1"/>
  <c r="D444" i="1"/>
  <c r="G444" i="1"/>
  <c r="B445" i="1"/>
  <c r="E443" i="1"/>
  <c r="C445" i="1" l="1"/>
  <c r="D445" i="1"/>
  <c r="G445" i="1"/>
  <c r="B446" i="1"/>
  <c r="E444" i="1"/>
  <c r="G446" i="1" l="1"/>
  <c r="C446" i="1"/>
  <c r="D446" i="1"/>
  <c r="B447" i="1"/>
  <c r="E445" i="1"/>
  <c r="B448" i="1" l="1"/>
  <c r="C447" i="1"/>
  <c r="D447" i="1"/>
  <c r="G447" i="1"/>
  <c r="E446" i="1"/>
  <c r="E447" i="1" l="1"/>
  <c r="C448" i="1"/>
  <c r="D448" i="1"/>
  <c r="G448" i="1"/>
  <c r="B449" i="1"/>
  <c r="G449" i="1" l="1"/>
  <c r="B450" i="1"/>
  <c r="D449" i="1"/>
  <c r="C449" i="1"/>
  <c r="E449" i="1" s="1"/>
  <c r="E448" i="1"/>
  <c r="D450" i="1" l="1"/>
  <c r="C450" i="1"/>
  <c r="E450" i="1" s="1"/>
  <c r="G450" i="1"/>
  <c r="B451" i="1"/>
  <c r="C451" i="1" l="1"/>
  <c r="D451" i="1"/>
  <c r="G451" i="1"/>
  <c r="B452" i="1"/>
  <c r="C452" i="1" l="1"/>
  <c r="D452" i="1"/>
  <c r="G452" i="1"/>
  <c r="B453" i="1"/>
  <c r="E451" i="1"/>
  <c r="C453" i="1" l="1"/>
  <c r="D453" i="1"/>
  <c r="G453" i="1"/>
  <c r="B454" i="1"/>
  <c r="E452" i="1"/>
  <c r="G454" i="1" l="1"/>
  <c r="B455" i="1"/>
  <c r="D454" i="1"/>
  <c r="C454" i="1"/>
  <c r="E453" i="1"/>
  <c r="E454" i="1" l="1"/>
  <c r="C455" i="1"/>
  <c r="B456" i="1"/>
  <c r="D455" i="1"/>
  <c r="G455" i="1"/>
  <c r="C456" i="1" l="1"/>
  <c r="D456" i="1"/>
  <c r="G456" i="1"/>
  <c r="B457" i="1"/>
  <c r="E455" i="1"/>
  <c r="C457" i="1" l="1"/>
  <c r="D457" i="1"/>
  <c r="G457" i="1"/>
  <c r="B458" i="1"/>
  <c r="E456" i="1"/>
  <c r="B459" i="1" l="1"/>
  <c r="D458" i="1"/>
  <c r="C458" i="1"/>
  <c r="E458" i="1" s="1"/>
  <c r="G458" i="1"/>
  <c r="E457" i="1"/>
  <c r="D459" i="1" l="1"/>
  <c r="B460" i="1"/>
  <c r="G459" i="1"/>
  <c r="C459" i="1"/>
  <c r="E459" i="1" s="1"/>
  <c r="C460" i="1" l="1"/>
  <c r="G460" i="1"/>
  <c r="D460" i="1"/>
  <c r="B461" i="1"/>
  <c r="C461" i="1" l="1"/>
  <c r="D461" i="1"/>
  <c r="G461" i="1"/>
  <c r="B462" i="1"/>
  <c r="E460" i="1"/>
  <c r="C462" i="1" l="1"/>
  <c r="D462" i="1"/>
  <c r="G462" i="1"/>
  <c r="B463" i="1"/>
  <c r="E461" i="1"/>
  <c r="G463" i="1" l="1"/>
  <c r="C463" i="1"/>
  <c r="B464" i="1"/>
  <c r="D463" i="1"/>
  <c r="E462" i="1"/>
  <c r="C464" i="1" l="1"/>
  <c r="D464" i="1"/>
  <c r="G464" i="1"/>
  <c r="B465" i="1"/>
  <c r="E463" i="1"/>
  <c r="D465" i="1" l="1"/>
  <c r="C465" i="1"/>
  <c r="E465" i="1" s="1"/>
  <c r="B466" i="1"/>
  <c r="G465" i="1"/>
  <c r="E464" i="1"/>
  <c r="C466" i="1" l="1"/>
  <c r="D466" i="1"/>
  <c r="G466" i="1"/>
  <c r="B467" i="1"/>
  <c r="B468" i="1" l="1"/>
  <c r="C467" i="1"/>
  <c r="D467" i="1"/>
  <c r="G467" i="1"/>
  <c r="E466" i="1"/>
  <c r="E467" i="1" l="1"/>
  <c r="C468" i="1"/>
  <c r="D468" i="1"/>
  <c r="G468" i="1"/>
  <c r="B469" i="1"/>
  <c r="G469" i="1" l="1"/>
  <c r="B470" i="1"/>
  <c r="D469" i="1"/>
  <c r="C469" i="1"/>
  <c r="E469" i="1" s="1"/>
  <c r="E468" i="1"/>
  <c r="C470" i="1" l="1"/>
  <c r="G470" i="1"/>
  <c r="D470" i="1"/>
  <c r="B471" i="1"/>
  <c r="D471" i="1" l="1"/>
  <c r="C471" i="1"/>
  <c r="E471" i="1" s="1"/>
  <c r="G471" i="1"/>
  <c r="B472" i="1"/>
  <c r="E470" i="1"/>
  <c r="C472" i="1" l="1"/>
  <c r="D472" i="1"/>
  <c r="G472" i="1"/>
  <c r="B473" i="1"/>
  <c r="C473" i="1" l="1"/>
  <c r="D473" i="1"/>
  <c r="B474" i="1"/>
  <c r="G473" i="1"/>
  <c r="E472" i="1"/>
  <c r="D474" i="1" l="1"/>
  <c r="B475" i="1"/>
  <c r="G474" i="1"/>
  <c r="C474" i="1"/>
  <c r="E474" i="1" s="1"/>
  <c r="E473" i="1"/>
  <c r="B476" i="1" l="1"/>
  <c r="D475" i="1"/>
  <c r="C475" i="1"/>
  <c r="E475" i="1" s="1"/>
  <c r="G475" i="1"/>
  <c r="C476" i="1" l="1"/>
  <c r="D476" i="1"/>
  <c r="G476" i="1"/>
  <c r="B477" i="1"/>
  <c r="B478" i="1" l="1"/>
  <c r="C477" i="1"/>
  <c r="D477" i="1"/>
  <c r="G477" i="1"/>
  <c r="E476" i="1"/>
  <c r="E477" i="1" l="1"/>
  <c r="B479" i="1"/>
  <c r="G478" i="1"/>
  <c r="C478" i="1"/>
  <c r="E478" i="1" s="1"/>
  <c r="D478" i="1"/>
  <c r="C479" i="1" l="1"/>
  <c r="D479" i="1"/>
  <c r="G479" i="1"/>
  <c r="B480" i="1"/>
  <c r="C480" i="1" l="1"/>
  <c r="D480" i="1"/>
  <c r="B481" i="1"/>
  <c r="G480" i="1"/>
  <c r="E479" i="1"/>
  <c r="D481" i="1" l="1"/>
  <c r="C481" i="1"/>
  <c r="E481" i="1" s="1"/>
  <c r="B482" i="1"/>
  <c r="G481" i="1"/>
  <c r="E480" i="1"/>
  <c r="D482" i="1" l="1"/>
  <c r="C482" i="1"/>
  <c r="E482" i="1" s="1"/>
  <c r="G482" i="1"/>
  <c r="B483" i="1"/>
  <c r="B484" i="1" l="1"/>
  <c r="G483" i="1"/>
  <c r="C483" i="1"/>
  <c r="D483" i="1"/>
  <c r="E483" i="1" l="1"/>
  <c r="C484" i="1"/>
  <c r="D484" i="1"/>
  <c r="G484" i="1"/>
  <c r="B485" i="1"/>
  <c r="G485" i="1" l="1"/>
  <c r="C485" i="1"/>
  <c r="D485" i="1"/>
  <c r="B486" i="1"/>
  <c r="E484" i="1"/>
  <c r="C486" i="1" l="1"/>
  <c r="B487" i="1"/>
  <c r="D486" i="1"/>
  <c r="G486" i="1"/>
  <c r="E485" i="1"/>
  <c r="C487" i="1" l="1"/>
  <c r="B488" i="1"/>
  <c r="G487" i="1"/>
  <c r="D487" i="1"/>
  <c r="E486" i="1"/>
  <c r="C488" i="1" l="1"/>
  <c r="D488" i="1"/>
  <c r="G488" i="1"/>
  <c r="B489" i="1"/>
  <c r="E487" i="1"/>
  <c r="G489" i="1" l="1"/>
  <c r="C489" i="1"/>
  <c r="D489" i="1"/>
  <c r="B490" i="1"/>
  <c r="E488" i="1"/>
  <c r="C490" i="1" l="1"/>
  <c r="D490" i="1"/>
  <c r="G490" i="1"/>
  <c r="B491" i="1"/>
  <c r="E489" i="1"/>
  <c r="G491" i="1" l="1"/>
  <c r="C491" i="1"/>
  <c r="D491" i="1"/>
  <c r="B492" i="1"/>
  <c r="E490" i="1"/>
  <c r="C492" i="1" l="1"/>
  <c r="D492" i="1"/>
  <c r="B493" i="1"/>
  <c r="G492" i="1"/>
  <c r="E491" i="1"/>
  <c r="D493" i="1" l="1"/>
  <c r="G493" i="1"/>
  <c r="B494" i="1"/>
  <c r="C493" i="1"/>
  <c r="E493" i="1" s="1"/>
  <c r="E492" i="1"/>
  <c r="B495" i="1" l="1"/>
  <c r="C494" i="1"/>
  <c r="D494" i="1"/>
  <c r="G494" i="1"/>
  <c r="E494" i="1" l="1"/>
  <c r="C495" i="1"/>
  <c r="D495" i="1"/>
  <c r="G495" i="1"/>
  <c r="B496" i="1"/>
  <c r="C496" i="1" l="1"/>
  <c r="D496" i="1"/>
  <c r="B497" i="1"/>
  <c r="G496" i="1"/>
  <c r="E495" i="1"/>
  <c r="B498" i="1" l="1"/>
  <c r="G497" i="1"/>
  <c r="C497" i="1"/>
  <c r="D497" i="1"/>
  <c r="E496" i="1"/>
  <c r="E497" i="1" l="1"/>
  <c r="C498" i="1"/>
  <c r="D498" i="1"/>
  <c r="B499" i="1"/>
  <c r="G498" i="1"/>
  <c r="C499" i="1" l="1"/>
  <c r="D499" i="1"/>
  <c r="G499" i="1"/>
  <c r="B500" i="1"/>
  <c r="E498" i="1"/>
  <c r="C500" i="1" l="1"/>
  <c r="D500" i="1"/>
  <c r="G500" i="1"/>
  <c r="B501" i="1"/>
  <c r="E499" i="1"/>
  <c r="D501" i="1" l="1"/>
  <c r="C501" i="1"/>
  <c r="E501" i="1" s="1"/>
  <c r="G501" i="1"/>
  <c r="B502" i="1"/>
  <c r="E500" i="1"/>
  <c r="G502" i="1" l="1"/>
  <c r="C502" i="1"/>
  <c r="B503" i="1"/>
  <c r="D502" i="1"/>
  <c r="C503" i="1" l="1"/>
  <c r="B504" i="1"/>
  <c r="G503" i="1"/>
  <c r="D503" i="1"/>
  <c r="E502" i="1"/>
  <c r="C504" i="1" l="1"/>
  <c r="D504" i="1"/>
  <c r="G504" i="1"/>
  <c r="E503" i="1"/>
  <c r="E504" i="1" l="1"/>
  <c r="E506" i="1" s="1"/>
  <c r="D509" i="1" s="1"/>
</calcChain>
</file>

<file path=xl/sharedStrings.xml><?xml version="1.0" encoding="utf-8"?>
<sst xmlns="http://schemas.openxmlformats.org/spreadsheetml/2006/main" count="16" uniqueCount="16">
  <si>
    <t>exp term</t>
  </si>
  <si>
    <r>
      <t>l</t>
    </r>
    <r>
      <rPr>
        <sz val="10"/>
        <rFont val="Arial"/>
      </rPr>
      <t xml:space="preserve"> (nm)</t>
    </r>
  </si>
  <si>
    <t>first term</t>
  </si>
  <si>
    <t>T (K) =</t>
  </si>
  <si>
    <t>Exact</t>
  </si>
  <si>
    <t>Integration</t>
  </si>
  <si>
    <r>
      <t>E=(4</t>
    </r>
    <r>
      <rPr>
        <sz val="10"/>
        <rFont val="Symbol"/>
        <family val="1"/>
        <charset val="2"/>
      </rPr>
      <t>s</t>
    </r>
    <r>
      <rPr>
        <sz val="10"/>
        <rFont val="Arial"/>
      </rPr>
      <t>/c) T^4</t>
    </r>
  </si>
  <si>
    <r>
      <t>&lt;-- Dl</t>
    </r>
    <r>
      <rPr>
        <sz val="10"/>
        <rFont val="Arial"/>
        <family val="2"/>
      </rPr>
      <t xml:space="preserve"> (nm)</t>
    </r>
  </si>
  <si>
    <t>=A2*1E-9*D505</t>
  </si>
  <si>
    <t>or   A2*1E-9*F505</t>
  </si>
  <si>
    <t>sum(D5:D503)=</t>
  </si>
  <si>
    <t>C6=8*3.1416*6.626E-34*300000000/(B6*0.000000001)^5</t>
  </si>
  <si>
    <r>
      <t>r(l)</t>
    </r>
    <r>
      <rPr>
        <sz val="10"/>
        <rFont val="Arial"/>
      </rPr>
      <t>=C*D</t>
    </r>
  </si>
  <si>
    <r>
      <t xml:space="preserve"> r(l)</t>
    </r>
    <r>
      <rPr>
        <sz val="10"/>
        <rFont val="Arial"/>
      </rPr>
      <t xml:space="preserve"> from Rayleigh-Jeans</t>
    </r>
  </si>
  <si>
    <t>&lt;&lt;&lt; lambda</t>
  </si>
  <si>
    <t>D6=1/(EXP((6.626E-34*300000000)/($B6*0.000000001*1.3806E-23*e$3))-1)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</si>
</sst>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00"/>
  </numFmts>
  <fonts count="4" x14ac:knownFonts="1">
    <font>
      <sz val="10"/>
      <name val="Arial"/>
    </font>
    <font>
      <sz val="10"/>
      <name val="Symbol"/>
      <family val="1"/>
      <charset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0" borderId="0" xfId="0" applyFont="1"/>
    <xf numFmtId="2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10"/>
  <sheetViews>
    <sheetView tabSelected="1" topLeftCell="B1" workbookViewId="0">
      <pane ySplit="2550" topLeftCell="A497"/>
      <selection activeCell="C3" sqref="C3"/>
      <selection pane="bottomLeft" activeCell="H507" sqref="H507"/>
    </sheetView>
  </sheetViews>
  <sheetFormatPr defaultRowHeight="12.5" x14ac:dyDescent="0.25"/>
  <cols>
    <col min="3" max="3" width="14.1796875" customWidth="1"/>
    <col min="4" max="4" width="13.54296875" customWidth="1"/>
    <col min="5" max="5" width="20.453125" customWidth="1"/>
    <col min="6" max="6" width="4.7265625" customWidth="1"/>
    <col min="7" max="7" width="12.453125" customWidth="1"/>
    <col min="8" max="8" width="21.453125" customWidth="1"/>
  </cols>
  <sheetData>
    <row r="1" spans="2:9" x14ac:dyDescent="0.25">
      <c r="C1" t="s">
        <v>11</v>
      </c>
      <c r="H1" s="1">
        <v>2.2900000000000001E-5</v>
      </c>
      <c r="I1" t="s">
        <v>14</v>
      </c>
    </row>
    <row r="2" spans="2:9" x14ac:dyDescent="0.25">
      <c r="C2" t="s">
        <v>15</v>
      </c>
      <c r="D2" s="1"/>
      <c r="H2" s="9">
        <f>EXP(6.626E-34*300000000/(0.0000229*1.3806E-23*500))-1</f>
        <v>2.5165307315643548</v>
      </c>
      <c r="I2">
        <f>2*6.626E-34*300000000/(0.0000229*1.3806E-23*500)</f>
        <v>2.5149498319507941</v>
      </c>
    </row>
    <row r="3" spans="2:9" ht="13" x14ac:dyDescent="0.3">
      <c r="B3">
        <v>100</v>
      </c>
      <c r="C3" s="2" t="s">
        <v>7</v>
      </c>
      <c r="D3" t="s">
        <v>3</v>
      </c>
      <c r="E3" s="4">
        <v>500</v>
      </c>
    </row>
    <row r="4" spans="2:9" ht="13" x14ac:dyDescent="0.3">
      <c r="F4" s="5"/>
    </row>
    <row r="5" spans="2:9" x14ac:dyDescent="0.25">
      <c r="B5" s="2" t="s">
        <v>1</v>
      </c>
      <c r="C5" t="s">
        <v>2</v>
      </c>
      <c r="D5" t="s">
        <v>0</v>
      </c>
      <c r="E5" s="8" t="s">
        <v>12</v>
      </c>
      <c r="G5" s="2" t="s">
        <v>13</v>
      </c>
    </row>
    <row r="6" spans="2:9" x14ac:dyDescent="0.25">
      <c r="B6">
        <v>100</v>
      </c>
      <c r="C6">
        <f>8*3.1416*6.626E-34*300000000/(B6*0.000000001)^5</f>
        <v>499589798399.99982</v>
      </c>
      <c r="D6">
        <f t="shared" ref="D6:D69" si="0">1/(EXP((6.626E-34*300000000)/($B6*0.000000001*1.3806E-23*E$3))-1)</f>
        <v>8.7055953175575635E-126</v>
      </c>
      <c r="E6" s="7">
        <f>C6*D6</f>
        <v>4.3492266096505655E-114</v>
      </c>
      <c r="G6">
        <f>8*3.1416*1.3806E-23*E$3/((B6*0.000000001)^4)</f>
        <v>1734917183.9999993</v>
      </c>
    </row>
    <row r="7" spans="2:9" x14ac:dyDescent="0.25">
      <c r="B7">
        <f>B6+B$3</f>
        <v>200</v>
      </c>
      <c r="C7">
        <f t="shared" ref="C7:C70" si="1">8*3.1416*6.626E-34*300000000/(B7*0.000000001)^5</f>
        <v>15612181199.999994</v>
      </c>
      <c r="D7">
        <f t="shared" si="0"/>
        <v>2.9505245834525026E-63</v>
      </c>
      <c r="E7" s="7">
        <f t="shared" ref="E7:E70" si="2">C7*D7</f>
        <v>4.6064124431914975E-53</v>
      </c>
      <c r="G7">
        <f t="shared" ref="G7:G70" si="3">8*3.1416*1.3806E-23*E$3/((B7*0.000000001)^4)</f>
        <v>108432323.99999996</v>
      </c>
    </row>
    <row r="8" spans="2:9" x14ac:dyDescent="0.25">
      <c r="B8">
        <f t="shared" ref="B8:B71" si="4">B7+B$3</f>
        <v>300</v>
      </c>
      <c r="C8">
        <f t="shared" si="1"/>
        <v>2055925096.2962949</v>
      </c>
      <c r="D8">
        <f t="shared" si="0"/>
        <v>2.0571509391957075E-42</v>
      </c>
      <c r="E8" s="7">
        <f t="shared" si="2"/>
        <v>4.2293482427619486E-33</v>
      </c>
      <c r="G8">
        <f t="shared" si="3"/>
        <v>21418730.666666653</v>
      </c>
    </row>
    <row r="9" spans="2:9" x14ac:dyDescent="0.25">
      <c r="B9">
        <f t="shared" si="4"/>
        <v>400</v>
      </c>
      <c r="C9">
        <f t="shared" si="1"/>
        <v>487880662.49999982</v>
      </c>
      <c r="D9">
        <f t="shared" si="0"/>
        <v>5.4318731423446389E-32</v>
      </c>
      <c r="E9" s="7">
        <f t="shared" si="2"/>
        <v>2.6501058673030585E-23</v>
      </c>
      <c r="G9">
        <f t="shared" si="3"/>
        <v>6777020.2499999972</v>
      </c>
    </row>
    <row r="10" spans="2:9" x14ac:dyDescent="0.25">
      <c r="B10">
        <f t="shared" si="4"/>
        <v>500</v>
      </c>
      <c r="C10">
        <f t="shared" si="1"/>
        <v>159868735.48799986</v>
      </c>
      <c r="D10">
        <f t="shared" si="0"/>
        <v>9.7265695147294895E-26</v>
      </c>
      <c r="E10" s="7">
        <f t="shared" si="2"/>
        <v>1.5549743689559318E-17</v>
      </c>
      <c r="G10">
        <f t="shared" si="3"/>
        <v>2775867.4943999974</v>
      </c>
    </row>
    <row r="11" spans="2:9" x14ac:dyDescent="0.25">
      <c r="B11">
        <f t="shared" si="4"/>
        <v>600</v>
      </c>
      <c r="C11">
        <f t="shared" si="1"/>
        <v>64247659.259259216</v>
      </c>
      <c r="D11">
        <f t="shared" si="0"/>
        <v>1.4342771486695686E-21</v>
      </c>
      <c r="E11" s="7">
        <f t="shared" si="2"/>
        <v>9.2148949531064314E-14</v>
      </c>
      <c r="G11">
        <f t="shared" si="3"/>
        <v>1338670.6666666658</v>
      </c>
    </row>
    <row r="12" spans="2:9" x14ac:dyDescent="0.25">
      <c r="B12">
        <f t="shared" si="4"/>
        <v>700</v>
      </c>
      <c r="C12">
        <f t="shared" si="1"/>
        <v>29725102.54060806</v>
      </c>
      <c r="D12">
        <f t="shared" si="0"/>
        <v>1.3622503400792039E-18</v>
      </c>
      <c r="E12" s="7">
        <f t="shared" si="2"/>
        <v>4.0493031044832535E-11</v>
      </c>
      <c r="G12">
        <f t="shared" si="3"/>
        <v>722581.08454810444</v>
      </c>
    </row>
    <row r="13" spans="2:9" x14ac:dyDescent="0.25">
      <c r="B13">
        <f t="shared" si="4"/>
        <v>800</v>
      </c>
      <c r="C13">
        <f t="shared" si="1"/>
        <v>15246270.703124994</v>
      </c>
      <c r="D13">
        <f t="shared" si="0"/>
        <v>2.3306379260504284E-16</v>
      </c>
      <c r="E13" s="7">
        <f t="shared" si="2"/>
        <v>3.5533536731534643E-9</v>
      </c>
      <c r="G13">
        <f t="shared" si="3"/>
        <v>423563.76562499983</v>
      </c>
    </row>
    <row r="14" spans="2:9" x14ac:dyDescent="0.25">
      <c r="B14">
        <f t="shared" si="4"/>
        <v>900</v>
      </c>
      <c r="C14">
        <f t="shared" si="1"/>
        <v>8460597.1040999815</v>
      </c>
      <c r="D14">
        <f t="shared" si="0"/>
        <v>1.271809465085014E-14</v>
      </c>
      <c r="E14" s="7">
        <f t="shared" si="2"/>
        <v>1.0760267477265216E-7</v>
      </c>
      <c r="G14">
        <f t="shared" si="3"/>
        <v>264428.77366255136</v>
      </c>
    </row>
    <row r="15" spans="2:9" x14ac:dyDescent="0.25">
      <c r="B15">
        <f t="shared" si="4"/>
        <v>1000</v>
      </c>
      <c r="C15">
        <f t="shared" si="1"/>
        <v>4995897.9839999955</v>
      </c>
      <c r="D15">
        <f t="shared" si="0"/>
        <v>3.1187448620776206E-13</v>
      </c>
      <c r="E15" s="7">
        <f t="shared" si="2"/>
        <v>1.5580931169063928E-6</v>
      </c>
      <c r="G15">
        <f t="shared" si="3"/>
        <v>173491.71839999984</v>
      </c>
    </row>
    <row r="16" spans="2:9" x14ac:dyDescent="0.25">
      <c r="B16">
        <f t="shared" si="4"/>
        <v>1100</v>
      </c>
      <c r="C16">
        <f t="shared" si="1"/>
        <v>3102059.5860938453</v>
      </c>
      <c r="D16">
        <f t="shared" si="0"/>
        <v>4.2745536319320517E-12</v>
      </c>
      <c r="E16" s="7">
        <f t="shared" si="2"/>
        <v>1.3259920070207083E-5</v>
      </c>
      <c r="G16">
        <f t="shared" si="3"/>
        <v>118497.17806160779</v>
      </c>
    </row>
    <row r="17" spans="2:7" x14ac:dyDescent="0.25">
      <c r="B17">
        <f t="shared" si="4"/>
        <v>1200</v>
      </c>
      <c r="C17">
        <f t="shared" si="1"/>
        <v>2007739.3518518505</v>
      </c>
      <c r="D17">
        <f t="shared" si="0"/>
        <v>3.7871851668200832E-11</v>
      </c>
      <c r="E17" s="7">
        <f t="shared" si="2"/>
        <v>7.6036806921742968E-5</v>
      </c>
      <c r="G17">
        <f t="shared" si="3"/>
        <v>83666.916666666613</v>
      </c>
    </row>
    <row r="18" spans="2:7" x14ac:dyDescent="0.25">
      <c r="B18">
        <f t="shared" si="4"/>
        <v>1300</v>
      </c>
      <c r="C18">
        <f t="shared" si="1"/>
        <v>1345540.5795423021</v>
      </c>
      <c r="D18">
        <f t="shared" si="0"/>
        <v>2.3987472959757756E-10</v>
      </c>
      <c r="E18" s="7">
        <f t="shared" si="2"/>
        <v>3.227611826802775E-4</v>
      </c>
      <c r="G18">
        <f t="shared" si="3"/>
        <v>60744.273099681377</v>
      </c>
    </row>
    <row r="19" spans="2:7" x14ac:dyDescent="0.25">
      <c r="B19">
        <f t="shared" si="4"/>
        <v>1400</v>
      </c>
      <c r="C19">
        <f t="shared" si="1"/>
        <v>928909.45439400186</v>
      </c>
      <c r="D19">
        <f t="shared" si="0"/>
        <v>1.167154806895434E-9</v>
      </c>
      <c r="E19" s="7">
        <f t="shared" si="2"/>
        <v>1.0841811348665741E-3</v>
      </c>
      <c r="G19">
        <f t="shared" si="3"/>
        <v>45161.317784256527</v>
      </c>
    </row>
    <row r="20" spans="2:7" x14ac:dyDescent="0.25">
      <c r="B20">
        <f t="shared" si="4"/>
        <v>1500</v>
      </c>
      <c r="C20">
        <f t="shared" si="1"/>
        <v>657896.03081481461</v>
      </c>
      <c r="D20">
        <f t="shared" si="0"/>
        <v>4.5988922425370234E-9</v>
      </c>
      <c r="E20" s="7">
        <f t="shared" si="2"/>
        <v>3.0255929525101494E-3</v>
      </c>
      <c r="G20">
        <f t="shared" si="3"/>
        <v>34269.96906666665</v>
      </c>
    </row>
    <row r="21" spans="2:7" x14ac:dyDescent="0.25">
      <c r="B21">
        <f t="shared" si="4"/>
        <v>1600</v>
      </c>
      <c r="C21">
        <f t="shared" si="1"/>
        <v>476445.95947265608</v>
      </c>
      <c r="D21">
        <f t="shared" si="0"/>
        <v>1.5266427208785482E-8</v>
      </c>
      <c r="E21" s="7">
        <f t="shared" si="2"/>
        <v>7.2736275592092618E-3</v>
      </c>
      <c r="G21">
        <f t="shared" si="3"/>
        <v>26472.735351562489</v>
      </c>
    </row>
    <row r="22" spans="2:7" x14ac:dyDescent="0.25">
      <c r="B22">
        <f t="shared" si="4"/>
        <v>1700</v>
      </c>
      <c r="C22">
        <f t="shared" si="1"/>
        <v>351859.23540187499</v>
      </c>
      <c r="D22">
        <f t="shared" si="0"/>
        <v>4.4006575750959842E-8</v>
      </c>
      <c r="E22" s="7">
        <f t="shared" si="2"/>
        <v>1.5484120096387423E-2</v>
      </c>
      <c r="G22">
        <f t="shared" si="3"/>
        <v>20772.227152452677</v>
      </c>
    </row>
    <row r="23" spans="2:7" x14ac:dyDescent="0.25">
      <c r="B23">
        <f t="shared" si="4"/>
        <v>1800</v>
      </c>
      <c r="C23">
        <f t="shared" si="1"/>
        <v>264393.65950312442</v>
      </c>
      <c r="D23">
        <f t="shared" si="0"/>
        <v>1.1277454286941162E-7</v>
      </c>
      <c r="E23" s="7">
        <f t="shared" si="2"/>
        <v>2.9816874088035725E-2</v>
      </c>
      <c r="G23">
        <f t="shared" si="3"/>
        <v>16526.79835390946</v>
      </c>
    </row>
    <row r="24" spans="2:7" x14ac:dyDescent="0.25">
      <c r="B24">
        <f t="shared" si="4"/>
        <v>1900</v>
      </c>
      <c r="C24">
        <f t="shared" si="1"/>
        <v>201764.87224460734</v>
      </c>
      <c r="D24">
        <f t="shared" si="0"/>
        <v>2.6174852554677053E-7</v>
      </c>
      <c r="E24" s="7">
        <f t="shared" si="2"/>
        <v>5.2811657817158499E-2</v>
      </c>
      <c r="G24">
        <f t="shared" si="3"/>
        <v>13312.644807820687</v>
      </c>
    </row>
    <row r="25" spans="2:7" x14ac:dyDescent="0.25">
      <c r="B25">
        <f t="shared" si="4"/>
        <v>2000</v>
      </c>
      <c r="C25">
        <f t="shared" si="1"/>
        <v>156121.81199999986</v>
      </c>
      <c r="D25">
        <f t="shared" si="0"/>
        <v>5.5845754945661237E-7</v>
      </c>
      <c r="E25" s="7">
        <f t="shared" si="2"/>
        <v>8.7187404546245864E-2</v>
      </c>
      <c r="G25">
        <f t="shared" si="3"/>
        <v>10843.23239999999</v>
      </c>
    </row>
    <row r="26" spans="2:7" x14ac:dyDescent="0.25">
      <c r="B26">
        <f t="shared" si="4"/>
        <v>2100</v>
      </c>
      <c r="C26">
        <f t="shared" si="1"/>
        <v>122325.52485846941</v>
      </c>
      <c r="D26">
        <f t="shared" si="0"/>
        <v>1.1085436275508105E-6</v>
      </c>
      <c r="E26" s="7">
        <f t="shared" si="2"/>
        <v>0.13560318106866454</v>
      </c>
      <c r="G26">
        <f t="shared" si="3"/>
        <v>8920.7541302235131</v>
      </c>
    </row>
    <row r="27" spans="2:7" x14ac:dyDescent="0.25">
      <c r="B27">
        <f t="shared" si="4"/>
        <v>2200</v>
      </c>
      <c r="C27">
        <f t="shared" si="1"/>
        <v>96939.362065432666</v>
      </c>
      <c r="D27">
        <f t="shared" si="0"/>
        <v>2.0675036414097197E-6</v>
      </c>
      <c r="E27" s="7">
        <f t="shared" si="2"/>
        <v>0.20042248406621729</v>
      </c>
      <c r="G27">
        <f t="shared" si="3"/>
        <v>7406.0736288504868</v>
      </c>
    </row>
    <row r="28" spans="2:7" x14ac:dyDescent="0.25">
      <c r="B28">
        <f t="shared" si="4"/>
        <v>2300</v>
      </c>
      <c r="C28">
        <f t="shared" si="1"/>
        <v>77620.132799013329</v>
      </c>
      <c r="D28">
        <f t="shared" si="0"/>
        <v>3.6525949976089709E-6</v>
      </c>
      <c r="E28" s="7">
        <f t="shared" si="2"/>
        <v>0.28351490877542007</v>
      </c>
      <c r="G28">
        <f t="shared" si="3"/>
        <v>6199.6533174195329</v>
      </c>
    </row>
    <row r="29" spans="2:7" x14ac:dyDescent="0.25">
      <c r="B29">
        <f t="shared" si="4"/>
        <v>2400</v>
      </c>
      <c r="C29">
        <f t="shared" si="1"/>
        <v>62741.854745370329</v>
      </c>
      <c r="D29">
        <f t="shared" si="0"/>
        <v>6.1540488947240764E-6</v>
      </c>
      <c r="E29" s="7">
        <f t="shared" si="2"/>
        <v>0.38611644184868482</v>
      </c>
      <c r="G29">
        <f t="shared" si="3"/>
        <v>5229.1822916666633</v>
      </c>
    </row>
    <row r="30" spans="2:7" x14ac:dyDescent="0.25">
      <c r="B30">
        <f t="shared" si="4"/>
        <v>2500</v>
      </c>
      <c r="C30">
        <f t="shared" si="1"/>
        <v>51157.995356159976</v>
      </c>
      <c r="D30">
        <f t="shared" si="0"/>
        <v>9.94480468290302E-6</v>
      </c>
      <c r="E30" s="7">
        <f t="shared" si="2"/>
        <v>0.50875627178587068</v>
      </c>
      <c r="G30">
        <f t="shared" si="3"/>
        <v>4441.3879910399983</v>
      </c>
    </row>
    <row r="31" spans="2:7" x14ac:dyDescent="0.25">
      <c r="B31">
        <f t="shared" si="4"/>
        <v>2600</v>
      </c>
      <c r="C31">
        <f t="shared" si="1"/>
        <v>42048.143110696939</v>
      </c>
      <c r="D31">
        <f t="shared" si="0"/>
        <v>1.5488129648844E-5</v>
      </c>
      <c r="E31" s="7">
        <f t="shared" si="2"/>
        <v>0.65124709199162079</v>
      </c>
      <c r="G31">
        <f t="shared" si="3"/>
        <v>3796.5170687300861</v>
      </c>
    </row>
    <row r="32" spans="2:7" x14ac:dyDescent="0.25">
      <c r="B32">
        <f t="shared" si="4"/>
        <v>2700</v>
      </c>
      <c r="C32">
        <f t="shared" si="1"/>
        <v>34817.272033333276</v>
      </c>
      <c r="D32">
        <f t="shared" si="0"/>
        <v>2.3342685660651494E-5</v>
      </c>
      <c r="E32" s="7">
        <f t="shared" si="2"/>
        <v>0.812728636635491</v>
      </c>
      <c r="G32">
        <f t="shared" si="3"/>
        <v>3264.5527612660671</v>
      </c>
    </row>
    <row r="33" spans="2:7" x14ac:dyDescent="0.25">
      <c r="B33">
        <f t="shared" si="4"/>
        <v>2800</v>
      </c>
      <c r="C33">
        <f t="shared" si="1"/>
        <v>29028.420449812558</v>
      </c>
      <c r="D33">
        <f t="shared" si="0"/>
        <v>3.4164814621927328E-5</v>
      </c>
      <c r="E33" s="7">
        <f t="shared" si="2"/>
        <v>0.99175060343521038</v>
      </c>
      <c r="G33">
        <f t="shared" si="3"/>
        <v>2822.582361516033</v>
      </c>
    </row>
    <row r="34" spans="2:7" x14ac:dyDescent="0.25">
      <c r="B34">
        <f t="shared" si="4"/>
        <v>2900</v>
      </c>
      <c r="C34">
        <f t="shared" si="1"/>
        <v>24356.987431567086</v>
      </c>
      <c r="D34">
        <f t="shared" si="0"/>
        <v>4.8708012729366235E-5</v>
      </c>
      <c r="E34" s="7">
        <f t="shared" si="2"/>
        <v>1.1863804538657829</v>
      </c>
      <c r="G34">
        <f t="shared" si="3"/>
        <v>2452.9390496846363</v>
      </c>
    </row>
    <row r="35" spans="2:7" x14ac:dyDescent="0.25">
      <c r="B35">
        <f t="shared" si="4"/>
        <v>3000</v>
      </c>
      <c r="C35">
        <f t="shared" si="1"/>
        <v>20559.250962962957</v>
      </c>
      <c r="D35">
        <f t="shared" si="0"/>
        <v>6.7819731891351461E-5</v>
      </c>
      <c r="E35" s="7">
        <f t="shared" si="2"/>
        <v>1.394322888195157</v>
      </c>
      <c r="G35">
        <f t="shared" si="3"/>
        <v>2141.8730666666656</v>
      </c>
    </row>
    <row r="36" spans="2:7" x14ac:dyDescent="0.25">
      <c r="B36">
        <f t="shared" si="4"/>
        <v>3100</v>
      </c>
      <c r="C36">
        <f t="shared" si="1"/>
        <v>17450.388186502616</v>
      </c>
      <c r="D36">
        <f t="shared" si="0"/>
        <v>9.2435776386378464E-5</v>
      </c>
      <c r="E36" s="7">
        <f t="shared" si="2"/>
        <v>1.6130401802630563</v>
      </c>
      <c r="G36">
        <f t="shared" si="3"/>
        <v>1878.5898577292762</v>
      </c>
    </row>
    <row r="37" spans="2:7" x14ac:dyDescent="0.25">
      <c r="B37">
        <f t="shared" si="4"/>
        <v>3200</v>
      </c>
      <c r="C37">
        <f t="shared" si="1"/>
        <v>14888.936233520502</v>
      </c>
      <c r="D37">
        <f t="shared" si="0"/>
        <v>1.2357265164496614E-4</v>
      </c>
      <c r="E37" s="7">
        <f t="shared" si="2"/>
        <v>1.8398653305489432</v>
      </c>
      <c r="G37">
        <f t="shared" si="3"/>
        <v>1654.5459594726556</v>
      </c>
    </row>
    <row r="38" spans="2:7" x14ac:dyDescent="0.25">
      <c r="B38">
        <f t="shared" si="4"/>
        <v>3300</v>
      </c>
      <c r="C38">
        <f t="shared" si="1"/>
        <v>12765.677309028171</v>
      </c>
      <c r="D38">
        <f t="shared" si="0"/>
        <v>1.623182723866833E-4</v>
      </c>
      <c r="E38" s="7">
        <f t="shared" si="2"/>
        <v>2.0721026866473369</v>
      </c>
      <c r="G38">
        <f t="shared" si="3"/>
        <v>1462.9281242173802</v>
      </c>
    </row>
    <row r="39" spans="2:7" x14ac:dyDescent="0.25">
      <c r="B39">
        <f t="shared" si="4"/>
        <v>3400</v>
      </c>
      <c r="C39">
        <f t="shared" si="1"/>
        <v>10995.601106308593</v>
      </c>
      <c r="D39">
        <f t="shared" si="0"/>
        <v>2.0982145457133162E-4</v>
      </c>
      <c r="E39" s="7">
        <f t="shared" si="2"/>
        <v>2.3071130180118122</v>
      </c>
      <c r="G39">
        <f t="shared" si="3"/>
        <v>1298.2641970282923</v>
      </c>
    </row>
    <row r="40" spans="2:7" x14ac:dyDescent="0.25">
      <c r="B40">
        <f t="shared" si="4"/>
        <v>3500</v>
      </c>
      <c r="C40">
        <f t="shared" si="1"/>
        <v>9512.032812994581</v>
      </c>
      <c r="D40">
        <f t="shared" si="0"/>
        <v>2.6728060642046175E-4</v>
      </c>
      <c r="E40" s="7">
        <f t="shared" si="2"/>
        <v>2.5423818985485225</v>
      </c>
      <c r="G40">
        <f t="shared" si="3"/>
        <v>1156.1297352769673</v>
      </c>
    </row>
    <row r="41" spans="2:7" x14ac:dyDescent="0.25">
      <c r="B41">
        <f t="shared" si="4"/>
        <v>3600</v>
      </c>
      <c r="C41">
        <f t="shared" si="1"/>
        <v>8262.3018594726382</v>
      </c>
      <c r="D41">
        <f t="shared" si="0"/>
        <v>3.3593200506356062E-4</v>
      </c>
      <c r="E41" s="7">
        <f t="shared" si="2"/>
        <v>2.7755716300930287</v>
      </c>
      <c r="G41">
        <f t="shared" si="3"/>
        <v>1032.9248971193413</v>
      </c>
    </row>
    <row r="42" spans="2:7" x14ac:dyDescent="0.25">
      <c r="B42">
        <f t="shared" si="4"/>
        <v>3700</v>
      </c>
      <c r="C42">
        <f t="shared" si="1"/>
        <v>7204.5181730831982</v>
      </c>
      <c r="D42">
        <f t="shared" si="0"/>
        <v>4.1703800360941913E-4</v>
      </c>
      <c r="E42" s="7">
        <f t="shared" si="2"/>
        <v>3.0045578758703964</v>
      </c>
      <c r="G42">
        <f t="shared" si="3"/>
        <v>925.70338620854841</v>
      </c>
    </row>
    <row r="43" spans="2:7" x14ac:dyDescent="0.25">
      <c r="B43">
        <f t="shared" si="4"/>
        <v>3800</v>
      </c>
      <c r="C43">
        <f t="shared" si="1"/>
        <v>6305.1522576439793</v>
      </c>
      <c r="D43">
        <f t="shared" si="0"/>
        <v>5.1187546419300344E-4</v>
      </c>
      <c r="E43" s="7">
        <f t="shared" si="2"/>
        <v>3.2274527386890757</v>
      </c>
      <c r="G43">
        <f t="shared" si="3"/>
        <v>832.04030048879292</v>
      </c>
    </row>
    <row r="44" spans="2:7" x14ac:dyDescent="0.25">
      <c r="B44">
        <f t="shared" si="4"/>
        <v>3900</v>
      </c>
      <c r="C44">
        <f t="shared" si="1"/>
        <v>5537.2040310382827</v>
      </c>
      <c r="D44">
        <f t="shared" si="0"/>
        <v>6.2172466029638271E-4</v>
      </c>
      <c r="E44" s="7">
        <f t="shared" si="2"/>
        <v>3.4426162951890373</v>
      </c>
      <c r="G44">
        <f t="shared" si="3"/>
        <v>749.92929752693078</v>
      </c>
    </row>
    <row r="45" spans="2:7" x14ac:dyDescent="0.25">
      <c r="B45">
        <f t="shared" si="4"/>
        <v>4000</v>
      </c>
      <c r="C45">
        <f t="shared" si="1"/>
        <v>4878.8066249999956</v>
      </c>
      <c r="D45">
        <f t="shared" si="0"/>
        <v>7.4785883981313972E-4</v>
      </c>
      <c r="E45" s="7">
        <f t="shared" si="2"/>
        <v>3.6486586622451567</v>
      </c>
      <c r="G45">
        <f t="shared" si="3"/>
        <v>677.70202499999937</v>
      </c>
    </row>
    <row r="46" spans="2:7" x14ac:dyDescent="0.25">
      <c r="B46">
        <f t="shared" si="4"/>
        <v>4100</v>
      </c>
      <c r="C46">
        <f t="shared" si="1"/>
        <v>4312.1541539239633</v>
      </c>
      <c r="D46">
        <f t="shared" si="0"/>
        <v>8.9153459136176471E-4</v>
      </c>
      <c r="E46" s="7">
        <f t="shared" si="2"/>
        <v>3.8444345915075369</v>
      </c>
      <c r="G46">
        <f t="shared" si="3"/>
        <v>613.96458653084915</v>
      </c>
    </row>
    <row r="47" spans="2:7" x14ac:dyDescent="0.25">
      <c r="B47">
        <f t="shared" si="4"/>
        <v>4200</v>
      </c>
      <c r="C47">
        <f t="shared" si="1"/>
        <v>3822.6726518271689</v>
      </c>
      <c r="D47">
        <f t="shared" si="0"/>
        <v>1.0539831118548323E-3</v>
      </c>
      <c r="E47" s="7">
        <f t="shared" si="2"/>
        <v>4.0290324171751637</v>
      </c>
      <c r="G47">
        <f t="shared" si="3"/>
        <v>557.54713313896957</v>
      </c>
    </row>
    <row r="48" spans="2:7" x14ac:dyDescent="0.25">
      <c r="B48">
        <f t="shared" si="4"/>
        <v>4300</v>
      </c>
      <c r="C48">
        <f t="shared" si="1"/>
        <v>3398.3748702106845</v>
      </c>
      <c r="D48">
        <f t="shared" si="0"/>
        <v>1.2364024342119528E-3</v>
      </c>
      <c r="E48" s="7">
        <f t="shared" si="2"/>
        <v>4.2017589618932192</v>
      </c>
      <c r="G48">
        <f t="shared" si="3"/>
        <v>507.46363535052183</v>
      </c>
    </row>
    <row r="49" spans="2:7" x14ac:dyDescent="0.25">
      <c r="B49">
        <f t="shared" si="4"/>
        <v>4400</v>
      </c>
      <c r="C49">
        <f t="shared" si="1"/>
        <v>3029.3550645447708</v>
      </c>
      <c r="D49">
        <f t="shared" si="0"/>
        <v>1.4399506407499255E-3</v>
      </c>
      <c r="E49" s="7">
        <f t="shared" si="2"/>
        <v>4.3621217662502749</v>
      </c>
      <c r="G49">
        <f t="shared" si="3"/>
        <v>462.87960180315542</v>
      </c>
    </row>
    <row r="50" spans="2:7" x14ac:dyDescent="0.25">
      <c r="B50">
        <f t="shared" si="4"/>
        <v>4500</v>
      </c>
      <c r="C50">
        <f t="shared" si="1"/>
        <v>2707.3910733119951</v>
      </c>
      <c r="D50">
        <f t="shared" si="0"/>
        <v>1.6657400601860248E-3</v>
      </c>
      <c r="E50" s="7">
        <f t="shared" si="2"/>
        <v>4.5098097694058286</v>
      </c>
      <c r="G50">
        <f t="shared" si="3"/>
        <v>423.08603786008223</v>
      </c>
    </row>
    <row r="51" spans="2:7" x14ac:dyDescent="0.25">
      <c r="B51">
        <f t="shared" si="4"/>
        <v>4600</v>
      </c>
      <c r="C51">
        <f t="shared" si="1"/>
        <v>2425.6291499691665</v>
      </c>
      <c r="D51">
        <f t="shared" si="0"/>
        <v>1.9148324240715734E-3</v>
      </c>
      <c r="E51" s="7">
        <f t="shared" si="2"/>
        <v>4.6446733451341293</v>
      </c>
      <c r="G51">
        <f t="shared" si="3"/>
        <v>387.4783323387208</v>
      </c>
    </row>
    <row r="52" spans="2:7" x14ac:dyDescent="0.25">
      <c r="B52">
        <f t="shared" si="4"/>
        <v>4700</v>
      </c>
      <c r="C52">
        <f t="shared" si="1"/>
        <v>2178.3330055229853</v>
      </c>
      <c r="D52">
        <f t="shared" si="0"/>
        <v>2.1882349413790653E-3</v>
      </c>
      <c r="E52" s="7">
        <f t="shared" si="2"/>
        <v>4.7667043966446725</v>
      </c>
      <c r="G52">
        <f t="shared" si="3"/>
        <v>355.5390575736406</v>
      </c>
    </row>
    <row r="53" spans="2:7" x14ac:dyDescent="0.25">
      <c r="B53">
        <f t="shared" si="4"/>
        <v>4800</v>
      </c>
      <c r="C53">
        <f t="shared" si="1"/>
        <v>1960.6829607928228</v>
      </c>
      <c r="D53">
        <f t="shared" si="0"/>
        <v>2.486897237344886E-3</v>
      </c>
      <c r="E53" s="7">
        <f t="shared" si="2"/>
        <v>4.8760170385048625</v>
      </c>
      <c r="G53">
        <f t="shared" si="3"/>
        <v>326.82389322916646</v>
      </c>
    </row>
    <row r="54" spans="2:7" x14ac:dyDescent="0.25">
      <c r="B54">
        <f t="shared" si="4"/>
        <v>4900</v>
      </c>
      <c r="C54">
        <f t="shared" si="1"/>
        <v>1768.6144190282657</v>
      </c>
      <c r="D54">
        <f t="shared" si="0"/>
        <v>2.8117090939267708E-3</v>
      </c>
      <c r="E54" s="7">
        <f t="shared" si="2"/>
        <v>4.9728292456317869</v>
      </c>
      <c r="G54">
        <f t="shared" si="3"/>
        <v>300.95005603836091</v>
      </c>
    </row>
    <row r="55" spans="2:7" x14ac:dyDescent="0.25">
      <c r="B55">
        <f t="shared" si="4"/>
        <v>5000</v>
      </c>
      <c r="C55">
        <f t="shared" si="1"/>
        <v>1598.6873548799992</v>
      </c>
      <c r="D55">
        <f t="shared" si="0"/>
        <v>3.1634989237750745E-3</v>
      </c>
      <c r="E55" s="7">
        <f t="shared" si="2"/>
        <v>5.0574457266156978</v>
      </c>
      <c r="G55">
        <f t="shared" si="3"/>
        <v>277.58674943999989</v>
      </c>
    </row>
    <row r="56" spans="2:7" x14ac:dyDescent="0.25">
      <c r="B56">
        <f t="shared" si="4"/>
        <v>5100</v>
      </c>
      <c r="C56">
        <f t="shared" si="1"/>
        <v>1447.9803926003081</v>
      </c>
      <c r="D56">
        <f t="shared" si="0"/>
        <v>3.543032906871016E-3</v>
      </c>
      <c r="E56" s="7">
        <f t="shared" si="2"/>
        <v>5.1302421794869044</v>
      </c>
      <c r="G56">
        <f t="shared" si="3"/>
        <v>256.44724879571197</v>
      </c>
    </row>
    <row r="57" spans="2:7" x14ac:dyDescent="0.25">
      <c r="B57">
        <f t="shared" si="4"/>
        <v>5200</v>
      </c>
      <c r="C57">
        <f t="shared" si="1"/>
        <v>1314.0044722092794</v>
      </c>
      <c r="D57">
        <f t="shared" si="0"/>
        <v>3.9510147184300733E-3</v>
      </c>
      <c r="E57" s="7">
        <f t="shared" si="2"/>
        <v>5.1916510097818032</v>
      </c>
      <c r="G57">
        <f t="shared" si="3"/>
        <v>237.28231679563038</v>
      </c>
    </row>
    <row r="58" spans="2:7" x14ac:dyDescent="0.25">
      <c r="B58">
        <f t="shared" si="4"/>
        <v>5300</v>
      </c>
      <c r="C58">
        <f t="shared" si="1"/>
        <v>1194.6321917916987</v>
      </c>
      <c r="D58">
        <f t="shared" si="0"/>
        <v>4.3880857778340757E-3</v>
      </c>
      <c r="E58" s="7">
        <f t="shared" si="2"/>
        <v>5.2421485305439024</v>
      </c>
      <c r="G58">
        <f t="shared" si="3"/>
        <v>219.87470523026414</v>
      </c>
    </row>
    <row r="59" spans="2:7" x14ac:dyDescent="0.25">
      <c r="B59">
        <f t="shared" si="4"/>
        <v>5400</v>
      </c>
      <c r="C59">
        <f t="shared" si="1"/>
        <v>1088.0397510416649</v>
      </c>
      <c r="D59">
        <f t="shared" si="0"/>
        <v>4.8548259508314363E-3</v>
      </c>
      <c r="E59" s="7">
        <f t="shared" si="2"/>
        <v>5.2822436188932498</v>
      </c>
      <c r="G59">
        <f t="shared" si="3"/>
        <v>204.0345475791292</v>
      </c>
    </row>
    <row r="60" spans="2:7" x14ac:dyDescent="0.25">
      <c r="B60">
        <f t="shared" si="4"/>
        <v>5500</v>
      </c>
      <c r="C60">
        <f t="shared" si="1"/>
        <v>992.65906755003027</v>
      </c>
      <c r="D60">
        <f t="shared" si="0"/>
        <v>5.35175464067837E-3</v>
      </c>
      <c r="E60" s="7">
        <f t="shared" si="2"/>
        <v>5.3124677713723383</v>
      </c>
      <c r="G60">
        <f t="shared" si="3"/>
        <v>189.59548489857241</v>
      </c>
    </row>
    <row r="61" spans="2:7" x14ac:dyDescent="0.25">
      <c r="B61">
        <f t="shared" si="4"/>
        <v>5600</v>
      </c>
      <c r="C61">
        <f t="shared" si="1"/>
        <v>907.13813905664244</v>
      </c>
      <c r="D61">
        <f t="shared" si="0"/>
        <v>5.8793322079893308E-3</v>
      </c>
      <c r="E61" s="7">
        <f t="shared" si="2"/>
        <v>5.3333664780512224</v>
      </c>
      <c r="G61">
        <f t="shared" si="3"/>
        <v>176.41139759475206</v>
      </c>
    </row>
    <row r="62" spans="2:7" x14ac:dyDescent="0.25">
      <c r="B62">
        <f t="shared" si="4"/>
        <v>5700</v>
      </c>
      <c r="C62">
        <f t="shared" si="1"/>
        <v>830.30811623295176</v>
      </c>
      <c r="D62">
        <f t="shared" si="0"/>
        <v>6.4379616635776423E-3</v>
      </c>
      <c r="E62" s="7">
        <f t="shared" si="2"/>
        <v>5.3454918212651128</v>
      </c>
      <c r="G62">
        <f t="shared" si="3"/>
        <v>164.35363960272451</v>
      </c>
    </row>
    <row r="63" spans="2:7" x14ac:dyDescent="0.25">
      <c r="B63">
        <f t="shared" si="4"/>
        <v>5800</v>
      </c>
      <c r="C63">
        <f t="shared" si="1"/>
        <v>761.15585723647143</v>
      </c>
      <c r="D63">
        <f t="shared" si="0"/>
        <v>7.0279905832999453E-3</v>
      </c>
      <c r="E63" s="7">
        <f t="shared" si="2"/>
        <v>5.3493961970815187</v>
      </c>
      <c r="G63">
        <f t="shared" si="3"/>
        <v>153.30869060528977</v>
      </c>
    </row>
    <row r="64" spans="2:7" x14ac:dyDescent="0.25">
      <c r="B64">
        <f t="shared" si="4"/>
        <v>5900</v>
      </c>
      <c r="C64">
        <f t="shared" si="1"/>
        <v>698.80097668914163</v>
      </c>
      <c r="D64">
        <f t="shared" si="0"/>
        <v>7.6497131987139791E-3</v>
      </c>
      <c r="E64" s="7">
        <f t="shared" si="2"/>
        <v>5.3456270546531464</v>
      </c>
      <c r="G64">
        <f t="shared" si="3"/>
        <v>143.17615725074128</v>
      </c>
    </row>
    <row r="65" spans="2:7" x14ac:dyDescent="0.25">
      <c r="B65">
        <f t="shared" si="4"/>
        <v>6000</v>
      </c>
      <c r="C65">
        <f t="shared" si="1"/>
        <v>642.4765925925924</v>
      </c>
      <c r="D65">
        <f t="shared" si="0"/>
        <v>8.3033726220976475E-3</v>
      </c>
      <c r="E65" s="7">
        <f t="shared" si="2"/>
        <v>5.3347225492719161</v>
      </c>
      <c r="G65">
        <f t="shared" si="3"/>
        <v>133.8670666666666</v>
      </c>
    </row>
    <row r="66" spans="2:7" x14ac:dyDescent="0.25">
      <c r="B66">
        <f t="shared" si="4"/>
        <v>6100</v>
      </c>
      <c r="C66">
        <f t="shared" si="1"/>
        <v>591.51312622194405</v>
      </c>
      <c r="D66">
        <f t="shared" si="0"/>
        <v>8.9891631689658497E-3</v>
      </c>
      <c r="E66" s="7">
        <f t="shared" si="2"/>
        <v>5.3172080081941475</v>
      </c>
      <c r="G66">
        <f t="shared" si="3"/>
        <v>125.30240553824068</v>
      </c>
    </row>
    <row r="67" spans="2:7" x14ac:dyDescent="0.25">
      <c r="B67">
        <f t="shared" si="4"/>
        <v>6200</v>
      </c>
      <c r="C67">
        <f t="shared" si="1"/>
        <v>545.32463082820675</v>
      </c>
      <c r="D67">
        <f t="shared" si="0"/>
        <v>9.7072327455966292E-3</v>
      </c>
      <c r="E67" s="7">
        <f t="shared" si="2"/>
        <v>5.2935931133559615</v>
      </c>
      <c r="G67">
        <f t="shared" si="3"/>
        <v>117.41186610807976</v>
      </c>
    </row>
    <row r="68" spans="2:7" x14ac:dyDescent="0.25">
      <c r="B68">
        <f t="shared" si="4"/>
        <v>6300</v>
      </c>
      <c r="C68">
        <f t="shared" si="1"/>
        <v>503.39722163979178</v>
      </c>
      <c r="D68">
        <f t="shared" si="0"/>
        <v>1.0457685273191852E-2</v>
      </c>
      <c r="E68" s="7">
        <f t="shared" si="2"/>
        <v>5.2643697113081451</v>
      </c>
      <c r="G68">
        <f t="shared" si="3"/>
        <v>110.13276703979646</v>
      </c>
    </row>
    <row r="69" spans="2:7" x14ac:dyDescent="0.25">
      <c r="B69">
        <f t="shared" si="4"/>
        <v>6400</v>
      </c>
      <c r="C69">
        <f t="shared" si="1"/>
        <v>465.2792572975157</v>
      </c>
      <c r="D69">
        <f t="shared" si="0"/>
        <v>1.1240583124123649E-2</v>
      </c>
      <c r="E69" s="7">
        <f t="shared" si="2"/>
        <v>5.2300101675832398</v>
      </c>
      <c r="G69">
        <f t="shared" si="3"/>
        <v>103.40912246704097</v>
      </c>
    </row>
    <row r="70" spans="2:7" x14ac:dyDescent="0.25">
      <c r="B70">
        <f t="shared" si="4"/>
        <v>6500</v>
      </c>
      <c r="C70">
        <f t="shared" si="1"/>
        <v>430.57298545353666</v>
      </c>
      <c r="D70">
        <f t="shared" ref="D70:D133" si="5">1/(EXP((6.626E-34*300000000)/($B70*0.000000001*1.3806E-23*E$3))-1)</f>
        <v>1.2055949549239751E-2</v>
      </c>
      <c r="E70" s="7">
        <f t="shared" si="2"/>
        <v>5.1909661898933788</v>
      </c>
      <c r="G70">
        <f t="shared" si="3"/>
        <v>97.190836959490198</v>
      </c>
    </row>
    <row r="71" spans="2:7" x14ac:dyDescent="0.25">
      <c r="B71">
        <f t="shared" si="4"/>
        <v>6600</v>
      </c>
      <c r="C71">
        <f t="shared" ref="C71:C134" si="6">8*3.1416*6.626E-34*300000000/(B71*0.000000001)^5</f>
        <v>398.92741590713035</v>
      </c>
      <c r="D71">
        <f t="shared" si="5"/>
        <v>1.2903771078414492E-2</v>
      </c>
      <c r="E71" s="7">
        <f t="shared" ref="E71:E134" si="7">C71*D71</f>
        <v>5.1476680517690578</v>
      </c>
      <c r="G71">
        <f t="shared" ref="G71:G134" si="8">8*3.1416*1.3806E-23*E$3/((B71*0.000000001)^4)</f>
        <v>91.433007763586261</v>
      </c>
    </row>
    <row r="72" spans="2:7" x14ac:dyDescent="0.25">
      <c r="B72">
        <f t="shared" ref="B72:B135" si="9">B71+B$3</f>
        <v>6700</v>
      </c>
      <c r="C72">
        <f t="shared" si="6"/>
        <v>370.03222576172703</v>
      </c>
      <c r="D72">
        <f t="shared" si="5"/>
        <v>1.3783999879440411E-2</v>
      </c>
      <c r="E72" s="7">
        <f t="shared" si="7"/>
        <v>5.1005241552887126</v>
      </c>
      <c r="G72">
        <f t="shared" si="8"/>
        <v>86.095318667383296</v>
      </c>
    </row>
    <row r="73" spans="2:7" x14ac:dyDescent="0.25">
      <c r="B73">
        <f t="shared" si="9"/>
        <v>6800</v>
      </c>
      <c r="C73">
        <f t="shared" si="6"/>
        <v>343.61253457214355</v>
      </c>
      <c r="D73">
        <f t="shared" si="5"/>
        <v>1.4696556062968425E-2</v>
      </c>
      <c r="E73" s="7">
        <f t="shared" si="7"/>
        <v>5.0499208782781837</v>
      </c>
      <c r="G73">
        <f t="shared" si="8"/>
        <v>81.141512314268269</v>
      </c>
    </row>
    <row r="74" spans="2:7" x14ac:dyDescent="0.25">
      <c r="B74">
        <f t="shared" si="9"/>
        <v>6900</v>
      </c>
      <c r="C74">
        <f t="shared" si="6"/>
        <v>319.42441481075434</v>
      </c>
      <c r="D74">
        <f t="shared" si="5"/>
        <v>1.5641329923533443E-2</v>
      </c>
      <c r="E74" s="7">
        <f t="shared" si="7"/>
        <v>4.9962226576866113</v>
      </c>
      <c r="G74">
        <f t="shared" si="8"/>
        <v>76.538929844685583</v>
      </c>
    </row>
    <row r="75" spans="2:7" x14ac:dyDescent="0.25">
      <c r="B75">
        <f t="shared" si="9"/>
        <v>7000</v>
      </c>
      <c r="C75">
        <f t="shared" si="6"/>
        <v>297.25102540608066</v>
      </c>
      <c r="D75">
        <f t="shared" si="5"/>
        <v>1.6618184108766448E-2</v>
      </c>
      <c r="E75" s="7">
        <f t="shared" si="7"/>
        <v>4.9397722667178616</v>
      </c>
      <c r="G75">
        <f t="shared" si="8"/>
        <v>72.258108454810454</v>
      </c>
    </row>
    <row r="76" spans="2:7" x14ac:dyDescent="0.25">
      <c r="B76">
        <f t="shared" si="9"/>
        <v>7100</v>
      </c>
      <c r="C76">
        <f t="shared" si="6"/>
        <v>276.899274542397</v>
      </c>
      <c r="D76">
        <f t="shared" si="5"/>
        <v>1.7626955710709161E-2</v>
      </c>
      <c r="E76" s="7">
        <f t="shared" si="7"/>
        <v>4.8808912486863285</v>
      </c>
      <c r="G76">
        <f t="shared" si="8"/>
        <v>68.272428888116423</v>
      </c>
    </row>
    <row r="77" spans="2:7" x14ac:dyDescent="0.25">
      <c r="B77">
        <f t="shared" si="9"/>
        <v>7200</v>
      </c>
      <c r="C77">
        <f t="shared" si="6"/>
        <v>258.19693310851994</v>
      </c>
      <c r="D77">
        <f t="shared" si="5"/>
        <v>1.8667458274733161E-2</v>
      </c>
      <c r="E77" s="7">
        <f t="shared" si="7"/>
        <v>4.8198804754673654</v>
      </c>
      <c r="G77">
        <f t="shared" si="8"/>
        <v>64.557806069958829</v>
      </c>
    </row>
    <row r="78" spans="2:7" x14ac:dyDescent="0.25">
      <c r="B78">
        <f t="shared" si="9"/>
        <v>7300</v>
      </c>
      <c r="C78">
        <f t="shared" si="6"/>
        <v>240.99013275129082</v>
      </c>
      <c r="D78">
        <f t="shared" si="5"/>
        <v>1.9739483722941552E-2</v>
      </c>
      <c r="E78" s="7">
        <f t="shared" si="7"/>
        <v>4.7570208028336287</v>
      </c>
      <c r="G78">
        <f t="shared" si="8"/>
        <v>61.092417097242034</v>
      </c>
    </row>
    <row r="79" spans="2:7" x14ac:dyDescent="0.25">
      <c r="B79">
        <f t="shared" si="9"/>
        <v>7400</v>
      </c>
      <c r="C79">
        <f t="shared" si="6"/>
        <v>225.14119290884994</v>
      </c>
      <c r="D79">
        <f t="shared" si="5"/>
        <v>2.0842804190116932E-2</v>
      </c>
      <c r="E79" s="7">
        <f t="shared" si="7"/>
        <v>4.6925737989285023</v>
      </c>
      <c r="G79">
        <f t="shared" si="8"/>
        <v>57.856461638034276</v>
      </c>
    </row>
    <row r="80" spans="2:7" x14ac:dyDescent="0.25">
      <c r="B80">
        <f t="shared" si="9"/>
        <v>7500</v>
      </c>
      <c r="C80">
        <f t="shared" si="6"/>
        <v>210.52672986074074</v>
      </c>
      <c r="D80">
        <f t="shared" si="5"/>
        <v>2.197717377129171E-2</v>
      </c>
      <c r="E80" s="7">
        <f t="shared" si="7"/>
        <v>4.6267825256512864</v>
      </c>
      <c r="G80">
        <f t="shared" si="8"/>
        <v>54.831950506666658</v>
      </c>
    </row>
    <row r="81" spans="2:7" x14ac:dyDescent="0.25">
      <c r="B81">
        <f t="shared" si="9"/>
        <v>7600</v>
      </c>
      <c r="C81">
        <f t="shared" si="6"/>
        <v>197.03600805137435</v>
      </c>
      <c r="D81">
        <f t="shared" si="5"/>
        <v>2.3142330180876147E-2</v>
      </c>
      <c r="E81" s="7">
        <f t="shared" si="7"/>
        <v>4.5598723558466761</v>
      </c>
      <c r="G81">
        <f t="shared" si="8"/>
        <v>52.002518780549558</v>
      </c>
    </row>
    <row r="82" spans="2:7" x14ac:dyDescent="0.25">
      <c r="B82">
        <f t="shared" si="9"/>
        <v>7700</v>
      </c>
      <c r="C82">
        <f t="shared" si="6"/>
        <v>184.56949997583416</v>
      </c>
      <c r="D82">
        <f t="shared" si="5"/>
        <v>2.4337996323999092E-2</v>
      </c>
      <c r="E82" s="7">
        <f t="shared" si="7"/>
        <v>4.4920518119342026</v>
      </c>
      <c r="G82">
        <f t="shared" si="8"/>
        <v>49.353260333864128</v>
      </c>
    </row>
    <row r="83" spans="2:7" x14ac:dyDescent="0.25">
      <c r="B83">
        <f t="shared" si="9"/>
        <v>7800</v>
      </c>
      <c r="C83">
        <f t="shared" si="6"/>
        <v>173.03762596994633</v>
      </c>
      <c r="D83">
        <f t="shared" si="5"/>
        <v>2.5563881781315478E-2</v>
      </c>
      <c r="E83" s="7">
        <f t="shared" si="7"/>
        <v>4.4235134140151926</v>
      </c>
      <c r="G83">
        <f t="shared" si="8"/>
        <v>46.870581095433174</v>
      </c>
    </row>
    <row r="84" spans="2:7" x14ac:dyDescent="0.25">
      <c r="B84">
        <f t="shared" si="9"/>
        <v>7900</v>
      </c>
      <c r="C84">
        <f t="shared" si="6"/>
        <v>162.35964948915449</v>
      </c>
      <c r="D84">
        <f t="shared" si="5"/>
        <v>2.6819684209024086E-2</v>
      </c>
      <c r="E84" s="7">
        <f t="shared" si="7"/>
        <v>4.354434527586962</v>
      </c>
      <c r="G84">
        <f t="shared" si="8"/>
        <v>44.542068705839135</v>
      </c>
    </row>
    <row r="85" spans="2:7" x14ac:dyDescent="0.25">
      <c r="B85">
        <f t="shared" si="9"/>
        <v>8000</v>
      </c>
      <c r="C85">
        <f t="shared" si="6"/>
        <v>152.46270703124986</v>
      </c>
      <c r="D85">
        <f t="shared" si="5"/>
        <v>2.810509065623467E-2</v>
      </c>
      <c r="E85" s="7">
        <f t="shared" si="7"/>
        <v>4.2849782028082242</v>
      </c>
      <c r="G85">
        <f t="shared" si="8"/>
        <v>42.35637656249996</v>
      </c>
    </row>
    <row r="86" spans="2:7" x14ac:dyDescent="0.25">
      <c r="B86">
        <f t="shared" si="9"/>
        <v>8100</v>
      </c>
      <c r="C86">
        <f t="shared" si="6"/>
        <v>143.28095486968419</v>
      </c>
      <c r="D86">
        <f t="shared" si="5"/>
        <v>2.9419778802136753E-2</v>
      </c>
      <c r="E86" s="7">
        <f t="shared" si="7"/>
        <v>4.2152939988250475</v>
      </c>
      <c r="G86">
        <f t="shared" si="8"/>
        <v>40.303120509457607</v>
      </c>
    </row>
    <row r="87" spans="2:7" x14ac:dyDescent="0.25">
      <c r="B87">
        <f t="shared" si="9"/>
        <v>8200</v>
      </c>
      <c r="C87">
        <f t="shared" si="6"/>
        <v>134.75481731012385</v>
      </c>
      <c r="D87">
        <f t="shared" si="5"/>
        <v>3.0763418115661995E-2</v>
      </c>
      <c r="E87" s="7">
        <f t="shared" si="7"/>
        <v>4.1455187880109872</v>
      </c>
      <c r="G87">
        <f t="shared" si="8"/>
        <v>38.372786658178072</v>
      </c>
    </row>
    <row r="88" spans="2:7" x14ac:dyDescent="0.25">
      <c r="B88">
        <f t="shared" si="9"/>
        <v>8300</v>
      </c>
      <c r="C88">
        <f t="shared" si="6"/>
        <v>126.83032333972285</v>
      </c>
      <c r="D88">
        <f t="shared" si="5"/>
        <v>3.2135670940511667E-2</v>
      </c>
      <c r="E88" s="7">
        <f t="shared" si="7"/>
        <v>4.07577753612403</v>
      </c>
      <c r="G88">
        <f t="shared" si="8"/>
        <v>36.556649022623439</v>
      </c>
    </row>
    <row r="89" spans="2:7" x14ac:dyDescent="0.25">
      <c r="B89">
        <f t="shared" si="9"/>
        <v>8400</v>
      </c>
      <c r="C89">
        <f t="shared" si="6"/>
        <v>119.45852036959903</v>
      </c>
      <c r="D89">
        <f t="shared" si="5"/>
        <v>3.353619350854594E-2</v>
      </c>
      <c r="E89" s="7">
        <f t="shared" si="7"/>
        <v>4.0061840553594497</v>
      </c>
      <c r="G89">
        <f t="shared" si="8"/>
        <v>34.846695821185598</v>
      </c>
    </row>
    <row r="90" spans="2:7" x14ac:dyDescent="0.25">
      <c r="B90">
        <f t="shared" si="9"/>
        <v>8500</v>
      </c>
      <c r="C90">
        <f t="shared" si="6"/>
        <v>112.59495532860001</v>
      </c>
      <c r="D90">
        <f t="shared" si="5"/>
        <v>3.4964636884610531E-2</v>
      </c>
      <c r="E90" s="7">
        <f t="shared" si="7"/>
        <v>3.9368417281034427</v>
      </c>
      <c r="G90">
        <f t="shared" si="8"/>
        <v>33.235563443924285</v>
      </c>
    </row>
    <row r="91" spans="2:7" x14ac:dyDescent="0.25">
      <c r="B91">
        <f t="shared" si="9"/>
        <v>8600</v>
      </c>
      <c r="C91">
        <f t="shared" si="6"/>
        <v>106.19921469408389</v>
      </c>
      <c r="D91">
        <f t="shared" si="5"/>
        <v>3.6420647845919703E-2</v>
      </c>
      <c r="E91" s="7">
        <f t="shared" si="7"/>
        <v>3.8678441998864503</v>
      </c>
      <c r="G91">
        <f t="shared" si="8"/>
        <v>31.716477209407614</v>
      </c>
    </row>
    <row r="92" spans="2:7" x14ac:dyDescent="0.25">
      <c r="B92">
        <f t="shared" si="9"/>
        <v>8700</v>
      </c>
      <c r="C92">
        <f t="shared" si="6"/>
        <v>100.23451617928846</v>
      </c>
      <c r="D92">
        <f t="shared" si="5"/>
        <v>3.7903869699120685E-2</v>
      </c>
      <c r="E92" s="7">
        <f t="shared" si="7"/>
        <v>3.7992760406141541</v>
      </c>
      <c r="G92">
        <f t="shared" si="8"/>
        <v>30.283198144254779</v>
      </c>
    </row>
    <row r="93" spans="2:7" x14ac:dyDescent="0.25">
      <c r="B93">
        <f t="shared" si="9"/>
        <v>8800</v>
      </c>
      <c r="C93">
        <f t="shared" si="6"/>
        <v>94.667345767024088</v>
      </c>
      <c r="D93">
        <f t="shared" si="5"/>
        <v>3.9413943038148984E-2</v>
      </c>
      <c r="E93" s="7">
        <f t="shared" si="7"/>
        <v>3.7312133736342417</v>
      </c>
      <c r="G93">
        <f t="shared" si="8"/>
        <v>28.929975112697214</v>
      </c>
    </row>
    <row r="94" spans="2:7" x14ac:dyDescent="0.25">
      <c r="B94">
        <f t="shared" si="9"/>
        <v>8900</v>
      </c>
      <c r="C94">
        <f t="shared" si="6"/>
        <v>89.467134611087801</v>
      </c>
      <c r="D94">
        <f t="shared" si="5"/>
        <v>4.0950506445942246E-2</v>
      </c>
      <c r="E94" s="7">
        <f t="shared" si="7"/>
        <v>3.6637244725913334</v>
      </c>
      <c r="G94">
        <f t="shared" si="8"/>
        <v>27.651501705206851</v>
      </c>
    </row>
    <row r="95" spans="2:7" x14ac:dyDescent="0.25">
      <c r="B95">
        <f t="shared" si="9"/>
        <v>9000</v>
      </c>
      <c r="C95">
        <f t="shared" si="6"/>
        <v>84.605971040999847</v>
      </c>
      <c r="D95">
        <f t="shared" si="5"/>
        <v>4.2513197143022076E-2</v>
      </c>
      <c r="E95" s="7">
        <f t="shared" si="7"/>
        <v>3.596870326342843</v>
      </c>
      <c r="G95">
        <f t="shared" si="8"/>
        <v>26.442877366255139</v>
      </c>
    </row>
    <row r="96" spans="2:7" x14ac:dyDescent="0.25">
      <c r="B96">
        <f t="shared" si="9"/>
        <v>9100</v>
      </c>
      <c r="C96">
        <f t="shared" si="6"/>
        <v>80.058343520098845</v>
      </c>
      <c r="D96">
        <f t="shared" si="5"/>
        <v>4.4101651585880565E-2</v>
      </c>
      <c r="E96" s="7">
        <f t="shared" si="7"/>
        <v>3.5307051724661385</v>
      </c>
      <c r="G96">
        <f t="shared" si="8"/>
        <v>25.299572303074278</v>
      </c>
    </row>
    <row r="97" spans="2:7" x14ac:dyDescent="0.25">
      <c r="B97">
        <f t="shared" si="9"/>
        <v>9200</v>
      </c>
      <c r="C97">
        <f t="shared" si="6"/>
        <v>75.800910936536454</v>
      </c>
      <c r="D97">
        <f t="shared" si="5"/>
        <v>4.5715506018022718E-2</v>
      </c>
      <c r="E97" s="7">
        <f t="shared" si="7"/>
        <v>3.4652770000908362</v>
      </c>
      <c r="G97">
        <f t="shared" si="8"/>
        <v>24.21739577117005</v>
      </c>
    </row>
    <row r="98" spans="2:7" x14ac:dyDescent="0.25">
      <c r="B98">
        <f t="shared" si="9"/>
        <v>9300</v>
      </c>
      <c r="C98">
        <f t="shared" si="6"/>
        <v>71.812297063796805</v>
      </c>
      <c r="D98">
        <f t="shared" si="5"/>
        <v>4.7354396976424074E-2</v>
      </c>
      <c r="E98" s="7">
        <f t="shared" si="7"/>
        <v>3.4006280229479269</v>
      </c>
      <c r="G98">
        <f t="shared" si="8"/>
        <v>23.192467379373785</v>
      </c>
    </row>
    <row r="99" spans="2:7" x14ac:dyDescent="0.25">
      <c r="B99">
        <f t="shared" si="9"/>
        <v>9400</v>
      </c>
      <c r="C99">
        <f t="shared" si="6"/>
        <v>68.072906422593292</v>
      </c>
      <c r="D99">
        <f t="shared" si="5"/>
        <v>4.9017961756060976E-2</v>
      </c>
      <c r="E99" s="7">
        <f t="shared" si="7"/>
        <v>3.3367951236465956</v>
      </c>
      <c r="G99">
        <f t="shared" si="8"/>
        <v>22.221191098352538</v>
      </c>
    </row>
    <row r="100" spans="2:7" x14ac:dyDescent="0.25">
      <c r="B100">
        <f t="shared" si="9"/>
        <v>9500</v>
      </c>
      <c r="C100">
        <f t="shared" si="6"/>
        <v>64.564759118274324</v>
      </c>
      <c r="D100">
        <f t="shared" si="5"/>
        <v>5.0705838835069197E-2</v>
      </c>
      <c r="E100" s="7">
        <f t="shared" si="7"/>
        <v>3.2738102702762824</v>
      </c>
      <c r="G100">
        <f t="shared" si="8"/>
        <v>21.300231692513094</v>
      </c>
    </row>
    <row r="101" spans="2:7" x14ac:dyDescent="0.25">
      <c r="B101">
        <f t="shared" si="9"/>
        <v>9600</v>
      </c>
      <c r="C101">
        <f t="shared" si="6"/>
        <v>61.271342524775712</v>
      </c>
      <c r="D101">
        <f t="shared" si="5"/>
        <v>5.2417668262975961E-2</v>
      </c>
      <c r="E101" s="7">
        <f t="shared" si="7"/>
        <v>3.211700906490865</v>
      </c>
      <c r="G101">
        <f t="shared" si="8"/>
        <v>20.426493326822904</v>
      </c>
    </row>
    <row r="102" spans="2:7" x14ac:dyDescent="0.25">
      <c r="B102">
        <f t="shared" si="9"/>
        <v>9700</v>
      </c>
      <c r="C102">
        <f t="shared" si="6"/>
        <v>58.177477944088395</v>
      </c>
      <c r="D102">
        <f t="shared" si="5"/>
        <v>5.4153092014344956E-2</v>
      </c>
      <c r="E102" s="7">
        <f t="shared" si="7"/>
        <v>3.1504903162687432</v>
      </c>
      <c r="G102">
        <f t="shared" si="8"/>
        <v>19.597100127809686</v>
      </c>
    </row>
    <row r="103" spans="2:7" x14ac:dyDescent="0.25">
      <c r="B103">
        <f t="shared" si="9"/>
        <v>9800</v>
      </c>
      <c r="C103">
        <f t="shared" si="6"/>
        <v>55.269200594633304</v>
      </c>
      <c r="D103">
        <f t="shared" si="5"/>
        <v>5.5911754310062331E-2</v>
      </c>
      <c r="E103" s="7">
        <f t="shared" si="7"/>
        <v>3.0901979645606881</v>
      </c>
      <c r="G103">
        <f t="shared" si="8"/>
        <v>18.809378502397557</v>
      </c>
    </row>
    <row r="104" spans="2:7" x14ac:dyDescent="0.25">
      <c r="B104">
        <f t="shared" si="9"/>
        <v>9900</v>
      </c>
      <c r="C104">
        <f t="shared" si="6"/>
        <v>52.533651477482181</v>
      </c>
      <c r="D104">
        <f t="shared" si="5"/>
        <v>5.7693301908384093E-2</v>
      </c>
      <c r="E104" s="7">
        <f t="shared" si="7"/>
        <v>3.0308398150402076</v>
      </c>
      <c r="G104">
        <f t="shared" si="8"/>
        <v>18.060841039720742</v>
      </c>
    </row>
    <row r="105" spans="2:7" x14ac:dyDescent="0.25">
      <c r="B105">
        <f t="shared" si="9"/>
        <v>10000</v>
      </c>
      <c r="C105">
        <f t="shared" si="6"/>
        <v>49.958979839999976</v>
      </c>
      <c r="D105">
        <f t="shared" si="5"/>
        <v>5.9497384367758088E-2</v>
      </c>
      <c r="E105" s="7">
        <f t="shared" si="7"/>
        <v>2.9724286261615562</v>
      </c>
      <c r="G105">
        <f t="shared" si="8"/>
        <v>17.349171839999993</v>
      </c>
    </row>
    <row r="106" spans="2:7" x14ac:dyDescent="0.25">
      <c r="B106">
        <f t="shared" si="9"/>
        <v>10100</v>
      </c>
      <c r="C106">
        <f t="shared" si="6"/>
        <v>47.534255105597303</v>
      </c>
      <c r="D106">
        <f t="shared" si="5"/>
        <v>6.1323654283328692E-2</v>
      </c>
      <c r="E106" s="7">
        <f t="shared" si="7"/>
        <v>2.9149742267112009</v>
      </c>
      <c r="G106">
        <f t="shared" si="8"/>
        <v>16.672213131294775</v>
      </c>
    </row>
    <row r="107" spans="2:7" x14ac:dyDescent="0.25">
      <c r="B107">
        <f t="shared" si="9"/>
        <v>10200</v>
      </c>
      <c r="C107">
        <f t="shared" si="6"/>
        <v>45.249387268759627</v>
      </c>
      <c r="D107">
        <f t="shared" si="5"/>
        <v>6.3171767498929804E-2</v>
      </c>
      <c r="E107" s="7">
        <f t="shared" si="7"/>
        <v>2.8584837720111174</v>
      </c>
      <c r="G107">
        <f t="shared" si="8"/>
        <v>16.027953049731998</v>
      </c>
    </row>
    <row r="108" spans="2:7" x14ac:dyDescent="0.25">
      <c r="B108">
        <f t="shared" si="9"/>
        <v>10300</v>
      </c>
      <c r="C108">
        <f t="shared" si="6"/>
        <v>43.095054868855328</v>
      </c>
      <c r="D108">
        <f t="shared" si="5"/>
        <v>6.5041383296271293E-2</v>
      </c>
      <c r="E108" s="7">
        <f t="shared" si="7"/>
        <v>2.8029619818990619</v>
      </c>
      <c r="G108">
        <f t="shared" si="8"/>
        <v>15.41451447190359</v>
      </c>
    </row>
    <row r="109" spans="2:7" x14ac:dyDescent="0.25">
      <c r="B109">
        <f t="shared" si="9"/>
        <v>10400</v>
      </c>
      <c r="C109">
        <f t="shared" si="6"/>
        <v>41.06263975653998</v>
      </c>
      <c r="D109">
        <f t="shared" si="5"/>
        <v>6.6932164562929775E-2</v>
      </c>
      <c r="E109" s="7">
        <f t="shared" si="7"/>
        <v>2.7484113615730363</v>
      </c>
      <c r="G109">
        <f t="shared" si="8"/>
        <v>14.830144799726899</v>
      </c>
    </row>
    <row r="110" spans="2:7" x14ac:dyDescent="0.25">
      <c r="B110">
        <f t="shared" si="9"/>
        <v>10500</v>
      </c>
      <c r="C110">
        <f t="shared" si="6"/>
        <v>39.144167954710213</v>
      </c>
      <c r="D110">
        <f t="shared" si="5"/>
        <v>6.8843777940658962E-2</v>
      </c>
      <c r="E110" s="7">
        <f t="shared" si="7"/>
        <v>2.6948324063459284</v>
      </c>
      <c r="G110">
        <f t="shared" si="8"/>
        <v>14.273206608357624</v>
      </c>
    </row>
    <row r="111" spans="2:7" x14ac:dyDescent="0.25">
      <c r="B111">
        <f t="shared" si="9"/>
        <v>10600</v>
      </c>
      <c r="C111">
        <f t="shared" si="6"/>
        <v>37.332255993490584</v>
      </c>
      <c r="D111">
        <f t="shared" si="5"/>
        <v>7.0775893955448324E-2</v>
      </c>
      <c r="E111" s="7">
        <f t="shared" si="7"/>
        <v>2.6422237913129396</v>
      </c>
      <c r="G111">
        <f t="shared" si="8"/>
        <v>13.742169076891509</v>
      </c>
    </row>
    <row r="112" spans="2:7" x14ac:dyDescent="0.25">
      <c r="B112">
        <f t="shared" si="9"/>
        <v>10700</v>
      </c>
      <c r="C112">
        <f t="shared" si="6"/>
        <v>35.620062167023193</v>
      </c>
      <c r="D112">
        <f t="shared" si="5"/>
        <v>7.272818713067164E-2</v>
      </c>
      <c r="E112" s="7">
        <f t="shared" si="7"/>
        <v>2.5905825468894199</v>
      </c>
      <c r="G112">
        <f t="shared" si="8"/>
        <v>13.235600129725748</v>
      </c>
    </row>
    <row r="113" spans="2:7" x14ac:dyDescent="0.25">
      <c r="B113">
        <f t="shared" si="9"/>
        <v>10800</v>
      </c>
      <c r="C113">
        <f t="shared" si="6"/>
        <v>34.001242220052028</v>
      </c>
      <c r="D113">
        <f t="shared" si="5"/>
        <v>7.470033608458522E-2</v>
      </c>
      <c r="E113" s="7">
        <f t="shared" si="7"/>
        <v>2.539904221131275</v>
      </c>
      <c r="G113">
        <f t="shared" si="8"/>
        <v>12.752159223695575</v>
      </c>
    </row>
    <row r="114" spans="2:7" x14ac:dyDescent="0.25">
      <c r="B114">
        <f t="shared" si="9"/>
        <v>10900</v>
      </c>
      <c r="C114">
        <f t="shared" si="6"/>
        <v>32.469909025462272</v>
      </c>
      <c r="D114">
        <f t="shared" si="5"/>
        <v>7.6692023613359903E-2</v>
      </c>
      <c r="E114" s="7">
        <f t="shared" si="7"/>
        <v>2.4901830297044003</v>
      </c>
      <c r="G114">
        <f t="shared" si="8"/>
        <v>12.290590722558358</v>
      </c>
    </row>
    <row r="115" spans="2:7" x14ac:dyDescent="0.25">
      <c r="B115">
        <f t="shared" si="9"/>
        <v>11000</v>
      </c>
      <c r="C115">
        <f t="shared" si="6"/>
        <v>31.020595860938446</v>
      </c>
      <c r="D115">
        <f t="shared" si="5"/>
        <v>7.8702936760753239E-2</v>
      </c>
      <c r="E115" s="7">
        <f t="shared" si="7"/>
        <v>2.441411994324322</v>
      </c>
      <c r="G115">
        <f t="shared" si="8"/>
        <v>11.849717806160776</v>
      </c>
    </row>
    <row r="116" spans="2:7" x14ac:dyDescent="0.25">
      <c r="B116">
        <f t="shared" si="9"/>
        <v>11100</v>
      </c>
      <c r="C116">
        <f t="shared" si="6"/>
        <v>29.648222934498765</v>
      </c>
      <c r="D116">
        <f t="shared" si="5"/>
        <v>8.0732766875461257E-2</v>
      </c>
      <c r="E116" s="7">
        <f t="shared" si="7"/>
        <v>2.3935830704425927</v>
      </c>
      <c r="G116">
        <f t="shared" si="8"/>
        <v>11.428436866772206</v>
      </c>
    </row>
    <row r="117" spans="2:7" x14ac:dyDescent="0.25">
      <c r="B117">
        <f t="shared" si="9"/>
        <v>11200</v>
      </c>
      <c r="C117">
        <f t="shared" si="6"/>
        <v>28.348066845520076</v>
      </c>
      <c r="D117">
        <f t="shared" si="5"/>
        <v>8.2781209657120769E-2</v>
      </c>
      <c r="E117" s="7">
        <f t="shared" si="7"/>
        <v>2.3466872649130717</v>
      </c>
      <c r="G117">
        <f t="shared" si="8"/>
        <v>11.025712349672004</v>
      </c>
    </row>
    <row r="118" spans="2:7" x14ac:dyDescent="0.25">
      <c r="B118">
        <f t="shared" si="9"/>
        <v>11300</v>
      </c>
      <c r="C118">
        <f t="shared" si="6"/>
        <v>27.11573270055613</v>
      </c>
      <c r="D118">
        <f t="shared" si="5"/>
        <v>8.484796519186949E-2</v>
      </c>
      <c r="E118" s="7">
        <f t="shared" si="7"/>
        <v>2.3007147443288236</v>
      </c>
      <c r="G118">
        <f t="shared" si="8"/>
        <v>10.640571999199668</v>
      </c>
    </row>
    <row r="119" spans="2:7" x14ac:dyDescent="0.25">
      <c r="B119">
        <f t="shared" si="9"/>
        <v>11400</v>
      </c>
      <c r="C119">
        <f t="shared" si="6"/>
        <v>25.947128632279743</v>
      </c>
      <c r="D119">
        <f t="shared" si="5"/>
        <v>8.6932737978313357E-2</v>
      </c>
      <c r="E119" s="7">
        <f t="shared" si="7"/>
        <v>2.2556549346795669</v>
      </c>
      <c r="G119">
        <f t="shared" si="8"/>
        <v>10.272102475170282</v>
      </c>
    </row>
    <row r="120" spans="2:7" x14ac:dyDescent="0.25">
      <c r="B120">
        <f t="shared" si="9"/>
        <v>11500</v>
      </c>
      <c r="C120">
        <f t="shared" si="6"/>
        <v>24.838442495684269</v>
      </c>
      <c r="D120">
        <f t="shared" si="5"/>
        <v>8.9035236944692064E-2</v>
      </c>
      <c r="E120" s="7">
        <f t="shared" si="7"/>
        <v>2.2114966129403575</v>
      </c>
      <c r="G120">
        <f t="shared" si="8"/>
        <v>9.9194453078712534</v>
      </c>
    </row>
    <row r="121" spans="2:7" x14ac:dyDescent="0.25">
      <c r="B121">
        <f t="shared" si="9"/>
        <v>11600</v>
      </c>
      <c r="C121">
        <f t="shared" si="6"/>
        <v>23.786120538639732</v>
      </c>
      <c r="D121">
        <f t="shared" si="5"/>
        <v>9.1155175457981796E-2</v>
      </c>
      <c r="E121" s="7">
        <f t="shared" si="7"/>
        <v>2.1682279911644091</v>
      </c>
      <c r="G121">
        <f t="shared" si="8"/>
        <v>9.5817931628306106</v>
      </c>
    </row>
    <row r="122" spans="2:7" x14ac:dyDescent="0.25">
      <c r="B122">
        <f t="shared" si="9"/>
        <v>11700</v>
      </c>
      <c r="C122">
        <f t="shared" si="6"/>
        <v>22.786847864355053</v>
      </c>
      <c r="D122">
        <f t="shared" si="5"/>
        <v>9.3292271325623108E-2</v>
      </c>
      <c r="E122" s="7">
        <f t="shared" si="7"/>
        <v>2.1258367936171072</v>
      </c>
      <c r="G122">
        <f t="shared" si="8"/>
        <v>9.2583863892213607</v>
      </c>
    </row>
    <row r="123" spans="2:7" x14ac:dyDescent="0.25">
      <c r="B123">
        <f t="shared" si="9"/>
        <v>11800</v>
      </c>
      <c r="C123">
        <f t="shared" si="6"/>
        <v>21.837530521535676</v>
      </c>
      <c r="D123">
        <f t="shared" si="5"/>
        <v>9.5446246790516776E-2</v>
      </c>
      <c r="E123" s="7">
        <f t="shared" si="7"/>
        <v>2.0843103274539367</v>
      </c>
      <c r="G123">
        <f t="shared" si="8"/>
        <v>8.9485098281713302</v>
      </c>
    </row>
    <row r="124" spans="2:7" x14ac:dyDescent="0.25">
      <c r="B124">
        <f t="shared" si="9"/>
        <v>11900</v>
      </c>
      <c r="C124">
        <f t="shared" si="6"/>
        <v>20.93527907430682</v>
      </c>
      <c r="D124">
        <f t="shared" si="5"/>
        <v>9.7616828519882598E-2</v>
      </c>
      <c r="E124" s="7">
        <f t="shared" si="7"/>
        <v>2.0436355474124954</v>
      </c>
      <c r="G124">
        <f t="shared" si="8"/>
        <v>8.6514898594138536</v>
      </c>
    </row>
    <row r="125" spans="2:7" x14ac:dyDescent="0.25">
      <c r="B125">
        <f t="shared" si="9"/>
        <v>12000</v>
      </c>
      <c r="C125">
        <f t="shared" si="6"/>
        <v>20.077393518518512</v>
      </c>
      <c r="D125">
        <f t="shared" si="5"/>
        <v>9.9803747588537259E-2</v>
      </c>
      <c r="E125" s="7">
        <f t="shared" si="7"/>
        <v>2.0037991149579555</v>
      </c>
      <c r="G125">
        <f t="shared" si="8"/>
        <v>8.3666916666666626</v>
      </c>
    </row>
    <row r="126" spans="2:7" x14ac:dyDescent="0.25">
      <c r="B126">
        <f t="shared" si="9"/>
        <v>12100</v>
      </c>
      <c r="C126">
        <f t="shared" si="6"/>
        <v>19.261349424057258</v>
      </c>
      <c r="D126">
        <f t="shared" si="5"/>
        <v>0.10200673945710861</v>
      </c>
      <c r="E126" s="7">
        <f t="shared" si="7"/>
        <v>1.9647874522921378</v>
      </c>
      <c r="G126">
        <f t="shared" si="8"/>
        <v>8.0935167038868787</v>
      </c>
    </row>
    <row r="127" spans="2:7" x14ac:dyDescent="0.25">
      <c r="B127">
        <f t="shared" si="9"/>
        <v>12200</v>
      </c>
      <c r="C127">
        <f t="shared" si="6"/>
        <v>18.484785194435752</v>
      </c>
      <c r="D127">
        <f t="shared" si="5"/>
        <v>0.10422554394566348</v>
      </c>
      <c r="E127" s="7">
        <f t="shared" si="7"/>
        <v>1.9265867916088131</v>
      </c>
      <c r="G127">
        <f t="shared" si="8"/>
        <v>7.8314003461400423</v>
      </c>
    </row>
    <row r="128" spans="2:7" x14ac:dyDescent="0.25">
      <c r="B128">
        <f t="shared" si="9"/>
        <v>12300</v>
      </c>
      <c r="C128">
        <f t="shared" si="6"/>
        <v>17.745490345366107</v>
      </c>
      <c r="D128">
        <f t="shared" si="5"/>
        <v>0.10645990520319644</v>
      </c>
      <c r="E128" s="7">
        <f t="shared" si="7"/>
        <v>1.8891832199519134</v>
      </c>
      <c r="G128">
        <f t="shared" si="8"/>
        <v>7.5798097102573978</v>
      </c>
    </row>
    <row r="129" spans="2:7" x14ac:dyDescent="0.25">
      <c r="B129">
        <f t="shared" si="9"/>
        <v>12400</v>
      </c>
      <c r="C129">
        <f t="shared" si="6"/>
        <v>17.041394713381461</v>
      </c>
      <c r="D129">
        <f t="shared" si="5"/>
        <v>0.10870957167339072</v>
      </c>
      <c r="E129" s="7">
        <f t="shared" si="7"/>
        <v>1.8525627200088837</v>
      </c>
      <c r="G129">
        <f t="shared" si="8"/>
        <v>7.3382416317549852</v>
      </c>
    </row>
    <row r="130" spans="2:7" x14ac:dyDescent="0.25">
      <c r="B130">
        <f t="shared" si="9"/>
        <v>12500</v>
      </c>
      <c r="C130">
        <f t="shared" si="6"/>
        <v>16.370558513971197</v>
      </c>
      <c r="D130">
        <f t="shared" si="5"/>
        <v>0.11097429605703549</v>
      </c>
      <c r="E130" s="7">
        <f t="shared" si="7"/>
        <v>1.8167112071484626</v>
      </c>
      <c r="G130">
        <f t="shared" si="8"/>
        <v>7.1062207856639983</v>
      </c>
    </row>
    <row r="131" spans="2:7" x14ac:dyDescent="0.25">
      <c r="B131">
        <f t="shared" si="9"/>
        <v>12600</v>
      </c>
      <c r="C131">
        <f t="shared" si="6"/>
        <v>15.731163176243493</v>
      </c>
      <c r="D131">
        <f t="shared" si="5"/>
        <v>0.11325383527145291</v>
      </c>
      <c r="E131" s="7">
        <f t="shared" si="7"/>
        <v>1.7816145629906266</v>
      </c>
      <c r="G131">
        <f t="shared" si="8"/>
        <v>6.8832979399872789</v>
      </c>
    </row>
    <row r="132" spans="2:7" x14ac:dyDescent="0.25">
      <c r="B132">
        <f t="shared" si="9"/>
        <v>12700</v>
      </c>
      <c r="C132">
        <f t="shared" si="6"/>
        <v>15.121502887916417</v>
      </c>
      <c r="D132">
        <f t="shared" si="5"/>
        <v>0.11554795040726382</v>
      </c>
      <c r="E132" s="7">
        <f t="shared" si="7"/>
        <v>1.7472586657762628</v>
      </c>
      <c r="G132">
        <f t="shared" si="8"/>
        <v>6.6690483314626476</v>
      </c>
    </row>
    <row r="133" spans="2:7" x14ac:dyDescent="0.25">
      <c r="B133">
        <f t="shared" si="9"/>
        <v>12800</v>
      </c>
      <c r="C133">
        <f t="shared" si="6"/>
        <v>14.539976790547366</v>
      </c>
      <c r="D133">
        <f t="shared" si="5"/>
        <v>0.11785640668279614</v>
      </c>
      <c r="E133" s="7">
        <f t="shared" si="7"/>
        <v>1.7136294177851672</v>
      </c>
      <c r="G133">
        <f t="shared" si="8"/>
        <v>6.4630701541900608</v>
      </c>
    </row>
    <row r="134" spans="2:7" x14ac:dyDescent="0.25">
      <c r="B134">
        <f t="shared" si="9"/>
        <v>12900</v>
      </c>
      <c r="C134">
        <f t="shared" si="6"/>
        <v>13.985081770414345</v>
      </c>
      <c r="D134">
        <f t="shared" ref="D134:D197" si="10">1/(EXP((6.626E-34*300000000)/($B134*0.000000001*1.3806E-23*E$3))-1)</f>
        <v>0.1201789733964154</v>
      </c>
      <c r="E134" s="7">
        <f t="shared" si="7"/>
        <v>1.6807127700333195</v>
      </c>
      <c r="G134">
        <f t="shared" si="8"/>
        <v>6.2649831524755806</v>
      </c>
    </row>
    <row r="135" spans="2:7" x14ac:dyDescent="0.25">
      <c r="B135">
        <f t="shared" si="9"/>
        <v>13000</v>
      </c>
      <c r="C135">
        <f t="shared" ref="C135:C198" si="11">8*3.1416*6.626E-34*300000000/(B135*0.000000001)^5</f>
        <v>13.455405795423021</v>
      </c>
      <c r="D135">
        <f t="shared" si="10"/>
        <v>0.1225154238770382</v>
      </c>
      <c r="E135" s="7">
        <f t="shared" ref="E135:E198" si="12">C135*D135</f>
        <v>1.6484947444638078</v>
      </c>
      <c r="G135">
        <f t="shared" ref="G135:G198" si="13">8*3.1416*1.3806E-23*E$3/((B135*0.000000001)^4)</f>
        <v>6.0744273099681374</v>
      </c>
    </row>
    <row r="136" spans="2:7" x14ac:dyDescent="0.25">
      <c r="B136">
        <f t="shared" ref="B136:B199" si="14">B135+B$3</f>
        <v>13100</v>
      </c>
      <c r="C136">
        <f t="shared" si="11"/>
        <v>12.949621752890401</v>
      </c>
      <c r="D136">
        <f t="shared" si="10"/>
        <v>0.1248655354330666</v>
      </c>
      <c r="E136" s="7">
        <f t="shared" si="12"/>
        <v>1.6169614538303463</v>
      </c>
      <c r="G136">
        <f t="shared" si="13"/>
        <v>5.8910616278229799</v>
      </c>
    </row>
    <row r="137" spans="2:7" x14ac:dyDescent="0.25">
      <c r="B137">
        <f t="shared" si="14"/>
        <v>13200</v>
      </c>
      <c r="C137">
        <f t="shared" si="11"/>
        <v>12.466481747097824</v>
      </c>
      <c r="D137">
        <f t="shared" si="10"/>
        <v>0.12722908929996427</v>
      </c>
      <c r="E137" s="7">
        <f t="shared" si="12"/>
        <v>1.5860991194578835</v>
      </c>
      <c r="G137">
        <f t="shared" si="13"/>
        <v>5.7145629852241413</v>
      </c>
    </row>
    <row r="138" spans="2:7" x14ac:dyDescent="0.25">
      <c r="B138">
        <f t="shared" si="14"/>
        <v>13300</v>
      </c>
      <c r="C138">
        <f t="shared" si="11"/>
        <v>12.004811819159114</v>
      </c>
      <c r="D138">
        <f t="shared" si="10"/>
        <v>0.12960587058667822</v>
      </c>
      <c r="E138" s="7">
        <f t="shared" si="12"/>
        <v>1.5558940870513613</v>
      </c>
      <c r="G138">
        <f t="shared" si="13"/>
        <v>5.5446250761435572</v>
      </c>
    </row>
    <row r="139" spans="2:7" x14ac:dyDescent="0.25">
      <c r="B139">
        <f t="shared" si="14"/>
        <v>13400</v>
      </c>
      <c r="C139">
        <f t="shared" si="11"/>
        <v>11.56350705505397</v>
      </c>
      <c r="D139">
        <f t="shared" si="10"/>
        <v>0.13199566822109279</v>
      </c>
      <c r="E139" s="7">
        <f t="shared" si="12"/>
        <v>1.5263328407111696</v>
      </c>
      <c r="G139">
        <f t="shared" si="13"/>
        <v>5.380957416711456</v>
      </c>
    </row>
    <row r="140" spans="2:7" x14ac:dyDescent="0.25">
      <c r="B140">
        <f t="shared" si="14"/>
        <v>13500</v>
      </c>
      <c r="C140">
        <f t="shared" si="11"/>
        <v>11.141527050666641</v>
      </c>
      <c r="D140">
        <f t="shared" si="10"/>
        <v>0.13439827489468689</v>
      </c>
      <c r="E140" s="7">
        <f t="shared" si="12"/>
        <v>1.4974020153020853</v>
      </c>
      <c r="G140">
        <f t="shared" si="13"/>
        <v>5.2232844180257052</v>
      </c>
    </row>
    <row r="141" spans="2:7" x14ac:dyDescent="0.25">
      <c r="B141">
        <f t="shared" si="14"/>
        <v>13600</v>
      </c>
      <c r="C141">
        <f t="shared" si="11"/>
        <v>10.737891705379486</v>
      </c>
      <c r="D141">
        <f t="shared" si="10"/>
        <v>0.1368134870065538</v>
      </c>
      <c r="E141" s="7">
        <f t="shared" si="12"/>
        <v>1.4690884073117181</v>
      </c>
      <c r="G141">
        <f t="shared" si="13"/>
        <v>5.0713445196417668</v>
      </c>
    </row>
    <row r="142" spans="2:7" x14ac:dyDescent="0.25">
      <c r="B142">
        <f t="shared" si="14"/>
        <v>13700</v>
      </c>
      <c r="C142">
        <f t="shared" si="11"/>
        <v>10.351677318225999</v>
      </c>
      <c r="D142">
        <f t="shared" si="10"/>
        <v>0.13924110460692812</v>
      </c>
      <c r="E142" s="7">
        <f t="shared" si="12"/>
        <v>1.4413789843242715</v>
      </c>
      <c r="G142">
        <f t="shared" si="13"/>
        <v>4.9248893793625248</v>
      </c>
    </row>
    <row r="143" spans="2:7" x14ac:dyDescent="0.25">
      <c r="B143">
        <f t="shared" si="14"/>
        <v>13800</v>
      </c>
      <c r="C143">
        <f t="shared" si="11"/>
        <v>9.9820129628360732</v>
      </c>
      <c r="D143">
        <f t="shared" si="10"/>
        <v>0.14168093134035109</v>
      </c>
      <c r="E143" s="7">
        <f t="shared" si="12"/>
        <v>1.4142608932260723</v>
      </c>
      <c r="G143">
        <f t="shared" si="13"/>
        <v>4.783683115292849</v>
      </c>
    </row>
    <row r="144" spans="2:7" x14ac:dyDescent="0.25">
      <c r="B144">
        <f t="shared" si="14"/>
        <v>13900</v>
      </c>
      <c r="C144">
        <f t="shared" si="11"/>
        <v>9.6280771194280987</v>
      </c>
      <c r="D144">
        <f t="shared" si="10"/>
        <v>0.1441327743885982</v>
      </c>
      <c r="E144" s="7">
        <f t="shared" si="12"/>
        <v>1.3877214672505547</v>
      </c>
      <c r="G144">
        <f t="shared" si="13"/>
        <v>4.647501596439426</v>
      </c>
    </row>
    <row r="145" spans="2:7" x14ac:dyDescent="0.25">
      <c r="B145">
        <f t="shared" si="14"/>
        <v>14000</v>
      </c>
      <c r="C145">
        <f t="shared" si="11"/>
        <v>9.2890945439400205</v>
      </c>
      <c r="D145">
        <f t="shared" si="10"/>
        <v>0.1465964444134778</v>
      </c>
      <c r="E145" s="7">
        <f t="shared" si="12"/>
        <v>1.3617482319622431</v>
      </c>
      <c r="G145">
        <f t="shared" si="13"/>
        <v>4.5161317784256534</v>
      </c>
    </row>
    <row r="146" spans="2:7" x14ac:dyDescent="0.25">
      <c r="B146">
        <f t="shared" si="14"/>
        <v>14100</v>
      </c>
      <c r="C146">
        <f t="shared" si="11"/>
        <v>8.9643333560616654</v>
      </c>
      <c r="D146">
        <f t="shared" si="10"/>
        <v>0.14907175549960316</v>
      </c>
      <c r="E146" s="7">
        <f t="shared" si="12"/>
        <v>1.3363289102717617</v>
      </c>
      <c r="G146">
        <f t="shared" si="13"/>
        <v>4.3893710811560558</v>
      </c>
    </row>
    <row r="147" spans="2:7" x14ac:dyDescent="0.25">
      <c r="B147">
        <f t="shared" si="14"/>
        <v>14200</v>
      </c>
      <c r="C147">
        <f t="shared" si="11"/>
        <v>8.6531023294499061</v>
      </c>
      <c r="D147">
        <f t="shared" si="10"/>
        <v>0.15155852509723008</v>
      </c>
      <c r="E147" s="7">
        <f t="shared" si="12"/>
        <v>1.3114514265668338</v>
      </c>
      <c r="G147">
        <f t="shared" si="13"/>
        <v>4.2670268055072764</v>
      </c>
    </row>
    <row r="148" spans="2:7" x14ac:dyDescent="0.25">
      <c r="B148">
        <f t="shared" si="14"/>
        <v>14300</v>
      </c>
      <c r="C148">
        <f t="shared" si="11"/>
        <v>8.3547483687918849</v>
      </c>
      <c r="D148">
        <f t="shared" si="10"/>
        <v>0.15405657396524347</v>
      </c>
      <c r="E148" s="7">
        <f t="shared" si="12"/>
        <v>1.2871039100377843</v>
      </c>
      <c r="G148">
        <f t="shared" si="13"/>
        <v>4.1489155863452885</v>
      </c>
    </row>
    <row r="149" spans="2:7" x14ac:dyDescent="0.25">
      <c r="B149">
        <f t="shared" si="14"/>
        <v>14400</v>
      </c>
      <c r="C149">
        <f t="shared" si="11"/>
        <v>8.0686541596412482</v>
      </c>
      <c r="D149">
        <f t="shared" si="10"/>
        <v>0.15656572611436945</v>
      </c>
      <c r="E149" s="7">
        <f t="shared" si="12"/>
        <v>1.2632746972699593</v>
      </c>
      <c r="G149">
        <f t="shared" si="13"/>
        <v>4.0348628793724268</v>
      </c>
    </row>
    <row r="150" spans="2:7" x14ac:dyDescent="0.25">
      <c r="B150">
        <f t="shared" si="14"/>
        <v>14500</v>
      </c>
      <c r="C150">
        <f t="shared" si="11"/>
        <v>7.7942359781014705</v>
      </c>
      <c r="D150">
        <f t="shared" si="10"/>
        <v>0.15908580875068101</v>
      </c>
      <c r="E150" s="7">
        <f t="shared" si="12"/>
        <v>1.2399523341699277</v>
      </c>
      <c r="G150">
        <f t="shared" si="13"/>
        <v>3.9247024794954193</v>
      </c>
    </row>
    <row r="151" spans="2:7" x14ac:dyDescent="0.25">
      <c r="B151">
        <f t="shared" si="14"/>
        <v>14600</v>
      </c>
      <c r="C151">
        <f t="shared" si="11"/>
        <v>7.530941648477838</v>
      </c>
      <c r="D151">
        <f t="shared" si="10"/>
        <v>0.1616166522194612</v>
      </c>
      <c r="E151" s="7">
        <f t="shared" si="12"/>
        <v>1.2171255772870986</v>
      </c>
      <c r="G151">
        <f t="shared" si="13"/>
        <v>3.8182760685776271</v>
      </c>
    </row>
    <row r="152" spans="2:7" x14ac:dyDescent="0.25">
      <c r="B152">
        <f t="shared" si="14"/>
        <v>14700</v>
      </c>
      <c r="C152">
        <f t="shared" si="11"/>
        <v>7.278248637976402</v>
      </c>
      <c r="D152">
        <f t="shared" si="10"/>
        <v>0.16415808994947748</v>
      </c>
      <c r="E152" s="7">
        <f t="shared" si="12"/>
        <v>1.1947833945875921</v>
      </c>
      <c r="G152">
        <f t="shared" si="13"/>
        <v>3.7154327905970481</v>
      </c>
    </row>
    <row r="153" spans="2:7" x14ac:dyDescent="0.25">
      <c r="B153">
        <f t="shared" si="14"/>
        <v>14800</v>
      </c>
      <c r="C153">
        <f t="shared" si="11"/>
        <v>7.0356622784015608</v>
      </c>
      <c r="D153">
        <f t="shared" si="10"/>
        <v>0.16670995839771943</v>
      </c>
      <c r="E153" s="7">
        <f t="shared" si="12"/>
        <v>1.172914965732728</v>
      </c>
      <c r="G153">
        <f t="shared" si="13"/>
        <v>3.6160288523771422</v>
      </c>
    </row>
    <row r="154" spans="2:7" x14ac:dyDescent="0.25">
      <c r="B154">
        <f t="shared" si="14"/>
        <v>14900</v>
      </c>
      <c r="C154">
        <f t="shared" si="11"/>
        <v>6.802714105602405</v>
      </c>
      <c r="D154">
        <f t="shared" si="10"/>
        <v>0.16927209699464435</v>
      </c>
      <c r="E154" s="7">
        <f t="shared" si="12"/>
        <v>1.1515096819103656</v>
      </c>
      <c r="G154">
        <f t="shared" si="13"/>
        <v>3.5199271481914867</v>
      </c>
    </row>
    <row r="155" spans="2:7" x14ac:dyDescent="0.25">
      <c r="B155">
        <f t="shared" si="14"/>
        <v>15000</v>
      </c>
      <c r="C155">
        <f t="shared" si="11"/>
        <v>6.5789603081481483</v>
      </c>
      <c r="D155">
        <f t="shared" si="10"/>
        <v>0.17184434808997054</v>
      </c>
      <c r="E155" s="7">
        <f t="shared" si="12"/>
        <v>1.1305571452635101</v>
      </c>
      <c r="G155">
        <f t="shared" si="13"/>
        <v>3.4269969066666661</v>
      </c>
    </row>
    <row r="156" spans="2:7" x14ac:dyDescent="0.25">
      <c r="B156">
        <f t="shared" si="14"/>
        <v>15100</v>
      </c>
      <c r="C156">
        <f t="shared" si="11"/>
        <v>6.3639802773808256</v>
      </c>
      <c r="D156">
        <f t="shared" si="10"/>
        <v>0.17442655689905393</v>
      </c>
      <c r="E156" s="7">
        <f t="shared" si="12"/>
        <v>1.1100471679570236</v>
      </c>
      <c r="G156">
        <f t="shared" si="13"/>
        <v>3.3371133585213482</v>
      </c>
    </row>
    <row r="157" spans="2:7" x14ac:dyDescent="0.25">
      <c r="B157">
        <f t="shared" si="14"/>
        <v>15200</v>
      </c>
      <c r="C157">
        <f t="shared" si="11"/>
        <v>6.1573752516054485</v>
      </c>
      <c r="D157">
        <f t="shared" si="10"/>
        <v>0.17701857144988048</v>
      </c>
      <c r="E157" s="7">
        <f t="shared" si="12"/>
        <v>1.0899697709200449</v>
      </c>
      <c r="G157">
        <f t="shared" si="13"/>
        <v>3.2501574237843474</v>
      </c>
    </row>
    <row r="158" spans="2:7" x14ac:dyDescent="0.25">
      <c r="B158">
        <f t="shared" si="14"/>
        <v>15300</v>
      </c>
      <c r="C158">
        <f t="shared" si="11"/>
        <v>5.95876704773789</v>
      </c>
      <c r="D158">
        <f t="shared" si="10"/>
        <v>0.17962024253070064</v>
      </c>
      <c r="E158" s="7">
        <f t="shared" si="12"/>
        <v>1.0703151822986268</v>
      </c>
      <c r="G158">
        <f t="shared" si="13"/>
        <v>3.1660154172310109</v>
      </c>
    </row>
    <row r="159" spans="2:7" x14ac:dyDescent="0.25">
      <c r="B159">
        <f t="shared" si="14"/>
        <v>15400</v>
      </c>
      <c r="C159">
        <f t="shared" si="11"/>
        <v>5.7677968742448176</v>
      </c>
      <c r="D159">
        <f t="shared" si="10"/>
        <v>0.18223142363833059</v>
      </c>
      <c r="E159" s="7">
        <f t="shared" si="12"/>
        <v>1.0510738356503464</v>
      </c>
      <c r="G159">
        <f t="shared" si="13"/>
        <v>3.084578770866508</v>
      </c>
    </row>
    <row r="160" spans="2:7" x14ac:dyDescent="0.25">
      <c r="B160">
        <f t="shared" si="14"/>
        <v>15500</v>
      </c>
      <c r="C160">
        <f t="shared" si="11"/>
        <v>5.5841242196808407</v>
      </c>
      <c r="D160">
        <f t="shared" si="10"/>
        <v>0.18485197092714234</v>
      </c>
      <c r="E160" s="7">
        <f t="shared" si="12"/>
        <v>1.0322363679099942</v>
      </c>
      <c r="G160">
        <f t="shared" si="13"/>
        <v>3.0057437723668432</v>
      </c>
    </row>
    <row r="161" spans="2:7" x14ac:dyDescent="0.25">
      <c r="B161">
        <f t="shared" si="14"/>
        <v>15600</v>
      </c>
      <c r="C161">
        <f t="shared" si="11"/>
        <v>5.4074258115608229</v>
      </c>
      <c r="D161">
        <f t="shared" si="10"/>
        <v>0.18748174315875754</v>
      </c>
      <c r="E161" s="7">
        <f t="shared" si="12"/>
        <v>1.0137936171530824</v>
      </c>
      <c r="G161">
        <f t="shared" si="13"/>
        <v>2.9294113184645734</v>
      </c>
    </row>
    <row r="162" spans="2:7" x14ac:dyDescent="0.25">
      <c r="B162">
        <f t="shared" si="14"/>
        <v>15700</v>
      </c>
      <c r="C162">
        <f t="shared" si="11"/>
        <v>5.2373946407020524</v>
      </c>
      <c r="D162">
        <f t="shared" si="10"/>
        <v>0.19012060165246333</v>
      </c>
      <c r="E162" s="7">
        <f t="shared" si="12"/>
        <v>0.9957366201816612</v>
      </c>
      <c r="G162">
        <f t="shared" si="13"/>
        <v>2.8554866823364042</v>
      </c>
    </row>
    <row r="163" spans="2:7" x14ac:dyDescent="0.25">
      <c r="B163">
        <f t="shared" si="14"/>
        <v>15800</v>
      </c>
      <c r="C163">
        <f t="shared" si="11"/>
        <v>5.0737390465360779</v>
      </c>
      <c r="D163">
        <f t="shared" si="10"/>
        <v>0.19276841023636018</v>
      </c>
      <c r="E163" s="7">
        <f t="shared" si="12"/>
        <v>0.97805660995490562</v>
      </c>
      <c r="G163">
        <f t="shared" si="13"/>
        <v>2.7838792941149459</v>
      </c>
    </row>
    <row r="164" spans="2:7" x14ac:dyDescent="0.25">
      <c r="B164">
        <f t="shared" si="14"/>
        <v>15900</v>
      </c>
      <c r="C164">
        <f t="shared" si="11"/>
        <v>4.9161818592250963</v>
      </c>
      <c r="D164">
        <f t="shared" si="10"/>
        <v>0.19542503519925447</v>
      </c>
      <c r="E164" s="7">
        <f t="shared" si="12"/>
        <v>0.96074501288500069</v>
      </c>
      <c r="G164">
        <f t="shared" si="13"/>
        <v>2.7145025337069639</v>
      </c>
    </row>
    <row r="165" spans="2:7" x14ac:dyDescent="0.25">
      <c r="B165">
        <f t="shared" si="14"/>
        <v>16000</v>
      </c>
      <c r="C165">
        <f t="shared" si="11"/>
        <v>4.7644595947265582</v>
      </c>
      <c r="D165">
        <f t="shared" si="10"/>
        <v>0.19809034524330124</v>
      </c>
      <c r="E165" s="7">
        <f t="shared" si="12"/>
        <v>0.94379344601714299</v>
      </c>
      <c r="G165">
        <f t="shared" si="13"/>
        <v>2.6472735351562475</v>
      </c>
    </row>
    <row r="166" spans="2:7" x14ac:dyDescent="0.25">
      <c r="B166">
        <f t="shared" si="14"/>
        <v>16100</v>
      </c>
      <c r="C166">
        <f t="shared" si="11"/>
        <v>4.6183216992332534</v>
      </c>
      <c r="D166">
        <f t="shared" si="10"/>
        <v>0.20076421143740514</v>
      </c>
      <c r="E166" s="7">
        <f t="shared" si="12"/>
        <v>0.92719371411082108</v>
      </c>
      <c r="G166">
        <f t="shared" si="13"/>
        <v>2.5821130018407041</v>
      </c>
    </row>
    <row r="167" spans="2:7" x14ac:dyDescent="0.25">
      <c r="B167">
        <f t="shared" si="14"/>
        <v>16200</v>
      </c>
      <c r="C167">
        <f t="shared" si="11"/>
        <v>4.4775298396776311</v>
      </c>
      <c r="D167">
        <f t="shared" si="10"/>
        <v>0.20344650717138299</v>
      </c>
      <c r="E167" s="7">
        <f t="shared" si="12"/>
        <v>0.91093780663805646</v>
      </c>
      <c r="G167">
        <f t="shared" si="13"/>
        <v>2.5189450318411004</v>
      </c>
    </row>
    <row r="168" spans="2:7" x14ac:dyDescent="0.25">
      <c r="B168">
        <f t="shared" si="14"/>
        <v>16300</v>
      </c>
      <c r="C168">
        <f t="shared" si="11"/>
        <v>4.3418572372299078</v>
      </c>
      <c r="D168">
        <f t="shared" si="10"/>
        <v>0.20613710811089131</v>
      </c>
      <c r="E168" s="7">
        <f t="shared" si="12"/>
        <v>0.89501789471291737</v>
      </c>
      <c r="G168">
        <f t="shared" si="13"/>
        <v>2.4576969528632064</v>
      </c>
    </row>
    <row r="169" spans="2:7" x14ac:dyDescent="0.25">
      <c r="B169">
        <f t="shared" si="14"/>
        <v>16400</v>
      </c>
      <c r="C169">
        <f t="shared" si="11"/>
        <v>4.2110880409413705</v>
      </c>
      <c r="D169">
        <f t="shared" si="10"/>
        <v>0.20883589215311965</v>
      </c>
      <c r="E169" s="7">
        <f t="shared" si="12"/>
        <v>0.87942632796532394</v>
      </c>
      <c r="G169">
        <f t="shared" si="13"/>
        <v>2.3982991661361295</v>
      </c>
    </row>
    <row r="170" spans="2:7" x14ac:dyDescent="0.25">
      <c r="B170">
        <f t="shared" si="14"/>
        <v>16500</v>
      </c>
      <c r="C170">
        <f t="shared" si="11"/>
        <v>4.0850167388890144</v>
      </c>
      <c r="D170">
        <f t="shared" si="10"/>
        <v>0.21154273938324861</v>
      </c>
      <c r="E170" s="7">
        <f t="shared" si="12"/>
        <v>0.86415563137100693</v>
      </c>
      <c r="G170">
        <f t="shared" si="13"/>
        <v>2.340684998747808</v>
      </c>
    </row>
    <row r="171" spans="2:7" x14ac:dyDescent="0.25">
      <c r="B171">
        <f t="shared" si="14"/>
        <v>16600</v>
      </c>
      <c r="C171">
        <f t="shared" si="11"/>
        <v>3.9634476043663391</v>
      </c>
      <c r="D171">
        <f t="shared" si="10"/>
        <v>0.21425753203167369</v>
      </c>
      <c r="E171" s="7">
        <f t="shared" si="12"/>
        <v>0.84919850204838132</v>
      </c>
      <c r="G171">
        <f t="shared" si="13"/>
        <v>2.284790563913965</v>
      </c>
    </row>
    <row r="172" spans="2:7" x14ac:dyDescent="0.25">
      <c r="B172">
        <f t="shared" si="14"/>
        <v>16700</v>
      </c>
      <c r="C172">
        <f t="shared" si="11"/>
        <v>3.8461941748396589</v>
      </c>
      <c r="D172">
        <f t="shared" si="10"/>
        <v>0.2169801544319904</v>
      </c>
      <c r="E172" s="7">
        <f t="shared" si="12"/>
        <v>0.83454780603213108</v>
      </c>
      <c r="G172">
        <f t="shared" si="13"/>
        <v>2.2305546287097964</v>
      </c>
    </row>
    <row r="173" spans="2:7" x14ac:dyDescent="0.25">
      <c r="B173">
        <f t="shared" si="14"/>
        <v>16800</v>
      </c>
      <c r="C173">
        <f t="shared" si="11"/>
        <v>3.7330787615499696</v>
      </c>
      <c r="D173">
        <f t="shared" si="10"/>
        <v>0.21971049297973655</v>
      </c>
      <c r="E173" s="7">
        <f t="shared" si="12"/>
        <v>0.82019657503232823</v>
      </c>
      <c r="G173">
        <f t="shared" si="13"/>
        <v>2.1779184888240999</v>
      </c>
    </row>
    <row r="174" spans="2:7" x14ac:dyDescent="0.25">
      <c r="B174">
        <f t="shared" si="14"/>
        <v>16900</v>
      </c>
      <c r="C174">
        <f t="shared" si="11"/>
        <v>3.6239319877894336</v>
      </c>
      <c r="D174">
        <f t="shared" si="10"/>
        <v>0.22244843609189008</v>
      </c>
      <c r="E174" s="7">
        <f t="shared" si="12"/>
        <v>0.80613800318713402</v>
      </c>
      <c r="G174">
        <f t="shared" si="13"/>
        <v>2.1268258499240704</v>
      </c>
    </row>
    <row r="175" spans="2:7" x14ac:dyDescent="0.25">
      <c r="B175">
        <f t="shared" si="14"/>
        <v>17000</v>
      </c>
      <c r="C175">
        <f t="shared" si="11"/>
        <v>3.5185923540187503</v>
      </c>
      <c r="D175">
        <f t="shared" si="10"/>
        <v>0.22519387416711453</v>
      </c>
      <c r="E175" s="7">
        <f t="shared" si="12"/>
        <v>0.79236544381626972</v>
      </c>
      <c r="G175">
        <f t="shared" si="13"/>
        <v>2.0772227152452678</v>
      </c>
    </row>
    <row r="176" spans="2:7" x14ac:dyDescent="0.25">
      <c r="B176">
        <f t="shared" si="14"/>
        <v>17100</v>
      </c>
      <c r="C176">
        <f t="shared" si="11"/>
        <v>3.4169058281191416</v>
      </c>
      <c r="D176">
        <f t="shared" si="10"/>
        <v>0.22794669954674737</v>
      </c>
      <c r="E176" s="7">
        <f t="shared" si="12"/>
        <v>0.77887240618180398</v>
      </c>
      <c r="G176">
        <f t="shared" si="13"/>
        <v>2.0290572790459809</v>
      </c>
    </row>
    <row r="177" spans="2:7" x14ac:dyDescent="0.25">
      <c r="B177">
        <f t="shared" si="14"/>
        <v>17200</v>
      </c>
      <c r="C177">
        <f t="shared" si="11"/>
        <v>3.3187254591901216</v>
      </c>
      <c r="D177">
        <f t="shared" si="10"/>
        <v>0.23070680647652364</v>
      </c>
      <c r="E177" s="7">
        <f t="shared" si="12"/>
        <v>0.76565255226208739</v>
      </c>
      <c r="G177">
        <f t="shared" si="13"/>
        <v>1.9822798255879759</v>
      </c>
    </row>
    <row r="178" spans="2:7" x14ac:dyDescent="0.25">
      <c r="B178">
        <f t="shared" si="14"/>
        <v>17300</v>
      </c>
      <c r="C178">
        <f t="shared" si="11"/>
        <v>3.2239110134132165</v>
      </c>
      <c r="D178">
        <f t="shared" si="10"/>
        <v>0.23347409106903014</v>
      </c>
      <c r="E178" s="7">
        <f t="shared" si="12"/>
        <v>0.7526996935440865</v>
      </c>
      <c r="G178">
        <f t="shared" si="13"/>
        <v>1.9368426333269533</v>
      </c>
    </row>
    <row r="179" spans="2:7" x14ac:dyDescent="0.25">
      <c r="B179">
        <f t="shared" si="14"/>
        <v>17400</v>
      </c>
      <c r="C179">
        <f t="shared" si="11"/>
        <v>3.1323286306027645</v>
      </c>
      <c r="D179">
        <f t="shared" si="10"/>
        <v>0.23624845126687768</v>
      </c>
      <c r="E179" s="7">
        <f t="shared" si="12"/>
        <v>0.74000778783880294</v>
      </c>
      <c r="G179">
        <f t="shared" si="13"/>
        <v>1.8926998840159237</v>
      </c>
    </row>
    <row r="180" spans="2:7" x14ac:dyDescent="0.25">
      <c r="B180">
        <f t="shared" si="14"/>
        <v>17500</v>
      </c>
      <c r="C180">
        <f t="shared" si="11"/>
        <v>3.0438505001582663</v>
      </c>
      <c r="D180">
        <f t="shared" si="10"/>
        <v>0.23902978680658848</v>
      </c>
      <c r="E180" s="7">
        <f t="shared" si="12"/>
        <v>0.72757093612395807</v>
      </c>
      <c r="G180">
        <f t="shared" si="13"/>
        <v>1.8498075764431481</v>
      </c>
    </row>
    <row r="181" spans="2:7" x14ac:dyDescent="0.25">
      <c r="B181">
        <f t="shared" si="14"/>
        <v>17600</v>
      </c>
      <c r="C181">
        <f t="shared" si="11"/>
        <v>2.9583545552195027</v>
      </c>
      <c r="D181">
        <f t="shared" si="10"/>
        <v>0.24181799918318633</v>
      </c>
      <c r="E181" s="7">
        <f t="shared" si="12"/>
        <v>0.71538337941764529</v>
      </c>
      <c r="G181">
        <f t="shared" si="13"/>
        <v>1.8081234445435759</v>
      </c>
    </row>
    <row r="182" spans="2:7" x14ac:dyDescent="0.25">
      <c r="B182">
        <f t="shared" si="14"/>
        <v>17700</v>
      </c>
      <c r="C182">
        <f t="shared" si="11"/>
        <v>2.8757241839059331</v>
      </c>
      <c r="D182">
        <f t="shared" si="10"/>
        <v>0.24461299161548172</v>
      </c>
      <c r="E182" s="7">
        <f t="shared" si="12"/>
        <v>0.70343949568622</v>
      </c>
      <c r="G182">
        <f t="shared" si="13"/>
        <v>1.7676068796387814</v>
      </c>
    </row>
    <row r="183" spans="2:7" x14ac:dyDescent="0.25">
      <c r="B183">
        <f t="shared" si="14"/>
        <v>17800</v>
      </c>
      <c r="C183">
        <f t="shared" si="11"/>
        <v>2.7958479565964938</v>
      </c>
      <c r="D183">
        <f t="shared" si="10"/>
        <v>0.24741466901204329</v>
      </c>
      <c r="E183" s="7">
        <f t="shared" si="12"/>
        <v>0.69173379678931912</v>
      </c>
      <c r="G183">
        <f t="shared" si="13"/>
        <v>1.7282188565754282</v>
      </c>
    </row>
    <row r="184" spans="2:7" x14ac:dyDescent="0.25">
      <c r="B184">
        <f t="shared" si="14"/>
        <v>17900</v>
      </c>
      <c r="C184">
        <f t="shared" si="11"/>
        <v>2.718619368275081</v>
      </c>
      <c r="D184">
        <f t="shared" si="10"/>
        <v>0.25022293793784406</v>
      </c>
      <c r="E184" s="7">
        <f t="shared" si="12"/>
        <v>0.68026092546451644</v>
      </c>
      <c r="G184">
        <f t="shared" si="13"/>
        <v>1.6899218635462905</v>
      </c>
    </row>
    <row r="185" spans="2:7" x14ac:dyDescent="0.25">
      <c r="B185">
        <f t="shared" si="14"/>
        <v>18000</v>
      </c>
      <c r="C185">
        <f t="shared" si="11"/>
        <v>2.6439365950312452</v>
      </c>
      <c r="D185">
        <f t="shared" si="10"/>
        <v>0.25303770658157543</v>
      </c>
      <c r="E185" s="7">
        <f t="shared" si="12"/>
        <v>0.66901565235380589</v>
      </c>
      <c r="G185">
        <f t="shared" si="13"/>
        <v>1.6526798353909462</v>
      </c>
    </row>
    <row r="186" spans="2:7" x14ac:dyDescent="0.25">
      <c r="B186">
        <f t="shared" si="14"/>
        <v>18100</v>
      </c>
      <c r="C186">
        <f t="shared" si="11"/>
        <v>2.571702263865379</v>
      </c>
      <c r="D186">
        <f t="shared" si="10"/>
        <v>0.25585888472361606</v>
      </c>
      <c r="E186" s="7">
        <f t="shared" si="12"/>
        <v>0.6579928730737945</v>
      </c>
      <c r="G186">
        <f t="shared" si="13"/>
        <v>1.6164580901855068</v>
      </c>
    </row>
    <row r="187" spans="2:7" x14ac:dyDescent="0.25">
      <c r="B187">
        <f t="shared" si="14"/>
        <v>18200</v>
      </c>
      <c r="C187">
        <f t="shared" si="11"/>
        <v>2.5018232350030889</v>
      </c>
      <c r="D187">
        <f t="shared" si="10"/>
        <v>0.25868638370464753</v>
      </c>
      <c r="E187" s="7">
        <f t="shared" si="12"/>
        <v>0.64718760533121167</v>
      </c>
      <c r="G187">
        <f t="shared" si="13"/>
        <v>1.5812232689421424</v>
      </c>
    </row>
    <row r="188" spans="2:7" x14ac:dyDescent="0.25">
      <c r="B188">
        <f t="shared" si="14"/>
        <v>18300</v>
      </c>
      <c r="C188">
        <f t="shared" si="11"/>
        <v>2.4342103959750774</v>
      </c>
      <c r="D188">
        <f t="shared" si="10"/>
        <v>0.2615201163949048</v>
      </c>
      <c r="E188" s="7">
        <f t="shared" si="12"/>
        <v>0.63659498608508958</v>
      </c>
      <c r="G188">
        <f t="shared" si="13"/>
        <v>1.5469432782498846</v>
      </c>
    </row>
    <row r="189" spans="2:7" x14ac:dyDescent="0.25">
      <c r="B189">
        <f t="shared" si="14"/>
        <v>18400</v>
      </c>
      <c r="C189">
        <f t="shared" si="11"/>
        <v>2.3687784667667642</v>
      </c>
      <c r="D189">
        <f t="shared" si="10"/>
        <v>0.26435999716405317</v>
      </c>
      <c r="E189" s="7">
        <f t="shared" si="12"/>
        <v>0.62621026875673202</v>
      </c>
      <c r="G189">
        <f t="shared" si="13"/>
        <v>1.5135872356981281</v>
      </c>
    </row>
    <row r="190" spans="2:7" x14ac:dyDescent="0.25">
      <c r="B190">
        <f t="shared" si="14"/>
        <v>18500</v>
      </c>
      <c r="C190">
        <f t="shared" si="11"/>
        <v>2.3054458153866224</v>
      </c>
      <c r="D190">
        <f t="shared" si="10"/>
        <v>0.26720594185167978</v>
      </c>
      <c r="E190" s="7">
        <f t="shared" si="12"/>
        <v>0.61602882048839636</v>
      </c>
      <c r="G190">
        <f t="shared" si="13"/>
        <v>1.4811254179336772</v>
      </c>
    </row>
    <row r="191" spans="2:7" x14ac:dyDescent="0.25">
      <c r="B191">
        <f t="shared" si="14"/>
        <v>18600</v>
      </c>
      <c r="C191">
        <f t="shared" si="11"/>
        <v>2.2441342832436502</v>
      </c>
      <c r="D191">
        <f t="shared" si="10"/>
        <v>0.2700578677383878</v>
      </c>
      <c r="E191" s="7">
        <f t="shared" si="12"/>
        <v>0.60604611945139542</v>
      </c>
      <c r="G191">
        <f t="shared" si="13"/>
        <v>1.4495292112108615</v>
      </c>
    </row>
    <row r="192" spans="2:7" x14ac:dyDescent="0.25">
      <c r="B192">
        <f t="shared" si="14"/>
        <v>18700</v>
      </c>
      <c r="C192">
        <f t="shared" si="11"/>
        <v>2.1847690197631491</v>
      </c>
      <c r="D192">
        <f t="shared" si="10"/>
        <v>0.27291569351748723</v>
      </c>
      <c r="E192" s="7">
        <f t="shared" si="12"/>
        <v>0.59625775220418065</v>
      </c>
      <c r="G192">
        <f t="shared" si="13"/>
        <v>1.4187710643024842</v>
      </c>
    </row>
    <row r="193" spans="2:7" x14ac:dyDescent="0.25">
      <c r="B193">
        <f t="shared" si="14"/>
        <v>18800</v>
      </c>
      <c r="C193">
        <f t="shared" si="11"/>
        <v>2.1272783257060404</v>
      </c>
      <c r="D193">
        <f t="shared" si="10"/>
        <v>0.27577933926726683</v>
      </c>
      <c r="E193" s="7">
        <f t="shared" si="12"/>
        <v>0.58665941110078945</v>
      </c>
      <c r="G193">
        <f t="shared" si="13"/>
        <v>1.3888244436470336</v>
      </c>
    </row>
    <row r="194" spans="2:7" x14ac:dyDescent="0.25">
      <c r="B194">
        <f t="shared" si="14"/>
        <v>18900</v>
      </c>
      <c r="C194">
        <f t="shared" si="11"/>
        <v>2.0715935046905014</v>
      </c>
      <c r="D194">
        <f t="shared" si="10"/>
        <v>0.27864872642383975</v>
      </c>
      <c r="E194" s="7">
        <f t="shared" si="12"/>
        <v>0.57724689174990695</v>
      </c>
      <c r="G194">
        <f t="shared" si="13"/>
        <v>1.3596637906147713</v>
      </c>
    </row>
    <row r="195" spans="2:7" x14ac:dyDescent="0.25">
      <c r="B195">
        <f t="shared" si="14"/>
        <v>19000</v>
      </c>
      <c r="C195">
        <f t="shared" si="11"/>
        <v>2.0176487224460726</v>
      </c>
      <c r="D195">
        <f t="shared" si="10"/>
        <v>0.28152377775455006</v>
      </c>
      <c r="E195" s="7">
        <f t="shared" si="12"/>
        <v>0.56801609052466007</v>
      </c>
      <c r="G195">
        <f t="shared" si="13"/>
        <v>1.3312644807820684</v>
      </c>
    </row>
    <row r="196" spans="2:7" x14ac:dyDescent="0.25">
      <c r="B196">
        <f t="shared" si="14"/>
        <v>19100</v>
      </c>
      <c r="C196">
        <f t="shared" si="11"/>
        <v>1.9653808733595437</v>
      </c>
      <c r="D196">
        <f t="shared" si="10"/>
        <v>0.28440441733193383</v>
      </c>
      <c r="E196" s="7">
        <f t="shared" si="12"/>
        <v>0.55896300212314831</v>
      </c>
      <c r="G196">
        <f t="shared" si="13"/>
        <v>1.3036027851096577</v>
      </c>
    </row>
    <row r="197" spans="2:7" x14ac:dyDescent="0.25">
      <c r="B197">
        <f t="shared" si="14"/>
        <v>19200</v>
      </c>
      <c r="C197">
        <f t="shared" si="11"/>
        <v>1.914729453899241</v>
      </c>
      <c r="D197">
        <f t="shared" si="10"/>
        <v>0.28729057050821871</v>
      </c>
      <c r="E197" s="7">
        <f t="shared" si="12"/>
        <v>0.55008371717960303</v>
      </c>
      <c r="G197">
        <f t="shared" si="13"/>
        <v>1.2766558329264315</v>
      </c>
    </row>
    <row r="198" spans="2:7" x14ac:dyDescent="0.25">
      <c r="B198">
        <f t="shared" si="14"/>
        <v>19300</v>
      </c>
      <c r="C198">
        <f t="shared" si="11"/>
        <v>1.8656364425297403</v>
      </c>
      <c r="D198">
        <f t="shared" ref="D198:D261" si="15">1/(EXP((6.626E-34*300000000)/($B198*0.000000001*1.3806E-23*E$3))-1)</f>
        <v>0.29018216389035545</v>
      </c>
      <c r="E198" s="7">
        <f t="shared" si="12"/>
        <v>0.54137441992598478</v>
      </c>
      <c r="G198">
        <f t="shared" si="13"/>
        <v>1.2504015766259582</v>
      </c>
    </row>
    <row r="199" spans="2:7" x14ac:dyDescent="0.25">
      <c r="B199">
        <f t="shared" si="14"/>
        <v>19400</v>
      </c>
      <c r="C199">
        <f t="shared" ref="C199:C262" si="16">8*3.1416*6.626E-34*300000000/(B199*0.000000001)^5</f>
        <v>1.8180461857527623</v>
      </c>
      <c r="D199">
        <f t="shared" si="15"/>
        <v>0.29307912531557195</v>
      </c>
      <c r="E199" s="7">
        <f t="shared" ref="E199:E262" si="17">C199*D199</f>
        <v>0.53283138590373147</v>
      </c>
      <c r="G199">
        <f t="shared" ref="G199:G262" si="18">8*3.1416*1.3806E-23*E$3/((B199*0.000000001)^4)</f>
        <v>1.2248187579881054</v>
      </c>
    </row>
    <row r="200" spans="2:7" x14ac:dyDescent="0.25">
      <c r="B200">
        <f t="shared" ref="B200:B263" si="19">B199+B$3</f>
        <v>19500</v>
      </c>
      <c r="C200">
        <f t="shared" si="16"/>
        <v>1.7719052899322498</v>
      </c>
      <c r="D200">
        <f t="shared" si="15"/>
        <v>0.29598138382743516</v>
      </c>
      <c r="E200" s="7">
        <f t="shared" si="17"/>
        <v>0.52445097972529997</v>
      </c>
      <c r="G200">
        <f t="shared" si="18"/>
        <v>1.199886876043089</v>
      </c>
    </row>
    <row r="201" spans="2:7" x14ac:dyDescent="0.25">
      <c r="B201">
        <f t="shared" si="19"/>
        <v>19600</v>
      </c>
      <c r="C201">
        <f t="shared" si="16"/>
        <v>1.7271625185822908</v>
      </c>
      <c r="D201">
        <f t="shared" si="15"/>
        <v>0.29888886965241529</v>
      </c>
      <c r="E201" s="7">
        <f t="shared" si="17"/>
        <v>0.5162296528850796</v>
      </c>
      <c r="G201">
        <f t="shared" si="18"/>
        <v>1.1755861563998473</v>
      </c>
    </row>
    <row r="202" spans="2:7" x14ac:dyDescent="0.25">
      <c r="B202">
        <f t="shared" si="19"/>
        <v>19700</v>
      </c>
      <c r="C202">
        <f t="shared" si="16"/>
        <v>1.6837686948159725</v>
      </c>
      <c r="D202">
        <f t="shared" si="15"/>
        <v>0.30180151417694145</v>
      </c>
      <c r="E202" s="7">
        <f t="shared" si="17"/>
        <v>0.50816394161919287</v>
      </c>
      <c r="G202">
        <f t="shared" si="18"/>
        <v>1.1518975219649803</v>
      </c>
    </row>
    <row r="203" spans="2:7" x14ac:dyDescent="0.25">
      <c r="B203">
        <f t="shared" si="19"/>
        <v>19800</v>
      </c>
      <c r="C203">
        <f t="shared" si="16"/>
        <v>1.6416766086713181</v>
      </c>
      <c r="D203">
        <f t="shared" si="15"/>
        <v>0.30471924992493565</v>
      </c>
      <c r="E203" s="7">
        <f t="shared" si="17"/>
        <v>0.50025046481363622</v>
      </c>
      <c r="G203">
        <f t="shared" si="18"/>
        <v>1.1288025649825464</v>
      </c>
    </row>
    <row r="204" spans="2:7" x14ac:dyDescent="0.25">
      <c r="B204">
        <f t="shared" si="19"/>
        <v>19900</v>
      </c>
      <c r="C204">
        <f t="shared" si="16"/>
        <v>1.6008409290474597</v>
      </c>
      <c r="D204">
        <f t="shared" si="15"/>
        <v>0.30764201053582052</v>
      </c>
      <c r="E204" s="7">
        <f t="shared" si="17"/>
        <v>0.49248592196019131</v>
      </c>
      <c r="G204">
        <f t="shared" si="18"/>
        <v>1.1062835203288601</v>
      </c>
    </row>
    <row r="205" spans="2:7" x14ac:dyDescent="0.25">
      <c r="B205">
        <f t="shared" si="19"/>
        <v>20000</v>
      </c>
      <c r="C205">
        <f t="shared" si="16"/>
        <v>1.5612181199999993</v>
      </c>
      <c r="D205">
        <f t="shared" si="15"/>
        <v>0.31056973074298683</v>
      </c>
      <c r="E205" s="7">
        <f t="shared" si="17"/>
        <v>0.48486709115947185</v>
      </c>
      <c r="G205">
        <f t="shared" si="18"/>
        <v>1.0843232399999996</v>
      </c>
    </row>
    <row r="206" spans="2:7" x14ac:dyDescent="0.25">
      <c r="B206">
        <f t="shared" si="19"/>
        <v>20100</v>
      </c>
      <c r="C206">
        <f t="shared" si="16"/>
        <v>1.5227663611593705</v>
      </c>
      <c r="D206">
        <f t="shared" si="15"/>
        <v>0.3135023463527139</v>
      </c>
      <c r="E206" s="7">
        <f t="shared" si="17"/>
        <v>0.47739082717044679</v>
      </c>
      <c r="G206">
        <f t="shared" si="18"/>
        <v>1.062905168733127</v>
      </c>
    </row>
    <row r="207" spans="2:7" x14ac:dyDescent="0.25">
      <c r="B207">
        <f t="shared" si="19"/>
        <v>20200</v>
      </c>
      <c r="C207">
        <f t="shared" si="16"/>
        <v>1.4854454720499157</v>
      </c>
      <c r="D207">
        <f t="shared" si="15"/>
        <v>0.31643979422353302</v>
      </c>
      <c r="E207" s="7">
        <f t="shared" si="17"/>
        <v>0.47005405950575418</v>
      </c>
      <c r="G207">
        <f t="shared" si="18"/>
        <v>1.0420133207059235</v>
      </c>
    </row>
    <row r="208" spans="2:7" x14ac:dyDescent="0.25">
      <c r="B208">
        <f t="shared" si="19"/>
        <v>20300</v>
      </c>
      <c r="C208">
        <f t="shared" si="16"/>
        <v>1.4492168401003798</v>
      </c>
      <c r="D208">
        <f t="shared" si="15"/>
        <v>0.31938201224602369</v>
      </c>
      <c r="E208" s="7">
        <f t="shared" si="17"/>
        <v>0.46285379057208326</v>
      </c>
      <c r="G208">
        <f t="shared" si="18"/>
        <v>1.0216322572614061</v>
      </c>
    </row>
    <row r="209" spans="2:7" x14ac:dyDescent="0.25">
      <c r="B209">
        <f t="shared" si="19"/>
        <v>20400</v>
      </c>
      <c r="C209">
        <f t="shared" si="16"/>
        <v>1.4140433521487383</v>
      </c>
      <c r="D209">
        <f t="shared" si="15"/>
        <v>0.32232893932303469</v>
      </c>
      <c r="E209" s="7">
        <f t="shared" si="17"/>
        <v>0.45578709385489125</v>
      </c>
      <c r="G209">
        <f t="shared" si="18"/>
        <v>1.0017470656082499</v>
      </c>
    </row>
    <row r="210" spans="2:7" x14ac:dyDescent="0.25">
      <c r="B210">
        <f t="shared" si="19"/>
        <v>20500</v>
      </c>
      <c r="C210">
        <f t="shared" si="16"/>
        <v>1.3798893292556691</v>
      </c>
      <c r="D210">
        <f t="shared" si="15"/>
        <v>0.32528051535032154</v>
      </c>
      <c r="E210" s="7">
        <f t="shared" si="17"/>
        <v>0.44885111214669354</v>
      </c>
      <c r="G210">
        <f t="shared" si="18"/>
        <v>0.98234333844935917</v>
      </c>
    </row>
    <row r="211" spans="2:7" x14ac:dyDescent="0.25">
      <c r="B211">
        <f t="shared" si="19"/>
        <v>20600</v>
      </c>
      <c r="C211">
        <f t="shared" si="16"/>
        <v>1.346720464651729</v>
      </c>
      <c r="D211">
        <f t="shared" si="15"/>
        <v>0.3282366811975897</v>
      </c>
      <c r="E211" s="7">
        <f t="shared" si="17"/>
        <v>0.44204305581815945</v>
      </c>
      <c r="G211">
        <f t="shared" si="18"/>
        <v>0.9634071544939744</v>
      </c>
    </row>
    <row r="212" spans="2:7" x14ac:dyDescent="0.25">
      <c r="B212">
        <f t="shared" si="19"/>
        <v>20700</v>
      </c>
      <c r="C212">
        <f t="shared" si="16"/>
        <v>1.3145037646533102</v>
      </c>
      <c r="D212">
        <f t="shared" si="15"/>
        <v>0.33119737868993715</v>
      </c>
      <c r="E212" s="7">
        <f t="shared" si="17"/>
        <v>0.43536020113123042</v>
      </c>
      <c r="G212">
        <f t="shared" si="18"/>
        <v>0.944925059810933</v>
      </c>
    </row>
    <row r="213" spans="2:7" x14ac:dyDescent="0.25">
      <c r="B213">
        <f t="shared" si="19"/>
        <v>20800</v>
      </c>
      <c r="C213">
        <f t="shared" si="16"/>
        <v>1.2832074923918744</v>
      </c>
      <c r="D213">
        <f t="shared" si="15"/>
        <v>0.33416255058968553</v>
      </c>
      <c r="E213" s="7">
        <f t="shared" si="17"/>
        <v>0.42879988859346324</v>
      </c>
      <c r="G213">
        <f t="shared" si="18"/>
        <v>0.92688404998293117</v>
      </c>
    </row>
    <row r="214" spans="2:7" x14ac:dyDescent="0.25">
      <c r="B214">
        <f t="shared" si="19"/>
        <v>20900</v>
      </c>
      <c r="C214">
        <f t="shared" si="16"/>
        <v>1.2528011142098299</v>
      </c>
      <c r="D214">
        <f t="shared" si="15"/>
        <v>0.33713214057859409</v>
      </c>
      <c r="E214" s="7">
        <f t="shared" si="17"/>
        <v>0.42235952135280769</v>
      </c>
      <c r="G214">
        <f t="shared" si="18"/>
        <v>0.90927155302374751</v>
      </c>
    </row>
    <row r="215" spans="2:7" x14ac:dyDescent="0.25">
      <c r="B215">
        <f t="shared" si="19"/>
        <v>21000</v>
      </c>
      <c r="C215">
        <f t="shared" si="16"/>
        <v>1.2232552485846941</v>
      </c>
      <c r="D215">
        <f t="shared" si="15"/>
        <v>0.34010609324044716</v>
      </c>
      <c r="E215" s="7">
        <f t="shared" si="17"/>
        <v>0.41603656363201236</v>
      </c>
      <c r="G215">
        <f t="shared" si="18"/>
        <v>0.89207541302235149</v>
      </c>
    </row>
    <row r="216" spans="2:7" x14ac:dyDescent="0.25">
      <c r="B216">
        <f t="shared" si="19"/>
        <v>21100</v>
      </c>
      <c r="C216">
        <f t="shared" si="16"/>
        <v>1.1945416174509811</v>
      </c>
      <c r="D216">
        <f t="shared" si="15"/>
        <v>0.34308435404400428</v>
      </c>
      <c r="E216" s="7">
        <f t="shared" si="17"/>
        <v>0.40982853920184992</v>
      </c>
      <c r="G216">
        <f t="shared" si="18"/>
        <v>0.87528387447969103</v>
      </c>
    </row>
    <row r="217" spans="2:7" x14ac:dyDescent="0.25">
      <c r="B217">
        <f t="shared" si="19"/>
        <v>21200</v>
      </c>
      <c r="C217">
        <f t="shared" si="16"/>
        <v>1.1666329997965807</v>
      </c>
      <c r="D217">
        <f t="shared" si="15"/>
        <v>0.34606686932631153</v>
      </c>
      <c r="E217" s="7">
        <f t="shared" si="17"/>
        <v>0.40373302989236615</v>
      </c>
      <c r="G217">
        <f t="shared" si="18"/>
        <v>0.8588855673057193</v>
      </c>
    </row>
    <row r="218" spans="2:7" x14ac:dyDescent="0.25">
      <c r="B218">
        <f t="shared" si="19"/>
        <v>21300</v>
      </c>
      <c r="C218">
        <f t="shared" si="16"/>
        <v>1.1395031874172714</v>
      </c>
      <c r="D218">
        <f t="shared" si="15"/>
        <v>0.34905358627636041</v>
      </c>
      <c r="E218" s="7">
        <f t="shared" si="17"/>
        <v>0.39774767414134221</v>
      </c>
      <c r="G218">
        <f t="shared" si="18"/>
        <v>0.84286949244588172</v>
      </c>
    </row>
    <row r="219" spans="2:7" x14ac:dyDescent="0.25">
      <c r="B219">
        <f t="shared" si="19"/>
        <v>21400</v>
      </c>
      <c r="C219">
        <f t="shared" si="16"/>
        <v>1.1131269427194748</v>
      </c>
      <c r="D219">
        <f t="shared" si="15"/>
        <v>0.3520444529190887</v>
      </c>
      <c r="E219" s="7">
        <f t="shared" si="17"/>
        <v>0.39187016557917526</v>
      </c>
      <c r="G219">
        <f t="shared" si="18"/>
        <v>0.82722500810785926</v>
      </c>
    </row>
    <row r="220" spans="2:7" x14ac:dyDescent="0.25">
      <c r="B220">
        <f t="shared" si="19"/>
        <v>21500</v>
      </c>
      <c r="C220">
        <f t="shared" si="16"/>
        <v>1.0874799584674191</v>
      </c>
      <c r="D220">
        <f t="shared" si="15"/>
        <v>0.35503941809971706</v>
      </c>
      <c r="E220" s="7">
        <f t="shared" si="17"/>
        <v>0.38609825164937694</v>
      </c>
      <c r="G220">
        <f t="shared" si="18"/>
        <v>0.81194181656083497</v>
      </c>
    </row>
    <row r="221" spans="2:7" x14ac:dyDescent="0.25">
      <c r="B221">
        <f t="shared" si="19"/>
        <v>21600</v>
      </c>
      <c r="C221">
        <f t="shared" si="16"/>
        <v>1.0625388193766259</v>
      </c>
      <c r="D221">
        <f t="shared" si="15"/>
        <v>0.35803843146841324</v>
      </c>
      <c r="E221" s="7">
        <f t="shared" si="17"/>
        <v>0.38042973226390675</v>
      </c>
      <c r="G221">
        <f t="shared" si="18"/>
        <v>0.79700995148097342</v>
      </c>
    </row>
    <row r="222" spans="2:7" x14ac:dyDescent="0.25">
      <c r="B222">
        <f t="shared" si="19"/>
        <v>21700</v>
      </c>
      <c r="C222">
        <f t="shared" si="16"/>
        <v>1.0382809654609757</v>
      </c>
      <c r="D222">
        <f t="shared" si="15"/>
        <v>0.36104144346527489</v>
      </c>
      <c r="E222" s="7">
        <f t="shared" si="17"/>
        <v>0.3748624584925499</v>
      </c>
      <c r="G222">
        <f t="shared" si="18"/>
        <v>0.78241976581810746</v>
      </c>
    </row>
    <row r="223" spans="2:7" x14ac:dyDescent="0.25">
      <c r="B223">
        <f t="shared" si="19"/>
        <v>21800</v>
      </c>
      <c r="C223">
        <f t="shared" si="16"/>
        <v>1.014684657045696</v>
      </c>
      <c r="D223">
        <f t="shared" si="15"/>
        <v>0.36404840530562727</v>
      </c>
      <c r="E223" s="7">
        <f t="shared" si="17"/>
        <v>0.36939433128557292</v>
      </c>
      <c r="G223">
        <f t="shared" si="18"/>
        <v>0.76816192015989737</v>
      </c>
    </row>
    <row r="224" spans="2:7" x14ac:dyDescent="0.25">
      <c r="B224">
        <f t="shared" si="19"/>
        <v>21900</v>
      </c>
      <c r="C224">
        <f t="shared" si="16"/>
        <v>0.99172894136333667</v>
      </c>
      <c r="D224">
        <f t="shared" si="15"/>
        <v>0.36705926896562774</v>
      </c>
      <c r="E224" s="7">
        <f t="shared" si="17"/>
        <v>0.36402330022888224</v>
      </c>
      <c r="G224">
        <f t="shared" si="18"/>
        <v>0.75422737157088926</v>
      </c>
    </row>
    <row r="225" spans="2:8" x14ac:dyDescent="0.25">
      <c r="B225">
        <f t="shared" si="19"/>
        <v>22000</v>
      </c>
      <c r="C225">
        <f t="shared" si="16"/>
        <v>0.96939362065432644</v>
      </c>
      <c r="D225">
        <f t="shared" si="15"/>
        <v>0.37007398716816819</v>
      </c>
      <c r="E225" s="7">
        <f t="shared" si="17"/>
        <v>0.35874736233093329</v>
      </c>
      <c r="G225">
        <f t="shared" si="18"/>
        <v>0.74060736288504847</v>
      </c>
    </row>
    <row r="226" spans="2:8" x14ac:dyDescent="0.25">
      <c r="B226">
        <f t="shared" si="19"/>
        <v>22100</v>
      </c>
      <c r="C226">
        <f t="shared" si="16"/>
        <v>0.94765922169789063</v>
      </c>
      <c r="D226">
        <f t="shared" si="15"/>
        <v>0.37309251336907184</v>
      </c>
      <c r="E226" s="7">
        <f t="shared" si="17"/>
        <v>0.35356456084064447</v>
      </c>
      <c r="G226">
        <f t="shared" si="18"/>
        <v>0.7272934124313809</v>
      </c>
    </row>
    <row r="227" spans="2:8" x14ac:dyDescent="0.25">
      <c r="B227">
        <f t="shared" si="19"/>
        <v>22200</v>
      </c>
      <c r="C227">
        <f t="shared" si="16"/>
        <v>0.92650696670308641</v>
      </c>
      <c r="D227">
        <f t="shared" si="15"/>
        <v>0.37611480174357714</v>
      </c>
      <c r="E227" s="7">
        <f t="shared" si="17"/>
        <v>0.34847298409557437</v>
      </c>
      <c r="G227">
        <f t="shared" si="18"/>
        <v>0.71427730417326285</v>
      </c>
    </row>
    <row r="228" spans="2:8" x14ac:dyDescent="0.25">
      <c r="B228">
        <f t="shared" si="19"/>
        <v>22300</v>
      </c>
      <c r="C228">
        <f t="shared" si="16"/>
        <v>0.90591874549348095</v>
      </c>
      <c r="D228">
        <f t="shared" si="15"/>
        <v>0.37914080717310111</v>
      </c>
      <c r="E228" s="7">
        <f t="shared" si="17"/>
        <v>0.34347076439964153</v>
      </c>
      <c r="G228">
        <f t="shared" si="18"/>
        <v>0.70155107824305973</v>
      </c>
    </row>
    <row r="229" spans="2:8" x14ac:dyDescent="0.25">
      <c r="B229">
        <f t="shared" si="19"/>
        <v>22400</v>
      </c>
      <c r="C229">
        <f t="shared" si="16"/>
        <v>0.88587708892250239</v>
      </c>
      <c r="D229">
        <f t="shared" si="15"/>
        <v>0.3821704852322772</v>
      </c>
      <c r="E229" s="7">
        <f t="shared" si="17"/>
        <v>0.33855607692966994</v>
      </c>
      <c r="G229">
        <f t="shared" si="18"/>
        <v>0.68910702185450023</v>
      </c>
    </row>
    <row r="230" spans="2:8" x14ac:dyDescent="0.25">
      <c r="B230">
        <f t="shared" si="19"/>
        <v>22500</v>
      </c>
      <c r="C230">
        <f t="shared" si="16"/>
        <v>0.86636514345983806</v>
      </c>
      <c r="D230">
        <f t="shared" si="15"/>
        <v>0.38520379217626194</v>
      </c>
      <c r="E230" s="7">
        <f t="shared" si="17"/>
        <v>0.33372713867006082</v>
      </c>
      <c r="G230">
        <f t="shared" si="18"/>
        <v>0.67693766057613147</v>
      </c>
    </row>
    <row r="231" spans="2:8" x14ac:dyDescent="0.25">
      <c r="B231">
        <f t="shared" si="19"/>
        <v>22600</v>
      </c>
      <c r="C231">
        <f t="shared" si="16"/>
        <v>0.84736664689237906</v>
      </c>
      <c r="D231">
        <f t="shared" si="15"/>
        <v>0.38824068492830316</v>
      </c>
      <c r="E231" s="7">
        <f t="shared" si="17"/>
        <v>0.32898220737489686</v>
      </c>
      <c r="G231">
        <f t="shared" si="18"/>
        <v>0.66503574994997927</v>
      </c>
    </row>
    <row r="232" spans="2:8" x14ac:dyDescent="0.25">
      <c r="B232">
        <f t="shared" si="19"/>
        <v>22700</v>
      </c>
      <c r="C232">
        <f t="shared" si="16"/>
        <v>0.82886590508618707</v>
      </c>
      <c r="D232">
        <f t="shared" si="15"/>
        <v>0.39128112106756502</v>
      </c>
      <c r="E232" s="7">
        <f t="shared" si="17"/>
        <v>0.32431958055680521</v>
      </c>
      <c r="G232">
        <f t="shared" si="18"/>
        <v>0.65339426744031526</v>
      </c>
    </row>
    <row r="233" spans="2:8" x14ac:dyDescent="0.25">
      <c r="B233">
        <f t="shared" si="19"/>
        <v>22800</v>
      </c>
      <c r="C233">
        <f t="shared" si="16"/>
        <v>0.81084776975874195</v>
      </c>
      <c r="D233">
        <f t="shared" si="15"/>
        <v>0.39432505881720392</v>
      </c>
      <c r="E233" s="7">
        <f t="shared" si="17"/>
        <v>0.31973759450191452</v>
      </c>
      <c r="G233">
        <f t="shared" si="18"/>
        <v>0.64200640469814263</v>
      </c>
      <c r="H233">
        <f>G233/E233</f>
        <v>2.0079165407441582</v>
      </c>
    </row>
    <row r="234" spans="2:8" x14ac:dyDescent="0.25">
      <c r="B234">
        <f t="shared" si="19"/>
        <v>22900</v>
      </c>
      <c r="C234">
        <f t="shared" si="16"/>
        <v>0.79329761721335268</v>
      </c>
      <c r="D234">
        <f t="shared" si="15"/>
        <v>0.39737245703268981</v>
      </c>
      <c r="E234" s="7">
        <f t="shared" si="17"/>
        <v>0.31523462331024821</v>
      </c>
      <c r="G234">
        <f t="shared" si="18"/>
        <v>0.63086556012770101</v>
      </c>
      <c r="H234">
        <f>G234/E234</f>
        <v>2.0012572017091363</v>
      </c>
    </row>
    <row r="235" spans="2:8" x14ac:dyDescent="0.25">
      <c r="B235">
        <f t="shared" si="19"/>
        <v>23000</v>
      </c>
      <c r="C235">
        <f t="shared" si="16"/>
        <v>0.77620132799013342</v>
      </c>
      <c r="D235">
        <f t="shared" si="15"/>
        <v>0.40042327519036641</v>
      </c>
      <c r="E235" s="7">
        <f t="shared" si="17"/>
        <v>0.31080907796092105</v>
      </c>
      <c r="G235">
        <f t="shared" si="18"/>
        <v>0.61996533174195334</v>
      </c>
      <c r="H235">
        <f>G235/E235</f>
        <v>1.9946821882078472</v>
      </c>
    </row>
    <row r="236" spans="2:8" x14ac:dyDescent="0.25">
      <c r="B236">
        <f t="shared" si="19"/>
        <v>23100</v>
      </c>
      <c r="C236">
        <f t="shared" si="16"/>
        <v>0.75954526739026407</v>
      </c>
      <c r="D236">
        <f t="shared" si="15"/>
        <v>0.40347747337624834</v>
      </c>
      <c r="E236" s="7">
        <f t="shared" si="17"/>
        <v>0.30645940540151068</v>
      </c>
      <c r="G236">
        <f t="shared" si="18"/>
        <v>0.60929951029461882</v>
      </c>
      <c r="H236">
        <f>G236/E236</f>
        <v>1.9881899512802987</v>
      </c>
    </row>
    <row r="237" spans="2:8" x14ac:dyDescent="0.25">
      <c r="B237">
        <f t="shared" si="19"/>
        <v>23200</v>
      </c>
      <c r="C237">
        <f t="shared" si="16"/>
        <v>0.74331626683249163</v>
      </c>
      <c r="D237">
        <f t="shared" si="15"/>
        <v>0.40653501227504474</v>
      </c>
      <c r="E237" s="7">
        <f t="shared" si="17"/>
        <v>0.30218408766098742</v>
      </c>
      <c r="G237">
        <f t="shared" si="18"/>
        <v>0.59886207267691316</v>
      </c>
    </row>
    <row r="238" spans="2:8" x14ac:dyDescent="0.25">
      <c r="B238">
        <f t="shared" si="19"/>
        <v>23300</v>
      </c>
      <c r="C238">
        <f t="shared" si="16"/>
        <v>0.7275016060029168</v>
      </c>
      <c r="D238">
        <f t="shared" si="15"/>
        <v>0.40959585315940894</v>
      </c>
      <c r="E238" s="7">
        <f t="shared" si="17"/>
        <v>0.29798164098560487</v>
      </c>
      <c r="G238">
        <f t="shared" si="18"/>
        <v>0.58864717556770563</v>
      </c>
    </row>
    <row r="239" spans="2:8" x14ac:dyDescent="0.25">
      <c r="B239">
        <f t="shared" si="19"/>
        <v>23400</v>
      </c>
      <c r="C239">
        <f t="shared" si="16"/>
        <v>0.71208899576109541</v>
      </c>
      <c r="D239">
        <f t="shared" si="15"/>
        <v>0.41265995787940829</v>
      </c>
      <c r="E239" s="7">
        <f t="shared" si="17"/>
        <v>0.29385061499716381</v>
      </c>
      <c r="G239">
        <f t="shared" si="18"/>
        <v>0.57864914932633504</v>
      </c>
    </row>
    <row r="240" spans="2:8" x14ac:dyDescent="0.25">
      <c r="B240">
        <f t="shared" si="19"/>
        <v>23500</v>
      </c>
      <c r="C240">
        <f t="shared" si="16"/>
        <v>0.69706656176735471</v>
      </c>
      <c r="D240">
        <f t="shared" si="15"/>
        <v>0.41572728885220617</v>
      </c>
      <c r="E240" s="7">
        <f t="shared" si="17"/>
        <v>0.28978959187307129</v>
      </c>
      <c r="G240">
        <f t="shared" si="18"/>
        <v>0.56886249211782458</v>
      </c>
    </row>
    <row r="241" spans="2:7" x14ac:dyDescent="0.25">
      <c r="B241">
        <f t="shared" si="19"/>
        <v>23600</v>
      </c>
      <c r="C241">
        <f t="shared" si="16"/>
        <v>0.68242282879798988</v>
      </c>
      <c r="D241">
        <f t="shared" si="15"/>
        <v>0.41879780905195541</v>
      </c>
      <c r="E241" s="7">
        <f t="shared" si="17"/>
        <v>0.28579718554763583</v>
      </c>
      <c r="G241">
        <f t="shared" si="18"/>
        <v>0.55928186426070814</v>
      </c>
    </row>
    <row r="242" spans="2:7" x14ac:dyDescent="0.25">
      <c r="B242">
        <f t="shared" si="19"/>
        <v>23700</v>
      </c>
      <c r="C242">
        <f t="shared" si="16"/>
        <v>0.66814670571668511</v>
      </c>
      <c r="D242">
        <f t="shared" si="15"/>
        <v>0.42187148199989749</v>
      </c>
      <c r="E242" s="7">
        <f t="shared" si="17"/>
        <v>0.28187204093404733</v>
      </c>
      <c r="G242">
        <f t="shared" si="18"/>
        <v>0.54990208278813746</v>
      </c>
    </row>
    <row r="243" spans="2:7" x14ac:dyDescent="0.25">
      <c r="B243">
        <f t="shared" si="19"/>
        <v>23800</v>
      </c>
      <c r="C243">
        <f t="shared" si="16"/>
        <v>0.65422747107208812</v>
      </c>
      <c r="D243">
        <f t="shared" si="15"/>
        <v>0.42494827175466066</v>
      </c>
      <c r="E243" s="7">
        <f t="shared" si="17"/>
        <v>0.2780128331665061</v>
      </c>
      <c r="G243">
        <f t="shared" si="18"/>
        <v>0.54071811621336585</v>
      </c>
    </row>
    <row r="244" spans="2:7" x14ac:dyDescent="0.25">
      <c r="B244">
        <f t="shared" si="19"/>
        <v>23900</v>
      </c>
      <c r="C244">
        <f t="shared" si="16"/>
        <v>0.6406547592929549</v>
      </c>
      <c r="D244">
        <f t="shared" si="15"/>
        <v>0.42802814290275459</v>
      </c>
      <c r="E244" s="7">
        <f t="shared" si="17"/>
        <v>0.27421826686197476</v>
      </c>
      <c r="G244">
        <f t="shared" si="18"/>
        <v>0.53172507949110814</v>
      </c>
    </row>
    <row r="245" spans="2:7" x14ac:dyDescent="0.25">
      <c r="B245">
        <f t="shared" si="19"/>
        <v>24000</v>
      </c>
      <c r="C245">
        <f t="shared" si="16"/>
        <v>0.62741854745370351</v>
      </c>
      <c r="D245">
        <f t="shared" si="15"/>
        <v>0.43111106054925913</v>
      </c>
      <c r="E245" s="7">
        <f t="shared" si="17"/>
        <v>0.27048707540104178</v>
      </c>
      <c r="G245">
        <f t="shared" si="18"/>
        <v>0.52291822916666642</v>
      </c>
    </row>
    <row r="246" spans="2:7" x14ac:dyDescent="0.25">
      <c r="B246">
        <f t="shared" si="19"/>
        <v>24100</v>
      </c>
      <c r="C246">
        <f t="shared" si="16"/>
        <v>0.6145091425845679</v>
      </c>
      <c r="D246">
        <f t="shared" si="15"/>
        <v>0.43419699030869779</v>
      </c>
      <c r="E246" s="7">
        <f t="shared" si="17"/>
        <v>0.26681802022739781</v>
      </c>
      <c r="G246">
        <f t="shared" si="18"/>
        <v>0.5142929587050844</v>
      </c>
    </row>
    <row r="247" spans="2:7" x14ac:dyDescent="0.25">
      <c r="B247">
        <f t="shared" si="19"/>
        <v>24200</v>
      </c>
      <c r="C247">
        <f t="shared" si="16"/>
        <v>0.60191716950178931</v>
      </c>
      <c r="D247">
        <f t="shared" si="15"/>
        <v>0.43728589829609621</v>
      </c>
      <c r="E247" s="7">
        <f t="shared" si="17"/>
        <v>0.26320989016543356</v>
      </c>
      <c r="G247">
        <f t="shared" si="18"/>
        <v>0.50584479399292992</v>
      </c>
    </row>
    <row r="248" spans="2:7" x14ac:dyDescent="0.25">
      <c r="B248">
        <f t="shared" si="19"/>
        <v>24300</v>
      </c>
      <c r="C248">
        <f t="shared" si="16"/>
        <v>0.58963355913450288</v>
      </c>
      <c r="D248">
        <f t="shared" si="15"/>
        <v>0.44037775111822075</v>
      </c>
      <c r="E248" s="7">
        <f t="shared" si="17"/>
        <v>0.25966150075548483</v>
      </c>
      <c r="G248">
        <f t="shared" si="18"/>
        <v>0.4975693890056494</v>
      </c>
    </row>
    <row r="249" spans="2:7" x14ac:dyDescent="0.25">
      <c r="B249">
        <f t="shared" si="19"/>
        <v>24400</v>
      </c>
      <c r="C249">
        <f t="shared" si="16"/>
        <v>0.57764953732611724</v>
      </c>
      <c r="D249">
        <f t="shared" si="15"/>
        <v>0.44347251586499087</v>
      </c>
      <c r="E249" s="7">
        <f t="shared" si="17"/>
        <v>0.25617169360626119</v>
      </c>
      <c r="G249">
        <f t="shared" si="18"/>
        <v>0.48946252163375265</v>
      </c>
    </row>
    <row r="250" spans="2:7" x14ac:dyDescent="0.25">
      <c r="B250">
        <f t="shared" si="19"/>
        <v>24500</v>
      </c>
      <c r="C250">
        <f t="shared" si="16"/>
        <v>0.56595661408904496</v>
      </c>
      <c r="D250">
        <f t="shared" si="15"/>
        <v>0.44657016010106559</v>
      </c>
      <c r="E250" s="7">
        <f t="shared" si="17"/>
        <v>0.25273933576400182</v>
      </c>
      <c r="G250">
        <f t="shared" si="18"/>
        <v>0.48152008966137738</v>
      </c>
    </row>
    <row r="251" spans="2:7" x14ac:dyDescent="0.25">
      <c r="B251">
        <f t="shared" si="19"/>
        <v>24600</v>
      </c>
      <c r="C251">
        <f t="shared" si="16"/>
        <v>0.55454657329269086</v>
      </c>
      <c r="D251">
        <f t="shared" si="15"/>
        <v>0.44967065185759536</v>
      </c>
      <c r="E251" s="7">
        <f t="shared" si="17"/>
        <v>0.24936331909792009</v>
      </c>
      <c r="G251">
        <f t="shared" si="18"/>
        <v>0.47373810689108736</v>
      </c>
    </row>
    <row r="252" spans="2:7" x14ac:dyDescent="0.25">
      <c r="B252">
        <f t="shared" si="19"/>
        <v>24700</v>
      </c>
      <c r="C252">
        <f t="shared" si="16"/>
        <v>0.54341146276554453</v>
      </c>
      <c r="D252">
        <f t="shared" si="15"/>
        <v>0.45277395962413997</v>
      </c>
      <c r="E252" s="7">
        <f t="shared" si="17"/>
        <v>0.24604255970150149</v>
      </c>
      <c r="G252">
        <f t="shared" si="18"/>
        <v>0.46611269940900835</v>
      </c>
    </row>
    <row r="253" spans="2:7" x14ac:dyDescent="0.25">
      <c r="B253">
        <f t="shared" si="19"/>
        <v>24800</v>
      </c>
      <c r="C253">
        <f t="shared" si="16"/>
        <v>0.53254358479317065</v>
      </c>
      <c r="D253">
        <f t="shared" si="15"/>
        <v>0.45588005234074641</v>
      </c>
      <c r="E253" s="7">
        <f t="shared" si="17"/>
        <v>0.24277599730923935</v>
      </c>
      <c r="G253">
        <f t="shared" si="18"/>
        <v>0.45864010198468658</v>
      </c>
    </row>
    <row r="254" spans="2:7" x14ac:dyDescent="0.25">
      <c r="B254">
        <f t="shared" si="19"/>
        <v>24900</v>
      </c>
      <c r="C254">
        <f t="shared" si="16"/>
        <v>0.52193548699474424</v>
      </c>
      <c r="D254">
        <f t="shared" si="15"/>
        <v>0.45898889939018478</v>
      </c>
      <c r="E254" s="7">
        <f t="shared" si="17"/>
        <v>0.23956259472839775</v>
      </c>
      <c r="G254">
        <f t="shared" si="18"/>
        <v>0.4513166546002893</v>
      </c>
    </row>
    <row r="255" spans="2:7" x14ac:dyDescent="0.25">
      <c r="B255">
        <f t="shared" si="19"/>
        <v>25000</v>
      </c>
      <c r="C255">
        <f t="shared" si="16"/>
        <v>0.51157995356159991</v>
      </c>
      <c r="D255">
        <f t="shared" si="15"/>
        <v>0.46210047059033638</v>
      </c>
      <c r="E255" s="7">
        <f t="shared" si="17"/>
        <v>0.23640133728539775</v>
      </c>
      <c r="G255">
        <f t="shared" si="18"/>
        <v>0.44413879910399989</v>
      </c>
    </row>
    <row r="256" spans="2:7" x14ac:dyDescent="0.25">
      <c r="B256">
        <f t="shared" si="19"/>
        <v>25100</v>
      </c>
      <c r="C256">
        <f t="shared" si="16"/>
        <v>0.50146999684207083</v>
      </c>
      <c r="D256">
        <f t="shared" si="15"/>
        <v>0.4652147361867332</v>
      </c>
      <c r="E256" s="7">
        <f t="shared" si="17"/>
        <v>0.23329123228644591</v>
      </c>
      <c r="G256">
        <f t="shared" si="18"/>
        <v>0.43710307598269665</v>
      </c>
    </row>
    <row r="257" spans="2:7" x14ac:dyDescent="0.25">
      <c r="B257">
        <f t="shared" si="19"/>
        <v>25200</v>
      </c>
      <c r="C257">
        <f t="shared" si="16"/>
        <v>0.49159884925760916</v>
      </c>
      <c r="D257">
        <f t="shared" si="15"/>
        <v>0.46833166684524502</v>
      </c>
      <c r="E257" s="7">
        <f t="shared" si="17"/>
        <v>0.23023130849202045</v>
      </c>
      <c r="G257">
        <f t="shared" si="18"/>
        <v>0.43020612124920493</v>
      </c>
    </row>
    <row r="258" spans="2:7" x14ac:dyDescent="0.25">
      <c r="B258">
        <f t="shared" si="19"/>
        <v>25300</v>
      </c>
      <c r="C258">
        <f t="shared" si="16"/>
        <v>0.48195995553590676</v>
      </c>
      <c r="D258">
        <f t="shared" si="15"/>
        <v>0.47145123364490882</v>
      </c>
      <c r="E258" s="7">
        <f t="shared" si="17"/>
        <v>0.22722061560484863</v>
      </c>
      <c r="G258">
        <f t="shared" si="18"/>
        <v>0.42344466343962378</v>
      </c>
    </row>
    <row r="259" spans="2:7" x14ac:dyDescent="0.25">
      <c r="B259">
        <f t="shared" si="19"/>
        <v>25400</v>
      </c>
      <c r="C259">
        <f t="shared" si="16"/>
        <v>0.47254696524738804</v>
      </c>
      <c r="D259">
        <f t="shared" si="15"/>
        <v>0.47457340807089987</v>
      </c>
      <c r="E259" s="7">
        <f t="shared" si="17"/>
        <v>0.22425822377101404</v>
      </c>
      <c r="G259">
        <f t="shared" si="18"/>
        <v>0.41681552071641548</v>
      </c>
    </row>
    <row r="260" spans="2:7" x14ac:dyDescent="0.25">
      <c r="B260">
        <f t="shared" si="19"/>
        <v>25500</v>
      </c>
      <c r="C260">
        <f t="shared" si="16"/>
        <v>0.46335372563209842</v>
      </c>
      <c r="D260">
        <f t="shared" si="15"/>
        <v>0.4776981620076422</v>
      </c>
      <c r="E260" s="7">
        <f t="shared" si="17"/>
        <v>0.22134322309384674</v>
      </c>
      <c r="G260">
        <f t="shared" si="18"/>
        <v>0.410315598073139</v>
      </c>
    </row>
    <row r="261" spans="2:7" x14ac:dyDescent="0.25">
      <c r="B261">
        <f t="shared" si="19"/>
        <v>25600</v>
      </c>
      <c r="C261">
        <f t="shared" si="16"/>
        <v>0.45437427470460517</v>
      </c>
      <c r="D261">
        <f t="shared" si="15"/>
        <v>0.48082546773204976</v>
      </c>
      <c r="E261" s="7">
        <f t="shared" si="17"/>
        <v>0.21847472316025265</v>
      </c>
      <c r="G261">
        <f t="shared" si="18"/>
        <v>0.4039418846368788</v>
      </c>
    </row>
    <row r="262" spans="2:7" x14ac:dyDescent="0.25">
      <c r="B262">
        <f t="shared" si="19"/>
        <v>25700</v>
      </c>
      <c r="C262">
        <f t="shared" si="16"/>
        <v>0.44560283462509986</v>
      </c>
      <c r="D262">
        <f t="shared" ref="D262:D325" si="20">1/(EXP((6.626E-34*300000000)/($B262*0.000000001*1.3806E-23*E$3))-1)</f>
        <v>0.48395529790690323</v>
      </c>
      <c r="E262" s="7">
        <f t="shared" si="17"/>
        <v>0.21565185257915073</v>
      </c>
      <c r="G262">
        <f t="shared" si="18"/>
        <v>0.3976914510645867</v>
      </c>
    </row>
    <row r="263" spans="2:7" x14ac:dyDescent="0.25">
      <c r="B263">
        <f t="shared" si="19"/>
        <v>25800</v>
      </c>
      <c r="C263">
        <f t="shared" ref="C263:C326" si="21">8*3.1416*6.626E-34*300000000/(B263*0.000000001)^5</f>
        <v>0.43703380532544828</v>
      </c>
      <c r="D263">
        <f t="shared" si="20"/>
        <v>0.48708762557435425</v>
      </c>
      <c r="E263" s="7">
        <f t="shared" ref="E263:E326" si="22">C263*D263</f>
        <v>0.21287375853169718</v>
      </c>
      <c r="G263">
        <f t="shared" ref="G263:G326" si="23">8*3.1416*1.3806E-23*E$3/((B263*0.000000001)^4)</f>
        <v>0.39156144702972379</v>
      </c>
    </row>
    <row r="264" spans="2:7" x14ac:dyDescent="0.25">
      <c r="B264">
        <f t="shared" ref="B264:B327" si="24">B263+B$3</f>
        <v>25900</v>
      </c>
      <c r="C264">
        <f t="shared" si="21"/>
        <v>0.42866175837943687</v>
      </c>
      <c r="D264">
        <f t="shared" si="20"/>
        <v>0.49022242414955541</v>
      </c>
      <c r="E264" s="7">
        <f t="shared" si="22"/>
        <v>0.21013960633297854</v>
      </c>
      <c r="G264">
        <f t="shared" si="23"/>
        <v>0.38554909879573018</v>
      </c>
    </row>
    <row r="265" spans="2:7" x14ac:dyDescent="0.25">
      <c r="B265">
        <f t="shared" si="24"/>
        <v>26000</v>
      </c>
      <c r="C265">
        <f t="shared" si="21"/>
        <v>0.42048143110696939</v>
      </c>
      <c r="D265">
        <f t="shared" si="20"/>
        <v>0.49335966741441412</v>
      </c>
      <c r="E265" s="7">
        <f t="shared" si="22"/>
        <v>0.20744857900487129</v>
      </c>
      <c r="G265">
        <f t="shared" si="23"/>
        <v>0.37965170687300859</v>
      </c>
    </row>
    <row r="266" spans="2:7" x14ac:dyDescent="0.25">
      <c r="B266">
        <f t="shared" si="24"/>
        <v>26100</v>
      </c>
      <c r="C266">
        <f t="shared" si="21"/>
        <v>0.41248772090242153</v>
      </c>
      <c r="D266">
        <f t="shared" si="20"/>
        <v>0.4964993295114683</v>
      </c>
      <c r="E266" s="7">
        <f t="shared" si="22"/>
        <v>0.20479987685976594</v>
      </c>
      <c r="G266">
        <f t="shared" si="23"/>
        <v>0.37386664375623174</v>
      </c>
    </row>
    <row r="267" spans="2:7" x14ac:dyDescent="0.25">
      <c r="B267">
        <f t="shared" si="24"/>
        <v>26200</v>
      </c>
      <c r="C267">
        <f t="shared" si="21"/>
        <v>0.40467567977782504</v>
      </c>
      <c r="D267">
        <f t="shared" si="20"/>
        <v>0.49964138493787796</v>
      </c>
      <c r="E267" s="7">
        <f t="shared" si="22"/>
        <v>0.20219271709486972</v>
      </c>
      <c r="G267">
        <f t="shared" si="23"/>
        <v>0.36819135173893625</v>
      </c>
    </row>
    <row r="268" spans="2:7" x14ac:dyDescent="0.25">
      <c r="B268">
        <f t="shared" si="24"/>
        <v>26300</v>
      </c>
      <c r="C268">
        <f t="shared" si="21"/>
        <v>0.39704050911195443</v>
      </c>
      <c r="D268">
        <f t="shared" si="20"/>
        <v>0.5027858085395347</v>
      </c>
      <c r="E268" s="7">
        <f t="shared" si="22"/>
        <v>0.1996263333968025</v>
      </c>
      <c r="G268">
        <f t="shared" si="23"/>
        <v>0.36262334080247161</v>
      </c>
    </row>
    <row r="269" spans="2:7" x14ac:dyDescent="0.25">
      <c r="B269">
        <f t="shared" si="24"/>
        <v>26400</v>
      </c>
      <c r="C269">
        <f t="shared" si="21"/>
        <v>0.38957755459680699</v>
      </c>
      <c r="D269">
        <f t="shared" si="20"/>
        <v>0.5059325755052837</v>
      </c>
      <c r="E269" s="7">
        <f t="shared" si="22"/>
        <v>0.19709997555621284</v>
      </c>
      <c r="G269">
        <f t="shared" si="23"/>
        <v>0.35716018657650883</v>
      </c>
    </row>
    <row r="270" spans="2:7" x14ac:dyDescent="0.25">
      <c r="B270">
        <f t="shared" si="24"/>
        <v>26500</v>
      </c>
      <c r="C270">
        <f t="shared" si="21"/>
        <v>0.38228230137334351</v>
      </c>
      <c r="D270">
        <f t="shared" si="20"/>
        <v>0.50908166136125466</v>
      </c>
      <c r="E270" s="7">
        <f t="shared" si="22"/>
        <v>0.19461290909214557</v>
      </c>
      <c r="G270">
        <f t="shared" si="23"/>
        <v>0.3517995283684226</v>
      </c>
    </row>
    <row r="271" spans="2:7" x14ac:dyDescent="0.25">
      <c r="B271">
        <f t="shared" si="24"/>
        <v>26600</v>
      </c>
      <c r="C271">
        <f t="shared" si="21"/>
        <v>0.37515036934872231</v>
      </c>
      <c r="D271">
        <f t="shared" si="20"/>
        <v>0.51223304196530495</v>
      </c>
      <c r="E271" s="7">
        <f t="shared" si="22"/>
        <v>0.19216441488590372</v>
      </c>
      <c r="G271">
        <f t="shared" si="23"/>
        <v>0.34653906725897232</v>
      </c>
    </row>
    <row r="272" spans="2:7" x14ac:dyDescent="0.25">
      <c r="B272">
        <f t="shared" si="24"/>
        <v>26700</v>
      </c>
      <c r="C272">
        <f t="shared" si="21"/>
        <v>0.36817750868760413</v>
      </c>
      <c r="D272">
        <f t="shared" si="20"/>
        <v>0.5153866935015653</v>
      </c>
      <c r="E272" s="7">
        <f t="shared" si="22"/>
        <v>0.18975378882414812</v>
      </c>
      <c r="G272">
        <f t="shared" si="23"/>
        <v>0.34137656426181295</v>
      </c>
    </row>
    <row r="273" spans="2:7" x14ac:dyDescent="0.25">
      <c r="B273">
        <f t="shared" si="24"/>
        <v>26800</v>
      </c>
      <c r="C273">
        <f t="shared" si="21"/>
        <v>0.36135959547043656</v>
      </c>
      <c r="D273">
        <f t="shared" si="20"/>
        <v>0.51854259247509027</v>
      </c>
      <c r="E273" s="7">
        <f t="shared" si="22"/>
        <v>0.18738034145099006</v>
      </c>
      <c r="G273">
        <f t="shared" si="23"/>
        <v>0.336309838544466</v>
      </c>
    </row>
    <row r="274" spans="2:7" x14ac:dyDescent="0.25">
      <c r="B274">
        <f t="shared" si="24"/>
        <v>26900</v>
      </c>
      <c r="C274">
        <f t="shared" si="21"/>
        <v>0.35469262751194242</v>
      </c>
      <c r="D274">
        <f t="shared" si="20"/>
        <v>0.52170071570661181</v>
      </c>
      <c r="E274" s="7">
        <f t="shared" si="22"/>
        <v>0.18504339762883903</v>
      </c>
      <c r="G274">
        <f t="shared" si="23"/>
        <v>0.33133676570848097</v>
      </c>
    </row>
    <row r="275" spans="2:7" x14ac:dyDescent="0.25">
      <c r="B275">
        <f t="shared" si="24"/>
        <v>27000</v>
      </c>
      <c r="C275">
        <f t="shared" si="21"/>
        <v>0.34817272033333252</v>
      </c>
      <c r="D275">
        <f t="shared" si="20"/>
        <v>0.52486104032739067</v>
      </c>
      <c r="E275" s="7">
        <f t="shared" si="22"/>
        <v>0.18274229620777055</v>
      </c>
      <c r="G275">
        <f t="shared" si="23"/>
        <v>0.32645527612660658</v>
      </c>
    </row>
    <row r="276" spans="2:7" x14ac:dyDescent="0.25">
      <c r="B276">
        <f t="shared" si="24"/>
        <v>27100</v>
      </c>
      <c r="C276">
        <f t="shared" si="21"/>
        <v>0.3417961032820474</v>
      </c>
      <c r="D276">
        <f t="shared" si="20"/>
        <v>0.52802354377416527</v>
      </c>
      <c r="E276" s="7">
        <f t="shared" si="22"/>
        <v>0.18047638970318727</v>
      </c>
      <c r="G276">
        <f t="shared" si="23"/>
        <v>0.32166335333487711</v>
      </c>
    </row>
    <row r="277" spans="2:7" x14ac:dyDescent="0.25">
      <c r="B277">
        <f t="shared" si="24"/>
        <v>27200</v>
      </c>
      <c r="C277">
        <f t="shared" si="21"/>
        <v>0.33555911579310893</v>
      </c>
      <c r="D277">
        <f t="shared" si="20"/>
        <v>0.53118820378419696</v>
      </c>
      <c r="E277" s="7">
        <f t="shared" si="22"/>
        <v>0.17824504398155488</v>
      </c>
      <c r="G277">
        <f t="shared" si="23"/>
        <v>0.31695903247761043</v>
      </c>
    </row>
    <row r="278" spans="2:7" x14ac:dyDescent="0.25">
      <c r="B278">
        <f t="shared" si="24"/>
        <v>27300</v>
      </c>
      <c r="C278">
        <f t="shared" si="21"/>
        <v>0.32945820378641505</v>
      </c>
      <c r="D278">
        <f t="shared" si="20"/>
        <v>0.53435499839040723</v>
      </c>
      <c r="E278" s="7">
        <f t="shared" si="22"/>
        <v>0.17604763795399628</v>
      </c>
      <c r="G278">
        <f t="shared" si="23"/>
        <v>0.31234039880338621</v>
      </c>
    </row>
    <row r="279" spans="2:7" x14ac:dyDescent="0.25">
      <c r="B279">
        <f t="shared" si="24"/>
        <v>27400</v>
      </c>
      <c r="C279">
        <f t="shared" si="21"/>
        <v>0.32348991619456247</v>
      </c>
      <c r="D279">
        <f t="shared" si="20"/>
        <v>0.53752390591660759</v>
      </c>
      <c r="E279" s="7">
        <f t="shared" si="22"/>
        <v>0.17388356327753726</v>
      </c>
      <c r="G279">
        <f t="shared" si="23"/>
        <v>0.3078055862101578</v>
      </c>
    </row>
    <row r="280" spans="2:7" x14ac:dyDescent="0.25">
      <c r="B280">
        <f t="shared" si="24"/>
        <v>27500</v>
      </c>
      <c r="C280">
        <f t="shared" si="21"/>
        <v>0.31765090161600978</v>
      </c>
      <c r="D280">
        <f t="shared" si="20"/>
        <v>0.5406949049728168</v>
      </c>
      <c r="E280" s="7">
        <f t="shared" si="22"/>
        <v>0.171752224063798</v>
      </c>
      <c r="G280">
        <f t="shared" si="23"/>
        <v>0.30335277583771592</v>
      </c>
    </row>
    <row r="281" spans="2:7" x14ac:dyDescent="0.25">
      <c r="B281">
        <f t="shared" si="24"/>
        <v>27600</v>
      </c>
      <c r="C281">
        <f t="shared" si="21"/>
        <v>0.31193790508862729</v>
      </c>
      <c r="D281">
        <f t="shared" si="20"/>
        <v>0.54386797445066859</v>
      </c>
      <c r="E281" s="7">
        <f t="shared" si="22"/>
        <v>0.16965303659493663</v>
      </c>
      <c r="G281">
        <f t="shared" si="23"/>
        <v>0.29898019470580306</v>
      </c>
    </row>
    <row r="282" spans="2:7" x14ac:dyDescent="0.25">
      <c r="B282">
        <f t="shared" si="24"/>
        <v>27700</v>
      </c>
      <c r="C282">
        <f t="shared" si="21"/>
        <v>0.30634776497888389</v>
      </c>
      <c r="D282">
        <f t="shared" si="20"/>
        <v>0.54704309351890235</v>
      </c>
      <c r="E282" s="7">
        <f t="shared" si="22"/>
        <v>0.1675854290466503</v>
      </c>
      <c r="G282">
        <f t="shared" si="23"/>
        <v>0.29468611439623621</v>
      </c>
    </row>
    <row r="283" spans="2:7" x14ac:dyDescent="0.25">
      <c r="B283">
        <f t="shared" si="24"/>
        <v>27800</v>
      </c>
      <c r="C283">
        <f t="shared" si="21"/>
        <v>0.30087740998212809</v>
      </c>
      <c r="D283">
        <f t="shared" si="20"/>
        <v>0.55022024161893857</v>
      </c>
      <c r="E283" s="7">
        <f t="shared" si="22"/>
        <v>0.16554884121804694</v>
      </c>
      <c r="G283">
        <f t="shared" si="23"/>
        <v>0.29046884977746412</v>
      </c>
    </row>
    <row r="284" spans="2:7" x14ac:dyDescent="0.25">
      <c r="B284">
        <f t="shared" si="24"/>
        <v>27900</v>
      </c>
      <c r="C284">
        <f t="shared" si="21"/>
        <v>0.29552385622961663</v>
      </c>
      <c r="D284">
        <f t="shared" si="20"/>
        <v>0.55339939846053787</v>
      </c>
      <c r="E284" s="7">
        <f t="shared" si="22"/>
        <v>0.16354272426820832</v>
      </c>
      <c r="G284">
        <f t="shared" si="23"/>
        <v>0.28632675777004685</v>
      </c>
    </row>
    <row r="285" spans="2:7" x14ac:dyDescent="0.25">
      <c r="B285">
        <f t="shared" si="24"/>
        <v>28000</v>
      </c>
      <c r="C285">
        <f t="shared" si="21"/>
        <v>0.29028420449812564</v>
      </c>
      <c r="D285">
        <f t="shared" si="20"/>
        <v>0.55658054401753765</v>
      </c>
      <c r="E285" s="7">
        <f t="shared" si="22"/>
        <v>0.16156654045926491</v>
      </c>
      <c r="G285">
        <f t="shared" si="23"/>
        <v>0.28225823615160334</v>
      </c>
    </row>
    <row r="286" spans="2:7" x14ac:dyDescent="0.25">
      <c r="B286">
        <f t="shared" si="24"/>
        <v>28100</v>
      </c>
      <c r="C286">
        <f t="shared" si="21"/>
        <v>0.2851556375181582</v>
      </c>
      <c r="D286">
        <f t="shared" si="20"/>
        <v>0.55976365852367016</v>
      </c>
      <c r="E286" s="7">
        <f t="shared" si="22"/>
        <v>0.15961976290581378</v>
      </c>
      <c r="G286">
        <f t="shared" si="23"/>
        <v>0.27826172239983132</v>
      </c>
    </row>
    <row r="287" spans="2:7" x14ac:dyDescent="0.25">
      <c r="B287">
        <f t="shared" si="24"/>
        <v>28200</v>
      </c>
      <c r="C287">
        <f t="shared" si="21"/>
        <v>0.28013541737692704</v>
      </c>
      <c r="D287">
        <f t="shared" si="20"/>
        <v>0.56294872246845562</v>
      </c>
      <c r="E287" s="7">
        <f t="shared" si="22"/>
        <v>0.1577018753305087</v>
      </c>
      <c r="G287">
        <f t="shared" si="23"/>
        <v>0.27433569257225349</v>
      </c>
    </row>
    <row r="288" spans="2:7" x14ac:dyDescent="0.25">
      <c r="B288">
        <f t="shared" si="24"/>
        <v>28300</v>
      </c>
      <c r="C288">
        <f t="shared" si="21"/>
        <v>0.27522088301245834</v>
      </c>
      <c r="D288">
        <f t="shared" si="20"/>
        <v>0.56613571659317297</v>
      </c>
      <c r="E288" s="7">
        <f t="shared" si="22"/>
        <v>0.15581237182566393</v>
      </c>
      <c r="G288">
        <f t="shared" si="23"/>
        <v>0.27047866022140304</v>
      </c>
    </row>
    <row r="289" spans="2:7" x14ac:dyDescent="0.25">
      <c r="B289">
        <f t="shared" si="24"/>
        <v>28400</v>
      </c>
      <c r="C289">
        <f t="shared" si="21"/>
        <v>0.27040944779530957</v>
      </c>
      <c r="D289">
        <f t="shared" si="20"/>
        <v>0.56932462188690236</v>
      </c>
      <c r="E289" s="7">
        <f t="shared" si="22"/>
        <v>0.15395075662071067</v>
      </c>
      <c r="G289">
        <f t="shared" si="23"/>
        <v>0.26668917534420478</v>
      </c>
    </row>
    <row r="290" spans="2:7" x14ac:dyDescent="0.25">
      <c r="B290">
        <f t="shared" si="24"/>
        <v>28500</v>
      </c>
      <c r="C290">
        <f t="shared" si="21"/>
        <v>0.26569859719454458</v>
      </c>
      <c r="D290">
        <f t="shared" si="20"/>
        <v>0.5725154195826414</v>
      </c>
      <c r="E290" s="7">
        <f t="shared" si="22"/>
        <v>0.15211654385535392</v>
      </c>
      <c r="G290">
        <f t="shared" si="23"/>
        <v>0.26296582336435925</v>
      </c>
    </row>
    <row r="291" spans="2:7" x14ac:dyDescent="0.25">
      <c r="B291">
        <f t="shared" si="24"/>
        <v>28600</v>
      </c>
      <c r="C291">
        <f t="shared" si="21"/>
        <v>0.2610858865247464</v>
      </c>
      <c r="D291">
        <f t="shared" si="20"/>
        <v>0.5757080911534922</v>
      </c>
      <c r="E291" s="7">
        <f t="shared" si="22"/>
        <v>0.15030925735827902</v>
      </c>
      <c r="G291">
        <f t="shared" si="23"/>
        <v>0.25930722414658053</v>
      </c>
    </row>
    <row r="292" spans="2:7" x14ac:dyDescent="0.25">
      <c r="B292">
        <f t="shared" si="24"/>
        <v>28700</v>
      </c>
      <c r="C292">
        <f t="shared" si="21"/>
        <v>0.25656893877098613</v>
      </c>
      <c r="D292">
        <f t="shared" si="20"/>
        <v>0.5789026183089182</v>
      </c>
      <c r="E292" s="7">
        <f t="shared" si="22"/>
        <v>0.1485284304312644</v>
      </c>
      <c r="G292">
        <f t="shared" si="23"/>
        <v>0.25571203104158652</v>
      </c>
    </row>
    <row r="293" spans="2:7" x14ac:dyDescent="0.25">
      <c r="B293">
        <f t="shared" si="24"/>
        <v>28800</v>
      </c>
      <c r="C293">
        <f t="shared" si="21"/>
        <v>0.25214544248878901</v>
      </c>
      <c r="D293">
        <f t="shared" si="20"/>
        <v>0.58209898299106666</v>
      </c>
      <c r="E293" s="7">
        <f t="shared" si="22"/>
        <v>0.14677360563855657</v>
      </c>
      <c r="G293">
        <f t="shared" si="23"/>
        <v>0.25217892996077668</v>
      </c>
    </row>
    <row r="294" spans="2:7" x14ac:dyDescent="0.25">
      <c r="B294">
        <f t="shared" si="24"/>
        <v>28900</v>
      </c>
      <c r="C294">
        <f t="shared" si="21"/>
        <v>0.24781314977626259</v>
      </c>
      <c r="D294">
        <f t="shared" si="20"/>
        <v>0.58529716737116266</v>
      </c>
      <c r="E294" s="7">
        <f t="shared" si="22"/>
        <v>0.14504433460137217</v>
      </c>
      <c r="G294">
        <f t="shared" si="23"/>
        <v>0.24870663847957605</v>
      </c>
    </row>
    <row r="295" spans="2:7" x14ac:dyDescent="0.25">
      <c r="B295">
        <f t="shared" si="24"/>
        <v>29000</v>
      </c>
      <c r="C295">
        <f t="shared" si="21"/>
        <v>0.24356987431567095</v>
      </c>
      <c r="D295">
        <f t="shared" si="20"/>
        <v>0.58849715384596291</v>
      </c>
      <c r="E295" s="7">
        <f t="shared" si="22"/>
        <v>0.14334017779739125</v>
      </c>
      <c r="G295">
        <f t="shared" si="23"/>
        <v>0.24529390496846371</v>
      </c>
    </row>
    <row r="296" spans="2:7" x14ac:dyDescent="0.25">
      <c r="B296">
        <f t="shared" si="24"/>
        <v>29100</v>
      </c>
      <c r="C296">
        <f t="shared" si="21"/>
        <v>0.23941348948184515</v>
      </c>
      <c r="D296">
        <f t="shared" si="20"/>
        <v>0.59169892503427757</v>
      </c>
      <c r="E296" s="7">
        <f t="shared" si="22"/>
        <v>0.1416607043651131</v>
      </c>
      <c r="G296">
        <f t="shared" si="23"/>
        <v>0.24193950775073678</v>
      </c>
    </row>
    <row r="297" spans="2:7" x14ac:dyDescent="0.25">
      <c r="B297">
        <f t="shared" si="24"/>
        <v>29200</v>
      </c>
      <c r="C297">
        <f t="shared" si="21"/>
        <v>0.23534192651493244</v>
      </c>
      <c r="D297">
        <f t="shared" si="20"/>
        <v>0.59490246377355249</v>
      </c>
      <c r="E297" s="7">
        <f t="shared" si="22"/>
        <v>0.14000549191294764</v>
      </c>
      <c r="G297">
        <f t="shared" si="23"/>
        <v>0.2386422542861017</v>
      </c>
    </row>
    <row r="298" spans="2:7" x14ac:dyDescent="0.25">
      <c r="B298">
        <f t="shared" si="24"/>
        <v>29300</v>
      </c>
      <c r="C298">
        <f t="shared" si="21"/>
        <v>0.23135317275508074</v>
      </c>
      <c r="D298">
        <f t="shared" si="20"/>
        <v>0.59810775311651387</v>
      </c>
      <c r="E298" s="7">
        <f t="shared" si="22"/>
        <v>0.13837412633291801</v>
      </c>
      <c r="G298">
        <f t="shared" si="23"/>
        <v>0.23540098037921242</v>
      </c>
    </row>
    <row r="299" spans="2:7" x14ac:dyDescent="0.25">
      <c r="B299">
        <f t="shared" si="24"/>
        <v>29400</v>
      </c>
      <c r="C299">
        <f t="shared" si="21"/>
        <v>0.22744526993676256</v>
      </c>
      <c r="D299">
        <f t="shared" si="20"/>
        <v>0.60131477632787234</v>
      </c>
      <c r="E299" s="7">
        <f t="shared" si="22"/>
        <v>0.13676620161885691</v>
      </c>
      <c r="G299">
        <f t="shared" si="23"/>
        <v>0.23221454941231551</v>
      </c>
    </row>
    <row r="300" spans="2:7" x14ac:dyDescent="0.25">
      <c r="B300">
        <f t="shared" si="24"/>
        <v>29500</v>
      </c>
      <c r="C300">
        <f t="shared" si="21"/>
        <v>0.22361631254052525</v>
      </c>
      <c r="D300">
        <f t="shared" si="20"/>
        <v>0.60452351688108696</v>
      </c>
      <c r="E300" s="7">
        <f t="shared" si="22"/>
        <v>0.13518131968897865</v>
      </c>
      <c r="G300">
        <f t="shared" si="23"/>
        <v>0.22908185160118599</v>
      </c>
    </row>
    <row r="301" spans="2:7" x14ac:dyDescent="0.25">
      <c r="B301">
        <f t="shared" si="24"/>
        <v>29600</v>
      </c>
      <c r="C301">
        <f t="shared" si="21"/>
        <v>0.21986444620004877</v>
      </c>
      <c r="D301">
        <f t="shared" si="20"/>
        <v>0.60773395845518663</v>
      </c>
      <c r="E301" s="7">
        <f t="shared" si="22"/>
        <v>0.13361909021271307</v>
      </c>
      <c r="G301">
        <f t="shared" si="23"/>
        <v>0.22600180327357139</v>
      </c>
    </row>
    <row r="302" spans="2:7" x14ac:dyDescent="0.25">
      <c r="B302">
        <f t="shared" si="24"/>
        <v>29700</v>
      </c>
      <c r="C302">
        <f t="shared" si="21"/>
        <v>0.21618786616247815</v>
      </c>
      <c r="D302">
        <f t="shared" si="20"/>
        <v>0.61094608493164604</v>
      </c>
      <c r="E302" s="7">
        <f t="shared" si="22"/>
        <v>0.1320791304416927</v>
      </c>
      <c r="G302">
        <f t="shared" si="23"/>
        <v>0.22297334616939191</v>
      </c>
    </row>
    <row r="303" spans="2:7" x14ac:dyDescent="0.25">
      <c r="B303">
        <f t="shared" si="24"/>
        <v>29800</v>
      </c>
      <c r="C303">
        <f t="shared" si="21"/>
        <v>0.21258481580007516</v>
      </c>
      <c r="D303">
        <f t="shared" si="20"/>
        <v>0.61415988039132141</v>
      </c>
      <c r="E303" s="7">
        <f t="shared" si="22"/>
        <v>0.13056106504478526</v>
      </c>
      <c r="G303">
        <f t="shared" si="23"/>
        <v>0.21999544676196792</v>
      </c>
    </row>
    <row r="304" spans="2:7" x14ac:dyDescent="0.25">
      <c r="B304">
        <f t="shared" si="24"/>
        <v>29900</v>
      </c>
      <c r="C304">
        <f t="shared" si="21"/>
        <v>0.20905358517131575</v>
      </c>
      <c r="D304">
        <f t="shared" si="20"/>
        <v>0.61737532911143567</v>
      </c>
      <c r="E304" s="7">
        <f t="shared" si="22"/>
        <v>0.12906452594706661</v>
      </c>
      <c r="G304">
        <f t="shared" si="23"/>
        <v>0.21706709559957751</v>
      </c>
    </row>
    <row r="305" spans="2:7" x14ac:dyDescent="0.25">
      <c r="B305">
        <f t="shared" si="24"/>
        <v>30000</v>
      </c>
      <c r="C305">
        <f t="shared" si="21"/>
        <v>0.20559250962962963</v>
      </c>
      <c r="D305">
        <f t="shared" si="20"/>
        <v>0.6205924155626199</v>
      </c>
      <c r="E305" s="7">
        <f t="shared" si="22"/>
        <v>0.12758915217263306</v>
      </c>
      <c r="G305">
        <f t="shared" si="23"/>
        <v>0.21418730666666663</v>
      </c>
    </row>
    <row r="306" spans="2:7" x14ac:dyDescent="0.25">
      <c r="B306">
        <f t="shared" si="24"/>
        <v>30100</v>
      </c>
      <c r="C306">
        <f t="shared" si="21"/>
        <v>0.20219996847805582</v>
      </c>
      <c r="D306">
        <f t="shared" si="20"/>
        <v>0.62381112440600706</v>
      </c>
      <c r="E306" s="7">
        <f t="shared" si="22"/>
        <v>0.12613458969115518</v>
      </c>
      <c r="G306">
        <f t="shared" si="23"/>
        <v>0.21135511676406574</v>
      </c>
    </row>
    <row r="307" spans="2:7" x14ac:dyDescent="0.25">
      <c r="B307">
        <f t="shared" si="24"/>
        <v>30200</v>
      </c>
      <c r="C307">
        <f t="shared" si="21"/>
        <v>0.1988743836681508</v>
      </c>
      <c r="D307">
        <f t="shared" si="20"/>
        <v>0.6270314404903744</v>
      </c>
      <c r="E307" s="7">
        <f t="shared" si="22"/>
        <v>0.12470049126807599</v>
      </c>
      <c r="G307">
        <f t="shared" si="23"/>
        <v>0.20856958490758426</v>
      </c>
    </row>
    <row r="308" spans="2:7" x14ac:dyDescent="0.25">
      <c r="B308">
        <f t="shared" si="24"/>
        <v>30300</v>
      </c>
      <c r="C308">
        <f t="shared" si="21"/>
        <v>0.19561421854155264</v>
      </c>
      <c r="D308">
        <f t="shared" si="20"/>
        <v>0.63025334884933915</v>
      </c>
      <c r="E308" s="7">
        <f t="shared" si="22"/>
        <v>0.12328651631836005</v>
      </c>
      <c r="G308">
        <f t="shared" si="23"/>
        <v>0.2058297917443799</v>
      </c>
    </row>
    <row r="309" spans="2:7" x14ac:dyDescent="0.25">
      <c r="B309">
        <f t="shared" si="24"/>
        <v>30400</v>
      </c>
      <c r="C309">
        <f t="shared" si="21"/>
        <v>0.19241797661267027</v>
      </c>
      <c r="D309">
        <f t="shared" si="20"/>
        <v>0.6334768346985995</v>
      </c>
      <c r="E309" s="7">
        <f t="shared" si="22"/>
        <v>0.12189233076370351</v>
      </c>
      <c r="G309">
        <f t="shared" si="23"/>
        <v>0.20313483898652171</v>
      </c>
    </row>
    <row r="310" spans="2:7" x14ac:dyDescent="0.25">
      <c r="B310">
        <f t="shared" si="24"/>
        <v>30500</v>
      </c>
      <c r="C310">
        <f t="shared" si="21"/>
        <v>0.18928420039102198</v>
      </c>
      <c r="D310">
        <f t="shared" si="20"/>
        <v>0.63670188343322864</v>
      </c>
      <c r="E310" s="7">
        <f t="shared" si="22"/>
        <v>0.12051760689311637</v>
      </c>
      <c r="G310">
        <f t="shared" si="23"/>
        <v>0.200483848861185</v>
      </c>
    </row>
    <row r="311" spans="2:7" x14ac:dyDescent="0.25">
      <c r="B311">
        <f t="shared" si="24"/>
        <v>30600</v>
      </c>
      <c r="C311">
        <f t="shared" si="21"/>
        <v>0.18621147024180906</v>
      </c>
      <c r="D311">
        <f t="shared" si="20"/>
        <v>0.63992848062501095</v>
      </c>
      <c r="E311" s="7">
        <f t="shared" si="22"/>
        <v>0.11916202322679031</v>
      </c>
      <c r="G311">
        <f t="shared" si="23"/>
        <v>0.19787596357693818</v>
      </c>
    </row>
    <row r="312" spans="2:7" x14ac:dyDescent="0.25">
      <c r="B312">
        <f t="shared" si="24"/>
        <v>30700</v>
      </c>
      <c r="C312">
        <f t="shared" si="21"/>
        <v>0.18319840328336184</v>
      </c>
      <c r="D312">
        <f t="shared" si="20"/>
        <v>0.64315661201982743</v>
      </c>
      <c r="E312" s="7">
        <f t="shared" si="22"/>
        <v>0.11782526438316904</v>
      </c>
      <c r="G312">
        <f t="shared" si="23"/>
        <v>0.19531034480559883</v>
      </c>
    </row>
    <row r="313" spans="2:7" x14ac:dyDescent="0.25">
      <c r="B313">
        <f t="shared" si="24"/>
        <v>30800</v>
      </c>
      <c r="C313">
        <f t="shared" si="21"/>
        <v>0.18024365232015055</v>
      </c>
      <c r="D313">
        <f t="shared" si="20"/>
        <v>0.64638626353508677</v>
      </c>
      <c r="E313" s="7">
        <f t="shared" si="22"/>
        <v>0.11650702094913938</v>
      </c>
      <c r="G313">
        <f t="shared" si="23"/>
        <v>0.19278617317915675</v>
      </c>
    </row>
    <row r="314" spans="2:7" x14ac:dyDescent="0.25">
      <c r="B314">
        <f t="shared" si="24"/>
        <v>30900</v>
      </c>
      <c r="C314">
        <f t="shared" si="21"/>
        <v>0.17734590481010437</v>
      </c>
      <c r="D314">
        <f t="shared" si="20"/>
        <v>0.6496174212571979</v>
      </c>
      <c r="E314" s="7">
        <f t="shared" si="22"/>
        <v>0.1152069893532645</v>
      </c>
      <c r="G314">
        <f t="shared" si="23"/>
        <v>0.19030264780127903</v>
      </c>
    </row>
    <row r="315" spans="2:7" x14ac:dyDescent="0.25">
      <c r="B315">
        <f t="shared" si="24"/>
        <v>31000</v>
      </c>
      <c r="C315">
        <f t="shared" si="21"/>
        <v>0.17450388186502627</v>
      </c>
      <c r="D315">
        <f t="shared" si="20"/>
        <v>0.65285007143909046</v>
      </c>
      <c r="E315" s="7">
        <f t="shared" si="22"/>
        <v>0.113924871741981</v>
      </c>
      <c r="G315">
        <f t="shared" si="23"/>
        <v>0.1878589857729277</v>
      </c>
    </row>
    <row r="316" spans="2:7" x14ac:dyDescent="0.25">
      <c r="B316">
        <f t="shared" si="24"/>
        <v>31100</v>
      </c>
      <c r="C316">
        <f t="shared" si="21"/>
        <v>0.17171633728294408</v>
      </c>
      <c r="D316">
        <f t="shared" si="20"/>
        <v>0.65608420049777294</v>
      </c>
      <c r="E316" s="7">
        <f t="shared" si="22"/>
        <v>0.11266037585868628</v>
      </c>
      <c r="G316">
        <f t="shared" si="23"/>
        <v>0.18545442173164034</v>
      </c>
    </row>
    <row r="317" spans="2:7" x14ac:dyDescent="0.25">
      <c r="B317">
        <f t="shared" si="24"/>
        <v>31200</v>
      </c>
      <c r="C317">
        <f t="shared" si="21"/>
        <v>0.16898205661127572</v>
      </c>
      <c r="D317">
        <f t="shared" si="20"/>
        <v>0.65931979501193727</v>
      </c>
      <c r="E317" s="7">
        <f t="shared" si="22"/>
        <v>0.11141321492564188</v>
      </c>
      <c r="G317">
        <f t="shared" si="23"/>
        <v>0.18308820740403584</v>
      </c>
    </row>
    <row r="318" spans="2:7" x14ac:dyDescent="0.25">
      <c r="B318">
        <f t="shared" si="24"/>
        <v>31300</v>
      </c>
      <c r="C318">
        <f t="shared" si="21"/>
        <v>0.16629985623973426</v>
      </c>
      <c r="D318">
        <f t="shared" si="20"/>
        <v>0.6625568417196025</v>
      </c>
      <c r="E318" s="7">
        <f t="shared" si="22"/>
        <v>0.11018310752862226</v>
      </c>
      <c r="G318">
        <f t="shared" si="23"/>
        <v>0.18075961117112546</v>
      </c>
    </row>
    <row r="319" spans="2:7" x14ac:dyDescent="0.25">
      <c r="B319">
        <f t="shared" si="24"/>
        <v>31400</v>
      </c>
      <c r="C319">
        <f t="shared" si="21"/>
        <v>0.16366858252193914</v>
      </c>
      <c r="D319">
        <f t="shared" si="20"/>
        <v>0.6657953275157974</v>
      </c>
      <c r="E319" s="7">
        <f t="shared" si="22"/>
        <v>0.10896977750424078</v>
      </c>
      <c r="G319">
        <f t="shared" si="23"/>
        <v>0.17846791764602526</v>
      </c>
    </row>
    <row r="320" spans="2:7" x14ac:dyDescent="0.25">
      <c r="B320">
        <f t="shared" si="24"/>
        <v>31500</v>
      </c>
      <c r="C320">
        <f t="shared" si="21"/>
        <v>0.16108711092473349</v>
      </c>
      <c r="D320">
        <f t="shared" si="20"/>
        <v>0.6690352394502852</v>
      </c>
      <c r="E320" s="7">
        <f t="shared" si="22"/>
        <v>0.10777295382988372</v>
      </c>
      <c r="G320">
        <f t="shared" si="23"/>
        <v>0.17621242726367442</v>
      </c>
    </row>
    <row r="321" spans="2:7" x14ac:dyDescent="0.25">
      <c r="B321">
        <f t="shared" si="24"/>
        <v>31600</v>
      </c>
      <c r="C321">
        <f t="shared" si="21"/>
        <v>0.15855434520425243</v>
      </c>
      <c r="D321">
        <f t="shared" si="20"/>
        <v>0.67227656472532593</v>
      </c>
      <c r="E321" s="7">
        <f t="shared" si="22"/>
        <v>0.10659237051618828</v>
      </c>
      <c r="G321">
        <f t="shared" si="23"/>
        <v>0.17399245588218412</v>
      </c>
    </row>
    <row r="322" spans="2:7" x14ac:dyDescent="0.25">
      <c r="B322">
        <f t="shared" si="24"/>
        <v>31700</v>
      </c>
      <c r="C322">
        <f t="shared" si="21"/>
        <v>0.15606921660781994</v>
      </c>
      <c r="D322">
        <f t="shared" si="20"/>
        <v>0.6755192906934756</v>
      </c>
      <c r="E322" s="7">
        <f t="shared" si="22"/>
        <v>0.10542776650200093</v>
      </c>
      <c r="G322">
        <f t="shared" si="23"/>
        <v>0.17180733439545157</v>
      </c>
    </row>
    <row r="323" spans="2:7" x14ac:dyDescent="0.25">
      <c r="B323">
        <f t="shared" si="24"/>
        <v>31800</v>
      </c>
      <c r="C323">
        <f t="shared" si="21"/>
        <v>0.15363068310078426</v>
      </c>
      <c r="D323">
        <f t="shared" si="20"/>
        <v>0.67876340485542441</v>
      </c>
      <c r="E323" s="7">
        <f t="shared" si="22"/>
        <v>0.10427888555175303</v>
      </c>
      <c r="G323">
        <f t="shared" si="23"/>
        <v>0.16965640835668525</v>
      </c>
    </row>
    <row r="324" spans="2:7" x14ac:dyDescent="0.25">
      <c r="B324">
        <f t="shared" si="24"/>
        <v>31900</v>
      </c>
      <c r="C324">
        <f t="shared" si="21"/>
        <v>0.15123772861743848</v>
      </c>
      <c r="D324">
        <f t="shared" si="20"/>
        <v>0.68200889485787042</v>
      </c>
      <c r="E324" s="7">
        <f t="shared" si="22"/>
        <v>0.10314547615519373</v>
      </c>
      <c r="G324">
        <f t="shared" si="23"/>
        <v>0.16753903761250161</v>
      </c>
    </row>
    <row r="325" spans="2:7" x14ac:dyDescent="0.25">
      <c r="B325">
        <f t="shared" si="24"/>
        <v>32000</v>
      </c>
      <c r="C325">
        <f t="shared" si="21"/>
        <v>0.14888936233520494</v>
      </c>
      <c r="D325">
        <f t="shared" si="20"/>
        <v>0.68525574849142967</v>
      </c>
      <c r="E325" s="7">
        <f t="shared" si="22"/>
        <v>0.10202729142942255</v>
      </c>
      <c r="G325">
        <f t="shared" si="23"/>
        <v>0.16545459594726547</v>
      </c>
    </row>
    <row r="326" spans="2:7" x14ac:dyDescent="0.25">
      <c r="B326">
        <f t="shared" si="24"/>
        <v>32100</v>
      </c>
      <c r="C326">
        <f t="shared" si="21"/>
        <v>0.14658461797128894</v>
      </c>
      <c r="D326">
        <f t="shared" ref="D326:D389" si="25">1/(EXP((6.626E-34*300000000)/($B326*0.000000001*1.3806E-23*E$3))-1)</f>
        <v>0.68850395368858031</v>
      </c>
      <c r="E326" s="7">
        <f t="shared" si="22"/>
        <v>0.10092408902316255</v>
      </c>
      <c r="G326">
        <f t="shared" si="23"/>
        <v>0.16340247073735498</v>
      </c>
    </row>
    <row r="327" spans="2:7" x14ac:dyDescent="0.25">
      <c r="B327">
        <f t="shared" si="24"/>
        <v>32200</v>
      </c>
      <c r="C327">
        <f t="shared" ref="C327:C390" si="26">8*3.1416*6.626E-34*300000000/(B327*0.000000001)^5</f>
        <v>0.14432255310103917</v>
      </c>
      <c r="D327">
        <f t="shared" si="25"/>
        <v>0.69175349852164314</v>
      </c>
      <c r="E327" s="7">
        <f t="shared" ref="E327:E390" si="27">C327*D327</f>
        <v>9.9835631023219462E-2</v>
      </c>
      <c r="G327">
        <f t="shared" ref="G327:G390" si="28">8*3.1416*1.3806E-23*E$3/((B327*0.000000001)^4)</f>
        <v>0.16138206261504401</v>
      </c>
    </row>
    <row r="328" spans="2:7" x14ac:dyDescent="0.25">
      <c r="B328">
        <f t="shared" ref="B328:B391" si="29">B327+B$3</f>
        <v>32300</v>
      </c>
      <c r="C328">
        <f t="shared" si="26"/>
        <v>0.1421022484972834</v>
      </c>
      <c r="D328">
        <f t="shared" si="25"/>
        <v>0.69500437120079328</v>
      </c>
      <c r="E328" s="7">
        <f t="shared" si="27"/>
        <v>9.8761683863073324E-2</v>
      </c>
      <c r="G328">
        <f t="shared" si="28"/>
        <v>0.15939278514170913</v>
      </c>
    </row>
    <row r="329" spans="2:7" x14ac:dyDescent="0.25">
      <c r="B329">
        <f t="shared" si="29"/>
        <v>32400</v>
      </c>
      <c r="C329">
        <f t="shared" si="26"/>
        <v>0.13992280748992597</v>
      </c>
      <c r="D329">
        <f t="shared" si="25"/>
        <v>0.69825656007210835</v>
      </c>
      <c r="E329" s="7">
        <f t="shared" si="27"/>
        <v>9.7702018233547544E-2</v>
      </c>
      <c r="G329">
        <f t="shared" si="28"/>
        <v>0.15743406449006878</v>
      </c>
    </row>
    <row r="330" spans="2:7" x14ac:dyDescent="0.25">
      <c r="B330">
        <f t="shared" si="29"/>
        <v>32500</v>
      </c>
      <c r="C330">
        <f t="shared" si="26"/>
        <v>0.1377833553451317</v>
      </c>
      <c r="D330">
        <f t="shared" si="25"/>
        <v>0.70151005361564545</v>
      </c>
      <c r="E330" s="7">
        <f t="shared" si="27"/>
        <v>9.6656408995506871E-2</v>
      </c>
      <c r="G330">
        <f t="shared" si="28"/>
        <v>0.1555053391351843</v>
      </c>
    </row>
    <row r="331" spans="2:7" x14ac:dyDescent="0.25">
      <c r="B331">
        <f t="shared" si="29"/>
        <v>32600</v>
      </c>
      <c r="C331">
        <f t="shared" si="26"/>
        <v>0.13568303866343462</v>
      </c>
      <c r="D331">
        <f t="shared" si="25"/>
        <v>0.70476484044355314</v>
      </c>
      <c r="E331" s="7">
        <f t="shared" si="27"/>
        <v>9.5624635094531951E-2</v>
      </c>
      <c r="G331">
        <f t="shared" si="28"/>
        <v>0.1536060595539504</v>
      </c>
    </row>
    <row r="332" spans="2:7" x14ac:dyDescent="0.25">
      <c r="B332">
        <f t="shared" si="29"/>
        <v>32700</v>
      </c>
      <c r="C332">
        <f t="shared" si="26"/>
        <v>0.1336210247961411</v>
      </c>
      <c r="D332">
        <f t="shared" si="25"/>
        <v>0.70802090929821371</v>
      </c>
      <c r="E332" s="7">
        <f t="shared" si="27"/>
        <v>9.4606479477522987E-2</v>
      </c>
      <c r="G332">
        <f t="shared" si="28"/>
        <v>0.15173568793281927</v>
      </c>
    </row>
    <row r="333" spans="2:7" x14ac:dyDescent="0.25">
      <c r="B333">
        <f t="shared" si="29"/>
        <v>32800</v>
      </c>
      <c r="C333">
        <f t="shared" si="26"/>
        <v>0.13159650127941783</v>
      </c>
      <c r="D333">
        <f t="shared" si="25"/>
        <v>0.71127824905041492</v>
      </c>
      <c r="E333" s="7">
        <f t="shared" si="27"/>
        <v>9.3601729011185006E-2</v>
      </c>
      <c r="G333">
        <f t="shared" si="28"/>
        <v>0.14989369788350809</v>
      </c>
    </row>
    <row r="334" spans="2:7" x14ac:dyDescent="0.25">
      <c r="B334">
        <f t="shared" si="29"/>
        <v>32900</v>
      </c>
      <c r="C334">
        <f t="shared" si="26"/>
        <v>0.1296086752854754</v>
      </c>
      <c r="D334">
        <f t="shared" si="25"/>
        <v>0.71453684869755341</v>
      </c>
      <c r="E334" s="7">
        <f t="shared" si="27"/>
        <v>9.2610174402348061E-2</v>
      </c>
      <c r="G334">
        <f t="shared" si="28"/>
        <v>0.14807957416644754</v>
      </c>
    </row>
    <row r="335" spans="2:7" x14ac:dyDescent="0.25">
      <c r="B335">
        <f t="shared" si="29"/>
        <v>33000</v>
      </c>
      <c r="C335">
        <f t="shared" si="26"/>
        <v>0.1276567730902817</v>
      </c>
      <c r="D335">
        <f t="shared" si="25"/>
        <v>0.71779669736186791</v>
      </c>
      <c r="E335" s="7">
        <f t="shared" si="27"/>
        <v>9.1631610120077575E-2</v>
      </c>
      <c r="G335">
        <f t="shared" si="28"/>
        <v>0.146292812421738</v>
      </c>
    </row>
    <row r="336" spans="2:7" x14ac:dyDescent="0.25">
      <c r="B336">
        <f t="shared" si="29"/>
        <v>33100</v>
      </c>
      <c r="C336">
        <f t="shared" si="26"/>
        <v>0.12574003955726079</v>
      </c>
      <c r="D336">
        <f t="shared" si="25"/>
        <v>0.72105778428869971</v>
      </c>
      <c r="E336" s="7">
        <f t="shared" si="27"/>
        <v>9.0665834319531916E-2</v>
      </c>
      <c r="G336">
        <f t="shared" si="28"/>
        <v>0.14453291890738923</v>
      </c>
    </row>
    <row r="337" spans="2:7" x14ac:dyDescent="0.25">
      <c r="B337">
        <f t="shared" si="29"/>
        <v>33200</v>
      </c>
      <c r="C337">
        <f t="shared" si="26"/>
        <v>0.1238577376364481</v>
      </c>
      <c r="D337">
        <f t="shared" si="25"/>
        <v>0.72432009884478288</v>
      </c>
      <c r="E337" s="7">
        <f t="shared" si="27"/>
        <v>8.9712648767523273E-2</v>
      </c>
      <c r="G337">
        <f t="shared" si="28"/>
        <v>0.14279941024462281</v>
      </c>
    </row>
    <row r="338" spans="2:7" x14ac:dyDescent="0.25">
      <c r="B338">
        <f t="shared" si="29"/>
        <v>33300</v>
      </c>
      <c r="C338">
        <f t="shared" si="26"/>
        <v>0.12200914787859567</v>
      </c>
      <c r="D338">
        <f t="shared" si="25"/>
        <v>0.72758363051656338</v>
      </c>
      <c r="E338" s="7">
        <f t="shared" si="27"/>
        <v>8.8771858769740891E-2</v>
      </c>
      <c r="G338">
        <f t="shared" si="28"/>
        <v>0.14109181317002717</v>
      </c>
    </row>
    <row r="339" spans="2:7" x14ac:dyDescent="0.25">
      <c r="B339">
        <f t="shared" si="29"/>
        <v>33400</v>
      </c>
      <c r="C339">
        <f t="shared" si="26"/>
        <v>0.12019356796373934</v>
      </c>
      <c r="D339">
        <f t="shared" si="25"/>
        <v>0.73084836890854343</v>
      </c>
      <c r="E339" s="7">
        <f t="shared" si="27"/>
        <v>8.7843273099597052E-2</v>
      </c>
      <c r="G339">
        <f t="shared" si="28"/>
        <v>0.13940966429436227</v>
      </c>
    </row>
    <row r="340" spans="2:7" x14ac:dyDescent="0.25">
      <c r="B340">
        <f t="shared" si="29"/>
        <v>33500</v>
      </c>
      <c r="C340">
        <f t="shared" si="26"/>
        <v>0.11841031224375266</v>
      </c>
      <c r="D340">
        <f t="shared" si="25"/>
        <v>0.73411430374165298</v>
      </c>
      <c r="E340" s="7">
        <f t="shared" si="27"/>
        <v>8.6926703928654217E-2</v>
      </c>
      <c r="G340">
        <f t="shared" si="28"/>
        <v>0.13775250986781326</v>
      </c>
    </row>
    <row r="341" spans="2:7" x14ac:dyDescent="0.25">
      <c r="B341">
        <f t="shared" si="29"/>
        <v>33600</v>
      </c>
      <c r="C341">
        <f t="shared" si="26"/>
        <v>0.11665871129843655</v>
      </c>
      <c r="D341">
        <f t="shared" si="25"/>
        <v>0.73738142485165015</v>
      </c>
      <c r="E341" s="7">
        <f t="shared" si="27"/>
        <v>8.6021966758598439E-2</v>
      </c>
      <c r="G341">
        <f t="shared" si="28"/>
        <v>0.13611990555150624</v>
      </c>
    </row>
    <row r="342" spans="2:7" x14ac:dyDescent="0.25">
      <c r="B342">
        <f t="shared" si="29"/>
        <v>33700</v>
      </c>
      <c r="C342">
        <f t="shared" si="26"/>
        <v>0.11493811150470125</v>
      </c>
      <c r="D342">
        <f t="shared" si="25"/>
        <v>0.74064972218754443</v>
      </c>
      <c r="E342" s="7">
        <f t="shared" si="27"/>
        <v>8.5128880354717981E-2</v>
      </c>
      <c r="G342">
        <f t="shared" si="28"/>
        <v>0.13451141619509663</v>
      </c>
    </row>
    <row r="343" spans="2:7" x14ac:dyDescent="0.25">
      <c r="B343">
        <f t="shared" si="29"/>
        <v>33800</v>
      </c>
      <c r="C343">
        <f t="shared" si="26"/>
        <v>0.1132478746184198</v>
      </c>
      <c r="D343">
        <f t="shared" si="25"/>
        <v>0.74391918581004801</v>
      </c>
      <c r="E343" s="7">
        <f t="shared" si="27"/>
        <v>8.4247266680853264E-2</v>
      </c>
      <c r="G343">
        <f t="shared" si="28"/>
        <v>0.1329266156202544</v>
      </c>
    </row>
    <row r="344" spans="2:7" x14ac:dyDescent="0.25">
      <c r="B344">
        <f t="shared" si="29"/>
        <v>33900</v>
      </c>
      <c r="C344">
        <f t="shared" si="26"/>
        <v>0.11158737736854367</v>
      </c>
      <c r="D344">
        <f t="shared" si="25"/>
        <v>0.7471898058900498</v>
      </c>
      <c r="E344" s="7">
        <f t="shared" si="27"/>
        <v>8.3376950835781879E-2</v>
      </c>
      <c r="G344">
        <f t="shared" si="28"/>
        <v>0.13136508640987238</v>
      </c>
    </row>
    <row r="345" spans="2:7" x14ac:dyDescent="0.25">
      <c r="B345">
        <f t="shared" si="29"/>
        <v>34000</v>
      </c>
      <c r="C345">
        <f t="shared" si="26"/>
        <v>0.10995601106308595</v>
      </c>
      <c r="D345">
        <f t="shared" si="25"/>
        <v>0.75046157270711478</v>
      </c>
      <c r="E345" s="7">
        <f t="shared" si="27"/>
        <v>8.2517760991004385E-2</v>
      </c>
      <c r="G345">
        <f t="shared" si="28"/>
        <v>0.12982641970282924</v>
      </c>
    </row>
    <row r="346" spans="2:7" x14ac:dyDescent="0.25">
      <c r="B346">
        <f t="shared" si="29"/>
        <v>34100</v>
      </c>
      <c r="C346">
        <f t="shared" si="26"/>
        <v>0.1083531812065906</v>
      </c>
      <c r="D346">
        <f t="shared" si="25"/>
        <v>0.75373447664800952</v>
      </c>
      <c r="E346" s="7">
        <f t="shared" si="27"/>
        <v>8.1669528329896504E-2</v>
      </c>
      <c r="G346">
        <f t="shared" si="28"/>
        <v>0.12831021499414497</v>
      </c>
    </row>
    <row r="347" spans="2:7" x14ac:dyDescent="0.25">
      <c r="B347">
        <f t="shared" si="29"/>
        <v>34200</v>
      </c>
      <c r="C347">
        <f t="shared" si="26"/>
        <v>0.10677830712872317</v>
      </c>
      <c r="D347">
        <f t="shared" si="25"/>
        <v>0.75700850820524646</v>
      </c>
      <c r="E347" s="7">
        <f t="shared" si="27"/>
        <v>8.0832086988196369E-2</v>
      </c>
      <c r="G347">
        <f t="shared" si="28"/>
        <v>0.1268160799403738</v>
      </c>
    </row>
    <row r="348" spans="2:7" x14ac:dyDescent="0.25">
      <c r="B348">
        <f t="shared" si="29"/>
        <v>34300</v>
      </c>
      <c r="C348">
        <f t="shared" si="26"/>
        <v>0.1052308216236251</v>
      </c>
      <c r="D348">
        <f t="shared" si="25"/>
        <v>0.76028365797565689</v>
      </c>
      <c r="E348" s="7">
        <f t="shared" si="27"/>
        <v>8.0005273995793547E-2</v>
      </c>
      <c r="G348">
        <f t="shared" si="28"/>
        <v>0.12534363017007957</v>
      </c>
    </row>
    <row r="349" spans="2:7" x14ac:dyDescent="0.25">
      <c r="B349">
        <f t="shared" si="29"/>
        <v>34400</v>
      </c>
      <c r="C349">
        <f t="shared" si="26"/>
        <v>0.1037101705996913</v>
      </c>
      <c r="D349">
        <f t="shared" si="25"/>
        <v>0.7635599166589826</v>
      </c>
      <c r="E349" s="7">
        <f t="shared" si="27"/>
        <v>7.918892921978915E-2</v>
      </c>
      <c r="G349">
        <f t="shared" si="28"/>
        <v>0.12389248909924849</v>
      </c>
    </row>
    <row r="350" spans="2:7" x14ac:dyDescent="0.25">
      <c r="B350">
        <f t="shared" si="29"/>
        <v>34500</v>
      </c>
      <c r="C350">
        <f t="shared" si="26"/>
        <v>0.10221581273944139</v>
      </c>
      <c r="D350">
        <f t="shared" si="25"/>
        <v>0.76683727505649291</v>
      </c>
      <c r="E350" s="7">
        <f t="shared" si="27"/>
        <v>7.8382895308797981E-2</v>
      </c>
      <c r="G350">
        <f t="shared" si="28"/>
        <v>0.12246228775149691</v>
      </c>
    </row>
    <row r="351" spans="2:7" x14ac:dyDescent="0.25">
      <c r="B351">
        <f t="shared" si="29"/>
        <v>34600</v>
      </c>
      <c r="C351">
        <f t="shared" si="26"/>
        <v>0.10074721916916302</v>
      </c>
      <c r="D351">
        <f t="shared" si="25"/>
        <v>0.77011572406962003</v>
      </c>
      <c r="E351" s="7">
        <f t="shared" si="27"/>
        <v>7.7587017638460681E-2</v>
      </c>
      <c r="G351">
        <f t="shared" si="28"/>
        <v>0.12105266458293458</v>
      </c>
    </row>
    <row r="352" spans="2:7" x14ac:dyDescent="0.25">
      <c r="B352">
        <f t="shared" si="29"/>
        <v>34700</v>
      </c>
      <c r="C352">
        <f t="shared" si="26"/>
        <v>9.930387313802122E-2</v>
      </c>
      <c r="D352">
        <f t="shared" si="25"/>
        <v>0.77339525469862047</v>
      </c>
      <c r="E352" s="7">
        <f t="shared" si="27"/>
        <v>7.6801144258139414E-2</v>
      </c>
      <c r="G352">
        <f t="shared" si="28"/>
        <v>0.1196632653115509</v>
      </c>
    </row>
    <row r="353" spans="2:7" x14ac:dyDescent="0.25">
      <c r="B353">
        <f t="shared" si="29"/>
        <v>34800</v>
      </c>
      <c r="C353">
        <f t="shared" si="26"/>
        <v>9.7885269706336389E-2</v>
      </c>
      <c r="D353">
        <f t="shared" si="25"/>
        <v>0.77667585804125283</v>
      </c>
      <c r="E353" s="7">
        <f t="shared" si="27"/>
        <v>7.6025125838768262E-2</v>
      </c>
      <c r="G353">
        <f t="shared" si="28"/>
        <v>0.11829374275099523</v>
      </c>
    </row>
    <row r="354" spans="2:7" x14ac:dyDescent="0.25">
      <c r="B354">
        <f t="shared" si="29"/>
        <v>34900</v>
      </c>
      <c r="C354">
        <f t="shared" si="26"/>
        <v>9.6490915442741895E-2</v>
      </c>
      <c r="D354">
        <f t="shared" si="25"/>
        <v>0.77995752529148143</v>
      </c>
      <c r="E354" s="7">
        <f t="shared" si="27"/>
        <v>7.5258815621830552E-2</v>
      </c>
      <c r="G354">
        <f t="shared" si="28"/>
        <v>0.11694375664862426</v>
      </c>
    </row>
    <row r="355" spans="2:7" x14ac:dyDescent="0.25">
      <c r="B355">
        <f t="shared" si="29"/>
        <v>35000</v>
      </c>
      <c r="C355">
        <f t="shared" si="26"/>
        <v>9.5120328129945822E-2</v>
      </c>
      <c r="D355">
        <f t="shared" si="25"/>
        <v>0.78324024773819512</v>
      </c>
      <c r="E355" s="7">
        <f t="shared" si="27"/>
        <v>7.4502069369437179E-2</v>
      </c>
      <c r="G355">
        <f t="shared" si="28"/>
        <v>0.11561297352769676</v>
      </c>
    </row>
    <row r="356" spans="2:7" x14ac:dyDescent="0.25">
      <c r="B356">
        <f t="shared" si="29"/>
        <v>35100</v>
      </c>
      <c r="C356">
        <f t="shared" si="26"/>
        <v>9.3773036478827426E-2</v>
      </c>
      <c r="D356">
        <f t="shared" si="25"/>
        <v>0.78652401676395045</v>
      </c>
      <c r="E356" s="7">
        <f t="shared" si="27"/>
        <v>7.3754745315479806E-2</v>
      </c>
      <c r="G356">
        <f t="shared" si="28"/>
        <v>0.1143010665335971</v>
      </c>
    </row>
    <row r="357" spans="2:7" x14ac:dyDescent="0.25">
      <c r="B357">
        <f t="shared" si="29"/>
        <v>35200</v>
      </c>
      <c r="C357">
        <f t="shared" si="26"/>
        <v>9.2448579850609461E-2</v>
      </c>
      <c r="D357">
        <f t="shared" si="25"/>
        <v>0.78980882384373297</v>
      </c>
      <c r="E357" s="7">
        <f t="shared" si="27"/>
        <v>7.3016704117833287E-2</v>
      </c>
      <c r="G357">
        <f t="shared" si="28"/>
        <v>0.11300771528397349</v>
      </c>
    </row>
    <row r="358" spans="2:7" x14ac:dyDescent="0.25">
      <c r="B358">
        <f t="shared" si="29"/>
        <v>35300</v>
      </c>
      <c r="C358">
        <f t="shared" si="26"/>
        <v>9.1146507986857084E-2</v>
      </c>
      <c r="D358">
        <f t="shared" si="25"/>
        <v>0.79309466054373512</v>
      </c>
      <c r="E358" s="7">
        <f t="shared" si="27"/>
        <v>7.2287808811583254E-2</v>
      </c>
      <c r="G358">
        <f t="shared" si="28"/>
        <v>0.1117326057226813</v>
      </c>
    </row>
    <row r="359" spans="2:7" x14ac:dyDescent="0.25">
      <c r="B359">
        <f t="shared" si="29"/>
        <v>35400</v>
      </c>
      <c r="C359">
        <f t="shared" si="26"/>
        <v>8.9866380747060409E-2</v>
      </c>
      <c r="D359">
        <f t="shared" si="25"/>
        <v>0.79638151852015904</v>
      </c>
      <c r="E359" s="7">
        <f t="shared" si="27"/>
        <v>7.1567924763254756E-2</v>
      </c>
      <c r="G359">
        <f t="shared" si="28"/>
        <v>0.11047542997742384</v>
      </c>
    </row>
    <row r="360" spans="2:7" x14ac:dyDescent="0.25">
      <c r="B360">
        <f t="shared" si="29"/>
        <v>35500</v>
      </c>
      <c r="C360">
        <f t="shared" si="26"/>
        <v>8.8607767853567068E-2</v>
      </c>
      <c r="D360">
        <f t="shared" si="25"/>
        <v>0.79966938951803235</v>
      </c>
      <c r="E360" s="7">
        <f t="shared" si="27"/>
        <v>7.0856919626017506E-2</v>
      </c>
      <c r="G360">
        <f t="shared" si="28"/>
        <v>0.1092358862209863</v>
      </c>
    </row>
    <row r="361" spans="2:7" x14ac:dyDescent="0.25">
      <c r="B361">
        <f t="shared" si="29"/>
        <v>35600</v>
      </c>
      <c r="C361">
        <f t="shared" si="26"/>
        <v>8.737024864364043E-2</v>
      </c>
      <c r="D361">
        <f t="shared" si="25"/>
        <v>0.80295826537004489</v>
      </c>
      <c r="E361" s="7">
        <f t="shared" si="27"/>
        <v>7.0154663295847033E-2</v>
      </c>
      <c r="G361">
        <f t="shared" si="28"/>
        <v>0.10801367853596426</v>
      </c>
    </row>
    <row r="362" spans="2:7" x14ac:dyDescent="0.25">
      <c r="B362">
        <f t="shared" si="29"/>
        <v>35700</v>
      </c>
      <c r="C362">
        <f t="shared" si="26"/>
        <v>8.6153411828423176E-2</v>
      </c>
      <c r="D362">
        <f t="shared" si="25"/>
        <v>0.80624813799540385</v>
      </c>
      <c r="E362" s="7">
        <f t="shared" si="27"/>
        <v>6.9461027868617381E-2</v>
      </c>
      <c r="G362">
        <f t="shared" si="28"/>
        <v>0.10680851678288714</v>
      </c>
    </row>
    <row r="363" spans="2:7" x14ac:dyDescent="0.25">
      <c r="B363">
        <f t="shared" si="29"/>
        <v>35800</v>
      </c>
      <c r="C363">
        <f t="shared" si="26"/>
        <v>8.4956855258596281E-2</v>
      </c>
      <c r="D363">
        <f t="shared" si="25"/>
        <v>0.80953899939870555</v>
      </c>
      <c r="E363" s="7">
        <f t="shared" si="27"/>
        <v>6.8775887598104685E-2</v>
      </c>
      <c r="G363">
        <f t="shared" si="28"/>
        <v>0.10562011647164316</v>
      </c>
    </row>
    <row r="364" spans="2:7" x14ac:dyDescent="0.25">
      <c r="B364">
        <f t="shared" si="29"/>
        <v>35900</v>
      </c>
      <c r="C364">
        <f t="shared" si="26"/>
        <v>8.3780185696529619E-2</v>
      </c>
      <c r="D364">
        <f t="shared" si="25"/>
        <v>0.81283084166882369</v>
      </c>
      <c r="E364" s="7">
        <f t="shared" si="27"/>
        <v>6.8099118854880514E-2</v>
      </c>
      <c r="G364">
        <f t="shared" si="28"/>
        <v>0.10444819863611465</v>
      </c>
    </row>
    <row r="365" spans="2:7" x14ac:dyDescent="0.25">
      <c r="B365">
        <f t="shared" si="29"/>
        <v>36000</v>
      </c>
      <c r="C365">
        <f t="shared" si="26"/>
        <v>8.2623018594726413E-2</v>
      </c>
      <c r="D365">
        <f t="shared" si="25"/>
        <v>0.81612365697781719</v>
      </c>
      <c r="E365" s="7">
        <f t="shared" si="27"/>
        <v>6.7430600086074308E-2</v>
      </c>
      <c r="G365">
        <f t="shared" si="28"/>
        <v>0.10329248971193414</v>
      </c>
    </row>
    <row r="366" spans="2:7" x14ac:dyDescent="0.25">
      <c r="B366">
        <f t="shared" si="29"/>
        <v>36100</v>
      </c>
      <c r="C366">
        <f t="shared" si="26"/>
        <v>8.1484977880370388E-2</v>
      </c>
      <c r="D366">
        <f t="shared" si="25"/>
        <v>0.81941743757985308</v>
      </c>
      <c r="E366" s="7">
        <f t="shared" si="27"/>
        <v>6.6770211775984106E-2</v>
      </c>
      <c r="G366">
        <f t="shared" si="28"/>
        <v>0.1021527214172749</v>
      </c>
    </row>
    <row r="367" spans="2:7" x14ac:dyDescent="0.25">
      <c r="B367">
        <f t="shared" si="29"/>
        <v>36200</v>
      </c>
      <c r="C367">
        <f t="shared" si="26"/>
        <v>8.0365695745793095E-2</v>
      </c>
      <c r="D367">
        <f t="shared" si="25"/>
        <v>0.82271217581014466</v>
      </c>
      <c r="E367" s="7">
        <f t="shared" si="27"/>
        <v>6.6117836407517519E-2</v>
      </c>
      <c r="G367">
        <f t="shared" si="28"/>
        <v>0.10102863063659417</v>
      </c>
    </row>
    <row r="368" spans="2:7" x14ac:dyDescent="0.25">
      <c r="B368">
        <f t="shared" si="29"/>
        <v>36300</v>
      </c>
      <c r="C368">
        <f t="shared" si="26"/>
        <v>7.9264812444680074E-2</v>
      </c>
      <c r="D368">
        <f t="shared" si="25"/>
        <v>0.82600786408391014</v>
      </c>
      <c r="E368" s="7">
        <f t="shared" si="27"/>
        <v>6.5473358424441921E-2</v>
      </c>
      <c r="G368">
        <f t="shared" si="28"/>
        <v>9.9919959307245426E-2</v>
      </c>
    </row>
    <row r="369" spans="2:7" x14ac:dyDescent="0.25">
      <c r="B369">
        <f t="shared" si="29"/>
        <v>36400</v>
      </c>
      <c r="C369">
        <f t="shared" si="26"/>
        <v>7.8181976093846528E-2</v>
      </c>
      <c r="D369">
        <f t="shared" si="25"/>
        <v>0.82930449489534186</v>
      </c>
      <c r="E369" s="7">
        <f t="shared" si="27"/>
        <v>6.4836664194427088E-2</v>
      </c>
      <c r="G369">
        <f t="shared" si="28"/>
        <v>9.8826454308883899E-2</v>
      </c>
    </row>
    <row r="370" spans="2:7" x14ac:dyDescent="0.25">
      <c r="B370">
        <f t="shared" si="29"/>
        <v>36500</v>
      </c>
      <c r="C370">
        <f t="shared" si="26"/>
        <v>7.7116842480413061E-2</v>
      </c>
      <c r="D370">
        <f t="shared" si="25"/>
        <v>0.83260206081659383</v>
      </c>
      <c r="E370" s="7">
        <f t="shared" si="27"/>
        <v>6.4207641972860566E-2</v>
      </c>
      <c r="G370">
        <f t="shared" si="28"/>
        <v>9.7747867355587256E-2</v>
      </c>
    </row>
    <row r="371" spans="2:7" x14ac:dyDescent="0.25">
      <c r="B371">
        <f t="shared" si="29"/>
        <v>36600</v>
      </c>
      <c r="C371">
        <f t="shared" si="26"/>
        <v>7.6069074874221168E-2</v>
      </c>
      <c r="D371">
        <f t="shared" si="25"/>
        <v>0.83590055449678635</v>
      </c>
      <c r="E371" s="7">
        <f t="shared" si="27"/>
        <v>6.3586181867419031E-2</v>
      </c>
      <c r="G371">
        <f t="shared" si="28"/>
        <v>9.668395489061779E-2</v>
      </c>
    </row>
    <row r="372" spans="2:7" x14ac:dyDescent="0.25">
      <c r="B372">
        <f t="shared" si="29"/>
        <v>36700</v>
      </c>
      <c r="C372">
        <f t="shared" si="26"/>
        <v>7.5038343845332742E-2</v>
      </c>
      <c r="D372">
        <f t="shared" si="25"/>
        <v>0.83919996866102076</v>
      </c>
      <c r="E372" s="7">
        <f t="shared" si="27"/>
        <v>6.2972175803378133E-2</v>
      </c>
      <c r="G372">
        <f t="shared" si="28"/>
        <v>9.5634477983755836E-2</v>
      </c>
    </row>
    <row r="373" spans="2:7" x14ac:dyDescent="0.25">
      <c r="B373">
        <f t="shared" si="29"/>
        <v>36800</v>
      </c>
      <c r="C373">
        <f t="shared" si="26"/>
        <v>7.4024327086461381E-2</v>
      </c>
      <c r="D373">
        <f t="shared" si="25"/>
        <v>0.84250029610941424</v>
      </c>
      <c r="E373" s="7">
        <f t="shared" si="27"/>
        <v>6.2365517489643849E-2</v>
      </c>
      <c r="G373">
        <f t="shared" si="28"/>
        <v>9.4599202231133009E-2</v>
      </c>
    </row>
    <row r="374" spans="2:7" x14ac:dyDescent="0.25">
      <c r="B374">
        <f t="shared" si="29"/>
        <v>36900</v>
      </c>
      <c r="C374">
        <f t="shared" si="26"/>
        <v>7.3026709240189752E-2</v>
      </c>
      <c r="D374">
        <f t="shared" si="25"/>
        <v>0.84580152971614664</v>
      </c>
      <c r="E374" s="7">
        <f t="shared" si="27"/>
        <v>6.1766102385488755E-2</v>
      </c>
      <c r="G374">
        <f t="shared" si="28"/>
        <v>9.3577897657498743E-2</v>
      </c>
    </row>
    <row r="375" spans="2:7" x14ac:dyDescent="0.25">
      <c r="B375">
        <f t="shared" si="29"/>
        <v>37000</v>
      </c>
      <c r="C375">
        <f t="shared" si="26"/>
        <v>7.204518173083195E-2</v>
      </c>
      <c r="D375">
        <f t="shared" si="25"/>
        <v>0.84910366242852042</v>
      </c>
      <c r="E375" s="7">
        <f t="shared" si="27"/>
        <v>6.1173827667977736E-2</v>
      </c>
      <c r="G375">
        <f t="shared" si="28"/>
        <v>9.2570338620854828E-2</v>
      </c>
    </row>
    <row r="376" spans="2:7" x14ac:dyDescent="0.25">
      <c r="B376">
        <f t="shared" si="29"/>
        <v>37100</v>
      </c>
      <c r="C376">
        <f t="shared" si="26"/>
        <v>7.107944260080315E-2</v>
      </c>
      <c r="D376">
        <f t="shared" si="25"/>
        <v>0.85240668726603708</v>
      </c>
      <c r="E376" s="7">
        <f t="shared" si="27"/>
        <v>6.0588592200067043E-2</v>
      </c>
      <c r="G376">
        <f t="shared" si="28"/>
        <v>9.157630371939364E-2</v>
      </c>
    </row>
    <row r="377" spans="2:7" x14ac:dyDescent="0.25">
      <c r="B377">
        <f t="shared" si="29"/>
        <v>37200</v>
      </c>
      <c r="C377">
        <f t="shared" si="26"/>
        <v>7.0129196351364068E-2</v>
      </c>
      <c r="D377">
        <f t="shared" si="25"/>
        <v>0.85571059731948729</v>
      </c>
      <c r="E377" s="7">
        <f t="shared" si="27"/>
        <v>6.0010296499361356E-2</v>
      </c>
      <c r="G377">
        <f t="shared" si="28"/>
        <v>9.0595575700678846E-2</v>
      </c>
    </row>
    <row r="378" spans="2:7" x14ac:dyDescent="0.25">
      <c r="B378">
        <f t="shared" si="29"/>
        <v>37300</v>
      </c>
      <c r="C378">
        <f t="shared" si="26"/>
        <v>6.9194153787612761E-2</v>
      </c>
      <c r="D378">
        <f t="shared" si="25"/>
        <v>0.85901538575005099</v>
      </c>
      <c r="E378" s="7">
        <f t="shared" si="27"/>
        <v>5.9438842707514525E-2</v>
      </c>
      <c r="G378">
        <f t="shared" si="28"/>
        <v>8.9627941373009015E-2</v>
      </c>
    </row>
    <row r="379" spans="2:7" x14ac:dyDescent="0.25">
      <c r="B379">
        <f t="shared" si="29"/>
        <v>37400</v>
      </c>
      <c r="C379">
        <f t="shared" si="26"/>
        <v>6.8274031867598409E-2</v>
      </c>
      <c r="D379">
        <f t="shared" si="25"/>
        <v>0.8623210457884164</v>
      </c>
      <c r="E379" s="7">
        <f t="shared" si="27"/>
        <v>5.8874134560259125E-2</v>
      </c>
      <c r="G379">
        <f t="shared" si="28"/>
        <v>8.8673191518905264E-2</v>
      </c>
    </row>
    <row r="380" spans="2:7" x14ac:dyDescent="0.25">
      <c r="B380">
        <f t="shared" si="29"/>
        <v>37500</v>
      </c>
      <c r="C380">
        <f t="shared" si="26"/>
        <v>6.7368553555437027E-2</v>
      </c>
      <c r="D380">
        <f t="shared" si="25"/>
        <v>0.86562757073390861</v>
      </c>
      <c r="E380" s="7">
        <f t="shared" si="27"/>
        <v>5.8316077358050174E-2</v>
      </c>
      <c r="G380">
        <f t="shared" si="28"/>
        <v>8.7731120810666641E-2</v>
      </c>
    </row>
    <row r="381" spans="2:7" x14ac:dyDescent="0.25">
      <c r="B381">
        <f t="shared" si="29"/>
        <v>37600</v>
      </c>
      <c r="C381">
        <f t="shared" si="26"/>
        <v>6.6477447678313761E-2</v>
      </c>
      <c r="D381">
        <f t="shared" si="25"/>
        <v>0.86893495395362974</v>
      </c>
      <c r="E381" s="7">
        <f t="shared" si="27"/>
        <v>5.77645779373104E-2</v>
      </c>
      <c r="G381">
        <f t="shared" si="28"/>
        <v>8.6801527727939601E-2</v>
      </c>
    </row>
    <row r="382" spans="2:7" x14ac:dyDescent="0.25">
      <c r="B382">
        <f t="shared" si="29"/>
        <v>37700</v>
      </c>
      <c r="C382">
        <f t="shared" si="26"/>
        <v>6.5600448787257196E-2</v>
      </c>
      <c r="D382">
        <f t="shared" si="25"/>
        <v>0.87224318888161745</v>
      </c>
      <c r="E382" s="7">
        <f t="shared" si="27"/>
        <v>5.7219544642262449E-2</v>
      </c>
      <c r="G382">
        <f t="shared" si="28"/>
        <v>8.5884214477246465E-2</v>
      </c>
    </row>
    <row r="383" spans="2:7" x14ac:dyDescent="0.25">
      <c r="B383">
        <f t="shared" si="29"/>
        <v>37800</v>
      </c>
      <c r="C383">
        <f t="shared" si="26"/>
        <v>6.4737297021578169E-2</v>
      </c>
      <c r="D383">
        <f t="shared" si="25"/>
        <v>0.87555226901800765</v>
      </c>
      <c r="E383" s="7">
        <f t="shared" si="27"/>
        <v>5.6680887297335475E-2</v>
      </c>
      <c r="G383">
        <f t="shared" si="28"/>
        <v>8.4978986913423205E-2</v>
      </c>
    </row>
    <row r="384" spans="2:7" x14ac:dyDescent="0.25">
      <c r="B384">
        <f t="shared" si="29"/>
        <v>37900</v>
      </c>
      <c r="C384">
        <f t="shared" si="26"/>
        <v>6.3887737976865866E-2</v>
      </c>
      <c r="D384">
        <f t="shared" si="25"/>
        <v>0.87886218792821813</v>
      </c>
      <c r="E384" s="7">
        <f t="shared" si="27"/>
        <v>5.6148517180133049E-2</v>
      </c>
      <c r="G384">
        <f t="shared" si="28"/>
        <v>8.4085654462914577E-2</v>
      </c>
    </row>
    <row r="385" spans="2:7" x14ac:dyDescent="0.25">
      <c r="B385">
        <f t="shared" si="29"/>
        <v>38000</v>
      </c>
      <c r="C385">
        <f t="shared" si="26"/>
        <v>6.305152257643977E-2</v>
      </c>
      <c r="D385">
        <f t="shared" si="25"/>
        <v>0.88217293924213891</v>
      </c>
      <c r="E385" s="7">
        <f t="shared" si="27"/>
        <v>5.5622346994949952E-2</v>
      </c>
      <c r="G385">
        <f t="shared" si="28"/>
        <v>8.3204030048879274E-2</v>
      </c>
    </row>
    <row r="386" spans="2:7" x14ac:dyDescent="0.25">
      <c r="B386">
        <f t="shared" si="29"/>
        <v>38100</v>
      </c>
      <c r="C386">
        <f t="shared" si="26"/>
        <v>6.2228406946158075E-2</v>
      </c>
      <c r="D386">
        <f t="shared" si="25"/>
        <v>0.88548451665333416</v>
      </c>
      <c r="E386" s="7">
        <f t="shared" si="27"/>
        <v>5.5102290846825767E-2</v>
      </c>
      <c r="G386">
        <f t="shared" si="28"/>
        <v>8.2333930018057361E-2</v>
      </c>
    </row>
    <row r="387" spans="2:7" x14ac:dyDescent="0.25">
      <c r="B387">
        <f t="shared" si="29"/>
        <v>38200</v>
      </c>
      <c r="C387">
        <f t="shared" si="26"/>
        <v>6.1418152292485741E-2</v>
      </c>
      <c r="D387">
        <f t="shared" si="25"/>
        <v>0.88879691391825877</v>
      </c>
      <c r="E387" s="7">
        <f t="shared" si="27"/>
        <v>5.4588264216122957E-2</v>
      </c>
      <c r="G387">
        <f t="shared" si="28"/>
        <v>8.1475174069353604E-2</v>
      </c>
    </row>
    <row r="388" spans="2:7" x14ac:dyDescent="0.25">
      <c r="B388">
        <f t="shared" si="29"/>
        <v>38300</v>
      </c>
      <c r="C388">
        <f t="shared" si="26"/>
        <v>6.0620524783729736E-2</v>
      </c>
      <c r="D388">
        <f t="shared" si="25"/>
        <v>0.89211012485548558</v>
      </c>
      <c r="E388" s="7">
        <f t="shared" si="27"/>
        <v>5.4080183933618194E-2</v>
      </c>
      <c r="G388">
        <f t="shared" si="28"/>
        <v>8.0627585184092493E-2</v>
      </c>
    </row>
    <row r="389" spans="2:7" x14ac:dyDescent="0.25">
      <c r="B389">
        <f t="shared" si="29"/>
        <v>38400</v>
      </c>
      <c r="C389">
        <f t="shared" si="26"/>
        <v>5.9835295434351281E-2</v>
      </c>
      <c r="D389">
        <f t="shared" si="25"/>
        <v>0.89542414334494036</v>
      </c>
      <c r="E389" s="7">
        <f t="shared" si="27"/>
        <v>5.3577968156095418E-2</v>
      </c>
      <c r="G389">
        <f t="shared" si="28"/>
        <v>7.9790989557901967E-2</v>
      </c>
    </row>
    <row r="390" spans="2:7" x14ac:dyDescent="0.25">
      <c r="B390">
        <f t="shared" si="29"/>
        <v>38500</v>
      </c>
      <c r="C390">
        <f t="shared" si="26"/>
        <v>5.9062239992266952E-2</v>
      </c>
      <c r="D390">
        <f t="shared" ref="D390:D453" si="30">1/(EXP((6.626E-34*300000000)/($B390*0.000000001*1.3806E-23*E$3))-1)</f>
        <v>0.89873896332715442</v>
      </c>
      <c r="E390" s="7">
        <f t="shared" si="27"/>
        <v>5.3081536342429604E-2</v>
      </c>
      <c r="G390">
        <f t="shared" si="28"/>
        <v>7.896521653418262E-2</v>
      </c>
    </row>
    <row r="391" spans="2:7" x14ac:dyDescent="0.25">
      <c r="B391">
        <f t="shared" si="29"/>
        <v>38600</v>
      </c>
      <c r="C391">
        <f t="shared" ref="C391:C454" si="31">8*3.1416*6.626E-34*300000000/(B391*0.000000001)^5</f>
        <v>5.8301138829054383E-2</v>
      </c>
      <c r="D391">
        <f t="shared" si="30"/>
        <v>0.90205457880252071</v>
      </c>
      <c r="E391" s="7">
        <f t="shared" ref="E391:E454" si="32">C391*D391</f>
        <v>5.2590809230149936E-2</v>
      </c>
      <c r="G391">
        <f t="shared" ref="G391:G454" si="33">8*3.1416*1.3806E-23*E$3/((B391*0.000000001)^4)</f>
        <v>7.8150098539122387E-2</v>
      </c>
    </row>
    <row r="392" spans="2:7" x14ac:dyDescent="0.25">
      <c r="B392">
        <f t="shared" ref="B392:B455" si="34">B391+B$3</f>
        <v>38700</v>
      </c>
      <c r="C392">
        <f t="shared" si="31"/>
        <v>5.7551776832980794E-2</v>
      </c>
      <c r="D392">
        <f t="shared" si="30"/>
        <v>0.90537098383056647</v>
      </c>
      <c r="E392" s="7">
        <f t="shared" si="32"/>
        <v>5.2105708812473027E-2</v>
      </c>
      <c r="G392">
        <f t="shared" si="33"/>
        <v>7.7345471018216982E-2</v>
      </c>
    </row>
    <row r="393" spans="2:7" x14ac:dyDescent="0.25">
      <c r="B393">
        <f t="shared" si="34"/>
        <v>38800</v>
      </c>
      <c r="C393">
        <f t="shared" si="31"/>
        <v>5.6813943304773823E-2</v>
      </c>
      <c r="D393">
        <f t="shared" si="30"/>
        <v>0.90868817252923406</v>
      </c>
      <c r="E393" s="7">
        <f t="shared" si="32"/>
        <v>5.1626158315794438E-2</v>
      </c>
      <c r="G393">
        <f t="shared" si="33"/>
        <v>7.6551172374256585E-2</v>
      </c>
    </row>
    <row r="394" spans="2:7" x14ac:dyDescent="0.25">
      <c r="B394">
        <f t="shared" si="34"/>
        <v>38900</v>
      </c>
      <c r="C394">
        <f t="shared" si="31"/>
        <v>5.6087431856058058E-2</v>
      </c>
      <c r="D394">
        <f t="shared" si="30"/>
        <v>0.91200613907417105</v>
      </c>
      <c r="E394" s="7">
        <f t="shared" si="32"/>
        <v>5.1152082177629177E-2</v>
      </c>
      <c r="G394">
        <f t="shared" si="33"/>
        <v>7.5767043906741841E-2</v>
      </c>
    </row>
    <row r="395" spans="2:7" x14ac:dyDescent="0.25">
      <c r="B395">
        <f t="shared" si="34"/>
        <v>39000</v>
      </c>
      <c r="C395">
        <f t="shared" si="31"/>
        <v>5.5372040310382807E-2</v>
      </c>
      <c r="D395">
        <f t="shared" si="30"/>
        <v>0.9153248776980325</v>
      </c>
      <c r="E395" s="7">
        <f t="shared" si="32"/>
        <v>5.0683406024991669E-2</v>
      </c>
      <c r="G395">
        <f t="shared" si="33"/>
        <v>7.499292975269306E-2</v>
      </c>
    </row>
    <row r="396" spans="2:7" x14ac:dyDescent="0.25">
      <c r="B396">
        <f t="shared" si="34"/>
        <v>39100</v>
      </c>
      <c r="C396">
        <f t="shared" si="31"/>
        <v>5.4667570606767669E-2</v>
      </c>
      <c r="D396">
        <f t="shared" si="30"/>
        <v>0.91864438268979254</v>
      </c>
      <c r="E396" s="7">
        <f t="shared" si="32"/>
        <v>5.0220056653204732E-2</v>
      </c>
      <c r="G396">
        <f t="shared" si="33"/>
        <v>7.4228676828815898E-2</v>
      </c>
    </row>
    <row r="397" spans="2:7" x14ac:dyDescent="0.25">
      <c r="B397">
        <f t="shared" si="34"/>
        <v>39200</v>
      </c>
      <c r="C397">
        <f t="shared" si="31"/>
        <v>5.3973828705696586E-2</v>
      </c>
      <c r="D397">
        <f t="shared" si="30"/>
        <v>0.92196464839406556</v>
      </c>
      <c r="E397" s="7">
        <f t="shared" si="32"/>
        <v>4.9761962005129078E-2</v>
      </c>
      <c r="G397">
        <f t="shared" si="33"/>
        <v>7.3474134774990457E-2</v>
      </c>
    </row>
    <row r="398" spans="2:7" x14ac:dyDescent="0.25">
      <c r="B398">
        <f t="shared" si="34"/>
        <v>39300</v>
      </c>
      <c r="C398">
        <f t="shared" si="31"/>
        <v>5.3290624497491397E-2</v>
      </c>
      <c r="D398">
        <f t="shared" si="30"/>
        <v>0.92528566921043698</v>
      </c>
      <c r="E398" s="7">
        <f t="shared" si="32"/>
        <v>4.9309051150803432E-2</v>
      </c>
      <c r="G398">
        <f t="shared" si="33"/>
        <v>7.2729155899049172E-2</v>
      </c>
    </row>
    <row r="399" spans="2:7" x14ac:dyDescent="0.25">
      <c r="B399">
        <f t="shared" si="34"/>
        <v>39400</v>
      </c>
      <c r="C399">
        <f t="shared" si="31"/>
        <v>5.261777171299914E-2</v>
      </c>
      <c r="D399">
        <f t="shared" si="30"/>
        <v>0.92860743959280401</v>
      </c>
      <c r="E399" s="7">
        <f t="shared" si="32"/>
        <v>4.8861254267486803E-2</v>
      </c>
      <c r="G399">
        <f t="shared" si="33"/>
        <v>7.1993595122811269E-2</v>
      </c>
    </row>
    <row r="400" spans="2:7" x14ac:dyDescent="0.25">
      <c r="B400">
        <f t="shared" si="34"/>
        <v>39500</v>
      </c>
      <c r="C400">
        <f t="shared" si="31"/>
        <v>5.1955087836529419E-2</v>
      </c>
      <c r="D400">
        <f t="shared" si="30"/>
        <v>0.93192995404872558</v>
      </c>
      <c r="E400" s="7">
        <f t="shared" si="32"/>
        <v>4.841850262009436E-2</v>
      </c>
      <c r="G400">
        <f t="shared" si="33"/>
        <v>7.1267309929342604E-2</v>
      </c>
    </row>
    <row r="401" spans="2:7" x14ac:dyDescent="0.25">
      <c r="B401">
        <f t="shared" si="34"/>
        <v>39600</v>
      </c>
      <c r="C401">
        <f t="shared" si="31"/>
        <v>5.1302394020978692E-2</v>
      </c>
      <c r="D401">
        <f t="shared" si="30"/>
        <v>0.93525320713878091</v>
      </c>
      <c r="E401" s="7">
        <f t="shared" si="32"/>
        <v>4.7980728542017737E-2</v>
      </c>
      <c r="G401">
        <f t="shared" si="33"/>
        <v>7.0550160311409149E-2</v>
      </c>
    </row>
    <row r="402" spans="2:7" x14ac:dyDescent="0.25">
      <c r="B402">
        <f t="shared" si="34"/>
        <v>39700</v>
      </c>
      <c r="C402">
        <f t="shared" si="31"/>
        <v>5.0659515005081937E-2</v>
      </c>
      <c r="D402">
        <f t="shared" si="30"/>
        <v>0.93857719347593849</v>
      </c>
      <c r="E402" s="7">
        <f t="shared" si="32"/>
        <v>4.7547865416321999E-2</v>
      </c>
      <c r="G402">
        <f t="shared" si="33"/>
        <v>6.9842008721094681E-2</v>
      </c>
    </row>
    <row r="403" spans="2:7" x14ac:dyDescent="0.25">
      <c r="B403">
        <f t="shared" si="34"/>
        <v>39800</v>
      </c>
      <c r="C403">
        <f t="shared" si="31"/>
        <v>5.0026279032733115E-2</v>
      </c>
      <c r="D403">
        <f t="shared" si="30"/>
        <v>0.94190190772493243</v>
      </c>
      <c r="E403" s="7">
        <f t="shared" si="32"/>
        <v>4.7119847657311108E-2</v>
      </c>
      <c r="G403">
        <f t="shared" si="33"/>
        <v>6.9142720020553758E-2</v>
      </c>
    </row>
    <row r="404" spans="2:7" x14ac:dyDescent="0.25">
      <c r="B404">
        <f t="shared" si="34"/>
        <v>39900</v>
      </c>
      <c r="C404">
        <f t="shared" si="31"/>
        <v>4.9402517774317374E-2</v>
      </c>
      <c r="D404">
        <f t="shared" si="30"/>
        <v>0.9452273446016487</v>
      </c>
      <c r="E404" s="7">
        <f t="shared" si="32"/>
        <v>4.6696610692453761E-2</v>
      </c>
      <c r="G404">
        <f t="shared" si="33"/>
        <v>6.8452161433871117E-2</v>
      </c>
    </row>
    <row r="405" spans="2:7" x14ac:dyDescent="0.25">
      <c r="B405">
        <f t="shared" si="34"/>
        <v>40000</v>
      </c>
      <c r="C405">
        <f t="shared" si="31"/>
        <v>4.8788066249999977E-2</v>
      </c>
      <c r="D405">
        <f t="shared" si="30"/>
        <v>0.94855349887252005</v>
      </c>
      <c r="E405" s="7">
        <f t="shared" si="32"/>
        <v>4.6278090944661787E-2</v>
      </c>
      <c r="G405">
        <f t="shared" si="33"/>
        <v>6.7770202499999974E-2</v>
      </c>
    </row>
    <row r="406" spans="2:7" x14ac:dyDescent="0.25">
      <c r="B406">
        <f t="shared" si="34"/>
        <v>40100</v>
      </c>
      <c r="C406">
        <f t="shared" si="31"/>
        <v>4.8182762754919208E-2</v>
      </c>
      <c r="D406">
        <f t="shared" si="30"/>
        <v>0.95188036535392873</v>
      </c>
      <c r="E406" s="7">
        <f t="shared" si="32"/>
        <v>4.5864225814914165E-2</v>
      </c>
      <c r="G406">
        <f t="shared" si="33"/>
        <v>6.7096715026753254E-2</v>
      </c>
    </row>
    <row r="407" spans="2:7" x14ac:dyDescent="0.25">
      <c r="B407">
        <f t="shared" si="34"/>
        <v>40200</v>
      </c>
      <c r="C407">
        <f t="shared" si="31"/>
        <v>4.7586448786230327E-2</v>
      </c>
      <c r="D407">
        <f t="shared" si="30"/>
        <v>0.95520793891161537</v>
      </c>
      <c r="E407" s="7">
        <f t="shared" si="32"/>
        <v>4.5454953665218213E-2</v>
      </c>
      <c r="G407">
        <f t="shared" si="33"/>
        <v>6.6431573045820438E-2</v>
      </c>
    </row>
    <row r="408" spans="2:7" x14ac:dyDescent="0.25">
      <c r="B408">
        <f t="shared" si="34"/>
        <v>40300</v>
      </c>
      <c r="C408">
        <f t="shared" si="31"/>
        <v>4.6998968971951063E-2</v>
      </c>
      <c r="D408">
        <f t="shared" si="30"/>
        <v>0.9585362144601044</v>
      </c>
      <c r="E408" s="7">
        <f t="shared" si="32"/>
        <v>4.5050213801901877E-2</v>
      </c>
      <c r="G408">
        <f t="shared" si="33"/>
        <v>6.5774652768785288E-2</v>
      </c>
    </row>
    <row r="409" spans="2:7" x14ac:dyDescent="0.25">
      <c r="B409">
        <f t="shared" si="34"/>
        <v>40400</v>
      </c>
      <c r="C409">
        <f t="shared" si="31"/>
        <v>4.6420171001559866E-2</v>
      </c>
      <c r="D409">
        <f t="shared" si="30"/>
        <v>0.96186518696212453</v>
      </c>
      <c r="E409" s="7">
        <f t="shared" si="32"/>
        <v>4.4649946459229171E-2</v>
      </c>
      <c r="G409">
        <f t="shared" si="33"/>
        <v>6.5125832544120216E-2</v>
      </c>
    </row>
    <row r="410" spans="2:7" x14ac:dyDescent="0.25">
      <c r="B410">
        <f t="shared" si="34"/>
        <v>40500</v>
      </c>
      <c r="C410">
        <f t="shared" si="31"/>
        <v>4.5849905558298938E-2</v>
      </c>
      <c r="D410">
        <f t="shared" si="30"/>
        <v>0.96519485142805017</v>
      </c>
      <c r="E410" s="7">
        <f t="shared" si="32"/>
        <v>4.4254092783332477E-2</v>
      </c>
      <c r="G410">
        <f t="shared" si="33"/>
        <v>6.4484992815132175E-2</v>
      </c>
    </row>
    <row r="411" spans="2:7" x14ac:dyDescent="0.25">
      <c r="B411">
        <f t="shared" si="34"/>
        <v>40600</v>
      </c>
      <c r="C411">
        <f t="shared" si="31"/>
        <v>4.5288026253136868E-2</v>
      </c>
      <c r="D411">
        <f t="shared" si="30"/>
        <v>0.96852520291534183</v>
      </c>
      <c r="E411" s="7">
        <f t="shared" si="32"/>
        <v>4.3862594816454714E-2</v>
      </c>
      <c r="G411">
        <f t="shared" si="33"/>
        <v>6.3852016078837878E-2</v>
      </c>
    </row>
    <row r="412" spans="2:7" x14ac:dyDescent="0.25">
      <c r="B412">
        <f t="shared" si="34"/>
        <v>40700</v>
      </c>
      <c r="C412">
        <f t="shared" si="31"/>
        <v>4.4734389560345485E-2</v>
      </c>
      <c r="D412">
        <f t="shared" si="30"/>
        <v>0.97185623652799757</v>
      </c>
      <c r="E412" s="7">
        <f t="shared" si="32"/>
        <v>4.3475395481494705E-2</v>
      </c>
      <c r="G412">
        <f t="shared" si="33"/>
        <v>6.3226786845744745E-2</v>
      </c>
    </row>
    <row r="413" spans="2:7" x14ac:dyDescent="0.25">
      <c r="B413">
        <f t="shared" si="34"/>
        <v>40800</v>
      </c>
      <c r="C413">
        <f t="shared" si="31"/>
        <v>4.4188854754648073E-2</v>
      </c>
      <c r="D413">
        <f t="shared" si="30"/>
        <v>0.97518794741601278</v>
      </c>
      <c r="E413" s="7">
        <f t="shared" si="32"/>
        <v>4.3092438566849571E-2</v>
      </c>
      <c r="G413">
        <f t="shared" si="33"/>
        <v>6.2609191600515618E-2</v>
      </c>
    </row>
    <row r="414" spans="2:7" x14ac:dyDescent="0.25">
      <c r="B414">
        <f t="shared" si="34"/>
        <v>40900</v>
      </c>
      <c r="C414">
        <f t="shared" si="31"/>
        <v>4.3651283849897055E-2</v>
      </c>
      <c r="D414">
        <f t="shared" si="30"/>
        <v>0.97852033077484535</v>
      </c>
      <c r="E414" s="7">
        <f t="shared" si="32"/>
        <v>4.2713668711547928E-2</v>
      </c>
      <c r="G414">
        <f t="shared" si="33"/>
        <v>6.199911876349648E-2</v>
      </c>
    </row>
    <row r="415" spans="2:7" x14ac:dyDescent="0.25">
      <c r="B415">
        <f t="shared" si="34"/>
        <v>41000</v>
      </c>
      <c r="C415">
        <f t="shared" si="31"/>
        <v>4.3121541539239659E-2</v>
      </c>
      <c r="D415">
        <f t="shared" si="30"/>
        <v>0.98185338184488846</v>
      </c>
      <c r="E415" s="7">
        <f t="shared" si="32"/>
        <v>4.2339031390667296E-2</v>
      </c>
      <c r="G415">
        <f t="shared" si="33"/>
        <v>6.1396458653084948E-2</v>
      </c>
    </row>
    <row r="416" spans="2:7" x14ac:dyDescent="0.25">
      <c r="B416">
        <f t="shared" si="34"/>
        <v>41100</v>
      </c>
      <c r="C416">
        <f t="shared" si="31"/>
        <v>4.2599495136732508E-2</v>
      </c>
      <c r="D416">
        <f t="shared" si="30"/>
        <v>0.9851870959109541</v>
      </c>
      <c r="E416" s="7">
        <f t="shared" si="32"/>
        <v>4.1968472901030313E-2</v>
      </c>
      <c r="G416">
        <f t="shared" si="33"/>
        <v>6.0801103448920063E-2</v>
      </c>
    </row>
    <row r="417" spans="2:7" x14ac:dyDescent="0.25">
      <c r="B417">
        <f t="shared" si="34"/>
        <v>41200</v>
      </c>
      <c r="C417">
        <f t="shared" si="31"/>
        <v>4.2085014520366532E-2</v>
      </c>
      <c r="D417">
        <f t="shared" si="30"/>
        <v>0.98852146830175902</v>
      </c>
      <c r="E417" s="7">
        <f t="shared" si="32"/>
        <v>4.1601940347173572E-2</v>
      </c>
      <c r="G417">
        <f t="shared" si="33"/>
        <v>6.02129471558734E-2</v>
      </c>
    </row>
    <row r="418" spans="2:7" x14ac:dyDescent="0.25">
      <c r="B418">
        <f t="shared" si="34"/>
        <v>41300</v>
      </c>
      <c r="C418">
        <f t="shared" si="31"/>
        <v>4.1577972076464666E-2</v>
      </c>
      <c r="D418">
        <f t="shared" si="30"/>
        <v>0.9918564943894177</v>
      </c>
      <c r="E418" s="7">
        <f t="shared" si="32"/>
        <v>4.1239381627583338E-2</v>
      </c>
      <c r="G418">
        <f t="shared" si="33"/>
        <v>5.963188556882186E-2</v>
      </c>
    </row>
    <row r="419" spans="2:7" x14ac:dyDescent="0.25">
      <c r="B419">
        <f t="shared" si="34"/>
        <v>41400</v>
      </c>
      <c r="C419">
        <f t="shared" si="31"/>
        <v>4.1078242645415944E-2</v>
      </c>
      <c r="D419">
        <f t="shared" si="30"/>
        <v>0.99519216958894896</v>
      </c>
      <c r="E419" s="7">
        <f t="shared" si="32"/>
        <v>4.0880745421192778E-2</v>
      </c>
      <c r="G419">
        <f t="shared" si="33"/>
        <v>5.9057816238183312E-2</v>
      </c>
    </row>
    <row r="420" spans="2:7" x14ac:dyDescent="0.25">
      <c r="B420">
        <f t="shared" si="34"/>
        <v>41500</v>
      </c>
      <c r="C420">
        <f t="shared" si="31"/>
        <v>4.05857034687113E-2</v>
      </c>
      <c r="D420">
        <f t="shared" si="30"/>
        <v>0.99852848935777994</v>
      </c>
      <c r="E420" s="7">
        <f t="shared" si="32"/>
        <v>4.0525981174135105E-2</v>
      </c>
      <c r="G420">
        <f t="shared" si="33"/>
        <v>5.8490638436197478E-2</v>
      </c>
    </row>
    <row r="421" spans="2:7" x14ac:dyDescent="0.25">
      <c r="B421">
        <f t="shared" si="34"/>
        <v>41600</v>
      </c>
      <c r="C421">
        <f t="shared" si="31"/>
        <v>4.0100234137246074E-2</v>
      </c>
      <c r="D421">
        <f t="shared" si="30"/>
        <v>1.0018654491952625</v>
      </c>
      <c r="E421" s="7">
        <f t="shared" si="32"/>
        <v>4.0175039086747237E-2</v>
      </c>
      <c r="G421">
        <f t="shared" si="33"/>
        <v>5.7930253123933198E-2</v>
      </c>
    </row>
    <row r="422" spans="2:7" x14ac:dyDescent="0.25">
      <c r="B422">
        <f t="shared" si="34"/>
        <v>41700</v>
      </c>
      <c r="C422">
        <f t="shared" si="31"/>
        <v>3.9621716540856361E-2</v>
      </c>
      <c r="D422">
        <f t="shared" si="30"/>
        <v>1.0052030446421973</v>
      </c>
      <c r="E422" s="7">
        <f t="shared" si="32"/>
        <v>3.9827870100818924E-2</v>
      </c>
      <c r="G422">
        <f t="shared" si="33"/>
        <v>5.7376562919005239E-2</v>
      </c>
    </row>
    <row r="423" spans="2:7" x14ac:dyDescent="0.25">
      <c r="B423">
        <f t="shared" si="34"/>
        <v>41800</v>
      </c>
      <c r="C423">
        <f t="shared" si="31"/>
        <v>3.9150034819057183E-2</v>
      </c>
      <c r="D423">
        <f t="shared" si="30"/>
        <v>1.0085412712803585</v>
      </c>
      <c r="E423" s="7">
        <f t="shared" si="32"/>
        <v>3.9484425887082231E-2</v>
      </c>
      <c r="G423">
        <f t="shared" si="33"/>
        <v>5.682947206398422E-2</v>
      </c>
    </row>
    <row r="424" spans="2:7" x14ac:dyDescent="0.25">
      <c r="B424">
        <f t="shared" si="34"/>
        <v>41900</v>
      </c>
      <c r="C424">
        <f t="shared" si="31"/>
        <v>3.8685075312950241E-2</v>
      </c>
      <c r="D424">
        <f t="shared" si="30"/>
        <v>1.0118801247320319</v>
      </c>
      <c r="E424" s="7">
        <f t="shared" si="32"/>
        <v>3.9144658832936143E-2</v>
      </c>
      <c r="G424">
        <f t="shared" si="33"/>
        <v>5.6288886395481845E-2</v>
      </c>
    </row>
    <row r="425" spans="2:7" x14ac:dyDescent="0.25">
      <c r="B425">
        <f t="shared" si="34"/>
        <v>42000</v>
      </c>
      <c r="C425">
        <f t="shared" si="31"/>
        <v>3.8226726518271692E-2</v>
      </c>
      <c r="D425">
        <f t="shared" si="30"/>
        <v>1.0152196006595529</v>
      </c>
      <c r="E425" s="7">
        <f t="shared" si="32"/>
        <v>3.8808522030401728E-2</v>
      </c>
      <c r="G425">
        <f t="shared" si="33"/>
        <v>5.5754713313896968E-2</v>
      </c>
    </row>
    <row r="426" spans="2:7" x14ac:dyDescent="0.25">
      <c r="B426">
        <f t="shared" si="34"/>
        <v>42100</v>
      </c>
      <c r="C426">
        <f t="shared" si="31"/>
        <v>3.7774879039549715E-2</v>
      </c>
      <c r="D426">
        <f t="shared" si="30"/>
        <v>1.0185596947648541</v>
      </c>
      <c r="E426" s="7">
        <f t="shared" si="32"/>
        <v>3.8475969264303043E-2</v>
      </c>
      <c r="G426">
        <f t="shared" si="33"/>
        <v>5.5226861753805673E-2</v>
      </c>
    </row>
    <row r="427" spans="2:7" x14ac:dyDescent="0.25">
      <c r="B427">
        <f t="shared" si="34"/>
        <v>42200</v>
      </c>
      <c r="C427">
        <f t="shared" si="31"/>
        <v>3.7329425545343159E-2</v>
      </c>
      <c r="D427">
        <f t="shared" si="30"/>
        <v>1.0219004027890204</v>
      </c>
      <c r="E427" s="7">
        <f t="shared" si="32"/>
        <v>3.814695500066892E-2</v>
      </c>
      <c r="G427">
        <f t="shared" si="33"/>
        <v>5.4705242154980689E-2</v>
      </c>
    </row>
    <row r="428" spans="2:7" x14ac:dyDescent="0.25">
      <c r="B428">
        <f t="shared" si="34"/>
        <v>42300</v>
      </c>
      <c r="C428">
        <f t="shared" si="31"/>
        <v>3.6890260724533587E-2</v>
      </c>
      <c r="D428">
        <f t="shared" si="30"/>
        <v>1.0252417205118456</v>
      </c>
      <c r="E428" s="7">
        <f t="shared" si="32"/>
        <v>3.7821434375351376E-2</v>
      </c>
      <c r="G428">
        <f t="shared" si="33"/>
        <v>5.4189766434025365E-2</v>
      </c>
    </row>
    <row r="429" spans="2:7" x14ac:dyDescent="0.25">
      <c r="B429">
        <f t="shared" si="34"/>
        <v>42400</v>
      </c>
      <c r="C429">
        <f t="shared" si="31"/>
        <v>3.6457281243643148E-2</v>
      </c>
      <c r="D429">
        <f t="shared" si="30"/>
        <v>1.0285836437513991</v>
      </c>
      <c r="E429" s="7">
        <f t="shared" si="32"/>
        <v>3.7499363182856009E-2</v>
      </c>
      <c r="G429">
        <f t="shared" si="33"/>
        <v>5.3680347956607456E-2</v>
      </c>
    </row>
    <row r="430" spans="2:7" x14ac:dyDescent="0.25">
      <c r="B430">
        <f t="shared" si="34"/>
        <v>42500</v>
      </c>
      <c r="C430">
        <f t="shared" si="31"/>
        <v>3.6030385705151984E-2</v>
      </c>
      <c r="D430">
        <f t="shared" si="30"/>
        <v>1.0319261683635963</v>
      </c>
      <c r="E430" s="7">
        <f t="shared" si="32"/>
        <v>3.7180697865379982E-2</v>
      </c>
      <c r="G430">
        <f t="shared" si="33"/>
        <v>5.3176901510278832E-2</v>
      </c>
    </row>
    <row r="431" spans="2:7" x14ac:dyDescent="0.25">
      <c r="B431">
        <f t="shared" si="34"/>
        <v>42600</v>
      </c>
      <c r="C431">
        <f t="shared" si="31"/>
        <v>3.5609474606789732E-2</v>
      </c>
      <c r="D431">
        <f t="shared" si="30"/>
        <v>1.0352692902417746</v>
      </c>
      <c r="E431" s="7">
        <f t="shared" si="32"/>
        <v>3.6865395502053699E-2</v>
      </c>
      <c r="G431">
        <f t="shared" si="33"/>
        <v>5.2679343277867607E-2</v>
      </c>
    </row>
    <row r="432" spans="2:7" x14ac:dyDescent="0.25">
      <c r="B432">
        <f t="shared" si="34"/>
        <v>42700</v>
      </c>
      <c r="C432">
        <f t="shared" si="31"/>
        <v>3.5194450301775683E-2</v>
      </c>
      <c r="D432">
        <f t="shared" si="30"/>
        <v>1.0386130053162754</v>
      </c>
      <c r="E432" s="7">
        <f t="shared" si="32"/>
        <v>3.6553413798381541E-2</v>
      </c>
      <c r="G432">
        <f t="shared" si="33"/>
        <v>5.2187590811428854E-2</v>
      </c>
    </row>
    <row r="433" spans="2:7" x14ac:dyDescent="0.25">
      <c r="B433">
        <f t="shared" si="34"/>
        <v>42800</v>
      </c>
      <c r="C433">
        <f t="shared" si="31"/>
        <v>3.4785216959983586E-2</v>
      </c>
      <c r="D433">
        <f t="shared" si="30"/>
        <v>1.0419573095540331</v>
      </c>
      <c r="E433" s="7">
        <f t="shared" si="32"/>
        <v>3.6244711075877817E-2</v>
      </c>
      <c r="G433">
        <f t="shared" si="33"/>
        <v>5.1701563006741204E-2</v>
      </c>
    </row>
    <row r="434" spans="2:7" x14ac:dyDescent="0.25">
      <c r="B434">
        <f t="shared" si="34"/>
        <v>42900</v>
      </c>
      <c r="C434">
        <f t="shared" si="31"/>
        <v>3.4381680530007744E-2</v>
      </c>
      <c r="D434">
        <f t="shared" si="30"/>
        <v>1.0453021989581659</v>
      </c>
      <c r="E434" s="7">
        <f t="shared" si="32"/>
        <v>3.593924626189425E-2</v>
      </c>
      <c r="G434">
        <f t="shared" si="33"/>
        <v>5.1221180078336877E-2</v>
      </c>
    </row>
    <row r="435" spans="2:7" x14ac:dyDescent="0.25">
      <c r="B435">
        <f t="shared" si="34"/>
        <v>43000</v>
      </c>
      <c r="C435">
        <f t="shared" si="31"/>
        <v>3.3983748702106846E-2</v>
      </c>
      <c r="D435">
        <f t="shared" si="30"/>
        <v>1.0486476695675777</v>
      </c>
      <c r="E435" s="7">
        <f t="shared" si="32"/>
        <v>3.5636978879634539E-2</v>
      </c>
      <c r="G435">
        <f t="shared" si="33"/>
        <v>5.0746363535052186E-2</v>
      </c>
    </row>
    <row r="436" spans="2:7" x14ac:dyDescent="0.25">
      <c r="B436">
        <f t="shared" si="34"/>
        <v>43100</v>
      </c>
      <c r="C436">
        <f t="shared" si="31"/>
        <v>3.3591330872003777E-2</v>
      </c>
      <c r="D436">
        <f t="shared" si="30"/>
        <v>1.0519937174565583</v>
      </c>
      <c r="E436" s="7">
        <f t="shared" si="32"/>
        <v>3.533786903835251E-2</v>
      </c>
      <c r="G436">
        <f t="shared" si="33"/>
        <v>5.0277036156086891E-2</v>
      </c>
    </row>
    <row r="437" spans="2:7" x14ac:dyDescent="0.25">
      <c r="B437">
        <f t="shared" si="34"/>
        <v>43200</v>
      </c>
      <c r="C437">
        <f t="shared" si="31"/>
        <v>3.3204338105519558E-2</v>
      </c>
      <c r="D437">
        <f t="shared" si="30"/>
        <v>1.055340338734394</v>
      </c>
      <c r="E437" s="7">
        <f t="shared" si="32"/>
        <v>3.5041877423730355E-2</v>
      </c>
      <c r="G437">
        <f t="shared" si="33"/>
        <v>4.9813121967560839E-2</v>
      </c>
    </row>
    <row r="438" spans="2:7" x14ac:dyDescent="0.25">
      <c r="B438">
        <f t="shared" si="34"/>
        <v>43300</v>
      </c>
      <c r="C438">
        <f t="shared" si="31"/>
        <v>3.2822683104020041E-2</v>
      </c>
      <c r="D438">
        <f t="shared" si="30"/>
        <v>1.0586875295449834</v>
      </c>
      <c r="E438" s="7">
        <f t="shared" si="32"/>
        <v>3.474896528843284E-2</v>
      </c>
      <c r="G438">
        <f t="shared" si="33"/>
        <v>4.9354546219555692E-2</v>
      </c>
    </row>
    <row r="439" spans="2:7" x14ac:dyDescent="0.25">
      <c r="B439">
        <f t="shared" si="34"/>
        <v>43400</v>
      </c>
      <c r="C439">
        <f t="shared" si="31"/>
        <v>3.2446280170655491E-2</v>
      </c>
      <c r="D439">
        <f t="shared" si="30"/>
        <v>1.0620352860664519</v>
      </c>
      <c r="E439" s="7">
        <f t="shared" si="32"/>
        <v>3.4459094442834348E-2</v>
      </c>
      <c r="G439">
        <f t="shared" si="33"/>
        <v>4.8901235363631716E-2</v>
      </c>
    </row>
    <row r="440" spans="2:7" x14ac:dyDescent="0.25">
      <c r="B440">
        <f t="shared" si="34"/>
        <v>43500</v>
      </c>
      <c r="C440">
        <f t="shared" si="31"/>
        <v>3.2075045177372308E-2</v>
      </c>
      <c r="D440">
        <f t="shared" si="30"/>
        <v>1.065383604510781</v>
      </c>
      <c r="E440" s="7">
        <f t="shared" si="32"/>
        <v>3.4172227245915052E-2</v>
      </c>
      <c r="G440">
        <f t="shared" si="33"/>
        <v>4.8453117030807652E-2</v>
      </c>
    </row>
    <row r="441" spans="2:7" x14ac:dyDescent="0.25">
      <c r="B441">
        <f t="shared" si="34"/>
        <v>43600</v>
      </c>
      <c r="C441">
        <f t="shared" si="31"/>
        <v>3.1708895532678E-2</v>
      </c>
      <c r="D441">
        <f t="shared" si="30"/>
        <v>1.0687324811234349</v>
      </c>
      <c r="E441" s="7">
        <f t="shared" si="32"/>
        <v>3.3888326596322758E-2</v>
      </c>
      <c r="G441">
        <f t="shared" si="33"/>
        <v>4.8010120009993586E-2</v>
      </c>
    </row>
    <row r="442" spans="2:7" x14ac:dyDescent="0.25">
      <c r="B442">
        <f t="shared" si="34"/>
        <v>43700</v>
      </c>
      <c r="C442">
        <f t="shared" si="31"/>
        <v>3.1347750150140734E-2</v>
      </c>
      <c r="D442">
        <f t="shared" si="30"/>
        <v>1.072081912182993</v>
      </c>
      <c r="E442" s="7">
        <f t="shared" si="32"/>
        <v>3.3607355923597586E-2</v>
      </c>
      <c r="G442">
        <f t="shared" si="33"/>
        <v>4.7572174226866985E-2</v>
      </c>
    </row>
    <row r="443" spans="2:7" x14ac:dyDescent="0.25">
      <c r="B443">
        <f t="shared" si="34"/>
        <v>43800</v>
      </c>
      <c r="C443">
        <f t="shared" si="31"/>
        <v>3.0991529417604271E-2</v>
      </c>
      <c r="D443">
        <f t="shared" si="30"/>
        <v>1.0754318940007914</v>
      </c>
      <c r="E443" s="7">
        <f t="shared" si="32"/>
        <v>3.3329279179555409E-2</v>
      </c>
      <c r="G443">
        <f t="shared" si="33"/>
        <v>4.7139210723180579E-2</v>
      </c>
    </row>
    <row r="444" spans="2:7" x14ac:dyDescent="0.25">
      <c r="B444">
        <f t="shared" si="34"/>
        <v>43900</v>
      </c>
      <c r="C444">
        <f t="shared" si="31"/>
        <v>3.0640155167101356E-2</v>
      </c>
      <c r="D444">
        <f t="shared" si="30"/>
        <v>1.0787824229205649</v>
      </c>
      <c r="E444" s="7">
        <f t="shared" si="32"/>
        <v>3.3054060829827668E-2</v>
      </c>
      <c r="G444">
        <f t="shared" si="33"/>
        <v>4.6711161636493505E-2</v>
      </c>
    </row>
    <row r="445" spans="2:7" x14ac:dyDescent="0.25">
      <c r="B445">
        <f t="shared" si="34"/>
        <v>44000</v>
      </c>
      <c r="C445">
        <f t="shared" si="31"/>
        <v>3.0293550645447701E-2</v>
      </c>
      <c r="D445">
        <f t="shared" si="30"/>
        <v>1.0821334953180939</v>
      </c>
      <c r="E445" s="7">
        <f t="shared" si="32"/>
        <v>3.2781665845554017E-2</v>
      </c>
      <c r="G445">
        <f t="shared" si="33"/>
        <v>4.6287960180315529E-2</v>
      </c>
    </row>
    <row r="446" spans="2:7" x14ac:dyDescent="0.25">
      <c r="B446">
        <f t="shared" si="34"/>
        <v>44100</v>
      </c>
      <c r="C446">
        <f t="shared" si="31"/>
        <v>2.9951640485499611E-2</v>
      </c>
      <c r="D446">
        <f t="shared" si="30"/>
        <v>1.0854851076008574</v>
      </c>
      <c r="E446" s="7">
        <f t="shared" si="32"/>
        <v>3.2512059695224742E-2</v>
      </c>
      <c r="G446">
        <f t="shared" si="33"/>
        <v>4.5869540624654932E-2</v>
      </c>
    </row>
    <row r="447" spans="2:7" x14ac:dyDescent="0.25">
      <c r="B447">
        <f t="shared" si="34"/>
        <v>44200</v>
      </c>
      <c r="C447">
        <f t="shared" si="31"/>
        <v>2.9614350678059082E-2</v>
      </c>
      <c r="D447">
        <f t="shared" si="30"/>
        <v>1.0888372562076924</v>
      </c>
      <c r="E447" s="7">
        <f t="shared" si="32"/>
        <v>3.2245208336670265E-2</v>
      </c>
      <c r="G447">
        <f t="shared" si="33"/>
        <v>4.5455838276961306E-2</v>
      </c>
    </row>
    <row r="448" spans="2:7" x14ac:dyDescent="0.25">
      <c r="B448">
        <f t="shared" si="34"/>
        <v>44300</v>
      </c>
      <c r="C448">
        <f t="shared" si="31"/>
        <v>2.9281608544410215E-2</v>
      </c>
      <c r="D448">
        <f t="shared" si="30"/>
        <v>1.092189937608451</v>
      </c>
      <c r="E448" s="7">
        <f t="shared" si="32"/>
        <v>3.1981078209194477E-2</v>
      </c>
      <c r="G448">
        <f t="shared" si="33"/>
        <v>4.5046789463454188E-2</v>
      </c>
    </row>
    <row r="449" spans="2:7" x14ac:dyDescent="0.25">
      <c r="B449">
        <f t="shared" si="34"/>
        <v>44400</v>
      </c>
      <c r="C449">
        <f t="shared" si="31"/>
        <v>2.895334270947145E-2</v>
      </c>
      <c r="D449">
        <f t="shared" si="30"/>
        <v>1.0955431483036688</v>
      </c>
      <c r="E449" s="7">
        <f t="shared" si="32"/>
        <v>3.1719636225849432E-2</v>
      </c>
      <c r="G449">
        <f t="shared" si="33"/>
        <v>4.4642331510828928E-2</v>
      </c>
    </row>
    <row r="450" spans="2:7" x14ac:dyDescent="0.25">
      <c r="B450">
        <f t="shared" si="34"/>
        <v>44500</v>
      </c>
      <c r="C450">
        <f t="shared" si="31"/>
        <v>2.8629483075548093E-2</v>
      </c>
      <c r="D450">
        <f t="shared" si="30"/>
        <v>1.0988968848242353</v>
      </c>
      <c r="E450" s="7">
        <f t="shared" si="32"/>
        <v>3.1460849765847967E-2</v>
      </c>
      <c r="G450">
        <f t="shared" si="33"/>
        <v>4.4242402728330958E-2</v>
      </c>
    </row>
    <row r="451" spans="2:7" x14ac:dyDescent="0.25">
      <c r="B451">
        <f t="shared" si="34"/>
        <v>44600</v>
      </c>
      <c r="C451">
        <f t="shared" si="31"/>
        <v>2.830996079667128E-2</v>
      </c>
      <c r="D451">
        <f t="shared" si="30"/>
        <v>1.1022511437310649</v>
      </c>
      <c r="E451" s="7">
        <f t="shared" si="32"/>
        <v>3.1204686667112527E-2</v>
      </c>
      <c r="G451">
        <f t="shared" si="33"/>
        <v>4.3846942390191233E-2</v>
      </c>
    </row>
    <row r="452" spans="2:7" x14ac:dyDescent="0.25">
      <c r="B452">
        <f t="shared" si="34"/>
        <v>44700</v>
      </c>
      <c r="C452">
        <f t="shared" si="31"/>
        <v>2.7994708253507854E-2</v>
      </c>
      <c r="D452">
        <f t="shared" si="30"/>
        <v>1.1056059216147789</v>
      </c>
      <c r="E452" s="7">
        <f t="shared" si="32"/>
        <v>3.0951115218956406E-2</v>
      </c>
      <c r="G452">
        <f t="shared" si="33"/>
        <v>4.345589071841343E-2</v>
      </c>
    </row>
    <row r="453" spans="2:7" x14ac:dyDescent="0.25">
      <c r="B453">
        <f t="shared" si="34"/>
        <v>44800</v>
      </c>
      <c r="C453">
        <f t="shared" si="31"/>
        <v>2.76836590288282E-2</v>
      </c>
      <c r="D453">
        <f t="shared" si="30"/>
        <v>1.1089612150953867</v>
      </c>
      <c r="E453" s="7">
        <f t="shared" si="32"/>
        <v>3.0700104154895692E-2</v>
      </c>
      <c r="G453">
        <f t="shared" si="33"/>
        <v>4.3069188865906265E-2</v>
      </c>
    </row>
    <row r="454" spans="2:7" x14ac:dyDescent="0.25">
      <c r="B454">
        <f t="shared" si="34"/>
        <v>44900</v>
      </c>
      <c r="C454">
        <f t="shared" si="31"/>
        <v>2.7376747883517911E-2</v>
      </c>
      <c r="D454">
        <f t="shared" ref="D454:D504" si="35">1/(EXP((6.626E-34*300000000)/($B454*0.000000001*1.3806E-23*E$3))-1)</f>
        <v>1.1123170208219699</v>
      </c>
      <c r="E454" s="7">
        <f t="shared" si="32"/>
        <v>3.0451622645588813E-2</v>
      </c>
      <c r="G454">
        <f t="shared" si="33"/>
        <v>4.2686778899952683E-2</v>
      </c>
    </row>
    <row r="455" spans="2:7" x14ac:dyDescent="0.25">
      <c r="B455">
        <f t="shared" si="34"/>
        <v>45000</v>
      </c>
      <c r="C455">
        <f t="shared" ref="C455:C504" si="36">8*3.1416*6.626E-34*300000000/(B455*0.000000001)^5</f>
        <v>2.7073910733119939E-2</v>
      </c>
      <c r="D455">
        <f t="shared" si="35"/>
        <v>1.1156733354723769</v>
      </c>
      <c r="E455" s="7">
        <f t="shared" ref="E455:E504" si="37">C455*D455</f>
        <v>3.0205640291901308E-2</v>
      </c>
      <c r="G455">
        <f t="shared" ref="G455:G504" si="38">8*3.1416*1.3806E-23*E$3/((B455*0.000000001)^4)</f>
        <v>4.2308603786008217E-2</v>
      </c>
    </row>
    <row r="456" spans="2:7" x14ac:dyDescent="0.25">
      <c r="B456">
        <f t="shared" ref="B456:B504" si="39">B455+B$3</f>
        <v>45100</v>
      </c>
      <c r="C456">
        <f t="shared" si="36"/>
        <v>2.6775084624894994E-2</v>
      </c>
      <c r="D456">
        <f t="shared" si="35"/>
        <v>1.1190301557529136</v>
      </c>
      <c r="E456" s="7">
        <f t="shared" si="37"/>
        <v>2.9962127118093689E-2</v>
      </c>
      <c r="G456">
        <f t="shared" si="38"/>
        <v>4.1934607371822225E-2</v>
      </c>
    </row>
    <row r="457" spans="2:7" x14ac:dyDescent="0.25">
      <c r="B457">
        <f t="shared" si="39"/>
        <v>45200</v>
      </c>
      <c r="C457">
        <f t="shared" si="36"/>
        <v>2.6480207715386846E-2</v>
      </c>
      <c r="D457">
        <f t="shared" si="35"/>
        <v>1.1223874783980432</v>
      </c>
      <c r="E457" s="7">
        <f t="shared" si="37"/>
        <v>2.9721053565129451E-2</v>
      </c>
      <c r="G457">
        <f t="shared" si="38"/>
        <v>4.1564734371873704E-2</v>
      </c>
    </row>
    <row r="458" spans="2:7" x14ac:dyDescent="0.25">
      <c r="B458">
        <f t="shared" si="39"/>
        <v>45300</v>
      </c>
      <c r="C458">
        <f t="shared" si="36"/>
        <v>2.6189219248480756E-2</v>
      </c>
      <c r="D458">
        <f t="shared" si="35"/>
        <v>1.1257453001700886</v>
      </c>
      <c r="E458" s="7">
        <f t="shared" si="37"/>
        <v>2.9482390484101232E-2</v>
      </c>
      <c r="G458">
        <f t="shared" si="38"/>
        <v>4.1198930352115394E-2</v>
      </c>
    </row>
    <row r="459" spans="2:7" x14ac:dyDescent="0.25">
      <c r="B459">
        <f t="shared" si="39"/>
        <v>45400</v>
      </c>
      <c r="C459">
        <f t="shared" si="36"/>
        <v>2.5902059533943346E-2</v>
      </c>
      <c r="D459">
        <f t="shared" si="35"/>
        <v>1.129103617858938</v>
      </c>
      <c r="E459" s="7">
        <f t="shared" si="37"/>
        <v>2.9246109129773028E-2</v>
      </c>
      <c r="G459">
        <f t="shared" si="38"/>
        <v>4.0837141715019704E-2</v>
      </c>
    </row>
    <row r="460" spans="2:7" x14ac:dyDescent="0.25">
      <c r="B460">
        <f t="shared" si="39"/>
        <v>45500</v>
      </c>
      <c r="C460">
        <f t="shared" si="36"/>
        <v>2.5618669926431647E-2</v>
      </c>
      <c r="D460">
        <f t="shared" si="35"/>
        <v>1.1324624282817524</v>
      </c>
      <c r="E460" s="7">
        <f t="shared" si="37"/>
        <v>2.9012181154235483E-2</v>
      </c>
      <c r="G460">
        <f t="shared" si="38"/>
        <v>4.0479315684918867E-2</v>
      </c>
    </row>
    <row r="461" spans="2:7" x14ac:dyDescent="0.25">
      <c r="B461">
        <f t="shared" si="39"/>
        <v>45600</v>
      </c>
      <c r="C461">
        <f t="shared" si="36"/>
        <v>2.5338992804960686E-2</v>
      </c>
      <c r="D461">
        <f t="shared" si="35"/>
        <v>1.1358217282826815</v>
      </c>
      <c r="E461" s="7">
        <f t="shared" si="37"/>
        <v>2.8780578600672877E-2</v>
      </c>
      <c r="G461">
        <f t="shared" si="38"/>
        <v>4.0125400293633914E-2</v>
      </c>
    </row>
    <row r="462" spans="2:7" x14ac:dyDescent="0.25">
      <c r="B462">
        <f t="shared" si="39"/>
        <v>45700</v>
      </c>
      <c r="C462">
        <f t="shared" si="36"/>
        <v>2.5062971552818458E-2</v>
      </c>
      <c r="D462">
        <f t="shared" si="35"/>
        <v>1.1391815147325781</v>
      </c>
      <c r="E462" s="7">
        <f t="shared" si="37"/>
        <v>2.8551273897239247E-2</v>
      </c>
      <c r="G462">
        <f t="shared" si="38"/>
        <v>3.9775344366385627E-2</v>
      </c>
    </row>
    <row r="463" spans="2:7" x14ac:dyDescent="0.25">
      <c r="B463">
        <f t="shared" si="39"/>
        <v>45800</v>
      </c>
      <c r="C463">
        <f t="shared" si="36"/>
        <v>2.4790550537917271E-2</v>
      </c>
      <c r="D463">
        <f t="shared" si="35"/>
        <v>1.1425417845287205</v>
      </c>
      <c r="E463" s="7">
        <f t="shared" si="37"/>
        <v>2.8324239851041429E-2</v>
      </c>
      <c r="G463">
        <f t="shared" si="38"/>
        <v>3.9429097507981313E-2</v>
      </c>
    </row>
    <row r="464" spans="2:7" x14ac:dyDescent="0.25">
      <c r="B464">
        <f t="shared" si="39"/>
        <v>45900</v>
      </c>
      <c r="C464">
        <f t="shared" si="36"/>
        <v>2.452167509357157E-2</v>
      </c>
      <c r="D464">
        <f t="shared" si="35"/>
        <v>1.1459025345945337</v>
      </c>
      <c r="E464" s="7">
        <f t="shared" si="37"/>
        <v>2.8099449642227312E-2</v>
      </c>
      <c r="G464">
        <f t="shared" si="38"/>
        <v>3.9086610089271744E-2</v>
      </c>
    </row>
    <row r="465" spans="2:7" x14ac:dyDescent="0.25">
      <c r="B465">
        <f t="shared" si="39"/>
        <v>46000</v>
      </c>
      <c r="C465">
        <f t="shared" si="36"/>
        <v>2.4256291499691669E-2</v>
      </c>
      <c r="D465">
        <f t="shared" si="35"/>
        <v>1.1492637618793182</v>
      </c>
      <c r="E465" s="7">
        <f t="shared" si="37"/>
        <v>2.7876876818176976E-2</v>
      </c>
      <c r="G465">
        <f t="shared" si="38"/>
        <v>3.8747833233872084E-2</v>
      </c>
    </row>
    <row r="466" spans="2:7" x14ac:dyDescent="0.25">
      <c r="B466">
        <f t="shared" si="39"/>
        <v>46100</v>
      </c>
      <c r="C466">
        <f t="shared" si="36"/>
        <v>2.3994346964383607E-2</v>
      </c>
      <c r="D466">
        <f t="shared" si="35"/>
        <v>1.1526254633579809</v>
      </c>
      <c r="E466" s="7">
        <f t="shared" si="37"/>
        <v>2.7656495287794819E-2</v>
      </c>
      <c r="G466">
        <f t="shared" si="38"/>
        <v>3.841271880514114E-2</v>
      </c>
    </row>
    <row r="467" spans="2:7" x14ac:dyDescent="0.25">
      <c r="B467">
        <f t="shared" si="39"/>
        <v>46200</v>
      </c>
      <c r="C467">
        <f t="shared" si="36"/>
        <v>2.3735789605945752E-2</v>
      </c>
      <c r="D467">
        <f t="shared" si="35"/>
        <v>1.1559876360307668</v>
      </c>
      <c r="E467" s="7">
        <f t="shared" si="37"/>
        <v>2.7438279315900878E-2</v>
      </c>
      <c r="G467">
        <f t="shared" si="38"/>
        <v>3.8081219393413676E-2</v>
      </c>
    </row>
    <row r="468" spans="2:7" x14ac:dyDescent="0.25">
      <c r="B468">
        <f t="shared" si="39"/>
        <v>46300</v>
      </c>
      <c r="C468">
        <f t="shared" si="36"/>
        <v>2.3480568435252386E-2</v>
      </c>
      <c r="D468">
        <f t="shared" si="35"/>
        <v>1.1593502769229977</v>
      </c>
      <c r="E468" s="7">
        <f t="shared" si="37"/>
        <v>2.7222203517719253E-2</v>
      </c>
      <c r="G468">
        <f t="shared" si="38"/>
        <v>3.7753288303479911E-2</v>
      </c>
    </row>
    <row r="469" spans="2:7" x14ac:dyDescent="0.25">
      <c r="B469">
        <f t="shared" si="39"/>
        <v>46400</v>
      </c>
      <c r="C469">
        <f t="shared" si="36"/>
        <v>2.3228633338515364E-2</v>
      </c>
      <c r="D469">
        <f t="shared" si="35"/>
        <v>1.1627133830848129</v>
      </c>
      <c r="E469" s="7">
        <f t="shared" si="37"/>
        <v>2.7008242853461869E-2</v>
      </c>
      <c r="G469">
        <f t="shared" si="38"/>
        <v>3.7428879542307072E-2</v>
      </c>
    </row>
    <row r="470" spans="2:7" x14ac:dyDescent="0.25">
      <c r="B470">
        <f t="shared" si="39"/>
        <v>46500</v>
      </c>
      <c r="C470">
        <f t="shared" si="36"/>
        <v>2.2979935060414972E-2</v>
      </c>
      <c r="D470">
        <f t="shared" si="35"/>
        <v>1.1660769515909115</v>
      </c>
      <c r="E470" s="7">
        <f t="shared" si="37"/>
        <v>2.6796372623005799E-2</v>
      </c>
      <c r="G470">
        <f t="shared" si="38"/>
        <v>3.7107947806998054E-2</v>
      </c>
    </row>
    <row r="471" spans="2:7" x14ac:dyDescent="0.25">
      <c r="B471">
        <f t="shared" si="39"/>
        <v>46600</v>
      </c>
      <c r="C471">
        <f t="shared" si="36"/>
        <v>2.273442518759115E-2</v>
      </c>
      <c r="D471">
        <f t="shared" si="35"/>
        <v>1.1694409795403005</v>
      </c>
      <c r="E471" s="7">
        <f t="shared" si="37"/>
        <v>2.6586568460662274E-2</v>
      </c>
      <c r="G471">
        <f t="shared" si="38"/>
        <v>3.6790448472981602E-2</v>
      </c>
    </row>
    <row r="472" spans="2:7" x14ac:dyDescent="0.25">
      <c r="B472">
        <f t="shared" si="39"/>
        <v>46700</v>
      </c>
      <c r="C472">
        <f t="shared" si="36"/>
        <v>2.2492056132486671E-2</v>
      </c>
      <c r="D472">
        <f t="shared" si="35"/>
        <v>1.1728054640560432</v>
      </c>
      <c r="E472" s="7">
        <f t="shared" si="37"/>
        <v>2.6378806330035604E-2</v>
      </c>
      <c r="G472">
        <f t="shared" si="38"/>
        <v>3.6476337582429526E-2</v>
      </c>
    </row>
    <row r="473" spans="2:7" x14ac:dyDescent="0.25">
      <c r="B473">
        <f t="shared" si="39"/>
        <v>46800</v>
      </c>
      <c r="C473">
        <f t="shared" si="36"/>
        <v>2.2252781117534232E-2</v>
      </c>
      <c r="D473">
        <f t="shared" si="35"/>
        <v>1.1761704022850126</v>
      </c>
      <c r="E473" s="7">
        <f t="shared" si="37"/>
        <v>2.6173062518970568E-2</v>
      </c>
      <c r="G473">
        <f t="shared" si="38"/>
        <v>3.616557183289594E-2</v>
      </c>
    </row>
    <row r="474" spans="2:7" x14ac:dyDescent="0.25">
      <c r="B474">
        <f t="shared" si="39"/>
        <v>46900</v>
      </c>
      <c r="C474">
        <f t="shared" si="36"/>
        <v>2.2016554159679128E-2</v>
      </c>
      <c r="D474">
        <f t="shared" si="35"/>
        <v>1.1795357913976479</v>
      </c>
      <c r="E474" s="7">
        <f t="shared" si="37"/>
        <v>2.5969313634586298E-2</v>
      </c>
      <c r="G474">
        <f t="shared" si="38"/>
        <v>3.5858108566173809E-2</v>
      </c>
    </row>
    <row r="475" spans="2:7" x14ac:dyDescent="0.25">
      <c r="B475">
        <f t="shared" si="39"/>
        <v>47000</v>
      </c>
      <c r="C475">
        <f t="shared" si="36"/>
        <v>2.1783330055229835E-2</v>
      </c>
      <c r="D475">
        <f t="shared" si="35"/>
        <v>1.1829016285877136</v>
      </c>
      <c r="E475" s="7">
        <f t="shared" si="37"/>
        <v>2.576753659839506E-2</v>
      </c>
      <c r="G475">
        <f t="shared" si="38"/>
        <v>3.5553905757364036E-2</v>
      </c>
    </row>
    <row r="476" spans="2:7" x14ac:dyDescent="0.25">
      <c r="B476">
        <f t="shared" si="39"/>
        <v>47100</v>
      </c>
      <c r="C476">
        <f t="shared" si="36"/>
        <v>2.1553064365029035E-2</v>
      </c>
      <c r="D476">
        <f t="shared" si="35"/>
        <v>1.1862679110720582</v>
      </c>
      <c r="E476" s="7">
        <f t="shared" si="37"/>
        <v>2.5567708641504611E-2</v>
      </c>
      <c r="G476">
        <f t="shared" si="38"/>
        <v>3.5252922004153149E-2</v>
      </c>
    </row>
    <row r="477" spans="2:7" x14ac:dyDescent="0.25">
      <c r="B477">
        <f t="shared" si="39"/>
        <v>47200</v>
      </c>
      <c r="C477">
        <f t="shared" si="36"/>
        <v>2.1325713399937184E-2</v>
      </c>
      <c r="D477">
        <f t="shared" si="35"/>
        <v>1.1896346360903849</v>
      </c>
      <c r="E477" s="7">
        <f t="shared" si="37"/>
        <v>2.5369807299902115E-2</v>
      </c>
      <c r="G477">
        <f t="shared" si="38"/>
        <v>3.4955116516294259E-2</v>
      </c>
    </row>
    <row r="478" spans="2:7" x14ac:dyDescent="0.25">
      <c r="B478">
        <f t="shared" si="39"/>
        <v>47300</v>
      </c>
      <c r="C478">
        <f t="shared" si="36"/>
        <v>2.1101234206622028E-2</v>
      </c>
      <c r="D478">
        <f t="shared" si="35"/>
        <v>1.1930018009050121</v>
      </c>
      <c r="E478" s="7">
        <f t="shared" si="37"/>
        <v>2.5173810409818524E-2</v>
      </c>
      <c r="G478">
        <f t="shared" si="38"/>
        <v>3.4660449105288017E-2</v>
      </c>
    </row>
    <row r="479" spans="2:7" x14ac:dyDescent="0.25">
      <c r="B479">
        <f t="shared" si="39"/>
        <v>47400</v>
      </c>
      <c r="C479">
        <f t="shared" si="36"/>
        <v>2.087958455364641E-2</v>
      </c>
      <c r="D479">
        <f t="shared" si="35"/>
        <v>1.1963694028006493</v>
      </c>
      <c r="E479" s="7">
        <f t="shared" si="37"/>
        <v>2.4979696103171616E-2</v>
      </c>
      <c r="G479">
        <f t="shared" si="38"/>
        <v>3.4368880174258591E-2</v>
      </c>
    </row>
    <row r="480" spans="2:7" x14ac:dyDescent="0.25">
      <c r="B480">
        <f t="shared" si="39"/>
        <v>47500</v>
      </c>
      <c r="C480">
        <f t="shared" si="36"/>
        <v>2.0660722917847783E-2</v>
      </c>
      <c r="D480">
        <f t="shared" si="35"/>
        <v>1.1997374390841675</v>
      </c>
      <c r="E480" s="7">
        <f t="shared" si="37"/>
        <v>2.4787442803086267E-2</v>
      </c>
      <c r="G480">
        <f t="shared" si="38"/>
        <v>3.4080370708020953E-2</v>
      </c>
    </row>
    <row r="481" spans="2:7" x14ac:dyDescent="0.25">
      <c r="B481">
        <f t="shared" si="39"/>
        <v>47600</v>
      </c>
      <c r="C481">
        <f t="shared" si="36"/>
        <v>2.0444608471002754E-2</v>
      </c>
      <c r="D481">
        <f t="shared" si="35"/>
        <v>1.2031059070843757</v>
      </c>
      <c r="E481" s="7">
        <f t="shared" si="37"/>
        <v>2.4597029219490679E-2</v>
      </c>
      <c r="G481">
        <f t="shared" si="38"/>
        <v>3.3794882263335366E-2</v>
      </c>
    </row>
    <row r="482" spans="2:7" x14ac:dyDescent="0.25">
      <c r="B482">
        <f t="shared" si="39"/>
        <v>47700</v>
      </c>
      <c r="C482">
        <f t="shared" si="36"/>
        <v>2.0231201066769951E-2</v>
      </c>
      <c r="D482">
        <f t="shared" si="35"/>
        <v>1.206474804151799</v>
      </c>
      <c r="E482" s="7">
        <f t="shared" si="37"/>
        <v>2.4408434344786945E-2</v>
      </c>
      <c r="G482">
        <f t="shared" si="38"/>
        <v>3.3512376959345246E-2</v>
      </c>
    </row>
    <row r="483" spans="2:7" x14ac:dyDescent="0.25">
      <c r="B483">
        <f t="shared" si="39"/>
        <v>47800</v>
      </c>
      <c r="C483">
        <f t="shared" si="36"/>
        <v>2.0020461227904841E-2</v>
      </c>
      <c r="D483">
        <f t="shared" si="35"/>
        <v>1.2098441276584613</v>
      </c>
      <c r="E483" s="7">
        <f t="shared" si="37"/>
        <v>2.4221637449594578E-2</v>
      </c>
      <c r="G483">
        <f t="shared" si="38"/>
        <v>3.3232817468194259E-2</v>
      </c>
    </row>
    <row r="484" spans="2:7" x14ac:dyDescent="0.25">
      <c r="B484">
        <f t="shared" si="39"/>
        <v>47900</v>
      </c>
      <c r="C484">
        <f t="shared" si="36"/>
        <v>1.9812350133740546E-2</v>
      </c>
      <c r="D484">
        <f t="shared" si="35"/>
        <v>1.2132138749976675</v>
      </c>
      <c r="E484" s="7">
        <f t="shared" si="37"/>
        <v>2.4036618078565924E-2</v>
      </c>
      <c r="G484">
        <f t="shared" si="38"/>
        <v>3.2956167005819534E-2</v>
      </c>
    </row>
    <row r="485" spans="2:7" x14ac:dyDescent="0.25">
      <c r="B485">
        <f t="shared" si="39"/>
        <v>48000</v>
      </c>
      <c r="C485">
        <f t="shared" si="36"/>
        <v>1.9606829607928235E-2</v>
      </c>
      <c r="D485">
        <f t="shared" si="35"/>
        <v>1.2165840435837911</v>
      </c>
      <c r="E485" s="7">
        <f t="shared" si="37"/>
        <v>2.3853356046271729E-2</v>
      </c>
      <c r="G485">
        <f t="shared" si="38"/>
        <v>3.2682389322916651E-2</v>
      </c>
    </row>
    <row r="486" spans="2:7" x14ac:dyDescent="0.25">
      <c r="B486">
        <f t="shared" si="39"/>
        <v>48100</v>
      </c>
      <c r="C486">
        <f t="shared" si="36"/>
        <v>1.9403862106431306E-2</v>
      </c>
      <c r="D486">
        <f t="shared" si="35"/>
        <v>1.2199546308520615</v>
      </c>
      <c r="E486" s="7">
        <f t="shared" si="37"/>
        <v>2.3671831433155707E-2</v>
      </c>
      <c r="G486">
        <f t="shared" si="38"/>
        <v>3.2411448696073264E-2</v>
      </c>
    </row>
    <row r="487" spans="2:7" x14ac:dyDescent="0.25">
      <c r="B487">
        <f t="shared" si="39"/>
        <v>48200</v>
      </c>
      <c r="C487">
        <f t="shared" si="36"/>
        <v>1.9203410705767747E-2</v>
      </c>
      <c r="D487">
        <f t="shared" si="35"/>
        <v>1.2233256342583576</v>
      </c>
      <c r="E487" s="7">
        <f t="shared" si="37"/>
        <v>2.3492024581557063E-2</v>
      </c>
      <c r="G487">
        <f t="shared" si="38"/>
        <v>3.2143309919067775E-2</v>
      </c>
    </row>
    <row r="488" spans="2:7" x14ac:dyDescent="0.25">
      <c r="B488">
        <f t="shared" si="39"/>
        <v>48300</v>
      </c>
      <c r="C488">
        <f t="shared" si="36"/>
        <v>1.900543909149488E-2</v>
      </c>
      <c r="D488">
        <f t="shared" si="35"/>
        <v>1.2266970512790003</v>
      </c>
      <c r="E488" s="7">
        <f t="shared" si="37"/>
        <v>2.3313916091799412E-2</v>
      </c>
      <c r="G488">
        <f t="shared" si="38"/>
        <v>3.1877938294329694E-2</v>
      </c>
    </row>
    <row r="489" spans="2:7" x14ac:dyDescent="0.25">
      <c r="B489">
        <f t="shared" si="39"/>
        <v>48400</v>
      </c>
      <c r="C489">
        <f t="shared" si="36"/>
        <v>1.8809911546930916E-2</v>
      </c>
      <c r="D489">
        <f t="shared" si="35"/>
        <v>1.2300688794105497</v>
      </c>
      <c r="E489" s="7">
        <f t="shared" si="37"/>
        <v>2.313748681834487E-2</v>
      </c>
      <c r="G489">
        <f t="shared" si="38"/>
        <v>3.161529962455812E-2</v>
      </c>
    </row>
    <row r="490" spans="2:7" x14ac:dyDescent="0.25">
      <c r="B490">
        <f t="shared" si="39"/>
        <v>48500</v>
      </c>
      <c r="C490">
        <f t="shared" si="36"/>
        <v>1.8616792942108287E-2</v>
      </c>
      <c r="D490">
        <f t="shared" si="35"/>
        <v>1.2334411161696031</v>
      </c>
      <c r="E490" s="7">
        <f t="shared" si="37"/>
        <v>2.2962717866012436E-2</v>
      </c>
      <c r="G490">
        <f t="shared" si="38"/>
        <v>3.1355360204495503E-2</v>
      </c>
    </row>
    <row r="491" spans="2:7" x14ac:dyDescent="0.25">
      <c r="B491">
        <f t="shared" si="39"/>
        <v>48600</v>
      </c>
      <c r="C491">
        <f t="shared" si="36"/>
        <v>1.8426048722953215E-2</v>
      </c>
      <c r="D491">
        <f t="shared" si="35"/>
        <v>1.2368137590925978</v>
      </c>
      <c r="E491" s="7">
        <f t="shared" si="37"/>
        <v>2.2789590586259127E-2</v>
      </c>
      <c r="G491">
        <f t="shared" si="38"/>
        <v>3.1098086812853087E-2</v>
      </c>
    </row>
    <row r="492" spans="2:7" x14ac:dyDescent="0.25">
      <c r="B492">
        <f t="shared" si="39"/>
        <v>48700</v>
      </c>
      <c r="C492">
        <f t="shared" si="36"/>
        <v>1.8237644900686585E-2</v>
      </c>
      <c r="D492">
        <f t="shared" si="35"/>
        <v>1.2401868057356122</v>
      </c>
      <c r="E492" s="7">
        <f t="shared" si="37"/>
        <v>2.2618086573522874E-2</v>
      </c>
      <c r="G492">
        <f t="shared" si="38"/>
        <v>3.0843446704385269E-2</v>
      </c>
    </row>
    <row r="493" spans="2:7" x14ac:dyDescent="0.25">
      <c r="B493">
        <f t="shared" si="39"/>
        <v>48800</v>
      </c>
      <c r="C493">
        <f t="shared" si="36"/>
        <v>1.8051548041441164E-2</v>
      </c>
      <c r="D493">
        <f t="shared" si="35"/>
        <v>1.2435602536741734</v>
      </c>
      <c r="E493" s="7">
        <f t="shared" si="37"/>
        <v>2.2448187661626103E-2</v>
      </c>
      <c r="G493">
        <f t="shared" si="38"/>
        <v>3.059140760210954E-2</v>
      </c>
    </row>
    <row r="494" spans="2:7" x14ac:dyDescent="0.25">
      <c r="B494">
        <f t="shared" si="39"/>
        <v>48900</v>
      </c>
      <c r="C494">
        <f t="shared" si="36"/>
        <v>1.7867725256090143E-2</v>
      </c>
      <c r="D494">
        <f t="shared" si="35"/>
        <v>1.2469341005030661</v>
      </c>
      <c r="E494" s="7">
        <f t="shared" si="37"/>
        <v>2.2279875920238678E-2</v>
      </c>
      <c r="G494">
        <f t="shared" si="38"/>
        <v>3.03419376896692E-2</v>
      </c>
    </row>
    <row r="495" spans="2:7" x14ac:dyDescent="0.25">
      <c r="B495">
        <f t="shared" si="39"/>
        <v>49000</v>
      </c>
      <c r="C495">
        <f t="shared" si="36"/>
        <v>1.7686144190282655E-2</v>
      </c>
      <c r="D495">
        <f t="shared" si="35"/>
        <v>1.2503083438361404</v>
      </c>
      <c r="E495" s="7">
        <f t="shared" si="37"/>
        <v>2.2113133651399483E-2</v>
      </c>
      <c r="G495">
        <f t="shared" si="38"/>
        <v>3.0095005603836086E-2</v>
      </c>
    </row>
    <row r="496" spans="2:7" x14ac:dyDescent="0.25">
      <c r="B496">
        <f t="shared" si="39"/>
        <v>49100</v>
      </c>
      <c r="C496">
        <f t="shared" si="36"/>
        <v>1.7506773014681169E-2</v>
      </c>
      <c r="D496">
        <f t="shared" si="35"/>
        <v>1.2536829813061265</v>
      </c>
      <c r="E496" s="7">
        <f t="shared" si="37"/>
        <v>2.1947943386095133E-2</v>
      </c>
      <c r="G496">
        <f t="shared" si="38"/>
        <v>2.9850580427150091E-2</v>
      </c>
    </row>
    <row r="497" spans="2:8" x14ac:dyDescent="0.25">
      <c r="B497">
        <f t="shared" si="39"/>
        <v>49200</v>
      </c>
      <c r="C497">
        <f t="shared" si="36"/>
        <v>1.7329580415396589E-2</v>
      </c>
      <c r="D497">
        <f t="shared" si="35"/>
        <v>1.2570580105644491</v>
      </c>
      <c r="E497" s="7">
        <f t="shared" si="37"/>
        <v>2.1784287880895075E-2</v>
      </c>
      <c r="G497">
        <f t="shared" si="38"/>
        <v>2.960863168069296E-2</v>
      </c>
    </row>
    <row r="498" spans="2:8" x14ac:dyDescent="0.25">
      <c r="B498">
        <f t="shared" si="39"/>
        <v>49300</v>
      </c>
      <c r="C498">
        <f t="shared" si="36"/>
        <v>1.715453558461668E-2</v>
      </c>
      <c r="D498">
        <f t="shared" si="35"/>
        <v>1.260433429281044</v>
      </c>
      <c r="E498" s="7">
        <f t="shared" si="37"/>
        <v>2.1622150114642101E-2</v>
      </c>
      <c r="G498">
        <f t="shared" si="38"/>
        <v>2.9369129316993765E-2</v>
      </c>
    </row>
    <row r="499" spans="2:8" x14ac:dyDescent="0.25">
      <c r="B499">
        <f t="shared" si="39"/>
        <v>49400</v>
      </c>
      <c r="C499">
        <f t="shared" si="36"/>
        <v>1.6981608211423267E-2</v>
      </c>
      <c r="D499">
        <f t="shared" si="35"/>
        <v>1.263809235144177</v>
      </c>
      <c r="E499" s="7">
        <f t="shared" si="37"/>
        <v>2.1461513285196913E-2</v>
      </c>
      <c r="G499">
        <f t="shared" si="38"/>
        <v>2.9132043713063022E-2</v>
      </c>
    </row>
    <row r="500" spans="2:8" x14ac:dyDescent="0.25">
      <c r="B500">
        <f t="shared" si="39"/>
        <v>49500</v>
      </c>
      <c r="C500">
        <f t="shared" si="36"/>
        <v>1.6810768472794297E-2</v>
      </c>
      <c r="D500">
        <f t="shared" si="35"/>
        <v>1.2671854258602657</v>
      </c>
      <c r="E500" s="7">
        <f t="shared" si="37"/>
        <v>2.1302360806236171E-2</v>
      </c>
      <c r="G500">
        <f t="shared" si="38"/>
        <v>2.8897345663553186E-2</v>
      </c>
    </row>
    <row r="501" spans="2:8" x14ac:dyDescent="0.25">
      <c r="B501">
        <f t="shared" si="39"/>
        <v>49600</v>
      </c>
      <c r="C501">
        <f t="shared" si="36"/>
        <v>1.6641987024786583E-2</v>
      </c>
      <c r="D501">
        <f t="shared" si="35"/>
        <v>1.2705619991537025</v>
      </c>
      <c r="E501" s="7">
        <f t="shared" si="37"/>
        <v>2.1144676304102817E-2</v>
      </c>
      <c r="G501">
        <f t="shared" si="38"/>
        <v>2.8665006374042911E-2</v>
      </c>
    </row>
    <row r="502" spans="2:8" x14ac:dyDescent="0.25">
      <c r="B502">
        <f t="shared" si="39"/>
        <v>49700</v>
      </c>
      <c r="C502">
        <f t="shared" si="36"/>
        <v>1.6475234993895232E-2</v>
      </c>
      <c r="D502">
        <f t="shared" si="35"/>
        <v>1.2739389527666809</v>
      </c>
      <c r="E502" s="7">
        <f t="shared" si="37"/>
        <v>2.0988443614707867E-2</v>
      </c>
      <c r="G502">
        <f t="shared" si="38"/>
        <v>2.8434997454442501E-2</v>
      </c>
    </row>
    <row r="503" spans="2:8" x14ac:dyDescent="0.25">
      <c r="B503">
        <f t="shared" si="39"/>
        <v>49800</v>
      </c>
      <c r="C503">
        <f t="shared" si="36"/>
        <v>1.6310483968585757E-2</v>
      </c>
      <c r="D503">
        <f t="shared" si="35"/>
        <v>1.2773162844590202</v>
      </c>
      <c r="E503" s="7">
        <f t="shared" si="37"/>
        <v>2.0833646780482374E-2</v>
      </c>
      <c r="G503">
        <f t="shared" si="38"/>
        <v>2.8207290912518081E-2</v>
      </c>
    </row>
    <row r="504" spans="2:8" x14ac:dyDescent="0.25">
      <c r="B504">
        <f t="shared" si="39"/>
        <v>49900</v>
      </c>
      <c r="C504">
        <f t="shared" si="36"/>
        <v>1.6147705990995492E-2</v>
      </c>
      <c r="D504">
        <f t="shared" si="35"/>
        <v>1.2806939920079983</v>
      </c>
      <c r="E504" s="7">
        <f t="shared" si="37"/>
        <v>2.0680270047379486E-2</v>
      </c>
      <c r="G504">
        <f t="shared" si="38"/>
        <v>2.7981859147532498E-2</v>
      </c>
    </row>
    <row r="505" spans="2:8" x14ac:dyDescent="0.25">
      <c r="E505" s="7"/>
    </row>
    <row r="506" spans="2:8" x14ac:dyDescent="0.25">
      <c r="D506" t="s">
        <v>10</v>
      </c>
      <c r="E506" s="7">
        <f>SUM(E6:E504)</f>
        <v>468.11276216880321</v>
      </c>
    </row>
    <row r="507" spans="2:8" x14ac:dyDescent="0.25">
      <c r="G507" s="3"/>
      <c r="H507" s="6"/>
    </row>
    <row r="508" spans="2:8" x14ac:dyDescent="0.25">
      <c r="B508" t="s">
        <v>4</v>
      </c>
      <c r="C508" t="s">
        <v>6</v>
      </c>
      <c r="D508" s="1">
        <f>4*0.0000000567*E3^4/300000000</f>
        <v>4.7250000000000003E-5</v>
      </c>
      <c r="E508" s="1"/>
      <c r="F508" s="1"/>
    </row>
    <row r="509" spans="2:8" x14ac:dyDescent="0.25">
      <c r="B509" t="s">
        <v>5</v>
      </c>
      <c r="C509" s="6" t="s">
        <v>8</v>
      </c>
      <c r="D509" s="1">
        <f>$B3*0.000000001*E506</f>
        <v>4.6811276216880324E-5</v>
      </c>
      <c r="E509" s="1"/>
      <c r="F509" s="1"/>
    </row>
    <row r="510" spans="2:8" x14ac:dyDescent="0.25">
      <c r="C510" t="s">
        <v>9</v>
      </c>
    </row>
  </sheetData>
  <printOptions gridLines="1"/>
  <pageMargins left="0.25" right="0.49" top="1" bottom="1" header="0.5" footer="0.5"/>
  <pageSetup orientation="portrait" horizontalDpi="300" verticalDpi="300" r:id="rId1"/>
  <headerFooter alignWithMargins="0">
    <oddHeader>&amp;C&amp;F&amp;R&amp;D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Planck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S. Dibble, M.D.</dc:creator>
  <cp:lastModifiedBy>Carina Negreanu</cp:lastModifiedBy>
  <dcterms:created xsi:type="dcterms:W3CDTF">2002-03-20T01:05:21Z</dcterms:created>
  <dcterms:modified xsi:type="dcterms:W3CDTF">2020-01-27T11:43:19Z</dcterms:modified>
</cp:coreProperties>
</file>