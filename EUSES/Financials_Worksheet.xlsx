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5DDE1B-476F-4398-B6F2-18573FF7E68D}" xr6:coauthVersionLast="45" xr6:coauthVersionMax="45" xr10:uidLastSave="{00000000-0000-0000-0000-000000000000}"/>
  <bookViews>
    <workbookView xWindow="3420" yWindow="3420" windowWidth="28800" windowHeight="15460" activeTab="5"/>
  </bookViews>
  <sheets>
    <sheet name="Income Statement (1 YR)" sheetId="1" r:id="rId1"/>
    <sheet name="Cash Flow (1 YR)" sheetId="2" r:id="rId2"/>
    <sheet name="Income Statement (5 YR)" sheetId="3" r:id="rId3"/>
    <sheet name="Cash Flow (5 YR)" sheetId="4" r:id="rId4"/>
    <sheet name="Balance Sheet" sheetId="5" r:id="rId5"/>
    <sheet name="Personal Balance Sheet" sheetId="6" r:id="rId6"/>
    <sheet name="Break Even" sheetId="7" r:id="rId7"/>
  </sheets>
  <definedNames>
    <definedName name="_xlnm.Print_Area" localSheetId="0">'Income Statement (1 YR)'!$A$1:$N$41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5" l="1"/>
  <c r="C12" i="5"/>
  <c r="D12" i="5"/>
  <c r="E12" i="5"/>
  <c r="F12" i="5"/>
  <c r="B22" i="5"/>
  <c r="C22" i="5"/>
  <c r="D22" i="5"/>
  <c r="E22" i="5"/>
  <c r="F22" i="5"/>
  <c r="B25" i="5"/>
  <c r="C25" i="5"/>
  <c r="D25" i="5"/>
  <c r="E25" i="5"/>
  <c r="F25" i="5"/>
  <c r="B33" i="5"/>
  <c r="B36" i="5" s="1"/>
  <c r="C33" i="5"/>
  <c r="C36" i="5" s="1"/>
  <c r="D33" i="5"/>
  <c r="D36" i="5" s="1"/>
  <c r="E33" i="5"/>
  <c r="E36" i="5" s="1"/>
  <c r="F33" i="5"/>
  <c r="F36" i="5" s="1"/>
  <c r="C47" i="5"/>
  <c r="D47" i="5"/>
  <c r="E47" i="5"/>
  <c r="F47" i="5"/>
  <c r="B9" i="7"/>
  <c r="B10" i="7"/>
  <c r="C10" i="7"/>
  <c r="D10" i="7"/>
  <c r="E10" i="7"/>
  <c r="B11" i="7"/>
  <c r="C11" i="7" s="1"/>
  <c r="B12" i="7"/>
  <c r="C12" i="7"/>
  <c r="B13" i="7"/>
  <c r="C13" i="7" s="1"/>
  <c r="E13" i="7" s="1"/>
  <c r="D13" i="7"/>
  <c r="B14" i="7"/>
  <c r="C14" i="7"/>
  <c r="D14" i="7"/>
  <c r="E14" i="7" s="1"/>
  <c r="B15" i="7"/>
  <c r="C15" i="7" s="1"/>
  <c r="E15" i="7" s="1"/>
  <c r="D15" i="7"/>
  <c r="B16" i="7"/>
  <c r="C16" i="7" s="1"/>
  <c r="B17" i="7"/>
  <c r="C17" i="7"/>
  <c r="B18" i="7"/>
  <c r="C18" i="7" s="1"/>
  <c r="E18" i="7" s="1"/>
  <c r="D18" i="7"/>
  <c r="B19" i="7"/>
  <c r="C19" i="7"/>
  <c r="D19" i="7"/>
  <c r="E19" i="7" s="1"/>
  <c r="B20" i="7"/>
  <c r="C20" i="7" s="1"/>
  <c r="E20" i="7" s="1"/>
  <c r="D20" i="7"/>
  <c r="B21" i="7"/>
  <c r="C21" i="7" s="1"/>
  <c r="B22" i="7"/>
  <c r="C22" i="7"/>
  <c r="C29" i="7"/>
  <c r="D11" i="7" s="1"/>
  <c r="C32" i="7"/>
  <c r="E32" i="7"/>
  <c r="F10" i="7" s="1"/>
  <c r="N3" i="2"/>
  <c r="N5" i="2"/>
  <c r="N6" i="2"/>
  <c r="N7" i="2"/>
  <c r="N8" i="2"/>
  <c r="N10" i="2"/>
  <c r="N11" i="2"/>
  <c r="B12" i="2"/>
  <c r="N12" i="2" s="1"/>
  <c r="C12" i="2"/>
  <c r="D12" i="2"/>
  <c r="E12" i="2"/>
  <c r="F12" i="2"/>
  <c r="G12" i="2"/>
  <c r="G34" i="2" s="1"/>
  <c r="G41" i="2" s="1"/>
  <c r="H12" i="2"/>
  <c r="H34" i="2" s="1"/>
  <c r="H41" i="2" s="1"/>
  <c r="I12" i="2"/>
  <c r="I34" i="2" s="1"/>
  <c r="I41" i="2" s="1"/>
  <c r="J12" i="2"/>
  <c r="J34" i="2" s="1"/>
  <c r="J41" i="2" s="1"/>
  <c r="K12" i="2"/>
  <c r="L12" i="2"/>
  <c r="M12" i="2"/>
  <c r="N14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B33" i="2"/>
  <c r="C33" i="2"/>
  <c r="D33" i="2"/>
  <c r="E33" i="2"/>
  <c r="F33" i="2"/>
  <c r="G33" i="2"/>
  <c r="H33" i="2"/>
  <c r="I33" i="2"/>
  <c r="J33" i="2"/>
  <c r="K33" i="2"/>
  <c r="K34" i="2" s="1"/>
  <c r="K41" i="2" s="1"/>
  <c r="L33" i="2"/>
  <c r="L34" i="2" s="1"/>
  <c r="L41" i="2" s="1"/>
  <c r="M33" i="2"/>
  <c r="M34" i="2" s="1"/>
  <c r="M41" i="2" s="1"/>
  <c r="N33" i="2"/>
  <c r="B34" i="2"/>
  <c r="C34" i="2"/>
  <c r="C41" i="2" s="1"/>
  <c r="D34" i="2"/>
  <c r="D41" i="2" s="1"/>
  <c r="E34" i="2"/>
  <c r="F34" i="2"/>
  <c r="F41" i="2" s="1"/>
  <c r="N36" i="2"/>
  <c r="N37" i="2"/>
  <c r="N38" i="2"/>
  <c r="N40" i="2"/>
  <c r="E41" i="2"/>
  <c r="C44" i="2"/>
  <c r="C47" i="2" s="1"/>
  <c r="D44" i="2" s="1"/>
  <c r="D47" i="2" s="1"/>
  <c r="E44" i="2" s="1"/>
  <c r="E47" i="2" s="1"/>
  <c r="F44" i="2" s="1"/>
  <c r="F47" i="2" s="1"/>
  <c r="G44" i="2" s="1"/>
  <c r="G47" i="2" s="1"/>
  <c r="H44" i="2" s="1"/>
  <c r="H47" i="2" s="1"/>
  <c r="I44" i="2" s="1"/>
  <c r="I47" i="2" s="1"/>
  <c r="J44" i="2" s="1"/>
  <c r="J47" i="2" s="1"/>
  <c r="K44" i="2" s="1"/>
  <c r="K47" i="2" s="1"/>
  <c r="L44" i="2" s="1"/>
  <c r="L47" i="2" s="1"/>
  <c r="M44" i="2" s="1"/>
  <c r="M47" i="2" s="1"/>
  <c r="N44" i="2"/>
  <c r="N47" i="2" s="1"/>
  <c r="N45" i="2"/>
  <c r="N46" i="2"/>
  <c r="B47" i="2"/>
  <c r="G5" i="4"/>
  <c r="G6" i="4"/>
  <c r="G7" i="4"/>
  <c r="G8" i="4"/>
  <c r="G9" i="4"/>
  <c r="G10" i="4"/>
  <c r="G11" i="4"/>
  <c r="G12" i="4"/>
  <c r="G13" i="4"/>
  <c r="B14" i="4"/>
  <c r="B17" i="4" s="1"/>
  <c r="C14" i="4"/>
  <c r="C17" i="4" s="1"/>
  <c r="C47" i="4" s="1"/>
  <c r="C50" i="4" s="1"/>
  <c r="D14" i="4"/>
  <c r="D17" i="4" s="1"/>
  <c r="D47" i="4" s="1"/>
  <c r="D50" i="4" s="1"/>
  <c r="E14" i="4"/>
  <c r="E17" i="4" s="1"/>
  <c r="E47" i="4" s="1"/>
  <c r="E50" i="4" s="1"/>
  <c r="F14" i="4"/>
  <c r="F17" i="4" s="1"/>
  <c r="F47" i="4" s="1"/>
  <c r="F50" i="4" s="1"/>
  <c r="G14" i="4"/>
  <c r="G15" i="4"/>
  <c r="G16" i="4"/>
  <c r="G20" i="4"/>
  <c r="G21" i="4"/>
  <c r="G22" i="4"/>
  <c r="G23" i="4"/>
  <c r="G24" i="4"/>
  <c r="G25" i="4"/>
  <c r="G26" i="4"/>
  <c r="G27" i="4"/>
  <c r="G45" i="4" s="1"/>
  <c r="G28" i="4"/>
  <c r="G29" i="4"/>
  <c r="G30" i="4"/>
  <c r="G31" i="4"/>
  <c r="G32" i="4"/>
  <c r="G33" i="4"/>
  <c r="G34" i="4"/>
  <c r="G35" i="4"/>
  <c r="G36" i="4"/>
  <c r="G37" i="4"/>
  <c r="G38" i="4"/>
  <c r="G39" i="4"/>
  <c r="G41" i="4"/>
  <c r="G43" i="4"/>
  <c r="G44" i="4"/>
  <c r="B45" i="4"/>
  <c r="C45" i="4"/>
  <c r="D45" i="4"/>
  <c r="E45" i="4"/>
  <c r="F45" i="4"/>
  <c r="G46" i="4"/>
  <c r="G48" i="4"/>
  <c r="G49" i="4"/>
  <c r="N4" i="1"/>
  <c r="N5" i="1"/>
  <c r="N6" i="1"/>
  <c r="B7" i="1"/>
  <c r="C7" i="1"/>
  <c r="D7" i="1"/>
  <c r="D32" i="1" s="1"/>
  <c r="E7" i="1"/>
  <c r="F7" i="1"/>
  <c r="F13" i="1" s="1"/>
  <c r="G7" i="1"/>
  <c r="H7" i="1"/>
  <c r="H13" i="1" s="1"/>
  <c r="I7" i="1"/>
  <c r="J7" i="1"/>
  <c r="K7" i="1"/>
  <c r="L7" i="1"/>
  <c r="M7" i="1"/>
  <c r="N7" i="1"/>
  <c r="N9" i="1"/>
  <c r="N10" i="1" s="1"/>
  <c r="B10" i="1"/>
  <c r="B13" i="1" s="1"/>
  <c r="C10" i="1"/>
  <c r="D10" i="1"/>
  <c r="E10" i="1"/>
  <c r="F10" i="1"/>
  <c r="G10" i="1"/>
  <c r="H10" i="1"/>
  <c r="I10" i="1"/>
  <c r="J10" i="1"/>
  <c r="J11" i="1" s="1"/>
  <c r="K10" i="1"/>
  <c r="K11" i="1" s="1"/>
  <c r="L10" i="1"/>
  <c r="L11" i="1" s="1"/>
  <c r="M10" i="1"/>
  <c r="M11" i="1" s="1"/>
  <c r="C11" i="1"/>
  <c r="D11" i="1"/>
  <c r="E11" i="1"/>
  <c r="F11" i="1"/>
  <c r="G11" i="1"/>
  <c r="H11" i="1"/>
  <c r="I11" i="1"/>
  <c r="C13" i="1"/>
  <c r="C33" i="1" s="1"/>
  <c r="D13" i="1"/>
  <c r="D14" i="1" s="1"/>
  <c r="E13" i="1"/>
  <c r="E14" i="1" s="1"/>
  <c r="G13" i="1"/>
  <c r="G14" i="1" s="1"/>
  <c r="I13" i="1"/>
  <c r="I14" i="1" s="1"/>
  <c r="J13" i="1"/>
  <c r="J33" i="1" s="1"/>
  <c r="K13" i="1"/>
  <c r="K14" i="1" s="1"/>
  <c r="L13" i="1"/>
  <c r="L14" i="1" s="1"/>
  <c r="M13" i="1"/>
  <c r="M14" i="1" s="1"/>
  <c r="C14" i="1"/>
  <c r="N17" i="1"/>
  <c r="N31" i="1" s="1"/>
  <c r="N32" i="1" s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B32" i="1"/>
  <c r="C32" i="1"/>
  <c r="E32" i="1"/>
  <c r="G32" i="1"/>
  <c r="H32" i="1"/>
  <c r="I32" i="1"/>
  <c r="J32" i="1"/>
  <c r="K32" i="1"/>
  <c r="L32" i="1"/>
  <c r="M32" i="1"/>
  <c r="N36" i="1"/>
  <c r="N37" i="1"/>
  <c r="N39" i="1"/>
  <c r="B11" i="3"/>
  <c r="C11" i="3"/>
  <c r="D11" i="3"/>
  <c r="E11" i="3"/>
  <c r="E16" i="3" s="1"/>
  <c r="F11" i="3"/>
  <c r="F16" i="3" s="1"/>
  <c r="B14" i="3"/>
  <c r="C14" i="3"/>
  <c r="D14" i="3"/>
  <c r="E14" i="3"/>
  <c r="F14" i="3"/>
  <c r="B16" i="3"/>
  <c r="B17" i="3" s="1"/>
  <c r="C16" i="3"/>
  <c r="C17" i="3" s="1"/>
  <c r="D16" i="3"/>
  <c r="D17" i="3" s="1"/>
  <c r="B41" i="3"/>
  <c r="C41" i="3"/>
  <c r="D41" i="3"/>
  <c r="E41" i="3"/>
  <c r="F41" i="3"/>
  <c r="B42" i="3"/>
  <c r="C42" i="3"/>
  <c r="D42" i="3"/>
  <c r="E42" i="3"/>
  <c r="F42" i="3"/>
  <c r="B43" i="3"/>
  <c r="B47" i="3" s="1"/>
  <c r="C43" i="3"/>
  <c r="C47" i="3" s="1"/>
  <c r="D15" i="6"/>
  <c r="D35" i="6" s="1"/>
  <c r="H15" i="6"/>
  <c r="H35" i="6" s="1"/>
  <c r="D23" i="6"/>
  <c r="H23" i="6"/>
  <c r="D33" i="6"/>
  <c r="H33" i="6"/>
  <c r="H14" i="1" l="1"/>
  <c r="H33" i="1"/>
  <c r="E49" i="5"/>
  <c r="E44" i="5"/>
  <c r="E51" i="5"/>
  <c r="C49" i="5"/>
  <c r="D42" i="5"/>
  <c r="F42" i="5"/>
  <c r="F14" i="1"/>
  <c r="F33" i="1"/>
  <c r="B42" i="5"/>
  <c r="N34" i="2"/>
  <c r="F49" i="5"/>
  <c r="F44" i="5"/>
  <c r="F51" i="5"/>
  <c r="E22" i="7"/>
  <c r="E42" i="5"/>
  <c r="J34" i="1"/>
  <c r="J38" i="1"/>
  <c r="J40" i="1" s="1"/>
  <c r="J41" i="1" s="1"/>
  <c r="F43" i="3"/>
  <c r="F17" i="3"/>
  <c r="C34" i="1"/>
  <c r="C38" i="1"/>
  <c r="C40" i="1" s="1"/>
  <c r="C41" i="1" s="1"/>
  <c r="D49" i="5"/>
  <c r="D44" i="5"/>
  <c r="D51" i="5"/>
  <c r="B49" i="5"/>
  <c r="B44" i="5"/>
  <c r="B51" i="5"/>
  <c r="C42" i="5"/>
  <c r="C44" i="5" s="1"/>
  <c r="G17" i="4"/>
  <c r="G47" i="4" s="1"/>
  <c r="G50" i="4" s="1"/>
  <c r="G51" i="4" s="1"/>
  <c r="B47" i="4"/>
  <c r="B50" i="4" s="1"/>
  <c r="B51" i="4" s="1"/>
  <c r="C49" i="4" s="1"/>
  <c r="C51" i="4" s="1"/>
  <c r="D49" i="4" s="1"/>
  <c r="D51" i="4" s="1"/>
  <c r="E49" i="4" s="1"/>
  <c r="E51" i="4" s="1"/>
  <c r="F49" i="4" s="1"/>
  <c r="F51" i="4" s="1"/>
  <c r="E11" i="7"/>
  <c r="H38" i="6"/>
  <c r="B33" i="1"/>
  <c r="B14" i="1"/>
  <c r="E43" i="3"/>
  <c r="E17" i="3"/>
  <c r="N13" i="1"/>
  <c r="N11" i="1"/>
  <c r="B11" i="1"/>
  <c r="B41" i="2"/>
  <c r="M33" i="1"/>
  <c r="F32" i="1"/>
  <c r="A32" i="7"/>
  <c r="L33" i="1"/>
  <c r="C50" i="3"/>
  <c r="C51" i="3" s="1"/>
  <c r="K33" i="1"/>
  <c r="B47" i="5"/>
  <c r="D22" i="7"/>
  <c r="D17" i="7"/>
  <c r="E17" i="7" s="1"/>
  <c r="D12" i="7"/>
  <c r="E12" i="7" s="1"/>
  <c r="B50" i="3"/>
  <c r="B51" i="3" s="1"/>
  <c r="I33" i="1"/>
  <c r="J14" i="1"/>
  <c r="D43" i="3"/>
  <c r="G33" i="1"/>
  <c r="F48" i="5"/>
  <c r="D21" i="7"/>
  <c r="E21" i="7" s="1"/>
  <c r="D16" i="7"/>
  <c r="E16" i="7" s="1"/>
  <c r="E48" i="5"/>
  <c r="E33" i="1"/>
  <c r="D48" i="5"/>
  <c r="D33" i="1"/>
  <c r="C48" i="5"/>
  <c r="B48" i="5"/>
  <c r="D34" i="1" l="1"/>
  <c r="D38" i="1"/>
  <c r="D40" i="1" s="1"/>
  <c r="D41" i="1" s="1"/>
  <c r="E34" i="1"/>
  <c r="E38" i="1"/>
  <c r="E40" i="1" s="1"/>
  <c r="E41" i="1" s="1"/>
  <c r="F38" i="1"/>
  <c r="F40" i="1" s="1"/>
  <c r="F41" i="1" s="1"/>
  <c r="F34" i="1"/>
  <c r="L34" i="1"/>
  <c r="L38" i="1"/>
  <c r="L40" i="1" s="1"/>
  <c r="L41" i="1" s="1"/>
  <c r="M34" i="1"/>
  <c r="M38" i="1"/>
  <c r="M40" i="1" s="1"/>
  <c r="M41" i="1" s="1"/>
  <c r="C51" i="5"/>
  <c r="N33" i="1"/>
  <c r="N34" i="1" s="1"/>
  <c r="N14" i="1"/>
  <c r="E47" i="3"/>
  <c r="E50" i="3"/>
  <c r="E51" i="3" s="1"/>
  <c r="K34" i="1"/>
  <c r="K38" i="1"/>
  <c r="K40" i="1" s="1"/>
  <c r="K41" i="1" s="1"/>
  <c r="N41" i="2"/>
  <c r="B42" i="2"/>
  <c r="C3" i="2" s="1"/>
  <c r="C42" i="2" s="1"/>
  <c r="D3" i="2" s="1"/>
  <c r="D42" i="2" s="1"/>
  <c r="E3" i="2" s="1"/>
  <c r="E42" i="2" s="1"/>
  <c r="F3" i="2" s="1"/>
  <c r="F42" i="2" s="1"/>
  <c r="G3" i="2" s="1"/>
  <c r="G42" i="2" s="1"/>
  <c r="H3" i="2" s="1"/>
  <c r="H42" i="2" s="1"/>
  <c r="I3" i="2" s="1"/>
  <c r="I42" i="2" s="1"/>
  <c r="J3" i="2" s="1"/>
  <c r="J42" i="2" s="1"/>
  <c r="K3" i="2" s="1"/>
  <c r="K42" i="2" s="1"/>
  <c r="L3" i="2" s="1"/>
  <c r="L42" i="2" s="1"/>
  <c r="M3" i="2" s="1"/>
  <c r="M42" i="2" s="1"/>
  <c r="N42" i="2" s="1"/>
  <c r="G38" i="1"/>
  <c r="G40" i="1" s="1"/>
  <c r="G41" i="1" s="1"/>
  <c r="G34" i="1"/>
  <c r="B34" i="1"/>
  <c r="B38" i="1"/>
  <c r="F50" i="3"/>
  <c r="F51" i="3" s="1"/>
  <c r="F47" i="3"/>
  <c r="D47" i="3"/>
  <c r="D50" i="3"/>
  <c r="D51" i="3" s="1"/>
  <c r="H38" i="1"/>
  <c r="H40" i="1" s="1"/>
  <c r="H41" i="1" s="1"/>
  <c r="H34" i="1"/>
  <c r="I34" i="1"/>
  <c r="I38" i="1"/>
  <c r="I40" i="1" s="1"/>
  <c r="I41" i="1" s="1"/>
  <c r="B40" i="1" l="1"/>
  <c r="N38" i="1"/>
  <c r="N40" i="1" l="1"/>
  <c r="N41" i="1" s="1"/>
  <c r="B41" i="1"/>
</calcChain>
</file>

<file path=xl/sharedStrings.xml><?xml version="1.0" encoding="utf-8"?>
<sst xmlns="http://schemas.openxmlformats.org/spreadsheetml/2006/main" count="305" uniqueCount="248">
  <si>
    <t xml:space="preserve">Balance Sheet  (Years 1 - 5 )   </t>
  </si>
  <si>
    <t>Year 1</t>
  </si>
  <si>
    <t>Year 2</t>
  </si>
  <si>
    <t>Year 3</t>
  </si>
  <si>
    <t>Year 4</t>
  </si>
  <si>
    <t>Year 5</t>
  </si>
  <si>
    <t>Assets</t>
  </si>
  <si>
    <t xml:space="preserve">     Current Assets</t>
  </si>
  <si>
    <t>Cash</t>
  </si>
  <si>
    <t>Investments</t>
  </si>
  <si>
    <t>Accounts Receivable</t>
  </si>
  <si>
    <t>Notes Receivable</t>
  </si>
  <si>
    <t>Inventory</t>
  </si>
  <si>
    <t>Other Current Assets</t>
  </si>
  <si>
    <t xml:space="preserve">     Total Current Assets</t>
  </si>
  <si>
    <t xml:space="preserve">     Plant &amp; Equipment</t>
  </si>
  <si>
    <t>Land</t>
  </si>
  <si>
    <t>Buildings</t>
  </si>
  <si>
    <t>Building Improvement</t>
  </si>
  <si>
    <t>Mach &amp; Equipment</t>
  </si>
  <si>
    <t>Office Equipment</t>
  </si>
  <si>
    <t>Automobiles</t>
  </si>
  <si>
    <t xml:space="preserve">   Less Accum. Depr.</t>
  </si>
  <si>
    <t>Total Net Plant &amp; Equip.</t>
  </si>
  <si>
    <t xml:space="preserve">   Other Assets</t>
  </si>
  <si>
    <t>Total Assets</t>
  </si>
  <si>
    <t>Liabilities &amp; Owner's Equity</t>
  </si>
  <si>
    <t xml:space="preserve">   Current Liabilities</t>
  </si>
  <si>
    <t>Short Term Debt</t>
  </si>
  <si>
    <t>Accounts Payable</t>
  </si>
  <si>
    <t>Interest Payable</t>
  </si>
  <si>
    <t>Taxes Payable</t>
  </si>
  <si>
    <t xml:space="preserve">   Total Current Liabilities</t>
  </si>
  <si>
    <t>Long Term Debt</t>
  </si>
  <si>
    <t xml:space="preserve">   Total Liabilities</t>
  </si>
  <si>
    <t xml:space="preserve">   Owner/Stockholder Equity</t>
  </si>
  <si>
    <t>Common Stock</t>
  </si>
  <si>
    <t>Retained Earnings</t>
  </si>
  <si>
    <t>Less Dividends Payable</t>
  </si>
  <si>
    <t xml:space="preserve">    Total Owner's Equity</t>
  </si>
  <si>
    <t>Total Liabilities &amp; Equity</t>
  </si>
  <si>
    <t>*** Ratios ***</t>
  </si>
  <si>
    <t>Current Ratio</t>
  </si>
  <si>
    <t>Quick Ratio (Acid Test)</t>
  </si>
  <si>
    <t>Total Debt to Total Assets</t>
  </si>
  <si>
    <t>Total Debt to Owner's Equity</t>
  </si>
  <si>
    <t>Sales / Revenue</t>
  </si>
  <si>
    <t>Total Sales</t>
  </si>
  <si>
    <t>Total Cost of Goods Sold</t>
  </si>
  <si>
    <t xml:space="preserve">    % of Total Sales</t>
  </si>
  <si>
    <t>Gross Profit</t>
  </si>
  <si>
    <t>Expenses</t>
  </si>
  <si>
    <t>advertising</t>
  </si>
  <si>
    <t>charitable donations</t>
  </si>
  <si>
    <t>dues &amp; subscriptions</t>
  </si>
  <si>
    <t>insurance</t>
  </si>
  <si>
    <t>legal &amp; professional fees</t>
  </si>
  <si>
    <t>office supplies</t>
  </si>
  <si>
    <t>payroll</t>
  </si>
  <si>
    <t>payroll taxes</t>
  </si>
  <si>
    <t>postage &amp; shipping</t>
  </si>
  <si>
    <t>rent</t>
  </si>
  <si>
    <t>repairs &amp; maintenance</t>
  </si>
  <si>
    <t>sales tax collected &amp; paid</t>
  </si>
  <si>
    <t>taxes</t>
  </si>
  <si>
    <t>telephone</t>
  </si>
  <si>
    <t>utilities</t>
  </si>
  <si>
    <t>vehicle expense</t>
  </si>
  <si>
    <t>other expenses</t>
  </si>
  <si>
    <t>Total Operating Expenses</t>
  </si>
  <si>
    <t xml:space="preserve">     % of Total Sales</t>
  </si>
  <si>
    <t>Income from Operations</t>
  </si>
  <si>
    <t>Interest Income</t>
  </si>
  <si>
    <t>Interest Expense</t>
  </si>
  <si>
    <t>Income before Taxes</t>
  </si>
  <si>
    <t>Taxes on Income</t>
  </si>
  <si>
    <t>Net Income After Tax</t>
  </si>
  <si>
    <t>Beginning Balance</t>
  </si>
  <si>
    <t>Income</t>
  </si>
  <si>
    <t>accounts received 30-day</t>
  </si>
  <si>
    <t>accounts received 60-day</t>
  </si>
  <si>
    <t>sale of equipment</t>
  </si>
  <si>
    <t>owner equity</t>
  </si>
  <si>
    <t>loans received</t>
  </si>
  <si>
    <t>Total Cash In</t>
  </si>
  <si>
    <t>interest</t>
  </si>
  <si>
    <t>Total Expenses</t>
  </si>
  <si>
    <t>Net Cash Flow</t>
  </si>
  <si>
    <t>Adjustments to Net Cash Flow</t>
  </si>
  <si>
    <t>merchandise purchases</t>
  </si>
  <si>
    <t>principal payments</t>
  </si>
  <si>
    <t>operating loan</t>
  </si>
  <si>
    <t>owner withdrawals</t>
  </si>
  <si>
    <t>Adjusted Net Cash Flow</t>
  </si>
  <si>
    <t>Ending Cash Balance</t>
  </si>
  <si>
    <t>Beginning Inventory</t>
  </si>
  <si>
    <t>merchandise purchases (+)</t>
  </si>
  <si>
    <t>cost of sales (-)</t>
  </si>
  <si>
    <t>Ending Inventory</t>
  </si>
  <si>
    <t>Income Statement (Years 1 - 5)</t>
  </si>
  <si>
    <t>Total</t>
  </si>
  <si>
    <t>Sales /revenue</t>
  </si>
  <si>
    <t>Misc. Income</t>
  </si>
  <si>
    <t>Receivables</t>
  </si>
  <si>
    <t>Cost of Goods Sold</t>
  </si>
  <si>
    <t xml:space="preserve">    % of total sales</t>
  </si>
  <si>
    <t>Operating Expenses</t>
  </si>
  <si>
    <t>Advertising</t>
  </si>
  <si>
    <t>Insurance</t>
  </si>
  <si>
    <t>Telephone</t>
  </si>
  <si>
    <t>Utilities</t>
  </si>
  <si>
    <t>Depreciation</t>
  </si>
  <si>
    <t>Income Before Taxes</t>
  </si>
  <si>
    <t>Net Income After Taxes</t>
  </si>
  <si>
    <t xml:space="preserve">5 Year Projected Cash Flow </t>
  </si>
  <si>
    <t>Sources of Cash:</t>
  </si>
  <si>
    <t>Owner's equity</t>
  </si>
  <si>
    <t>Sale of Fixed Assets</t>
  </si>
  <si>
    <t>Cash from Receipts</t>
  </si>
  <si>
    <t>Loans Received -short term</t>
  </si>
  <si>
    <t xml:space="preserve">                        -long term</t>
  </si>
  <si>
    <t>Cash from Receipts &amp; Financing</t>
  </si>
  <si>
    <t>Cash Disbursements</t>
  </si>
  <si>
    <t>taxes  (income)</t>
  </si>
  <si>
    <t>misc. expenses</t>
  </si>
  <si>
    <t>Merchandise / Inventory purchases</t>
  </si>
  <si>
    <t>Principal payments</t>
  </si>
  <si>
    <t>Purchase of Fixed Assets</t>
  </si>
  <si>
    <t>Total Cash Disbursements</t>
  </si>
  <si>
    <t>Increase / (Decrease) in Cash</t>
  </si>
  <si>
    <t>Beginning Cash Balance</t>
  </si>
  <si>
    <t>Personal Balance Sheet</t>
  </si>
  <si>
    <t>ASSETS</t>
  </si>
  <si>
    <t>LIABILITIES</t>
  </si>
  <si>
    <t>Current Assets:</t>
  </si>
  <si>
    <t xml:space="preserve">     Current Liabilities:</t>
  </si>
  <si>
    <t>Cash &amp; Checking</t>
  </si>
  <si>
    <t xml:space="preserve">    </t>
  </si>
  <si>
    <t>Money Market, etc.</t>
  </si>
  <si>
    <t>Short term loans</t>
  </si>
  <si>
    <t>Securities</t>
  </si>
  <si>
    <t>Current payment on LT</t>
  </si>
  <si>
    <t>S-T notes receivable</t>
  </si>
  <si>
    <t>Interest payable</t>
  </si>
  <si>
    <t>Prepaid interest</t>
  </si>
  <si>
    <t>Taxes payable</t>
  </si>
  <si>
    <t>Other_____</t>
  </si>
  <si>
    <t xml:space="preserve">Other:   </t>
  </si>
  <si>
    <t xml:space="preserve"> </t>
  </si>
  <si>
    <t>Subtotal:</t>
  </si>
  <si>
    <t>Intermediate Assets:</t>
  </si>
  <si>
    <t xml:space="preserve">     Intermediate Liabilities:</t>
  </si>
  <si>
    <t>H'hold furniture</t>
  </si>
  <si>
    <t>Consumer loans</t>
  </si>
  <si>
    <t xml:space="preserve">Vehicles </t>
  </si>
  <si>
    <t>Loans on vehicles</t>
  </si>
  <si>
    <t>CD's &amp; Securities</t>
  </si>
  <si>
    <t>Other ___</t>
  </si>
  <si>
    <t>Long-term Assets:</t>
  </si>
  <si>
    <t xml:space="preserve">     Long-term Liabilities:</t>
  </si>
  <si>
    <t>Real Estate</t>
  </si>
  <si>
    <t>Real Estate Mortgage</t>
  </si>
  <si>
    <t>IRA, SRA, etc..</t>
  </si>
  <si>
    <t>Co-Signed loans</t>
  </si>
  <si>
    <t>Stocks, Bonds, etc..</t>
  </si>
  <si>
    <t>Other_______________</t>
  </si>
  <si>
    <t>Other property</t>
  </si>
  <si>
    <t>TOTAL ASSETS:</t>
  </si>
  <si>
    <t xml:space="preserve">     TOTAL LIABILITIES:</t>
  </si>
  <si>
    <t>TOTAL ASSETS MINUS TOTAL LIABILITIES  = NET WORTH</t>
  </si>
  <si>
    <t>Rural Enterprise Assistance Project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</si>
  <si>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</si>
  <si>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</si>
  <si>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</si>
  <si>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</si>
  <si>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</si>
  <si>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</si>
  <si>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</si>
  <si>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</si>
  <si>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</si>
  <si>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</si>
  <si>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</si>
  <si>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</si>
  <si>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 xml:space="preserve">Projected Cash Flow </t>
  </si>
  <si>
    <t>office supplies &amp; postage</t>
  </si>
  <si>
    <t>sales tax collected &amp; paid 5%</t>
  </si>
  <si>
    <t>equipment &amp; bldg. fix-up</t>
  </si>
  <si>
    <t>Salary expense</t>
  </si>
  <si>
    <t>Payroll expense (taxes, etc.)</t>
  </si>
  <si>
    <t>Outside services</t>
  </si>
  <si>
    <t>Repairs and maintenance (bulbs)</t>
  </si>
  <si>
    <t>Car, delivery &amp; travel</t>
  </si>
  <si>
    <t>Accounting &amp; legal</t>
  </si>
  <si>
    <t>Rent  (building)</t>
  </si>
  <si>
    <t>Taxes ( sales, real estate, etc…)</t>
  </si>
  <si>
    <t>Credit Card</t>
  </si>
  <si>
    <t>Other -- Savings</t>
  </si>
  <si>
    <t>Other --Putnam Ford</t>
  </si>
  <si>
    <t>Owner Withdrawals</t>
  </si>
  <si>
    <t xml:space="preserve">Supplies (office &amp; postage) </t>
  </si>
  <si>
    <t>Jan. 2002</t>
  </si>
  <si>
    <t>Jan. 2003</t>
  </si>
  <si>
    <t>Jan. 2004</t>
  </si>
  <si>
    <t>Jan. 2005</t>
  </si>
  <si>
    <t>Repairs and maintenance</t>
  </si>
  <si>
    <t>Income Statement  (projected for 2002)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</si>
  <si>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</si>
  <si>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</si>
  <si>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</si>
  <si>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</si>
  <si>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</si>
  <si>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</si>
  <si>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</si>
  <si>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</si>
  <si>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</si>
  <si>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</si>
  <si>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</si>
  <si>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</si>
  <si>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 xml:space="preserve">Cost of Goods Sold </t>
  </si>
  <si>
    <t>Beginning January 2002</t>
  </si>
  <si>
    <t>Jan. 2006</t>
  </si>
  <si>
    <t>outside services</t>
  </si>
  <si>
    <t>Estimate of Break-Even Point</t>
  </si>
  <si>
    <t>COGS %</t>
  </si>
  <si>
    <t>Enter COGS %</t>
  </si>
  <si>
    <t xml:space="preserve">Operating </t>
  </si>
  <si>
    <t xml:space="preserve">Annual </t>
  </si>
  <si>
    <t>Sales</t>
  </si>
  <si>
    <t>Gross</t>
  </si>
  <si>
    <t>Profit</t>
  </si>
  <si>
    <t>NIBT</t>
  </si>
  <si>
    <t>BEP, $ of</t>
  </si>
  <si>
    <t>Operating Expenses:</t>
  </si>
  <si>
    <t>From Income Statement:</t>
  </si>
  <si>
    <t>Less Depreciation:</t>
  </si>
  <si>
    <t>Plus Principal Payments:</t>
  </si>
  <si>
    <t>Total:</t>
  </si>
  <si>
    <t>Operating Expense divided by the Gross Profit % = BEP</t>
  </si>
  <si>
    <t>divided by</t>
  </si>
  <si>
    <t>=</t>
  </si>
  <si>
    <t>(Use decimal point when entering %)</t>
  </si>
  <si>
    <t xml:space="preserve">Name:   </t>
  </si>
  <si>
    <t xml:space="preserve">Date:  </t>
  </si>
  <si>
    <t>Enter desired range of sales under Annual Sales column.</t>
  </si>
  <si>
    <t xml:space="preserve">Enter operating expenses </t>
  </si>
  <si>
    <t>Enter depreciation</t>
  </si>
  <si>
    <t>Enter principal payments</t>
  </si>
  <si>
    <t>**(Do not input information in shaded areas)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</si>
</sst>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b/>
      <u/>
      <sz val="10"/>
      <name val="Arial"/>
      <family val="2"/>
    </font>
    <font>
      <u val="singleAccounting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darkGray">
        <fgColor indexed="43"/>
        <bgColor indexed="35"/>
      </patternFill>
    </fill>
    <fill>
      <patternFill patternType="darkGray">
        <fgColor indexed="13"/>
        <bgColor indexed="3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9" fontId="7" fillId="0" borderId="0" xfId="2" applyFont="1"/>
    <xf numFmtId="0" fontId="1" fillId="0" borderId="0" xfId="0" applyFont="1"/>
    <xf numFmtId="0" fontId="6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170" fontId="0" fillId="0" borderId="0" xfId="1" applyFont="1"/>
    <xf numFmtId="170" fontId="0" fillId="0" borderId="0" xfId="0" applyNumberForma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NumberFormat="1" applyFont="1" applyAlignment="1">
      <alignment horizontal="center"/>
    </xf>
    <xf numFmtId="9" fontId="2" fillId="0" borderId="0" xfId="0" applyNumberFormat="1" applyFon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8" fontId="0" fillId="0" borderId="0" xfId="0" applyNumberFormat="1"/>
    <xf numFmtId="38" fontId="0" fillId="3" borderId="0" xfId="0" applyNumberFormat="1" applyFill="1"/>
    <xf numFmtId="10" fontId="0" fillId="2" borderId="0" xfId="0" applyNumberFormat="1" applyFill="1"/>
    <xf numFmtId="3" fontId="0" fillId="0" borderId="1" xfId="0" applyNumberFormat="1" applyBorder="1"/>
    <xf numFmtId="3" fontId="10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9231BC03-AAC1-4413-ADE9-8D37941CA2AD}"/>
            </a:ext>
          </a:extLst>
        </xdr:cNvPr>
        <xdr:cNvSpPr>
          <a:spLocks noChangeShapeType="1"/>
        </xdr:cNvSpPr>
      </xdr:nvSpPr>
      <xdr:spPr bwMode="auto">
        <a:xfrm>
          <a:off x="889000" y="825500"/>
          <a:ext cx="889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139700</xdr:colOff>
      <xdr:row>25</xdr:row>
      <xdr:rowOff>88900</xdr:rowOff>
    </xdr:from>
    <xdr:to>
      <xdr:col>3</xdr:col>
      <xdr:colOff>869950</xdr:colOff>
      <xdr:row>25</xdr:row>
      <xdr:rowOff>88900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C999015E-BBA4-401C-B329-DF4DE77332BD}"/>
            </a:ext>
          </a:extLst>
        </xdr:cNvPr>
        <xdr:cNvSpPr>
          <a:spLocks noChangeShapeType="1"/>
        </xdr:cNvSpPr>
      </xdr:nvSpPr>
      <xdr:spPr bwMode="auto">
        <a:xfrm>
          <a:off x="2806700" y="4121150"/>
          <a:ext cx="730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51</xdr:row>
      <xdr:rowOff>57150</xdr:rowOff>
    </xdr:from>
    <xdr:to>
      <xdr:col>7</xdr:col>
      <xdr:colOff>222250</xdr:colOff>
      <xdr:row>51</xdr:row>
      <xdr:rowOff>57150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AB85227B-CA03-43C3-A562-973A8251F80F}"/>
            </a:ext>
          </a:extLst>
        </xdr:cNvPr>
        <xdr:cNvSpPr>
          <a:spLocks noChangeShapeType="1"/>
        </xdr:cNvSpPr>
      </xdr:nvSpPr>
      <xdr:spPr bwMode="auto">
        <a:xfrm>
          <a:off x="5467350" y="82804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51</xdr:row>
      <xdr:rowOff>57150</xdr:rowOff>
    </xdr:from>
    <xdr:to>
      <xdr:col>7</xdr:col>
      <xdr:colOff>222250</xdr:colOff>
      <xdr:row>51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EC5E6991-029B-4E95-9CB1-A02F771AE266}"/>
            </a:ext>
          </a:extLst>
        </xdr:cNvPr>
        <xdr:cNvSpPr>
          <a:spLocks noChangeShapeType="1"/>
        </xdr:cNvSpPr>
      </xdr:nvSpPr>
      <xdr:spPr bwMode="auto">
        <a:xfrm>
          <a:off x="5467350" y="82804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52</xdr:row>
      <xdr:rowOff>57150</xdr:rowOff>
    </xdr:from>
    <xdr:to>
      <xdr:col>7</xdr:col>
      <xdr:colOff>222250</xdr:colOff>
      <xdr:row>52</xdr:row>
      <xdr:rowOff>57150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9E28B1CD-26CB-4E4E-B102-B1F7252C15DD}"/>
            </a:ext>
          </a:extLst>
        </xdr:cNvPr>
        <xdr:cNvSpPr>
          <a:spLocks noChangeShapeType="1"/>
        </xdr:cNvSpPr>
      </xdr:nvSpPr>
      <xdr:spPr bwMode="auto">
        <a:xfrm>
          <a:off x="5467350" y="843915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139700</xdr:colOff>
      <xdr:row>26</xdr:row>
      <xdr:rowOff>88900</xdr:rowOff>
    </xdr:from>
    <xdr:to>
      <xdr:col>3</xdr:col>
      <xdr:colOff>857250</xdr:colOff>
      <xdr:row>26</xdr:row>
      <xdr:rowOff>88900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A1400B4-6461-4EE6-9643-404091DC68F4}"/>
            </a:ext>
          </a:extLst>
        </xdr:cNvPr>
        <xdr:cNvSpPr>
          <a:spLocks noChangeShapeType="1"/>
        </xdr:cNvSpPr>
      </xdr:nvSpPr>
      <xdr:spPr bwMode="auto">
        <a:xfrm>
          <a:off x="2806700" y="4292600"/>
          <a:ext cx="71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139700</xdr:colOff>
      <xdr:row>27</xdr:row>
      <xdr:rowOff>95250</xdr:rowOff>
    </xdr:from>
    <xdr:to>
      <xdr:col>3</xdr:col>
      <xdr:colOff>838200</xdr:colOff>
      <xdr:row>27</xdr:row>
      <xdr:rowOff>95250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A0ED0EA0-B4D2-48C0-A43C-BBD3F067D3A5}"/>
            </a:ext>
          </a:extLst>
        </xdr:cNvPr>
        <xdr:cNvSpPr>
          <a:spLocks noChangeShapeType="1"/>
        </xdr:cNvSpPr>
      </xdr:nvSpPr>
      <xdr:spPr bwMode="auto">
        <a:xfrm flipH="1">
          <a:off x="2806700" y="44704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B39" sqref="B39:M39"/>
    </sheetView>
  </sheetViews>
  <sheetFormatPr defaultRowHeight="12.5" x14ac:dyDescent="0.25"/>
  <cols>
    <col min="1" max="1" width="30.26953125" bestFit="1" customWidth="1"/>
  </cols>
  <sheetData>
    <row r="1" spans="1:14" ht="15.5" x14ac:dyDescent="0.35">
      <c r="A1" s="7" t="s">
        <v>205</v>
      </c>
      <c r="J1" s="8"/>
    </row>
    <row r="2" spans="1:14" ht="13" x14ac:dyDescent="0.3">
      <c r="B2" s="8" t="s">
        <v>206</v>
      </c>
      <c r="C2" s="8" t="s">
        <v>207</v>
      </c>
      <c r="D2" s="8" t="s">
        <v>208</v>
      </c>
      <c r="E2" s="8" t="s">
        <v>209</v>
      </c>
      <c r="F2" s="8" t="s">
        <v>210</v>
      </c>
      <c r="G2" s="8" t="s">
        <v>211</v>
      </c>
      <c r="H2" s="8" t="s">
        <v>212</v>
      </c>
      <c r="I2" s="8" t="s">
        <v>213</v>
      </c>
      <c r="J2" s="8" t="s">
        <v>214</v>
      </c>
      <c r="K2" s="8" t="s">
        <v>215</v>
      </c>
      <c r="L2" s="8" t="s">
        <v>216</v>
      </c>
      <c r="M2" s="8" t="s">
        <v>217</v>
      </c>
      <c r="N2" s="12" t="s">
        <v>100</v>
      </c>
    </row>
    <row r="3" spans="1:14" ht="13" x14ac:dyDescent="0.3">
      <c r="A3" s="1" t="s">
        <v>46</v>
      </c>
    </row>
    <row r="4" spans="1:14" x14ac:dyDescent="0.25">
      <c r="N4">
        <f>SUM(B4:M4)</f>
        <v>0</v>
      </c>
    </row>
    <row r="5" spans="1:14" x14ac:dyDescent="0.25">
      <c r="N5">
        <f>SUM(B5:M5)</f>
        <v>0</v>
      </c>
    </row>
    <row r="6" spans="1:14" x14ac:dyDescent="0.25">
      <c r="N6">
        <f>SUM(B6:M6)</f>
        <v>0</v>
      </c>
    </row>
    <row r="7" spans="1:14" ht="13" x14ac:dyDescent="0.3">
      <c r="A7" s="8" t="s">
        <v>47</v>
      </c>
      <c r="B7">
        <f t="shared" ref="B7:M7" si="0">SUM(B4:B6)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>SUM(B7:M7)</f>
        <v>0</v>
      </c>
    </row>
    <row r="8" spans="1:14" ht="13" x14ac:dyDescent="0.3">
      <c r="A8" s="8"/>
    </row>
    <row r="9" spans="1:14" x14ac:dyDescent="0.25">
      <c r="A9" t="s">
        <v>218</v>
      </c>
      <c r="N9">
        <f>SUM(B9:M9)</f>
        <v>0</v>
      </c>
    </row>
    <row r="10" spans="1:14" ht="13" x14ac:dyDescent="0.3">
      <c r="A10" s="8" t="s">
        <v>48</v>
      </c>
      <c r="B10">
        <f t="shared" ref="B10:N10" si="1">SUM(B9:B9)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0</v>
      </c>
    </row>
    <row r="11" spans="1:14" ht="13" x14ac:dyDescent="0.3">
      <c r="A11" s="9" t="s">
        <v>49</v>
      </c>
      <c r="B11" s="10" t="e">
        <f t="shared" ref="B11:N11" si="2">B10/B7</f>
        <v>#DIV/0!</v>
      </c>
      <c r="C11" s="10" t="e">
        <f t="shared" si="2"/>
        <v>#DIV/0!</v>
      </c>
      <c r="D11" s="10" t="e">
        <f t="shared" si="2"/>
        <v>#DIV/0!</v>
      </c>
      <c r="E11" s="10" t="e">
        <f t="shared" si="2"/>
        <v>#DIV/0!</v>
      </c>
      <c r="F11" s="10" t="e">
        <f t="shared" si="2"/>
        <v>#DIV/0!</v>
      </c>
      <c r="G11" s="10" t="e">
        <f t="shared" si="2"/>
        <v>#DIV/0!</v>
      </c>
      <c r="H11" s="10" t="e">
        <f t="shared" si="2"/>
        <v>#DIV/0!</v>
      </c>
      <c r="I11" s="10" t="e">
        <f t="shared" si="2"/>
        <v>#DIV/0!</v>
      </c>
      <c r="J11" s="10" t="e">
        <f t="shared" si="2"/>
        <v>#DIV/0!</v>
      </c>
      <c r="K11" s="10" t="e">
        <f t="shared" si="2"/>
        <v>#DIV/0!</v>
      </c>
      <c r="L11" s="10" t="e">
        <f t="shared" si="2"/>
        <v>#DIV/0!</v>
      </c>
      <c r="M11" s="10" t="e">
        <f t="shared" si="2"/>
        <v>#DIV/0!</v>
      </c>
      <c r="N11" s="10" t="e">
        <f t="shared" si="2"/>
        <v>#DIV/0!</v>
      </c>
    </row>
    <row r="12" spans="1:14" ht="13" x14ac:dyDescent="0.3">
      <c r="A12" s="8"/>
    </row>
    <row r="13" spans="1:14" ht="13" x14ac:dyDescent="0.3">
      <c r="A13" s="8" t="s">
        <v>50</v>
      </c>
      <c r="B13">
        <f t="shared" ref="B13:N13" si="3">SUM(B7-B10)</f>
        <v>0</v>
      </c>
      <c r="C13">
        <f t="shared" si="3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</row>
    <row r="14" spans="1:14" ht="13" x14ac:dyDescent="0.3">
      <c r="A14" s="9" t="s">
        <v>49</v>
      </c>
      <c r="B14" s="10" t="e">
        <f t="shared" ref="B14:N14" si="4">B13/B7</f>
        <v>#DIV/0!</v>
      </c>
      <c r="C14" s="10" t="e">
        <f t="shared" si="4"/>
        <v>#DIV/0!</v>
      </c>
      <c r="D14" s="10" t="e">
        <f t="shared" si="4"/>
        <v>#DIV/0!</v>
      </c>
      <c r="E14" s="10" t="e">
        <f t="shared" si="4"/>
        <v>#DIV/0!</v>
      </c>
      <c r="F14" s="10" t="e">
        <f t="shared" si="4"/>
        <v>#DIV/0!</v>
      </c>
      <c r="G14" s="10" t="e">
        <f t="shared" si="4"/>
        <v>#DIV/0!</v>
      </c>
      <c r="H14" s="10" t="e">
        <f t="shared" si="4"/>
        <v>#DIV/0!</v>
      </c>
      <c r="I14" s="10" t="e">
        <f t="shared" si="4"/>
        <v>#DIV/0!</v>
      </c>
      <c r="J14" s="10" t="e">
        <f t="shared" si="4"/>
        <v>#DIV/0!</v>
      </c>
      <c r="K14" s="10" t="e">
        <f t="shared" si="4"/>
        <v>#DIV/0!</v>
      </c>
      <c r="L14" s="10" t="e">
        <f t="shared" si="4"/>
        <v>#DIV/0!</v>
      </c>
      <c r="M14" s="10" t="e">
        <f t="shared" si="4"/>
        <v>#DIV/0!</v>
      </c>
      <c r="N14" s="10" t="e">
        <f t="shared" si="4"/>
        <v>#DIV/0!</v>
      </c>
    </row>
    <row r="15" spans="1:14" ht="13" x14ac:dyDescent="0.3">
      <c r="A15" s="8"/>
    </row>
    <row r="16" spans="1:14" ht="13" x14ac:dyDescent="0.3">
      <c r="A16" s="8" t="s">
        <v>51</v>
      </c>
    </row>
    <row r="17" spans="1:14" x14ac:dyDescent="0.25">
      <c r="A17" s="5" t="s">
        <v>187</v>
      </c>
      <c r="N17">
        <f t="shared" ref="N17:N30" si="5">SUM(B17:M17)</f>
        <v>0</v>
      </c>
    </row>
    <row r="18" spans="1:14" x14ac:dyDescent="0.25">
      <c r="A18" s="5" t="s">
        <v>188</v>
      </c>
      <c r="N18">
        <f>SUM(B18:M18)</f>
        <v>0</v>
      </c>
    </row>
    <row r="19" spans="1:14" x14ac:dyDescent="0.25">
      <c r="A19" s="5" t="s">
        <v>189</v>
      </c>
      <c r="N19">
        <f t="shared" si="5"/>
        <v>0</v>
      </c>
    </row>
    <row r="20" spans="1:14" x14ac:dyDescent="0.25">
      <c r="A20" t="s">
        <v>199</v>
      </c>
      <c r="N20">
        <f t="shared" si="5"/>
        <v>0</v>
      </c>
    </row>
    <row r="21" spans="1:14" x14ac:dyDescent="0.25">
      <c r="A21" t="s">
        <v>204</v>
      </c>
      <c r="N21">
        <f t="shared" si="5"/>
        <v>0</v>
      </c>
    </row>
    <row r="22" spans="1:14" x14ac:dyDescent="0.25">
      <c r="A22" t="s">
        <v>107</v>
      </c>
      <c r="N22">
        <f t="shared" si="5"/>
        <v>0</v>
      </c>
    </row>
    <row r="23" spans="1:14" x14ac:dyDescent="0.25">
      <c r="A23" t="s">
        <v>191</v>
      </c>
      <c r="N23">
        <f t="shared" si="5"/>
        <v>0</v>
      </c>
    </row>
    <row r="24" spans="1:14" x14ac:dyDescent="0.25">
      <c r="A24" t="s">
        <v>192</v>
      </c>
      <c r="N24">
        <f t="shared" si="5"/>
        <v>0</v>
      </c>
    </row>
    <row r="25" spans="1:14" x14ac:dyDescent="0.25">
      <c r="A25" t="s">
        <v>193</v>
      </c>
      <c r="N25">
        <f t="shared" si="5"/>
        <v>0</v>
      </c>
    </row>
    <row r="26" spans="1:14" x14ac:dyDescent="0.25">
      <c r="A26" t="s">
        <v>109</v>
      </c>
      <c r="N26">
        <f t="shared" si="5"/>
        <v>0</v>
      </c>
    </row>
    <row r="27" spans="1:14" x14ac:dyDescent="0.25">
      <c r="A27" t="s">
        <v>110</v>
      </c>
      <c r="N27">
        <f t="shared" si="5"/>
        <v>0</v>
      </c>
    </row>
    <row r="28" spans="1:14" x14ac:dyDescent="0.25">
      <c r="A28" t="s">
        <v>108</v>
      </c>
      <c r="N28">
        <f t="shared" si="5"/>
        <v>0</v>
      </c>
    </row>
    <row r="29" spans="1:14" x14ac:dyDescent="0.25">
      <c r="A29" t="s">
        <v>194</v>
      </c>
      <c r="N29">
        <f t="shared" si="5"/>
        <v>0</v>
      </c>
    </row>
    <row r="30" spans="1:14" x14ac:dyDescent="0.25">
      <c r="A30" t="s">
        <v>111</v>
      </c>
      <c r="N30">
        <f t="shared" si="5"/>
        <v>0</v>
      </c>
    </row>
    <row r="31" spans="1:14" ht="13" x14ac:dyDescent="0.3">
      <c r="A31" s="1" t="s">
        <v>69</v>
      </c>
      <c r="N31">
        <f>SUM(N17:N30)</f>
        <v>0</v>
      </c>
    </row>
    <row r="32" spans="1:14" ht="13" x14ac:dyDescent="0.3">
      <c r="A32" s="10" t="s">
        <v>70</v>
      </c>
      <c r="B32" s="10" t="e">
        <f t="shared" ref="B32:N32" si="6">B31/B7</f>
        <v>#DIV/0!</v>
      </c>
      <c r="C32" s="10" t="e">
        <f t="shared" si="6"/>
        <v>#DIV/0!</v>
      </c>
      <c r="D32" s="10" t="e">
        <f t="shared" si="6"/>
        <v>#DIV/0!</v>
      </c>
      <c r="E32" s="10" t="e">
        <f t="shared" si="6"/>
        <v>#DIV/0!</v>
      </c>
      <c r="F32" s="10" t="e">
        <f t="shared" si="6"/>
        <v>#DIV/0!</v>
      </c>
      <c r="G32" s="10" t="e">
        <f t="shared" si="6"/>
        <v>#DIV/0!</v>
      </c>
      <c r="H32" s="10" t="e">
        <f t="shared" si="6"/>
        <v>#DIV/0!</v>
      </c>
      <c r="I32" s="10" t="e">
        <f t="shared" si="6"/>
        <v>#DIV/0!</v>
      </c>
      <c r="J32" s="10" t="e">
        <f t="shared" si="6"/>
        <v>#DIV/0!</v>
      </c>
      <c r="K32" s="10" t="e">
        <f t="shared" si="6"/>
        <v>#DIV/0!</v>
      </c>
      <c r="L32" s="10" t="e">
        <f t="shared" si="6"/>
        <v>#DIV/0!</v>
      </c>
      <c r="M32" s="10" t="e">
        <f t="shared" si="6"/>
        <v>#DIV/0!</v>
      </c>
      <c r="N32" s="10" t="e">
        <f t="shared" si="6"/>
        <v>#DIV/0!</v>
      </c>
    </row>
    <row r="33" spans="1:14" ht="13" x14ac:dyDescent="0.3">
      <c r="A33" s="8" t="s">
        <v>71</v>
      </c>
      <c r="B33">
        <f t="shared" ref="B33:N33" si="7">SUM(B13-B31)</f>
        <v>0</v>
      </c>
      <c r="C33">
        <f t="shared" si="7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7"/>
        <v>0</v>
      </c>
      <c r="I33">
        <f t="shared" si="7"/>
        <v>0</v>
      </c>
      <c r="J33">
        <f t="shared" si="7"/>
        <v>0</v>
      </c>
      <c r="K33">
        <f t="shared" si="7"/>
        <v>0</v>
      </c>
      <c r="L33">
        <f t="shared" si="7"/>
        <v>0</v>
      </c>
      <c r="M33">
        <f t="shared" si="7"/>
        <v>0</v>
      </c>
      <c r="N33">
        <f t="shared" si="7"/>
        <v>0</v>
      </c>
    </row>
    <row r="34" spans="1:14" ht="13" x14ac:dyDescent="0.3">
      <c r="A34" s="10" t="s">
        <v>49</v>
      </c>
      <c r="B34" s="10" t="e">
        <f t="shared" ref="B34:N34" si="8">B33/B7</f>
        <v>#DIV/0!</v>
      </c>
      <c r="C34" s="10" t="e">
        <f t="shared" si="8"/>
        <v>#DIV/0!</v>
      </c>
      <c r="D34" s="10" t="e">
        <f t="shared" si="8"/>
        <v>#DIV/0!</v>
      </c>
      <c r="E34" s="10" t="e">
        <f t="shared" si="8"/>
        <v>#DIV/0!</v>
      </c>
      <c r="F34" s="10" t="e">
        <f t="shared" si="8"/>
        <v>#DIV/0!</v>
      </c>
      <c r="G34" s="10" t="e">
        <f t="shared" si="8"/>
        <v>#DIV/0!</v>
      </c>
      <c r="H34" s="10" t="e">
        <f t="shared" si="8"/>
        <v>#DIV/0!</v>
      </c>
      <c r="I34" s="10" t="e">
        <f t="shared" si="8"/>
        <v>#DIV/0!</v>
      </c>
      <c r="J34" s="10" t="e">
        <f t="shared" si="8"/>
        <v>#DIV/0!</v>
      </c>
      <c r="K34" s="10" t="e">
        <f t="shared" si="8"/>
        <v>#DIV/0!</v>
      </c>
      <c r="L34" s="10" t="e">
        <f t="shared" si="8"/>
        <v>#DIV/0!</v>
      </c>
      <c r="M34" s="10" t="e">
        <f t="shared" si="8"/>
        <v>#DIV/0!</v>
      </c>
      <c r="N34" s="10" t="e">
        <f t="shared" si="8"/>
        <v>#DIV/0!</v>
      </c>
    </row>
    <row r="35" spans="1:14" ht="13" x14ac:dyDescent="0.3">
      <c r="A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t="s">
        <v>72</v>
      </c>
      <c r="N36">
        <f>SUM(B36:M36)</f>
        <v>0</v>
      </c>
    </row>
    <row r="37" spans="1:14" x14ac:dyDescent="0.25">
      <c r="A37" t="s">
        <v>73</v>
      </c>
      <c r="N37">
        <f>SUM(B37:M37)</f>
        <v>0</v>
      </c>
    </row>
    <row r="38" spans="1:14" ht="13" x14ac:dyDescent="0.3">
      <c r="A38" s="1" t="s">
        <v>74</v>
      </c>
      <c r="B38">
        <f>SUM(B33+B36-B37)</f>
        <v>0</v>
      </c>
      <c r="C38">
        <f t="shared" ref="C38:M38" si="9">SUM(C33+C36-C37)</f>
        <v>0</v>
      </c>
      <c r="D38">
        <f t="shared" si="9"/>
        <v>0</v>
      </c>
      <c r="E38">
        <f t="shared" si="9"/>
        <v>0</v>
      </c>
      <c r="F38">
        <f t="shared" si="9"/>
        <v>0</v>
      </c>
      <c r="G38">
        <f t="shared" si="9"/>
        <v>0</v>
      </c>
      <c r="H38">
        <f t="shared" si="9"/>
        <v>0</v>
      </c>
      <c r="I38">
        <f t="shared" si="9"/>
        <v>0</v>
      </c>
      <c r="J38">
        <f t="shared" si="9"/>
        <v>0</v>
      </c>
      <c r="K38">
        <f t="shared" si="9"/>
        <v>0</v>
      </c>
      <c r="L38">
        <f t="shared" si="9"/>
        <v>0</v>
      </c>
      <c r="M38">
        <f t="shared" si="9"/>
        <v>0</v>
      </c>
      <c r="N38">
        <f>SUM(B38:M38)</f>
        <v>0</v>
      </c>
    </row>
    <row r="39" spans="1:14" x14ac:dyDescent="0.25">
      <c r="A39" t="s">
        <v>75</v>
      </c>
      <c r="N39">
        <f>SUM(B39:M39)</f>
        <v>0</v>
      </c>
    </row>
    <row r="40" spans="1:14" ht="13" x14ac:dyDescent="0.3">
      <c r="A40" s="8" t="s">
        <v>76</v>
      </c>
      <c r="B40">
        <f t="shared" ref="B40:M40" si="10">SUM(B38-B39)</f>
        <v>0</v>
      </c>
      <c r="C40">
        <f t="shared" si="10"/>
        <v>0</v>
      </c>
      <c r="D40">
        <f t="shared" si="10"/>
        <v>0</v>
      </c>
      <c r="E40">
        <f t="shared" si="10"/>
        <v>0</v>
      </c>
      <c r="F40">
        <f t="shared" si="10"/>
        <v>0</v>
      </c>
      <c r="G40">
        <f t="shared" si="10"/>
        <v>0</v>
      </c>
      <c r="H40">
        <f t="shared" si="10"/>
        <v>0</v>
      </c>
      <c r="I40">
        <f t="shared" si="10"/>
        <v>0</v>
      </c>
      <c r="J40">
        <f t="shared" si="10"/>
        <v>0</v>
      </c>
      <c r="K40">
        <f t="shared" si="10"/>
        <v>0</v>
      </c>
      <c r="L40">
        <f t="shared" si="10"/>
        <v>0</v>
      </c>
      <c r="M40">
        <f t="shared" si="10"/>
        <v>0</v>
      </c>
      <c r="N40">
        <f>SUM(B40:M40)</f>
        <v>0</v>
      </c>
    </row>
    <row r="41" spans="1:14" ht="13" x14ac:dyDescent="0.3">
      <c r="A41" s="10" t="s">
        <v>49</v>
      </c>
      <c r="B41" s="10" t="e">
        <f t="shared" ref="B41:N41" si="11">B40/B7</f>
        <v>#DIV/0!</v>
      </c>
      <c r="C41" s="10" t="e">
        <f t="shared" si="11"/>
        <v>#DIV/0!</v>
      </c>
      <c r="D41" s="10" t="e">
        <f t="shared" si="11"/>
        <v>#DIV/0!</v>
      </c>
      <c r="E41" s="10" t="e">
        <f t="shared" si="11"/>
        <v>#DIV/0!</v>
      </c>
      <c r="F41" s="10" t="e">
        <f t="shared" si="11"/>
        <v>#DIV/0!</v>
      </c>
      <c r="G41" s="10" t="e">
        <f t="shared" si="11"/>
        <v>#DIV/0!</v>
      </c>
      <c r="H41" s="10" t="e">
        <f t="shared" si="11"/>
        <v>#DIV/0!</v>
      </c>
      <c r="I41" s="10" t="e">
        <f t="shared" si="11"/>
        <v>#DIV/0!</v>
      </c>
      <c r="J41" s="10" t="e">
        <f t="shared" si="11"/>
        <v>#DIV/0!</v>
      </c>
      <c r="K41" s="10" t="e">
        <f t="shared" si="11"/>
        <v>#DIV/0!</v>
      </c>
      <c r="L41" s="10" t="e">
        <f t="shared" si="11"/>
        <v>#DIV/0!</v>
      </c>
      <c r="M41" s="10" t="e">
        <f t="shared" si="11"/>
        <v>#DIV/0!</v>
      </c>
      <c r="N41" s="10" t="e">
        <f t="shared" si="11"/>
        <v>#DIV/0!</v>
      </c>
    </row>
  </sheetData>
  <phoneticPr fontId="0" type="noConversion"/>
  <pageMargins left="1" right="1" top="1" bottom="1" header="0.5" footer="0.5"/>
  <pageSetup paperSize="5" scale="9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>
      <selection activeCell="B45" sqref="B45"/>
    </sheetView>
  </sheetViews>
  <sheetFormatPr defaultRowHeight="12.5" x14ac:dyDescent="0.25"/>
  <cols>
    <col min="1" max="1" width="36.26953125" bestFit="1" customWidth="1"/>
    <col min="2" max="13" width="8.7265625" customWidth="1"/>
    <col min="14" max="14" width="14.54296875" customWidth="1"/>
  </cols>
  <sheetData>
    <row r="1" spans="1:14" ht="15.5" x14ac:dyDescent="0.35">
      <c r="A1" s="7" t="s">
        <v>183</v>
      </c>
      <c r="B1" s="19" t="s">
        <v>219</v>
      </c>
      <c r="J1" s="8"/>
    </row>
    <row r="2" spans="1:14" ht="13" x14ac:dyDescent="0.3">
      <c r="B2" s="12" t="s">
        <v>171</v>
      </c>
      <c r="C2" s="12" t="s">
        <v>172</v>
      </c>
      <c r="D2" s="12" t="s">
        <v>173</v>
      </c>
      <c r="E2" s="12" t="s">
        <v>174</v>
      </c>
      <c r="F2" s="12" t="s">
        <v>175</v>
      </c>
      <c r="G2" s="12" t="s">
        <v>176</v>
      </c>
      <c r="H2" s="12" t="s">
        <v>177</v>
      </c>
      <c r="I2" s="12" t="s">
        <v>178</v>
      </c>
      <c r="J2" s="12" t="s">
        <v>179</v>
      </c>
      <c r="K2" s="12" t="s">
        <v>180</v>
      </c>
      <c r="L2" s="12" t="s">
        <v>181</v>
      </c>
      <c r="M2" s="12" t="s">
        <v>182</v>
      </c>
      <c r="N2" s="12" t="s">
        <v>100</v>
      </c>
    </row>
    <row r="3" spans="1:14" ht="13" x14ac:dyDescent="0.3">
      <c r="A3" s="8" t="s">
        <v>77</v>
      </c>
      <c r="C3">
        <f t="shared" ref="C3:M3" si="0">B42</f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>B3</f>
        <v>0</v>
      </c>
    </row>
    <row r="4" spans="1:14" ht="13" x14ac:dyDescent="0.3">
      <c r="A4" s="1" t="s">
        <v>78</v>
      </c>
    </row>
    <row r="5" spans="1:14" x14ac:dyDescent="0.25">
      <c r="N5">
        <f>SUM(B5:M5)</f>
        <v>0</v>
      </c>
    </row>
    <row r="6" spans="1:14" x14ac:dyDescent="0.25">
      <c r="N6">
        <f>SUM(B6:M6)</f>
        <v>0</v>
      </c>
    </row>
    <row r="7" spans="1:14" x14ac:dyDescent="0.25">
      <c r="A7" t="s">
        <v>79</v>
      </c>
      <c r="N7">
        <f t="shared" ref="N7:N12" si="1">SUM(B7:M7)</f>
        <v>0</v>
      </c>
    </row>
    <row r="8" spans="1:14" x14ac:dyDescent="0.25">
      <c r="A8" t="s">
        <v>80</v>
      </c>
      <c r="N8">
        <f t="shared" si="1"/>
        <v>0</v>
      </c>
    </row>
    <row r="9" spans="1:14" x14ac:dyDescent="0.25">
      <c r="A9" t="s">
        <v>81</v>
      </c>
    </row>
    <row r="10" spans="1:14" x14ac:dyDescent="0.25">
      <c r="A10" t="s">
        <v>82</v>
      </c>
      <c r="N10">
        <f t="shared" si="1"/>
        <v>0</v>
      </c>
    </row>
    <row r="11" spans="1:14" x14ac:dyDescent="0.25">
      <c r="A11" t="s">
        <v>83</v>
      </c>
      <c r="N11">
        <f t="shared" si="1"/>
        <v>0</v>
      </c>
    </row>
    <row r="12" spans="1:14" ht="13" x14ac:dyDescent="0.3">
      <c r="A12" s="8" t="s">
        <v>84</v>
      </c>
      <c r="B12">
        <f t="shared" ref="B12:M12" si="2">SUM(B5:B11)</f>
        <v>0</v>
      </c>
      <c r="C12">
        <f t="shared" si="2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1"/>
        <v>0</v>
      </c>
    </row>
    <row r="13" spans="1:14" ht="13" x14ac:dyDescent="0.3">
      <c r="A13" s="8" t="s">
        <v>51</v>
      </c>
    </row>
    <row r="14" spans="1:14" x14ac:dyDescent="0.25">
      <c r="A14" s="5" t="s">
        <v>52</v>
      </c>
      <c r="N14">
        <f t="shared" ref="N14:N32" si="3">SUM(B14:M14)</f>
        <v>0</v>
      </c>
    </row>
    <row r="15" spans="1:14" x14ac:dyDescent="0.25">
      <c r="A15" s="5" t="s">
        <v>53</v>
      </c>
    </row>
    <row r="16" spans="1:14" x14ac:dyDescent="0.25">
      <c r="A16" s="5" t="s">
        <v>54</v>
      </c>
      <c r="N16">
        <f>SUM(B16:M16)</f>
        <v>0</v>
      </c>
    </row>
    <row r="17" spans="1:14" x14ac:dyDescent="0.25">
      <c r="A17" t="s">
        <v>55</v>
      </c>
      <c r="N17">
        <f t="shared" si="3"/>
        <v>0</v>
      </c>
    </row>
    <row r="18" spans="1:14" x14ac:dyDescent="0.25">
      <c r="A18" t="s">
        <v>85</v>
      </c>
      <c r="N18">
        <f t="shared" si="3"/>
        <v>0</v>
      </c>
    </row>
    <row r="19" spans="1:14" x14ac:dyDescent="0.25">
      <c r="A19" t="s">
        <v>56</v>
      </c>
      <c r="N19">
        <f t="shared" si="3"/>
        <v>0</v>
      </c>
    </row>
    <row r="20" spans="1:14" x14ac:dyDescent="0.25">
      <c r="A20" t="s">
        <v>184</v>
      </c>
      <c r="N20">
        <f t="shared" si="3"/>
        <v>0</v>
      </c>
    </row>
    <row r="21" spans="1:14" x14ac:dyDescent="0.25">
      <c r="A21" t="s">
        <v>58</v>
      </c>
      <c r="N21">
        <f t="shared" si="3"/>
        <v>0</v>
      </c>
    </row>
    <row r="22" spans="1:14" x14ac:dyDescent="0.25">
      <c r="A22" t="s">
        <v>59</v>
      </c>
      <c r="N22">
        <f t="shared" si="3"/>
        <v>0</v>
      </c>
    </row>
    <row r="23" spans="1:14" x14ac:dyDescent="0.25">
      <c r="A23" t="s">
        <v>61</v>
      </c>
      <c r="N23">
        <f t="shared" si="3"/>
        <v>0</v>
      </c>
    </row>
    <row r="24" spans="1:14" x14ac:dyDescent="0.25">
      <c r="A24" t="s">
        <v>62</v>
      </c>
      <c r="N24">
        <f t="shared" si="3"/>
        <v>0</v>
      </c>
    </row>
    <row r="25" spans="1:14" x14ac:dyDescent="0.25">
      <c r="A25" t="s">
        <v>185</v>
      </c>
      <c r="N25">
        <f t="shared" si="3"/>
        <v>0</v>
      </c>
    </row>
    <row r="26" spans="1:14" x14ac:dyDescent="0.25">
      <c r="A26" t="s">
        <v>64</v>
      </c>
      <c r="N26">
        <f t="shared" si="3"/>
        <v>0</v>
      </c>
    </row>
    <row r="27" spans="1:14" x14ac:dyDescent="0.25">
      <c r="A27" t="s">
        <v>65</v>
      </c>
      <c r="N27">
        <f t="shared" si="3"/>
        <v>0</v>
      </c>
    </row>
    <row r="28" spans="1:14" x14ac:dyDescent="0.25">
      <c r="A28" t="s">
        <v>66</v>
      </c>
      <c r="N28">
        <f t="shared" si="3"/>
        <v>0</v>
      </c>
    </row>
    <row r="29" spans="1:14" x14ac:dyDescent="0.25">
      <c r="A29" t="s">
        <v>67</v>
      </c>
      <c r="N29">
        <f t="shared" si="3"/>
        <v>0</v>
      </c>
    </row>
    <row r="30" spans="1:14" x14ac:dyDescent="0.25">
      <c r="A30" t="s">
        <v>221</v>
      </c>
      <c r="N30">
        <f t="shared" si="3"/>
        <v>0</v>
      </c>
    </row>
    <row r="31" spans="1:14" x14ac:dyDescent="0.25">
      <c r="A31" t="s">
        <v>68</v>
      </c>
      <c r="N31">
        <f t="shared" si="3"/>
        <v>0</v>
      </c>
    </row>
    <row r="32" spans="1:14" x14ac:dyDescent="0.25">
      <c r="N32">
        <f t="shared" si="3"/>
        <v>0</v>
      </c>
    </row>
    <row r="33" spans="1:14" ht="13" x14ac:dyDescent="0.3">
      <c r="A33" s="1" t="s">
        <v>86</v>
      </c>
      <c r="B33">
        <f t="shared" ref="B33:M33" si="4">SUM(B14:B32)</f>
        <v>0</v>
      </c>
      <c r="C33">
        <f t="shared" si="4"/>
        <v>0</v>
      </c>
      <c r="D33">
        <f t="shared" si="4"/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>SUM(B33:M33)</f>
        <v>0</v>
      </c>
    </row>
    <row r="34" spans="1:14" ht="13" x14ac:dyDescent="0.3">
      <c r="A34" s="8" t="s">
        <v>87</v>
      </c>
      <c r="B34">
        <f t="shared" ref="B34:M34" si="5">SUM(B12-B33)</f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>SUM(B34:M34)</f>
        <v>0</v>
      </c>
    </row>
    <row r="35" spans="1:14" ht="13" x14ac:dyDescent="0.3">
      <c r="A35" s="8" t="s">
        <v>88</v>
      </c>
    </row>
    <row r="36" spans="1:14" x14ac:dyDescent="0.25">
      <c r="A36" s="11" t="s">
        <v>89</v>
      </c>
      <c r="N36">
        <f>SUM(B36:M36)</f>
        <v>0</v>
      </c>
    </row>
    <row r="37" spans="1:14" x14ac:dyDescent="0.25">
      <c r="A37" t="s">
        <v>186</v>
      </c>
      <c r="N37">
        <f>SUM(B37:M37)</f>
        <v>0</v>
      </c>
    </row>
    <row r="38" spans="1:14" x14ac:dyDescent="0.25">
      <c r="A38" t="s">
        <v>90</v>
      </c>
      <c r="N38">
        <f>SUM(B38:M38)</f>
        <v>0</v>
      </c>
    </row>
    <row r="39" spans="1:14" x14ac:dyDescent="0.25">
      <c r="A39" t="s">
        <v>91</v>
      </c>
    </row>
    <row r="40" spans="1:14" x14ac:dyDescent="0.25">
      <c r="A40" t="s">
        <v>92</v>
      </c>
      <c r="N40">
        <f>SUM(B40:M40)</f>
        <v>0</v>
      </c>
    </row>
    <row r="41" spans="1:14" ht="13" x14ac:dyDescent="0.3">
      <c r="A41" s="8" t="s">
        <v>93</v>
      </c>
      <c r="B41">
        <f>SUM(B34-B36-B37-B38-B39-B40)</f>
        <v>0</v>
      </c>
      <c r="C41">
        <f t="shared" ref="C41:M41" si="6">SUM(C34-C36-C37-C38-C40)</f>
        <v>0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>SUM(H34-H36-H37-H38+H39-H40)</f>
        <v>0</v>
      </c>
      <c r="I41">
        <f t="shared" si="6"/>
        <v>0</v>
      </c>
      <c r="J41">
        <f t="shared" si="6"/>
        <v>0</v>
      </c>
      <c r="K41">
        <f t="shared" si="6"/>
        <v>0</v>
      </c>
      <c r="L41">
        <f t="shared" si="6"/>
        <v>0</v>
      </c>
      <c r="M41">
        <f t="shared" si="6"/>
        <v>0</v>
      </c>
      <c r="N41">
        <f>SUM(B41:M41)</f>
        <v>0</v>
      </c>
    </row>
    <row r="42" spans="1:14" ht="13" x14ac:dyDescent="0.3">
      <c r="A42" s="8" t="s">
        <v>94</v>
      </c>
      <c r="B42">
        <f t="shared" ref="B42:M42" si="7">SUM(B3,B41)</f>
        <v>0</v>
      </c>
      <c r="C42">
        <f t="shared" si="7"/>
        <v>0</v>
      </c>
      <c r="D42">
        <f t="shared" si="7"/>
        <v>0</v>
      </c>
      <c r="E42">
        <f t="shared" si="7"/>
        <v>0</v>
      </c>
      <c r="F42">
        <f t="shared" si="7"/>
        <v>0</v>
      </c>
      <c r="G42">
        <f t="shared" si="7"/>
        <v>0</v>
      </c>
      <c r="H42">
        <f t="shared" si="7"/>
        <v>0</v>
      </c>
      <c r="I42">
        <f t="shared" si="7"/>
        <v>0</v>
      </c>
      <c r="J42">
        <f t="shared" si="7"/>
        <v>0</v>
      </c>
      <c r="K42">
        <f t="shared" si="7"/>
        <v>0</v>
      </c>
      <c r="L42">
        <f t="shared" si="7"/>
        <v>0</v>
      </c>
      <c r="M42">
        <f t="shared" si="7"/>
        <v>0</v>
      </c>
      <c r="N42">
        <f>SUM(M42)</f>
        <v>0</v>
      </c>
    </row>
    <row r="44" spans="1:14" ht="13" x14ac:dyDescent="0.3">
      <c r="A44" s="8" t="s">
        <v>95</v>
      </c>
      <c r="C44">
        <f>B47</f>
        <v>0</v>
      </c>
      <c r="D44">
        <f>C47</f>
        <v>0</v>
      </c>
      <c r="E44">
        <f>D47</f>
        <v>0</v>
      </c>
      <c r="F44">
        <f t="shared" ref="F44:M44" si="8">E47</f>
        <v>0</v>
      </c>
      <c r="G44">
        <f t="shared" si="8"/>
        <v>0</v>
      </c>
      <c r="H44">
        <f t="shared" si="8"/>
        <v>0</v>
      </c>
      <c r="I44">
        <f t="shared" si="8"/>
        <v>0</v>
      </c>
      <c r="J44">
        <f t="shared" si="8"/>
        <v>0</v>
      </c>
      <c r="K44">
        <f t="shared" si="8"/>
        <v>0</v>
      </c>
      <c r="L44">
        <f t="shared" si="8"/>
        <v>0</v>
      </c>
      <c r="M44">
        <f t="shared" si="8"/>
        <v>0</v>
      </c>
      <c r="N44">
        <f>B44</f>
        <v>0</v>
      </c>
    </row>
    <row r="45" spans="1:14" x14ac:dyDescent="0.25">
      <c r="A45" t="s">
        <v>96</v>
      </c>
      <c r="N45">
        <f>SUM(B45:M45)</f>
        <v>0</v>
      </c>
    </row>
    <row r="46" spans="1:14" x14ac:dyDescent="0.25">
      <c r="A46" t="s">
        <v>97</v>
      </c>
      <c r="N46">
        <f>SUM(B46:M46)</f>
        <v>0</v>
      </c>
    </row>
    <row r="47" spans="1:14" ht="13" x14ac:dyDescent="0.3">
      <c r="A47" s="8" t="s">
        <v>98</v>
      </c>
      <c r="B47">
        <f t="shared" ref="B47:N47" si="9">SUM(B44+B45-B46)</f>
        <v>0</v>
      </c>
      <c r="C47">
        <f t="shared" si="9"/>
        <v>0</v>
      </c>
      <c r="D47">
        <f t="shared" si="9"/>
        <v>0</v>
      </c>
      <c r="E47">
        <f t="shared" si="9"/>
        <v>0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0</v>
      </c>
      <c r="J47">
        <f t="shared" si="9"/>
        <v>0</v>
      </c>
      <c r="K47">
        <f t="shared" si="9"/>
        <v>0</v>
      </c>
      <c r="L47">
        <f t="shared" si="9"/>
        <v>0</v>
      </c>
      <c r="M47">
        <f t="shared" si="9"/>
        <v>0</v>
      </c>
      <c r="N47">
        <f t="shared" si="9"/>
        <v>0</v>
      </c>
    </row>
  </sheetData>
  <phoneticPr fontId="0" type="noConversion"/>
  <printOptions gridLines="1"/>
  <pageMargins left="0.75" right="0.75" top="0.54" bottom="0.54" header="0.33" footer="0.5"/>
  <pageSetup paperSize="5" scale="85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A24" sqref="A24"/>
    </sheetView>
  </sheetViews>
  <sheetFormatPr defaultRowHeight="12.5" x14ac:dyDescent="0.25"/>
  <cols>
    <col min="1" max="1" width="29.81640625" bestFit="1" customWidth="1"/>
  </cols>
  <sheetData>
    <row r="1" spans="1:7" ht="13" x14ac:dyDescent="0.3">
      <c r="A1" s="1" t="s">
        <v>99</v>
      </c>
    </row>
    <row r="2" spans="1:7" ht="13" x14ac:dyDescent="0.3">
      <c r="B2" s="1">
        <v>2002</v>
      </c>
      <c r="C2" s="1">
        <v>2003</v>
      </c>
      <c r="D2" s="1">
        <v>2004</v>
      </c>
      <c r="E2" s="1">
        <v>2004</v>
      </c>
      <c r="F2" s="1">
        <v>2005</v>
      </c>
      <c r="G2" s="14"/>
    </row>
    <row r="3" spans="1:7" ht="13" x14ac:dyDescent="0.3">
      <c r="A3" s="1" t="s">
        <v>101</v>
      </c>
    </row>
    <row r="8" spans="1:7" x14ac:dyDescent="0.25">
      <c r="A8" t="s">
        <v>102</v>
      </c>
    </row>
    <row r="9" spans="1:7" x14ac:dyDescent="0.25">
      <c r="A9" t="s">
        <v>103</v>
      </c>
    </row>
    <row r="11" spans="1:7" ht="13" x14ac:dyDescent="0.3">
      <c r="A11" s="1" t="s">
        <v>47</v>
      </c>
      <c r="B11">
        <f>SUM(B4:B10)</f>
        <v>0</v>
      </c>
      <c r="C11">
        <f>SUM(C4:C10)</f>
        <v>0</v>
      </c>
      <c r="D11">
        <f>SUM(D4:D10)</f>
        <v>0</v>
      </c>
      <c r="E11">
        <f>SUM(E4:E10)</f>
        <v>0</v>
      </c>
      <c r="F11">
        <f>SUM(F4:F10)</f>
        <v>0</v>
      </c>
    </row>
    <row r="13" spans="1:7" x14ac:dyDescent="0.25">
      <c r="A13" t="s">
        <v>104</v>
      </c>
    </row>
    <row r="14" spans="1:7" ht="13" x14ac:dyDescent="0.3">
      <c r="A14" s="4" t="s">
        <v>105</v>
      </c>
      <c r="B14" s="13" t="e">
        <f>B13/B11</f>
        <v>#DIV/0!</v>
      </c>
      <c r="C14" s="13" t="e">
        <f>C13/C11</f>
        <v>#DIV/0!</v>
      </c>
      <c r="D14" s="13" t="e">
        <f>D13/D11</f>
        <v>#DIV/0!</v>
      </c>
      <c r="E14" s="13" t="e">
        <f>E13/E11</f>
        <v>#DIV/0!</v>
      </c>
      <c r="F14" s="13" t="e">
        <f>F13/F11</f>
        <v>#DIV/0!</v>
      </c>
      <c r="G14" s="13"/>
    </row>
    <row r="16" spans="1:7" ht="13" x14ac:dyDescent="0.3">
      <c r="A16" s="1" t="s">
        <v>50</v>
      </c>
      <c r="B16">
        <f>SUM(B11-B13)</f>
        <v>0</v>
      </c>
      <c r="C16">
        <f>SUM(C11-C13)</f>
        <v>0</v>
      </c>
      <c r="D16">
        <f>SUM(D11-D13)</f>
        <v>0</v>
      </c>
      <c r="E16">
        <f>SUM(E11-E13)</f>
        <v>0</v>
      </c>
      <c r="F16">
        <f>SUM(F11-F13)</f>
        <v>0</v>
      </c>
    </row>
    <row r="17" spans="1:7" ht="13" x14ac:dyDescent="0.3">
      <c r="A17" s="4" t="s">
        <v>105</v>
      </c>
      <c r="B17" s="13" t="e">
        <f>B16/B11</f>
        <v>#DIV/0!</v>
      </c>
      <c r="C17" s="13" t="e">
        <f>C16/C11</f>
        <v>#DIV/0!</v>
      </c>
      <c r="D17" s="13" t="e">
        <f>D16/D11</f>
        <v>#DIV/0!</v>
      </c>
      <c r="E17" s="13" t="e">
        <f>E16/E11</f>
        <v>#DIV/0!</v>
      </c>
      <c r="F17" s="13" t="e">
        <f>F16/F11</f>
        <v>#DIV/0!</v>
      </c>
      <c r="G17" s="13"/>
    </row>
    <row r="19" spans="1:7" ht="13" x14ac:dyDescent="0.3">
      <c r="A19" s="1" t="s">
        <v>106</v>
      </c>
    </row>
    <row r="21" spans="1:7" x14ac:dyDescent="0.25">
      <c r="A21" s="5" t="s">
        <v>187</v>
      </c>
    </row>
    <row r="22" spans="1:7" x14ac:dyDescent="0.25">
      <c r="A22" s="5" t="s">
        <v>188</v>
      </c>
    </row>
    <row r="23" spans="1:7" x14ac:dyDescent="0.25">
      <c r="A23" s="5" t="s">
        <v>189</v>
      </c>
    </row>
    <row r="24" spans="1:7" x14ac:dyDescent="0.25">
      <c r="A24" t="s">
        <v>199</v>
      </c>
    </row>
    <row r="25" spans="1:7" x14ac:dyDescent="0.25">
      <c r="A25" t="s">
        <v>190</v>
      </c>
    </row>
    <row r="26" spans="1:7" x14ac:dyDescent="0.25">
      <c r="A26" t="s">
        <v>107</v>
      </c>
    </row>
    <row r="27" spans="1:7" x14ac:dyDescent="0.25">
      <c r="A27" t="s">
        <v>191</v>
      </c>
    </row>
    <row r="28" spans="1:7" x14ac:dyDescent="0.25">
      <c r="A28" t="s">
        <v>192</v>
      </c>
    </row>
    <row r="29" spans="1:7" x14ac:dyDescent="0.25">
      <c r="A29" t="s">
        <v>193</v>
      </c>
    </row>
    <row r="30" spans="1:7" x14ac:dyDescent="0.25">
      <c r="A30" t="s">
        <v>109</v>
      </c>
    </row>
    <row r="31" spans="1:7" x14ac:dyDescent="0.25">
      <c r="A31" t="s">
        <v>110</v>
      </c>
    </row>
    <row r="32" spans="1:7" x14ac:dyDescent="0.25">
      <c r="A32" t="s">
        <v>108</v>
      </c>
    </row>
    <row r="33" spans="1:6" x14ac:dyDescent="0.25">
      <c r="A33" t="s">
        <v>194</v>
      </c>
    </row>
    <row r="35" spans="1:6" x14ac:dyDescent="0.25">
      <c r="A35" t="s">
        <v>111</v>
      </c>
    </row>
    <row r="41" spans="1:6" ht="13" x14ac:dyDescent="0.3">
      <c r="A41" s="1" t="s">
        <v>69</v>
      </c>
      <c r="B41">
        <f>SUM(B21:B40)</f>
        <v>0</v>
      </c>
      <c r="C41">
        <f>SUM(C21:C40)</f>
        <v>0</v>
      </c>
      <c r="D41">
        <f>SUM(D21:D40)</f>
        <v>0</v>
      </c>
      <c r="E41">
        <f>SUM(E21:E40)</f>
        <v>0</v>
      </c>
      <c r="F41">
        <f>SUM(F21:F40)</f>
        <v>0</v>
      </c>
    </row>
    <row r="42" spans="1:6" ht="13" x14ac:dyDescent="0.3">
      <c r="A42" s="4" t="s">
        <v>105</v>
      </c>
      <c r="B42" s="13" t="e">
        <f>B41/B11</f>
        <v>#DIV/0!</v>
      </c>
      <c r="C42" s="13" t="e">
        <f>C41/C11</f>
        <v>#DIV/0!</v>
      </c>
      <c r="D42" s="13" t="e">
        <f>D41/D11</f>
        <v>#DIV/0!</v>
      </c>
      <c r="E42" s="13" t="e">
        <f>E41/E11</f>
        <v>#DIV/0!</v>
      </c>
      <c r="F42" s="13" t="e">
        <f>F41/F11</f>
        <v>#DIV/0!</v>
      </c>
    </row>
    <row r="43" spans="1:6" ht="13" x14ac:dyDescent="0.3">
      <c r="A43" s="1" t="s">
        <v>71</v>
      </c>
      <c r="B43">
        <f>SUM(B16-B41)</f>
        <v>0</v>
      </c>
      <c r="C43">
        <f>SUM(C16-C41)</f>
        <v>0</v>
      </c>
      <c r="D43">
        <f>SUM(D16-D41)</f>
        <v>0</v>
      </c>
      <c r="E43">
        <f>SUM(E16-E41)</f>
        <v>0</v>
      </c>
      <c r="F43">
        <f>SUM(F16-F41)</f>
        <v>0</v>
      </c>
    </row>
    <row r="45" spans="1:6" x14ac:dyDescent="0.25">
      <c r="A45" t="s">
        <v>72</v>
      </c>
    </row>
    <row r="46" spans="1:6" x14ac:dyDescent="0.25">
      <c r="A46" t="s">
        <v>73</v>
      </c>
    </row>
    <row r="47" spans="1:6" ht="13" x14ac:dyDescent="0.3">
      <c r="A47" s="1" t="s">
        <v>112</v>
      </c>
      <c r="B47">
        <f>SUM(B43+B45-B46)</f>
        <v>0</v>
      </c>
      <c r="C47">
        <f>SUM(C43+C45-C46)</f>
        <v>0</v>
      </c>
      <c r="D47">
        <f>SUM(D43+D45-D46)</f>
        <v>0</v>
      </c>
      <c r="E47">
        <f>SUM(E43+E45-E46)</f>
        <v>0</v>
      </c>
      <c r="F47">
        <f>SUM(F43+F45-F46)</f>
        <v>0</v>
      </c>
    </row>
    <row r="48" spans="1:6" x14ac:dyDescent="0.25">
      <c r="A48" t="s">
        <v>75</v>
      </c>
    </row>
    <row r="50" spans="1:6" ht="13" x14ac:dyDescent="0.3">
      <c r="A50" s="1" t="s">
        <v>113</v>
      </c>
      <c r="B50">
        <f>SUM(B43+B45-B46-B48)</f>
        <v>0</v>
      </c>
      <c r="C50">
        <f>SUM(C43+C45-C46-C48)</f>
        <v>0</v>
      </c>
      <c r="D50">
        <f>SUM(D43+D45-D46-D48)</f>
        <v>0</v>
      </c>
      <c r="E50">
        <f>SUM(E43+E45-E46-E48)</f>
        <v>0</v>
      </c>
      <c r="F50">
        <f>SUM(F43+F45-F46-F48)</f>
        <v>0</v>
      </c>
    </row>
    <row r="51" spans="1:6" ht="13" x14ac:dyDescent="0.3">
      <c r="A51" s="4" t="s">
        <v>105</v>
      </c>
      <c r="B51" s="13" t="e">
        <f>B50/B11</f>
        <v>#DIV/0!</v>
      </c>
      <c r="C51" s="13" t="e">
        <f>C50/C11</f>
        <v>#DIV/0!</v>
      </c>
      <c r="D51" s="13" t="e">
        <f>D50/D11</f>
        <v>#DIV/0!</v>
      </c>
      <c r="E51" s="13" t="e">
        <f>E50/E11</f>
        <v>#DIV/0!</v>
      </c>
      <c r="F51" s="13" t="e">
        <f>F50/F11</f>
        <v>#DIV/0!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G42" sqref="G42"/>
    </sheetView>
  </sheetViews>
  <sheetFormatPr defaultRowHeight="12.5" x14ac:dyDescent="0.25"/>
  <cols>
    <col min="1" max="1" width="29.7265625" bestFit="1" customWidth="1"/>
  </cols>
  <sheetData>
    <row r="1" spans="1:7" ht="13" x14ac:dyDescent="0.3">
      <c r="A1" s="1" t="s">
        <v>114</v>
      </c>
    </row>
    <row r="2" spans="1:7" ht="13" x14ac:dyDescent="0.3">
      <c r="B2" s="1">
        <v>2002</v>
      </c>
      <c r="C2" s="1">
        <v>2003</v>
      </c>
      <c r="D2" s="1">
        <v>2004</v>
      </c>
      <c r="E2" s="1">
        <v>2005</v>
      </c>
      <c r="F2" s="1">
        <v>2006</v>
      </c>
      <c r="G2" s="15" t="s">
        <v>100</v>
      </c>
    </row>
    <row r="4" spans="1:7" x14ac:dyDescent="0.25">
      <c r="A4" t="s">
        <v>115</v>
      </c>
    </row>
    <row r="5" spans="1:7" x14ac:dyDescent="0.25">
      <c r="A5" t="s">
        <v>101</v>
      </c>
      <c r="G5">
        <f>SUM(B5:F5)</f>
        <v>0</v>
      </c>
    </row>
    <row r="6" spans="1:7" x14ac:dyDescent="0.25">
      <c r="G6">
        <f>SUM(B6:F6)</f>
        <v>0</v>
      </c>
    </row>
    <row r="7" spans="1:7" x14ac:dyDescent="0.25">
      <c r="G7">
        <f t="shared" ref="G7:G48" si="0">SUM(B7:F7)</f>
        <v>0</v>
      </c>
    </row>
    <row r="8" spans="1:7" x14ac:dyDescent="0.25">
      <c r="G8">
        <f t="shared" si="0"/>
        <v>0</v>
      </c>
    </row>
    <row r="9" spans="1:7" x14ac:dyDescent="0.25">
      <c r="A9" t="s">
        <v>102</v>
      </c>
      <c r="G9">
        <f t="shared" si="0"/>
        <v>0</v>
      </c>
    </row>
    <row r="10" spans="1:7" x14ac:dyDescent="0.25">
      <c r="A10" t="s">
        <v>103</v>
      </c>
      <c r="G10">
        <f t="shared" si="0"/>
        <v>0</v>
      </c>
    </row>
    <row r="11" spans="1:7" x14ac:dyDescent="0.25">
      <c r="A11" t="s">
        <v>72</v>
      </c>
      <c r="G11">
        <f t="shared" si="0"/>
        <v>0</v>
      </c>
    </row>
    <row r="12" spans="1:7" x14ac:dyDescent="0.25">
      <c r="A12" t="s">
        <v>116</v>
      </c>
      <c r="G12">
        <f t="shared" si="0"/>
        <v>0</v>
      </c>
    </row>
    <row r="13" spans="1:7" x14ac:dyDescent="0.25">
      <c r="A13" t="s">
        <v>117</v>
      </c>
      <c r="G13">
        <f t="shared" si="0"/>
        <v>0</v>
      </c>
    </row>
    <row r="14" spans="1:7" ht="13" x14ac:dyDescent="0.3">
      <c r="A14" s="1" t="s">
        <v>118</v>
      </c>
      <c r="B14" s="1">
        <f t="shared" ref="B14:G14" si="1">SUM(B5:B13)</f>
        <v>0</v>
      </c>
      <c r="C14" s="1">
        <f t="shared" si="1"/>
        <v>0</v>
      </c>
      <c r="D14" s="1">
        <f t="shared" si="1"/>
        <v>0</v>
      </c>
      <c r="E14" s="1">
        <f t="shared" si="1"/>
        <v>0</v>
      </c>
      <c r="F14" s="1">
        <f t="shared" si="1"/>
        <v>0</v>
      </c>
      <c r="G14" s="1">
        <f t="shared" si="1"/>
        <v>0</v>
      </c>
    </row>
    <row r="15" spans="1:7" x14ac:dyDescent="0.25">
      <c r="A15" t="s">
        <v>119</v>
      </c>
      <c r="G15">
        <f t="shared" si="0"/>
        <v>0</v>
      </c>
    </row>
    <row r="16" spans="1:7" x14ac:dyDescent="0.25">
      <c r="A16" t="s">
        <v>120</v>
      </c>
      <c r="G16">
        <f t="shared" si="0"/>
        <v>0</v>
      </c>
    </row>
    <row r="17" spans="1:7" ht="13" x14ac:dyDescent="0.3">
      <c r="A17" s="1" t="s">
        <v>121</v>
      </c>
      <c r="B17" s="1">
        <f>SUM(B14:B16)</f>
        <v>0</v>
      </c>
      <c r="C17" s="1">
        <f>SUM(C14:C16)</f>
        <v>0</v>
      </c>
      <c r="D17" s="1">
        <f>SUM(D14:D16)</f>
        <v>0</v>
      </c>
      <c r="E17" s="1">
        <f>SUM(E14:E16)</f>
        <v>0</v>
      </c>
      <c r="F17" s="1">
        <f>SUM(F14:F16)</f>
        <v>0</v>
      </c>
      <c r="G17" s="1">
        <f t="shared" si="0"/>
        <v>0</v>
      </c>
    </row>
    <row r="19" spans="1:7" ht="13" x14ac:dyDescent="0.3">
      <c r="A19" s="1" t="s">
        <v>122</v>
      </c>
    </row>
    <row r="20" spans="1:7" x14ac:dyDescent="0.25">
      <c r="A20" t="s">
        <v>52</v>
      </c>
      <c r="G20">
        <f t="shared" si="0"/>
        <v>0</v>
      </c>
    </row>
    <row r="21" spans="1:7" x14ac:dyDescent="0.25">
      <c r="A21" t="s">
        <v>53</v>
      </c>
      <c r="G21">
        <f t="shared" si="0"/>
        <v>0</v>
      </c>
    </row>
    <row r="22" spans="1:7" x14ac:dyDescent="0.25">
      <c r="A22" t="s">
        <v>54</v>
      </c>
      <c r="G22">
        <f t="shared" si="0"/>
        <v>0</v>
      </c>
    </row>
    <row r="23" spans="1:7" x14ac:dyDescent="0.25">
      <c r="A23" t="s">
        <v>55</v>
      </c>
      <c r="G23">
        <f t="shared" si="0"/>
        <v>0</v>
      </c>
    </row>
    <row r="24" spans="1:7" x14ac:dyDescent="0.25">
      <c r="A24" t="s">
        <v>85</v>
      </c>
      <c r="G24">
        <f t="shared" si="0"/>
        <v>0</v>
      </c>
    </row>
    <row r="25" spans="1:7" x14ac:dyDescent="0.25">
      <c r="A25" t="s">
        <v>56</v>
      </c>
      <c r="G25">
        <f t="shared" si="0"/>
        <v>0</v>
      </c>
    </row>
    <row r="26" spans="1:7" x14ac:dyDescent="0.25">
      <c r="A26" t="s">
        <v>57</v>
      </c>
      <c r="G26">
        <f t="shared" si="0"/>
        <v>0</v>
      </c>
    </row>
    <row r="27" spans="1:7" x14ac:dyDescent="0.25">
      <c r="A27" t="s">
        <v>58</v>
      </c>
      <c r="G27">
        <f t="shared" si="0"/>
        <v>0</v>
      </c>
    </row>
    <row r="28" spans="1:7" x14ac:dyDescent="0.25">
      <c r="A28" t="s">
        <v>59</v>
      </c>
      <c r="G28">
        <f t="shared" si="0"/>
        <v>0</v>
      </c>
    </row>
    <row r="29" spans="1:7" x14ac:dyDescent="0.25">
      <c r="A29" t="s">
        <v>60</v>
      </c>
      <c r="G29">
        <f t="shared" si="0"/>
        <v>0</v>
      </c>
    </row>
    <row r="30" spans="1:7" x14ac:dyDescent="0.25">
      <c r="A30" t="s">
        <v>61</v>
      </c>
      <c r="G30">
        <f t="shared" si="0"/>
        <v>0</v>
      </c>
    </row>
    <row r="31" spans="1:7" x14ac:dyDescent="0.25">
      <c r="A31" t="s">
        <v>62</v>
      </c>
      <c r="G31">
        <f t="shared" si="0"/>
        <v>0</v>
      </c>
    </row>
    <row r="32" spans="1:7" x14ac:dyDescent="0.25">
      <c r="A32" t="s">
        <v>63</v>
      </c>
      <c r="G32">
        <f t="shared" si="0"/>
        <v>0</v>
      </c>
    </row>
    <row r="33" spans="1:7" x14ac:dyDescent="0.25">
      <c r="A33" t="s">
        <v>123</v>
      </c>
      <c r="G33">
        <f t="shared" si="0"/>
        <v>0</v>
      </c>
    </row>
    <row r="34" spans="1:7" x14ac:dyDescent="0.25">
      <c r="A34" t="s">
        <v>65</v>
      </c>
      <c r="G34">
        <f t="shared" si="0"/>
        <v>0</v>
      </c>
    </row>
    <row r="35" spans="1:7" x14ac:dyDescent="0.25">
      <c r="A35" t="s">
        <v>66</v>
      </c>
      <c r="G35">
        <f t="shared" si="0"/>
        <v>0</v>
      </c>
    </row>
    <row r="36" spans="1:7" x14ac:dyDescent="0.25">
      <c r="A36" t="s">
        <v>67</v>
      </c>
      <c r="G36">
        <f t="shared" si="0"/>
        <v>0</v>
      </c>
    </row>
    <row r="37" spans="1:7" x14ac:dyDescent="0.25">
      <c r="A37" t="s">
        <v>221</v>
      </c>
      <c r="G37">
        <f t="shared" si="0"/>
        <v>0</v>
      </c>
    </row>
    <row r="38" spans="1:7" x14ac:dyDescent="0.25">
      <c r="A38" t="s">
        <v>124</v>
      </c>
      <c r="G38">
        <f t="shared" si="0"/>
        <v>0</v>
      </c>
    </row>
    <row r="39" spans="1:7" x14ac:dyDescent="0.25">
      <c r="G39">
        <f t="shared" si="0"/>
        <v>0</v>
      </c>
    </row>
    <row r="41" spans="1:7" x14ac:dyDescent="0.25">
      <c r="A41" t="s">
        <v>125</v>
      </c>
      <c r="G41">
        <f t="shared" si="0"/>
        <v>0</v>
      </c>
    </row>
    <row r="42" spans="1:7" x14ac:dyDescent="0.25">
      <c r="A42" t="s">
        <v>198</v>
      </c>
    </row>
    <row r="43" spans="1:7" x14ac:dyDescent="0.25">
      <c r="A43" t="s">
        <v>126</v>
      </c>
      <c r="G43">
        <f t="shared" si="0"/>
        <v>0</v>
      </c>
    </row>
    <row r="44" spans="1:7" x14ac:dyDescent="0.25">
      <c r="A44" t="s">
        <v>127</v>
      </c>
      <c r="G44">
        <f t="shared" si="0"/>
        <v>0</v>
      </c>
    </row>
    <row r="45" spans="1:7" ht="13" x14ac:dyDescent="0.3">
      <c r="A45" s="1" t="s">
        <v>128</v>
      </c>
      <c r="B45">
        <f t="shared" ref="B45:G45" si="2">SUM(B20:B44)</f>
        <v>0</v>
      </c>
      <c r="C45">
        <f t="shared" si="2"/>
        <v>0</v>
      </c>
      <c r="D45">
        <f t="shared" si="2"/>
        <v>0</v>
      </c>
      <c r="E45">
        <f t="shared" si="2"/>
        <v>0</v>
      </c>
      <c r="F45">
        <f t="shared" si="2"/>
        <v>0</v>
      </c>
      <c r="G45">
        <f t="shared" si="2"/>
        <v>0</v>
      </c>
    </row>
    <row r="46" spans="1:7" x14ac:dyDescent="0.25">
      <c r="G46">
        <f t="shared" si="0"/>
        <v>0</v>
      </c>
    </row>
    <row r="47" spans="1:7" ht="13" x14ac:dyDescent="0.3">
      <c r="A47" s="1" t="s">
        <v>129</v>
      </c>
      <c r="B47" s="1">
        <f t="shared" ref="B47:G47" si="3">SUM(B17-B45)</f>
        <v>0</v>
      </c>
      <c r="C47" s="1">
        <f t="shared" si="3"/>
        <v>0</v>
      </c>
      <c r="D47" s="1">
        <f t="shared" si="3"/>
        <v>0</v>
      </c>
      <c r="E47" s="1">
        <f t="shared" si="3"/>
        <v>0</v>
      </c>
      <c r="F47" s="1">
        <f t="shared" si="3"/>
        <v>0</v>
      </c>
      <c r="G47" s="1">
        <f t="shared" si="3"/>
        <v>0</v>
      </c>
    </row>
    <row r="48" spans="1:7" x14ac:dyDescent="0.25">
      <c r="G48">
        <f t="shared" si="0"/>
        <v>0</v>
      </c>
    </row>
    <row r="49" spans="1:7" x14ac:dyDescent="0.25">
      <c r="A49" t="s">
        <v>130</v>
      </c>
      <c r="C49">
        <f>(B51)</f>
        <v>0</v>
      </c>
      <c r="D49">
        <f>(C51)</f>
        <v>0</v>
      </c>
      <c r="E49">
        <f>(D51)</f>
        <v>0</v>
      </c>
      <c r="F49">
        <f>(E51)</f>
        <v>0</v>
      </c>
      <c r="G49">
        <f>SUM(B49)</f>
        <v>0</v>
      </c>
    </row>
    <row r="50" spans="1:7" x14ac:dyDescent="0.25">
      <c r="A50" t="s">
        <v>129</v>
      </c>
      <c r="B50">
        <f t="shared" ref="B50:G50" si="4">(B47)</f>
        <v>0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0</v>
      </c>
      <c r="G50">
        <f t="shared" si="4"/>
        <v>0</v>
      </c>
    </row>
    <row r="51" spans="1:7" x14ac:dyDescent="0.25">
      <c r="A51" t="s">
        <v>94</v>
      </c>
      <c r="B51">
        <f t="shared" ref="B51:G51" si="5">SUM(B49:B50)</f>
        <v>0</v>
      </c>
      <c r="C51">
        <f t="shared" si="5"/>
        <v>0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</row>
  </sheetData>
  <phoneticPr fontId="0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B35" sqref="B35:F35"/>
    </sheetView>
  </sheetViews>
  <sheetFormatPr defaultRowHeight="12.5" x14ac:dyDescent="0.25"/>
  <cols>
    <col min="1" max="1" width="24.26953125" bestFit="1" customWidth="1"/>
  </cols>
  <sheetData>
    <row r="1" spans="1:7" ht="13" x14ac:dyDescent="0.3">
      <c r="A1" s="1" t="s">
        <v>0</v>
      </c>
    </row>
    <row r="2" spans="1:7" ht="13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13" x14ac:dyDescent="0.3">
      <c r="B3" s="3" t="s">
        <v>200</v>
      </c>
      <c r="C3" s="1" t="s">
        <v>201</v>
      </c>
      <c r="D3" s="1" t="s">
        <v>202</v>
      </c>
      <c r="E3" s="1" t="s">
        <v>203</v>
      </c>
      <c r="F3" s="1" t="s">
        <v>220</v>
      </c>
    </row>
    <row r="4" spans="1:7" ht="13" x14ac:dyDescent="0.3">
      <c r="A4" s="1" t="s">
        <v>6</v>
      </c>
    </row>
    <row r="5" spans="1:7" ht="13" x14ac:dyDescent="0.3">
      <c r="A5" s="4" t="s">
        <v>7</v>
      </c>
    </row>
    <row r="6" spans="1:7" x14ac:dyDescent="0.25">
      <c r="A6" t="s">
        <v>8</v>
      </c>
    </row>
    <row r="7" spans="1:7" x14ac:dyDescent="0.25">
      <c r="A7" t="s">
        <v>9</v>
      </c>
    </row>
    <row r="8" spans="1:7" x14ac:dyDescent="0.25">
      <c r="A8" t="s">
        <v>10</v>
      </c>
    </row>
    <row r="9" spans="1:7" x14ac:dyDescent="0.25">
      <c r="A9" t="s">
        <v>11</v>
      </c>
    </row>
    <row r="10" spans="1:7" x14ac:dyDescent="0.25">
      <c r="A10" t="s">
        <v>12</v>
      </c>
    </row>
    <row r="11" spans="1:7" x14ac:dyDescent="0.25">
      <c r="A11" t="s">
        <v>13</v>
      </c>
    </row>
    <row r="12" spans="1:7" x14ac:dyDescent="0.25">
      <c r="A12" t="s">
        <v>14</v>
      </c>
      <c r="B12" s="5">
        <f>SUM(B6:B11)</f>
        <v>0</v>
      </c>
      <c r="C12">
        <f>SUM(C6:C11)</f>
        <v>0</v>
      </c>
      <c r="D12">
        <f>SUM(D6:D11)</f>
        <v>0</v>
      </c>
      <c r="E12">
        <f>SUM(E6:E11)</f>
        <v>0</v>
      </c>
      <c r="F12">
        <f>SUM(F6:F11)</f>
        <v>0</v>
      </c>
    </row>
    <row r="13" spans="1:7" ht="13" x14ac:dyDescent="0.3">
      <c r="A13" s="1"/>
      <c r="B13" s="1"/>
      <c r="C13" s="1"/>
      <c r="D13" s="1"/>
      <c r="E13" s="1"/>
      <c r="F13" s="1"/>
    </row>
    <row r="14" spans="1:7" ht="13" x14ac:dyDescent="0.3">
      <c r="A14" s="4" t="s">
        <v>15</v>
      </c>
    </row>
    <row r="15" spans="1:7" x14ac:dyDescent="0.25">
      <c r="A15" t="s">
        <v>16</v>
      </c>
    </row>
    <row r="16" spans="1:7" ht="13" x14ac:dyDescent="0.3">
      <c r="A16" s="5" t="s">
        <v>17</v>
      </c>
      <c r="B16" s="1"/>
      <c r="C16" s="1"/>
      <c r="D16" s="1"/>
      <c r="E16" s="1"/>
      <c r="F16" s="1"/>
      <c r="G16" s="1"/>
    </row>
    <row r="17" spans="1:6" x14ac:dyDescent="0.25">
      <c r="A17" t="s">
        <v>18</v>
      </c>
    </row>
    <row r="18" spans="1:6" x14ac:dyDescent="0.25">
      <c r="A18" s="5" t="s">
        <v>19</v>
      </c>
    </row>
    <row r="19" spans="1:6" x14ac:dyDescent="0.25">
      <c r="A19" t="s">
        <v>20</v>
      </c>
    </row>
    <row r="20" spans="1:6" x14ac:dyDescent="0.25">
      <c r="A20" t="s">
        <v>21</v>
      </c>
    </row>
    <row r="21" spans="1:6" x14ac:dyDescent="0.25">
      <c r="A21" t="s">
        <v>22</v>
      </c>
    </row>
    <row r="22" spans="1:6" x14ac:dyDescent="0.25">
      <c r="A22" t="s">
        <v>23</v>
      </c>
      <c r="B22" s="5">
        <f>SUM(B15:B20)-B21</f>
        <v>0</v>
      </c>
      <c r="C22" s="5">
        <f>SUM(C15:C20)-C21</f>
        <v>0</v>
      </c>
      <c r="D22" s="5">
        <f>SUM(D15:D20)-D21</f>
        <v>0</v>
      </c>
      <c r="E22" s="5">
        <f>SUM(E15:E20)-E21</f>
        <v>0</v>
      </c>
      <c r="F22" s="5">
        <f>SUM(F15:F20)-F21</f>
        <v>0</v>
      </c>
    </row>
    <row r="24" spans="1:6" ht="13" x14ac:dyDescent="0.3">
      <c r="A24" s="4" t="s">
        <v>24</v>
      </c>
    </row>
    <row r="25" spans="1:6" ht="13" x14ac:dyDescent="0.3">
      <c r="A25" s="1" t="s">
        <v>25</v>
      </c>
      <c r="B25" s="1">
        <f>SUM(B12+B22+B24)</f>
        <v>0</v>
      </c>
      <c r="C25" s="1">
        <f>SUM(C12+C22+C24)</f>
        <v>0</v>
      </c>
      <c r="D25" s="1">
        <f>SUM(D12+D22+D24)</f>
        <v>0</v>
      </c>
      <c r="E25" s="1">
        <f>SUM(E12+E22+E24)</f>
        <v>0</v>
      </c>
      <c r="F25" s="1">
        <f>SUM(F12+F22+F24)</f>
        <v>0</v>
      </c>
    </row>
    <row r="27" spans="1:6" x14ac:dyDescent="0.25">
      <c r="A27" t="s">
        <v>26</v>
      </c>
    </row>
    <row r="28" spans="1:6" ht="13" x14ac:dyDescent="0.3">
      <c r="A28" s="4" t="s">
        <v>27</v>
      </c>
    </row>
    <row r="29" spans="1:6" x14ac:dyDescent="0.25">
      <c r="A29" t="s">
        <v>28</v>
      </c>
    </row>
    <row r="30" spans="1:6" x14ac:dyDescent="0.25">
      <c r="A30" t="s">
        <v>29</v>
      </c>
    </row>
    <row r="31" spans="1:6" x14ac:dyDescent="0.25">
      <c r="A31" t="s">
        <v>30</v>
      </c>
    </row>
    <row r="32" spans="1:6" x14ac:dyDescent="0.25">
      <c r="A32" t="s">
        <v>31</v>
      </c>
    </row>
    <row r="33" spans="1:7" x14ac:dyDescent="0.25">
      <c r="A33" t="s">
        <v>32</v>
      </c>
      <c r="B33">
        <f>SUM(B29:B32)</f>
        <v>0</v>
      </c>
      <c r="C33">
        <f>SUM(C29:C32)</f>
        <v>0</v>
      </c>
      <c r="D33">
        <f>SUM(D29:D32)</f>
        <v>0</v>
      </c>
      <c r="E33">
        <f>SUM(E29:E32)</f>
        <v>0</v>
      </c>
      <c r="F33">
        <f>SUM(F29:F32)</f>
        <v>0</v>
      </c>
    </row>
    <row r="35" spans="1:7" ht="13" x14ac:dyDescent="0.3">
      <c r="A35" s="4" t="s">
        <v>33</v>
      </c>
    </row>
    <row r="36" spans="1:7" ht="13" x14ac:dyDescent="0.3">
      <c r="A36" s="1" t="s">
        <v>34</v>
      </c>
      <c r="B36" s="1">
        <f>SUM(B33+B35)</f>
        <v>0</v>
      </c>
      <c r="C36" s="1">
        <f>SUM(C33+C35)</f>
        <v>0</v>
      </c>
      <c r="D36" s="1">
        <f>SUM(D33+D35)</f>
        <v>0</v>
      </c>
      <c r="E36" s="1">
        <f>SUM(E33+E35)</f>
        <v>0</v>
      </c>
      <c r="F36" s="1">
        <f>SUM(F33+F35)</f>
        <v>0</v>
      </c>
    </row>
    <row r="38" spans="1:7" x14ac:dyDescent="0.25">
      <c r="A38" t="s">
        <v>35</v>
      </c>
    </row>
    <row r="39" spans="1:7" x14ac:dyDescent="0.25">
      <c r="A39" t="s">
        <v>36</v>
      </c>
    </row>
    <row r="40" spans="1:7" x14ac:dyDescent="0.25">
      <c r="A40" t="s">
        <v>37</v>
      </c>
    </row>
    <row r="41" spans="1:7" x14ac:dyDescent="0.25">
      <c r="A41" t="s">
        <v>38</v>
      </c>
    </row>
    <row r="42" spans="1:7" ht="13" x14ac:dyDescent="0.3">
      <c r="A42" s="1" t="s">
        <v>39</v>
      </c>
      <c r="B42" s="1">
        <f>SUM(B25-B36)</f>
        <v>0</v>
      </c>
      <c r="C42" s="1">
        <f>SUM(C25-C36)</f>
        <v>0</v>
      </c>
      <c r="D42" s="1">
        <f>SUM(D25-D36)</f>
        <v>0</v>
      </c>
      <c r="E42" s="1">
        <f>SUM(E25-E36)</f>
        <v>0</v>
      </c>
      <c r="F42" s="1">
        <f>SUM(F25-F36)</f>
        <v>0</v>
      </c>
    </row>
    <row r="44" spans="1:7" ht="13" x14ac:dyDescent="0.3">
      <c r="A44" s="1" t="s">
        <v>40</v>
      </c>
      <c r="B44" s="1">
        <f>SUM(B36+B42)</f>
        <v>0</v>
      </c>
      <c r="C44" s="1">
        <f>SUM(C36+C42)</f>
        <v>0</v>
      </c>
      <c r="D44" s="1">
        <f>SUM(D36+D42)</f>
        <v>0</v>
      </c>
      <c r="E44" s="1">
        <f>SUM(E36+E42)</f>
        <v>0</v>
      </c>
      <c r="F44" s="1">
        <f>SUM(F36+F42)</f>
        <v>0</v>
      </c>
      <c r="G44" s="1"/>
    </row>
    <row r="46" spans="1:7" x14ac:dyDescent="0.25">
      <c r="A46" t="s">
        <v>41</v>
      </c>
    </row>
    <row r="47" spans="1:7" x14ac:dyDescent="0.25">
      <c r="A47" t="s">
        <v>42</v>
      </c>
      <c r="B47" s="6" t="e">
        <f>B12/B33</f>
        <v>#DIV/0!</v>
      </c>
      <c r="C47" s="6" t="e">
        <f>C12/C33</f>
        <v>#DIV/0!</v>
      </c>
      <c r="D47" s="6" t="e">
        <f>D12/D33</f>
        <v>#DIV/0!</v>
      </c>
      <c r="E47" s="6" t="e">
        <f>E12/E33</f>
        <v>#DIV/0!</v>
      </c>
      <c r="F47" s="6" t="e">
        <f>F12/F33</f>
        <v>#DIV/0!</v>
      </c>
    </row>
    <row r="48" spans="1:7" x14ac:dyDescent="0.25">
      <c r="A48" t="s">
        <v>43</v>
      </c>
      <c r="B48" s="6" t="e">
        <f>SUM(B6+B8)/B33</f>
        <v>#DIV/0!</v>
      </c>
      <c r="C48" s="6" t="e">
        <f>SUM(C6+C8)/C33</f>
        <v>#DIV/0!</v>
      </c>
      <c r="D48" s="6" t="e">
        <f>SUM(D6+D8)/D33</f>
        <v>#DIV/0!</v>
      </c>
      <c r="E48" s="6" t="e">
        <f>SUM(E6+E8)/E33</f>
        <v>#DIV/0!</v>
      </c>
      <c r="F48" s="6" t="e">
        <f>SUM(F6+F8)/F33</f>
        <v>#DIV/0!</v>
      </c>
    </row>
    <row r="49" spans="1:6" x14ac:dyDescent="0.25">
      <c r="A49" t="s">
        <v>44</v>
      </c>
      <c r="B49" s="6" t="e">
        <f>SUM(B36/B25)</f>
        <v>#DIV/0!</v>
      </c>
      <c r="C49" s="6" t="e">
        <f>SUM(C36/C25)</f>
        <v>#DIV/0!</v>
      </c>
      <c r="D49" s="6" t="e">
        <f>SUM(D36/D25)</f>
        <v>#DIV/0!</v>
      </c>
      <c r="E49" s="6" t="e">
        <f>SUM(E36/E25)</f>
        <v>#DIV/0!</v>
      </c>
      <c r="F49" s="6" t="e">
        <f>SUM(F36/F25)</f>
        <v>#DIV/0!</v>
      </c>
    </row>
    <row r="51" spans="1:6" x14ac:dyDescent="0.25">
      <c r="A51" t="s">
        <v>45</v>
      </c>
      <c r="B51" s="6" t="e">
        <f>SUM(B36/B42)</f>
        <v>#DIV/0!</v>
      </c>
      <c r="C51" s="6" t="e">
        <f>SUM(C36/C42)</f>
        <v>#DIV/0!</v>
      </c>
      <c r="D51" s="6" t="e">
        <f>SUM(D36/D42)</f>
        <v>#DIV/0!</v>
      </c>
      <c r="E51" s="6" t="e">
        <f>SUM(E36/E42)</f>
        <v>#DIV/0!</v>
      </c>
      <c r="F51" s="6" t="e">
        <f>SUM(F36/F42)</f>
        <v>#DIV/0!</v>
      </c>
    </row>
  </sheetData>
  <phoneticPr fontId="0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A2" sqref="A2"/>
    </sheetView>
  </sheetViews>
  <sheetFormatPr defaultRowHeight="12.5" x14ac:dyDescent="0.25"/>
  <cols>
    <col min="4" max="4" width="12.26953125" bestFit="1" customWidth="1"/>
    <col min="7" max="7" width="10.26953125" bestFit="1" customWidth="1"/>
    <col min="8" max="8" width="12.26953125" bestFit="1" customWidth="1"/>
  </cols>
  <sheetData>
    <row r="1" spans="1:8" ht="13" x14ac:dyDescent="0.3">
      <c r="A1" s="1" t="s">
        <v>131</v>
      </c>
      <c r="B1" s="1"/>
      <c r="C1" s="1"/>
      <c r="D1" s="1"/>
      <c r="E1" s="1"/>
      <c r="F1" s="1"/>
    </row>
    <row r="2" spans="1:8" ht="13" x14ac:dyDescent="0.3">
      <c r="A2" s="1" t="s">
        <v>242</v>
      </c>
      <c r="B2" s="16"/>
      <c r="C2" s="1"/>
      <c r="D2" s="1"/>
      <c r="E2" s="1"/>
      <c r="F2" s="1"/>
    </row>
    <row r="3" spans="1:8" ht="13" x14ac:dyDescent="0.3">
      <c r="A3" s="1" t="s">
        <v>241</v>
      </c>
      <c r="B3" s="1"/>
      <c r="C3" s="1"/>
      <c r="D3" s="1"/>
      <c r="E3" s="1"/>
      <c r="F3" s="1"/>
    </row>
    <row r="4" spans="1:8" ht="13" x14ac:dyDescent="0.3">
      <c r="A4" s="1"/>
      <c r="B4" s="1"/>
      <c r="C4" s="1"/>
      <c r="D4" s="1"/>
      <c r="E4" s="1"/>
      <c r="F4" s="1"/>
    </row>
    <row r="5" spans="1:8" ht="13" x14ac:dyDescent="0.3">
      <c r="A5" s="1" t="s">
        <v>132</v>
      </c>
      <c r="B5" s="1"/>
      <c r="C5" s="1"/>
      <c r="D5" s="1"/>
      <c r="E5" s="1" t="s">
        <v>133</v>
      </c>
      <c r="F5" s="1"/>
    </row>
    <row r="7" spans="1:8" x14ac:dyDescent="0.25">
      <c r="A7" t="s">
        <v>134</v>
      </c>
      <c r="E7" t="s">
        <v>135</v>
      </c>
    </row>
    <row r="8" spans="1:8" x14ac:dyDescent="0.25">
      <c r="B8" t="s">
        <v>136</v>
      </c>
      <c r="D8" s="17"/>
      <c r="F8" t="s">
        <v>29</v>
      </c>
    </row>
    <row r="9" spans="1:8" x14ac:dyDescent="0.25">
      <c r="A9" t="s">
        <v>137</v>
      </c>
      <c r="B9" t="s">
        <v>138</v>
      </c>
      <c r="D9" s="17"/>
      <c r="F9" t="s">
        <v>139</v>
      </c>
    </row>
    <row r="10" spans="1:8" x14ac:dyDescent="0.25">
      <c r="B10" t="s">
        <v>140</v>
      </c>
      <c r="D10" s="17"/>
      <c r="F10" t="s">
        <v>141</v>
      </c>
    </row>
    <row r="11" spans="1:8" x14ac:dyDescent="0.25">
      <c r="B11" t="s">
        <v>142</v>
      </c>
      <c r="D11" s="17"/>
      <c r="F11" t="s">
        <v>143</v>
      </c>
    </row>
    <row r="12" spans="1:8" x14ac:dyDescent="0.25">
      <c r="B12" t="s">
        <v>144</v>
      </c>
      <c r="D12" s="17"/>
      <c r="F12" t="s">
        <v>145</v>
      </c>
    </row>
    <row r="13" spans="1:8" x14ac:dyDescent="0.25">
      <c r="B13" t="s">
        <v>196</v>
      </c>
      <c r="D13" s="17"/>
      <c r="F13" t="s">
        <v>147</v>
      </c>
      <c r="G13" t="s">
        <v>195</v>
      </c>
      <c r="H13" s="17"/>
    </row>
    <row r="14" spans="1:8" x14ac:dyDescent="0.25">
      <c r="D14" s="17"/>
      <c r="F14" t="s">
        <v>148</v>
      </c>
      <c r="H14" s="17"/>
    </row>
    <row r="15" spans="1:8" x14ac:dyDescent="0.25">
      <c r="B15" t="s">
        <v>149</v>
      </c>
      <c r="D15" s="17">
        <f>SUM(D8:D14)</f>
        <v>0</v>
      </c>
      <c r="F15" t="s">
        <v>149</v>
      </c>
      <c r="H15" s="17">
        <f>SUM(H8:H14)</f>
        <v>0</v>
      </c>
    </row>
    <row r="16" spans="1:8" x14ac:dyDescent="0.25">
      <c r="D16" s="17"/>
      <c r="H16" s="17"/>
    </row>
    <row r="17" spans="1:8" x14ac:dyDescent="0.25">
      <c r="A17" t="s">
        <v>150</v>
      </c>
      <c r="D17" s="17"/>
      <c r="E17" t="s">
        <v>151</v>
      </c>
      <c r="H17" s="17"/>
    </row>
    <row r="18" spans="1:8" x14ac:dyDescent="0.25">
      <c r="B18" t="s">
        <v>152</v>
      </c>
      <c r="D18" s="17"/>
      <c r="F18" t="s">
        <v>153</v>
      </c>
      <c r="H18" s="17"/>
    </row>
    <row r="19" spans="1:8" x14ac:dyDescent="0.25">
      <c r="B19" t="s">
        <v>154</v>
      </c>
      <c r="D19" s="17"/>
      <c r="F19" t="s">
        <v>155</v>
      </c>
      <c r="H19" s="17"/>
    </row>
    <row r="20" spans="1:8" x14ac:dyDescent="0.25">
      <c r="B20" t="s">
        <v>156</v>
      </c>
      <c r="D20" s="17"/>
      <c r="F20" t="s">
        <v>157</v>
      </c>
      <c r="H20" s="17"/>
    </row>
    <row r="21" spans="1:8" x14ac:dyDescent="0.25">
      <c r="B21" t="s">
        <v>197</v>
      </c>
      <c r="D21" s="17"/>
      <c r="H21" s="17"/>
    </row>
    <row r="22" spans="1:8" x14ac:dyDescent="0.25">
      <c r="D22" s="17"/>
      <c r="H22" s="17"/>
    </row>
    <row r="23" spans="1:8" x14ac:dyDescent="0.25">
      <c r="B23" t="s">
        <v>149</v>
      </c>
      <c r="D23" s="17">
        <f>SUM(D18:D22)</f>
        <v>0</v>
      </c>
      <c r="F23" t="s">
        <v>149</v>
      </c>
      <c r="H23" s="17">
        <f>SUM(H18:H22)</f>
        <v>0</v>
      </c>
    </row>
    <row r="24" spans="1:8" x14ac:dyDescent="0.25">
      <c r="D24" s="17"/>
      <c r="H24" s="17"/>
    </row>
    <row r="25" spans="1:8" x14ac:dyDescent="0.25">
      <c r="A25" t="s">
        <v>158</v>
      </c>
      <c r="D25" s="17"/>
      <c r="E25" t="s">
        <v>159</v>
      </c>
      <c r="H25" s="17"/>
    </row>
    <row r="26" spans="1:8" x14ac:dyDescent="0.25">
      <c r="D26" s="17"/>
      <c r="H26" s="17"/>
    </row>
    <row r="27" spans="1:8" x14ac:dyDescent="0.25">
      <c r="B27" t="s">
        <v>160</v>
      </c>
      <c r="D27" s="17"/>
      <c r="F27" t="s">
        <v>161</v>
      </c>
      <c r="H27" s="17"/>
    </row>
    <row r="28" spans="1:8" x14ac:dyDescent="0.25">
      <c r="B28" t="s">
        <v>162</v>
      </c>
      <c r="D28" s="17"/>
      <c r="F28" t="s">
        <v>163</v>
      </c>
      <c r="H28" s="17"/>
    </row>
    <row r="29" spans="1:8" x14ac:dyDescent="0.25">
      <c r="B29" t="s">
        <v>164</v>
      </c>
      <c r="D29" s="17"/>
      <c r="F29" t="s">
        <v>165</v>
      </c>
    </row>
    <row r="30" spans="1:8" x14ac:dyDescent="0.25">
      <c r="B30" t="s">
        <v>166</v>
      </c>
      <c r="D30" s="17"/>
    </row>
    <row r="31" spans="1:8" x14ac:dyDescent="0.25">
      <c r="B31" t="s">
        <v>146</v>
      </c>
      <c r="D31" s="17"/>
    </row>
    <row r="33" spans="1:8" x14ac:dyDescent="0.25">
      <c r="B33" t="s">
        <v>149</v>
      </c>
      <c r="D33" s="18">
        <f>SUM(D27:D32)</f>
        <v>0</v>
      </c>
      <c r="F33" t="s">
        <v>149</v>
      </c>
      <c r="H33" s="18">
        <f>SUM(H27:H32)</f>
        <v>0</v>
      </c>
    </row>
    <row r="35" spans="1:8" x14ac:dyDescent="0.25">
      <c r="A35" t="s">
        <v>167</v>
      </c>
      <c r="D35" s="18">
        <f>SUM(D15+D23+D33)</f>
        <v>0</v>
      </c>
      <c r="E35" t="s">
        <v>168</v>
      </c>
      <c r="H35" s="18">
        <f>SUM(H15+H23+H33)</f>
        <v>0</v>
      </c>
    </row>
    <row r="38" spans="1:8" x14ac:dyDescent="0.25">
      <c r="A38" t="s">
        <v>169</v>
      </c>
      <c r="H38" s="18">
        <f>SUM(D35-H35)</f>
        <v>0</v>
      </c>
    </row>
    <row r="41" spans="1:8" x14ac:dyDescent="0.25">
      <c r="A41" t="s">
        <v>170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B4" sqref="B4"/>
    </sheetView>
  </sheetViews>
  <sheetFormatPr defaultRowHeight="12.5" x14ac:dyDescent="0.25"/>
  <cols>
    <col min="1" max="6" width="12.7265625" customWidth="1"/>
  </cols>
  <sheetData>
    <row r="1" spans="1:6" ht="13" x14ac:dyDescent="0.3">
      <c r="A1" s="1" t="s">
        <v>222</v>
      </c>
    </row>
    <row r="2" spans="1:6" ht="13" x14ac:dyDescent="0.3">
      <c r="A2" s="1"/>
    </row>
    <row r="3" spans="1:6" ht="13" x14ac:dyDescent="0.3">
      <c r="A3" s="1" t="s">
        <v>247</v>
      </c>
    </row>
    <row r="4" spans="1:6" ht="13" x14ac:dyDescent="0.3">
      <c r="A4" s="1"/>
    </row>
    <row r="5" spans="1:6" ht="13" x14ac:dyDescent="0.3">
      <c r="A5" s="1" t="s">
        <v>224</v>
      </c>
      <c r="B5" s="22">
        <v>0.19</v>
      </c>
      <c r="C5" t="s">
        <v>240</v>
      </c>
    </row>
    <row r="6" spans="1:6" ht="13" x14ac:dyDescent="0.3">
      <c r="A6" s="1" t="s">
        <v>243</v>
      </c>
      <c r="B6" s="22"/>
    </row>
    <row r="8" spans="1:6" ht="13" x14ac:dyDescent="0.3">
      <c r="A8" s="15" t="s">
        <v>226</v>
      </c>
      <c r="B8" s="15" t="s">
        <v>223</v>
      </c>
      <c r="C8" s="15" t="s">
        <v>228</v>
      </c>
      <c r="D8" s="15" t="s">
        <v>225</v>
      </c>
      <c r="E8" s="15"/>
      <c r="F8" s="15" t="s">
        <v>231</v>
      </c>
    </row>
    <row r="9" spans="1:6" ht="13" x14ac:dyDescent="0.3">
      <c r="A9" s="20" t="s">
        <v>227</v>
      </c>
      <c r="B9" s="21">
        <f>B5</f>
        <v>0.19</v>
      </c>
      <c r="C9" s="20" t="s">
        <v>229</v>
      </c>
      <c r="D9" s="20" t="s">
        <v>51</v>
      </c>
      <c r="E9" s="20" t="s">
        <v>230</v>
      </c>
      <c r="F9" s="20" t="s">
        <v>227</v>
      </c>
    </row>
    <row r="10" spans="1:6" x14ac:dyDescent="0.25">
      <c r="A10" s="26">
        <v>30000</v>
      </c>
      <c r="B10" s="27">
        <f>B5*A10</f>
        <v>5700</v>
      </c>
      <c r="C10" s="27">
        <f t="shared" ref="C10:C22" si="0">A10-B10</f>
        <v>24300</v>
      </c>
      <c r="D10" s="27">
        <f>C29</f>
        <v>0</v>
      </c>
      <c r="E10" s="27">
        <f>C10-D10</f>
        <v>24300</v>
      </c>
      <c r="F10" s="25">
        <f>E32</f>
        <v>0</v>
      </c>
    </row>
    <row r="11" spans="1:6" x14ac:dyDescent="0.25">
      <c r="A11" s="23">
        <v>35000</v>
      </c>
      <c r="B11" s="27">
        <f>B5*A11</f>
        <v>6650</v>
      </c>
      <c r="C11" s="27">
        <f t="shared" si="0"/>
        <v>28350</v>
      </c>
      <c r="D11" s="27">
        <f>C29</f>
        <v>0</v>
      </c>
      <c r="E11" s="27">
        <f t="shared" ref="E11:E22" si="1">C11-D11</f>
        <v>28350</v>
      </c>
      <c r="F11" s="25"/>
    </row>
    <row r="12" spans="1:6" x14ac:dyDescent="0.25">
      <c r="A12" s="23">
        <v>40000</v>
      </c>
      <c r="B12" s="27">
        <f>B5*A12</f>
        <v>7600</v>
      </c>
      <c r="C12" s="27">
        <f t="shared" si="0"/>
        <v>32400</v>
      </c>
      <c r="D12" s="27">
        <f>C29</f>
        <v>0</v>
      </c>
      <c r="E12" s="27">
        <f t="shared" si="1"/>
        <v>32400</v>
      </c>
      <c r="F12" s="25"/>
    </row>
    <row r="13" spans="1:6" x14ac:dyDescent="0.25">
      <c r="A13" s="23">
        <v>45000</v>
      </c>
      <c r="B13" s="27">
        <f>B5*A13</f>
        <v>8550</v>
      </c>
      <c r="C13" s="27">
        <f t="shared" si="0"/>
        <v>36450</v>
      </c>
      <c r="D13" s="27">
        <f>C29</f>
        <v>0</v>
      </c>
      <c r="E13" s="27">
        <f t="shared" si="1"/>
        <v>36450</v>
      </c>
      <c r="F13" s="25"/>
    </row>
    <row r="14" spans="1:6" x14ac:dyDescent="0.25">
      <c r="A14" s="23">
        <v>50000</v>
      </c>
      <c r="B14" s="27">
        <f>B5*A14</f>
        <v>9500</v>
      </c>
      <c r="C14" s="27">
        <f t="shared" si="0"/>
        <v>40500</v>
      </c>
      <c r="D14" s="27">
        <f>C29</f>
        <v>0</v>
      </c>
      <c r="E14" s="27">
        <f t="shared" si="1"/>
        <v>40500</v>
      </c>
      <c r="F14" s="25"/>
    </row>
    <row r="15" spans="1:6" x14ac:dyDescent="0.25">
      <c r="A15" s="23">
        <v>55000</v>
      </c>
      <c r="B15" s="27">
        <f>B5*A15</f>
        <v>10450</v>
      </c>
      <c r="C15" s="27">
        <f t="shared" si="0"/>
        <v>44550</v>
      </c>
      <c r="D15" s="27">
        <f>C29</f>
        <v>0</v>
      </c>
      <c r="E15" s="27">
        <f t="shared" si="1"/>
        <v>44550</v>
      </c>
      <c r="F15" s="25"/>
    </row>
    <row r="16" spans="1:6" x14ac:dyDescent="0.25">
      <c r="A16" s="23">
        <v>60000</v>
      </c>
      <c r="B16" s="27">
        <f>B5*A16</f>
        <v>11400</v>
      </c>
      <c r="C16" s="27">
        <f t="shared" si="0"/>
        <v>48600</v>
      </c>
      <c r="D16" s="27">
        <f>C29</f>
        <v>0</v>
      </c>
      <c r="E16" s="27">
        <f t="shared" si="1"/>
        <v>48600</v>
      </c>
      <c r="F16" s="25"/>
    </row>
    <row r="17" spans="1:6" x14ac:dyDescent="0.25">
      <c r="A17" s="23">
        <v>65000</v>
      </c>
      <c r="B17" s="27">
        <f>B5*A17</f>
        <v>12350</v>
      </c>
      <c r="C17" s="27">
        <f t="shared" si="0"/>
        <v>52650</v>
      </c>
      <c r="D17" s="27">
        <f>C29</f>
        <v>0</v>
      </c>
      <c r="E17" s="27">
        <f t="shared" si="1"/>
        <v>52650</v>
      </c>
      <c r="F17" s="25"/>
    </row>
    <row r="18" spans="1:6" x14ac:dyDescent="0.25">
      <c r="A18" s="23">
        <v>70000</v>
      </c>
      <c r="B18" s="27">
        <f>B5*A18</f>
        <v>13300</v>
      </c>
      <c r="C18" s="27">
        <f t="shared" si="0"/>
        <v>56700</v>
      </c>
      <c r="D18" s="27">
        <f>C29</f>
        <v>0</v>
      </c>
      <c r="E18" s="27">
        <f t="shared" si="1"/>
        <v>56700</v>
      </c>
      <c r="F18" s="25"/>
    </row>
    <row r="19" spans="1:6" x14ac:dyDescent="0.25">
      <c r="A19" s="23">
        <v>75000</v>
      </c>
      <c r="B19" s="27">
        <f>B5*A19</f>
        <v>14250</v>
      </c>
      <c r="C19" s="27">
        <f t="shared" si="0"/>
        <v>60750</v>
      </c>
      <c r="D19" s="27">
        <f>C29</f>
        <v>0</v>
      </c>
      <c r="E19" s="27">
        <f t="shared" si="1"/>
        <v>60750</v>
      </c>
      <c r="F19" s="25"/>
    </row>
    <row r="20" spans="1:6" x14ac:dyDescent="0.25">
      <c r="A20" s="23">
        <v>80000</v>
      </c>
      <c r="B20" s="27">
        <f>B5*A20</f>
        <v>15200</v>
      </c>
      <c r="C20" s="27">
        <f t="shared" si="0"/>
        <v>64800</v>
      </c>
      <c r="D20" s="27">
        <f>C29</f>
        <v>0</v>
      </c>
      <c r="E20" s="27">
        <f t="shared" si="1"/>
        <v>64800</v>
      </c>
      <c r="F20" s="25"/>
    </row>
    <row r="21" spans="1:6" x14ac:dyDescent="0.25">
      <c r="A21" s="23">
        <v>85000</v>
      </c>
      <c r="B21" s="27">
        <f>B5*A21</f>
        <v>16150</v>
      </c>
      <c r="C21" s="27">
        <f t="shared" si="0"/>
        <v>68850</v>
      </c>
      <c r="D21" s="27">
        <f>C29</f>
        <v>0</v>
      </c>
      <c r="E21" s="27">
        <f t="shared" si="1"/>
        <v>68850</v>
      </c>
      <c r="F21" s="25"/>
    </row>
    <row r="22" spans="1:6" x14ac:dyDescent="0.25">
      <c r="A22" s="23">
        <v>90000</v>
      </c>
      <c r="B22" s="27">
        <f>B5*A22</f>
        <v>17100</v>
      </c>
      <c r="C22" s="27">
        <f t="shared" si="0"/>
        <v>72900</v>
      </c>
      <c r="D22" s="27">
        <f>C29</f>
        <v>0</v>
      </c>
      <c r="E22" s="27">
        <f t="shared" si="1"/>
        <v>72900</v>
      </c>
      <c r="F22" s="25"/>
    </row>
    <row r="25" spans="1:6" ht="13.5" thickBot="1" x14ac:dyDescent="0.35">
      <c r="A25" s="1" t="s">
        <v>232</v>
      </c>
      <c r="B25" s="1"/>
    </row>
    <row r="26" spans="1:6" ht="13.5" thickBot="1" x14ac:dyDescent="0.35">
      <c r="A26" s="1" t="s">
        <v>233</v>
      </c>
      <c r="B26" s="1"/>
      <c r="C26" s="29"/>
      <c r="E26" t="s">
        <v>244</v>
      </c>
    </row>
    <row r="27" spans="1:6" ht="13.5" thickBot="1" x14ac:dyDescent="0.35">
      <c r="A27" s="1" t="s">
        <v>234</v>
      </c>
      <c r="B27" s="1"/>
      <c r="C27" s="29"/>
      <c r="E27" t="s">
        <v>245</v>
      </c>
    </row>
    <row r="28" spans="1:6" ht="14.5" thickBot="1" x14ac:dyDescent="0.45">
      <c r="A28" s="1" t="s">
        <v>235</v>
      </c>
      <c r="B28" s="1"/>
      <c r="C28" s="30"/>
      <c r="E28" t="s">
        <v>246</v>
      </c>
    </row>
    <row r="29" spans="1:6" ht="13" x14ac:dyDescent="0.3">
      <c r="A29" s="1"/>
      <c r="B29" s="1" t="s">
        <v>236</v>
      </c>
      <c r="C29" s="24">
        <f>C26-C27+C28</f>
        <v>0</v>
      </c>
    </row>
    <row r="31" spans="1:6" ht="13" x14ac:dyDescent="0.3">
      <c r="A31" s="1" t="s">
        <v>237</v>
      </c>
    </row>
    <row r="32" spans="1:6" x14ac:dyDescent="0.25">
      <c r="A32" s="24">
        <f>C29</f>
        <v>0</v>
      </c>
      <c r="B32" s="14" t="s">
        <v>238</v>
      </c>
      <c r="C32" s="28">
        <f>100%-B5</f>
        <v>0.81</v>
      </c>
      <c r="D32" s="14" t="s">
        <v>239</v>
      </c>
      <c r="E32" s="24">
        <f>C29/C32</f>
        <v>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Income Statement (1 YR)</vt:lpstr>
      <vt:lpstr>Cash Flow (1 YR)</vt:lpstr>
      <vt:lpstr>Income Statement (5 YR)</vt:lpstr>
      <vt:lpstr>Cash Flow (5 YR)</vt:lpstr>
      <vt:lpstr>Balance Sheet</vt:lpstr>
      <vt:lpstr>Personal Balance Sheet</vt:lpstr>
      <vt:lpstr>Break Even</vt:lpstr>
      <vt:lpstr>'Income Statement (1 YR)'!Print_Area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Glennis McClure</dc:creator>
  <cp:lastModifiedBy>Carina Negreanu</cp:lastModifiedBy>
  <cp:lastPrinted>2001-11-27T20:36:01Z</cp:lastPrinted>
  <dcterms:created xsi:type="dcterms:W3CDTF">1999-07-16T15:41:45Z</dcterms:created>
  <dcterms:modified xsi:type="dcterms:W3CDTF">2020-01-27T10:29:37Z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516423064</vt:i4>
  </property>
  <property fmtid="{D5CDD505-2E9C-101B-9397-08002B2CF9AE}" pid="3" name="_EmailSubject">
    <vt:lpwstr>Web Site</vt:lpwstr>
  </property>
  <property fmtid="{D5CDD505-2E9C-101B-9397-08002B2CF9AE}" pid="4" name="_AuthorEmail">
    <vt:lpwstr>jeffr@alltel.net</vt:lpwstr>
  </property>
  <property fmtid="{D5CDD505-2E9C-101B-9397-08002B2CF9AE}" pid="5" name="_AuthorEmailDisplayName">
    <vt:lpwstr>Jeff Reynolds</vt:lpwstr>
  </property>
  <property fmtid="{D5CDD505-2E9C-101B-9397-08002B2CF9AE}" pid="6" name="_ReviewingToolsShownOnce">
    <vt:lpwstr/>
  </property>
</Properties>
</file>