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52D235-8D35-47D8-AE8D-ECCFFA7F2EE2}" xr6:coauthVersionLast="45" xr6:coauthVersionMax="45" xr10:uidLastSave="{00000000-0000-0000-0000-000000000000}"/>
  <bookViews>
    <workbookView xWindow="3420" yWindow="3420" windowWidth="28800" windowHeight="15460"/>
  </bookViews>
  <sheets>
    <sheet name="LSC Calibration Sheet" sheetId="12" r:id="rId1"/>
    <sheet name="Example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D16" i="1"/>
  <c r="B17" i="1"/>
  <c r="B18" i="1" s="1"/>
  <c r="B19" i="1" s="1"/>
  <c r="B20" i="1" s="1"/>
  <c r="B16" i="12"/>
  <c r="D16" i="12"/>
  <c r="B17" i="12"/>
  <c r="B18" i="12"/>
  <c r="B19" i="12"/>
  <c r="B20" i="12"/>
</calcChain>
</file>

<file path=xl/sharedStrings.xml><?xml version="1.0" encoding="utf-8"?>
<sst xmlns="http://schemas.openxmlformats.org/spreadsheetml/2006/main" count="68" uniqueCount="34">
  <si>
    <t>Liquid Waste Efficiency Calibration for Liquid Scintillation Counters</t>
  </si>
  <si>
    <t>Background Counts/Minute:</t>
  </si>
  <si>
    <t>Initial Sample Counts/Minute:</t>
  </si>
  <si>
    <t>Spiked Sample Counts/Minute:</t>
  </si>
  <si>
    <t>Date:</t>
  </si>
  <si>
    <t>Efficiency in Counts/Disintegration:</t>
  </si>
  <si>
    <t>Isotope:</t>
  </si>
  <si>
    <t>ml</t>
  </si>
  <si>
    <t>cpm</t>
  </si>
  <si>
    <t>dpm</t>
  </si>
  <si>
    <t>c/d</t>
  </si>
  <si>
    <t>%</t>
  </si>
  <si>
    <t>LSC Sample Volume:</t>
  </si>
  <si>
    <t>Waste Voume:</t>
  </si>
  <si>
    <t>Waste Concentration:</t>
  </si>
  <si>
    <t>Waste Activity:</t>
  </si>
  <si>
    <t>P-32</t>
  </si>
  <si>
    <t>LSC Sample Activity:</t>
  </si>
  <si>
    <t>dpm/ml</t>
  </si>
  <si>
    <t>mCi</t>
  </si>
  <si>
    <t>Activity recorded in Inventory Records:</t>
  </si>
  <si>
    <t>Difference from Recorded Value:</t>
  </si>
  <si>
    <t>Waste Constituents:</t>
  </si>
  <si>
    <t>LSC Cocktail Used:</t>
  </si>
  <si>
    <t>100 % buffer solution</t>
  </si>
  <si>
    <t>Ecoscint</t>
  </si>
  <si>
    <t>Please print, keep copy with your inventory records and send to EH&amp;S.</t>
  </si>
  <si>
    <t>Permit Holder:</t>
  </si>
  <si>
    <t>Tom Mcgiff</t>
  </si>
  <si>
    <t>Please print, keep a copy with your inventory records and send a copy to EH&amp;S.</t>
  </si>
  <si>
    <r>
      <t>m</t>
    </r>
    <r>
      <rPr>
        <sz val="12"/>
        <rFont val="Times New Roman"/>
        <family val="1"/>
      </rPr>
      <t>Ci</t>
    </r>
  </si>
  <si>
    <t xml:space="preserve"> Spike Activity:</t>
  </si>
  <si>
    <t>Liquid Waste Efficiency Calibration for Liquid Scintillation Counters - Example</t>
  </si>
  <si>
    <t>Spike Activity: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</si>
</sst>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Times New Roman"/>
    </font>
    <font>
      <b/>
      <sz val="1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B14" sqref="B14"/>
    </sheetView>
  </sheetViews>
  <sheetFormatPr defaultRowHeight="13" x14ac:dyDescent="0.3"/>
  <cols>
    <col min="1" max="1" width="40.69921875" customWidth="1"/>
    <col min="2" max="2" width="17.296875" style="2" customWidth="1"/>
    <col min="3" max="3" width="9.296875" style="3" customWidth="1"/>
    <col min="4" max="4" width="11.5" style="2" customWidth="1"/>
    <col min="5" max="5" width="9.296875" style="3" customWidth="1"/>
    <col min="7" max="7" width="9.69921875" bestFit="1" customWidth="1"/>
  </cols>
  <sheetData>
    <row r="1" spans="1:7" s="1" customFormat="1" ht="15" x14ac:dyDescent="0.3">
      <c r="A1" s="8" t="s">
        <v>0</v>
      </c>
      <c r="B1" s="9"/>
      <c r="C1" s="10"/>
      <c r="D1" s="9"/>
      <c r="E1" s="10"/>
      <c r="F1" s="8"/>
    </row>
    <row r="2" spans="1:7" ht="15.5" x14ac:dyDescent="0.35">
      <c r="A2" s="11"/>
      <c r="B2" s="12"/>
      <c r="C2" s="13"/>
      <c r="D2" s="12"/>
      <c r="E2" s="13"/>
      <c r="F2" s="11"/>
    </row>
    <row r="3" spans="1:7" ht="15.5" x14ac:dyDescent="0.35">
      <c r="A3" s="11" t="s">
        <v>4</v>
      </c>
      <c r="B3" s="14"/>
      <c r="C3" s="13"/>
      <c r="D3" s="12"/>
      <c r="E3" s="13"/>
      <c r="F3" s="11"/>
    </row>
    <row r="4" spans="1:7" ht="15.5" x14ac:dyDescent="0.35">
      <c r="A4" s="11" t="s">
        <v>27</v>
      </c>
      <c r="B4" s="16"/>
      <c r="C4" s="13"/>
      <c r="D4" s="12"/>
      <c r="E4" s="13"/>
      <c r="F4" s="11"/>
    </row>
    <row r="5" spans="1:7" ht="15.5" x14ac:dyDescent="0.35">
      <c r="A5" s="11" t="s">
        <v>6</v>
      </c>
      <c r="B5" s="12"/>
      <c r="C5" s="13"/>
      <c r="D5" s="12"/>
      <c r="E5" s="13"/>
      <c r="F5" s="11"/>
    </row>
    <row r="6" spans="1:7" ht="15.5" x14ac:dyDescent="0.35">
      <c r="A6" s="11" t="s">
        <v>22</v>
      </c>
      <c r="B6" s="13"/>
      <c r="C6" s="13"/>
      <c r="D6" s="12"/>
      <c r="E6" s="13"/>
      <c r="F6" s="11"/>
    </row>
    <row r="7" spans="1:7" ht="15.5" x14ac:dyDescent="0.35">
      <c r="A7" s="11" t="s">
        <v>23</v>
      </c>
      <c r="B7" s="13"/>
      <c r="C7" s="13"/>
      <c r="D7" s="12"/>
      <c r="E7" s="13"/>
      <c r="F7" s="11"/>
    </row>
    <row r="8" spans="1:7" ht="15.5" x14ac:dyDescent="0.35">
      <c r="A8" s="11" t="s">
        <v>12</v>
      </c>
      <c r="B8" s="12"/>
      <c r="C8" s="13" t="s">
        <v>7</v>
      </c>
      <c r="D8" s="12"/>
      <c r="E8" s="13"/>
      <c r="F8" s="11"/>
    </row>
    <row r="9" spans="1:7" ht="15.5" x14ac:dyDescent="0.35">
      <c r="A9" s="11" t="s">
        <v>13</v>
      </c>
      <c r="B9" s="12"/>
      <c r="C9" s="13" t="s">
        <v>7</v>
      </c>
      <c r="D9" s="12"/>
      <c r="E9" s="13"/>
      <c r="F9" s="11"/>
    </row>
    <row r="10" spans="1:7" ht="15.5" x14ac:dyDescent="0.35">
      <c r="A10" s="11" t="s">
        <v>20</v>
      </c>
      <c r="B10" s="12"/>
      <c r="C10" s="13" t="s">
        <v>19</v>
      </c>
      <c r="D10" s="12"/>
      <c r="E10" s="13"/>
      <c r="F10" s="11"/>
    </row>
    <row r="11" spans="1:7" ht="15.5" x14ac:dyDescent="0.35">
      <c r="A11" s="11" t="s">
        <v>1</v>
      </c>
      <c r="B11" s="12"/>
      <c r="C11" s="13" t="s">
        <v>8</v>
      </c>
      <c r="D11" s="12"/>
      <c r="E11" s="13"/>
      <c r="F11" s="11"/>
    </row>
    <row r="12" spans="1:7" ht="15.5" x14ac:dyDescent="0.35">
      <c r="A12" s="11" t="s">
        <v>2</v>
      </c>
      <c r="B12" s="15"/>
      <c r="C12" s="13" t="s">
        <v>8</v>
      </c>
      <c r="D12" s="12"/>
      <c r="E12" s="13"/>
      <c r="F12" s="11"/>
      <c r="G12" s="4"/>
    </row>
    <row r="13" spans="1:7" ht="15.5" x14ac:dyDescent="0.35">
      <c r="A13" s="11" t="s">
        <v>3</v>
      </c>
      <c r="B13" s="15"/>
      <c r="C13" s="13" t="s">
        <v>8</v>
      </c>
      <c r="D13" s="12"/>
      <c r="E13" s="13"/>
      <c r="F13" s="11"/>
    </row>
    <row r="14" spans="1:7" ht="15.5" x14ac:dyDescent="0.35">
      <c r="A14" s="11" t="s">
        <v>31</v>
      </c>
      <c r="B14" s="15">
        <v>0.25</v>
      </c>
      <c r="C14" s="17" t="s">
        <v>30</v>
      </c>
      <c r="D14" s="12"/>
      <c r="E14" s="13"/>
      <c r="F14" s="11"/>
    </row>
    <row r="15" spans="1:7" ht="15.5" x14ac:dyDescent="0.35">
      <c r="A15" s="11"/>
      <c r="B15" s="12"/>
      <c r="C15" s="13"/>
      <c r="D15" s="12"/>
      <c r="E15" s="13"/>
      <c r="F15" s="11"/>
    </row>
    <row r="16" spans="1:7" s="1" customFormat="1" ht="15" x14ac:dyDescent="0.3">
      <c r="A16" s="8" t="s">
        <v>5</v>
      </c>
      <c r="B16" s="9" t="str">
        <f>IF(B8=0,"",IF(B9=0,"",IF(B10=0,"",IF(B11=0,"",IF(B12=0,"",IF(B13=0,"",IF(B14=0,"",(B13-B12)/(B14*2220000))))))))</f>
        <v/>
      </c>
      <c r="C16" s="10" t="s">
        <v>10</v>
      </c>
      <c r="D16" s="9" t="str">
        <f>IF(B8=0,"",IF(B9=0,"",IF(B10=0,"",IF(B11=0,"",IF(B12=0,"",IF(B13=0,"",IF(B14=0,"",B16*100)))))))</f>
        <v/>
      </c>
      <c r="E16" s="10" t="s">
        <v>11</v>
      </c>
      <c r="F16" s="8"/>
    </row>
    <row r="17" spans="1:6" ht="15.5" x14ac:dyDescent="0.35">
      <c r="A17" s="11" t="s">
        <v>17</v>
      </c>
      <c r="B17" s="12" t="str">
        <f>IF(B8=0,"",IF(B9=0,"",IF(B10=0,"",IF(B11=0,"",IF(B12=0,"",IF(B13=0,"",IF(B14=0,"",(B12-B11)/B16)))))))</f>
        <v/>
      </c>
      <c r="C17" s="13" t="s">
        <v>9</v>
      </c>
      <c r="D17" s="12"/>
      <c r="E17" s="13"/>
      <c r="F17" s="11"/>
    </row>
    <row r="18" spans="1:6" ht="15.5" x14ac:dyDescent="0.35">
      <c r="A18" s="11" t="s">
        <v>14</v>
      </c>
      <c r="B18" s="12" t="str">
        <f>IF(B8=0,"",IF(B9=0,"",IF(B10=0,"",IF(B11=0,"",IF(B12=0,"",IF(B13=0,"",IF(B14=0,"",B17/B8)))))))</f>
        <v/>
      </c>
      <c r="C18" s="13" t="s">
        <v>18</v>
      </c>
      <c r="D18" s="12"/>
      <c r="E18" s="13"/>
      <c r="F18" s="11"/>
    </row>
    <row r="19" spans="1:6" s="1" customFormat="1" ht="15" x14ac:dyDescent="0.3">
      <c r="A19" s="8" t="s">
        <v>15</v>
      </c>
      <c r="B19" s="9" t="str">
        <f>IF(B8=0,"",IF(B9=0,"",IF(B10=0,"",IF(B11=0,"",IF(B12=0,"",IF(B13=0,"",IF(B14=0,"",B18*B9/2220000000)))))))</f>
        <v/>
      </c>
      <c r="C19" s="10" t="s">
        <v>19</v>
      </c>
      <c r="D19" s="9"/>
      <c r="E19" s="10"/>
      <c r="F19" s="8"/>
    </row>
    <row r="20" spans="1:6" s="1" customFormat="1" ht="15" x14ac:dyDescent="0.3">
      <c r="A20" s="8" t="s">
        <v>21</v>
      </c>
      <c r="B20" s="9" t="str">
        <f>IF(B8=0,"",IF(B9=0,"",IF(B10=0,"",IF(B11=0,"",IF(B12=0,"",IF(B13=0,"",IF(B14=0,"",100*(B10-B19)/B19)))))))</f>
        <v/>
      </c>
      <c r="C20" s="10" t="s">
        <v>11</v>
      </c>
      <c r="D20" s="9"/>
      <c r="E20" s="10"/>
      <c r="F20" s="8"/>
    </row>
    <row r="21" spans="1:6" ht="15.5" x14ac:dyDescent="0.35">
      <c r="A21" s="11"/>
      <c r="B21" s="12"/>
      <c r="C21" s="13"/>
      <c r="D21" s="12"/>
      <c r="E21" s="13"/>
      <c r="F21" s="11"/>
    </row>
    <row r="22" spans="1:6" ht="15.5" x14ac:dyDescent="0.35">
      <c r="A22" s="8" t="s">
        <v>26</v>
      </c>
      <c r="B22" s="12"/>
      <c r="C22" s="13"/>
      <c r="D22" s="12"/>
      <c r="E22" s="13"/>
      <c r="F22" s="11"/>
    </row>
    <row r="23" spans="1:6" ht="18" x14ac:dyDescent="0.4">
      <c r="A23" s="5"/>
      <c r="B23" s="6"/>
      <c r="C23" s="7"/>
      <c r="D23" s="6"/>
      <c r="E23" s="7"/>
      <c r="F23" s="5"/>
    </row>
    <row r="24" spans="1:6" ht="18" x14ac:dyDescent="0.4">
      <c r="A24" s="5"/>
      <c r="B24" s="6"/>
      <c r="C24" s="7"/>
      <c r="D24" s="6"/>
      <c r="E24" s="7"/>
      <c r="F24" s="5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B17" sqref="B17"/>
    </sheetView>
  </sheetViews>
  <sheetFormatPr defaultRowHeight="13" x14ac:dyDescent="0.3"/>
  <cols>
    <col min="1" max="1" width="40.69921875" customWidth="1"/>
    <col min="2" max="2" width="17.296875" style="2" customWidth="1"/>
    <col min="3" max="3" width="9.296875" style="3" customWidth="1"/>
    <col min="4" max="4" width="11.5" style="2" customWidth="1"/>
    <col min="5" max="5" width="9.296875" style="3" customWidth="1"/>
    <col min="7" max="7" width="9.69921875" bestFit="1" customWidth="1"/>
  </cols>
  <sheetData>
    <row r="1" spans="1:7" s="1" customFormat="1" ht="15" x14ac:dyDescent="0.3">
      <c r="A1" s="8" t="s">
        <v>32</v>
      </c>
      <c r="B1" s="9"/>
      <c r="C1" s="10"/>
      <c r="D1" s="9"/>
      <c r="E1" s="10"/>
      <c r="F1" s="8"/>
    </row>
    <row r="2" spans="1:7" ht="15.5" x14ac:dyDescent="0.35">
      <c r="A2" s="11"/>
      <c r="B2" s="12"/>
      <c r="C2" s="13"/>
      <c r="D2" s="12"/>
      <c r="E2" s="13"/>
      <c r="F2" s="11"/>
    </row>
    <row r="3" spans="1:7" ht="15.5" x14ac:dyDescent="0.35">
      <c r="A3" s="11" t="s">
        <v>4</v>
      </c>
      <c r="B3" s="14">
        <v>37316</v>
      </c>
      <c r="C3" s="13"/>
      <c r="D3" s="12"/>
      <c r="E3" s="13"/>
      <c r="F3" s="11"/>
    </row>
    <row r="4" spans="1:7" ht="15.5" x14ac:dyDescent="0.35">
      <c r="A4" s="11" t="s">
        <v>27</v>
      </c>
      <c r="B4" s="16" t="s">
        <v>28</v>
      </c>
      <c r="C4" s="13"/>
      <c r="D4" s="12"/>
      <c r="E4" s="13"/>
      <c r="F4" s="11"/>
    </row>
    <row r="5" spans="1:7" ht="15.5" x14ac:dyDescent="0.35">
      <c r="A5" s="11" t="s">
        <v>6</v>
      </c>
      <c r="B5" s="12" t="s">
        <v>16</v>
      </c>
      <c r="C5" s="13"/>
      <c r="D5" s="12"/>
      <c r="E5" s="13"/>
      <c r="F5" s="11"/>
    </row>
    <row r="6" spans="1:7" ht="15.5" x14ac:dyDescent="0.35">
      <c r="A6" s="11" t="s">
        <v>22</v>
      </c>
      <c r="B6" s="13" t="s">
        <v>24</v>
      </c>
      <c r="C6" s="13"/>
      <c r="D6" s="12"/>
      <c r="E6" s="13"/>
      <c r="F6" s="11"/>
    </row>
    <row r="7" spans="1:7" ht="15.5" x14ac:dyDescent="0.35">
      <c r="A7" s="11" t="s">
        <v>23</v>
      </c>
      <c r="B7" s="13" t="s">
        <v>25</v>
      </c>
      <c r="C7" s="13"/>
      <c r="D7" s="12"/>
      <c r="E7" s="13"/>
      <c r="F7" s="11"/>
    </row>
    <row r="8" spans="1:7" ht="15.5" x14ac:dyDescent="0.35">
      <c r="A8" s="11" t="s">
        <v>12</v>
      </c>
      <c r="B8" s="12">
        <v>0.1</v>
      </c>
      <c r="C8" s="13" t="s">
        <v>7</v>
      </c>
      <c r="D8" s="12"/>
      <c r="E8" s="13"/>
      <c r="F8" s="11"/>
    </row>
    <row r="9" spans="1:7" ht="15.5" x14ac:dyDescent="0.35">
      <c r="A9" s="11" t="s">
        <v>13</v>
      </c>
      <c r="B9" s="12">
        <v>1000</v>
      </c>
      <c r="C9" s="13" t="s">
        <v>7</v>
      </c>
      <c r="D9" s="12"/>
      <c r="E9" s="13"/>
      <c r="F9" s="11"/>
    </row>
    <row r="10" spans="1:7" ht="15.5" x14ac:dyDescent="0.35">
      <c r="A10" s="11" t="s">
        <v>20</v>
      </c>
      <c r="B10" s="12">
        <v>1</v>
      </c>
      <c r="C10" s="13" t="s">
        <v>19</v>
      </c>
      <c r="D10" s="12"/>
      <c r="E10" s="13"/>
      <c r="F10" s="11"/>
    </row>
    <row r="11" spans="1:7" ht="15.5" x14ac:dyDescent="0.35">
      <c r="A11" s="11" t="s">
        <v>1</v>
      </c>
      <c r="B11" s="12">
        <v>50</v>
      </c>
      <c r="C11" s="13" t="s">
        <v>8</v>
      </c>
      <c r="D11" s="12"/>
      <c r="E11" s="13"/>
      <c r="F11" s="11"/>
    </row>
    <row r="12" spans="1:7" ht="15.5" x14ac:dyDescent="0.35">
      <c r="A12" s="11" t="s">
        <v>2</v>
      </c>
      <c r="B12" s="15">
        <v>200000</v>
      </c>
      <c r="C12" s="13" t="s">
        <v>8</v>
      </c>
      <c r="D12" s="12"/>
      <c r="E12" s="13"/>
      <c r="F12" s="11"/>
      <c r="G12" s="4"/>
    </row>
    <row r="13" spans="1:7" ht="15.5" x14ac:dyDescent="0.35">
      <c r="A13" s="11" t="s">
        <v>3</v>
      </c>
      <c r="B13" s="15">
        <v>700000</v>
      </c>
      <c r="C13" s="13" t="s">
        <v>8</v>
      </c>
      <c r="D13" s="12"/>
      <c r="E13" s="13"/>
      <c r="F13" s="11"/>
    </row>
    <row r="14" spans="1:7" ht="15.5" x14ac:dyDescent="0.35">
      <c r="A14" s="11" t="s">
        <v>33</v>
      </c>
      <c r="B14" s="15">
        <v>0.25</v>
      </c>
      <c r="C14" s="17" t="s">
        <v>30</v>
      </c>
      <c r="D14" s="12"/>
      <c r="E14" s="13"/>
      <c r="F14" s="11"/>
    </row>
    <row r="15" spans="1:7" ht="15.5" x14ac:dyDescent="0.35">
      <c r="A15" s="11"/>
      <c r="B15" s="12"/>
      <c r="C15" s="13"/>
      <c r="D15" s="12"/>
      <c r="E15" s="13"/>
      <c r="F15" s="11"/>
    </row>
    <row r="16" spans="1:7" s="1" customFormat="1" ht="15" x14ac:dyDescent="0.3">
      <c r="A16" s="8" t="s">
        <v>5</v>
      </c>
      <c r="B16" s="18">
        <f>IF(B14=0,"",(B13-B12)/(B14*2220000))</f>
        <v>0.90090090090090091</v>
      </c>
      <c r="C16" s="10" t="s">
        <v>10</v>
      </c>
      <c r="D16" s="9">
        <f>IF(B16=0,"",B16*100)</f>
        <v>90.090090090090087</v>
      </c>
      <c r="E16" s="10" t="s">
        <v>11</v>
      </c>
      <c r="F16" s="8"/>
    </row>
    <row r="17" spans="1:6" ht="15.5" x14ac:dyDescent="0.35">
      <c r="A17" s="11" t="s">
        <v>17</v>
      </c>
      <c r="B17" s="12">
        <f>IF(B16=0,"",(B12-B11)/B16)</f>
        <v>221944.5</v>
      </c>
      <c r="C17" s="13" t="s">
        <v>9</v>
      </c>
      <c r="D17" s="12"/>
      <c r="E17" s="13"/>
      <c r="F17" s="11"/>
    </row>
    <row r="18" spans="1:6" ht="15.5" x14ac:dyDescent="0.35">
      <c r="A18" s="11" t="s">
        <v>14</v>
      </c>
      <c r="B18" s="12">
        <f>IF(B8=0,"",B17/B8)</f>
        <v>2219445</v>
      </c>
      <c r="C18" s="13" t="s">
        <v>18</v>
      </c>
      <c r="D18" s="12"/>
      <c r="E18" s="13"/>
      <c r="F18" s="11"/>
    </row>
    <row r="19" spans="1:6" s="1" customFormat="1" ht="15" x14ac:dyDescent="0.3">
      <c r="A19" s="8" t="s">
        <v>15</v>
      </c>
      <c r="B19" s="9">
        <f>IF(B18=0,"",B18*B9/2220000000)</f>
        <v>0.99975000000000003</v>
      </c>
      <c r="C19" s="10" t="s">
        <v>19</v>
      </c>
      <c r="D19" s="9"/>
      <c r="E19" s="10"/>
      <c r="F19" s="8"/>
    </row>
    <row r="20" spans="1:6" s="1" customFormat="1" ht="15" x14ac:dyDescent="0.3">
      <c r="A20" s="8" t="s">
        <v>21</v>
      </c>
      <c r="B20" s="9">
        <f>IF(B19=0,"",100*(B10-B19)/B19)</f>
        <v>2.5006251562887969E-2</v>
      </c>
      <c r="C20" s="10" t="s">
        <v>11</v>
      </c>
      <c r="D20" s="9"/>
      <c r="E20" s="10"/>
      <c r="F20" s="8"/>
    </row>
    <row r="21" spans="1:6" ht="15.5" x14ac:dyDescent="0.35">
      <c r="A21" s="11"/>
      <c r="B21" s="12"/>
      <c r="C21" s="13"/>
      <c r="D21" s="12"/>
      <c r="E21" s="13"/>
      <c r="F21" s="11"/>
    </row>
    <row r="22" spans="1:6" ht="15.5" x14ac:dyDescent="0.35">
      <c r="A22" s="8" t="s">
        <v>29</v>
      </c>
      <c r="B22" s="12"/>
      <c r="C22" s="13"/>
      <c r="D22" s="12"/>
      <c r="E22" s="13"/>
      <c r="F22" s="11"/>
    </row>
    <row r="23" spans="1:6" ht="18" x14ac:dyDescent="0.4">
      <c r="A23" s="5"/>
      <c r="B23" s="6"/>
      <c r="C23" s="7"/>
      <c r="D23" s="6"/>
      <c r="E23" s="7"/>
      <c r="F23" s="5"/>
    </row>
    <row r="24" spans="1:6" ht="18" x14ac:dyDescent="0.4">
      <c r="A24" s="5"/>
      <c r="B24" s="6"/>
      <c r="C24" s="7"/>
      <c r="D24" s="6"/>
      <c r="E24" s="7"/>
      <c r="F24" s="5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LSC Calibration Sheet</vt:lpstr>
      <vt:lpstr>Example Sheet</vt:lpstr>
    </vt:vector>
  </TitlesOfParts>
  <Company>Cornell University / EH&amp;S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Lorna Hubble</dc:creator>
  <cp:lastModifiedBy>Carina Negreanu</cp:lastModifiedBy>
  <cp:lastPrinted>2001-12-11T21:36:31Z</cp:lastPrinted>
  <dcterms:created xsi:type="dcterms:W3CDTF">2001-12-03T20:05:56Z</dcterms:created>
  <dcterms:modified xsi:type="dcterms:W3CDTF">2020-01-27T10:31:59Z</dcterms:modified>
</cp:coreProperties>
</file>