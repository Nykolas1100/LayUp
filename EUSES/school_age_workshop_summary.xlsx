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6E50BFC3-3871-4C38-9E53-0EA7718D9D20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externalReferences>
    <externalReference r:id="rId4"/>
  </externalReferenc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9" i="1" l="1"/>
  <c r="T9" i="1" s="1"/>
  <c r="V9" i="1"/>
  <c r="Z9" i="1"/>
  <c r="AB9" i="1"/>
  <c r="AD9" i="1"/>
  <c r="AG9" i="1"/>
  <c r="R10" i="1"/>
  <c r="X10" i="1" s="1"/>
  <c r="T10" i="1"/>
  <c r="V10" i="1"/>
  <c r="Z10" i="1"/>
  <c r="R11" i="1"/>
  <c r="V11" i="1" s="1"/>
  <c r="T11" i="1"/>
  <c r="R12" i="1"/>
  <c r="T12" i="1"/>
  <c r="V12" i="1"/>
  <c r="AF12" i="1" s="1"/>
  <c r="X12" i="1"/>
  <c r="Z12" i="1"/>
  <c r="AB12" i="1"/>
  <c r="AD12" i="1"/>
  <c r="AG12" i="1"/>
  <c r="R13" i="1"/>
  <c r="Z13" i="1" s="1"/>
  <c r="T13" i="1"/>
  <c r="V13" i="1"/>
  <c r="X13" i="1"/>
  <c r="R14" i="1"/>
  <c r="T14" i="1"/>
  <c r="V14" i="1"/>
  <c r="X14" i="1"/>
  <c r="Z14" i="1"/>
  <c r="AF14" i="1" s="1"/>
  <c r="AB14" i="1"/>
  <c r="AD14" i="1"/>
  <c r="AG14" i="1"/>
  <c r="R15" i="1"/>
  <c r="AD15" i="1" s="1"/>
  <c r="T15" i="1"/>
  <c r="V15" i="1"/>
  <c r="X15" i="1"/>
  <c r="Z15" i="1"/>
  <c r="AB15" i="1"/>
  <c r="F16" i="1"/>
  <c r="H16" i="1"/>
  <c r="J16" i="1"/>
  <c r="L16" i="1"/>
  <c r="N16" i="1"/>
  <c r="P16" i="1"/>
  <c r="R16" i="1"/>
  <c r="X16" i="1" s="1"/>
  <c r="T16" i="1"/>
  <c r="V16" i="1"/>
  <c r="Z16" i="1"/>
  <c r="R25" i="1"/>
  <c r="V25" i="1" s="1"/>
  <c r="T25" i="1"/>
  <c r="R26" i="1"/>
  <c r="T26" i="1"/>
  <c r="V26" i="1"/>
  <c r="AF26" i="1" s="1"/>
  <c r="X26" i="1"/>
  <c r="Z26" i="1"/>
  <c r="AB26" i="1"/>
  <c r="AD26" i="1"/>
  <c r="AG26" i="1"/>
  <c r="R27" i="1"/>
  <c r="Z27" i="1" s="1"/>
  <c r="T27" i="1"/>
  <c r="V27" i="1"/>
  <c r="X27" i="1"/>
  <c r="R28" i="1"/>
  <c r="T28" i="1"/>
  <c r="V28" i="1"/>
  <c r="X28" i="1"/>
  <c r="Z28" i="1"/>
  <c r="AB28" i="1"/>
  <c r="AF28" i="1" s="1"/>
  <c r="AD28" i="1"/>
  <c r="AG28" i="1"/>
  <c r="R29" i="1"/>
  <c r="AD29" i="1" s="1"/>
  <c r="T29" i="1"/>
  <c r="V29" i="1"/>
  <c r="X29" i="1"/>
  <c r="Z29" i="1"/>
  <c r="AB29" i="1"/>
  <c r="R30" i="1"/>
  <c r="T30" i="1"/>
  <c r="V30" i="1"/>
  <c r="X30" i="1"/>
  <c r="Z30" i="1"/>
  <c r="AB30" i="1"/>
  <c r="AD30" i="1"/>
  <c r="AF30" i="1"/>
  <c r="AG30" i="1"/>
  <c r="R31" i="1"/>
  <c r="AG31" i="1" s="1"/>
  <c r="T31" i="1"/>
  <c r="AD31" i="1"/>
  <c r="F32" i="1"/>
  <c r="H32" i="1"/>
  <c r="R32" i="1" s="1"/>
  <c r="J32" i="1"/>
  <c r="L32" i="1"/>
  <c r="N32" i="1"/>
  <c r="P32" i="1"/>
  <c r="R39" i="1"/>
  <c r="Z39" i="1" s="1"/>
  <c r="T39" i="1"/>
  <c r="V39" i="1"/>
  <c r="X39" i="1"/>
  <c r="R40" i="1"/>
  <c r="T40" i="1"/>
  <c r="V40" i="1"/>
  <c r="X40" i="1"/>
  <c r="Z40" i="1"/>
  <c r="AB40" i="1"/>
  <c r="AF40" i="1" s="1"/>
  <c r="AD40" i="1"/>
  <c r="AG40" i="1"/>
  <c r="R41" i="1"/>
  <c r="AD41" i="1" s="1"/>
  <c r="T41" i="1"/>
  <c r="V41" i="1"/>
  <c r="X41" i="1"/>
  <c r="Z41" i="1"/>
  <c r="AB41" i="1"/>
  <c r="R42" i="1"/>
  <c r="T42" i="1"/>
  <c r="V42" i="1"/>
  <c r="X42" i="1"/>
  <c r="Z42" i="1"/>
  <c r="AB42" i="1"/>
  <c r="AD42" i="1"/>
  <c r="AF42" i="1"/>
  <c r="AG42" i="1"/>
  <c r="R43" i="1"/>
  <c r="AG43" i="1" s="1"/>
  <c r="T43" i="1"/>
  <c r="AD43" i="1"/>
  <c r="R44" i="1"/>
  <c r="V44" i="1" s="1"/>
  <c r="AF44" i="1" s="1"/>
  <c r="T44" i="1"/>
  <c r="X44" i="1"/>
  <c r="Z44" i="1"/>
  <c r="AB44" i="1"/>
  <c r="AD44" i="1"/>
  <c r="AG44" i="1"/>
  <c r="R45" i="1"/>
  <c r="V45" i="1" s="1"/>
  <c r="T45" i="1"/>
  <c r="X45" i="1"/>
  <c r="F46" i="1"/>
  <c r="R46" i="1" s="1"/>
  <c r="H46" i="1"/>
  <c r="J46" i="1"/>
  <c r="L46" i="1"/>
  <c r="N46" i="1"/>
  <c r="P46" i="1"/>
  <c r="R54" i="1"/>
  <c r="AD54" i="1" s="1"/>
  <c r="T54" i="1"/>
  <c r="AF54" i="1" s="1"/>
  <c r="V54" i="1"/>
  <c r="X54" i="1"/>
  <c r="Z54" i="1"/>
  <c r="AB54" i="1"/>
  <c r="AG54" i="1"/>
  <c r="R55" i="1"/>
  <c r="T55" i="1"/>
  <c r="V55" i="1"/>
  <c r="X55" i="1"/>
  <c r="Z55" i="1"/>
  <c r="AB55" i="1"/>
  <c r="AD55" i="1"/>
  <c r="AF55" i="1"/>
  <c r="AG55" i="1"/>
  <c r="R56" i="1"/>
  <c r="AG56" i="1" s="1"/>
  <c r="T56" i="1"/>
  <c r="R57" i="1"/>
  <c r="V57" i="1" s="1"/>
  <c r="AF57" i="1" s="1"/>
  <c r="T57" i="1"/>
  <c r="X57" i="1"/>
  <c r="Z57" i="1"/>
  <c r="AB57" i="1"/>
  <c r="AD57" i="1"/>
  <c r="AG57" i="1"/>
  <c r="R58" i="1"/>
  <c r="V58" i="1" s="1"/>
  <c r="T58" i="1"/>
  <c r="X58" i="1"/>
  <c r="R59" i="1"/>
  <c r="T59" i="1" s="1"/>
  <c r="R60" i="1"/>
  <c r="AD60" i="1" s="1"/>
  <c r="T60" i="1"/>
  <c r="AF60" i="1" s="1"/>
  <c r="V60" i="1"/>
  <c r="X60" i="1"/>
  <c r="Z60" i="1"/>
  <c r="AB60" i="1"/>
  <c r="F61" i="1"/>
  <c r="R61" i="1" s="1"/>
  <c r="H61" i="1"/>
  <c r="V61" i="1" s="1"/>
  <c r="J61" i="1"/>
  <c r="X61" i="1" s="1"/>
  <c r="L61" i="1"/>
  <c r="Z61" i="1" s="1"/>
  <c r="N61" i="1"/>
  <c r="P61" i="1"/>
  <c r="R71" i="1"/>
  <c r="AG71" i="1" s="1"/>
  <c r="T71" i="1"/>
  <c r="R72" i="1"/>
  <c r="V72" i="1" s="1"/>
  <c r="AF72" i="1" s="1"/>
  <c r="T72" i="1"/>
  <c r="X72" i="1"/>
  <c r="Z72" i="1"/>
  <c r="AB72" i="1"/>
  <c r="AD72" i="1"/>
  <c r="AG72" i="1"/>
  <c r="R73" i="1"/>
  <c r="V73" i="1" s="1"/>
  <c r="T73" i="1"/>
  <c r="X73" i="1"/>
  <c r="R74" i="1"/>
  <c r="T74" i="1" s="1"/>
  <c r="R75" i="1"/>
  <c r="AD75" i="1" s="1"/>
  <c r="T75" i="1"/>
  <c r="AF75" i="1" s="1"/>
  <c r="V75" i="1"/>
  <c r="X75" i="1"/>
  <c r="Z75" i="1"/>
  <c r="AB75" i="1"/>
  <c r="R76" i="1"/>
  <c r="X76" i="1" s="1"/>
  <c r="T76" i="1"/>
  <c r="V76" i="1"/>
  <c r="R77" i="1"/>
  <c r="T77" i="1" s="1"/>
  <c r="AF77" i="1" s="1"/>
  <c r="V77" i="1"/>
  <c r="X77" i="1"/>
  <c r="Z77" i="1"/>
  <c r="AB77" i="1"/>
  <c r="AD77" i="1"/>
  <c r="F78" i="1"/>
  <c r="R78" i="1" s="1"/>
  <c r="H78" i="1"/>
  <c r="V78" i="1" s="1"/>
  <c r="J78" i="1"/>
  <c r="X78" i="1" s="1"/>
  <c r="L78" i="1"/>
  <c r="Z78" i="1" s="1"/>
  <c r="N78" i="1"/>
  <c r="AB78" i="1" s="1"/>
  <c r="P78" i="1"/>
  <c r="AD78" i="1" s="1"/>
  <c r="R88" i="1"/>
  <c r="Z88" i="1" s="1"/>
  <c r="T88" i="1"/>
  <c r="V88" i="1"/>
  <c r="X88" i="1"/>
  <c r="R89" i="1"/>
  <c r="T89" i="1" s="1"/>
  <c r="R90" i="1"/>
  <c r="AD90" i="1" s="1"/>
  <c r="T90" i="1"/>
  <c r="AF90" i="1" s="1"/>
  <c r="V90" i="1"/>
  <c r="X90" i="1"/>
  <c r="Z90" i="1"/>
  <c r="AB90" i="1"/>
  <c r="R91" i="1"/>
  <c r="X91" i="1" s="1"/>
  <c r="T91" i="1"/>
  <c r="V91" i="1"/>
  <c r="R92" i="1"/>
  <c r="T92" i="1" s="1"/>
  <c r="AF92" i="1" s="1"/>
  <c r="V92" i="1"/>
  <c r="X92" i="1"/>
  <c r="Z92" i="1"/>
  <c r="AB92" i="1"/>
  <c r="AD92" i="1"/>
  <c r="R93" i="1"/>
  <c r="AB93" i="1" s="1"/>
  <c r="X93" i="1"/>
  <c r="Z93" i="1"/>
  <c r="R94" i="1"/>
  <c r="T94" i="1" s="1"/>
  <c r="V94" i="1"/>
  <c r="Z94" i="1"/>
  <c r="AB94" i="1"/>
  <c r="AD94" i="1"/>
  <c r="AG94" i="1"/>
  <c r="F95" i="1"/>
  <c r="H95" i="1"/>
  <c r="J95" i="1"/>
  <c r="L95" i="1"/>
  <c r="N95" i="1"/>
  <c r="P95" i="1"/>
  <c r="R104" i="1"/>
  <c r="AD104" i="1" s="1"/>
  <c r="T104" i="1"/>
  <c r="AF104" i="1" s="1"/>
  <c r="V104" i="1"/>
  <c r="X104" i="1"/>
  <c r="Z104" i="1"/>
  <c r="AB104" i="1"/>
  <c r="R105" i="1"/>
  <c r="X105" i="1" s="1"/>
  <c r="T105" i="1"/>
  <c r="V105" i="1"/>
  <c r="R106" i="1"/>
  <c r="T106" i="1" s="1"/>
  <c r="AF106" i="1" s="1"/>
  <c r="V106" i="1"/>
  <c r="X106" i="1"/>
  <c r="Z106" i="1"/>
  <c r="AB106" i="1"/>
  <c r="AD106" i="1"/>
  <c r="R107" i="1"/>
  <c r="AB107" i="1" s="1"/>
  <c r="X107" i="1"/>
  <c r="Z107" i="1"/>
  <c r="R108" i="1"/>
  <c r="T108" i="1" s="1"/>
  <c r="V108" i="1"/>
  <c r="Z108" i="1"/>
  <c r="AB108" i="1"/>
  <c r="AD108" i="1"/>
  <c r="AG108" i="1"/>
  <c r="R109" i="1"/>
  <c r="AG109" i="1" s="1"/>
  <c r="R110" i="1"/>
  <c r="T110" i="1" s="1"/>
  <c r="Z110" i="1"/>
  <c r="AD110" i="1"/>
  <c r="AG110" i="1"/>
  <c r="F111" i="1"/>
  <c r="H111" i="1"/>
  <c r="J111" i="1"/>
  <c r="L111" i="1"/>
  <c r="N111" i="1"/>
  <c r="P111" i="1"/>
  <c r="R118" i="1"/>
  <c r="T118" i="1" s="1"/>
  <c r="AF118" i="1" s="1"/>
  <c r="V118" i="1"/>
  <c r="X118" i="1"/>
  <c r="Z118" i="1"/>
  <c r="AB118" i="1"/>
  <c r="AD118" i="1"/>
  <c r="R119" i="1"/>
  <c r="AB119" i="1" s="1"/>
  <c r="X119" i="1"/>
  <c r="Z119" i="1"/>
  <c r="R120" i="1"/>
  <c r="T120" i="1" s="1"/>
  <c r="V120" i="1"/>
  <c r="Z120" i="1"/>
  <c r="AB120" i="1"/>
  <c r="AD120" i="1"/>
  <c r="AG120" i="1"/>
  <c r="R121" i="1"/>
  <c r="AG121" i="1" s="1"/>
  <c r="R122" i="1"/>
  <c r="T122" i="1" s="1"/>
  <c r="AD122" i="1"/>
  <c r="AG122" i="1"/>
  <c r="R123" i="1"/>
  <c r="X123" i="1" s="1"/>
  <c r="T123" i="1"/>
  <c r="V123" i="1"/>
  <c r="R124" i="1"/>
  <c r="T124" i="1" s="1"/>
  <c r="V124" i="1"/>
  <c r="AD124" i="1"/>
  <c r="AG124" i="1"/>
  <c r="F125" i="1"/>
  <c r="H125" i="1"/>
  <c r="J125" i="1"/>
  <c r="L125" i="1"/>
  <c r="N125" i="1"/>
  <c r="P125" i="1"/>
  <c r="R133" i="1"/>
  <c r="T133" i="1" s="1"/>
  <c r="V133" i="1"/>
  <c r="Z133" i="1"/>
  <c r="AB133" i="1"/>
  <c r="AD133" i="1"/>
  <c r="AG133" i="1"/>
  <c r="R134" i="1"/>
  <c r="AG134" i="1" s="1"/>
  <c r="R135" i="1"/>
  <c r="T135" i="1" s="1"/>
  <c r="Z135" i="1"/>
  <c r="AD135" i="1"/>
  <c r="AG135" i="1"/>
  <c r="R136" i="1"/>
  <c r="X136" i="1" s="1"/>
  <c r="T136" i="1"/>
  <c r="V136" i="1"/>
  <c r="R137" i="1"/>
  <c r="T137" i="1" s="1"/>
  <c r="V137" i="1"/>
  <c r="AD137" i="1"/>
  <c r="AG137" i="1"/>
  <c r="R138" i="1"/>
  <c r="AB138" i="1" s="1"/>
  <c r="T138" i="1"/>
  <c r="V138" i="1"/>
  <c r="X138" i="1"/>
  <c r="Z138" i="1"/>
  <c r="R139" i="1"/>
  <c r="V139" i="1" s="1"/>
  <c r="T139" i="1"/>
  <c r="F140" i="1"/>
  <c r="AG140" i="1" s="1"/>
  <c r="H140" i="1"/>
  <c r="J140" i="1"/>
  <c r="X140" i="1" s="1"/>
  <c r="L140" i="1"/>
  <c r="Z140" i="1" s="1"/>
  <c r="N140" i="1"/>
  <c r="AB140" i="1" s="1"/>
  <c r="P140" i="1"/>
  <c r="AD140" i="1" s="1"/>
  <c r="R140" i="1"/>
  <c r="T140" i="1" s="1"/>
  <c r="R149" i="1"/>
  <c r="T149" i="1" s="1"/>
  <c r="Z149" i="1"/>
  <c r="AD149" i="1"/>
  <c r="AG149" i="1"/>
  <c r="R150" i="1"/>
  <c r="X150" i="1" s="1"/>
  <c r="T150" i="1"/>
  <c r="V150" i="1"/>
  <c r="R151" i="1"/>
  <c r="T151" i="1" s="1"/>
  <c r="V151" i="1"/>
  <c r="AD151" i="1"/>
  <c r="AG151" i="1"/>
  <c r="R152" i="1"/>
  <c r="AB152" i="1" s="1"/>
  <c r="T152" i="1"/>
  <c r="V152" i="1"/>
  <c r="X152" i="1"/>
  <c r="Z152" i="1"/>
  <c r="R153" i="1"/>
  <c r="V153" i="1" s="1"/>
  <c r="T153" i="1"/>
  <c r="R154" i="1"/>
  <c r="T154" i="1"/>
  <c r="AF154" i="1" s="1"/>
  <c r="V154" i="1"/>
  <c r="X154" i="1"/>
  <c r="Z154" i="1"/>
  <c r="AB154" i="1"/>
  <c r="AD154" i="1"/>
  <c r="AG154" i="1"/>
  <c r="R155" i="1"/>
  <c r="AB155" i="1" s="1"/>
  <c r="T155" i="1"/>
  <c r="AF155" i="1" s="1"/>
  <c r="V155" i="1"/>
  <c r="X155" i="1"/>
  <c r="Z155" i="1"/>
  <c r="AD155" i="1"/>
  <c r="F156" i="1"/>
  <c r="H156" i="1"/>
  <c r="J156" i="1"/>
  <c r="L156" i="1"/>
  <c r="N156" i="1"/>
  <c r="AB156" i="1" s="1"/>
  <c r="P156" i="1"/>
  <c r="AD156" i="1" s="1"/>
  <c r="R156" i="1"/>
  <c r="X156" i="1" s="1"/>
  <c r="T156" i="1"/>
  <c r="V156" i="1"/>
  <c r="AD61" i="1" l="1"/>
  <c r="AG61" i="1"/>
  <c r="AB61" i="1"/>
  <c r="AG46" i="1"/>
  <c r="V46" i="1"/>
  <c r="X46" i="1"/>
  <c r="Z46" i="1"/>
  <c r="AB46" i="1"/>
  <c r="AD46" i="1"/>
  <c r="AB125" i="1"/>
  <c r="Z125" i="1"/>
  <c r="X125" i="1"/>
  <c r="AF74" i="1"/>
  <c r="AF15" i="1"/>
  <c r="AF29" i="1"/>
  <c r="X32" i="1"/>
  <c r="AD32" i="1"/>
  <c r="T32" i="1"/>
  <c r="V32" i="1"/>
  <c r="Z32" i="1"/>
  <c r="AB32" i="1"/>
  <c r="AG32" i="1"/>
  <c r="AF88" i="1"/>
  <c r="AB95" i="1"/>
  <c r="AF124" i="1"/>
  <c r="Z95" i="1"/>
  <c r="AF91" i="1"/>
  <c r="AF41" i="1"/>
  <c r="AF94" i="1"/>
  <c r="X95" i="1"/>
  <c r="AD111" i="1"/>
  <c r="T95" i="1"/>
  <c r="AF89" i="1"/>
  <c r="AB111" i="1"/>
  <c r="AF105" i="1"/>
  <c r="V125" i="1"/>
  <c r="X111" i="1"/>
  <c r="V111" i="1"/>
  <c r="AF9" i="1"/>
  <c r="T111" i="1"/>
  <c r="AD71" i="1"/>
  <c r="AD123" i="1"/>
  <c r="Z109" i="1"/>
  <c r="V93" i="1"/>
  <c r="AB71" i="1"/>
  <c r="AB56" i="1"/>
  <c r="AB43" i="1"/>
  <c r="AB31" i="1"/>
  <c r="AG16" i="1"/>
  <c r="AG10" i="1"/>
  <c r="AD134" i="1"/>
  <c r="AD121" i="1"/>
  <c r="AD109" i="1"/>
  <c r="R95" i="1"/>
  <c r="AG95" i="1" s="1"/>
  <c r="AB134" i="1"/>
  <c r="AB121" i="1"/>
  <c r="AB109" i="1"/>
  <c r="AG58" i="1"/>
  <c r="AD56" i="1"/>
  <c r="AG45" i="1"/>
  <c r="AG152" i="1"/>
  <c r="AD150" i="1"/>
  <c r="AG138" i="1"/>
  <c r="AD136" i="1"/>
  <c r="Z134" i="1"/>
  <c r="Z121" i="1"/>
  <c r="V119" i="1"/>
  <c r="R111" i="1"/>
  <c r="AG111" i="1" s="1"/>
  <c r="V107" i="1"/>
  <c r="AB150" i="1"/>
  <c r="AB136" i="1"/>
  <c r="AF136" i="1" s="1"/>
  <c r="X134" i="1"/>
  <c r="T125" i="1"/>
  <c r="AB123" i="1"/>
  <c r="AF123" i="1" s="1"/>
  <c r="X121" i="1"/>
  <c r="T119" i="1"/>
  <c r="AF119" i="1" s="1"/>
  <c r="X109" i="1"/>
  <c r="T107" i="1"/>
  <c r="AF107" i="1" s="1"/>
  <c r="AG104" i="1"/>
  <c r="T93" i="1"/>
  <c r="AF93" i="1" s="1"/>
  <c r="AG90" i="1"/>
  <c r="AD88" i="1"/>
  <c r="AG75" i="1"/>
  <c r="AD73" i="1"/>
  <c r="Z71" i="1"/>
  <c r="AG60" i="1"/>
  <c r="AD58" i="1"/>
  <c r="Z56" i="1"/>
  <c r="AD45" i="1"/>
  <c r="Z43" i="1"/>
  <c r="Z31" i="1"/>
  <c r="AG156" i="1"/>
  <c r="AG150" i="1"/>
  <c r="AG136" i="1"/>
  <c r="AG123" i="1"/>
  <c r="AG88" i="1"/>
  <c r="AG73" i="1"/>
  <c r="Z156" i="1"/>
  <c r="AF156" i="1" s="1"/>
  <c r="AD152" i="1"/>
  <c r="AF152" i="1" s="1"/>
  <c r="Z150" i="1"/>
  <c r="AF150" i="1" s="1"/>
  <c r="V140" i="1"/>
  <c r="AF140" i="1" s="1"/>
  <c r="AD138" i="1"/>
  <c r="AF138" i="1" s="1"/>
  <c r="Z136" i="1"/>
  <c r="V134" i="1"/>
  <c r="R125" i="1"/>
  <c r="AG125" i="1" s="1"/>
  <c r="Z123" i="1"/>
  <c r="V121" i="1"/>
  <c r="V109" i="1"/>
  <c r="AB88" i="1"/>
  <c r="AB73" i="1"/>
  <c r="X71" i="1"/>
  <c r="AF71" i="1" s="1"/>
  <c r="AB58" i="1"/>
  <c r="AF58" i="1" s="1"/>
  <c r="X56" i="1"/>
  <c r="AB45" i="1"/>
  <c r="AF45" i="1" s="1"/>
  <c r="X43" i="1"/>
  <c r="X31" i="1"/>
  <c r="AD16" i="1"/>
  <c r="AD10" i="1"/>
  <c r="T134" i="1"/>
  <c r="AF134" i="1" s="1"/>
  <c r="T121" i="1"/>
  <c r="AF121" i="1" s="1"/>
  <c r="AG118" i="1"/>
  <c r="T109" i="1"/>
  <c r="AG106" i="1"/>
  <c r="AG92" i="1"/>
  <c r="AG77" i="1"/>
  <c r="Z73" i="1"/>
  <c r="AF73" i="1" s="1"/>
  <c r="V71" i="1"/>
  <c r="Z58" i="1"/>
  <c r="V56" i="1"/>
  <c r="AF56" i="1" s="1"/>
  <c r="Z45" i="1"/>
  <c r="V43" i="1"/>
  <c r="AF43" i="1" s="1"/>
  <c r="V31" i="1"/>
  <c r="AF31" i="1" s="1"/>
  <c r="AB16" i="1"/>
  <c r="AF16" i="1" s="1"/>
  <c r="AB10" i="1"/>
  <c r="AF10" i="1" s="1"/>
  <c r="AG78" i="1"/>
  <c r="AB149" i="1"/>
  <c r="AB135" i="1"/>
  <c r="X133" i="1"/>
  <c r="AF133" i="1" s="1"/>
  <c r="AB122" i="1"/>
  <c r="X120" i="1"/>
  <c r="AF120" i="1" s="1"/>
  <c r="AB110" i="1"/>
  <c r="X108" i="1"/>
  <c r="AF108" i="1" s="1"/>
  <c r="X94" i="1"/>
  <c r="AG89" i="1"/>
  <c r="AG74" i="1"/>
  <c r="AG59" i="1"/>
  <c r="T46" i="1"/>
  <c r="AG25" i="1"/>
  <c r="AG11" i="1"/>
  <c r="AG139" i="1"/>
  <c r="AB151" i="1"/>
  <c r="X149" i="1"/>
  <c r="AB137" i="1"/>
  <c r="X135" i="1"/>
  <c r="AF135" i="1" s="1"/>
  <c r="AB124" i="1"/>
  <c r="X122" i="1"/>
  <c r="AF122" i="1" s="1"/>
  <c r="X110" i="1"/>
  <c r="AG105" i="1"/>
  <c r="AG91" i="1"/>
  <c r="AD89" i="1"/>
  <c r="AG76" i="1"/>
  <c r="AD74" i="1"/>
  <c r="AD59" i="1"/>
  <c r="AD139" i="1"/>
  <c r="V122" i="1"/>
  <c r="V110" i="1"/>
  <c r="AF110" i="1" s="1"/>
  <c r="AB89" i="1"/>
  <c r="AB74" i="1"/>
  <c r="T61" i="1"/>
  <c r="AF61" i="1" s="1"/>
  <c r="AB59" i="1"/>
  <c r="AG39" i="1"/>
  <c r="AG27" i="1"/>
  <c r="AD25" i="1"/>
  <c r="AG13" i="1"/>
  <c r="AD11" i="1"/>
  <c r="AG153" i="1"/>
  <c r="Z122" i="1"/>
  <c r="AG155" i="1"/>
  <c r="AD153" i="1"/>
  <c r="Z151" i="1"/>
  <c r="AF151" i="1" s="1"/>
  <c r="V149" i="1"/>
  <c r="AF149" i="1" s="1"/>
  <c r="Z137" i="1"/>
  <c r="V135" i="1"/>
  <c r="Z124" i="1"/>
  <c r="AB153" i="1"/>
  <c r="X151" i="1"/>
  <c r="AB139" i="1"/>
  <c r="X137" i="1"/>
  <c r="AF137" i="1" s="1"/>
  <c r="X124" i="1"/>
  <c r="AG119" i="1"/>
  <c r="AG107" i="1"/>
  <c r="AD105" i="1"/>
  <c r="AG93" i="1"/>
  <c r="AD91" i="1"/>
  <c r="Z89" i="1"/>
  <c r="AD76" i="1"/>
  <c r="Z74" i="1"/>
  <c r="Z59" i="1"/>
  <c r="AF59" i="1" s="1"/>
  <c r="AB25" i="1"/>
  <c r="AB11" i="1"/>
  <c r="X9" i="1"/>
  <c r="X74" i="1"/>
  <c r="X59" i="1"/>
  <c r="AG41" i="1"/>
  <c r="AD39" i="1"/>
  <c r="AG29" i="1"/>
  <c r="AD27" i="1"/>
  <c r="Z25" i="1"/>
  <c r="AG15" i="1"/>
  <c r="AD13" i="1"/>
  <c r="Z11" i="1"/>
  <c r="Z153" i="1"/>
  <c r="Z139" i="1"/>
  <c r="AB105" i="1"/>
  <c r="AB91" i="1"/>
  <c r="X89" i="1"/>
  <c r="T78" i="1"/>
  <c r="AF78" i="1" s="1"/>
  <c r="AB76" i="1"/>
  <c r="AF76" i="1" s="1"/>
  <c r="X153" i="1"/>
  <c r="AF153" i="1" s="1"/>
  <c r="X139" i="1"/>
  <c r="AF139" i="1" s="1"/>
  <c r="AD119" i="1"/>
  <c r="AD107" i="1"/>
  <c r="Z105" i="1"/>
  <c r="AD93" i="1"/>
  <c r="Z91" i="1"/>
  <c r="V89" i="1"/>
  <c r="Z76" i="1"/>
  <c r="V74" i="1"/>
  <c r="V59" i="1"/>
  <c r="AB39" i="1"/>
  <c r="AF39" i="1" s="1"/>
  <c r="AB27" i="1"/>
  <c r="AF27" i="1" s="1"/>
  <c r="X25" i="1"/>
  <c r="AF25" i="1" s="1"/>
  <c r="AB13" i="1"/>
  <c r="AF13" i="1" s="1"/>
  <c r="X11" i="1"/>
  <c r="AF11" i="1" s="1"/>
  <c r="AF125" i="1" l="1"/>
  <c r="AF111" i="1"/>
  <c r="AF46" i="1"/>
  <c r="Z111" i="1"/>
  <c r="V95" i="1"/>
  <c r="AD125" i="1"/>
  <c r="AF32" i="1"/>
  <c r="AD95" i="1"/>
  <c r="AF95" i="1" s="1"/>
  <c r="AF109" i="1"/>
</calcChain>
</file>

<file path=xl/sharedStrings.xml><?xml version="1.0" encoding="utf-8"?>
<sst xmlns="http://schemas.openxmlformats.org/spreadsheetml/2006/main" count="195" uniqueCount="32">
  <si>
    <t>SCHOOL AGE CARE (SAC)</t>
  </si>
  <si>
    <t>Why Should I Jump</t>
  </si>
  <si>
    <t xml:space="preserve"> </t>
  </si>
  <si>
    <t>Strongly</t>
  </si>
  <si>
    <t xml:space="preserve">   Into The SAC?:</t>
  </si>
  <si>
    <t>Agree</t>
  </si>
  <si>
    <t>Disagree</t>
  </si>
  <si>
    <t>Total</t>
  </si>
  <si>
    <t>Means</t>
  </si>
  <si>
    <t>1. Workshop met advertized expectations.</t>
  </si>
  <si>
    <t>2. Presenters knowledge of subject was evident.</t>
  </si>
  <si>
    <t>3. Information presented was current and/or research based.</t>
  </si>
  <si>
    <t>4. Information appeared practical and easy to impliment.</t>
  </si>
  <si>
    <t>5. Handouts supportedkey concepts.</t>
  </si>
  <si>
    <t>6. Presenter was organized and prepared.</t>
  </si>
  <si>
    <t>7. Presenter encouraged engagement of participants.</t>
  </si>
  <si>
    <t xml:space="preserve">Be The Best! Enhance Your </t>
  </si>
  <si>
    <t>SAC Through NSACA:</t>
  </si>
  <si>
    <t>SAC: Is There a Need?:</t>
  </si>
  <si>
    <t>4-H Curriculum To The Rescue:</t>
  </si>
  <si>
    <t>Navigate the In's and Out's</t>
  </si>
  <si>
    <t xml:space="preserve">  Of The Federal System and Find the Funders:</t>
  </si>
  <si>
    <t>Training and Retaining</t>
  </si>
  <si>
    <t xml:space="preserve">   SAC Staff:</t>
  </si>
  <si>
    <t>It Takes a Village To</t>
  </si>
  <si>
    <t xml:space="preserve">    Start A SAC Site:</t>
  </si>
  <si>
    <t>Marketing Your Programs</t>
  </si>
  <si>
    <t xml:space="preserve">  And Sharing Impact:</t>
  </si>
  <si>
    <t>Homework; Mixed Ages, Late Pick-Ups---</t>
  </si>
  <si>
    <t xml:space="preserve">   What To Do?:</t>
  </si>
  <si>
    <t>Each Piece In Its' Place--</t>
  </si>
  <si>
    <t>The Complete Picture: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</si>
</sst>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u/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Protection="1"/>
    <xf numFmtId="0" fontId="0" fillId="0" borderId="0" xfId="0" applyAlignment="1">
      <alignment horizontal="center"/>
    </xf>
    <xf numFmtId="0" fontId="2" fillId="0" borderId="0" xfId="0" applyFont="1" applyProtection="1"/>
    <xf numFmtId="0" fontId="3" fillId="0" borderId="0" xfId="0" applyFont="1" applyProtection="1"/>
    <xf numFmtId="0" fontId="2" fillId="0" borderId="1" xfId="0" applyFont="1" applyBorder="1" applyAlignment="1" applyProtection="1">
      <alignment horizontal="center"/>
    </xf>
    <xf numFmtId="0" fontId="2" fillId="0" borderId="0" xfId="0" applyFont="1" applyAlignment="1" applyProtection="1">
      <alignment horizontal="center"/>
    </xf>
    <xf numFmtId="0" fontId="4" fillId="0" borderId="0" xfId="0" applyFont="1" applyAlignment="1" applyProtection="1">
      <alignment horizontal="center"/>
    </xf>
    <xf numFmtId="0" fontId="2" fillId="0" borderId="1" xfId="0" applyFont="1" applyBorder="1" applyProtection="1"/>
    <xf numFmtId="0" fontId="1" fillId="0" borderId="1" xfId="0" applyFont="1" applyBorder="1" applyAlignment="1" applyProtection="1">
      <alignment horizontal="center"/>
    </xf>
    <xf numFmtId="0" fontId="1" fillId="0" borderId="0" xfId="0" applyFont="1" applyAlignment="1" applyProtection="1">
      <alignment horizontal="center"/>
    </xf>
    <xf numFmtId="9" fontId="2" fillId="0" borderId="1" xfId="0" applyNumberFormat="1" applyFont="1" applyBorder="1" applyProtection="1"/>
    <xf numFmtId="0" fontId="2" fillId="0" borderId="2" xfId="0" applyFont="1" applyBorder="1" applyAlignment="1">
      <alignment horizontal="center"/>
    </xf>
    <xf numFmtId="9" fontId="1" fillId="0" borderId="0" xfId="0" applyNumberFormat="1" applyFont="1" applyProtection="1"/>
    <xf numFmtId="2" fontId="1" fillId="0" borderId="0" xfId="0" applyNumberFormat="1" applyFont="1" applyAlignment="1">
      <alignment horizontal="center"/>
    </xf>
    <xf numFmtId="0" fontId="1" fillId="0" borderId="1" xfId="0" applyFont="1" applyBorder="1" applyProtection="1"/>
    <xf numFmtId="9" fontId="1" fillId="0" borderId="1" xfId="0" applyNumberFormat="1" applyFont="1" applyBorder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arlychildhood%20workshop%20summary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10">
          <cell r="F10">
            <v>5</v>
          </cell>
          <cell r="H10">
            <v>4</v>
          </cell>
          <cell r="J10">
            <v>3</v>
          </cell>
          <cell r="L10">
            <v>2</v>
          </cell>
          <cell r="N10">
            <v>1</v>
          </cell>
          <cell r="P10">
            <v>0</v>
          </cell>
        </row>
      </sheetData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57"/>
  <sheetViews>
    <sheetView tabSelected="1" workbookViewId="0">
      <selection activeCell="C6" sqref="C6"/>
    </sheetView>
  </sheetViews>
  <sheetFormatPr defaultRowHeight="12.5" x14ac:dyDescent="0.25"/>
  <sheetData>
    <row r="1" spans="1:33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2"/>
    </row>
    <row r="2" spans="1:33" ht="13" x14ac:dyDescent="0.3">
      <c r="A2" s="1"/>
      <c r="B2" s="1"/>
      <c r="C2" s="1"/>
      <c r="D2" s="1"/>
      <c r="E2" s="1"/>
      <c r="F2" s="1"/>
      <c r="G2" s="1"/>
      <c r="H2" s="3" t="s">
        <v>0</v>
      </c>
      <c r="I2" s="3"/>
      <c r="J2" s="3"/>
      <c r="K2" s="3"/>
      <c r="L2" s="3"/>
      <c r="M2" s="3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2"/>
    </row>
    <row r="3" spans="1:33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2"/>
    </row>
    <row r="4" spans="1:3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2"/>
    </row>
    <row r="5" spans="1:33" ht="13" x14ac:dyDescent="0.3">
      <c r="A5" s="3" t="s">
        <v>1</v>
      </c>
      <c r="B5" s="3"/>
      <c r="C5" s="3" t="s">
        <v>2</v>
      </c>
      <c r="D5" s="3"/>
      <c r="E5" s="1"/>
      <c r="F5" s="1" t="s">
        <v>3</v>
      </c>
      <c r="G5" s="1"/>
      <c r="H5" s="1"/>
      <c r="I5" s="1"/>
      <c r="J5" s="1"/>
      <c r="K5" s="1"/>
      <c r="L5" s="1"/>
      <c r="M5" s="1"/>
      <c r="N5" s="1" t="s">
        <v>3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2"/>
    </row>
    <row r="6" spans="1:33" ht="13" x14ac:dyDescent="0.3">
      <c r="A6" s="3" t="s">
        <v>4</v>
      </c>
      <c r="B6" s="3"/>
      <c r="C6" s="3" t="s">
        <v>2</v>
      </c>
      <c r="D6" s="3"/>
      <c r="E6" s="1"/>
      <c r="F6" s="4" t="s">
        <v>5</v>
      </c>
      <c r="G6" s="1"/>
      <c r="H6" s="1"/>
      <c r="I6" s="1"/>
      <c r="J6" s="1"/>
      <c r="K6" s="1"/>
      <c r="L6" s="1"/>
      <c r="M6" s="1"/>
      <c r="N6" s="4" t="s">
        <v>6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2"/>
    </row>
    <row r="7" spans="1:33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2"/>
    </row>
    <row r="8" spans="1:33" ht="13" x14ac:dyDescent="0.3">
      <c r="A8" s="1"/>
      <c r="B8" s="1"/>
      <c r="C8" s="1"/>
      <c r="D8" s="1"/>
      <c r="E8" s="1"/>
      <c r="F8" s="5">
        <v>5</v>
      </c>
      <c r="G8" s="6" t="s">
        <v>2</v>
      </c>
      <c r="H8" s="5">
        <v>4</v>
      </c>
      <c r="I8" s="6"/>
      <c r="J8" s="5">
        <v>3</v>
      </c>
      <c r="K8" s="6"/>
      <c r="L8" s="5">
        <v>2</v>
      </c>
      <c r="M8" s="6"/>
      <c r="N8" s="5">
        <v>1</v>
      </c>
      <c r="O8" s="1"/>
      <c r="P8" s="5">
        <v>0</v>
      </c>
      <c r="Q8" s="7"/>
      <c r="R8" s="8" t="s">
        <v>7</v>
      </c>
      <c r="S8" s="1"/>
      <c r="T8" s="5">
        <v>5</v>
      </c>
      <c r="U8" s="6" t="s">
        <v>2</v>
      </c>
      <c r="V8" s="5">
        <v>4</v>
      </c>
      <c r="W8" s="6"/>
      <c r="X8" s="5">
        <v>3</v>
      </c>
      <c r="Y8" s="6"/>
      <c r="Z8" s="5">
        <v>2</v>
      </c>
      <c r="AA8" s="6"/>
      <c r="AB8" s="5">
        <v>1</v>
      </c>
      <c r="AC8" s="1"/>
      <c r="AD8" s="9">
        <v>0</v>
      </c>
      <c r="AE8" s="10"/>
      <c r="AF8" s="11" t="s">
        <v>7</v>
      </c>
      <c r="AG8" s="12" t="s">
        <v>8</v>
      </c>
    </row>
    <row r="9" spans="1:33" x14ac:dyDescent="0.25">
      <c r="A9" s="1" t="s">
        <v>9</v>
      </c>
      <c r="B9" s="1"/>
      <c r="C9" s="1"/>
      <c r="D9" s="1"/>
      <c r="E9" s="1"/>
      <c r="F9" s="1">
        <v>25</v>
      </c>
      <c r="G9" s="1"/>
      <c r="H9" s="1">
        <v>21</v>
      </c>
      <c r="I9" s="1"/>
      <c r="J9" s="1">
        <v>1</v>
      </c>
      <c r="K9" s="1"/>
      <c r="L9" s="1">
        <v>0</v>
      </c>
      <c r="M9" s="1"/>
      <c r="N9" s="1">
        <v>0</v>
      </c>
      <c r="O9" s="1"/>
      <c r="P9" s="1">
        <v>0</v>
      </c>
      <c r="Q9" s="1"/>
      <c r="R9" s="10">
        <f t="shared" ref="R9:R16" si="0">SUM(F9:P9)</f>
        <v>47</v>
      </c>
      <c r="S9" s="1"/>
      <c r="T9" s="13">
        <f t="shared" ref="T9:T16" si="1">(F9/R9)</f>
        <v>0.53191489361702127</v>
      </c>
      <c r="U9" s="13"/>
      <c r="V9" s="13">
        <f t="shared" ref="V9:V16" si="2">(H9/R9)</f>
        <v>0.44680851063829785</v>
      </c>
      <c r="W9" s="13"/>
      <c r="X9" s="13">
        <f t="shared" ref="X9:X16" si="3">(J9/R9)</f>
        <v>2.1276595744680851E-2</v>
      </c>
      <c r="Y9" s="13"/>
      <c r="Z9" s="13">
        <f t="shared" ref="Z9:Z16" si="4">(L9/R9)</f>
        <v>0</v>
      </c>
      <c r="AA9" s="13"/>
      <c r="AB9" s="13">
        <f t="shared" ref="AB9:AB16" si="5">(N9/R9)</f>
        <v>0</v>
      </c>
      <c r="AC9" s="1"/>
      <c r="AD9" s="13">
        <f t="shared" ref="AD9:AD16" si="6">(P9/R9)</f>
        <v>0</v>
      </c>
      <c r="AE9" s="1"/>
      <c r="AF9" s="13">
        <f t="shared" ref="AF9:AF16" si="7">SUM(T9:AD9)</f>
        <v>1</v>
      </c>
      <c r="AG9" s="14">
        <f>((F9*[1]Sheet1!F$10)+(H9*[1]Sheet1!H$10)+(J9*[1]Sheet1!J$10)+(L9*[1]Sheet1!L$10)+(N9*[1]Sheet1!N$10)+(P9*[1]Sheet1!P$10))/R9</f>
        <v>4.5106382978723403</v>
      </c>
    </row>
    <row r="10" spans="1:33" x14ac:dyDescent="0.25">
      <c r="A10" s="1" t="s">
        <v>10</v>
      </c>
      <c r="B10" s="1"/>
      <c r="C10" s="1"/>
      <c r="D10" s="1"/>
      <c r="E10" s="1"/>
      <c r="F10" s="1">
        <v>34</v>
      </c>
      <c r="G10" s="1"/>
      <c r="H10" s="1">
        <v>13</v>
      </c>
      <c r="I10" s="1"/>
      <c r="J10" s="1">
        <v>0</v>
      </c>
      <c r="K10" s="1"/>
      <c r="L10" s="1">
        <v>0</v>
      </c>
      <c r="M10" s="1"/>
      <c r="N10" s="1">
        <v>0</v>
      </c>
      <c r="O10" s="1"/>
      <c r="P10" s="1">
        <v>0</v>
      </c>
      <c r="Q10" s="1"/>
      <c r="R10" s="10">
        <f t="shared" si="0"/>
        <v>47</v>
      </c>
      <c r="S10" s="1"/>
      <c r="T10" s="13">
        <f t="shared" si="1"/>
        <v>0.72340425531914898</v>
      </c>
      <c r="U10" s="13"/>
      <c r="V10" s="13">
        <f t="shared" si="2"/>
        <v>0.27659574468085107</v>
      </c>
      <c r="W10" s="13"/>
      <c r="X10" s="13">
        <f t="shared" si="3"/>
        <v>0</v>
      </c>
      <c r="Y10" s="13"/>
      <c r="Z10" s="13">
        <f t="shared" si="4"/>
        <v>0</v>
      </c>
      <c r="AA10" s="13"/>
      <c r="AB10" s="13">
        <f t="shared" si="5"/>
        <v>0</v>
      </c>
      <c r="AC10" s="1"/>
      <c r="AD10" s="13">
        <f t="shared" si="6"/>
        <v>0</v>
      </c>
      <c r="AE10" s="1"/>
      <c r="AF10" s="13">
        <f t="shared" si="7"/>
        <v>1</v>
      </c>
      <c r="AG10" s="14">
        <f>((F10*[1]Sheet1!F$10)+(H10*[1]Sheet1!H$10)+(J10*[1]Sheet1!J$10)+(L10*[1]Sheet1!L$10)+(N10*[1]Sheet1!N$10)+(P10*[1]Sheet1!P$10))/R10</f>
        <v>4.7234042553191493</v>
      </c>
    </row>
    <row r="11" spans="1:33" x14ac:dyDescent="0.25">
      <c r="A11" s="1" t="s">
        <v>11</v>
      </c>
      <c r="B11" s="1"/>
      <c r="C11" s="1"/>
      <c r="D11" s="1"/>
      <c r="E11" s="1"/>
      <c r="F11" s="1">
        <v>34</v>
      </c>
      <c r="G11" s="1"/>
      <c r="H11" s="1">
        <v>11</v>
      </c>
      <c r="I11" s="1"/>
      <c r="J11" s="1">
        <v>2</v>
      </c>
      <c r="K11" s="1"/>
      <c r="L11" s="1">
        <v>0</v>
      </c>
      <c r="M11" s="1"/>
      <c r="N11" s="1">
        <v>0</v>
      </c>
      <c r="O11" s="1"/>
      <c r="P11" s="1">
        <v>0</v>
      </c>
      <c r="Q11" s="1"/>
      <c r="R11" s="10">
        <f t="shared" si="0"/>
        <v>47</v>
      </c>
      <c r="S11" s="1"/>
      <c r="T11" s="13">
        <f t="shared" si="1"/>
        <v>0.72340425531914898</v>
      </c>
      <c r="U11" s="13"/>
      <c r="V11" s="13">
        <f t="shared" si="2"/>
        <v>0.23404255319148937</v>
      </c>
      <c r="W11" s="13"/>
      <c r="X11" s="13">
        <f t="shared" si="3"/>
        <v>4.2553191489361701E-2</v>
      </c>
      <c r="Y11" s="13"/>
      <c r="Z11" s="13">
        <f t="shared" si="4"/>
        <v>0</v>
      </c>
      <c r="AA11" s="13"/>
      <c r="AB11" s="13">
        <f t="shared" si="5"/>
        <v>0</v>
      </c>
      <c r="AC11" s="1"/>
      <c r="AD11" s="13">
        <f t="shared" si="6"/>
        <v>0</v>
      </c>
      <c r="AE11" s="1"/>
      <c r="AF11" s="13">
        <f t="shared" si="7"/>
        <v>1</v>
      </c>
      <c r="AG11" s="14">
        <f>((F11*[1]Sheet1!F$10)+(H11*[1]Sheet1!H$10)+(J11*[1]Sheet1!J$10)+(L11*[1]Sheet1!L$10)+(N11*[1]Sheet1!N$10)+(P11*[1]Sheet1!P$10))/R11</f>
        <v>4.6808510638297873</v>
      </c>
    </row>
    <row r="12" spans="1:33" x14ac:dyDescent="0.25">
      <c r="A12" s="1" t="s">
        <v>12</v>
      </c>
      <c r="B12" s="1"/>
      <c r="C12" s="1"/>
      <c r="D12" s="1"/>
      <c r="E12" s="1"/>
      <c r="F12" s="1">
        <v>26</v>
      </c>
      <c r="G12" s="1"/>
      <c r="H12" s="1">
        <v>16</v>
      </c>
      <c r="I12" s="1"/>
      <c r="J12" s="1">
        <v>4</v>
      </c>
      <c r="K12" s="1"/>
      <c r="L12" s="1">
        <v>1</v>
      </c>
      <c r="M12" s="1"/>
      <c r="N12" s="1">
        <v>0</v>
      </c>
      <c r="O12" s="1"/>
      <c r="P12" s="1">
        <v>0</v>
      </c>
      <c r="Q12" s="1"/>
      <c r="R12" s="10">
        <f t="shared" si="0"/>
        <v>47</v>
      </c>
      <c r="S12" s="1"/>
      <c r="T12" s="13">
        <f t="shared" si="1"/>
        <v>0.55319148936170215</v>
      </c>
      <c r="U12" s="13"/>
      <c r="V12" s="13">
        <f t="shared" si="2"/>
        <v>0.34042553191489361</v>
      </c>
      <c r="W12" s="13"/>
      <c r="X12" s="13">
        <f t="shared" si="3"/>
        <v>8.5106382978723402E-2</v>
      </c>
      <c r="Y12" s="13"/>
      <c r="Z12" s="13">
        <f t="shared" si="4"/>
        <v>2.1276595744680851E-2</v>
      </c>
      <c r="AA12" s="13"/>
      <c r="AB12" s="13">
        <f t="shared" si="5"/>
        <v>0</v>
      </c>
      <c r="AC12" s="1"/>
      <c r="AD12" s="13">
        <f t="shared" si="6"/>
        <v>0</v>
      </c>
      <c r="AE12" s="1"/>
      <c r="AF12" s="13">
        <f t="shared" si="7"/>
        <v>1</v>
      </c>
      <c r="AG12" s="14">
        <f>((F12*[1]Sheet1!F$10)+(H12*[1]Sheet1!H$10)+(J12*[1]Sheet1!J$10)+(L12*[1]Sheet1!L$10)+(N12*[1]Sheet1!N$10)+(P12*[1]Sheet1!P$10))/R12</f>
        <v>4.4255319148936172</v>
      </c>
    </row>
    <row r="13" spans="1:33" x14ac:dyDescent="0.25">
      <c r="A13" s="1" t="s">
        <v>13</v>
      </c>
      <c r="B13" s="1"/>
      <c r="C13" s="1"/>
      <c r="D13" s="1"/>
      <c r="E13" s="1"/>
      <c r="F13" s="1">
        <v>36</v>
      </c>
      <c r="G13" s="1"/>
      <c r="H13" s="1">
        <v>10</v>
      </c>
      <c r="I13" s="1"/>
      <c r="J13" s="1">
        <v>1</v>
      </c>
      <c r="K13" s="1"/>
      <c r="L13" s="1">
        <v>0</v>
      </c>
      <c r="M13" s="1"/>
      <c r="N13" s="1">
        <v>0</v>
      </c>
      <c r="O13" s="1"/>
      <c r="P13" s="1">
        <v>0</v>
      </c>
      <c r="Q13" s="1"/>
      <c r="R13" s="10">
        <f t="shared" si="0"/>
        <v>47</v>
      </c>
      <c r="S13" s="1"/>
      <c r="T13" s="13">
        <f t="shared" si="1"/>
        <v>0.76595744680851063</v>
      </c>
      <c r="U13" s="13"/>
      <c r="V13" s="13">
        <f t="shared" si="2"/>
        <v>0.21276595744680851</v>
      </c>
      <c r="W13" s="13"/>
      <c r="X13" s="13">
        <f t="shared" si="3"/>
        <v>2.1276595744680851E-2</v>
      </c>
      <c r="Y13" s="13"/>
      <c r="Z13" s="13">
        <f t="shared" si="4"/>
        <v>0</v>
      </c>
      <c r="AA13" s="13"/>
      <c r="AB13" s="13">
        <f t="shared" si="5"/>
        <v>0</v>
      </c>
      <c r="AC13" s="1"/>
      <c r="AD13" s="13">
        <f t="shared" si="6"/>
        <v>0</v>
      </c>
      <c r="AE13" s="1"/>
      <c r="AF13" s="13">
        <f t="shared" si="7"/>
        <v>1</v>
      </c>
      <c r="AG13" s="14">
        <f>((F13*[1]Sheet1!F$10)+(H13*[1]Sheet1!H$10)+(J13*[1]Sheet1!J$10)+(L13*[1]Sheet1!L$10)+(N13*[1]Sheet1!N$10)+(P13*[1]Sheet1!P$10))/R13</f>
        <v>4.7446808510638299</v>
      </c>
    </row>
    <row r="14" spans="1:33" x14ac:dyDescent="0.25">
      <c r="A14" s="1" t="s">
        <v>14</v>
      </c>
      <c r="B14" s="1"/>
      <c r="C14" s="1"/>
      <c r="D14" s="1"/>
      <c r="E14" s="1"/>
      <c r="F14" s="1">
        <v>35</v>
      </c>
      <c r="G14" s="1"/>
      <c r="H14" s="1">
        <v>9</v>
      </c>
      <c r="I14" s="1"/>
      <c r="J14" s="1">
        <v>3</v>
      </c>
      <c r="K14" s="1"/>
      <c r="L14" s="1">
        <v>0</v>
      </c>
      <c r="M14" s="1"/>
      <c r="N14" s="1">
        <v>0</v>
      </c>
      <c r="O14" s="1"/>
      <c r="P14" s="1">
        <v>0</v>
      </c>
      <c r="Q14" s="1"/>
      <c r="R14" s="10">
        <f t="shared" si="0"/>
        <v>47</v>
      </c>
      <c r="S14" s="1"/>
      <c r="T14" s="13">
        <f t="shared" si="1"/>
        <v>0.74468085106382975</v>
      </c>
      <c r="U14" s="13"/>
      <c r="V14" s="13">
        <f t="shared" si="2"/>
        <v>0.19148936170212766</v>
      </c>
      <c r="W14" s="13"/>
      <c r="X14" s="13">
        <f t="shared" si="3"/>
        <v>6.3829787234042548E-2</v>
      </c>
      <c r="Y14" s="13"/>
      <c r="Z14" s="13">
        <f t="shared" si="4"/>
        <v>0</v>
      </c>
      <c r="AA14" s="13"/>
      <c r="AB14" s="13">
        <f t="shared" si="5"/>
        <v>0</v>
      </c>
      <c r="AC14" s="1"/>
      <c r="AD14" s="13">
        <f t="shared" si="6"/>
        <v>0</v>
      </c>
      <c r="AE14" s="1"/>
      <c r="AF14" s="13">
        <f t="shared" si="7"/>
        <v>1</v>
      </c>
      <c r="AG14" s="14">
        <f>((F14*[1]Sheet1!F$10)+(H14*[1]Sheet1!H$10)+(J14*[1]Sheet1!J$10)+(L14*[1]Sheet1!L$10)+(N14*[1]Sheet1!N$10)+(P14*[1]Sheet1!P$10))/R14</f>
        <v>4.6808510638297873</v>
      </c>
    </row>
    <row r="15" spans="1:33" x14ac:dyDescent="0.25">
      <c r="A15" s="1" t="s">
        <v>15</v>
      </c>
      <c r="B15" s="1"/>
      <c r="C15" s="1"/>
      <c r="D15" s="1"/>
      <c r="E15" s="1"/>
      <c r="F15" s="15">
        <v>39</v>
      </c>
      <c r="G15" s="15"/>
      <c r="H15" s="15">
        <v>8</v>
      </c>
      <c r="I15" s="15"/>
      <c r="J15" s="15">
        <v>0</v>
      </c>
      <c r="K15" s="15"/>
      <c r="L15" s="15">
        <v>0</v>
      </c>
      <c r="M15" s="15"/>
      <c r="N15" s="15">
        <v>0</v>
      </c>
      <c r="O15" s="15"/>
      <c r="P15" s="15">
        <v>0</v>
      </c>
      <c r="Q15" s="1"/>
      <c r="R15" s="9">
        <f t="shared" si="0"/>
        <v>47</v>
      </c>
      <c r="S15" s="1"/>
      <c r="T15" s="16">
        <f t="shared" si="1"/>
        <v>0.82978723404255317</v>
      </c>
      <c r="U15" s="16"/>
      <c r="V15" s="16">
        <f t="shared" si="2"/>
        <v>0.1702127659574468</v>
      </c>
      <c r="W15" s="16"/>
      <c r="X15" s="16">
        <f t="shared" si="3"/>
        <v>0</v>
      </c>
      <c r="Y15" s="16"/>
      <c r="Z15" s="16">
        <f t="shared" si="4"/>
        <v>0</v>
      </c>
      <c r="AA15" s="16"/>
      <c r="AB15" s="16">
        <f t="shared" si="5"/>
        <v>0</v>
      </c>
      <c r="AC15" s="15"/>
      <c r="AD15" s="16">
        <f t="shared" si="6"/>
        <v>0</v>
      </c>
      <c r="AE15" s="1"/>
      <c r="AF15" s="13">
        <f t="shared" si="7"/>
        <v>1</v>
      </c>
      <c r="AG15" s="14">
        <f>((F15*[1]Sheet1!F$10)+(H15*[1]Sheet1!H$10)+(J15*[1]Sheet1!J$10)+(L15*[1]Sheet1!L$10)+(N15*[1]Sheet1!N$10)+(P15*[1]Sheet1!P$10))/R15</f>
        <v>4.8297872340425529</v>
      </c>
    </row>
    <row r="16" spans="1:33" ht="13" x14ac:dyDescent="0.3">
      <c r="A16" s="1"/>
      <c r="B16" s="1"/>
      <c r="C16" s="1"/>
      <c r="D16" s="3" t="s">
        <v>7</v>
      </c>
      <c r="E16" s="1"/>
      <c r="F16" s="1">
        <f>SUM(F9:F15)</f>
        <v>229</v>
      </c>
      <c r="G16" s="1"/>
      <c r="H16" s="1">
        <f>SUM(H9:H15)</f>
        <v>88</v>
      </c>
      <c r="I16" s="1"/>
      <c r="J16" s="1">
        <f>SUM(J9:J15)</f>
        <v>11</v>
      </c>
      <c r="K16" s="1"/>
      <c r="L16" s="1">
        <f>SUM(L9:L15)</f>
        <v>1</v>
      </c>
      <c r="M16" s="1"/>
      <c r="N16" s="1">
        <f>SUM(N9:N15)</f>
        <v>0</v>
      </c>
      <c r="O16" s="1"/>
      <c r="P16" s="1">
        <f>SUM(P9:P15)</f>
        <v>0</v>
      </c>
      <c r="Q16" s="1"/>
      <c r="R16" s="10">
        <f t="shared" si="0"/>
        <v>329</v>
      </c>
      <c r="S16" s="1"/>
      <c r="T16" s="13">
        <f t="shared" si="1"/>
        <v>0.69604863221884494</v>
      </c>
      <c r="U16" s="13"/>
      <c r="V16" s="13">
        <f t="shared" si="2"/>
        <v>0.26747720364741639</v>
      </c>
      <c r="W16" s="13"/>
      <c r="X16" s="13">
        <f t="shared" si="3"/>
        <v>3.3434650455927049E-2</v>
      </c>
      <c r="Y16" s="13"/>
      <c r="Z16" s="13">
        <f t="shared" si="4"/>
        <v>3.0395136778115501E-3</v>
      </c>
      <c r="AA16" s="13"/>
      <c r="AB16" s="13">
        <f t="shared" si="5"/>
        <v>0</v>
      </c>
      <c r="AC16" s="1"/>
      <c r="AD16" s="13">
        <f t="shared" si="6"/>
        <v>0</v>
      </c>
      <c r="AE16" s="1"/>
      <c r="AF16" s="13">
        <f t="shared" si="7"/>
        <v>0.99999999999999989</v>
      </c>
      <c r="AG16" s="14">
        <f>((F16*[1]Sheet1!F$10)+(H16*[1]Sheet1!H$10)+(J16*[1]Sheet1!J$10)+(L16*[1]Sheet1!L$10)+(N16*[1]Sheet1!N$10)+(P16*[1]Sheet1!P$10))/R16</f>
        <v>4.6565349544072951</v>
      </c>
    </row>
    <row r="17" spans="1:33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2"/>
    </row>
    <row r="18" spans="1:33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2"/>
    </row>
    <row r="19" spans="1:33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2"/>
    </row>
    <row r="20" spans="1:33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2"/>
    </row>
    <row r="21" spans="1:33" ht="13" x14ac:dyDescent="0.3">
      <c r="A21" s="3" t="s">
        <v>16</v>
      </c>
      <c r="B21" s="1"/>
      <c r="C21" s="1"/>
      <c r="D21" s="3"/>
      <c r="E21" s="1"/>
      <c r="F21" s="1" t="s">
        <v>3</v>
      </c>
      <c r="G21" s="1"/>
      <c r="H21" s="1"/>
      <c r="I21" s="1"/>
      <c r="J21" s="1"/>
      <c r="K21" s="1"/>
      <c r="L21" s="1"/>
      <c r="M21" s="1"/>
      <c r="N21" s="1" t="s">
        <v>3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2"/>
    </row>
    <row r="22" spans="1:33" ht="13" x14ac:dyDescent="0.3">
      <c r="A22" s="3" t="s">
        <v>17</v>
      </c>
      <c r="B22" s="1"/>
      <c r="C22" s="1"/>
      <c r="D22" s="3"/>
      <c r="E22" s="1"/>
      <c r="F22" s="4" t="s">
        <v>5</v>
      </c>
      <c r="G22" s="1"/>
      <c r="H22" s="1"/>
      <c r="I22" s="1"/>
      <c r="J22" s="1"/>
      <c r="K22" s="1"/>
      <c r="L22" s="1"/>
      <c r="M22" s="1"/>
      <c r="N22" s="4" t="s">
        <v>6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2"/>
    </row>
    <row r="23" spans="1:33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2"/>
    </row>
    <row r="24" spans="1:33" ht="13" x14ac:dyDescent="0.3">
      <c r="A24" s="1"/>
      <c r="B24" s="1"/>
      <c r="C24" s="1"/>
      <c r="D24" s="1"/>
      <c r="E24" s="1"/>
      <c r="F24" s="5">
        <v>5</v>
      </c>
      <c r="G24" s="6" t="s">
        <v>2</v>
      </c>
      <c r="H24" s="5">
        <v>4</v>
      </c>
      <c r="I24" s="6"/>
      <c r="J24" s="5">
        <v>3</v>
      </c>
      <c r="K24" s="6"/>
      <c r="L24" s="5">
        <v>2</v>
      </c>
      <c r="M24" s="6"/>
      <c r="N24" s="5">
        <v>1</v>
      </c>
      <c r="O24" s="1"/>
      <c r="P24" s="5">
        <v>0</v>
      </c>
      <c r="Q24" s="7"/>
      <c r="R24" s="8" t="s">
        <v>7</v>
      </c>
      <c r="S24" s="1"/>
      <c r="T24" s="5">
        <v>5</v>
      </c>
      <c r="U24" s="6" t="s">
        <v>2</v>
      </c>
      <c r="V24" s="5">
        <v>4</v>
      </c>
      <c r="W24" s="6"/>
      <c r="X24" s="5">
        <v>3</v>
      </c>
      <c r="Y24" s="6"/>
      <c r="Z24" s="5">
        <v>2</v>
      </c>
      <c r="AA24" s="6"/>
      <c r="AB24" s="5">
        <v>1</v>
      </c>
      <c r="AC24" s="1"/>
      <c r="AD24" s="9">
        <v>0</v>
      </c>
      <c r="AE24" s="10"/>
      <c r="AF24" s="11" t="s">
        <v>7</v>
      </c>
      <c r="AG24" s="12" t="s">
        <v>8</v>
      </c>
    </row>
    <row r="25" spans="1:33" x14ac:dyDescent="0.25">
      <c r="A25" s="1" t="s">
        <v>9</v>
      </c>
      <c r="B25" s="1"/>
      <c r="C25" s="1"/>
      <c r="D25" s="1"/>
      <c r="E25" s="1"/>
      <c r="F25" s="1">
        <v>10</v>
      </c>
      <c r="G25" s="1"/>
      <c r="H25" s="1">
        <v>8</v>
      </c>
      <c r="I25" s="1"/>
      <c r="J25" s="1">
        <v>4</v>
      </c>
      <c r="K25" s="1"/>
      <c r="L25" s="1">
        <v>0</v>
      </c>
      <c r="M25" s="1"/>
      <c r="N25" s="1">
        <v>0</v>
      </c>
      <c r="O25" s="1"/>
      <c r="P25" s="1">
        <v>0</v>
      </c>
      <c r="Q25" s="1"/>
      <c r="R25" s="10">
        <f t="shared" ref="R25:R32" si="8">SUM(F25:P25)</f>
        <v>22</v>
      </c>
      <c r="S25" s="1"/>
      <c r="T25" s="13">
        <f t="shared" ref="T25:T32" si="9">(F25/R25)</f>
        <v>0.45454545454545453</v>
      </c>
      <c r="U25" s="13"/>
      <c r="V25" s="13">
        <f t="shared" ref="V25:V32" si="10">(H25/R25)</f>
        <v>0.36363636363636365</v>
      </c>
      <c r="W25" s="13"/>
      <c r="X25" s="13">
        <f t="shared" ref="X25:X32" si="11">(J25/R25)</f>
        <v>0.18181818181818182</v>
      </c>
      <c r="Y25" s="13"/>
      <c r="Z25" s="13">
        <f t="shared" ref="Z25:Z32" si="12">(L25/R25)</f>
        <v>0</v>
      </c>
      <c r="AA25" s="13"/>
      <c r="AB25" s="13">
        <f t="shared" ref="AB25:AB32" si="13">(N25/R25)</f>
        <v>0</v>
      </c>
      <c r="AC25" s="1"/>
      <c r="AD25" s="13">
        <f t="shared" ref="AD25:AD32" si="14">(P25/R25)</f>
        <v>0</v>
      </c>
      <c r="AE25" s="1"/>
      <c r="AF25" s="13">
        <f t="shared" ref="AF25:AF32" si="15">SUM(T25:AD25)</f>
        <v>1</v>
      </c>
      <c r="AG25" s="14">
        <f>((F25*[1]Sheet1!F$10)+(H25*[1]Sheet1!H$10)+(J25*[1]Sheet1!J$10)+(L25*[1]Sheet1!L$10)+(N25*[1]Sheet1!N$10)+(P25*[1]Sheet1!P$10))/R25</f>
        <v>4.2727272727272725</v>
      </c>
    </row>
    <row r="26" spans="1:33" x14ac:dyDescent="0.25">
      <c r="A26" s="1" t="s">
        <v>10</v>
      </c>
      <c r="B26" s="1"/>
      <c r="C26" s="1"/>
      <c r="D26" s="1"/>
      <c r="E26" s="1"/>
      <c r="F26" s="1">
        <v>19</v>
      </c>
      <c r="G26" s="1"/>
      <c r="H26" s="1">
        <v>3</v>
      </c>
      <c r="I26" s="1"/>
      <c r="J26" s="1">
        <v>0</v>
      </c>
      <c r="K26" s="1"/>
      <c r="L26" s="1">
        <v>0</v>
      </c>
      <c r="M26" s="1"/>
      <c r="N26" s="1">
        <v>0</v>
      </c>
      <c r="O26" s="1"/>
      <c r="P26" s="1">
        <v>0</v>
      </c>
      <c r="Q26" s="1"/>
      <c r="R26" s="10">
        <f t="shared" si="8"/>
        <v>22</v>
      </c>
      <c r="S26" s="1"/>
      <c r="T26" s="13">
        <f t="shared" si="9"/>
        <v>0.86363636363636365</v>
      </c>
      <c r="U26" s="13"/>
      <c r="V26" s="13">
        <f t="shared" si="10"/>
        <v>0.13636363636363635</v>
      </c>
      <c r="W26" s="13"/>
      <c r="X26" s="13">
        <f t="shared" si="11"/>
        <v>0</v>
      </c>
      <c r="Y26" s="13"/>
      <c r="Z26" s="13">
        <f t="shared" si="12"/>
        <v>0</v>
      </c>
      <c r="AA26" s="13"/>
      <c r="AB26" s="13">
        <f t="shared" si="13"/>
        <v>0</v>
      </c>
      <c r="AC26" s="1"/>
      <c r="AD26" s="13">
        <f t="shared" si="14"/>
        <v>0</v>
      </c>
      <c r="AE26" s="1"/>
      <c r="AF26" s="13">
        <f t="shared" si="15"/>
        <v>1</v>
      </c>
      <c r="AG26" s="14">
        <f>((F26*[1]Sheet1!F$10)+(H26*[1]Sheet1!H$10)+(J26*[1]Sheet1!J$10)+(L26*[1]Sheet1!L$10)+(N26*[1]Sheet1!N$10)+(P26*[1]Sheet1!P$10))/R26</f>
        <v>4.8636363636363633</v>
      </c>
    </row>
    <row r="27" spans="1:33" x14ac:dyDescent="0.25">
      <c r="A27" s="1" t="s">
        <v>11</v>
      </c>
      <c r="B27" s="1"/>
      <c r="C27" s="1"/>
      <c r="D27" s="1"/>
      <c r="E27" s="1"/>
      <c r="F27" s="1">
        <v>17</v>
      </c>
      <c r="G27" s="1"/>
      <c r="H27" s="1">
        <v>3</v>
      </c>
      <c r="I27" s="1"/>
      <c r="J27" s="1">
        <v>2</v>
      </c>
      <c r="K27" s="1"/>
      <c r="L27" s="1">
        <v>0</v>
      </c>
      <c r="M27" s="1"/>
      <c r="N27" s="1">
        <v>0</v>
      </c>
      <c r="O27" s="1"/>
      <c r="P27" s="1">
        <v>0</v>
      </c>
      <c r="Q27" s="1"/>
      <c r="R27" s="10">
        <f t="shared" si="8"/>
        <v>22</v>
      </c>
      <c r="S27" s="1"/>
      <c r="T27" s="13">
        <f t="shared" si="9"/>
        <v>0.77272727272727271</v>
      </c>
      <c r="U27" s="13"/>
      <c r="V27" s="13">
        <f t="shared" si="10"/>
        <v>0.13636363636363635</v>
      </c>
      <c r="W27" s="13"/>
      <c r="X27" s="13">
        <f t="shared" si="11"/>
        <v>9.0909090909090912E-2</v>
      </c>
      <c r="Y27" s="13"/>
      <c r="Z27" s="13">
        <f t="shared" si="12"/>
        <v>0</v>
      </c>
      <c r="AA27" s="13"/>
      <c r="AB27" s="13">
        <f t="shared" si="13"/>
        <v>0</v>
      </c>
      <c r="AC27" s="1"/>
      <c r="AD27" s="13">
        <f t="shared" si="14"/>
        <v>0</v>
      </c>
      <c r="AE27" s="1"/>
      <c r="AF27" s="13">
        <f t="shared" si="15"/>
        <v>1</v>
      </c>
      <c r="AG27" s="14">
        <f>((F27*[1]Sheet1!F$10)+(H27*[1]Sheet1!H$10)+(J27*[1]Sheet1!J$10)+(L27*[1]Sheet1!L$10)+(N27*[1]Sheet1!N$10)+(P27*[1]Sheet1!P$10))/R27</f>
        <v>4.6818181818181817</v>
      </c>
    </row>
    <row r="28" spans="1:33" x14ac:dyDescent="0.25">
      <c r="A28" s="1" t="s">
        <v>12</v>
      </c>
      <c r="B28" s="1"/>
      <c r="C28" s="1"/>
      <c r="D28" s="1"/>
      <c r="E28" s="1"/>
      <c r="F28" s="1">
        <v>13</v>
      </c>
      <c r="G28" s="1"/>
      <c r="H28" s="1">
        <v>5</v>
      </c>
      <c r="I28" s="1"/>
      <c r="J28" s="1">
        <v>3</v>
      </c>
      <c r="K28" s="1"/>
      <c r="L28" s="1">
        <v>1</v>
      </c>
      <c r="M28" s="1"/>
      <c r="N28" s="1">
        <v>0</v>
      </c>
      <c r="O28" s="1"/>
      <c r="P28" s="1">
        <v>0</v>
      </c>
      <c r="Q28" s="1"/>
      <c r="R28" s="10">
        <f t="shared" si="8"/>
        <v>22</v>
      </c>
      <c r="S28" s="1"/>
      <c r="T28" s="13">
        <f t="shared" si="9"/>
        <v>0.59090909090909094</v>
      </c>
      <c r="U28" s="13"/>
      <c r="V28" s="13">
        <f t="shared" si="10"/>
        <v>0.22727272727272727</v>
      </c>
      <c r="W28" s="13"/>
      <c r="X28" s="13">
        <f t="shared" si="11"/>
        <v>0.13636363636363635</v>
      </c>
      <c r="Y28" s="13"/>
      <c r="Z28" s="13">
        <f t="shared" si="12"/>
        <v>4.5454545454545456E-2</v>
      </c>
      <c r="AA28" s="13"/>
      <c r="AB28" s="13">
        <f t="shared" si="13"/>
        <v>0</v>
      </c>
      <c r="AC28" s="1"/>
      <c r="AD28" s="13">
        <f t="shared" si="14"/>
        <v>0</v>
      </c>
      <c r="AE28" s="1"/>
      <c r="AF28" s="13">
        <f t="shared" si="15"/>
        <v>1</v>
      </c>
      <c r="AG28" s="14">
        <f>((F28*[1]Sheet1!F$10)+(H28*[1]Sheet1!H$10)+(J28*[1]Sheet1!J$10)+(L28*[1]Sheet1!L$10)+(N28*[1]Sheet1!N$10)+(P28*[1]Sheet1!P$10))/R28</f>
        <v>4.3636363636363633</v>
      </c>
    </row>
    <row r="29" spans="1:33" x14ac:dyDescent="0.25">
      <c r="A29" s="1" t="s">
        <v>13</v>
      </c>
      <c r="B29" s="1"/>
      <c r="C29" s="1"/>
      <c r="D29" s="1"/>
      <c r="E29" s="1"/>
      <c r="F29" s="1">
        <v>15</v>
      </c>
      <c r="G29" s="1"/>
      <c r="H29" s="1">
        <v>5</v>
      </c>
      <c r="I29" s="1"/>
      <c r="J29" s="1">
        <v>1</v>
      </c>
      <c r="K29" s="1"/>
      <c r="L29" s="1">
        <v>1</v>
      </c>
      <c r="M29" s="1"/>
      <c r="N29" s="1">
        <v>0</v>
      </c>
      <c r="O29" s="1"/>
      <c r="P29" s="1">
        <v>0</v>
      </c>
      <c r="Q29" s="1"/>
      <c r="R29" s="10">
        <f t="shared" si="8"/>
        <v>22</v>
      </c>
      <c r="S29" s="1"/>
      <c r="T29" s="13">
        <f t="shared" si="9"/>
        <v>0.68181818181818177</v>
      </c>
      <c r="U29" s="13"/>
      <c r="V29" s="13">
        <f t="shared" si="10"/>
        <v>0.22727272727272727</v>
      </c>
      <c r="W29" s="13"/>
      <c r="X29" s="13">
        <f t="shared" si="11"/>
        <v>4.5454545454545456E-2</v>
      </c>
      <c r="Y29" s="13"/>
      <c r="Z29" s="13">
        <f t="shared" si="12"/>
        <v>4.5454545454545456E-2</v>
      </c>
      <c r="AA29" s="13"/>
      <c r="AB29" s="13">
        <f t="shared" si="13"/>
        <v>0</v>
      </c>
      <c r="AC29" s="1"/>
      <c r="AD29" s="13">
        <f t="shared" si="14"/>
        <v>0</v>
      </c>
      <c r="AE29" s="1"/>
      <c r="AF29" s="13">
        <f t="shared" si="15"/>
        <v>0.99999999999999989</v>
      </c>
      <c r="AG29" s="14">
        <f>((F29*[1]Sheet1!F$10)+(H29*[1]Sheet1!H$10)+(J29*[1]Sheet1!J$10)+(L29*[1]Sheet1!L$10)+(N29*[1]Sheet1!N$10)+(P29*[1]Sheet1!P$10))/R29</f>
        <v>4.5454545454545459</v>
      </c>
    </row>
    <row r="30" spans="1:33" x14ac:dyDescent="0.25">
      <c r="A30" s="1" t="s">
        <v>14</v>
      </c>
      <c r="B30" s="1"/>
      <c r="C30" s="1"/>
      <c r="D30" s="1"/>
      <c r="E30" s="1"/>
      <c r="F30" s="1">
        <v>17</v>
      </c>
      <c r="G30" s="1"/>
      <c r="H30" s="1">
        <v>4</v>
      </c>
      <c r="I30" s="1"/>
      <c r="J30" s="1">
        <v>1</v>
      </c>
      <c r="K30" s="1"/>
      <c r="L30" s="1">
        <v>0</v>
      </c>
      <c r="M30" s="1"/>
      <c r="N30" s="1">
        <v>0</v>
      </c>
      <c r="O30" s="1"/>
      <c r="P30" s="1">
        <v>0</v>
      </c>
      <c r="Q30" s="1"/>
      <c r="R30" s="10">
        <f t="shared" si="8"/>
        <v>22</v>
      </c>
      <c r="S30" s="1"/>
      <c r="T30" s="13">
        <f t="shared" si="9"/>
        <v>0.77272727272727271</v>
      </c>
      <c r="U30" s="13"/>
      <c r="V30" s="13">
        <f t="shared" si="10"/>
        <v>0.18181818181818182</v>
      </c>
      <c r="W30" s="13"/>
      <c r="X30" s="13">
        <f t="shared" si="11"/>
        <v>4.5454545454545456E-2</v>
      </c>
      <c r="Y30" s="13"/>
      <c r="Z30" s="13">
        <f t="shared" si="12"/>
        <v>0</v>
      </c>
      <c r="AA30" s="13"/>
      <c r="AB30" s="13">
        <f t="shared" si="13"/>
        <v>0</v>
      </c>
      <c r="AC30" s="1"/>
      <c r="AD30" s="13">
        <f t="shared" si="14"/>
        <v>0</v>
      </c>
      <c r="AE30" s="1"/>
      <c r="AF30" s="13">
        <f t="shared" si="15"/>
        <v>1</v>
      </c>
      <c r="AG30" s="14">
        <f>((F30*[1]Sheet1!F$10)+(H30*[1]Sheet1!H$10)+(J30*[1]Sheet1!J$10)+(L30*[1]Sheet1!L$10)+(N30*[1]Sheet1!N$10)+(P30*[1]Sheet1!P$10))/R30</f>
        <v>4.7272727272727275</v>
      </c>
    </row>
    <row r="31" spans="1:33" x14ac:dyDescent="0.25">
      <c r="A31" s="1" t="s">
        <v>15</v>
      </c>
      <c r="B31" s="1"/>
      <c r="C31" s="1"/>
      <c r="D31" s="1"/>
      <c r="E31" s="1"/>
      <c r="F31" s="15">
        <v>10</v>
      </c>
      <c r="G31" s="15"/>
      <c r="H31" s="15">
        <v>5</v>
      </c>
      <c r="I31" s="15"/>
      <c r="J31" s="15">
        <v>5</v>
      </c>
      <c r="K31" s="15"/>
      <c r="L31" s="15">
        <v>1</v>
      </c>
      <c r="M31" s="15"/>
      <c r="N31" s="15">
        <v>1</v>
      </c>
      <c r="O31" s="15"/>
      <c r="P31" s="15">
        <v>0</v>
      </c>
      <c r="Q31" s="1"/>
      <c r="R31" s="9">
        <f t="shared" si="8"/>
        <v>22</v>
      </c>
      <c r="S31" s="1"/>
      <c r="T31" s="16">
        <f t="shared" si="9"/>
        <v>0.45454545454545453</v>
      </c>
      <c r="U31" s="16"/>
      <c r="V31" s="16">
        <f t="shared" si="10"/>
        <v>0.22727272727272727</v>
      </c>
      <c r="W31" s="16"/>
      <c r="X31" s="16">
        <f t="shared" si="11"/>
        <v>0.22727272727272727</v>
      </c>
      <c r="Y31" s="16"/>
      <c r="Z31" s="16">
        <f t="shared" si="12"/>
        <v>4.5454545454545456E-2</v>
      </c>
      <c r="AA31" s="16"/>
      <c r="AB31" s="16">
        <f t="shared" si="13"/>
        <v>4.5454545454545456E-2</v>
      </c>
      <c r="AC31" s="15"/>
      <c r="AD31" s="16">
        <f t="shared" si="14"/>
        <v>0</v>
      </c>
      <c r="AE31" s="1"/>
      <c r="AF31" s="13">
        <f t="shared" si="15"/>
        <v>0.99999999999999989</v>
      </c>
      <c r="AG31" s="14">
        <f>((F31*[1]Sheet1!F$10)+(H31*[1]Sheet1!H$10)+(J31*[1]Sheet1!J$10)+(L31*[1]Sheet1!L$10)+(N31*[1]Sheet1!N$10)+(P31*[1]Sheet1!P$10))/R31</f>
        <v>4</v>
      </c>
    </row>
    <row r="32" spans="1:33" ht="13" x14ac:dyDescent="0.3">
      <c r="A32" s="1"/>
      <c r="B32" s="1"/>
      <c r="C32" s="1"/>
      <c r="D32" s="3" t="s">
        <v>7</v>
      </c>
      <c r="E32" s="1"/>
      <c r="F32" s="1">
        <f>SUM(F25:F31)</f>
        <v>101</v>
      </c>
      <c r="G32" s="1"/>
      <c r="H32" s="1">
        <f>SUM(H25:H31)</f>
        <v>33</v>
      </c>
      <c r="I32" s="1"/>
      <c r="J32" s="1">
        <f>SUM(J25:J31)</f>
        <v>16</v>
      </c>
      <c r="K32" s="1"/>
      <c r="L32" s="1">
        <f>SUM(L25:L31)</f>
        <v>3</v>
      </c>
      <c r="M32" s="1"/>
      <c r="N32" s="1">
        <f>SUM(N25:N31)</f>
        <v>1</v>
      </c>
      <c r="O32" s="1"/>
      <c r="P32" s="1">
        <f>SUM(P25:P31)</f>
        <v>0</v>
      </c>
      <c r="Q32" s="1"/>
      <c r="R32" s="10">
        <f t="shared" si="8"/>
        <v>154</v>
      </c>
      <c r="S32" s="1"/>
      <c r="T32" s="13">
        <f t="shared" si="9"/>
        <v>0.6558441558441559</v>
      </c>
      <c r="U32" s="13"/>
      <c r="V32" s="13">
        <f t="shared" si="10"/>
        <v>0.21428571428571427</v>
      </c>
      <c r="W32" s="13"/>
      <c r="X32" s="13">
        <f t="shared" si="11"/>
        <v>0.1038961038961039</v>
      </c>
      <c r="Y32" s="13"/>
      <c r="Z32" s="13">
        <f t="shared" si="12"/>
        <v>1.948051948051948E-2</v>
      </c>
      <c r="AA32" s="13"/>
      <c r="AB32" s="13">
        <f t="shared" si="13"/>
        <v>6.4935064935064939E-3</v>
      </c>
      <c r="AC32" s="1"/>
      <c r="AD32" s="13">
        <f t="shared" si="14"/>
        <v>0</v>
      </c>
      <c r="AE32" s="1"/>
      <c r="AF32" s="13">
        <f t="shared" si="15"/>
        <v>1</v>
      </c>
      <c r="AG32" s="14">
        <f>((F32*[1]Sheet1!F$10)+(H32*[1]Sheet1!H$10)+(J32*[1]Sheet1!J$10)+(L32*[1]Sheet1!L$10)+(N32*[1]Sheet1!N$10)+(P32*[1]Sheet1!P$10))/R32</f>
        <v>4.4935064935064934</v>
      </c>
    </row>
    <row r="33" spans="1:33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2"/>
    </row>
    <row r="34" spans="1:33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2"/>
    </row>
    <row r="35" spans="1:33" ht="13" x14ac:dyDescent="0.3">
      <c r="A35" s="3" t="s">
        <v>18</v>
      </c>
      <c r="B35" s="1"/>
      <c r="C35" s="1"/>
      <c r="D35" s="3"/>
      <c r="E35" s="1"/>
      <c r="F35" s="1" t="s">
        <v>3</v>
      </c>
      <c r="G35" s="1"/>
      <c r="H35" s="1"/>
      <c r="I35" s="1"/>
      <c r="J35" s="1"/>
      <c r="K35" s="1"/>
      <c r="L35" s="1"/>
      <c r="M35" s="1"/>
      <c r="N35" s="1" t="s">
        <v>3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2"/>
    </row>
    <row r="36" spans="1:33" ht="13" x14ac:dyDescent="0.3">
      <c r="A36" s="3" t="s">
        <v>2</v>
      </c>
      <c r="B36" s="1"/>
      <c r="C36" s="1"/>
      <c r="D36" s="3"/>
      <c r="E36" s="1"/>
      <c r="F36" s="4" t="s">
        <v>5</v>
      </c>
      <c r="G36" s="1"/>
      <c r="H36" s="1"/>
      <c r="I36" s="1"/>
      <c r="J36" s="1"/>
      <c r="K36" s="1"/>
      <c r="L36" s="1"/>
      <c r="M36" s="1"/>
      <c r="N36" s="4" t="s">
        <v>6</v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2"/>
    </row>
    <row r="37" spans="1:33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2"/>
    </row>
    <row r="38" spans="1:33" ht="13" x14ac:dyDescent="0.3">
      <c r="A38" s="1"/>
      <c r="B38" s="1"/>
      <c r="C38" s="1"/>
      <c r="D38" s="1"/>
      <c r="E38" s="1"/>
      <c r="F38" s="5">
        <v>5</v>
      </c>
      <c r="G38" s="6" t="s">
        <v>2</v>
      </c>
      <c r="H38" s="5">
        <v>4</v>
      </c>
      <c r="I38" s="6"/>
      <c r="J38" s="5">
        <v>3</v>
      </c>
      <c r="K38" s="6"/>
      <c r="L38" s="5">
        <v>2</v>
      </c>
      <c r="M38" s="6"/>
      <c r="N38" s="5">
        <v>1</v>
      </c>
      <c r="O38" s="1"/>
      <c r="P38" s="5">
        <v>0</v>
      </c>
      <c r="Q38" s="7"/>
      <c r="R38" s="8" t="s">
        <v>7</v>
      </c>
      <c r="S38" s="1"/>
      <c r="T38" s="5">
        <v>5</v>
      </c>
      <c r="U38" s="6" t="s">
        <v>2</v>
      </c>
      <c r="V38" s="5">
        <v>4</v>
      </c>
      <c r="W38" s="6"/>
      <c r="X38" s="5">
        <v>3</v>
      </c>
      <c r="Y38" s="6"/>
      <c r="Z38" s="5">
        <v>2</v>
      </c>
      <c r="AA38" s="6"/>
      <c r="AB38" s="5">
        <v>1</v>
      </c>
      <c r="AC38" s="1"/>
      <c r="AD38" s="9">
        <v>0</v>
      </c>
      <c r="AE38" s="10"/>
      <c r="AF38" s="11" t="s">
        <v>7</v>
      </c>
      <c r="AG38" s="12" t="s">
        <v>8</v>
      </c>
    </row>
    <row r="39" spans="1:33" x14ac:dyDescent="0.25">
      <c r="A39" s="1" t="s">
        <v>9</v>
      </c>
      <c r="B39" s="1"/>
      <c r="C39" s="1"/>
      <c r="D39" s="1"/>
      <c r="E39" s="1"/>
      <c r="F39" s="1">
        <v>9</v>
      </c>
      <c r="G39" s="1"/>
      <c r="H39" s="1">
        <v>11</v>
      </c>
      <c r="I39" s="1"/>
      <c r="J39" s="1">
        <v>4</v>
      </c>
      <c r="K39" s="1"/>
      <c r="L39" s="1">
        <v>1</v>
      </c>
      <c r="M39" s="1"/>
      <c r="N39" s="1">
        <v>0</v>
      </c>
      <c r="O39" s="1"/>
      <c r="P39" s="1">
        <v>0</v>
      </c>
      <c r="Q39" s="1"/>
      <c r="R39" s="10">
        <f t="shared" ref="R39:R46" si="16">SUM(F39:P39)</f>
        <v>25</v>
      </c>
      <c r="S39" s="1"/>
      <c r="T39" s="13">
        <f t="shared" ref="T39:T46" si="17">(F39/R39)</f>
        <v>0.36</v>
      </c>
      <c r="U39" s="13"/>
      <c r="V39" s="13">
        <f t="shared" ref="V39:V46" si="18">(H39/R39)</f>
        <v>0.44</v>
      </c>
      <c r="W39" s="13"/>
      <c r="X39" s="13">
        <f t="shared" ref="X39:X46" si="19">(J39/R39)</f>
        <v>0.16</v>
      </c>
      <c r="Y39" s="13"/>
      <c r="Z39" s="13">
        <f t="shared" ref="Z39:Z46" si="20">(L39/R39)</f>
        <v>0.04</v>
      </c>
      <c r="AA39" s="13"/>
      <c r="AB39" s="13">
        <f t="shared" ref="AB39:AB46" si="21">(N39/R39)</f>
        <v>0</v>
      </c>
      <c r="AC39" s="1"/>
      <c r="AD39" s="13">
        <f t="shared" ref="AD39:AD46" si="22">(P39/R39)</f>
        <v>0</v>
      </c>
      <c r="AE39" s="1"/>
      <c r="AF39" s="13">
        <f t="shared" ref="AF39:AF46" si="23">SUM(T39:AD39)</f>
        <v>1</v>
      </c>
      <c r="AG39" s="14">
        <f>((F39*[1]Sheet1!F$10)+(H39*[1]Sheet1!H$10)+(J39*[1]Sheet1!J$10)+(L39*[1]Sheet1!L$10)+(N39*[1]Sheet1!N$10)+(P39*[1]Sheet1!P$10))/R39</f>
        <v>4.12</v>
      </c>
    </row>
    <row r="40" spans="1:33" x14ac:dyDescent="0.25">
      <c r="A40" s="1" t="s">
        <v>10</v>
      </c>
      <c r="B40" s="1"/>
      <c r="C40" s="1"/>
      <c r="D40" s="1"/>
      <c r="E40" s="1"/>
      <c r="F40" s="1">
        <v>19</v>
      </c>
      <c r="G40" s="1"/>
      <c r="H40" s="1">
        <v>4</v>
      </c>
      <c r="I40" s="1"/>
      <c r="J40" s="1">
        <v>2</v>
      </c>
      <c r="K40" s="1"/>
      <c r="L40" s="1">
        <v>0</v>
      </c>
      <c r="M40" s="1"/>
      <c r="N40" s="1">
        <v>0</v>
      </c>
      <c r="O40" s="1"/>
      <c r="P40" s="1">
        <v>0</v>
      </c>
      <c r="Q40" s="1"/>
      <c r="R40" s="10">
        <f t="shared" si="16"/>
        <v>25</v>
      </c>
      <c r="S40" s="1"/>
      <c r="T40" s="13">
        <f t="shared" si="17"/>
        <v>0.76</v>
      </c>
      <c r="U40" s="13"/>
      <c r="V40" s="13">
        <f t="shared" si="18"/>
        <v>0.16</v>
      </c>
      <c r="W40" s="13"/>
      <c r="X40" s="13">
        <f t="shared" si="19"/>
        <v>0.08</v>
      </c>
      <c r="Y40" s="13"/>
      <c r="Z40" s="13">
        <f t="shared" si="20"/>
        <v>0</v>
      </c>
      <c r="AA40" s="13"/>
      <c r="AB40" s="13">
        <f t="shared" si="21"/>
        <v>0</v>
      </c>
      <c r="AC40" s="1"/>
      <c r="AD40" s="13">
        <f t="shared" si="22"/>
        <v>0</v>
      </c>
      <c r="AE40" s="1"/>
      <c r="AF40" s="13">
        <f t="shared" si="23"/>
        <v>1</v>
      </c>
      <c r="AG40" s="14">
        <f>((F40*[1]Sheet1!F$10)+(H40*[1]Sheet1!H$10)+(J40*[1]Sheet1!J$10)+(L40*[1]Sheet1!L$10)+(N40*[1]Sheet1!N$10)+(P40*[1]Sheet1!P$10))/R40</f>
        <v>4.68</v>
      </c>
    </row>
    <row r="41" spans="1:33" x14ac:dyDescent="0.25">
      <c r="A41" s="1" t="s">
        <v>11</v>
      </c>
      <c r="B41" s="1"/>
      <c r="C41" s="1"/>
      <c r="D41" s="1"/>
      <c r="E41" s="1"/>
      <c r="F41" s="1">
        <v>13</v>
      </c>
      <c r="G41" s="1"/>
      <c r="H41" s="1">
        <v>8</v>
      </c>
      <c r="I41" s="1"/>
      <c r="J41" s="1">
        <v>3</v>
      </c>
      <c r="K41" s="1"/>
      <c r="L41" s="1">
        <v>1</v>
      </c>
      <c r="M41" s="1"/>
      <c r="N41" s="1">
        <v>0</v>
      </c>
      <c r="O41" s="1"/>
      <c r="P41" s="1">
        <v>0</v>
      </c>
      <c r="Q41" s="1"/>
      <c r="R41" s="10">
        <f t="shared" si="16"/>
        <v>25</v>
      </c>
      <c r="S41" s="1"/>
      <c r="T41" s="13">
        <f t="shared" si="17"/>
        <v>0.52</v>
      </c>
      <c r="U41" s="13"/>
      <c r="V41" s="13">
        <f t="shared" si="18"/>
        <v>0.32</v>
      </c>
      <c r="W41" s="13"/>
      <c r="X41" s="13">
        <f t="shared" si="19"/>
        <v>0.12</v>
      </c>
      <c r="Y41" s="13"/>
      <c r="Z41" s="13">
        <f t="shared" si="20"/>
        <v>0.04</v>
      </c>
      <c r="AA41" s="13"/>
      <c r="AB41" s="13">
        <f t="shared" si="21"/>
        <v>0</v>
      </c>
      <c r="AC41" s="1"/>
      <c r="AD41" s="13">
        <f t="shared" si="22"/>
        <v>0</v>
      </c>
      <c r="AE41" s="1"/>
      <c r="AF41" s="13">
        <f t="shared" si="23"/>
        <v>1</v>
      </c>
      <c r="AG41" s="14">
        <f>((F41*[1]Sheet1!F$10)+(H41*[1]Sheet1!H$10)+(J41*[1]Sheet1!J$10)+(L41*[1]Sheet1!L$10)+(N41*[1]Sheet1!N$10)+(P41*[1]Sheet1!P$10))/R41</f>
        <v>4.32</v>
      </c>
    </row>
    <row r="42" spans="1:33" x14ac:dyDescent="0.25">
      <c r="A42" s="1" t="s">
        <v>12</v>
      </c>
      <c r="B42" s="1"/>
      <c r="C42" s="1"/>
      <c r="D42" s="1"/>
      <c r="E42" s="1"/>
      <c r="F42" s="1">
        <v>14</v>
      </c>
      <c r="G42" s="1"/>
      <c r="H42" s="1">
        <v>7</v>
      </c>
      <c r="I42" s="1"/>
      <c r="J42" s="1">
        <v>3</v>
      </c>
      <c r="K42" s="1"/>
      <c r="L42" s="1">
        <v>1</v>
      </c>
      <c r="M42" s="1"/>
      <c r="N42" s="1">
        <v>0</v>
      </c>
      <c r="O42" s="1"/>
      <c r="P42" s="1">
        <v>0</v>
      </c>
      <c r="Q42" s="1"/>
      <c r="R42" s="10">
        <f t="shared" si="16"/>
        <v>25</v>
      </c>
      <c r="S42" s="1"/>
      <c r="T42" s="13">
        <f t="shared" si="17"/>
        <v>0.56000000000000005</v>
      </c>
      <c r="U42" s="13"/>
      <c r="V42" s="13">
        <f t="shared" si="18"/>
        <v>0.28000000000000003</v>
      </c>
      <c r="W42" s="13"/>
      <c r="X42" s="13">
        <f t="shared" si="19"/>
        <v>0.12</v>
      </c>
      <c r="Y42" s="13"/>
      <c r="Z42" s="13">
        <f t="shared" si="20"/>
        <v>0.04</v>
      </c>
      <c r="AA42" s="13"/>
      <c r="AB42" s="13">
        <f t="shared" si="21"/>
        <v>0</v>
      </c>
      <c r="AC42" s="1"/>
      <c r="AD42" s="13">
        <f t="shared" si="22"/>
        <v>0</v>
      </c>
      <c r="AE42" s="1"/>
      <c r="AF42" s="13">
        <f t="shared" si="23"/>
        <v>1</v>
      </c>
      <c r="AG42" s="14">
        <f>((F42*[1]Sheet1!F$10)+(H42*[1]Sheet1!H$10)+(J42*[1]Sheet1!J$10)+(L42*[1]Sheet1!L$10)+(N42*[1]Sheet1!N$10)+(P42*[1]Sheet1!P$10))/R42</f>
        <v>4.3600000000000003</v>
      </c>
    </row>
    <row r="43" spans="1:33" x14ac:dyDescent="0.25">
      <c r="A43" s="1" t="s">
        <v>13</v>
      </c>
      <c r="B43" s="1"/>
      <c r="C43" s="1"/>
      <c r="D43" s="1"/>
      <c r="E43" s="1"/>
      <c r="F43" s="1">
        <v>15</v>
      </c>
      <c r="G43" s="1"/>
      <c r="H43" s="1">
        <v>10</v>
      </c>
      <c r="I43" s="1"/>
      <c r="J43" s="1">
        <v>0</v>
      </c>
      <c r="K43" s="1"/>
      <c r="L43" s="1">
        <v>0</v>
      </c>
      <c r="M43" s="1"/>
      <c r="N43" s="1">
        <v>0</v>
      </c>
      <c r="O43" s="1"/>
      <c r="P43" s="1">
        <v>0</v>
      </c>
      <c r="Q43" s="1"/>
      <c r="R43" s="10">
        <f t="shared" si="16"/>
        <v>25</v>
      </c>
      <c r="S43" s="1"/>
      <c r="T43" s="13">
        <f t="shared" si="17"/>
        <v>0.6</v>
      </c>
      <c r="U43" s="13"/>
      <c r="V43" s="13">
        <f t="shared" si="18"/>
        <v>0.4</v>
      </c>
      <c r="W43" s="13"/>
      <c r="X43" s="13">
        <f t="shared" si="19"/>
        <v>0</v>
      </c>
      <c r="Y43" s="13"/>
      <c r="Z43" s="13">
        <f t="shared" si="20"/>
        <v>0</v>
      </c>
      <c r="AA43" s="13"/>
      <c r="AB43" s="13">
        <f t="shared" si="21"/>
        <v>0</v>
      </c>
      <c r="AC43" s="1"/>
      <c r="AD43" s="13">
        <f t="shared" si="22"/>
        <v>0</v>
      </c>
      <c r="AE43" s="1"/>
      <c r="AF43" s="13">
        <f t="shared" si="23"/>
        <v>1</v>
      </c>
      <c r="AG43" s="14">
        <f>((F43*[1]Sheet1!F$10)+(H43*[1]Sheet1!H$10)+(J43*[1]Sheet1!J$10)+(L43*[1]Sheet1!L$10)+(N43*[1]Sheet1!N$10)+(P43*[1]Sheet1!P$10))/R43</f>
        <v>4.5999999999999996</v>
      </c>
    </row>
    <row r="44" spans="1:33" x14ac:dyDescent="0.25">
      <c r="A44" s="1" t="s">
        <v>14</v>
      </c>
      <c r="B44" s="1"/>
      <c r="C44" s="1"/>
      <c r="D44" s="1"/>
      <c r="E44" s="1"/>
      <c r="F44" s="1">
        <v>15</v>
      </c>
      <c r="G44" s="1"/>
      <c r="H44" s="1">
        <v>7</v>
      </c>
      <c r="I44" s="1"/>
      <c r="J44" s="1">
        <v>3</v>
      </c>
      <c r="K44" s="1"/>
      <c r="L44" s="1">
        <v>0</v>
      </c>
      <c r="M44" s="1"/>
      <c r="N44" s="1">
        <v>0</v>
      </c>
      <c r="O44" s="1"/>
      <c r="P44" s="1">
        <v>0</v>
      </c>
      <c r="Q44" s="1"/>
      <c r="R44" s="10">
        <f t="shared" si="16"/>
        <v>25</v>
      </c>
      <c r="S44" s="1"/>
      <c r="T44" s="13">
        <f t="shared" si="17"/>
        <v>0.6</v>
      </c>
      <c r="U44" s="13"/>
      <c r="V44" s="13">
        <f t="shared" si="18"/>
        <v>0.28000000000000003</v>
      </c>
      <c r="W44" s="13"/>
      <c r="X44" s="13">
        <f t="shared" si="19"/>
        <v>0.12</v>
      </c>
      <c r="Y44" s="13"/>
      <c r="Z44" s="13">
        <f t="shared" si="20"/>
        <v>0</v>
      </c>
      <c r="AA44" s="13"/>
      <c r="AB44" s="13">
        <f t="shared" si="21"/>
        <v>0</v>
      </c>
      <c r="AC44" s="1"/>
      <c r="AD44" s="13">
        <f t="shared" si="22"/>
        <v>0</v>
      </c>
      <c r="AE44" s="1"/>
      <c r="AF44" s="13">
        <f t="shared" si="23"/>
        <v>1</v>
      </c>
      <c r="AG44" s="14">
        <f>((F44*[1]Sheet1!F$10)+(H44*[1]Sheet1!H$10)+(J44*[1]Sheet1!J$10)+(L44*[1]Sheet1!L$10)+(N44*[1]Sheet1!N$10)+(P44*[1]Sheet1!P$10))/R44</f>
        <v>4.4800000000000004</v>
      </c>
    </row>
    <row r="45" spans="1:33" x14ac:dyDescent="0.25">
      <c r="A45" s="1" t="s">
        <v>15</v>
      </c>
      <c r="B45" s="1"/>
      <c r="C45" s="1"/>
      <c r="D45" s="1"/>
      <c r="E45" s="1"/>
      <c r="F45" s="15">
        <v>12</v>
      </c>
      <c r="G45" s="15"/>
      <c r="H45" s="15">
        <v>5</v>
      </c>
      <c r="I45" s="15"/>
      <c r="J45" s="15">
        <v>3</v>
      </c>
      <c r="K45" s="15"/>
      <c r="L45" s="15">
        <v>5</v>
      </c>
      <c r="M45" s="15"/>
      <c r="N45" s="15">
        <v>0</v>
      </c>
      <c r="O45" s="15"/>
      <c r="P45" s="15">
        <v>0</v>
      </c>
      <c r="Q45" s="1"/>
      <c r="R45" s="9">
        <f t="shared" si="16"/>
        <v>25</v>
      </c>
      <c r="S45" s="1"/>
      <c r="T45" s="16">
        <f t="shared" si="17"/>
        <v>0.48</v>
      </c>
      <c r="U45" s="16"/>
      <c r="V45" s="16">
        <f t="shared" si="18"/>
        <v>0.2</v>
      </c>
      <c r="W45" s="16"/>
      <c r="X45" s="16">
        <f t="shared" si="19"/>
        <v>0.12</v>
      </c>
      <c r="Y45" s="16"/>
      <c r="Z45" s="16">
        <f t="shared" si="20"/>
        <v>0.2</v>
      </c>
      <c r="AA45" s="16"/>
      <c r="AB45" s="16">
        <f t="shared" si="21"/>
        <v>0</v>
      </c>
      <c r="AC45" s="15"/>
      <c r="AD45" s="16">
        <f t="shared" si="22"/>
        <v>0</v>
      </c>
      <c r="AE45" s="1"/>
      <c r="AF45" s="13">
        <f t="shared" si="23"/>
        <v>1</v>
      </c>
      <c r="AG45" s="14">
        <f>((F45*[1]Sheet1!F$10)+(H45*[1]Sheet1!H$10)+(J45*[1]Sheet1!J$10)+(L45*[1]Sheet1!L$10)+(N45*[1]Sheet1!N$10)+(P45*[1]Sheet1!P$10))/R45</f>
        <v>3.96</v>
      </c>
    </row>
    <row r="46" spans="1:33" ht="13" x14ac:dyDescent="0.3">
      <c r="A46" s="1"/>
      <c r="B46" s="1"/>
      <c r="C46" s="1"/>
      <c r="D46" s="3" t="s">
        <v>7</v>
      </c>
      <c r="E46" s="1"/>
      <c r="F46" s="1">
        <f>SUM(F39:F45)</f>
        <v>97</v>
      </c>
      <c r="G46" s="1"/>
      <c r="H46" s="1">
        <f>SUM(H39:H45)</f>
        <v>52</v>
      </c>
      <c r="I46" s="1"/>
      <c r="J46" s="1">
        <f>SUM(J39:J45)</f>
        <v>18</v>
      </c>
      <c r="K46" s="1"/>
      <c r="L46" s="1">
        <f>SUM(L39:L45)</f>
        <v>8</v>
      </c>
      <c r="M46" s="1"/>
      <c r="N46" s="1">
        <f>SUM(N39:N45)</f>
        <v>0</v>
      </c>
      <c r="O46" s="1"/>
      <c r="P46" s="1">
        <f>SUM(P39:P45)</f>
        <v>0</v>
      </c>
      <c r="Q46" s="1"/>
      <c r="R46" s="10">
        <f t="shared" si="16"/>
        <v>175</v>
      </c>
      <c r="S46" s="1"/>
      <c r="T46" s="13">
        <f t="shared" si="17"/>
        <v>0.55428571428571427</v>
      </c>
      <c r="U46" s="13"/>
      <c r="V46" s="13">
        <f t="shared" si="18"/>
        <v>0.29714285714285715</v>
      </c>
      <c r="W46" s="13"/>
      <c r="X46" s="13">
        <f t="shared" si="19"/>
        <v>0.10285714285714286</v>
      </c>
      <c r="Y46" s="13"/>
      <c r="Z46" s="13">
        <f t="shared" si="20"/>
        <v>4.5714285714285714E-2</v>
      </c>
      <c r="AA46" s="13"/>
      <c r="AB46" s="13">
        <f t="shared" si="21"/>
        <v>0</v>
      </c>
      <c r="AC46" s="1"/>
      <c r="AD46" s="13">
        <f t="shared" si="22"/>
        <v>0</v>
      </c>
      <c r="AE46" s="1"/>
      <c r="AF46" s="13">
        <f t="shared" si="23"/>
        <v>1</v>
      </c>
      <c r="AG46" s="14">
        <f>((F46*[1]Sheet1!F$10)+(H46*[1]Sheet1!H$10)+(J46*[1]Sheet1!J$10)+(L46*[1]Sheet1!L$10)+(N46*[1]Sheet1!N$10)+(P46*[1]Sheet1!P$10))/R46</f>
        <v>4.3600000000000003</v>
      </c>
    </row>
    <row r="47" spans="1:33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2"/>
    </row>
    <row r="48" spans="1:33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2"/>
    </row>
    <row r="49" spans="1:33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2"/>
    </row>
    <row r="50" spans="1:33" ht="13" x14ac:dyDescent="0.3">
      <c r="A50" s="3" t="s">
        <v>19</v>
      </c>
      <c r="B50" s="1"/>
      <c r="C50" s="1"/>
      <c r="D50" s="3"/>
      <c r="E50" s="1"/>
      <c r="F50" s="1" t="s">
        <v>3</v>
      </c>
      <c r="G50" s="1"/>
      <c r="H50" s="1"/>
      <c r="I50" s="1"/>
      <c r="J50" s="1"/>
      <c r="K50" s="1"/>
      <c r="L50" s="1"/>
      <c r="M50" s="1"/>
      <c r="N50" s="1" t="s">
        <v>3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2"/>
    </row>
    <row r="51" spans="1:33" ht="13" x14ac:dyDescent="0.3">
      <c r="A51" s="3" t="s">
        <v>2</v>
      </c>
      <c r="B51" s="1"/>
      <c r="C51" s="1"/>
      <c r="D51" s="3"/>
      <c r="E51" s="1"/>
      <c r="F51" s="4" t="s">
        <v>5</v>
      </c>
      <c r="G51" s="1"/>
      <c r="H51" s="1"/>
      <c r="I51" s="1"/>
      <c r="J51" s="1"/>
      <c r="K51" s="1"/>
      <c r="L51" s="1"/>
      <c r="M51" s="1"/>
      <c r="N51" s="4" t="s">
        <v>6</v>
      </c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2"/>
    </row>
    <row r="52" spans="1:33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2"/>
    </row>
    <row r="53" spans="1:33" ht="13" x14ac:dyDescent="0.3">
      <c r="A53" s="1"/>
      <c r="B53" s="1"/>
      <c r="C53" s="1"/>
      <c r="D53" s="1"/>
      <c r="E53" s="1"/>
      <c r="F53" s="5">
        <v>5</v>
      </c>
      <c r="G53" s="6" t="s">
        <v>2</v>
      </c>
      <c r="H53" s="5">
        <v>4</v>
      </c>
      <c r="I53" s="6"/>
      <c r="J53" s="5">
        <v>3</v>
      </c>
      <c r="K53" s="6"/>
      <c r="L53" s="5">
        <v>2</v>
      </c>
      <c r="M53" s="6"/>
      <c r="N53" s="5">
        <v>1</v>
      </c>
      <c r="O53" s="1"/>
      <c r="P53" s="5">
        <v>0</v>
      </c>
      <c r="Q53" s="7"/>
      <c r="R53" s="8" t="s">
        <v>7</v>
      </c>
      <c r="S53" s="1"/>
      <c r="T53" s="5">
        <v>5</v>
      </c>
      <c r="U53" s="6" t="s">
        <v>2</v>
      </c>
      <c r="V53" s="5">
        <v>4</v>
      </c>
      <c r="W53" s="6"/>
      <c r="X53" s="5">
        <v>3</v>
      </c>
      <c r="Y53" s="6"/>
      <c r="Z53" s="5">
        <v>2</v>
      </c>
      <c r="AA53" s="6"/>
      <c r="AB53" s="5">
        <v>1</v>
      </c>
      <c r="AC53" s="1"/>
      <c r="AD53" s="9">
        <v>0</v>
      </c>
      <c r="AE53" s="10"/>
      <c r="AF53" s="11" t="s">
        <v>7</v>
      </c>
      <c r="AG53" s="12" t="s">
        <v>8</v>
      </c>
    </row>
    <row r="54" spans="1:33" x14ac:dyDescent="0.25">
      <c r="A54" s="1" t="s">
        <v>9</v>
      </c>
      <c r="B54" s="1"/>
      <c r="C54" s="1"/>
      <c r="D54" s="1"/>
      <c r="E54" s="1"/>
      <c r="F54" s="1">
        <v>26</v>
      </c>
      <c r="G54" s="1"/>
      <c r="H54" s="1">
        <v>4</v>
      </c>
      <c r="I54" s="1"/>
      <c r="J54" s="1">
        <v>2</v>
      </c>
      <c r="K54" s="1"/>
      <c r="L54" s="1">
        <v>0</v>
      </c>
      <c r="M54" s="1"/>
      <c r="N54" s="1">
        <v>0</v>
      </c>
      <c r="O54" s="1"/>
      <c r="P54" s="1">
        <v>0</v>
      </c>
      <c r="Q54" s="1"/>
      <c r="R54" s="10">
        <f t="shared" ref="R54:R61" si="24">SUM(F54:P54)</f>
        <v>32</v>
      </c>
      <c r="S54" s="1"/>
      <c r="T54" s="13">
        <f t="shared" ref="T54:T61" si="25">(F54/R54)</f>
        <v>0.8125</v>
      </c>
      <c r="U54" s="13"/>
      <c r="V54" s="13">
        <f t="shared" ref="V54:V61" si="26">(H54/R54)</f>
        <v>0.125</v>
      </c>
      <c r="W54" s="13"/>
      <c r="X54" s="13">
        <f t="shared" ref="X54:X61" si="27">(J54/R54)</f>
        <v>6.25E-2</v>
      </c>
      <c r="Y54" s="13"/>
      <c r="Z54" s="13">
        <f t="shared" ref="Z54:Z61" si="28">(L54/R54)</f>
        <v>0</v>
      </c>
      <c r="AA54" s="13"/>
      <c r="AB54" s="13">
        <f t="shared" ref="AB54:AB61" si="29">(N54/R54)</f>
        <v>0</v>
      </c>
      <c r="AC54" s="1"/>
      <c r="AD54" s="13">
        <f t="shared" ref="AD54:AD61" si="30">(P54/R54)</f>
        <v>0</v>
      </c>
      <c r="AE54" s="1"/>
      <c r="AF54" s="13">
        <f t="shared" ref="AF54:AF61" si="31">SUM(T54:AD54)</f>
        <v>1</v>
      </c>
      <c r="AG54" s="14">
        <f>((F54*[1]Sheet1!F$10)+(H54*[1]Sheet1!H$10)+(J54*[1]Sheet1!J$10)+(L54*[1]Sheet1!L$10)+(N54*[1]Sheet1!N$10)+(P54*[1]Sheet1!P$10))/R54</f>
        <v>4.75</v>
      </c>
    </row>
    <row r="55" spans="1:33" x14ac:dyDescent="0.25">
      <c r="A55" s="1" t="s">
        <v>10</v>
      </c>
      <c r="B55" s="1"/>
      <c r="C55" s="1"/>
      <c r="D55" s="1"/>
      <c r="E55" s="1"/>
      <c r="F55" s="1">
        <v>30</v>
      </c>
      <c r="G55" s="1"/>
      <c r="H55" s="1">
        <v>2</v>
      </c>
      <c r="I55" s="1"/>
      <c r="J55" s="1">
        <v>0</v>
      </c>
      <c r="K55" s="1"/>
      <c r="L55" s="1">
        <v>0</v>
      </c>
      <c r="M55" s="1"/>
      <c r="N55" s="1">
        <v>0</v>
      </c>
      <c r="O55" s="1"/>
      <c r="P55" s="1">
        <v>0</v>
      </c>
      <c r="Q55" s="1"/>
      <c r="R55" s="10">
        <f t="shared" si="24"/>
        <v>32</v>
      </c>
      <c r="S55" s="1"/>
      <c r="T55" s="13">
        <f t="shared" si="25"/>
        <v>0.9375</v>
      </c>
      <c r="U55" s="13"/>
      <c r="V55" s="13">
        <f t="shared" si="26"/>
        <v>6.25E-2</v>
      </c>
      <c r="W55" s="13"/>
      <c r="X55" s="13">
        <f t="shared" si="27"/>
        <v>0</v>
      </c>
      <c r="Y55" s="13"/>
      <c r="Z55" s="13">
        <f t="shared" si="28"/>
        <v>0</v>
      </c>
      <c r="AA55" s="13"/>
      <c r="AB55" s="13">
        <f t="shared" si="29"/>
        <v>0</v>
      </c>
      <c r="AC55" s="1"/>
      <c r="AD55" s="13">
        <f t="shared" si="30"/>
        <v>0</v>
      </c>
      <c r="AE55" s="1"/>
      <c r="AF55" s="13">
        <f t="shared" si="31"/>
        <v>1</v>
      </c>
      <c r="AG55" s="14">
        <f>((F55*[1]Sheet1!F$10)+(H55*[1]Sheet1!H$10)+(J55*[1]Sheet1!J$10)+(L55*[1]Sheet1!L$10)+(N55*[1]Sheet1!N$10)+(P55*[1]Sheet1!P$10))/R55</f>
        <v>4.9375</v>
      </c>
    </row>
    <row r="56" spans="1:33" x14ac:dyDescent="0.25">
      <c r="A56" s="1" t="s">
        <v>11</v>
      </c>
      <c r="B56" s="1"/>
      <c r="C56" s="1"/>
      <c r="D56" s="1"/>
      <c r="E56" s="1"/>
      <c r="F56" s="1">
        <v>30</v>
      </c>
      <c r="G56" s="1"/>
      <c r="H56" s="1">
        <v>2</v>
      </c>
      <c r="I56" s="1"/>
      <c r="J56" s="1">
        <v>0</v>
      </c>
      <c r="K56" s="1"/>
      <c r="L56" s="1">
        <v>0</v>
      </c>
      <c r="M56" s="1"/>
      <c r="N56" s="1">
        <v>0</v>
      </c>
      <c r="O56" s="1"/>
      <c r="P56" s="1">
        <v>0</v>
      </c>
      <c r="Q56" s="1"/>
      <c r="R56" s="10">
        <f t="shared" si="24"/>
        <v>32</v>
      </c>
      <c r="S56" s="1"/>
      <c r="T56" s="13">
        <f t="shared" si="25"/>
        <v>0.9375</v>
      </c>
      <c r="U56" s="13"/>
      <c r="V56" s="13">
        <f t="shared" si="26"/>
        <v>6.25E-2</v>
      </c>
      <c r="W56" s="13"/>
      <c r="X56" s="13">
        <f t="shared" si="27"/>
        <v>0</v>
      </c>
      <c r="Y56" s="13"/>
      <c r="Z56" s="13">
        <f t="shared" si="28"/>
        <v>0</v>
      </c>
      <c r="AA56" s="13"/>
      <c r="AB56" s="13">
        <f t="shared" si="29"/>
        <v>0</v>
      </c>
      <c r="AC56" s="1"/>
      <c r="AD56" s="13">
        <f t="shared" si="30"/>
        <v>0</v>
      </c>
      <c r="AE56" s="1"/>
      <c r="AF56" s="13">
        <f t="shared" si="31"/>
        <v>1</v>
      </c>
      <c r="AG56" s="14">
        <f>((F56*[1]Sheet1!F$10)+(H56*[1]Sheet1!H$10)+(J56*[1]Sheet1!J$10)+(L56*[1]Sheet1!L$10)+(N56*[1]Sheet1!N$10)+(P56*[1]Sheet1!P$10))/R56</f>
        <v>4.9375</v>
      </c>
    </row>
    <row r="57" spans="1:33" x14ac:dyDescent="0.25">
      <c r="A57" s="1" t="s">
        <v>12</v>
      </c>
      <c r="B57" s="1"/>
      <c r="C57" s="1"/>
      <c r="D57" s="1"/>
      <c r="E57" s="1"/>
      <c r="F57" s="1">
        <v>28</v>
      </c>
      <c r="G57" s="1"/>
      <c r="H57" s="1">
        <v>4</v>
      </c>
      <c r="I57" s="1"/>
      <c r="J57" s="1">
        <v>0</v>
      </c>
      <c r="K57" s="1"/>
      <c r="L57" s="1">
        <v>0</v>
      </c>
      <c r="M57" s="1"/>
      <c r="N57" s="1">
        <v>0</v>
      </c>
      <c r="O57" s="1"/>
      <c r="P57" s="1">
        <v>0</v>
      </c>
      <c r="Q57" s="1"/>
      <c r="R57" s="10">
        <f t="shared" si="24"/>
        <v>32</v>
      </c>
      <c r="S57" s="1"/>
      <c r="T57" s="13">
        <f t="shared" si="25"/>
        <v>0.875</v>
      </c>
      <c r="U57" s="13"/>
      <c r="V57" s="13">
        <f t="shared" si="26"/>
        <v>0.125</v>
      </c>
      <c r="W57" s="13"/>
      <c r="X57" s="13">
        <f t="shared" si="27"/>
        <v>0</v>
      </c>
      <c r="Y57" s="13"/>
      <c r="Z57" s="13">
        <f t="shared" si="28"/>
        <v>0</v>
      </c>
      <c r="AA57" s="13"/>
      <c r="AB57" s="13">
        <f t="shared" si="29"/>
        <v>0</v>
      </c>
      <c r="AC57" s="1"/>
      <c r="AD57" s="13">
        <f t="shared" si="30"/>
        <v>0</v>
      </c>
      <c r="AE57" s="1"/>
      <c r="AF57" s="13">
        <f t="shared" si="31"/>
        <v>1</v>
      </c>
      <c r="AG57" s="14">
        <f>((F57*[1]Sheet1!F$10)+(H57*[1]Sheet1!H$10)+(J57*[1]Sheet1!J$10)+(L57*[1]Sheet1!L$10)+(N57*[1]Sheet1!N$10)+(P57*[1]Sheet1!P$10))/R57</f>
        <v>4.875</v>
      </c>
    </row>
    <row r="58" spans="1:33" x14ac:dyDescent="0.25">
      <c r="A58" s="1" t="s">
        <v>13</v>
      </c>
      <c r="B58" s="1"/>
      <c r="C58" s="1"/>
      <c r="D58" s="1"/>
      <c r="E58" s="1"/>
      <c r="F58" s="1">
        <v>31</v>
      </c>
      <c r="G58" s="1"/>
      <c r="H58" s="1">
        <v>1</v>
      </c>
      <c r="I58" s="1"/>
      <c r="J58" s="1">
        <v>0</v>
      </c>
      <c r="K58" s="1"/>
      <c r="L58" s="1">
        <v>0</v>
      </c>
      <c r="M58" s="1"/>
      <c r="N58" s="1">
        <v>0</v>
      </c>
      <c r="O58" s="1"/>
      <c r="P58" s="1">
        <v>0</v>
      </c>
      <c r="Q58" s="1"/>
      <c r="R58" s="10">
        <f t="shared" si="24"/>
        <v>32</v>
      </c>
      <c r="S58" s="1"/>
      <c r="T58" s="13">
        <f t="shared" si="25"/>
        <v>0.96875</v>
      </c>
      <c r="U58" s="13"/>
      <c r="V58" s="13">
        <f t="shared" si="26"/>
        <v>3.125E-2</v>
      </c>
      <c r="W58" s="13"/>
      <c r="X58" s="13">
        <f t="shared" si="27"/>
        <v>0</v>
      </c>
      <c r="Y58" s="13"/>
      <c r="Z58" s="13">
        <f t="shared" si="28"/>
        <v>0</v>
      </c>
      <c r="AA58" s="13"/>
      <c r="AB58" s="13">
        <f t="shared" si="29"/>
        <v>0</v>
      </c>
      <c r="AC58" s="1"/>
      <c r="AD58" s="13">
        <f t="shared" si="30"/>
        <v>0</v>
      </c>
      <c r="AE58" s="1"/>
      <c r="AF58" s="13">
        <f t="shared" si="31"/>
        <v>1</v>
      </c>
      <c r="AG58" s="14">
        <f>((F58*[1]Sheet1!F$10)+(H58*[1]Sheet1!H$10)+(J58*[1]Sheet1!J$10)+(L58*[1]Sheet1!L$10)+(N58*[1]Sheet1!N$10)+(P58*[1]Sheet1!P$10))/R58</f>
        <v>4.96875</v>
      </c>
    </row>
    <row r="59" spans="1:33" x14ac:dyDescent="0.25">
      <c r="A59" s="1" t="s">
        <v>14</v>
      </c>
      <c r="B59" s="1"/>
      <c r="C59" s="1"/>
      <c r="D59" s="1"/>
      <c r="E59" s="1"/>
      <c r="F59" s="1">
        <v>29</v>
      </c>
      <c r="G59" s="1"/>
      <c r="H59" s="1">
        <v>3</v>
      </c>
      <c r="I59" s="1"/>
      <c r="J59" s="1">
        <v>0</v>
      </c>
      <c r="K59" s="1"/>
      <c r="L59" s="1">
        <v>0</v>
      </c>
      <c r="M59" s="1"/>
      <c r="N59" s="1">
        <v>0</v>
      </c>
      <c r="O59" s="1"/>
      <c r="P59" s="1">
        <v>0</v>
      </c>
      <c r="Q59" s="1"/>
      <c r="R59" s="10">
        <f t="shared" si="24"/>
        <v>32</v>
      </c>
      <c r="S59" s="1"/>
      <c r="T59" s="13">
        <f t="shared" si="25"/>
        <v>0.90625</v>
      </c>
      <c r="U59" s="13"/>
      <c r="V59" s="13">
        <f t="shared" si="26"/>
        <v>9.375E-2</v>
      </c>
      <c r="W59" s="13"/>
      <c r="X59" s="13">
        <f t="shared" si="27"/>
        <v>0</v>
      </c>
      <c r="Y59" s="13"/>
      <c r="Z59" s="13">
        <f t="shared" si="28"/>
        <v>0</v>
      </c>
      <c r="AA59" s="13"/>
      <c r="AB59" s="13">
        <f t="shared" si="29"/>
        <v>0</v>
      </c>
      <c r="AC59" s="1"/>
      <c r="AD59" s="13">
        <f t="shared" si="30"/>
        <v>0</v>
      </c>
      <c r="AE59" s="1"/>
      <c r="AF59" s="13">
        <f t="shared" si="31"/>
        <v>1</v>
      </c>
      <c r="AG59" s="14">
        <f>((F59*[1]Sheet1!F$10)+(H59*[1]Sheet1!H$10)+(J59*[1]Sheet1!J$10)+(L59*[1]Sheet1!L$10)+(N59*[1]Sheet1!N$10)+(P59*[1]Sheet1!P$10))/R59</f>
        <v>4.90625</v>
      </c>
    </row>
    <row r="60" spans="1:33" x14ac:dyDescent="0.25">
      <c r="A60" s="1" t="s">
        <v>15</v>
      </c>
      <c r="B60" s="1"/>
      <c r="C60" s="1"/>
      <c r="D60" s="1"/>
      <c r="E60" s="1"/>
      <c r="F60" s="15">
        <v>27</v>
      </c>
      <c r="G60" s="15"/>
      <c r="H60" s="15">
        <v>4</v>
      </c>
      <c r="I60" s="15"/>
      <c r="J60" s="15">
        <v>1</v>
      </c>
      <c r="K60" s="15"/>
      <c r="L60" s="15">
        <v>0</v>
      </c>
      <c r="M60" s="15"/>
      <c r="N60" s="15">
        <v>0</v>
      </c>
      <c r="O60" s="15"/>
      <c r="P60" s="15">
        <v>0</v>
      </c>
      <c r="Q60" s="1"/>
      <c r="R60" s="9">
        <f t="shared" si="24"/>
        <v>32</v>
      </c>
      <c r="S60" s="1"/>
      <c r="T60" s="16">
        <f t="shared" si="25"/>
        <v>0.84375</v>
      </c>
      <c r="U60" s="16"/>
      <c r="V60" s="16">
        <f t="shared" si="26"/>
        <v>0.125</v>
      </c>
      <c r="W60" s="16"/>
      <c r="X60" s="16">
        <f t="shared" si="27"/>
        <v>3.125E-2</v>
      </c>
      <c r="Y60" s="16"/>
      <c r="Z60" s="16">
        <f t="shared" si="28"/>
        <v>0</v>
      </c>
      <c r="AA60" s="16"/>
      <c r="AB60" s="16">
        <f t="shared" si="29"/>
        <v>0</v>
      </c>
      <c r="AC60" s="15"/>
      <c r="AD60" s="16">
        <f t="shared" si="30"/>
        <v>0</v>
      </c>
      <c r="AE60" s="1"/>
      <c r="AF60" s="13">
        <f t="shared" si="31"/>
        <v>1</v>
      </c>
      <c r="AG60" s="14">
        <f>((F60*[1]Sheet1!F$10)+(H60*[1]Sheet1!H$10)+(J60*[1]Sheet1!J$10)+(L60*[1]Sheet1!L$10)+(N60*[1]Sheet1!N$10)+(P60*[1]Sheet1!P$10))/R60</f>
        <v>4.8125</v>
      </c>
    </row>
    <row r="61" spans="1:33" ht="13" x14ac:dyDescent="0.3">
      <c r="A61" s="1"/>
      <c r="B61" s="1"/>
      <c r="C61" s="1"/>
      <c r="D61" s="3" t="s">
        <v>7</v>
      </c>
      <c r="E61" s="1"/>
      <c r="F61" s="1">
        <f>SUM(F54:F60)</f>
        <v>201</v>
      </c>
      <c r="G61" s="1"/>
      <c r="H61" s="1">
        <f>SUM(H54:H60)</f>
        <v>20</v>
      </c>
      <c r="I61" s="1"/>
      <c r="J61" s="1">
        <f>SUM(J54:J60)</f>
        <v>3</v>
      </c>
      <c r="K61" s="1"/>
      <c r="L61" s="1">
        <f>SUM(L54:L60)</f>
        <v>0</v>
      </c>
      <c r="M61" s="1"/>
      <c r="N61" s="1">
        <f>SUM(N54:N60)</f>
        <v>0</v>
      </c>
      <c r="O61" s="1"/>
      <c r="P61" s="1">
        <f>SUM(P54:P60)</f>
        <v>0</v>
      </c>
      <c r="Q61" s="1"/>
      <c r="R61" s="10">
        <f t="shared" si="24"/>
        <v>224</v>
      </c>
      <c r="S61" s="1"/>
      <c r="T61" s="13">
        <f t="shared" si="25"/>
        <v>0.8973214285714286</v>
      </c>
      <c r="U61" s="13"/>
      <c r="V61" s="13">
        <f t="shared" si="26"/>
        <v>8.9285714285714288E-2</v>
      </c>
      <c r="W61" s="13"/>
      <c r="X61" s="13">
        <f t="shared" si="27"/>
        <v>1.3392857142857142E-2</v>
      </c>
      <c r="Y61" s="13"/>
      <c r="Z61" s="13">
        <f t="shared" si="28"/>
        <v>0</v>
      </c>
      <c r="AA61" s="13"/>
      <c r="AB61" s="13">
        <f t="shared" si="29"/>
        <v>0</v>
      </c>
      <c r="AC61" s="1"/>
      <c r="AD61" s="13">
        <f t="shared" si="30"/>
        <v>0</v>
      </c>
      <c r="AE61" s="1"/>
      <c r="AF61" s="13">
        <f t="shared" si="31"/>
        <v>1</v>
      </c>
      <c r="AG61" s="14">
        <f>((F61*[1]Sheet1!F$10)+(H61*[1]Sheet1!H$10)+(J61*[1]Sheet1!J$10)+(L61*[1]Sheet1!L$10)+(N61*[1]Sheet1!N$10)+(P61*[1]Sheet1!P$10))/R61</f>
        <v>4.8839285714285712</v>
      </c>
    </row>
    <row r="62" spans="1:33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2"/>
    </row>
    <row r="63" spans="1:33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2"/>
    </row>
    <row r="64" spans="1:33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2"/>
    </row>
    <row r="65" spans="1:33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2"/>
    </row>
    <row r="66" spans="1:33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2"/>
    </row>
    <row r="67" spans="1:33" ht="13" x14ac:dyDescent="0.3">
      <c r="A67" s="3" t="s">
        <v>20</v>
      </c>
      <c r="B67" s="1"/>
      <c r="C67" s="1"/>
      <c r="D67" s="3"/>
      <c r="E67" s="1"/>
      <c r="F67" s="1" t="s">
        <v>3</v>
      </c>
      <c r="G67" s="1"/>
      <c r="H67" s="1"/>
      <c r="I67" s="1"/>
      <c r="J67" s="1"/>
      <c r="K67" s="1"/>
      <c r="L67" s="1"/>
      <c r="M67" s="1"/>
      <c r="N67" s="1" t="s">
        <v>3</v>
      </c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2"/>
    </row>
    <row r="68" spans="1:33" ht="13" x14ac:dyDescent="0.3">
      <c r="A68" s="3" t="s">
        <v>21</v>
      </c>
      <c r="B68" s="1"/>
      <c r="C68" s="1"/>
      <c r="D68" s="3"/>
      <c r="E68" s="1"/>
      <c r="F68" s="4" t="s">
        <v>5</v>
      </c>
      <c r="G68" s="1"/>
      <c r="H68" s="1"/>
      <c r="I68" s="1"/>
      <c r="J68" s="1"/>
      <c r="K68" s="1"/>
      <c r="L68" s="1"/>
      <c r="M68" s="1"/>
      <c r="N68" s="4" t="s">
        <v>6</v>
      </c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2"/>
    </row>
    <row r="69" spans="1:33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2"/>
    </row>
    <row r="70" spans="1:33" ht="13" x14ac:dyDescent="0.3">
      <c r="A70" s="1"/>
      <c r="B70" s="1"/>
      <c r="C70" s="1"/>
      <c r="D70" s="1"/>
      <c r="E70" s="1"/>
      <c r="F70" s="5">
        <v>5</v>
      </c>
      <c r="G70" s="6" t="s">
        <v>2</v>
      </c>
      <c r="H70" s="5">
        <v>4</v>
      </c>
      <c r="I70" s="6"/>
      <c r="J70" s="5">
        <v>3</v>
      </c>
      <c r="K70" s="6"/>
      <c r="L70" s="5">
        <v>2</v>
      </c>
      <c r="M70" s="6"/>
      <c r="N70" s="5">
        <v>1</v>
      </c>
      <c r="O70" s="1"/>
      <c r="P70" s="5">
        <v>0</v>
      </c>
      <c r="Q70" s="7"/>
      <c r="R70" s="8" t="s">
        <v>7</v>
      </c>
      <c r="S70" s="1"/>
      <c r="T70" s="5">
        <v>5</v>
      </c>
      <c r="U70" s="6" t="s">
        <v>2</v>
      </c>
      <c r="V70" s="5">
        <v>4</v>
      </c>
      <c r="W70" s="6"/>
      <c r="X70" s="5">
        <v>3</v>
      </c>
      <c r="Y70" s="6"/>
      <c r="Z70" s="5">
        <v>2</v>
      </c>
      <c r="AA70" s="6"/>
      <c r="AB70" s="5">
        <v>1</v>
      </c>
      <c r="AC70" s="1"/>
      <c r="AD70" s="9">
        <v>0</v>
      </c>
      <c r="AE70" s="10"/>
      <c r="AF70" s="11" t="s">
        <v>7</v>
      </c>
      <c r="AG70" s="12" t="s">
        <v>8</v>
      </c>
    </row>
    <row r="71" spans="1:33" x14ac:dyDescent="0.25">
      <c r="A71" s="1" t="s">
        <v>9</v>
      </c>
      <c r="B71" s="1"/>
      <c r="C71" s="1"/>
      <c r="D71" s="1"/>
      <c r="E71" s="1"/>
      <c r="F71" s="1">
        <v>7</v>
      </c>
      <c r="G71" s="1"/>
      <c r="H71" s="1">
        <v>11</v>
      </c>
      <c r="I71" s="1"/>
      <c r="J71" s="1">
        <v>5</v>
      </c>
      <c r="K71" s="1"/>
      <c r="L71" s="1">
        <v>1</v>
      </c>
      <c r="M71" s="1"/>
      <c r="N71" s="1">
        <v>0</v>
      </c>
      <c r="O71" s="1"/>
      <c r="P71" s="1">
        <v>0</v>
      </c>
      <c r="Q71" s="1"/>
      <c r="R71" s="10">
        <f t="shared" ref="R71:R78" si="32">SUM(F71:P71)</f>
        <v>24</v>
      </c>
      <c r="S71" s="1"/>
      <c r="T71" s="13">
        <f t="shared" ref="T71:T78" si="33">(F71/R71)</f>
        <v>0.29166666666666669</v>
      </c>
      <c r="U71" s="13"/>
      <c r="V71" s="13">
        <f t="shared" ref="V71:V78" si="34">(H71/R71)</f>
        <v>0.45833333333333331</v>
      </c>
      <c r="W71" s="13"/>
      <c r="X71" s="13">
        <f t="shared" ref="X71:X78" si="35">(J71/R71)</f>
        <v>0.20833333333333334</v>
      </c>
      <c r="Y71" s="13"/>
      <c r="Z71" s="13">
        <f t="shared" ref="Z71:Z78" si="36">(L71/R71)</f>
        <v>4.1666666666666664E-2</v>
      </c>
      <c r="AA71" s="13"/>
      <c r="AB71" s="13">
        <f t="shared" ref="AB71:AB78" si="37">(N71/R71)</f>
        <v>0</v>
      </c>
      <c r="AC71" s="1"/>
      <c r="AD71" s="13">
        <f t="shared" ref="AD71:AD78" si="38">(P71/R71)</f>
        <v>0</v>
      </c>
      <c r="AE71" s="1"/>
      <c r="AF71" s="13">
        <f t="shared" ref="AF71:AF78" si="39">SUM(T71:AD71)</f>
        <v>1</v>
      </c>
      <c r="AG71" s="14">
        <f>((F71*[1]Sheet1!F$10)+(H71*[1]Sheet1!H$10)+(J71*[1]Sheet1!J$10)+(L71*[1]Sheet1!L$10)+(N71*[1]Sheet1!N$10)+(P71*[1]Sheet1!P$10))/R71</f>
        <v>4</v>
      </c>
    </row>
    <row r="72" spans="1:33" x14ac:dyDescent="0.25">
      <c r="A72" s="1" t="s">
        <v>10</v>
      </c>
      <c r="B72" s="1"/>
      <c r="C72" s="1"/>
      <c r="D72" s="1"/>
      <c r="E72" s="1"/>
      <c r="F72" s="1">
        <v>15</v>
      </c>
      <c r="G72" s="1"/>
      <c r="H72" s="1">
        <v>7</v>
      </c>
      <c r="I72" s="1"/>
      <c r="J72" s="1">
        <v>2</v>
      </c>
      <c r="K72" s="1"/>
      <c r="L72" s="1">
        <v>0</v>
      </c>
      <c r="M72" s="1"/>
      <c r="N72" s="1">
        <v>0</v>
      </c>
      <c r="O72" s="1"/>
      <c r="P72" s="1">
        <v>0</v>
      </c>
      <c r="Q72" s="1"/>
      <c r="R72" s="10">
        <f t="shared" si="32"/>
        <v>24</v>
      </c>
      <c r="S72" s="1"/>
      <c r="T72" s="13">
        <f t="shared" si="33"/>
        <v>0.625</v>
      </c>
      <c r="U72" s="13"/>
      <c r="V72" s="13">
        <f t="shared" si="34"/>
        <v>0.29166666666666669</v>
      </c>
      <c r="W72" s="13"/>
      <c r="X72" s="13">
        <f t="shared" si="35"/>
        <v>8.3333333333333329E-2</v>
      </c>
      <c r="Y72" s="13"/>
      <c r="Z72" s="13">
        <f t="shared" si="36"/>
        <v>0</v>
      </c>
      <c r="AA72" s="13"/>
      <c r="AB72" s="13">
        <f t="shared" si="37"/>
        <v>0</v>
      </c>
      <c r="AC72" s="1"/>
      <c r="AD72" s="13">
        <f t="shared" si="38"/>
        <v>0</v>
      </c>
      <c r="AE72" s="1"/>
      <c r="AF72" s="13">
        <f t="shared" si="39"/>
        <v>1</v>
      </c>
      <c r="AG72" s="14">
        <f>((F72*[1]Sheet1!F$10)+(H72*[1]Sheet1!H$10)+(J72*[1]Sheet1!J$10)+(L72*[1]Sheet1!L$10)+(N72*[1]Sheet1!N$10)+(P72*[1]Sheet1!P$10))/R72</f>
        <v>4.541666666666667</v>
      </c>
    </row>
    <row r="73" spans="1:33" x14ac:dyDescent="0.25">
      <c r="A73" s="1" t="s">
        <v>11</v>
      </c>
      <c r="B73" s="1"/>
      <c r="C73" s="1"/>
      <c r="D73" s="1"/>
      <c r="E73" s="1"/>
      <c r="F73" s="1">
        <v>10</v>
      </c>
      <c r="G73" s="1"/>
      <c r="H73" s="1">
        <v>9</v>
      </c>
      <c r="I73" s="1"/>
      <c r="J73" s="1">
        <v>4</v>
      </c>
      <c r="K73" s="1"/>
      <c r="L73" s="1">
        <v>1</v>
      </c>
      <c r="M73" s="1"/>
      <c r="N73" s="1">
        <v>0</v>
      </c>
      <c r="O73" s="1"/>
      <c r="P73" s="1">
        <v>0</v>
      </c>
      <c r="Q73" s="1"/>
      <c r="R73" s="10">
        <f t="shared" si="32"/>
        <v>24</v>
      </c>
      <c r="S73" s="1"/>
      <c r="T73" s="13">
        <f t="shared" si="33"/>
        <v>0.41666666666666669</v>
      </c>
      <c r="U73" s="13"/>
      <c r="V73" s="13">
        <f t="shared" si="34"/>
        <v>0.375</v>
      </c>
      <c r="W73" s="13"/>
      <c r="X73" s="13">
        <f t="shared" si="35"/>
        <v>0.16666666666666666</v>
      </c>
      <c r="Y73" s="13"/>
      <c r="Z73" s="13">
        <f t="shared" si="36"/>
        <v>4.1666666666666664E-2</v>
      </c>
      <c r="AA73" s="13"/>
      <c r="AB73" s="13">
        <f t="shared" si="37"/>
        <v>0</v>
      </c>
      <c r="AC73" s="1"/>
      <c r="AD73" s="13">
        <f t="shared" si="38"/>
        <v>0</v>
      </c>
      <c r="AE73" s="1"/>
      <c r="AF73" s="13">
        <f t="shared" si="39"/>
        <v>1</v>
      </c>
      <c r="AG73" s="14">
        <f>((F73*[1]Sheet1!F$10)+(H73*[1]Sheet1!H$10)+(J73*[1]Sheet1!J$10)+(L73*[1]Sheet1!L$10)+(N73*[1]Sheet1!N$10)+(P73*[1]Sheet1!P$10))/R73</f>
        <v>4.166666666666667</v>
      </c>
    </row>
    <row r="74" spans="1:33" x14ac:dyDescent="0.25">
      <c r="A74" s="1" t="s">
        <v>12</v>
      </c>
      <c r="B74" s="1"/>
      <c r="C74" s="1"/>
      <c r="D74" s="1"/>
      <c r="E74" s="1"/>
      <c r="F74" s="1">
        <v>9</v>
      </c>
      <c r="G74" s="1"/>
      <c r="H74" s="1">
        <v>8</v>
      </c>
      <c r="I74" s="1"/>
      <c r="J74" s="1">
        <v>7</v>
      </c>
      <c r="K74" s="1"/>
      <c r="L74" s="1">
        <v>0</v>
      </c>
      <c r="M74" s="1"/>
      <c r="N74" s="1">
        <v>0</v>
      </c>
      <c r="O74" s="1"/>
      <c r="P74" s="1">
        <v>0</v>
      </c>
      <c r="Q74" s="1"/>
      <c r="R74" s="10">
        <f t="shared" si="32"/>
        <v>24</v>
      </c>
      <c r="S74" s="1"/>
      <c r="T74" s="13">
        <f t="shared" si="33"/>
        <v>0.375</v>
      </c>
      <c r="U74" s="13"/>
      <c r="V74" s="13">
        <f t="shared" si="34"/>
        <v>0.33333333333333331</v>
      </c>
      <c r="W74" s="13"/>
      <c r="X74" s="13">
        <f t="shared" si="35"/>
        <v>0.29166666666666669</v>
      </c>
      <c r="Y74" s="13"/>
      <c r="Z74" s="13">
        <f t="shared" si="36"/>
        <v>0</v>
      </c>
      <c r="AA74" s="13"/>
      <c r="AB74" s="13">
        <f t="shared" si="37"/>
        <v>0</v>
      </c>
      <c r="AC74" s="1"/>
      <c r="AD74" s="13">
        <f t="shared" si="38"/>
        <v>0</v>
      </c>
      <c r="AE74" s="1"/>
      <c r="AF74" s="13">
        <f t="shared" si="39"/>
        <v>1</v>
      </c>
      <c r="AG74" s="14">
        <f>((F74*[1]Sheet1!F$10)+(H74*[1]Sheet1!H$10)+(J74*[1]Sheet1!J$10)+(L74*[1]Sheet1!L$10)+(N74*[1]Sheet1!N$10)+(P74*[1]Sheet1!P$10))/R74</f>
        <v>4.083333333333333</v>
      </c>
    </row>
    <row r="75" spans="1:33" x14ac:dyDescent="0.25">
      <c r="A75" s="1" t="s">
        <v>13</v>
      </c>
      <c r="B75" s="1"/>
      <c r="C75" s="1"/>
      <c r="D75" s="1"/>
      <c r="E75" s="1"/>
      <c r="F75" s="1">
        <v>13</v>
      </c>
      <c r="G75" s="1"/>
      <c r="H75" s="1">
        <v>6</v>
      </c>
      <c r="I75" s="1"/>
      <c r="J75" s="1">
        <v>3</v>
      </c>
      <c r="K75" s="1"/>
      <c r="L75" s="1">
        <v>1</v>
      </c>
      <c r="M75" s="1"/>
      <c r="N75" s="1">
        <v>0</v>
      </c>
      <c r="O75" s="1"/>
      <c r="P75" s="1">
        <v>1</v>
      </c>
      <c r="Q75" s="1"/>
      <c r="R75" s="10">
        <f t="shared" si="32"/>
        <v>24</v>
      </c>
      <c r="S75" s="1"/>
      <c r="T75" s="13">
        <f t="shared" si="33"/>
        <v>0.54166666666666663</v>
      </c>
      <c r="U75" s="13"/>
      <c r="V75" s="13">
        <f t="shared" si="34"/>
        <v>0.25</v>
      </c>
      <c r="W75" s="13"/>
      <c r="X75" s="13">
        <f t="shared" si="35"/>
        <v>0.125</v>
      </c>
      <c r="Y75" s="13"/>
      <c r="Z75" s="13">
        <f t="shared" si="36"/>
        <v>4.1666666666666664E-2</v>
      </c>
      <c r="AA75" s="13"/>
      <c r="AB75" s="13">
        <f t="shared" si="37"/>
        <v>0</v>
      </c>
      <c r="AC75" s="1"/>
      <c r="AD75" s="13">
        <f t="shared" si="38"/>
        <v>4.1666666666666664E-2</v>
      </c>
      <c r="AE75" s="1"/>
      <c r="AF75" s="13">
        <f t="shared" si="39"/>
        <v>0.99999999999999989</v>
      </c>
      <c r="AG75" s="14">
        <f>((F75*[1]Sheet1!F$10)+(H75*[1]Sheet1!H$10)+(J75*[1]Sheet1!J$10)+(L75*[1]Sheet1!L$10)+(N75*[1]Sheet1!N$10)+(P75*[1]Sheet1!P$10))/R75</f>
        <v>4.166666666666667</v>
      </c>
    </row>
    <row r="76" spans="1:33" x14ac:dyDescent="0.25">
      <c r="A76" s="1" t="s">
        <v>14</v>
      </c>
      <c r="B76" s="1"/>
      <c r="C76" s="1"/>
      <c r="D76" s="1"/>
      <c r="E76" s="1"/>
      <c r="F76" s="1">
        <v>13</v>
      </c>
      <c r="G76" s="1"/>
      <c r="H76" s="1">
        <v>7</v>
      </c>
      <c r="I76" s="1"/>
      <c r="J76" s="1">
        <v>4</v>
      </c>
      <c r="K76" s="1"/>
      <c r="L76" s="1">
        <v>0</v>
      </c>
      <c r="M76" s="1"/>
      <c r="N76" s="1">
        <v>0</v>
      </c>
      <c r="O76" s="1"/>
      <c r="P76" s="1">
        <v>0</v>
      </c>
      <c r="Q76" s="1"/>
      <c r="R76" s="10">
        <f t="shared" si="32"/>
        <v>24</v>
      </c>
      <c r="S76" s="1"/>
      <c r="T76" s="13">
        <f t="shared" si="33"/>
        <v>0.54166666666666663</v>
      </c>
      <c r="U76" s="13"/>
      <c r="V76" s="13">
        <f t="shared" si="34"/>
        <v>0.29166666666666669</v>
      </c>
      <c r="W76" s="13"/>
      <c r="X76" s="13">
        <f t="shared" si="35"/>
        <v>0.16666666666666666</v>
      </c>
      <c r="Y76" s="13"/>
      <c r="Z76" s="13">
        <f t="shared" si="36"/>
        <v>0</v>
      </c>
      <c r="AA76" s="13"/>
      <c r="AB76" s="13">
        <f t="shared" si="37"/>
        <v>0</v>
      </c>
      <c r="AC76" s="1"/>
      <c r="AD76" s="13">
        <f t="shared" si="38"/>
        <v>0</v>
      </c>
      <c r="AE76" s="1"/>
      <c r="AF76" s="13">
        <f t="shared" si="39"/>
        <v>0.99999999999999989</v>
      </c>
      <c r="AG76" s="14">
        <f>((F76*[1]Sheet1!F$10)+(H76*[1]Sheet1!H$10)+(J76*[1]Sheet1!J$10)+(L76*[1]Sheet1!L$10)+(N76*[1]Sheet1!N$10)+(P76*[1]Sheet1!P$10))/R76</f>
        <v>4.375</v>
      </c>
    </row>
    <row r="77" spans="1:33" x14ac:dyDescent="0.25">
      <c r="A77" s="1" t="s">
        <v>15</v>
      </c>
      <c r="B77" s="1"/>
      <c r="C77" s="1"/>
      <c r="D77" s="1"/>
      <c r="E77" s="1"/>
      <c r="F77" s="15">
        <v>13</v>
      </c>
      <c r="G77" s="15"/>
      <c r="H77" s="15">
        <v>7</v>
      </c>
      <c r="I77" s="15"/>
      <c r="J77" s="15">
        <v>2</v>
      </c>
      <c r="K77" s="15"/>
      <c r="L77" s="15">
        <v>2</v>
      </c>
      <c r="M77" s="15"/>
      <c r="N77" s="15">
        <v>0</v>
      </c>
      <c r="O77" s="15"/>
      <c r="P77" s="15">
        <v>0</v>
      </c>
      <c r="Q77" s="1"/>
      <c r="R77" s="9">
        <f t="shared" si="32"/>
        <v>24</v>
      </c>
      <c r="S77" s="1"/>
      <c r="T77" s="16">
        <f t="shared" si="33"/>
        <v>0.54166666666666663</v>
      </c>
      <c r="U77" s="16"/>
      <c r="V77" s="16">
        <f t="shared" si="34"/>
        <v>0.29166666666666669</v>
      </c>
      <c r="W77" s="16"/>
      <c r="X77" s="16">
        <f t="shared" si="35"/>
        <v>8.3333333333333329E-2</v>
      </c>
      <c r="Y77" s="16"/>
      <c r="Z77" s="16">
        <f t="shared" si="36"/>
        <v>8.3333333333333329E-2</v>
      </c>
      <c r="AA77" s="16"/>
      <c r="AB77" s="16">
        <f t="shared" si="37"/>
        <v>0</v>
      </c>
      <c r="AC77" s="15"/>
      <c r="AD77" s="16">
        <f t="shared" si="38"/>
        <v>0</v>
      </c>
      <c r="AE77" s="1"/>
      <c r="AF77" s="13">
        <f t="shared" si="39"/>
        <v>1</v>
      </c>
      <c r="AG77" s="14">
        <f>((F77*[1]Sheet1!F$10)+(H77*[1]Sheet1!H$10)+(J77*[1]Sheet1!J$10)+(L77*[1]Sheet1!L$10)+(N77*[1]Sheet1!N$10)+(P77*[1]Sheet1!P$10))/R77</f>
        <v>4.291666666666667</v>
      </c>
    </row>
    <row r="78" spans="1:33" ht="13" x14ac:dyDescent="0.3">
      <c r="A78" s="1"/>
      <c r="B78" s="1"/>
      <c r="C78" s="1"/>
      <c r="D78" s="3" t="s">
        <v>7</v>
      </c>
      <c r="E78" s="1"/>
      <c r="F78" s="1">
        <f>SUM(F71:F77)</f>
        <v>80</v>
      </c>
      <c r="G78" s="1"/>
      <c r="H78" s="1">
        <f>SUM(H71:H77)</f>
        <v>55</v>
      </c>
      <c r="I78" s="1"/>
      <c r="J78" s="1">
        <f>SUM(J71:J77)</f>
        <v>27</v>
      </c>
      <c r="K78" s="1"/>
      <c r="L78" s="1">
        <f>SUM(L71:L77)</f>
        <v>5</v>
      </c>
      <c r="M78" s="1"/>
      <c r="N78" s="1">
        <f>SUM(N71:N77)</f>
        <v>0</v>
      </c>
      <c r="O78" s="1"/>
      <c r="P78" s="1">
        <f>SUM(P71:P77)</f>
        <v>1</v>
      </c>
      <c r="Q78" s="1"/>
      <c r="R78" s="10">
        <f t="shared" si="32"/>
        <v>168</v>
      </c>
      <c r="S78" s="1"/>
      <c r="T78" s="13">
        <f t="shared" si="33"/>
        <v>0.47619047619047616</v>
      </c>
      <c r="U78" s="13"/>
      <c r="V78" s="13">
        <f t="shared" si="34"/>
        <v>0.32738095238095238</v>
      </c>
      <c r="W78" s="13"/>
      <c r="X78" s="13">
        <f t="shared" si="35"/>
        <v>0.16071428571428573</v>
      </c>
      <c r="Y78" s="13"/>
      <c r="Z78" s="13">
        <f t="shared" si="36"/>
        <v>2.976190476190476E-2</v>
      </c>
      <c r="AA78" s="13"/>
      <c r="AB78" s="13">
        <f t="shared" si="37"/>
        <v>0</v>
      </c>
      <c r="AC78" s="1"/>
      <c r="AD78" s="13">
        <f t="shared" si="38"/>
        <v>5.9523809523809521E-3</v>
      </c>
      <c r="AE78" s="1"/>
      <c r="AF78" s="13">
        <f t="shared" si="39"/>
        <v>1</v>
      </c>
      <c r="AG78" s="14">
        <f>((F78*[1]Sheet1!F$10)+(H78*[1]Sheet1!H$10)+(J78*[1]Sheet1!J$10)+(L78*[1]Sheet1!L$10)+(N78*[1]Sheet1!N$10)+(P78*[1]Sheet1!P$10))/R78</f>
        <v>4.2321428571428568</v>
      </c>
    </row>
    <row r="79" spans="1:33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2"/>
    </row>
    <row r="80" spans="1:33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2"/>
    </row>
    <row r="81" spans="1:33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2"/>
    </row>
    <row r="82" spans="1:33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2"/>
    </row>
    <row r="83" spans="1:33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2"/>
    </row>
    <row r="84" spans="1:33" ht="13" x14ac:dyDescent="0.3">
      <c r="A84" s="3" t="s">
        <v>22</v>
      </c>
      <c r="B84" s="1"/>
      <c r="C84" s="1"/>
      <c r="D84" s="3"/>
      <c r="E84" s="1"/>
      <c r="F84" s="1" t="s">
        <v>3</v>
      </c>
      <c r="G84" s="1"/>
      <c r="H84" s="1"/>
      <c r="I84" s="1"/>
      <c r="J84" s="1"/>
      <c r="K84" s="1"/>
      <c r="L84" s="1"/>
      <c r="M84" s="1"/>
      <c r="N84" s="1" t="s">
        <v>3</v>
      </c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2"/>
    </row>
    <row r="85" spans="1:33" ht="13" x14ac:dyDescent="0.3">
      <c r="A85" s="3" t="s">
        <v>23</v>
      </c>
      <c r="B85" s="1"/>
      <c r="C85" s="1"/>
      <c r="D85" s="3"/>
      <c r="E85" s="1"/>
      <c r="F85" s="4" t="s">
        <v>5</v>
      </c>
      <c r="G85" s="1"/>
      <c r="H85" s="1"/>
      <c r="I85" s="1"/>
      <c r="J85" s="1"/>
      <c r="K85" s="1"/>
      <c r="L85" s="1"/>
      <c r="M85" s="1"/>
      <c r="N85" s="4" t="s">
        <v>6</v>
      </c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2"/>
    </row>
    <row r="86" spans="1:33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2"/>
    </row>
    <row r="87" spans="1:33" ht="13" x14ac:dyDescent="0.3">
      <c r="A87" s="1"/>
      <c r="B87" s="1"/>
      <c r="C87" s="1"/>
      <c r="D87" s="1"/>
      <c r="E87" s="1"/>
      <c r="F87" s="5">
        <v>5</v>
      </c>
      <c r="G87" s="6" t="s">
        <v>2</v>
      </c>
      <c r="H87" s="5">
        <v>4</v>
      </c>
      <c r="I87" s="6"/>
      <c r="J87" s="5">
        <v>3</v>
      </c>
      <c r="K87" s="6"/>
      <c r="L87" s="5">
        <v>2</v>
      </c>
      <c r="M87" s="6"/>
      <c r="N87" s="5">
        <v>1</v>
      </c>
      <c r="O87" s="1"/>
      <c r="P87" s="5">
        <v>0</v>
      </c>
      <c r="Q87" s="7"/>
      <c r="R87" s="8" t="s">
        <v>7</v>
      </c>
      <c r="S87" s="1"/>
      <c r="T87" s="5">
        <v>5</v>
      </c>
      <c r="U87" s="6" t="s">
        <v>2</v>
      </c>
      <c r="V87" s="5">
        <v>4</v>
      </c>
      <c r="W87" s="6"/>
      <c r="X87" s="5">
        <v>3</v>
      </c>
      <c r="Y87" s="6"/>
      <c r="Z87" s="5">
        <v>2</v>
      </c>
      <c r="AA87" s="6"/>
      <c r="AB87" s="5">
        <v>1</v>
      </c>
      <c r="AC87" s="1"/>
      <c r="AD87" s="9">
        <v>0</v>
      </c>
      <c r="AE87" s="10"/>
      <c r="AF87" s="11" t="s">
        <v>7</v>
      </c>
      <c r="AG87" s="12" t="s">
        <v>8</v>
      </c>
    </row>
    <row r="88" spans="1:33" x14ac:dyDescent="0.25">
      <c r="A88" s="1" t="s">
        <v>9</v>
      </c>
      <c r="B88" s="1"/>
      <c r="C88" s="1"/>
      <c r="D88" s="1"/>
      <c r="E88" s="1"/>
      <c r="F88" s="1">
        <v>9</v>
      </c>
      <c r="G88" s="1"/>
      <c r="H88" s="1">
        <v>6</v>
      </c>
      <c r="I88" s="1"/>
      <c r="J88" s="1">
        <v>8</v>
      </c>
      <c r="K88" s="1"/>
      <c r="L88" s="1">
        <v>2</v>
      </c>
      <c r="M88" s="1"/>
      <c r="N88" s="1">
        <v>0</v>
      </c>
      <c r="O88" s="1"/>
      <c r="P88" s="1">
        <v>0</v>
      </c>
      <c r="Q88" s="1"/>
      <c r="R88" s="10">
        <f t="shared" ref="R88:R95" si="40">SUM(F88:P88)</f>
        <v>25</v>
      </c>
      <c r="S88" s="1"/>
      <c r="T88" s="13">
        <f t="shared" ref="T88:T95" si="41">(F88/R88)</f>
        <v>0.36</v>
      </c>
      <c r="U88" s="13"/>
      <c r="V88" s="13">
        <f t="shared" ref="V88:V95" si="42">(H88/R88)</f>
        <v>0.24</v>
      </c>
      <c r="W88" s="13"/>
      <c r="X88" s="13">
        <f t="shared" ref="X88:X95" si="43">(J88/R88)</f>
        <v>0.32</v>
      </c>
      <c r="Y88" s="13"/>
      <c r="Z88" s="13">
        <f t="shared" ref="Z88:Z95" si="44">(L88/R88)</f>
        <v>0.08</v>
      </c>
      <c r="AA88" s="13"/>
      <c r="AB88" s="13">
        <f t="shared" ref="AB88:AB95" si="45">(N88/R88)</f>
        <v>0</v>
      </c>
      <c r="AC88" s="1"/>
      <c r="AD88" s="13">
        <f t="shared" ref="AD88:AD95" si="46">(P88/R88)</f>
        <v>0</v>
      </c>
      <c r="AE88" s="1"/>
      <c r="AF88" s="13">
        <f t="shared" ref="AF88:AF95" si="47">SUM(T88:AD88)</f>
        <v>0.99999999999999989</v>
      </c>
      <c r="AG88" s="14">
        <f>((F88*[1]Sheet1!F$10)+(H88*[1]Sheet1!H$10)+(J88*[1]Sheet1!J$10)+(L88*[1]Sheet1!L$10)+(N88*[1]Sheet1!N$10)+(P88*[1]Sheet1!P$10))/R88</f>
        <v>3.88</v>
      </c>
    </row>
    <row r="89" spans="1:33" x14ac:dyDescent="0.25">
      <c r="A89" s="1" t="s">
        <v>10</v>
      </c>
      <c r="B89" s="1"/>
      <c r="C89" s="1"/>
      <c r="D89" s="1"/>
      <c r="E89" s="1"/>
      <c r="F89" s="1">
        <v>18</v>
      </c>
      <c r="G89" s="1"/>
      <c r="H89" s="1">
        <v>6</v>
      </c>
      <c r="I89" s="1"/>
      <c r="J89" s="1">
        <v>1</v>
      </c>
      <c r="K89" s="1"/>
      <c r="L89" s="1">
        <v>0</v>
      </c>
      <c r="M89" s="1"/>
      <c r="N89" s="1">
        <v>0</v>
      </c>
      <c r="O89" s="1"/>
      <c r="P89" s="1">
        <v>0</v>
      </c>
      <c r="Q89" s="1"/>
      <c r="R89" s="10">
        <f t="shared" si="40"/>
        <v>25</v>
      </c>
      <c r="S89" s="1"/>
      <c r="T89" s="13">
        <f t="shared" si="41"/>
        <v>0.72</v>
      </c>
      <c r="U89" s="13"/>
      <c r="V89" s="13">
        <f t="shared" si="42"/>
        <v>0.24</v>
      </c>
      <c r="W89" s="13"/>
      <c r="X89" s="13">
        <f t="shared" si="43"/>
        <v>0.04</v>
      </c>
      <c r="Y89" s="13"/>
      <c r="Z89" s="13">
        <f t="shared" si="44"/>
        <v>0</v>
      </c>
      <c r="AA89" s="13"/>
      <c r="AB89" s="13">
        <f t="shared" si="45"/>
        <v>0</v>
      </c>
      <c r="AC89" s="1"/>
      <c r="AD89" s="13">
        <f t="shared" si="46"/>
        <v>0</v>
      </c>
      <c r="AE89" s="1"/>
      <c r="AF89" s="13">
        <f t="shared" si="47"/>
        <v>1</v>
      </c>
      <c r="AG89" s="14">
        <f>((F89*[1]Sheet1!F$10)+(H89*[1]Sheet1!H$10)+(J89*[1]Sheet1!J$10)+(L89*[1]Sheet1!L$10)+(N89*[1]Sheet1!N$10)+(P89*[1]Sheet1!P$10))/R89</f>
        <v>4.68</v>
      </c>
    </row>
    <row r="90" spans="1:33" x14ac:dyDescent="0.25">
      <c r="A90" s="1" t="s">
        <v>11</v>
      </c>
      <c r="B90" s="1"/>
      <c r="C90" s="1"/>
      <c r="D90" s="1"/>
      <c r="E90" s="1"/>
      <c r="F90" s="1">
        <v>16</v>
      </c>
      <c r="G90" s="1"/>
      <c r="H90" s="1">
        <v>5</v>
      </c>
      <c r="I90" s="1"/>
      <c r="J90" s="1">
        <v>3</v>
      </c>
      <c r="K90" s="1"/>
      <c r="L90" s="1">
        <v>1</v>
      </c>
      <c r="M90" s="1"/>
      <c r="N90" s="1">
        <v>0</v>
      </c>
      <c r="O90" s="1"/>
      <c r="P90" s="1">
        <v>0</v>
      </c>
      <c r="Q90" s="1"/>
      <c r="R90" s="10">
        <f t="shared" si="40"/>
        <v>25</v>
      </c>
      <c r="S90" s="1"/>
      <c r="T90" s="13">
        <f t="shared" si="41"/>
        <v>0.64</v>
      </c>
      <c r="U90" s="13"/>
      <c r="V90" s="13">
        <f t="shared" si="42"/>
        <v>0.2</v>
      </c>
      <c r="W90" s="13"/>
      <c r="X90" s="13">
        <f t="shared" si="43"/>
        <v>0.12</v>
      </c>
      <c r="Y90" s="13"/>
      <c r="Z90" s="13">
        <f t="shared" si="44"/>
        <v>0.04</v>
      </c>
      <c r="AA90" s="13"/>
      <c r="AB90" s="13">
        <f t="shared" si="45"/>
        <v>0</v>
      </c>
      <c r="AC90" s="1"/>
      <c r="AD90" s="13">
        <f t="shared" si="46"/>
        <v>0</v>
      </c>
      <c r="AE90" s="1"/>
      <c r="AF90" s="13">
        <f t="shared" si="47"/>
        <v>1</v>
      </c>
      <c r="AG90" s="14">
        <f>((F90*[1]Sheet1!F$10)+(H90*[1]Sheet1!H$10)+(J90*[1]Sheet1!J$10)+(L90*[1]Sheet1!L$10)+(N90*[1]Sheet1!N$10)+(P90*[1]Sheet1!P$10))/R90</f>
        <v>4.4400000000000004</v>
      </c>
    </row>
    <row r="91" spans="1:33" x14ac:dyDescent="0.25">
      <c r="A91" s="1" t="s">
        <v>12</v>
      </c>
      <c r="B91" s="1"/>
      <c r="C91" s="1"/>
      <c r="D91" s="1"/>
      <c r="E91" s="1"/>
      <c r="F91" s="1">
        <v>8</v>
      </c>
      <c r="G91" s="1"/>
      <c r="H91" s="1">
        <v>8</v>
      </c>
      <c r="I91" s="1"/>
      <c r="J91" s="1">
        <v>5</v>
      </c>
      <c r="K91" s="1"/>
      <c r="L91" s="1">
        <v>3</v>
      </c>
      <c r="M91" s="1"/>
      <c r="N91" s="1">
        <v>0</v>
      </c>
      <c r="O91" s="1"/>
      <c r="P91" s="1">
        <v>1</v>
      </c>
      <c r="Q91" s="1"/>
      <c r="R91" s="10">
        <f t="shared" si="40"/>
        <v>25</v>
      </c>
      <c r="S91" s="1"/>
      <c r="T91" s="13">
        <f t="shared" si="41"/>
        <v>0.32</v>
      </c>
      <c r="U91" s="13"/>
      <c r="V91" s="13">
        <f t="shared" si="42"/>
        <v>0.32</v>
      </c>
      <c r="W91" s="13"/>
      <c r="X91" s="13">
        <f t="shared" si="43"/>
        <v>0.2</v>
      </c>
      <c r="Y91" s="13"/>
      <c r="Z91" s="13">
        <f t="shared" si="44"/>
        <v>0.12</v>
      </c>
      <c r="AA91" s="13"/>
      <c r="AB91" s="13">
        <f t="shared" si="45"/>
        <v>0</v>
      </c>
      <c r="AC91" s="1"/>
      <c r="AD91" s="13">
        <f t="shared" si="46"/>
        <v>0.04</v>
      </c>
      <c r="AE91" s="1"/>
      <c r="AF91" s="13">
        <f t="shared" si="47"/>
        <v>1</v>
      </c>
      <c r="AG91" s="14">
        <f>((F91*[1]Sheet1!F$10)+(H91*[1]Sheet1!H$10)+(J91*[1]Sheet1!J$10)+(L91*[1]Sheet1!L$10)+(N91*[1]Sheet1!N$10)+(P91*[1]Sheet1!P$10))/R91</f>
        <v>3.72</v>
      </c>
    </row>
    <row r="92" spans="1:33" x14ac:dyDescent="0.25">
      <c r="A92" s="1" t="s">
        <v>13</v>
      </c>
      <c r="B92" s="1"/>
      <c r="C92" s="1"/>
      <c r="D92" s="1"/>
      <c r="E92" s="1"/>
      <c r="F92" s="1">
        <v>10</v>
      </c>
      <c r="G92" s="1"/>
      <c r="H92" s="1">
        <v>12</v>
      </c>
      <c r="I92" s="1"/>
      <c r="J92" s="1">
        <v>1</v>
      </c>
      <c r="K92" s="1"/>
      <c r="L92" s="1">
        <v>1</v>
      </c>
      <c r="M92" s="1"/>
      <c r="N92" s="1">
        <v>0</v>
      </c>
      <c r="O92" s="1"/>
      <c r="P92" s="1">
        <v>1</v>
      </c>
      <c r="Q92" s="1"/>
      <c r="R92" s="10">
        <f t="shared" si="40"/>
        <v>25</v>
      </c>
      <c r="S92" s="1"/>
      <c r="T92" s="13">
        <f t="shared" si="41"/>
        <v>0.4</v>
      </c>
      <c r="U92" s="13"/>
      <c r="V92" s="13">
        <f t="shared" si="42"/>
        <v>0.48</v>
      </c>
      <c r="W92" s="13"/>
      <c r="X92" s="13">
        <f t="shared" si="43"/>
        <v>0.04</v>
      </c>
      <c r="Y92" s="13"/>
      <c r="Z92" s="13">
        <f t="shared" si="44"/>
        <v>0.04</v>
      </c>
      <c r="AA92" s="13"/>
      <c r="AB92" s="13">
        <f t="shared" si="45"/>
        <v>0</v>
      </c>
      <c r="AC92" s="1"/>
      <c r="AD92" s="13">
        <f t="shared" si="46"/>
        <v>0.04</v>
      </c>
      <c r="AE92" s="1"/>
      <c r="AF92" s="13">
        <f t="shared" si="47"/>
        <v>1</v>
      </c>
      <c r="AG92" s="14">
        <f>((F92*[1]Sheet1!F$10)+(H92*[1]Sheet1!H$10)+(J92*[1]Sheet1!J$10)+(L92*[1]Sheet1!L$10)+(N92*[1]Sheet1!N$10)+(P92*[1]Sheet1!P$10))/R92</f>
        <v>4.12</v>
      </c>
    </row>
    <row r="93" spans="1:33" x14ac:dyDescent="0.25">
      <c r="A93" s="1" t="s">
        <v>14</v>
      </c>
      <c r="B93" s="1"/>
      <c r="C93" s="1"/>
      <c r="D93" s="1"/>
      <c r="E93" s="1"/>
      <c r="F93" s="1">
        <v>18</v>
      </c>
      <c r="G93" s="1"/>
      <c r="H93" s="1">
        <v>6</v>
      </c>
      <c r="I93" s="1"/>
      <c r="J93" s="1">
        <v>1</v>
      </c>
      <c r="K93" s="1"/>
      <c r="L93" s="1">
        <v>0</v>
      </c>
      <c r="M93" s="1"/>
      <c r="N93" s="1">
        <v>0</v>
      </c>
      <c r="O93" s="1"/>
      <c r="P93" s="1">
        <v>0</v>
      </c>
      <c r="Q93" s="1"/>
      <c r="R93" s="10">
        <f t="shared" si="40"/>
        <v>25</v>
      </c>
      <c r="S93" s="1"/>
      <c r="T93" s="13">
        <f t="shared" si="41"/>
        <v>0.72</v>
      </c>
      <c r="U93" s="13"/>
      <c r="V93" s="13">
        <f t="shared" si="42"/>
        <v>0.24</v>
      </c>
      <c r="W93" s="13"/>
      <c r="X93" s="13">
        <f t="shared" si="43"/>
        <v>0.04</v>
      </c>
      <c r="Y93" s="13"/>
      <c r="Z93" s="13">
        <f t="shared" si="44"/>
        <v>0</v>
      </c>
      <c r="AA93" s="13"/>
      <c r="AB93" s="13">
        <f t="shared" si="45"/>
        <v>0</v>
      </c>
      <c r="AC93" s="1"/>
      <c r="AD93" s="13">
        <f t="shared" si="46"/>
        <v>0</v>
      </c>
      <c r="AE93" s="1"/>
      <c r="AF93" s="13">
        <f t="shared" si="47"/>
        <v>1</v>
      </c>
      <c r="AG93" s="14">
        <f>((F93*[1]Sheet1!F$10)+(H93*[1]Sheet1!H$10)+(J93*[1]Sheet1!J$10)+(L93*[1]Sheet1!L$10)+(N93*[1]Sheet1!N$10)+(P93*[1]Sheet1!P$10))/R93</f>
        <v>4.68</v>
      </c>
    </row>
    <row r="94" spans="1:33" x14ac:dyDescent="0.25">
      <c r="A94" s="1" t="s">
        <v>15</v>
      </c>
      <c r="B94" s="1"/>
      <c r="C94" s="1"/>
      <c r="D94" s="1"/>
      <c r="E94" s="1"/>
      <c r="F94" s="15">
        <v>12</v>
      </c>
      <c r="G94" s="15"/>
      <c r="H94" s="15">
        <v>9</v>
      </c>
      <c r="I94" s="15"/>
      <c r="J94" s="15">
        <v>2</v>
      </c>
      <c r="K94" s="15"/>
      <c r="L94" s="15">
        <v>0</v>
      </c>
      <c r="M94" s="15"/>
      <c r="N94" s="15">
        <v>2</v>
      </c>
      <c r="O94" s="15"/>
      <c r="P94" s="15">
        <v>0</v>
      </c>
      <c r="Q94" s="1"/>
      <c r="R94" s="9">
        <f t="shared" si="40"/>
        <v>25</v>
      </c>
      <c r="S94" s="1"/>
      <c r="T94" s="16">
        <f t="shared" si="41"/>
        <v>0.48</v>
      </c>
      <c r="U94" s="16"/>
      <c r="V94" s="16">
        <f t="shared" si="42"/>
        <v>0.36</v>
      </c>
      <c r="W94" s="16"/>
      <c r="X94" s="16">
        <f t="shared" si="43"/>
        <v>0.08</v>
      </c>
      <c r="Y94" s="16"/>
      <c r="Z94" s="16">
        <f t="shared" si="44"/>
        <v>0</v>
      </c>
      <c r="AA94" s="16"/>
      <c r="AB94" s="16">
        <f t="shared" si="45"/>
        <v>0.08</v>
      </c>
      <c r="AC94" s="15"/>
      <c r="AD94" s="16">
        <f t="shared" si="46"/>
        <v>0</v>
      </c>
      <c r="AE94" s="1"/>
      <c r="AF94" s="13">
        <f t="shared" si="47"/>
        <v>0.99999999999999989</v>
      </c>
      <c r="AG94" s="14">
        <f>((F94*[1]Sheet1!F$10)+(H94*[1]Sheet1!H$10)+(J94*[1]Sheet1!J$10)+(L94*[1]Sheet1!L$10)+(N94*[1]Sheet1!N$10)+(P94*[1]Sheet1!P$10))/R94</f>
        <v>4.16</v>
      </c>
    </row>
    <row r="95" spans="1:33" ht="13" x14ac:dyDescent="0.3">
      <c r="A95" s="1"/>
      <c r="B95" s="1"/>
      <c r="C95" s="1"/>
      <c r="D95" s="3" t="s">
        <v>7</v>
      </c>
      <c r="E95" s="1"/>
      <c r="F95" s="1">
        <f>SUM(F88:F94)</f>
        <v>91</v>
      </c>
      <c r="G95" s="1"/>
      <c r="H95" s="1">
        <f>SUM(H88:H94)</f>
        <v>52</v>
      </c>
      <c r="I95" s="1"/>
      <c r="J95" s="1">
        <f>SUM(J88:J94)</f>
        <v>21</v>
      </c>
      <c r="K95" s="1"/>
      <c r="L95" s="1">
        <f>SUM(L88:L94)</f>
        <v>7</v>
      </c>
      <c r="M95" s="1"/>
      <c r="N95" s="1">
        <f>SUM(N88:N94)</f>
        <v>2</v>
      </c>
      <c r="O95" s="1"/>
      <c r="P95" s="1">
        <f>SUM(P88:P94)</f>
        <v>2</v>
      </c>
      <c r="Q95" s="1"/>
      <c r="R95" s="10">
        <f t="shared" si="40"/>
        <v>175</v>
      </c>
      <c r="S95" s="1"/>
      <c r="T95" s="13">
        <f t="shared" si="41"/>
        <v>0.52</v>
      </c>
      <c r="U95" s="13"/>
      <c r="V95" s="13">
        <f t="shared" si="42"/>
        <v>0.29714285714285715</v>
      </c>
      <c r="W95" s="13"/>
      <c r="X95" s="13">
        <f t="shared" si="43"/>
        <v>0.12</v>
      </c>
      <c r="Y95" s="13"/>
      <c r="Z95" s="13">
        <f t="shared" si="44"/>
        <v>0.04</v>
      </c>
      <c r="AA95" s="13"/>
      <c r="AB95" s="13">
        <f t="shared" si="45"/>
        <v>1.1428571428571429E-2</v>
      </c>
      <c r="AC95" s="1"/>
      <c r="AD95" s="13">
        <f t="shared" si="46"/>
        <v>1.1428571428571429E-2</v>
      </c>
      <c r="AE95" s="1"/>
      <c r="AF95" s="13">
        <f t="shared" si="47"/>
        <v>1</v>
      </c>
      <c r="AG95" s="14">
        <f>((F95*[1]Sheet1!F$10)+(H95*[1]Sheet1!H$10)+(J95*[1]Sheet1!J$10)+(L95*[1]Sheet1!L$10)+(N95*[1]Sheet1!N$10)+(P95*[1]Sheet1!P$10))/R95</f>
        <v>4.24</v>
      </c>
    </row>
    <row r="96" spans="1:33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2"/>
    </row>
    <row r="97" spans="1:33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2"/>
    </row>
    <row r="98" spans="1:33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2"/>
    </row>
    <row r="99" spans="1:33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2"/>
    </row>
    <row r="100" spans="1:33" ht="13" x14ac:dyDescent="0.3">
      <c r="A100" s="3" t="s">
        <v>24</v>
      </c>
      <c r="B100" s="1"/>
      <c r="C100" s="1"/>
      <c r="D100" s="3"/>
      <c r="E100" s="1"/>
      <c r="F100" s="1" t="s">
        <v>3</v>
      </c>
      <c r="G100" s="1"/>
      <c r="H100" s="1"/>
      <c r="I100" s="1"/>
      <c r="J100" s="1"/>
      <c r="K100" s="1"/>
      <c r="L100" s="1"/>
      <c r="M100" s="1"/>
      <c r="N100" s="1" t="s">
        <v>3</v>
      </c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2"/>
    </row>
    <row r="101" spans="1:33" ht="13" x14ac:dyDescent="0.3">
      <c r="A101" s="3" t="s">
        <v>25</v>
      </c>
      <c r="B101" s="1"/>
      <c r="C101" s="1"/>
      <c r="D101" s="3"/>
      <c r="E101" s="1"/>
      <c r="F101" s="4" t="s">
        <v>5</v>
      </c>
      <c r="G101" s="1"/>
      <c r="H101" s="1"/>
      <c r="I101" s="1"/>
      <c r="J101" s="1"/>
      <c r="K101" s="1"/>
      <c r="L101" s="1"/>
      <c r="M101" s="1"/>
      <c r="N101" s="4" t="s">
        <v>6</v>
      </c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2"/>
    </row>
    <row r="102" spans="1:33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2"/>
    </row>
    <row r="103" spans="1:33" ht="13" x14ac:dyDescent="0.3">
      <c r="A103" s="1"/>
      <c r="B103" s="1"/>
      <c r="C103" s="1"/>
      <c r="D103" s="1"/>
      <c r="E103" s="1"/>
      <c r="F103" s="5">
        <v>5</v>
      </c>
      <c r="G103" s="6" t="s">
        <v>2</v>
      </c>
      <c r="H103" s="5">
        <v>4</v>
      </c>
      <c r="I103" s="6"/>
      <c r="J103" s="5">
        <v>3</v>
      </c>
      <c r="K103" s="6"/>
      <c r="L103" s="5">
        <v>2</v>
      </c>
      <c r="M103" s="6"/>
      <c r="N103" s="5">
        <v>1</v>
      </c>
      <c r="O103" s="1"/>
      <c r="P103" s="5">
        <v>0</v>
      </c>
      <c r="Q103" s="7"/>
      <c r="R103" s="8" t="s">
        <v>7</v>
      </c>
      <c r="S103" s="1"/>
      <c r="T103" s="5">
        <v>5</v>
      </c>
      <c r="U103" s="6" t="s">
        <v>2</v>
      </c>
      <c r="V103" s="5">
        <v>4</v>
      </c>
      <c r="W103" s="6"/>
      <c r="X103" s="5">
        <v>3</v>
      </c>
      <c r="Y103" s="6"/>
      <c r="Z103" s="5">
        <v>2</v>
      </c>
      <c r="AA103" s="6"/>
      <c r="AB103" s="5">
        <v>1</v>
      </c>
      <c r="AC103" s="1"/>
      <c r="AD103" s="9">
        <v>0</v>
      </c>
      <c r="AE103" s="10"/>
      <c r="AF103" s="11" t="s">
        <v>7</v>
      </c>
      <c r="AG103" s="12" t="s">
        <v>8</v>
      </c>
    </row>
    <row r="104" spans="1:33" x14ac:dyDescent="0.25">
      <c r="A104" s="1" t="s">
        <v>9</v>
      </c>
      <c r="B104" s="1"/>
      <c r="C104" s="1"/>
      <c r="D104" s="1"/>
      <c r="E104" s="1"/>
      <c r="F104" s="1">
        <v>25</v>
      </c>
      <c r="G104" s="1"/>
      <c r="H104" s="1">
        <v>5</v>
      </c>
      <c r="I104" s="1"/>
      <c r="J104" s="1">
        <v>1</v>
      </c>
      <c r="K104" s="1"/>
      <c r="L104" s="1">
        <v>0</v>
      </c>
      <c r="M104" s="1"/>
      <c r="N104" s="1">
        <v>0</v>
      </c>
      <c r="O104" s="1"/>
      <c r="P104" s="1">
        <v>0</v>
      </c>
      <c r="Q104" s="1"/>
      <c r="R104" s="10">
        <f t="shared" ref="R104:R111" si="48">SUM(F104:P104)</f>
        <v>31</v>
      </c>
      <c r="S104" s="1"/>
      <c r="T104" s="13">
        <f t="shared" ref="T104:T111" si="49">(F104/R104)</f>
        <v>0.80645161290322576</v>
      </c>
      <c r="U104" s="13"/>
      <c r="V104" s="13">
        <f t="shared" ref="V104:V111" si="50">(H104/R104)</f>
        <v>0.16129032258064516</v>
      </c>
      <c r="W104" s="13"/>
      <c r="X104" s="13">
        <f t="shared" ref="X104:X111" si="51">(J104/R104)</f>
        <v>3.2258064516129031E-2</v>
      </c>
      <c r="Y104" s="13"/>
      <c r="Z104" s="13">
        <f t="shared" ref="Z104:Z111" si="52">(L104/R104)</f>
        <v>0</v>
      </c>
      <c r="AA104" s="13"/>
      <c r="AB104" s="13">
        <f t="shared" ref="AB104:AB111" si="53">(N104/R104)</f>
        <v>0</v>
      </c>
      <c r="AC104" s="1"/>
      <c r="AD104" s="13">
        <f t="shared" ref="AD104:AD111" si="54">(P104/R104)</f>
        <v>0</v>
      </c>
      <c r="AE104" s="1"/>
      <c r="AF104" s="13">
        <f t="shared" ref="AF104:AF111" si="55">SUM(T104:AD104)</f>
        <v>0.99999999999999989</v>
      </c>
      <c r="AG104" s="14">
        <f>((F104*[1]Sheet1!F$10)+(H104*[1]Sheet1!H$10)+(J104*[1]Sheet1!J$10)+(L104*[1]Sheet1!L$10)+(N104*[1]Sheet1!N$10)+(P104*[1]Sheet1!P$10))/R104</f>
        <v>4.774193548387097</v>
      </c>
    </row>
    <row r="105" spans="1:33" x14ac:dyDescent="0.25">
      <c r="A105" s="1" t="s">
        <v>10</v>
      </c>
      <c r="B105" s="1"/>
      <c r="C105" s="1"/>
      <c r="D105" s="1"/>
      <c r="E105" s="1"/>
      <c r="F105" s="1">
        <v>28</v>
      </c>
      <c r="G105" s="1"/>
      <c r="H105" s="1">
        <v>3</v>
      </c>
      <c r="I105" s="1"/>
      <c r="J105" s="1">
        <v>0</v>
      </c>
      <c r="K105" s="1"/>
      <c r="L105" s="1">
        <v>0</v>
      </c>
      <c r="M105" s="1"/>
      <c r="N105" s="1">
        <v>0</v>
      </c>
      <c r="O105" s="1"/>
      <c r="P105" s="1">
        <v>0</v>
      </c>
      <c r="Q105" s="1"/>
      <c r="R105" s="10">
        <f t="shared" si="48"/>
        <v>31</v>
      </c>
      <c r="S105" s="1"/>
      <c r="T105" s="13">
        <f t="shared" si="49"/>
        <v>0.90322580645161288</v>
      </c>
      <c r="U105" s="13"/>
      <c r="V105" s="13">
        <f t="shared" si="50"/>
        <v>9.6774193548387094E-2</v>
      </c>
      <c r="W105" s="13"/>
      <c r="X105" s="13">
        <f t="shared" si="51"/>
        <v>0</v>
      </c>
      <c r="Y105" s="13"/>
      <c r="Z105" s="13">
        <f t="shared" si="52"/>
        <v>0</v>
      </c>
      <c r="AA105" s="13"/>
      <c r="AB105" s="13">
        <f t="shared" si="53"/>
        <v>0</v>
      </c>
      <c r="AC105" s="1"/>
      <c r="AD105" s="13">
        <f t="shared" si="54"/>
        <v>0</v>
      </c>
      <c r="AE105" s="1"/>
      <c r="AF105" s="13">
        <f t="shared" si="55"/>
        <v>1</v>
      </c>
      <c r="AG105" s="14">
        <f>((F105*[1]Sheet1!F$10)+(H105*[1]Sheet1!H$10)+(J105*[1]Sheet1!J$10)+(L105*[1]Sheet1!L$10)+(N105*[1]Sheet1!N$10)+(P105*[1]Sheet1!P$10))/R105</f>
        <v>4.903225806451613</v>
      </c>
    </row>
    <row r="106" spans="1:33" x14ac:dyDescent="0.25">
      <c r="A106" s="1" t="s">
        <v>11</v>
      </c>
      <c r="B106" s="1"/>
      <c r="C106" s="1"/>
      <c r="D106" s="1"/>
      <c r="E106" s="1"/>
      <c r="F106" s="1">
        <v>25</v>
      </c>
      <c r="G106" s="1"/>
      <c r="H106" s="1">
        <v>5</v>
      </c>
      <c r="I106" s="1"/>
      <c r="J106" s="1">
        <v>1</v>
      </c>
      <c r="K106" s="1"/>
      <c r="L106" s="1">
        <v>0</v>
      </c>
      <c r="M106" s="1"/>
      <c r="N106" s="1">
        <v>0</v>
      </c>
      <c r="O106" s="1"/>
      <c r="P106" s="1">
        <v>0</v>
      </c>
      <c r="Q106" s="1"/>
      <c r="R106" s="10">
        <f t="shared" si="48"/>
        <v>31</v>
      </c>
      <c r="S106" s="1"/>
      <c r="T106" s="13">
        <f t="shared" si="49"/>
        <v>0.80645161290322576</v>
      </c>
      <c r="U106" s="13"/>
      <c r="V106" s="13">
        <f t="shared" si="50"/>
        <v>0.16129032258064516</v>
      </c>
      <c r="W106" s="13"/>
      <c r="X106" s="13">
        <f t="shared" si="51"/>
        <v>3.2258064516129031E-2</v>
      </c>
      <c r="Y106" s="13"/>
      <c r="Z106" s="13">
        <f t="shared" si="52"/>
        <v>0</v>
      </c>
      <c r="AA106" s="13"/>
      <c r="AB106" s="13">
        <f t="shared" si="53"/>
        <v>0</v>
      </c>
      <c r="AC106" s="1"/>
      <c r="AD106" s="13">
        <f t="shared" si="54"/>
        <v>0</v>
      </c>
      <c r="AE106" s="1"/>
      <c r="AF106" s="13">
        <f t="shared" si="55"/>
        <v>0.99999999999999989</v>
      </c>
      <c r="AG106" s="14">
        <f>((F106*[1]Sheet1!F$10)+(H106*[1]Sheet1!H$10)+(J106*[1]Sheet1!J$10)+(L106*[1]Sheet1!L$10)+(N106*[1]Sheet1!N$10)+(P106*[1]Sheet1!P$10))/R106</f>
        <v>4.774193548387097</v>
      </c>
    </row>
    <row r="107" spans="1:33" x14ac:dyDescent="0.25">
      <c r="A107" s="1" t="s">
        <v>12</v>
      </c>
      <c r="B107" s="1"/>
      <c r="C107" s="1"/>
      <c r="D107" s="1"/>
      <c r="E107" s="1"/>
      <c r="F107" s="1">
        <v>24</v>
      </c>
      <c r="G107" s="1"/>
      <c r="H107" s="1">
        <v>5</v>
      </c>
      <c r="I107" s="1"/>
      <c r="J107" s="1">
        <v>2</v>
      </c>
      <c r="K107" s="1"/>
      <c r="L107" s="1">
        <v>0</v>
      </c>
      <c r="M107" s="1"/>
      <c r="N107" s="1">
        <v>0</v>
      </c>
      <c r="O107" s="1"/>
      <c r="P107" s="1">
        <v>0</v>
      </c>
      <c r="Q107" s="1"/>
      <c r="R107" s="10">
        <f t="shared" si="48"/>
        <v>31</v>
      </c>
      <c r="S107" s="1"/>
      <c r="T107" s="13">
        <f t="shared" si="49"/>
        <v>0.77419354838709675</v>
      </c>
      <c r="U107" s="13"/>
      <c r="V107" s="13">
        <f t="shared" si="50"/>
        <v>0.16129032258064516</v>
      </c>
      <c r="W107" s="13"/>
      <c r="X107" s="13">
        <f t="shared" si="51"/>
        <v>6.4516129032258063E-2</v>
      </c>
      <c r="Y107" s="13"/>
      <c r="Z107" s="13">
        <f t="shared" si="52"/>
        <v>0</v>
      </c>
      <c r="AA107" s="13"/>
      <c r="AB107" s="13">
        <f t="shared" si="53"/>
        <v>0</v>
      </c>
      <c r="AC107" s="1"/>
      <c r="AD107" s="13">
        <f t="shared" si="54"/>
        <v>0</v>
      </c>
      <c r="AE107" s="1"/>
      <c r="AF107" s="13">
        <f t="shared" si="55"/>
        <v>1</v>
      </c>
      <c r="AG107" s="14">
        <f>((F107*[1]Sheet1!F$10)+(H107*[1]Sheet1!H$10)+(J107*[1]Sheet1!J$10)+(L107*[1]Sheet1!L$10)+(N107*[1]Sheet1!N$10)+(P107*[1]Sheet1!P$10))/R107</f>
        <v>4.709677419354839</v>
      </c>
    </row>
    <row r="108" spans="1:33" x14ac:dyDescent="0.25">
      <c r="A108" s="1" t="s">
        <v>13</v>
      </c>
      <c r="B108" s="1"/>
      <c r="C108" s="1"/>
      <c r="D108" s="1"/>
      <c r="E108" s="1"/>
      <c r="F108" s="1">
        <v>27</v>
      </c>
      <c r="G108" s="1"/>
      <c r="H108" s="1">
        <v>4</v>
      </c>
      <c r="I108" s="1"/>
      <c r="J108" s="1">
        <v>0</v>
      </c>
      <c r="K108" s="1"/>
      <c r="L108" s="1">
        <v>0</v>
      </c>
      <c r="M108" s="1"/>
      <c r="N108" s="1">
        <v>0</v>
      </c>
      <c r="O108" s="1"/>
      <c r="P108" s="1">
        <v>0</v>
      </c>
      <c r="Q108" s="1"/>
      <c r="R108" s="10">
        <f t="shared" si="48"/>
        <v>31</v>
      </c>
      <c r="S108" s="1"/>
      <c r="T108" s="13">
        <f t="shared" si="49"/>
        <v>0.87096774193548387</v>
      </c>
      <c r="U108" s="13"/>
      <c r="V108" s="13">
        <f t="shared" si="50"/>
        <v>0.12903225806451613</v>
      </c>
      <c r="W108" s="13"/>
      <c r="X108" s="13">
        <f t="shared" si="51"/>
        <v>0</v>
      </c>
      <c r="Y108" s="13"/>
      <c r="Z108" s="13">
        <f t="shared" si="52"/>
        <v>0</v>
      </c>
      <c r="AA108" s="13"/>
      <c r="AB108" s="13">
        <f t="shared" si="53"/>
        <v>0</v>
      </c>
      <c r="AC108" s="1"/>
      <c r="AD108" s="13">
        <f t="shared" si="54"/>
        <v>0</v>
      </c>
      <c r="AE108" s="1"/>
      <c r="AF108" s="13">
        <f t="shared" si="55"/>
        <v>1</v>
      </c>
      <c r="AG108" s="14">
        <f>((F108*[1]Sheet1!F$10)+(H108*[1]Sheet1!H$10)+(J108*[1]Sheet1!J$10)+(L108*[1]Sheet1!L$10)+(N108*[1]Sheet1!N$10)+(P108*[1]Sheet1!P$10))/R108</f>
        <v>4.870967741935484</v>
      </c>
    </row>
    <row r="109" spans="1:33" x14ac:dyDescent="0.25">
      <c r="A109" s="1" t="s">
        <v>14</v>
      </c>
      <c r="B109" s="1"/>
      <c r="C109" s="1"/>
      <c r="D109" s="1"/>
      <c r="E109" s="1"/>
      <c r="F109" s="1">
        <v>26</v>
      </c>
      <c r="G109" s="1"/>
      <c r="H109" s="1">
        <v>5</v>
      </c>
      <c r="I109" s="1"/>
      <c r="J109" s="1">
        <v>0</v>
      </c>
      <c r="K109" s="1"/>
      <c r="L109" s="1">
        <v>0</v>
      </c>
      <c r="M109" s="1"/>
      <c r="N109" s="1">
        <v>0</v>
      </c>
      <c r="O109" s="1"/>
      <c r="P109" s="1">
        <v>0</v>
      </c>
      <c r="Q109" s="1"/>
      <c r="R109" s="10">
        <f t="shared" si="48"/>
        <v>31</v>
      </c>
      <c r="S109" s="1"/>
      <c r="T109" s="13">
        <f t="shared" si="49"/>
        <v>0.83870967741935487</v>
      </c>
      <c r="U109" s="13"/>
      <c r="V109" s="13">
        <f t="shared" si="50"/>
        <v>0.16129032258064516</v>
      </c>
      <c r="W109" s="13"/>
      <c r="X109" s="13">
        <f t="shared" si="51"/>
        <v>0</v>
      </c>
      <c r="Y109" s="13"/>
      <c r="Z109" s="13">
        <f t="shared" si="52"/>
        <v>0</v>
      </c>
      <c r="AA109" s="13"/>
      <c r="AB109" s="13">
        <f t="shared" si="53"/>
        <v>0</v>
      </c>
      <c r="AC109" s="1"/>
      <c r="AD109" s="13">
        <f t="shared" si="54"/>
        <v>0</v>
      </c>
      <c r="AE109" s="1"/>
      <c r="AF109" s="13">
        <f t="shared" si="55"/>
        <v>1</v>
      </c>
      <c r="AG109" s="14">
        <f>((F109*[1]Sheet1!F$10)+(H109*[1]Sheet1!H$10)+(J109*[1]Sheet1!J$10)+(L109*[1]Sheet1!L$10)+(N109*[1]Sheet1!N$10)+(P109*[1]Sheet1!P$10))/R109</f>
        <v>4.838709677419355</v>
      </c>
    </row>
    <row r="110" spans="1:33" x14ac:dyDescent="0.25">
      <c r="A110" s="1" t="s">
        <v>15</v>
      </c>
      <c r="B110" s="1"/>
      <c r="C110" s="1"/>
      <c r="D110" s="1"/>
      <c r="E110" s="1"/>
      <c r="F110" s="15">
        <v>23</v>
      </c>
      <c r="G110" s="15"/>
      <c r="H110" s="15">
        <v>6</v>
      </c>
      <c r="I110" s="15"/>
      <c r="J110" s="15">
        <v>2</v>
      </c>
      <c r="K110" s="15"/>
      <c r="L110" s="15">
        <v>0</v>
      </c>
      <c r="M110" s="15"/>
      <c r="N110" s="15">
        <v>0</v>
      </c>
      <c r="O110" s="15"/>
      <c r="P110" s="15">
        <v>0</v>
      </c>
      <c r="Q110" s="1"/>
      <c r="R110" s="9">
        <f t="shared" si="48"/>
        <v>31</v>
      </c>
      <c r="S110" s="1"/>
      <c r="T110" s="16">
        <f t="shared" si="49"/>
        <v>0.74193548387096775</v>
      </c>
      <c r="U110" s="16"/>
      <c r="V110" s="16">
        <f t="shared" si="50"/>
        <v>0.19354838709677419</v>
      </c>
      <c r="W110" s="16"/>
      <c r="X110" s="16">
        <f t="shared" si="51"/>
        <v>6.4516129032258063E-2</v>
      </c>
      <c r="Y110" s="16"/>
      <c r="Z110" s="16">
        <f t="shared" si="52"/>
        <v>0</v>
      </c>
      <c r="AA110" s="16"/>
      <c r="AB110" s="16">
        <f t="shared" si="53"/>
        <v>0</v>
      </c>
      <c r="AC110" s="15"/>
      <c r="AD110" s="16">
        <f t="shared" si="54"/>
        <v>0</v>
      </c>
      <c r="AE110" s="1"/>
      <c r="AF110" s="13">
        <f t="shared" si="55"/>
        <v>1</v>
      </c>
      <c r="AG110" s="14">
        <f>((F110*[1]Sheet1!F$10)+(H110*[1]Sheet1!H$10)+(J110*[1]Sheet1!J$10)+(L110*[1]Sheet1!L$10)+(N110*[1]Sheet1!N$10)+(P110*[1]Sheet1!P$10))/R110</f>
        <v>4.67741935483871</v>
      </c>
    </row>
    <row r="111" spans="1:33" ht="13" x14ac:dyDescent="0.3">
      <c r="A111" s="1"/>
      <c r="B111" s="1"/>
      <c r="C111" s="1"/>
      <c r="D111" s="3" t="s">
        <v>7</v>
      </c>
      <c r="E111" s="1"/>
      <c r="F111" s="1">
        <f>SUM(F104:F110)</f>
        <v>178</v>
      </c>
      <c r="G111" s="1"/>
      <c r="H111" s="1">
        <f>SUM(H104:H110)</f>
        <v>33</v>
      </c>
      <c r="I111" s="1"/>
      <c r="J111" s="1">
        <f>SUM(J104:J110)</f>
        <v>6</v>
      </c>
      <c r="K111" s="1"/>
      <c r="L111" s="1">
        <f>SUM(L104:L110)</f>
        <v>0</v>
      </c>
      <c r="M111" s="1"/>
      <c r="N111" s="1">
        <f>SUM(N104:N110)</f>
        <v>0</v>
      </c>
      <c r="O111" s="1"/>
      <c r="P111" s="1">
        <f>SUM(P104:P110)</f>
        <v>0</v>
      </c>
      <c r="Q111" s="1"/>
      <c r="R111" s="10">
        <f t="shared" si="48"/>
        <v>217</v>
      </c>
      <c r="S111" s="1"/>
      <c r="T111" s="13">
        <f t="shared" si="49"/>
        <v>0.82027649769585254</v>
      </c>
      <c r="U111" s="13"/>
      <c r="V111" s="13">
        <f t="shared" si="50"/>
        <v>0.15207373271889402</v>
      </c>
      <c r="W111" s="13"/>
      <c r="X111" s="13">
        <f t="shared" si="51"/>
        <v>2.7649769585253458E-2</v>
      </c>
      <c r="Y111" s="13"/>
      <c r="Z111" s="13">
        <f t="shared" si="52"/>
        <v>0</v>
      </c>
      <c r="AA111" s="13"/>
      <c r="AB111" s="13">
        <f t="shared" si="53"/>
        <v>0</v>
      </c>
      <c r="AC111" s="1"/>
      <c r="AD111" s="13">
        <f t="shared" si="54"/>
        <v>0</v>
      </c>
      <c r="AE111" s="1"/>
      <c r="AF111" s="13">
        <f t="shared" si="55"/>
        <v>1</v>
      </c>
      <c r="AG111" s="14">
        <f>((F111*[1]Sheet1!F$10)+(H111*[1]Sheet1!H$10)+(J111*[1]Sheet1!J$10)+(L111*[1]Sheet1!L$10)+(N111*[1]Sheet1!N$10)+(P111*[1]Sheet1!P$10))/R111</f>
        <v>4.7926267281105988</v>
      </c>
    </row>
    <row r="112" spans="1:33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2"/>
    </row>
    <row r="113" spans="1:33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2"/>
    </row>
    <row r="114" spans="1:33" ht="13" x14ac:dyDescent="0.3">
      <c r="A114" s="3" t="s">
        <v>26</v>
      </c>
      <c r="B114" s="1"/>
      <c r="C114" s="1"/>
      <c r="D114" s="3"/>
      <c r="E114" s="1"/>
      <c r="F114" s="1" t="s">
        <v>3</v>
      </c>
      <c r="G114" s="1"/>
      <c r="H114" s="1"/>
      <c r="I114" s="1"/>
      <c r="J114" s="1"/>
      <c r="K114" s="1"/>
      <c r="L114" s="1"/>
      <c r="M114" s="1"/>
      <c r="N114" s="1" t="s">
        <v>3</v>
      </c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2"/>
    </row>
    <row r="115" spans="1:33" ht="13" x14ac:dyDescent="0.3">
      <c r="A115" s="3" t="s">
        <v>27</v>
      </c>
      <c r="B115" s="1"/>
      <c r="C115" s="1"/>
      <c r="D115" s="3"/>
      <c r="E115" s="1"/>
      <c r="F115" s="4" t="s">
        <v>5</v>
      </c>
      <c r="G115" s="1"/>
      <c r="H115" s="1"/>
      <c r="I115" s="1"/>
      <c r="J115" s="1"/>
      <c r="K115" s="1"/>
      <c r="L115" s="1"/>
      <c r="M115" s="1"/>
      <c r="N115" s="4" t="s">
        <v>6</v>
      </c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2"/>
    </row>
    <row r="116" spans="1:33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2"/>
    </row>
    <row r="117" spans="1:33" ht="13" x14ac:dyDescent="0.3">
      <c r="A117" s="1"/>
      <c r="B117" s="1"/>
      <c r="C117" s="1"/>
      <c r="D117" s="1"/>
      <c r="E117" s="1"/>
      <c r="F117" s="5">
        <v>5</v>
      </c>
      <c r="G117" s="6" t="s">
        <v>2</v>
      </c>
      <c r="H117" s="5">
        <v>4</v>
      </c>
      <c r="I117" s="6"/>
      <c r="J117" s="5">
        <v>3</v>
      </c>
      <c r="K117" s="6"/>
      <c r="L117" s="5">
        <v>2</v>
      </c>
      <c r="M117" s="6"/>
      <c r="N117" s="5">
        <v>1</v>
      </c>
      <c r="O117" s="1"/>
      <c r="P117" s="5">
        <v>0</v>
      </c>
      <c r="Q117" s="7"/>
      <c r="R117" s="8" t="s">
        <v>7</v>
      </c>
      <c r="S117" s="1"/>
      <c r="T117" s="5">
        <v>5</v>
      </c>
      <c r="U117" s="6" t="s">
        <v>2</v>
      </c>
      <c r="V117" s="5">
        <v>4</v>
      </c>
      <c r="W117" s="6"/>
      <c r="X117" s="5">
        <v>3</v>
      </c>
      <c r="Y117" s="6"/>
      <c r="Z117" s="5">
        <v>2</v>
      </c>
      <c r="AA117" s="6"/>
      <c r="AB117" s="5">
        <v>1</v>
      </c>
      <c r="AC117" s="1"/>
      <c r="AD117" s="9">
        <v>0</v>
      </c>
      <c r="AE117" s="10"/>
      <c r="AF117" s="11" t="s">
        <v>7</v>
      </c>
      <c r="AG117" s="12" t="s">
        <v>8</v>
      </c>
    </row>
    <row r="118" spans="1:33" x14ac:dyDescent="0.25">
      <c r="A118" s="1" t="s">
        <v>9</v>
      </c>
      <c r="B118" s="1"/>
      <c r="C118" s="1"/>
      <c r="D118" s="1"/>
      <c r="E118" s="1"/>
      <c r="F118" s="1">
        <v>18</v>
      </c>
      <c r="G118" s="1"/>
      <c r="H118" s="1">
        <v>14</v>
      </c>
      <c r="I118" s="1"/>
      <c r="J118" s="1">
        <v>0</v>
      </c>
      <c r="K118" s="1"/>
      <c r="L118" s="1">
        <v>0</v>
      </c>
      <c r="M118" s="1"/>
      <c r="N118" s="1">
        <v>0</v>
      </c>
      <c r="O118" s="1"/>
      <c r="P118" s="1">
        <v>0</v>
      </c>
      <c r="Q118" s="1"/>
      <c r="R118" s="10">
        <f t="shared" ref="R118:R125" si="56">SUM(F118:P118)</f>
        <v>32</v>
      </c>
      <c r="S118" s="1"/>
      <c r="T118" s="13">
        <f t="shared" ref="T118:T125" si="57">(F118/R118)</f>
        <v>0.5625</v>
      </c>
      <c r="U118" s="13"/>
      <c r="V118" s="13">
        <f t="shared" ref="V118:V125" si="58">(H118/R118)</f>
        <v>0.4375</v>
      </c>
      <c r="W118" s="13"/>
      <c r="X118" s="13">
        <f t="shared" ref="X118:X125" si="59">(J118/R118)</f>
        <v>0</v>
      </c>
      <c r="Y118" s="13"/>
      <c r="Z118" s="13">
        <f t="shared" ref="Z118:Z125" si="60">(L118/R118)</f>
        <v>0</v>
      </c>
      <c r="AA118" s="13"/>
      <c r="AB118" s="13">
        <f t="shared" ref="AB118:AB125" si="61">(N118/R118)</f>
        <v>0</v>
      </c>
      <c r="AC118" s="1"/>
      <c r="AD118" s="13">
        <f t="shared" ref="AD118:AD125" si="62">(P118/R118)</f>
        <v>0</v>
      </c>
      <c r="AE118" s="1"/>
      <c r="AF118" s="13">
        <f t="shared" ref="AF118:AF125" si="63">SUM(T118:AD118)</f>
        <v>1</v>
      </c>
      <c r="AG118" s="14">
        <f>((F118*[1]Sheet1!F$10)+(H118*[1]Sheet1!H$10)+(J118*[1]Sheet1!J$10)+(L118*[1]Sheet1!L$10)+(N118*[1]Sheet1!N$10)+(P118*[1]Sheet1!P$10))/R118</f>
        <v>4.5625</v>
      </c>
    </row>
    <row r="119" spans="1:33" x14ac:dyDescent="0.25">
      <c r="A119" s="1" t="s">
        <v>10</v>
      </c>
      <c r="B119" s="1"/>
      <c r="C119" s="1"/>
      <c r="D119" s="1"/>
      <c r="E119" s="1"/>
      <c r="F119" s="1">
        <v>26</v>
      </c>
      <c r="G119" s="1"/>
      <c r="H119" s="1">
        <v>6</v>
      </c>
      <c r="I119" s="1"/>
      <c r="J119" s="1">
        <v>0</v>
      </c>
      <c r="K119" s="1"/>
      <c r="L119" s="1">
        <v>0</v>
      </c>
      <c r="M119" s="1"/>
      <c r="N119" s="1">
        <v>0</v>
      </c>
      <c r="O119" s="1"/>
      <c r="P119" s="1">
        <v>0</v>
      </c>
      <c r="Q119" s="1"/>
      <c r="R119" s="10">
        <f t="shared" si="56"/>
        <v>32</v>
      </c>
      <c r="S119" s="1"/>
      <c r="T119" s="13">
        <f t="shared" si="57"/>
        <v>0.8125</v>
      </c>
      <c r="U119" s="13"/>
      <c r="V119" s="13">
        <f t="shared" si="58"/>
        <v>0.1875</v>
      </c>
      <c r="W119" s="13"/>
      <c r="X119" s="13">
        <f t="shared" si="59"/>
        <v>0</v>
      </c>
      <c r="Y119" s="13"/>
      <c r="Z119" s="13">
        <f t="shared" si="60"/>
        <v>0</v>
      </c>
      <c r="AA119" s="13"/>
      <c r="AB119" s="13">
        <f t="shared" si="61"/>
        <v>0</v>
      </c>
      <c r="AC119" s="1"/>
      <c r="AD119" s="13">
        <f t="shared" si="62"/>
        <v>0</v>
      </c>
      <c r="AE119" s="1"/>
      <c r="AF119" s="13">
        <f t="shared" si="63"/>
        <v>1</v>
      </c>
      <c r="AG119" s="14">
        <f>((F119*[1]Sheet1!F$10)+(H119*[1]Sheet1!H$10)+(J119*[1]Sheet1!J$10)+(L119*[1]Sheet1!L$10)+(N119*[1]Sheet1!N$10)+(P119*[1]Sheet1!P$10))/R119</f>
        <v>4.8125</v>
      </c>
    </row>
    <row r="120" spans="1:33" x14ac:dyDescent="0.25">
      <c r="A120" s="1" t="s">
        <v>11</v>
      </c>
      <c r="B120" s="1"/>
      <c r="C120" s="1"/>
      <c r="D120" s="1"/>
      <c r="E120" s="1"/>
      <c r="F120" s="1">
        <v>22</v>
      </c>
      <c r="G120" s="1"/>
      <c r="H120" s="1">
        <v>5</v>
      </c>
      <c r="I120" s="1"/>
      <c r="J120" s="1">
        <v>5</v>
      </c>
      <c r="K120" s="1"/>
      <c r="L120" s="1">
        <v>0</v>
      </c>
      <c r="M120" s="1"/>
      <c r="N120" s="1">
        <v>0</v>
      </c>
      <c r="O120" s="1"/>
      <c r="P120" s="1">
        <v>0</v>
      </c>
      <c r="Q120" s="1"/>
      <c r="R120" s="10">
        <f t="shared" si="56"/>
        <v>32</v>
      </c>
      <c r="S120" s="1"/>
      <c r="T120" s="13">
        <f t="shared" si="57"/>
        <v>0.6875</v>
      </c>
      <c r="U120" s="13"/>
      <c r="V120" s="13">
        <f t="shared" si="58"/>
        <v>0.15625</v>
      </c>
      <c r="W120" s="13"/>
      <c r="X120" s="13">
        <f t="shared" si="59"/>
        <v>0.15625</v>
      </c>
      <c r="Y120" s="13"/>
      <c r="Z120" s="13">
        <f t="shared" si="60"/>
        <v>0</v>
      </c>
      <c r="AA120" s="13"/>
      <c r="AB120" s="13">
        <f t="shared" si="61"/>
        <v>0</v>
      </c>
      <c r="AC120" s="1"/>
      <c r="AD120" s="13">
        <f t="shared" si="62"/>
        <v>0</v>
      </c>
      <c r="AE120" s="1"/>
      <c r="AF120" s="13">
        <f t="shared" si="63"/>
        <v>1</v>
      </c>
      <c r="AG120" s="14">
        <f>((F120*[1]Sheet1!F$10)+(H120*[1]Sheet1!H$10)+(J120*[1]Sheet1!J$10)+(L120*[1]Sheet1!L$10)+(N120*[1]Sheet1!N$10)+(P120*[1]Sheet1!P$10))/R120</f>
        <v>4.53125</v>
      </c>
    </row>
    <row r="121" spans="1:33" x14ac:dyDescent="0.25">
      <c r="A121" s="1" t="s">
        <v>12</v>
      </c>
      <c r="B121" s="1"/>
      <c r="C121" s="1"/>
      <c r="D121" s="1"/>
      <c r="E121" s="1"/>
      <c r="F121" s="1">
        <v>21</v>
      </c>
      <c r="G121" s="1"/>
      <c r="H121" s="1">
        <v>9</v>
      </c>
      <c r="I121" s="1"/>
      <c r="J121" s="1">
        <v>2</v>
      </c>
      <c r="K121" s="1"/>
      <c r="L121" s="1">
        <v>0</v>
      </c>
      <c r="M121" s="1"/>
      <c r="N121" s="1">
        <v>0</v>
      </c>
      <c r="O121" s="1"/>
      <c r="P121" s="1">
        <v>0</v>
      </c>
      <c r="Q121" s="1"/>
      <c r="R121" s="10">
        <f t="shared" si="56"/>
        <v>32</v>
      </c>
      <c r="S121" s="1"/>
      <c r="T121" s="13">
        <f t="shared" si="57"/>
        <v>0.65625</v>
      </c>
      <c r="U121" s="13"/>
      <c r="V121" s="13">
        <f t="shared" si="58"/>
        <v>0.28125</v>
      </c>
      <c r="W121" s="13"/>
      <c r="X121" s="13">
        <f t="shared" si="59"/>
        <v>6.25E-2</v>
      </c>
      <c r="Y121" s="13"/>
      <c r="Z121" s="13">
        <f t="shared" si="60"/>
        <v>0</v>
      </c>
      <c r="AA121" s="13"/>
      <c r="AB121" s="13">
        <f t="shared" si="61"/>
        <v>0</v>
      </c>
      <c r="AC121" s="1"/>
      <c r="AD121" s="13">
        <f t="shared" si="62"/>
        <v>0</v>
      </c>
      <c r="AE121" s="1"/>
      <c r="AF121" s="13">
        <f t="shared" si="63"/>
        <v>1</v>
      </c>
      <c r="AG121" s="14">
        <f>((F121*[1]Sheet1!F$10)+(H121*[1]Sheet1!H$10)+(J121*[1]Sheet1!J$10)+(L121*[1]Sheet1!L$10)+(N121*[1]Sheet1!N$10)+(P121*[1]Sheet1!P$10))/R121</f>
        <v>4.59375</v>
      </c>
    </row>
    <row r="122" spans="1:33" x14ac:dyDescent="0.25">
      <c r="A122" s="1" t="s">
        <v>13</v>
      </c>
      <c r="B122" s="1"/>
      <c r="C122" s="1"/>
      <c r="D122" s="1"/>
      <c r="E122" s="1"/>
      <c r="F122" s="1">
        <v>22</v>
      </c>
      <c r="G122" s="1"/>
      <c r="H122" s="1">
        <v>8</v>
      </c>
      <c r="I122" s="1"/>
      <c r="J122" s="1">
        <v>1</v>
      </c>
      <c r="K122" s="1"/>
      <c r="L122" s="1">
        <v>1</v>
      </c>
      <c r="M122" s="1"/>
      <c r="N122" s="1">
        <v>0</v>
      </c>
      <c r="O122" s="1"/>
      <c r="P122" s="1">
        <v>0</v>
      </c>
      <c r="Q122" s="1"/>
      <c r="R122" s="10">
        <f t="shared" si="56"/>
        <v>32</v>
      </c>
      <c r="S122" s="1"/>
      <c r="T122" s="13">
        <f t="shared" si="57"/>
        <v>0.6875</v>
      </c>
      <c r="U122" s="13"/>
      <c r="V122" s="13">
        <f t="shared" si="58"/>
        <v>0.25</v>
      </c>
      <c r="W122" s="13"/>
      <c r="X122" s="13">
        <f t="shared" si="59"/>
        <v>3.125E-2</v>
      </c>
      <c r="Y122" s="13"/>
      <c r="Z122" s="13">
        <f t="shared" si="60"/>
        <v>3.125E-2</v>
      </c>
      <c r="AA122" s="13"/>
      <c r="AB122" s="13">
        <f t="shared" si="61"/>
        <v>0</v>
      </c>
      <c r="AC122" s="1"/>
      <c r="AD122" s="13">
        <f t="shared" si="62"/>
        <v>0</v>
      </c>
      <c r="AE122" s="1"/>
      <c r="AF122" s="13">
        <f t="shared" si="63"/>
        <v>1</v>
      </c>
      <c r="AG122" s="14">
        <f>((F122*[1]Sheet1!F$10)+(H122*[1]Sheet1!H$10)+(J122*[1]Sheet1!J$10)+(L122*[1]Sheet1!L$10)+(N122*[1]Sheet1!N$10)+(P122*[1]Sheet1!P$10))/R122</f>
        <v>4.59375</v>
      </c>
    </row>
    <row r="123" spans="1:33" x14ac:dyDescent="0.25">
      <c r="A123" s="1" t="s">
        <v>14</v>
      </c>
      <c r="B123" s="1"/>
      <c r="C123" s="1"/>
      <c r="D123" s="1"/>
      <c r="E123" s="1"/>
      <c r="F123" s="1">
        <v>24</v>
      </c>
      <c r="G123" s="1"/>
      <c r="H123" s="1">
        <v>8</v>
      </c>
      <c r="I123" s="1"/>
      <c r="J123" s="1">
        <v>0</v>
      </c>
      <c r="K123" s="1"/>
      <c r="L123" s="1">
        <v>0</v>
      </c>
      <c r="M123" s="1"/>
      <c r="N123" s="1">
        <v>0</v>
      </c>
      <c r="O123" s="1"/>
      <c r="P123" s="1">
        <v>0</v>
      </c>
      <c r="Q123" s="1"/>
      <c r="R123" s="10">
        <f t="shared" si="56"/>
        <v>32</v>
      </c>
      <c r="S123" s="1"/>
      <c r="T123" s="13">
        <f t="shared" si="57"/>
        <v>0.75</v>
      </c>
      <c r="U123" s="13"/>
      <c r="V123" s="13">
        <f t="shared" si="58"/>
        <v>0.25</v>
      </c>
      <c r="W123" s="13"/>
      <c r="X123" s="13">
        <f t="shared" si="59"/>
        <v>0</v>
      </c>
      <c r="Y123" s="13"/>
      <c r="Z123" s="13">
        <f t="shared" si="60"/>
        <v>0</v>
      </c>
      <c r="AA123" s="13"/>
      <c r="AB123" s="13">
        <f t="shared" si="61"/>
        <v>0</v>
      </c>
      <c r="AC123" s="1"/>
      <c r="AD123" s="13">
        <f t="shared" si="62"/>
        <v>0</v>
      </c>
      <c r="AE123" s="1"/>
      <c r="AF123" s="13">
        <f t="shared" si="63"/>
        <v>1</v>
      </c>
      <c r="AG123" s="14">
        <f>((F123*[1]Sheet1!F$10)+(H123*[1]Sheet1!H$10)+(J123*[1]Sheet1!J$10)+(L123*[1]Sheet1!L$10)+(N123*[1]Sheet1!N$10)+(P123*[1]Sheet1!P$10))/R123</f>
        <v>4.75</v>
      </c>
    </row>
    <row r="124" spans="1:33" x14ac:dyDescent="0.25">
      <c r="A124" s="1" t="s">
        <v>15</v>
      </c>
      <c r="B124" s="1"/>
      <c r="C124" s="1"/>
      <c r="D124" s="1"/>
      <c r="E124" s="1"/>
      <c r="F124" s="15">
        <v>19</v>
      </c>
      <c r="G124" s="15"/>
      <c r="H124" s="15">
        <v>7</v>
      </c>
      <c r="I124" s="15"/>
      <c r="J124" s="15">
        <v>4</v>
      </c>
      <c r="K124" s="15"/>
      <c r="L124" s="15">
        <v>0</v>
      </c>
      <c r="M124" s="15"/>
      <c r="N124" s="15">
        <v>1</v>
      </c>
      <c r="O124" s="15"/>
      <c r="P124" s="15">
        <v>1</v>
      </c>
      <c r="Q124" s="1"/>
      <c r="R124" s="9">
        <f t="shared" si="56"/>
        <v>32</v>
      </c>
      <c r="S124" s="1"/>
      <c r="T124" s="16">
        <f t="shared" si="57"/>
        <v>0.59375</v>
      </c>
      <c r="U124" s="16"/>
      <c r="V124" s="16">
        <f t="shared" si="58"/>
        <v>0.21875</v>
      </c>
      <c r="W124" s="16"/>
      <c r="X124" s="16">
        <f t="shared" si="59"/>
        <v>0.125</v>
      </c>
      <c r="Y124" s="16"/>
      <c r="Z124" s="16">
        <f t="shared" si="60"/>
        <v>0</v>
      </c>
      <c r="AA124" s="16"/>
      <c r="AB124" s="16">
        <f t="shared" si="61"/>
        <v>3.125E-2</v>
      </c>
      <c r="AC124" s="15"/>
      <c r="AD124" s="16">
        <f t="shared" si="62"/>
        <v>3.125E-2</v>
      </c>
      <c r="AE124" s="1"/>
      <c r="AF124" s="13">
        <f t="shared" si="63"/>
        <v>1</v>
      </c>
      <c r="AG124" s="14">
        <f>((F124*[1]Sheet1!F$10)+(H124*[1]Sheet1!H$10)+(J124*[1]Sheet1!J$10)+(L124*[1]Sheet1!L$10)+(N124*[1]Sheet1!N$10)+(P124*[1]Sheet1!P$10))/R124</f>
        <v>4.25</v>
      </c>
    </row>
    <row r="125" spans="1:33" ht="13" x14ac:dyDescent="0.3">
      <c r="A125" s="1"/>
      <c r="B125" s="1"/>
      <c r="C125" s="1"/>
      <c r="D125" s="3" t="s">
        <v>7</v>
      </c>
      <c r="E125" s="1"/>
      <c r="F125" s="1">
        <f>SUM(F118:F124)</f>
        <v>152</v>
      </c>
      <c r="G125" s="1"/>
      <c r="H125" s="1">
        <f>SUM(H118:H124)</f>
        <v>57</v>
      </c>
      <c r="I125" s="1"/>
      <c r="J125" s="1">
        <f>SUM(J118:J124)</f>
        <v>12</v>
      </c>
      <c r="K125" s="1"/>
      <c r="L125" s="1">
        <f>SUM(L118:L124)</f>
        <v>1</v>
      </c>
      <c r="M125" s="1"/>
      <c r="N125" s="1">
        <f>SUM(N118:N124)</f>
        <v>1</v>
      </c>
      <c r="O125" s="1"/>
      <c r="P125" s="1">
        <f>SUM(P118:P124)</f>
        <v>1</v>
      </c>
      <c r="Q125" s="1"/>
      <c r="R125" s="10">
        <f t="shared" si="56"/>
        <v>224</v>
      </c>
      <c r="S125" s="1"/>
      <c r="T125" s="13">
        <f t="shared" si="57"/>
        <v>0.6785714285714286</v>
      </c>
      <c r="U125" s="13"/>
      <c r="V125" s="13">
        <f t="shared" si="58"/>
        <v>0.2544642857142857</v>
      </c>
      <c r="W125" s="13"/>
      <c r="X125" s="13">
        <f t="shared" si="59"/>
        <v>5.3571428571428568E-2</v>
      </c>
      <c r="Y125" s="13"/>
      <c r="Z125" s="13">
        <f t="shared" si="60"/>
        <v>4.464285714285714E-3</v>
      </c>
      <c r="AA125" s="13"/>
      <c r="AB125" s="13">
        <f t="shared" si="61"/>
        <v>4.464285714285714E-3</v>
      </c>
      <c r="AC125" s="1"/>
      <c r="AD125" s="13">
        <f t="shared" si="62"/>
        <v>4.464285714285714E-3</v>
      </c>
      <c r="AE125" s="1"/>
      <c r="AF125" s="13">
        <f t="shared" si="63"/>
        <v>1</v>
      </c>
      <c r="AG125" s="14">
        <f>((F125*[1]Sheet1!F$10)+(H125*[1]Sheet1!H$10)+(J125*[1]Sheet1!J$10)+(L125*[1]Sheet1!L$10)+(N125*[1]Sheet1!N$10)+(P125*[1]Sheet1!P$10))/R125</f>
        <v>4.5848214285714288</v>
      </c>
    </row>
    <row r="126" spans="1:33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2"/>
    </row>
    <row r="127" spans="1:33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2"/>
    </row>
    <row r="128" spans="1:33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2"/>
    </row>
    <row r="129" spans="1:33" ht="13" x14ac:dyDescent="0.3">
      <c r="A129" s="3" t="s">
        <v>28</v>
      </c>
      <c r="B129" s="1"/>
      <c r="C129" s="1"/>
      <c r="D129" s="3"/>
      <c r="E129" s="1"/>
      <c r="F129" s="1" t="s">
        <v>3</v>
      </c>
      <c r="G129" s="1"/>
      <c r="H129" s="1"/>
      <c r="I129" s="1"/>
      <c r="J129" s="1"/>
      <c r="K129" s="1"/>
      <c r="L129" s="1"/>
      <c r="M129" s="1"/>
      <c r="N129" s="1" t="s">
        <v>3</v>
      </c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2"/>
    </row>
    <row r="130" spans="1:33" ht="13" x14ac:dyDescent="0.3">
      <c r="A130" s="3" t="s">
        <v>29</v>
      </c>
      <c r="B130" s="1"/>
      <c r="C130" s="1"/>
      <c r="D130" s="3"/>
      <c r="E130" s="1"/>
      <c r="F130" s="4" t="s">
        <v>5</v>
      </c>
      <c r="G130" s="1"/>
      <c r="H130" s="1"/>
      <c r="I130" s="1"/>
      <c r="J130" s="1"/>
      <c r="K130" s="1"/>
      <c r="L130" s="1"/>
      <c r="M130" s="1"/>
      <c r="N130" s="4" t="s">
        <v>6</v>
      </c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2"/>
    </row>
    <row r="131" spans="1:33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2"/>
    </row>
    <row r="132" spans="1:33" ht="13" x14ac:dyDescent="0.3">
      <c r="A132" s="1"/>
      <c r="B132" s="1"/>
      <c r="C132" s="1"/>
      <c r="D132" s="1"/>
      <c r="E132" s="1"/>
      <c r="F132" s="5">
        <v>5</v>
      </c>
      <c r="G132" s="6" t="s">
        <v>2</v>
      </c>
      <c r="H132" s="5">
        <v>4</v>
      </c>
      <c r="I132" s="6"/>
      <c r="J132" s="5">
        <v>3</v>
      </c>
      <c r="K132" s="6"/>
      <c r="L132" s="5">
        <v>2</v>
      </c>
      <c r="M132" s="6"/>
      <c r="N132" s="5">
        <v>1</v>
      </c>
      <c r="O132" s="1"/>
      <c r="P132" s="5">
        <v>0</v>
      </c>
      <c r="Q132" s="7"/>
      <c r="R132" s="8" t="s">
        <v>7</v>
      </c>
      <c r="S132" s="1"/>
      <c r="T132" s="5">
        <v>5</v>
      </c>
      <c r="U132" s="6" t="s">
        <v>2</v>
      </c>
      <c r="V132" s="5">
        <v>4</v>
      </c>
      <c r="W132" s="6"/>
      <c r="X132" s="5">
        <v>3</v>
      </c>
      <c r="Y132" s="6"/>
      <c r="Z132" s="5">
        <v>2</v>
      </c>
      <c r="AA132" s="6"/>
      <c r="AB132" s="5">
        <v>1</v>
      </c>
      <c r="AC132" s="1"/>
      <c r="AD132" s="9">
        <v>0</v>
      </c>
      <c r="AE132" s="10"/>
      <c r="AF132" s="11" t="s">
        <v>7</v>
      </c>
      <c r="AG132" s="12" t="s">
        <v>8</v>
      </c>
    </row>
    <row r="133" spans="1:33" x14ac:dyDescent="0.25">
      <c r="A133" s="1" t="s">
        <v>9</v>
      </c>
      <c r="B133" s="1"/>
      <c r="C133" s="1"/>
      <c r="D133" s="1"/>
      <c r="E133" s="1"/>
      <c r="F133" s="1">
        <v>20</v>
      </c>
      <c r="G133" s="1"/>
      <c r="H133" s="1">
        <v>2</v>
      </c>
      <c r="I133" s="1"/>
      <c r="J133" s="1">
        <v>1</v>
      </c>
      <c r="K133" s="1"/>
      <c r="L133" s="1">
        <v>0</v>
      </c>
      <c r="M133" s="1"/>
      <c r="N133" s="1">
        <v>0</v>
      </c>
      <c r="O133" s="1"/>
      <c r="P133" s="1">
        <v>0</v>
      </c>
      <c r="Q133" s="1"/>
      <c r="R133" s="10">
        <f t="shared" ref="R133:R140" si="64">SUM(F133:P133)</f>
        <v>23</v>
      </c>
      <c r="S133" s="1"/>
      <c r="T133" s="13">
        <f t="shared" ref="T133:T140" si="65">(F133/R133)</f>
        <v>0.86956521739130432</v>
      </c>
      <c r="U133" s="13"/>
      <c r="V133" s="13">
        <f t="shared" ref="V133:V140" si="66">(H133/R133)</f>
        <v>8.6956521739130432E-2</v>
      </c>
      <c r="W133" s="13"/>
      <c r="X133" s="13">
        <f t="shared" ref="X133:X140" si="67">(J133/R133)</f>
        <v>4.3478260869565216E-2</v>
      </c>
      <c r="Y133" s="13"/>
      <c r="Z133" s="13">
        <f t="shared" ref="Z133:Z140" si="68">(L133/R133)</f>
        <v>0</v>
      </c>
      <c r="AA133" s="13"/>
      <c r="AB133" s="13">
        <f t="shared" ref="AB133:AB140" si="69">(N133/R133)</f>
        <v>0</v>
      </c>
      <c r="AC133" s="1"/>
      <c r="AD133" s="13">
        <f t="shared" ref="AD133:AD140" si="70">(P133/R133)</f>
        <v>0</v>
      </c>
      <c r="AE133" s="1"/>
      <c r="AF133" s="13">
        <f t="shared" ref="AF133:AF140" si="71">SUM(T133:AD133)</f>
        <v>1</v>
      </c>
      <c r="AG133" s="14">
        <f>((F133*[1]Sheet1!F$10)+(H133*[1]Sheet1!H$10)+(J133*[1]Sheet1!J$10)+(L133*[1]Sheet1!L$10)+(N133*[1]Sheet1!N$10)+(P133*[1]Sheet1!P$10))/R133</f>
        <v>4.8260869565217392</v>
      </c>
    </row>
    <row r="134" spans="1:33" x14ac:dyDescent="0.25">
      <c r="A134" s="1" t="s">
        <v>10</v>
      </c>
      <c r="B134" s="1"/>
      <c r="C134" s="1"/>
      <c r="D134" s="1"/>
      <c r="E134" s="1"/>
      <c r="F134" s="1">
        <v>21</v>
      </c>
      <c r="G134" s="1"/>
      <c r="H134" s="1">
        <v>2</v>
      </c>
      <c r="I134" s="1"/>
      <c r="J134" s="1">
        <v>0</v>
      </c>
      <c r="K134" s="1"/>
      <c r="L134" s="1">
        <v>0</v>
      </c>
      <c r="M134" s="1"/>
      <c r="N134" s="1">
        <v>0</v>
      </c>
      <c r="O134" s="1"/>
      <c r="P134" s="1">
        <v>0</v>
      </c>
      <c r="Q134" s="1"/>
      <c r="R134" s="10">
        <f t="shared" si="64"/>
        <v>23</v>
      </c>
      <c r="S134" s="1"/>
      <c r="T134" s="13">
        <f t="shared" si="65"/>
        <v>0.91304347826086951</v>
      </c>
      <c r="U134" s="13"/>
      <c r="V134" s="13">
        <f t="shared" si="66"/>
        <v>8.6956521739130432E-2</v>
      </c>
      <c r="W134" s="13"/>
      <c r="X134" s="13">
        <f t="shared" si="67"/>
        <v>0</v>
      </c>
      <c r="Y134" s="13"/>
      <c r="Z134" s="13">
        <f t="shared" si="68"/>
        <v>0</v>
      </c>
      <c r="AA134" s="13"/>
      <c r="AB134" s="13">
        <f t="shared" si="69"/>
        <v>0</v>
      </c>
      <c r="AC134" s="1"/>
      <c r="AD134" s="13">
        <f t="shared" si="70"/>
        <v>0</v>
      </c>
      <c r="AE134" s="1"/>
      <c r="AF134" s="13">
        <f t="shared" si="71"/>
        <v>1</v>
      </c>
      <c r="AG134" s="14">
        <f>((F134*[1]Sheet1!F$10)+(H134*[1]Sheet1!H$10)+(J134*[1]Sheet1!J$10)+(L134*[1]Sheet1!L$10)+(N134*[1]Sheet1!N$10)+(P134*[1]Sheet1!P$10))/R134</f>
        <v>4.9130434782608692</v>
      </c>
    </row>
    <row r="135" spans="1:33" x14ac:dyDescent="0.25">
      <c r="A135" s="1" t="s">
        <v>11</v>
      </c>
      <c r="B135" s="1"/>
      <c r="C135" s="1"/>
      <c r="D135" s="1"/>
      <c r="E135" s="1"/>
      <c r="F135" s="1">
        <v>19</v>
      </c>
      <c r="G135" s="1"/>
      <c r="H135" s="1">
        <v>4</v>
      </c>
      <c r="I135" s="1"/>
      <c r="J135" s="1">
        <v>0</v>
      </c>
      <c r="K135" s="1"/>
      <c r="L135" s="1">
        <v>0</v>
      </c>
      <c r="M135" s="1"/>
      <c r="N135" s="1">
        <v>0</v>
      </c>
      <c r="O135" s="1"/>
      <c r="P135" s="1">
        <v>0</v>
      </c>
      <c r="Q135" s="1"/>
      <c r="R135" s="10">
        <f t="shared" si="64"/>
        <v>23</v>
      </c>
      <c r="S135" s="1"/>
      <c r="T135" s="13">
        <f t="shared" si="65"/>
        <v>0.82608695652173914</v>
      </c>
      <c r="U135" s="13"/>
      <c r="V135" s="13">
        <f t="shared" si="66"/>
        <v>0.17391304347826086</v>
      </c>
      <c r="W135" s="13"/>
      <c r="X135" s="13">
        <f t="shared" si="67"/>
        <v>0</v>
      </c>
      <c r="Y135" s="13"/>
      <c r="Z135" s="13">
        <f t="shared" si="68"/>
        <v>0</v>
      </c>
      <c r="AA135" s="13"/>
      <c r="AB135" s="13">
        <f t="shared" si="69"/>
        <v>0</v>
      </c>
      <c r="AC135" s="1"/>
      <c r="AD135" s="13">
        <f t="shared" si="70"/>
        <v>0</v>
      </c>
      <c r="AE135" s="1"/>
      <c r="AF135" s="13">
        <f t="shared" si="71"/>
        <v>1</v>
      </c>
      <c r="AG135" s="14">
        <f>((F135*[1]Sheet1!F$10)+(H135*[1]Sheet1!H$10)+(J135*[1]Sheet1!J$10)+(L135*[1]Sheet1!L$10)+(N135*[1]Sheet1!N$10)+(P135*[1]Sheet1!P$10))/R135</f>
        <v>4.8260869565217392</v>
      </c>
    </row>
    <row r="136" spans="1:33" x14ac:dyDescent="0.25">
      <c r="A136" s="1" t="s">
        <v>12</v>
      </c>
      <c r="B136" s="1"/>
      <c r="C136" s="1"/>
      <c r="D136" s="1"/>
      <c r="E136" s="1"/>
      <c r="F136" s="1">
        <v>21</v>
      </c>
      <c r="G136" s="1"/>
      <c r="H136" s="1">
        <v>2</v>
      </c>
      <c r="I136" s="1"/>
      <c r="J136" s="1">
        <v>0</v>
      </c>
      <c r="K136" s="1"/>
      <c r="L136" s="1">
        <v>0</v>
      </c>
      <c r="M136" s="1"/>
      <c r="N136" s="1">
        <v>0</v>
      </c>
      <c r="O136" s="1"/>
      <c r="P136" s="1">
        <v>0</v>
      </c>
      <c r="Q136" s="1"/>
      <c r="R136" s="10">
        <f t="shared" si="64"/>
        <v>23</v>
      </c>
      <c r="S136" s="1"/>
      <c r="T136" s="13">
        <f t="shared" si="65"/>
        <v>0.91304347826086951</v>
      </c>
      <c r="U136" s="13"/>
      <c r="V136" s="13">
        <f t="shared" si="66"/>
        <v>8.6956521739130432E-2</v>
      </c>
      <c r="W136" s="13"/>
      <c r="X136" s="13">
        <f t="shared" si="67"/>
        <v>0</v>
      </c>
      <c r="Y136" s="13"/>
      <c r="Z136" s="13">
        <f t="shared" si="68"/>
        <v>0</v>
      </c>
      <c r="AA136" s="13"/>
      <c r="AB136" s="13">
        <f t="shared" si="69"/>
        <v>0</v>
      </c>
      <c r="AC136" s="1"/>
      <c r="AD136" s="13">
        <f t="shared" si="70"/>
        <v>0</v>
      </c>
      <c r="AE136" s="1"/>
      <c r="AF136" s="13">
        <f t="shared" si="71"/>
        <v>1</v>
      </c>
      <c r="AG136" s="14">
        <f>((F136*[1]Sheet1!F$10)+(H136*[1]Sheet1!H$10)+(J136*[1]Sheet1!J$10)+(L136*[1]Sheet1!L$10)+(N136*[1]Sheet1!N$10)+(P136*[1]Sheet1!P$10))/R136</f>
        <v>4.9130434782608692</v>
      </c>
    </row>
    <row r="137" spans="1:33" x14ac:dyDescent="0.25">
      <c r="A137" s="1" t="s">
        <v>13</v>
      </c>
      <c r="B137" s="1"/>
      <c r="C137" s="1"/>
      <c r="D137" s="1"/>
      <c r="E137" s="1"/>
      <c r="F137" s="1">
        <v>23</v>
      </c>
      <c r="G137" s="1"/>
      <c r="H137" s="1">
        <v>0</v>
      </c>
      <c r="I137" s="1"/>
      <c r="J137" s="1">
        <v>0</v>
      </c>
      <c r="K137" s="1"/>
      <c r="L137" s="1">
        <v>0</v>
      </c>
      <c r="M137" s="1"/>
      <c r="N137" s="1">
        <v>0</v>
      </c>
      <c r="O137" s="1"/>
      <c r="P137" s="1">
        <v>0</v>
      </c>
      <c r="Q137" s="1"/>
      <c r="R137" s="10">
        <f t="shared" si="64"/>
        <v>23</v>
      </c>
      <c r="S137" s="1"/>
      <c r="T137" s="13">
        <f t="shared" si="65"/>
        <v>1</v>
      </c>
      <c r="U137" s="13"/>
      <c r="V137" s="13">
        <f t="shared" si="66"/>
        <v>0</v>
      </c>
      <c r="W137" s="13"/>
      <c r="X137" s="13">
        <f t="shared" si="67"/>
        <v>0</v>
      </c>
      <c r="Y137" s="13"/>
      <c r="Z137" s="13">
        <f t="shared" si="68"/>
        <v>0</v>
      </c>
      <c r="AA137" s="13"/>
      <c r="AB137" s="13">
        <f t="shared" si="69"/>
        <v>0</v>
      </c>
      <c r="AC137" s="1"/>
      <c r="AD137" s="13">
        <f t="shared" si="70"/>
        <v>0</v>
      </c>
      <c r="AE137" s="1"/>
      <c r="AF137" s="13">
        <f t="shared" si="71"/>
        <v>1</v>
      </c>
      <c r="AG137" s="14">
        <f>((F137*[1]Sheet1!F$10)+(H137*[1]Sheet1!H$10)+(J137*[1]Sheet1!J$10)+(L137*[1]Sheet1!L$10)+(N137*[1]Sheet1!N$10)+(P137*[1]Sheet1!P$10))/R137</f>
        <v>5</v>
      </c>
    </row>
    <row r="138" spans="1:33" x14ac:dyDescent="0.25">
      <c r="A138" s="1" t="s">
        <v>14</v>
      </c>
      <c r="B138" s="1"/>
      <c r="C138" s="1"/>
      <c r="D138" s="1"/>
      <c r="E138" s="1"/>
      <c r="F138" s="1">
        <v>23</v>
      </c>
      <c r="G138" s="1"/>
      <c r="H138" s="1">
        <v>0</v>
      </c>
      <c r="I138" s="1"/>
      <c r="J138" s="1">
        <v>0</v>
      </c>
      <c r="K138" s="1"/>
      <c r="L138" s="1">
        <v>0</v>
      </c>
      <c r="M138" s="1"/>
      <c r="N138" s="1">
        <v>0</v>
      </c>
      <c r="O138" s="1"/>
      <c r="P138" s="1">
        <v>0</v>
      </c>
      <c r="Q138" s="1"/>
      <c r="R138" s="10">
        <f t="shared" si="64"/>
        <v>23</v>
      </c>
      <c r="S138" s="1"/>
      <c r="T138" s="13">
        <f t="shared" si="65"/>
        <v>1</v>
      </c>
      <c r="U138" s="13"/>
      <c r="V138" s="13">
        <f t="shared" si="66"/>
        <v>0</v>
      </c>
      <c r="W138" s="13"/>
      <c r="X138" s="13">
        <f t="shared" si="67"/>
        <v>0</v>
      </c>
      <c r="Y138" s="13"/>
      <c r="Z138" s="13">
        <f t="shared" si="68"/>
        <v>0</v>
      </c>
      <c r="AA138" s="13"/>
      <c r="AB138" s="13">
        <f t="shared" si="69"/>
        <v>0</v>
      </c>
      <c r="AC138" s="1"/>
      <c r="AD138" s="13">
        <f t="shared" si="70"/>
        <v>0</v>
      </c>
      <c r="AE138" s="1"/>
      <c r="AF138" s="13">
        <f t="shared" si="71"/>
        <v>1</v>
      </c>
      <c r="AG138" s="14">
        <f>((F138*[1]Sheet1!F$10)+(H138*[1]Sheet1!H$10)+(J138*[1]Sheet1!J$10)+(L138*[1]Sheet1!L$10)+(N138*[1]Sheet1!N$10)+(P138*[1]Sheet1!P$10))/R138</f>
        <v>5</v>
      </c>
    </row>
    <row r="139" spans="1:33" x14ac:dyDescent="0.25">
      <c r="A139" s="1" t="s">
        <v>15</v>
      </c>
      <c r="B139" s="1"/>
      <c r="C139" s="1"/>
      <c r="D139" s="1"/>
      <c r="E139" s="1"/>
      <c r="F139" s="15">
        <v>21</v>
      </c>
      <c r="G139" s="15"/>
      <c r="H139" s="15">
        <v>1</v>
      </c>
      <c r="I139" s="15"/>
      <c r="J139" s="15">
        <v>0</v>
      </c>
      <c r="K139" s="15"/>
      <c r="L139" s="15">
        <v>1</v>
      </c>
      <c r="M139" s="15"/>
      <c r="N139" s="15">
        <v>0</v>
      </c>
      <c r="O139" s="15" t="s">
        <v>2</v>
      </c>
      <c r="P139" s="15">
        <v>0</v>
      </c>
      <c r="Q139" s="1"/>
      <c r="R139" s="9">
        <f t="shared" si="64"/>
        <v>23</v>
      </c>
      <c r="S139" s="1"/>
      <c r="T139" s="16">
        <f t="shared" si="65"/>
        <v>0.91304347826086951</v>
      </c>
      <c r="U139" s="16"/>
      <c r="V139" s="16">
        <f t="shared" si="66"/>
        <v>4.3478260869565216E-2</v>
      </c>
      <c r="W139" s="16"/>
      <c r="X139" s="16">
        <f t="shared" si="67"/>
        <v>0</v>
      </c>
      <c r="Y139" s="16"/>
      <c r="Z139" s="16">
        <f t="shared" si="68"/>
        <v>4.3478260869565216E-2</v>
      </c>
      <c r="AA139" s="16"/>
      <c r="AB139" s="16">
        <f t="shared" si="69"/>
        <v>0</v>
      </c>
      <c r="AC139" s="15"/>
      <c r="AD139" s="16">
        <f t="shared" si="70"/>
        <v>0</v>
      </c>
      <c r="AE139" s="1"/>
      <c r="AF139" s="13">
        <f t="shared" si="71"/>
        <v>0.99999999999999989</v>
      </c>
      <c r="AG139" s="14">
        <f>((F139*[1]Sheet1!F$10)+(H139*[1]Sheet1!H$10)+(J139*[1]Sheet1!J$10)+(L139*[1]Sheet1!L$10)+(N139*[1]Sheet1!N$10)+(P139*[1]Sheet1!P$10))/R139</f>
        <v>4.8260869565217392</v>
      </c>
    </row>
    <row r="140" spans="1:33" ht="13" x14ac:dyDescent="0.3">
      <c r="A140" s="1"/>
      <c r="B140" s="1"/>
      <c r="C140" s="1"/>
      <c r="D140" s="3" t="s">
        <v>7</v>
      </c>
      <c r="E140" s="1"/>
      <c r="F140" s="1">
        <f>SUM(F133:F139)</f>
        <v>148</v>
      </c>
      <c r="G140" s="1"/>
      <c r="H140" s="1">
        <f>SUM(H133:H139)</f>
        <v>11</v>
      </c>
      <c r="I140" s="1"/>
      <c r="J140" s="1">
        <f>SUM(J133:J139)</f>
        <v>1</v>
      </c>
      <c r="K140" s="1"/>
      <c r="L140" s="1">
        <f>SUM(L133:L139)</f>
        <v>1</v>
      </c>
      <c r="M140" s="1"/>
      <c r="N140" s="1">
        <f>SUM(N133:N139)</f>
        <v>0</v>
      </c>
      <c r="O140" s="1"/>
      <c r="P140" s="1">
        <f>SUM(P133:P139)</f>
        <v>0</v>
      </c>
      <c r="Q140" s="1"/>
      <c r="R140" s="10">
        <f t="shared" si="64"/>
        <v>161</v>
      </c>
      <c r="S140" s="1"/>
      <c r="T140" s="13">
        <f t="shared" si="65"/>
        <v>0.91925465838509313</v>
      </c>
      <c r="U140" s="13"/>
      <c r="V140" s="13">
        <f t="shared" si="66"/>
        <v>6.8322981366459631E-2</v>
      </c>
      <c r="W140" s="13"/>
      <c r="X140" s="13">
        <f t="shared" si="67"/>
        <v>6.2111801242236021E-3</v>
      </c>
      <c r="Y140" s="13"/>
      <c r="Z140" s="13">
        <f t="shared" si="68"/>
        <v>6.2111801242236021E-3</v>
      </c>
      <c r="AA140" s="13"/>
      <c r="AB140" s="13">
        <f t="shared" si="69"/>
        <v>0</v>
      </c>
      <c r="AC140" s="1"/>
      <c r="AD140" s="13">
        <f t="shared" si="70"/>
        <v>0</v>
      </c>
      <c r="AE140" s="1"/>
      <c r="AF140" s="13">
        <f t="shared" si="71"/>
        <v>1</v>
      </c>
      <c r="AG140" s="14">
        <f>((F140*[1]Sheet1!F$10)+(H140*[1]Sheet1!H$10)+(J140*[1]Sheet1!J$10)+(L140*[1]Sheet1!L$10)+(N140*[1]Sheet1!N$10)+(P140*[1]Sheet1!P$10))/R140</f>
        <v>4.9006211180124222</v>
      </c>
    </row>
    <row r="141" spans="1:33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2"/>
    </row>
    <row r="142" spans="1:33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2"/>
    </row>
    <row r="143" spans="1:33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2"/>
    </row>
    <row r="144" spans="1:33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2"/>
    </row>
    <row r="145" spans="1:33" ht="13" x14ac:dyDescent="0.3">
      <c r="A145" s="3" t="s">
        <v>30</v>
      </c>
      <c r="B145" s="1"/>
      <c r="C145" s="1"/>
      <c r="D145" s="3"/>
      <c r="E145" s="1"/>
      <c r="F145" s="1" t="s">
        <v>3</v>
      </c>
      <c r="G145" s="1"/>
      <c r="H145" s="1"/>
      <c r="I145" s="1"/>
      <c r="J145" s="1"/>
      <c r="K145" s="1"/>
      <c r="L145" s="1"/>
      <c r="M145" s="1"/>
      <c r="N145" s="1" t="s">
        <v>3</v>
      </c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2"/>
    </row>
    <row r="146" spans="1:33" ht="13" x14ac:dyDescent="0.3">
      <c r="A146" s="3" t="s">
        <v>31</v>
      </c>
      <c r="B146" s="1"/>
      <c r="C146" s="1"/>
      <c r="D146" s="3"/>
      <c r="E146" s="1"/>
      <c r="F146" s="4" t="s">
        <v>5</v>
      </c>
      <c r="G146" s="1"/>
      <c r="H146" s="1"/>
      <c r="I146" s="1"/>
      <c r="J146" s="1"/>
      <c r="K146" s="1"/>
      <c r="L146" s="1"/>
      <c r="M146" s="1"/>
      <c r="N146" s="4" t="s">
        <v>6</v>
      </c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2"/>
    </row>
    <row r="147" spans="1:33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2"/>
    </row>
    <row r="148" spans="1:33" ht="13" x14ac:dyDescent="0.3">
      <c r="A148" s="1"/>
      <c r="B148" s="1"/>
      <c r="C148" s="1"/>
      <c r="D148" s="1"/>
      <c r="E148" s="1"/>
      <c r="F148" s="5">
        <v>5</v>
      </c>
      <c r="G148" s="6" t="s">
        <v>2</v>
      </c>
      <c r="H148" s="5">
        <v>4</v>
      </c>
      <c r="I148" s="6"/>
      <c r="J148" s="5">
        <v>3</v>
      </c>
      <c r="K148" s="6"/>
      <c r="L148" s="5">
        <v>2</v>
      </c>
      <c r="M148" s="6"/>
      <c r="N148" s="5">
        <v>1</v>
      </c>
      <c r="O148" s="1"/>
      <c r="P148" s="5">
        <v>0</v>
      </c>
      <c r="Q148" s="7"/>
      <c r="R148" s="8" t="s">
        <v>7</v>
      </c>
      <c r="S148" s="1"/>
      <c r="T148" s="5">
        <v>5</v>
      </c>
      <c r="U148" s="6" t="s">
        <v>2</v>
      </c>
      <c r="V148" s="5">
        <v>4</v>
      </c>
      <c r="W148" s="6"/>
      <c r="X148" s="5">
        <v>3</v>
      </c>
      <c r="Y148" s="6"/>
      <c r="Z148" s="5">
        <v>2</v>
      </c>
      <c r="AA148" s="6"/>
      <c r="AB148" s="5">
        <v>1</v>
      </c>
      <c r="AC148" s="1"/>
      <c r="AD148" s="9">
        <v>0</v>
      </c>
      <c r="AE148" s="10"/>
      <c r="AF148" s="11" t="s">
        <v>7</v>
      </c>
      <c r="AG148" s="12" t="s">
        <v>8</v>
      </c>
    </row>
    <row r="149" spans="1:33" x14ac:dyDescent="0.25">
      <c r="A149" s="1" t="s">
        <v>9</v>
      </c>
      <c r="B149" s="1"/>
      <c r="C149" s="1"/>
      <c r="D149" s="1"/>
      <c r="E149" s="1"/>
      <c r="F149" s="1">
        <v>32</v>
      </c>
      <c r="G149" s="1"/>
      <c r="H149" s="1">
        <v>6</v>
      </c>
      <c r="I149" s="1"/>
      <c r="J149" s="1">
        <v>3</v>
      </c>
      <c r="K149" s="1"/>
      <c r="L149" s="1">
        <v>0</v>
      </c>
      <c r="M149" s="1"/>
      <c r="N149" s="1">
        <v>0</v>
      </c>
      <c r="O149" s="1"/>
      <c r="P149" s="1">
        <v>0</v>
      </c>
      <c r="Q149" s="1"/>
      <c r="R149" s="10">
        <f t="shared" ref="R149:R156" si="72">SUM(F149:P149)</f>
        <v>41</v>
      </c>
      <c r="S149" s="1"/>
      <c r="T149" s="13">
        <f t="shared" ref="T149:T156" si="73">(F149/R149)</f>
        <v>0.78048780487804881</v>
      </c>
      <c r="U149" s="13"/>
      <c r="V149" s="13">
        <f t="shared" ref="V149:V156" si="74">(H149/R149)</f>
        <v>0.14634146341463414</v>
      </c>
      <c r="W149" s="13"/>
      <c r="X149" s="13">
        <f t="shared" ref="X149:X156" si="75">(J149/R149)</f>
        <v>7.3170731707317069E-2</v>
      </c>
      <c r="Y149" s="13"/>
      <c r="Z149" s="13">
        <f t="shared" ref="Z149:Z156" si="76">(L149/R149)</f>
        <v>0</v>
      </c>
      <c r="AA149" s="13"/>
      <c r="AB149" s="13">
        <f t="shared" ref="AB149:AB156" si="77">(N149/R149)</f>
        <v>0</v>
      </c>
      <c r="AC149" s="1"/>
      <c r="AD149" s="13">
        <f t="shared" ref="AD149:AD156" si="78">(P149/R149)</f>
        <v>0</v>
      </c>
      <c r="AE149" s="1"/>
      <c r="AF149" s="13">
        <f t="shared" ref="AF149:AF156" si="79">SUM(T149:AD149)</f>
        <v>1</v>
      </c>
      <c r="AG149" s="14">
        <f>((F149*[1]Sheet1!F$10)+(H149*[1]Sheet1!H$10)+(J149*[1]Sheet1!J$10)+(L149*[1]Sheet1!L$10)+(N149*[1]Sheet1!N$10)+(P149*[1]Sheet1!P$10))/R149</f>
        <v>4.7073170731707314</v>
      </c>
    </row>
    <row r="150" spans="1:33" x14ac:dyDescent="0.25">
      <c r="A150" s="1" t="s">
        <v>10</v>
      </c>
      <c r="B150" s="1"/>
      <c r="C150" s="1"/>
      <c r="D150" s="1"/>
      <c r="E150" s="1"/>
      <c r="F150" s="1">
        <v>38</v>
      </c>
      <c r="G150" s="1"/>
      <c r="H150" s="1">
        <v>3</v>
      </c>
      <c r="I150" s="1"/>
      <c r="J150" s="1">
        <v>0</v>
      </c>
      <c r="K150" s="1"/>
      <c r="L150" s="1">
        <v>0</v>
      </c>
      <c r="M150" s="1"/>
      <c r="N150" s="1">
        <v>0</v>
      </c>
      <c r="O150" s="1"/>
      <c r="P150" s="1">
        <v>0</v>
      </c>
      <c r="Q150" s="1"/>
      <c r="R150" s="10">
        <f t="shared" si="72"/>
        <v>41</v>
      </c>
      <c r="S150" s="1"/>
      <c r="T150" s="13">
        <f t="shared" si="73"/>
        <v>0.92682926829268297</v>
      </c>
      <c r="U150" s="13"/>
      <c r="V150" s="13">
        <f t="shared" si="74"/>
        <v>7.3170731707317069E-2</v>
      </c>
      <c r="W150" s="13"/>
      <c r="X150" s="13">
        <f t="shared" si="75"/>
        <v>0</v>
      </c>
      <c r="Y150" s="13"/>
      <c r="Z150" s="13">
        <f t="shared" si="76"/>
        <v>0</v>
      </c>
      <c r="AA150" s="13"/>
      <c r="AB150" s="13">
        <f t="shared" si="77"/>
        <v>0</v>
      </c>
      <c r="AC150" s="1"/>
      <c r="AD150" s="13">
        <f t="shared" si="78"/>
        <v>0</v>
      </c>
      <c r="AE150" s="1"/>
      <c r="AF150" s="13">
        <f t="shared" si="79"/>
        <v>1</v>
      </c>
      <c r="AG150" s="14">
        <f>((F150*[1]Sheet1!F$10)+(H150*[1]Sheet1!H$10)+(J150*[1]Sheet1!J$10)+(L150*[1]Sheet1!L$10)+(N150*[1]Sheet1!N$10)+(P150*[1]Sheet1!P$10))/R150</f>
        <v>4.9268292682926829</v>
      </c>
    </row>
    <row r="151" spans="1:33" x14ac:dyDescent="0.25">
      <c r="A151" s="1" t="s">
        <v>11</v>
      </c>
      <c r="B151" s="1"/>
      <c r="C151" s="1"/>
      <c r="D151" s="1"/>
      <c r="E151" s="1"/>
      <c r="F151" s="1">
        <v>34</v>
      </c>
      <c r="G151" s="1"/>
      <c r="H151" s="1">
        <v>6</v>
      </c>
      <c r="I151" s="1"/>
      <c r="J151" s="1">
        <v>0</v>
      </c>
      <c r="K151" s="1"/>
      <c r="L151" s="1">
        <v>1</v>
      </c>
      <c r="M151" s="1"/>
      <c r="N151" s="1">
        <v>0</v>
      </c>
      <c r="O151" s="1"/>
      <c r="P151" s="1">
        <v>0</v>
      </c>
      <c r="Q151" s="1"/>
      <c r="R151" s="10">
        <f t="shared" si="72"/>
        <v>41</v>
      </c>
      <c r="S151" s="1"/>
      <c r="T151" s="13">
        <f t="shared" si="73"/>
        <v>0.82926829268292679</v>
      </c>
      <c r="U151" s="13"/>
      <c r="V151" s="13">
        <f t="shared" si="74"/>
        <v>0.14634146341463414</v>
      </c>
      <c r="W151" s="13"/>
      <c r="X151" s="13">
        <f t="shared" si="75"/>
        <v>0</v>
      </c>
      <c r="Y151" s="13"/>
      <c r="Z151" s="13">
        <f t="shared" si="76"/>
        <v>2.4390243902439025E-2</v>
      </c>
      <c r="AA151" s="13"/>
      <c r="AB151" s="13">
        <f t="shared" si="77"/>
        <v>0</v>
      </c>
      <c r="AC151" s="1"/>
      <c r="AD151" s="13">
        <f t="shared" si="78"/>
        <v>0</v>
      </c>
      <c r="AE151" s="1"/>
      <c r="AF151" s="13">
        <f t="shared" si="79"/>
        <v>1</v>
      </c>
      <c r="AG151" s="14">
        <f>((F151*[1]Sheet1!F$10)+(H151*[1]Sheet1!H$10)+(J151*[1]Sheet1!J$10)+(L151*[1]Sheet1!L$10)+(N151*[1]Sheet1!N$10)+(P151*[1]Sheet1!P$10))/R151</f>
        <v>4.7804878048780486</v>
      </c>
    </row>
    <row r="152" spans="1:33" x14ac:dyDescent="0.25">
      <c r="A152" s="1" t="s">
        <v>12</v>
      </c>
      <c r="B152" s="1"/>
      <c r="C152" s="1"/>
      <c r="D152" s="1"/>
      <c r="E152" s="1"/>
      <c r="F152" s="1">
        <v>27</v>
      </c>
      <c r="G152" s="1"/>
      <c r="H152" s="1">
        <v>13</v>
      </c>
      <c r="I152" s="1"/>
      <c r="J152" s="1">
        <v>0</v>
      </c>
      <c r="K152" s="1"/>
      <c r="L152" s="1">
        <v>1</v>
      </c>
      <c r="M152" s="1"/>
      <c r="N152" s="1">
        <v>0</v>
      </c>
      <c r="O152" s="1"/>
      <c r="P152" s="1">
        <v>0</v>
      </c>
      <c r="Q152" s="1"/>
      <c r="R152" s="10">
        <f t="shared" si="72"/>
        <v>41</v>
      </c>
      <c r="S152" s="1"/>
      <c r="T152" s="13">
        <f t="shared" si="73"/>
        <v>0.65853658536585369</v>
      </c>
      <c r="U152" s="13"/>
      <c r="V152" s="13">
        <f t="shared" si="74"/>
        <v>0.31707317073170732</v>
      </c>
      <c r="W152" s="13"/>
      <c r="X152" s="13">
        <f t="shared" si="75"/>
        <v>0</v>
      </c>
      <c r="Y152" s="13"/>
      <c r="Z152" s="13">
        <f t="shared" si="76"/>
        <v>2.4390243902439025E-2</v>
      </c>
      <c r="AA152" s="13"/>
      <c r="AB152" s="13">
        <f t="shared" si="77"/>
        <v>0</v>
      </c>
      <c r="AC152" s="1"/>
      <c r="AD152" s="13">
        <f t="shared" si="78"/>
        <v>0</v>
      </c>
      <c r="AE152" s="1"/>
      <c r="AF152" s="13">
        <f t="shared" si="79"/>
        <v>1</v>
      </c>
      <c r="AG152" s="14">
        <f>((F152*[1]Sheet1!F$10)+(H152*[1]Sheet1!H$10)+(J152*[1]Sheet1!J$10)+(L152*[1]Sheet1!L$10)+(N152*[1]Sheet1!N$10)+(P152*[1]Sheet1!P$10))/R152</f>
        <v>4.6097560975609753</v>
      </c>
    </row>
    <row r="153" spans="1:33" x14ac:dyDescent="0.25">
      <c r="A153" s="1" t="s">
        <v>13</v>
      </c>
      <c r="B153" s="1"/>
      <c r="C153" s="1"/>
      <c r="D153" s="1"/>
      <c r="E153" s="1"/>
      <c r="F153" s="1">
        <v>31</v>
      </c>
      <c r="G153" s="1"/>
      <c r="H153" s="1">
        <v>3</v>
      </c>
      <c r="I153" s="1"/>
      <c r="J153" s="1">
        <v>2</v>
      </c>
      <c r="K153" s="1"/>
      <c r="L153" s="1">
        <v>0</v>
      </c>
      <c r="M153" s="1"/>
      <c r="N153" s="1">
        <v>0</v>
      </c>
      <c r="O153" s="1"/>
      <c r="P153" s="1">
        <v>5</v>
      </c>
      <c r="Q153" s="1"/>
      <c r="R153" s="10">
        <f t="shared" si="72"/>
        <v>41</v>
      </c>
      <c r="S153" s="1"/>
      <c r="T153" s="13">
        <f t="shared" si="73"/>
        <v>0.75609756097560976</v>
      </c>
      <c r="U153" s="13"/>
      <c r="V153" s="13">
        <f t="shared" si="74"/>
        <v>7.3170731707317069E-2</v>
      </c>
      <c r="W153" s="13"/>
      <c r="X153" s="13">
        <f t="shared" si="75"/>
        <v>4.878048780487805E-2</v>
      </c>
      <c r="Y153" s="13"/>
      <c r="Z153" s="13">
        <f t="shared" si="76"/>
        <v>0</v>
      </c>
      <c r="AA153" s="13"/>
      <c r="AB153" s="13">
        <f t="shared" si="77"/>
        <v>0</v>
      </c>
      <c r="AC153" s="1"/>
      <c r="AD153" s="13">
        <f t="shared" si="78"/>
        <v>0.12195121951219512</v>
      </c>
      <c r="AE153" s="1"/>
      <c r="AF153" s="13">
        <f t="shared" si="79"/>
        <v>1</v>
      </c>
      <c r="AG153" s="14">
        <f>((F153*[1]Sheet1!F$10)+(H153*[1]Sheet1!H$10)+(J153*[1]Sheet1!J$10)+(L153*[1]Sheet1!L$10)+(N153*[1]Sheet1!N$10)+(P153*[1]Sheet1!P$10))/R153</f>
        <v>4.2195121951219514</v>
      </c>
    </row>
    <row r="154" spans="1:33" x14ac:dyDescent="0.25">
      <c r="A154" s="1" t="s">
        <v>14</v>
      </c>
      <c r="B154" s="1"/>
      <c r="C154" s="1"/>
      <c r="D154" s="1"/>
      <c r="E154" s="1"/>
      <c r="F154" s="1">
        <v>38</v>
      </c>
      <c r="G154" s="1"/>
      <c r="H154" s="1">
        <v>2</v>
      </c>
      <c r="I154" s="1"/>
      <c r="J154" s="1">
        <v>0</v>
      </c>
      <c r="K154" s="1"/>
      <c r="L154" s="1">
        <v>0</v>
      </c>
      <c r="M154" s="1"/>
      <c r="N154" s="1">
        <v>0</v>
      </c>
      <c r="O154" s="1"/>
      <c r="P154" s="1">
        <v>1</v>
      </c>
      <c r="Q154" s="1"/>
      <c r="R154" s="10">
        <f t="shared" si="72"/>
        <v>41</v>
      </c>
      <c r="S154" s="1"/>
      <c r="T154" s="13">
        <f t="shared" si="73"/>
        <v>0.92682926829268297</v>
      </c>
      <c r="U154" s="13"/>
      <c r="V154" s="13">
        <f t="shared" si="74"/>
        <v>4.878048780487805E-2</v>
      </c>
      <c r="W154" s="13"/>
      <c r="X154" s="13">
        <f t="shared" si="75"/>
        <v>0</v>
      </c>
      <c r="Y154" s="13"/>
      <c r="Z154" s="13">
        <f t="shared" si="76"/>
        <v>0</v>
      </c>
      <c r="AA154" s="13"/>
      <c r="AB154" s="13">
        <f t="shared" si="77"/>
        <v>0</v>
      </c>
      <c r="AC154" s="1"/>
      <c r="AD154" s="13">
        <f t="shared" si="78"/>
        <v>2.4390243902439025E-2</v>
      </c>
      <c r="AE154" s="1"/>
      <c r="AF154" s="13">
        <f t="shared" si="79"/>
        <v>1</v>
      </c>
      <c r="AG154" s="14">
        <f>((F154*[1]Sheet1!F$10)+(H154*[1]Sheet1!H$10)+(J154*[1]Sheet1!J$10)+(L154*[1]Sheet1!L$10)+(N154*[1]Sheet1!N$10)+(P154*[1]Sheet1!P$10))/R154</f>
        <v>4.8292682926829267</v>
      </c>
    </row>
    <row r="155" spans="1:33" x14ac:dyDescent="0.25">
      <c r="A155" s="1" t="s">
        <v>15</v>
      </c>
      <c r="B155" s="1"/>
      <c r="C155" s="1"/>
      <c r="D155" s="1"/>
      <c r="E155" s="1"/>
      <c r="F155" s="15">
        <v>31</v>
      </c>
      <c r="G155" s="15"/>
      <c r="H155" s="15">
        <v>5</v>
      </c>
      <c r="I155" s="15"/>
      <c r="J155" s="15">
        <v>2</v>
      </c>
      <c r="K155" s="15"/>
      <c r="L155" s="15">
        <v>0</v>
      </c>
      <c r="M155" s="15"/>
      <c r="N155" s="15">
        <v>0</v>
      </c>
      <c r="O155" s="15" t="s">
        <v>2</v>
      </c>
      <c r="P155" s="15">
        <v>2</v>
      </c>
      <c r="Q155" s="1"/>
      <c r="R155" s="9">
        <f t="shared" si="72"/>
        <v>40</v>
      </c>
      <c r="S155" s="1"/>
      <c r="T155" s="16">
        <f t="shared" si="73"/>
        <v>0.77500000000000002</v>
      </c>
      <c r="U155" s="16"/>
      <c r="V155" s="16">
        <f t="shared" si="74"/>
        <v>0.125</v>
      </c>
      <c r="W155" s="16"/>
      <c r="X155" s="16">
        <f t="shared" si="75"/>
        <v>0.05</v>
      </c>
      <c r="Y155" s="16"/>
      <c r="Z155" s="16">
        <f t="shared" si="76"/>
        <v>0</v>
      </c>
      <c r="AA155" s="16"/>
      <c r="AB155" s="16">
        <f t="shared" si="77"/>
        <v>0</v>
      </c>
      <c r="AC155" s="15"/>
      <c r="AD155" s="16">
        <f t="shared" si="78"/>
        <v>0.05</v>
      </c>
      <c r="AE155" s="1"/>
      <c r="AF155" s="13">
        <f t="shared" si="79"/>
        <v>1</v>
      </c>
      <c r="AG155" s="14">
        <f>((F155*[1]Sheet1!F$10)+(H155*[1]Sheet1!H$10)+(J155*[1]Sheet1!J$10)+(L155*[1]Sheet1!L$10)+(N155*[1]Sheet1!N$10)+(P155*[1]Sheet1!P$10))/R155</f>
        <v>4.5250000000000004</v>
      </c>
    </row>
    <row r="156" spans="1:33" ht="13" x14ac:dyDescent="0.3">
      <c r="A156" s="1"/>
      <c r="B156" s="1"/>
      <c r="C156" s="1"/>
      <c r="D156" s="3" t="s">
        <v>7</v>
      </c>
      <c r="E156" s="1"/>
      <c r="F156" s="1">
        <f>SUM(F149:F155)</f>
        <v>231</v>
      </c>
      <c r="G156" s="1"/>
      <c r="H156" s="1">
        <f>SUM(H149:H155)</f>
        <v>38</v>
      </c>
      <c r="I156" s="1"/>
      <c r="J156" s="1">
        <f>SUM(J149:J155)</f>
        <v>7</v>
      </c>
      <c r="K156" s="1"/>
      <c r="L156" s="1">
        <f>SUM(L149:L155)</f>
        <v>2</v>
      </c>
      <c r="M156" s="1"/>
      <c r="N156" s="1">
        <f>SUM(N149:N155)</f>
        <v>0</v>
      </c>
      <c r="O156" s="1"/>
      <c r="P156" s="1">
        <f>SUM(P149:P155)</f>
        <v>8</v>
      </c>
      <c r="Q156" s="1"/>
      <c r="R156" s="10">
        <f t="shared" si="72"/>
        <v>286</v>
      </c>
      <c r="S156" s="1"/>
      <c r="T156" s="13">
        <f t="shared" si="73"/>
        <v>0.80769230769230771</v>
      </c>
      <c r="U156" s="13"/>
      <c r="V156" s="13">
        <f t="shared" si="74"/>
        <v>0.13286713286713286</v>
      </c>
      <c r="W156" s="13"/>
      <c r="X156" s="13">
        <f t="shared" si="75"/>
        <v>2.4475524475524476E-2</v>
      </c>
      <c r="Y156" s="13"/>
      <c r="Z156" s="13">
        <f t="shared" si="76"/>
        <v>6.993006993006993E-3</v>
      </c>
      <c r="AA156" s="13"/>
      <c r="AB156" s="13">
        <f t="shared" si="77"/>
        <v>0</v>
      </c>
      <c r="AC156" s="1"/>
      <c r="AD156" s="13">
        <f t="shared" si="78"/>
        <v>2.7972027972027972E-2</v>
      </c>
      <c r="AE156" s="1"/>
      <c r="AF156" s="13">
        <f t="shared" si="79"/>
        <v>1</v>
      </c>
      <c r="AG156" s="14">
        <f>((F156*[1]Sheet1!F$10)+(H156*[1]Sheet1!H$10)+(J156*[1]Sheet1!J$10)+(L156*[1]Sheet1!L$10)+(N156*[1]Sheet1!N$10)+(P156*[1]Sheet1!P$10))/R156</f>
        <v>4.6573426573426575</v>
      </c>
    </row>
    <row r="157" spans="1:33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2"/>
    </row>
  </sheetData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USDA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Rsheppard</dc:creator>
  <cp:lastModifiedBy>Carina Negreanu</cp:lastModifiedBy>
  <dcterms:created xsi:type="dcterms:W3CDTF">2000-07-10T18:32:54Z</dcterms:created>
  <dcterms:modified xsi:type="dcterms:W3CDTF">2020-01-27T12:38:59Z</dcterms:modified>
</cp:coreProperties>
</file>