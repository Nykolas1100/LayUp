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CD9077-6B6A-43A0-886C-4C7F967FF2F1}" xr6:coauthVersionLast="45" xr6:coauthVersionMax="45" xr10:uidLastSave="{00000000-0000-0000-0000-000000000000}"/>
  <bookViews>
    <workbookView xWindow="3420" yWindow="3420" windowWidth="28800" windowHeight="15460"/>
  </bookViews>
  <sheets>
    <sheet name="3. Vyúčtování" sheetId="1" r:id="rId1"/>
    <sheet name="4. Celkové zdroje financování" sheetId="3" r:id="rId2"/>
  </sheets>
  <definedNames>
    <definedName name="_xlnm.Print_Area" localSheetId="0">'3. Vyúčtování'!$A$1:$I$69</definedName>
    <definedName name="_xlnm.Print_Area" localSheetId="1">'4. Celkové zdroje financování'!$A$1:$F$29</definedName>
    <definedName name="_xlnm.Print_Titles" localSheetId="0">'3. Vyúčtování'!$5:$5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1" i="1" l="1"/>
  <c r="E52" i="1"/>
  <c r="E53" i="1"/>
  <c r="E55" i="1" s="1"/>
  <c r="E54" i="1"/>
  <c r="E41" i="1"/>
  <c r="E42" i="1"/>
  <c r="E43" i="1"/>
  <c r="E44" i="1"/>
  <c r="G44" i="1" s="1"/>
  <c r="E45" i="1"/>
  <c r="G45" i="1" s="1"/>
  <c r="H45" i="1" s="1"/>
  <c r="E46" i="1"/>
  <c r="G46" i="1" s="1"/>
  <c r="H46" i="1" s="1"/>
  <c r="E47" i="1"/>
  <c r="G47" i="1" s="1"/>
  <c r="H47" i="1" s="1"/>
  <c r="E48" i="1"/>
  <c r="H43" i="1" s="1"/>
  <c r="E34" i="1"/>
  <c r="G34" i="1" s="1"/>
  <c r="E35" i="1"/>
  <c r="G35" i="1" s="1"/>
  <c r="H35" i="1" s="1"/>
  <c r="E36" i="1"/>
  <c r="E37" i="1"/>
  <c r="E38" i="1"/>
  <c r="E27" i="1"/>
  <c r="E31" i="1" s="1"/>
  <c r="E28" i="1"/>
  <c r="G28" i="1" s="1"/>
  <c r="H28" i="1" s="1"/>
  <c r="E29" i="1"/>
  <c r="E30" i="1"/>
  <c r="E22" i="1"/>
  <c r="E23" i="1"/>
  <c r="E24" i="1"/>
  <c r="E8" i="1"/>
  <c r="E9" i="1"/>
  <c r="E10" i="1"/>
  <c r="E12" i="1"/>
  <c r="E13" i="1"/>
  <c r="E14" i="1"/>
  <c r="E16" i="1"/>
  <c r="G16" i="1" s="1"/>
  <c r="E17" i="1"/>
  <c r="G17" i="1" s="1"/>
  <c r="H17" i="1" s="1"/>
  <c r="E18" i="1"/>
  <c r="G18" i="1" s="1"/>
  <c r="H18" i="1" s="1"/>
  <c r="E19" i="1"/>
  <c r="H13" i="1" s="1"/>
  <c r="D22" i="3"/>
  <c r="F22" i="3" s="1"/>
  <c r="C22" i="3"/>
  <c r="D18" i="3"/>
  <c r="C18" i="3"/>
  <c r="F55" i="1"/>
  <c r="F48" i="1"/>
  <c r="F38" i="1"/>
  <c r="F31" i="1"/>
  <c r="F24" i="1"/>
  <c r="H23" i="1" s="1"/>
  <c r="F19" i="1"/>
  <c r="F57" i="1"/>
  <c r="F59" i="1" s="1"/>
  <c r="G54" i="1"/>
  <c r="G51" i="1"/>
  <c r="G52" i="1"/>
  <c r="H52" i="1" s="1"/>
  <c r="G53" i="1"/>
  <c r="G55" i="1"/>
  <c r="G43" i="1"/>
  <c r="G42" i="1"/>
  <c r="H42" i="1"/>
  <c r="G41" i="1"/>
  <c r="H41" i="1"/>
  <c r="G37" i="1"/>
  <c r="H37" i="1"/>
  <c r="G36" i="1"/>
  <c r="H36" i="1" s="1"/>
  <c r="G29" i="1"/>
  <c r="G30" i="1"/>
  <c r="G14" i="1"/>
  <c r="G22" i="1"/>
  <c r="H22" i="1" s="1"/>
  <c r="G23" i="1"/>
  <c r="G8" i="1"/>
  <c r="H8" i="1" s="1"/>
  <c r="G10" i="1"/>
  <c r="G9" i="1"/>
  <c r="H9" i="1" s="1"/>
  <c r="G12" i="1"/>
  <c r="G13" i="1"/>
  <c r="H10" i="1"/>
  <c r="E21" i="3"/>
  <c r="E20" i="3"/>
  <c r="E9" i="3"/>
  <c r="E10" i="3"/>
  <c r="E11" i="3"/>
  <c r="E15" i="3"/>
  <c r="E16" i="3"/>
  <c r="E17" i="3"/>
  <c r="E14" i="3"/>
  <c r="E6" i="3"/>
  <c r="E5" i="3"/>
  <c r="E57" i="1" l="1"/>
  <c r="H53" i="1"/>
  <c r="H51" i="1"/>
  <c r="H54" i="1"/>
  <c r="H55" i="1"/>
  <c r="H30" i="1"/>
  <c r="H29" i="1"/>
  <c r="H34" i="1"/>
  <c r="G38" i="1"/>
  <c r="H38" i="1" s="1"/>
  <c r="H16" i="1"/>
  <c r="G19" i="1"/>
  <c r="H19" i="1" s="1"/>
  <c r="G48" i="1"/>
  <c r="H48" i="1" s="1"/>
  <c r="H44" i="1"/>
  <c r="F21" i="3"/>
  <c r="G27" i="1"/>
  <c r="H12" i="1"/>
  <c r="F20" i="3"/>
  <c r="F5" i="3"/>
  <c r="F6" i="3"/>
  <c r="H14" i="1"/>
  <c r="F17" i="3"/>
  <c r="F9" i="3"/>
  <c r="E22" i="3"/>
  <c r="F10" i="3"/>
  <c r="F11" i="3"/>
  <c r="F16" i="3"/>
  <c r="G24" i="1"/>
  <c r="H24" i="1" s="1"/>
  <c r="F14" i="3"/>
  <c r="F15" i="3"/>
  <c r="H27" i="1" l="1"/>
  <c r="G31" i="1"/>
  <c r="H31" i="1" s="1"/>
  <c r="E59" i="1"/>
  <c r="D58" i="1"/>
</calcChain>
</file>

<file path=xl/comments1.xml><?xml version="1.0" encoding="utf-8"?>
<comments xmlns="http://schemas.openxmlformats.org/spreadsheetml/2006/main">
  <authors>
    <author>zakravskyt</author>
  </authors>
  <commentList>
    <comment ref="A1" authorId="0" shapeId="0">
      <text>
        <r>
          <rPr>
            <sz val="8"/>
            <color indexed="81"/>
            <rFont val="Tahoma"/>
            <charset val="238"/>
          </rPr>
          <t xml:space="preserve">Nehodící se, prosím, vymažte
</t>
        </r>
      </text>
    </comment>
    <comment ref="I3" authorId="0" shapeId="0">
      <text>
        <r>
          <rPr>
            <b/>
            <sz val="8"/>
            <color indexed="81"/>
            <rFont val="Tahoma"/>
            <charset val="238"/>
          </rPr>
          <t>Pouze pro projekty nad 12 měsíců</t>
        </r>
        <r>
          <rPr>
            <sz val="8"/>
            <color indexed="81"/>
            <rFont val="Tahoma"/>
            <charset val="238"/>
          </rPr>
          <t xml:space="preserve">
</t>
        </r>
      </text>
    </comment>
    <comment ref="A5" authorId="0" shapeId="0">
      <text>
        <r>
          <rPr>
            <sz val="8"/>
            <color indexed="81"/>
            <rFont val="Tahoma"/>
            <charset val="238"/>
          </rPr>
          <t xml:space="preserve">Uvedené položky jsou pouze orientační, pro konkrétní náklady je nutné přidat další řádky podle potřeby
</t>
        </r>
      </text>
    </comment>
    <comment ref="B5" authorId="0" shapeId="0">
      <text>
        <r>
          <rPr>
            <sz val="8"/>
            <color indexed="81"/>
            <rFont val="Tahoma"/>
            <charset val="238"/>
          </rPr>
          <t>Uveďte časovou jednotku (den, měsíc, rok, ks apod.)</t>
        </r>
      </text>
    </comment>
    <comment ref="C5" authorId="0" shapeId="0">
      <text>
        <r>
          <rPr>
            <sz val="8"/>
            <color indexed="81"/>
            <rFont val="Tahoma"/>
            <charset val="238"/>
          </rPr>
          <t xml:space="preserve">Množství vyplňujte i v případě, že se jedná o jednu službu, ks apod. Nelze tedy uvést číslovku 0
</t>
        </r>
      </text>
    </comment>
    <comment ref="E5" authorId="0" shapeId="0">
      <text>
        <r>
          <rPr>
            <b/>
            <sz val="8"/>
            <color indexed="81"/>
            <rFont val="Tahoma"/>
            <charset val="238"/>
          </rPr>
          <t>Uveďte poslední schválenou verzi rozpočtu.</t>
        </r>
      </text>
    </comment>
  </commentList>
</comments>
</file>

<file path=xl/sharedStrings.xml><?xml version="1.0" encoding="utf-8"?>
<sst xmlns="http://schemas.openxmlformats.org/spreadsheetml/2006/main" count="143" uniqueCount="91">
  <si>
    <t>Jednotka</t>
  </si>
  <si>
    <t xml:space="preserve">Rozpočet dle smlouvy </t>
  </si>
  <si>
    <t>Vyčerpáno celkem v €</t>
  </si>
  <si>
    <t>Náklady</t>
  </si>
  <si>
    <t>1. Lidské zdroje</t>
  </si>
  <si>
    <t>1.1 Platy (celkový plat včetně odvodů, místní zaměstnanci)</t>
  </si>
  <si>
    <t xml:space="preserve">   1.1.1 Realizátoři, koordinátoři, vedoucí projektu, atd.</t>
  </si>
  <si>
    <t xml:space="preserve">   1.1.2 Administrativní/podpůrní zaměstnanci</t>
  </si>
  <si>
    <t>1.2 Platy (celkový plat, zahraniční pracovníci)</t>
  </si>
  <si>
    <t xml:space="preserve">   1.3.1 Do zahraničí (pro zaměstnance pracující na projektu)</t>
  </si>
  <si>
    <t xml:space="preserve">   1.3.2 Místní (pro zaměstnance pracující na projektu)</t>
  </si>
  <si>
    <t xml:space="preserve">   1.3.3 Seminář/účastníci konference</t>
  </si>
  <si>
    <t>Mezisoučet lidských zdrojů</t>
  </si>
  <si>
    <t>2. Cestovné</t>
  </si>
  <si>
    <t>2.1 Mezinárodní cesty</t>
  </si>
  <si>
    <t>3. Technika a zboží***</t>
  </si>
  <si>
    <t>3.1 Nákup nebo pronájem vozidla</t>
  </si>
  <si>
    <t>3.2 Nábytek, počítačové vybavení</t>
  </si>
  <si>
    <t>3.3 Náhradní díly/zařízení pro stroje, nářadí</t>
  </si>
  <si>
    <t xml:space="preserve">3.4 Jiné </t>
  </si>
  <si>
    <t>4.Místní kancelář/náklady projektu</t>
  </si>
  <si>
    <t xml:space="preserve">4.1 Náklady vozidla </t>
  </si>
  <si>
    <t>4.2 Pronájem kanceláře</t>
  </si>
  <si>
    <t>4.3 Spotřební materiál - kancelářské zboží</t>
  </si>
  <si>
    <t>4.4 Jiné služby (tel/fax, elektřina/topení, údržba)</t>
  </si>
  <si>
    <t>5. Jiné náklady, služby</t>
  </si>
  <si>
    <t>5.1 Publikace**</t>
  </si>
  <si>
    <t>5.2 Studie, výzkum**</t>
  </si>
  <si>
    <t>5.3 Audit</t>
  </si>
  <si>
    <t>5.4 Evaluační náklady</t>
  </si>
  <si>
    <t>5.5 Překlad, tlumočníci</t>
  </si>
  <si>
    <t>5.6 Finanční služby (bankovní garance, atd.)</t>
  </si>
  <si>
    <t>5.7 Náklady na konferenci/semináře**</t>
  </si>
  <si>
    <t>*Eventuální rezerva může být použita pouze po písemném schválení Delegace EK</t>
  </si>
  <si>
    <t>** zde vyplňte pouze v případě uzavření subdodavatelské smlouvy</t>
  </si>
  <si>
    <t>*** Náklady na koupi nebo nájem</t>
  </si>
  <si>
    <t>**** Koupě půdy nebo nákupy/výstavba budov jsou povoleny pouze v případě, kdy je to naprosto nezbytné  pro implementaci projektu</t>
  </si>
  <si>
    <t>Počet jednotek</t>
  </si>
  <si>
    <t>měsíc</t>
  </si>
  <si>
    <t>den</t>
  </si>
  <si>
    <t>let</t>
  </si>
  <si>
    <t>vozidlo</t>
  </si>
  <si>
    <t>Příspěvek od jiných organizací:</t>
  </si>
  <si>
    <t>1.3 Diety</t>
  </si>
  <si>
    <t xml:space="preserve">***** Nehodící se škrtněte. Průběžná zpráva spolu se žádostí o druhou splátku se zasílá pouze v případě více než 12 měsíců trvajících projektů po prvním roce realizace. Závěrečná zpráva se zasílá u všech projektů, v případě projektů trvajích déle než 12 mesíců jsou částky uváděné v závěrečné zprávě součtem všech výdajů za celou dobu realizace.  </t>
  </si>
  <si>
    <t>Sazba za jednotku (v €)</t>
  </si>
  <si>
    <t>Název organizace:</t>
  </si>
  <si>
    <t xml:space="preserve">Číslo projektu: </t>
  </si>
  <si>
    <t xml:space="preserve"> </t>
  </si>
  <si>
    <t xml:space="preserve">   1.2.1 (…)</t>
  </si>
  <si>
    <t xml:space="preserve">   1.2.2 (…)</t>
  </si>
  <si>
    <t>Okolnosti:</t>
  </si>
  <si>
    <t>CELKEM PŘÍSPĚVKŮ:</t>
  </si>
  <si>
    <t>Přímé výnosy (příjmy) z projektu:</t>
  </si>
  <si>
    <t>Datum:</t>
  </si>
  <si>
    <t>Vyčerpáno (€)</t>
  </si>
  <si>
    <t>Částka podle smlouvy (v €)</t>
  </si>
  <si>
    <t>Přidělený příspěvek od NROS v této žádosti (požadovaný grant):</t>
  </si>
  <si>
    <t>Finanční příspěvek žadatele (kofinancování):</t>
  </si>
  <si>
    <r>
      <t>Poznámka:</t>
    </r>
    <r>
      <rPr>
        <sz val="8"/>
        <rFont val="Arial CE"/>
        <family val="2"/>
        <charset val="238"/>
      </rPr>
      <t xml:space="preserve"> Vyplňujte, prosím, jen položky v bílém poli, procenta se sama načítají</t>
    </r>
  </si>
  <si>
    <t>Číslo projektu:</t>
  </si>
  <si>
    <t>Vyčerpáno z konkr. položky (%)</t>
  </si>
  <si>
    <t>Vyčerpáno z celkových nákladů (v %)</t>
  </si>
  <si>
    <t>Příspěvek(y) z jiných evropských institucí
nebo členských států EU:</t>
  </si>
  <si>
    <t xml:space="preserve">   1.1.1.1. Koordinátor projektu</t>
  </si>
  <si>
    <t>Vysvětlete odchylky od schváleného rozpočtu:</t>
  </si>
  <si>
    <r>
      <t>2.2 Místní přeprava</t>
    </r>
    <r>
      <rPr>
        <b/>
        <sz val="8"/>
        <rFont val="Arial CE"/>
        <charset val="238"/>
      </rPr>
      <t xml:space="preserve"> (nad 200 km)</t>
    </r>
  </si>
  <si>
    <t xml:space="preserve">Mezisoučet cestovného </t>
  </si>
  <si>
    <t>Mezisoučet místní 
kancelář/náklady projektu</t>
  </si>
  <si>
    <t>Mezisoučet jiných nákladů</t>
  </si>
  <si>
    <t>ks</t>
  </si>
  <si>
    <t>Mezisoučet techniky a zboží</t>
  </si>
  <si>
    <t>Mezisoučet jiných nákladů a služeb</t>
  </si>
  <si>
    <t>Odchylka 
(v €)</t>
  </si>
  <si>
    <t>Odchylka
 (v %)</t>
  </si>
  <si>
    <t>podpis realizátora projektu</t>
  </si>
  <si>
    <t>podpis a razítko auditora (týká se pouze závěrečných zpráv)</t>
  </si>
  <si>
    <t>6. Jiné</t>
  </si>
  <si>
    <t>6.1. (…)</t>
  </si>
  <si>
    <t>6.2.</t>
  </si>
  <si>
    <t>6.3.</t>
  </si>
  <si>
    <t>6.4.</t>
  </si>
  <si>
    <t>Kurz EUR/CZK (záloha):</t>
  </si>
  <si>
    <t>Kurz EUR/CZK (průběžná platba):</t>
  </si>
  <si>
    <t>8. Administrativní náklady (maximálně 7 % z 8., přímé způsobilé náklady projektu)</t>
  </si>
  <si>
    <t>9. Celkové náklady (7. + 8.)</t>
  </si>
  <si>
    <r>
      <t>Celkový součet</t>
    </r>
    <r>
      <rPr>
        <b/>
        <sz val="10"/>
        <rFont val="Arial CE"/>
        <family val="2"/>
        <charset val="238"/>
      </rPr>
      <t xml:space="preserve">  </t>
    </r>
    <r>
      <rPr>
        <b/>
        <i/>
        <sz val="10"/>
        <rFont val="Arial CE"/>
        <family val="2"/>
        <charset val="238"/>
      </rPr>
      <t>( = celkové způsobilé náklady projektu, tj. kapitola 9 v předchozím listu):</t>
    </r>
  </si>
  <si>
    <t>4. Celkové zdroje financování (průběžná/závěrečná zpráva)*</t>
  </si>
  <si>
    <t>*) nehodící se škrtněte</t>
  </si>
  <si>
    <t>7.  Mezisoučet přímých nákladů projektu (1. - 6.)</t>
  </si>
  <si>
    <t>Annex VIII. Interim/Final Financial Report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</si>
</sst>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6" formatCode="0.0%"/>
    <numFmt numFmtId="190" formatCode="#,##0.00\ [$€-1]"/>
    <numFmt numFmtId="191" formatCode="#,##0_ ;\-#,##0\ "/>
    <numFmt numFmtId="192" formatCode="#,##0\ [$€-1];\-#,##0\ [$€-1]"/>
    <numFmt numFmtId="193" formatCode="#,##0\ [$€-1]"/>
  </numFmts>
  <fonts count="34" x14ac:knownFonts="1">
    <font>
      <sz val="10"/>
      <name val="Arial"/>
    </font>
    <font>
      <sz val="10"/>
      <name val="Arial"/>
    </font>
    <font>
      <b/>
      <sz val="12"/>
      <name val="Arial CE"/>
      <charset val="238"/>
    </font>
    <font>
      <b/>
      <sz val="10"/>
      <name val="Arial CE"/>
      <charset val="238"/>
    </font>
    <font>
      <sz val="10"/>
      <name val="Arial CE"/>
      <charset val="238"/>
    </font>
    <font>
      <b/>
      <sz val="9"/>
      <name val="Arial CE"/>
      <charset val="238"/>
    </font>
    <font>
      <sz val="9"/>
      <name val="Arial CE"/>
      <charset val="238"/>
    </font>
    <font>
      <b/>
      <i/>
      <sz val="9"/>
      <name val="Arial CE"/>
      <charset val="238"/>
    </font>
    <font>
      <b/>
      <i/>
      <sz val="10"/>
      <name val="Arial CE"/>
      <charset val="238"/>
    </font>
    <font>
      <i/>
      <sz val="10"/>
      <name val="Arial CE"/>
      <charset val="238"/>
    </font>
    <font>
      <b/>
      <sz val="11"/>
      <name val="Arial CE"/>
      <charset val="238"/>
    </font>
    <font>
      <sz val="12"/>
      <name val="Arial CE"/>
      <charset val="238"/>
    </font>
    <font>
      <sz val="8"/>
      <name val="Arial CE"/>
      <charset val="238"/>
    </font>
    <font>
      <b/>
      <sz val="8"/>
      <name val="Arial CE"/>
      <charset val="238"/>
    </font>
    <font>
      <b/>
      <i/>
      <sz val="8"/>
      <name val="Arial CE"/>
      <charset val="238"/>
    </font>
    <font>
      <i/>
      <sz val="8"/>
      <name val="Arial CE"/>
      <charset val="238"/>
    </font>
    <font>
      <sz val="8"/>
      <color indexed="81"/>
      <name val="Tahoma"/>
      <charset val="238"/>
    </font>
    <font>
      <b/>
      <sz val="8"/>
      <color indexed="81"/>
      <name val="Tahoma"/>
      <charset val="238"/>
    </font>
    <font>
      <i/>
      <sz val="9"/>
      <name val="Arial CE"/>
      <charset val="238"/>
    </font>
    <font>
      <b/>
      <i/>
      <sz val="12"/>
      <name val="Arial CE"/>
      <charset val="238"/>
    </font>
    <font>
      <i/>
      <sz val="12"/>
      <name val="Arial CE"/>
      <charset val="238"/>
    </font>
    <font>
      <b/>
      <sz val="12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b/>
      <sz val="11"/>
      <name val="Arial CE"/>
      <family val="2"/>
      <charset val="238"/>
    </font>
    <font>
      <b/>
      <sz val="8"/>
      <name val="Arial CE"/>
      <family val="2"/>
      <charset val="238"/>
    </font>
    <font>
      <b/>
      <sz val="9"/>
      <name val="Arial CE"/>
      <family val="2"/>
      <charset val="238"/>
    </font>
    <font>
      <sz val="8"/>
      <name val="Arial CE"/>
      <family val="2"/>
      <charset val="238"/>
    </font>
    <font>
      <b/>
      <i/>
      <sz val="10"/>
      <name val="Arial CE"/>
      <family val="2"/>
      <charset val="238"/>
    </font>
    <font>
      <u/>
      <sz val="8"/>
      <name val="Arial CE"/>
      <family val="2"/>
      <charset val="238"/>
    </font>
    <font>
      <sz val="8"/>
      <name val="Arial"/>
    </font>
    <font>
      <b/>
      <i/>
      <sz val="9"/>
      <name val="Arial CE"/>
      <family val="2"/>
      <charset val="238"/>
    </font>
    <font>
      <sz val="10"/>
      <name val="Arial"/>
    </font>
    <font>
      <b/>
      <i/>
      <sz val="11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6">
    <xf numFmtId="0" fontId="0" fillId="0" borderId="0" xfId="0"/>
    <xf numFmtId="0" fontId="4" fillId="0" borderId="0" xfId="0" applyFont="1" applyFill="1"/>
    <xf numFmtId="0" fontId="4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3" fillId="2" borderId="1" xfId="0" applyFont="1" applyFill="1" applyBorder="1"/>
    <xf numFmtId="0" fontId="6" fillId="0" borderId="2" xfId="0" applyFont="1" applyBorder="1" applyAlignment="1">
      <alignment wrapText="1"/>
    </xf>
    <xf numFmtId="0" fontId="3" fillId="2" borderId="3" xfId="0" applyFont="1" applyFill="1" applyBorder="1"/>
    <xf numFmtId="0" fontId="7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6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center" wrapText="1"/>
    </xf>
    <xf numFmtId="49" fontId="10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/>
    <xf numFmtId="0" fontId="5" fillId="0" borderId="7" xfId="0" applyFont="1" applyFill="1" applyBorder="1" applyAlignment="1">
      <alignment wrapText="1"/>
    </xf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/>
    <xf numFmtId="0" fontId="7" fillId="0" borderId="2" xfId="0" applyFont="1" applyFill="1" applyBorder="1" applyAlignment="1">
      <alignment wrapText="1"/>
    </xf>
    <xf numFmtId="0" fontId="4" fillId="3" borderId="3" xfId="0" applyFont="1" applyFill="1" applyBorder="1"/>
    <xf numFmtId="0" fontId="2" fillId="3" borderId="8" xfId="0" applyFont="1" applyFill="1" applyBorder="1" applyAlignment="1">
      <alignment wrapText="1"/>
    </xf>
    <xf numFmtId="0" fontId="11" fillId="0" borderId="0" xfId="0" applyFont="1"/>
    <xf numFmtId="0" fontId="13" fillId="0" borderId="0" xfId="0" applyFont="1" applyFill="1" applyBorder="1" applyAlignment="1">
      <alignment horizontal="center" vertical="center" wrapText="1" shrinkToFit="1"/>
    </xf>
    <xf numFmtId="0" fontId="13" fillId="0" borderId="1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0" borderId="3" xfId="0" applyFont="1" applyFill="1" applyBorder="1" applyAlignment="1">
      <alignment wrapText="1"/>
    </xf>
    <xf numFmtId="0" fontId="15" fillId="0" borderId="3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7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9" fillId="2" borderId="3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5" fillId="3" borderId="2" xfId="0" applyFont="1" applyFill="1" applyBorder="1" applyAlignment="1">
      <alignment wrapText="1"/>
    </xf>
    <xf numFmtId="0" fontId="3" fillId="3" borderId="3" xfId="0" applyFont="1" applyFill="1" applyBorder="1"/>
    <xf numFmtId="0" fontId="10" fillId="3" borderId="2" xfId="0" applyFont="1" applyFill="1" applyBorder="1" applyAlignment="1">
      <alignment wrapText="1"/>
    </xf>
    <xf numFmtId="0" fontId="6" fillId="0" borderId="3" xfId="0" applyFont="1" applyBorder="1"/>
    <xf numFmtId="0" fontId="5" fillId="0" borderId="3" xfId="0" applyFont="1" applyBorder="1"/>
    <xf numFmtId="0" fontId="6" fillId="3" borderId="3" xfId="0" applyFont="1" applyFill="1" applyBorder="1"/>
    <xf numFmtId="0" fontId="5" fillId="3" borderId="3" xfId="0" applyFont="1" applyFill="1" applyBorder="1"/>
    <xf numFmtId="0" fontId="7" fillId="3" borderId="3" xfId="0" applyFont="1" applyFill="1" applyBorder="1"/>
    <xf numFmtId="0" fontId="7" fillId="0" borderId="3" xfId="0" applyFont="1" applyBorder="1"/>
    <xf numFmtId="0" fontId="7" fillId="2" borderId="3" xfId="0" applyFont="1" applyFill="1" applyBorder="1"/>
    <xf numFmtId="0" fontId="5" fillId="2" borderId="3" xfId="0" applyFont="1" applyFill="1" applyBorder="1"/>
    <xf numFmtId="0" fontId="18" fillId="2" borderId="3" xfId="0" applyFont="1" applyFill="1" applyBorder="1"/>
    <xf numFmtId="0" fontId="7" fillId="0" borderId="3" xfId="0" applyFont="1" applyFill="1" applyBorder="1"/>
    <xf numFmtId="0" fontId="5" fillId="0" borderId="3" xfId="0" applyFont="1" applyFill="1" applyBorder="1"/>
    <xf numFmtId="0" fontId="18" fillId="0" borderId="3" xfId="0" applyFont="1" applyBorder="1"/>
    <xf numFmtId="0" fontId="6" fillId="0" borderId="5" xfId="0" applyFont="1" applyBorder="1"/>
    <xf numFmtId="0" fontId="5" fillId="0" borderId="5" xfId="0" applyFont="1" applyBorder="1"/>
    <xf numFmtId="0" fontId="19" fillId="3" borderId="3" xfId="0" applyFont="1" applyFill="1" applyBorder="1"/>
    <xf numFmtId="0" fontId="2" fillId="3" borderId="3" xfId="0" applyFont="1" applyFill="1" applyBorder="1"/>
    <xf numFmtId="0" fontId="20" fillId="3" borderId="3" xfId="0" applyFont="1" applyFill="1" applyBorder="1"/>
    <xf numFmtId="0" fontId="19" fillId="3" borderId="5" xfId="0" applyFont="1" applyFill="1" applyBorder="1"/>
    <xf numFmtId="0" fontId="2" fillId="3" borderId="5" xfId="0" applyFont="1" applyFill="1" applyBorder="1"/>
    <xf numFmtId="0" fontId="2" fillId="3" borderId="9" xfId="0" applyFont="1" applyFill="1" applyBorder="1" applyAlignment="1">
      <alignment wrapText="1"/>
    </xf>
    <xf numFmtId="0" fontId="11" fillId="3" borderId="10" xfId="0" applyFont="1" applyFill="1" applyBorder="1" applyAlignment="1">
      <alignment horizontal="center"/>
    </xf>
    <xf numFmtId="0" fontId="11" fillId="3" borderId="10" xfId="0" applyFont="1" applyFill="1" applyBorder="1"/>
    <xf numFmtId="0" fontId="11" fillId="3" borderId="11" xfId="0" applyFont="1" applyFill="1" applyBorder="1"/>
    <xf numFmtId="0" fontId="2" fillId="3" borderId="10" xfId="0" applyFont="1" applyFill="1" applyBorder="1"/>
    <xf numFmtId="0" fontId="19" fillId="3" borderId="10" xfId="0" applyFont="1" applyFill="1" applyBorder="1" applyAlignment="1">
      <alignment horizontal="center"/>
    </xf>
    <xf numFmtId="0" fontId="19" fillId="3" borderId="10" xfId="0" applyFont="1" applyFill="1" applyBorder="1"/>
    <xf numFmtId="0" fontId="19" fillId="3" borderId="11" xfId="0" applyFont="1" applyFill="1" applyBorder="1"/>
    <xf numFmtId="0" fontId="10" fillId="3" borderId="12" xfId="0" applyFont="1" applyFill="1" applyBorder="1" applyAlignment="1">
      <alignment wrapText="1"/>
    </xf>
    <xf numFmtId="0" fontId="14" fillId="3" borderId="3" xfId="0" applyFont="1" applyFill="1" applyBorder="1" applyAlignment="1">
      <alignment horizontal="center" vertical="center" wrapText="1" shrinkToFit="1"/>
    </xf>
    <xf numFmtId="10" fontId="19" fillId="2" borderId="3" xfId="1" applyNumberFormat="1" applyFont="1" applyFill="1" applyBorder="1"/>
    <xf numFmtId="0" fontId="21" fillId="0" borderId="0" xfId="0" applyFont="1" applyBorder="1" applyAlignment="1">
      <alignment horizontal="left" wrapText="1"/>
    </xf>
    <xf numFmtId="0" fontId="22" fillId="0" borderId="0" xfId="0" applyFont="1" applyBorder="1"/>
    <xf numFmtId="191" fontId="22" fillId="0" borderId="0" xfId="0" applyNumberFormat="1" applyFont="1" applyBorder="1"/>
    <xf numFmtId="186" fontId="22" fillId="0" borderId="0" xfId="0" applyNumberFormat="1" applyFont="1" applyBorder="1"/>
    <xf numFmtId="0" fontId="22" fillId="0" borderId="0" xfId="0" applyFont="1"/>
    <xf numFmtId="0" fontId="22" fillId="0" borderId="3" xfId="0" applyFont="1" applyBorder="1"/>
    <xf numFmtId="0" fontId="22" fillId="0" borderId="0" xfId="0" applyFont="1" applyAlignment="1">
      <alignment horizontal="left" wrapText="1"/>
    </xf>
    <xf numFmtId="191" fontId="22" fillId="0" borderId="0" xfId="0" applyNumberFormat="1" applyFont="1"/>
    <xf numFmtId="186" fontId="22" fillId="0" borderId="0" xfId="0" applyNumberFormat="1" applyFont="1"/>
    <xf numFmtId="0" fontId="27" fillId="0" borderId="0" xfId="0" applyFont="1" applyAlignment="1">
      <alignment horizontal="left" wrapText="1"/>
    </xf>
    <xf numFmtId="0" fontId="12" fillId="0" borderId="13" xfId="0" applyFont="1" applyFill="1" applyBorder="1" applyAlignment="1">
      <alignment wrapText="1"/>
    </xf>
    <xf numFmtId="191" fontId="22" fillId="4" borderId="3" xfId="0" applyNumberFormat="1" applyFont="1" applyFill="1" applyBorder="1"/>
    <xf numFmtId="186" fontId="25" fillId="4" borderId="3" xfId="0" applyNumberFormat="1" applyFont="1" applyFill="1" applyBorder="1" applyAlignment="1">
      <alignment horizontal="center" vertical="center" wrapText="1"/>
    </xf>
    <xf numFmtId="191" fontId="3" fillId="0" borderId="0" xfId="0" applyNumberFormat="1" applyFont="1" applyBorder="1" applyAlignment="1">
      <alignment horizontal="right"/>
    </xf>
    <xf numFmtId="191" fontId="3" fillId="0" borderId="3" xfId="0" applyNumberFormat="1" applyFont="1" applyFill="1" applyBorder="1"/>
    <xf numFmtId="0" fontId="21" fillId="0" borderId="0" xfId="0" applyFont="1" applyBorder="1" applyAlignment="1">
      <alignment horizontal="right" vertical="center" wrapText="1"/>
    </xf>
    <xf numFmtId="0" fontId="22" fillId="0" borderId="3" xfId="0" applyFont="1" applyBorder="1" applyAlignment="1">
      <alignment wrapText="1"/>
    </xf>
    <xf numFmtId="3" fontId="24" fillId="0" borderId="0" xfId="0" applyNumberFormat="1" applyFont="1" applyBorder="1" applyAlignment="1">
      <alignment horizontal="left" vertical="center"/>
    </xf>
    <xf numFmtId="10" fontId="23" fillId="4" borderId="3" xfId="1" applyNumberFormat="1" applyFont="1" applyFill="1" applyBorder="1"/>
    <xf numFmtId="190" fontId="2" fillId="3" borderId="6" xfId="0" applyNumberFormat="1" applyFont="1" applyFill="1" applyBorder="1"/>
    <xf numFmtId="0" fontId="7" fillId="2" borderId="1" xfId="0" applyFont="1" applyFill="1" applyBorder="1"/>
    <xf numFmtId="0" fontId="25" fillId="4" borderId="3" xfId="0" applyFont="1" applyFill="1" applyBorder="1" applyAlignment="1">
      <alignment horizontal="center" vertical="center" wrapText="1"/>
    </xf>
    <xf numFmtId="191" fontId="23" fillId="0" borderId="3" xfId="0" applyNumberFormat="1" applyFont="1" applyFill="1" applyBorder="1"/>
    <xf numFmtId="0" fontId="24" fillId="4" borderId="3" xfId="0" applyFont="1" applyFill="1" applyBorder="1" applyAlignment="1">
      <alignment horizontal="left" vertical="center" wrapText="1"/>
    </xf>
    <xf numFmtId="0" fontId="31" fillId="3" borderId="3" xfId="0" applyFont="1" applyFill="1" applyBorder="1" applyAlignment="1">
      <alignment horizontal="left"/>
    </xf>
    <xf numFmtId="0" fontId="27" fillId="3" borderId="3" xfId="0" applyFont="1" applyFill="1" applyBorder="1" applyAlignment="1"/>
    <xf numFmtId="191" fontId="22" fillId="4" borderId="3" xfId="0" applyNumberFormat="1" applyFont="1" applyFill="1" applyBorder="1" applyAlignment="1"/>
    <xf numFmtId="0" fontId="27" fillId="0" borderId="3" xfId="0" applyFont="1" applyBorder="1" applyAlignment="1">
      <alignment horizontal="left" wrapText="1"/>
    </xf>
    <xf numFmtId="0" fontId="24" fillId="3" borderId="3" xfId="0" applyFont="1" applyFill="1" applyBorder="1" applyAlignment="1">
      <alignment horizontal="left" wrapText="1"/>
    </xf>
    <xf numFmtId="191" fontId="10" fillId="4" borderId="3" xfId="0" applyNumberFormat="1" applyFont="1" applyFill="1" applyBorder="1"/>
    <xf numFmtId="191" fontId="23" fillId="4" borderId="3" xfId="0" applyNumberFormat="1" applyFont="1" applyFill="1" applyBorder="1"/>
    <xf numFmtId="0" fontId="31" fillId="3" borderId="3" xfId="0" applyFont="1" applyFill="1" applyBorder="1" applyAlignment="1">
      <alignment horizontal="left" wrapText="1"/>
    </xf>
    <xf numFmtId="0" fontId="22" fillId="3" borderId="3" xfId="0" applyFont="1" applyFill="1" applyBorder="1"/>
    <xf numFmtId="0" fontId="26" fillId="3" borderId="3" xfId="0" applyFont="1" applyFill="1" applyBorder="1" applyAlignment="1">
      <alignment horizontal="left" wrapText="1"/>
    </xf>
    <xf numFmtId="0" fontId="22" fillId="0" borderId="3" xfId="0" applyFont="1" applyBorder="1" applyAlignment="1">
      <alignment horizontal="left"/>
    </xf>
    <xf numFmtId="0" fontId="2" fillId="3" borderId="3" xfId="0" applyFont="1" applyFill="1" applyBorder="1" applyAlignment="1">
      <alignment horizontal="left" vertical="center" wrapText="1"/>
    </xf>
    <xf numFmtId="192" fontId="21" fillId="4" borderId="3" xfId="1" applyNumberFormat="1" applyFont="1" applyFill="1" applyBorder="1"/>
    <xf numFmtId="10" fontId="21" fillId="4" borderId="3" xfId="1" applyNumberFormat="1" applyFont="1" applyFill="1" applyBorder="1"/>
    <xf numFmtId="0" fontId="12" fillId="0" borderId="2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8" fillId="4" borderId="3" xfId="0" applyFont="1" applyFill="1" applyBorder="1"/>
    <xf numFmtId="10" fontId="18" fillId="4" borderId="3" xfId="1" applyNumberFormat="1" applyFont="1" applyFill="1" applyBorder="1"/>
    <xf numFmtId="190" fontId="7" fillId="4" borderId="3" xfId="0" applyNumberFormat="1" applyFont="1" applyFill="1" applyBorder="1"/>
    <xf numFmtId="10" fontId="8" fillId="4" borderId="3" xfId="1" applyNumberFormat="1" applyFont="1" applyFill="1" applyBorder="1"/>
    <xf numFmtId="0" fontId="5" fillId="2" borderId="5" xfId="0" applyFont="1" applyFill="1" applyBorder="1"/>
    <xf numFmtId="0" fontId="18" fillId="2" borderId="5" xfId="0" applyFont="1" applyFill="1" applyBorder="1"/>
    <xf numFmtId="0" fontId="12" fillId="0" borderId="13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wrapText="1"/>
    </xf>
    <xf numFmtId="10" fontId="24" fillId="4" borderId="3" xfId="1" applyNumberFormat="1" applyFont="1" applyFill="1" applyBorder="1"/>
    <xf numFmtId="10" fontId="12" fillId="0" borderId="3" xfId="1" applyNumberFormat="1" applyFont="1" applyBorder="1" applyAlignment="1">
      <alignment wrapText="1"/>
    </xf>
    <xf numFmtId="9" fontId="14" fillId="3" borderId="3" xfId="1" applyFont="1" applyFill="1" applyBorder="1" applyAlignment="1">
      <alignment wrapText="1"/>
    </xf>
    <xf numFmtId="190" fontId="10" fillId="3" borderId="11" xfId="0" applyNumberFormat="1" applyFont="1" applyFill="1" applyBorder="1"/>
    <xf numFmtId="0" fontId="14" fillId="3" borderId="3" xfId="0" applyFont="1" applyFill="1" applyBorder="1" applyAlignment="1">
      <alignment wrapText="1"/>
    </xf>
    <xf numFmtId="0" fontId="12" fillId="0" borderId="3" xfId="0" applyFont="1" applyFill="1" applyBorder="1" applyAlignment="1">
      <alignment horizontal="center"/>
    </xf>
    <xf numFmtId="0" fontId="6" fillId="0" borderId="3" xfId="0" applyFont="1" applyFill="1" applyBorder="1"/>
    <xf numFmtId="0" fontId="12" fillId="0" borderId="2" xfId="0" applyNumberFormat="1" applyFont="1" applyFill="1" applyBorder="1" applyAlignment="1">
      <alignment wrapText="1"/>
    </xf>
    <xf numFmtId="190" fontId="5" fillId="0" borderId="6" xfId="0" applyNumberFormat="1" applyFont="1" applyBorder="1"/>
    <xf numFmtId="10" fontId="4" fillId="0" borderId="6" xfId="1" applyNumberFormat="1" applyFont="1" applyBorder="1"/>
    <xf numFmtId="190" fontId="6" fillId="0" borderId="6" xfId="0" applyNumberFormat="1" applyFont="1" applyBorder="1"/>
    <xf numFmtId="10" fontId="33" fillId="4" borderId="3" xfId="1" applyNumberFormat="1" applyFont="1" applyFill="1" applyBorder="1"/>
    <xf numFmtId="10" fontId="33" fillId="4" borderId="5" xfId="1" applyNumberFormat="1" applyFont="1" applyFill="1" applyBorder="1"/>
    <xf numFmtId="190" fontId="10" fillId="3" borderId="6" xfId="0" applyNumberFormat="1" applyFont="1" applyFill="1" applyBorder="1"/>
    <xf numFmtId="0" fontId="2" fillId="3" borderId="6" xfId="0" applyFont="1" applyFill="1" applyBorder="1"/>
    <xf numFmtId="0" fontId="14" fillId="3" borderId="5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4" fillId="3" borderId="10" xfId="0" applyFont="1" applyFill="1" applyBorder="1" applyAlignment="1">
      <alignment wrapText="1"/>
    </xf>
    <xf numFmtId="191" fontId="22" fillId="0" borderId="14" xfId="0" applyNumberFormat="1" applyFont="1" applyBorder="1"/>
    <xf numFmtId="186" fontId="22" fillId="0" borderId="14" xfId="0" applyNumberFormat="1" applyFont="1" applyBorder="1"/>
    <xf numFmtId="0" fontId="4" fillId="0" borderId="14" xfId="0" applyFont="1" applyBorder="1"/>
    <xf numFmtId="0" fontId="12" fillId="0" borderId="14" xfId="0" applyFont="1" applyBorder="1" applyAlignment="1">
      <alignment wrapText="1"/>
    </xf>
    <xf numFmtId="0" fontId="3" fillId="0" borderId="0" xfId="0" applyFont="1" applyAlignment="1">
      <alignment wrapText="1"/>
    </xf>
    <xf numFmtId="190" fontId="7" fillId="4" borderId="5" xfId="0" applyNumberFormat="1" applyFont="1" applyFill="1" applyBorder="1"/>
    <xf numFmtId="190" fontId="2" fillId="3" borderId="5" xfId="0" applyNumberFormat="1" applyFont="1" applyFill="1" applyBorder="1"/>
    <xf numFmtId="190" fontId="2" fillId="3" borderId="3" xfId="0" applyNumberFormat="1" applyFont="1" applyFill="1" applyBorder="1"/>
    <xf numFmtId="10" fontId="18" fillId="2" borderId="3" xfId="1" applyNumberFormat="1" applyFont="1" applyFill="1" applyBorder="1"/>
    <xf numFmtId="192" fontId="10" fillId="4" borderId="3" xfId="0" applyNumberFormat="1" applyFont="1" applyFill="1" applyBorder="1"/>
    <xf numFmtId="3" fontId="3" fillId="0" borderId="3" xfId="0" applyNumberFormat="1" applyFont="1" applyFill="1" applyBorder="1"/>
    <xf numFmtId="3" fontId="24" fillId="4" borderId="3" xfId="0" applyNumberFormat="1" applyFont="1" applyFill="1" applyBorder="1" applyAlignment="1">
      <alignment horizontal="left" vertical="center" wrapText="1"/>
    </xf>
    <xf numFmtId="3" fontId="4" fillId="4" borderId="3" xfId="0" applyNumberFormat="1" applyFont="1" applyFill="1" applyBorder="1" applyAlignment="1"/>
    <xf numFmtId="3" fontId="3" fillId="0" borderId="3" xfId="0" applyNumberFormat="1" applyFont="1" applyBorder="1"/>
    <xf numFmtId="3" fontId="8" fillId="4" borderId="3" xfId="0" applyNumberFormat="1" applyFont="1" applyFill="1" applyBorder="1" applyAlignment="1">
      <alignment horizontal="left" vertical="center"/>
    </xf>
    <xf numFmtId="3" fontId="4" fillId="4" borderId="3" xfId="0" applyNumberFormat="1" applyFont="1" applyFill="1" applyBorder="1"/>
    <xf numFmtId="193" fontId="10" fillId="4" borderId="3" xfId="0" applyNumberFormat="1" applyFont="1" applyFill="1" applyBorder="1"/>
    <xf numFmtId="193" fontId="21" fillId="4" borderId="3" xfId="1" applyNumberFormat="1" applyFont="1" applyFill="1" applyBorder="1"/>
    <xf numFmtId="10" fontId="24" fillId="4" borderId="3" xfId="0" applyNumberFormat="1" applyFont="1" applyFill="1" applyBorder="1"/>
    <xf numFmtId="10" fontId="24" fillId="4" borderId="3" xfId="0" applyNumberFormat="1" applyFont="1" applyFill="1" applyBorder="1" applyAlignment="1">
      <alignment horizontal="left" vertical="center" wrapText="1"/>
    </xf>
    <xf numFmtId="10" fontId="23" fillId="4" borderId="3" xfId="0" applyNumberFormat="1" applyFont="1" applyFill="1" applyBorder="1" applyAlignment="1"/>
    <xf numFmtId="10" fontId="23" fillId="4" borderId="3" xfId="0" applyNumberFormat="1" applyFont="1" applyFill="1" applyBorder="1"/>
    <xf numFmtId="0" fontId="3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center" wrapText="1"/>
    </xf>
    <xf numFmtId="0" fontId="3" fillId="0" borderId="0" xfId="0" applyFont="1" applyFill="1" applyBorder="1" applyAlignment="1">
      <alignment horizontal="right" vertical="center"/>
    </xf>
    <xf numFmtId="0" fontId="12" fillId="0" borderId="15" xfId="0" applyFont="1" applyFill="1" applyBorder="1" applyAlignment="1">
      <alignment horizontal="left" wrapText="1"/>
    </xf>
    <xf numFmtId="0" fontId="12" fillId="0" borderId="16" xfId="0" applyFont="1" applyFill="1" applyBorder="1" applyAlignment="1">
      <alignment horizontal="left" wrapText="1"/>
    </xf>
    <xf numFmtId="0" fontId="12" fillId="0" borderId="17" xfId="0" applyFont="1" applyFill="1" applyBorder="1" applyAlignment="1">
      <alignment horizontal="left" wrapText="1"/>
    </xf>
    <xf numFmtId="0" fontId="3" fillId="0" borderId="13" xfId="0" applyFont="1" applyFill="1" applyBorder="1" applyAlignment="1">
      <alignment horizontal="left" vertical="center" wrapText="1"/>
    </xf>
    <xf numFmtId="0" fontId="32" fillId="0" borderId="13" xfId="0" applyFont="1" applyBorder="1" applyAlignment="1">
      <alignment vertical="center" wrapText="1"/>
    </xf>
    <xf numFmtId="0" fontId="21" fillId="0" borderId="0" xfId="0" applyFont="1" applyBorder="1" applyAlignment="1">
      <alignment horizontal="left" wrapText="1"/>
    </xf>
    <xf numFmtId="0" fontId="24" fillId="3" borderId="3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191" fontId="27" fillId="0" borderId="18" xfId="0" applyNumberFormat="1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191" fontId="3" fillId="0" borderId="13" xfId="0" applyNumberFormat="1" applyFont="1" applyBorder="1" applyAlignment="1">
      <alignment horizontal="center"/>
    </xf>
    <xf numFmtId="0" fontId="29" fillId="0" borderId="0" xfId="0" applyFont="1" applyAlignment="1">
      <alignment horizontal="left" wrapText="1"/>
    </xf>
    <xf numFmtId="0" fontId="27" fillId="0" borderId="0" xfId="0" applyFont="1" applyAlignment="1">
      <alignment horizontal="left" wrapText="1"/>
    </xf>
    <xf numFmtId="0" fontId="28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8"/>
  <sheetViews>
    <sheetView tabSelected="1" view="pageBreakPreview" zoomScaleNormal="75" zoomScaleSheetLayoutView="7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796875" defaultRowHeight="13" x14ac:dyDescent="0.3"/>
  <cols>
    <col min="1" max="1" width="63.81640625" style="16" customWidth="1"/>
    <col min="2" max="2" width="8.26953125" style="2" bestFit="1" customWidth="1"/>
    <col min="3" max="3" width="8.1796875" style="2" bestFit="1" customWidth="1"/>
    <col min="4" max="4" width="11.453125" style="2" bestFit="1" customWidth="1"/>
    <col min="5" max="5" width="13.453125" style="46" customWidth="1"/>
    <col min="6" max="6" width="13.453125" style="46" bestFit="1" customWidth="1"/>
    <col min="7" max="7" width="10.453125" style="2" bestFit="1" customWidth="1"/>
    <col min="8" max="8" width="11.1796875" style="2" bestFit="1" customWidth="1"/>
    <col min="9" max="9" width="45.7265625" style="39" customWidth="1"/>
    <col min="10" max="10" width="11.26953125" style="2" customWidth="1"/>
    <col min="11" max="11" width="15.54296875" style="2" customWidth="1"/>
    <col min="12" max="16384" width="9.1796875" style="2"/>
  </cols>
  <sheetData>
    <row r="1" spans="1:12" s="17" customFormat="1" ht="15.5" x14ac:dyDescent="0.25">
      <c r="A1" s="179" t="s">
        <v>90</v>
      </c>
      <c r="B1" s="18"/>
      <c r="C1" s="18"/>
      <c r="D1" s="18"/>
      <c r="E1" s="18"/>
      <c r="F1" s="18"/>
      <c r="G1" s="3"/>
      <c r="H1" s="19" t="s">
        <v>54</v>
      </c>
      <c r="I1" s="136"/>
    </row>
    <row r="2" spans="1:12" ht="18" customHeight="1" x14ac:dyDescent="0.25">
      <c r="A2" s="19" t="s">
        <v>46</v>
      </c>
      <c r="B2" s="185" t="s">
        <v>48</v>
      </c>
      <c r="C2" s="185"/>
      <c r="D2" s="185"/>
      <c r="E2" s="186"/>
      <c r="F2" s="181" t="s">
        <v>82</v>
      </c>
      <c r="G2" s="181"/>
      <c r="H2" s="181"/>
      <c r="I2" s="90"/>
    </row>
    <row r="3" spans="1:12" ht="18" customHeight="1" x14ac:dyDescent="0.25">
      <c r="A3" s="20" t="s">
        <v>47</v>
      </c>
      <c r="B3" s="185"/>
      <c r="C3" s="185"/>
      <c r="D3" s="185"/>
      <c r="E3" s="3"/>
      <c r="F3" s="181" t="s">
        <v>83</v>
      </c>
      <c r="G3" s="181"/>
      <c r="H3" s="181"/>
      <c r="I3" s="178" t="s">
        <v>48</v>
      </c>
      <c r="J3" s="178"/>
      <c r="K3" s="178"/>
      <c r="L3" s="178"/>
    </row>
    <row r="4" spans="1:12" ht="8.25" customHeight="1" x14ac:dyDescent="0.25">
      <c r="A4" s="4"/>
      <c r="B4" s="3"/>
      <c r="C4" s="3"/>
      <c r="D4" s="3"/>
      <c r="E4" s="3"/>
      <c r="F4" s="3"/>
      <c r="G4" s="3"/>
      <c r="H4" s="3"/>
      <c r="I4" s="29"/>
    </row>
    <row r="5" spans="1:12" s="5" customFormat="1" ht="21" x14ac:dyDescent="0.25">
      <c r="A5" s="45" t="s">
        <v>3</v>
      </c>
      <c r="B5" s="41" t="s">
        <v>0</v>
      </c>
      <c r="C5" s="40" t="s">
        <v>37</v>
      </c>
      <c r="D5" s="40" t="s">
        <v>45</v>
      </c>
      <c r="E5" s="40" t="s">
        <v>1</v>
      </c>
      <c r="F5" s="40" t="s">
        <v>2</v>
      </c>
      <c r="G5" s="42" t="s">
        <v>73</v>
      </c>
      <c r="H5" s="42" t="s">
        <v>74</v>
      </c>
      <c r="I5" s="78" t="s">
        <v>65</v>
      </c>
    </row>
    <row r="6" spans="1:12" ht="15" customHeight="1" x14ac:dyDescent="0.3">
      <c r="A6" s="77" t="s">
        <v>4</v>
      </c>
      <c r="B6" s="120"/>
      <c r="C6" s="6"/>
      <c r="D6" s="6"/>
      <c r="E6" s="6"/>
      <c r="F6" s="7"/>
      <c r="G6" s="100"/>
      <c r="H6" s="43"/>
      <c r="I6" s="30"/>
    </row>
    <row r="7" spans="1:12" x14ac:dyDescent="0.3">
      <c r="A7" s="47" t="s">
        <v>5</v>
      </c>
      <c r="B7" s="121"/>
      <c r="C7" s="26"/>
      <c r="D7" s="26"/>
      <c r="E7" s="48"/>
      <c r="F7" s="9"/>
      <c r="G7" s="58"/>
      <c r="H7" s="44"/>
      <c r="I7" s="31"/>
    </row>
    <row r="8" spans="1:12" x14ac:dyDescent="0.3">
      <c r="A8" s="118" t="s">
        <v>6</v>
      </c>
      <c r="B8" s="122" t="s">
        <v>38</v>
      </c>
      <c r="C8" s="50">
        <v>0</v>
      </c>
      <c r="D8" s="50">
        <v>0</v>
      </c>
      <c r="E8" s="53">
        <f>C8*D8</f>
        <v>0</v>
      </c>
      <c r="F8" s="53">
        <v>0</v>
      </c>
      <c r="G8" s="130">
        <f>F8-E8</f>
        <v>0</v>
      </c>
      <c r="H8" s="131" t="e">
        <f>G8/E19</f>
        <v>#DIV/0!</v>
      </c>
      <c r="I8" s="139" t="s">
        <v>48</v>
      </c>
    </row>
    <row r="9" spans="1:12" ht="15" customHeight="1" x14ac:dyDescent="0.3">
      <c r="A9" s="118" t="s">
        <v>64</v>
      </c>
      <c r="B9" s="122" t="s">
        <v>38</v>
      </c>
      <c r="C9" s="50">
        <v>0</v>
      </c>
      <c r="D9" s="50">
        <v>0</v>
      </c>
      <c r="E9" s="53">
        <f>C9*D9</f>
        <v>0</v>
      </c>
      <c r="F9" s="53">
        <v>0</v>
      </c>
      <c r="G9" s="130">
        <f>F9-E9</f>
        <v>0</v>
      </c>
      <c r="H9" s="131" t="e">
        <f>G9/E19</f>
        <v>#DIV/0!</v>
      </c>
      <c r="I9" s="31"/>
    </row>
    <row r="10" spans="1:12" ht="15" customHeight="1" x14ac:dyDescent="0.3">
      <c r="A10" s="118" t="s">
        <v>7</v>
      </c>
      <c r="B10" s="122" t="s">
        <v>38</v>
      </c>
      <c r="C10" s="50">
        <v>0</v>
      </c>
      <c r="D10" s="50">
        <v>0</v>
      </c>
      <c r="E10" s="53">
        <f t="shared" ref="E10:E18" si="0">C10*D10</f>
        <v>0</v>
      </c>
      <c r="F10" s="53">
        <v>0</v>
      </c>
      <c r="G10" s="130">
        <f>F10-E10</f>
        <v>0</v>
      </c>
      <c r="H10" s="131" t="e">
        <f>G10/E19</f>
        <v>#DIV/0!</v>
      </c>
      <c r="I10" s="31" t="s">
        <v>48</v>
      </c>
    </row>
    <row r="11" spans="1:12" x14ac:dyDescent="0.3">
      <c r="A11" s="47" t="s">
        <v>8</v>
      </c>
      <c r="B11" s="121" t="s">
        <v>48</v>
      </c>
      <c r="C11" s="52" t="s">
        <v>48</v>
      </c>
      <c r="D11" s="52" t="s">
        <v>48</v>
      </c>
      <c r="E11" s="53" t="s">
        <v>48</v>
      </c>
      <c r="F11" s="53" t="s">
        <v>48</v>
      </c>
      <c r="G11" s="58" t="s">
        <v>48</v>
      </c>
      <c r="H11" s="164" t="s">
        <v>48</v>
      </c>
      <c r="I11" s="31"/>
    </row>
    <row r="12" spans="1:12" ht="15" customHeight="1" x14ac:dyDescent="0.3">
      <c r="A12" s="145" t="s">
        <v>49</v>
      </c>
      <c r="B12" s="143" t="s">
        <v>38</v>
      </c>
      <c r="C12" s="144">
        <v>0</v>
      </c>
      <c r="D12" s="144">
        <v>0</v>
      </c>
      <c r="E12" s="53">
        <f>C12*D12</f>
        <v>0</v>
      </c>
      <c r="F12" s="53">
        <v>0</v>
      </c>
      <c r="G12" s="130">
        <f>F12-E12</f>
        <v>0</v>
      </c>
      <c r="H12" s="131" t="e">
        <f>F12/E19</f>
        <v>#DIV/0!</v>
      </c>
      <c r="I12" s="31"/>
    </row>
    <row r="13" spans="1:12" ht="15" customHeight="1" x14ac:dyDescent="0.3">
      <c r="A13" s="145" t="s">
        <v>50</v>
      </c>
      <c r="B13" s="143" t="s">
        <v>38</v>
      </c>
      <c r="C13" s="144">
        <v>0</v>
      </c>
      <c r="D13" s="144">
        <v>0</v>
      </c>
      <c r="E13" s="53">
        <f>C13*D13</f>
        <v>0</v>
      </c>
      <c r="F13" s="53">
        <v>0</v>
      </c>
      <c r="G13" s="130">
        <f>F13-E13</f>
        <v>0</v>
      </c>
      <c r="H13" s="131" t="e">
        <f>F13/E19</f>
        <v>#DIV/0!</v>
      </c>
      <c r="I13" s="31"/>
    </row>
    <row r="14" spans="1:12" ht="15" customHeight="1" x14ac:dyDescent="0.3">
      <c r="A14" s="145" t="s">
        <v>50</v>
      </c>
      <c r="B14" s="143" t="s">
        <v>38</v>
      </c>
      <c r="C14" s="144">
        <v>0</v>
      </c>
      <c r="D14" s="144">
        <v>0</v>
      </c>
      <c r="E14" s="53">
        <f>C14*D14</f>
        <v>0</v>
      </c>
      <c r="F14" s="53">
        <v>0</v>
      </c>
      <c r="G14" s="130">
        <f>F14-E14</f>
        <v>0</v>
      </c>
      <c r="H14" s="131" t="e">
        <f>F14/E19</f>
        <v>#DIV/0!</v>
      </c>
      <c r="I14" s="31"/>
    </row>
    <row r="15" spans="1:12" ht="15" customHeight="1" x14ac:dyDescent="0.3">
      <c r="A15" s="47" t="s">
        <v>43</v>
      </c>
      <c r="B15" s="121"/>
      <c r="C15" s="52"/>
      <c r="D15" s="52"/>
      <c r="E15" s="53" t="s">
        <v>48</v>
      </c>
      <c r="F15" s="53" t="s">
        <v>48</v>
      </c>
      <c r="G15" s="58" t="s">
        <v>48</v>
      </c>
      <c r="H15" s="164" t="s">
        <v>48</v>
      </c>
      <c r="I15" s="31"/>
    </row>
    <row r="16" spans="1:12" x14ac:dyDescent="0.3">
      <c r="A16" s="118" t="s">
        <v>9</v>
      </c>
      <c r="B16" s="122" t="s">
        <v>39</v>
      </c>
      <c r="C16" s="50">
        <v>0</v>
      </c>
      <c r="D16" s="50">
        <v>0</v>
      </c>
      <c r="E16" s="53">
        <f t="shared" si="0"/>
        <v>0</v>
      </c>
      <c r="F16" s="53">
        <v>0</v>
      </c>
      <c r="G16" s="130">
        <f>F16-E16</f>
        <v>0</v>
      </c>
      <c r="H16" s="131" t="e">
        <f>G16/E19</f>
        <v>#DIV/0!</v>
      </c>
      <c r="I16" s="31"/>
    </row>
    <row r="17" spans="1:9" x14ac:dyDescent="0.3">
      <c r="A17" s="118" t="s">
        <v>10</v>
      </c>
      <c r="B17" s="122" t="s">
        <v>39</v>
      </c>
      <c r="C17" s="50">
        <v>0</v>
      </c>
      <c r="D17" s="50">
        <v>0</v>
      </c>
      <c r="E17" s="53">
        <f t="shared" si="0"/>
        <v>0</v>
      </c>
      <c r="F17" s="53">
        <v>0</v>
      </c>
      <c r="G17" s="130">
        <f>F17-E17</f>
        <v>0</v>
      </c>
      <c r="H17" s="131" t="e">
        <f>G17/E19</f>
        <v>#DIV/0!</v>
      </c>
      <c r="I17" s="31"/>
    </row>
    <row r="18" spans="1:9" ht="15" customHeight="1" x14ac:dyDescent="0.3">
      <c r="A18" s="118" t="s">
        <v>11</v>
      </c>
      <c r="B18" s="122" t="s">
        <v>39</v>
      </c>
      <c r="C18" s="50"/>
      <c r="D18" s="50"/>
      <c r="E18" s="53">
        <f t="shared" si="0"/>
        <v>0</v>
      </c>
      <c r="F18" s="53">
        <v>0</v>
      </c>
      <c r="G18" s="130">
        <f>F18-E18</f>
        <v>0</v>
      </c>
      <c r="H18" s="131" t="e">
        <f>G18/E19</f>
        <v>#DIV/0!</v>
      </c>
      <c r="I18" s="31"/>
    </row>
    <row r="19" spans="1:9" s="28" customFormat="1" ht="15.5" x14ac:dyDescent="0.35">
      <c r="A19" s="137" t="s">
        <v>12</v>
      </c>
      <c r="B19" s="123"/>
      <c r="C19" s="64"/>
      <c r="D19" s="65"/>
      <c r="E19" s="65">
        <f>SUM(E8:E18)</f>
        <v>0</v>
      </c>
      <c r="F19" s="163">
        <f>SUM(F8:F18)</f>
        <v>0</v>
      </c>
      <c r="G19" s="132">
        <f>SUM(G8:G18)</f>
        <v>0</v>
      </c>
      <c r="H19" s="149" t="e">
        <f>G19/E19</f>
        <v>#DIV/0!</v>
      </c>
      <c r="I19" s="140" t="s">
        <v>48</v>
      </c>
    </row>
    <row r="20" spans="1:9" ht="15" customHeight="1" x14ac:dyDescent="0.35">
      <c r="A20" s="10"/>
      <c r="B20" s="124"/>
      <c r="C20" s="55"/>
      <c r="D20" s="55"/>
      <c r="E20" s="56"/>
      <c r="F20" s="56"/>
      <c r="G20" s="56"/>
      <c r="H20" s="79" t="s">
        <v>48</v>
      </c>
      <c r="I20" s="32"/>
    </row>
    <row r="21" spans="1:9" ht="15" customHeight="1" x14ac:dyDescent="0.35">
      <c r="A21" s="49" t="s">
        <v>13</v>
      </c>
      <c r="B21" s="125"/>
      <c r="C21" s="51"/>
      <c r="D21" s="51"/>
      <c r="E21" s="57"/>
      <c r="F21" s="57"/>
      <c r="G21" s="56"/>
      <c r="H21" s="79" t="s">
        <v>48</v>
      </c>
      <c r="I21" s="33"/>
    </row>
    <row r="22" spans="1:9" ht="15" customHeight="1" x14ac:dyDescent="0.3">
      <c r="A22" s="118" t="s">
        <v>14</v>
      </c>
      <c r="B22" s="122" t="s">
        <v>40</v>
      </c>
      <c r="C22" s="50">
        <v>0</v>
      </c>
      <c r="D22" s="50">
        <v>0</v>
      </c>
      <c r="E22" s="53">
        <f>C22*D22</f>
        <v>0</v>
      </c>
      <c r="F22" s="53">
        <v>0</v>
      </c>
      <c r="G22" s="130">
        <f>F22-E22</f>
        <v>0</v>
      </c>
      <c r="H22" s="133" t="e">
        <f>G22/E24</f>
        <v>#DIV/0!</v>
      </c>
      <c r="I22" s="31"/>
    </row>
    <row r="23" spans="1:9" ht="15" customHeight="1" x14ac:dyDescent="0.3">
      <c r="A23" s="118" t="s">
        <v>66</v>
      </c>
      <c r="B23" s="122" t="s">
        <v>38</v>
      </c>
      <c r="C23" s="50">
        <v>0</v>
      </c>
      <c r="D23" s="50">
        <v>0</v>
      </c>
      <c r="E23" s="53">
        <f>C23*D23</f>
        <v>0</v>
      </c>
      <c r="F23" s="53">
        <v>0</v>
      </c>
      <c r="G23" s="130">
        <f>F23-E23</f>
        <v>0</v>
      </c>
      <c r="H23" s="133" t="e">
        <f>G23/F24</f>
        <v>#DIV/0!</v>
      </c>
      <c r="I23" s="31"/>
    </row>
    <row r="24" spans="1:9" s="28" customFormat="1" ht="15" customHeight="1" x14ac:dyDescent="0.35">
      <c r="A24" s="137" t="s">
        <v>67</v>
      </c>
      <c r="B24" s="123"/>
      <c r="C24" s="64"/>
      <c r="D24" s="64"/>
      <c r="E24" s="65">
        <f>SUM(E22:E23)</f>
        <v>0</v>
      </c>
      <c r="F24" s="163">
        <f>SUM(F22:F23)</f>
        <v>0</v>
      </c>
      <c r="G24" s="132">
        <f>SUM(G22:G23)</f>
        <v>0</v>
      </c>
      <c r="H24" s="149" t="e">
        <f>G24/E24</f>
        <v>#DIV/0!</v>
      </c>
      <c r="I24" s="142"/>
    </row>
    <row r="25" spans="1:9" ht="15" customHeight="1" x14ac:dyDescent="0.3">
      <c r="A25" s="8"/>
      <c r="B25" s="122"/>
      <c r="C25" s="50"/>
      <c r="D25" s="50"/>
      <c r="E25" s="57"/>
      <c r="F25" s="57"/>
      <c r="G25" s="58"/>
      <c r="H25" s="58"/>
      <c r="I25" s="31"/>
    </row>
    <row r="26" spans="1:9" ht="15" customHeight="1" x14ac:dyDescent="0.3">
      <c r="A26" s="49" t="s">
        <v>15</v>
      </c>
      <c r="B26" s="125"/>
      <c r="C26" s="51"/>
      <c r="D26" s="51"/>
      <c r="E26" s="57"/>
      <c r="F26" s="57"/>
      <c r="G26" s="56"/>
      <c r="H26" s="56"/>
      <c r="I26" s="33"/>
    </row>
    <row r="27" spans="1:9" ht="15" customHeight="1" x14ac:dyDescent="0.3">
      <c r="A27" s="118" t="s">
        <v>16</v>
      </c>
      <c r="B27" s="122" t="s">
        <v>41</v>
      </c>
      <c r="C27" s="50">
        <v>0</v>
      </c>
      <c r="D27" s="50">
        <v>0</v>
      </c>
      <c r="E27" s="53">
        <f>C27*D27</f>
        <v>0</v>
      </c>
      <c r="F27" s="53">
        <v>0</v>
      </c>
      <c r="G27" s="130">
        <f>F27-E27</f>
        <v>0</v>
      </c>
      <c r="H27" s="131" t="e">
        <f>G27/E31</f>
        <v>#DIV/0!</v>
      </c>
      <c r="I27" s="31"/>
    </row>
    <row r="28" spans="1:9" ht="15" customHeight="1" x14ac:dyDescent="0.3">
      <c r="A28" s="118" t="s">
        <v>17</v>
      </c>
      <c r="B28" s="122" t="s">
        <v>70</v>
      </c>
      <c r="C28" s="50">
        <v>0</v>
      </c>
      <c r="D28" s="50">
        <v>0</v>
      </c>
      <c r="E28" s="53">
        <f>C28*D28</f>
        <v>0</v>
      </c>
      <c r="F28" s="53">
        <v>0</v>
      </c>
      <c r="G28" s="130">
        <f>F28-E28</f>
        <v>0</v>
      </c>
      <c r="H28" s="131" t="e">
        <f>G28/E31</f>
        <v>#DIV/0!</v>
      </c>
      <c r="I28" s="31"/>
    </row>
    <row r="29" spans="1:9" ht="15" customHeight="1" x14ac:dyDescent="0.3">
      <c r="A29" s="118" t="s">
        <v>18</v>
      </c>
      <c r="B29" s="122"/>
      <c r="C29" s="50"/>
      <c r="D29" s="50"/>
      <c r="E29" s="53">
        <f>C29*D29</f>
        <v>0</v>
      </c>
      <c r="F29" s="53">
        <v>0</v>
      </c>
      <c r="G29" s="130">
        <f>F29-E29</f>
        <v>0</v>
      </c>
      <c r="H29" s="131" t="e">
        <f>G29/E31</f>
        <v>#DIV/0!</v>
      </c>
      <c r="I29" s="31"/>
    </row>
    <row r="30" spans="1:9" ht="15" customHeight="1" x14ac:dyDescent="0.3">
      <c r="A30" s="118" t="s">
        <v>19</v>
      </c>
      <c r="B30" s="122"/>
      <c r="C30" s="50"/>
      <c r="D30" s="50"/>
      <c r="E30" s="53">
        <f>C30*D30</f>
        <v>0</v>
      </c>
      <c r="F30" s="53">
        <v>0</v>
      </c>
      <c r="G30" s="130">
        <f>F30-E30</f>
        <v>0</v>
      </c>
      <c r="H30" s="131" t="e">
        <f>G30/E31</f>
        <v>#DIV/0!</v>
      </c>
      <c r="I30" s="31"/>
    </row>
    <row r="31" spans="1:9" s="28" customFormat="1" ht="15" customHeight="1" x14ac:dyDescent="0.35">
      <c r="A31" s="137" t="s">
        <v>71</v>
      </c>
      <c r="B31" s="123"/>
      <c r="C31" s="64"/>
      <c r="D31" s="64"/>
      <c r="E31" s="65">
        <f>SUM(E27:E30)</f>
        <v>0</v>
      </c>
      <c r="F31" s="163">
        <f>SUM(F27:F30)</f>
        <v>0</v>
      </c>
      <c r="G31" s="132">
        <f>SUM(G27:G30)</f>
        <v>0</v>
      </c>
      <c r="H31" s="149" t="e">
        <f>G31/E31</f>
        <v>#DIV/0!</v>
      </c>
      <c r="I31" s="142"/>
    </row>
    <row r="32" spans="1:9" ht="15" customHeight="1" x14ac:dyDescent="0.3">
      <c r="A32" s="8"/>
      <c r="B32" s="122"/>
      <c r="C32" s="50"/>
      <c r="D32" s="50"/>
      <c r="E32" s="57"/>
      <c r="F32" s="57"/>
      <c r="G32" s="58"/>
      <c r="H32" s="58"/>
      <c r="I32" s="31"/>
    </row>
    <row r="33" spans="1:9" ht="15" customHeight="1" x14ac:dyDescent="0.3">
      <c r="A33" s="49" t="s">
        <v>20</v>
      </c>
      <c r="B33" s="122"/>
      <c r="C33" s="50"/>
      <c r="D33" s="50"/>
      <c r="E33" s="57"/>
      <c r="F33" s="57"/>
      <c r="G33" s="58"/>
      <c r="H33" s="58"/>
      <c r="I33" s="31"/>
    </row>
    <row r="34" spans="1:9" ht="15" customHeight="1" x14ac:dyDescent="0.3">
      <c r="A34" s="118" t="s">
        <v>21</v>
      </c>
      <c r="B34" s="122" t="s">
        <v>38</v>
      </c>
      <c r="C34" s="50">
        <v>0</v>
      </c>
      <c r="D34" s="50">
        <v>0</v>
      </c>
      <c r="E34" s="53">
        <f>C34*D34</f>
        <v>0</v>
      </c>
      <c r="F34" s="53">
        <v>0</v>
      </c>
      <c r="G34" s="130">
        <f>F34-E34</f>
        <v>0</v>
      </c>
      <c r="H34" s="131" t="e">
        <f>G34/E38</f>
        <v>#DIV/0!</v>
      </c>
      <c r="I34" s="31"/>
    </row>
    <row r="35" spans="1:9" ht="15" customHeight="1" x14ac:dyDescent="0.3">
      <c r="A35" s="118" t="s">
        <v>22</v>
      </c>
      <c r="B35" s="122" t="s">
        <v>38</v>
      </c>
      <c r="C35" s="50">
        <v>0</v>
      </c>
      <c r="D35" s="50">
        <v>0</v>
      </c>
      <c r="E35" s="53">
        <f>C35*D35</f>
        <v>0</v>
      </c>
      <c r="F35" s="53">
        <v>0</v>
      </c>
      <c r="G35" s="130">
        <f>F35-E35</f>
        <v>0</v>
      </c>
      <c r="H35" s="131" t="e">
        <f>G35/E38</f>
        <v>#DIV/0!</v>
      </c>
      <c r="I35" s="31"/>
    </row>
    <row r="36" spans="1:9" ht="15" customHeight="1" x14ac:dyDescent="0.3">
      <c r="A36" s="118" t="s">
        <v>23</v>
      </c>
      <c r="B36" s="122" t="s">
        <v>38</v>
      </c>
      <c r="C36" s="50">
        <v>0</v>
      </c>
      <c r="D36" s="50">
        <v>0</v>
      </c>
      <c r="E36" s="53">
        <f>C36*D36</f>
        <v>0</v>
      </c>
      <c r="F36" s="53">
        <v>0</v>
      </c>
      <c r="G36" s="130">
        <f>F36-E36</f>
        <v>0</v>
      </c>
      <c r="H36" s="131" t="e">
        <f>G36/E38</f>
        <v>#DIV/0!</v>
      </c>
      <c r="I36" s="31"/>
    </row>
    <row r="37" spans="1:9" ht="15" customHeight="1" x14ac:dyDescent="0.3">
      <c r="A37" s="118" t="s">
        <v>24</v>
      </c>
      <c r="B37" s="122" t="s">
        <v>38</v>
      </c>
      <c r="C37" s="50">
        <v>0</v>
      </c>
      <c r="D37" s="50">
        <v>0</v>
      </c>
      <c r="E37" s="53">
        <f>C37*D37</f>
        <v>0</v>
      </c>
      <c r="F37" s="53">
        <v>0</v>
      </c>
      <c r="G37" s="130">
        <f>F37-E37</f>
        <v>0</v>
      </c>
      <c r="H37" s="131" t="e">
        <f>G37/E38</f>
        <v>#DIV/0!</v>
      </c>
      <c r="I37" s="31"/>
    </row>
    <row r="38" spans="1:9" s="28" customFormat="1" ht="26.5" x14ac:dyDescent="0.35">
      <c r="A38" s="137" t="s">
        <v>68</v>
      </c>
      <c r="B38" s="126"/>
      <c r="C38" s="66"/>
      <c r="D38" s="66"/>
      <c r="E38" s="65">
        <f>SUM(E34:E37)</f>
        <v>0</v>
      </c>
      <c r="F38" s="163">
        <f>SUM(F34:F37)</f>
        <v>0</v>
      </c>
      <c r="G38" s="132">
        <f>SUM(G34:G37)</f>
        <v>0</v>
      </c>
      <c r="H38" s="149" t="e">
        <f>G38/E38</f>
        <v>#DIV/0!</v>
      </c>
      <c r="I38" s="142" t="s">
        <v>48</v>
      </c>
    </row>
    <row r="39" spans="1:9" ht="15" customHeight="1" x14ac:dyDescent="0.3">
      <c r="A39" s="11"/>
      <c r="B39" s="122"/>
      <c r="C39" s="50"/>
      <c r="D39" s="50"/>
      <c r="E39" s="57"/>
      <c r="F39" s="57"/>
      <c r="G39" s="58"/>
      <c r="H39" s="58"/>
      <c r="I39" s="31"/>
    </row>
    <row r="40" spans="1:9" ht="15" customHeight="1" x14ac:dyDescent="0.3">
      <c r="A40" s="49" t="s">
        <v>25</v>
      </c>
      <c r="B40" s="125"/>
      <c r="C40" s="51"/>
      <c r="D40" s="51"/>
      <c r="E40" s="57"/>
      <c r="F40" s="57"/>
      <c r="G40" s="56"/>
      <c r="H40" s="56"/>
      <c r="I40" s="33"/>
    </row>
    <row r="41" spans="1:9" ht="15" customHeight="1" x14ac:dyDescent="0.3">
      <c r="A41" s="118" t="s">
        <v>26</v>
      </c>
      <c r="B41" s="122"/>
      <c r="C41" s="50">
        <v>0</v>
      </c>
      <c r="D41" s="50">
        <v>0</v>
      </c>
      <c r="E41" s="53">
        <f t="shared" ref="E41:E47" si="1">C41*D41</f>
        <v>0</v>
      </c>
      <c r="F41" s="53">
        <v>0</v>
      </c>
      <c r="G41" s="130">
        <f t="shared" ref="G41:G47" si="2">F41-E41</f>
        <v>0</v>
      </c>
      <c r="H41" s="131" t="e">
        <f>G41/E48</f>
        <v>#DIV/0!</v>
      </c>
      <c r="I41" s="31"/>
    </row>
    <row r="42" spans="1:9" ht="15" customHeight="1" x14ac:dyDescent="0.3">
      <c r="A42" s="118" t="s">
        <v>27</v>
      </c>
      <c r="B42" s="122"/>
      <c r="C42" s="50">
        <v>0</v>
      </c>
      <c r="D42" s="50">
        <v>0</v>
      </c>
      <c r="E42" s="53">
        <f t="shared" si="1"/>
        <v>0</v>
      </c>
      <c r="F42" s="53">
        <v>0</v>
      </c>
      <c r="G42" s="130">
        <f t="shared" si="2"/>
        <v>0</v>
      </c>
      <c r="H42" s="131" t="e">
        <f>G42/E48</f>
        <v>#DIV/0!</v>
      </c>
      <c r="I42" s="31"/>
    </row>
    <row r="43" spans="1:9" ht="15" customHeight="1" x14ac:dyDescent="0.3">
      <c r="A43" s="118" t="s">
        <v>28</v>
      </c>
      <c r="B43" s="122"/>
      <c r="C43" s="50">
        <v>0</v>
      </c>
      <c r="D43" s="50">
        <v>0</v>
      </c>
      <c r="E43" s="53">
        <f t="shared" si="1"/>
        <v>0</v>
      </c>
      <c r="F43" s="53">
        <v>0</v>
      </c>
      <c r="G43" s="130">
        <f t="shared" si="2"/>
        <v>0</v>
      </c>
      <c r="H43" s="131" t="e">
        <f>G43/E48</f>
        <v>#DIV/0!</v>
      </c>
      <c r="I43" s="31"/>
    </row>
    <row r="44" spans="1:9" ht="15" customHeight="1" x14ac:dyDescent="0.3">
      <c r="A44" s="118" t="s">
        <v>29</v>
      </c>
      <c r="B44" s="122"/>
      <c r="C44" s="50">
        <v>0</v>
      </c>
      <c r="D44" s="50">
        <v>0</v>
      </c>
      <c r="E44" s="53">
        <f t="shared" si="1"/>
        <v>0</v>
      </c>
      <c r="F44" s="53">
        <v>0</v>
      </c>
      <c r="G44" s="130">
        <f t="shared" si="2"/>
        <v>0</v>
      </c>
      <c r="H44" s="131" t="e">
        <f>G44/E48</f>
        <v>#DIV/0!</v>
      </c>
      <c r="I44" s="31"/>
    </row>
    <row r="45" spans="1:9" ht="15" customHeight="1" x14ac:dyDescent="0.3">
      <c r="A45" s="118" t="s">
        <v>30</v>
      </c>
      <c r="B45" s="122"/>
      <c r="C45" s="50">
        <v>0</v>
      </c>
      <c r="D45" s="50">
        <v>0</v>
      </c>
      <c r="E45" s="53">
        <f t="shared" si="1"/>
        <v>0</v>
      </c>
      <c r="F45" s="53">
        <v>0</v>
      </c>
      <c r="G45" s="130">
        <f t="shared" si="2"/>
        <v>0</v>
      </c>
      <c r="H45" s="131" t="e">
        <f>G45/E48</f>
        <v>#DIV/0!</v>
      </c>
      <c r="I45" s="31"/>
    </row>
    <row r="46" spans="1:9" ht="15" customHeight="1" x14ac:dyDescent="0.3">
      <c r="A46" s="118" t="s">
        <v>31</v>
      </c>
      <c r="B46" s="122"/>
      <c r="C46" s="50">
        <v>0</v>
      </c>
      <c r="D46" s="50">
        <v>0</v>
      </c>
      <c r="E46" s="53">
        <f t="shared" si="1"/>
        <v>0</v>
      </c>
      <c r="F46" s="53">
        <v>0</v>
      </c>
      <c r="G46" s="130">
        <f t="shared" si="2"/>
        <v>0</v>
      </c>
      <c r="H46" s="131" t="e">
        <f>G46/E48</f>
        <v>#DIV/0!</v>
      </c>
      <c r="I46" s="31"/>
    </row>
    <row r="47" spans="1:9" ht="15" customHeight="1" x14ac:dyDescent="0.3">
      <c r="A47" s="118" t="s">
        <v>32</v>
      </c>
      <c r="B47" s="122"/>
      <c r="C47" s="50">
        <v>0</v>
      </c>
      <c r="D47" s="50">
        <v>0</v>
      </c>
      <c r="E47" s="53">
        <f t="shared" si="1"/>
        <v>0</v>
      </c>
      <c r="F47" s="53">
        <v>0</v>
      </c>
      <c r="G47" s="130">
        <f t="shared" si="2"/>
        <v>0</v>
      </c>
      <c r="H47" s="131" t="e">
        <f>G47/E48</f>
        <v>#DIV/0!</v>
      </c>
      <c r="I47" s="31"/>
    </row>
    <row r="48" spans="1:9" s="28" customFormat="1" ht="15" customHeight="1" x14ac:dyDescent="0.35">
      <c r="A48" s="137" t="s">
        <v>72</v>
      </c>
      <c r="B48" s="127"/>
      <c r="C48" s="67"/>
      <c r="D48" s="67"/>
      <c r="E48" s="68">
        <f>SUM(E41:E47)</f>
        <v>0</v>
      </c>
      <c r="F48" s="162">
        <f>SUM(F41:F47)</f>
        <v>0</v>
      </c>
      <c r="G48" s="161">
        <f>SUM(G41:G47)</f>
        <v>0</v>
      </c>
      <c r="H48" s="150" t="e">
        <f>G48/E48</f>
        <v>#DIV/0!</v>
      </c>
      <c r="I48" s="153"/>
    </row>
    <row r="49" spans="1:9" ht="15" customHeight="1" x14ac:dyDescent="0.25">
      <c r="A49" s="25"/>
      <c r="B49" s="128"/>
      <c r="C49" s="59"/>
      <c r="D49" s="59"/>
      <c r="E49" s="54"/>
      <c r="F49" s="60"/>
      <c r="G49" s="59"/>
      <c r="H49" s="59"/>
      <c r="I49" s="34"/>
    </row>
    <row r="50" spans="1:9" ht="15" customHeight="1" x14ac:dyDescent="0.3">
      <c r="A50" s="49" t="s">
        <v>77</v>
      </c>
      <c r="B50" s="129"/>
      <c r="C50" s="61"/>
      <c r="D50" s="61"/>
      <c r="E50" s="56"/>
      <c r="F50" s="57" t="s">
        <v>48</v>
      </c>
      <c r="G50" s="58"/>
      <c r="H50" s="58"/>
      <c r="I50" s="35"/>
    </row>
    <row r="51" spans="1:9" ht="15" customHeight="1" x14ac:dyDescent="0.3">
      <c r="A51" s="118" t="s">
        <v>78</v>
      </c>
      <c r="B51" s="129"/>
      <c r="C51" s="50">
        <v>0</v>
      </c>
      <c r="D51" s="50">
        <v>0</v>
      </c>
      <c r="E51" s="53">
        <f>C51*D51</f>
        <v>0</v>
      </c>
      <c r="F51" s="53">
        <v>0</v>
      </c>
      <c r="G51" s="130">
        <f>F51-E51</f>
        <v>0</v>
      </c>
      <c r="H51" s="131" t="e">
        <f>G51/E55</f>
        <v>#DIV/0!</v>
      </c>
      <c r="I51" s="35"/>
    </row>
    <row r="52" spans="1:9" ht="15" customHeight="1" x14ac:dyDescent="0.3">
      <c r="A52" s="118" t="s">
        <v>79</v>
      </c>
      <c r="B52" s="129"/>
      <c r="C52" s="50">
        <v>0</v>
      </c>
      <c r="D52" s="50">
        <v>0</v>
      </c>
      <c r="E52" s="53">
        <f>C52*D52</f>
        <v>0</v>
      </c>
      <c r="F52" s="53">
        <v>0</v>
      </c>
      <c r="G52" s="130">
        <f>F52-E52</f>
        <v>0</v>
      </c>
      <c r="H52" s="131" t="e">
        <f>G52/E55</f>
        <v>#DIV/0!</v>
      </c>
      <c r="I52" s="35"/>
    </row>
    <row r="53" spans="1:9" ht="15" customHeight="1" x14ac:dyDescent="0.3">
      <c r="A53" s="118" t="s">
        <v>80</v>
      </c>
      <c r="B53" s="129"/>
      <c r="C53" s="50">
        <v>0</v>
      </c>
      <c r="D53" s="50">
        <v>0</v>
      </c>
      <c r="E53" s="53">
        <f>C53*D53</f>
        <v>0</v>
      </c>
      <c r="F53" s="53">
        <v>0</v>
      </c>
      <c r="G53" s="130">
        <f>F53-E53</f>
        <v>0</v>
      </c>
      <c r="H53" s="131" t="e">
        <f>G53/E55</f>
        <v>#DIV/0!</v>
      </c>
      <c r="I53" s="35"/>
    </row>
    <row r="54" spans="1:9" ht="15" customHeight="1" x14ac:dyDescent="0.3">
      <c r="A54" s="118" t="s">
        <v>81</v>
      </c>
      <c r="B54" s="129"/>
      <c r="C54" s="50">
        <v>0</v>
      </c>
      <c r="D54" s="50">
        <v>0</v>
      </c>
      <c r="E54" s="53">
        <f>C54*D54</f>
        <v>0</v>
      </c>
      <c r="F54" s="53">
        <v>0</v>
      </c>
      <c r="G54" s="130">
        <f>F54-E54</f>
        <v>0</v>
      </c>
      <c r="H54" s="131" t="e">
        <f>G54/E55</f>
        <v>#DIV/0!</v>
      </c>
      <c r="I54" s="35" t="s">
        <v>48</v>
      </c>
    </row>
    <row r="55" spans="1:9" s="28" customFormat="1" ht="15" customHeight="1" x14ac:dyDescent="0.35">
      <c r="A55" s="137" t="s">
        <v>69</v>
      </c>
      <c r="B55" s="123"/>
      <c r="C55" s="64"/>
      <c r="D55" s="64"/>
      <c r="E55" s="65">
        <f>SUM(E51:E54)</f>
        <v>0</v>
      </c>
      <c r="F55" s="163">
        <f>SUM(F51:F54)</f>
        <v>0</v>
      </c>
      <c r="G55" s="132">
        <f>SUM(G51:G54)</f>
        <v>0</v>
      </c>
      <c r="H55" s="149" t="e">
        <f>G55/E55</f>
        <v>#DIV/0!</v>
      </c>
      <c r="I55" s="142"/>
    </row>
    <row r="56" spans="1:9" ht="13.5" thickBot="1" x14ac:dyDescent="0.35">
      <c r="A56" s="12"/>
      <c r="B56" s="13"/>
      <c r="C56" s="62"/>
      <c r="D56" s="62"/>
      <c r="E56" s="63"/>
      <c r="F56" s="134"/>
      <c r="G56" s="135"/>
      <c r="H56" s="135"/>
      <c r="I56" s="36"/>
    </row>
    <row r="57" spans="1:9" s="28" customFormat="1" ht="16" thickBot="1" x14ac:dyDescent="0.4">
      <c r="A57" s="69" t="s">
        <v>89</v>
      </c>
      <c r="B57" s="70"/>
      <c r="C57" s="71"/>
      <c r="D57" s="72"/>
      <c r="E57" s="141">
        <f>E55+E48+E38+E31+E24+E19</f>
        <v>0</v>
      </c>
      <c r="F57" s="141">
        <f>F55+F48+F38+F31+F24+F19</f>
        <v>0</v>
      </c>
      <c r="G57" s="151" t="s">
        <v>48</v>
      </c>
      <c r="H57" s="152"/>
      <c r="I57" s="154"/>
    </row>
    <row r="58" spans="1:9" ht="25.5" customHeight="1" thickBot="1" x14ac:dyDescent="0.3">
      <c r="A58" s="119" t="s">
        <v>84</v>
      </c>
      <c r="B58" s="14"/>
      <c r="C58" s="15"/>
      <c r="D58" s="147" t="e">
        <f>E58/E57</f>
        <v>#DIV/0!</v>
      </c>
      <c r="E58" s="146">
        <v>0</v>
      </c>
      <c r="F58" s="146">
        <v>0</v>
      </c>
      <c r="G58" s="148" t="s">
        <v>48</v>
      </c>
      <c r="H58" s="15"/>
      <c r="I58" s="37"/>
    </row>
    <row r="59" spans="1:9" s="28" customFormat="1" ht="16" thickBot="1" x14ac:dyDescent="0.4">
      <c r="A59" s="27" t="s">
        <v>85</v>
      </c>
      <c r="B59" s="74"/>
      <c r="C59" s="75"/>
      <c r="D59" s="76"/>
      <c r="E59" s="99">
        <f>E57+E58</f>
        <v>0</v>
      </c>
      <c r="F59" s="99">
        <f>F58+F57</f>
        <v>0</v>
      </c>
      <c r="G59" s="99" t="s">
        <v>48</v>
      </c>
      <c r="H59" s="73"/>
      <c r="I59" s="155"/>
    </row>
    <row r="60" spans="1:9" s="1" customFormat="1" x14ac:dyDescent="0.3">
      <c r="A60" s="22"/>
      <c r="B60" s="23"/>
      <c r="C60" s="24"/>
      <c r="D60" s="24"/>
      <c r="E60" s="21"/>
      <c r="F60" s="21"/>
      <c r="G60" s="21"/>
      <c r="H60" s="21"/>
      <c r="I60" s="38"/>
    </row>
    <row r="61" spans="1:9" ht="12.5" x14ac:dyDescent="0.25">
      <c r="A61" s="182" t="s">
        <v>33</v>
      </c>
      <c r="B61" s="183"/>
      <c r="C61" s="183"/>
      <c r="D61" s="183"/>
      <c r="E61" s="183"/>
      <c r="F61" s="183"/>
      <c r="G61" s="183"/>
      <c r="H61" s="183"/>
      <c r="I61" s="184"/>
    </row>
    <row r="62" spans="1:9" ht="12.5" x14ac:dyDescent="0.25">
      <c r="A62" s="182" t="s">
        <v>34</v>
      </c>
      <c r="B62" s="183"/>
      <c r="C62" s="183"/>
      <c r="D62" s="183"/>
      <c r="E62" s="183"/>
      <c r="F62" s="183"/>
      <c r="G62" s="183"/>
      <c r="H62" s="183"/>
      <c r="I62" s="184"/>
    </row>
    <row r="63" spans="1:9" ht="12.5" x14ac:dyDescent="0.25">
      <c r="A63" s="182" t="s">
        <v>35</v>
      </c>
      <c r="B63" s="183"/>
      <c r="C63" s="183"/>
      <c r="D63" s="183"/>
      <c r="E63" s="183"/>
      <c r="F63" s="183"/>
      <c r="G63" s="183"/>
      <c r="H63" s="183"/>
      <c r="I63" s="184"/>
    </row>
    <row r="64" spans="1:9" ht="12.5" x14ac:dyDescent="0.25">
      <c r="A64" s="182" t="s">
        <v>36</v>
      </c>
      <c r="B64" s="183"/>
      <c r="C64" s="183"/>
      <c r="D64" s="183"/>
      <c r="E64" s="183"/>
      <c r="F64" s="183"/>
      <c r="G64" s="183"/>
      <c r="H64" s="183"/>
      <c r="I64" s="184"/>
    </row>
    <row r="65" spans="1:9" ht="23.25" customHeight="1" x14ac:dyDescent="0.25">
      <c r="A65" s="182" t="s">
        <v>44</v>
      </c>
      <c r="B65" s="183"/>
      <c r="C65" s="183"/>
      <c r="D65" s="183"/>
      <c r="E65" s="183"/>
      <c r="F65" s="183"/>
      <c r="G65" s="183"/>
      <c r="H65" s="183"/>
      <c r="I65" s="184"/>
    </row>
    <row r="67" spans="1:9" x14ac:dyDescent="0.3">
      <c r="G67" s="158"/>
      <c r="H67" s="158"/>
      <c r="I67" s="159"/>
    </row>
    <row r="68" spans="1:9" x14ac:dyDescent="0.3">
      <c r="F68" s="160"/>
      <c r="G68" s="180" t="s">
        <v>76</v>
      </c>
      <c r="H68" s="180"/>
      <c r="I68" s="180"/>
    </row>
  </sheetData>
  <mergeCells count="10">
    <mergeCell ref="G68:I68"/>
    <mergeCell ref="F3:H3"/>
    <mergeCell ref="A65:I65"/>
    <mergeCell ref="A64:I64"/>
    <mergeCell ref="B2:E2"/>
    <mergeCell ref="A61:I61"/>
    <mergeCell ref="A62:I62"/>
    <mergeCell ref="A63:I63"/>
    <mergeCell ref="B3:D3"/>
    <mergeCell ref="F2:H2"/>
  </mergeCells>
  <phoneticPr fontId="30" type="noConversion"/>
  <pageMargins left="0.39370078740157483" right="0.39370078740157483" top="0.59" bottom="0.39370078740157483" header="0.39370078740157483" footer="0.19685039370078741"/>
  <pageSetup paperSize="9" scale="74" orientation="landscape" r:id="rId1"/>
  <headerFooter alignWithMargins="0">
    <oddFooter>&amp;L&amp;D&amp;C&amp;F / &amp;A&amp;RStránka &amp;P z &amp;N</oddFooter>
  </headerFooter>
  <rowBreaks count="1" manualBreakCount="1">
    <brk id="38" max="1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view="pageBreakPreview" topLeftCell="A2" zoomScaleNormal="100" workbookViewId="0">
      <selection activeCell="B3" sqref="B3:C3"/>
    </sheetView>
  </sheetViews>
  <sheetFormatPr defaultColWidth="9.1796875" defaultRowHeight="12.5" x14ac:dyDescent="0.25"/>
  <cols>
    <col min="1" max="1" width="45.7265625" style="86" bestFit="1" customWidth="1"/>
    <col min="2" max="2" width="22.54296875" style="84" customWidth="1"/>
    <col min="3" max="3" width="12.1796875" style="84" customWidth="1"/>
    <col min="4" max="4" width="11" style="87" customWidth="1"/>
    <col min="5" max="5" width="10.7265625" style="87" bestFit="1" customWidth="1"/>
    <col min="6" max="6" width="11.81640625" style="88" bestFit="1" customWidth="1"/>
    <col min="7" max="16384" width="9.1796875" style="84"/>
  </cols>
  <sheetData>
    <row r="1" spans="1:6" ht="15.5" x14ac:dyDescent="0.35">
      <c r="A1" s="187" t="s">
        <v>87</v>
      </c>
      <c r="B1" s="187"/>
      <c r="C1" s="81"/>
      <c r="D1" s="84"/>
      <c r="E1" s="84"/>
      <c r="F1" s="84"/>
    </row>
    <row r="2" spans="1:6" ht="15.5" x14ac:dyDescent="0.35">
      <c r="A2" s="80"/>
      <c r="B2" s="81"/>
      <c r="C2" s="81"/>
      <c r="D2" s="93" t="s">
        <v>54</v>
      </c>
      <c r="E2" s="192"/>
      <c r="F2" s="192"/>
    </row>
    <row r="3" spans="1:6" ht="25.5" customHeight="1" x14ac:dyDescent="0.25">
      <c r="A3" s="95" t="s">
        <v>46</v>
      </c>
      <c r="B3" s="189" t="s">
        <v>48</v>
      </c>
      <c r="C3" s="189"/>
      <c r="D3" s="82"/>
      <c r="E3" s="82"/>
      <c r="F3" s="83"/>
    </row>
    <row r="4" spans="1:6" ht="31.5" x14ac:dyDescent="0.25">
      <c r="A4" s="95" t="s">
        <v>60</v>
      </c>
      <c r="B4" s="97" t="s">
        <v>48</v>
      </c>
      <c r="C4" s="101" t="s">
        <v>56</v>
      </c>
      <c r="D4" s="101" t="s">
        <v>55</v>
      </c>
      <c r="E4" s="101" t="s">
        <v>61</v>
      </c>
      <c r="F4" s="92" t="s">
        <v>62</v>
      </c>
    </row>
    <row r="5" spans="1:6" ht="25.5" customHeight="1" x14ac:dyDescent="0.3">
      <c r="A5" s="188" t="s">
        <v>58</v>
      </c>
      <c r="B5" s="188"/>
      <c r="C5" s="166">
        <v>0</v>
      </c>
      <c r="D5" s="102">
        <v>0</v>
      </c>
      <c r="E5" s="138" t="e">
        <f>D5/C5</f>
        <v>#DIV/0!</v>
      </c>
      <c r="F5" s="174" t="e">
        <f>D5/D22</f>
        <v>#DIV/0!</v>
      </c>
    </row>
    <row r="6" spans="1:6" ht="30.75" customHeight="1" x14ac:dyDescent="0.3">
      <c r="A6" s="188" t="s">
        <v>57</v>
      </c>
      <c r="B6" s="188"/>
      <c r="C6" s="166">
        <v>0</v>
      </c>
      <c r="D6" s="102">
        <v>0</v>
      </c>
      <c r="E6" s="138" t="e">
        <f>D6/C6</f>
        <v>#DIV/0!</v>
      </c>
      <c r="F6" s="174" t="e">
        <f>D6/D22</f>
        <v>#DIV/0!</v>
      </c>
    </row>
    <row r="7" spans="1:6" ht="27" customHeight="1" x14ac:dyDescent="0.3">
      <c r="A7" s="188" t="s">
        <v>63</v>
      </c>
      <c r="B7" s="188"/>
      <c r="C7" s="167"/>
      <c r="D7" s="103" t="s">
        <v>48</v>
      </c>
      <c r="E7" s="98" t="s">
        <v>48</v>
      </c>
      <c r="F7" s="175"/>
    </row>
    <row r="8" spans="1:6" ht="15.75" customHeight="1" x14ac:dyDescent="0.3">
      <c r="A8" s="104" t="s">
        <v>46</v>
      </c>
      <c r="B8" s="105"/>
      <c r="C8" s="168"/>
      <c r="D8" s="106"/>
      <c r="E8" s="98" t="s">
        <v>48</v>
      </c>
      <c r="F8" s="176" t="s">
        <v>48</v>
      </c>
    </row>
    <row r="9" spans="1:6" ht="13" x14ac:dyDescent="0.3">
      <c r="A9" s="107"/>
      <c r="B9" s="96"/>
      <c r="C9" s="169">
        <v>0</v>
      </c>
      <c r="D9" s="94">
        <v>0</v>
      </c>
      <c r="E9" s="98" t="e">
        <f>D9/C9</f>
        <v>#DIV/0!</v>
      </c>
      <c r="F9" s="177" t="e">
        <f>D9/D22</f>
        <v>#DIV/0!</v>
      </c>
    </row>
    <row r="10" spans="1:6" ht="13" x14ac:dyDescent="0.3">
      <c r="A10" s="107"/>
      <c r="B10" s="96"/>
      <c r="C10" s="169">
        <v>0</v>
      </c>
      <c r="D10" s="94">
        <v>0</v>
      </c>
      <c r="E10" s="98" t="e">
        <f>D10/C10</f>
        <v>#DIV/0!</v>
      </c>
      <c r="F10" s="177" t="e">
        <f>D10/D22</f>
        <v>#DIV/0!</v>
      </c>
    </row>
    <row r="11" spans="1:6" ht="13" x14ac:dyDescent="0.3">
      <c r="A11" s="107"/>
      <c r="B11" s="96"/>
      <c r="C11" s="169">
        <v>0</v>
      </c>
      <c r="D11" s="94">
        <v>0</v>
      </c>
      <c r="E11" s="98" t="e">
        <f>D11/C11</f>
        <v>#DIV/0!</v>
      </c>
      <c r="F11" s="177" t="e">
        <f>D11/D22</f>
        <v>#DIV/0!</v>
      </c>
    </row>
    <row r="12" spans="1:6" ht="14" x14ac:dyDescent="0.3">
      <c r="A12" s="108" t="s">
        <v>42</v>
      </c>
      <c r="B12" s="195" t="s">
        <v>51</v>
      </c>
      <c r="C12" s="170"/>
      <c r="D12" s="109" t="s">
        <v>48</v>
      </c>
      <c r="E12" s="110"/>
      <c r="F12" s="177" t="s">
        <v>48</v>
      </c>
    </row>
    <row r="13" spans="1:6" ht="13" x14ac:dyDescent="0.3">
      <c r="A13" s="111" t="s">
        <v>46</v>
      </c>
      <c r="B13" s="195"/>
      <c r="C13" s="170"/>
      <c r="D13" s="91"/>
      <c r="E13" s="91"/>
      <c r="F13" s="177" t="s">
        <v>48</v>
      </c>
    </row>
    <row r="14" spans="1:6" ht="13" x14ac:dyDescent="0.3">
      <c r="A14" s="107"/>
      <c r="B14" s="96"/>
      <c r="C14" s="169">
        <v>0</v>
      </c>
      <c r="D14" s="94">
        <v>0</v>
      </c>
      <c r="E14" s="98" t="e">
        <f>D14/C14</f>
        <v>#DIV/0!</v>
      </c>
      <c r="F14" s="177" t="e">
        <f>D14/D22</f>
        <v>#DIV/0!</v>
      </c>
    </row>
    <row r="15" spans="1:6" ht="13" x14ac:dyDescent="0.3">
      <c r="A15" s="107"/>
      <c r="B15" s="96"/>
      <c r="C15" s="169">
        <v>0</v>
      </c>
      <c r="D15" s="94">
        <v>0</v>
      </c>
      <c r="E15" s="98" t="e">
        <f>D15/C15</f>
        <v>#DIV/0!</v>
      </c>
      <c r="F15" s="177" t="e">
        <f>D15/D22</f>
        <v>#DIV/0!</v>
      </c>
    </row>
    <row r="16" spans="1:6" ht="13" x14ac:dyDescent="0.3">
      <c r="A16" s="107"/>
      <c r="B16" s="96"/>
      <c r="C16" s="169">
        <v>0</v>
      </c>
      <c r="D16" s="94">
        <v>0</v>
      </c>
      <c r="E16" s="98" t="e">
        <f>D16/C16</f>
        <v>#DIV/0!</v>
      </c>
      <c r="F16" s="177" t="e">
        <f>D16/D22</f>
        <v>#DIV/0!</v>
      </c>
    </row>
    <row r="17" spans="1:7" ht="13" x14ac:dyDescent="0.3">
      <c r="A17" s="107"/>
      <c r="B17" s="96"/>
      <c r="C17" s="169">
        <v>0</v>
      </c>
      <c r="D17" s="94">
        <v>0</v>
      </c>
      <c r="E17" s="98" t="e">
        <f>D17/C17</f>
        <v>#DIV/0!</v>
      </c>
      <c r="F17" s="177" t="e">
        <f>D17/D22</f>
        <v>#DIV/0!</v>
      </c>
    </row>
    <row r="18" spans="1:7" ht="21.75" customHeight="1" x14ac:dyDescent="0.3">
      <c r="A18" s="108" t="s">
        <v>52</v>
      </c>
      <c r="B18" s="112"/>
      <c r="C18" s="172">
        <f>C5+C9+C10+C11+C14+C15+C16+C17</f>
        <v>0</v>
      </c>
      <c r="D18" s="165">
        <f>D5+D9+D10+D11+D14+D15+D16+D17</f>
        <v>0</v>
      </c>
      <c r="E18" s="110"/>
      <c r="F18" s="177" t="s">
        <v>48</v>
      </c>
    </row>
    <row r="19" spans="1:7" ht="13" x14ac:dyDescent="0.3">
      <c r="A19" s="113" t="s">
        <v>53</v>
      </c>
      <c r="B19" s="112"/>
      <c r="C19" s="171"/>
      <c r="D19" s="91"/>
      <c r="E19" s="91"/>
      <c r="F19" s="177" t="s">
        <v>48</v>
      </c>
    </row>
    <row r="20" spans="1:7" ht="13" x14ac:dyDescent="0.3">
      <c r="A20" s="85"/>
      <c r="B20" s="85"/>
      <c r="C20" s="169">
        <v>0</v>
      </c>
      <c r="D20" s="94">
        <v>0</v>
      </c>
      <c r="E20" s="98" t="e">
        <f>D20/C20</f>
        <v>#DIV/0!</v>
      </c>
      <c r="F20" s="177" t="e">
        <f>D20/D22</f>
        <v>#DIV/0!</v>
      </c>
    </row>
    <row r="21" spans="1:7" ht="13" x14ac:dyDescent="0.3">
      <c r="A21" s="114"/>
      <c r="B21" s="85"/>
      <c r="C21" s="169">
        <v>0</v>
      </c>
      <c r="D21" s="94">
        <v>0</v>
      </c>
      <c r="E21" s="98" t="e">
        <f>D21/C21</f>
        <v>#DIV/0!</v>
      </c>
      <c r="F21" s="177" t="e">
        <f>D21/D22</f>
        <v>#DIV/0!</v>
      </c>
    </row>
    <row r="22" spans="1:7" ht="29.25" customHeight="1" x14ac:dyDescent="0.35">
      <c r="A22" s="115" t="s">
        <v>86</v>
      </c>
      <c r="B22" s="112"/>
      <c r="C22" s="173">
        <f>C5+C6+C9+C10+C11+C14+C15+C16+C17+C20+C21</f>
        <v>0</v>
      </c>
      <c r="D22" s="116">
        <f>D5+D6+D9+D10+D11+D14+D15+D16+D17+D20+D21</f>
        <v>0</v>
      </c>
      <c r="E22" s="117" t="e">
        <f>D22/C22</f>
        <v>#DIV/0!</v>
      </c>
      <c r="F22" s="117" t="e">
        <f>D22/C22</f>
        <v>#DIV/0!</v>
      </c>
      <c r="G22" s="88" t="s">
        <v>48</v>
      </c>
    </row>
    <row r="24" spans="1:7" x14ac:dyDescent="0.25">
      <c r="A24" s="193" t="s">
        <v>59</v>
      </c>
      <c r="B24" s="194"/>
      <c r="C24" s="89"/>
    </row>
    <row r="25" spans="1:7" x14ac:dyDescent="0.25">
      <c r="A25" s="89" t="s">
        <v>88</v>
      </c>
    </row>
    <row r="26" spans="1:7" x14ac:dyDescent="0.25">
      <c r="D26" s="156"/>
      <c r="E26" s="156"/>
      <c r="F26" s="157"/>
    </row>
    <row r="27" spans="1:7" x14ac:dyDescent="0.25">
      <c r="D27" s="190" t="s">
        <v>75</v>
      </c>
      <c r="E27" s="191"/>
      <c r="F27" s="191"/>
    </row>
  </sheetData>
  <mergeCells count="9">
    <mergeCell ref="A1:B1"/>
    <mergeCell ref="A5:B5"/>
    <mergeCell ref="B3:C3"/>
    <mergeCell ref="A7:B7"/>
    <mergeCell ref="D27:F27"/>
    <mergeCell ref="E2:F2"/>
    <mergeCell ref="A24:B24"/>
    <mergeCell ref="A6:B6"/>
    <mergeCell ref="B12:B13"/>
  </mergeCells>
  <phoneticPr fontId="3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&amp;C&amp;F /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3. Vyúčtování</vt:lpstr>
      <vt:lpstr>4. Celkové zdroje financování</vt:lpstr>
      <vt:lpstr>'3. Vyúčtování'!Print_Area</vt:lpstr>
      <vt:lpstr>'4. Celkové zdroje financování'!Print_Area</vt:lpstr>
      <vt:lpstr>'3. Vyúčtování'!Print_Titles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2003-12-23T13:29:20Z</cp:lastPrinted>
  <dcterms:created xsi:type="dcterms:W3CDTF">2000-04-10T10:46:44Z</dcterms:created>
  <dcterms:modified xsi:type="dcterms:W3CDTF">2020-01-27T11:14:49Z</dcterms:modified>
</cp:coreProperties>
</file>