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6553F04-8484-4444-BD4E-64313AC6B2AF}" xr6:coauthVersionLast="45" xr6:coauthVersionMax="45" xr10:uidLastSave="{00000000-0000-0000-0000-000000000000}"/>
  <bookViews>
    <workbookView xWindow="4940" yWindow="4940" windowWidth="28800" windowHeight="15460" activeTab="2"/>
  </bookViews>
  <sheets>
    <sheet name="ABC School" sheetId="1" r:id="rId1"/>
    <sheet name="Employees" sheetId="2" r:id="rId2"/>
    <sheet name="Week 5 Homework Assignment " sheetId="4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1" l="1"/>
  <c r="E7" i="1" s="1"/>
  <c r="F7" i="1" s="1"/>
  <c r="D8" i="1"/>
  <c r="E8" i="1" s="1"/>
  <c r="F8" i="1" s="1"/>
  <c r="D9" i="1"/>
  <c r="E9" i="1"/>
  <c r="F9" i="1"/>
  <c r="D10" i="1"/>
  <c r="E10" i="1"/>
  <c r="F10" i="1"/>
  <c r="D11" i="1"/>
  <c r="E11" i="1"/>
  <c r="F11" i="1"/>
  <c r="D12" i="1"/>
  <c r="E12" i="1" s="1"/>
  <c r="F12" i="1" s="1"/>
  <c r="D13" i="1"/>
  <c r="E13" i="1"/>
  <c r="F13" i="1" s="1"/>
  <c r="D14" i="1"/>
  <c r="E14" i="1"/>
  <c r="F14" i="1"/>
  <c r="D15" i="1"/>
  <c r="E15" i="1" s="1"/>
  <c r="F15" i="1" s="1"/>
  <c r="D16" i="1"/>
  <c r="E16" i="1"/>
  <c r="F16" i="1"/>
  <c r="D17" i="1"/>
  <c r="E17" i="1"/>
  <c r="F17" i="1"/>
  <c r="D4" i="2"/>
  <c r="D5" i="2"/>
  <c r="D6" i="2"/>
  <c r="D7" i="2"/>
  <c r="D8" i="2"/>
  <c r="G9" i="4"/>
  <c r="I9" i="4" s="1"/>
  <c r="H9" i="4"/>
  <c r="G10" i="4"/>
  <c r="H10" i="4"/>
  <c r="I10" i="4"/>
  <c r="J10" i="4"/>
  <c r="G11" i="4"/>
  <c r="H11" i="4"/>
  <c r="I11" i="4"/>
  <c r="J11" i="4"/>
  <c r="G12" i="4"/>
  <c r="H12" i="4"/>
  <c r="I12" i="4"/>
  <c r="J12" i="4"/>
  <c r="G13" i="4"/>
  <c r="I13" i="4" s="1"/>
  <c r="G14" i="4"/>
  <c r="I14" i="4" s="1"/>
  <c r="H14" i="4"/>
  <c r="G15" i="4"/>
  <c r="H15" i="4"/>
  <c r="I15" i="4"/>
  <c r="J15" i="4"/>
  <c r="G16" i="4"/>
  <c r="H16" i="4"/>
  <c r="J16" i="4" s="1"/>
  <c r="I16" i="4"/>
  <c r="G17" i="4"/>
  <c r="H17" i="4"/>
  <c r="I17" i="4"/>
  <c r="J17" i="4"/>
  <c r="G18" i="4"/>
  <c r="I18" i="4" s="1"/>
  <c r="G19" i="4"/>
  <c r="I19" i="4" s="1"/>
  <c r="H19" i="4"/>
  <c r="G20" i="4"/>
  <c r="H20" i="4"/>
  <c r="I20" i="4"/>
  <c r="J20" i="4" s="1"/>
  <c r="G21" i="4"/>
  <c r="H21" i="4"/>
  <c r="I21" i="4"/>
  <c r="J21" i="4"/>
  <c r="G22" i="4"/>
  <c r="H22" i="4"/>
  <c r="I22" i="4"/>
  <c r="J22" i="4"/>
  <c r="J28" i="4" l="1"/>
  <c r="E19" i="1"/>
  <c r="H18" i="4"/>
  <c r="H13" i="4"/>
  <c r="J27" i="4" s="1"/>
  <c r="J19" i="4"/>
  <c r="J14" i="4"/>
  <c r="J9" i="4"/>
  <c r="J18" i="4"/>
  <c r="J13" i="4"/>
  <c r="J23" i="4" l="1"/>
  <c r="E20" i="1"/>
  <c r="E21" i="1"/>
  <c r="E23" i="1" s="1"/>
  <c r="J26" i="4" l="1"/>
  <c r="J25" i="4"/>
  <c r="J30" i="4" s="1"/>
</calcChain>
</file>

<file path=xl/sharedStrings.xml><?xml version="1.0" encoding="utf-8"?>
<sst xmlns="http://schemas.openxmlformats.org/spreadsheetml/2006/main" count="65" uniqueCount="63">
  <si>
    <t>ABC School Supplies</t>
  </si>
  <si>
    <t>Date</t>
  </si>
  <si>
    <t>Sales Invoice</t>
  </si>
  <si>
    <t>Company Name</t>
  </si>
  <si>
    <t>#2 Pencils</t>
  </si>
  <si>
    <t>Qty Sold</t>
  </si>
  <si>
    <t>Unit Price</t>
  </si>
  <si>
    <t>Total Price</t>
  </si>
  <si>
    <t>Sales Tax</t>
  </si>
  <si>
    <t>Item Total</t>
  </si>
  <si>
    <t>Item Number</t>
  </si>
  <si>
    <t>Blackboard Chalk</t>
  </si>
  <si>
    <t>Invoice Total</t>
  </si>
  <si>
    <t>Less Discount</t>
  </si>
  <si>
    <t>Shipping Costs</t>
  </si>
  <si>
    <t>Total Due</t>
  </si>
  <si>
    <t>Bulletin Board Paper</t>
  </si>
  <si>
    <t>Whistle</t>
  </si>
  <si>
    <t>Stickers</t>
  </si>
  <si>
    <t>Board Eraser</t>
  </si>
  <si>
    <t>Rubber Balls</t>
  </si>
  <si>
    <t>Lined Paper</t>
  </si>
  <si>
    <t>Extra Strength Aspirin</t>
  </si>
  <si>
    <t>Pencils</t>
  </si>
  <si>
    <t>Crayons</t>
  </si>
  <si>
    <t>Bellcrest Web Design</t>
  </si>
  <si>
    <t>Employee Name</t>
  </si>
  <si>
    <t>Hourly Rate</t>
  </si>
  <si>
    <t>Hours Worked</t>
  </si>
  <si>
    <t>Total Pay</t>
  </si>
  <si>
    <t>Sandra Ross</t>
  </si>
  <si>
    <t>Christine Bell</t>
  </si>
  <si>
    <t>Grace Chessell</t>
  </si>
  <si>
    <t>Medley Small</t>
  </si>
  <si>
    <t>Helen Heddle</t>
  </si>
  <si>
    <t>Quantity</t>
  </si>
  <si>
    <t>Unit Cost</t>
  </si>
  <si>
    <t>Total Cost</t>
  </si>
  <si>
    <t>GST</t>
  </si>
  <si>
    <t>Total</t>
  </si>
  <si>
    <t>Item Description</t>
  </si>
  <si>
    <t>Purina Lamb &amp; Rice</t>
  </si>
  <si>
    <t>Purina Chicken &amp; Rice</t>
  </si>
  <si>
    <t>ShurGain Lamb &amp; Rice</t>
  </si>
  <si>
    <t>Noble Chicken &amp; Rice</t>
  </si>
  <si>
    <t>Noble Dog Biscuits</t>
  </si>
  <si>
    <t>Milk Bone Cookies</t>
  </si>
  <si>
    <t>Pet Valu Canned Meat</t>
  </si>
  <si>
    <t>Equal Canned Meat</t>
  </si>
  <si>
    <t>Shampoo - Pure</t>
  </si>
  <si>
    <t>Cream Rinse - Pure</t>
  </si>
  <si>
    <t>Vitamin C</t>
  </si>
  <si>
    <t>Kelp</t>
  </si>
  <si>
    <t>Vitamin E</t>
  </si>
  <si>
    <t>Cod Liver Oil Capsuls</t>
  </si>
  <si>
    <t>Less 10% Breeders Discount</t>
  </si>
  <si>
    <t>Shipping &amp; Handling 4%</t>
  </si>
  <si>
    <t>Total Amount Due</t>
  </si>
  <si>
    <t>GST Total</t>
  </si>
  <si>
    <t>Ck</t>
  </si>
  <si>
    <r>
      <t>GST</t>
    </r>
    <r>
      <rPr>
        <sz val="10"/>
        <rFont val="Arial"/>
      </rPr>
      <t xml:space="preserve"> - Goods &amp; Services Tax 7%</t>
    </r>
  </si>
  <si>
    <t xml:space="preserve"> Sales Tax Total</t>
  </si>
  <si>
    <r>
      <t>ONTARIO</t>
    </r>
    <r>
      <rPr>
        <sz val="10"/>
        <rFont val="Arial"/>
      </rPr>
      <t xml:space="preserve"> Sales Tax 8%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</si>
</sst>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70" fontId="0" fillId="0" borderId="1" xfId="1" applyFont="1" applyBorder="1"/>
    <xf numFmtId="170" fontId="0" fillId="0" borderId="1" xfId="0" applyNumberFormat="1" applyBorder="1"/>
    <xf numFmtId="170" fontId="0" fillId="0" borderId="0" xfId="0" applyNumberFormat="1"/>
    <xf numFmtId="170" fontId="0" fillId="0" borderId="4" xfId="0" applyNumberFormat="1" applyFill="1" applyBorder="1"/>
    <xf numFmtId="0" fontId="0" fillId="0" borderId="0" xfId="0" applyAlignment="1"/>
    <xf numFmtId="170" fontId="0" fillId="0" borderId="0" xfId="1" applyFont="1" applyAlignment="1">
      <alignment horizontal="center"/>
    </xf>
    <xf numFmtId="170" fontId="0" fillId="0" borderId="0" xfId="1" applyFont="1"/>
    <xf numFmtId="170" fontId="0" fillId="0" borderId="0" xfId="1" applyFont="1" applyAlignment="1"/>
    <xf numFmtId="0" fontId="2" fillId="0" borderId="0" xfId="0" applyFont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2" borderId="0" xfId="0" applyFill="1" applyBorder="1"/>
    <xf numFmtId="170" fontId="0" fillId="2" borderId="0" xfId="1" applyFont="1" applyFill="1" applyBorder="1"/>
    <xf numFmtId="0" fontId="0" fillId="2" borderId="6" xfId="0" applyFill="1" applyBorder="1"/>
    <xf numFmtId="170" fontId="0" fillId="2" borderId="7" xfId="1" applyFont="1" applyFill="1" applyBorder="1"/>
    <xf numFmtId="0" fontId="2" fillId="2" borderId="6" xfId="0" applyFont="1" applyFill="1" applyBorder="1" applyAlignment="1">
      <alignment horizontal="right"/>
    </xf>
    <xf numFmtId="170" fontId="2" fillId="2" borderId="0" xfId="1" applyFont="1" applyFill="1" applyBorder="1" applyAlignment="1">
      <alignment horizontal="right"/>
    </xf>
    <xf numFmtId="0" fontId="2" fillId="2" borderId="6" xfId="0" applyFont="1" applyFill="1" applyBorder="1"/>
    <xf numFmtId="170" fontId="0" fillId="2" borderId="0" xfId="1" applyFont="1" applyFill="1" applyBorder="1" applyAlignment="1">
      <alignment horizontal="right"/>
    </xf>
    <xf numFmtId="0" fontId="0" fillId="2" borderId="8" xfId="0" applyFill="1" applyBorder="1"/>
    <xf numFmtId="0" fontId="0" fillId="2" borderId="5" xfId="0" applyFill="1" applyBorder="1"/>
    <xf numFmtId="0" fontId="0" fillId="2" borderId="7" xfId="0" applyFill="1" applyBorder="1"/>
    <xf numFmtId="170" fontId="2" fillId="2" borderId="9" xfId="1" applyFont="1" applyFill="1" applyBorder="1"/>
    <xf numFmtId="170" fontId="2" fillId="2" borderId="10" xfId="1" applyFont="1" applyFill="1" applyBorder="1"/>
    <xf numFmtId="170" fontId="2" fillId="2" borderId="11" xfId="1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2" fillId="3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70" fontId="2" fillId="3" borderId="5" xfId="1" applyFont="1" applyFill="1" applyBorder="1" applyAlignment="1">
      <alignment horizontal="center"/>
    </xf>
    <xf numFmtId="170" fontId="2" fillId="3" borderId="7" xfId="1" applyFont="1" applyFill="1" applyBorder="1" applyAlignment="1">
      <alignment horizontal="center"/>
    </xf>
    <xf numFmtId="0" fontId="0" fillId="2" borderId="15" xfId="0" applyFill="1" applyBorder="1"/>
    <xf numFmtId="170" fontId="0" fillId="2" borderId="15" xfId="1" applyFont="1" applyFill="1" applyBorder="1"/>
    <xf numFmtId="170" fontId="0" fillId="2" borderId="16" xfId="1" applyFont="1" applyFill="1" applyBorder="1"/>
    <xf numFmtId="170" fontId="0" fillId="2" borderId="17" xfId="1" applyFont="1" applyFill="1" applyBorder="1"/>
    <xf numFmtId="170" fontId="0" fillId="2" borderId="18" xfId="1" applyFont="1" applyFill="1" applyBorder="1"/>
    <xf numFmtId="0" fontId="0" fillId="2" borderId="1" xfId="0" applyFill="1" applyBorder="1"/>
    <xf numFmtId="170" fontId="0" fillId="2" borderId="1" xfId="1" applyFont="1" applyFill="1" applyBorder="1"/>
    <xf numFmtId="170" fontId="0" fillId="2" borderId="19" xfId="1" applyFont="1" applyFill="1" applyBorder="1"/>
    <xf numFmtId="170" fontId="0" fillId="2" borderId="20" xfId="1" applyFont="1" applyFill="1" applyBorder="1"/>
    <xf numFmtId="170" fontId="0" fillId="2" borderId="21" xfId="1" applyFont="1" applyFill="1" applyBorder="1"/>
    <xf numFmtId="170" fontId="0" fillId="2" borderId="22" xfId="1" applyFont="1" applyFill="1" applyBorder="1"/>
    <xf numFmtId="0" fontId="0" fillId="2" borderId="23" xfId="0" applyFill="1" applyBorder="1"/>
    <xf numFmtId="170" fontId="0" fillId="2" borderId="23" xfId="1" applyFont="1" applyFill="1" applyBorder="1"/>
    <xf numFmtId="170" fontId="0" fillId="2" borderId="24" xfId="1" applyFont="1" applyFill="1" applyBorder="1"/>
    <xf numFmtId="0" fontId="2" fillId="4" borderId="25" xfId="0" applyFont="1" applyFill="1" applyBorder="1"/>
    <xf numFmtId="0" fontId="2" fillId="4" borderId="26" xfId="0" applyFont="1" applyFill="1" applyBorder="1"/>
    <xf numFmtId="0" fontId="2" fillId="4" borderId="27" xfId="0" applyFont="1" applyFill="1" applyBorder="1"/>
    <xf numFmtId="170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/>
    <xf numFmtId="0" fontId="0" fillId="0" borderId="0" xfId="0" applyAlignment="1"/>
    <xf numFmtId="170" fontId="2" fillId="2" borderId="0" xfId="1" applyFont="1" applyFill="1" applyBorder="1" applyAlignment="1">
      <alignment horizontal="right"/>
    </xf>
    <xf numFmtId="170" fontId="0" fillId="2" borderId="0" xfId="1" applyFont="1" applyFill="1" applyBorder="1" applyAlignment="1">
      <alignment horizontal="right"/>
    </xf>
    <xf numFmtId="0" fontId="0" fillId="0" borderId="5" xfId="0" applyBorder="1" applyAlignment="1"/>
    <xf numFmtId="0" fontId="2" fillId="3" borderId="13" xfId="0" applyFont="1" applyFill="1" applyBorder="1" applyAlignment="1"/>
  </cellXfs>
  <cellStyles count="2">
    <cellStyle name="Currency" xfId="1" builtinId="4"/>
    <cellStyle name="Normal" xfId="0" builtinId="0"/>
  </cellStyles>
  <dxfs count="4">
    <dxf>
      <font>
        <b/>
        <i/>
        <condense val="0"/>
        <extend val="0"/>
        <color indexed="62"/>
      </font>
    </dxf>
    <dxf>
      <font>
        <b/>
        <i val="0"/>
        <condense val="0"/>
        <extend val="0"/>
        <color indexed="61"/>
      </font>
    </dxf>
    <dxf>
      <font>
        <b/>
        <i val="0"/>
        <condense val="0"/>
        <extend val="0"/>
        <color indexed="61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39"/>
      </font>
      <fill>
        <patternFill patternType="lightGray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298450</xdr:colOff>
      <xdr:row>0</xdr:row>
      <xdr:rowOff>57150</xdr:rowOff>
    </xdr:from>
    <xdr:to>
      <xdr:col>10</xdr:col>
      <xdr:colOff>457200</xdr:colOff>
      <xdr:row>3</xdr:row>
      <xdr:rowOff>120650</xdr:rowOff>
    </xdr:to>
    <xdr:sp macro="" textlink="">
      <xdr:nvSpPr>
        <xdr:cNvPr id="2049" name="WordArt 1">
          <a:extLst>
            <a:ext uri="{FF2B5EF4-FFF2-40B4-BE49-F238E27FC236}">
              <a16:creationId xmlns:a16="http://schemas.microsoft.com/office/drawing/2014/main" id="{C805EB58-0FC5-4E70-8C12-28F8EAE8C5D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8050" y="57150"/>
          <a:ext cx="6673850" cy="5397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3600" kern="10" spc="0">
              <a:ln w="19050">
                <a:solidFill>
                  <a:srgbClr val="99CCFF"/>
                </a:solidFill>
                <a:round/>
                <a:headEnd/>
                <a:tailEnd/>
              </a:ln>
              <a:solidFill>
                <a:srgbClr val="0066CC"/>
              </a:solidFill>
              <a:effectLst>
                <a:outerShdw dist="35921" dir="2700000" algn="ctr" rotWithShape="0">
                  <a:srgbClr val="990000"/>
                </a:outerShdw>
              </a:effectLst>
              <a:latin typeface="Magneto" panose="04030805050802020D02" pitchFamily="82" charset="0"/>
            </a:rPr>
            <a:t>Bellcrest Boxers Reg'd</a:t>
          </a:r>
        </a:p>
      </xdr:txBody>
    </xdr:sp>
    <xdr:clientData/>
  </xdr:twoCellAnchor>
  <xdr:twoCellAnchor>
    <xdr:from>
      <xdr:col>3</xdr:col>
      <xdr:colOff>19050</xdr:colOff>
      <xdr:row>3</xdr:row>
      <xdr:rowOff>76200</xdr:rowOff>
    </xdr:from>
    <xdr:to>
      <xdr:col>7</xdr:col>
      <xdr:colOff>209550</xdr:colOff>
      <xdr:row>5</xdr:row>
      <xdr:rowOff>57150</xdr:rowOff>
    </xdr:to>
    <xdr:sp macro="" textlink="">
      <xdr:nvSpPr>
        <xdr:cNvPr id="2052" name="WordArt 4">
          <a:extLst>
            <a:ext uri="{FF2B5EF4-FFF2-40B4-BE49-F238E27FC236}">
              <a16:creationId xmlns:a16="http://schemas.microsoft.com/office/drawing/2014/main" id="{D0DD681B-7E3B-4F9B-9695-47C18B98C994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62250" y="552450"/>
          <a:ext cx="2546350" cy="298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GB" sz="2000" kern="10" spc="0">
              <a:ln w="9525">
                <a:solidFill>
                  <a:srgbClr xmlns:mc="http://schemas.openxmlformats.org/markup-compatibility/2006" xmlns:a14="http://schemas.microsoft.com/office/drawing/2010/main" val="333399" mc:Ignorable="a14" a14:legacySpreadsheetColorIndex="62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C0C0C0" mc:Ignorable="a14" a14:legacySpreadsheetColorIndex="22"/>
              </a:solidFill>
              <a:effectLst/>
              <a:latin typeface="BD Engraved Black"/>
            </a:rPr>
            <a:t>Quarterly Expenses</a:t>
          </a:r>
        </a:p>
      </xdr:txBody>
    </xdr:sp>
    <xdr:clientData/>
  </xdr:twoCellAnchor>
  <xdr:twoCellAnchor editAs="oneCell">
    <xdr:from>
      <xdr:col>0</xdr:col>
      <xdr:colOff>133350</xdr:colOff>
      <xdr:row>0</xdr:row>
      <xdr:rowOff>19050</xdr:rowOff>
    </xdr:from>
    <xdr:to>
      <xdr:col>1</xdr:col>
      <xdr:colOff>165100</xdr:colOff>
      <xdr:row>4</xdr:row>
      <xdr:rowOff>152400</xdr:rowOff>
    </xdr:to>
    <xdr:pic>
      <xdr:nvPicPr>
        <xdr:cNvPr id="2053" name="Picture 5">
          <a:extLst>
            <a:ext uri="{FF2B5EF4-FFF2-40B4-BE49-F238E27FC236}">
              <a16:creationId xmlns:a16="http://schemas.microsoft.com/office/drawing/2014/main" id="{2E056A8B-AF8C-431C-9CCB-5536F065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641350" cy="768350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8" workbookViewId="0">
      <selection activeCell="G22" sqref="G22"/>
    </sheetView>
  </sheetViews>
  <sheetFormatPr defaultRowHeight="12.5" x14ac:dyDescent="0.25"/>
  <cols>
    <col min="1" max="1" width="20.81640625" customWidth="1"/>
  </cols>
  <sheetData>
    <row r="1" spans="1:6" x14ac:dyDescent="0.25">
      <c r="A1" t="s">
        <v>0</v>
      </c>
      <c r="D1" s="55" t="s">
        <v>1</v>
      </c>
      <c r="E1" s="55"/>
      <c r="F1" s="55"/>
    </row>
    <row r="2" spans="1:6" x14ac:dyDescent="0.25">
      <c r="A2" t="s">
        <v>2</v>
      </c>
      <c r="D2" s="55" t="s">
        <v>3</v>
      </c>
      <c r="E2" s="55"/>
      <c r="F2" s="55"/>
    </row>
    <row r="6" spans="1:6" ht="25" x14ac:dyDescent="0.25">
      <c r="A6" s="2" t="s">
        <v>10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</row>
    <row r="7" spans="1:6" x14ac:dyDescent="0.25">
      <c r="A7" s="1" t="s">
        <v>4</v>
      </c>
      <c r="B7" s="1">
        <v>32</v>
      </c>
      <c r="C7" s="4">
        <v>0.25</v>
      </c>
      <c r="D7" s="5">
        <f>B7*C7</f>
        <v>8</v>
      </c>
      <c r="E7" s="5">
        <f>D7*0.075</f>
        <v>0.6</v>
      </c>
      <c r="F7" s="5">
        <f>E7+D7</f>
        <v>8.6</v>
      </c>
    </row>
    <row r="8" spans="1:6" x14ac:dyDescent="0.25">
      <c r="A8" s="1" t="s">
        <v>11</v>
      </c>
      <c r="B8" s="1">
        <v>10</v>
      </c>
      <c r="C8" s="4">
        <v>0.75</v>
      </c>
      <c r="D8" s="5">
        <f>B8*C8</f>
        <v>7.5</v>
      </c>
      <c r="E8" s="5">
        <f>D8*0.075</f>
        <v>0.5625</v>
      </c>
      <c r="F8" s="5">
        <f>E8+D8</f>
        <v>8.0625</v>
      </c>
    </row>
    <row r="9" spans="1:6" x14ac:dyDescent="0.25">
      <c r="A9" s="1" t="s">
        <v>16</v>
      </c>
      <c r="B9" s="1">
        <v>5</v>
      </c>
      <c r="C9" s="4">
        <v>0.11</v>
      </c>
      <c r="D9" s="5">
        <f t="shared" ref="D9:D17" si="0">B9*C9</f>
        <v>0.55000000000000004</v>
      </c>
      <c r="E9" s="5">
        <f t="shared" ref="E9:E17" si="1">D9*0.075</f>
        <v>4.1250000000000002E-2</v>
      </c>
      <c r="F9" s="5">
        <f t="shared" ref="F9:F17" si="2">E9+D9</f>
        <v>0.59125000000000005</v>
      </c>
    </row>
    <row r="10" spans="1:6" x14ac:dyDescent="0.25">
      <c r="A10" s="1" t="s">
        <v>23</v>
      </c>
      <c r="B10" s="1">
        <v>32</v>
      </c>
      <c r="C10" s="4">
        <v>0.25</v>
      </c>
      <c r="D10" s="5">
        <f t="shared" si="0"/>
        <v>8</v>
      </c>
      <c r="E10" s="5">
        <f t="shared" si="1"/>
        <v>0.6</v>
      </c>
      <c r="F10" s="5">
        <f t="shared" si="2"/>
        <v>8.6</v>
      </c>
    </row>
    <row r="11" spans="1:6" x14ac:dyDescent="0.25">
      <c r="A11" s="1" t="s">
        <v>24</v>
      </c>
      <c r="B11" s="1">
        <v>10</v>
      </c>
      <c r="C11" s="4">
        <v>0.85</v>
      </c>
      <c r="D11" s="5">
        <f t="shared" si="0"/>
        <v>8.5</v>
      </c>
      <c r="E11" s="5">
        <f t="shared" si="1"/>
        <v>0.63749999999999996</v>
      </c>
      <c r="F11" s="5">
        <f t="shared" si="2"/>
        <v>9.1374999999999993</v>
      </c>
    </row>
    <row r="12" spans="1:6" x14ac:dyDescent="0.25">
      <c r="A12" s="1" t="s">
        <v>17</v>
      </c>
      <c r="B12" s="1">
        <v>1</v>
      </c>
      <c r="C12" s="4">
        <v>3.5</v>
      </c>
      <c r="D12" s="5">
        <f t="shared" si="0"/>
        <v>3.5</v>
      </c>
      <c r="E12" s="5">
        <f t="shared" si="1"/>
        <v>0.26250000000000001</v>
      </c>
      <c r="F12" s="5">
        <f t="shared" si="2"/>
        <v>3.7625000000000002</v>
      </c>
    </row>
    <row r="13" spans="1:6" x14ac:dyDescent="0.25">
      <c r="A13" s="1" t="s">
        <v>18</v>
      </c>
      <c r="B13" s="1">
        <v>5</v>
      </c>
      <c r="C13" s="4">
        <v>3.25</v>
      </c>
      <c r="D13" s="5">
        <f t="shared" si="0"/>
        <v>16.25</v>
      </c>
      <c r="E13" s="5">
        <f t="shared" si="1"/>
        <v>1.21875</v>
      </c>
      <c r="F13" s="5">
        <f t="shared" si="2"/>
        <v>17.46875</v>
      </c>
    </row>
    <row r="14" spans="1:6" x14ac:dyDescent="0.25">
      <c r="A14" s="1" t="s">
        <v>19</v>
      </c>
      <c r="B14" s="1">
        <v>2</v>
      </c>
      <c r="C14" s="4">
        <v>1.25</v>
      </c>
      <c r="D14" s="5">
        <f t="shared" si="0"/>
        <v>2.5</v>
      </c>
      <c r="E14" s="5">
        <f t="shared" si="1"/>
        <v>0.1875</v>
      </c>
      <c r="F14" s="5">
        <f t="shared" si="2"/>
        <v>2.6875</v>
      </c>
    </row>
    <row r="15" spans="1:6" x14ac:dyDescent="0.25">
      <c r="A15" s="1" t="s">
        <v>20</v>
      </c>
      <c r="B15" s="1">
        <v>6</v>
      </c>
      <c r="C15" s="4">
        <v>2.5</v>
      </c>
      <c r="D15" s="5">
        <f t="shared" si="0"/>
        <v>15</v>
      </c>
      <c r="E15" s="5">
        <f t="shared" si="1"/>
        <v>1.125</v>
      </c>
      <c r="F15" s="5">
        <f t="shared" si="2"/>
        <v>16.125</v>
      </c>
    </row>
    <row r="16" spans="1:6" x14ac:dyDescent="0.25">
      <c r="A16" s="1" t="s">
        <v>21</v>
      </c>
      <c r="B16" s="1">
        <v>3</v>
      </c>
      <c r="C16" s="4">
        <v>3.15</v>
      </c>
      <c r="D16" s="5">
        <f t="shared" si="0"/>
        <v>9.4499999999999993</v>
      </c>
      <c r="E16" s="5">
        <f t="shared" si="1"/>
        <v>0.70874999999999988</v>
      </c>
      <c r="F16" s="5">
        <f t="shared" si="2"/>
        <v>10.15875</v>
      </c>
    </row>
    <row r="17" spans="1:6" x14ac:dyDescent="0.25">
      <c r="A17" s="1" t="s">
        <v>22</v>
      </c>
      <c r="B17" s="1">
        <v>1</v>
      </c>
      <c r="C17" s="4">
        <v>7.25</v>
      </c>
      <c r="D17" s="5">
        <f t="shared" si="0"/>
        <v>7.25</v>
      </c>
      <c r="E17" s="5">
        <f t="shared" si="1"/>
        <v>0.54374999999999996</v>
      </c>
      <c r="F17" s="5">
        <f t="shared" si="2"/>
        <v>7.7937500000000002</v>
      </c>
    </row>
    <row r="18" spans="1:6" ht="13" thickBot="1" x14ac:dyDescent="0.3">
      <c r="D18" s="6"/>
      <c r="E18" s="7"/>
      <c r="F18" s="6"/>
    </row>
    <row r="19" spans="1:6" ht="13.5" thickTop="1" thickBot="1" x14ac:dyDescent="0.3">
      <c r="C19" t="s">
        <v>12</v>
      </c>
      <c r="E19" s="53">
        <f>SUM(F7:F17)</f>
        <v>92.987499999999997</v>
      </c>
      <c r="F19" s="54"/>
    </row>
    <row r="20" spans="1:6" ht="13.5" thickTop="1" thickBot="1" x14ac:dyDescent="0.3">
      <c r="C20" t="s">
        <v>13</v>
      </c>
      <c r="E20" s="53">
        <f>E19*0.1</f>
        <v>9.2987500000000001</v>
      </c>
      <c r="F20" s="54"/>
    </row>
    <row r="21" spans="1:6" ht="13.5" thickTop="1" thickBot="1" x14ac:dyDescent="0.3">
      <c r="C21" t="s">
        <v>14</v>
      </c>
      <c r="E21" s="53">
        <f>E19*0.03</f>
        <v>2.789625</v>
      </c>
      <c r="F21" s="54"/>
    </row>
    <row r="22" spans="1:6" ht="13.5" thickTop="1" thickBot="1" x14ac:dyDescent="0.3"/>
    <row r="23" spans="1:6" ht="13.5" thickTop="1" thickBot="1" x14ac:dyDescent="0.3">
      <c r="C23" t="s">
        <v>15</v>
      </c>
      <c r="E23" s="53">
        <f>E19-E20+E21</f>
        <v>86.478375</v>
      </c>
      <c r="F23" s="54"/>
    </row>
    <row r="24" spans="1:6" ht="13" thickTop="1" x14ac:dyDescent="0.25"/>
  </sheetData>
  <mergeCells count="6">
    <mergeCell ref="E21:F21"/>
    <mergeCell ref="E23:F23"/>
    <mergeCell ref="D1:F1"/>
    <mergeCell ref="D2:F2"/>
    <mergeCell ref="E19:F19"/>
    <mergeCell ref="E20:F20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D11" sqref="D11"/>
    </sheetView>
  </sheetViews>
  <sheetFormatPr defaultRowHeight="12.5" x14ac:dyDescent="0.25"/>
  <cols>
    <col min="1" max="1" width="14.81640625" bestFit="1" customWidth="1"/>
    <col min="2" max="2" width="10.7265625" style="10" bestFit="1" customWidth="1"/>
    <col min="3" max="3" width="12.81640625" bestFit="1" customWidth="1"/>
    <col min="4" max="4" width="9.1796875" style="10" customWidth="1"/>
  </cols>
  <sheetData>
    <row r="1" spans="1:6" s="8" customFormat="1" x14ac:dyDescent="0.25">
      <c r="A1" s="55" t="s">
        <v>25</v>
      </c>
      <c r="B1" s="55"/>
      <c r="C1" s="55"/>
      <c r="D1" s="55"/>
      <c r="E1" s="3"/>
      <c r="F1" s="3"/>
    </row>
    <row r="2" spans="1:6" x14ac:dyDescent="0.25">
      <c r="A2" s="8"/>
      <c r="B2" s="11"/>
      <c r="C2" s="8"/>
      <c r="D2" s="11"/>
    </row>
    <row r="3" spans="1:6" x14ac:dyDescent="0.25">
      <c r="A3" s="3" t="s">
        <v>26</v>
      </c>
      <c r="B3" s="9" t="s">
        <v>27</v>
      </c>
      <c r="C3" s="3" t="s">
        <v>28</v>
      </c>
      <c r="D3" s="9" t="s">
        <v>29</v>
      </c>
    </row>
    <row r="4" spans="1:6" x14ac:dyDescent="0.25">
      <c r="A4" t="s">
        <v>30</v>
      </c>
      <c r="B4" s="10">
        <v>8.75</v>
      </c>
      <c r="C4">
        <v>35</v>
      </c>
      <c r="D4" s="10">
        <f>B4*C4</f>
        <v>306.25</v>
      </c>
    </row>
    <row r="5" spans="1:6" x14ac:dyDescent="0.25">
      <c r="A5" t="s">
        <v>31</v>
      </c>
      <c r="B5" s="10">
        <v>9.1199999999999992</v>
      </c>
      <c r="C5">
        <v>47</v>
      </c>
      <c r="D5" s="10">
        <f>B5*C5</f>
        <v>428.64</v>
      </c>
    </row>
    <row r="6" spans="1:6" x14ac:dyDescent="0.25">
      <c r="A6" t="s">
        <v>32</v>
      </c>
      <c r="B6" s="10">
        <v>11.15</v>
      </c>
      <c r="C6">
        <v>39.5</v>
      </c>
      <c r="D6" s="10">
        <f>B6*C6</f>
        <v>440.42500000000001</v>
      </c>
    </row>
    <row r="7" spans="1:6" x14ac:dyDescent="0.25">
      <c r="A7" t="s">
        <v>33</v>
      </c>
      <c r="B7" s="10">
        <v>8.25</v>
      </c>
      <c r="C7">
        <v>32</v>
      </c>
      <c r="D7" s="10">
        <f>B7*C7</f>
        <v>264</v>
      </c>
    </row>
    <row r="8" spans="1:6" x14ac:dyDescent="0.25">
      <c r="A8" t="s">
        <v>34</v>
      </c>
      <c r="B8" s="10">
        <v>10.75</v>
      </c>
      <c r="C8">
        <v>41</v>
      </c>
      <c r="D8" s="10">
        <f>B8*C8</f>
        <v>440.75</v>
      </c>
    </row>
  </sheetData>
  <mergeCells count="1">
    <mergeCell ref="A1:D1"/>
  </mergeCells>
  <phoneticPr fontId="0" type="noConversion"/>
  <conditionalFormatting sqref="D3:D8">
    <cfRule type="cellIs" dxfId="3" priority="1" stopIfTrue="1" operator="lessThan">
      <formula>275</formula>
    </cfRule>
  </conditionalFormatting>
  <conditionalFormatting sqref="C4:C8">
    <cfRule type="cellIs" dxfId="2" priority="2" stopIfTrue="1" operator="greaterThan">
      <formula>40</formula>
    </cfRule>
  </conditionalFormatting>
  <pageMargins left="0.75" right="0.75" top="1" bottom="1" header="0.5" footer="0.5"/>
  <pageSetup orientation="portrait" horizontalDpi="4294967293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4"/>
  <sheetViews>
    <sheetView tabSelected="1" workbookViewId="0">
      <pane ySplit="8" topLeftCell="A9" activePane="bottomLeft" state="frozen"/>
      <selection pane="bottomLeft" activeCell="C35" sqref="C35"/>
    </sheetView>
  </sheetViews>
  <sheetFormatPr defaultRowHeight="12.5" x14ac:dyDescent="0.25"/>
  <cols>
    <col min="3" max="3" width="21.81640625" bestFit="1" customWidth="1"/>
    <col min="4" max="4" width="3.54296875" bestFit="1" customWidth="1"/>
    <col min="6" max="6" width="10.26953125" bestFit="1" customWidth="1"/>
    <col min="7" max="7" width="11.1796875" bestFit="1" customWidth="1"/>
    <col min="8" max="8" width="8.7265625" bestFit="1" customWidth="1"/>
    <col min="9" max="9" width="10" bestFit="1" customWidth="1"/>
    <col min="10" max="10" width="10.26953125" bestFit="1" customWidth="1"/>
  </cols>
  <sheetData>
    <row r="1" spans="2:10" s="57" customFormat="1" x14ac:dyDescent="0.25"/>
    <row r="2" spans="2:10" s="57" customFormat="1" x14ac:dyDescent="0.25"/>
    <row r="3" spans="2:10" s="57" customFormat="1" x14ac:dyDescent="0.25"/>
    <row r="4" spans="2:10" s="57" customFormat="1" x14ac:dyDescent="0.25"/>
    <row r="5" spans="2:10" s="8" customFormat="1" x14ac:dyDescent="0.25">
      <c r="C5" s="57"/>
      <c r="D5" s="57"/>
      <c r="E5" s="57"/>
      <c r="F5" s="57"/>
      <c r="G5" s="57"/>
      <c r="H5" s="57"/>
      <c r="I5" s="57"/>
      <c r="J5" s="57"/>
    </row>
    <row r="6" spans="2:10" s="8" customFormat="1" ht="13" thickBot="1" x14ac:dyDescent="0.3">
      <c r="C6" s="60"/>
      <c r="D6" s="60"/>
      <c r="E6" s="60"/>
      <c r="F6" s="60"/>
      <c r="G6" s="60"/>
      <c r="H6" s="60"/>
      <c r="I6" s="60"/>
      <c r="J6" s="60"/>
    </row>
    <row r="7" spans="2:10" ht="13" thickTop="1" x14ac:dyDescent="0.25">
      <c r="B7" s="13"/>
      <c r="C7" s="29"/>
      <c r="D7" s="61" t="s">
        <v>59</v>
      </c>
      <c r="E7" s="30"/>
      <c r="F7" s="30"/>
      <c r="G7" s="30"/>
      <c r="H7" s="30"/>
      <c r="I7" s="30"/>
      <c r="J7" s="31"/>
    </row>
    <row r="8" spans="2:10" s="12" customFormat="1" ht="13.5" thickBot="1" x14ac:dyDescent="0.35">
      <c r="B8" s="14"/>
      <c r="C8" s="32" t="s">
        <v>40</v>
      </c>
      <c r="D8" s="60"/>
      <c r="E8" s="33" t="s">
        <v>35</v>
      </c>
      <c r="F8" s="34" t="s">
        <v>36</v>
      </c>
      <c r="G8" s="34" t="s">
        <v>37</v>
      </c>
      <c r="H8" s="34" t="s">
        <v>38</v>
      </c>
      <c r="I8" s="34" t="s">
        <v>8</v>
      </c>
      <c r="J8" s="35" t="s">
        <v>39</v>
      </c>
    </row>
    <row r="9" spans="2:10" ht="13.5" thickTop="1" x14ac:dyDescent="0.3">
      <c r="B9" s="13"/>
      <c r="C9" s="50" t="s">
        <v>41</v>
      </c>
      <c r="D9" s="36"/>
      <c r="E9" s="36">
        <v>5</v>
      </c>
      <c r="F9" s="37">
        <v>43.95</v>
      </c>
      <c r="G9" s="38">
        <f>E9*F9</f>
        <v>219.75</v>
      </c>
      <c r="H9" s="37">
        <f>G9*0.07</f>
        <v>15.382500000000002</v>
      </c>
      <c r="I9" s="39">
        <f>G9*0.08</f>
        <v>17.580000000000002</v>
      </c>
      <c r="J9" s="40">
        <f>G9+H9+I9</f>
        <v>252.71250000000001</v>
      </c>
    </row>
    <row r="10" spans="2:10" ht="13" x14ac:dyDescent="0.3">
      <c r="B10" s="13"/>
      <c r="C10" s="51" t="s">
        <v>42</v>
      </c>
      <c r="D10" s="41"/>
      <c r="E10" s="41">
        <v>20</v>
      </c>
      <c r="F10" s="42">
        <v>29.99</v>
      </c>
      <c r="G10" s="43">
        <f t="shared" ref="G10:G22" si="0">E10*F10</f>
        <v>599.79999999999995</v>
      </c>
      <c r="H10" s="42">
        <f t="shared" ref="H10:H22" si="1">G10*0.07</f>
        <v>41.986000000000004</v>
      </c>
      <c r="I10" s="44">
        <f t="shared" ref="I10:I22" si="2">G10*0.08</f>
        <v>47.983999999999995</v>
      </c>
      <c r="J10" s="45">
        <f t="shared" ref="J10:J22" si="3">G10+H10+I10</f>
        <v>689.77</v>
      </c>
    </row>
    <row r="11" spans="2:10" ht="13" x14ac:dyDescent="0.3">
      <c r="B11" s="13"/>
      <c r="C11" s="51" t="s">
        <v>43</v>
      </c>
      <c r="D11" s="41"/>
      <c r="E11" s="41">
        <v>7</v>
      </c>
      <c r="F11" s="42">
        <v>33.450000000000003</v>
      </c>
      <c r="G11" s="43">
        <f t="shared" si="0"/>
        <v>234.15000000000003</v>
      </c>
      <c r="H11" s="42">
        <f t="shared" si="1"/>
        <v>16.390500000000003</v>
      </c>
      <c r="I11" s="44">
        <f t="shared" si="2"/>
        <v>18.732000000000003</v>
      </c>
      <c r="J11" s="45">
        <f t="shared" si="3"/>
        <v>269.27250000000004</v>
      </c>
    </row>
    <row r="12" spans="2:10" ht="13" x14ac:dyDescent="0.3">
      <c r="B12" s="13"/>
      <c r="C12" s="51" t="s">
        <v>44</v>
      </c>
      <c r="D12" s="41"/>
      <c r="E12" s="41">
        <v>25</v>
      </c>
      <c r="F12" s="42">
        <v>49.99</v>
      </c>
      <c r="G12" s="43">
        <f t="shared" si="0"/>
        <v>1249.75</v>
      </c>
      <c r="H12" s="42">
        <f t="shared" si="1"/>
        <v>87.482500000000002</v>
      </c>
      <c r="I12" s="44">
        <f t="shared" si="2"/>
        <v>99.98</v>
      </c>
      <c r="J12" s="45">
        <f t="shared" si="3"/>
        <v>1437.2125000000001</v>
      </c>
    </row>
    <row r="13" spans="2:10" ht="13" x14ac:dyDescent="0.3">
      <c r="B13" s="13"/>
      <c r="C13" s="51" t="s">
        <v>45</v>
      </c>
      <c r="D13" s="41"/>
      <c r="E13" s="41">
        <v>14</v>
      </c>
      <c r="F13" s="42">
        <v>5.97</v>
      </c>
      <c r="G13" s="43">
        <f t="shared" si="0"/>
        <v>83.58</v>
      </c>
      <c r="H13" s="42">
        <f t="shared" si="1"/>
        <v>5.8506</v>
      </c>
      <c r="I13" s="44">
        <f t="shared" si="2"/>
        <v>6.6863999999999999</v>
      </c>
      <c r="J13" s="45">
        <f t="shared" si="3"/>
        <v>96.117000000000004</v>
      </c>
    </row>
    <row r="14" spans="2:10" ht="13" x14ac:dyDescent="0.3">
      <c r="B14" s="13"/>
      <c r="C14" s="51" t="s">
        <v>46</v>
      </c>
      <c r="D14" s="41"/>
      <c r="E14" s="41">
        <v>9</v>
      </c>
      <c r="F14" s="42">
        <v>9.99</v>
      </c>
      <c r="G14" s="43">
        <f t="shared" si="0"/>
        <v>89.91</v>
      </c>
      <c r="H14" s="42">
        <f t="shared" si="1"/>
        <v>6.2937000000000003</v>
      </c>
      <c r="I14" s="44">
        <f t="shared" si="2"/>
        <v>7.1928000000000001</v>
      </c>
      <c r="J14" s="45">
        <f t="shared" si="3"/>
        <v>103.3965</v>
      </c>
    </row>
    <row r="15" spans="2:10" ht="13" x14ac:dyDescent="0.3">
      <c r="B15" s="13"/>
      <c r="C15" s="51" t="s">
        <v>47</v>
      </c>
      <c r="D15" s="41"/>
      <c r="E15" s="41">
        <v>24</v>
      </c>
      <c r="F15" s="42">
        <v>0.89</v>
      </c>
      <c r="G15" s="43">
        <f t="shared" si="0"/>
        <v>21.36</v>
      </c>
      <c r="H15" s="42">
        <f t="shared" si="1"/>
        <v>1.4952000000000001</v>
      </c>
      <c r="I15" s="44">
        <f t="shared" si="2"/>
        <v>1.7088000000000001</v>
      </c>
      <c r="J15" s="45">
        <f t="shared" si="3"/>
        <v>24.564</v>
      </c>
    </row>
    <row r="16" spans="2:10" ht="13" x14ac:dyDescent="0.3">
      <c r="B16" s="13"/>
      <c r="C16" s="51" t="s">
        <v>48</v>
      </c>
      <c r="D16" s="41"/>
      <c r="E16" s="41">
        <v>24</v>
      </c>
      <c r="F16" s="42">
        <v>1.29</v>
      </c>
      <c r="G16" s="42">
        <f t="shared" si="0"/>
        <v>30.96</v>
      </c>
      <c r="H16" s="42">
        <f t="shared" si="1"/>
        <v>2.1672000000000002</v>
      </c>
      <c r="I16" s="44">
        <f t="shared" si="2"/>
        <v>2.4768000000000003</v>
      </c>
      <c r="J16" s="46">
        <f t="shared" si="3"/>
        <v>35.603999999999999</v>
      </c>
    </row>
    <row r="17" spans="2:10" ht="13" x14ac:dyDescent="0.3">
      <c r="B17" s="13"/>
      <c r="C17" s="51" t="s">
        <v>51</v>
      </c>
      <c r="D17" s="41"/>
      <c r="E17" s="41">
        <v>3</v>
      </c>
      <c r="F17" s="42">
        <v>3.99</v>
      </c>
      <c r="G17" s="42">
        <f t="shared" si="0"/>
        <v>11.97</v>
      </c>
      <c r="H17" s="42">
        <f t="shared" si="1"/>
        <v>0.83790000000000009</v>
      </c>
      <c r="I17" s="44">
        <f t="shared" si="2"/>
        <v>0.95760000000000012</v>
      </c>
      <c r="J17" s="46">
        <f t="shared" si="3"/>
        <v>13.765499999999999</v>
      </c>
    </row>
    <row r="18" spans="2:10" ht="13" x14ac:dyDescent="0.3">
      <c r="B18" s="13"/>
      <c r="C18" s="51" t="s">
        <v>53</v>
      </c>
      <c r="D18" s="41"/>
      <c r="E18" s="41">
        <v>6</v>
      </c>
      <c r="F18" s="42">
        <v>14.5</v>
      </c>
      <c r="G18" s="42">
        <f t="shared" si="0"/>
        <v>87</v>
      </c>
      <c r="H18" s="42">
        <f t="shared" si="1"/>
        <v>6.0900000000000007</v>
      </c>
      <c r="I18" s="44">
        <f t="shared" si="2"/>
        <v>6.96</v>
      </c>
      <c r="J18" s="46">
        <f t="shared" si="3"/>
        <v>100.05</v>
      </c>
    </row>
    <row r="19" spans="2:10" ht="13" x14ac:dyDescent="0.3">
      <c r="B19" s="13"/>
      <c r="C19" s="51" t="s">
        <v>54</v>
      </c>
      <c r="D19" s="41"/>
      <c r="E19" s="41">
        <v>12</v>
      </c>
      <c r="F19" s="42">
        <v>12.98</v>
      </c>
      <c r="G19" s="42">
        <f t="shared" si="0"/>
        <v>155.76</v>
      </c>
      <c r="H19" s="42">
        <f t="shared" si="1"/>
        <v>10.9032</v>
      </c>
      <c r="I19" s="44">
        <f t="shared" si="2"/>
        <v>12.460799999999999</v>
      </c>
      <c r="J19" s="46">
        <f t="shared" si="3"/>
        <v>179.124</v>
      </c>
    </row>
    <row r="20" spans="2:10" ht="13" x14ac:dyDescent="0.3">
      <c r="B20" s="13"/>
      <c r="C20" s="51" t="s">
        <v>52</v>
      </c>
      <c r="D20" s="41"/>
      <c r="E20" s="41">
        <v>25</v>
      </c>
      <c r="F20" s="42">
        <v>3</v>
      </c>
      <c r="G20" s="42">
        <f t="shared" si="0"/>
        <v>75</v>
      </c>
      <c r="H20" s="42">
        <f t="shared" si="1"/>
        <v>5.2500000000000009</v>
      </c>
      <c r="I20" s="44">
        <f t="shared" si="2"/>
        <v>6</v>
      </c>
      <c r="J20" s="46">
        <f t="shared" si="3"/>
        <v>86.25</v>
      </c>
    </row>
    <row r="21" spans="2:10" ht="13" x14ac:dyDescent="0.3">
      <c r="B21" s="13"/>
      <c r="C21" s="51" t="s">
        <v>49</v>
      </c>
      <c r="D21" s="41"/>
      <c r="E21" s="41">
        <v>2</v>
      </c>
      <c r="F21" s="42">
        <v>25</v>
      </c>
      <c r="G21" s="42">
        <f t="shared" si="0"/>
        <v>50</v>
      </c>
      <c r="H21" s="42">
        <f t="shared" si="1"/>
        <v>3.5000000000000004</v>
      </c>
      <c r="I21" s="44">
        <f t="shared" si="2"/>
        <v>4</v>
      </c>
      <c r="J21" s="46">
        <f t="shared" si="3"/>
        <v>57.5</v>
      </c>
    </row>
    <row r="22" spans="2:10" ht="13.5" thickBot="1" x14ac:dyDescent="0.35">
      <c r="B22" s="13"/>
      <c r="C22" s="52" t="s">
        <v>50</v>
      </c>
      <c r="D22" s="47"/>
      <c r="E22" s="47">
        <v>1</v>
      </c>
      <c r="F22" s="48">
        <v>12.5</v>
      </c>
      <c r="G22" s="48">
        <f t="shared" si="0"/>
        <v>12.5</v>
      </c>
      <c r="H22" s="48">
        <f t="shared" si="1"/>
        <v>0.87500000000000011</v>
      </c>
      <c r="I22" s="49">
        <f t="shared" si="2"/>
        <v>1</v>
      </c>
      <c r="J22" s="18">
        <f t="shared" si="3"/>
        <v>14.375</v>
      </c>
    </row>
    <row r="23" spans="2:10" ht="13.5" thickTop="1" x14ac:dyDescent="0.3">
      <c r="B23" s="13"/>
      <c r="C23" s="19"/>
      <c r="D23" s="15"/>
      <c r="E23" s="15"/>
      <c r="F23" s="16"/>
      <c r="G23" s="58" t="s">
        <v>39</v>
      </c>
      <c r="H23" s="58"/>
      <c r="I23" s="58"/>
      <c r="J23" s="26">
        <f>SUM(J9:J22)</f>
        <v>3359.7134999999998</v>
      </c>
    </row>
    <row r="24" spans="2:10" ht="13" x14ac:dyDescent="0.3">
      <c r="B24" s="13"/>
      <c r="C24" s="17"/>
      <c r="D24" s="15"/>
      <c r="E24" s="15"/>
      <c r="F24" s="16"/>
      <c r="G24" s="16"/>
      <c r="H24" s="16"/>
      <c r="I24" s="16"/>
      <c r="J24" s="27"/>
    </row>
    <row r="25" spans="2:10" ht="13" x14ac:dyDescent="0.3">
      <c r="B25" s="13"/>
      <c r="C25" s="21"/>
      <c r="D25" s="15"/>
      <c r="E25" s="15"/>
      <c r="F25" s="16"/>
      <c r="G25" s="58" t="s">
        <v>55</v>
      </c>
      <c r="H25" s="58"/>
      <c r="I25" s="58"/>
      <c r="J25" s="27">
        <f>J23*0.1</f>
        <v>335.97135000000003</v>
      </c>
    </row>
    <row r="26" spans="2:10" ht="13" x14ac:dyDescent="0.3">
      <c r="B26" s="13"/>
      <c r="C26" s="21"/>
      <c r="D26" s="15"/>
      <c r="E26" s="15"/>
      <c r="F26" s="16"/>
      <c r="G26" s="58" t="s">
        <v>56</v>
      </c>
      <c r="H26" s="58"/>
      <c r="I26" s="58"/>
      <c r="J26" s="27">
        <f>J23*0.04</f>
        <v>134.38854000000001</v>
      </c>
    </row>
    <row r="27" spans="2:10" ht="13" x14ac:dyDescent="0.3">
      <c r="B27" s="13"/>
      <c r="C27" s="21"/>
      <c r="D27" s="15"/>
      <c r="E27" s="15"/>
      <c r="F27" s="16"/>
      <c r="G27" s="58" t="s">
        <v>58</v>
      </c>
      <c r="H27" s="58"/>
      <c r="I27" s="58"/>
      <c r="J27" s="27">
        <f>SUM(H9:H22)</f>
        <v>204.50430000000003</v>
      </c>
    </row>
    <row r="28" spans="2:10" ht="13" x14ac:dyDescent="0.3">
      <c r="B28" s="13"/>
      <c r="C28" s="17"/>
      <c r="D28" s="15"/>
      <c r="E28" s="15"/>
      <c r="F28" s="16"/>
      <c r="G28" s="58" t="s">
        <v>61</v>
      </c>
      <c r="H28" s="59"/>
      <c r="I28" s="59"/>
      <c r="J28" s="27">
        <f>SUM(I9:I22)</f>
        <v>233.71920000000003</v>
      </c>
    </row>
    <row r="29" spans="2:10" ht="13" x14ac:dyDescent="0.3">
      <c r="B29" s="13"/>
      <c r="C29" s="17"/>
      <c r="D29" s="15"/>
      <c r="E29" s="15"/>
      <c r="F29" s="16"/>
      <c r="G29" s="20"/>
      <c r="H29" s="22"/>
      <c r="I29" s="22"/>
      <c r="J29" s="27"/>
    </row>
    <row r="30" spans="2:10" ht="13.5" thickBot="1" x14ac:dyDescent="0.35">
      <c r="B30" s="13"/>
      <c r="C30" s="19"/>
      <c r="D30" s="15"/>
      <c r="E30" s="15"/>
      <c r="F30" s="16"/>
      <c r="G30" s="58" t="s">
        <v>57</v>
      </c>
      <c r="H30" s="58"/>
      <c r="I30" s="58"/>
      <c r="J30" s="28">
        <f>J23-J25+J26</f>
        <v>3158.13069</v>
      </c>
    </row>
    <row r="31" spans="2:10" ht="13.5" thickTop="1" thickBot="1" x14ac:dyDescent="0.3">
      <c r="B31" s="13"/>
      <c r="C31" s="23"/>
      <c r="D31" s="24"/>
      <c r="E31" s="24"/>
      <c r="F31" s="24"/>
      <c r="G31" s="24"/>
      <c r="H31" s="24"/>
      <c r="I31" s="24"/>
      <c r="J31" s="25"/>
    </row>
    <row r="32" spans="2:10" ht="13" thickTop="1" x14ac:dyDescent="0.25"/>
    <row r="33" spans="3:9" ht="13" x14ac:dyDescent="0.3">
      <c r="C33" s="56" t="s">
        <v>60</v>
      </c>
      <c r="D33" s="57"/>
      <c r="E33" s="57"/>
      <c r="F33" s="57"/>
      <c r="G33" s="57"/>
      <c r="H33" s="57"/>
      <c r="I33" s="57"/>
    </row>
    <row r="34" spans="3:9" ht="13" x14ac:dyDescent="0.3">
      <c r="C34" s="56" t="s">
        <v>62</v>
      </c>
      <c r="D34" s="57"/>
      <c r="E34" s="57"/>
      <c r="F34" s="57"/>
      <c r="G34" s="57"/>
      <c r="H34" s="57"/>
      <c r="I34" s="57"/>
    </row>
  </sheetData>
  <mergeCells count="12">
    <mergeCell ref="C5:J5"/>
    <mergeCell ref="D7:D8"/>
    <mergeCell ref="C33:I33"/>
    <mergeCell ref="C34:I34"/>
    <mergeCell ref="A1:XFD4"/>
    <mergeCell ref="G25:I25"/>
    <mergeCell ref="G26:I26"/>
    <mergeCell ref="G30:I30"/>
    <mergeCell ref="G27:I27"/>
    <mergeCell ref="G28:I28"/>
    <mergeCell ref="G23:I23"/>
    <mergeCell ref="C6:J6"/>
  </mergeCells>
  <phoneticPr fontId="0" type="noConversion"/>
  <conditionalFormatting sqref="F9:F22">
    <cfRule type="cellIs" dxfId="1" priority="1" stopIfTrue="1" operator="greaterThan">
      <formula>40</formula>
    </cfRule>
  </conditionalFormatting>
  <conditionalFormatting sqref="G9:G22">
    <cfRule type="cellIs" dxfId="0" priority="2" stopIfTrue="1" operator="greaterThan">
      <formula>500</formula>
    </cfRule>
  </conditionalFormatting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ABC School</vt:lpstr>
      <vt:lpstr>Employees</vt:lpstr>
      <vt:lpstr>Week 5 Homework Assignment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Crossroads Christian School</dc:creator>
  <cp:lastModifiedBy>Carina Negreanu</cp:lastModifiedBy>
  <dcterms:created xsi:type="dcterms:W3CDTF">2001-08-19T23:14:10Z</dcterms:created>
  <dcterms:modified xsi:type="dcterms:W3CDTF">2020-01-27T12:40:10Z</dcterms:modified>
</cp:coreProperties>
</file>