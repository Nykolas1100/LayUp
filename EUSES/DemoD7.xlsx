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E89933-0A21-424F-B99D-356CDE14807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H15" i="1"/>
  <c r="I15" i="1"/>
  <c r="J15" i="1"/>
  <c r="K15" i="1"/>
  <c r="B16" i="1"/>
  <c r="C16" i="1"/>
  <c r="D16" i="1"/>
  <c r="E16" i="1"/>
  <c r="F16" i="1"/>
  <c r="G16" i="1"/>
  <c r="H16" i="1"/>
  <c r="I16" i="1"/>
  <c r="J16" i="1"/>
  <c r="K16" i="1"/>
  <c r="A17" i="1"/>
  <c r="B17" i="1"/>
  <c r="C17" i="1"/>
  <c r="D17" i="1"/>
  <c r="E17" i="1"/>
  <c r="F17" i="1"/>
  <c r="G17" i="1"/>
  <c r="H17" i="1"/>
  <c r="I17" i="1"/>
  <c r="J17" i="1"/>
  <c r="K17" i="1"/>
  <c r="A18" i="1"/>
  <c r="B18" i="1"/>
  <c r="C18" i="1"/>
  <c r="D18" i="1"/>
  <c r="E18" i="1"/>
  <c r="F18" i="1"/>
  <c r="G18" i="1"/>
  <c r="H18" i="1"/>
  <c r="I18" i="1"/>
  <c r="J18" i="1"/>
  <c r="K18" i="1"/>
  <c r="A19" i="1"/>
  <c r="B19" i="1"/>
  <c r="C19" i="1"/>
  <c r="D19" i="1"/>
  <c r="E19" i="1"/>
  <c r="F19" i="1"/>
  <c r="G19" i="1"/>
  <c r="H19" i="1"/>
  <c r="I19" i="1"/>
  <c r="J19" i="1"/>
  <c r="K19" i="1"/>
  <c r="A20" i="1"/>
  <c r="B20" i="1"/>
  <c r="C20" i="1"/>
  <c r="D20" i="1"/>
  <c r="E20" i="1"/>
  <c r="F20" i="1"/>
  <c r="G20" i="1"/>
  <c r="H20" i="1"/>
  <c r="I20" i="1"/>
  <c r="J20" i="1"/>
  <c r="K20" i="1"/>
  <c r="A21" i="1"/>
  <c r="B21" i="1"/>
  <c r="C21" i="1"/>
  <c r="D21" i="1"/>
  <c r="E21" i="1"/>
  <c r="F21" i="1"/>
  <c r="G21" i="1"/>
  <c r="H21" i="1"/>
  <c r="I21" i="1"/>
  <c r="J21" i="1"/>
  <c r="K21" i="1"/>
  <c r="A22" i="1"/>
  <c r="B22" i="1"/>
  <c r="C22" i="1"/>
  <c r="D22" i="1"/>
  <c r="E22" i="1"/>
  <c r="F22" i="1"/>
  <c r="G22" i="1"/>
  <c r="H22" i="1"/>
  <c r="I22" i="1"/>
  <c r="J22" i="1"/>
  <c r="K22" i="1"/>
  <c r="A23" i="1"/>
  <c r="B23" i="1"/>
  <c r="C23" i="1"/>
  <c r="D23" i="1"/>
  <c r="E23" i="1"/>
  <c r="F23" i="1"/>
  <c r="G23" i="1"/>
  <c r="H23" i="1"/>
  <c r="I23" i="1"/>
  <c r="J23" i="1"/>
  <c r="K23" i="1"/>
  <c r="A24" i="1"/>
  <c r="B24" i="1"/>
  <c r="C24" i="1"/>
  <c r="D24" i="1"/>
  <c r="E24" i="1"/>
  <c r="F24" i="1"/>
  <c r="G24" i="1"/>
  <c r="H24" i="1"/>
  <c r="I24" i="1"/>
  <c r="J24" i="1"/>
  <c r="K24" i="1"/>
  <c r="A25" i="1"/>
  <c r="B25" i="1"/>
  <c r="C25" i="1"/>
  <c r="D25" i="1"/>
  <c r="E25" i="1"/>
  <c r="F25" i="1"/>
  <c r="G25" i="1"/>
  <c r="H25" i="1"/>
  <c r="I25" i="1"/>
  <c r="J25" i="1"/>
  <c r="K25" i="1"/>
  <c r="A26" i="1"/>
  <c r="B26" i="1"/>
  <c r="C26" i="1"/>
  <c r="D26" i="1"/>
  <c r="E26" i="1"/>
  <c r="F26" i="1"/>
  <c r="G26" i="1"/>
  <c r="H26" i="1"/>
  <c r="I26" i="1"/>
  <c r="J26" i="1"/>
  <c r="K26" i="1"/>
  <c r="A27" i="1"/>
  <c r="B27" i="1"/>
  <c r="C27" i="1"/>
  <c r="D27" i="1"/>
  <c r="E27" i="1"/>
  <c r="F27" i="1"/>
  <c r="G27" i="1"/>
  <c r="H27" i="1"/>
  <c r="I27" i="1"/>
  <c r="J27" i="1"/>
  <c r="K27" i="1"/>
  <c r="A28" i="1"/>
  <c r="B28" i="1"/>
  <c r="C28" i="1"/>
  <c r="D28" i="1"/>
  <c r="E28" i="1"/>
  <c r="F28" i="1"/>
  <c r="G28" i="1"/>
  <c r="H28" i="1"/>
  <c r="I28" i="1"/>
  <c r="J28" i="1"/>
  <c r="K28" i="1"/>
  <c r="A29" i="1"/>
  <c r="B29" i="1"/>
  <c r="C29" i="1"/>
  <c r="D29" i="1"/>
  <c r="E29" i="1"/>
  <c r="F29" i="1"/>
  <c r="G29" i="1"/>
  <c r="H29" i="1"/>
  <c r="I29" i="1"/>
  <c r="J29" i="1"/>
  <c r="K29" i="1"/>
  <c r="A30" i="1"/>
  <c r="B30" i="1"/>
  <c r="C30" i="1"/>
  <c r="D30" i="1"/>
  <c r="E30" i="1"/>
  <c r="F30" i="1"/>
  <c r="G30" i="1"/>
  <c r="H30" i="1"/>
  <c r="I30" i="1"/>
  <c r="J30" i="1"/>
  <c r="K30" i="1"/>
  <c r="A31" i="1"/>
  <c r="B31" i="1"/>
  <c r="C31" i="1"/>
  <c r="D31" i="1"/>
  <c r="E31" i="1"/>
  <c r="F31" i="1"/>
  <c r="G31" i="1"/>
  <c r="H31" i="1"/>
  <c r="I31" i="1"/>
  <c r="J31" i="1"/>
  <c r="K31" i="1"/>
  <c r="A32" i="1"/>
  <c r="B32" i="1"/>
  <c r="C32" i="1"/>
  <c r="D32" i="1"/>
  <c r="E32" i="1"/>
  <c r="F32" i="1"/>
  <c r="G32" i="1"/>
  <c r="H32" i="1"/>
  <c r="I32" i="1"/>
  <c r="J32" i="1"/>
  <c r="K32" i="1"/>
  <c r="A33" i="1"/>
  <c r="B33" i="1"/>
  <c r="C33" i="1"/>
  <c r="D33" i="1"/>
  <c r="E33" i="1"/>
  <c r="F33" i="1"/>
  <c r="G33" i="1"/>
  <c r="H33" i="1"/>
  <c r="I33" i="1"/>
  <c r="J33" i="1"/>
  <c r="K33" i="1"/>
  <c r="A34" i="1"/>
  <c r="B34" i="1"/>
  <c r="C34" i="1"/>
  <c r="D34" i="1"/>
  <c r="E34" i="1"/>
  <c r="F34" i="1"/>
  <c r="G34" i="1"/>
  <c r="H34" i="1"/>
  <c r="I34" i="1"/>
  <c r="J34" i="1"/>
  <c r="K34" i="1"/>
  <c r="A35" i="1"/>
  <c r="B35" i="1"/>
  <c r="C35" i="1"/>
  <c r="D35" i="1"/>
  <c r="E35" i="1"/>
  <c r="F35" i="1"/>
  <c r="G35" i="1"/>
  <c r="H35" i="1"/>
  <c r="I35" i="1"/>
  <c r="J35" i="1"/>
  <c r="K35" i="1"/>
  <c r="A36" i="1"/>
  <c r="B36" i="1"/>
  <c r="C36" i="1"/>
  <c r="D36" i="1"/>
  <c r="E36" i="1"/>
  <c r="F36" i="1"/>
  <c r="G36" i="1"/>
  <c r="H36" i="1"/>
  <c r="I36" i="1"/>
  <c r="J36" i="1"/>
  <c r="K36" i="1"/>
  <c r="A37" i="1"/>
  <c r="B37" i="1"/>
  <c r="C37" i="1"/>
  <c r="D37" i="1"/>
  <c r="E37" i="1"/>
  <c r="F37" i="1"/>
  <c r="G37" i="1"/>
  <c r="H37" i="1"/>
  <c r="I37" i="1"/>
  <c r="J37" i="1"/>
  <c r="K37" i="1"/>
  <c r="A38" i="1"/>
  <c r="B38" i="1"/>
  <c r="C38" i="1"/>
  <c r="D38" i="1"/>
  <c r="E38" i="1"/>
  <c r="F38" i="1"/>
  <c r="G38" i="1"/>
  <c r="H38" i="1"/>
  <c r="I38" i="1"/>
  <c r="J38" i="1"/>
  <c r="K38" i="1"/>
  <c r="A39" i="1"/>
  <c r="B39" i="1"/>
  <c r="C39" i="1"/>
  <c r="D39" i="1"/>
  <c r="E39" i="1"/>
  <c r="F39" i="1"/>
  <c r="G39" i="1"/>
  <c r="H39" i="1"/>
  <c r="I39" i="1"/>
  <c r="J39" i="1"/>
  <c r="K39" i="1"/>
  <c r="A40" i="1"/>
  <c r="B40" i="1"/>
  <c r="C40" i="1"/>
  <c r="D40" i="1"/>
  <c r="E40" i="1"/>
  <c r="F40" i="1"/>
  <c r="G40" i="1"/>
  <c r="H40" i="1"/>
  <c r="I40" i="1"/>
  <c r="J40" i="1"/>
  <c r="K40" i="1"/>
  <c r="A41" i="1"/>
  <c r="B41" i="1"/>
  <c r="C41" i="1"/>
  <c r="D41" i="1"/>
  <c r="E41" i="1"/>
  <c r="F41" i="1"/>
  <c r="G41" i="1"/>
  <c r="H41" i="1"/>
  <c r="I41" i="1"/>
  <c r="J41" i="1"/>
  <c r="K41" i="1"/>
  <c r="A42" i="1"/>
  <c r="B42" i="1"/>
  <c r="C42" i="1"/>
  <c r="D42" i="1"/>
  <c r="E42" i="1"/>
  <c r="F42" i="1"/>
  <c r="G42" i="1"/>
  <c r="H42" i="1"/>
  <c r="I42" i="1"/>
  <c r="J42" i="1"/>
  <c r="K42" i="1"/>
  <c r="A43" i="1"/>
  <c r="B43" i="1"/>
  <c r="C43" i="1"/>
  <c r="D43" i="1"/>
  <c r="E43" i="1"/>
  <c r="F43" i="1"/>
  <c r="G43" i="1"/>
  <c r="H43" i="1"/>
  <c r="I43" i="1"/>
  <c r="J43" i="1"/>
  <c r="K43" i="1"/>
  <c r="A44" i="1"/>
  <c r="B44" i="1"/>
  <c r="C44" i="1"/>
  <c r="D44" i="1"/>
  <c r="E44" i="1"/>
  <c r="F44" i="1"/>
  <c r="G44" i="1"/>
  <c r="H44" i="1"/>
  <c r="I44" i="1"/>
  <c r="J44" i="1"/>
  <c r="K44" i="1"/>
  <c r="A45" i="1"/>
  <c r="B45" i="1"/>
  <c r="C45" i="1"/>
  <c r="D45" i="1"/>
  <c r="E45" i="1"/>
  <c r="F45" i="1"/>
  <c r="G45" i="1"/>
  <c r="H45" i="1"/>
  <c r="I45" i="1"/>
  <c r="J45" i="1"/>
  <c r="K45" i="1"/>
  <c r="B49" i="1"/>
  <c r="C50" i="1"/>
  <c r="D50" i="1"/>
  <c r="E50" i="1"/>
  <c r="F50" i="1"/>
  <c r="G50" i="1"/>
  <c r="H50" i="1"/>
  <c r="I50" i="1"/>
  <c r="J50" i="1"/>
  <c r="K50" i="1"/>
  <c r="B51" i="1"/>
  <c r="C51" i="1"/>
  <c r="D51" i="1"/>
  <c r="E51" i="1"/>
  <c r="F51" i="1"/>
  <c r="G51" i="1"/>
  <c r="H51" i="1"/>
  <c r="I51" i="1"/>
  <c r="J51" i="1"/>
  <c r="K51" i="1"/>
  <c r="A52" i="1"/>
  <c r="B52" i="1"/>
  <c r="C52" i="1"/>
  <c r="D52" i="1"/>
  <c r="E52" i="1"/>
  <c r="F52" i="1"/>
  <c r="G52" i="1"/>
  <c r="H52" i="1"/>
  <c r="I52" i="1"/>
  <c r="J52" i="1"/>
  <c r="K52" i="1"/>
  <c r="A53" i="1"/>
  <c r="B53" i="1"/>
  <c r="C53" i="1"/>
  <c r="D53" i="1"/>
  <c r="E53" i="1"/>
  <c r="F53" i="1"/>
  <c r="G53" i="1"/>
  <c r="H53" i="1"/>
  <c r="I53" i="1"/>
  <c r="J53" i="1"/>
  <c r="K53" i="1"/>
  <c r="A54" i="1"/>
  <c r="B54" i="1"/>
  <c r="C54" i="1"/>
  <c r="D54" i="1"/>
  <c r="E54" i="1"/>
  <c r="F54" i="1"/>
  <c r="G54" i="1"/>
  <c r="H54" i="1"/>
  <c r="I54" i="1"/>
  <c r="J54" i="1"/>
  <c r="K54" i="1"/>
  <c r="A55" i="1"/>
  <c r="B55" i="1"/>
  <c r="C55" i="1"/>
  <c r="D55" i="1"/>
  <c r="E55" i="1"/>
  <c r="F55" i="1"/>
  <c r="G55" i="1"/>
  <c r="H55" i="1"/>
  <c r="I55" i="1"/>
  <c r="J55" i="1"/>
  <c r="K55" i="1"/>
  <c r="A56" i="1"/>
  <c r="B56" i="1"/>
  <c r="C56" i="1"/>
  <c r="D56" i="1"/>
  <c r="E56" i="1"/>
  <c r="F56" i="1"/>
  <c r="G56" i="1"/>
  <c r="H56" i="1"/>
  <c r="I56" i="1"/>
  <c r="J56" i="1"/>
  <c r="K56" i="1"/>
  <c r="A57" i="1"/>
  <c r="B57" i="1"/>
  <c r="C57" i="1"/>
  <c r="D57" i="1"/>
  <c r="E57" i="1"/>
  <c r="F57" i="1"/>
  <c r="G57" i="1"/>
  <c r="H57" i="1"/>
  <c r="I57" i="1"/>
  <c r="J57" i="1"/>
  <c r="K57" i="1"/>
  <c r="A58" i="1"/>
  <c r="B58" i="1"/>
  <c r="C58" i="1"/>
  <c r="D58" i="1"/>
  <c r="E58" i="1"/>
  <c r="F58" i="1"/>
  <c r="G58" i="1"/>
  <c r="H58" i="1"/>
  <c r="I58" i="1"/>
  <c r="J58" i="1"/>
  <c r="K58" i="1"/>
  <c r="A59" i="1"/>
  <c r="B59" i="1"/>
  <c r="C59" i="1"/>
  <c r="D59" i="1"/>
  <c r="E59" i="1"/>
  <c r="F59" i="1"/>
  <c r="G59" i="1"/>
  <c r="H59" i="1"/>
  <c r="I59" i="1"/>
  <c r="J59" i="1"/>
  <c r="K59" i="1"/>
  <c r="A60" i="1"/>
  <c r="B60" i="1"/>
  <c r="C60" i="1"/>
  <c r="D60" i="1"/>
  <c r="E60" i="1"/>
  <c r="F60" i="1"/>
  <c r="G60" i="1"/>
  <c r="H60" i="1"/>
  <c r="I60" i="1"/>
  <c r="J60" i="1"/>
  <c r="K60" i="1"/>
  <c r="A61" i="1"/>
  <c r="B61" i="1"/>
  <c r="C61" i="1"/>
  <c r="D61" i="1"/>
  <c r="E61" i="1"/>
  <c r="F61" i="1"/>
  <c r="G61" i="1"/>
  <c r="H61" i="1"/>
  <c r="I61" i="1"/>
  <c r="J61" i="1"/>
  <c r="K61" i="1"/>
  <c r="A62" i="1"/>
  <c r="B62" i="1"/>
  <c r="C62" i="1"/>
  <c r="D62" i="1"/>
  <c r="E62" i="1"/>
  <c r="F62" i="1"/>
  <c r="G62" i="1"/>
  <c r="H62" i="1"/>
  <c r="I62" i="1"/>
  <c r="J62" i="1"/>
  <c r="K62" i="1"/>
  <c r="A63" i="1"/>
  <c r="B63" i="1"/>
  <c r="C63" i="1"/>
  <c r="D63" i="1"/>
  <c r="E63" i="1"/>
  <c r="F63" i="1"/>
  <c r="G63" i="1"/>
  <c r="H63" i="1"/>
  <c r="I63" i="1"/>
  <c r="J63" i="1"/>
  <c r="K63" i="1"/>
  <c r="A64" i="1"/>
  <c r="B64" i="1"/>
  <c r="C64" i="1"/>
  <c r="D64" i="1"/>
  <c r="E64" i="1"/>
  <c r="F64" i="1"/>
  <c r="G64" i="1"/>
  <c r="H64" i="1"/>
  <c r="I64" i="1"/>
  <c r="J64" i="1"/>
  <c r="K64" i="1"/>
  <c r="A65" i="1"/>
  <c r="B65" i="1"/>
  <c r="C65" i="1"/>
  <c r="D65" i="1"/>
  <c r="E65" i="1"/>
  <c r="F65" i="1"/>
  <c r="G65" i="1"/>
  <c r="H65" i="1"/>
  <c r="I65" i="1"/>
  <c r="J65" i="1"/>
  <c r="K65" i="1"/>
  <c r="A66" i="1"/>
  <c r="B66" i="1"/>
  <c r="C66" i="1"/>
  <c r="D66" i="1"/>
  <c r="E66" i="1"/>
  <c r="F66" i="1"/>
  <c r="G66" i="1"/>
  <c r="H66" i="1"/>
  <c r="I66" i="1"/>
  <c r="J66" i="1"/>
  <c r="K66" i="1"/>
  <c r="A67" i="1"/>
  <c r="B67" i="1"/>
  <c r="C67" i="1"/>
  <c r="D67" i="1"/>
  <c r="E67" i="1"/>
  <c r="F67" i="1"/>
  <c r="G67" i="1"/>
  <c r="H67" i="1"/>
  <c r="I67" i="1"/>
  <c r="J67" i="1"/>
  <c r="K67" i="1"/>
  <c r="A68" i="1"/>
  <c r="B68" i="1"/>
  <c r="C68" i="1"/>
  <c r="D68" i="1"/>
  <c r="E68" i="1"/>
  <c r="F68" i="1"/>
  <c r="G68" i="1"/>
  <c r="H68" i="1"/>
  <c r="I68" i="1"/>
  <c r="J68" i="1"/>
  <c r="K68" i="1"/>
  <c r="A69" i="1"/>
  <c r="B69" i="1"/>
  <c r="C69" i="1"/>
  <c r="D69" i="1"/>
  <c r="E69" i="1"/>
  <c r="F69" i="1"/>
  <c r="G69" i="1"/>
  <c r="H69" i="1"/>
  <c r="I69" i="1"/>
  <c r="J69" i="1"/>
  <c r="K69" i="1"/>
  <c r="A70" i="1"/>
  <c r="B70" i="1"/>
  <c r="C70" i="1"/>
  <c r="D70" i="1"/>
  <c r="E70" i="1"/>
  <c r="F70" i="1"/>
  <c r="G70" i="1"/>
  <c r="H70" i="1"/>
  <c r="I70" i="1"/>
  <c r="J70" i="1"/>
  <c r="K70" i="1"/>
  <c r="A71" i="1"/>
  <c r="B71" i="1"/>
  <c r="C71" i="1"/>
  <c r="D71" i="1"/>
  <c r="E71" i="1"/>
  <c r="F71" i="1"/>
  <c r="G71" i="1"/>
  <c r="H71" i="1"/>
  <c r="I71" i="1"/>
  <c r="J71" i="1"/>
  <c r="K71" i="1"/>
  <c r="A72" i="1"/>
  <c r="B72" i="1"/>
  <c r="C72" i="1"/>
  <c r="D72" i="1"/>
  <c r="E72" i="1"/>
  <c r="F72" i="1"/>
  <c r="G72" i="1"/>
  <c r="H72" i="1"/>
  <c r="I72" i="1"/>
  <c r="J72" i="1"/>
  <c r="K72" i="1"/>
  <c r="A73" i="1"/>
  <c r="B73" i="1"/>
  <c r="C73" i="1"/>
  <c r="D73" i="1"/>
  <c r="E73" i="1"/>
  <c r="F73" i="1"/>
  <c r="G73" i="1"/>
  <c r="H73" i="1"/>
  <c r="I73" i="1"/>
  <c r="J73" i="1"/>
  <c r="K73" i="1"/>
  <c r="A74" i="1"/>
  <c r="B74" i="1"/>
  <c r="C74" i="1"/>
  <c r="D74" i="1"/>
  <c r="E74" i="1"/>
  <c r="F74" i="1"/>
  <c r="G74" i="1"/>
  <c r="H74" i="1"/>
  <c r="I74" i="1"/>
  <c r="J74" i="1"/>
  <c r="K74" i="1"/>
  <c r="A75" i="1"/>
  <c r="B75" i="1"/>
  <c r="C75" i="1"/>
  <c r="D75" i="1"/>
  <c r="E75" i="1"/>
  <c r="F75" i="1"/>
  <c r="G75" i="1"/>
  <c r="H75" i="1"/>
  <c r="I75" i="1"/>
  <c r="J75" i="1"/>
  <c r="K75" i="1"/>
  <c r="A76" i="1"/>
  <c r="B76" i="1"/>
  <c r="C76" i="1"/>
  <c r="D76" i="1"/>
  <c r="E76" i="1"/>
  <c r="F76" i="1"/>
  <c r="G76" i="1"/>
  <c r="H76" i="1"/>
  <c r="I76" i="1"/>
  <c r="J76" i="1"/>
  <c r="K76" i="1"/>
  <c r="A77" i="1"/>
  <c r="B77" i="1"/>
  <c r="C77" i="1"/>
  <c r="D77" i="1"/>
  <c r="E77" i="1"/>
  <c r="F77" i="1"/>
  <c r="G77" i="1"/>
  <c r="H77" i="1"/>
  <c r="I77" i="1"/>
  <c r="J77" i="1"/>
  <c r="K77" i="1"/>
  <c r="A78" i="1"/>
  <c r="B78" i="1"/>
  <c r="C78" i="1"/>
  <c r="D78" i="1"/>
  <c r="E78" i="1"/>
  <c r="F78" i="1"/>
  <c r="G78" i="1"/>
  <c r="H78" i="1"/>
  <c r="I78" i="1"/>
  <c r="J78" i="1"/>
  <c r="K78" i="1"/>
  <c r="A79" i="1"/>
  <c r="B79" i="1"/>
  <c r="C79" i="1"/>
  <c r="D79" i="1"/>
  <c r="E79" i="1"/>
  <c r="F79" i="1"/>
  <c r="G79" i="1"/>
  <c r="H79" i="1"/>
  <c r="I79" i="1"/>
  <c r="J79" i="1"/>
  <c r="K79" i="1"/>
  <c r="A80" i="1"/>
  <c r="B80" i="1"/>
  <c r="C80" i="1"/>
  <c r="D80" i="1"/>
  <c r="E80" i="1"/>
  <c r="F80" i="1"/>
  <c r="G80" i="1"/>
  <c r="H80" i="1"/>
  <c r="I80" i="1"/>
  <c r="J80" i="1"/>
  <c r="K80" i="1"/>
  <c r="B84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A87" i="1"/>
  <c r="B87" i="1"/>
  <c r="C87" i="1"/>
  <c r="D87" i="1"/>
  <c r="E87" i="1"/>
  <c r="F87" i="1"/>
  <c r="G87" i="1"/>
  <c r="H87" i="1"/>
  <c r="I87" i="1"/>
  <c r="J87" i="1"/>
  <c r="K87" i="1"/>
  <c r="A88" i="1"/>
  <c r="B88" i="1"/>
  <c r="C88" i="1"/>
  <c r="D88" i="1"/>
  <c r="E88" i="1"/>
  <c r="F88" i="1"/>
  <c r="G88" i="1"/>
  <c r="H88" i="1"/>
  <c r="I88" i="1"/>
  <c r="J88" i="1"/>
  <c r="K88" i="1"/>
  <c r="A89" i="1"/>
  <c r="B89" i="1"/>
  <c r="C89" i="1"/>
  <c r="D89" i="1"/>
  <c r="E89" i="1"/>
  <c r="F89" i="1"/>
  <c r="G89" i="1"/>
  <c r="H89" i="1"/>
  <c r="I89" i="1"/>
  <c r="J89" i="1"/>
  <c r="K89" i="1"/>
  <c r="A90" i="1"/>
  <c r="B90" i="1"/>
  <c r="C90" i="1"/>
  <c r="D90" i="1"/>
  <c r="E90" i="1"/>
  <c r="F90" i="1"/>
  <c r="G90" i="1"/>
  <c r="H90" i="1"/>
  <c r="I90" i="1"/>
  <c r="J90" i="1"/>
  <c r="K90" i="1"/>
  <c r="A91" i="1"/>
  <c r="B91" i="1"/>
  <c r="C91" i="1"/>
  <c r="D91" i="1"/>
  <c r="E91" i="1"/>
  <c r="F91" i="1"/>
  <c r="G91" i="1"/>
  <c r="H91" i="1"/>
  <c r="I91" i="1"/>
  <c r="J91" i="1"/>
  <c r="K91" i="1"/>
  <c r="A92" i="1"/>
  <c r="B92" i="1"/>
  <c r="C92" i="1"/>
  <c r="D92" i="1"/>
  <c r="E92" i="1"/>
  <c r="F92" i="1"/>
  <c r="G92" i="1"/>
  <c r="H92" i="1"/>
  <c r="I92" i="1"/>
  <c r="J92" i="1"/>
  <c r="K92" i="1"/>
  <c r="A93" i="1"/>
  <c r="B93" i="1"/>
  <c r="C93" i="1"/>
  <c r="D93" i="1"/>
  <c r="E93" i="1"/>
  <c r="F93" i="1"/>
  <c r="G93" i="1"/>
  <c r="H93" i="1"/>
  <c r="I93" i="1"/>
  <c r="J93" i="1"/>
  <c r="K93" i="1"/>
  <c r="A94" i="1"/>
  <c r="B94" i="1"/>
  <c r="C94" i="1"/>
  <c r="D94" i="1"/>
  <c r="E94" i="1"/>
  <c r="F94" i="1"/>
  <c r="G94" i="1"/>
  <c r="H94" i="1"/>
  <c r="I94" i="1"/>
  <c r="J94" i="1"/>
  <c r="K94" i="1"/>
  <c r="A95" i="1"/>
  <c r="B95" i="1"/>
  <c r="C95" i="1"/>
  <c r="D95" i="1"/>
  <c r="E95" i="1"/>
  <c r="F95" i="1"/>
  <c r="G95" i="1"/>
  <c r="H95" i="1"/>
  <c r="I95" i="1"/>
  <c r="J95" i="1"/>
  <c r="K95" i="1"/>
  <c r="A96" i="1"/>
  <c r="B96" i="1"/>
  <c r="C96" i="1"/>
  <c r="D96" i="1"/>
  <c r="E96" i="1"/>
  <c r="F96" i="1"/>
  <c r="G96" i="1"/>
  <c r="H96" i="1"/>
  <c r="I96" i="1"/>
  <c r="J96" i="1"/>
  <c r="K96" i="1"/>
  <c r="A97" i="1"/>
  <c r="B97" i="1"/>
  <c r="C97" i="1"/>
  <c r="D97" i="1"/>
  <c r="E97" i="1"/>
  <c r="F97" i="1"/>
  <c r="G97" i="1"/>
  <c r="H97" i="1"/>
  <c r="I97" i="1"/>
  <c r="J97" i="1"/>
  <c r="K97" i="1"/>
  <c r="A98" i="1"/>
  <c r="B98" i="1"/>
  <c r="C98" i="1"/>
  <c r="D98" i="1"/>
  <c r="E98" i="1"/>
  <c r="F98" i="1"/>
  <c r="G98" i="1"/>
  <c r="H98" i="1"/>
  <c r="I98" i="1"/>
  <c r="J98" i="1"/>
  <c r="K98" i="1"/>
  <c r="A99" i="1"/>
  <c r="B99" i="1"/>
  <c r="C99" i="1"/>
  <c r="D99" i="1"/>
  <c r="E99" i="1"/>
  <c r="F99" i="1"/>
  <c r="G99" i="1"/>
  <c r="H99" i="1"/>
  <c r="I99" i="1"/>
  <c r="J99" i="1"/>
  <c r="K99" i="1"/>
  <c r="A100" i="1"/>
  <c r="B100" i="1"/>
  <c r="C100" i="1"/>
  <c r="D100" i="1"/>
  <c r="E100" i="1"/>
  <c r="F100" i="1"/>
  <c r="G100" i="1"/>
  <c r="H100" i="1"/>
  <c r="I100" i="1"/>
  <c r="J100" i="1"/>
  <c r="K100" i="1"/>
  <c r="A101" i="1"/>
  <c r="B101" i="1"/>
  <c r="C101" i="1"/>
  <c r="D101" i="1"/>
  <c r="E101" i="1"/>
  <c r="F101" i="1"/>
  <c r="G101" i="1"/>
  <c r="H101" i="1"/>
  <c r="I101" i="1"/>
  <c r="J101" i="1"/>
  <c r="K101" i="1"/>
  <c r="A102" i="1"/>
  <c r="B102" i="1"/>
  <c r="C102" i="1"/>
  <c r="D102" i="1"/>
  <c r="E102" i="1"/>
  <c r="F102" i="1"/>
  <c r="G102" i="1"/>
  <c r="H102" i="1"/>
  <c r="I102" i="1"/>
  <c r="J102" i="1"/>
  <c r="K102" i="1"/>
  <c r="A103" i="1"/>
  <c r="B103" i="1"/>
  <c r="C103" i="1"/>
  <c r="D103" i="1"/>
  <c r="E103" i="1"/>
  <c r="F103" i="1"/>
  <c r="G103" i="1"/>
  <c r="H103" i="1"/>
  <c r="I103" i="1"/>
  <c r="J103" i="1"/>
  <c r="K103" i="1"/>
  <c r="A104" i="1"/>
  <c r="B104" i="1"/>
  <c r="C104" i="1"/>
  <c r="D104" i="1"/>
  <c r="E104" i="1"/>
  <c r="F104" i="1"/>
  <c r="G104" i="1"/>
  <c r="H104" i="1"/>
  <c r="I104" i="1"/>
  <c r="J104" i="1"/>
  <c r="K104" i="1"/>
  <c r="A105" i="1"/>
  <c r="B105" i="1"/>
  <c r="C105" i="1"/>
  <c r="D105" i="1"/>
  <c r="E105" i="1"/>
  <c r="F105" i="1"/>
  <c r="G105" i="1"/>
  <c r="H105" i="1"/>
  <c r="I105" i="1"/>
  <c r="J105" i="1"/>
  <c r="K105" i="1"/>
  <c r="A106" i="1"/>
  <c r="B106" i="1"/>
  <c r="C106" i="1"/>
  <c r="D106" i="1"/>
  <c r="E106" i="1"/>
  <c r="F106" i="1"/>
  <c r="G106" i="1"/>
  <c r="H106" i="1"/>
  <c r="I106" i="1"/>
  <c r="J106" i="1"/>
  <c r="K106" i="1"/>
  <c r="A107" i="1"/>
  <c r="B107" i="1"/>
  <c r="C107" i="1"/>
  <c r="D107" i="1"/>
  <c r="E107" i="1"/>
  <c r="F107" i="1"/>
  <c r="G107" i="1"/>
  <c r="H107" i="1"/>
  <c r="I107" i="1"/>
  <c r="J107" i="1"/>
  <c r="K107" i="1"/>
  <c r="A108" i="1"/>
  <c r="B108" i="1"/>
  <c r="C108" i="1"/>
  <c r="D108" i="1"/>
  <c r="E108" i="1"/>
  <c r="F108" i="1"/>
  <c r="G108" i="1"/>
  <c r="H108" i="1"/>
  <c r="I108" i="1"/>
  <c r="J108" i="1"/>
  <c r="K108" i="1"/>
  <c r="A109" i="1"/>
  <c r="B109" i="1"/>
  <c r="C109" i="1"/>
  <c r="D109" i="1"/>
  <c r="E109" i="1"/>
  <c r="F109" i="1"/>
  <c r="G109" i="1"/>
  <c r="H109" i="1"/>
  <c r="I109" i="1"/>
  <c r="J109" i="1"/>
  <c r="K109" i="1"/>
  <c r="A110" i="1"/>
  <c r="B110" i="1"/>
  <c r="C110" i="1"/>
  <c r="D110" i="1"/>
  <c r="E110" i="1"/>
  <c r="F110" i="1"/>
  <c r="G110" i="1"/>
  <c r="H110" i="1"/>
  <c r="I110" i="1"/>
  <c r="J110" i="1"/>
  <c r="K110" i="1"/>
  <c r="A111" i="1"/>
  <c r="B111" i="1"/>
  <c r="C111" i="1"/>
  <c r="D111" i="1"/>
  <c r="E111" i="1"/>
  <c r="F111" i="1"/>
  <c r="G111" i="1"/>
  <c r="H111" i="1"/>
  <c r="I111" i="1"/>
  <c r="J111" i="1"/>
  <c r="K111" i="1"/>
  <c r="A112" i="1"/>
  <c r="B112" i="1"/>
  <c r="C112" i="1"/>
  <c r="D112" i="1"/>
  <c r="E112" i="1"/>
  <c r="F112" i="1"/>
  <c r="G112" i="1"/>
  <c r="H112" i="1"/>
  <c r="I112" i="1"/>
  <c r="J112" i="1"/>
  <c r="K112" i="1"/>
  <c r="A113" i="1"/>
  <c r="B113" i="1"/>
  <c r="C113" i="1"/>
  <c r="D113" i="1"/>
  <c r="E113" i="1"/>
  <c r="F113" i="1"/>
  <c r="G113" i="1"/>
  <c r="H113" i="1"/>
  <c r="I113" i="1"/>
  <c r="J113" i="1"/>
  <c r="K113" i="1"/>
  <c r="A114" i="1"/>
  <c r="B114" i="1"/>
  <c r="C114" i="1"/>
  <c r="D114" i="1"/>
  <c r="E114" i="1"/>
  <c r="F114" i="1"/>
  <c r="G114" i="1"/>
  <c r="H114" i="1"/>
  <c r="I114" i="1"/>
  <c r="J114" i="1"/>
  <c r="K114" i="1"/>
  <c r="A115" i="1"/>
  <c r="B115" i="1"/>
  <c r="C115" i="1"/>
  <c r="D115" i="1"/>
  <c r="E115" i="1"/>
  <c r="F115" i="1"/>
  <c r="G115" i="1"/>
  <c r="H115" i="1"/>
  <c r="I115" i="1"/>
  <c r="J115" i="1"/>
  <c r="K115" i="1"/>
  <c r="B119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A122" i="1"/>
  <c r="B122" i="1"/>
  <c r="C122" i="1"/>
  <c r="D122" i="1"/>
  <c r="E122" i="1"/>
  <c r="F122" i="1"/>
  <c r="G122" i="1"/>
  <c r="H122" i="1"/>
  <c r="I122" i="1"/>
  <c r="J122" i="1"/>
  <c r="K122" i="1"/>
  <c r="A123" i="1"/>
  <c r="B123" i="1"/>
  <c r="C123" i="1"/>
  <c r="D123" i="1"/>
  <c r="E123" i="1"/>
  <c r="F123" i="1"/>
  <c r="G123" i="1"/>
  <c r="H123" i="1"/>
  <c r="I123" i="1"/>
  <c r="J123" i="1"/>
  <c r="K123" i="1"/>
  <c r="A124" i="1"/>
  <c r="B124" i="1"/>
  <c r="C124" i="1"/>
  <c r="D124" i="1"/>
  <c r="E124" i="1"/>
  <c r="F124" i="1"/>
  <c r="G124" i="1"/>
  <c r="H124" i="1"/>
  <c r="I124" i="1"/>
  <c r="J124" i="1"/>
  <c r="K124" i="1"/>
  <c r="A125" i="1"/>
  <c r="B125" i="1"/>
  <c r="C125" i="1"/>
  <c r="D125" i="1"/>
  <c r="E125" i="1"/>
  <c r="F125" i="1"/>
  <c r="G125" i="1"/>
  <c r="H125" i="1"/>
  <c r="I125" i="1"/>
  <c r="J125" i="1"/>
  <c r="K125" i="1"/>
  <c r="A126" i="1"/>
  <c r="B126" i="1"/>
  <c r="C126" i="1"/>
  <c r="D126" i="1"/>
  <c r="E126" i="1"/>
  <c r="F126" i="1"/>
  <c r="G126" i="1"/>
  <c r="H126" i="1"/>
  <c r="I126" i="1"/>
  <c r="J126" i="1"/>
  <c r="K126" i="1"/>
  <c r="A127" i="1"/>
  <c r="B127" i="1"/>
  <c r="C127" i="1"/>
  <c r="D127" i="1"/>
  <c r="E127" i="1"/>
  <c r="F127" i="1"/>
  <c r="G127" i="1"/>
  <c r="H127" i="1"/>
  <c r="I127" i="1"/>
  <c r="J127" i="1"/>
  <c r="K127" i="1"/>
  <c r="A128" i="1"/>
  <c r="B128" i="1"/>
  <c r="C128" i="1"/>
  <c r="D128" i="1"/>
  <c r="E128" i="1"/>
  <c r="F128" i="1"/>
  <c r="G128" i="1"/>
  <c r="H128" i="1"/>
  <c r="I128" i="1"/>
  <c r="J128" i="1"/>
  <c r="K128" i="1"/>
  <c r="A129" i="1"/>
  <c r="B129" i="1"/>
  <c r="C129" i="1"/>
  <c r="D129" i="1"/>
  <c r="E129" i="1"/>
  <c r="F129" i="1"/>
  <c r="G129" i="1"/>
  <c r="H129" i="1"/>
  <c r="I129" i="1"/>
  <c r="J129" i="1"/>
  <c r="K129" i="1"/>
  <c r="A130" i="1"/>
  <c r="B130" i="1"/>
  <c r="C130" i="1"/>
  <c r="D130" i="1"/>
  <c r="E130" i="1"/>
  <c r="F130" i="1"/>
  <c r="G130" i="1"/>
  <c r="H130" i="1"/>
  <c r="I130" i="1"/>
  <c r="J130" i="1"/>
  <c r="K130" i="1"/>
  <c r="A131" i="1"/>
  <c r="B131" i="1"/>
  <c r="C131" i="1"/>
  <c r="D131" i="1"/>
  <c r="E131" i="1"/>
  <c r="F131" i="1"/>
  <c r="G131" i="1"/>
  <c r="H131" i="1"/>
  <c r="I131" i="1"/>
  <c r="J131" i="1"/>
  <c r="K131" i="1"/>
  <c r="A132" i="1"/>
  <c r="B132" i="1"/>
  <c r="C132" i="1"/>
  <c r="D132" i="1"/>
  <c r="E132" i="1"/>
  <c r="F132" i="1"/>
  <c r="G132" i="1"/>
  <c r="H132" i="1"/>
  <c r="I132" i="1"/>
  <c r="J132" i="1"/>
  <c r="K132" i="1"/>
  <c r="A133" i="1"/>
  <c r="B133" i="1"/>
  <c r="C133" i="1"/>
  <c r="D133" i="1"/>
  <c r="E133" i="1"/>
  <c r="F133" i="1"/>
  <c r="G133" i="1"/>
  <c r="H133" i="1"/>
  <c r="I133" i="1"/>
  <c r="J133" i="1"/>
  <c r="K133" i="1"/>
  <c r="A134" i="1"/>
  <c r="B134" i="1"/>
  <c r="C134" i="1"/>
  <c r="D134" i="1"/>
  <c r="E134" i="1"/>
  <c r="F134" i="1"/>
  <c r="G134" i="1"/>
  <c r="H134" i="1"/>
  <c r="I134" i="1"/>
  <c r="J134" i="1"/>
  <c r="K134" i="1"/>
  <c r="A135" i="1"/>
  <c r="B135" i="1"/>
  <c r="C135" i="1"/>
  <c r="D135" i="1"/>
  <c r="E135" i="1"/>
  <c r="F135" i="1"/>
  <c r="G135" i="1"/>
  <c r="H135" i="1"/>
  <c r="I135" i="1"/>
  <c r="J135" i="1"/>
  <c r="K135" i="1"/>
  <c r="A136" i="1"/>
  <c r="B136" i="1"/>
  <c r="C136" i="1"/>
  <c r="D136" i="1"/>
  <c r="E136" i="1"/>
  <c r="F136" i="1"/>
  <c r="G136" i="1"/>
  <c r="H136" i="1"/>
  <c r="I136" i="1"/>
  <c r="J136" i="1"/>
  <c r="K136" i="1"/>
  <c r="A137" i="1"/>
  <c r="B137" i="1"/>
  <c r="C137" i="1"/>
  <c r="D137" i="1"/>
  <c r="E137" i="1"/>
  <c r="F137" i="1"/>
  <c r="G137" i="1"/>
  <c r="H137" i="1"/>
  <c r="I137" i="1"/>
  <c r="J137" i="1"/>
  <c r="K137" i="1"/>
  <c r="A138" i="1"/>
  <c r="B138" i="1"/>
  <c r="C138" i="1"/>
  <c r="D138" i="1"/>
  <c r="E138" i="1"/>
  <c r="F138" i="1"/>
  <c r="G138" i="1"/>
  <c r="H138" i="1"/>
  <c r="I138" i="1"/>
  <c r="J138" i="1"/>
  <c r="K138" i="1"/>
  <c r="A139" i="1"/>
  <c r="B139" i="1"/>
  <c r="C139" i="1"/>
  <c r="D139" i="1"/>
  <c r="E139" i="1"/>
  <c r="F139" i="1"/>
  <c r="G139" i="1"/>
  <c r="H139" i="1"/>
  <c r="I139" i="1"/>
  <c r="J139" i="1"/>
  <c r="K139" i="1"/>
  <c r="A140" i="1"/>
  <c r="B140" i="1"/>
  <c r="C140" i="1"/>
  <c r="D140" i="1"/>
  <c r="E140" i="1"/>
  <c r="F140" i="1"/>
  <c r="G140" i="1"/>
  <c r="H140" i="1"/>
  <c r="I140" i="1"/>
  <c r="J140" i="1"/>
  <c r="K140" i="1"/>
  <c r="A141" i="1"/>
  <c r="B141" i="1"/>
  <c r="C141" i="1"/>
  <c r="D141" i="1"/>
  <c r="E141" i="1"/>
  <c r="F141" i="1"/>
  <c r="G141" i="1"/>
  <c r="H141" i="1"/>
  <c r="I141" i="1"/>
  <c r="J141" i="1"/>
  <c r="K141" i="1"/>
  <c r="A142" i="1"/>
  <c r="B142" i="1"/>
  <c r="C142" i="1"/>
  <c r="D142" i="1"/>
  <c r="E142" i="1"/>
  <c r="F142" i="1"/>
  <c r="G142" i="1"/>
  <c r="H142" i="1"/>
  <c r="I142" i="1"/>
  <c r="J142" i="1"/>
  <c r="K142" i="1"/>
  <c r="A143" i="1"/>
  <c r="B143" i="1"/>
  <c r="C143" i="1"/>
  <c r="D143" i="1"/>
  <c r="E143" i="1"/>
  <c r="F143" i="1"/>
  <c r="G143" i="1"/>
  <c r="H143" i="1"/>
  <c r="I143" i="1"/>
  <c r="J143" i="1"/>
  <c r="K143" i="1"/>
  <c r="A144" i="1"/>
  <c r="B144" i="1"/>
  <c r="C144" i="1"/>
  <c r="D144" i="1"/>
  <c r="E144" i="1"/>
  <c r="F144" i="1"/>
  <c r="G144" i="1"/>
  <c r="H144" i="1"/>
  <c r="I144" i="1"/>
  <c r="J144" i="1"/>
  <c r="K144" i="1"/>
  <c r="A145" i="1"/>
  <c r="B145" i="1"/>
  <c r="C145" i="1"/>
  <c r="D145" i="1"/>
  <c r="E145" i="1"/>
  <c r="F145" i="1"/>
  <c r="G145" i="1"/>
  <c r="H145" i="1"/>
  <c r="I145" i="1"/>
  <c r="J145" i="1"/>
  <c r="K145" i="1"/>
  <c r="A146" i="1"/>
  <c r="B146" i="1"/>
  <c r="C146" i="1"/>
  <c r="D146" i="1"/>
  <c r="E146" i="1"/>
  <c r="F146" i="1"/>
  <c r="G146" i="1"/>
  <c r="H146" i="1"/>
  <c r="I146" i="1"/>
  <c r="J146" i="1"/>
  <c r="K146" i="1"/>
  <c r="A147" i="1"/>
  <c r="B147" i="1"/>
  <c r="C147" i="1"/>
  <c r="D147" i="1"/>
  <c r="E147" i="1"/>
  <c r="F147" i="1"/>
  <c r="G147" i="1"/>
  <c r="H147" i="1"/>
  <c r="I147" i="1"/>
  <c r="J147" i="1"/>
  <c r="K147" i="1"/>
  <c r="A148" i="1"/>
  <c r="B148" i="1"/>
  <c r="C148" i="1"/>
  <c r="D148" i="1"/>
  <c r="E148" i="1"/>
  <c r="F148" i="1"/>
  <c r="G148" i="1"/>
  <c r="H148" i="1"/>
  <c r="I148" i="1"/>
  <c r="J148" i="1"/>
  <c r="K148" i="1"/>
  <c r="A149" i="1"/>
  <c r="B149" i="1"/>
  <c r="C149" i="1"/>
  <c r="D149" i="1"/>
  <c r="E149" i="1"/>
  <c r="F149" i="1"/>
  <c r="G149" i="1"/>
  <c r="H149" i="1"/>
  <c r="I149" i="1"/>
  <c r="J149" i="1"/>
  <c r="K149" i="1"/>
  <c r="A150" i="1"/>
  <c r="B150" i="1"/>
  <c r="C150" i="1"/>
  <c r="D150" i="1"/>
  <c r="E150" i="1"/>
  <c r="F150" i="1"/>
  <c r="G150" i="1"/>
  <c r="H150" i="1"/>
  <c r="I150" i="1"/>
  <c r="J150" i="1"/>
  <c r="K150" i="1"/>
  <c r="B154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A157" i="1"/>
  <c r="B157" i="1"/>
  <c r="C157" i="1"/>
  <c r="D157" i="1"/>
  <c r="E157" i="1"/>
  <c r="F157" i="1"/>
  <c r="G157" i="1"/>
  <c r="H157" i="1"/>
  <c r="I157" i="1"/>
  <c r="J157" i="1"/>
  <c r="K157" i="1"/>
  <c r="A158" i="1"/>
  <c r="B158" i="1"/>
  <c r="C158" i="1"/>
  <c r="D158" i="1"/>
  <c r="E158" i="1"/>
  <c r="F158" i="1"/>
  <c r="G158" i="1"/>
  <c r="H158" i="1"/>
  <c r="I158" i="1"/>
  <c r="J158" i="1"/>
  <c r="K158" i="1"/>
  <c r="A159" i="1"/>
  <c r="B159" i="1"/>
  <c r="C159" i="1"/>
  <c r="D159" i="1"/>
  <c r="E159" i="1"/>
  <c r="F159" i="1"/>
  <c r="G159" i="1"/>
  <c r="H159" i="1"/>
  <c r="I159" i="1"/>
  <c r="J159" i="1"/>
  <c r="K159" i="1"/>
  <c r="A160" i="1"/>
  <c r="B160" i="1"/>
  <c r="C160" i="1"/>
  <c r="D160" i="1"/>
  <c r="E160" i="1"/>
  <c r="F160" i="1"/>
  <c r="G160" i="1"/>
  <c r="H160" i="1"/>
  <c r="I160" i="1"/>
  <c r="J160" i="1"/>
  <c r="K160" i="1"/>
  <c r="A161" i="1"/>
  <c r="B161" i="1"/>
  <c r="C161" i="1"/>
  <c r="D161" i="1"/>
  <c r="E161" i="1"/>
  <c r="F161" i="1"/>
  <c r="G161" i="1"/>
  <c r="H161" i="1"/>
  <c r="I161" i="1"/>
  <c r="J161" i="1"/>
  <c r="K161" i="1"/>
  <c r="A162" i="1"/>
  <c r="B162" i="1"/>
  <c r="C162" i="1"/>
  <c r="D162" i="1"/>
  <c r="E162" i="1"/>
  <c r="F162" i="1"/>
  <c r="G162" i="1"/>
  <c r="H162" i="1"/>
  <c r="I162" i="1"/>
  <c r="J162" i="1"/>
  <c r="K162" i="1"/>
  <c r="A163" i="1"/>
  <c r="B163" i="1"/>
  <c r="C163" i="1"/>
  <c r="D163" i="1"/>
  <c r="E163" i="1"/>
  <c r="F163" i="1"/>
  <c r="G163" i="1"/>
  <c r="H163" i="1"/>
  <c r="I163" i="1"/>
  <c r="J163" i="1"/>
  <c r="K163" i="1"/>
  <c r="A164" i="1"/>
  <c r="B164" i="1"/>
  <c r="C164" i="1"/>
  <c r="D164" i="1"/>
  <c r="E164" i="1"/>
  <c r="F164" i="1"/>
  <c r="G164" i="1"/>
  <c r="H164" i="1"/>
  <c r="I164" i="1"/>
  <c r="J164" i="1"/>
  <c r="K164" i="1"/>
  <c r="A165" i="1"/>
  <c r="B165" i="1"/>
  <c r="C165" i="1"/>
  <c r="D165" i="1"/>
  <c r="E165" i="1"/>
  <c r="F165" i="1"/>
  <c r="G165" i="1"/>
  <c r="H165" i="1"/>
  <c r="I165" i="1"/>
  <c r="J165" i="1"/>
  <c r="K165" i="1"/>
  <c r="A166" i="1"/>
  <c r="B166" i="1"/>
  <c r="C166" i="1"/>
  <c r="D166" i="1"/>
  <c r="E166" i="1"/>
  <c r="F166" i="1"/>
  <c r="G166" i="1"/>
  <c r="H166" i="1"/>
  <c r="I166" i="1"/>
  <c r="J166" i="1"/>
  <c r="K166" i="1"/>
  <c r="A167" i="1"/>
  <c r="B167" i="1"/>
  <c r="C167" i="1"/>
  <c r="D167" i="1"/>
  <c r="E167" i="1"/>
  <c r="F167" i="1"/>
  <c r="G167" i="1"/>
  <c r="H167" i="1"/>
  <c r="I167" i="1"/>
  <c r="J167" i="1"/>
  <c r="K167" i="1"/>
  <c r="A168" i="1"/>
  <c r="B168" i="1"/>
  <c r="C168" i="1"/>
  <c r="D168" i="1"/>
  <c r="E168" i="1"/>
  <c r="F168" i="1"/>
  <c r="G168" i="1"/>
  <c r="H168" i="1"/>
  <c r="I168" i="1"/>
  <c r="J168" i="1"/>
  <c r="K168" i="1"/>
  <c r="A169" i="1"/>
  <c r="B169" i="1"/>
  <c r="C169" i="1"/>
  <c r="D169" i="1"/>
  <c r="E169" i="1"/>
  <c r="F169" i="1"/>
  <c r="G169" i="1"/>
  <c r="H169" i="1"/>
  <c r="I169" i="1"/>
  <c r="J169" i="1"/>
  <c r="K169" i="1"/>
  <c r="A170" i="1"/>
  <c r="B170" i="1"/>
  <c r="C170" i="1"/>
  <c r="D170" i="1"/>
  <c r="E170" i="1"/>
  <c r="F170" i="1"/>
  <c r="G170" i="1"/>
  <c r="H170" i="1"/>
  <c r="I170" i="1"/>
  <c r="J170" i="1"/>
  <c r="K170" i="1"/>
  <c r="A171" i="1"/>
  <c r="B171" i="1"/>
  <c r="C171" i="1"/>
  <c r="D171" i="1"/>
  <c r="E171" i="1"/>
  <c r="F171" i="1"/>
  <c r="G171" i="1"/>
  <c r="H171" i="1"/>
  <c r="I171" i="1"/>
  <c r="J171" i="1"/>
  <c r="K171" i="1"/>
  <c r="A172" i="1"/>
  <c r="B172" i="1"/>
  <c r="C172" i="1"/>
  <c r="D172" i="1"/>
  <c r="E172" i="1"/>
  <c r="F172" i="1"/>
  <c r="G172" i="1"/>
  <c r="H172" i="1"/>
  <c r="I172" i="1"/>
  <c r="J172" i="1"/>
  <c r="K172" i="1"/>
  <c r="A173" i="1"/>
  <c r="B173" i="1"/>
  <c r="C173" i="1"/>
  <c r="D173" i="1"/>
  <c r="E173" i="1"/>
  <c r="F173" i="1"/>
  <c r="G173" i="1"/>
  <c r="H173" i="1"/>
  <c r="I173" i="1"/>
  <c r="J173" i="1"/>
  <c r="K173" i="1"/>
  <c r="A174" i="1"/>
  <c r="B174" i="1"/>
  <c r="C174" i="1"/>
  <c r="D174" i="1"/>
  <c r="E174" i="1"/>
  <c r="F174" i="1"/>
  <c r="G174" i="1"/>
  <c r="H174" i="1"/>
  <c r="I174" i="1"/>
  <c r="J174" i="1"/>
  <c r="K174" i="1"/>
  <c r="A175" i="1"/>
  <c r="B175" i="1"/>
  <c r="C175" i="1"/>
  <c r="D175" i="1"/>
  <c r="E175" i="1"/>
  <c r="F175" i="1"/>
  <c r="G175" i="1"/>
  <c r="H175" i="1"/>
  <c r="I175" i="1"/>
  <c r="J175" i="1"/>
  <c r="K175" i="1"/>
  <c r="A176" i="1"/>
  <c r="B176" i="1"/>
  <c r="C176" i="1"/>
  <c r="D176" i="1"/>
  <c r="E176" i="1"/>
  <c r="F176" i="1"/>
  <c r="G176" i="1"/>
  <c r="H176" i="1"/>
  <c r="I176" i="1"/>
  <c r="J176" i="1"/>
  <c r="K176" i="1"/>
  <c r="A177" i="1"/>
  <c r="B177" i="1"/>
  <c r="C177" i="1"/>
  <c r="D177" i="1"/>
  <c r="E177" i="1"/>
  <c r="F177" i="1"/>
  <c r="G177" i="1"/>
  <c r="H177" i="1"/>
  <c r="I177" i="1"/>
  <c r="J177" i="1"/>
  <c r="K177" i="1"/>
  <c r="A178" i="1"/>
  <c r="B178" i="1"/>
  <c r="C178" i="1"/>
  <c r="D178" i="1"/>
  <c r="E178" i="1"/>
  <c r="F178" i="1"/>
  <c r="G178" i="1"/>
  <c r="H178" i="1"/>
  <c r="I178" i="1"/>
  <c r="J178" i="1"/>
  <c r="K178" i="1"/>
  <c r="A179" i="1"/>
  <c r="B179" i="1"/>
  <c r="C179" i="1"/>
  <c r="D179" i="1"/>
  <c r="E179" i="1"/>
  <c r="F179" i="1"/>
  <c r="G179" i="1"/>
  <c r="H179" i="1"/>
  <c r="I179" i="1"/>
  <c r="J179" i="1"/>
  <c r="K179" i="1"/>
  <c r="A180" i="1"/>
  <c r="B180" i="1"/>
  <c r="C180" i="1"/>
  <c r="D180" i="1"/>
  <c r="E180" i="1"/>
  <c r="F180" i="1"/>
  <c r="G180" i="1"/>
  <c r="H180" i="1"/>
  <c r="I180" i="1"/>
  <c r="J180" i="1"/>
  <c r="K180" i="1"/>
  <c r="A181" i="1"/>
  <c r="B181" i="1"/>
  <c r="C181" i="1"/>
  <c r="D181" i="1"/>
  <c r="E181" i="1"/>
  <c r="F181" i="1"/>
  <c r="G181" i="1"/>
  <c r="H181" i="1"/>
  <c r="I181" i="1"/>
  <c r="J181" i="1"/>
  <c r="K181" i="1"/>
  <c r="A182" i="1"/>
  <c r="B182" i="1"/>
  <c r="C182" i="1"/>
  <c r="D182" i="1"/>
  <c r="E182" i="1"/>
  <c r="F182" i="1"/>
  <c r="G182" i="1"/>
  <c r="H182" i="1"/>
  <c r="I182" i="1"/>
  <c r="J182" i="1"/>
  <c r="K182" i="1"/>
  <c r="A183" i="1"/>
  <c r="B183" i="1"/>
  <c r="C183" i="1"/>
  <c r="D183" i="1"/>
  <c r="E183" i="1"/>
  <c r="F183" i="1"/>
  <c r="G183" i="1"/>
  <c r="H183" i="1"/>
  <c r="I183" i="1"/>
  <c r="J183" i="1"/>
  <c r="K183" i="1"/>
  <c r="A184" i="1"/>
  <c r="B184" i="1"/>
  <c r="C184" i="1"/>
  <c r="D184" i="1"/>
  <c r="E184" i="1"/>
  <c r="F184" i="1"/>
  <c r="G184" i="1"/>
  <c r="H184" i="1"/>
  <c r="I184" i="1"/>
  <c r="J184" i="1"/>
  <c r="K184" i="1"/>
  <c r="A185" i="1"/>
  <c r="B185" i="1"/>
  <c r="C185" i="1"/>
  <c r="D185" i="1"/>
  <c r="E185" i="1"/>
  <c r="F185" i="1"/>
  <c r="G185" i="1"/>
  <c r="H185" i="1"/>
  <c r="I185" i="1"/>
  <c r="J185" i="1"/>
  <c r="K185" i="1"/>
  <c r="B189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A192" i="1"/>
  <c r="B192" i="1"/>
  <c r="C192" i="1"/>
  <c r="D192" i="1"/>
  <c r="E192" i="1"/>
  <c r="F192" i="1"/>
  <c r="G192" i="1"/>
  <c r="H192" i="1"/>
  <c r="I192" i="1"/>
  <c r="J192" i="1"/>
  <c r="K192" i="1"/>
  <c r="A193" i="1"/>
  <c r="B193" i="1"/>
  <c r="C193" i="1"/>
  <c r="D193" i="1"/>
  <c r="E193" i="1"/>
  <c r="F193" i="1"/>
  <c r="G193" i="1"/>
  <c r="H193" i="1"/>
  <c r="I193" i="1"/>
  <c r="J193" i="1"/>
  <c r="K193" i="1"/>
  <c r="A194" i="1"/>
  <c r="B194" i="1"/>
  <c r="C194" i="1"/>
  <c r="D194" i="1"/>
  <c r="E194" i="1"/>
  <c r="F194" i="1"/>
  <c r="G194" i="1"/>
  <c r="H194" i="1"/>
  <c r="I194" i="1"/>
  <c r="J194" i="1"/>
  <c r="K194" i="1"/>
  <c r="A195" i="1"/>
  <c r="B195" i="1"/>
  <c r="C195" i="1"/>
  <c r="D195" i="1"/>
  <c r="E195" i="1"/>
  <c r="F195" i="1"/>
  <c r="G195" i="1"/>
  <c r="H195" i="1"/>
  <c r="I195" i="1"/>
  <c r="J195" i="1"/>
  <c r="K195" i="1"/>
  <c r="A196" i="1"/>
  <c r="B196" i="1"/>
  <c r="C196" i="1"/>
  <c r="D196" i="1"/>
  <c r="E196" i="1"/>
  <c r="F196" i="1"/>
  <c r="G196" i="1"/>
  <c r="H196" i="1"/>
  <c r="I196" i="1"/>
  <c r="J196" i="1"/>
  <c r="K196" i="1"/>
  <c r="A197" i="1"/>
  <c r="B197" i="1"/>
  <c r="C197" i="1"/>
  <c r="D197" i="1"/>
  <c r="E197" i="1"/>
  <c r="F197" i="1"/>
  <c r="G197" i="1"/>
  <c r="H197" i="1"/>
  <c r="I197" i="1"/>
  <c r="J197" i="1"/>
  <c r="K197" i="1"/>
  <c r="A198" i="1"/>
  <c r="B198" i="1"/>
  <c r="C198" i="1"/>
  <c r="D198" i="1"/>
  <c r="E198" i="1"/>
  <c r="F198" i="1"/>
  <c r="G198" i="1"/>
  <c r="H198" i="1"/>
  <c r="I198" i="1"/>
  <c r="J198" i="1"/>
  <c r="K198" i="1"/>
  <c r="A199" i="1"/>
  <c r="B199" i="1"/>
  <c r="C199" i="1"/>
  <c r="D199" i="1"/>
  <c r="E199" i="1"/>
  <c r="F199" i="1"/>
  <c r="G199" i="1"/>
  <c r="H199" i="1"/>
  <c r="I199" i="1"/>
  <c r="J199" i="1"/>
  <c r="K199" i="1"/>
  <c r="A200" i="1"/>
  <c r="B200" i="1"/>
  <c r="C200" i="1"/>
  <c r="D200" i="1"/>
  <c r="E200" i="1"/>
  <c r="F200" i="1"/>
  <c r="G200" i="1"/>
  <c r="H200" i="1"/>
  <c r="I200" i="1"/>
  <c r="J200" i="1"/>
  <c r="K200" i="1"/>
  <c r="A201" i="1"/>
  <c r="B201" i="1"/>
  <c r="C201" i="1"/>
  <c r="D201" i="1"/>
  <c r="E201" i="1"/>
  <c r="F201" i="1"/>
  <c r="G201" i="1"/>
  <c r="H201" i="1"/>
  <c r="I201" i="1"/>
  <c r="J201" i="1"/>
  <c r="K201" i="1"/>
  <c r="A202" i="1"/>
  <c r="B202" i="1"/>
  <c r="C202" i="1"/>
  <c r="D202" i="1"/>
  <c r="E202" i="1"/>
  <c r="F202" i="1"/>
  <c r="G202" i="1"/>
  <c r="H202" i="1"/>
  <c r="I202" i="1"/>
  <c r="J202" i="1"/>
  <c r="K202" i="1"/>
  <c r="A203" i="1"/>
  <c r="B203" i="1"/>
  <c r="C203" i="1"/>
  <c r="D203" i="1"/>
  <c r="E203" i="1"/>
  <c r="F203" i="1"/>
  <c r="G203" i="1"/>
  <c r="H203" i="1"/>
  <c r="I203" i="1"/>
  <c r="J203" i="1"/>
  <c r="K203" i="1"/>
  <c r="A204" i="1"/>
  <c r="B204" i="1"/>
  <c r="C204" i="1"/>
  <c r="D204" i="1"/>
  <c r="E204" i="1"/>
  <c r="F204" i="1"/>
  <c r="G204" i="1"/>
  <c r="H204" i="1"/>
  <c r="I204" i="1"/>
  <c r="J204" i="1"/>
  <c r="K204" i="1"/>
  <c r="A205" i="1"/>
  <c r="B205" i="1"/>
  <c r="C205" i="1"/>
  <c r="D205" i="1"/>
  <c r="E205" i="1"/>
  <c r="F205" i="1"/>
  <c r="G205" i="1"/>
  <c r="H205" i="1"/>
  <c r="I205" i="1"/>
  <c r="J205" i="1"/>
  <c r="K205" i="1"/>
  <c r="A206" i="1"/>
  <c r="B206" i="1"/>
  <c r="C206" i="1"/>
  <c r="D206" i="1"/>
  <c r="E206" i="1"/>
  <c r="F206" i="1"/>
  <c r="G206" i="1"/>
  <c r="H206" i="1"/>
  <c r="I206" i="1"/>
  <c r="J206" i="1"/>
  <c r="K206" i="1"/>
  <c r="A207" i="1"/>
  <c r="B207" i="1"/>
  <c r="C207" i="1"/>
  <c r="D207" i="1"/>
  <c r="E207" i="1"/>
  <c r="F207" i="1"/>
  <c r="G207" i="1"/>
  <c r="H207" i="1"/>
  <c r="I207" i="1"/>
  <c r="J207" i="1"/>
  <c r="K207" i="1"/>
  <c r="A208" i="1"/>
  <c r="B208" i="1"/>
  <c r="C208" i="1"/>
  <c r="D208" i="1"/>
  <c r="E208" i="1"/>
  <c r="F208" i="1"/>
  <c r="G208" i="1"/>
  <c r="H208" i="1"/>
  <c r="I208" i="1"/>
  <c r="J208" i="1"/>
  <c r="K208" i="1"/>
  <c r="A209" i="1"/>
  <c r="B209" i="1"/>
  <c r="C209" i="1"/>
  <c r="D209" i="1"/>
  <c r="E209" i="1"/>
  <c r="F209" i="1"/>
  <c r="G209" i="1"/>
  <c r="H209" i="1"/>
  <c r="I209" i="1"/>
  <c r="J209" i="1"/>
  <c r="K209" i="1"/>
  <c r="A210" i="1"/>
  <c r="B210" i="1"/>
  <c r="C210" i="1"/>
  <c r="D210" i="1"/>
  <c r="E210" i="1"/>
  <c r="F210" i="1"/>
  <c r="G210" i="1"/>
  <c r="H210" i="1"/>
  <c r="I210" i="1"/>
  <c r="J210" i="1"/>
  <c r="K210" i="1"/>
  <c r="A211" i="1"/>
  <c r="B211" i="1"/>
  <c r="C211" i="1"/>
  <c r="D211" i="1"/>
  <c r="E211" i="1"/>
  <c r="F211" i="1"/>
  <c r="G211" i="1"/>
  <c r="H211" i="1"/>
  <c r="I211" i="1"/>
  <c r="J211" i="1"/>
  <c r="K211" i="1"/>
  <c r="A212" i="1"/>
  <c r="B212" i="1"/>
  <c r="C212" i="1"/>
  <c r="D212" i="1"/>
  <c r="E212" i="1"/>
  <c r="F212" i="1"/>
  <c r="G212" i="1"/>
  <c r="H212" i="1"/>
  <c r="I212" i="1"/>
  <c r="J212" i="1"/>
  <c r="K212" i="1"/>
  <c r="A213" i="1"/>
  <c r="B213" i="1"/>
  <c r="C213" i="1"/>
  <c r="D213" i="1"/>
  <c r="E213" i="1"/>
  <c r="F213" i="1"/>
  <c r="G213" i="1"/>
  <c r="H213" i="1"/>
  <c r="I213" i="1"/>
  <c r="J213" i="1"/>
  <c r="K213" i="1"/>
  <c r="A214" i="1"/>
  <c r="B214" i="1"/>
  <c r="C214" i="1"/>
  <c r="D214" i="1"/>
  <c r="E214" i="1"/>
  <c r="F214" i="1"/>
  <c r="G214" i="1"/>
  <c r="H214" i="1"/>
  <c r="I214" i="1"/>
  <c r="J214" i="1"/>
  <c r="K214" i="1"/>
  <c r="A215" i="1"/>
  <c r="B215" i="1"/>
  <c r="C215" i="1"/>
  <c r="D215" i="1"/>
  <c r="E215" i="1"/>
  <c r="F215" i="1"/>
  <c r="G215" i="1"/>
  <c r="H215" i="1"/>
  <c r="I215" i="1"/>
  <c r="J215" i="1"/>
  <c r="K215" i="1"/>
  <c r="A216" i="1"/>
  <c r="B216" i="1"/>
  <c r="C216" i="1"/>
  <c r="D216" i="1"/>
  <c r="E216" i="1"/>
  <c r="F216" i="1"/>
  <c r="G216" i="1"/>
  <c r="H216" i="1"/>
  <c r="I216" i="1"/>
  <c r="J216" i="1"/>
  <c r="K216" i="1"/>
  <c r="A217" i="1"/>
  <c r="B217" i="1"/>
  <c r="C217" i="1"/>
  <c r="D217" i="1"/>
  <c r="E217" i="1"/>
  <c r="F217" i="1"/>
  <c r="G217" i="1"/>
  <c r="H217" i="1"/>
  <c r="I217" i="1"/>
  <c r="J217" i="1"/>
  <c r="K217" i="1"/>
  <c r="A218" i="1"/>
  <c r="B218" i="1"/>
  <c r="C218" i="1"/>
  <c r="D218" i="1"/>
  <c r="E218" i="1"/>
  <c r="F218" i="1"/>
  <c r="G218" i="1"/>
  <c r="H218" i="1"/>
  <c r="I218" i="1"/>
  <c r="J218" i="1"/>
  <c r="K218" i="1"/>
  <c r="A219" i="1"/>
  <c r="B219" i="1"/>
  <c r="C219" i="1"/>
  <c r="D219" i="1"/>
  <c r="E219" i="1"/>
  <c r="F219" i="1"/>
  <c r="G219" i="1"/>
  <c r="H219" i="1"/>
  <c r="I219" i="1"/>
  <c r="J219" i="1"/>
  <c r="K219" i="1"/>
  <c r="A220" i="1"/>
  <c r="B220" i="1"/>
  <c r="C220" i="1"/>
  <c r="D220" i="1"/>
  <c r="E220" i="1"/>
  <c r="F220" i="1"/>
  <c r="G220" i="1"/>
  <c r="H220" i="1"/>
  <c r="I220" i="1"/>
  <c r="J220" i="1"/>
  <c r="K220" i="1"/>
  <c r="B224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A227" i="1"/>
  <c r="B227" i="1"/>
  <c r="C227" i="1"/>
  <c r="D227" i="1"/>
  <c r="E227" i="1"/>
  <c r="F227" i="1"/>
  <c r="G227" i="1"/>
  <c r="H227" i="1"/>
  <c r="I227" i="1"/>
  <c r="J227" i="1"/>
  <c r="K227" i="1"/>
  <c r="A228" i="1"/>
  <c r="B228" i="1"/>
  <c r="C228" i="1"/>
  <c r="D228" i="1"/>
  <c r="E228" i="1"/>
  <c r="F228" i="1"/>
  <c r="G228" i="1"/>
  <c r="H228" i="1"/>
  <c r="I228" i="1"/>
  <c r="J228" i="1"/>
  <c r="K228" i="1"/>
  <c r="A229" i="1"/>
  <c r="B229" i="1"/>
  <c r="C229" i="1"/>
  <c r="D229" i="1"/>
  <c r="E229" i="1"/>
  <c r="F229" i="1"/>
  <c r="G229" i="1"/>
  <c r="H229" i="1"/>
  <c r="I229" i="1"/>
  <c r="J229" i="1"/>
  <c r="K229" i="1"/>
  <c r="A230" i="1"/>
  <c r="B230" i="1"/>
  <c r="C230" i="1"/>
  <c r="D230" i="1"/>
  <c r="E230" i="1"/>
  <c r="F230" i="1"/>
  <c r="G230" i="1"/>
  <c r="H230" i="1"/>
  <c r="I230" i="1"/>
  <c r="J230" i="1"/>
  <c r="K230" i="1"/>
  <c r="A231" i="1"/>
  <c r="B231" i="1"/>
  <c r="C231" i="1"/>
  <c r="D231" i="1"/>
  <c r="E231" i="1"/>
  <c r="F231" i="1"/>
  <c r="G231" i="1"/>
  <c r="H231" i="1"/>
  <c r="I231" i="1"/>
  <c r="J231" i="1"/>
  <c r="K231" i="1"/>
  <c r="A232" i="1"/>
  <c r="B232" i="1"/>
  <c r="C232" i="1"/>
  <c r="D232" i="1"/>
  <c r="E232" i="1"/>
  <c r="F232" i="1"/>
  <c r="G232" i="1"/>
  <c r="H232" i="1"/>
  <c r="I232" i="1"/>
  <c r="J232" i="1"/>
  <c r="K232" i="1"/>
  <c r="A233" i="1"/>
  <c r="B233" i="1"/>
  <c r="C233" i="1"/>
  <c r="D233" i="1"/>
  <c r="E233" i="1"/>
  <c r="F233" i="1"/>
  <c r="G233" i="1"/>
  <c r="H233" i="1"/>
  <c r="I233" i="1"/>
  <c r="J233" i="1"/>
  <c r="K233" i="1"/>
  <c r="A234" i="1"/>
  <c r="B234" i="1"/>
  <c r="C234" i="1"/>
  <c r="D234" i="1"/>
  <c r="E234" i="1"/>
  <c r="F234" i="1"/>
  <c r="G234" i="1"/>
  <c r="H234" i="1"/>
  <c r="I234" i="1"/>
  <c r="J234" i="1"/>
  <c r="K234" i="1"/>
  <c r="A235" i="1"/>
  <c r="B235" i="1"/>
  <c r="C235" i="1"/>
  <c r="D235" i="1"/>
  <c r="E235" i="1"/>
  <c r="F235" i="1"/>
  <c r="G235" i="1"/>
  <c r="H235" i="1"/>
  <c r="I235" i="1"/>
  <c r="J235" i="1"/>
  <c r="K235" i="1"/>
  <c r="A236" i="1"/>
  <c r="B236" i="1"/>
  <c r="C236" i="1"/>
  <c r="D236" i="1"/>
  <c r="E236" i="1"/>
  <c r="F236" i="1"/>
  <c r="G236" i="1"/>
  <c r="H236" i="1"/>
  <c r="I236" i="1"/>
  <c r="J236" i="1"/>
  <c r="K236" i="1"/>
  <c r="A237" i="1"/>
  <c r="B237" i="1"/>
  <c r="C237" i="1"/>
  <c r="D237" i="1"/>
  <c r="E237" i="1"/>
  <c r="F237" i="1"/>
  <c r="G237" i="1"/>
  <c r="H237" i="1"/>
  <c r="I237" i="1"/>
  <c r="J237" i="1"/>
  <c r="K237" i="1"/>
  <c r="A238" i="1"/>
  <c r="B238" i="1"/>
  <c r="C238" i="1"/>
  <c r="D238" i="1"/>
  <c r="E238" i="1"/>
  <c r="F238" i="1"/>
  <c r="G238" i="1"/>
  <c r="H238" i="1"/>
  <c r="I238" i="1"/>
  <c r="J238" i="1"/>
  <c r="K238" i="1"/>
  <c r="A239" i="1"/>
  <c r="B239" i="1"/>
  <c r="C239" i="1"/>
  <c r="D239" i="1"/>
  <c r="E239" i="1"/>
  <c r="F239" i="1"/>
  <c r="G239" i="1"/>
  <c r="H239" i="1"/>
  <c r="I239" i="1"/>
  <c r="J239" i="1"/>
  <c r="K239" i="1"/>
  <c r="A240" i="1"/>
  <c r="B240" i="1"/>
  <c r="C240" i="1"/>
  <c r="D240" i="1"/>
  <c r="E240" i="1"/>
  <c r="F240" i="1"/>
  <c r="G240" i="1"/>
  <c r="H240" i="1"/>
  <c r="I240" i="1"/>
  <c r="J240" i="1"/>
  <c r="K240" i="1"/>
  <c r="A241" i="1"/>
  <c r="B241" i="1"/>
  <c r="C241" i="1"/>
  <c r="D241" i="1"/>
  <c r="E241" i="1"/>
  <c r="F241" i="1"/>
  <c r="G241" i="1"/>
  <c r="H241" i="1"/>
  <c r="I241" i="1"/>
  <c r="J241" i="1"/>
  <c r="K241" i="1"/>
  <c r="A242" i="1"/>
  <c r="B242" i="1"/>
  <c r="C242" i="1"/>
  <c r="D242" i="1"/>
  <c r="E242" i="1"/>
  <c r="F242" i="1"/>
  <c r="G242" i="1"/>
  <c r="H242" i="1"/>
  <c r="I242" i="1"/>
  <c r="J242" i="1"/>
  <c r="K242" i="1"/>
  <c r="A243" i="1"/>
  <c r="B243" i="1"/>
  <c r="C243" i="1"/>
  <c r="D243" i="1"/>
  <c r="E243" i="1"/>
  <c r="F243" i="1"/>
  <c r="G243" i="1"/>
  <c r="H243" i="1"/>
  <c r="I243" i="1"/>
  <c r="J243" i="1"/>
  <c r="K243" i="1"/>
  <c r="A244" i="1"/>
  <c r="B244" i="1"/>
  <c r="C244" i="1"/>
  <c r="D244" i="1"/>
  <c r="E244" i="1"/>
  <c r="F244" i="1"/>
  <c r="G244" i="1"/>
  <c r="H244" i="1"/>
  <c r="I244" i="1"/>
  <c r="J244" i="1"/>
  <c r="K244" i="1"/>
  <c r="A245" i="1"/>
  <c r="B245" i="1"/>
  <c r="C245" i="1"/>
  <c r="D245" i="1"/>
  <c r="E245" i="1"/>
  <c r="F245" i="1"/>
  <c r="G245" i="1"/>
  <c r="H245" i="1"/>
  <c r="I245" i="1"/>
  <c r="J245" i="1"/>
  <c r="K245" i="1"/>
  <c r="A246" i="1"/>
  <c r="B246" i="1"/>
  <c r="C246" i="1"/>
  <c r="D246" i="1"/>
  <c r="E246" i="1"/>
  <c r="F246" i="1"/>
  <c r="G246" i="1"/>
  <c r="H246" i="1"/>
  <c r="I246" i="1"/>
  <c r="J246" i="1"/>
  <c r="K246" i="1"/>
  <c r="A247" i="1"/>
  <c r="B247" i="1"/>
  <c r="C247" i="1"/>
  <c r="D247" i="1"/>
  <c r="E247" i="1"/>
  <c r="F247" i="1"/>
  <c r="G247" i="1"/>
  <c r="H247" i="1"/>
  <c r="I247" i="1"/>
  <c r="J247" i="1"/>
  <c r="K247" i="1"/>
  <c r="A248" i="1"/>
  <c r="B248" i="1"/>
  <c r="C248" i="1"/>
  <c r="D248" i="1"/>
  <c r="E248" i="1"/>
  <c r="F248" i="1"/>
  <c r="G248" i="1"/>
  <c r="H248" i="1"/>
  <c r="I248" i="1"/>
  <c r="J248" i="1"/>
  <c r="K248" i="1"/>
  <c r="A249" i="1"/>
  <c r="B249" i="1"/>
  <c r="C249" i="1"/>
  <c r="D249" i="1"/>
  <c r="E249" i="1"/>
  <c r="F249" i="1"/>
  <c r="G249" i="1"/>
  <c r="H249" i="1"/>
  <c r="I249" i="1"/>
  <c r="J249" i="1"/>
  <c r="K249" i="1"/>
  <c r="A250" i="1"/>
  <c r="B250" i="1"/>
  <c r="C250" i="1"/>
  <c r="D250" i="1"/>
  <c r="E250" i="1"/>
  <c r="F250" i="1"/>
  <c r="G250" i="1"/>
  <c r="H250" i="1"/>
  <c r="I250" i="1"/>
  <c r="J250" i="1"/>
  <c r="K250" i="1"/>
  <c r="A251" i="1"/>
  <c r="B251" i="1"/>
  <c r="C251" i="1"/>
  <c r="D251" i="1"/>
  <c r="E251" i="1"/>
  <c r="F251" i="1"/>
  <c r="G251" i="1"/>
  <c r="H251" i="1"/>
  <c r="I251" i="1"/>
  <c r="J251" i="1"/>
  <c r="K251" i="1"/>
  <c r="A252" i="1"/>
  <c r="B252" i="1"/>
  <c r="C252" i="1"/>
  <c r="D252" i="1"/>
  <c r="E252" i="1"/>
  <c r="F252" i="1"/>
  <c r="G252" i="1"/>
  <c r="H252" i="1"/>
  <c r="I252" i="1"/>
  <c r="J252" i="1"/>
  <c r="K252" i="1"/>
  <c r="A253" i="1"/>
  <c r="B253" i="1"/>
  <c r="C253" i="1"/>
  <c r="D253" i="1"/>
  <c r="E253" i="1"/>
  <c r="F253" i="1"/>
  <c r="G253" i="1"/>
  <c r="H253" i="1"/>
  <c r="I253" i="1"/>
  <c r="J253" i="1"/>
  <c r="K253" i="1"/>
  <c r="A254" i="1"/>
  <c r="B254" i="1"/>
  <c r="C254" i="1"/>
  <c r="D254" i="1"/>
  <c r="E254" i="1"/>
  <c r="F254" i="1"/>
  <c r="G254" i="1"/>
  <c r="H254" i="1"/>
  <c r="I254" i="1"/>
  <c r="J254" i="1"/>
  <c r="K254" i="1"/>
  <c r="A255" i="1"/>
  <c r="B255" i="1"/>
  <c r="C255" i="1"/>
  <c r="D255" i="1"/>
  <c r="E255" i="1"/>
  <c r="F255" i="1"/>
  <c r="G255" i="1"/>
  <c r="H255" i="1"/>
  <c r="I255" i="1"/>
  <c r="J255" i="1"/>
  <c r="K255" i="1"/>
  <c r="B259" i="1"/>
  <c r="C260" i="1"/>
  <c r="D260" i="1"/>
  <c r="E260" i="1"/>
  <c r="F260" i="1"/>
  <c r="G260" i="1"/>
  <c r="H260" i="1"/>
  <c r="I260" i="1"/>
  <c r="J260" i="1"/>
  <c r="K260" i="1"/>
  <c r="B261" i="1"/>
  <c r="C261" i="1"/>
  <c r="D261" i="1"/>
  <c r="E261" i="1"/>
  <c r="F261" i="1"/>
  <c r="G261" i="1"/>
  <c r="H261" i="1"/>
  <c r="I261" i="1"/>
  <c r="J261" i="1"/>
  <c r="K261" i="1"/>
  <c r="A262" i="1"/>
  <c r="B262" i="1"/>
  <c r="C262" i="1"/>
  <c r="D262" i="1"/>
  <c r="E262" i="1"/>
  <c r="F262" i="1"/>
  <c r="G262" i="1"/>
  <c r="H262" i="1"/>
  <c r="I262" i="1"/>
  <c r="J262" i="1"/>
  <c r="K262" i="1"/>
  <c r="A263" i="1"/>
  <c r="B263" i="1"/>
  <c r="C263" i="1"/>
  <c r="D263" i="1"/>
  <c r="E263" i="1"/>
  <c r="F263" i="1"/>
  <c r="G263" i="1"/>
  <c r="H263" i="1"/>
  <c r="I263" i="1"/>
  <c r="J263" i="1"/>
  <c r="K263" i="1"/>
  <c r="A264" i="1"/>
  <c r="B264" i="1"/>
  <c r="C264" i="1"/>
  <c r="D264" i="1"/>
  <c r="E264" i="1"/>
  <c r="F264" i="1"/>
  <c r="G264" i="1"/>
  <c r="H264" i="1"/>
  <c r="I264" i="1"/>
  <c r="J264" i="1"/>
  <c r="K264" i="1"/>
  <c r="A265" i="1"/>
  <c r="B265" i="1"/>
  <c r="C265" i="1"/>
  <c r="D265" i="1"/>
  <c r="E265" i="1"/>
  <c r="F265" i="1"/>
  <c r="G265" i="1"/>
  <c r="H265" i="1"/>
  <c r="I265" i="1"/>
  <c r="J265" i="1"/>
  <c r="K265" i="1"/>
  <c r="A266" i="1"/>
  <c r="B266" i="1"/>
  <c r="C266" i="1"/>
  <c r="D266" i="1"/>
  <c r="E266" i="1"/>
  <c r="F266" i="1"/>
  <c r="G266" i="1"/>
  <c r="H266" i="1"/>
  <c r="I266" i="1"/>
  <c r="J266" i="1"/>
  <c r="K266" i="1"/>
  <c r="A267" i="1"/>
  <c r="B267" i="1"/>
  <c r="C267" i="1"/>
  <c r="D267" i="1"/>
  <c r="E267" i="1"/>
  <c r="F267" i="1"/>
  <c r="G267" i="1"/>
  <c r="H267" i="1"/>
  <c r="I267" i="1"/>
  <c r="J267" i="1"/>
  <c r="K267" i="1"/>
  <c r="A268" i="1"/>
  <c r="B268" i="1"/>
  <c r="C268" i="1"/>
  <c r="D268" i="1"/>
  <c r="E268" i="1"/>
  <c r="F268" i="1"/>
  <c r="G268" i="1"/>
  <c r="H268" i="1"/>
  <c r="I268" i="1"/>
  <c r="J268" i="1"/>
  <c r="K268" i="1"/>
  <c r="A269" i="1"/>
  <c r="B269" i="1"/>
  <c r="C269" i="1"/>
  <c r="D269" i="1"/>
  <c r="E269" i="1"/>
  <c r="F269" i="1"/>
  <c r="G269" i="1"/>
  <c r="H269" i="1"/>
  <c r="I269" i="1"/>
  <c r="J269" i="1"/>
  <c r="K269" i="1"/>
  <c r="A270" i="1"/>
  <c r="B270" i="1"/>
  <c r="C270" i="1"/>
  <c r="D270" i="1"/>
  <c r="E270" i="1"/>
  <c r="F270" i="1"/>
  <c r="G270" i="1"/>
  <c r="H270" i="1"/>
  <c r="I270" i="1"/>
  <c r="J270" i="1"/>
  <c r="K270" i="1"/>
  <c r="A271" i="1"/>
  <c r="B271" i="1"/>
  <c r="C271" i="1"/>
  <c r="D271" i="1"/>
  <c r="E271" i="1"/>
  <c r="F271" i="1"/>
  <c r="G271" i="1"/>
  <c r="H271" i="1"/>
  <c r="I271" i="1"/>
  <c r="J271" i="1"/>
  <c r="K271" i="1"/>
  <c r="A272" i="1"/>
  <c r="B272" i="1"/>
  <c r="C272" i="1"/>
  <c r="D272" i="1"/>
  <c r="E272" i="1"/>
  <c r="F272" i="1"/>
  <c r="G272" i="1"/>
  <c r="H272" i="1"/>
  <c r="I272" i="1"/>
  <c r="J272" i="1"/>
  <c r="K272" i="1"/>
  <c r="A273" i="1"/>
  <c r="B273" i="1"/>
  <c r="C273" i="1"/>
  <c r="D273" i="1"/>
  <c r="E273" i="1"/>
  <c r="F273" i="1"/>
  <c r="G273" i="1"/>
  <c r="H273" i="1"/>
  <c r="I273" i="1"/>
  <c r="J273" i="1"/>
  <c r="K273" i="1"/>
  <c r="A274" i="1"/>
  <c r="B274" i="1"/>
  <c r="C274" i="1"/>
  <c r="D274" i="1"/>
  <c r="E274" i="1"/>
  <c r="F274" i="1"/>
  <c r="G274" i="1"/>
  <c r="H274" i="1"/>
  <c r="I274" i="1"/>
  <c r="J274" i="1"/>
  <c r="K274" i="1"/>
  <c r="A275" i="1"/>
  <c r="B275" i="1"/>
  <c r="C275" i="1"/>
  <c r="D275" i="1"/>
  <c r="E275" i="1"/>
  <c r="F275" i="1"/>
  <c r="G275" i="1"/>
  <c r="H275" i="1"/>
  <c r="I275" i="1"/>
  <c r="J275" i="1"/>
  <c r="K275" i="1"/>
  <c r="A276" i="1"/>
  <c r="B276" i="1"/>
  <c r="C276" i="1"/>
  <c r="D276" i="1"/>
  <c r="E276" i="1"/>
  <c r="F276" i="1"/>
  <c r="G276" i="1"/>
  <c r="H276" i="1"/>
  <c r="I276" i="1"/>
  <c r="J276" i="1"/>
  <c r="K276" i="1"/>
  <c r="A277" i="1"/>
  <c r="B277" i="1"/>
  <c r="C277" i="1"/>
  <c r="D277" i="1"/>
  <c r="E277" i="1"/>
  <c r="F277" i="1"/>
  <c r="G277" i="1"/>
  <c r="H277" i="1"/>
  <c r="I277" i="1"/>
  <c r="J277" i="1"/>
  <c r="K277" i="1"/>
  <c r="A278" i="1"/>
  <c r="B278" i="1"/>
  <c r="C278" i="1"/>
  <c r="D278" i="1"/>
  <c r="E278" i="1"/>
  <c r="F278" i="1"/>
  <c r="G278" i="1"/>
  <c r="H278" i="1"/>
  <c r="I278" i="1"/>
  <c r="J278" i="1"/>
  <c r="K278" i="1"/>
  <c r="A279" i="1"/>
  <c r="B279" i="1"/>
  <c r="C279" i="1"/>
  <c r="D279" i="1"/>
  <c r="E279" i="1"/>
  <c r="F279" i="1"/>
  <c r="G279" i="1"/>
  <c r="H279" i="1"/>
  <c r="I279" i="1"/>
  <c r="J279" i="1"/>
  <c r="K279" i="1"/>
  <c r="A280" i="1"/>
  <c r="B280" i="1"/>
  <c r="C280" i="1"/>
  <c r="D280" i="1"/>
  <c r="E280" i="1"/>
  <c r="F280" i="1"/>
  <c r="G280" i="1"/>
  <c r="H280" i="1"/>
  <c r="I280" i="1"/>
  <c r="J280" i="1"/>
  <c r="K280" i="1"/>
  <c r="A281" i="1"/>
  <c r="B281" i="1"/>
  <c r="C281" i="1"/>
  <c r="D281" i="1"/>
  <c r="E281" i="1"/>
  <c r="F281" i="1"/>
  <c r="G281" i="1"/>
  <c r="H281" i="1"/>
  <c r="I281" i="1"/>
  <c r="J281" i="1"/>
  <c r="K281" i="1"/>
  <c r="A282" i="1"/>
  <c r="B282" i="1"/>
  <c r="C282" i="1"/>
  <c r="D282" i="1"/>
  <c r="E282" i="1"/>
  <c r="F282" i="1"/>
  <c r="G282" i="1"/>
  <c r="H282" i="1"/>
  <c r="I282" i="1"/>
  <c r="J282" i="1"/>
  <c r="K282" i="1"/>
  <c r="A283" i="1"/>
  <c r="B283" i="1"/>
  <c r="C283" i="1"/>
  <c r="D283" i="1"/>
  <c r="E283" i="1"/>
  <c r="F283" i="1"/>
  <c r="G283" i="1"/>
  <c r="H283" i="1"/>
  <c r="I283" i="1"/>
  <c r="J283" i="1"/>
  <c r="K283" i="1"/>
  <c r="A284" i="1"/>
  <c r="B284" i="1"/>
  <c r="C284" i="1"/>
  <c r="D284" i="1"/>
  <c r="E284" i="1"/>
  <c r="F284" i="1"/>
  <c r="G284" i="1"/>
  <c r="H284" i="1"/>
  <c r="I284" i="1"/>
  <c r="J284" i="1"/>
  <c r="K284" i="1"/>
  <c r="A285" i="1"/>
  <c r="B285" i="1"/>
  <c r="C285" i="1"/>
  <c r="D285" i="1"/>
  <c r="E285" i="1"/>
  <c r="F285" i="1"/>
  <c r="G285" i="1"/>
  <c r="H285" i="1"/>
  <c r="I285" i="1"/>
  <c r="J285" i="1"/>
  <c r="K285" i="1"/>
  <c r="A286" i="1"/>
  <c r="B286" i="1"/>
  <c r="C286" i="1"/>
  <c r="D286" i="1"/>
  <c r="E286" i="1"/>
  <c r="F286" i="1"/>
  <c r="G286" i="1"/>
  <c r="H286" i="1"/>
  <c r="I286" i="1"/>
  <c r="J286" i="1"/>
  <c r="K286" i="1"/>
  <c r="A287" i="1"/>
  <c r="B287" i="1"/>
  <c r="C287" i="1"/>
  <c r="D287" i="1"/>
  <c r="E287" i="1"/>
  <c r="F287" i="1"/>
  <c r="G287" i="1"/>
  <c r="H287" i="1"/>
  <c r="I287" i="1"/>
  <c r="J287" i="1"/>
  <c r="K287" i="1"/>
  <c r="A288" i="1"/>
  <c r="B288" i="1"/>
  <c r="C288" i="1"/>
  <c r="D288" i="1"/>
  <c r="E288" i="1"/>
  <c r="F288" i="1"/>
  <c r="G288" i="1"/>
  <c r="H288" i="1"/>
  <c r="I288" i="1"/>
  <c r="J288" i="1"/>
  <c r="K288" i="1"/>
  <c r="A289" i="1"/>
  <c r="B289" i="1"/>
  <c r="C289" i="1"/>
  <c r="D289" i="1"/>
  <c r="E289" i="1"/>
  <c r="F289" i="1"/>
  <c r="G289" i="1"/>
  <c r="H289" i="1"/>
  <c r="I289" i="1"/>
  <c r="J289" i="1"/>
  <c r="K289" i="1"/>
  <c r="A290" i="1"/>
  <c r="B290" i="1"/>
  <c r="C290" i="1"/>
  <c r="D290" i="1"/>
  <c r="E290" i="1"/>
  <c r="F290" i="1"/>
  <c r="G290" i="1"/>
  <c r="H290" i="1"/>
  <c r="I290" i="1"/>
  <c r="J290" i="1"/>
  <c r="K290" i="1"/>
  <c r="B294" i="1"/>
  <c r="C295" i="1"/>
  <c r="D295" i="1"/>
  <c r="E295" i="1"/>
  <c r="F295" i="1"/>
  <c r="G295" i="1"/>
  <c r="H295" i="1"/>
  <c r="I295" i="1"/>
  <c r="J295" i="1"/>
  <c r="K295" i="1"/>
  <c r="B296" i="1"/>
  <c r="C296" i="1"/>
  <c r="D296" i="1"/>
  <c r="E296" i="1"/>
  <c r="F296" i="1"/>
  <c r="G296" i="1"/>
  <c r="H296" i="1"/>
  <c r="I296" i="1"/>
  <c r="J296" i="1"/>
  <c r="K296" i="1"/>
  <c r="A297" i="1"/>
  <c r="B297" i="1"/>
  <c r="C297" i="1"/>
  <c r="D297" i="1"/>
  <c r="E297" i="1"/>
  <c r="F297" i="1"/>
  <c r="G297" i="1"/>
  <c r="H297" i="1"/>
  <c r="I297" i="1"/>
  <c r="J297" i="1"/>
  <c r="K297" i="1"/>
  <c r="A298" i="1"/>
  <c r="B298" i="1"/>
  <c r="C298" i="1"/>
  <c r="D298" i="1"/>
  <c r="E298" i="1"/>
  <c r="F298" i="1"/>
  <c r="G298" i="1"/>
  <c r="H298" i="1"/>
  <c r="I298" i="1"/>
  <c r="J298" i="1"/>
  <c r="K298" i="1"/>
  <c r="A299" i="1"/>
  <c r="B299" i="1"/>
  <c r="C299" i="1"/>
  <c r="D299" i="1"/>
  <c r="E299" i="1"/>
  <c r="F299" i="1"/>
  <c r="G299" i="1"/>
  <c r="H299" i="1"/>
  <c r="I299" i="1"/>
  <c r="J299" i="1"/>
  <c r="K299" i="1"/>
  <c r="A300" i="1"/>
  <c r="B300" i="1"/>
  <c r="C300" i="1"/>
  <c r="D300" i="1"/>
  <c r="E300" i="1"/>
  <c r="F300" i="1"/>
  <c r="G300" i="1"/>
  <c r="H300" i="1"/>
  <c r="I300" i="1"/>
  <c r="J300" i="1"/>
  <c r="K300" i="1"/>
  <c r="A301" i="1"/>
  <c r="B301" i="1"/>
  <c r="C301" i="1"/>
  <c r="D301" i="1"/>
  <c r="E301" i="1"/>
  <c r="F301" i="1"/>
  <c r="G301" i="1"/>
  <c r="H301" i="1"/>
  <c r="I301" i="1"/>
  <c r="J301" i="1"/>
  <c r="K301" i="1"/>
  <c r="A302" i="1"/>
  <c r="B302" i="1"/>
  <c r="C302" i="1"/>
  <c r="D302" i="1"/>
  <c r="E302" i="1"/>
  <c r="F302" i="1"/>
  <c r="G302" i="1"/>
  <c r="H302" i="1"/>
  <c r="I302" i="1"/>
  <c r="J302" i="1"/>
  <c r="K302" i="1"/>
  <c r="A303" i="1"/>
  <c r="B303" i="1"/>
  <c r="C303" i="1"/>
  <c r="D303" i="1"/>
  <c r="E303" i="1"/>
  <c r="F303" i="1"/>
  <c r="G303" i="1"/>
  <c r="H303" i="1"/>
  <c r="I303" i="1"/>
  <c r="J303" i="1"/>
  <c r="K303" i="1"/>
  <c r="A304" i="1"/>
  <c r="B304" i="1"/>
  <c r="C304" i="1"/>
  <c r="D304" i="1"/>
  <c r="E304" i="1"/>
  <c r="F304" i="1"/>
  <c r="G304" i="1"/>
  <c r="H304" i="1"/>
  <c r="I304" i="1"/>
  <c r="J304" i="1"/>
  <c r="K304" i="1"/>
  <c r="A305" i="1"/>
  <c r="B305" i="1"/>
  <c r="C305" i="1"/>
  <c r="D305" i="1"/>
  <c r="E305" i="1"/>
  <c r="F305" i="1"/>
  <c r="G305" i="1"/>
  <c r="H305" i="1"/>
  <c r="I305" i="1"/>
  <c r="J305" i="1"/>
  <c r="K305" i="1"/>
  <c r="A306" i="1"/>
  <c r="B306" i="1"/>
  <c r="C306" i="1"/>
  <c r="D306" i="1"/>
  <c r="E306" i="1"/>
  <c r="F306" i="1"/>
  <c r="G306" i="1"/>
  <c r="H306" i="1"/>
  <c r="I306" i="1"/>
  <c r="J306" i="1"/>
  <c r="K306" i="1"/>
  <c r="A307" i="1"/>
  <c r="B307" i="1"/>
  <c r="C307" i="1"/>
  <c r="D307" i="1"/>
  <c r="E307" i="1"/>
  <c r="F307" i="1"/>
  <c r="G307" i="1"/>
  <c r="H307" i="1"/>
  <c r="I307" i="1"/>
  <c r="J307" i="1"/>
  <c r="K307" i="1"/>
  <c r="A308" i="1"/>
  <c r="B308" i="1"/>
  <c r="C308" i="1"/>
  <c r="D308" i="1"/>
  <c r="E308" i="1"/>
  <c r="F308" i="1"/>
  <c r="G308" i="1"/>
  <c r="H308" i="1"/>
  <c r="I308" i="1"/>
  <c r="J308" i="1"/>
  <c r="K308" i="1"/>
  <c r="A309" i="1"/>
  <c r="B309" i="1"/>
  <c r="C309" i="1"/>
  <c r="D309" i="1"/>
  <c r="E309" i="1"/>
  <c r="F309" i="1"/>
  <c r="G309" i="1"/>
  <c r="H309" i="1"/>
  <c r="I309" i="1"/>
  <c r="J309" i="1"/>
  <c r="K309" i="1"/>
  <c r="A310" i="1"/>
  <c r="B310" i="1"/>
  <c r="C310" i="1"/>
  <c r="D310" i="1"/>
  <c r="E310" i="1"/>
  <c r="F310" i="1"/>
  <c r="G310" i="1"/>
  <c r="H310" i="1"/>
  <c r="I310" i="1"/>
  <c r="J310" i="1"/>
  <c r="K310" i="1"/>
  <c r="A311" i="1"/>
  <c r="B311" i="1"/>
  <c r="C311" i="1"/>
  <c r="D311" i="1"/>
  <c r="E311" i="1"/>
  <c r="F311" i="1"/>
  <c r="G311" i="1"/>
  <c r="H311" i="1"/>
  <c r="I311" i="1"/>
  <c r="J311" i="1"/>
  <c r="K311" i="1"/>
  <c r="A312" i="1"/>
  <c r="B312" i="1"/>
  <c r="C312" i="1"/>
  <c r="D312" i="1"/>
  <c r="E312" i="1"/>
  <c r="F312" i="1"/>
  <c r="G312" i="1"/>
  <c r="H312" i="1"/>
  <c r="I312" i="1"/>
  <c r="J312" i="1"/>
  <c r="K312" i="1"/>
  <c r="A313" i="1"/>
  <c r="B313" i="1"/>
  <c r="C313" i="1"/>
  <c r="D313" i="1"/>
  <c r="E313" i="1"/>
  <c r="F313" i="1"/>
  <c r="G313" i="1"/>
  <c r="H313" i="1"/>
  <c r="I313" i="1"/>
  <c r="J313" i="1"/>
  <c r="K313" i="1"/>
  <c r="A314" i="1"/>
  <c r="B314" i="1"/>
  <c r="C314" i="1"/>
  <c r="D314" i="1"/>
  <c r="E314" i="1"/>
  <c r="F314" i="1"/>
  <c r="G314" i="1"/>
  <c r="H314" i="1"/>
  <c r="I314" i="1"/>
  <c r="J314" i="1"/>
  <c r="K314" i="1"/>
  <c r="A315" i="1"/>
  <c r="B315" i="1"/>
  <c r="C315" i="1"/>
  <c r="D315" i="1"/>
  <c r="E315" i="1"/>
  <c r="F315" i="1"/>
  <c r="G315" i="1"/>
  <c r="H315" i="1"/>
  <c r="I315" i="1"/>
  <c r="J315" i="1"/>
  <c r="K315" i="1"/>
  <c r="A316" i="1"/>
  <c r="B316" i="1"/>
  <c r="C316" i="1"/>
  <c r="D316" i="1"/>
  <c r="E316" i="1"/>
  <c r="F316" i="1"/>
  <c r="G316" i="1"/>
  <c r="H316" i="1"/>
  <c r="I316" i="1"/>
  <c r="J316" i="1"/>
  <c r="K316" i="1"/>
  <c r="A317" i="1"/>
  <c r="B317" i="1"/>
  <c r="C317" i="1"/>
  <c r="D317" i="1"/>
  <c r="E317" i="1"/>
  <c r="F317" i="1"/>
  <c r="G317" i="1"/>
  <c r="H317" i="1"/>
  <c r="I317" i="1"/>
  <c r="J317" i="1"/>
  <c r="K317" i="1"/>
  <c r="A318" i="1"/>
  <c r="B318" i="1"/>
  <c r="C318" i="1"/>
  <c r="D318" i="1"/>
  <c r="E318" i="1"/>
  <c r="F318" i="1"/>
  <c r="G318" i="1"/>
  <c r="H318" i="1"/>
  <c r="I318" i="1"/>
  <c r="J318" i="1"/>
  <c r="K318" i="1"/>
  <c r="A319" i="1"/>
  <c r="B319" i="1"/>
  <c r="C319" i="1"/>
  <c r="D319" i="1"/>
  <c r="E319" i="1"/>
  <c r="F319" i="1"/>
  <c r="G319" i="1"/>
  <c r="H319" i="1"/>
  <c r="I319" i="1"/>
  <c r="J319" i="1"/>
  <c r="K319" i="1"/>
  <c r="A320" i="1"/>
  <c r="B320" i="1"/>
  <c r="C320" i="1"/>
  <c r="D320" i="1"/>
  <c r="E320" i="1"/>
  <c r="F320" i="1"/>
  <c r="G320" i="1"/>
  <c r="H320" i="1"/>
  <c r="I320" i="1"/>
  <c r="J320" i="1"/>
  <c r="K320" i="1"/>
  <c r="A321" i="1"/>
  <c r="B321" i="1"/>
  <c r="C321" i="1"/>
  <c r="D321" i="1"/>
  <c r="E321" i="1"/>
  <c r="F321" i="1"/>
  <c r="G321" i="1"/>
  <c r="H321" i="1"/>
  <c r="I321" i="1"/>
  <c r="J321" i="1"/>
  <c r="K321" i="1"/>
  <c r="A322" i="1"/>
  <c r="B322" i="1"/>
  <c r="C322" i="1"/>
  <c r="D322" i="1"/>
  <c r="E322" i="1"/>
  <c r="F322" i="1"/>
  <c r="G322" i="1"/>
  <c r="H322" i="1"/>
  <c r="I322" i="1"/>
  <c r="J322" i="1"/>
  <c r="K322" i="1"/>
  <c r="A323" i="1"/>
  <c r="B323" i="1"/>
  <c r="C323" i="1"/>
  <c r="D323" i="1"/>
  <c r="E323" i="1"/>
  <c r="F323" i="1"/>
  <c r="G323" i="1"/>
  <c r="H323" i="1"/>
  <c r="I323" i="1"/>
  <c r="J323" i="1"/>
  <c r="K323" i="1"/>
  <c r="A324" i="1"/>
  <c r="B324" i="1"/>
  <c r="C324" i="1"/>
  <c r="D324" i="1"/>
  <c r="E324" i="1"/>
  <c r="F324" i="1"/>
  <c r="G324" i="1"/>
  <c r="H324" i="1"/>
  <c r="I324" i="1"/>
  <c r="J324" i="1"/>
  <c r="K324" i="1"/>
  <c r="A325" i="1"/>
  <c r="B325" i="1"/>
  <c r="C325" i="1"/>
  <c r="D325" i="1"/>
  <c r="E325" i="1"/>
  <c r="F325" i="1"/>
  <c r="G325" i="1"/>
  <c r="H325" i="1"/>
  <c r="I325" i="1"/>
  <c r="J325" i="1"/>
  <c r="K325" i="1"/>
  <c r="B329" i="1"/>
  <c r="C330" i="1"/>
  <c r="D330" i="1"/>
  <c r="E330" i="1"/>
  <c r="F330" i="1"/>
  <c r="G330" i="1"/>
  <c r="H330" i="1"/>
  <c r="I330" i="1"/>
  <c r="J330" i="1"/>
  <c r="K330" i="1"/>
  <c r="B331" i="1"/>
  <c r="C331" i="1"/>
  <c r="D331" i="1"/>
  <c r="E331" i="1"/>
  <c r="F331" i="1"/>
  <c r="G331" i="1"/>
  <c r="H331" i="1"/>
  <c r="I331" i="1"/>
  <c r="J331" i="1"/>
  <c r="K331" i="1"/>
  <c r="A332" i="1"/>
  <c r="B332" i="1"/>
  <c r="C332" i="1"/>
  <c r="D332" i="1"/>
  <c r="E332" i="1"/>
  <c r="F332" i="1"/>
  <c r="G332" i="1"/>
  <c r="H332" i="1"/>
  <c r="I332" i="1"/>
  <c r="J332" i="1"/>
  <c r="K332" i="1"/>
  <c r="A333" i="1"/>
  <c r="B333" i="1"/>
  <c r="C333" i="1"/>
  <c r="D333" i="1"/>
  <c r="E333" i="1"/>
  <c r="F333" i="1"/>
  <c r="G333" i="1"/>
  <c r="H333" i="1"/>
  <c r="I333" i="1"/>
  <c r="J333" i="1"/>
  <c r="K333" i="1"/>
  <c r="A334" i="1"/>
  <c r="B334" i="1"/>
  <c r="C334" i="1"/>
  <c r="D334" i="1"/>
  <c r="E334" i="1"/>
  <c r="F334" i="1"/>
  <c r="G334" i="1"/>
  <c r="H334" i="1"/>
  <c r="I334" i="1"/>
  <c r="J334" i="1"/>
  <c r="K334" i="1"/>
  <c r="A335" i="1"/>
  <c r="B335" i="1"/>
  <c r="C335" i="1"/>
  <c r="D335" i="1"/>
  <c r="E335" i="1"/>
  <c r="F335" i="1"/>
  <c r="G335" i="1"/>
  <c r="H335" i="1"/>
  <c r="I335" i="1"/>
  <c r="J335" i="1"/>
  <c r="K335" i="1"/>
  <c r="A336" i="1"/>
  <c r="B336" i="1"/>
  <c r="C336" i="1"/>
  <c r="D336" i="1"/>
  <c r="E336" i="1"/>
  <c r="F336" i="1"/>
  <c r="G336" i="1"/>
  <c r="H336" i="1"/>
  <c r="I336" i="1"/>
  <c r="J336" i="1"/>
  <c r="K336" i="1"/>
  <c r="A337" i="1"/>
  <c r="B337" i="1"/>
  <c r="C337" i="1"/>
  <c r="D337" i="1"/>
  <c r="E337" i="1"/>
  <c r="F337" i="1"/>
  <c r="G337" i="1"/>
  <c r="H337" i="1"/>
  <c r="I337" i="1"/>
  <c r="J337" i="1"/>
  <c r="K337" i="1"/>
  <c r="A338" i="1"/>
  <c r="B338" i="1"/>
  <c r="C338" i="1"/>
  <c r="D338" i="1"/>
  <c r="E338" i="1"/>
  <c r="F338" i="1"/>
  <c r="G338" i="1"/>
  <c r="H338" i="1"/>
  <c r="I338" i="1"/>
  <c r="J338" i="1"/>
  <c r="K338" i="1"/>
  <c r="A339" i="1"/>
  <c r="B339" i="1"/>
  <c r="C339" i="1"/>
  <c r="D339" i="1"/>
  <c r="E339" i="1"/>
  <c r="F339" i="1"/>
  <c r="G339" i="1"/>
  <c r="H339" i="1"/>
  <c r="I339" i="1"/>
  <c r="J339" i="1"/>
  <c r="K339" i="1"/>
  <c r="A340" i="1"/>
  <c r="B340" i="1"/>
  <c r="C340" i="1"/>
  <c r="D340" i="1"/>
  <c r="E340" i="1"/>
  <c r="F340" i="1"/>
  <c r="G340" i="1"/>
  <c r="H340" i="1"/>
  <c r="I340" i="1"/>
  <c r="J340" i="1"/>
  <c r="K340" i="1"/>
  <c r="A341" i="1"/>
  <c r="B341" i="1"/>
  <c r="C341" i="1"/>
  <c r="D341" i="1"/>
  <c r="E341" i="1"/>
  <c r="F341" i="1"/>
  <c r="G341" i="1"/>
  <c r="H341" i="1"/>
  <c r="I341" i="1"/>
  <c r="J341" i="1"/>
  <c r="K341" i="1"/>
  <c r="A342" i="1"/>
  <c r="B342" i="1"/>
  <c r="C342" i="1"/>
  <c r="D342" i="1"/>
  <c r="E342" i="1"/>
  <c r="F342" i="1"/>
  <c r="G342" i="1"/>
  <c r="H342" i="1"/>
  <c r="I342" i="1"/>
  <c r="J342" i="1"/>
  <c r="K342" i="1"/>
  <c r="A343" i="1"/>
  <c r="B343" i="1"/>
  <c r="C343" i="1"/>
  <c r="D343" i="1"/>
  <c r="E343" i="1"/>
  <c r="F343" i="1"/>
  <c r="G343" i="1"/>
  <c r="H343" i="1"/>
  <c r="I343" i="1"/>
  <c r="J343" i="1"/>
  <c r="K343" i="1"/>
  <c r="A344" i="1"/>
  <c r="B344" i="1"/>
  <c r="C344" i="1"/>
  <c r="D344" i="1"/>
  <c r="E344" i="1"/>
  <c r="F344" i="1"/>
  <c r="G344" i="1"/>
  <c r="H344" i="1"/>
  <c r="I344" i="1"/>
  <c r="J344" i="1"/>
  <c r="K344" i="1"/>
  <c r="A345" i="1"/>
  <c r="B345" i="1"/>
  <c r="C345" i="1"/>
  <c r="D345" i="1"/>
  <c r="E345" i="1"/>
  <c r="F345" i="1"/>
  <c r="G345" i="1"/>
  <c r="H345" i="1"/>
  <c r="I345" i="1"/>
  <c r="J345" i="1"/>
  <c r="K345" i="1"/>
  <c r="A346" i="1"/>
  <c r="B346" i="1"/>
  <c r="C346" i="1"/>
  <c r="D346" i="1"/>
  <c r="E346" i="1"/>
  <c r="F346" i="1"/>
  <c r="G346" i="1"/>
  <c r="H346" i="1"/>
  <c r="I346" i="1"/>
  <c r="J346" i="1"/>
  <c r="K346" i="1"/>
  <c r="A347" i="1"/>
  <c r="B347" i="1"/>
  <c r="C347" i="1"/>
  <c r="D347" i="1"/>
  <c r="E347" i="1"/>
  <c r="F347" i="1"/>
  <c r="G347" i="1"/>
  <c r="H347" i="1"/>
  <c r="I347" i="1"/>
  <c r="J347" i="1"/>
  <c r="K347" i="1"/>
  <c r="A348" i="1"/>
  <c r="B348" i="1"/>
  <c r="C348" i="1"/>
  <c r="D348" i="1"/>
  <c r="E348" i="1"/>
  <c r="F348" i="1"/>
  <c r="G348" i="1"/>
  <c r="H348" i="1"/>
  <c r="I348" i="1"/>
  <c r="J348" i="1"/>
  <c r="K348" i="1"/>
  <c r="A349" i="1"/>
  <c r="B349" i="1"/>
  <c r="C349" i="1"/>
  <c r="D349" i="1"/>
  <c r="E349" i="1"/>
  <c r="F349" i="1"/>
  <c r="G349" i="1"/>
  <c r="H349" i="1"/>
  <c r="I349" i="1"/>
  <c r="J349" i="1"/>
  <c r="K349" i="1"/>
  <c r="A350" i="1"/>
  <c r="B350" i="1"/>
  <c r="C350" i="1"/>
  <c r="D350" i="1"/>
  <c r="E350" i="1"/>
  <c r="F350" i="1"/>
  <c r="G350" i="1"/>
  <c r="H350" i="1"/>
  <c r="I350" i="1"/>
  <c r="J350" i="1"/>
  <c r="K350" i="1"/>
  <c r="A351" i="1"/>
  <c r="B351" i="1"/>
  <c r="C351" i="1"/>
  <c r="D351" i="1"/>
  <c r="E351" i="1"/>
  <c r="F351" i="1"/>
  <c r="G351" i="1"/>
  <c r="H351" i="1"/>
  <c r="I351" i="1"/>
  <c r="J351" i="1"/>
  <c r="K351" i="1"/>
  <c r="A352" i="1"/>
  <c r="B352" i="1"/>
  <c r="C352" i="1"/>
  <c r="D352" i="1"/>
  <c r="E352" i="1"/>
  <c r="F352" i="1"/>
  <c r="G352" i="1"/>
  <c r="H352" i="1"/>
  <c r="I352" i="1"/>
  <c r="J352" i="1"/>
  <c r="K352" i="1"/>
  <c r="A353" i="1"/>
  <c r="B353" i="1"/>
  <c r="C353" i="1"/>
  <c r="D353" i="1"/>
  <c r="E353" i="1"/>
  <c r="F353" i="1"/>
  <c r="G353" i="1"/>
  <c r="H353" i="1"/>
  <c r="I353" i="1"/>
  <c r="J353" i="1"/>
  <c r="K353" i="1"/>
  <c r="A354" i="1"/>
  <c r="B354" i="1"/>
  <c r="C354" i="1"/>
  <c r="D354" i="1"/>
  <c r="E354" i="1"/>
  <c r="F354" i="1"/>
  <c r="G354" i="1"/>
  <c r="H354" i="1"/>
  <c r="I354" i="1"/>
  <c r="J354" i="1"/>
  <c r="K354" i="1"/>
  <c r="A355" i="1"/>
  <c r="B355" i="1"/>
  <c r="C355" i="1"/>
  <c r="D355" i="1"/>
  <c r="E355" i="1"/>
  <c r="F355" i="1"/>
  <c r="G355" i="1"/>
  <c r="H355" i="1"/>
  <c r="I355" i="1"/>
  <c r="J355" i="1"/>
  <c r="K355" i="1"/>
  <c r="A356" i="1"/>
  <c r="B356" i="1"/>
  <c r="C356" i="1"/>
  <c r="D356" i="1"/>
  <c r="E356" i="1"/>
  <c r="F356" i="1"/>
  <c r="G356" i="1"/>
  <c r="H356" i="1"/>
  <c r="I356" i="1"/>
  <c r="J356" i="1"/>
  <c r="K356" i="1"/>
  <c r="A357" i="1"/>
  <c r="B357" i="1"/>
  <c r="C357" i="1"/>
  <c r="D357" i="1"/>
  <c r="E357" i="1"/>
  <c r="F357" i="1"/>
  <c r="G357" i="1"/>
  <c r="H357" i="1"/>
  <c r="I357" i="1"/>
  <c r="J357" i="1"/>
  <c r="K357" i="1"/>
  <c r="A358" i="1"/>
  <c r="B358" i="1"/>
  <c r="C358" i="1"/>
  <c r="D358" i="1"/>
  <c r="E358" i="1"/>
  <c r="F358" i="1"/>
  <c r="G358" i="1"/>
  <c r="H358" i="1"/>
  <c r="I358" i="1"/>
  <c r="J358" i="1"/>
  <c r="K358" i="1"/>
  <c r="A359" i="1"/>
  <c r="B359" i="1"/>
  <c r="C359" i="1"/>
  <c r="D359" i="1"/>
  <c r="E359" i="1"/>
  <c r="F359" i="1"/>
  <c r="G359" i="1"/>
  <c r="H359" i="1"/>
  <c r="I359" i="1"/>
  <c r="J359" i="1"/>
  <c r="K359" i="1"/>
  <c r="A360" i="1"/>
  <c r="B360" i="1"/>
  <c r="C360" i="1"/>
  <c r="D360" i="1"/>
  <c r="E360" i="1"/>
  <c r="F360" i="1"/>
  <c r="G360" i="1"/>
  <c r="H360" i="1"/>
  <c r="I360" i="1"/>
  <c r="J360" i="1"/>
  <c r="K360" i="1"/>
  <c r="C363" i="1"/>
  <c r="D363" i="1"/>
  <c r="E363" i="1"/>
  <c r="F363" i="1"/>
  <c r="G363" i="1"/>
  <c r="H363" i="1"/>
  <c r="I363" i="1"/>
  <c r="J363" i="1"/>
  <c r="K363" i="1"/>
  <c r="B365" i="1"/>
  <c r="C365" i="1"/>
  <c r="D365" i="1"/>
  <c r="E365" i="1"/>
  <c r="F365" i="1"/>
  <c r="G365" i="1"/>
  <c r="H365" i="1"/>
  <c r="I365" i="1"/>
  <c r="J365" i="1"/>
  <c r="K365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A396" i="1"/>
  <c r="B396" i="1"/>
  <c r="C396" i="1"/>
  <c r="D396" i="1"/>
  <c r="E396" i="1"/>
  <c r="F396" i="1"/>
  <c r="G396" i="1"/>
  <c r="H396" i="1"/>
  <c r="I396" i="1"/>
  <c r="J396" i="1"/>
  <c r="K396" i="1"/>
  <c r="B367" i="1"/>
  <c r="I368" i="1"/>
  <c r="C370" i="1"/>
  <c r="J371" i="1"/>
  <c r="D373" i="1"/>
  <c r="K374" i="1"/>
  <c r="I372" i="1"/>
  <c r="C367" i="1"/>
  <c r="J368" i="1"/>
  <c r="D370" i="1"/>
  <c r="K371" i="1"/>
  <c r="E373" i="1"/>
  <c r="B371" i="1"/>
  <c r="D368" i="1"/>
  <c r="D367" i="1"/>
  <c r="K368" i="1"/>
  <c r="E370" i="1"/>
  <c r="F373" i="1"/>
  <c r="E367" i="1"/>
  <c r="F370" i="1"/>
  <c r="G373" i="1"/>
  <c r="A375" i="1"/>
  <c r="F367" i="1"/>
  <c r="G370" i="1"/>
  <c r="A372" i="1"/>
  <c r="H373" i="1"/>
  <c r="B375" i="1"/>
  <c r="F374" i="1"/>
  <c r="G367" i="1"/>
  <c r="A369" i="1"/>
  <c r="H370" i="1"/>
  <c r="B372" i="1"/>
  <c r="I373" i="1"/>
  <c r="C375" i="1"/>
  <c r="H368" i="1"/>
  <c r="H367" i="1"/>
  <c r="B369" i="1"/>
  <c r="I370" i="1"/>
  <c r="C372" i="1"/>
  <c r="J373" i="1"/>
  <c r="D375" i="1"/>
  <c r="C374" i="1"/>
  <c r="K369" i="1"/>
  <c r="I367" i="1"/>
  <c r="C369" i="1"/>
  <c r="J370" i="1"/>
  <c r="D372" i="1"/>
  <c r="K373" i="1"/>
  <c r="E375" i="1"/>
  <c r="A366" i="1"/>
  <c r="J367" i="1"/>
  <c r="D369" i="1"/>
  <c r="K370" i="1"/>
  <c r="E372" i="1"/>
  <c r="F375" i="1"/>
  <c r="E366" i="1"/>
  <c r="J375" i="1"/>
  <c r="H366" i="1"/>
  <c r="B366" i="1"/>
  <c r="K367" i="1"/>
  <c r="E369" i="1"/>
  <c r="F372" i="1"/>
  <c r="G375" i="1"/>
  <c r="H369" i="1"/>
  <c r="E371" i="1"/>
  <c r="C366" i="1"/>
  <c r="F369" i="1"/>
  <c r="G372" i="1"/>
  <c r="A374" i="1"/>
  <c r="H375" i="1"/>
  <c r="A368" i="1"/>
  <c r="B370" i="1"/>
  <c r="D366" i="1"/>
  <c r="G369" i="1"/>
  <c r="A371" i="1"/>
  <c r="H372" i="1"/>
  <c r="B374" i="1"/>
  <c r="I375" i="1"/>
  <c r="A367" i="1"/>
  <c r="F366" i="1"/>
  <c r="B368" i="1"/>
  <c r="I369" i="1"/>
  <c r="C371" i="1"/>
  <c r="J372" i="1"/>
  <c r="D374" i="1"/>
  <c r="K375" i="1"/>
  <c r="G366" i="1"/>
  <c r="C368" i="1"/>
  <c r="J369" i="1"/>
  <c r="D371" i="1"/>
  <c r="K372" i="1"/>
  <c r="E374" i="1"/>
  <c r="J374" i="1"/>
  <c r="I366" i="1"/>
  <c r="E368" i="1"/>
  <c r="F371" i="1"/>
  <c r="G374" i="1"/>
  <c r="K366" i="1"/>
  <c r="A370" i="1"/>
  <c r="I374" i="1"/>
  <c r="C373" i="1"/>
  <c r="J366" i="1"/>
  <c r="F368" i="1"/>
  <c r="G371" i="1"/>
  <c r="A373" i="1"/>
  <c r="H374" i="1"/>
  <c r="G368" i="1"/>
  <c r="H371" i="1"/>
  <c r="B373" i="1"/>
  <c r="I371" i="1"/>
  <c r="I402" i="1" l="1"/>
  <c r="B404" i="1"/>
  <c r="H402" i="1"/>
  <c r="G399" i="1"/>
  <c r="H405" i="1"/>
  <c r="A404" i="1"/>
  <c r="G402" i="1"/>
  <c r="F399" i="1"/>
  <c r="J397" i="1"/>
  <c r="C404" i="1"/>
  <c r="I405" i="1"/>
  <c r="A401" i="1"/>
  <c r="K397" i="1"/>
  <c r="G405" i="1"/>
  <c r="F402" i="1"/>
  <c r="E399" i="1"/>
  <c r="I397" i="1"/>
  <c r="J405" i="1"/>
  <c r="E405" i="1"/>
  <c r="K403" i="1"/>
  <c r="D402" i="1"/>
  <c r="J400" i="1"/>
  <c r="C399" i="1"/>
  <c r="G397" i="1"/>
  <c r="K406" i="1"/>
  <c r="D405" i="1"/>
  <c r="J403" i="1"/>
  <c r="C402" i="1"/>
  <c r="I400" i="1"/>
  <c r="B399" i="1"/>
  <c r="F397" i="1"/>
  <c r="A398" i="1"/>
  <c r="I406" i="1"/>
  <c r="B405" i="1"/>
  <c r="H403" i="1"/>
  <c r="A402" i="1"/>
  <c r="G400" i="1"/>
  <c r="D397" i="1"/>
  <c r="B401" i="1"/>
  <c r="A399" i="1"/>
  <c r="H406" i="1"/>
  <c r="A405" i="1"/>
  <c r="G403" i="1"/>
  <c r="F400" i="1"/>
  <c r="C397" i="1"/>
  <c r="E402" i="1"/>
  <c r="H400" i="1"/>
  <c r="G406" i="1"/>
  <c r="F403" i="1"/>
  <c r="E400" i="1"/>
  <c r="K398" i="1"/>
  <c r="B397" i="1"/>
  <c r="H397" i="1"/>
  <c r="J406" i="1"/>
  <c r="E397" i="1"/>
  <c r="F406" i="1"/>
  <c r="E403" i="1"/>
  <c r="K401" i="1"/>
  <c r="D400" i="1"/>
  <c r="J398" i="1"/>
  <c r="A397" i="1"/>
  <c r="E406" i="1"/>
  <c r="K404" i="1"/>
  <c r="D403" i="1"/>
  <c r="J401" i="1"/>
  <c r="C400" i="1"/>
  <c r="I398" i="1"/>
  <c r="K400" i="1"/>
  <c r="C405" i="1"/>
  <c r="D406" i="1"/>
  <c r="J404" i="1"/>
  <c r="C403" i="1"/>
  <c r="I401" i="1"/>
  <c r="B400" i="1"/>
  <c r="H398" i="1"/>
  <c r="H399" i="1"/>
  <c r="C406" i="1"/>
  <c r="I404" i="1"/>
  <c r="B403" i="1"/>
  <c r="H401" i="1"/>
  <c r="A400" i="1"/>
  <c r="G398" i="1"/>
  <c r="F405" i="1"/>
  <c r="B406" i="1"/>
  <c r="H404" i="1"/>
  <c r="A403" i="1"/>
  <c r="G401" i="1"/>
  <c r="F398" i="1"/>
  <c r="A406" i="1"/>
  <c r="G404" i="1"/>
  <c r="F401" i="1"/>
  <c r="E398" i="1"/>
  <c r="F404" i="1"/>
  <c r="E401" i="1"/>
  <c r="K399" i="1"/>
  <c r="D398" i="1"/>
  <c r="D399" i="1"/>
  <c r="B402" i="1"/>
  <c r="E404" i="1"/>
  <c r="K402" i="1"/>
  <c r="D401" i="1"/>
  <c r="J399" i="1"/>
  <c r="C398" i="1"/>
  <c r="I403" i="1"/>
  <c r="K405" i="1"/>
  <c r="D404" i="1"/>
  <c r="J402" i="1"/>
  <c r="C401" i="1"/>
  <c r="I399" i="1"/>
  <c r="B398" i="1"/>
</calcChain>
</file>

<file path=xl/sharedStrings.xml><?xml version="1.0" encoding="utf-8"?>
<sst xmlns="http://schemas.openxmlformats.org/spreadsheetml/2006/main" count="64" uniqueCount="19">
  <si>
    <t>Demonstration: Recursion relations in population genetics</t>
  </si>
  <si>
    <t>Author: R.F. Murphy - February 19, 1992 (revised March 24, 1995)</t>
  </si>
  <si>
    <t>This spreadsheet simulates the behavior of a population of diploid organisms having two alleles</t>
  </si>
  <si>
    <t xml:space="preserve">(A &amp; a) for a given gene where the viabilities of the homozygotes AA and aa and the heterozygote Aa </t>
  </si>
  <si>
    <t>may be different. The recursion relation is p(n+1)=p(n)(1-p(n)K)/(1-Kp(n)^2-L(1-p(n))^2),</t>
  </si>
  <si>
    <t xml:space="preserve">  where K=1-viability(AA)/viability(aa) and L=1-viability(aa)/viability(Aa).</t>
  </si>
  <si>
    <t>Reference: L.A. Segel (1984) "Modeling dynamic phenomena in molecular and cellular biology",</t>
  </si>
  <si>
    <t xml:space="preserve">  Chapter 3 (Cambridge University Press)</t>
  </si>
  <si>
    <t>starting proportion of A=</t>
  </si>
  <si>
    <t>increment in K=</t>
  </si>
  <si>
    <t>increment in L=</t>
  </si>
  <si>
    <t>Cell B15 is the starting value for K.</t>
  </si>
  <si>
    <t>Cell B16 is a reference to cell D10 and is copied right.</t>
  </si>
  <si>
    <t xml:space="preserve">                   L=</t>
  </si>
  <si>
    <t>Cell B17 is the template for copying the recursion formula right and down.</t>
  </si>
  <si>
    <t>i=               K=</t>
  </si>
  <si>
    <t>The value of p(n) after 30 generations are summarized here as a two-dimensional array in L and K.</t>
  </si>
  <si>
    <t>L=              K=</t>
  </si>
  <si>
    <t>The p(n) values are converted to major genotype of surviving organisms after 30 generations.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</si>
</sst>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"/>
  </numFmts>
  <fonts count="13">
    <font>
      <sz val="10"/>
      <name val="Geneva"/>
    </font>
    <font>
      <b/>
      <sz val="10"/>
      <name val="Geneva"/>
    </font>
    <font>
      <sz val="10"/>
      <name val="Geneva"/>
    </font>
    <font>
      <sz val="10"/>
      <color indexed="10"/>
      <name val="Geneva"/>
    </font>
    <font>
      <sz val="10"/>
      <color indexed="28"/>
      <name val="Geneva"/>
    </font>
    <font>
      <b/>
      <sz val="10"/>
      <color indexed="10"/>
      <name val="Geneva"/>
    </font>
    <font>
      <sz val="10"/>
      <color indexed="11"/>
      <name val="Geneva"/>
    </font>
    <font>
      <b/>
      <sz val="10"/>
      <color indexed="11"/>
      <name val="Geneva"/>
    </font>
    <font>
      <sz val="10"/>
      <color indexed="12"/>
      <name val="Geneva"/>
    </font>
    <font>
      <b/>
      <sz val="10"/>
      <color indexed="12"/>
      <name val="Geneva"/>
    </font>
    <font>
      <sz val="10"/>
      <color indexed="14"/>
      <name val="Geneva"/>
    </font>
    <font>
      <b/>
      <sz val="10"/>
      <color indexed="8"/>
      <name val="Geneva"/>
    </font>
    <font>
      <sz val="10"/>
      <color indexed="8"/>
      <name val="Genev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2" xfId="0" applyFont="1" applyBorder="1"/>
    <xf numFmtId="0" fontId="5" fillId="0" borderId="2" xfId="0" applyFont="1" applyBorder="1"/>
    <xf numFmtId="0" fontId="6" fillId="0" borderId="0" xfId="0" applyFont="1"/>
    <xf numFmtId="0" fontId="8" fillId="0" borderId="0" xfId="0" applyFont="1"/>
    <xf numFmtId="0" fontId="10" fillId="0" borderId="0" xfId="0" applyFont="1"/>
    <xf numFmtId="2" fontId="7" fillId="0" borderId="0" xfId="0" applyNumberFormat="1" applyFont="1"/>
    <xf numFmtId="2" fontId="9" fillId="0" borderId="0" xfId="0" applyNumberFormat="1" applyFont="1"/>
    <xf numFmtId="2" fontId="11" fillId="0" borderId="0" xfId="0" applyNumberFormat="1" applyFont="1"/>
    <xf numFmtId="0" fontId="2" fillId="0" borderId="0" xfId="0" applyFont="1" applyBorder="1"/>
    <xf numFmtId="0" fontId="0" fillId="0" borderId="0" xfId="0" applyBorder="1"/>
    <xf numFmtId="0" fontId="8" fillId="0" borderId="0" xfId="0" applyFont="1" applyBorder="1"/>
    <xf numFmtId="0" fontId="5" fillId="0" borderId="0" xfId="0" applyFont="1" applyBorder="1"/>
    <xf numFmtId="2" fontId="7" fillId="0" borderId="0" xfId="0" applyNumberFormat="1" applyFont="1" applyBorder="1"/>
    <xf numFmtId="2" fontId="11" fillId="0" borderId="0" xfId="0" applyNumberFormat="1" applyFont="1" applyBorder="1"/>
    <xf numFmtId="2" fontId="9" fillId="0" borderId="0" xfId="0" applyNumberFormat="1" applyFont="1" applyBorder="1"/>
    <xf numFmtId="0" fontId="3" fillId="0" borderId="0" xfId="0" applyFont="1" applyBorder="1"/>
    <xf numFmtId="0" fontId="6" fillId="0" borderId="0" xfId="0" applyFont="1" applyBorder="1"/>
    <xf numFmtId="1" fontId="0" fillId="0" borderId="0" xfId="0" applyNumberFormat="1"/>
    <xf numFmtId="175" fontId="0" fillId="0" borderId="0" xfId="0" applyNumberFormat="1" applyBorder="1"/>
    <xf numFmtId="175" fontId="0" fillId="0" borderId="3" xfId="0" applyNumberFormat="1" applyBorder="1"/>
    <xf numFmtId="2" fontId="12" fillId="0" borderId="3" xfId="0" applyNumberFormat="1" applyFont="1" applyBorder="1"/>
    <xf numFmtId="2" fontId="12" fillId="0" borderId="0" xfId="0" applyNumberFormat="1" applyFont="1" applyBorder="1"/>
    <xf numFmtId="0" fontId="1" fillId="0" borderId="2" xfId="0" applyFont="1" applyBorder="1"/>
    <xf numFmtId="175" fontId="1" fillId="0" borderId="0" xfId="0" applyNumberFormat="1" applyFont="1" applyBorder="1"/>
    <xf numFmtId="175" fontId="1" fillId="0" borderId="2" xfId="0" applyNumberFormat="1" applyFont="1" applyBorder="1"/>
    <xf numFmtId="175" fontId="0" fillId="0" borderId="4" xfId="0" applyNumberFormat="1" applyBorder="1"/>
    <xf numFmtId="175" fontId="0" fillId="0" borderId="2" xfId="0" applyNumberFormat="1" applyBorder="1"/>
    <xf numFmtId="175" fontId="0" fillId="0" borderId="5" xfId="0" applyNumberFormat="1" applyBorder="1"/>
    <xf numFmtId="175" fontId="1" fillId="0" borderId="1" xfId="0" applyNumberFormat="1" applyFont="1" applyBorder="1"/>
    <xf numFmtId="17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Frequency of A allele as a function of K &amp; L</a:t>
            </a:r>
          </a:p>
        </c:rich>
      </c:tx>
      <c:layout>
        <c:manualLayout>
          <c:xMode val="edge"/>
          <c:yMode val="edge"/>
          <c:x val="1.2140006866913675E-2"/>
          <c:y val="1.973750388760802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2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630258841151357"/>
          <c:y val="8.3336127525456091E-2"/>
          <c:w val="0.46283776180108382"/>
          <c:h val="0.76976265161671287"/>
        </c:manualLayout>
      </c:layout>
      <c:surface3DChart>
        <c:wireframe val="0"/>
        <c:ser>
          <c:idx val="0"/>
          <c:order val="0"/>
          <c:tx>
            <c:strRef>
              <c:f>Sheet1!$B$365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Sheet1!$B$366:$B$375</c:f>
              <c:numCache>
                <c:formatCode>0.00</c:formatCode>
                <c:ptCount val="10"/>
                <c:pt idx="0">
                  <c:v>0.5</c:v>
                </c:pt>
                <c:pt idx="1">
                  <c:v>0.44444444444444442</c:v>
                </c:pt>
                <c:pt idx="2">
                  <c:v>0.37499999999702771</c:v>
                </c:pt>
                <c:pt idx="3">
                  <c:v>0.28571409020687139</c:v>
                </c:pt>
                <c:pt idx="4">
                  <c:v>0.16649490773947678</c:v>
                </c:pt>
                <c:pt idx="5">
                  <c:v>2.5641025641025644E-2</c:v>
                </c:pt>
                <c:pt idx="6">
                  <c:v>3.6161260491741676E-4</c:v>
                </c:pt>
                <c:pt idx="7">
                  <c:v>5.0302828039256625E-6</c:v>
                </c:pt>
                <c:pt idx="8">
                  <c:v>1.1284746616863942E-7</c:v>
                </c:pt>
                <c:pt idx="9">
                  <c:v>3.8581000611569138E-9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0-4AF8-A6E9-5918389C2BCB}"/>
            </c:ext>
          </c:extLst>
        </c:ser>
        <c:ser>
          <c:idx val="1"/>
          <c:order val="1"/>
          <c:tx>
            <c:strRef>
              <c:f>Sheet1!$C$365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Sheet1!$C$366:$C$375</c:f>
              <c:numCache>
                <c:formatCode>0.00</c:formatCode>
                <c:ptCount val="10"/>
                <c:pt idx="0">
                  <c:v>0.55555555555555558</c:v>
                </c:pt>
                <c:pt idx="1">
                  <c:v>0.4999999999999879</c:v>
                </c:pt>
                <c:pt idx="2">
                  <c:v>0.42857142810567866</c:v>
                </c:pt>
                <c:pt idx="3">
                  <c:v>0.33333203389657129</c:v>
                </c:pt>
                <c:pt idx="4">
                  <c:v>0.19958429860307791</c:v>
                </c:pt>
                <c:pt idx="5">
                  <c:v>3.0357985463795943E-2</c:v>
                </c:pt>
                <c:pt idx="6">
                  <c:v>3.9665355901415968E-4</c:v>
                </c:pt>
                <c:pt idx="7">
                  <c:v>5.367239097722724E-6</c:v>
                </c:pt>
                <c:pt idx="8">
                  <c:v>1.189615501732773E-7</c:v>
                </c:pt>
                <c:pt idx="9">
                  <c:v>4.0398197133408348E-9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C0-4AF8-A6E9-5918389C2BCB}"/>
            </c:ext>
          </c:extLst>
        </c:ser>
        <c:ser>
          <c:idx val="2"/>
          <c:order val="2"/>
          <c:tx>
            <c:strRef>
              <c:f>Sheet1!$D$365</c:f>
              <c:strCache>
                <c:ptCount val="1"/>
                <c:pt idx="0">
                  <c:v>0.6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Sheet1!$D$366:$D$375</c:f>
              <c:numCache>
                <c:formatCode>0.00</c:formatCode>
                <c:ptCount val="10"/>
                <c:pt idx="0">
                  <c:v>0.62499999999936939</c:v>
                </c:pt>
                <c:pt idx="1">
                  <c:v>0.57142857114258216</c:v>
                </c:pt>
                <c:pt idx="2">
                  <c:v>0.49999993216442506</c:v>
                </c:pt>
                <c:pt idx="3">
                  <c:v>0.399987982681768</c:v>
                </c:pt>
                <c:pt idx="4">
                  <c:v>0.24884848193589199</c:v>
                </c:pt>
                <c:pt idx="5">
                  <c:v>3.7081570148770025E-2</c:v>
                </c:pt>
                <c:pt idx="6">
                  <c:v>4.3825767735289768E-4</c:v>
                </c:pt>
                <c:pt idx="7">
                  <c:v>5.7427941266399982E-6</c:v>
                </c:pt>
                <c:pt idx="8">
                  <c:v>1.2559086411528151E-7</c:v>
                </c:pt>
                <c:pt idx="9">
                  <c:v>4.2338082948967582E-9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C0-4AF8-A6E9-5918389C2BCB}"/>
            </c:ext>
          </c:extLst>
        </c:ser>
        <c:ser>
          <c:idx val="3"/>
          <c:order val="3"/>
          <c:tx>
            <c:strRef>
              <c:f>Sheet1!$E$365</c:f>
              <c:strCache>
                <c:ptCount val="1"/>
                <c:pt idx="0">
                  <c:v>0.4</c:v>
                </c:pt>
              </c:strCache>
            </c:strRef>
          </c:tx>
          <c:spPr>
            <a:solidFill>
              <a:srgbClr val="A0E0E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Sheet1!$E$366:$E$375</c:f>
              <c:numCache>
                <c:formatCode>0.00</c:formatCode>
                <c:ptCount val="10"/>
                <c:pt idx="0">
                  <c:v>0.71428564243249471</c:v>
                </c:pt>
                <c:pt idx="1">
                  <c:v>0.66666589821348732</c:v>
                </c:pt>
                <c:pt idx="2">
                  <c:v>0.59999056243496496</c:v>
                </c:pt>
                <c:pt idx="3">
                  <c:v>0.49982983262742892</c:v>
                </c:pt>
                <c:pt idx="4">
                  <c:v>0.32924429272389616</c:v>
                </c:pt>
                <c:pt idx="5">
                  <c:v>4.7369802672840959E-2</c:v>
                </c:pt>
                <c:pt idx="6">
                  <c:v>4.8837419485750228E-4</c:v>
                </c:pt>
                <c:pt idx="7">
                  <c:v>6.1636137660903673E-6</c:v>
                </c:pt>
                <c:pt idx="8">
                  <c:v>1.3279967509139937E-7</c:v>
                </c:pt>
                <c:pt idx="9">
                  <c:v>4.4412874117266563E-9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C0-4AF8-A6E9-5918389C2BCB}"/>
            </c:ext>
          </c:extLst>
        </c:ser>
        <c:ser>
          <c:idx val="4"/>
          <c:order val="4"/>
          <c:tx>
            <c:strRef>
              <c:f>Sheet1!$F$365</c:f>
              <c:strCache>
                <c:ptCount val="1"/>
                <c:pt idx="0">
                  <c:v>0.2</c:v>
                </c:pt>
              </c:strCache>
            </c:strRef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Sheet1!$F$366:$F$375</c:f>
              <c:numCache>
                <c:formatCode>0.00</c:formatCode>
                <c:ptCount val="10"/>
                <c:pt idx="0">
                  <c:v>0.83312292389299347</c:v>
                </c:pt>
                <c:pt idx="1">
                  <c:v>0.79953713508469015</c:v>
                </c:pt>
                <c:pt idx="2">
                  <c:v>0.74884744582101603</c:v>
                </c:pt>
                <c:pt idx="3">
                  <c:v>0.66271853547110549</c:v>
                </c:pt>
                <c:pt idx="4">
                  <c:v>0.47746826916952828</c:v>
                </c:pt>
                <c:pt idx="5">
                  <c:v>6.4851819922484608E-2</c:v>
                </c:pt>
                <c:pt idx="6">
                  <c:v>5.497851859272081E-4</c:v>
                </c:pt>
                <c:pt idx="7">
                  <c:v>6.6379248095584218E-6</c:v>
                </c:pt>
                <c:pt idx="8">
                  <c:v>1.4066273058530529E-7</c:v>
                </c:pt>
                <c:pt idx="9">
                  <c:v>4.6636323133531244E-9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C0-4AF8-A6E9-5918389C2BCB}"/>
            </c:ext>
          </c:extLst>
        </c:ser>
        <c:ser>
          <c:idx val="5"/>
          <c:order val="5"/>
          <c:tx>
            <c:strRef>
              <c:f>Sheet1!$G$365</c:f>
              <c:strCache>
                <c:ptCount val="1"/>
                <c:pt idx="0">
                  <c:v>5.55112E-17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Sheet1!$G$366:$G$375</c:f>
              <c:numCache>
                <c:formatCode>0.00</c:formatCode>
                <c:ptCount val="10"/>
                <c:pt idx="0">
                  <c:v>0.96678966789667897</c:v>
                </c:pt>
                <c:pt idx="1">
                  <c:v>0.95617099769073055</c:v>
                </c:pt>
                <c:pt idx="2">
                  <c:v>0.93784892302035894</c:v>
                </c:pt>
                <c:pt idx="3">
                  <c:v>0.89726966378417605</c:v>
                </c:pt>
                <c:pt idx="4">
                  <c:v>0.75426357065468341</c:v>
                </c:pt>
                <c:pt idx="5">
                  <c:v>0.1</c:v>
                </c:pt>
                <c:pt idx="6">
                  <c:v>6.2659416859911943E-4</c:v>
                </c:pt>
                <c:pt idx="7">
                  <c:v>7.1759897686717849E-6</c:v>
                </c:pt>
                <c:pt idx="8">
                  <c:v>1.4926744027010157E-7</c:v>
                </c:pt>
                <c:pt idx="9">
                  <c:v>4.9023965316803479E-9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C0-4AF8-A6E9-5918389C2BCB}"/>
            </c:ext>
          </c:extLst>
        </c:ser>
        <c:ser>
          <c:idx val="6"/>
          <c:order val="6"/>
          <c:tx>
            <c:strRef>
              <c:f>Sheet1!$H$365</c:f>
              <c:strCache>
                <c:ptCount val="1"/>
                <c:pt idx="0">
                  <c:v>-0.2</c:v>
                </c:pt>
              </c:strCache>
            </c:strRef>
          </c:tx>
          <c:spPr>
            <a:solidFill>
              <a:srgbClr val="0080C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Sheet1!$H$366:$H$375</c:f>
              <c:numCache>
                <c:formatCode>0.00</c:formatCode>
                <c:ptCount val="10"/>
                <c:pt idx="0">
                  <c:v>0.99900699794611747</c:v>
                </c:pt>
                <c:pt idx="1">
                  <c:v>0.99839689676846544</c:v>
                </c:pt>
                <c:pt idx="2">
                  <c:v>0.99719764970887037</c:v>
                </c:pt>
                <c:pt idx="3">
                  <c:v>0.99367615990267522</c:v>
                </c:pt>
                <c:pt idx="4">
                  <c:v>0.97130429665804807</c:v>
                </c:pt>
                <c:pt idx="5">
                  <c:v>0.19517338080939778</c:v>
                </c:pt>
                <c:pt idx="6">
                  <c:v>7.2509851275250352E-4</c:v>
                </c:pt>
                <c:pt idx="7">
                  <c:v>7.7907628504110462E-6</c:v>
                </c:pt>
                <c:pt idx="8">
                  <c:v>1.5871661239719733E-7</c:v>
                </c:pt>
                <c:pt idx="9">
                  <c:v>5.159341243201116E-9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C0-4AF8-A6E9-5918389C2BCB}"/>
            </c:ext>
          </c:extLst>
        </c:ser>
        <c:ser>
          <c:idx val="7"/>
          <c:order val="7"/>
          <c:tx>
            <c:strRef>
              <c:f>Sheet1!$I$365</c:f>
              <c:strCache>
                <c:ptCount val="1"/>
                <c:pt idx="0">
                  <c:v>-0.4</c:v>
                </c:pt>
              </c:strCache>
            </c:strRef>
          </c:tx>
          <c:spPr>
            <a:solidFill>
              <a:srgbClr val="C0C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Sheet1!$I$366:$I$375</c:f>
              <c:numCache>
                <c:formatCode>0.00</c:formatCode>
                <c:ptCount val="10"/>
                <c:pt idx="0">
                  <c:v>0.99997784478111285</c:v>
                </c:pt>
                <c:pt idx="1">
                  <c:v>0.99995836228162671</c:v>
                </c:pt>
                <c:pt idx="2">
                  <c:v>0.99991664191937146</c:v>
                </c:pt>
                <c:pt idx="3">
                  <c:v>0.9997767809159599</c:v>
                </c:pt>
                <c:pt idx="4">
                  <c:v>0.99868857831067315</c:v>
                </c:pt>
                <c:pt idx="5">
                  <c:v>0.57758088603739244</c:v>
                </c:pt>
                <c:pt idx="6">
                  <c:v>8.5544512020528608E-4</c:v>
                </c:pt>
                <c:pt idx="7">
                  <c:v>8.4988121114602492E-6</c:v>
                </c:pt>
                <c:pt idx="8">
                  <c:v>1.691319141089402E-7</c:v>
                </c:pt>
                <c:pt idx="9">
                  <c:v>5.4364704319231871E-9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C0-4AF8-A6E9-5918389C2BCB}"/>
            </c:ext>
          </c:extLst>
        </c:ser>
        <c:ser>
          <c:idx val="8"/>
          <c:order val="8"/>
          <c:tx>
            <c:strRef>
              <c:f>Sheet1!$J$365</c:f>
              <c:strCache>
                <c:ptCount val="1"/>
                <c:pt idx="0">
                  <c:v>-0.6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Sheet1!$J$366:$J$375</c:f>
              <c:numCache>
                <c:formatCode>0.00</c:formatCode>
                <c:ptCount val="10"/>
                <c:pt idx="0">
                  <c:v>0.99999932291494831</c:v>
                </c:pt>
                <c:pt idx="1">
                  <c:v>0.99999858106396555</c:v>
                </c:pt>
                <c:pt idx="2">
                  <c:v>0.99999689954197657</c:v>
                </c:pt>
                <c:pt idx="3">
                  <c:v>0.99999088127872238</c:v>
                </c:pt>
                <c:pt idx="4">
                  <c:v>0.99994178289560931</c:v>
                </c:pt>
                <c:pt idx="5">
                  <c:v>0.97975294230982013</c:v>
                </c:pt>
                <c:pt idx="6">
                  <c:v>1.0350203088556737E-3</c:v>
                </c:pt>
                <c:pt idx="7">
                  <c:v>9.3216410997072919E-6</c:v>
                </c:pt>
                <c:pt idx="8">
                  <c:v>1.8065828601123849E-7</c:v>
                </c:pt>
                <c:pt idx="9">
                  <c:v>5.7360732162249974E-9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C0-4AF8-A6E9-5918389C2BCB}"/>
            </c:ext>
          </c:extLst>
        </c:ser>
        <c:ser>
          <c:idx val="9"/>
          <c:order val="9"/>
          <c:tx>
            <c:strRef>
              <c:f>Sheet1!$K$365</c:f>
              <c:strCache>
                <c:ptCount val="1"/>
                <c:pt idx="0">
                  <c:v>-0.8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Sheet1!$A$366:$A$375</c:f>
              <c:numCache>
                <c:formatCode>0.0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0.60000000000000009</c:v>
                </c:pt>
                <c:pt idx="3">
                  <c:v>0.40000000000000008</c:v>
                </c:pt>
                <c:pt idx="4">
                  <c:v>0.20000000000000007</c:v>
                </c:pt>
                <c:pt idx="5">
                  <c:v>5.5511151231257827E-17</c:v>
                </c:pt>
                <c:pt idx="6">
                  <c:v>-0.19999999999999996</c:v>
                </c:pt>
                <c:pt idx="7">
                  <c:v>-0.39999999999999997</c:v>
                </c:pt>
                <c:pt idx="8">
                  <c:v>-0.6</c:v>
                </c:pt>
                <c:pt idx="9">
                  <c:v>-0.8</c:v>
                </c:pt>
              </c:numCache>
            </c:numRef>
          </c:cat>
          <c:val>
            <c:numRef>
              <c:f>Sheet1!$K$366:$K$375</c:f>
              <c:numCache>
                <c:formatCode>0.00</c:formatCode>
                <c:ptCount val="10"/>
                <c:pt idx="0">
                  <c:v>0.99999997094614412</c:v>
                </c:pt>
                <c:pt idx="1">
                  <c:v>0.99999993389631703</c:v>
                </c:pt>
                <c:pt idx="2">
                  <c:v>0.99999984657461782</c:v>
                </c:pt>
                <c:pt idx="3">
                  <c:v>0.99999952345667797</c:v>
                </c:pt>
                <c:pt idx="4">
                  <c:v>0.99999690762272397</c:v>
                </c:pt>
                <c:pt idx="5">
                  <c:v>0.99949364429607224</c:v>
                </c:pt>
                <c:pt idx="6">
                  <c:v>1.2960990364182265E-3</c:v>
                </c:pt>
                <c:pt idx="7">
                  <c:v>1.0287624545379263E-5</c:v>
                </c:pt>
                <c:pt idx="8">
                  <c:v>1.9346962796321598E-7</c:v>
                </c:pt>
                <c:pt idx="9">
                  <c:v>6.0607750760921319E-9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C0-4AF8-A6E9-5918389C2BCB}"/>
            </c:ext>
          </c:extLst>
        </c:ser>
        <c:bandFmts>
          <c:bandFmt>
            <c:idx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9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760224463"/>
        <c:axId val="1"/>
        <c:axId val="2"/>
      </c:surface3DChart>
      <c:catAx>
        <c:axId val="760224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L</a:t>
                </a:r>
              </a:p>
            </c:rich>
          </c:tx>
          <c:layout>
            <c:manualLayout>
              <c:xMode val="edge"/>
              <c:yMode val="edge"/>
              <c:x val="0.20182761416243983"/>
              <c:y val="0.82678210729202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1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p(30)</a:t>
                </a:r>
              </a:p>
            </c:rich>
          </c:tx>
          <c:layout>
            <c:manualLayout>
              <c:xMode val="edge"/>
              <c:yMode val="edge"/>
              <c:x val="3.9455022317469439E-2"/>
              <c:y val="0.451769533427472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60224463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K</a:t>
                </a:r>
              </a:p>
            </c:rich>
          </c:tx>
          <c:layout>
            <c:manualLayout>
              <c:xMode val="edge"/>
              <c:yMode val="edge"/>
              <c:x val="0.7617854308988331"/>
              <c:y val="0.63160012440345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tickLblSkip val="3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1793296265830884"/>
          <c:y val="7.6756959562920085E-2"/>
          <c:w val="0.16237259184497038"/>
          <c:h val="0.59431817261575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 rtl="0"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r>
              <a:rPr lang="en-GB"/>
              <a:t>L=1, K=1 to -0.8</a:t>
            </a:r>
          </a:p>
        </c:rich>
      </c:tx>
      <c:layout>
        <c:manualLayout>
          <c:xMode val="edge"/>
          <c:yMode val="edge"/>
          <c:x val="0.30463214144272621"/>
          <c:y val="3.1747083633917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110024523241299"/>
          <c:y val="0.20159398107537432"/>
          <c:w val="0.67229162249429231"/>
          <c:h val="0.6397037352234319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Sheet1!$B$16:$B$45</c:f>
              <c:numCache>
                <c:formatCode>0.00</c:formatCode>
                <c:ptCount val="30"/>
                <c:pt idx="0">
                  <c:v>0.1</c:v>
                </c:pt>
                <c:pt idx="1">
                  <c:v>0.50000000000000022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E-446E-A84B-9F5CC2FBCA34}"/>
            </c:ext>
          </c:extLst>
        </c:ser>
        <c:ser>
          <c:idx val="1"/>
          <c:order val="1"/>
          <c:tx>
            <c:strRef>
              <c:f>Sheet1!$C$15</c:f>
              <c:strCache>
                <c:ptCount val="1"/>
                <c:pt idx="0">
                  <c:v>0.8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Sheet1!$C$16:$C$45</c:f>
              <c:numCache>
                <c:formatCode>0.00</c:formatCode>
                <c:ptCount val="30"/>
                <c:pt idx="0">
                  <c:v>0.1</c:v>
                </c:pt>
                <c:pt idx="1">
                  <c:v>0.5054945054945057</c:v>
                </c:pt>
                <c:pt idx="2">
                  <c:v>0.54637096774193561</c:v>
                </c:pt>
                <c:pt idx="3">
                  <c:v>0.55374851249504164</c:v>
                </c:pt>
                <c:pt idx="4">
                  <c:v>0.55519531867784278</c:v>
                </c:pt>
                <c:pt idx="5">
                  <c:v>0.55548355486715884</c:v>
                </c:pt>
                <c:pt idx="6">
                  <c:v>0.55554115728391018</c:v>
                </c:pt>
                <c:pt idx="7">
                  <c:v>0.55555267597585611</c:v>
                </c:pt>
                <c:pt idx="8">
                  <c:v>0.55555497964260081</c:v>
                </c:pt>
                <c:pt idx="9">
                  <c:v>0.55555544037308402</c:v>
                </c:pt>
                <c:pt idx="10">
                  <c:v>0.55555553251906609</c:v>
                </c:pt>
                <c:pt idx="11">
                  <c:v>0.55555555094825781</c:v>
                </c:pt>
                <c:pt idx="12">
                  <c:v>0.555555554634096</c:v>
                </c:pt>
                <c:pt idx="13">
                  <c:v>0.55555555537126367</c:v>
                </c:pt>
                <c:pt idx="14">
                  <c:v>0.55555555551869706</c:v>
                </c:pt>
                <c:pt idx="15">
                  <c:v>0.55555555554818381</c:v>
                </c:pt>
                <c:pt idx="16">
                  <c:v>0.55555555555408109</c:v>
                </c:pt>
                <c:pt idx="17">
                  <c:v>0.55555555555526059</c:v>
                </c:pt>
                <c:pt idx="18">
                  <c:v>0.55555555555549663</c:v>
                </c:pt>
                <c:pt idx="19">
                  <c:v>0.5555555555555437</c:v>
                </c:pt>
                <c:pt idx="20">
                  <c:v>0.55555555555555314</c:v>
                </c:pt>
                <c:pt idx="21">
                  <c:v>0.55555555555555503</c:v>
                </c:pt>
                <c:pt idx="22">
                  <c:v>0.55555555555555547</c:v>
                </c:pt>
                <c:pt idx="23">
                  <c:v>0.55555555555555558</c:v>
                </c:pt>
                <c:pt idx="24">
                  <c:v>0.55555555555555558</c:v>
                </c:pt>
                <c:pt idx="25">
                  <c:v>0.55555555555555558</c:v>
                </c:pt>
                <c:pt idx="26">
                  <c:v>0.55555555555555558</c:v>
                </c:pt>
                <c:pt idx="27">
                  <c:v>0.55555555555555558</c:v>
                </c:pt>
                <c:pt idx="28">
                  <c:v>0.55555555555555558</c:v>
                </c:pt>
                <c:pt idx="29">
                  <c:v>0.55555555555555558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1E-446E-A84B-9F5CC2FBCA34}"/>
            </c:ext>
          </c:extLst>
        </c:ser>
        <c:ser>
          <c:idx val="2"/>
          <c:order val="2"/>
          <c:tx>
            <c:strRef>
              <c:f>Sheet1!$D$15</c:f>
              <c:strCache>
                <c:ptCount val="1"/>
                <c:pt idx="0">
                  <c:v>0.6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Sheet1!$D$16:$D$45</c:f>
              <c:numCache>
                <c:formatCode>0.00</c:formatCode>
                <c:ptCount val="30"/>
                <c:pt idx="0">
                  <c:v>0.1</c:v>
                </c:pt>
                <c:pt idx="1">
                  <c:v>0.51086956521739146</c:v>
                </c:pt>
                <c:pt idx="2">
                  <c:v>0.58639705882352944</c:v>
                </c:pt>
                <c:pt idx="3">
                  <c:v>0.61045706371191144</c:v>
                </c:pt>
                <c:pt idx="4">
                  <c:v>0.61931510557661085</c:v>
                </c:pt>
                <c:pt idx="5">
                  <c:v>0.62274653932825397</c:v>
                </c:pt>
                <c:pt idx="6">
                  <c:v>0.62410185402989549</c:v>
                </c:pt>
                <c:pt idx="7">
                  <c:v>0.62464125713748808</c:v>
                </c:pt>
                <c:pt idx="8">
                  <c:v>0.62485658517346776</c:v>
                </c:pt>
                <c:pt idx="9">
                  <c:v>0.62494264722976722</c:v>
                </c:pt>
                <c:pt idx="10">
                  <c:v>0.62497706099689132</c:v>
                </c:pt>
                <c:pt idx="11">
                  <c:v>0.62499082473551071</c:v>
                </c:pt>
                <c:pt idx="12">
                  <c:v>0.6249963299480823</c:v>
                </c:pt>
                <c:pt idx="13">
                  <c:v>0.62499853198785316</c:v>
                </c:pt>
                <c:pt idx="14">
                  <c:v>0.62499941279652038</c:v>
                </c:pt>
                <c:pt idx="15">
                  <c:v>0.62499976511882893</c:v>
                </c:pt>
                <c:pt idx="16">
                  <c:v>0.62499990604756694</c:v>
                </c:pt>
                <c:pt idx="17">
                  <c:v>0.62499996241903233</c:v>
                </c:pt>
                <c:pt idx="18">
                  <c:v>0.62499998496761389</c:v>
                </c:pt>
                <c:pt idx="19">
                  <c:v>0.62499999398704575</c:v>
                </c:pt>
                <c:pt idx="20">
                  <c:v>0.62499999759481839</c:v>
                </c:pt>
                <c:pt idx="21">
                  <c:v>0.62499999903792736</c:v>
                </c:pt>
                <c:pt idx="22">
                  <c:v>0.62499999961517094</c:v>
                </c:pt>
                <c:pt idx="23">
                  <c:v>0.62499999984606824</c:v>
                </c:pt>
                <c:pt idx="24">
                  <c:v>0.62499999993842725</c:v>
                </c:pt>
                <c:pt idx="25">
                  <c:v>0.62499999997537081</c:v>
                </c:pt>
                <c:pt idx="26">
                  <c:v>0.62499999999014832</c:v>
                </c:pt>
                <c:pt idx="27">
                  <c:v>0.62499999999605926</c:v>
                </c:pt>
                <c:pt idx="28">
                  <c:v>0.62499999999842359</c:v>
                </c:pt>
                <c:pt idx="29">
                  <c:v>0.62499999999936939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1E-446E-A84B-9F5CC2FBCA34}"/>
            </c:ext>
          </c:extLst>
        </c:ser>
        <c:ser>
          <c:idx val="3"/>
          <c:order val="3"/>
          <c:tx>
            <c:strRef>
              <c:f>Sheet1!$E$15</c:f>
              <c:strCache>
                <c:ptCount val="1"/>
                <c:pt idx="0">
                  <c:v>0.4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Sheet1!$E$16:$E$45</c:f>
              <c:numCache>
                <c:formatCode>0.00</c:formatCode>
                <c:ptCount val="30"/>
                <c:pt idx="0">
                  <c:v>0.1</c:v>
                </c:pt>
                <c:pt idx="1">
                  <c:v>0.51612903225806472</c:v>
                </c:pt>
                <c:pt idx="2">
                  <c:v>0.62121212121212133</c:v>
                </c:pt>
                <c:pt idx="3">
                  <c:v>0.66487935656836472</c:v>
                </c:pt>
                <c:pt idx="4">
                  <c:v>0.68655967903711146</c:v>
                </c:pt>
                <c:pt idx="5">
                  <c:v>0.69827170029931462</c:v>
                </c:pt>
                <c:pt idx="6">
                  <c:v>0.70488799909341604</c:v>
                </c:pt>
                <c:pt idx="7">
                  <c:v>0.70872030811332787</c:v>
                </c:pt>
                <c:pt idx="8">
                  <c:v>0.71097228737549134</c:v>
                </c:pt>
                <c:pt idx="9">
                  <c:v>0.71230683774746384</c:v>
                </c:pt>
                <c:pt idx="10">
                  <c:v>0.71310166867487534</c:v>
                </c:pt>
                <c:pt idx="11">
                  <c:v>0.71357646262006125</c:v>
                </c:pt>
                <c:pt idx="12">
                  <c:v>0.71386058541902198</c:v>
                </c:pt>
                <c:pt idx="13">
                  <c:v>0.71403078869241887</c:v>
                </c:pt>
                <c:pt idx="14">
                  <c:v>0.71413281349939017</c:v>
                </c:pt>
                <c:pt idx="15">
                  <c:v>0.71419399344778334</c:v>
                </c:pt>
                <c:pt idx="16">
                  <c:v>0.71423068884872654</c:v>
                </c:pt>
                <c:pt idx="17">
                  <c:v>0.71425270156667675</c:v>
                </c:pt>
                <c:pt idx="18">
                  <c:v>0.71426590756971475</c:v>
                </c:pt>
                <c:pt idx="19">
                  <c:v>0.71427383058564242</c:v>
                </c:pt>
                <c:pt idx="20">
                  <c:v>0.71427858418429591</c:v>
                </c:pt>
                <c:pt idx="21">
                  <c:v>0.71428143626756702</c:v>
                </c:pt>
                <c:pt idx="22">
                  <c:v>0.71428314749019906</c:v>
                </c:pt>
                <c:pt idx="23">
                  <c:v>0.7142841742139393</c:v>
                </c:pt>
                <c:pt idx="24">
                  <c:v>0.71428479024464164</c:v>
                </c:pt>
                <c:pt idx="25">
                  <c:v>0.71428515986178776</c:v>
                </c:pt>
                <c:pt idx="26">
                  <c:v>0.7142853816316167</c:v>
                </c:pt>
                <c:pt idx="27">
                  <c:v>0.71428551469334867</c:v>
                </c:pt>
                <c:pt idx="28">
                  <c:v>0.71428559453032836</c:v>
                </c:pt>
                <c:pt idx="29">
                  <c:v>0.71428564243249471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1E-446E-A84B-9F5CC2FBCA34}"/>
            </c:ext>
          </c:extLst>
        </c:ser>
        <c:ser>
          <c:idx val="4"/>
          <c:order val="4"/>
          <c:tx>
            <c:strRef>
              <c:f>Sheet1!$F$15</c:f>
              <c:strCache>
                <c:ptCount val="1"/>
                <c:pt idx="0">
                  <c:v>0.2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val>
            <c:numRef>
              <c:f>Sheet1!$F$16:$F$45</c:f>
              <c:numCache>
                <c:formatCode>0.00</c:formatCode>
                <c:ptCount val="30"/>
                <c:pt idx="0">
                  <c:v>0.1</c:v>
                </c:pt>
                <c:pt idx="1">
                  <c:v>0.52127659574468099</c:v>
                </c:pt>
                <c:pt idx="2">
                  <c:v>0.65170278637770906</c:v>
                </c:pt>
                <c:pt idx="3">
                  <c:v>0.71403152008134219</c:v>
                </c:pt>
                <c:pt idx="4">
                  <c:v>0.7498443475940586</c:v>
                </c:pt>
                <c:pt idx="5">
                  <c:v>0.77262437951719576</c:v>
                </c:pt>
                <c:pt idx="6">
                  <c:v>0.78806406983298327</c:v>
                </c:pt>
                <c:pt idx="7">
                  <c:v>0.79898389126590208</c:v>
                </c:pt>
                <c:pt idx="8">
                  <c:v>0.80694162809938152</c:v>
                </c:pt>
                <c:pt idx="9">
                  <c:v>0.81286810390918074</c:v>
                </c:pt>
                <c:pt idx="10">
                  <c:v>0.81735358485647425</c:v>
                </c:pt>
                <c:pt idx="11">
                  <c:v>0.82079006056455217</c:v>
                </c:pt>
                <c:pt idx="12">
                  <c:v>0.82344751572645103</c:v>
                </c:pt>
                <c:pt idx="13">
                  <c:v>0.82551739952311765</c:v>
                </c:pt>
                <c:pt idx="14">
                  <c:v>0.82713868662355416</c:v>
                </c:pt>
                <c:pt idx="15">
                  <c:v>0.82841418284477675</c:v>
                </c:pt>
                <c:pt idx="16">
                  <c:v>0.82942110674011682</c:v>
                </c:pt>
                <c:pt idx="17">
                  <c:v>0.83021817669712128</c:v>
                </c:pt>
                <c:pt idx="18">
                  <c:v>0.83085048936181316</c:v>
                </c:pt>
                <c:pt idx="19">
                  <c:v>0.83135295851014646</c:v>
                </c:pt>
                <c:pt idx="20">
                  <c:v>0.83175278955770404</c:v>
                </c:pt>
                <c:pt idx="21">
                  <c:v>0.83207129196678176</c:v>
                </c:pt>
                <c:pt idx="22">
                  <c:v>0.83232522696641642</c:v>
                </c:pt>
                <c:pt idx="23">
                  <c:v>0.83252782268829162</c:v>
                </c:pt>
                <c:pt idx="24">
                  <c:v>0.83268954710928778</c:v>
                </c:pt>
                <c:pt idx="25">
                  <c:v>0.83281870192922702</c:v>
                </c:pt>
                <c:pt idx="26">
                  <c:v>0.83292188230479292</c:v>
                </c:pt>
                <c:pt idx="27">
                  <c:v>0.83300433495056858</c:v>
                </c:pt>
                <c:pt idx="28">
                  <c:v>0.83307023849645256</c:v>
                </c:pt>
                <c:pt idx="29">
                  <c:v>0.83312292389299347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1E-446E-A84B-9F5CC2FBCA34}"/>
            </c:ext>
          </c:extLst>
        </c:ser>
        <c:ser>
          <c:idx val="5"/>
          <c:order val="5"/>
          <c:tx>
            <c:strRef>
              <c:f>Sheet1!$G$15</c:f>
              <c:strCache>
                <c:ptCount val="1"/>
                <c:pt idx="0">
                  <c:v>5.55112E-17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Sheet1!$G$16:$G$45</c:f>
              <c:numCache>
                <c:formatCode>0.00</c:formatCode>
                <c:ptCount val="30"/>
                <c:pt idx="0">
                  <c:v>0.1</c:v>
                </c:pt>
                <c:pt idx="1">
                  <c:v>0.5263157894736844</c:v>
                </c:pt>
                <c:pt idx="2">
                  <c:v>0.67857142857142871</c:v>
                </c:pt>
                <c:pt idx="3">
                  <c:v>0.75675675675675691</c:v>
                </c:pt>
                <c:pt idx="4">
                  <c:v>0.80434782608695665</c:v>
                </c:pt>
                <c:pt idx="5">
                  <c:v>0.83636363636363653</c:v>
                </c:pt>
                <c:pt idx="6">
                  <c:v>0.85937500000000011</c:v>
                </c:pt>
                <c:pt idx="7">
                  <c:v>0.87671232876712335</c:v>
                </c:pt>
                <c:pt idx="8">
                  <c:v>0.89024390243902451</c:v>
                </c:pt>
                <c:pt idx="9">
                  <c:v>0.90109890109890123</c:v>
                </c:pt>
                <c:pt idx="10">
                  <c:v>0.91000000000000014</c:v>
                </c:pt>
                <c:pt idx="11">
                  <c:v>0.91743119266055062</c:v>
                </c:pt>
                <c:pt idx="12">
                  <c:v>0.92372881355932224</c:v>
                </c:pt>
                <c:pt idx="13">
                  <c:v>0.92913385826771677</c:v>
                </c:pt>
                <c:pt idx="14">
                  <c:v>0.93382352941176494</c:v>
                </c:pt>
                <c:pt idx="15">
                  <c:v>0.93793103448275883</c:v>
                </c:pt>
                <c:pt idx="16">
                  <c:v>0.94155844155844182</c:v>
                </c:pt>
                <c:pt idx="17">
                  <c:v>0.94478527607361984</c:v>
                </c:pt>
                <c:pt idx="18">
                  <c:v>0.94767441860465129</c:v>
                </c:pt>
                <c:pt idx="19">
                  <c:v>0.95027624309392278</c:v>
                </c:pt>
                <c:pt idx="20">
                  <c:v>0.9526315789473685</c:v>
                </c:pt>
                <c:pt idx="21">
                  <c:v>0.95477386934673369</c:v>
                </c:pt>
                <c:pt idx="22">
                  <c:v>0.95673076923076927</c:v>
                </c:pt>
                <c:pt idx="23">
                  <c:v>0.95852534562211988</c:v>
                </c:pt>
                <c:pt idx="24">
                  <c:v>0.96017699115044253</c:v>
                </c:pt>
                <c:pt idx="25">
                  <c:v>0.96170212765957452</c:v>
                </c:pt>
                <c:pt idx="26">
                  <c:v>0.96311475409836067</c:v>
                </c:pt>
                <c:pt idx="27">
                  <c:v>0.96442687747035571</c:v>
                </c:pt>
                <c:pt idx="28">
                  <c:v>0.96564885496183206</c:v>
                </c:pt>
                <c:pt idx="29">
                  <c:v>0.96678966789667897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1E-446E-A84B-9F5CC2FBCA34}"/>
            </c:ext>
          </c:extLst>
        </c:ser>
        <c:ser>
          <c:idx val="6"/>
          <c:order val="6"/>
          <c:tx>
            <c:strRef>
              <c:f>Sheet1!$H$15</c:f>
              <c:strCache>
                <c:ptCount val="1"/>
                <c:pt idx="0">
                  <c:v>-0.2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8080"/>
                </a:solidFill>
                <a:prstDash val="solid"/>
              </a:ln>
            </c:spPr>
          </c:marker>
          <c:val>
            <c:numRef>
              <c:f>Sheet1!$H$16:$H$45</c:f>
              <c:numCache>
                <c:formatCode>0.00</c:formatCode>
                <c:ptCount val="30"/>
                <c:pt idx="0">
                  <c:v>0.1</c:v>
                </c:pt>
                <c:pt idx="1">
                  <c:v>0.53125000000000022</c:v>
                </c:pt>
                <c:pt idx="2">
                  <c:v>0.70238095238095244</c:v>
                </c:pt>
                <c:pt idx="3">
                  <c:v>0.79304635761589426</c:v>
                </c:pt>
                <c:pt idx="4">
                  <c:v>0.84844810863239595</c:v>
                </c:pt>
                <c:pt idx="5">
                  <c:v>0.88529584495668767</c:v>
                </c:pt>
                <c:pt idx="6">
                  <c:v>0.91120342797390375</c:v>
                </c:pt>
                <c:pt idx="7">
                  <c:v>0.93013849791287362</c:v>
                </c:pt>
                <c:pt idx="8">
                  <c:v>0.94437287780303736</c:v>
                </c:pt>
                <c:pt idx="9">
                  <c:v>0.95530169038965895</c:v>
                </c:pt>
                <c:pt idx="10">
                  <c:v>0.96382925606552872</c:v>
                </c:pt>
                <c:pt idx="11">
                  <c:v>0.97056744499489189</c:v>
                </c:pt>
                <c:pt idx="12">
                  <c:v>0.9759448733872006</c:v>
                </c:pt>
                <c:pt idx="13">
                  <c:v>0.98027045889552078</c:v>
                </c:pt>
                <c:pt idx="14">
                  <c:v>0.98377216095787967</c:v>
                </c:pt>
                <c:pt idx="15">
                  <c:v>0.9866215364997748</c:v>
                </c:pt>
                <c:pt idx="16">
                  <c:v>0.98894983655535618</c:v>
                </c:pt>
                <c:pt idx="17">
                  <c:v>0.99085887110834425</c:v>
                </c:pt>
                <c:pt idx="18">
                  <c:v>0.99242853375617601</c:v>
                </c:pt>
                <c:pt idx="19">
                  <c:v>0.99372213323434622</c:v>
                </c:pt>
                <c:pt idx="20">
                  <c:v>0.99479024844604713</c:v>
                </c:pt>
                <c:pt idx="21">
                  <c:v>0.99567356679976449</c:v>
                </c:pt>
                <c:pt idx="22">
                  <c:v>0.99640500799498055</c:v>
                </c:pt>
                <c:pt idx="23">
                  <c:v>0.99701133614426174</c:v>
                </c:pt>
                <c:pt idx="24">
                  <c:v>0.99751439920372442</c:v>
                </c:pt>
                <c:pt idx="25">
                  <c:v>0.99793209266451677</c:v>
                </c:pt>
                <c:pt idx="26">
                  <c:v>0.99827911630577382</c:v>
                </c:pt>
                <c:pt idx="27">
                  <c:v>0.99856757361428516</c:v>
                </c:pt>
                <c:pt idx="28">
                  <c:v>0.99880745017179784</c:v>
                </c:pt>
                <c:pt idx="29">
                  <c:v>0.99900699794611747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1E-446E-A84B-9F5CC2FBCA34}"/>
            </c:ext>
          </c:extLst>
        </c:ser>
        <c:ser>
          <c:idx val="7"/>
          <c:order val="7"/>
          <c:tx>
            <c:strRef>
              <c:f>Sheet1!$I$15</c:f>
              <c:strCache>
                <c:ptCount val="1"/>
                <c:pt idx="0">
                  <c:v>-0.4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Sheet1!$I$16:$I$45</c:f>
              <c:numCache>
                <c:formatCode>0.00</c:formatCode>
                <c:ptCount val="30"/>
                <c:pt idx="0">
                  <c:v>0.1</c:v>
                </c:pt>
                <c:pt idx="1">
                  <c:v>0.53608247422680433</c:v>
                </c:pt>
                <c:pt idx="2">
                  <c:v>0.7235872235872236</c:v>
                </c:pt>
                <c:pt idx="3">
                  <c:v>0.82347403106857053</c:v>
                </c:pt>
                <c:pt idx="4">
                  <c:v>0.88277831034051601</c:v>
                </c:pt>
                <c:pt idx="5">
                  <c:v>0.92027541478044228</c:v>
                </c:pt>
                <c:pt idx="6">
                  <c:v>0.9449353006914365</c:v>
                </c:pt>
                <c:pt idx="7">
                  <c:v>0.96157487253241003</c:v>
                </c:pt>
                <c:pt idx="8">
                  <c:v>0.97299814455346223</c:v>
                </c:pt>
                <c:pt idx="9">
                  <c:v>0.98093360103055538</c:v>
                </c:pt>
                <c:pt idx="10">
                  <c:v>0.9864915255773159</c:v>
                </c:pt>
                <c:pt idx="11">
                  <c:v>0.99040662904359378</c:v>
                </c:pt>
                <c:pt idx="12">
                  <c:v>0.99317565011114706</c:v>
                </c:pt>
                <c:pt idx="13">
                  <c:v>0.99513967944854009</c:v>
                </c:pt>
                <c:pt idx="14">
                  <c:v>0.99653555887512824</c:v>
                </c:pt>
                <c:pt idx="15">
                  <c:v>0.99752906793879859</c:v>
                </c:pt>
                <c:pt idx="16">
                  <c:v>0.99823691558277605</c:v>
                </c:pt>
                <c:pt idx="17">
                  <c:v>0.99874160484065266</c:v>
                </c:pt>
                <c:pt idx="18">
                  <c:v>0.99910163081622294</c:v>
                </c:pt>
                <c:pt idx="19">
                  <c:v>0.9993585546921725</c:v>
                </c:pt>
                <c:pt idx="20">
                  <c:v>0.99954195070022622</c:v>
                </c:pt>
                <c:pt idx="21">
                  <c:v>0.99967288614342142</c:v>
                </c:pt>
                <c:pt idx="22">
                  <c:v>0.99976637999687545</c:v>
                </c:pt>
                <c:pt idx="23">
                  <c:v>0.99983314527516876</c:v>
                </c:pt>
                <c:pt idx="24">
                  <c:v>0.99988082657568444</c:v>
                </c:pt>
                <c:pt idx="25">
                  <c:v>0.99991488047291133</c:v>
                </c:pt>
                <c:pt idx="26">
                  <c:v>0.99993920255567237</c:v>
                </c:pt>
                <c:pt idx="27">
                  <c:v>0.99995657438555152</c:v>
                </c:pt>
                <c:pt idx="28">
                  <c:v>0.99996898228123554</c:v>
                </c:pt>
                <c:pt idx="29">
                  <c:v>0.99997784478111285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1E-446E-A84B-9F5CC2FBCA34}"/>
            </c:ext>
          </c:extLst>
        </c:ser>
        <c:ser>
          <c:idx val="8"/>
          <c:order val="8"/>
          <c:tx>
            <c:strRef>
              <c:f>Sheet1!$J$15</c:f>
              <c:strCache>
                <c:ptCount val="1"/>
                <c:pt idx="0">
                  <c:v>-0.6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ash"/>
            <c:size val="5"/>
            <c:spPr>
              <a:noFill/>
              <a:ln>
                <a:solidFill>
                  <a:srgbClr val="00CCFF"/>
                </a:solidFill>
                <a:prstDash val="solid"/>
              </a:ln>
            </c:spPr>
          </c:marker>
          <c:val>
            <c:numRef>
              <c:f>Sheet1!$J$16:$J$45</c:f>
              <c:numCache>
                <c:formatCode>0.00</c:formatCode>
                <c:ptCount val="30"/>
                <c:pt idx="0">
                  <c:v>0.1</c:v>
                </c:pt>
                <c:pt idx="1">
                  <c:v>0.5408163265306124</c:v>
                </c:pt>
                <c:pt idx="2">
                  <c:v>0.742562929061785</c:v>
                </c:pt>
                <c:pt idx="3">
                  <c:v>0.84883095941951092</c:v>
                </c:pt>
                <c:pt idx="4">
                  <c:v>0.90895995856666556</c:v>
                </c:pt>
                <c:pt idx="5">
                  <c:v>0.94436619996914173</c:v>
                </c:pt>
                <c:pt idx="6">
                  <c:v>0.96570585340419846</c:v>
                </c:pt>
                <c:pt idx="7">
                  <c:v>0.97874836009123223</c:v>
                </c:pt>
                <c:pt idx="8">
                  <c:v>0.98678791965052826</c:v>
                </c:pt>
                <c:pt idx="9">
                  <c:v>0.99176963484302005</c:v>
                </c:pt>
                <c:pt idx="10">
                  <c:v>0.994866584248422</c:v>
                </c:pt>
                <c:pt idx="11">
                  <c:v>0.99679572737116007</c:v>
                </c:pt>
                <c:pt idx="12">
                  <c:v>0.99799893259835093</c:v>
                </c:pt>
                <c:pt idx="13">
                  <c:v>0.99874995822842938</c:v>
                </c:pt>
                <c:pt idx="14">
                  <c:v>0.99921896797343313</c:v>
                </c:pt>
                <c:pt idx="15">
                  <c:v>0.9995119502790113</c:v>
                </c:pt>
                <c:pt idx="16">
                  <c:v>0.99969500613742446</c:v>
                </c:pt>
                <c:pt idx="17">
                  <c:v>0.99980939336935337</c:v>
                </c:pt>
                <c:pt idx="18">
                  <c:v>0.99988087653227653</c:v>
                </c:pt>
                <c:pt idx="19">
                  <c:v>0.99992555004985695</c:v>
                </c:pt>
                <c:pt idx="20">
                  <c:v>0.99995346964720622</c:v>
                </c:pt>
                <c:pt idx="21">
                  <c:v>0.99997091886779288</c:v>
                </c:pt>
                <c:pt idx="22">
                  <c:v>0.999981824424512</c:v>
                </c:pt>
                <c:pt idx="23">
                  <c:v>0.99998864031693713</c:v>
                </c:pt>
                <c:pt idx="24">
                  <c:v>0.99999290021824849</c:v>
                </c:pt>
                <c:pt idx="25">
                  <c:v>0.99999556264428147</c:v>
                </c:pt>
                <c:pt idx="26">
                  <c:v>0.99999722665575252</c:v>
                </c:pt>
                <c:pt idx="27">
                  <c:v>0.99999826666104707</c:v>
                </c:pt>
                <c:pt idx="28">
                  <c:v>0.99999891666362395</c:v>
                </c:pt>
                <c:pt idx="29">
                  <c:v>0.99999932291494831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1E-446E-A84B-9F5CC2FBCA34}"/>
            </c:ext>
          </c:extLst>
        </c:ser>
        <c:ser>
          <c:idx val="9"/>
          <c:order val="9"/>
          <c:tx>
            <c:strRef>
              <c:f>Sheet1!$K$15</c:f>
              <c:strCache>
                <c:ptCount val="1"/>
                <c:pt idx="0">
                  <c:v>-0.8</c:v>
                </c:pt>
              </c:strCache>
            </c:strRef>
          </c:tx>
          <c:spPr>
            <a:ln w="12700">
              <a:solidFill>
                <a:srgbClr val="69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69FFFF"/>
              </a:solidFill>
              <a:ln>
                <a:solidFill>
                  <a:srgbClr val="69FFFF"/>
                </a:solidFill>
                <a:prstDash val="solid"/>
              </a:ln>
            </c:spPr>
          </c:marker>
          <c:val>
            <c:numRef>
              <c:f>Sheet1!$K$16:$K$45</c:f>
              <c:numCache>
                <c:formatCode>0.00</c:formatCode>
                <c:ptCount val="30"/>
                <c:pt idx="0">
                  <c:v>0.1</c:v>
                </c:pt>
                <c:pt idx="1">
                  <c:v>0.54545454545454564</c:v>
                </c:pt>
                <c:pt idx="2">
                  <c:v>0.75961538461538469</c:v>
                </c:pt>
                <c:pt idx="3">
                  <c:v>0.86992715920915731</c:v>
                </c:pt>
                <c:pt idx="4">
                  <c:v>0.9287668110325964</c:v>
                </c:pt>
                <c:pt idx="5">
                  <c:v>0.96073676671985542</c:v>
                </c:pt>
                <c:pt idx="6">
                  <c:v>0.97828183986522932</c:v>
                </c:pt>
                <c:pt idx="7">
                  <c:v>0.98796340134480198</c:v>
                </c:pt>
                <c:pt idx="8">
                  <c:v>0.99332193199426522</c:v>
                </c:pt>
                <c:pt idx="9">
                  <c:v>0.99629271305396327</c:v>
                </c:pt>
                <c:pt idx="10">
                  <c:v>0.99794124418537467</c:v>
                </c:pt>
                <c:pt idx="11">
                  <c:v>0.99885650834410777</c:v>
                </c:pt>
                <c:pt idx="12">
                  <c:v>0.99936480756197676</c:v>
                </c:pt>
                <c:pt idx="13">
                  <c:v>0.99964714021597245</c:v>
                </c:pt>
                <c:pt idx="14">
                  <c:v>0.99980397447215408</c:v>
                </c:pt>
                <c:pt idx="15">
                  <c:v>0.9998910993008987</c:v>
                </c:pt>
                <c:pt idx="16">
                  <c:v>0.99993950034366075</c:v>
                </c:pt>
                <c:pt idx="17">
                  <c:v>0.99996638930574888</c:v>
                </c:pt>
                <c:pt idx="18">
                  <c:v>0.99998132746181567</c:v>
                </c:pt>
                <c:pt idx="19">
                  <c:v>0.99998962638919786</c:v>
                </c:pt>
                <c:pt idx="20">
                  <c:v>0.99999423688953037</c:v>
                </c:pt>
                <c:pt idx="21">
                  <c:v>0.99999679827401156</c:v>
                </c:pt>
                <c:pt idx="22">
                  <c:v>0.99999822126397264</c:v>
                </c:pt>
                <c:pt idx="23">
                  <c:v>0.99999901181351347</c:v>
                </c:pt>
                <c:pt idx="24">
                  <c:v>0.99999945100756771</c:v>
                </c:pt>
                <c:pt idx="25">
                  <c:v>0.99999969500422292</c:v>
                </c:pt>
                <c:pt idx="26">
                  <c:v>0.99999983055790742</c:v>
                </c:pt>
                <c:pt idx="27">
                  <c:v>0.99999990586550591</c:v>
                </c:pt>
                <c:pt idx="28">
                  <c:v>0.99999994770305933</c:v>
                </c:pt>
                <c:pt idx="29">
                  <c:v>0.99999997094614412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1E-446E-A84B-9F5CC2FBC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223263"/>
        <c:axId val="1"/>
      </c:lineChart>
      <c:catAx>
        <c:axId val="76022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Generation</a:t>
                </a:r>
              </a:p>
            </c:rich>
          </c:tx>
          <c:layout>
            <c:manualLayout>
              <c:xMode val="edge"/>
              <c:yMode val="edge"/>
              <c:x val="0.46009957914453131"/>
              <c:y val="0.909553946111728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Fraction of allele A</a:t>
                </a:r>
              </a:p>
            </c:rich>
          </c:tx>
          <c:layout>
            <c:manualLayout>
              <c:xMode val="edge"/>
              <c:yMode val="edge"/>
              <c:x val="5.4623694327661253E-2"/>
              <c:y val="0.387314420333790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6022326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035608100280046"/>
          <c:y val="0.61430606831629819"/>
          <c:w val="0.39497132821539677"/>
          <c:h val="0.3762029410619190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375</xdr:row>
      <xdr:rowOff>50800</xdr:rowOff>
    </xdr:from>
    <xdr:to>
      <xdr:col>12</xdr:col>
      <xdr:colOff>177800</xdr:colOff>
      <xdr:row>392</xdr:row>
      <xdr:rowOff>139700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54753BF6-2F1B-4F40-AA6F-EC236995B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107950</xdr:colOff>
      <xdr:row>18</xdr:row>
      <xdr:rowOff>63500</xdr:rowOff>
    </xdr:from>
    <xdr:to>
      <xdr:col>12</xdr:col>
      <xdr:colOff>241300</xdr:colOff>
      <xdr:row>42</xdr:row>
      <xdr:rowOff>101600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72773555-5A06-4F90-94A1-0CA2DCBD6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6"/>
  <sheetViews>
    <sheetView tabSelected="1" topLeftCell="A370" workbookViewId="0">
      <selection activeCell="A370" sqref="A370"/>
    </sheetView>
  </sheetViews>
  <sheetFormatPr defaultRowHeight="12.5"/>
  <cols>
    <col min="1" max="1" width="10.90625" customWidth="1"/>
    <col min="2" max="2" width="6" customWidth="1"/>
    <col min="3" max="4" width="5" customWidth="1"/>
    <col min="5" max="5" width="4.7265625" customWidth="1"/>
    <col min="6" max="7" width="5" customWidth="1"/>
    <col min="8" max="10" width="5.54296875" customWidth="1"/>
    <col min="11" max="19" width="5" customWidth="1"/>
    <col min="20" max="256" width="10.90625" customWidth="1"/>
  </cols>
  <sheetData>
    <row r="1" spans="1:19">
      <c r="A1" t="s">
        <v>0</v>
      </c>
    </row>
    <row r="2" spans="1:19">
      <c r="A2" t="s">
        <v>1</v>
      </c>
    </row>
    <row r="4" spans="1:19">
      <c r="A4" s="2" t="s">
        <v>2</v>
      </c>
    </row>
    <row r="5" spans="1:19">
      <c r="A5" s="2" t="s">
        <v>3</v>
      </c>
    </row>
    <row r="6" spans="1:19">
      <c r="A6" s="2" t="s">
        <v>4</v>
      </c>
    </row>
    <row r="7" spans="1:19">
      <c r="A7" s="2" t="s">
        <v>5</v>
      </c>
    </row>
    <row r="8" spans="1:19">
      <c r="A8" s="2" t="s">
        <v>6</v>
      </c>
    </row>
    <row r="9" spans="1:19">
      <c r="A9" s="2" t="s">
        <v>7</v>
      </c>
    </row>
    <row r="10" spans="1:19">
      <c r="A10" s="8" t="s">
        <v>8</v>
      </c>
      <c r="B10" s="8"/>
      <c r="C10" s="8"/>
      <c r="D10" s="8">
        <v>0.1</v>
      </c>
    </row>
    <row r="11" spans="1:19">
      <c r="A11" s="8" t="s">
        <v>9</v>
      </c>
      <c r="B11" s="8"/>
      <c r="C11" s="8"/>
      <c r="D11" s="8">
        <v>-0.2</v>
      </c>
      <c r="F11" s="8" t="s">
        <v>10</v>
      </c>
      <c r="I11">
        <v>-0.2</v>
      </c>
    </row>
    <row r="12" spans="1:19">
      <c r="E12" s="1" t="s">
        <v>11</v>
      </c>
    </row>
    <row r="13" spans="1:19">
      <c r="E13" s="6" t="s">
        <v>12</v>
      </c>
    </row>
    <row r="14" spans="1:19">
      <c r="A14" t="s">
        <v>13</v>
      </c>
      <c r="B14">
        <v>1</v>
      </c>
      <c r="E14" s="7" t="s">
        <v>14</v>
      </c>
    </row>
    <row r="15" spans="1:19" ht="13">
      <c r="A15" t="s">
        <v>15</v>
      </c>
      <c r="B15" s="5">
        <v>1</v>
      </c>
      <c r="C15" s="4">
        <f t="shared" ref="C15:K15" si="0">B15+$D$11</f>
        <v>0.8</v>
      </c>
      <c r="D15" s="4">
        <f t="shared" si="0"/>
        <v>0.60000000000000009</v>
      </c>
      <c r="E15" s="4">
        <f t="shared" si="0"/>
        <v>0.40000000000000008</v>
      </c>
      <c r="F15" s="4">
        <f t="shared" si="0"/>
        <v>0.20000000000000007</v>
      </c>
      <c r="G15" s="4">
        <f t="shared" si="0"/>
        <v>5.5511151231257827E-17</v>
      </c>
      <c r="H15" s="4">
        <f t="shared" si="0"/>
        <v>-0.19999999999999996</v>
      </c>
      <c r="I15" s="4">
        <f t="shared" si="0"/>
        <v>-0.39999999999999997</v>
      </c>
      <c r="J15" s="4">
        <f t="shared" si="0"/>
        <v>-0.6</v>
      </c>
      <c r="K15" s="4">
        <f t="shared" si="0"/>
        <v>-0.8</v>
      </c>
      <c r="L15" s="12"/>
      <c r="M15" s="12"/>
      <c r="N15" s="12"/>
      <c r="O15" s="12"/>
      <c r="P15" s="12"/>
      <c r="Q15" s="12"/>
      <c r="R15" s="12"/>
      <c r="S15" s="12"/>
    </row>
    <row r="16" spans="1:19" ht="13">
      <c r="A16" s="3">
        <v>1</v>
      </c>
      <c r="B16" s="9">
        <f t="shared" ref="B16:K16" si="1">$D$10</f>
        <v>0.1</v>
      </c>
      <c r="C16" s="11">
        <f t="shared" si="1"/>
        <v>0.1</v>
      </c>
      <c r="D16" s="11">
        <f t="shared" si="1"/>
        <v>0.1</v>
      </c>
      <c r="E16" s="11">
        <f t="shared" si="1"/>
        <v>0.1</v>
      </c>
      <c r="F16" s="11">
        <f t="shared" si="1"/>
        <v>0.1</v>
      </c>
      <c r="G16" s="11">
        <f t="shared" si="1"/>
        <v>0.1</v>
      </c>
      <c r="H16" s="11">
        <f t="shared" si="1"/>
        <v>0.1</v>
      </c>
      <c r="I16" s="11">
        <f t="shared" si="1"/>
        <v>0.1</v>
      </c>
      <c r="J16" s="11">
        <f t="shared" si="1"/>
        <v>0.1</v>
      </c>
      <c r="K16" s="11">
        <f t="shared" si="1"/>
        <v>0.1</v>
      </c>
      <c r="L16" s="11"/>
      <c r="M16" s="11"/>
      <c r="N16" s="11"/>
      <c r="O16" s="11"/>
      <c r="P16" s="11"/>
      <c r="Q16" s="11"/>
      <c r="R16" s="11"/>
      <c r="S16" s="11"/>
    </row>
    <row r="17" spans="1:19" ht="13">
      <c r="A17" s="3">
        <f>A16+1</f>
        <v>2</v>
      </c>
      <c r="B17" s="10">
        <f>B16*(1-B16*B$15)/(1-B$15*B16*B16-$B$14*(1-B16)^2)</f>
        <v>0.50000000000000022</v>
      </c>
      <c r="C17" s="11">
        <f t="shared" ref="C17:K17" si="2">C16*(1-C16*C$15)/(1-C$15*C16*C16-$B$14*(1-C16)^2)</f>
        <v>0.5054945054945057</v>
      </c>
      <c r="D17" s="11">
        <f t="shared" si="2"/>
        <v>0.51086956521739146</v>
      </c>
      <c r="E17" s="11">
        <f t="shared" si="2"/>
        <v>0.51612903225806472</v>
      </c>
      <c r="F17" s="11">
        <f t="shared" si="2"/>
        <v>0.52127659574468099</v>
      </c>
      <c r="G17" s="11">
        <f t="shared" si="2"/>
        <v>0.5263157894736844</v>
      </c>
      <c r="H17" s="11">
        <f t="shared" si="2"/>
        <v>0.53125000000000022</v>
      </c>
      <c r="I17" s="11">
        <f t="shared" si="2"/>
        <v>0.53608247422680433</v>
      </c>
      <c r="J17" s="11">
        <f t="shared" si="2"/>
        <v>0.5408163265306124</v>
      </c>
      <c r="K17" s="11">
        <f t="shared" si="2"/>
        <v>0.54545454545454564</v>
      </c>
      <c r="L17" s="11"/>
      <c r="M17" s="11"/>
      <c r="N17" s="11"/>
      <c r="O17" s="11"/>
      <c r="P17" s="11"/>
      <c r="Q17" s="11"/>
      <c r="R17" s="11"/>
      <c r="S17" s="11"/>
    </row>
    <row r="18" spans="1:19" ht="13">
      <c r="A18" s="3">
        <f t="shared" ref="A18:A33" si="3">A17+1</f>
        <v>3</v>
      </c>
      <c r="B18" s="11">
        <f t="shared" ref="B18:K33" si="4">B17*(1-B17*B$15)/(1-B$15*B17*B17-$B$14*(1-B17)^2)</f>
        <v>0.5</v>
      </c>
      <c r="C18" s="11">
        <f t="shared" si="4"/>
        <v>0.54637096774193561</v>
      </c>
      <c r="D18" s="11">
        <f t="shared" si="4"/>
        <v>0.58639705882352944</v>
      </c>
      <c r="E18" s="11">
        <f t="shared" si="4"/>
        <v>0.62121212121212133</v>
      </c>
      <c r="F18" s="11">
        <f t="shared" si="4"/>
        <v>0.65170278637770906</v>
      </c>
      <c r="G18" s="11">
        <f t="shared" si="4"/>
        <v>0.67857142857142871</v>
      </c>
      <c r="H18" s="11">
        <f t="shared" si="4"/>
        <v>0.70238095238095244</v>
      </c>
      <c r="I18" s="11">
        <f t="shared" si="4"/>
        <v>0.7235872235872236</v>
      </c>
      <c r="J18" s="11">
        <f t="shared" si="4"/>
        <v>0.742562929061785</v>
      </c>
      <c r="K18" s="11">
        <f t="shared" si="4"/>
        <v>0.75961538461538469</v>
      </c>
      <c r="L18" s="11"/>
      <c r="M18" s="11"/>
      <c r="N18" s="11"/>
      <c r="O18" s="11"/>
      <c r="P18" s="11"/>
      <c r="Q18" s="11"/>
      <c r="R18" s="11"/>
      <c r="S18" s="11"/>
    </row>
    <row r="19" spans="1:19" ht="13">
      <c r="A19" s="3">
        <f t="shared" si="3"/>
        <v>4</v>
      </c>
      <c r="B19" s="11">
        <f t="shared" si="4"/>
        <v>0.5</v>
      </c>
      <c r="C19" s="11">
        <f t="shared" si="4"/>
        <v>0.55374851249504164</v>
      </c>
      <c r="D19" s="11">
        <f t="shared" si="4"/>
        <v>0.61045706371191144</v>
      </c>
      <c r="E19" s="11">
        <f t="shared" si="4"/>
        <v>0.66487935656836472</v>
      </c>
      <c r="F19" s="11">
        <f t="shared" si="4"/>
        <v>0.71403152008134219</v>
      </c>
      <c r="G19" s="11">
        <f t="shared" si="4"/>
        <v>0.75675675675675691</v>
      </c>
      <c r="H19" s="11">
        <f t="shared" si="4"/>
        <v>0.79304635761589426</v>
      </c>
      <c r="I19" s="11">
        <f t="shared" si="4"/>
        <v>0.82347403106857053</v>
      </c>
      <c r="J19" s="11">
        <f t="shared" si="4"/>
        <v>0.84883095941951092</v>
      </c>
      <c r="K19" s="11">
        <f t="shared" si="4"/>
        <v>0.86992715920915731</v>
      </c>
      <c r="L19" s="11"/>
      <c r="M19" s="11"/>
      <c r="N19" s="11"/>
      <c r="O19" s="11"/>
      <c r="P19" s="11"/>
      <c r="Q19" s="11"/>
      <c r="R19" s="11"/>
      <c r="S19" s="11"/>
    </row>
    <row r="20" spans="1:19" ht="13">
      <c r="A20" s="3">
        <f t="shared" si="3"/>
        <v>5</v>
      </c>
      <c r="B20" s="11">
        <f t="shared" si="4"/>
        <v>0.5</v>
      </c>
      <c r="C20" s="11">
        <f t="shared" si="4"/>
        <v>0.55519531867784278</v>
      </c>
      <c r="D20" s="11">
        <f t="shared" si="4"/>
        <v>0.61931510557661085</v>
      </c>
      <c r="E20" s="11">
        <f t="shared" si="4"/>
        <v>0.68655967903711146</v>
      </c>
      <c r="F20" s="11">
        <f t="shared" si="4"/>
        <v>0.7498443475940586</v>
      </c>
      <c r="G20" s="11">
        <f t="shared" si="4"/>
        <v>0.80434782608695665</v>
      </c>
      <c r="H20" s="11">
        <f t="shared" si="4"/>
        <v>0.84844810863239595</v>
      </c>
      <c r="I20" s="11">
        <f t="shared" si="4"/>
        <v>0.88277831034051601</v>
      </c>
      <c r="J20" s="11">
        <f t="shared" si="4"/>
        <v>0.90895995856666556</v>
      </c>
      <c r="K20" s="11">
        <f t="shared" si="4"/>
        <v>0.9287668110325964</v>
      </c>
      <c r="L20" s="11"/>
      <c r="M20" s="11"/>
      <c r="N20" s="11"/>
      <c r="O20" s="11"/>
      <c r="P20" s="11"/>
      <c r="Q20" s="11"/>
      <c r="R20" s="11"/>
      <c r="S20" s="11"/>
    </row>
    <row r="21" spans="1:19" ht="13">
      <c r="A21" s="3">
        <f t="shared" si="3"/>
        <v>6</v>
      </c>
      <c r="B21" s="11">
        <f t="shared" si="4"/>
        <v>0.5</v>
      </c>
      <c r="C21" s="11">
        <f t="shared" si="4"/>
        <v>0.55548355486715884</v>
      </c>
      <c r="D21" s="11">
        <f t="shared" si="4"/>
        <v>0.62274653932825397</v>
      </c>
      <c r="E21" s="11">
        <f t="shared" si="4"/>
        <v>0.69827170029931462</v>
      </c>
      <c r="F21" s="11">
        <f t="shared" si="4"/>
        <v>0.77262437951719576</v>
      </c>
      <c r="G21" s="11">
        <f t="shared" si="4"/>
        <v>0.83636363636363653</v>
      </c>
      <c r="H21" s="11">
        <f t="shared" si="4"/>
        <v>0.88529584495668767</v>
      </c>
      <c r="I21" s="11">
        <f t="shared" si="4"/>
        <v>0.92027541478044228</v>
      </c>
      <c r="J21" s="11">
        <f t="shared" si="4"/>
        <v>0.94436619996914173</v>
      </c>
      <c r="K21" s="11">
        <f t="shared" si="4"/>
        <v>0.96073676671985542</v>
      </c>
      <c r="L21" s="11"/>
      <c r="M21" s="11"/>
      <c r="N21" s="11"/>
      <c r="O21" s="11"/>
      <c r="P21" s="11"/>
      <c r="Q21" s="11"/>
      <c r="R21" s="11"/>
      <c r="S21" s="11"/>
    </row>
    <row r="22" spans="1:19" ht="13">
      <c r="A22" s="3">
        <f t="shared" si="3"/>
        <v>7</v>
      </c>
      <c r="B22" s="11">
        <f t="shared" si="4"/>
        <v>0.5</v>
      </c>
      <c r="C22" s="11">
        <f t="shared" si="4"/>
        <v>0.55554115728391018</v>
      </c>
      <c r="D22" s="11">
        <f t="shared" si="4"/>
        <v>0.62410185402989549</v>
      </c>
      <c r="E22" s="11">
        <f t="shared" si="4"/>
        <v>0.70488799909341604</v>
      </c>
      <c r="F22" s="11">
        <f t="shared" si="4"/>
        <v>0.78806406983298327</v>
      </c>
      <c r="G22" s="11">
        <f t="shared" si="4"/>
        <v>0.85937500000000011</v>
      </c>
      <c r="H22" s="11">
        <f t="shared" si="4"/>
        <v>0.91120342797390375</v>
      </c>
      <c r="I22" s="11">
        <f t="shared" si="4"/>
        <v>0.9449353006914365</v>
      </c>
      <c r="J22" s="11">
        <f t="shared" si="4"/>
        <v>0.96570585340419846</v>
      </c>
      <c r="K22" s="11">
        <f t="shared" si="4"/>
        <v>0.97828183986522932</v>
      </c>
      <c r="L22" s="11"/>
      <c r="M22" s="11"/>
      <c r="N22" s="11"/>
      <c r="O22" s="11"/>
      <c r="P22" s="11"/>
      <c r="Q22" s="11"/>
      <c r="R22" s="11"/>
      <c r="S22" s="11"/>
    </row>
    <row r="23" spans="1:19" ht="13">
      <c r="A23" s="3">
        <f t="shared" si="3"/>
        <v>8</v>
      </c>
      <c r="B23" s="11">
        <f t="shared" si="4"/>
        <v>0.5</v>
      </c>
      <c r="C23" s="11">
        <f t="shared" si="4"/>
        <v>0.55555267597585611</v>
      </c>
      <c r="D23" s="11">
        <f t="shared" si="4"/>
        <v>0.62464125713748808</v>
      </c>
      <c r="E23" s="11">
        <f t="shared" si="4"/>
        <v>0.70872030811332787</v>
      </c>
      <c r="F23" s="11">
        <f t="shared" si="4"/>
        <v>0.79898389126590208</v>
      </c>
      <c r="G23" s="11">
        <f t="shared" si="4"/>
        <v>0.87671232876712335</v>
      </c>
      <c r="H23" s="11">
        <f t="shared" si="4"/>
        <v>0.93013849791287362</v>
      </c>
      <c r="I23" s="11">
        <f t="shared" si="4"/>
        <v>0.96157487253241003</v>
      </c>
      <c r="J23" s="11">
        <f t="shared" si="4"/>
        <v>0.97874836009123223</v>
      </c>
      <c r="K23" s="11">
        <f t="shared" si="4"/>
        <v>0.98796340134480198</v>
      </c>
      <c r="L23" s="11"/>
      <c r="M23" s="11"/>
      <c r="N23" s="11"/>
      <c r="O23" s="11"/>
      <c r="P23" s="11"/>
      <c r="Q23" s="11"/>
      <c r="R23" s="11"/>
      <c r="S23" s="11"/>
    </row>
    <row r="24" spans="1:19" ht="13">
      <c r="A24" s="3">
        <f t="shared" si="3"/>
        <v>9</v>
      </c>
      <c r="B24" s="11">
        <f t="shared" si="4"/>
        <v>0.5</v>
      </c>
      <c r="C24" s="11">
        <f t="shared" si="4"/>
        <v>0.55555497964260081</v>
      </c>
      <c r="D24" s="11">
        <f t="shared" si="4"/>
        <v>0.62485658517346776</v>
      </c>
      <c r="E24" s="11">
        <f t="shared" si="4"/>
        <v>0.71097228737549134</v>
      </c>
      <c r="F24" s="11">
        <f t="shared" si="4"/>
        <v>0.80694162809938152</v>
      </c>
      <c r="G24" s="11">
        <f t="shared" si="4"/>
        <v>0.89024390243902451</v>
      </c>
      <c r="H24" s="11">
        <f t="shared" si="4"/>
        <v>0.94437287780303736</v>
      </c>
      <c r="I24" s="11">
        <f t="shared" si="4"/>
        <v>0.97299814455346223</v>
      </c>
      <c r="J24" s="11">
        <f t="shared" si="4"/>
        <v>0.98678791965052826</v>
      </c>
      <c r="K24" s="11">
        <f t="shared" si="4"/>
        <v>0.99332193199426522</v>
      </c>
      <c r="L24" s="11"/>
      <c r="M24" s="11"/>
      <c r="N24" s="11"/>
      <c r="O24" s="11"/>
      <c r="P24" s="11"/>
      <c r="Q24" s="11"/>
      <c r="R24" s="11"/>
      <c r="S24" s="11"/>
    </row>
    <row r="25" spans="1:19" ht="13">
      <c r="A25" s="3">
        <f t="shared" si="3"/>
        <v>10</v>
      </c>
      <c r="B25" s="11">
        <f t="shared" si="4"/>
        <v>0.5</v>
      </c>
      <c r="C25" s="11">
        <f t="shared" si="4"/>
        <v>0.55555544037308402</v>
      </c>
      <c r="D25" s="11">
        <f t="shared" si="4"/>
        <v>0.62494264722976722</v>
      </c>
      <c r="E25" s="11">
        <f t="shared" si="4"/>
        <v>0.71230683774746384</v>
      </c>
      <c r="F25" s="11">
        <f t="shared" si="4"/>
        <v>0.81286810390918074</v>
      </c>
      <c r="G25" s="11">
        <f t="shared" si="4"/>
        <v>0.90109890109890123</v>
      </c>
      <c r="H25" s="11">
        <f t="shared" si="4"/>
        <v>0.95530169038965895</v>
      </c>
      <c r="I25" s="11">
        <f t="shared" si="4"/>
        <v>0.98093360103055538</v>
      </c>
      <c r="J25" s="11">
        <f t="shared" si="4"/>
        <v>0.99176963484302005</v>
      </c>
      <c r="K25" s="11">
        <f t="shared" si="4"/>
        <v>0.99629271305396327</v>
      </c>
      <c r="L25" s="11"/>
      <c r="M25" s="11"/>
      <c r="N25" s="11"/>
      <c r="O25" s="11"/>
      <c r="P25" s="11"/>
      <c r="Q25" s="11"/>
      <c r="R25" s="11"/>
      <c r="S25" s="11"/>
    </row>
    <row r="26" spans="1:19" ht="13">
      <c r="A26" s="3">
        <f t="shared" si="3"/>
        <v>11</v>
      </c>
      <c r="B26" s="11">
        <f t="shared" si="4"/>
        <v>0.5</v>
      </c>
      <c r="C26" s="11">
        <f t="shared" si="4"/>
        <v>0.55555553251906609</v>
      </c>
      <c r="D26" s="11">
        <f t="shared" si="4"/>
        <v>0.62497706099689132</v>
      </c>
      <c r="E26" s="11">
        <f t="shared" si="4"/>
        <v>0.71310166867487534</v>
      </c>
      <c r="F26" s="11">
        <f t="shared" si="4"/>
        <v>0.81735358485647425</v>
      </c>
      <c r="G26" s="11">
        <f t="shared" si="4"/>
        <v>0.91000000000000014</v>
      </c>
      <c r="H26" s="11">
        <f t="shared" si="4"/>
        <v>0.96382925606552872</v>
      </c>
      <c r="I26" s="11">
        <f t="shared" si="4"/>
        <v>0.9864915255773159</v>
      </c>
      <c r="J26" s="11">
        <f t="shared" si="4"/>
        <v>0.994866584248422</v>
      </c>
      <c r="K26" s="11">
        <f t="shared" si="4"/>
        <v>0.99794124418537467</v>
      </c>
      <c r="L26" s="11"/>
      <c r="M26" s="11"/>
      <c r="N26" s="11"/>
      <c r="O26" s="11"/>
      <c r="P26" s="11"/>
      <c r="Q26" s="11"/>
      <c r="R26" s="11"/>
      <c r="S26" s="11"/>
    </row>
    <row r="27" spans="1:19" ht="13">
      <c r="A27" s="3">
        <f t="shared" si="3"/>
        <v>12</v>
      </c>
      <c r="B27" s="11">
        <f t="shared" si="4"/>
        <v>0.5</v>
      </c>
      <c r="C27" s="11">
        <f t="shared" si="4"/>
        <v>0.55555555094825781</v>
      </c>
      <c r="D27" s="11">
        <f t="shared" si="4"/>
        <v>0.62499082473551071</v>
      </c>
      <c r="E27" s="11">
        <f t="shared" si="4"/>
        <v>0.71357646262006125</v>
      </c>
      <c r="F27" s="11">
        <f t="shared" si="4"/>
        <v>0.82079006056455217</v>
      </c>
      <c r="G27" s="11">
        <f t="shared" si="4"/>
        <v>0.91743119266055062</v>
      </c>
      <c r="H27" s="11">
        <f t="shared" si="4"/>
        <v>0.97056744499489189</v>
      </c>
      <c r="I27" s="11">
        <f t="shared" si="4"/>
        <v>0.99040662904359378</v>
      </c>
      <c r="J27" s="11">
        <f t="shared" si="4"/>
        <v>0.99679572737116007</v>
      </c>
      <c r="K27" s="11">
        <f t="shared" si="4"/>
        <v>0.99885650834410777</v>
      </c>
      <c r="L27" s="11"/>
      <c r="M27" s="11"/>
      <c r="N27" s="11"/>
      <c r="O27" s="11"/>
      <c r="P27" s="11"/>
      <c r="Q27" s="11"/>
      <c r="R27" s="11"/>
      <c r="S27" s="11"/>
    </row>
    <row r="28" spans="1:19" ht="13">
      <c r="A28" s="3">
        <f t="shared" si="3"/>
        <v>13</v>
      </c>
      <c r="B28" s="11">
        <f t="shared" si="4"/>
        <v>0.5</v>
      </c>
      <c r="C28" s="11">
        <f t="shared" si="4"/>
        <v>0.555555554634096</v>
      </c>
      <c r="D28" s="11">
        <f t="shared" si="4"/>
        <v>0.6249963299480823</v>
      </c>
      <c r="E28" s="11">
        <f t="shared" si="4"/>
        <v>0.71386058541902198</v>
      </c>
      <c r="F28" s="11">
        <f t="shared" si="4"/>
        <v>0.82344751572645103</v>
      </c>
      <c r="G28" s="11">
        <f t="shared" si="4"/>
        <v>0.92372881355932224</v>
      </c>
      <c r="H28" s="11">
        <f t="shared" si="4"/>
        <v>0.9759448733872006</v>
      </c>
      <c r="I28" s="11">
        <f t="shared" si="4"/>
        <v>0.99317565011114706</v>
      </c>
      <c r="J28" s="11">
        <f t="shared" si="4"/>
        <v>0.99799893259835093</v>
      </c>
      <c r="K28" s="11">
        <f t="shared" si="4"/>
        <v>0.99936480756197676</v>
      </c>
      <c r="L28" s="11"/>
      <c r="M28" s="11"/>
      <c r="N28" s="11"/>
      <c r="O28" s="11"/>
      <c r="P28" s="11"/>
      <c r="Q28" s="11"/>
      <c r="R28" s="11"/>
      <c r="S28" s="11"/>
    </row>
    <row r="29" spans="1:19" ht="13">
      <c r="A29" s="3">
        <f t="shared" si="3"/>
        <v>14</v>
      </c>
      <c r="B29" s="11">
        <f t="shared" si="4"/>
        <v>0.5</v>
      </c>
      <c r="C29" s="11">
        <f t="shared" si="4"/>
        <v>0.55555555537126367</v>
      </c>
      <c r="D29" s="11">
        <f t="shared" si="4"/>
        <v>0.62499853198785316</v>
      </c>
      <c r="E29" s="11">
        <f t="shared" si="4"/>
        <v>0.71403078869241887</v>
      </c>
      <c r="F29" s="11">
        <f t="shared" si="4"/>
        <v>0.82551739952311765</v>
      </c>
      <c r="G29" s="11">
        <f t="shared" si="4"/>
        <v>0.92913385826771677</v>
      </c>
      <c r="H29" s="11">
        <f t="shared" si="4"/>
        <v>0.98027045889552078</v>
      </c>
      <c r="I29" s="11">
        <f t="shared" si="4"/>
        <v>0.99513967944854009</v>
      </c>
      <c r="J29" s="11">
        <f t="shared" si="4"/>
        <v>0.99874995822842938</v>
      </c>
      <c r="K29" s="11">
        <f t="shared" si="4"/>
        <v>0.99964714021597245</v>
      </c>
      <c r="L29" s="11"/>
      <c r="M29" s="11"/>
      <c r="N29" s="11"/>
      <c r="O29" s="11"/>
      <c r="P29" s="11"/>
      <c r="Q29" s="11"/>
      <c r="R29" s="11"/>
      <c r="S29" s="11"/>
    </row>
    <row r="30" spans="1:19" ht="13">
      <c r="A30" s="3">
        <f t="shared" si="3"/>
        <v>15</v>
      </c>
      <c r="B30" s="11">
        <f t="shared" si="4"/>
        <v>0.5</v>
      </c>
      <c r="C30" s="11">
        <f t="shared" si="4"/>
        <v>0.55555555551869706</v>
      </c>
      <c r="D30" s="11">
        <f t="shared" si="4"/>
        <v>0.62499941279652038</v>
      </c>
      <c r="E30" s="11">
        <f t="shared" si="4"/>
        <v>0.71413281349939017</v>
      </c>
      <c r="F30" s="11">
        <f t="shared" si="4"/>
        <v>0.82713868662355416</v>
      </c>
      <c r="G30" s="11">
        <f t="shared" si="4"/>
        <v>0.93382352941176494</v>
      </c>
      <c r="H30" s="11">
        <f t="shared" si="4"/>
        <v>0.98377216095787967</v>
      </c>
      <c r="I30" s="11">
        <f t="shared" si="4"/>
        <v>0.99653555887512824</v>
      </c>
      <c r="J30" s="11">
        <f t="shared" si="4"/>
        <v>0.99921896797343313</v>
      </c>
      <c r="K30" s="11">
        <f t="shared" si="4"/>
        <v>0.99980397447215408</v>
      </c>
      <c r="L30" s="11"/>
      <c r="M30" s="11"/>
      <c r="N30" s="11"/>
      <c r="O30" s="11"/>
      <c r="P30" s="11"/>
      <c r="Q30" s="11"/>
      <c r="R30" s="11"/>
      <c r="S30" s="11"/>
    </row>
    <row r="31" spans="1:19" ht="13">
      <c r="A31" s="3">
        <f t="shared" si="3"/>
        <v>16</v>
      </c>
      <c r="B31" s="11">
        <f t="shared" si="4"/>
        <v>0.5</v>
      </c>
      <c r="C31" s="11">
        <f t="shared" si="4"/>
        <v>0.55555555554818381</v>
      </c>
      <c r="D31" s="11">
        <f t="shared" si="4"/>
        <v>0.62499976511882893</v>
      </c>
      <c r="E31" s="11">
        <f t="shared" si="4"/>
        <v>0.71419399344778334</v>
      </c>
      <c r="F31" s="11">
        <f t="shared" si="4"/>
        <v>0.82841418284477675</v>
      </c>
      <c r="G31" s="11">
        <f t="shared" si="4"/>
        <v>0.93793103448275883</v>
      </c>
      <c r="H31" s="11">
        <f t="shared" si="4"/>
        <v>0.9866215364997748</v>
      </c>
      <c r="I31" s="11">
        <f t="shared" si="4"/>
        <v>0.99752906793879859</v>
      </c>
      <c r="J31" s="11">
        <f t="shared" si="4"/>
        <v>0.9995119502790113</v>
      </c>
      <c r="K31" s="11">
        <f t="shared" si="4"/>
        <v>0.9998910993008987</v>
      </c>
      <c r="L31" s="11"/>
      <c r="M31" s="11"/>
      <c r="N31" s="11"/>
      <c r="O31" s="11"/>
      <c r="P31" s="11"/>
      <c r="Q31" s="11"/>
      <c r="R31" s="11"/>
      <c r="S31" s="11"/>
    </row>
    <row r="32" spans="1:19" ht="13">
      <c r="A32" s="3">
        <f t="shared" si="3"/>
        <v>17</v>
      </c>
      <c r="B32" s="11">
        <f t="shared" si="4"/>
        <v>0.5</v>
      </c>
      <c r="C32" s="11">
        <f t="shared" si="4"/>
        <v>0.55555555555408109</v>
      </c>
      <c r="D32" s="11">
        <f t="shared" si="4"/>
        <v>0.62499990604756694</v>
      </c>
      <c r="E32" s="11">
        <f t="shared" si="4"/>
        <v>0.71423068884872654</v>
      </c>
      <c r="F32" s="11">
        <f t="shared" si="4"/>
        <v>0.82942110674011682</v>
      </c>
      <c r="G32" s="11">
        <f t="shared" si="4"/>
        <v>0.94155844155844182</v>
      </c>
      <c r="H32" s="11">
        <f t="shared" si="4"/>
        <v>0.98894983655535618</v>
      </c>
      <c r="I32" s="11">
        <f t="shared" si="4"/>
        <v>0.99823691558277605</v>
      </c>
      <c r="J32" s="11">
        <f t="shared" si="4"/>
        <v>0.99969500613742446</v>
      </c>
      <c r="K32" s="11">
        <f t="shared" si="4"/>
        <v>0.99993950034366075</v>
      </c>
      <c r="L32" s="11"/>
      <c r="M32" s="11"/>
      <c r="N32" s="11"/>
      <c r="O32" s="11"/>
      <c r="P32" s="11"/>
      <c r="Q32" s="11"/>
      <c r="R32" s="11"/>
      <c r="S32" s="11"/>
    </row>
    <row r="33" spans="1:19" ht="13">
      <c r="A33" s="3">
        <f t="shared" si="3"/>
        <v>18</v>
      </c>
      <c r="B33" s="11">
        <f t="shared" si="4"/>
        <v>0.5</v>
      </c>
      <c r="C33" s="11">
        <f t="shared" si="4"/>
        <v>0.55555555555526059</v>
      </c>
      <c r="D33" s="11">
        <f t="shared" si="4"/>
        <v>0.62499996241903233</v>
      </c>
      <c r="E33" s="11">
        <f t="shared" si="4"/>
        <v>0.71425270156667675</v>
      </c>
      <c r="F33" s="11">
        <f t="shared" si="4"/>
        <v>0.83021817669712128</v>
      </c>
      <c r="G33" s="11">
        <f t="shared" si="4"/>
        <v>0.94478527607361984</v>
      </c>
      <c r="H33" s="11">
        <f t="shared" si="4"/>
        <v>0.99085887110834425</v>
      </c>
      <c r="I33" s="11">
        <f t="shared" si="4"/>
        <v>0.99874160484065266</v>
      </c>
      <c r="J33" s="11">
        <f t="shared" si="4"/>
        <v>0.99980939336935337</v>
      </c>
      <c r="K33" s="11">
        <f t="shared" si="4"/>
        <v>0.99996638930574888</v>
      </c>
      <c r="L33" s="11"/>
      <c r="M33" s="11"/>
      <c r="N33" s="11"/>
      <c r="O33" s="11"/>
      <c r="P33" s="11"/>
      <c r="Q33" s="11"/>
      <c r="R33" s="11"/>
      <c r="S33" s="11"/>
    </row>
    <row r="34" spans="1:19" ht="13">
      <c r="A34" s="3">
        <f t="shared" ref="A34:A45" si="5">A33+1</f>
        <v>19</v>
      </c>
      <c r="B34" s="11">
        <f t="shared" ref="B34:K45" si="6">B33*(1-B33*B$15)/(1-B$15*B33*B33-$B$14*(1-B33)^2)</f>
        <v>0.5</v>
      </c>
      <c r="C34" s="11">
        <f t="shared" si="6"/>
        <v>0.55555555555549663</v>
      </c>
      <c r="D34" s="11">
        <f t="shared" si="6"/>
        <v>0.62499998496761389</v>
      </c>
      <c r="E34" s="11">
        <f t="shared" si="6"/>
        <v>0.71426590756971475</v>
      </c>
      <c r="F34" s="11">
        <f t="shared" si="6"/>
        <v>0.83085048936181316</v>
      </c>
      <c r="G34" s="11">
        <f t="shared" si="6"/>
        <v>0.94767441860465129</v>
      </c>
      <c r="H34" s="11">
        <f t="shared" si="6"/>
        <v>0.99242853375617601</v>
      </c>
      <c r="I34" s="11">
        <f t="shared" si="6"/>
        <v>0.99910163081622294</v>
      </c>
      <c r="J34" s="11">
        <f t="shared" si="6"/>
        <v>0.99988087653227653</v>
      </c>
      <c r="K34" s="11">
        <f t="shared" si="6"/>
        <v>0.99998132746181567</v>
      </c>
      <c r="L34" s="11"/>
      <c r="M34" s="11"/>
      <c r="N34" s="11"/>
      <c r="O34" s="11"/>
      <c r="P34" s="11"/>
      <c r="Q34" s="11"/>
      <c r="R34" s="11"/>
      <c r="S34" s="11"/>
    </row>
    <row r="35" spans="1:19" ht="13">
      <c r="A35" s="3">
        <f t="shared" si="5"/>
        <v>20</v>
      </c>
      <c r="B35" s="11">
        <f t="shared" si="6"/>
        <v>0.5</v>
      </c>
      <c r="C35" s="11">
        <f t="shared" si="6"/>
        <v>0.5555555555555437</v>
      </c>
      <c r="D35" s="11">
        <f t="shared" si="6"/>
        <v>0.62499999398704575</v>
      </c>
      <c r="E35" s="11">
        <f t="shared" si="6"/>
        <v>0.71427383058564242</v>
      </c>
      <c r="F35" s="11">
        <f t="shared" si="6"/>
        <v>0.83135295851014646</v>
      </c>
      <c r="G35" s="11">
        <f t="shared" si="6"/>
        <v>0.95027624309392278</v>
      </c>
      <c r="H35" s="11">
        <f t="shared" si="6"/>
        <v>0.99372213323434622</v>
      </c>
      <c r="I35" s="11">
        <f t="shared" si="6"/>
        <v>0.9993585546921725</v>
      </c>
      <c r="J35" s="11">
        <f t="shared" si="6"/>
        <v>0.99992555004985695</v>
      </c>
      <c r="K35" s="11">
        <f t="shared" si="6"/>
        <v>0.99998962638919786</v>
      </c>
      <c r="L35" s="11"/>
      <c r="M35" s="11"/>
      <c r="N35" s="11"/>
      <c r="O35" s="11"/>
      <c r="P35" s="11"/>
      <c r="Q35" s="11"/>
      <c r="R35" s="11"/>
      <c r="S35" s="11"/>
    </row>
    <row r="36" spans="1:19" ht="13">
      <c r="A36" s="3">
        <f t="shared" si="5"/>
        <v>21</v>
      </c>
      <c r="B36" s="11">
        <f t="shared" si="6"/>
        <v>0.5</v>
      </c>
      <c r="C36" s="11">
        <f t="shared" si="6"/>
        <v>0.55555555555555314</v>
      </c>
      <c r="D36" s="11">
        <f t="shared" si="6"/>
        <v>0.62499999759481839</v>
      </c>
      <c r="E36" s="11">
        <f t="shared" si="6"/>
        <v>0.71427858418429591</v>
      </c>
      <c r="F36" s="11">
        <f t="shared" si="6"/>
        <v>0.83175278955770404</v>
      </c>
      <c r="G36" s="11">
        <f t="shared" si="6"/>
        <v>0.9526315789473685</v>
      </c>
      <c r="H36" s="11">
        <f t="shared" si="6"/>
        <v>0.99479024844604713</v>
      </c>
      <c r="I36" s="11">
        <f t="shared" si="6"/>
        <v>0.99954195070022622</v>
      </c>
      <c r="J36" s="11">
        <f t="shared" si="6"/>
        <v>0.99995346964720622</v>
      </c>
      <c r="K36" s="11">
        <f t="shared" si="6"/>
        <v>0.99999423688953037</v>
      </c>
      <c r="L36" s="11"/>
      <c r="M36" s="11"/>
      <c r="N36" s="11"/>
      <c r="O36" s="11"/>
      <c r="P36" s="11"/>
      <c r="Q36" s="11"/>
      <c r="R36" s="11"/>
      <c r="S36" s="11"/>
    </row>
    <row r="37" spans="1:19" ht="13">
      <c r="A37" s="3">
        <f t="shared" si="5"/>
        <v>22</v>
      </c>
      <c r="B37" s="11">
        <f t="shared" si="6"/>
        <v>0.5</v>
      </c>
      <c r="C37" s="11">
        <f t="shared" si="6"/>
        <v>0.55555555555555503</v>
      </c>
      <c r="D37" s="11">
        <f t="shared" si="6"/>
        <v>0.62499999903792736</v>
      </c>
      <c r="E37" s="11">
        <f t="shared" si="6"/>
        <v>0.71428143626756702</v>
      </c>
      <c r="F37" s="11">
        <f t="shared" si="6"/>
        <v>0.83207129196678176</v>
      </c>
      <c r="G37" s="11">
        <f t="shared" si="6"/>
        <v>0.95477386934673369</v>
      </c>
      <c r="H37" s="11">
        <f t="shared" si="6"/>
        <v>0.99567356679976449</v>
      </c>
      <c r="I37" s="11">
        <f t="shared" si="6"/>
        <v>0.99967288614342142</v>
      </c>
      <c r="J37" s="11">
        <f t="shared" si="6"/>
        <v>0.99997091886779288</v>
      </c>
      <c r="K37" s="11">
        <f t="shared" si="6"/>
        <v>0.99999679827401156</v>
      </c>
      <c r="L37" s="11"/>
      <c r="M37" s="11"/>
      <c r="N37" s="11"/>
      <c r="O37" s="11"/>
      <c r="P37" s="11"/>
      <c r="Q37" s="11"/>
      <c r="R37" s="11"/>
      <c r="S37" s="11"/>
    </row>
    <row r="38" spans="1:19" ht="13">
      <c r="A38" s="3">
        <f t="shared" si="5"/>
        <v>23</v>
      </c>
      <c r="B38" s="11">
        <f t="shared" si="6"/>
        <v>0.5</v>
      </c>
      <c r="C38" s="11">
        <f t="shared" si="6"/>
        <v>0.55555555555555547</v>
      </c>
      <c r="D38" s="11">
        <f t="shared" si="6"/>
        <v>0.62499999961517094</v>
      </c>
      <c r="E38" s="11">
        <f t="shared" si="6"/>
        <v>0.71428314749019906</v>
      </c>
      <c r="F38" s="11">
        <f t="shared" si="6"/>
        <v>0.83232522696641642</v>
      </c>
      <c r="G38" s="11">
        <f t="shared" si="6"/>
        <v>0.95673076923076927</v>
      </c>
      <c r="H38" s="11">
        <f t="shared" si="6"/>
        <v>0.99640500799498055</v>
      </c>
      <c r="I38" s="11">
        <f t="shared" si="6"/>
        <v>0.99976637999687545</v>
      </c>
      <c r="J38" s="11">
        <f t="shared" si="6"/>
        <v>0.999981824424512</v>
      </c>
      <c r="K38" s="11">
        <f t="shared" si="6"/>
        <v>0.99999822126397264</v>
      </c>
      <c r="L38" s="11"/>
      <c r="M38" s="11"/>
      <c r="N38" s="11"/>
      <c r="O38" s="11"/>
      <c r="P38" s="11"/>
      <c r="Q38" s="11"/>
      <c r="R38" s="11"/>
      <c r="S38" s="11"/>
    </row>
    <row r="39" spans="1:19" ht="13">
      <c r="A39" s="3">
        <f t="shared" si="5"/>
        <v>24</v>
      </c>
      <c r="B39" s="11">
        <f t="shared" si="6"/>
        <v>0.5</v>
      </c>
      <c r="C39" s="11">
        <f t="shared" si="6"/>
        <v>0.55555555555555558</v>
      </c>
      <c r="D39" s="11">
        <f t="shared" si="6"/>
        <v>0.62499999984606824</v>
      </c>
      <c r="E39" s="11">
        <f t="shared" si="6"/>
        <v>0.7142841742139393</v>
      </c>
      <c r="F39" s="11">
        <f t="shared" si="6"/>
        <v>0.83252782268829162</v>
      </c>
      <c r="G39" s="11">
        <f t="shared" si="6"/>
        <v>0.95852534562211988</v>
      </c>
      <c r="H39" s="11">
        <f t="shared" si="6"/>
        <v>0.99701133614426174</v>
      </c>
      <c r="I39" s="11">
        <f t="shared" si="6"/>
        <v>0.99983314527516876</v>
      </c>
      <c r="J39" s="11">
        <f t="shared" si="6"/>
        <v>0.99998864031693713</v>
      </c>
      <c r="K39" s="11">
        <f t="shared" si="6"/>
        <v>0.99999901181351347</v>
      </c>
      <c r="L39" s="11"/>
      <c r="M39" s="11"/>
      <c r="N39" s="11"/>
      <c r="O39" s="11"/>
      <c r="P39" s="11"/>
      <c r="Q39" s="11"/>
      <c r="R39" s="11"/>
      <c r="S39" s="11"/>
    </row>
    <row r="40" spans="1:19" ht="13">
      <c r="A40" s="3">
        <f t="shared" si="5"/>
        <v>25</v>
      </c>
      <c r="B40" s="11">
        <f t="shared" si="6"/>
        <v>0.5</v>
      </c>
      <c r="C40" s="11">
        <f t="shared" si="6"/>
        <v>0.55555555555555558</v>
      </c>
      <c r="D40" s="11">
        <f t="shared" si="6"/>
        <v>0.62499999993842725</v>
      </c>
      <c r="E40" s="11">
        <f t="shared" si="6"/>
        <v>0.71428479024464164</v>
      </c>
      <c r="F40" s="11">
        <f t="shared" si="6"/>
        <v>0.83268954710928778</v>
      </c>
      <c r="G40" s="11">
        <f t="shared" si="6"/>
        <v>0.96017699115044253</v>
      </c>
      <c r="H40" s="11">
        <f t="shared" si="6"/>
        <v>0.99751439920372442</v>
      </c>
      <c r="I40" s="11">
        <f t="shared" si="6"/>
        <v>0.99988082657568444</v>
      </c>
      <c r="J40" s="11">
        <f t="shared" si="6"/>
        <v>0.99999290021824849</v>
      </c>
      <c r="K40" s="11">
        <f t="shared" si="6"/>
        <v>0.99999945100756771</v>
      </c>
      <c r="L40" s="11"/>
      <c r="M40" s="11"/>
      <c r="N40" s="11"/>
      <c r="O40" s="11"/>
      <c r="P40" s="11"/>
      <c r="Q40" s="11"/>
      <c r="R40" s="11"/>
      <c r="S40" s="11"/>
    </row>
    <row r="41" spans="1:19" ht="13">
      <c r="A41" s="3">
        <f t="shared" si="5"/>
        <v>26</v>
      </c>
      <c r="B41" s="11">
        <f t="shared" si="6"/>
        <v>0.5</v>
      </c>
      <c r="C41" s="11">
        <f t="shared" si="6"/>
        <v>0.55555555555555558</v>
      </c>
      <c r="D41" s="11">
        <f t="shared" si="6"/>
        <v>0.62499999997537081</v>
      </c>
      <c r="E41" s="11">
        <f t="shared" si="6"/>
        <v>0.71428515986178776</v>
      </c>
      <c r="F41" s="11">
        <f t="shared" si="6"/>
        <v>0.83281870192922702</v>
      </c>
      <c r="G41" s="11">
        <f t="shared" si="6"/>
        <v>0.96170212765957452</v>
      </c>
      <c r="H41" s="11">
        <f t="shared" si="6"/>
        <v>0.99793209266451677</v>
      </c>
      <c r="I41" s="11">
        <f t="shared" si="6"/>
        <v>0.99991488047291133</v>
      </c>
      <c r="J41" s="11">
        <f t="shared" si="6"/>
        <v>0.99999556264428147</v>
      </c>
      <c r="K41" s="11">
        <f t="shared" si="6"/>
        <v>0.99999969500422292</v>
      </c>
      <c r="L41" s="11"/>
      <c r="M41" s="11"/>
      <c r="N41" s="11"/>
      <c r="O41" s="11"/>
      <c r="P41" s="11"/>
      <c r="Q41" s="11"/>
      <c r="R41" s="11"/>
      <c r="S41" s="11"/>
    </row>
    <row r="42" spans="1:19" ht="13">
      <c r="A42" s="3">
        <f t="shared" si="5"/>
        <v>27</v>
      </c>
      <c r="B42" s="11">
        <f t="shared" si="6"/>
        <v>0.5</v>
      </c>
      <c r="C42" s="11">
        <f t="shared" si="6"/>
        <v>0.55555555555555558</v>
      </c>
      <c r="D42" s="11">
        <f t="shared" si="6"/>
        <v>0.62499999999014832</v>
      </c>
      <c r="E42" s="11">
        <f t="shared" si="6"/>
        <v>0.7142853816316167</v>
      </c>
      <c r="F42" s="11">
        <f t="shared" si="6"/>
        <v>0.83292188230479292</v>
      </c>
      <c r="G42" s="11">
        <f t="shared" si="6"/>
        <v>0.96311475409836067</v>
      </c>
      <c r="H42" s="11">
        <f t="shared" si="6"/>
        <v>0.99827911630577382</v>
      </c>
      <c r="I42" s="11">
        <f t="shared" si="6"/>
        <v>0.99993920255567237</v>
      </c>
      <c r="J42" s="11">
        <f t="shared" si="6"/>
        <v>0.99999722665575252</v>
      </c>
      <c r="K42" s="11">
        <f t="shared" si="6"/>
        <v>0.99999983055790742</v>
      </c>
      <c r="L42" s="11"/>
      <c r="M42" s="11"/>
      <c r="N42" s="11"/>
      <c r="O42" s="11"/>
      <c r="P42" s="11"/>
      <c r="Q42" s="11"/>
      <c r="R42" s="11"/>
      <c r="S42" s="11"/>
    </row>
    <row r="43" spans="1:19" ht="13">
      <c r="A43" s="3">
        <f t="shared" si="5"/>
        <v>28</v>
      </c>
      <c r="B43" s="11">
        <f t="shared" si="6"/>
        <v>0.5</v>
      </c>
      <c r="C43" s="11">
        <f t="shared" si="6"/>
        <v>0.55555555555555558</v>
      </c>
      <c r="D43" s="11">
        <f t="shared" si="6"/>
        <v>0.62499999999605926</v>
      </c>
      <c r="E43" s="11">
        <f t="shared" si="6"/>
        <v>0.71428551469334867</v>
      </c>
      <c r="F43" s="11">
        <f t="shared" si="6"/>
        <v>0.83300433495056858</v>
      </c>
      <c r="G43" s="11">
        <f t="shared" si="6"/>
        <v>0.96442687747035571</v>
      </c>
      <c r="H43" s="11">
        <f t="shared" si="6"/>
        <v>0.99856757361428516</v>
      </c>
      <c r="I43" s="11">
        <f t="shared" si="6"/>
        <v>0.99995657438555152</v>
      </c>
      <c r="J43" s="11">
        <f t="shared" si="6"/>
        <v>0.99999826666104707</v>
      </c>
      <c r="K43" s="11">
        <f t="shared" si="6"/>
        <v>0.99999990586550591</v>
      </c>
      <c r="L43" s="11"/>
      <c r="M43" s="11"/>
      <c r="N43" s="11"/>
      <c r="O43" s="11"/>
      <c r="P43" s="11"/>
      <c r="Q43" s="11"/>
      <c r="R43" s="11"/>
      <c r="S43" s="11"/>
    </row>
    <row r="44" spans="1:19" ht="13">
      <c r="A44" s="3">
        <f t="shared" si="5"/>
        <v>29</v>
      </c>
      <c r="B44" s="11">
        <f t="shared" si="6"/>
        <v>0.5</v>
      </c>
      <c r="C44" s="11">
        <f t="shared" si="6"/>
        <v>0.55555555555555558</v>
      </c>
      <c r="D44" s="11">
        <f t="shared" si="6"/>
        <v>0.62499999999842359</v>
      </c>
      <c r="E44" s="11">
        <f t="shared" si="6"/>
        <v>0.71428559453032836</v>
      </c>
      <c r="F44" s="11">
        <f t="shared" si="6"/>
        <v>0.83307023849645256</v>
      </c>
      <c r="G44" s="11">
        <f t="shared" si="6"/>
        <v>0.96564885496183206</v>
      </c>
      <c r="H44" s="11">
        <f t="shared" si="6"/>
        <v>0.99880745017179784</v>
      </c>
      <c r="I44" s="11">
        <f t="shared" si="6"/>
        <v>0.99996898228123554</v>
      </c>
      <c r="J44" s="11">
        <f t="shared" si="6"/>
        <v>0.99999891666362395</v>
      </c>
      <c r="K44" s="11">
        <f t="shared" si="6"/>
        <v>0.99999994770305933</v>
      </c>
      <c r="L44" s="11"/>
      <c r="M44" s="11"/>
      <c r="N44" s="11"/>
      <c r="O44" s="11"/>
      <c r="P44" s="11"/>
      <c r="Q44" s="11"/>
      <c r="R44" s="11"/>
      <c r="S44" s="11"/>
    </row>
    <row r="45" spans="1:19" ht="13">
      <c r="A45" s="3">
        <f t="shared" si="5"/>
        <v>30</v>
      </c>
      <c r="B45" s="11">
        <f t="shared" si="6"/>
        <v>0.5</v>
      </c>
      <c r="C45" s="11">
        <f t="shared" si="6"/>
        <v>0.55555555555555558</v>
      </c>
      <c r="D45" s="11">
        <f t="shared" si="6"/>
        <v>0.62499999999936939</v>
      </c>
      <c r="E45" s="11">
        <f t="shared" si="6"/>
        <v>0.71428564243249471</v>
      </c>
      <c r="F45" s="11">
        <f t="shared" si="6"/>
        <v>0.83312292389299347</v>
      </c>
      <c r="G45" s="11">
        <f t="shared" si="6"/>
        <v>0.96678966789667897</v>
      </c>
      <c r="H45" s="11">
        <f t="shared" si="6"/>
        <v>0.99900699794611747</v>
      </c>
      <c r="I45" s="11">
        <f t="shared" si="6"/>
        <v>0.99997784478111285</v>
      </c>
      <c r="J45" s="11">
        <f t="shared" si="6"/>
        <v>0.99999932291494831</v>
      </c>
      <c r="K45" s="11">
        <f t="shared" si="6"/>
        <v>0.99999997094614412</v>
      </c>
      <c r="L45" s="11"/>
      <c r="M45" s="11"/>
      <c r="N45" s="11"/>
      <c r="O45" s="11"/>
      <c r="P45" s="11"/>
      <c r="Q45" s="11"/>
      <c r="R45" s="11"/>
      <c r="S45" s="11"/>
    </row>
    <row r="46" spans="1:19">
      <c r="A46" s="2"/>
    </row>
    <row r="47" spans="1:19">
      <c r="E47" s="1" t="s">
        <v>11</v>
      </c>
      <c r="L47" s="13"/>
      <c r="M47" s="13"/>
      <c r="N47" s="13"/>
      <c r="O47" s="13"/>
      <c r="P47" s="13"/>
      <c r="Q47" s="13"/>
      <c r="R47" s="13"/>
      <c r="S47" s="13"/>
    </row>
    <row r="48" spans="1:19">
      <c r="E48" s="6" t="s">
        <v>12</v>
      </c>
    </row>
    <row r="49" spans="1:11">
      <c r="A49" t="s">
        <v>13</v>
      </c>
      <c r="B49">
        <f>B14+I$11</f>
        <v>0.8</v>
      </c>
      <c r="E49" s="7" t="s">
        <v>14</v>
      </c>
    </row>
    <row r="50" spans="1:11" ht="13">
      <c r="A50" t="s">
        <v>15</v>
      </c>
      <c r="B50" s="5">
        <v>1</v>
      </c>
      <c r="C50" s="4">
        <f t="shared" ref="C50:K50" si="7">B50+$D$11</f>
        <v>0.8</v>
      </c>
      <c r="D50" s="4">
        <f t="shared" si="7"/>
        <v>0.60000000000000009</v>
      </c>
      <c r="E50" s="4">
        <f t="shared" si="7"/>
        <v>0.40000000000000008</v>
      </c>
      <c r="F50" s="4">
        <f t="shared" si="7"/>
        <v>0.20000000000000007</v>
      </c>
      <c r="G50" s="4">
        <f t="shared" si="7"/>
        <v>5.5511151231257827E-17</v>
      </c>
      <c r="H50" s="4">
        <f t="shared" si="7"/>
        <v>-0.19999999999999996</v>
      </c>
      <c r="I50" s="4">
        <f t="shared" si="7"/>
        <v>-0.39999999999999997</v>
      </c>
      <c r="J50" s="4">
        <f t="shared" si="7"/>
        <v>-0.6</v>
      </c>
      <c r="K50" s="4">
        <f t="shared" si="7"/>
        <v>-0.8</v>
      </c>
    </row>
    <row r="51" spans="1:11" ht="13">
      <c r="A51" s="3">
        <v>1</v>
      </c>
      <c r="B51" s="9">
        <f t="shared" ref="B51:K51" si="8">$D$10</f>
        <v>0.1</v>
      </c>
      <c r="C51" s="11">
        <f t="shared" si="8"/>
        <v>0.1</v>
      </c>
      <c r="D51" s="11">
        <f t="shared" si="8"/>
        <v>0.1</v>
      </c>
      <c r="E51" s="11">
        <f t="shared" si="8"/>
        <v>0.1</v>
      </c>
      <c r="F51" s="11">
        <f t="shared" si="8"/>
        <v>0.1</v>
      </c>
      <c r="G51" s="11">
        <f t="shared" si="8"/>
        <v>0.1</v>
      </c>
      <c r="H51" s="11">
        <f t="shared" si="8"/>
        <v>0.1</v>
      </c>
      <c r="I51" s="11">
        <f t="shared" si="8"/>
        <v>0.1</v>
      </c>
      <c r="J51" s="11">
        <f t="shared" si="8"/>
        <v>0.1</v>
      </c>
      <c r="K51" s="11">
        <f t="shared" si="8"/>
        <v>0.1</v>
      </c>
    </row>
    <row r="52" spans="1:11" ht="13">
      <c r="A52" s="3">
        <f>A51+1</f>
        <v>2</v>
      </c>
      <c r="B52" s="10">
        <f>B51*(1-B51*B$15)/(1-B$15*B51*B51-$B$49*(1-B51)^2)</f>
        <v>0.26315789473684226</v>
      </c>
      <c r="C52" s="11">
        <f t="shared" ref="C52:K52" si="9">C51*(1-C51*C$15)/(1-C$15*C51*C51-$B$49*(1-C51)^2)</f>
        <v>0.26744186046511637</v>
      </c>
      <c r="D52" s="11">
        <f t="shared" si="9"/>
        <v>0.27167630057803477</v>
      </c>
      <c r="E52" s="11">
        <f t="shared" si="9"/>
        <v>0.27586206896551735</v>
      </c>
      <c r="F52" s="11">
        <f t="shared" si="9"/>
        <v>0.28000000000000014</v>
      </c>
      <c r="G52" s="11">
        <f t="shared" si="9"/>
        <v>0.28409090909090923</v>
      </c>
      <c r="H52" s="11">
        <f t="shared" si="9"/>
        <v>0.2881355932203391</v>
      </c>
      <c r="I52" s="11">
        <f t="shared" si="9"/>
        <v>0.29213483146067426</v>
      </c>
      <c r="J52" s="11">
        <f t="shared" si="9"/>
        <v>0.29608938547486047</v>
      </c>
      <c r="K52" s="11">
        <f t="shared" si="9"/>
        <v>0.30000000000000016</v>
      </c>
    </row>
    <row r="53" spans="1:11" ht="13">
      <c r="A53" s="3">
        <f t="shared" ref="A53:A68" si="10">A52+1</f>
        <v>3</v>
      </c>
      <c r="B53" s="11">
        <f t="shared" ref="B53:K68" si="11">B52*(1-B52*B$15)/(1-B$15*B52*B52-$B$49*(1-B52)^2)</f>
        <v>0.39062500000000011</v>
      </c>
      <c r="C53" s="11">
        <f t="shared" si="11"/>
        <v>0.40941647356224997</v>
      </c>
      <c r="D53" s="11">
        <f t="shared" si="11"/>
        <v>0.42794979500465335</v>
      </c>
      <c r="E53" s="11">
        <f t="shared" si="11"/>
        <v>0.44617380025940345</v>
      </c>
      <c r="F53" s="11">
        <f t="shared" si="11"/>
        <v>0.46404494382022482</v>
      </c>
      <c r="G53" s="11">
        <f t="shared" si="11"/>
        <v>0.48152687795482418</v>
      </c>
      <c r="H53" s="11">
        <f t="shared" si="11"/>
        <v>0.49858996051889454</v>
      </c>
      <c r="I53" s="11">
        <f t="shared" si="11"/>
        <v>0.51521071727602596</v>
      </c>
      <c r="J53" s="11">
        <f t="shared" si="11"/>
        <v>0.53137128072445028</v>
      </c>
      <c r="K53" s="11">
        <f t="shared" si="11"/>
        <v>0.54705882352941204</v>
      </c>
    </row>
    <row r="54" spans="1:11" ht="13">
      <c r="A54" s="3">
        <f t="shared" si="10"/>
        <v>4</v>
      </c>
      <c r="B54" s="11">
        <f t="shared" si="11"/>
        <v>0.4325259515570935</v>
      </c>
      <c r="C54" s="11">
        <f t="shared" si="11"/>
        <v>0.46913002524831571</v>
      </c>
      <c r="D54" s="11">
        <f t="shared" si="11"/>
        <v>0.5062134705621153</v>
      </c>
      <c r="E54" s="11">
        <f t="shared" si="11"/>
        <v>0.54303597267892756</v>
      </c>
      <c r="F54" s="11">
        <f t="shared" si="11"/>
        <v>0.57895420365544326</v>
      </c>
      <c r="G54" s="11">
        <f t="shared" si="11"/>
        <v>0.61345028312828598</v>
      </c>
      <c r="H54" s="11">
        <f t="shared" si="11"/>
        <v>0.64614141879439502</v>
      </c>
      <c r="I54" s="11">
        <f t="shared" si="11"/>
        <v>0.67677456848635376</v>
      </c>
      <c r="J54" s="11">
        <f t="shared" si="11"/>
        <v>0.70521118120204085</v>
      </c>
      <c r="K54" s="11">
        <f t="shared" si="11"/>
        <v>0.73140687347148947</v>
      </c>
    </row>
    <row r="55" spans="1:11" ht="13">
      <c r="A55" s="3">
        <f t="shared" si="10"/>
        <v>5</v>
      </c>
      <c r="B55" s="11">
        <f t="shared" si="11"/>
        <v>0.44200848656294212</v>
      </c>
      <c r="C55" s="11">
        <f t="shared" si="11"/>
        <v>0.48968379272323853</v>
      </c>
      <c r="D55" s="11">
        <f t="shared" si="11"/>
        <v>0.54125978261053376</v>
      </c>
      <c r="E55" s="11">
        <f t="shared" si="11"/>
        <v>0.59452528121020354</v>
      </c>
      <c r="F55" s="11">
        <f t="shared" si="11"/>
        <v>0.64706299096056596</v>
      </c>
      <c r="G55" s="11">
        <f t="shared" si="11"/>
        <v>0.69673565775166757</v>
      </c>
      <c r="H55" s="11">
        <f t="shared" si="11"/>
        <v>0.7420127210842119</v>
      </c>
      <c r="I55" s="11">
        <f t="shared" si="11"/>
        <v>0.78206693601258392</v>
      </c>
      <c r="J55" s="11">
        <f t="shared" si="11"/>
        <v>0.81668699650972032</v>
      </c>
      <c r="K55" s="11">
        <f t="shared" si="11"/>
        <v>0.84610169026682103</v>
      </c>
    </row>
    <row r="56" spans="1:11" ht="13">
      <c r="A56" s="3">
        <f t="shared" si="10"/>
        <v>6</v>
      </c>
      <c r="B56" s="11">
        <f t="shared" si="11"/>
        <v>0.44395510725955389</v>
      </c>
      <c r="C56" s="11">
        <f t="shared" si="11"/>
        <v>0.49656028805878716</v>
      </c>
      <c r="D56" s="11">
        <f t="shared" si="11"/>
        <v>0.55724953064795191</v>
      </c>
      <c r="E56" s="11">
        <f t="shared" si="11"/>
        <v>0.62322732411686754</v>
      </c>
      <c r="F56" s="11">
        <f t="shared" si="11"/>
        <v>0.68983321411451348</v>
      </c>
      <c r="G56" s="11">
        <f t="shared" si="11"/>
        <v>0.75206947714679595</v>
      </c>
      <c r="H56" s="11">
        <f t="shared" si="11"/>
        <v>0.80627588196593547</v>
      </c>
      <c r="I56" s="11">
        <f t="shared" si="11"/>
        <v>0.85087940204010548</v>
      </c>
      <c r="J56" s="11">
        <f t="shared" si="11"/>
        <v>0.88609214280072712</v>
      </c>
      <c r="K56" s="11">
        <f t="shared" si="11"/>
        <v>0.91314596652519708</v>
      </c>
    </row>
    <row r="57" spans="1:11" ht="13">
      <c r="A57" s="3">
        <f t="shared" si="10"/>
        <v>7</v>
      </c>
      <c r="B57" s="11">
        <f t="shared" si="11"/>
        <v>0.44434649072915483</v>
      </c>
      <c r="C57" s="11">
        <f t="shared" si="11"/>
        <v>0.49885339317635785</v>
      </c>
      <c r="D57" s="11">
        <f t="shared" si="11"/>
        <v>0.56470559918302998</v>
      </c>
      <c r="E57" s="11">
        <f t="shared" si="11"/>
        <v>0.63997027600619505</v>
      </c>
      <c r="F57" s="11">
        <f t="shared" si="11"/>
        <v>0.71830609755644503</v>
      </c>
      <c r="G57" s="11">
        <f t="shared" si="11"/>
        <v>0.79096571889769018</v>
      </c>
      <c r="H57" s="11">
        <f t="shared" si="11"/>
        <v>0.8511800520897389</v>
      </c>
      <c r="I57" s="11">
        <f t="shared" si="11"/>
        <v>0.8967368035891663</v>
      </c>
      <c r="J57" s="11">
        <f t="shared" si="11"/>
        <v>0.92912524567909571</v>
      </c>
      <c r="K57" s="11">
        <f t="shared" si="11"/>
        <v>0.95134406818975514</v>
      </c>
    </row>
    <row r="58" spans="1:11" ht="13">
      <c r="A58" s="3">
        <f t="shared" si="10"/>
        <v>8</v>
      </c>
      <c r="B58" s="11">
        <f t="shared" si="11"/>
        <v>0.4444248502466025</v>
      </c>
      <c r="C58" s="11">
        <f t="shared" si="11"/>
        <v>0.49961779638549048</v>
      </c>
      <c r="D58" s="11">
        <f t="shared" si="11"/>
        <v>0.56822668458112424</v>
      </c>
      <c r="E58" s="11">
        <f t="shared" si="11"/>
        <v>0.65004741649622355</v>
      </c>
      <c r="F58" s="11">
        <f t="shared" si="11"/>
        <v>0.73814244261181627</v>
      </c>
      <c r="G58" s="11">
        <f t="shared" si="11"/>
        <v>0.81961644828593783</v>
      </c>
      <c r="H58" s="11">
        <f t="shared" si="11"/>
        <v>0.88369060106083008</v>
      </c>
      <c r="I58" s="11">
        <f t="shared" si="11"/>
        <v>0.92785711249953273</v>
      </c>
      <c r="J58" s="11">
        <f t="shared" si="11"/>
        <v>0.95583978213467247</v>
      </c>
      <c r="K58" s="11">
        <f t="shared" si="11"/>
        <v>0.97284673331233618</v>
      </c>
    </row>
    <row r="59" spans="1:11" ht="13">
      <c r="A59" s="3">
        <f t="shared" si="10"/>
        <v>9</v>
      </c>
      <c r="B59" s="11">
        <f t="shared" si="11"/>
        <v>0.44444052546665547</v>
      </c>
      <c r="C59" s="11">
        <f t="shared" si="11"/>
        <v>0.49987259874553486</v>
      </c>
      <c r="D59" s="11">
        <f t="shared" si="11"/>
        <v>0.5699003210596284</v>
      </c>
      <c r="E59" s="11">
        <f t="shared" si="11"/>
        <v>0.65623672050687287</v>
      </c>
      <c r="F59" s="11">
        <f t="shared" si="11"/>
        <v>0.75244130817496258</v>
      </c>
      <c r="G59" s="11">
        <f t="shared" si="11"/>
        <v>0.84152174795867785</v>
      </c>
      <c r="H59" s="11">
        <f t="shared" si="11"/>
        <v>0.90790044823119431</v>
      </c>
      <c r="I59" s="11">
        <f t="shared" si="11"/>
        <v>0.94927696226942948</v>
      </c>
      <c r="J59" s="11">
        <f t="shared" si="11"/>
        <v>0.97245594847557704</v>
      </c>
      <c r="K59" s="11">
        <f t="shared" si="11"/>
        <v>0.98487754143623185</v>
      </c>
    </row>
    <row r="60" spans="1:11" ht="13">
      <c r="A60" s="3">
        <f t="shared" si="10"/>
        <v>10</v>
      </c>
      <c r="B60" s="11">
        <f t="shared" si="11"/>
        <v>0.4444436606433575</v>
      </c>
      <c r="C60" s="11">
        <f t="shared" si="11"/>
        <v>0.49995753291334022</v>
      </c>
      <c r="D60" s="11">
        <f t="shared" si="11"/>
        <v>0.57069837626426834</v>
      </c>
      <c r="E60" s="11">
        <f t="shared" si="11"/>
        <v>0.66008759366734415</v>
      </c>
      <c r="F60" s="11">
        <f t="shared" si="11"/>
        <v>0.76301611408085468</v>
      </c>
      <c r="G60" s="11">
        <f t="shared" si="11"/>
        <v>0.85877653085032657</v>
      </c>
      <c r="H60" s="11">
        <f t="shared" si="11"/>
        <v>0.92633119573965328</v>
      </c>
      <c r="I60" s="11">
        <f t="shared" si="11"/>
        <v>0.96417472956917261</v>
      </c>
      <c r="J60" s="11">
        <f t="shared" si="11"/>
        <v>0.98280751165746905</v>
      </c>
      <c r="K60" s="11">
        <f t="shared" si="11"/>
        <v>0.99158718698482196</v>
      </c>
    </row>
    <row r="61" spans="1:11" ht="13">
      <c r="A61" s="3">
        <f t="shared" si="10"/>
        <v>11</v>
      </c>
      <c r="B61" s="11">
        <f t="shared" si="11"/>
        <v>0.44444428768400585</v>
      </c>
      <c r="C61" s="11">
        <f t="shared" si="11"/>
        <v>0.4999858443043787</v>
      </c>
      <c r="D61" s="11">
        <f t="shared" si="11"/>
        <v>0.57107950953152342</v>
      </c>
      <c r="E61" s="11">
        <f t="shared" si="11"/>
        <v>0.66250329852746148</v>
      </c>
      <c r="F61" s="11">
        <f t="shared" si="11"/>
        <v>0.77099043184700267</v>
      </c>
      <c r="G61" s="11">
        <f t="shared" si="11"/>
        <v>0.87270069258216032</v>
      </c>
      <c r="H61" s="11">
        <f t="shared" si="11"/>
        <v>0.94060777668780438</v>
      </c>
      <c r="I61" s="11">
        <f t="shared" si="11"/>
        <v>0.97461494005594185</v>
      </c>
      <c r="J61" s="11">
        <f t="shared" si="11"/>
        <v>0.98926365050750964</v>
      </c>
      <c r="K61" s="11">
        <f t="shared" si="11"/>
        <v>0.9953226935756132</v>
      </c>
    </row>
    <row r="62" spans="1:11" ht="13">
      <c r="A62" s="3">
        <f t="shared" si="10"/>
        <v>12</v>
      </c>
      <c r="B62" s="11">
        <f t="shared" si="11"/>
        <v>0.44444441309234795</v>
      </c>
      <c r="C62" s="11">
        <f t="shared" si="11"/>
        <v>0.49999528143479038</v>
      </c>
      <c r="D62" s="11">
        <f t="shared" si="11"/>
        <v>0.57126166582185156</v>
      </c>
      <c r="E62" s="11">
        <f t="shared" si="11"/>
        <v>0.6640266304053507</v>
      </c>
      <c r="F62" s="11">
        <f t="shared" si="11"/>
        <v>0.77709422644444492</v>
      </c>
      <c r="G62" s="11">
        <f t="shared" si="11"/>
        <v>0.88416306293159408</v>
      </c>
      <c r="H62" s="11">
        <f t="shared" si="11"/>
        <v>0.95181927400227551</v>
      </c>
      <c r="I62" s="11">
        <f t="shared" si="11"/>
        <v>0.98197120306141628</v>
      </c>
      <c r="J62" s="11">
        <f t="shared" si="11"/>
        <v>0.99329331555200973</v>
      </c>
      <c r="K62" s="11">
        <f t="shared" si="11"/>
        <v>0.99740041156512427</v>
      </c>
    </row>
    <row r="63" spans="1:11" ht="13">
      <c r="A63" s="3">
        <f t="shared" si="10"/>
        <v>13</v>
      </c>
      <c r="B63" s="11">
        <f t="shared" si="11"/>
        <v>0.44444443817402479</v>
      </c>
      <c r="C63" s="11">
        <f t="shared" si="11"/>
        <v>0.49999842714493004</v>
      </c>
      <c r="D63" s="11">
        <f t="shared" si="11"/>
        <v>0.57134875548159314</v>
      </c>
      <c r="E63" s="11">
        <f t="shared" si="11"/>
        <v>0.66499042617800441</v>
      </c>
      <c r="F63" s="11">
        <f t="shared" si="11"/>
        <v>0.78182064335161572</v>
      </c>
      <c r="G63" s="11">
        <f t="shared" si="11"/>
        <v>0.89375714981409327</v>
      </c>
      <c r="H63" s="11">
        <f t="shared" si="11"/>
        <v>0.96072055453471195</v>
      </c>
      <c r="I63" s="11">
        <f t="shared" si="11"/>
        <v>0.98717470419480524</v>
      </c>
      <c r="J63" s="11">
        <f t="shared" si="11"/>
        <v>0.99580971126020834</v>
      </c>
      <c r="K63" s="11">
        <f t="shared" si="11"/>
        <v>0.99855544970843246</v>
      </c>
    </row>
    <row r="64" spans="1:11" ht="13">
      <c r="A64" s="3">
        <f t="shared" si="10"/>
        <v>14</v>
      </c>
      <c r="B64" s="11">
        <f t="shared" si="11"/>
        <v>0.44444444319036053</v>
      </c>
      <c r="C64" s="11">
        <f t="shared" si="11"/>
        <v>0.49999947571497672</v>
      </c>
      <c r="D64" s="11">
        <f t="shared" si="11"/>
        <v>0.57139040052272017</v>
      </c>
      <c r="E64" s="11">
        <f t="shared" si="11"/>
        <v>0.66560149588487194</v>
      </c>
      <c r="F64" s="11">
        <f t="shared" si="11"/>
        <v>0.78551374206544222</v>
      </c>
      <c r="G64" s="11">
        <f t="shared" si="11"/>
        <v>0.9019013501872688</v>
      </c>
      <c r="H64" s="11">
        <f t="shared" si="11"/>
        <v>0.96784996508194998</v>
      </c>
      <c r="I64" s="11">
        <f t="shared" si="11"/>
        <v>0.9908656954603362</v>
      </c>
      <c r="J64" s="11">
        <f t="shared" si="11"/>
        <v>0.99738161420623839</v>
      </c>
      <c r="K64" s="11">
        <f t="shared" si="11"/>
        <v>0.99919736887957655</v>
      </c>
    </row>
    <row r="65" spans="1:11" ht="13">
      <c r="A65" s="3">
        <f t="shared" si="10"/>
        <v>15</v>
      </c>
      <c r="B65" s="11">
        <f t="shared" si="11"/>
        <v>0.44444444419362777</v>
      </c>
      <c r="C65" s="11">
        <f t="shared" si="11"/>
        <v>0.49999982523832553</v>
      </c>
      <c r="D65" s="11">
        <f t="shared" si="11"/>
        <v>0.57141031622133054</v>
      </c>
      <c r="E65" s="11">
        <f t="shared" si="11"/>
        <v>0.66598944832390716</v>
      </c>
      <c r="F65" s="11">
        <f t="shared" si="11"/>
        <v>0.78842003039276221</v>
      </c>
      <c r="G65" s="11">
        <f t="shared" si="11"/>
        <v>0.90889866660744667</v>
      </c>
      <c r="H65" s="11">
        <f t="shared" si="11"/>
        <v>0.97360083259750663</v>
      </c>
      <c r="I65" s="11">
        <f t="shared" si="11"/>
        <v>0.99348903433066937</v>
      </c>
      <c r="J65" s="11">
        <f t="shared" si="11"/>
        <v>0.99836372214368252</v>
      </c>
      <c r="K65" s="11">
        <f t="shared" si="11"/>
        <v>0.99955406198610253</v>
      </c>
    </row>
    <row r="66" spans="1:11" ht="13">
      <c r="A66" s="3">
        <f t="shared" si="10"/>
        <v>16</v>
      </c>
      <c r="B66" s="11">
        <f t="shared" si="11"/>
        <v>0.44444444439428121</v>
      </c>
      <c r="C66" s="11">
        <f t="shared" si="11"/>
        <v>0.49999994174610857</v>
      </c>
      <c r="D66" s="11">
        <f t="shared" si="11"/>
        <v>0.57141984077870089</v>
      </c>
      <c r="E66" s="11">
        <f t="shared" si="11"/>
        <v>0.66623595937513869</v>
      </c>
      <c r="F66" s="11">
        <f t="shared" si="11"/>
        <v>0.79072004009768826</v>
      </c>
      <c r="G66" s="11">
        <f t="shared" si="11"/>
        <v>0.91497369148683261</v>
      </c>
      <c r="H66" s="11">
        <f t="shared" si="11"/>
        <v>0.97826648238249725</v>
      </c>
      <c r="I66" s="11">
        <f t="shared" si="11"/>
        <v>0.99535620087948773</v>
      </c>
      <c r="J66" s="11">
        <f t="shared" si="11"/>
        <v>0.9989774097688634</v>
      </c>
      <c r="K66" s="11">
        <f t="shared" si="11"/>
        <v>0.9997522468347696</v>
      </c>
    </row>
    <row r="67" spans="1:11" ht="13">
      <c r="A67" s="3">
        <f t="shared" si="10"/>
        <v>17</v>
      </c>
      <c r="B67" s="11">
        <f t="shared" si="11"/>
        <v>0.44444444443441178</v>
      </c>
      <c r="C67" s="11">
        <f t="shared" si="11"/>
        <v>0.49999998058203621</v>
      </c>
      <c r="D67" s="11">
        <f t="shared" si="11"/>
        <v>0.57142439592357053</v>
      </c>
      <c r="E67" s="11">
        <f t="shared" si="11"/>
        <v>0.66639268131185303</v>
      </c>
      <c r="F67" s="11">
        <f t="shared" si="11"/>
        <v>0.79254840017332406</v>
      </c>
      <c r="G67" s="11">
        <f t="shared" si="11"/>
        <v>0.92029629737655361</v>
      </c>
      <c r="H67" s="11">
        <f t="shared" si="11"/>
        <v>0.9820695002016534</v>
      </c>
      <c r="I67" s="11">
        <f t="shared" si="11"/>
        <v>0.99668651032096367</v>
      </c>
      <c r="J67" s="11">
        <f t="shared" si="11"/>
        <v>0.9993609137248578</v>
      </c>
      <c r="K67" s="11">
        <f t="shared" si="11"/>
        <v>0.99986235632079035</v>
      </c>
    </row>
    <row r="68" spans="1:11" ht="13">
      <c r="A68" s="3">
        <f t="shared" si="10"/>
        <v>18</v>
      </c>
      <c r="B68" s="11">
        <f t="shared" si="11"/>
        <v>0.44444444444243791</v>
      </c>
      <c r="C68" s="11">
        <f t="shared" si="11"/>
        <v>0.49999999352734537</v>
      </c>
      <c r="D68" s="11">
        <f t="shared" si="11"/>
        <v>0.57142657445322498</v>
      </c>
      <c r="E68" s="11">
        <f t="shared" si="11"/>
        <v>0.66649235327472278</v>
      </c>
      <c r="F68" s="11">
        <f t="shared" si="11"/>
        <v>0.79400701803987239</v>
      </c>
      <c r="G68" s="11">
        <f t="shared" si="11"/>
        <v>0.92499726684305217</v>
      </c>
      <c r="H68" s="11">
        <f t="shared" si="11"/>
        <v>0.98518130103031809</v>
      </c>
      <c r="I68" s="11">
        <f t="shared" si="11"/>
        <v>0.99763501015013401</v>
      </c>
      <c r="J68" s="11">
        <f t="shared" si="11"/>
        <v>0.99960058382723238</v>
      </c>
      <c r="K68" s="11">
        <f t="shared" si="11"/>
        <v>0.99992353035361936</v>
      </c>
    </row>
    <row r="69" spans="1:11" ht="13">
      <c r="A69" s="3">
        <f t="shared" ref="A69:A80" si="12">A68+1</f>
        <v>19</v>
      </c>
      <c r="B69" s="11">
        <f t="shared" ref="B69:K80" si="13">B68*(1-B68*B$15)/(1-B$15*B68*B68-$B$49*(1-B68)^2)</f>
        <v>0.44444444444404313</v>
      </c>
      <c r="C69" s="11">
        <f t="shared" si="13"/>
        <v>0.49999999784244847</v>
      </c>
      <c r="D69" s="11">
        <f t="shared" si="13"/>
        <v>0.57142761635461947</v>
      </c>
      <c r="E69" s="11">
        <f t="shared" si="13"/>
        <v>0.66655575653091059</v>
      </c>
      <c r="F69" s="11">
        <f t="shared" si="13"/>
        <v>0.79517398623389823</v>
      </c>
      <c r="G69" s="11">
        <f t="shared" si="13"/>
        <v>0.92917887654405751</v>
      </c>
      <c r="H69" s="11">
        <f t="shared" si="13"/>
        <v>0.98773555243396793</v>
      </c>
      <c r="I69" s="11">
        <f t="shared" si="13"/>
        <v>0.99831163324156802</v>
      </c>
      <c r="J69" s="11">
        <f t="shared" si="13"/>
        <v>0.99975036987394938</v>
      </c>
      <c r="K69" s="11">
        <f t="shared" si="13"/>
        <v>0.99995751657433152</v>
      </c>
    </row>
    <row r="70" spans="1:11" ht="13">
      <c r="A70" s="3">
        <f t="shared" si="12"/>
        <v>20</v>
      </c>
      <c r="B70" s="11">
        <f t="shared" si="13"/>
        <v>0.4444444444443641</v>
      </c>
      <c r="C70" s="11">
        <f t="shared" si="13"/>
        <v>0.49999999928081612</v>
      </c>
      <c r="D70" s="11">
        <f t="shared" si="13"/>
        <v>0.57142811465435039</v>
      </c>
      <c r="E70" s="11">
        <f t="shared" si="13"/>
        <v>0.6665960941976149</v>
      </c>
      <c r="F70" s="11">
        <f t="shared" si="13"/>
        <v>0.79610975509402226</v>
      </c>
      <c r="G70" s="11">
        <f t="shared" si="13"/>
        <v>0.93292223187120671</v>
      </c>
      <c r="H70" s="11">
        <f t="shared" si="13"/>
        <v>0.98983759508606184</v>
      </c>
      <c r="I70" s="11">
        <f t="shared" si="13"/>
        <v>0.9987944886118354</v>
      </c>
      <c r="J70" s="11">
        <f t="shared" si="13"/>
        <v>0.99984398311771738</v>
      </c>
      <c r="K70" s="11">
        <f t="shared" si="13"/>
        <v>0.99997639800771954</v>
      </c>
    </row>
    <row r="71" spans="1:11" ht="13">
      <c r="A71" s="3">
        <f t="shared" si="12"/>
        <v>21</v>
      </c>
      <c r="B71" s="11">
        <f t="shared" si="13"/>
        <v>0.44444444444442849</v>
      </c>
      <c r="C71" s="11">
        <f t="shared" si="13"/>
        <v>0.49999999976027193</v>
      </c>
      <c r="D71" s="11">
        <f t="shared" si="13"/>
        <v>0.57142835297139871</v>
      </c>
      <c r="E71" s="11">
        <f t="shared" si="13"/>
        <v>0.66662175962988957</v>
      </c>
      <c r="F71" s="11">
        <f t="shared" si="13"/>
        <v>0.79686150758241769</v>
      </c>
      <c r="G71" s="11">
        <f t="shared" si="13"/>
        <v>0.93629245549741302</v>
      </c>
      <c r="H71" s="11">
        <f t="shared" si="13"/>
        <v>0.99157119132485216</v>
      </c>
      <c r="I71" s="11">
        <f t="shared" si="13"/>
        <v>0.99913915750946425</v>
      </c>
      <c r="J71" s="11">
        <f t="shared" si="13"/>
        <v>0.99990249020903021</v>
      </c>
      <c r="K71" s="11">
        <f t="shared" si="13"/>
        <v>0.99998688775455724</v>
      </c>
    </row>
    <row r="72" spans="1:11" ht="13">
      <c r="A72" s="3">
        <f t="shared" si="12"/>
        <v>22</v>
      </c>
      <c r="B72" s="11">
        <f t="shared" si="13"/>
        <v>0.44444444444444131</v>
      </c>
      <c r="C72" s="11">
        <f t="shared" si="13"/>
        <v>0.4999999999200907</v>
      </c>
      <c r="D72" s="11">
        <f t="shared" si="13"/>
        <v>0.57142846694906846</v>
      </c>
      <c r="E72" s="11">
        <f t="shared" si="13"/>
        <v>0.66663809056133716</v>
      </c>
      <c r="F72" s="11">
        <f t="shared" si="13"/>
        <v>0.79746632176162546</v>
      </c>
      <c r="G72" s="11">
        <f t="shared" si="13"/>
        <v>0.93934242612938068</v>
      </c>
      <c r="H72" s="11">
        <f t="shared" si="13"/>
        <v>0.9930034499195215</v>
      </c>
      <c r="I72" s="11">
        <f t="shared" si="13"/>
        <v>0.99938523342379815</v>
      </c>
      <c r="J72" s="11">
        <f t="shared" si="13"/>
        <v>0.99993905667772309</v>
      </c>
      <c r="K72" s="11">
        <f t="shared" si="13"/>
        <v>0.999992715410708</v>
      </c>
    </row>
    <row r="73" spans="1:11" ht="13">
      <c r="A73" s="3">
        <f t="shared" si="12"/>
        <v>23</v>
      </c>
      <c r="B73" s="11">
        <f t="shared" si="13"/>
        <v>0.44444444444444381</v>
      </c>
      <c r="C73" s="11">
        <f t="shared" si="13"/>
        <v>0.49999999997336364</v>
      </c>
      <c r="D73" s="11">
        <f t="shared" si="13"/>
        <v>0.57142852146011702</v>
      </c>
      <c r="E73" s="11">
        <f t="shared" si="13"/>
        <v>0.66664848231775653</v>
      </c>
      <c r="F73" s="11">
        <f t="shared" si="13"/>
        <v>0.79795349687568551</v>
      </c>
      <c r="G73" s="11">
        <f t="shared" si="13"/>
        <v>0.94211551773217461</v>
      </c>
      <c r="H73" s="11">
        <f t="shared" si="13"/>
        <v>0.99418848030349827</v>
      </c>
      <c r="I73" s="11">
        <f t="shared" si="13"/>
        <v>0.99956094269540963</v>
      </c>
      <c r="J73" s="11">
        <f t="shared" si="13"/>
        <v>0.99996191053962979</v>
      </c>
      <c r="K73" s="11">
        <f t="shared" si="13"/>
        <v>0.99999595300332844</v>
      </c>
    </row>
    <row r="74" spans="1:11" ht="13">
      <c r="A74" s="3">
        <f t="shared" si="12"/>
        <v>24</v>
      </c>
      <c r="B74" s="11">
        <f t="shared" si="13"/>
        <v>0.44444444444444442</v>
      </c>
      <c r="C74" s="11">
        <f t="shared" si="13"/>
        <v>0.49999999999112127</v>
      </c>
      <c r="D74" s="11">
        <f t="shared" si="13"/>
        <v>0.57142854753061578</v>
      </c>
      <c r="E74" s="11">
        <f t="shared" si="13"/>
        <v>0.66665509498862896</v>
      </c>
      <c r="F74" s="11">
        <f t="shared" si="13"/>
        <v>0.79834629030293225</v>
      </c>
      <c r="G74" s="11">
        <f t="shared" si="13"/>
        <v>0.94464763687139519</v>
      </c>
      <c r="H74" s="11">
        <f t="shared" si="13"/>
        <v>0.99517014493323408</v>
      </c>
      <c r="I74" s="11">
        <f t="shared" si="13"/>
        <v>0.99968641910306899</v>
      </c>
      <c r="J74" s="11">
        <f t="shared" si="13"/>
        <v>0.9999761941326033</v>
      </c>
      <c r="K74" s="11">
        <f t="shared" si="13"/>
        <v>0.99999775166770721</v>
      </c>
    </row>
    <row r="75" spans="1:11" ht="13">
      <c r="A75" s="3">
        <f t="shared" si="12"/>
        <v>25</v>
      </c>
      <c r="B75" s="11">
        <f t="shared" si="13"/>
        <v>0.44444444444444442</v>
      </c>
      <c r="C75" s="11">
        <f t="shared" si="13"/>
        <v>0.49999999999704031</v>
      </c>
      <c r="D75" s="11">
        <f t="shared" si="13"/>
        <v>0.57142855999911457</v>
      </c>
      <c r="E75" s="11">
        <f t="shared" si="13"/>
        <v>0.66665930294458853</v>
      </c>
      <c r="F75" s="11">
        <f t="shared" si="13"/>
        <v>0.79866323167109088</v>
      </c>
      <c r="G75" s="11">
        <f t="shared" si="13"/>
        <v>0.9469687588932213</v>
      </c>
      <c r="H75" s="11">
        <f t="shared" si="13"/>
        <v>0.9959841602966758</v>
      </c>
      <c r="I75" s="11">
        <f t="shared" si="13"/>
        <v>0.99977602969599688</v>
      </c>
      <c r="J75" s="11">
        <f t="shared" si="13"/>
        <v>0.99998512135058637</v>
      </c>
      <c r="K75" s="11">
        <f t="shared" si="13"/>
        <v>0.99999875092625445</v>
      </c>
    </row>
    <row r="76" spans="1:11" ht="13">
      <c r="A76" s="3">
        <f t="shared" si="12"/>
        <v>26</v>
      </c>
      <c r="B76" s="11">
        <f t="shared" si="13"/>
        <v>0.44444444444444442</v>
      </c>
      <c r="C76" s="11">
        <f t="shared" si="13"/>
        <v>0.49999999999901346</v>
      </c>
      <c r="D76" s="11">
        <f t="shared" si="13"/>
        <v>0.57142856596230951</v>
      </c>
      <c r="E76" s="11">
        <f t="shared" si="13"/>
        <v>0.66666198069128435</v>
      </c>
      <c r="F76" s="11">
        <f t="shared" si="13"/>
        <v>0.79891912830311629</v>
      </c>
      <c r="G76" s="11">
        <f t="shared" si="13"/>
        <v>0.94910410077966378</v>
      </c>
      <c r="H76" s="11">
        <f t="shared" si="13"/>
        <v>0.99665971994886615</v>
      </c>
      <c r="I76" s="11">
        <f t="shared" si="13"/>
        <v>0.99984002940000982</v>
      </c>
      <c r="J76" s="11">
        <f t="shared" si="13"/>
        <v>0.99999070085103414</v>
      </c>
      <c r="K76" s="11">
        <f t="shared" si="13"/>
        <v>0.99999930607006426</v>
      </c>
    </row>
    <row r="77" spans="1:11" ht="13">
      <c r="A77" s="3">
        <f t="shared" si="12"/>
        <v>27</v>
      </c>
      <c r="B77" s="11">
        <f t="shared" si="13"/>
        <v>0.44444444444444442</v>
      </c>
      <c r="C77" s="11">
        <f t="shared" si="13"/>
        <v>0.49999999999967121</v>
      </c>
      <c r="D77" s="11">
        <f t="shared" si="13"/>
        <v>0.57142856881427218</v>
      </c>
      <c r="E77" s="11">
        <f t="shared" si="13"/>
        <v>0.6666636846943097</v>
      </c>
      <c r="F77" s="11">
        <f t="shared" si="13"/>
        <v>0.79912584189884472</v>
      </c>
      <c r="G77" s="11">
        <f t="shared" si="13"/>
        <v>0.95107502691670254</v>
      </c>
      <c r="H77" s="11">
        <f t="shared" si="13"/>
        <v>0.99722076162179552</v>
      </c>
      <c r="I77" s="11">
        <f t="shared" si="13"/>
        <v>0.99988573946332382</v>
      </c>
      <c r="J77" s="11">
        <f t="shared" si="13"/>
        <v>0.9999941880345985</v>
      </c>
      <c r="K77" s="11">
        <f t="shared" si="13"/>
        <v>0.99999961448334529</v>
      </c>
    </row>
    <row r="78" spans="1:11" ht="13">
      <c r="A78" s="3">
        <f t="shared" si="12"/>
        <v>28</v>
      </c>
      <c r="B78" s="11">
        <f t="shared" si="13"/>
        <v>0.44444444444444442</v>
      </c>
      <c r="C78" s="11">
        <f t="shared" si="13"/>
        <v>0.49999999999989048</v>
      </c>
      <c r="D78" s="11">
        <f t="shared" si="13"/>
        <v>0.57142857017825432</v>
      </c>
      <c r="E78" s="11">
        <f t="shared" si="13"/>
        <v>0.6666647690527443</v>
      </c>
      <c r="F78" s="11">
        <f t="shared" si="13"/>
        <v>0.7992928933837008</v>
      </c>
      <c r="G78" s="11">
        <f t="shared" si="13"/>
        <v>0.95289975599770971</v>
      </c>
      <c r="H78" s="11">
        <f t="shared" si="13"/>
        <v>0.99768696570444648</v>
      </c>
      <c r="I78" s="11">
        <f t="shared" si="13"/>
        <v>0.99991838746228567</v>
      </c>
      <c r="J78" s="11">
        <f t="shared" si="13"/>
        <v>0.99999636752267962</v>
      </c>
      <c r="K78" s="11">
        <f t="shared" si="13"/>
        <v>0.99999978582407334</v>
      </c>
    </row>
    <row r="79" spans="1:11" ht="13">
      <c r="A79" s="3">
        <f t="shared" si="12"/>
        <v>29</v>
      </c>
      <c r="B79" s="11">
        <f t="shared" si="13"/>
        <v>0.44444444444444442</v>
      </c>
      <c r="C79" s="11">
        <f t="shared" si="13"/>
        <v>0.49999999999996347</v>
      </c>
      <c r="D79" s="11">
        <f t="shared" si="13"/>
        <v>0.57142857083059362</v>
      </c>
      <c r="E79" s="11">
        <f t="shared" si="13"/>
        <v>0.66666545909613473</v>
      </c>
      <c r="F79" s="11">
        <f t="shared" si="13"/>
        <v>0.79942793716041105</v>
      </c>
      <c r="G79" s="11">
        <f t="shared" si="13"/>
        <v>0.95459391810593242</v>
      </c>
      <c r="H79" s="11">
        <f t="shared" si="13"/>
        <v>0.99807454847629828</v>
      </c>
      <c r="I79" s="11">
        <f t="shared" si="13"/>
        <v>0.99994170641758973</v>
      </c>
      <c r="J79" s="11">
        <f t="shared" si="13"/>
        <v>0.99999772970208722</v>
      </c>
      <c r="K79" s="11">
        <f t="shared" si="13"/>
        <v>0.99999988101337189</v>
      </c>
    </row>
    <row r="80" spans="1:11" ht="13">
      <c r="A80" s="3">
        <f t="shared" si="12"/>
        <v>30</v>
      </c>
      <c r="B80" s="11">
        <f t="shared" si="13"/>
        <v>0.44444444444444442</v>
      </c>
      <c r="C80" s="11">
        <f t="shared" si="13"/>
        <v>0.4999999999999879</v>
      </c>
      <c r="D80" s="11">
        <f t="shared" si="13"/>
        <v>0.57142857114258216</v>
      </c>
      <c r="E80" s="11">
        <f t="shared" si="13"/>
        <v>0.66666589821348732</v>
      </c>
      <c r="F80" s="11">
        <f t="shared" si="13"/>
        <v>0.79953713508469015</v>
      </c>
      <c r="G80" s="11">
        <f t="shared" si="13"/>
        <v>0.95617099769073055</v>
      </c>
      <c r="H80" s="11">
        <f t="shared" si="13"/>
        <v>0.99839689676846544</v>
      </c>
      <c r="I80" s="11">
        <f t="shared" si="13"/>
        <v>0.99995836228162671</v>
      </c>
      <c r="J80" s="11">
        <f t="shared" si="13"/>
        <v>0.99999858106396555</v>
      </c>
      <c r="K80" s="11">
        <f t="shared" si="13"/>
        <v>0.99999993389631703</v>
      </c>
    </row>
    <row r="82" spans="1:11">
      <c r="E82" s="1" t="s">
        <v>11</v>
      </c>
    </row>
    <row r="83" spans="1:11">
      <c r="E83" s="6" t="s">
        <v>12</v>
      </c>
    </row>
    <row r="84" spans="1:11">
      <c r="A84" t="s">
        <v>13</v>
      </c>
      <c r="B84">
        <f>B49+I$11</f>
        <v>0.60000000000000009</v>
      </c>
      <c r="E84" s="7" t="s">
        <v>14</v>
      </c>
    </row>
    <row r="85" spans="1:11" ht="13">
      <c r="A85" t="s">
        <v>15</v>
      </c>
      <c r="B85" s="5">
        <v>1</v>
      </c>
      <c r="C85" s="4">
        <f t="shared" ref="C85:K85" si="14">B85+$D$11</f>
        <v>0.8</v>
      </c>
      <c r="D85" s="4">
        <f t="shared" si="14"/>
        <v>0.60000000000000009</v>
      </c>
      <c r="E85" s="4">
        <f t="shared" si="14"/>
        <v>0.40000000000000008</v>
      </c>
      <c r="F85" s="4">
        <f t="shared" si="14"/>
        <v>0.20000000000000007</v>
      </c>
      <c r="G85" s="4">
        <f t="shared" si="14"/>
        <v>5.5511151231257827E-17</v>
      </c>
      <c r="H85" s="4">
        <f t="shared" si="14"/>
        <v>-0.19999999999999996</v>
      </c>
      <c r="I85" s="4">
        <f t="shared" si="14"/>
        <v>-0.39999999999999997</v>
      </c>
      <c r="J85" s="4">
        <f t="shared" si="14"/>
        <v>-0.6</v>
      </c>
      <c r="K85" s="4">
        <f t="shared" si="14"/>
        <v>-0.8</v>
      </c>
    </row>
    <row r="86" spans="1:11" ht="13">
      <c r="A86" s="3">
        <v>1</v>
      </c>
      <c r="B86" s="9">
        <f t="shared" ref="B86:K86" si="15">$D$10</f>
        <v>0.1</v>
      </c>
      <c r="C86" s="11">
        <f t="shared" si="15"/>
        <v>0.1</v>
      </c>
      <c r="D86" s="11">
        <f t="shared" si="15"/>
        <v>0.1</v>
      </c>
      <c r="E86" s="11">
        <f t="shared" si="15"/>
        <v>0.1</v>
      </c>
      <c r="F86" s="11">
        <f t="shared" si="15"/>
        <v>0.1</v>
      </c>
      <c r="G86" s="11">
        <f t="shared" si="15"/>
        <v>0.1</v>
      </c>
      <c r="H86" s="11">
        <f t="shared" si="15"/>
        <v>0.1</v>
      </c>
      <c r="I86" s="11">
        <f t="shared" si="15"/>
        <v>0.1</v>
      </c>
      <c r="J86" s="11">
        <f t="shared" si="15"/>
        <v>0.1</v>
      </c>
      <c r="K86" s="11">
        <f t="shared" si="15"/>
        <v>0.1</v>
      </c>
    </row>
    <row r="87" spans="1:11" ht="13">
      <c r="A87" s="3">
        <f>A86+1</f>
        <v>2</v>
      </c>
      <c r="B87" s="10">
        <f>B86*(1-B86*B$15)/(1-B$15*B86*B86-$B$84*(1-B86)^2)</f>
        <v>0.17857142857142863</v>
      </c>
      <c r="C87" s="11">
        <f t="shared" ref="C87:K87" si="16">C86*(1-C86*C$15)/(1-C$15*C86*C86-$B$84*(1-C86)^2)</f>
        <v>0.18181818181818185</v>
      </c>
      <c r="D87" s="11">
        <f t="shared" si="16"/>
        <v>0.18503937007874019</v>
      </c>
      <c r="E87" s="11">
        <f t="shared" si="16"/>
        <v>0.18823529411764711</v>
      </c>
      <c r="F87" s="11">
        <f t="shared" si="16"/>
        <v>0.19140625000000006</v>
      </c>
      <c r="G87" s="11">
        <f t="shared" si="16"/>
        <v>0.19455252918287944</v>
      </c>
      <c r="H87" s="11">
        <f t="shared" si="16"/>
        <v>0.19767441860465121</v>
      </c>
      <c r="I87" s="11">
        <f t="shared" si="16"/>
        <v>0.20077220077220082</v>
      </c>
      <c r="J87" s="11">
        <f t="shared" si="16"/>
        <v>0.2038461538461539</v>
      </c>
      <c r="K87" s="11">
        <f t="shared" si="16"/>
        <v>0.20689655172413798</v>
      </c>
    </row>
    <row r="88" spans="1:11" ht="13">
      <c r="A88" s="3">
        <f t="shared" ref="A88:A103" si="17">A87+1</f>
        <v>3</v>
      </c>
      <c r="B88" s="11">
        <f t="shared" ref="B88:K103" si="18">B87*(1-B87*B$15)/(1-B$15*B87*B87-$B$84*(1-B87)^2)</f>
        <v>0.2604166666666668</v>
      </c>
      <c r="C88" s="11">
        <f t="shared" si="18"/>
        <v>0.27167630057803471</v>
      </c>
      <c r="D88" s="11">
        <f t="shared" si="18"/>
        <v>0.28314461650107259</v>
      </c>
      <c r="E88" s="11">
        <f t="shared" si="18"/>
        <v>0.29479606188466956</v>
      </c>
      <c r="F88" s="11">
        <f t="shared" si="18"/>
        <v>0.30660492446577081</v>
      </c>
      <c r="G88" s="11">
        <f t="shared" si="18"/>
        <v>0.31854554829497578</v>
      </c>
      <c r="H88" s="11">
        <f t="shared" si="18"/>
        <v>0.33059253458627003</v>
      </c>
      <c r="I88" s="11">
        <f t="shared" si="18"/>
        <v>0.34272092563104789</v>
      </c>
      <c r="J88" s="11">
        <f t="shared" si="18"/>
        <v>0.3549063704791629</v>
      </c>
      <c r="K88" s="11">
        <f t="shared" si="18"/>
        <v>0.36712527154236074</v>
      </c>
    </row>
    <row r="89" spans="1:11" ht="13">
      <c r="A89" s="3">
        <f t="shared" si="17"/>
        <v>4</v>
      </c>
      <c r="B89" s="11">
        <f t="shared" si="18"/>
        <v>0.31887755102040832</v>
      </c>
      <c r="C89" s="11">
        <f t="shared" si="18"/>
        <v>0.34147519344072297</v>
      </c>
      <c r="D89" s="11">
        <f t="shared" si="18"/>
        <v>0.36521690451170807</v>
      </c>
      <c r="E89" s="11">
        <f t="shared" si="18"/>
        <v>0.38994370214130264</v>
      </c>
      <c r="F89" s="11">
        <f t="shared" si="18"/>
        <v>0.41546850141562924</v>
      </c>
      <c r="G89" s="11">
        <f t="shared" si="18"/>
        <v>0.44158297420724613</v>
      </c>
      <c r="H89" s="11">
        <f t="shared" si="18"/>
        <v>0.46806561337154867</v>
      </c>
      <c r="I89" s="11">
        <f t="shared" si="18"/>
        <v>0.49469033565118675</v>
      </c>
      <c r="J89" s="11">
        <f t="shared" si="18"/>
        <v>0.52123493115665365</v>
      </c>
      <c r="K89" s="11">
        <f t="shared" si="18"/>
        <v>0.54748873146798394</v>
      </c>
    </row>
    <row r="90" spans="1:11" ht="13">
      <c r="A90" s="3">
        <f t="shared" si="17"/>
        <v>5</v>
      </c>
      <c r="B90" s="11">
        <f t="shared" si="18"/>
        <v>0.35033632286995536</v>
      </c>
      <c r="C90" s="11">
        <f t="shared" si="18"/>
        <v>0.38388583782911084</v>
      </c>
      <c r="D90" s="11">
        <f t="shared" si="18"/>
        <v>0.42050542515712336</v>
      </c>
      <c r="E90" s="11">
        <f t="shared" si="18"/>
        <v>0.45974596731701362</v>
      </c>
      <c r="F90" s="11">
        <f t="shared" si="18"/>
        <v>0.50093391563242973</v>
      </c>
      <c r="G90" s="11">
        <f t="shared" si="18"/>
        <v>0.54321779942400417</v>
      </c>
      <c r="H90" s="11">
        <f t="shared" si="18"/>
        <v>0.58564827858863389</v>
      </c>
      <c r="I90" s="11">
        <f t="shared" si="18"/>
        <v>0.62727569179145692</v>
      </c>
      <c r="J90" s="11">
        <f t="shared" si="18"/>
        <v>0.66724379204485018</v>
      </c>
      <c r="K90" s="11">
        <f t="shared" si="18"/>
        <v>0.7048607815914959</v>
      </c>
    </row>
    <row r="91" spans="1:11" ht="13">
      <c r="A91" s="3">
        <f t="shared" si="17"/>
        <v>6</v>
      </c>
      <c r="B91" s="11">
        <f t="shared" si="18"/>
        <v>0.36472922502334271</v>
      </c>
      <c r="C91" s="11">
        <f t="shared" si="18"/>
        <v>0.40649843697920457</v>
      </c>
      <c r="D91" s="11">
        <f t="shared" si="18"/>
        <v>0.45407703435523866</v>
      </c>
      <c r="E91" s="11">
        <f t="shared" si="18"/>
        <v>0.5068010623526662</v>
      </c>
      <c r="F91" s="11">
        <f t="shared" si="18"/>
        <v>0.56317121158074723</v>
      </c>
      <c r="G91" s="11">
        <f t="shared" si="18"/>
        <v>0.62095516913579818</v>
      </c>
      <c r="H91" s="11">
        <f t="shared" si="18"/>
        <v>0.67756384519529078</v>
      </c>
      <c r="I91" s="11">
        <f t="shared" si="18"/>
        <v>0.73057672472252189</v>
      </c>
      <c r="J91" s="11">
        <f t="shared" si="18"/>
        <v>0.77819451657722405</v>
      </c>
      <c r="K91" s="11">
        <f t="shared" si="18"/>
        <v>0.81945051933403812</v>
      </c>
    </row>
    <row r="92" spans="1:11" ht="13">
      <c r="A92" s="3">
        <f t="shared" si="17"/>
        <v>7</v>
      </c>
      <c r="B92" s="11">
        <f t="shared" si="18"/>
        <v>0.37082304917410297</v>
      </c>
      <c r="C92" s="11">
        <f t="shared" si="18"/>
        <v>0.41785537390388611</v>
      </c>
      <c r="D92" s="11">
        <f t="shared" si="18"/>
        <v>0.47366308979550353</v>
      </c>
      <c r="E92" s="11">
        <f t="shared" si="18"/>
        <v>0.53780730587789261</v>
      </c>
      <c r="F92" s="11">
        <f t="shared" si="18"/>
        <v>0.60789859698302418</v>
      </c>
      <c r="G92" s="11">
        <f t="shared" si="18"/>
        <v>0.67953442788886975</v>
      </c>
      <c r="H92" s="11">
        <f t="shared" si="18"/>
        <v>0.74737990110126429</v>
      </c>
      <c r="I92" s="11">
        <f t="shared" si="18"/>
        <v>0.80693946732792321</v>
      </c>
      <c r="J92" s="11">
        <f t="shared" si="18"/>
        <v>0.85583890981498867</v>
      </c>
      <c r="K92" s="11">
        <f t="shared" si="18"/>
        <v>0.89392045311654034</v>
      </c>
    </row>
    <row r="93" spans="1:11" ht="13">
      <c r="A93" s="3">
        <f t="shared" si="17"/>
        <v>8</v>
      </c>
      <c r="B93" s="11">
        <f t="shared" si="18"/>
        <v>0.37331797851599835</v>
      </c>
      <c r="C93" s="11">
        <f t="shared" si="18"/>
        <v>0.4234101468351868</v>
      </c>
      <c r="D93" s="11">
        <f t="shared" si="18"/>
        <v>0.48493242039511059</v>
      </c>
      <c r="E93" s="11">
        <f t="shared" si="18"/>
        <v>0.5582525116898559</v>
      </c>
      <c r="F93" s="11">
        <f t="shared" si="18"/>
        <v>0.64039476631453707</v>
      </c>
      <c r="G93" s="11">
        <f t="shared" si="18"/>
        <v>0.72415613970256842</v>
      </c>
      <c r="H93" s="11">
        <f t="shared" si="18"/>
        <v>0.80033079963305931</v>
      </c>
      <c r="I93" s="11">
        <f t="shared" si="18"/>
        <v>0.8621294637506971</v>
      </c>
      <c r="J93" s="11">
        <f t="shared" si="18"/>
        <v>0.9077147717738232</v>
      </c>
      <c r="K93" s="11">
        <f t="shared" si="18"/>
        <v>0.93915687158543015</v>
      </c>
    </row>
    <row r="94" spans="1:11" ht="13">
      <c r="A94" s="3">
        <f t="shared" si="17"/>
        <v>9</v>
      </c>
      <c r="B94" s="11">
        <f t="shared" si="18"/>
        <v>0.3743253758346558</v>
      </c>
      <c r="C94" s="11">
        <f t="shared" si="18"/>
        <v>0.42609474145277682</v>
      </c>
      <c r="D94" s="11">
        <f t="shared" si="18"/>
        <v>0.49138660219741687</v>
      </c>
      <c r="E94" s="11">
        <f t="shared" si="18"/>
        <v>0.57182997424613502</v>
      </c>
      <c r="F94" s="11">
        <f t="shared" si="18"/>
        <v>0.66442259433679618</v>
      </c>
      <c r="G94" s="11">
        <f t="shared" si="18"/>
        <v>0.75879823952910186</v>
      </c>
      <c r="H94" s="11">
        <f t="shared" si="18"/>
        <v>0.84083419522242453</v>
      </c>
      <c r="I94" s="11">
        <f t="shared" si="18"/>
        <v>0.90165224578300407</v>
      </c>
      <c r="J94" s="11">
        <f t="shared" si="18"/>
        <v>0.94146393287913988</v>
      </c>
      <c r="K94" s="11">
        <f t="shared" si="18"/>
        <v>0.96558512763408899</v>
      </c>
    </row>
    <row r="95" spans="1:11" ht="13">
      <c r="A95" s="3">
        <f t="shared" si="17"/>
        <v>10</v>
      </c>
      <c r="B95" s="11">
        <f t="shared" si="18"/>
        <v>0.37472985874375103</v>
      </c>
      <c r="C95" s="11">
        <f t="shared" si="18"/>
        <v>0.42738504366949365</v>
      </c>
      <c r="D95" s="11">
        <f t="shared" si="18"/>
        <v>0.49507743232705637</v>
      </c>
      <c r="E95" s="11">
        <f t="shared" si="18"/>
        <v>0.58091467303983835</v>
      </c>
      <c r="F95" s="11">
        <f t="shared" si="18"/>
        <v>0.68250562037760787</v>
      </c>
      <c r="G95" s="11">
        <f t="shared" si="18"/>
        <v>0.7862436249511372</v>
      </c>
      <c r="H95" s="11">
        <f t="shared" si="18"/>
        <v>0.87216699508078421</v>
      </c>
      <c r="I95" s="11">
        <f t="shared" si="18"/>
        <v>0.92985806144843142</v>
      </c>
      <c r="J95" s="11">
        <f t="shared" si="18"/>
        <v>0.96307897608150617</v>
      </c>
      <c r="K95" s="11">
        <f t="shared" si="18"/>
        <v>0.9806871635422526</v>
      </c>
    </row>
    <row r="96" spans="1:11" ht="13">
      <c r="A96" s="3">
        <f t="shared" si="17"/>
        <v>11</v>
      </c>
      <c r="B96" s="11">
        <f t="shared" si="18"/>
        <v>0.3748918967724737</v>
      </c>
      <c r="C96" s="11">
        <f t="shared" si="18"/>
        <v>0.42800359702154112</v>
      </c>
      <c r="D96" s="11">
        <f t="shared" si="18"/>
        <v>0.49718698733431504</v>
      </c>
      <c r="E96" s="11">
        <f t="shared" si="18"/>
        <v>0.58703125797538447</v>
      </c>
      <c r="F96" s="11">
        <f t="shared" si="18"/>
        <v>0.69633004277510002</v>
      </c>
      <c r="G96" s="11">
        <f t="shared" si="18"/>
        <v>0.8084061380157036</v>
      </c>
      <c r="H96" s="11">
        <f t="shared" si="18"/>
        <v>0.89667765973076352</v>
      </c>
      <c r="I96" s="11">
        <f t="shared" si="18"/>
        <v>0.9499665797898359</v>
      </c>
      <c r="J96" s="11">
        <f t="shared" si="18"/>
        <v>0.97679292404893703</v>
      </c>
      <c r="K96" s="11">
        <f t="shared" si="18"/>
        <v>0.98921019389155507</v>
      </c>
    </row>
    <row r="97" spans="1:11" ht="13">
      <c r="A97" s="3">
        <f t="shared" si="17"/>
        <v>12</v>
      </c>
      <c r="B97" s="11">
        <f t="shared" si="18"/>
        <v>0.37495675122845867</v>
      </c>
      <c r="C97" s="11">
        <f t="shared" si="18"/>
        <v>0.42829975864231495</v>
      </c>
      <c r="D97" s="11">
        <f t="shared" si="18"/>
        <v>0.49839254238553404</v>
      </c>
      <c r="E97" s="11">
        <f t="shared" si="18"/>
        <v>0.59116895595147634</v>
      </c>
      <c r="F97" s="11">
        <f t="shared" si="18"/>
        <v>0.70704025937213355</v>
      </c>
      <c r="G97" s="11">
        <f t="shared" si="18"/>
        <v>0.82661220974942673</v>
      </c>
      <c r="H97" s="11">
        <f t="shared" si="18"/>
        <v>0.9160455956826985</v>
      </c>
      <c r="I97" s="11">
        <f t="shared" si="18"/>
        <v>0.96430129264936371</v>
      </c>
      <c r="J97" s="11">
        <f t="shared" si="18"/>
        <v>0.98544419237102909</v>
      </c>
      <c r="K97" s="11">
        <f t="shared" si="18"/>
        <v>0.99398687619253412</v>
      </c>
    </row>
    <row r="98" spans="1:11" ht="13">
      <c r="A98" s="3">
        <f t="shared" si="17"/>
        <v>13</v>
      </c>
      <c r="B98" s="11">
        <f t="shared" si="18"/>
        <v>0.37498269929420869</v>
      </c>
      <c r="C98" s="11">
        <f t="shared" si="18"/>
        <v>0.42844147699220853</v>
      </c>
      <c r="D98" s="11">
        <f t="shared" si="18"/>
        <v>0.49908144872294014</v>
      </c>
      <c r="E98" s="11">
        <f t="shared" si="18"/>
        <v>0.59397761170069385</v>
      </c>
      <c r="F98" s="11">
        <f t="shared" si="18"/>
        <v>0.71542983153223216</v>
      </c>
      <c r="G98" s="11">
        <f t="shared" si="18"/>
        <v>0.84179653178894431</v>
      </c>
      <c r="H98" s="11">
        <f t="shared" si="18"/>
        <v>0.93148377932127213</v>
      </c>
      <c r="I98" s="11">
        <f t="shared" si="18"/>
        <v>0.97452273813435708</v>
      </c>
      <c r="J98" s="11">
        <f t="shared" si="18"/>
        <v>0.99088253804103843</v>
      </c>
      <c r="K98" s="11">
        <f t="shared" si="18"/>
        <v>0.99665355491412533</v>
      </c>
    </row>
    <row r="99" spans="1:11" ht="13">
      <c r="A99" s="3">
        <f t="shared" si="17"/>
        <v>14</v>
      </c>
      <c r="B99" s="11">
        <f t="shared" si="18"/>
        <v>0.37499307952611693</v>
      </c>
      <c r="C99" s="11">
        <f t="shared" si="18"/>
        <v>0.42850927267426581</v>
      </c>
      <c r="D99" s="11">
        <f t="shared" si="18"/>
        <v>0.49947511279676604</v>
      </c>
      <c r="E99" s="11">
        <f t="shared" si="18"/>
        <v>0.59588876684940795</v>
      </c>
      <c r="F99" s="11">
        <f t="shared" si="18"/>
        <v>0.72206142265158213</v>
      </c>
      <c r="G99" s="11">
        <f t="shared" si="18"/>
        <v>0.85463052037513165</v>
      </c>
      <c r="H99" s="11">
        <f t="shared" si="18"/>
        <v>0.94388087910200691</v>
      </c>
      <c r="I99" s="11">
        <f t="shared" si="18"/>
        <v>0.98181368698315952</v>
      </c>
      <c r="J99" s="11">
        <f t="shared" si="18"/>
        <v>0.9942937393571093</v>
      </c>
      <c r="K99" s="11">
        <f t="shared" si="18"/>
        <v>0.99813906347998271</v>
      </c>
    </row>
    <row r="100" spans="1:11" ht="13">
      <c r="A100" s="3">
        <f t="shared" si="17"/>
        <v>15</v>
      </c>
      <c r="B100" s="11">
        <f t="shared" si="18"/>
        <v>0.37499723177979499</v>
      </c>
      <c r="C100" s="11">
        <f t="shared" si="18"/>
        <v>0.42854170066195435</v>
      </c>
      <c r="D100" s="11">
        <f t="shared" si="18"/>
        <v>0.49970006431363612</v>
      </c>
      <c r="E100" s="11">
        <f t="shared" si="18"/>
        <v>0.59719143649774598</v>
      </c>
      <c r="F100" s="11">
        <f t="shared" si="18"/>
        <v>0.72734243877014138</v>
      </c>
      <c r="G100" s="11">
        <f t="shared" si="18"/>
        <v>0.8656058585098968</v>
      </c>
      <c r="H100" s="11">
        <f t="shared" si="18"/>
        <v>0.95389794424551966</v>
      </c>
      <c r="I100" s="11">
        <f t="shared" si="18"/>
        <v>0.98701597721246992</v>
      </c>
      <c r="J100" s="11">
        <f t="shared" si="18"/>
        <v>0.9964305213454685</v>
      </c>
      <c r="K100" s="11">
        <f t="shared" si="18"/>
        <v>0.99896559005181818</v>
      </c>
    </row>
    <row r="101" spans="1:11" ht="13">
      <c r="A101" s="3">
        <f t="shared" si="17"/>
        <v>16</v>
      </c>
      <c r="B101" s="11">
        <f t="shared" si="18"/>
        <v>0.3749988927070137</v>
      </c>
      <c r="C101" s="11">
        <f t="shared" si="18"/>
        <v>0.42855721060659935</v>
      </c>
      <c r="D101" s="11">
        <f t="shared" si="18"/>
        <v>0.49982860815278862</v>
      </c>
      <c r="E101" s="11">
        <f t="shared" si="18"/>
        <v>0.59808040716159638</v>
      </c>
      <c r="F101" s="11">
        <f t="shared" si="18"/>
        <v>0.73157351242261692</v>
      </c>
      <c r="G101" s="11">
        <f t="shared" si="18"/>
        <v>0.87508926312584601</v>
      </c>
      <c r="H101" s="11">
        <f t="shared" si="18"/>
        <v>0.96203398521671013</v>
      </c>
      <c r="I101" s="11">
        <f t="shared" si="18"/>
        <v>0.99072893928440675</v>
      </c>
      <c r="J101" s="11">
        <f t="shared" si="18"/>
        <v>0.99776787814914136</v>
      </c>
      <c r="K101" s="11">
        <f t="shared" si="18"/>
        <v>0.99942515598789805</v>
      </c>
    </row>
    <row r="102" spans="1:11" ht="13">
      <c r="A102" s="3">
        <f t="shared" si="17"/>
        <v>17</v>
      </c>
      <c r="B102" s="11">
        <f t="shared" si="18"/>
        <v>0.37499955708202076</v>
      </c>
      <c r="C102" s="11">
        <f t="shared" si="18"/>
        <v>0.42856462861367894</v>
      </c>
      <c r="D102" s="11">
        <f t="shared" si="18"/>
        <v>0.49990206179666147</v>
      </c>
      <c r="E102" s="11">
        <f t="shared" si="18"/>
        <v>0.59868755770424698</v>
      </c>
      <c r="F102" s="11">
        <f t="shared" si="18"/>
        <v>0.73498022714989131</v>
      </c>
      <c r="G102" s="11">
        <f t="shared" si="18"/>
        <v>0.88335892960713014</v>
      </c>
      <c r="H102" s="11">
        <f t="shared" si="18"/>
        <v>0.96867082942238125</v>
      </c>
      <c r="I102" s="11">
        <f t="shared" si="18"/>
        <v>0.99337949552532101</v>
      </c>
      <c r="J102" s="11">
        <f t="shared" si="18"/>
        <v>0.99860445596294301</v>
      </c>
      <c r="K102" s="11">
        <f t="shared" si="18"/>
        <v>0.99968058916563418</v>
      </c>
    </row>
    <row r="103" spans="1:11" ht="13">
      <c r="A103" s="3">
        <f t="shared" si="17"/>
        <v>18</v>
      </c>
      <c r="B103" s="11">
        <f t="shared" si="18"/>
        <v>0.37499982283268279</v>
      </c>
      <c r="C103" s="11">
        <f t="shared" si="18"/>
        <v>0.42856817640364897</v>
      </c>
      <c r="D103" s="11">
        <f t="shared" si="18"/>
        <v>0.49994403531145776</v>
      </c>
      <c r="E103" s="11">
        <f t="shared" si="18"/>
        <v>0.59910246442257242</v>
      </c>
      <c r="F103" s="11">
        <f t="shared" si="18"/>
        <v>0.73773433269518518</v>
      </c>
      <c r="G103" s="11">
        <f t="shared" si="18"/>
        <v>0.89062921029080289</v>
      </c>
      <c r="H103" s="11">
        <f t="shared" si="18"/>
        <v>0.97410421275336978</v>
      </c>
      <c r="I103" s="11">
        <f t="shared" si="18"/>
        <v>0.99527193642353051</v>
      </c>
      <c r="J103" s="11">
        <f t="shared" si="18"/>
        <v>0.99912760220336694</v>
      </c>
      <c r="K103" s="11">
        <f t="shared" si="18"/>
        <v>0.99982253315971858</v>
      </c>
    </row>
    <row r="104" spans="1:11" ht="13">
      <c r="A104" s="3">
        <f t="shared" ref="A104:A115" si="19">A103+1</f>
        <v>19</v>
      </c>
      <c r="B104" s="11">
        <f t="shared" ref="B104:K115" si="20">B103*(1-B103*B$15)/(1-B$15*B103*B103-$B$84*(1-B103)^2)</f>
        <v>0.37499992913305308</v>
      </c>
      <c r="C104" s="11">
        <f t="shared" si="20"/>
        <v>0.42856987318361944</v>
      </c>
      <c r="D104" s="11">
        <f t="shared" si="20"/>
        <v>0.49996802017780423</v>
      </c>
      <c r="E104" s="11">
        <f t="shared" si="20"/>
        <v>0.59938610805161463</v>
      </c>
      <c r="F104" s="11">
        <f t="shared" si="20"/>
        <v>0.73996824015190377</v>
      </c>
      <c r="G104" s="11">
        <f t="shared" si="20"/>
        <v>0.89706762772841986</v>
      </c>
      <c r="H104" s="11">
        <f t="shared" si="20"/>
        <v>0.97856566227955866</v>
      </c>
      <c r="I104" s="11">
        <f t="shared" si="20"/>
        <v>0.9966232583701593</v>
      </c>
      <c r="J104" s="11">
        <f t="shared" si="20"/>
        <v>0.99945467997933424</v>
      </c>
      <c r="K104" s="11">
        <f t="shared" si="20"/>
        <v>0.99990140225583291</v>
      </c>
    </row>
    <row r="105" spans="1:11" ht="13">
      <c r="A105" s="3">
        <f t="shared" si="19"/>
        <v>20</v>
      </c>
      <c r="B105" s="11">
        <f t="shared" si="20"/>
        <v>0.37499997165321808</v>
      </c>
      <c r="C105" s="11">
        <f t="shared" si="20"/>
        <v>0.42857068468956622</v>
      </c>
      <c r="D105" s="11">
        <f t="shared" si="20"/>
        <v>0.49998172581585598</v>
      </c>
      <c r="E105" s="11">
        <f t="shared" si="20"/>
        <v>0.59958006763322025</v>
      </c>
      <c r="F105" s="11">
        <f t="shared" si="20"/>
        <v>0.74178513084468611</v>
      </c>
      <c r="G105" s="11">
        <f t="shared" si="20"/>
        <v>0.9028068103061001</v>
      </c>
      <c r="H105" s="11">
        <f t="shared" si="20"/>
        <v>0.98223814265176568</v>
      </c>
      <c r="I105" s="11">
        <f t="shared" si="20"/>
        <v>0.99758827090847824</v>
      </c>
      <c r="J105" s="11">
        <f t="shared" si="20"/>
        <v>0.99965914709687165</v>
      </c>
      <c r="K105" s="11">
        <f t="shared" si="20"/>
        <v>0.9999452219151419</v>
      </c>
    </row>
    <row r="106" spans="1:11" ht="13">
      <c r="A106" s="3">
        <f t="shared" si="19"/>
        <v>21</v>
      </c>
      <c r="B106" s="11">
        <f t="shared" si="20"/>
        <v>0.37499998866128675</v>
      </c>
      <c r="C106" s="11">
        <f t="shared" si="20"/>
        <v>0.42857107280167384</v>
      </c>
      <c r="D106" s="11">
        <f t="shared" si="20"/>
        <v>0.49998955760905461</v>
      </c>
      <c r="E106" s="11">
        <f t="shared" si="20"/>
        <v>0.59971272419375521</v>
      </c>
      <c r="F106" s="11">
        <f t="shared" si="20"/>
        <v>0.74326614315163997</v>
      </c>
      <c r="G106" s="11">
        <f t="shared" si="20"/>
        <v>0.9079530059317078</v>
      </c>
      <c r="H106" s="11">
        <f t="shared" si="20"/>
        <v>0.98526741869974566</v>
      </c>
      <c r="I106" s="11">
        <f t="shared" si="20"/>
        <v>0.99827745379653998</v>
      </c>
      <c r="J106" s="11">
        <f t="shared" si="20"/>
        <v>0.99978695604081891</v>
      </c>
      <c r="K106" s="11">
        <f t="shared" si="20"/>
        <v>0.99996956724903718</v>
      </c>
    </row>
    <row r="107" spans="1:11" ht="13">
      <c r="A107" s="3">
        <f t="shared" si="19"/>
        <v>22</v>
      </c>
      <c r="B107" s="11">
        <f t="shared" si="20"/>
        <v>0.37499999546451468</v>
      </c>
      <c r="C107" s="11">
        <f t="shared" si="20"/>
        <v>0.42857125842063781</v>
      </c>
      <c r="D107" s="11">
        <f t="shared" si="20"/>
        <v>0.49999403291945854</v>
      </c>
      <c r="E107" s="11">
        <f t="shared" si="20"/>
        <v>0.5998034645658038</v>
      </c>
      <c r="F107" s="11">
        <f t="shared" si="20"/>
        <v>0.74447557380475871</v>
      </c>
      <c r="G107" s="11">
        <f t="shared" si="20"/>
        <v>0.91259225028585156</v>
      </c>
      <c r="H107" s="11">
        <f t="shared" si="20"/>
        <v>0.98777043088017813</v>
      </c>
      <c r="I107" s="11">
        <f t="shared" si="20"/>
        <v>0.9987696699467038</v>
      </c>
      <c r="J107" s="11">
        <f t="shared" si="20"/>
        <v>0.99986684326973219</v>
      </c>
      <c r="K107" s="11">
        <f t="shared" si="20"/>
        <v>0.99998309276748798</v>
      </c>
    </row>
    <row r="108" spans="1:11" ht="13">
      <c r="A108" s="3">
        <f t="shared" si="19"/>
        <v>23</v>
      </c>
      <c r="B108" s="11">
        <f t="shared" si="20"/>
        <v>0.37499999818580582</v>
      </c>
      <c r="C108" s="11">
        <f t="shared" si="20"/>
        <v>0.42857134719495477</v>
      </c>
      <c r="D108" s="11">
        <f t="shared" si="20"/>
        <v>0.49999659023969045</v>
      </c>
      <c r="E108" s="11">
        <f t="shared" si="20"/>
        <v>0.5998655385450784</v>
      </c>
      <c r="F108" s="11">
        <f t="shared" si="20"/>
        <v>0.74546470428948297</v>
      </c>
      <c r="G108" s="11">
        <f t="shared" si="20"/>
        <v>0.91679490121238527</v>
      </c>
      <c r="H108" s="11">
        <f t="shared" si="20"/>
        <v>0.98984155600931012</v>
      </c>
      <c r="I108" s="11">
        <f t="shared" si="20"/>
        <v>0.99912122354272603</v>
      </c>
      <c r="J108" s="11">
        <f t="shared" si="20"/>
        <v>0.99991677538116208</v>
      </c>
      <c r="K108" s="11">
        <f t="shared" si="20"/>
        <v>0.9999906070471708</v>
      </c>
    </row>
    <row r="109" spans="1:11" ht="13">
      <c r="A109" s="3">
        <f t="shared" si="19"/>
        <v>24</v>
      </c>
      <c r="B109" s="11">
        <f t="shared" si="20"/>
        <v>0.37499999927432232</v>
      </c>
      <c r="C109" s="11">
        <f t="shared" si="20"/>
        <v>0.4285713896522434</v>
      </c>
      <c r="D109" s="11">
        <f t="shared" si="20"/>
        <v>0.49999805156553739</v>
      </c>
      <c r="E109" s="11">
        <f t="shared" si="20"/>
        <v>0.59990800481283435</v>
      </c>
      <c r="F109" s="11">
        <f t="shared" si="20"/>
        <v>0.74627465795828118</v>
      </c>
      <c r="G109" s="11">
        <f t="shared" si="20"/>
        <v>0.92061901735178731</v>
      </c>
      <c r="H109" s="11">
        <f t="shared" si="20"/>
        <v>0.9915573485222432</v>
      </c>
      <c r="I109" s="11">
        <f t="shared" si="20"/>
        <v>0.99937231822931982</v>
      </c>
      <c r="J109" s="11">
        <f t="shared" si="20"/>
        <v>0.99994798396384166</v>
      </c>
      <c r="K109" s="11">
        <f t="shared" si="20"/>
        <v>0.9999947816787127</v>
      </c>
    </row>
    <row r="110" spans="1:11" ht="13">
      <c r="A110" s="3">
        <f t="shared" si="19"/>
        <v>25</v>
      </c>
      <c r="B110" s="11">
        <f t="shared" si="20"/>
        <v>0.37499999970972903</v>
      </c>
      <c r="C110" s="11">
        <f t="shared" si="20"/>
        <v>0.42857140995790477</v>
      </c>
      <c r="D110" s="11">
        <f t="shared" si="20"/>
        <v>0.49999888660887853</v>
      </c>
      <c r="E110" s="11">
        <f t="shared" si="20"/>
        <v>0.5999370581510054</v>
      </c>
      <c r="F110" s="11">
        <f t="shared" si="20"/>
        <v>0.74693856217693677</v>
      </c>
      <c r="G110" s="11">
        <f t="shared" si="20"/>
        <v>0.92411290735358387</v>
      </c>
      <c r="H110" s="11">
        <f t="shared" si="20"/>
        <v>0.9929801741823524</v>
      </c>
      <c r="I110" s="11">
        <f t="shared" si="20"/>
        <v>0.99955166389622563</v>
      </c>
      <c r="J110" s="11">
        <f t="shared" si="20"/>
        <v>0.99996748972373473</v>
      </c>
      <c r="K110" s="11">
        <f t="shared" si="20"/>
        <v>0.9999971009282479</v>
      </c>
    </row>
    <row r="111" spans="1:11" ht="13">
      <c r="A111" s="3">
        <f t="shared" si="19"/>
        <v>26</v>
      </c>
      <c r="B111" s="11">
        <f t="shared" si="20"/>
        <v>0.3749999998838916</v>
      </c>
      <c r="C111" s="11">
        <f t="shared" si="20"/>
        <v>0.4285714196693084</v>
      </c>
      <c r="D111" s="11">
        <f t="shared" si="20"/>
        <v>0.49999936377650206</v>
      </c>
      <c r="E111" s="11">
        <f t="shared" si="20"/>
        <v>0.59995693556669405</v>
      </c>
      <c r="F111" s="11">
        <f t="shared" si="20"/>
        <v>0.74748320425145554</v>
      </c>
      <c r="G111" s="11">
        <f t="shared" si="20"/>
        <v>0.92731707578068479</v>
      </c>
      <c r="H111" s="11">
        <f t="shared" si="20"/>
        <v>0.99416102535665662</v>
      </c>
      <c r="I111" s="11">
        <f t="shared" si="20"/>
        <v>0.99967976401987702</v>
      </c>
      <c r="J111" s="11">
        <f t="shared" si="20"/>
        <v>0.99997968097824563</v>
      </c>
      <c r="K111" s="11">
        <f t="shared" si="20"/>
        <v>0.99999838940323327</v>
      </c>
    </row>
    <row r="112" spans="1:11" ht="13">
      <c r="A112" s="3">
        <f t="shared" si="19"/>
        <v>27</v>
      </c>
      <c r="B112" s="11">
        <f t="shared" si="20"/>
        <v>0.37499999995355671</v>
      </c>
      <c r="C112" s="11">
        <f t="shared" si="20"/>
        <v>0.42857142431389278</v>
      </c>
      <c r="D112" s="11">
        <f t="shared" si="20"/>
        <v>0.49999963644371542</v>
      </c>
      <c r="E112" s="11">
        <f t="shared" si="20"/>
        <v>0.5999705353493886</v>
      </c>
      <c r="F112" s="11">
        <f t="shared" si="20"/>
        <v>0.74793031316753633</v>
      </c>
      <c r="G112" s="11">
        <f t="shared" si="20"/>
        <v>0.93026572461384371</v>
      </c>
      <c r="H112" s="11">
        <f t="shared" si="20"/>
        <v>0.99514172361336195</v>
      </c>
      <c r="I112" s="11">
        <f t="shared" si="20"/>
        <v>0.99977126210410838</v>
      </c>
      <c r="J112" s="11">
        <f t="shared" si="20"/>
        <v>0.99998730057269702</v>
      </c>
      <c r="K112" s="11">
        <f t="shared" si="20"/>
        <v>0.99999910522360214</v>
      </c>
    </row>
    <row r="113" spans="1:11" ht="13">
      <c r="A113" s="3">
        <f t="shared" si="19"/>
        <v>28</v>
      </c>
      <c r="B113" s="11">
        <f t="shared" si="20"/>
        <v>0.37499999998142269</v>
      </c>
      <c r="C113" s="11">
        <f t="shared" si="20"/>
        <v>0.4285714265352159</v>
      </c>
      <c r="D113" s="11">
        <f t="shared" si="20"/>
        <v>0.49999979225355179</v>
      </c>
      <c r="E113" s="11">
        <f t="shared" si="20"/>
        <v>0.59997984020433914</v>
      </c>
      <c r="F113" s="11">
        <f t="shared" si="20"/>
        <v>0.74829756097017663</v>
      </c>
      <c r="G113" s="11">
        <f t="shared" si="20"/>
        <v>0.93298792353588611</v>
      </c>
      <c r="H113" s="11">
        <f t="shared" si="20"/>
        <v>0.99595665806685019</v>
      </c>
      <c r="I113" s="11">
        <f t="shared" si="20"/>
        <v>0.99983661685534309</v>
      </c>
      <c r="J113" s="11">
        <f t="shared" si="20"/>
        <v>0.99999206284281594</v>
      </c>
      <c r="K113" s="11">
        <f t="shared" si="20"/>
        <v>0.99999950290187278</v>
      </c>
    </row>
    <row r="114" spans="1:11" ht="13">
      <c r="A114" s="3">
        <f t="shared" si="19"/>
        <v>29</v>
      </c>
      <c r="B114" s="11">
        <f t="shared" si="20"/>
        <v>0.37499999999256917</v>
      </c>
      <c r="C114" s="11">
        <f t="shared" si="20"/>
        <v>0.42857142759758782</v>
      </c>
      <c r="D114" s="11">
        <f t="shared" si="20"/>
        <v>0.49999988128774386</v>
      </c>
      <c r="E114" s="11">
        <f t="shared" si="20"/>
        <v>0.59998620656254509</v>
      </c>
      <c r="F114" s="11">
        <f t="shared" si="20"/>
        <v>0.74859935147174772</v>
      </c>
      <c r="G114" s="11">
        <f t="shared" si="20"/>
        <v>0.93550853062399997</v>
      </c>
      <c r="H114" s="11">
        <f t="shared" si="20"/>
        <v>0.99663416795051785</v>
      </c>
      <c r="I114" s="11">
        <f t="shared" si="20"/>
        <v>0.99988329829819866</v>
      </c>
      <c r="J114" s="11">
        <f t="shared" si="20"/>
        <v>0.99999503927085387</v>
      </c>
      <c r="K114" s="11">
        <f t="shared" si="20"/>
        <v>0.99999972383433411</v>
      </c>
    </row>
    <row r="115" spans="1:11" ht="13">
      <c r="A115" s="3">
        <f t="shared" si="19"/>
        <v>30</v>
      </c>
      <c r="B115" s="11">
        <f t="shared" si="20"/>
        <v>0.37499999999702771</v>
      </c>
      <c r="C115" s="11">
        <f t="shared" si="20"/>
        <v>0.42857142810567866</v>
      </c>
      <c r="D115" s="11">
        <f t="shared" si="20"/>
        <v>0.49999993216442506</v>
      </c>
      <c r="E115" s="11">
        <f t="shared" si="20"/>
        <v>0.59999056243496496</v>
      </c>
      <c r="F115" s="11">
        <f t="shared" si="20"/>
        <v>0.74884744582101603</v>
      </c>
      <c r="G115" s="11">
        <f t="shared" si="20"/>
        <v>0.93784892302035894</v>
      </c>
      <c r="H115" s="11">
        <f t="shared" si="20"/>
        <v>0.99719764970887037</v>
      </c>
      <c r="I115" s="11">
        <f t="shared" si="20"/>
        <v>0.99991664191937146</v>
      </c>
      <c r="J115" s="11">
        <f t="shared" si="20"/>
        <v>0.99999689954197657</v>
      </c>
      <c r="K115" s="11">
        <f t="shared" si="20"/>
        <v>0.99999984657461782</v>
      </c>
    </row>
    <row r="117" spans="1:11">
      <c r="E117" s="1" t="s">
        <v>11</v>
      </c>
    </row>
    <row r="118" spans="1:11">
      <c r="E118" s="6" t="s">
        <v>12</v>
      </c>
    </row>
    <row r="119" spans="1:11">
      <c r="A119" t="s">
        <v>13</v>
      </c>
      <c r="B119">
        <f>B84+I$11</f>
        <v>0.40000000000000008</v>
      </c>
      <c r="E119" s="7" t="s">
        <v>14</v>
      </c>
    </row>
    <row r="120" spans="1:11" ht="13">
      <c r="A120" t="s">
        <v>15</v>
      </c>
      <c r="B120" s="5">
        <v>1</v>
      </c>
      <c r="C120" s="4">
        <f t="shared" ref="C120:K120" si="21">B120+$D$11</f>
        <v>0.8</v>
      </c>
      <c r="D120" s="4">
        <f t="shared" si="21"/>
        <v>0.60000000000000009</v>
      </c>
      <c r="E120" s="4">
        <f t="shared" si="21"/>
        <v>0.40000000000000008</v>
      </c>
      <c r="F120" s="4">
        <f t="shared" si="21"/>
        <v>0.20000000000000007</v>
      </c>
      <c r="G120" s="4">
        <f t="shared" si="21"/>
        <v>5.5511151231257827E-17</v>
      </c>
      <c r="H120" s="4">
        <f t="shared" si="21"/>
        <v>-0.19999999999999996</v>
      </c>
      <c r="I120" s="4">
        <f t="shared" si="21"/>
        <v>-0.39999999999999997</v>
      </c>
      <c r="J120" s="4">
        <f t="shared" si="21"/>
        <v>-0.6</v>
      </c>
      <c r="K120" s="4">
        <f t="shared" si="21"/>
        <v>-0.8</v>
      </c>
    </row>
    <row r="121" spans="1:11" ht="13">
      <c r="A121" s="3">
        <v>1</v>
      </c>
      <c r="B121" s="9">
        <f t="shared" ref="B121:K121" si="22">$D$10</f>
        <v>0.1</v>
      </c>
      <c r="C121" s="11">
        <f t="shared" si="22"/>
        <v>0.1</v>
      </c>
      <c r="D121" s="11">
        <f t="shared" si="22"/>
        <v>0.1</v>
      </c>
      <c r="E121" s="11">
        <f t="shared" si="22"/>
        <v>0.1</v>
      </c>
      <c r="F121" s="11">
        <f t="shared" si="22"/>
        <v>0.1</v>
      </c>
      <c r="G121" s="11">
        <f t="shared" si="22"/>
        <v>0.1</v>
      </c>
      <c r="H121" s="11">
        <f t="shared" si="22"/>
        <v>0.1</v>
      </c>
      <c r="I121" s="11">
        <f t="shared" si="22"/>
        <v>0.1</v>
      </c>
      <c r="J121" s="11">
        <f t="shared" si="22"/>
        <v>0.1</v>
      </c>
      <c r="K121" s="11">
        <f t="shared" si="22"/>
        <v>0.1</v>
      </c>
    </row>
    <row r="122" spans="1:11" ht="13">
      <c r="A122" s="3">
        <f>A121+1</f>
        <v>2</v>
      </c>
      <c r="B122" s="10">
        <f>B121*(1-B121*B$15)/(1-B$15*B121*B121-$B$119*(1-B121)^2)</f>
        <v>0.13513513513513517</v>
      </c>
      <c r="C122" s="11">
        <f t="shared" ref="C122:K122" si="23">C121*(1-C121*C$15)/(1-C$15*C121*C121-$B$119*(1-C121)^2)</f>
        <v>0.1377245508982036</v>
      </c>
      <c r="D122" s="11">
        <f t="shared" si="23"/>
        <v>0.14029850746268657</v>
      </c>
      <c r="E122" s="11">
        <f t="shared" si="23"/>
        <v>0.14285714285714288</v>
      </c>
      <c r="F122" s="11">
        <f t="shared" si="23"/>
        <v>0.14540059347181011</v>
      </c>
      <c r="G122" s="11">
        <f t="shared" si="23"/>
        <v>0.14792899408284027</v>
      </c>
      <c r="H122" s="11">
        <f t="shared" si="23"/>
        <v>0.15044247787610621</v>
      </c>
      <c r="I122" s="11">
        <f t="shared" si="23"/>
        <v>0.15294117647058827</v>
      </c>
      <c r="J122" s="11">
        <f t="shared" si="23"/>
        <v>0.155425219941349</v>
      </c>
      <c r="K122" s="11">
        <f t="shared" si="23"/>
        <v>0.15789473684210528</v>
      </c>
    </row>
    <row r="123" spans="1:11" ht="13">
      <c r="A123" s="3">
        <f t="shared" ref="A123:A138" si="24">A122+1</f>
        <v>3</v>
      </c>
      <c r="B123" s="11">
        <f t="shared" ref="B123:K138" si="25">B122*(1-B122*B$15)/(1-B$15*B122*B122-$B$119*(1-B122)^2)</f>
        <v>0.17123287671232881</v>
      </c>
      <c r="C123" s="11">
        <f t="shared" si="25"/>
        <v>0.17827597358565364</v>
      </c>
      <c r="D123" s="11">
        <f t="shared" si="25"/>
        <v>0.18552790715627493</v>
      </c>
      <c r="E123" s="11">
        <f t="shared" si="25"/>
        <v>0.19298245614035089</v>
      </c>
      <c r="F123" s="11">
        <f t="shared" si="25"/>
        <v>0.20063270229955255</v>
      </c>
      <c r="G123" s="11">
        <f t="shared" si="25"/>
        <v>0.20847108049697535</v>
      </c>
      <c r="H123" s="11">
        <f t="shared" si="25"/>
        <v>0.216489431534725</v>
      </c>
      <c r="I123" s="11">
        <f t="shared" si="25"/>
        <v>0.22467905729066884</v>
      </c>
      <c r="J123" s="11">
        <f t="shared" si="25"/>
        <v>0.23303077764987834</v>
      </c>
      <c r="K123" s="11">
        <f t="shared" si="25"/>
        <v>0.24153498871331833</v>
      </c>
    </row>
    <row r="124" spans="1:11" ht="13">
      <c r="A124" s="3">
        <f t="shared" si="24"/>
        <v>4</v>
      </c>
      <c r="B124" s="11">
        <f t="shared" si="25"/>
        <v>0.20391517128874392</v>
      </c>
      <c r="C124" s="11">
        <f t="shared" si="25"/>
        <v>0.21696809458686692</v>
      </c>
      <c r="D124" s="11">
        <f t="shared" si="25"/>
        <v>0.23091757290828718</v>
      </c>
      <c r="E124" s="11">
        <f t="shared" si="25"/>
        <v>0.24577351117152324</v>
      </c>
      <c r="F124" s="11">
        <f t="shared" si="25"/>
        <v>0.26153451591878762</v>
      </c>
      <c r="G124" s="11">
        <f t="shared" si="25"/>
        <v>0.2781866650984588</v>
      </c>
      <c r="H124" s="11">
        <f t="shared" si="25"/>
        <v>0.29570259308166585</v>
      </c>
      <c r="I124" s="11">
        <f t="shared" si="25"/>
        <v>0.31404097453031243</v>
      </c>
      <c r="J124" s="11">
        <f t="shared" si="25"/>
        <v>0.33314647431558836</v>
      </c>
      <c r="K124" s="11">
        <f t="shared" si="25"/>
        <v>0.35295020649011738</v>
      </c>
    </row>
    <row r="125" spans="1:11" ht="13">
      <c r="A125" s="3">
        <f t="shared" si="24"/>
        <v>5</v>
      </c>
      <c r="B125" s="11">
        <f t="shared" si="25"/>
        <v>0.23028739867354467</v>
      </c>
      <c r="C125" s="11">
        <f t="shared" si="25"/>
        <v>0.25005145648236865</v>
      </c>
      <c r="D125" s="11">
        <f t="shared" si="25"/>
        <v>0.27197264122407555</v>
      </c>
      <c r="E125" s="11">
        <f t="shared" si="25"/>
        <v>0.29615543324663435</v>
      </c>
      <c r="F125" s="11">
        <f t="shared" si="25"/>
        <v>0.32264841279294754</v>
      </c>
      <c r="G125" s="11">
        <f t="shared" si="25"/>
        <v>0.35142584894488005</v>
      </c>
      <c r="H125" s="11">
        <f t="shared" si="25"/>
        <v>0.38237152091344229</v>
      </c>
      <c r="I125" s="11">
        <f t="shared" si="25"/>
        <v>0.41526792255336864</v>
      </c>
      <c r="J125" s="11">
        <f t="shared" si="25"/>
        <v>0.44979396754380424</v>
      </c>
      <c r="K125" s="11">
        <f t="shared" si="25"/>
        <v>0.48553345195293568</v>
      </c>
    </row>
    <row r="126" spans="1:11" ht="13">
      <c r="A126" s="3">
        <f t="shared" si="24"/>
        <v>6</v>
      </c>
      <c r="B126" s="11">
        <f t="shared" si="25"/>
        <v>0.24966046177199014</v>
      </c>
      <c r="C126" s="11">
        <f t="shared" si="25"/>
        <v>0.27590073554698563</v>
      </c>
      <c r="D126" s="11">
        <f t="shared" si="25"/>
        <v>0.30606296062290483</v>
      </c>
      <c r="E126" s="11">
        <f t="shared" si="25"/>
        <v>0.34048845430162272</v>
      </c>
      <c r="F126" s="11">
        <f t="shared" si="25"/>
        <v>0.37934412894515251</v>
      </c>
      <c r="G126" s="11">
        <f t="shared" si="25"/>
        <v>0.42251855568407642</v>
      </c>
      <c r="H126" s="11">
        <f t="shared" si="25"/>
        <v>0.46952658168323524</v>
      </c>
      <c r="I126" s="11">
        <f t="shared" si="25"/>
        <v>0.51945875727552537</v>
      </c>
      <c r="J126" s="11">
        <f t="shared" si="25"/>
        <v>0.57101251854946389</v>
      </c>
      <c r="K126" s="11">
        <f t="shared" si="25"/>
        <v>0.62262195052662195</v>
      </c>
    </row>
    <row r="127" spans="1:11" ht="13">
      <c r="A127" s="3">
        <f t="shared" si="24"/>
        <v>7</v>
      </c>
      <c r="B127" s="11">
        <f t="shared" si="25"/>
        <v>0.26293204994446878</v>
      </c>
      <c r="C127" s="11">
        <f t="shared" si="25"/>
        <v>0.29477802873172687</v>
      </c>
      <c r="D127" s="11">
        <f t="shared" si="25"/>
        <v>0.33262284041797813</v>
      </c>
      <c r="E127" s="11">
        <f t="shared" si="25"/>
        <v>0.37724291772358831</v>
      </c>
      <c r="F127" s="11">
        <f t="shared" si="25"/>
        <v>0.42901615018085365</v>
      </c>
      <c r="G127" s="11">
        <f t="shared" si="25"/>
        <v>0.48755549845401819</v>
      </c>
      <c r="H127" s="11">
        <f t="shared" si="25"/>
        <v>0.55136979036438649</v>
      </c>
      <c r="I127" s="11">
        <f t="shared" si="25"/>
        <v>0.6177767827074907</v>
      </c>
      <c r="J127" s="11">
        <f t="shared" si="25"/>
        <v>0.6832721007164051</v>
      </c>
      <c r="K127" s="11">
        <f t="shared" si="25"/>
        <v>0.74431663265923131</v>
      </c>
    </row>
    <row r="128" spans="1:11" ht="13">
      <c r="A128" s="3">
        <f t="shared" si="24"/>
        <v>8</v>
      </c>
      <c r="B128" s="11">
        <f t="shared" si="25"/>
        <v>0.27159459487646581</v>
      </c>
      <c r="C128" s="11">
        <f t="shared" si="25"/>
        <v>0.30792551118320777</v>
      </c>
      <c r="D128" s="11">
        <f t="shared" si="25"/>
        <v>0.35242098302789432</v>
      </c>
      <c r="E128" s="11">
        <f t="shared" si="25"/>
        <v>0.40652356371462234</v>
      </c>
      <c r="F128" s="11">
        <f t="shared" si="25"/>
        <v>0.47095892791701399</v>
      </c>
      <c r="G128" s="11">
        <f t="shared" si="25"/>
        <v>0.54477894045754294</v>
      </c>
      <c r="H128" s="11">
        <f t="shared" si="25"/>
        <v>0.62447740687711906</v>
      </c>
      <c r="I128" s="11">
        <f t="shared" si="25"/>
        <v>0.70409519095962536</v>
      </c>
      <c r="J128" s="11">
        <f t="shared" si="25"/>
        <v>0.77693262720195855</v>
      </c>
      <c r="K128" s="11">
        <f t="shared" si="25"/>
        <v>0.8380206990824749</v>
      </c>
    </row>
    <row r="129" spans="1:11" ht="13">
      <c r="A129" s="3">
        <f t="shared" si="24"/>
        <v>9</v>
      </c>
      <c r="B129" s="11">
        <f t="shared" si="25"/>
        <v>0.27707162687238363</v>
      </c>
      <c r="C129" s="11">
        <f t="shared" si="25"/>
        <v>0.31679512659437054</v>
      </c>
      <c r="D129" s="11">
        <f t="shared" si="25"/>
        <v>0.36675117255621686</v>
      </c>
      <c r="E129" s="11">
        <f t="shared" si="25"/>
        <v>0.42927468601557484</v>
      </c>
      <c r="F129" s="11">
        <f t="shared" si="25"/>
        <v>0.50563668154762387</v>
      </c>
      <c r="G129" s="11">
        <f t="shared" si="25"/>
        <v>0.59401732473406321</v>
      </c>
      <c r="H129" s="11">
        <f t="shared" si="25"/>
        <v>0.6876276383971005</v>
      </c>
      <c r="I129" s="11">
        <f t="shared" si="25"/>
        <v>0.77573601417480209</v>
      </c>
      <c r="J129" s="11">
        <f t="shared" si="25"/>
        <v>0.8486417740943164</v>
      </c>
      <c r="K129" s="11">
        <f t="shared" si="25"/>
        <v>0.90235180450432595</v>
      </c>
    </row>
    <row r="130" spans="1:11" ht="13">
      <c r="A130" s="3">
        <f t="shared" si="24"/>
        <v>10</v>
      </c>
      <c r="B130" s="11">
        <f t="shared" si="25"/>
        <v>0.28046517765893919</v>
      </c>
      <c r="C130" s="11">
        <f t="shared" si="25"/>
        <v>0.32265505220566842</v>
      </c>
      <c r="D130" s="11">
        <f t="shared" si="25"/>
        <v>0.37692632267197695</v>
      </c>
      <c r="E130" s="11">
        <f t="shared" si="25"/>
        <v>0.44668935091115702</v>
      </c>
      <c r="F130" s="11">
        <f t="shared" si="25"/>
        <v>0.53401312761196562</v>
      </c>
      <c r="G130" s="11">
        <f t="shared" si="25"/>
        <v>0.63594435584042797</v>
      </c>
      <c r="H130" s="11">
        <f t="shared" si="25"/>
        <v>0.74103978676356319</v>
      </c>
      <c r="I130" s="11">
        <f t="shared" si="25"/>
        <v>0.83274772815111697</v>
      </c>
      <c r="J130" s="11">
        <f t="shared" si="25"/>
        <v>0.90007076714952727</v>
      </c>
      <c r="K130" s="11">
        <f t="shared" si="25"/>
        <v>0.94304719596629649</v>
      </c>
    </row>
    <row r="131" spans="1:11" ht="13">
      <c r="A131" s="3">
        <f t="shared" si="24"/>
        <v>11</v>
      </c>
      <c r="B131" s="11">
        <f t="shared" si="25"/>
        <v>0.28254150490404534</v>
      </c>
      <c r="C131" s="11">
        <f t="shared" si="25"/>
        <v>0.32647458793900552</v>
      </c>
      <c r="D131" s="11">
        <f t="shared" si="25"/>
        <v>0.38406147801254542</v>
      </c>
      <c r="E131" s="11">
        <f t="shared" si="25"/>
        <v>0.45990305665567899</v>
      </c>
      <c r="F131" s="11">
        <f t="shared" si="25"/>
        <v>0.55714798906396812</v>
      </c>
      <c r="G131" s="11">
        <f t="shared" si="25"/>
        <v>0.67154610733786069</v>
      </c>
      <c r="H131" s="11">
        <f t="shared" si="25"/>
        <v>0.78565537014692732</v>
      </c>
      <c r="I131" s="11">
        <f t="shared" si="25"/>
        <v>0.87674682760740508</v>
      </c>
      <c r="J131" s="11">
        <f t="shared" si="25"/>
        <v>0.93527018995195943</v>
      </c>
      <c r="K131" s="11">
        <f t="shared" si="25"/>
        <v>0.96745630032420826</v>
      </c>
    </row>
    <row r="132" spans="1:11" ht="13">
      <c r="A132" s="3">
        <f t="shared" si="24"/>
        <v>12</v>
      </c>
      <c r="B132" s="11">
        <f t="shared" si="25"/>
        <v>0.28380212360841167</v>
      </c>
      <c r="C132" s="11">
        <f t="shared" si="25"/>
        <v>0.32894267970300606</v>
      </c>
      <c r="D132" s="11">
        <f t="shared" si="25"/>
        <v>0.38902417501304659</v>
      </c>
      <c r="E132" s="11">
        <f t="shared" si="25"/>
        <v>0.46987886478885599</v>
      </c>
      <c r="F132" s="11">
        <f t="shared" si="25"/>
        <v>0.5760121666616389</v>
      </c>
      <c r="G132" s="11">
        <f t="shared" si="25"/>
        <v>0.70183211697503289</v>
      </c>
      <c r="H132" s="11">
        <f t="shared" si="25"/>
        <v>0.82266591752168305</v>
      </c>
      <c r="I132" s="11">
        <f t="shared" si="25"/>
        <v>0.90996091662662026</v>
      </c>
      <c r="J132" s="11">
        <f t="shared" si="25"/>
        <v>0.95860333850475898</v>
      </c>
      <c r="K132" s="11">
        <f t="shared" si="25"/>
        <v>0.98162839567341098</v>
      </c>
    </row>
    <row r="133" spans="1:11" ht="13">
      <c r="A133" s="3">
        <f t="shared" si="24"/>
        <v>13</v>
      </c>
      <c r="B133" s="11">
        <f t="shared" si="25"/>
        <v>0.28456390886092431</v>
      </c>
      <c r="C133" s="11">
        <f t="shared" si="25"/>
        <v>0.33052867736362179</v>
      </c>
      <c r="D133" s="11">
        <f t="shared" si="25"/>
        <v>0.39245732711013193</v>
      </c>
      <c r="E133" s="11">
        <f t="shared" si="25"/>
        <v>0.47738863368821011</v>
      </c>
      <c r="F133" s="11">
        <f t="shared" si="25"/>
        <v>0.59142745211727787</v>
      </c>
      <c r="G133" s="11">
        <f t="shared" si="25"/>
        <v>0.72771069893565954</v>
      </c>
      <c r="H133" s="11">
        <f t="shared" si="25"/>
        <v>0.85326102364533984</v>
      </c>
      <c r="I133" s="11">
        <f t="shared" si="25"/>
        <v>0.93463982503283871</v>
      </c>
      <c r="J133" s="11">
        <f t="shared" si="25"/>
        <v>0.97374601070934297</v>
      </c>
      <c r="K133" s="11">
        <f t="shared" si="25"/>
        <v>0.98970114558721334</v>
      </c>
    </row>
    <row r="134" spans="1:11" ht="13">
      <c r="A134" s="3">
        <f t="shared" si="24"/>
        <v>14</v>
      </c>
      <c r="B134" s="11">
        <f t="shared" si="25"/>
        <v>0.28502294618087298</v>
      </c>
      <c r="C134" s="11">
        <f t="shared" si="25"/>
        <v>0.33154423863551202</v>
      </c>
      <c r="D134" s="11">
        <f t="shared" si="25"/>
        <v>0.39482386478179277</v>
      </c>
      <c r="E134" s="11">
        <f t="shared" si="25"/>
        <v>0.48303280038006513</v>
      </c>
      <c r="F134" s="11">
        <f t="shared" si="25"/>
        <v>0.60406373864630458</v>
      </c>
      <c r="G134" s="11">
        <f t="shared" si="25"/>
        <v>0.74995170573489467</v>
      </c>
      <c r="H134" s="11">
        <f t="shared" si="25"/>
        <v>0.87851689072239458</v>
      </c>
      <c r="I134" s="11">
        <f t="shared" si="25"/>
        <v>0.95277076957887319</v>
      </c>
      <c r="J134" s="11">
        <f t="shared" si="25"/>
        <v>0.98343890547018498</v>
      </c>
      <c r="K134" s="11">
        <f t="shared" si="25"/>
        <v>0.99424947668845232</v>
      </c>
    </row>
    <row r="135" spans="1:11" ht="13">
      <c r="A135" s="3">
        <f t="shared" si="24"/>
        <v>15</v>
      </c>
      <c r="B135" s="11">
        <f t="shared" si="25"/>
        <v>0.28529908012698629</v>
      </c>
      <c r="C135" s="11">
        <f t="shared" si="25"/>
        <v>0.33219306662962556</v>
      </c>
      <c r="D135" s="11">
        <f t="shared" si="25"/>
        <v>0.39645125806861226</v>
      </c>
      <c r="E135" s="11">
        <f t="shared" si="25"/>
        <v>0.48727093576740776</v>
      </c>
      <c r="F135" s="11">
        <f t="shared" si="25"/>
        <v>0.61445771668250948</v>
      </c>
      <c r="G135" s="11">
        <f t="shared" si="25"/>
        <v>0.76918885736883713</v>
      </c>
      <c r="H135" s="11">
        <f t="shared" si="25"/>
        <v>0.89936058604967528</v>
      </c>
      <c r="I135" s="11">
        <f t="shared" si="25"/>
        <v>0.96598412484045182</v>
      </c>
      <c r="J135" s="11">
        <f t="shared" si="25"/>
        <v>0.98958892622967942</v>
      </c>
      <c r="K135" s="11">
        <f t="shared" si="25"/>
        <v>0.99679626077198602</v>
      </c>
    </row>
    <row r="136" spans="1:11" ht="13">
      <c r="A136" s="3">
        <f t="shared" si="24"/>
        <v>16</v>
      </c>
      <c r="B136" s="11">
        <f t="shared" si="25"/>
        <v>0.28546501746530845</v>
      </c>
      <c r="C136" s="11">
        <f t="shared" si="25"/>
        <v>0.33260699831752899</v>
      </c>
      <c r="D136" s="11">
        <f t="shared" si="25"/>
        <v>0.39756855902802485</v>
      </c>
      <c r="E136" s="11">
        <f t="shared" si="25"/>
        <v>0.49045165471598978</v>
      </c>
      <c r="F136" s="11">
        <f t="shared" si="25"/>
        <v>0.62303655443125594</v>
      </c>
      <c r="G136" s="11">
        <f t="shared" si="25"/>
        <v>0.7859367879018978</v>
      </c>
      <c r="H136" s="11">
        <f t="shared" si="25"/>
        <v>0.91657031398746569</v>
      </c>
      <c r="I136" s="11">
        <f t="shared" si="25"/>
        <v>0.97555845449799838</v>
      </c>
      <c r="J136" s="11">
        <f t="shared" si="25"/>
        <v>0.99346927106586869</v>
      </c>
      <c r="K136" s="11">
        <f t="shared" si="25"/>
        <v>0.99821735325127114</v>
      </c>
    </row>
    <row r="137" spans="1:11" ht="13">
      <c r="A137" s="3">
        <f t="shared" si="24"/>
        <v>17</v>
      </c>
      <c r="B137" s="11">
        <f t="shared" si="25"/>
        <v>0.2855646725535646</v>
      </c>
      <c r="C137" s="11">
        <f t="shared" si="25"/>
        <v>0.33287083198079404</v>
      </c>
      <c r="D137" s="11">
        <f t="shared" si="25"/>
        <v>0.3983348137751444</v>
      </c>
      <c r="E137" s="11">
        <f t="shared" si="25"/>
        <v>0.49283808807905349</v>
      </c>
      <c r="F137" s="11">
        <f t="shared" si="25"/>
        <v>0.63014003135428187</v>
      </c>
      <c r="G137" s="11">
        <f t="shared" si="25"/>
        <v>0.80061137269629812</v>
      </c>
      <c r="H137" s="11">
        <f t="shared" si="25"/>
        <v>0.93079043265828287</v>
      </c>
      <c r="I137" s="11">
        <f t="shared" si="25"/>
        <v>0.98246756739803409</v>
      </c>
      <c r="J137" s="11">
        <f t="shared" si="25"/>
        <v>0.995908940632107</v>
      </c>
      <c r="K137" s="11">
        <f t="shared" si="25"/>
        <v>0.99900877691224166</v>
      </c>
    </row>
    <row r="138" spans="1:11" ht="13">
      <c r="A138" s="3">
        <f t="shared" si="24"/>
        <v>18</v>
      </c>
      <c r="B138" s="11">
        <f t="shared" si="25"/>
        <v>0.28562449901127174</v>
      </c>
      <c r="C138" s="11">
        <f t="shared" si="25"/>
        <v>0.33303889751092802</v>
      </c>
      <c r="D138" s="11">
        <f t="shared" si="25"/>
        <v>0.39885992820105248</v>
      </c>
      <c r="E138" s="11">
        <f t="shared" si="25"/>
        <v>0.49462829052829088</v>
      </c>
      <c r="F138" s="11">
        <f t="shared" si="25"/>
        <v>0.63603911502552002</v>
      </c>
      <c r="G138" s="11">
        <f t="shared" si="25"/>
        <v>0.81354869237525906</v>
      </c>
      <c r="H138" s="11">
        <f t="shared" si="25"/>
        <v>0.9425508074358856</v>
      </c>
      <c r="I138" s="11">
        <f t="shared" si="25"/>
        <v>0.98743881382514442</v>
      </c>
      <c r="J138" s="11">
        <f t="shared" si="25"/>
        <v>0.99743942083268955</v>
      </c>
      <c r="K138" s="11">
        <f t="shared" si="25"/>
        <v>0.9994490535337115</v>
      </c>
    </row>
    <row r="139" spans="1:11" ht="13">
      <c r="A139" s="3">
        <f t="shared" ref="A139:A150" si="26">A138+1</f>
        <v>19</v>
      </c>
      <c r="B139" s="11">
        <f t="shared" ref="B139:K150" si="27">B138*(1-B138*B$15)/(1-B$15*B138*B138-$B$119*(1-B138)^2)</f>
        <v>0.28566040691983835</v>
      </c>
      <c r="C139" s="11">
        <f t="shared" si="27"/>
        <v>0.33314591776933211</v>
      </c>
      <c r="D139" s="11">
        <f t="shared" si="27"/>
        <v>0.39921960749668428</v>
      </c>
      <c r="E139" s="11">
        <f t="shared" si="27"/>
        <v>0.49597110164129787</v>
      </c>
      <c r="F139" s="11">
        <f t="shared" si="27"/>
        <v>0.64095081810152921</v>
      </c>
      <c r="G139" s="11">
        <f t="shared" si="27"/>
        <v>0.82502113602304494</v>
      </c>
      <c r="H139" s="11">
        <f t="shared" si="27"/>
        <v>0.95228585027278356</v>
      </c>
      <c r="I139" s="11">
        <f t="shared" si="27"/>
        <v>0.99100826406363329</v>
      </c>
      <c r="J139" s="11">
        <f t="shared" si="27"/>
        <v>0.99839820232732213</v>
      </c>
      <c r="K139" s="11">
        <f t="shared" si="27"/>
        <v>0.99969383616659824</v>
      </c>
    </row>
    <row r="140" spans="1:11" ht="13">
      <c r="A140" s="3">
        <f t="shared" si="26"/>
        <v>20</v>
      </c>
      <c r="B140" s="11">
        <f t="shared" si="27"/>
        <v>0.28568195599897683</v>
      </c>
      <c r="C140" s="11">
        <f t="shared" si="27"/>
        <v>0.33321404971778912</v>
      </c>
      <c r="D140" s="11">
        <f t="shared" si="27"/>
        <v>0.39946588654013448</v>
      </c>
      <c r="E140" s="11">
        <f t="shared" si="27"/>
        <v>0.4969782771823022</v>
      </c>
      <c r="F140" s="11">
        <f t="shared" si="27"/>
        <v>0.64504981454513022</v>
      </c>
      <c r="G140" s="11">
        <f t="shared" si="27"/>
        <v>0.83525048304734384</v>
      </c>
      <c r="H140" s="11">
        <f t="shared" si="27"/>
        <v>0.96035144531567929</v>
      </c>
      <c r="I140" s="11">
        <f t="shared" si="27"/>
        <v>0.9935673801819046</v>
      </c>
      <c r="J140" s="11">
        <f t="shared" si="27"/>
        <v>0.99899831484206603</v>
      </c>
      <c r="K140" s="11">
        <f t="shared" si="27"/>
        <v>0.9998298835188173</v>
      </c>
    </row>
    <row r="141" spans="1:11" ht="13">
      <c r="A141" s="3">
        <f t="shared" si="26"/>
        <v>21</v>
      </c>
      <c r="B141" s="11">
        <f t="shared" si="27"/>
        <v>0.28569488700708384</v>
      </c>
      <c r="C141" s="11">
        <f t="shared" si="27"/>
        <v>0.33325741781517537</v>
      </c>
      <c r="D141" s="11">
        <f t="shared" si="27"/>
        <v>0.39963447873836511</v>
      </c>
      <c r="E141" s="11">
        <f t="shared" si="27"/>
        <v>0.49773368719345773</v>
      </c>
      <c r="F141" s="11">
        <f t="shared" si="27"/>
        <v>0.64847743551409842</v>
      </c>
      <c r="G141" s="11">
        <f t="shared" si="27"/>
        <v>0.84441829987923767</v>
      </c>
      <c r="H141" s="11">
        <f t="shared" si="27"/>
        <v>0.9670392898029504</v>
      </c>
      <c r="I141" s="11">
        <f t="shared" si="27"/>
        <v>0.99540018609838854</v>
      </c>
      <c r="J141" s="11">
        <f t="shared" si="27"/>
        <v>0.99937372720200346</v>
      </c>
      <c r="K141" s="11">
        <f t="shared" si="27"/>
        <v>0.9999054829830637</v>
      </c>
    </row>
    <row r="142" spans="1:11" ht="13">
      <c r="A142" s="3">
        <f t="shared" si="26"/>
        <v>22</v>
      </c>
      <c r="B142" s="11">
        <f t="shared" si="27"/>
        <v>0.28570264617385571</v>
      </c>
      <c r="C142" s="11">
        <f t="shared" si="27"/>
        <v>0.33328502031414126</v>
      </c>
      <c r="D142" s="11">
        <f t="shared" si="27"/>
        <v>0.39974987130180617</v>
      </c>
      <c r="E142" s="11">
        <f t="shared" si="27"/>
        <v>0.49830025666491617</v>
      </c>
      <c r="F142" s="11">
        <f t="shared" si="27"/>
        <v>0.65134861975797054</v>
      </c>
      <c r="G142" s="11">
        <f t="shared" si="27"/>
        <v>0.852674117638206</v>
      </c>
      <c r="H142" s="11">
        <f t="shared" si="27"/>
        <v>0.97258874957873709</v>
      </c>
      <c r="I142" s="11">
        <f t="shared" si="27"/>
        <v>0.99671182100313716</v>
      </c>
      <c r="J142" s="11">
        <f t="shared" si="27"/>
        <v>0.99960849368253324</v>
      </c>
      <c r="K142" s="11">
        <f t="shared" si="27"/>
        <v>0.99994748811967338</v>
      </c>
    </row>
    <row r="143" spans="1:11" ht="13">
      <c r="A143" s="3">
        <f t="shared" si="26"/>
        <v>23</v>
      </c>
      <c r="B143" s="11">
        <f t="shared" si="27"/>
        <v>0.28570730187622362</v>
      </c>
      <c r="C143" s="11">
        <f t="shared" si="27"/>
        <v>0.33330258741146757</v>
      </c>
      <c r="D143" s="11">
        <f t="shared" si="27"/>
        <v>0.39982884283336539</v>
      </c>
      <c r="E143" s="11">
        <f t="shared" si="27"/>
        <v>0.49872518881559519</v>
      </c>
      <c r="F143" s="11">
        <f t="shared" si="27"/>
        <v>0.65375729358146417</v>
      </c>
      <c r="G143" s="11">
        <f t="shared" si="27"/>
        <v>0.86014184005992489</v>
      </c>
      <c r="H143" s="11">
        <f t="shared" si="27"/>
        <v>0.97719653739260959</v>
      </c>
      <c r="I143" s="11">
        <f t="shared" si="27"/>
        <v>0.99764997429102908</v>
      </c>
      <c r="J143" s="11">
        <f t="shared" si="27"/>
        <v>0.99975527501703865</v>
      </c>
      <c r="K143" s="11">
        <f t="shared" si="27"/>
        <v>0.99997082598418474</v>
      </c>
    </row>
    <row r="144" spans="1:11" ht="13">
      <c r="A144" s="3">
        <f t="shared" si="26"/>
        <v>24</v>
      </c>
      <c r="B144" s="11">
        <f t="shared" si="27"/>
        <v>0.28571009537047792</v>
      </c>
      <c r="C144" s="11">
        <f t="shared" si="27"/>
        <v>0.33331376723103667</v>
      </c>
      <c r="D144" s="11">
        <f t="shared" si="27"/>
        <v>0.39988288475126837</v>
      </c>
      <c r="E144" s="11">
        <f t="shared" si="27"/>
        <v>0.49904389005788047</v>
      </c>
      <c r="F144" s="11">
        <f t="shared" si="27"/>
        <v>0.65578055313422656</v>
      </c>
      <c r="G144" s="11">
        <f t="shared" si="27"/>
        <v>0.86692476515326078</v>
      </c>
      <c r="H144" s="11">
        <f t="shared" si="27"/>
        <v>0.98102456740941923</v>
      </c>
      <c r="I144" s="11">
        <f t="shared" si="27"/>
        <v>0.99832073305926838</v>
      </c>
      <c r="J144" s="11">
        <f t="shared" si="27"/>
        <v>0.99984703378338269</v>
      </c>
      <c r="K144" s="11">
        <f t="shared" si="27"/>
        <v>0.99998379198226384</v>
      </c>
    </row>
    <row r="145" spans="1:11" ht="13">
      <c r="A145" s="3">
        <f t="shared" si="26"/>
        <v>25</v>
      </c>
      <c r="B145" s="11">
        <f t="shared" si="27"/>
        <v>0.28571177149325144</v>
      </c>
      <c r="C145" s="11">
        <f t="shared" si="27"/>
        <v>0.33332088196850096</v>
      </c>
      <c r="D145" s="11">
        <f t="shared" si="27"/>
        <v>0.39991986490311071</v>
      </c>
      <c r="E145" s="11">
        <f t="shared" si="27"/>
        <v>0.4992829168878915</v>
      </c>
      <c r="F145" s="11">
        <f t="shared" si="27"/>
        <v>0.65748193415990919</v>
      </c>
      <c r="G145" s="11">
        <f t="shared" si="27"/>
        <v>0.87310953015267112</v>
      </c>
      <c r="H145" s="11">
        <f t="shared" si="27"/>
        <v>0.98420631673365389</v>
      </c>
      <c r="I145" s="11">
        <f t="shared" si="27"/>
        <v>0.99880017798363852</v>
      </c>
      <c r="J145" s="11">
        <f t="shared" si="27"/>
        <v>0.99990439099584882</v>
      </c>
      <c r="K145" s="11">
        <f t="shared" si="27"/>
        <v>0.99999099547435111</v>
      </c>
    </row>
    <row r="146" spans="1:11" ht="13">
      <c r="A146" s="3">
        <f t="shared" si="26"/>
        <v>26</v>
      </c>
      <c r="B146" s="11">
        <f t="shared" si="27"/>
        <v>0.28571277717635524</v>
      </c>
      <c r="C146" s="11">
        <f t="shared" si="27"/>
        <v>0.33332540965296353</v>
      </c>
      <c r="D146" s="11">
        <f t="shared" si="27"/>
        <v>0.39994516903281413</v>
      </c>
      <c r="E146" s="11">
        <f t="shared" si="27"/>
        <v>0.49946218738937098</v>
      </c>
      <c r="F146" s="11">
        <f t="shared" si="27"/>
        <v>0.658913984686753</v>
      </c>
      <c r="G146" s="11">
        <f t="shared" si="27"/>
        <v>0.87876922271142666</v>
      </c>
      <c r="H146" s="11">
        <f t="shared" si="27"/>
        <v>0.98685197892023868</v>
      </c>
      <c r="I146" s="11">
        <f t="shared" si="27"/>
        <v>0.99914280787885978</v>
      </c>
      <c r="J146" s="11">
        <f t="shared" si="27"/>
        <v>0.99994024237271883</v>
      </c>
      <c r="K146" s="11">
        <f t="shared" si="27"/>
        <v>0.99999499746372844</v>
      </c>
    </row>
    <row r="147" spans="1:11" ht="13">
      <c r="A147" s="3">
        <f t="shared" si="26"/>
        <v>27</v>
      </c>
      <c r="B147" s="11">
        <f t="shared" si="27"/>
        <v>0.28571338058961587</v>
      </c>
      <c r="C147" s="11">
        <f t="shared" si="27"/>
        <v>0.33332829095703304</v>
      </c>
      <c r="D147" s="11">
        <f t="shared" si="27"/>
        <v>0.39996248328376788</v>
      </c>
      <c r="E147" s="11">
        <f t="shared" si="27"/>
        <v>0.49959664042535951</v>
      </c>
      <c r="F147" s="11">
        <f t="shared" si="27"/>
        <v>0.66012030276559763</v>
      </c>
      <c r="G147" s="11">
        <f t="shared" si="27"/>
        <v>0.88396584625131669</v>
      </c>
      <c r="H147" s="11">
        <f t="shared" si="27"/>
        <v>0.98905264515651192</v>
      </c>
      <c r="I147" s="11">
        <f t="shared" si="27"/>
        <v>0.99938762989652197</v>
      </c>
      <c r="J147" s="11">
        <f t="shared" si="27"/>
        <v>0.99996265070178036</v>
      </c>
      <c r="K147" s="11">
        <f t="shared" si="27"/>
        <v>0.99999722080638553</v>
      </c>
    </row>
    <row r="148" spans="1:11" ht="13">
      <c r="A148" s="3">
        <f t="shared" si="26"/>
        <v>28</v>
      </c>
      <c r="B148" s="11">
        <f t="shared" si="27"/>
        <v>0.28571374263879562</v>
      </c>
      <c r="C148" s="11">
        <f t="shared" si="27"/>
        <v>0.33333012453454636</v>
      </c>
      <c r="D148" s="11">
        <f t="shared" si="27"/>
        <v>0.39997433029739787</v>
      </c>
      <c r="E148" s="11">
        <f t="shared" si="27"/>
        <v>0.49969748026979993</v>
      </c>
      <c r="F148" s="11">
        <f t="shared" si="27"/>
        <v>0.66113716120763311</v>
      </c>
      <c r="G148" s="11">
        <f t="shared" si="27"/>
        <v>0.88875228383030402</v>
      </c>
      <c r="H148" s="11">
        <f t="shared" si="27"/>
        <v>0.99088370395746217</v>
      </c>
      <c r="I148" s="11">
        <f t="shared" si="27"/>
        <v>0.99956254684913881</v>
      </c>
      <c r="J148" s="11">
        <f t="shared" si="27"/>
        <v>0.99997665638345867</v>
      </c>
      <c r="K148" s="11">
        <f t="shared" si="27"/>
        <v>0.99999845600144965</v>
      </c>
    </row>
    <row r="149" spans="1:11" ht="13">
      <c r="A149" s="3">
        <f t="shared" si="26"/>
        <v>29</v>
      </c>
      <c r="B149" s="11">
        <f t="shared" si="27"/>
        <v>0.28571395986874387</v>
      </c>
      <c r="C149" s="11">
        <f t="shared" si="27"/>
        <v>0.33333129136485273</v>
      </c>
      <c r="D149" s="11">
        <f t="shared" si="27"/>
        <v>0.39998243634585334</v>
      </c>
      <c r="E149" s="11">
        <f t="shared" si="27"/>
        <v>0.49977311018158532</v>
      </c>
      <c r="F149" s="11">
        <f t="shared" si="27"/>
        <v>0.6619948113317895</v>
      </c>
      <c r="G149" s="11">
        <f t="shared" si="27"/>
        <v>0.89317387118086</v>
      </c>
      <c r="H149" s="11">
        <f t="shared" si="27"/>
        <v>0.99240761226774188</v>
      </c>
      <c r="I149" s="11">
        <f t="shared" si="27"/>
        <v>0.99968751002533085</v>
      </c>
      <c r="J149" s="11">
        <f t="shared" si="27"/>
        <v>0.99998541012045861</v>
      </c>
      <c r="K149" s="11">
        <f t="shared" si="27"/>
        <v>0.99999914222238018</v>
      </c>
    </row>
    <row r="150" spans="1:11" ht="13">
      <c r="A150" s="3">
        <f t="shared" si="26"/>
        <v>30</v>
      </c>
      <c r="B150" s="11">
        <f t="shared" si="27"/>
        <v>0.28571409020687139</v>
      </c>
      <c r="C150" s="11">
        <f t="shared" si="27"/>
        <v>0.33333203389657129</v>
      </c>
      <c r="D150" s="11">
        <f t="shared" si="27"/>
        <v>0.399987982681768</v>
      </c>
      <c r="E150" s="11">
        <f t="shared" si="27"/>
        <v>0.49982983262742892</v>
      </c>
      <c r="F150" s="11">
        <f t="shared" si="27"/>
        <v>0.66271853547110549</v>
      </c>
      <c r="G150" s="11">
        <f t="shared" si="27"/>
        <v>0.89726966378417605</v>
      </c>
      <c r="H150" s="11">
        <f t="shared" si="27"/>
        <v>0.99367615990267522</v>
      </c>
      <c r="I150" s="11">
        <f t="shared" si="27"/>
        <v>0.9997767809159599</v>
      </c>
      <c r="J150" s="11">
        <f t="shared" si="27"/>
        <v>0.99999088127872238</v>
      </c>
      <c r="K150" s="11">
        <f t="shared" si="27"/>
        <v>0.99999952345667797</v>
      </c>
    </row>
    <row r="152" spans="1:11">
      <c r="E152" s="1" t="s">
        <v>11</v>
      </c>
    </row>
    <row r="153" spans="1:11">
      <c r="E153" s="6" t="s">
        <v>12</v>
      </c>
    </row>
    <row r="154" spans="1:11">
      <c r="A154" t="s">
        <v>13</v>
      </c>
      <c r="B154">
        <f>B119+I$11</f>
        <v>0.20000000000000007</v>
      </c>
      <c r="E154" s="7" t="s">
        <v>14</v>
      </c>
    </row>
    <row r="155" spans="1:11" ht="13">
      <c r="A155" t="s">
        <v>15</v>
      </c>
      <c r="B155" s="5">
        <v>1</v>
      </c>
      <c r="C155" s="4">
        <f t="shared" ref="C155:K155" si="28">B155+$D$11</f>
        <v>0.8</v>
      </c>
      <c r="D155" s="4">
        <f t="shared" si="28"/>
        <v>0.60000000000000009</v>
      </c>
      <c r="E155" s="4">
        <f t="shared" si="28"/>
        <v>0.40000000000000008</v>
      </c>
      <c r="F155" s="4">
        <f t="shared" si="28"/>
        <v>0.20000000000000007</v>
      </c>
      <c r="G155" s="4">
        <f t="shared" si="28"/>
        <v>5.5511151231257827E-17</v>
      </c>
      <c r="H155" s="4">
        <f t="shared" si="28"/>
        <v>-0.19999999999999996</v>
      </c>
      <c r="I155" s="4">
        <f t="shared" si="28"/>
        <v>-0.39999999999999997</v>
      </c>
      <c r="J155" s="4">
        <f t="shared" si="28"/>
        <v>-0.6</v>
      </c>
      <c r="K155" s="4">
        <f t="shared" si="28"/>
        <v>-0.8</v>
      </c>
    </row>
    <row r="156" spans="1:11" ht="13">
      <c r="A156" s="3">
        <v>1</v>
      </c>
      <c r="B156" s="9">
        <f t="shared" ref="B156:K156" si="29">$D$10</f>
        <v>0.1</v>
      </c>
      <c r="C156" s="11">
        <f t="shared" si="29"/>
        <v>0.1</v>
      </c>
      <c r="D156" s="11">
        <f t="shared" si="29"/>
        <v>0.1</v>
      </c>
      <c r="E156" s="11">
        <f t="shared" si="29"/>
        <v>0.1</v>
      </c>
      <c r="F156" s="11">
        <f t="shared" si="29"/>
        <v>0.1</v>
      </c>
      <c r="G156" s="11">
        <f t="shared" si="29"/>
        <v>0.1</v>
      </c>
      <c r="H156" s="11">
        <f t="shared" si="29"/>
        <v>0.1</v>
      </c>
      <c r="I156" s="11">
        <f t="shared" si="29"/>
        <v>0.1</v>
      </c>
      <c r="J156" s="11">
        <f t="shared" si="29"/>
        <v>0.1</v>
      </c>
      <c r="K156" s="11">
        <f t="shared" si="29"/>
        <v>0.1</v>
      </c>
    </row>
    <row r="157" spans="1:11" ht="13">
      <c r="A157" s="3">
        <f>A156+1</f>
        <v>2</v>
      </c>
      <c r="B157" s="10">
        <f>B156*(1-B156*B$15)/(1-B$15*B156*B156-$B$154*(1-B156)^2)</f>
        <v>0.10869565217391307</v>
      </c>
      <c r="C157" s="11">
        <f t="shared" ref="C157:K157" si="30">C156*(1-C156*C$15)/(1-C$15*C156*C156-$B$154*(1-C156)^2)</f>
        <v>0.11084337349397591</v>
      </c>
      <c r="D157" s="11">
        <f t="shared" si="30"/>
        <v>0.11298076923076923</v>
      </c>
      <c r="E157" s="11">
        <f t="shared" si="30"/>
        <v>0.11510791366906475</v>
      </c>
      <c r="F157" s="11">
        <f t="shared" si="30"/>
        <v>0.11722488038277513</v>
      </c>
      <c r="G157" s="11">
        <f t="shared" si="30"/>
        <v>0.11933174224343676</v>
      </c>
      <c r="H157" s="11">
        <f t="shared" si="30"/>
        <v>0.12142857142857144</v>
      </c>
      <c r="I157" s="11">
        <f t="shared" si="30"/>
        <v>0.12351543942992875</v>
      </c>
      <c r="J157" s="11">
        <f t="shared" si="30"/>
        <v>0.12559241706161139</v>
      </c>
      <c r="K157" s="11">
        <f t="shared" si="30"/>
        <v>0.12765957446808512</v>
      </c>
    </row>
    <row r="158" spans="1:11" ht="13">
      <c r="A158" s="3">
        <f t="shared" ref="A158:A173" si="31">A157+1</f>
        <v>3</v>
      </c>
      <c r="B158" s="11">
        <f t="shared" ref="B158:K173" si="32">B157*(1-B157*B$15)/(1-B$15*B157*B157-$B$154*(1-B157)^2)</f>
        <v>0.1168224299065421</v>
      </c>
      <c r="C158" s="11">
        <f t="shared" si="32"/>
        <v>0.12140404745289603</v>
      </c>
      <c r="D158" s="11">
        <f t="shared" si="32"/>
        <v>0.12613703681148025</v>
      </c>
      <c r="E158" s="11">
        <f t="shared" si="32"/>
        <v>0.13102119460500966</v>
      </c>
      <c r="F158" s="11">
        <f t="shared" si="32"/>
        <v>0.13605593028033164</v>
      </c>
      <c r="G158" s="11">
        <f t="shared" si="32"/>
        <v>0.14124027161279537</v>
      </c>
      <c r="H158" s="11">
        <f t="shared" si="32"/>
        <v>0.1465728715728716</v>
      </c>
      <c r="I158" s="11">
        <f t="shared" si="32"/>
        <v>0.15205201654109066</v>
      </c>
      <c r="J158" s="11">
        <f t="shared" si="32"/>
        <v>0.15767563584489555</v>
      </c>
      <c r="K158" s="11">
        <f t="shared" si="32"/>
        <v>0.163441312578881</v>
      </c>
    </row>
    <row r="159" spans="1:11" ht="13">
      <c r="A159" s="3">
        <f t="shared" si="31"/>
        <v>4</v>
      </c>
      <c r="B159" s="11">
        <f t="shared" si="32"/>
        <v>0.12425447316103383</v>
      </c>
      <c r="C159" s="11">
        <f t="shared" si="32"/>
        <v>0.13145827810344607</v>
      </c>
      <c r="D159" s="11">
        <f t="shared" si="32"/>
        <v>0.1391751642597267</v>
      </c>
      <c r="E159" s="11">
        <f t="shared" si="32"/>
        <v>0.14743298100085001</v>
      </c>
      <c r="F159" s="11">
        <f t="shared" si="32"/>
        <v>0.15625843242547835</v>
      </c>
      <c r="G159" s="11">
        <f t="shared" si="32"/>
        <v>0.16567650471100789</v>
      </c>
      <c r="H159" s="11">
        <f t="shared" si="32"/>
        <v>0.17570984300960107</v>
      </c>
      <c r="I159" s="11">
        <f t="shared" si="32"/>
        <v>0.18637808959073746</v>
      </c>
      <c r="J159" s="11">
        <f t="shared" si="32"/>
        <v>0.19769719871018024</v>
      </c>
      <c r="K159" s="11">
        <f t="shared" si="32"/>
        <v>0.20967874739609718</v>
      </c>
    </row>
    <row r="160" spans="1:11" ht="13">
      <c r="A160" s="3">
        <f t="shared" si="31"/>
        <v>5</v>
      </c>
      <c r="B160" s="11">
        <f t="shared" si="32"/>
        <v>0.13091746962714709</v>
      </c>
      <c r="C160" s="11">
        <f t="shared" si="32"/>
        <v>0.1408272103273018</v>
      </c>
      <c r="D160" s="11">
        <f t="shared" si="32"/>
        <v>0.15181770114327586</v>
      </c>
      <c r="E160" s="11">
        <f t="shared" si="32"/>
        <v>0.16400668364785942</v>
      </c>
      <c r="F160" s="11">
        <f t="shared" si="32"/>
        <v>0.17751680438938228</v>
      </c>
      <c r="G160" s="11">
        <f t="shared" si="32"/>
        <v>0.19247233786134543</v>
      </c>
      <c r="H160" s="11">
        <f t="shared" si="32"/>
        <v>0.20899458788137013</v>
      </c>
      <c r="I160" s="11">
        <f t="shared" si="32"/>
        <v>0.22719583196084997</v>
      </c>
      <c r="J160" s="11">
        <f t="shared" si="32"/>
        <v>0.24717179560628244</v>
      </c>
      <c r="K160" s="11">
        <f t="shared" si="32"/>
        <v>0.26899283304894583</v>
      </c>
    </row>
    <row r="161" spans="1:11" ht="13">
      <c r="A161" s="3">
        <f t="shared" si="31"/>
        <v>6</v>
      </c>
      <c r="B161" s="11">
        <f t="shared" si="32"/>
        <v>0.13678543289853806</v>
      </c>
      <c r="C161" s="11">
        <f t="shared" si="32"/>
        <v>0.14938622806590277</v>
      </c>
      <c r="D161" s="11">
        <f t="shared" si="32"/>
        <v>0.16382579540447961</v>
      </c>
      <c r="E161" s="11">
        <f t="shared" si="32"/>
        <v>0.18040487928512139</v>
      </c>
      <c r="F161" s="11">
        <f t="shared" si="32"/>
        <v>0.19945712387437436</v>
      </c>
      <c r="G161" s="11">
        <f t="shared" si="32"/>
        <v>0.22133947286554562</v>
      </c>
      <c r="H161" s="11">
        <f t="shared" si="32"/>
        <v>0.24641338714520619</v>
      </c>
      <c r="I161" s="11">
        <f t="shared" si="32"/>
        <v>0.27501385021012925</v>
      </c>
      <c r="J161" s="11">
        <f t="shared" si="32"/>
        <v>0.30740409834267679</v>
      </c>
      <c r="K161" s="11">
        <f t="shared" si="32"/>
        <v>0.34371674371405386</v>
      </c>
    </row>
    <row r="162" spans="1:11" ht="13">
      <c r="A162" s="3">
        <f t="shared" si="31"/>
        <v>7</v>
      </c>
      <c r="B162" s="11">
        <f t="shared" si="32"/>
        <v>0.14187262788966173</v>
      </c>
      <c r="C162" s="11">
        <f t="shared" si="32"/>
        <v>0.15706618675625397</v>
      </c>
      <c r="D162" s="11">
        <f t="shared" si="32"/>
        <v>0.17501433519797324</v>
      </c>
      <c r="E162" s="11">
        <f t="shared" si="32"/>
        <v>0.19631686360373674</v>
      </c>
      <c r="F162" s="11">
        <f t="shared" si="32"/>
        <v>0.22167755044223902</v>
      </c>
      <c r="G162" s="11">
        <f t="shared" si="32"/>
        <v>0.25188347895090879</v>
      </c>
      <c r="H162" s="11">
        <f t="shared" si="32"/>
        <v>0.28774456662522535</v>
      </c>
      <c r="I162" s="11">
        <f t="shared" si="32"/>
        <v>0.32997115690722978</v>
      </c>
      <c r="J162" s="11">
        <f t="shared" si="32"/>
        <v>0.37897316422028171</v>
      </c>
      <c r="K162" s="11">
        <f t="shared" si="32"/>
        <v>0.43459155631158403</v>
      </c>
    </row>
    <row r="163" spans="1:11" ht="13">
      <c r="A163" s="3">
        <f t="shared" si="31"/>
        <v>8</v>
      </c>
      <c r="B163" s="11">
        <f t="shared" si="32"/>
        <v>0.14622318383786967</v>
      </c>
      <c r="C163" s="11">
        <f t="shared" si="32"/>
        <v>0.16384807179502869</v>
      </c>
      <c r="D163" s="11">
        <f t="shared" si="32"/>
        <v>0.18525843409532447</v>
      </c>
      <c r="E163" s="11">
        <f t="shared" si="32"/>
        <v>0.21148024091304232</v>
      </c>
      <c r="F163" s="11">
        <f t="shared" si="32"/>
        <v>0.24378111949415862</v>
      </c>
      <c r="G163" s="11">
        <f t="shared" si="32"/>
        <v>0.28363201769789809</v>
      </c>
      <c r="H163" s="11">
        <f t="shared" si="32"/>
        <v>0.33253707405651078</v>
      </c>
      <c r="I163" s="11">
        <f t="shared" si="32"/>
        <v>0.39163072405158539</v>
      </c>
      <c r="J163" s="11">
        <f t="shared" si="32"/>
        <v>0.46097944447240569</v>
      </c>
      <c r="K163" s="11">
        <f t="shared" si="32"/>
        <v>0.53873230524929239</v>
      </c>
    </row>
    <row r="164" spans="1:11" ht="13">
      <c r="A164" s="3">
        <f t="shared" si="31"/>
        <v>9</v>
      </c>
      <c r="B164" s="11">
        <f t="shared" si="32"/>
        <v>0.14990057155049291</v>
      </c>
      <c r="C164" s="11">
        <f t="shared" si="32"/>
        <v>0.16975354846750307</v>
      </c>
      <c r="D164" s="11">
        <f t="shared" si="32"/>
        <v>0.1944919853719454</v>
      </c>
      <c r="E164" s="11">
        <f t="shared" si="32"/>
        <v>0.22569388794754161</v>
      </c>
      <c r="F164" s="11">
        <f t="shared" si="32"/>
        <v>0.26540512338386596</v>
      </c>
      <c r="G164" s="11">
        <f t="shared" si="32"/>
        <v>0.31607264474862684</v>
      </c>
      <c r="H164" s="11">
        <f t="shared" si="32"/>
        <v>0.38011534642421252</v>
      </c>
      <c r="I164" s="11">
        <f t="shared" si="32"/>
        <v>0.45879478154962089</v>
      </c>
      <c r="J164" s="11">
        <f t="shared" si="32"/>
        <v>0.55029432129533096</v>
      </c>
      <c r="K164" s="11">
        <f t="shared" si="32"/>
        <v>0.64803067702174222</v>
      </c>
    </row>
    <row r="165" spans="1:11" ht="13">
      <c r="A165" s="3">
        <f t="shared" si="31"/>
        <v>10</v>
      </c>
      <c r="B165" s="11">
        <f t="shared" si="32"/>
        <v>0.15297839187312995</v>
      </c>
      <c r="C165" s="11">
        <f t="shared" si="32"/>
        <v>0.17483390608726679</v>
      </c>
      <c r="D165" s="11">
        <f t="shared" si="32"/>
        <v>0.20270040536302891</v>
      </c>
      <c r="E165" s="11">
        <f t="shared" si="32"/>
        <v>0.23882195315389745</v>
      </c>
      <c r="F165" s="11">
        <f t="shared" si="32"/>
        <v>0.28624274140851641</v>
      </c>
      <c r="G165" s="11">
        <f t="shared" si="32"/>
        <v>0.34869337186279808</v>
      </c>
      <c r="H165" s="11">
        <f t="shared" si="32"/>
        <v>0.42961455876091942</v>
      </c>
      <c r="I165" s="11">
        <f t="shared" si="32"/>
        <v>0.52942973557099127</v>
      </c>
      <c r="J165" s="11">
        <f t="shared" si="32"/>
        <v>0.64139354202222931</v>
      </c>
      <c r="K165" s="11">
        <f t="shared" si="32"/>
        <v>0.75045896827152581</v>
      </c>
    </row>
    <row r="166" spans="1:11" ht="13">
      <c r="A166" s="3">
        <f t="shared" si="31"/>
        <v>11</v>
      </c>
      <c r="B166" s="11">
        <f t="shared" si="32"/>
        <v>0.15553316877761494</v>
      </c>
      <c r="C166" s="11">
        <f t="shared" si="32"/>
        <v>0.17915935442381956</v>
      </c>
      <c r="D166" s="11">
        <f t="shared" si="32"/>
        <v>0.20991015321435941</v>
      </c>
      <c r="E166" s="11">
        <f t="shared" si="32"/>
        <v>0.25079039916401041</v>
      </c>
      <c r="F166" s="11">
        <f t="shared" si="32"/>
        <v>0.30605498446661372</v>
      </c>
      <c r="G166" s="11">
        <f t="shared" si="32"/>
        <v>0.38101905299818345</v>
      </c>
      <c r="H166" s="11">
        <f t="shared" si="32"/>
        <v>0.48004352264285938</v>
      </c>
      <c r="I166" s="11">
        <f t="shared" si="32"/>
        <v>0.60079547752178664</v>
      </c>
      <c r="J166" s="11">
        <f t="shared" si="32"/>
        <v>0.72739042370032547</v>
      </c>
      <c r="K166" s="11">
        <f t="shared" si="32"/>
        <v>0.83513843513564767</v>
      </c>
    </row>
    <row r="167" spans="1:11" ht="13">
      <c r="A167" s="3">
        <f t="shared" si="31"/>
        <v>12</v>
      </c>
      <c r="B167" s="11">
        <f t="shared" si="32"/>
        <v>0.15763926042542881</v>
      </c>
      <c r="C167" s="11">
        <f t="shared" si="32"/>
        <v>0.18280987532549389</v>
      </c>
      <c r="D167" s="11">
        <f t="shared" si="32"/>
        <v>0.21617734260846544</v>
      </c>
      <c r="E167" s="11">
        <f t="shared" si="32"/>
        <v>0.26157854184637935</v>
      </c>
      <c r="F167" s="11">
        <f t="shared" si="32"/>
        <v>0.32467338503810489</v>
      </c>
      <c r="G167" s="11">
        <f t="shared" si="32"/>
        <v>0.41263850266035218</v>
      </c>
      <c r="H167" s="11">
        <f t="shared" si="32"/>
        <v>0.53036557077076996</v>
      </c>
      <c r="I167" s="11">
        <f t="shared" si="32"/>
        <v>0.66981696717426176</v>
      </c>
      <c r="J167" s="11">
        <f t="shared" si="32"/>
        <v>0.80212852061052808</v>
      </c>
      <c r="K167" s="11">
        <f t="shared" si="32"/>
        <v>0.89731226422671617</v>
      </c>
    </row>
    <row r="168" spans="1:11" ht="13">
      <c r="A168" s="3">
        <f t="shared" si="31"/>
        <v>13</v>
      </c>
      <c r="B168" s="11">
        <f t="shared" si="32"/>
        <v>0.15936565058793656</v>
      </c>
      <c r="C168" s="11">
        <f t="shared" si="32"/>
        <v>0.18586814169041768</v>
      </c>
      <c r="D168" s="11">
        <f t="shared" si="32"/>
        <v>0.2215771046636438</v>
      </c>
      <c r="E168" s="11">
        <f t="shared" si="32"/>
        <v>0.27120812091764179</v>
      </c>
      <c r="F168" s="11">
        <f t="shared" si="32"/>
        <v>0.34199546759569333</v>
      </c>
      <c r="G168" s="11">
        <f t="shared" si="32"/>
        <v>0.4432201170844402</v>
      </c>
      <c r="H168" s="11">
        <f t="shared" si="32"/>
        <v>0.57958334684806101</v>
      </c>
      <c r="I168" s="11">
        <f t="shared" si="32"/>
        <v>0.73361827513309019</v>
      </c>
      <c r="J168" s="11">
        <f t="shared" si="32"/>
        <v>0.86211092637671427</v>
      </c>
      <c r="K168" s="11">
        <f t="shared" si="32"/>
        <v>0.93874716245363099</v>
      </c>
    </row>
    <row r="169" spans="1:11" ht="13">
      <c r="A169" s="3">
        <f t="shared" si="31"/>
        <v>14</v>
      </c>
      <c r="B169" s="11">
        <f t="shared" si="32"/>
        <v>0.1607742288639136</v>
      </c>
      <c r="C169" s="11">
        <f t="shared" si="32"/>
        <v>0.18841452020056182</v>
      </c>
      <c r="D169" s="11">
        <f t="shared" si="32"/>
        <v>0.22619463968879433</v>
      </c>
      <c r="E169" s="11">
        <f t="shared" si="32"/>
        <v>0.27973195999493777</v>
      </c>
      <c r="F169" s="11">
        <f t="shared" si="32"/>
        <v>0.35797566051765595</v>
      </c>
      <c r="G169" s="11">
        <f t="shared" si="32"/>
        <v>0.47251650297435754</v>
      </c>
      <c r="H169" s="11">
        <f t="shared" si="32"/>
        <v>0.62681316231461526</v>
      </c>
      <c r="I169" s="11">
        <f t="shared" si="32"/>
        <v>0.79003186898328714</v>
      </c>
      <c r="J169" s="11">
        <f t="shared" si="32"/>
        <v>0.90702252449428422</v>
      </c>
      <c r="K169" s="11">
        <f t="shared" si="32"/>
        <v>0.96449900189784099</v>
      </c>
    </row>
    <row r="170" spans="1:11" ht="13">
      <c r="A170" s="3">
        <f t="shared" si="31"/>
        <v>15</v>
      </c>
      <c r="B170" s="11">
        <f t="shared" si="32"/>
        <v>0.16191914706771926</v>
      </c>
      <c r="C170" s="11">
        <f t="shared" si="32"/>
        <v>0.19052389025708519</v>
      </c>
      <c r="D170" s="11">
        <f t="shared" si="32"/>
        <v>0.23011830143546741</v>
      </c>
      <c r="E170" s="11">
        <f t="shared" si="32"/>
        <v>0.28722358466706815</v>
      </c>
      <c r="F170" s="11">
        <f t="shared" si="32"/>
        <v>0.37261414759481276</v>
      </c>
      <c r="G170" s="11">
        <f t="shared" si="32"/>
        <v>0.50036044489146847</v>
      </c>
      <c r="H170" s="11">
        <f t="shared" si="32"/>
        <v>0.67133829741361284</v>
      </c>
      <c r="I170" s="11">
        <f t="shared" si="32"/>
        <v>0.83789179030077277</v>
      </c>
      <c r="J170" s="11">
        <f t="shared" si="32"/>
        <v>0.93883676279151385</v>
      </c>
      <c r="K170" s="11">
        <f t="shared" si="32"/>
        <v>0.97978792910163748</v>
      </c>
    </row>
    <row r="171" spans="1:11" ht="13">
      <c r="A171" s="3">
        <f t="shared" si="31"/>
        <v>16</v>
      </c>
      <c r="B171" s="11">
        <f t="shared" si="32"/>
        <v>0.16284688962788244</v>
      </c>
      <c r="C171" s="11">
        <f t="shared" si="32"/>
        <v>0.19226389607742911</v>
      </c>
      <c r="D171" s="11">
        <f t="shared" si="32"/>
        <v>0.23343465864178442</v>
      </c>
      <c r="E171" s="11">
        <f t="shared" si="32"/>
        <v>0.29376851532500858</v>
      </c>
      <c r="F171" s="11">
        <f t="shared" si="32"/>
        <v>0.38594556271669717</v>
      </c>
      <c r="G171" s="11">
        <f t="shared" si="32"/>
        <v>0.52665525530196389</v>
      </c>
      <c r="H171" s="11">
        <f t="shared" si="32"/>
        <v>0.7126365463199813</v>
      </c>
      <c r="I171" s="11">
        <f t="shared" si="32"/>
        <v>0.87703341406944202</v>
      </c>
      <c r="J171" s="11">
        <f t="shared" si="32"/>
        <v>0.96046395560485898</v>
      </c>
      <c r="K171" s="11">
        <f t="shared" si="32"/>
        <v>0.98861344009427887</v>
      </c>
    </row>
    <row r="172" spans="1:11" ht="13">
      <c r="A172" s="3">
        <f t="shared" si="31"/>
        <v>17</v>
      </c>
      <c r="B172" s="11">
        <f t="shared" si="32"/>
        <v>0.16359677346657059</v>
      </c>
      <c r="C172" s="11">
        <f t="shared" si="32"/>
        <v>0.19369424234251958</v>
      </c>
      <c r="D172" s="11">
        <f t="shared" si="32"/>
        <v>0.23622526222235357</v>
      </c>
      <c r="E172" s="11">
        <f t="shared" si="32"/>
        <v>0.2994574580606939</v>
      </c>
      <c r="F172" s="11">
        <f t="shared" si="32"/>
        <v>0.3980287292710829</v>
      </c>
      <c r="G172" s="11">
        <f t="shared" si="32"/>
        <v>0.55136238228875523</v>
      </c>
      <c r="H172" s="11">
        <f t="shared" si="32"/>
        <v>0.75038316214415568</v>
      </c>
      <c r="I172" s="11">
        <f t="shared" si="32"/>
        <v>0.90806549795961089</v>
      </c>
      <c r="J172" s="11">
        <f t="shared" si="32"/>
        <v>0.97474640770937615</v>
      </c>
      <c r="K172" s="11">
        <f t="shared" si="32"/>
        <v>0.99362428381444912</v>
      </c>
    </row>
    <row r="173" spans="1:11" ht="13">
      <c r="A173" s="3">
        <f t="shared" si="31"/>
        <v>18</v>
      </c>
      <c r="B173" s="11">
        <f t="shared" si="32"/>
        <v>0.16420167137986674</v>
      </c>
      <c r="C173" s="11">
        <f t="shared" si="32"/>
        <v>0.19486669420434749</v>
      </c>
      <c r="D173" s="11">
        <f t="shared" si="32"/>
        <v>0.2385647651612143</v>
      </c>
      <c r="E173" s="11">
        <f t="shared" si="32"/>
        <v>0.30438130453517076</v>
      </c>
      <c r="F173" s="11">
        <f t="shared" si="32"/>
        <v>0.40893803711041837</v>
      </c>
      <c r="G173" s="11">
        <f t="shared" si="32"/>
        <v>0.57448849861042384</v>
      </c>
      <c r="H173" s="11">
        <f t="shared" si="32"/>
        <v>0.78443446719371657</v>
      </c>
      <c r="I173" s="11">
        <f t="shared" si="32"/>
        <v>0.9320524026019853</v>
      </c>
      <c r="J173" s="11">
        <f t="shared" si="32"/>
        <v>0.98399564896120684</v>
      </c>
      <c r="K173" s="11">
        <f t="shared" si="32"/>
        <v>0.99644233794835713</v>
      </c>
    </row>
    <row r="174" spans="1:11" ht="13">
      <c r="A174" s="3">
        <f t="shared" ref="A174:A185" si="33">A173+1</f>
        <v>19</v>
      </c>
      <c r="B174" s="11">
        <f t="shared" ref="B174:K185" si="34">B173*(1-B173*B$15)/(1-B$15*B173*B173-$B$154*(1-B173)^2)</f>
        <v>0.16468881997790777</v>
      </c>
      <c r="C174" s="11">
        <f t="shared" si="34"/>
        <v>0.19582551376279861</v>
      </c>
      <c r="D174" s="11">
        <f t="shared" si="34"/>
        <v>0.24052004477707326</v>
      </c>
      <c r="E174" s="11">
        <f t="shared" si="34"/>
        <v>0.30862769059773859</v>
      </c>
      <c r="F174" s="11">
        <f t="shared" si="34"/>
        <v>0.41875661387857605</v>
      </c>
      <c r="G174" s="11">
        <f t="shared" si="34"/>
        <v>0.59607351732798641</v>
      </c>
      <c r="H174" s="11">
        <f t="shared" si="34"/>
        <v>0.81479916707524236</v>
      </c>
      <c r="I174" s="11">
        <f t="shared" si="34"/>
        <v>0.95022579125203444</v>
      </c>
      <c r="J174" s="11">
        <f t="shared" si="34"/>
        <v>0.9899088170687671</v>
      </c>
      <c r="K174" s="11">
        <f t="shared" si="34"/>
        <v>0.99801867007952638</v>
      </c>
    </row>
    <row r="175" spans="1:11" ht="13">
      <c r="A175" s="3">
        <f t="shared" si="33"/>
        <v>20</v>
      </c>
      <c r="B175" s="11">
        <f t="shared" si="34"/>
        <v>0.16508062497889911</v>
      </c>
      <c r="C175" s="11">
        <f t="shared" si="34"/>
        <v>0.19660813624969187</v>
      </c>
      <c r="D175" s="11">
        <f t="shared" si="34"/>
        <v>0.24215002252279838</v>
      </c>
      <c r="E175" s="11">
        <f t="shared" si="34"/>
        <v>0.31227880751270332</v>
      </c>
      <c r="F175" s="11">
        <f t="shared" si="34"/>
        <v>0.42757118321619419</v>
      </c>
      <c r="G175" s="11">
        <f t="shared" si="34"/>
        <v>0.6161802941019916</v>
      </c>
      <c r="H175" s="11">
        <f t="shared" si="34"/>
        <v>0.84160418502711443</v>
      </c>
      <c r="I175" s="11">
        <f t="shared" si="34"/>
        <v>0.96378365623874696</v>
      </c>
      <c r="J175" s="11">
        <f t="shared" si="34"/>
        <v>0.99365790166585144</v>
      </c>
      <c r="K175" s="11">
        <f t="shared" si="34"/>
        <v>0.99889775753324084</v>
      </c>
    </row>
    <row r="176" spans="1:11" ht="13">
      <c r="A176" s="3">
        <f t="shared" si="33"/>
        <v>21</v>
      </c>
      <c r="B176" s="11">
        <f t="shared" si="34"/>
        <v>0.16539541380441036</v>
      </c>
      <c r="C176" s="11">
        <f t="shared" si="34"/>
        <v>0.19724595014445637</v>
      </c>
      <c r="D176" s="11">
        <f t="shared" si="34"/>
        <v>0.24350593737051701</v>
      </c>
      <c r="E176" s="11">
        <f t="shared" si="34"/>
        <v>0.31541016639958247</v>
      </c>
      <c r="F176" s="11">
        <f t="shared" si="34"/>
        <v>0.43546837235781577</v>
      </c>
      <c r="G176" s="11">
        <f t="shared" si="34"/>
        <v>0.6348862743062228</v>
      </c>
      <c r="H176" s="11">
        <f t="shared" si="34"/>
        <v>0.8650604041364427</v>
      </c>
      <c r="I176" s="11">
        <f t="shared" si="34"/>
        <v>0.97378086420645571</v>
      </c>
      <c r="J176" s="11">
        <f t="shared" si="34"/>
        <v>0.99602233626426073</v>
      </c>
      <c r="K176" s="11">
        <f t="shared" si="34"/>
        <v>0.99938717788998321</v>
      </c>
    </row>
    <row r="177" spans="1:11" ht="13">
      <c r="A177" s="3">
        <f t="shared" si="33"/>
        <v>22</v>
      </c>
      <c r="B177" s="11">
        <f t="shared" si="34"/>
        <v>0.16564811056603165</v>
      </c>
      <c r="C177" s="11">
        <f t="shared" si="34"/>
        <v>0.19776509318162622</v>
      </c>
      <c r="D177" s="11">
        <f t="shared" si="34"/>
        <v>0.2446318893044333</v>
      </c>
      <c r="E177" s="11">
        <f t="shared" si="34"/>
        <v>0.31809005435205795</v>
      </c>
      <c r="F177" s="11">
        <f t="shared" si="34"/>
        <v>0.44253219099512703</v>
      </c>
      <c r="G177" s="11">
        <f t="shared" si="34"/>
        <v>0.65227702777452201</v>
      </c>
      <c r="H177" s="11">
        <f t="shared" si="34"/>
        <v>0.88543185968467597</v>
      </c>
      <c r="I177" s="11">
        <f t="shared" si="34"/>
        <v>0.98108877436187969</v>
      </c>
      <c r="J177" s="11">
        <f t="shared" si="34"/>
        <v>0.99750851502914939</v>
      </c>
      <c r="K177" s="11">
        <f t="shared" si="34"/>
        <v>0.99965939950716576</v>
      </c>
    </row>
    <row r="178" spans="1:11" ht="13">
      <c r="A178" s="3">
        <f t="shared" si="33"/>
        <v>23</v>
      </c>
      <c r="B178" s="11">
        <f t="shared" si="34"/>
        <v>0.16585082460907277</v>
      </c>
      <c r="C178" s="11">
        <f t="shared" si="34"/>
        <v>0.19818721121890592</v>
      </c>
      <c r="D178" s="11">
        <f t="shared" si="34"/>
        <v>0.24556552192802183</v>
      </c>
      <c r="E178" s="11">
        <f t="shared" si="34"/>
        <v>0.32037946942490741</v>
      </c>
      <c r="F178" s="11">
        <f t="shared" si="34"/>
        <v>0.44884241402318653</v>
      </c>
      <c r="G178" s="11">
        <f t="shared" si="34"/>
        <v>0.66844144804201655</v>
      </c>
      <c r="H178" s="11">
        <f t="shared" si="34"/>
        <v>0.90301021302536055</v>
      </c>
      <c r="I178" s="11">
        <f t="shared" si="34"/>
        <v>0.98639676512478469</v>
      </c>
      <c r="J178" s="11">
        <f t="shared" si="34"/>
        <v>0.99844068649562601</v>
      </c>
      <c r="K178" s="11">
        <f t="shared" si="34"/>
        <v>0.99981073309946633</v>
      </c>
    </row>
    <row r="179" spans="1:11" ht="13">
      <c r="A179" s="3">
        <f t="shared" si="33"/>
        <v>24</v>
      </c>
      <c r="B179" s="11">
        <f t="shared" si="34"/>
        <v>0.16601335342008355</v>
      </c>
      <c r="C179" s="11">
        <f t="shared" si="34"/>
        <v>0.19853015128182808</v>
      </c>
      <c r="D179" s="11">
        <f t="shared" si="34"/>
        <v>0.24633875519269127</v>
      </c>
      <c r="E179" s="11">
        <f t="shared" si="34"/>
        <v>0.32233236989682651</v>
      </c>
      <c r="F179" s="11">
        <f t="shared" si="34"/>
        <v>0.45447363602792135</v>
      </c>
      <c r="G179" s="11">
        <f t="shared" si="34"/>
        <v>0.68346832945722835</v>
      </c>
      <c r="H179" s="11">
        <f t="shared" si="34"/>
        <v>0.91809503219070199</v>
      </c>
      <c r="I179" s="11">
        <f t="shared" si="34"/>
        <v>0.9902341848656373</v>
      </c>
      <c r="J179" s="11">
        <f t="shared" si="34"/>
        <v>0.99902459286086398</v>
      </c>
      <c r="K179" s="11">
        <f t="shared" si="34"/>
        <v>0.99989483801123602</v>
      </c>
    </row>
    <row r="180" spans="1:11" ht="13">
      <c r="A180" s="3">
        <f t="shared" si="33"/>
        <v>25</v>
      </c>
      <c r="B180" s="11">
        <f t="shared" si="34"/>
        <v>0.16614360600244735</v>
      </c>
      <c r="C180" s="11">
        <f t="shared" si="34"/>
        <v>0.1988085762196104</v>
      </c>
      <c r="D180" s="11">
        <f t="shared" si="34"/>
        <v>0.24697851099730897</v>
      </c>
      <c r="E180" s="11">
        <f t="shared" si="34"/>
        <v>0.32399611553313307</v>
      </c>
      <c r="F180" s="11">
        <f t="shared" si="34"/>
        <v>0.45949480843465629</v>
      </c>
      <c r="G180" s="11">
        <f t="shared" si="34"/>
        <v>0.69744403361170793</v>
      </c>
      <c r="H180" s="11">
        <f t="shared" si="34"/>
        <v>0.93097955843606639</v>
      </c>
      <c r="I180" s="11">
        <f t="shared" si="34"/>
        <v>0.99299906913914227</v>
      </c>
      <c r="J180" s="11">
        <f t="shared" si="34"/>
        <v>0.99939004339348558</v>
      </c>
      <c r="K180" s="11">
        <f t="shared" si="34"/>
        <v>0.99994157244025506</v>
      </c>
    </row>
    <row r="181" spans="1:11" ht="13">
      <c r="A181" s="3">
        <f t="shared" si="33"/>
        <v>26</v>
      </c>
      <c r="B181" s="11">
        <f t="shared" si="34"/>
        <v>0.16624795532157008</v>
      </c>
      <c r="C181" s="11">
        <f t="shared" si="34"/>
        <v>0.19903449852909538</v>
      </c>
      <c r="D181" s="11">
        <f t="shared" si="34"/>
        <v>0.247507397335334</v>
      </c>
      <c r="E181" s="11">
        <f t="shared" si="34"/>
        <v>0.32541201316437846</v>
      </c>
      <c r="F181" s="11">
        <f t="shared" si="34"/>
        <v>0.46396911202344199</v>
      </c>
      <c r="G181" s="11">
        <f t="shared" si="34"/>
        <v>0.7104509862961883</v>
      </c>
      <c r="H181" s="11">
        <f t="shared" si="34"/>
        <v>0.94194118729241694</v>
      </c>
      <c r="I181" s="11">
        <f t="shared" si="34"/>
        <v>0.9949863146581156</v>
      </c>
      <c r="J181" s="11">
        <f t="shared" si="34"/>
        <v>0.99961864920670462</v>
      </c>
      <c r="K181" s="11">
        <f t="shared" si="34"/>
        <v>0.9999675389380468</v>
      </c>
    </row>
    <row r="182" spans="1:11" ht="13">
      <c r="A182" s="3">
        <f t="shared" si="33"/>
        <v>27</v>
      </c>
      <c r="B182" s="11">
        <f t="shared" si="34"/>
        <v>0.16633152919955782</v>
      </c>
      <c r="C182" s="11">
        <f t="shared" si="34"/>
        <v>0.19921773685084571</v>
      </c>
      <c r="D182" s="11">
        <f t="shared" si="34"/>
        <v>0.24794433257637058</v>
      </c>
      <c r="E182" s="11">
        <f t="shared" si="34"/>
        <v>0.32661590584849498</v>
      </c>
      <c r="F182" s="11">
        <f t="shared" si="34"/>
        <v>0.46795405386757477</v>
      </c>
      <c r="G182" s="11">
        <f t="shared" si="34"/>
        <v>0.7225667884142104</v>
      </c>
      <c r="H182" s="11">
        <f t="shared" si="34"/>
        <v>0.95123572846319071</v>
      </c>
      <c r="I182" s="11">
        <f t="shared" si="34"/>
        <v>0.99641212093331544</v>
      </c>
      <c r="J182" s="11">
        <f t="shared" si="34"/>
        <v>0.99976160575753592</v>
      </c>
      <c r="K182" s="11">
        <f t="shared" si="34"/>
        <v>0.99998196567341169</v>
      </c>
    </row>
    <row r="183" spans="1:11" ht="13">
      <c r="A183" s="3">
        <f t="shared" si="33"/>
        <v>28</v>
      </c>
      <c r="B183" s="11">
        <f t="shared" si="34"/>
        <v>0.16639844882516192</v>
      </c>
      <c r="C183" s="11">
        <f t="shared" si="34"/>
        <v>0.19936630179691886</v>
      </c>
      <c r="D183" s="11">
        <f t="shared" si="34"/>
        <v>0.24830510207792908</v>
      </c>
      <c r="E183" s="11">
        <f t="shared" si="34"/>
        <v>0.32763876514287871</v>
      </c>
      <c r="F183" s="11">
        <f t="shared" si="34"/>
        <v>0.47150170738783498</v>
      </c>
      <c r="G183" s="11">
        <f t="shared" si="34"/>
        <v>0.7338637679152219</v>
      </c>
      <c r="H183" s="11">
        <f t="shared" si="34"/>
        <v>0.95909452417220853</v>
      </c>
      <c r="I183" s="11">
        <f t="shared" si="34"/>
        <v>0.99743381169769063</v>
      </c>
      <c r="J183" s="11">
        <f t="shared" si="34"/>
        <v>0.99985098406114736</v>
      </c>
      <c r="K183" s="11">
        <f t="shared" si="34"/>
        <v>0.99998998080519863</v>
      </c>
    </row>
    <row r="184" spans="1:11" ht="13">
      <c r="A184" s="3">
        <f t="shared" si="33"/>
        <v>29</v>
      </c>
      <c r="B184" s="11">
        <f t="shared" si="34"/>
        <v>0.16645202330804884</v>
      </c>
      <c r="C184" s="11">
        <f t="shared" si="34"/>
        <v>0.19948671913302066</v>
      </c>
      <c r="D184" s="11">
        <f t="shared" si="34"/>
        <v>0.24860284608482835</v>
      </c>
      <c r="E184" s="11">
        <f t="shared" si="34"/>
        <v>0.32850726080108783</v>
      </c>
      <c r="F184" s="11">
        <f t="shared" si="34"/>
        <v>0.47465903735328746</v>
      </c>
      <c r="G184" s="11">
        <f t="shared" si="34"/>
        <v>0.74440883932131607</v>
      </c>
      <c r="H184" s="11">
        <f t="shared" si="34"/>
        <v>0.96572361586809963</v>
      </c>
      <c r="I184" s="11">
        <f t="shared" si="34"/>
        <v>0.99816526039198983</v>
      </c>
      <c r="J184" s="11">
        <f t="shared" si="34"/>
        <v>0.99990685740465457</v>
      </c>
      <c r="K184" s="11">
        <f t="shared" si="34"/>
        <v>0.99999443374224706</v>
      </c>
    </row>
    <row r="185" spans="1:11" ht="13">
      <c r="A185" s="3">
        <f t="shared" si="33"/>
        <v>30</v>
      </c>
      <c r="B185" s="11">
        <f t="shared" si="34"/>
        <v>0.16649490773947678</v>
      </c>
      <c r="C185" s="11">
        <f t="shared" si="34"/>
        <v>0.19958429860307791</v>
      </c>
      <c r="D185" s="11">
        <f t="shared" si="34"/>
        <v>0.24884848193589199</v>
      </c>
      <c r="E185" s="11">
        <f t="shared" si="34"/>
        <v>0.32924429272389616</v>
      </c>
      <c r="F185" s="11">
        <f t="shared" si="34"/>
        <v>0.47746826916952828</v>
      </c>
      <c r="G185" s="11">
        <f t="shared" si="34"/>
        <v>0.75426357065468341</v>
      </c>
      <c r="H185" s="11">
        <f t="shared" si="34"/>
        <v>0.97130429665804807</v>
      </c>
      <c r="I185" s="11">
        <f t="shared" si="34"/>
        <v>0.99868857831067315</v>
      </c>
      <c r="J185" s="11">
        <f t="shared" si="34"/>
        <v>0.99994178289560931</v>
      </c>
      <c r="K185" s="11">
        <f t="shared" si="34"/>
        <v>0.99999690762272397</v>
      </c>
    </row>
    <row r="187" spans="1:11">
      <c r="E187" s="1" t="s">
        <v>11</v>
      </c>
    </row>
    <row r="188" spans="1:11">
      <c r="E188" s="6" t="s">
        <v>12</v>
      </c>
    </row>
    <row r="189" spans="1:11">
      <c r="A189" t="s">
        <v>13</v>
      </c>
      <c r="B189" s="21">
        <f>B154+I$11</f>
        <v>5.5511151231257827E-17</v>
      </c>
      <c r="E189" s="7" t="s">
        <v>14</v>
      </c>
    </row>
    <row r="190" spans="1:11" ht="13">
      <c r="A190" t="s">
        <v>15</v>
      </c>
      <c r="B190" s="5">
        <v>1</v>
      </c>
      <c r="C190" s="4">
        <f t="shared" ref="C190:K190" si="35">B190+$D$11</f>
        <v>0.8</v>
      </c>
      <c r="D190" s="4">
        <f t="shared" si="35"/>
        <v>0.60000000000000009</v>
      </c>
      <c r="E190" s="4">
        <f t="shared" si="35"/>
        <v>0.40000000000000008</v>
      </c>
      <c r="F190" s="4">
        <f t="shared" si="35"/>
        <v>0.20000000000000007</v>
      </c>
      <c r="G190" s="4">
        <f t="shared" si="35"/>
        <v>5.5511151231257827E-17</v>
      </c>
      <c r="H190" s="4">
        <f t="shared" si="35"/>
        <v>-0.19999999999999996</v>
      </c>
      <c r="I190" s="4">
        <f t="shared" si="35"/>
        <v>-0.39999999999999997</v>
      </c>
      <c r="J190" s="4">
        <f t="shared" si="35"/>
        <v>-0.6</v>
      </c>
      <c r="K190" s="4">
        <f t="shared" si="35"/>
        <v>-0.8</v>
      </c>
    </row>
    <row r="191" spans="1:11" ht="13">
      <c r="A191" s="3">
        <v>1</v>
      </c>
      <c r="B191" s="9">
        <f t="shared" ref="B191:K191" si="36">$D$10</f>
        <v>0.1</v>
      </c>
      <c r="C191" s="11">
        <f t="shared" si="36"/>
        <v>0.1</v>
      </c>
      <c r="D191" s="11">
        <f t="shared" si="36"/>
        <v>0.1</v>
      </c>
      <c r="E191" s="11">
        <f t="shared" si="36"/>
        <v>0.1</v>
      </c>
      <c r="F191" s="11">
        <f t="shared" si="36"/>
        <v>0.1</v>
      </c>
      <c r="G191" s="11">
        <f t="shared" si="36"/>
        <v>0.1</v>
      </c>
      <c r="H191" s="11">
        <f t="shared" si="36"/>
        <v>0.1</v>
      </c>
      <c r="I191" s="11">
        <f t="shared" si="36"/>
        <v>0.1</v>
      </c>
      <c r="J191" s="11">
        <f t="shared" si="36"/>
        <v>0.1</v>
      </c>
      <c r="K191" s="11">
        <f t="shared" si="36"/>
        <v>0.1</v>
      </c>
    </row>
    <row r="192" spans="1:11" ht="13">
      <c r="A192" s="3">
        <f>A191+1</f>
        <v>2</v>
      </c>
      <c r="B192" s="10">
        <f>B191*(1-B191*B$15)/(1-B$15*B191*B191-$B$189*(1-B191)^2)</f>
        <v>9.0909090909090925E-2</v>
      </c>
      <c r="C192" s="11">
        <f t="shared" ref="C192:K192" si="37">C191*(1-C191*C$15)/(1-C$15*C191*C191-$B$189*(1-C191)^2)</f>
        <v>9.2741935483870969E-2</v>
      </c>
      <c r="D192" s="11">
        <f t="shared" si="37"/>
        <v>9.4567404426559351E-2</v>
      </c>
      <c r="E192" s="11">
        <f t="shared" si="37"/>
        <v>9.6385542168674704E-2</v>
      </c>
      <c r="F192" s="11">
        <f t="shared" si="37"/>
        <v>9.8196392785571143E-2</v>
      </c>
      <c r="G192" s="11">
        <f t="shared" si="37"/>
        <v>0.1</v>
      </c>
      <c r="H192" s="11">
        <f t="shared" si="37"/>
        <v>0.10179640718562875</v>
      </c>
      <c r="I192" s="11">
        <f t="shared" si="37"/>
        <v>0.10358565737051793</v>
      </c>
      <c r="J192" s="11">
        <f t="shared" si="37"/>
        <v>0.10536779324055667</v>
      </c>
      <c r="K192" s="11">
        <f t="shared" si="37"/>
        <v>0.10714285714285715</v>
      </c>
    </row>
    <row r="193" spans="1:11" ht="13">
      <c r="A193" s="3">
        <f t="shared" ref="A193:A208" si="38">A192+1</f>
        <v>3</v>
      </c>
      <c r="B193" s="11">
        <f t="shared" ref="B193:K208" si="39">B192*(1-B192*B$15)/(1-B$15*B192*B192-$B$189*(1-B192)^2)</f>
        <v>8.3333333333333343E-2</v>
      </c>
      <c r="C193" s="11">
        <f t="shared" si="39"/>
        <v>8.6455973071734485E-2</v>
      </c>
      <c r="D193" s="11">
        <f t="shared" si="39"/>
        <v>8.968282783221998E-2</v>
      </c>
      <c r="E193" s="11">
        <f t="shared" si="39"/>
        <v>9.30151236996241E-2</v>
      </c>
      <c r="F193" s="11">
        <f t="shared" si="39"/>
        <v>9.645389842620819E-2</v>
      </c>
      <c r="G193" s="11">
        <f t="shared" si="39"/>
        <v>0.1</v>
      </c>
      <c r="H193" s="11">
        <f t="shared" si="39"/>
        <v>0.10365408561982055</v>
      </c>
      <c r="I193" s="11">
        <f t="shared" si="39"/>
        <v>0.10741662109578734</v>
      </c>
      <c r="J193" s="11">
        <f t="shared" si="39"/>
        <v>0.11128788069152681</v>
      </c>
      <c r="K193" s="11">
        <f t="shared" si="39"/>
        <v>0.11526794742163801</v>
      </c>
    </row>
    <row r="194" spans="1:11" ht="13">
      <c r="A194" s="3">
        <f t="shared" si="38"/>
        <v>4</v>
      </c>
      <c r="B194" s="11">
        <f t="shared" si="39"/>
        <v>7.6923076923076927E-2</v>
      </c>
      <c r="C194" s="11">
        <f t="shared" si="39"/>
        <v>8.0960384323855453E-2</v>
      </c>
      <c r="D194" s="11">
        <f t="shared" si="39"/>
        <v>8.5268511341014361E-2</v>
      </c>
      <c r="E194" s="11">
        <f t="shared" si="39"/>
        <v>8.9865397860379059E-2</v>
      </c>
      <c r="F194" s="11">
        <f t="shared" si="39"/>
        <v>9.4769562489424988E-2</v>
      </c>
      <c r="G194" s="11">
        <f t="shared" si="39"/>
        <v>0.1</v>
      </c>
      <c r="H194" s="11">
        <f t="shared" si="39"/>
        <v>0.10557605410958253</v>
      </c>
      <c r="I194" s="11">
        <f t="shared" si="39"/>
        <v>0.11151726407166737</v>
      </c>
      <c r="J194" s="11">
        <f t="shared" si="39"/>
        <v>0.11784318396294109</v>
      </c>
      <c r="K194" s="11">
        <f t="shared" si="39"/>
        <v>0.12457317409964695</v>
      </c>
    </row>
    <row r="195" spans="1:11" ht="13">
      <c r="A195" s="3">
        <f t="shared" si="38"/>
        <v>5</v>
      </c>
      <c r="B195" s="11">
        <f t="shared" si="39"/>
        <v>7.1428571428571438E-2</v>
      </c>
      <c r="C195" s="11">
        <f t="shared" si="39"/>
        <v>7.6115843401044853E-2</v>
      </c>
      <c r="D195" s="11">
        <f t="shared" si="39"/>
        <v>8.1260573604383435E-2</v>
      </c>
      <c r="E195" s="11">
        <f t="shared" si="39"/>
        <v>8.6915847611233124E-2</v>
      </c>
      <c r="F195" s="11">
        <f t="shared" si="39"/>
        <v>9.3140612692172151E-2</v>
      </c>
      <c r="G195" s="11">
        <f t="shared" si="39"/>
        <v>0.1</v>
      </c>
      <c r="H195" s="11">
        <f t="shared" si="39"/>
        <v>0.10756552316281554</v>
      </c>
      <c r="I195" s="11">
        <f t="shared" si="39"/>
        <v>0.11591509146984263</v>
      </c>
      <c r="J195" s="11">
        <f t="shared" si="39"/>
        <v>0.12513276117244987</v>
      </c>
      <c r="K195" s="11">
        <f t="shared" si="39"/>
        <v>0.13530813387326654</v>
      </c>
    </row>
    <row r="196" spans="1:11" ht="13">
      <c r="A196" s="3">
        <f t="shared" si="38"/>
        <v>6</v>
      </c>
      <c r="B196" s="11">
        <f t="shared" si="39"/>
        <v>6.666666666666668E-2</v>
      </c>
      <c r="C196" s="11">
        <f t="shared" si="39"/>
        <v>7.18137956749198E-2</v>
      </c>
      <c r="D196" s="11">
        <f t="shared" si="39"/>
        <v>7.7606077946604568E-2</v>
      </c>
      <c r="E196" s="11">
        <f t="shared" si="39"/>
        <v>8.4148376791207943E-2</v>
      </c>
      <c r="F196" s="11">
        <f t="shared" si="39"/>
        <v>9.1564445440023123E-2</v>
      </c>
      <c r="G196" s="11">
        <f t="shared" si="39"/>
        <v>0.1</v>
      </c>
      <c r="H196" s="11">
        <f t="shared" si="39"/>
        <v>0.1096259096690578</v>
      </c>
      <c r="I196" s="11">
        <f t="shared" si="39"/>
        <v>0.12064122575456053</v>
      </c>
      <c r="J196" s="11">
        <f t="shared" si="39"/>
        <v>0.13327557195395617</v>
      </c>
      <c r="K196" s="11">
        <f t="shared" si="39"/>
        <v>0.14779013884110376</v>
      </c>
    </row>
    <row r="197" spans="1:11" ht="13">
      <c r="A197" s="3">
        <f t="shared" si="38"/>
        <v>7</v>
      </c>
      <c r="B197" s="11">
        <f t="shared" si="39"/>
        <v>6.2500000000000014E-2</v>
      </c>
      <c r="C197" s="11">
        <f t="shared" si="39"/>
        <v>6.7968441307358879E-2</v>
      </c>
      <c r="D197" s="11">
        <f t="shared" si="39"/>
        <v>7.4260806429945925E-2</v>
      </c>
      <c r="E197" s="11">
        <f t="shared" si="39"/>
        <v>8.1546969046465898E-2</v>
      </c>
      <c r="F197" s="11">
        <f t="shared" si="39"/>
        <v>9.0038613511817384E-2</v>
      </c>
      <c r="G197" s="11">
        <f t="shared" si="39"/>
        <v>0.1</v>
      </c>
      <c r="H197" s="11">
        <f t="shared" si="39"/>
        <v>0.11176085287201379</v>
      </c>
      <c r="I197" s="11">
        <f t="shared" si="39"/>
        <v>0.12573097708214409</v>
      </c>
      <c r="J197" s="11">
        <f t="shared" si="39"/>
        <v>0.1424152190229987</v>
      </c>
      <c r="K197" s="11">
        <f t="shared" si="39"/>
        <v>0.16242552993960191</v>
      </c>
    </row>
    <row r="198" spans="1:11" ht="13">
      <c r="A198" s="3">
        <f t="shared" si="38"/>
        <v>8</v>
      </c>
      <c r="B198" s="11">
        <f t="shared" si="39"/>
        <v>5.8823529411764719E-2</v>
      </c>
      <c r="C198" s="11">
        <f t="shared" si="39"/>
        <v>6.4511092075194773E-2</v>
      </c>
      <c r="D198" s="11">
        <f t="shared" si="39"/>
        <v>7.1187551407177058E-2</v>
      </c>
      <c r="E198" s="11">
        <f t="shared" si="39"/>
        <v>7.909740196572751E-2</v>
      </c>
      <c r="F198" s="11">
        <f t="shared" si="39"/>
        <v>8.8560814780731426E-2</v>
      </c>
      <c r="G198" s="11">
        <f t="shared" si="39"/>
        <v>0.1</v>
      </c>
      <c r="H198" s="11">
        <f t="shared" si="39"/>
        <v>0.11397423175878182</v>
      </c>
      <c r="I198" s="11">
        <f t="shared" si="39"/>
        <v>0.13122451504427182</v>
      </c>
      <c r="J198" s="11">
        <f t="shared" si="39"/>
        <v>0.15272591491525178</v>
      </c>
      <c r="K198" s="11">
        <f t="shared" si="39"/>
        <v>0.17973769272427656</v>
      </c>
    </row>
    <row r="199" spans="1:11" ht="13">
      <c r="A199" s="3">
        <f t="shared" si="38"/>
        <v>9</v>
      </c>
      <c r="B199" s="11">
        <f t="shared" si="39"/>
        <v>5.5555555555555566E-2</v>
      </c>
      <c r="C199" s="11">
        <f t="shared" si="39"/>
        <v>6.1386122843524675E-2</v>
      </c>
      <c r="D199" s="11">
        <f t="shared" si="39"/>
        <v>6.8354790531223023E-2</v>
      </c>
      <c r="E199" s="11">
        <f t="shared" si="39"/>
        <v>7.6787006426654855E-2</v>
      </c>
      <c r="F199" s="11">
        <f t="shared" si="39"/>
        <v>8.712888187409E-2</v>
      </c>
      <c r="G199" s="11">
        <f t="shared" si="39"/>
        <v>0.1</v>
      </c>
      <c r="H199" s="11">
        <f t="shared" si="39"/>
        <v>0.11627018400324431</v>
      </c>
      <c r="I199" s="11">
        <f t="shared" si="39"/>
        <v>0.1371676604872675</v>
      </c>
      <c r="J199" s="11">
        <f t="shared" si="39"/>
        <v>0.16441996038941406</v>
      </c>
      <c r="K199" s="11">
        <f t="shared" si="39"/>
        <v>0.20040288870191181</v>
      </c>
    </row>
    <row r="200" spans="1:11" ht="13">
      <c r="A200" s="3">
        <f t="shared" si="38"/>
        <v>10</v>
      </c>
      <c r="B200" s="11">
        <f t="shared" si="39"/>
        <v>5.2631578947368432E-2</v>
      </c>
      <c r="C200" s="11">
        <f t="shared" si="39"/>
        <v>5.8548017118394191E-2</v>
      </c>
      <c r="D200" s="11">
        <f t="shared" si="39"/>
        <v>6.5735649154522027E-2</v>
      </c>
      <c r="E200" s="11">
        <f t="shared" si="39"/>
        <v>7.4604463142160779E-2</v>
      </c>
      <c r="F200" s="11">
        <f t="shared" si="39"/>
        <v>8.574077268430888E-2</v>
      </c>
      <c r="G200" s="11">
        <f t="shared" si="39"/>
        <v>0.1</v>
      </c>
      <c r="H200" s="11">
        <f t="shared" si="39"/>
        <v>0.11865312661480588</v>
      </c>
      <c r="I200" s="11">
        <f t="shared" si="39"/>
        <v>0.14361281913476898</v>
      </c>
      <c r="J200" s="11">
        <f t="shared" si="39"/>
        <v>0.17775703241789428</v>
      </c>
      <c r="K200" s="11">
        <f t="shared" si="39"/>
        <v>0.22529347661197149</v>
      </c>
    </row>
    <row r="201" spans="1:11" ht="13">
      <c r="A201" s="3">
        <f t="shared" si="38"/>
        <v>11</v>
      </c>
      <c r="B201" s="11">
        <f t="shared" si="39"/>
        <v>5.000000000000001E-2</v>
      </c>
      <c r="C201" s="11">
        <f t="shared" si="39"/>
        <v>5.5959177514068224E-2</v>
      </c>
      <c r="D201" s="11">
        <f t="shared" si="39"/>
        <v>6.3307080418240097E-2</v>
      </c>
      <c r="E201" s="11">
        <f t="shared" si="39"/>
        <v>7.253962995494212E-2</v>
      </c>
      <c r="F201" s="11">
        <f t="shared" si="39"/>
        <v>8.4394561652323952E-2</v>
      </c>
      <c r="G201" s="11">
        <f t="shared" si="39"/>
        <v>0.1</v>
      </c>
      <c r="H201" s="11">
        <f t="shared" si="39"/>
        <v>0.12112777845862423</v>
      </c>
      <c r="I201" s="11">
        <f t="shared" si="39"/>
        <v>0.15062008176776948</v>
      </c>
      <c r="J201" s="11">
        <f t="shared" si="39"/>
        <v>0.19305551964495954</v>
      </c>
      <c r="K201" s="11">
        <f t="shared" si="39"/>
        <v>0.255523482007814</v>
      </c>
    </row>
    <row r="202" spans="1:11" ht="13">
      <c r="A202" s="3">
        <f t="shared" si="38"/>
        <v>12</v>
      </c>
      <c r="B202" s="11">
        <f t="shared" si="39"/>
        <v>4.7619047619047623E-2</v>
      </c>
      <c r="C202" s="11">
        <f t="shared" si="39"/>
        <v>5.3588280214902778E-2</v>
      </c>
      <c r="D202" s="11">
        <f t="shared" si="39"/>
        <v>6.1049211881395067E-2</v>
      </c>
      <c r="E202" s="11">
        <f t="shared" si="39"/>
        <v>7.0583394659526733E-2</v>
      </c>
      <c r="F202" s="11">
        <f t="shared" si="39"/>
        <v>8.3088431752838823E-2</v>
      </c>
      <c r="G202" s="11">
        <f t="shared" si="39"/>
        <v>0.1</v>
      </c>
      <c r="H202" s="11">
        <f t="shared" si="39"/>
        <v>0.12369918482972191</v>
      </c>
      <c r="I202" s="11">
        <f t="shared" si="39"/>
        <v>0.15825851838809812</v>
      </c>
      <c r="J202" s="11">
        <f t="shared" si="39"/>
        <v>0.21070591925235146</v>
      </c>
      <c r="K202" s="11">
        <f t="shared" si="39"/>
        <v>0.29247994307643294</v>
      </c>
    </row>
    <row r="203" spans="1:11" ht="13">
      <c r="A203" s="3">
        <f t="shared" si="38"/>
        <v>13</v>
      </c>
      <c r="B203" s="11">
        <f t="shared" si="39"/>
        <v>4.5454545454545456E-2</v>
      </c>
      <c r="C203" s="11">
        <f t="shared" si="39"/>
        <v>5.1409022380759138E-2</v>
      </c>
      <c r="D203" s="11">
        <f t="shared" si="39"/>
        <v>5.8944820748547073E-2</v>
      </c>
      <c r="E203" s="11">
        <f t="shared" si="39"/>
        <v>6.872754910762903E-2</v>
      </c>
      <c r="F203" s="11">
        <f t="shared" si="39"/>
        <v>8.1820667117829315E-2</v>
      </c>
      <c r="G203" s="11">
        <f t="shared" si="39"/>
        <v>0.1</v>
      </c>
      <c r="H203" s="11">
        <f t="shared" si="39"/>
        <v>0.12637274428092274</v>
      </c>
      <c r="I203" s="11">
        <f t="shared" si="39"/>
        <v>0.16660769539433162</v>
      </c>
      <c r="J203" s="11">
        <f t="shared" si="39"/>
        <v>0.23118574007856946</v>
      </c>
      <c r="K203" s="11">
        <f t="shared" si="39"/>
        <v>0.33779813414716858</v>
      </c>
    </row>
    <row r="204" spans="1:11" ht="13">
      <c r="A204" s="3">
        <f t="shared" si="38"/>
        <v>14</v>
      </c>
      <c r="B204" s="11">
        <f t="shared" si="39"/>
        <v>4.3478260869565223E-2</v>
      </c>
      <c r="C204" s="11">
        <f t="shared" si="39"/>
        <v>4.9399157450879118E-2</v>
      </c>
      <c r="D204" s="11">
        <f t="shared" si="39"/>
        <v>5.6978909267696297E-2</v>
      </c>
      <c r="E204" s="11">
        <f t="shared" si="39"/>
        <v>6.6964681130930112E-2</v>
      </c>
      <c r="F204" s="11">
        <f t="shared" si="39"/>
        <v>8.0589646241078255E-2</v>
      </c>
      <c r="G204" s="11">
        <f t="shared" si="39"/>
        <v>0.1</v>
      </c>
      <c r="H204" s="11">
        <f t="shared" si="39"/>
        <v>0.12915423792341404</v>
      </c>
      <c r="I204" s="11">
        <f t="shared" si="39"/>
        <v>0.17575944407151975</v>
      </c>
      <c r="J204" s="11">
        <f t="shared" si="39"/>
        <v>0.25507410404971814</v>
      </c>
      <c r="K204" s="11">
        <f t="shared" si="39"/>
        <v>0.39319131071765423</v>
      </c>
    </row>
    <row r="205" spans="1:11" ht="13">
      <c r="A205" s="3">
        <f t="shared" si="38"/>
        <v>15</v>
      </c>
      <c r="B205" s="11">
        <f t="shared" si="39"/>
        <v>4.1666666666666678E-2</v>
      </c>
      <c r="C205" s="11">
        <f t="shared" si="39"/>
        <v>4.7539744151537645E-2</v>
      </c>
      <c r="D205" s="11">
        <f t="shared" si="39"/>
        <v>5.5138358795313848E-2</v>
      </c>
      <c r="E205" s="11">
        <f t="shared" si="39"/>
        <v>6.5288081438646894E-2</v>
      </c>
      <c r="F205" s="11">
        <f t="shared" si="39"/>
        <v>7.9393835712167224E-2</v>
      </c>
      <c r="G205" s="11">
        <f t="shared" si="39"/>
        <v>0.1</v>
      </c>
      <c r="H205" s="11">
        <f t="shared" si="39"/>
        <v>0.13204986143883812</v>
      </c>
      <c r="I205" s="11">
        <f t="shared" si="39"/>
        <v>0.18581990348158697</v>
      </c>
      <c r="J205" s="11">
        <f t="shared" si="39"/>
        <v>0.28306171093707833</v>
      </c>
      <c r="K205" s="11">
        <f t="shared" si="39"/>
        <v>0.45998064792145582</v>
      </c>
    </row>
    <row r="206" spans="1:11" ht="13">
      <c r="A206" s="3">
        <f t="shared" si="38"/>
        <v>16</v>
      </c>
      <c r="B206" s="11">
        <f t="shared" si="39"/>
        <v>4.0000000000000015E-2</v>
      </c>
      <c r="C206" s="11">
        <f t="shared" si="39"/>
        <v>4.5814556049316613E-2</v>
      </c>
      <c r="D206" s="11">
        <f t="shared" si="39"/>
        <v>5.3411646118201254E-2</v>
      </c>
      <c r="E206" s="11">
        <f t="shared" si="39"/>
        <v>6.3691663148593411E-2</v>
      </c>
      <c r="F206" s="11">
        <f t="shared" si="39"/>
        <v>7.823178443340055E-2</v>
      </c>
      <c r="G206" s="11">
        <f t="shared" si="39"/>
        <v>0.1</v>
      </c>
      <c r="H206" s="11">
        <f t="shared" si="39"/>
        <v>0.13506626006303651</v>
      </c>
      <c r="I206" s="11">
        <f t="shared" si="39"/>
        <v>0.19691184754275942</v>
      </c>
      <c r="J206" s="11">
        <f t="shared" si="39"/>
        <v>0.3159471151182045</v>
      </c>
      <c r="K206" s="11">
        <f t="shared" si="39"/>
        <v>0.5381551638135198</v>
      </c>
    </row>
    <row r="207" spans="1:11" ht="13">
      <c r="A207" s="3">
        <f t="shared" si="38"/>
        <v>17</v>
      </c>
      <c r="B207" s="11">
        <f t="shared" si="39"/>
        <v>3.8461538461538471E-2</v>
      </c>
      <c r="C207" s="11">
        <f t="shared" si="39"/>
        <v>4.4209613059151734E-2</v>
      </c>
      <c r="D207" s="11">
        <f t="shared" si="39"/>
        <v>5.1788609402971642E-2</v>
      </c>
      <c r="E207" s="11">
        <f t="shared" si="39"/>
        <v>6.2169892015494506E-2</v>
      </c>
      <c r="F207" s="11">
        <f t="shared" si="39"/>
        <v>7.7102118277650109E-2</v>
      </c>
      <c r="G207" s="11">
        <f t="shared" si="39"/>
        <v>0.1</v>
      </c>
      <c r="H207" s="11">
        <f t="shared" si="39"/>
        <v>0.13821056682368058</v>
      </c>
      <c r="I207" s="11">
        <f t="shared" si="39"/>
        <v>0.20917727883177481</v>
      </c>
      <c r="J207" s="11">
        <f t="shared" si="39"/>
        <v>0.3546022745904423</v>
      </c>
      <c r="K207" s="11">
        <f t="shared" si="39"/>
        <v>0.625031223727745</v>
      </c>
    </row>
    <row r="208" spans="1:11" ht="13">
      <c r="A208" s="3">
        <f t="shared" si="38"/>
        <v>18</v>
      </c>
      <c r="B208" s="11">
        <f t="shared" si="39"/>
        <v>3.7037037037037042E-2</v>
      </c>
      <c r="C208" s="11">
        <f t="shared" si="39"/>
        <v>4.2712806548429766E-2</v>
      </c>
      <c r="D208" s="11">
        <f t="shared" si="39"/>
        <v>5.0260253976630628E-2</v>
      </c>
      <c r="E208" s="11">
        <f t="shared" si="39"/>
        <v>6.0717725748981807E-2</v>
      </c>
      <c r="F208" s="11">
        <f t="shared" si="39"/>
        <v>7.6003535149148191E-2</v>
      </c>
      <c r="G208" s="11">
        <f t="shared" si="39"/>
        <v>0.1</v>
      </c>
      <c r="H208" s="11">
        <f t="shared" si="39"/>
        <v>0.14149044433666591</v>
      </c>
      <c r="I208" s="11">
        <f t="shared" si="39"/>
        <v>0.22278022105545855</v>
      </c>
      <c r="J208" s="11">
        <f t="shared" si="39"/>
        <v>0.39987881574882256</v>
      </c>
      <c r="K208" s="11">
        <f t="shared" si="39"/>
        <v>0.71431630023666504</v>
      </c>
    </row>
    <row r="209" spans="1:11" ht="13">
      <c r="A209" s="3">
        <f t="shared" ref="A209:A220" si="40">A208+1</f>
        <v>19</v>
      </c>
      <c r="B209" s="11">
        <f t="shared" ref="B209:K220" si="41">B208*(1-B208*B$15)/(1-B$15*B208*B208-$B$189*(1-B208)^2)</f>
        <v>3.5714285714285712E-2</v>
      </c>
      <c r="C209" s="11">
        <f t="shared" si="41"/>
        <v>4.1313596960876262E-2</v>
      </c>
      <c r="D209" s="11">
        <f t="shared" si="41"/>
        <v>4.8818590282064075E-2</v>
      </c>
      <c r="E209" s="11">
        <f t="shared" si="41"/>
        <v>5.9330561081501164E-2</v>
      </c>
      <c r="F209" s="11">
        <f t="shared" si="41"/>
        <v>7.4934800412872024E-2</v>
      </c>
      <c r="G209" s="11">
        <f t="shared" si="41"/>
        <v>0.1</v>
      </c>
      <c r="H209" s="11">
        <f t="shared" si="41"/>
        <v>0.14491413048878746</v>
      </c>
      <c r="I209" s="11">
        <f t="shared" si="41"/>
        <v>0.23790955363107064</v>
      </c>
      <c r="J209" s="11">
        <f t="shared" si="41"/>
        <v>0.45241511716704935</v>
      </c>
      <c r="K209" s="11">
        <f t="shared" si="41"/>
        <v>0.79712820580484101</v>
      </c>
    </row>
    <row r="210" spans="1:11" ht="13">
      <c r="A210" s="3">
        <f t="shared" si="40"/>
        <v>20</v>
      </c>
      <c r="B210" s="11">
        <f t="shared" si="41"/>
        <v>3.4482758620689655E-2</v>
      </c>
      <c r="C210" s="11">
        <f t="shared" si="41"/>
        <v>4.0002768130948906E-2</v>
      </c>
      <c r="D210" s="11">
        <f t="shared" si="41"/>
        <v>4.7456497982531355E-2</v>
      </c>
      <c r="E210" s="11">
        <f t="shared" si="41"/>
        <v>5.8004187465442933E-2</v>
      </c>
      <c r="F210" s="11">
        <f t="shared" si="41"/>
        <v>7.3894742661406443E-2</v>
      </c>
      <c r="G210" s="11">
        <f t="shared" si="41"/>
        <v>0.1</v>
      </c>
      <c r="H210" s="11">
        <f t="shared" si="41"/>
        <v>0.14849048835606138</v>
      </c>
      <c r="I210" s="11">
        <f t="shared" si="41"/>
        <v>0.25478158346615659</v>
      </c>
      <c r="J210" s="11">
        <f t="shared" si="41"/>
        <v>0.51230749405752118</v>
      </c>
      <c r="K210" s="11">
        <f t="shared" si="41"/>
        <v>0.86549912825160158</v>
      </c>
    </row>
    <row r="211" spans="1:11" ht="13">
      <c r="A211" s="3">
        <f t="shared" si="40"/>
        <v>21</v>
      </c>
      <c r="B211" s="11">
        <f t="shared" si="41"/>
        <v>3.3333333333333333E-2</v>
      </c>
      <c r="C211" s="11">
        <f t="shared" si="41"/>
        <v>3.8772226283220704E-2</v>
      </c>
      <c r="D211" s="11">
        <f t="shared" si="41"/>
        <v>4.616761144057905E-2</v>
      </c>
      <c r="E211" s="11">
        <f t="shared" si="41"/>
        <v>5.673474645873551E-2</v>
      </c>
      <c r="F211" s="11">
        <f t="shared" si="41"/>
        <v>7.288224979107992E-2</v>
      </c>
      <c r="G211" s="11">
        <f t="shared" si="41"/>
        <v>0.1</v>
      </c>
      <c r="H211" s="11">
        <f t="shared" si="41"/>
        <v>0.15222906072701597</v>
      </c>
      <c r="I211" s="11">
        <f t="shared" si="41"/>
        <v>0.27364180953844491</v>
      </c>
      <c r="J211" s="11">
        <f t="shared" si="41"/>
        <v>0.57865841994218492</v>
      </c>
      <c r="K211" s="11">
        <f t="shared" si="41"/>
        <v>0.91589863609504574</v>
      </c>
    </row>
    <row r="212" spans="1:11" ht="13">
      <c r="A212" s="3">
        <f t="shared" si="40"/>
        <v>22</v>
      </c>
      <c r="B212" s="11">
        <f t="shared" si="41"/>
        <v>3.2258064516129031E-2</v>
      </c>
      <c r="C212" s="11">
        <f t="shared" si="41"/>
        <v>3.7614834527650701E-2</v>
      </c>
      <c r="D212" s="11">
        <f t="shared" si="41"/>
        <v>4.4946222764207365E-2</v>
      </c>
      <c r="E212" s="11">
        <f t="shared" si="41"/>
        <v>5.5518696006475562E-2</v>
      </c>
      <c r="F212" s="11">
        <f t="shared" si="41"/>
        <v>7.1896265361782785E-2</v>
      </c>
      <c r="G212" s="11">
        <f t="shared" si="41"/>
        <v>0.1</v>
      </c>
      <c r="H212" s="11">
        <f t="shared" si="41"/>
        <v>0.15614012961679735</v>
      </c>
      <c r="I212" s="11">
        <f t="shared" si="41"/>
        <v>0.29476496417594561</v>
      </c>
      <c r="J212" s="11">
        <f t="shared" si="41"/>
        <v>0.64914730224401584</v>
      </c>
      <c r="K212" s="11">
        <f t="shared" si="41"/>
        <v>0.94967293838331635</v>
      </c>
    </row>
    <row r="213" spans="1:11" ht="13">
      <c r="A213" s="3">
        <f t="shared" si="40"/>
        <v>23</v>
      </c>
      <c r="B213" s="11">
        <f t="shared" si="41"/>
        <v>3.125E-2</v>
      </c>
      <c r="C213" s="11">
        <f t="shared" si="41"/>
        <v>3.652427575683595E-2</v>
      </c>
      <c r="D213" s="11">
        <f t="shared" si="41"/>
        <v>4.378719936620934E-2</v>
      </c>
      <c r="E213" s="11">
        <f t="shared" si="41"/>
        <v>5.4352778948902017E-2</v>
      </c>
      <c r="F213" s="11">
        <f t="shared" si="41"/>
        <v>7.0935785217224989E-2</v>
      </c>
      <c r="G213" s="11">
        <f t="shared" si="41"/>
        <v>0.1</v>
      </c>
      <c r="H213" s="11">
        <f t="shared" si="41"/>
        <v>0.16023478116891679</v>
      </c>
      <c r="I213" s="11">
        <f t="shared" si="41"/>
        <v>0.31845186538036491</v>
      </c>
      <c r="J213" s="11">
        <f t="shared" si="41"/>
        <v>0.71995306263106829</v>
      </c>
      <c r="K213" s="11">
        <f t="shared" si="41"/>
        <v>0.9707656257222157</v>
      </c>
    </row>
    <row r="214" spans="1:11" ht="13">
      <c r="A214" s="3">
        <f t="shared" si="40"/>
        <v>24</v>
      </c>
      <c r="B214" s="11">
        <f t="shared" si="41"/>
        <v>3.0303030303030304E-2</v>
      </c>
      <c r="C214" s="11">
        <f t="shared" si="41"/>
        <v>3.5494938424617137E-2</v>
      </c>
      <c r="D214" s="11">
        <f t="shared" si="41"/>
        <v>4.2685913572686224E-2</v>
      </c>
      <c r="E214" s="11">
        <f t="shared" si="41"/>
        <v>5.3233995187933723E-2</v>
      </c>
      <c r="F214" s="11">
        <f t="shared" si="41"/>
        <v>6.9999854344505161E-2</v>
      </c>
      <c r="G214" s="11">
        <f t="shared" si="41"/>
        <v>0.1</v>
      </c>
      <c r="H214" s="11">
        <f t="shared" si="41"/>
        <v>0.16452497634404895</v>
      </c>
      <c r="I214" s="11">
        <f t="shared" si="41"/>
        <v>0.3450208560885491</v>
      </c>
      <c r="J214" s="11">
        <f t="shared" si="41"/>
        <v>0.7863866854278041</v>
      </c>
      <c r="K214" s="11">
        <f t="shared" si="41"/>
        <v>0.98333187243822673</v>
      </c>
    </row>
    <row r="215" spans="1:11" ht="13">
      <c r="A215" s="3">
        <f t="shared" si="40"/>
        <v>25</v>
      </c>
      <c r="B215" s="11">
        <f t="shared" si="41"/>
        <v>2.9411764705882356E-2</v>
      </c>
      <c r="C215" s="11">
        <f t="shared" si="41"/>
        <v>3.4521820877182606E-2</v>
      </c>
      <c r="D215" s="11">
        <f t="shared" si="41"/>
        <v>4.1638182281983752E-2</v>
      </c>
      <c r="E215" s="11">
        <f t="shared" si="41"/>
        <v>5.2159577029406573E-2</v>
      </c>
      <c r="F215" s="11">
        <f t="shared" si="41"/>
        <v>6.9087563953766223E-2</v>
      </c>
      <c r="G215" s="11">
        <f t="shared" si="41"/>
        <v>0.1</v>
      </c>
      <c r="H215" s="11">
        <f t="shared" si="41"/>
        <v>0.16902362778563371</v>
      </c>
      <c r="I215" s="11">
        <f t="shared" si="41"/>
        <v>0.37479067122074011</v>
      </c>
      <c r="J215" s="11">
        <f t="shared" si="41"/>
        <v>0.84419642106302462</v>
      </c>
      <c r="K215" s="11">
        <f t="shared" si="41"/>
        <v>0.9906018454787231</v>
      </c>
    </row>
    <row r="216" spans="1:11" ht="13">
      <c r="A216" s="3">
        <f t="shared" si="40"/>
        <v>26</v>
      </c>
      <c r="B216" s="11">
        <f t="shared" si="41"/>
        <v>2.8571428571428574E-2</v>
      </c>
      <c r="C216" s="11">
        <f t="shared" si="41"/>
        <v>3.3600450818069998E-2</v>
      </c>
      <c r="D216" s="11">
        <f t="shared" si="41"/>
        <v>4.0640215044281294E-2</v>
      </c>
      <c r="E216" s="11">
        <f t="shared" si="41"/>
        <v>5.1126967289133442E-2</v>
      </c>
      <c r="F216" s="11">
        <f t="shared" si="41"/>
        <v>6.819804876042948E-2</v>
      </c>
      <c r="G216" s="11">
        <f t="shared" si="41"/>
        <v>0.1</v>
      </c>
      <c r="H216" s="11">
        <f t="shared" si="41"/>
        <v>0.17374468322501571</v>
      </c>
      <c r="I216" s="11">
        <f t="shared" si="41"/>
        <v>0.40805065844844185</v>
      </c>
      <c r="J216" s="11">
        <f t="shared" si="41"/>
        <v>0.89086332446420124</v>
      </c>
      <c r="K216" s="11">
        <f t="shared" si="41"/>
        <v>0.99473502658282431</v>
      </c>
    </row>
    <row r="217" spans="1:11" ht="13">
      <c r="A217" s="3">
        <f t="shared" si="40"/>
        <v>27</v>
      </c>
      <c r="B217" s="11">
        <f t="shared" si="41"/>
        <v>2.777777777777778E-2</v>
      </c>
      <c r="C217" s="11">
        <f t="shared" si="41"/>
        <v>3.2726817189126824E-2</v>
      </c>
      <c r="D217" s="11">
        <f t="shared" si="41"/>
        <v>3.9688569226366981E-2</v>
      </c>
      <c r="E217" s="11">
        <f t="shared" si="41"/>
        <v>5.013379981044757E-2</v>
      </c>
      <c r="F217" s="11">
        <f t="shared" si="41"/>
        <v>6.733048445404792E-2</v>
      </c>
      <c r="G217" s="11">
        <f t="shared" si="41"/>
        <v>0.1</v>
      </c>
      <c r="H217" s="11">
        <f t="shared" si="41"/>
        <v>0.17870321573769901</v>
      </c>
      <c r="I217" s="11">
        <f t="shared" si="41"/>
        <v>0.44501391699576398</v>
      </c>
      <c r="J217" s="11">
        <f t="shared" si="41"/>
        <v>0.92606830308406352</v>
      </c>
      <c r="K217" s="11">
        <f t="shared" si="41"/>
        <v>0.99706129791666265</v>
      </c>
    </row>
    <row r="218" spans="1:11" ht="13">
      <c r="A218" s="3">
        <f t="shared" si="40"/>
        <v>28</v>
      </c>
      <c r="B218" s="11">
        <f t="shared" si="41"/>
        <v>2.7027027027027029E-2</v>
      </c>
      <c r="C218" s="11">
        <f t="shared" si="41"/>
        <v>3.189731229279525E-2</v>
      </c>
      <c r="D218" s="11">
        <f t="shared" si="41"/>
        <v>3.8780111162129427E-2</v>
      </c>
      <c r="E218" s="11">
        <f t="shared" si="41"/>
        <v>4.9177882090977648E-2</v>
      </c>
      <c r="F218" s="11">
        <f t="shared" si="41"/>
        <v>6.6484085339218263E-2</v>
      </c>
      <c r="G218" s="11">
        <f t="shared" si="41"/>
        <v>0.1</v>
      </c>
      <c r="H218" s="11">
        <f t="shared" si="41"/>
        <v>0.18391552107806564</v>
      </c>
      <c r="I218" s="11">
        <f t="shared" si="41"/>
        <v>0.48575019214130533</v>
      </c>
      <c r="J218" s="11">
        <f t="shared" si="41"/>
        <v>0.95118607144177802</v>
      </c>
      <c r="K218" s="11">
        <f t="shared" si="41"/>
        <v>0.9983631181848398</v>
      </c>
    </row>
    <row r="219" spans="1:11" ht="13">
      <c r="A219" s="3">
        <f t="shared" si="40"/>
        <v>29</v>
      </c>
      <c r="B219" s="11">
        <f t="shared" si="41"/>
        <v>2.6315789473684213E-2</v>
      </c>
      <c r="C219" s="11">
        <f t="shared" si="41"/>
        <v>3.1108682405306752E-2</v>
      </c>
      <c r="D219" s="11">
        <f t="shared" si="41"/>
        <v>3.7911982379514611E-2</v>
      </c>
      <c r="E219" s="11">
        <f t="shared" si="41"/>
        <v>4.8257179758669611E-2</v>
      </c>
      <c r="F219" s="11">
        <f t="shared" si="41"/>
        <v>6.5658102135256372E-2</v>
      </c>
      <c r="G219" s="11">
        <f t="shared" si="41"/>
        <v>0.1</v>
      </c>
      <c r="H219" s="11">
        <f t="shared" si="41"/>
        <v>0.18939922219093203</v>
      </c>
      <c r="I219" s="11">
        <f t="shared" si="41"/>
        <v>0.53009996788543268</v>
      </c>
      <c r="J219" s="11">
        <f t="shared" si="41"/>
        <v>0.96836125693785036</v>
      </c>
      <c r="K219" s="11">
        <f t="shared" si="41"/>
        <v>0.99908929722023643</v>
      </c>
    </row>
    <row r="220" spans="1:11" ht="13">
      <c r="A220" s="3">
        <f t="shared" si="40"/>
        <v>30</v>
      </c>
      <c r="B220" s="11">
        <f t="shared" si="41"/>
        <v>2.5641025641025644E-2</v>
      </c>
      <c r="C220" s="11">
        <f t="shared" si="41"/>
        <v>3.0357985463795943E-2</v>
      </c>
      <c r="D220" s="11">
        <f t="shared" si="41"/>
        <v>3.7081570148770025E-2</v>
      </c>
      <c r="E220" s="11">
        <f t="shared" si="41"/>
        <v>4.7369802672840959E-2</v>
      </c>
      <c r="F220" s="11">
        <f t="shared" si="41"/>
        <v>6.4851819922484608E-2</v>
      </c>
      <c r="G220" s="11">
        <f t="shared" si="41"/>
        <v>0.1</v>
      </c>
      <c r="H220" s="11">
        <f t="shared" si="41"/>
        <v>0.19517338080939778</v>
      </c>
      <c r="I220" s="11">
        <f t="shared" si="41"/>
        <v>0.57758088603739244</v>
      </c>
      <c r="J220" s="11">
        <f t="shared" si="41"/>
        <v>0.97975294230982013</v>
      </c>
      <c r="K220" s="11">
        <f t="shared" si="41"/>
        <v>0.99949364429607224</v>
      </c>
    </row>
    <row r="222" spans="1:11">
      <c r="E222" s="1" t="s">
        <v>11</v>
      </c>
    </row>
    <row r="223" spans="1:11">
      <c r="E223" s="6" t="s">
        <v>12</v>
      </c>
    </row>
    <row r="224" spans="1:11">
      <c r="A224" t="s">
        <v>13</v>
      </c>
      <c r="B224">
        <f>B189+I$11</f>
        <v>-0.19999999999999996</v>
      </c>
      <c r="E224" s="7" t="s">
        <v>14</v>
      </c>
    </row>
    <row r="225" spans="1:11" ht="13">
      <c r="A225" t="s">
        <v>15</v>
      </c>
      <c r="B225" s="5">
        <v>1</v>
      </c>
      <c r="C225" s="4">
        <f t="shared" ref="C225:K225" si="42">B225+$D$11</f>
        <v>0.8</v>
      </c>
      <c r="D225" s="4">
        <f t="shared" si="42"/>
        <v>0.60000000000000009</v>
      </c>
      <c r="E225" s="4">
        <f t="shared" si="42"/>
        <v>0.40000000000000008</v>
      </c>
      <c r="F225" s="4">
        <f t="shared" si="42"/>
        <v>0.20000000000000007</v>
      </c>
      <c r="G225" s="4">
        <f t="shared" si="42"/>
        <v>5.5511151231257827E-17</v>
      </c>
      <c r="H225" s="4">
        <f t="shared" si="42"/>
        <v>-0.19999999999999996</v>
      </c>
      <c r="I225" s="4">
        <f t="shared" si="42"/>
        <v>-0.39999999999999997</v>
      </c>
      <c r="J225" s="4">
        <f t="shared" si="42"/>
        <v>-0.6</v>
      </c>
      <c r="K225" s="4">
        <f t="shared" si="42"/>
        <v>-0.8</v>
      </c>
    </row>
    <row r="226" spans="1:11" ht="13">
      <c r="A226" s="3">
        <v>1</v>
      </c>
      <c r="B226" s="9">
        <f t="shared" ref="B226:K226" si="43">$D$10</f>
        <v>0.1</v>
      </c>
      <c r="C226" s="11">
        <f t="shared" si="43"/>
        <v>0.1</v>
      </c>
      <c r="D226" s="11">
        <f t="shared" si="43"/>
        <v>0.1</v>
      </c>
      <c r="E226" s="11">
        <f t="shared" si="43"/>
        <v>0.1</v>
      </c>
      <c r="F226" s="11">
        <f t="shared" si="43"/>
        <v>0.1</v>
      </c>
      <c r="G226" s="11">
        <f t="shared" si="43"/>
        <v>0.1</v>
      </c>
      <c r="H226" s="11">
        <f t="shared" si="43"/>
        <v>0.1</v>
      </c>
      <c r="I226" s="11">
        <f t="shared" si="43"/>
        <v>0.1</v>
      </c>
      <c r="J226" s="11">
        <f t="shared" si="43"/>
        <v>0.1</v>
      </c>
      <c r="K226" s="11">
        <f t="shared" si="43"/>
        <v>0.1</v>
      </c>
    </row>
    <row r="227" spans="1:11" ht="13">
      <c r="A227" s="3">
        <f>A226+1</f>
        <v>2</v>
      </c>
      <c r="B227" s="10">
        <f>B226*(1-B226*B$15)/(1-B$15*B226*B226-$B$224*(1-B226)^2)</f>
        <v>7.8125000000000014E-2</v>
      </c>
      <c r="C227" s="11">
        <f t="shared" ref="C227:K227" si="44">C226*(1-C226*C$15)/(1-C$15*C226*C226-$B$224*(1-C226)^2)</f>
        <v>7.9722703639514739E-2</v>
      </c>
      <c r="D227" s="11">
        <f t="shared" si="44"/>
        <v>8.1314878892733575E-2</v>
      </c>
      <c r="E227" s="11">
        <f t="shared" si="44"/>
        <v>8.2901554404145081E-2</v>
      </c>
      <c r="F227" s="11">
        <f t="shared" si="44"/>
        <v>8.4482758620689657E-2</v>
      </c>
      <c r="G227" s="11">
        <f t="shared" si="44"/>
        <v>8.6058519793459562E-2</v>
      </c>
      <c r="H227" s="11">
        <f t="shared" si="44"/>
        <v>8.7628865979381451E-2</v>
      </c>
      <c r="I227" s="11">
        <f t="shared" si="44"/>
        <v>8.9193825042881661E-2</v>
      </c>
      <c r="J227" s="11">
        <f t="shared" si="44"/>
        <v>9.0753424657534262E-2</v>
      </c>
      <c r="K227" s="11">
        <f t="shared" si="44"/>
        <v>9.2307692307692327E-2</v>
      </c>
    </row>
    <row r="228" spans="1:11" ht="13">
      <c r="A228" s="3">
        <f t="shared" ref="A228:A243" si="45">A227+1</f>
        <v>3</v>
      </c>
      <c r="B228" s="11">
        <f t="shared" ref="B228:K243" si="46">B227*(1-B227*B$15)/(1-B$15*B227*B227-$B$224*(1-B227)^2)</f>
        <v>6.1881188118811895E-2</v>
      </c>
      <c r="C228" s="11">
        <f t="shared" si="46"/>
        <v>6.4105725999436591E-2</v>
      </c>
      <c r="D228" s="11">
        <f t="shared" si="46"/>
        <v>6.6402535983479935E-2</v>
      </c>
      <c r="E228" s="11">
        <f t="shared" si="46"/>
        <v>6.8772977306023164E-2</v>
      </c>
      <c r="F228" s="11">
        <f t="shared" si="46"/>
        <v>7.1218316034176887E-2</v>
      </c>
      <c r="G228" s="11">
        <f t="shared" si="46"/>
        <v>7.3739723398616897E-2</v>
      </c>
      <c r="H228" s="11">
        <f t="shared" si="46"/>
        <v>7.63382742336145E-2</v>
      </c>
      <c r="I228" s="11">
        <f t="shared" si="46"/>
        <v>7.9014945535918313E-2</v>
      </c>
      <c r="J228" s="11">
        <f t="shared" si="46"/>
        <v>8.1770615152420165E-2</v>
      </c>
      <c r="K228" s="11">
        <f t="shared" si="46"/>
        <v>8.4606060606060629E-2</v>
      </c>
    </row>
    <row r="229" spans="1:11" ht="13">
      <c r="A229" s="3">
        <f t="shared" si="45"/>
        <v>4</v>
      </c>
      <c r="B229" s="11">
        <f t="shared" si="46"/>
        <v>4.952456418383519E-2</v>
      </c>
      <c r="C229" s="11">
        <f t="shared" si="46"/>
        <v>5.1897351965766954E-2</v>
      </c>
      <c r="D229" s="11">
        <f t="shared" si="46"/>
        <v>5.4415211888484867E-2</v>
      </c>
      <c r="E229" s="11">
        <f t="shared" si="46"/>
        <v>5.7087944614112582E-2</v>
      </c>
      <c r="F229" s="11">
        <f t="shared" si="46"/>
        <v>5.9925861588431856E-2</v>
      </c>
      <c r="G229" s="11">
        <f t="shared" si="46"/>
        <v>6.2939783914206529E-2</v>
      </c>
      <c r="H229" s="11">
        <f t="shared" si="46"/>
        <v>6.6141035035158793E-2</v>
      </c>
      <c r="I229" s="11">
        <f t="shared" si="46"/>
        <v>6.9541426355176461E-2</v>
      </c>
      <c r="J229" s="11">
        <f t="shared" si="46"/>
        <v>7.3153234890289034E-2</v>
      </c>
      <c r="K229" s="11">
        <f t="shared" si="46"/>
        <v>7.698917203919059E-2</v>
      </c>
    </row>
    <row r="230" spans="1:11" ht="13">
      <c r="A230" s="3">
        <f t="shared" si="45"/>
        <v>5</v>
      </c>
      <c r="B230" s="11">
        <f t="shared" si="46"/>
        <v>3.9951419074405532E-2</v>
      </c>
      <c r="C230" s="11">
        <f t="shared" si="46"/>
        <v>4.2239831353409099E-2</v>
      </c>
      <c r="D230" s="11">
        <f t="shared" si="46"/>
        <v>4.4720805972249457E-2</v>
      </c>
      <c r="E230" s="11">
        <f t="shared" si="46"/>
        <v>4.7414971625883477E-2</v>
      </c>
      <c r="F230" s="11">
        <f t="shared" si="46"/>
        <v>5.0345362925947122E-2</v>
      </c>
      <c r="G230" s="11">
        <f t="shared" si="46"/>
        <v>5.3537689279973391E-2</v>
      </c>
      <c r="H230" s="11">
        <f t="shared" si="46"/>
        <v>5.7020621424125985E-2</v>
      </c>
      <c r="I230" s="11">
        <f t="shared" si="46"/>
        <v>6.0826091892043445E-2</v>
      </c>
      <c r="J230" s="11">
        <f t="shared" si="46"/>
        <v>6.4989603479298774E-2</v>
      </c>
      <c r="K230" s="11">
        <f t="shared" si="46"/>
        <v>6.9550536885567671E-2</v>
      </c>
    </row>
    <row r="231" spans="1:11" ht="13">
      <c r="A231" s="3">
        <f t="shared" si="45"/>
        <v>6</v>
      </c>
      <c r="B231" s="11">
        <f t="shared" si="46"/>
        <v>3.2429122908970161E-2</v>
      </c>
      <c r="C231" s="11">
        <f t="shared" si="46"/>
        <v>3.4527335394499821E-2</v>
      </c>
      <c r="D231" s="11">
        <f t="shared" si="46"/>
        <v>3.6841111262462263E-2</v>
      </c>
      <c r="E231" s="11">
        <f t="shared" si="46"/>
        <v>3.9400572106270654E-2</v>
      </c>
      <c r="F231" s="11">
        <f t="shared" si="46"/>
        <v>4.2240904397672058E-2</v>
      </c>
      <c r="G231" s="11">
        <f t="shared" si="46"/>
        <v>4.5403314107526412E-2</v>
      </c>
      <c r="H231" s="11">
        <f t="shared" si="46"/>
        <v>4.8936163666235273E-2</v>
      </c>
      <c r="I231" s="11">
        <f t="shared" si="46"/>
        <v>5.2896319942733513E-2</v>
      </c>
      <c r="J231" s="11">
        <f t="shared" si="46"/>
        <v>5.7350741579709701E-2</v>
      </c>
      <c r="K231" s="11">
        <f t="shared" si="46"/>
        <v>6.2378329910563732E-2</v>
      </c>
    </row>
    <row r="232" spans="1:11" ht="13">
      <c r="A232" s="3">
        <f t="shared" si="45"/>
        <v>7</v>
      </c>
      <c r="B232" s="11">
        <f t="shared" si="46"/>
        <v>2.6452384015818953E-2</v>
      </c>
      <c r="C232" s="11">
        <f t="shared" si="46"/>
        <v>2.8320850569900895E-2</v>
      </c>
      <c r="D232" s="11">
        <f t="shared" si="46"/>
        <v>3.0409490051972521E-2</v>
      </c>
      <c r="E232" s="11">
        <f t="shared" si="46"/>
        <v>3.275500521549779E-2</v>
      </c>
      <c r="F232" s="11">
        <f t="shared" si="46"/>
        <v>3.540183990903762E-2</v>
      </c>
      <c r="G232" s="11">
        <f t="shared" si="46"/>
        <v>3.8404125175109757E-2</v>
      </c>
      <c r="H232" s="11">
        <f t="shared" si="46"/>
        <v>4.1828175236070242E-2</v>
      </c>
      <c r="I232" s="11">
        <f t="shared" si="46"/>
        <v>4.5755696806700628E-2</v>
      </c>
      <c r="J232" s="11">
        <f t="shared" si="46"/>
        <v>5.0287920012789068E-2</v>
      </c>
      <c r="K232" s="11">
        <f t="shared" si="46"/>
        <v>5.5550910200871509E-2</v>
      </c>
    </row>
    <row r="233" spans="1:11" ht="13">
      <c r="A233" s="3">
        <f t="shared" si="45"/>
        <v>8</v>
      </c>
      <c r="B233" s="11">
        <f t="shared" si="46"/>
        <v>2.1661651792101382E-2</v>
      </c>
      <c r="C233" s="11">
        <f t="shared" si="46"/>
        <v>2.3295251082957328E-2</v>
      </c>
      <c r="D233" s="11">
        <f t="shared" si="46"/>
        <v>2.5141469337629282E-2</v>
      </c>
      <c r="E233" s="11">
        <f t="shared" si="46"/>
        <v>2.724049946967037E-2</v>
      </c>
      <c r="F233" s="11">
        <f t="shared" si="46"/>
        <v>2.9642450643437335E-2</v>
      </c>
      <c r="G233" s="11">
        <f t="shared" si="46"/>
        <v>3.2410368039496817E-2</v>
      </c>
      <c r="H233" s="11">
        <f t="shared" si="46"/>
        <v>3.5624336329872386E-2</v>
      </c>
      <c r="I233" s="11">
        <f t="shared" si="46"/>
        <v>3.9387106668579579E-2</v>
      </c>
      <c r="J233" s="11">
        <f t="shared" si="46"/>
        <v>4.3831878569772602E-2</v>
      </c>
      <c r="K233" s="11">
        <f t="shared" si="46"/>
        <v>4.9133141037041722E-2</v>
      </c>
    </row>
    <row r="234" spans="1:11" ht="13">
      <c r="A234" s="3">
        <f t="shared" si="45"/>
        <v>9</v>
      </c>
      <c r="B234" s="11">
        <f t="shared" si="46"/>
        <v>1.7794405680288616E-2</v>
      </c>
      <c r="C234" s="11">
        <f t="shared" si="46"/>
        <v>1.920527167920897E-2</v>
      </c>
      <c r="D234" s="11">
        <f t="shared" si="46"/>
        <v>2.0813994640585056E-2</v>
      </c>
      <c r="E234" s="11">
        <f t="shared" si="46"/>
        <v>2.2661642096431921E-2</v>
      </c>
      <c r="F234" s="11">
        <f t="shared" si="46"/>
        <v>2.4800647041456909E-2</v>
      </c>
      <c r="G234" s="11">
        <f t="shared" si="46"/>
        <v>2.7298781970991514E-2</v>
      </c>
      <c r="H234" s="11">
        <f t="shared" si="46"/>
        <v>3.0244818527965903E-2</v>
      </c>
      <c r="I234" s="11">
        <f t="shared" si="46"/>
        <v>3.37567125541351E-2</v>
      </c>
      <c r="J234" s="11">
        <f t="shared" si="46"/>
        <v>3.7993629896610003E-2</v>
      </c>
      <c r="K234" s="11">
        <f t="shared" si="46"/>
        <v>4.3173897106880882E-2</v>
      </c>
    </row>
    <row r="235" spans="1:11" ht="13">
      <c r="A235" s="3">
        <f t="shared" si="45"/>
        <v>10</v>
      </c>
      <c r="B235" s="11">
        <f t="shared" si="46"/>
        <v>1.4654822166373227E-2</v>
      </c>
      <c r="C235" s="11">
        <f t="shared" si="46"/>
        <v>1.5862974473224843E-2</v>
      </c>
      <c r="D235" s="11">
        <f t="shared" si="46"/>
        <v>1.725055981000078E-2</v>
      </c>
      <c r="E235" s="11">
        <f t="shared" si="46"/>
        <v>1.8857580370381041E-2</v>
      </c>
      <c r="F235" s="11">
        <f t="shared" si="46"/>
        <v>2.0736116890942489E-2</v>
      </c>
      <c r="G235" s="11">
        <f t="shared" si="46"/>
        <v>2.2955015191326391E-2</v>
      </c>
      <c r="H235" s="11">
        <f t="shared" si="46"/>
        <v>2.5606823586253664E-2</v>
      </c>
      <c r="I235" s="11">
        <f t="shared" si="46"/>
        <v>2.8818283066353437E-2</v>
      </c>
      <c r="J235" s="11">
        <f t="shared" si="46"/>
        <v>3.2766556985625431E-2</v>
      </c>
      <c r="K235" s="11">
        <f t="shared" si="46"/>
        <v>3.7704959958431164E-2</v>
      </c>
    </row>
    <row r="236" spans="1:11" ht="13">
      <c r="A236" s="3">
        <f t="shared" si="45"/>
        <v>11</v>
      </c>
      <c r="B236" s="11">
        <f t="shared" si="46"/>
        <v>1.2094192973793196E-2</v>
      </c>
      <c r="C236" s="11">
        <f t="shared" si="46"/>
        <v>1.3122427355827186E-2</v>
      </c>
      <c r="D236" s="11">
        <f t="shared" si="46"/>
        <v>1.431038247423747E-2</v>
      </c>
      <c r="E236" s="11">
        <f t="shared" si="46"/>
        <v>1.5695705459185055E-2</v>
      </c>
      <c r="F236" s="11">
        <f t="shared" si="46"/>
        <v>1.7328206221741062E-2</v>
      </c>
      <c r="G236" s="11">
        <f t="shared" si="46"/>
        <v>1.9274972317955961E-2</v>
      </c>
      <c r="H236" s="11">
        <f t="shared" si="46"/>
        <v>2.1628187012065325E-2</v>
      </c>
      <c r="I236" s="11">
        <f t="shared" si="46"/>
        <v>2.4517402748012913E-2</v>
      </c>
      <c r="J236" s="11">
        <f t="shared" si="46"/>
        <v>2.8129388156078818E-2</v>
      </c>
      <c r="K236" s="11">
        <f t="shared" si="46"/>
        <v>3.2741289713989243E-2</v>
      </c>
    </row>
    <row r="237" spans="1:11" ht="13">
      <c r="A237" s="3">
        <f t="shared" si="45"/>
        <v>12</v>
      </c>
      <c r="B237" s="11">
        <f t="shared" si="46"/>
        <v>9.997883258522312E-3</v>
      </c>
      <c r="C237" s="11">
        <f t="shared" si="46"/>
        <v>1.0869035921819701E-2</v>
      </c>
      <c r="D237" s="11">
        <f t="shared" si="46"/>
        <v>1.1880407246973718E-2</v>
      </c>
      <c r="E237" s="11">
        <f t="shared" si="46"/>
        <v>1.306653549161158E-2</v>
      </c>
      <c r="F237" s="11">
        <f t="shared" si="46"/>
        <v>1.4473728647909856E-2</v>
      </c>
      <c r="G237" s="11">
        <f t="shared" si="46"/>
        <v>1.616533810980663E-2</v>
      </c>
      <c r="H237" s="11">
        <f t="shared" si="46"/>
        <v>1.8230037267712371E-2</v>
      </c>
      <c r="I237" s="11">
        <f t="shared" si="46"/>
        <v>2.0795234980139944E-2</v>
      </c>
      <c r="J237" s="11">
        <f t="shared" si="46"/>
        <v>2.404960186600048E-2</v>
      </c>
      <c r="K237" s="11">
        <f t="shared" si="46"/>
        <v>2.8282472180416785E-2</v>
      </c>
    </row>
    <row r="238" spans="1:11" ht="13">
      <c r="A238" s="3">
        <f t="shared" si="45"/>
        <v>13</v>
      </c>
      <c r="B238" s="11">
        <f t="shared" si="46"/>
        <v>8.2764050279223178E-3</v>
      </c>
      <c r="C238" s="11">
        <f t="shared" si="46"/>
        <v>9.0119553804403063E-3</v>
      </c>
      <c r="D238" s="11">
        <f t="shared" si="46"/>
        <v>9.8693154952184201E-3</v>
      </c>
      <c r="E238" s="11">
        <f t="shared" si="46"/>
        <v>1.087956378105925E-2</v>
      </c>
      <c r="F238" s="11">
        <f t="shared" si="46"/>
        <v>1.2084829919432664E-2</v>
      </c>
      <c r="G238" s="11">
        <f t="shared" si="46"/>
        <v>1.3543503669607817E-2</v>
      </c>
      <c r="H238" s="11">
        <f t="shared" si="46"/>
        <v>1.5338595307352394E-2</v>
      </c>
      <c r="I238" s="11">
        <f t="shared" si="46"/>
        <v>1.7591646877878984E-2</v>
      </c>
      <c r="J238" s="11">
        <f t="shared" si="46"/>
        <v>2.0486860671431451E-2</v>
      </c>
      <c r="K238" s="11">
        <f t="shared" si="46"/>
        <v>2.4315013926530578E-2</v>
      </c>
    </row>
    <row r="239" spans="1:11" ht="13">
      <c r="A239" s="3">
        <f t="shared" si="45"/>
        <v>14</v>
      </c>
      <c r="B239" s="11">
        <f t="shared" si="46"/>
        <v>6.8591580763417001E-3</v>
      </c>
      <c r="C239" s="11">
        <f t="shared" si="46"/>
        <v>7.4785885138998164E-3</v>
      </c>
      <c r="D239" s="11">
        <f t="shared" si="46"/>
        <v>8.2029801509004279E-3</v>
      </c>
      <c r="E239" s="11">
        <f t="shared" si="46"/>
        <v>9.0598827676991803E-3</v>
      </c>
      <c r="F239" s="11">
        <f t="shared" si="46"/>
        <v>1.0086984243491146E-2</v>
      </c>
      <c r="G239" s="11">
        <f t="shared" si="46"/>
        <v>1.1337087767561607E-2</v>
      </c>
      <c r="H239" s="11">
        <f t="shared" si="46"/>
        <v>1.2886249904462773E-2</v>
      </c>
      <c r="I239" s="11">
        <f t="shared" si="46"/>
        <v>1.4847628405101281E-2</v>
      </c>
      <c r="J239" s="11">
        <f t="shared" si="46"/>
        <v>1.7396169676554031E-2</v>
      </c>
      <c r="K239" s="11">
        <f t="shared" si="46"/>
        <v>2.0815109510307229E-2</v>
      </c>
    </row>
    <row r="240" spans="1:11" ht="13">
      <c r="A240" s="3">
        <f t="shared" si="45"/>
        <v>15</v>
      </c>
      <c r="B240" s="11">
        <f t="shared" si="46"/>
        <v>5.6899462364967393E-3</v>
      </c>
      <c r="C240" s="11">
        <f t="shared" si="46"/>
        <v>6.2105265701929381E-3</v>
      </c>
      <c r="D240" s="11">
        <f t="shared" si="46"/>
        <v>6.820976119935024E-3</v>
      </c>
      <c r="E240" s="11">
        <f t="shared" si="46"/>
        <v>7.5454319474847096E-3</v>
      </c>
      <c r="F240" s="11">
        <f t="shared" si="46"/>
        <v>8.4171635932344963E-3</v>
      </c>
      <c r="G240" s="11">
        <f t="shared" si="46"/>
        <v>9.4832073120973848E-3</v>
      </c>
      <c r="H240" s="11">
        <f t="shared" si="46"/>
        <v>1.0812061334074984E-2</v>
      </c>
      <c r="I240" s="11">
        <f t="shared" si="46"/>
        <v>1.2507029000140028E-2</v>
      </c>
      <c r="J240" s="11">
        <f t="shared" si="46"/>
        <v>1.4730568001317492E-2</v>
      </c>
      <c r="K240" s="11">
        <f t="shared" si="46"/>
        <v>1.7751527793824603E-2</v>
      </c>
    </row>
    <row r="241" spans="1:11" ht="13">
      <c r="A241" s="3">
        <f t="shared" si="45"/>
        <v>16</v>
      </c>
      <c r="B241" s="11">
        <f t="shared" si="46"/>
        <v>4.7237034512972592E-3</v>
      </c>
      <c r="C241" s="11">
        <f t="shared" si="46"/>
        <v>5.1605077271366902E-3</v>
      </c>
      <c r="D241" s="11">
        <f t="shared" si="46"/>
        <v>5.6738723519279416E-3</v>
      </c>
      <c r="E241" s="11">
        <f t="shared" si="46"/>
        <v>6.2847487920880164E-3</v>
      </c>
      <c r="F241" s="11">
        <f t="shared" si="46"/>
        <v>7.0221972147831296E-3</v>
      </c>
      <c r="G241" s="11">
        <f t="shared" si="46"/>
        <v>7.9276136713970994E-3</v>
      </c>
      <c r="H241" s="11">
        <f t="shared" si="46"/>
        <v>9.0618405034758702E-3</v>
      </c>
      <c r="I241" s="11">
        <f t="shared" si="46"/>
        <v>1.0517691831458797E-2</v>
      </c>
      <c r="J241" s="11">
        <f t="shared" si="46"/>
        <v>1.2443266907747929E-2</v>
      </c>
      <c r="K241" s="11">
        <f t="shared" si="46"/>
        <v>1.5088335835859929E-2</v>
      </c>
    </row>
    <row r="242" spans="1:11" ht="13">
      <c r="A242" s="3">
        <f t="shared" si="45"/>
        <v>17</v>
      </c>
      <c r="B242" s="11">
        <f t="shared" si="46"/>
        <v>3.9240621388355011E-3</v>
      </c>
      <c r="C242" s="11">
        <f t="shared" si="46"/>
        <v>4.2901060456427883E-3</v>
      </c>
      <c r="D242" s="11">
        <f t="shared" si="46"/>
        <v>4.7211102003811237E-3</v>
      </c>
      <c r="E242" s="11">
        <f t="shared" si="46"/>
        <v>5.2351262516371691E-3</v>
      </c>
      <c r="F242" s="11">
        <f t="shared" si="46"/>
        <v>5.8573228955397724E-3</v>
      </c>
      <c r="G242" s="11">
        <f t="shared" si="46"/>
        <v>6.6237789321334489E-3</v>
      </c>
      <c r="H242" s="11">
        <f t="shared" si="46"/>
        <v>7.5879324236087465E-3</v>
      </c>
      <c r="I242" s="11">
        <f t="shared" si="46"/>
        <v>8.8320930397778833E-3</v>
      </c>
      <c r="J242" s="11">
        <f t="shared" si="46"/>
        <v>1.0489230568080364E-2</v>
      </c>
      <c r="K242" s="11">
        <f t="shared" si="46"/>
        <v>1.2787272064502152E-2</v>
      </c>
    </row>
    <row r="243" spans="1:11" ht="13">
      <c r="A243" s="3">
        <f t="shared" si="45"/>
        <v>18</v>
      </c>
      <c r="B243" s="11">
        <f t="shared" si="46"/>
        <v>3.2615195122076327E-3</v>
      </c>
      <c r="C243" s="11">
        <f t="shared" si="46"/>
        <v>3.5679534985149676E-3</v>
      </c>
      <c r="D243" s="11">
        <f t="shared" si="46"/>
        <v>3.9293268480099838E-3</v>
      </c>
      <c r="E243" s="11">
        <f t="shared" si="46"/>
        <v>4.3610999174102123E-3</v>
      </c>
      <c r="F243" s="11">
        <f t="shared" si="46"/>
        <v>4.8849218959874713E-3</v>
      </c>
      <c r="G243" s="11">
        <f t="shared" si="46"/>
        <v>5.5319895498916255E-3</v>
      </c>
      <c r="H243" s="11">
        <f t="shared" si="46"/>
        <v>6.3488094037897295E-3</v>
      </c>
      <c r="I243" s="11">
        <f t="shared" si="46"/>
        <v>7.407598771402131E-3</v>
      </c>
      <c r="J243" s="11">
        <f t="shared" si="46"/>
        <v>8.8262502443199713E-3</v>
      </c>
      <c r="K243" s="11">
        <f t="shared" si="46"/>
        <v>1.080967206398039E-2</v>
      </c>
    </row>
    <row r="244" spans="1:11" ht="13">
      <c r="A244" s="3">
        <f t="shared" ref="A244:A255" si="47">A243+1</f>
        <v>19</v>
      </c>
      <c r="B244" s="11">
        <f t="shared" ref="B244:K255" si="48">B243*(1-B243*B$15)/(1-B$15*B243*B243-$B$224*(1-B243)^2)</f>
        <v>2.7120360212389734E-3</v>
      </c>
      <c r="C244" s="11">
        <f t="shared" si="48"/>
        <v>2.9683569345127251E-3</v>
      </c>
      <c r="D244" s="11">
        <f t="shared" si="48"/>
        <v>3.2710203724180325E-3</v>
      </c>
      <c r="E244" s="11">
        <f t="shared" si="48"/>
        <v>3.6332033046547539E-3</v>
      </c>
      <c r="F244" s="11">
        <f t="shared" si="48"/>
        <v>4.0734239556254014E-3</v>
      </c>
      <c r="G244" s="11">
        <f t="shared" si="48"/>
        <v>4.6184842038522137E-3</v>
      </c>
      <c r="H244" s="11">
        <f t="shared" si="48"/>
        <v>5.3085554108150629E-3</v>
      </c>
      <c r="I244" s="11">
        <f t="shared" si="48"/>
        <v>6.2064444845775302E-3</v>
      </c>
      <c r="J244" s="11">
        <f t="shared" si="48"/>
        <v>7.4155920442563064E-3</v>
      </c>
      <c r="K244" s="11">
        <f t="shared" si="48"/>
        <v>9.1179254710145718E-3</v>
      </c>
    </row>
    <row r="245" spans="1:11" ht="13">
      <c r="A245" s="3">
        <f t="shared" si="47"/>
        <v>20</v>
      </c>
      <c r="B245" s="11">
        <f t="shared" si="48"/>
        <v>2.2559512037479967E-3</v>
      </c>
      <c r="C245" s="11">
        <f t="shared" si="48"/>
        <v>2.4702117228935102E-3</v>
      </c>
      <c r="D245" s="11">
        <f t="shared" si="48"/>
        <v>2.7234797558230079E-3</v>
      </c>
      <c r="E245" s="11">
        <f t="shared" si="48"/>
        <v>3.0269418562022502E-3</v>
      </c>
      <c r="F245" s="11">
        <f t="shared" si="48"/>
        <v>3.3963661122620452E-3</v>
      </c>
      <c r="G245" s="11">
        <f t="shared" si="48"/>
        <v>3.8546573576878928E-3</v>
      </c>
      <c r="H245" s="11">
        <f t="shared" si="48"/>
        <v>4.4363014136126269E-3</v>
      </c>
      <c r="I245" s="11">
        <f t="shared" si="48"/>
        <v>5.1955255694990186E-3</v>
      </c>
      <c r="J245" s="11">
        <f t="shared" si="48"/>
        <v>6.2223081251205252E-3</v>
      </c>
      <c r="K245" s="11">
        <f t="shared" si="48"/>
        <v>7.6764950077072795E-3</v>
      </c>
    </row>
    <row r="246" spans="1:11" ht="13">
      <c r="A246" s="3">
        <f t="shared" si="47"/>
        <v>21</v>
      </c>
      <c r="B246" s="11">
        <f t="shared" si="48"/>
        <v>1.8771361846996828E-3</v>
      </c>
      <c r="C246" s="11">
        <f t="shared" si="48"/>
        <v>2.0561411129653429E-3</v>
      </c>
      <c r="D246" s="11">
        <f t="shared" si="48"/>
        <v>2.2679222796528338E-3</v>
      </c>
      <c r="E246" s="11">
        <f t="shared" si="48"/>
        <v>2.521945866839204E-3</v>
      </c>
      <c r="F246" s="11">
        <f t="shared" si="48"/>
        <v>2.8315882465450993E-3</v>
      </c>
      <c r="G246" s="11">
        <f t="shared" si="48"/>
        <v>3.2163391282351117E-3</v>
      </c>
      <c r="H246" s="11">
        <f t="shared" si="48"/>
        <v>3.7056534615744607E-3</v>
      </c>
      <c r="I246" s="11">
        <f t="shared" si="48"/>
        <v>4.3460705189362183E-3</v>
      </c>
      <c r="J246" s="11">
        <f t="shared" si="48"/>
        <v>5.2152977791834337E-3</v>
      </c>
      <c r="K246" s="11">
        <f t="shared" si="48"/>
        <v>6.4525590358059234E-3</v>
      </c>
    </row>
    <row r="247" spans="1:11" ht="13">
      <c r="A247" s="3">
        <f t="shared" si="47"/>
        <v>22</v>
      </c>
      <c r="B247" s="11">
        <f t="shared" si="48"/>
        <v>1.5623250226948276E-3</v>
      </c>
      <c r="C247" s="11">
        <f t="shared" si="48"/>
        <v>1.7118093089747871E-3</v>
      </c>
      <c r="D247" s="11">
        <f t="shared" si="48"/>
        <v>1.8887946154278312E-3</v>
      </c>
      <c r="E247" s="11">
        <f t="shared" si="48"/>
        <v>2.101270142651602E-3</v>
      </c>
      <c r="F247" s="11">
        <f t="shared" si="48"/>
        <v>2.3605485906695004E-3</v>
      </c>
      <c r="G247" s="11">
        <f t="shared" si="48"/>
        <v>2.6831546257995663E-3</v>
      </c>
      <c r="H247" s="11">
        <f t="shared" si="48"/>
        <v>3.094140971197075E-3</v>
      </c>
      <c r="I247" s="11">
        <f t="shared" si="48"/>
        <v>3.6332506836430217E-3</v>
      </c>
      <c r="J247" s="11">
        <f t="shared" si="48"/>
        <v>4.3671940307217624E-3</v>
      </c>
      <c r="K247" s="11">
        <f t="shared" si="48"/>
        <v>5.4163513904501512E-3</v>
      </c>
    </row>
    <row r="248" spans="1:11" ht="13">
      <c r="A248" s="3">
        <f t="shared" si="47"/>
        <v>23</v>
      </c>
      <c r="B248" s="11">
        <f t="shared" si="48"/>
        <v>1.300582896776541E-3</v>
      </c>
      <c r="C248" s="11">
        <f t="shared" si="48"/>
        <v>1.425369638784919E-3</v>
      </c>
      <c r="D248" s="11">
        <f t="shared" si="48"/>
        <v>1.5732040976085917E-3</v>
      </c>
      <c r="E248" s="11">
        <f t="shared" si="48"/>
        <v>1.7508142731302984E-3</v>
      </c>
      <c r="F248" s="11">
        <f t="shared" si="48"/>
        <v>1.9677434452886238E-3</v>
      </c>
      <c r="G248" s="11">
        <f t="shared" si="48"/>
        <v>2.2379611014276385E-3</v>
      </c>
      <c r="H248" s="11">
        <f t="shared" si="48"/>
        <v>2.5827019333335877E-3</v>
      </c>
      <c r="I248" s="11">
        <f t="shared" si="48"/>
        <v>3.0357656022012083E-3</v>
      </c>
      <c r="J248" s="11">
        <f t="shared" si="48"/>
        <v>3.6541375312483591E-3</v>
      </c>
      <c r="K248" s="11">
        <f t="shared" si="48"/>
        <v>4.5412720865298977E-3</v>
      </c>
    </row>
    <row r="249" spans="1:11" ht="13">
      <c r="A249" s="3">
        <f t="shared" si="47"/>
        <v>24</v>
      </c>
      <c r="B249" s="11">
        <f t="shared" si="48"/>
        <v>1.0828801637003393E-3</v>
      </c>
      <c r="C249" s="11">
        <f t="shared" si="48"/>
        <v>1.1870187659061662E-3</v>
      </c>
      <c r="D249" s="11">
        <f t="shared" si="48"/>
        <v>1.3104542141994127E-3</v>
      </c>
      <c r="E249" s="11">
        <f t="shared" si="48"/>
        <v>1.4588422433200287E-3</v>
      </c>
      <c r="F249" s="11">
        <f t="shared" si="48"/>
        <v>1.6402167105898126E-3</v>
      </c>
      <c r="G249" s="11">
        <f t="shared" si="48"/>
        <v>1.866358305686286E-3</v>
      </c>
      <c r="H249" s="11">
        <f t="shared" si="48"/>
        <v>2.155213969075644E-3</v>
      </c>
      <c r="I249" s="11">
        <f t="shared" si="48"/>
        <v>2.5354306006633203E-3</v>
      </c>
      <c r="J249" s="11">
        <f t="shared" si="48"/>
        <v>3.0554854919626661E-3</v>
      </c>
      <c r="K249" s="11">
        <f t="shared" si="48"/>
        <v>3.8038348840564061E-3</v>
      </c>
    </row>
    <row r="250" spans="1:11" ht="13">
      <c r="A250" s="3">
        <f t="shared" si="47"/>
        <v>25</v>
      </c>
      <c r="B250" s="11">
        <f t="shared" si="48"/>
        <v>9.0174914557536467E-4</v>
      </c>
      <c r="C250" s="11">
        <f t="shared" si="48"/>
        <v>9.8863483508862863E-4</v>
      </c>
      <c r="D250" s="11">
        <f t="shared" si="48"/>
        <v>1.0916640168475334E-3</v>
      </c>
      <c r="E250" s="11">
        <f t="shared" si="48"/>
        <v>1.2155840088090169E-3</v>
      </c>
      <c r="F250" s="11">
        <f t="shared" si="48"/>
        <v>1.3671463457759485E-3</v>
      </c>
      <c r="G250" s="11">
        <f t="shared" si="48"/>
        <v>1.5562658678262445E-3</v>
      </c>
      <c r="H250" s="11">
        <f t="shared" si="48"/>
        <v>1.7980747600644257E-3</v>
      </c>
      <c r="I250" s="11">
        <f t="shared" si="48"/>
        <v>2.1167838190442561E-3</v>
      </c>
      <c r="J250" s="11">
        <f t="shared" si="48"/>
        <v>2.5534907308133112E-3</v>
      </c>
      <c r="K250" s="11">
        <f t="shared" si="48"/>
        <v>3.1835066355731917E-3</v>
      </c>
    </row>
    <row r="251" spans="1:11" ht="13">
      <c r="A251" s="3">
        <f t="shared" si="47"/>
        <v>26</v>
      </c>
      <c r="B251" s="11">
        <f t="shared" si="48"/>
        <v>7.5100614188162822E-4</v>
      </c>
      <c r="C251" s="11">
        <f t="shared" si="48"/>
        <v>8.2348254029300234E-4</v>
      </c>
      <c r="D251" s="11">
        <f t="shared" si="48"/>
        <v>9.094554500819114E-4</v>
      </c>
      <c r="E251" s="11">
        <f t="shared" si="48"/>
        <v>1.0129047989242274E-3</v>
      </c>
      <c r="F251" s="11">
        <f t="shared" si="48"/>
        <v>1.1394963927346131E-3</v>
      </c>
      <c r="G251" s="11">
        <f t="shared" si="48"/>
        <v>1.2975608159508227E-3</v>
      </c>
      <c r="H251" s="11">
        <f t="shared" si="48"/>
        <v>1.4998317990730838E-3</v>
      </c>
      <c r="I251" s="11">
        <f t="shared" si="48"/>
        <v>1.7667227390088689E-3</v>
      </c>
      <c r="J251" s="11">
        <f t="shared" si="48"/>
        <v>2.1329753389390054E-3</v>
      </c>
      <c r="K251" s="11">
        <f t="shared" si="48"/>
        <v>2.6624815289398476E-3</v>
      </c>
    </row>
    <row r="252" spans="1:11" ht="13">
      <c r="A252" s="3">
        <f t="shared" si="47"/>
        <v>27</v>
      </c>
      <c r="B252" s="11">
        <f t="shared" si="48"/>
        <v>6.2552526935523152E-4</v>
      </c>
      <c r="C252" s="11">
        <f t="shared" si="48"/>
        <v>6.8597189579465933E-4</v>
      </c>
      <c r="D252" s="11">
        <f t="shared" si="48"/>
        <v>7.5769589291260764E-4</v>
      </c>
      <c r="E252" s="11">
        <f t="shared" si="48"/>
        <v>8.4403045888622693E-4</v>
      </c>
      <c r="F252" s="11">
        <f t="shared" si="48"/>
        <v>9.497246545466507E-4</v>
      </c>
      <c r="G252" s="11">
        <f t="shared" si="48"/>
        <v>1.0817682631066748E-3</v>
      </c>
      <c r="H252" s="11">
        <f t="shared" si="48"/>
        <v>1.250859169984263E-3</v>
      </c>
      <c r="I252" s="11">
        <f t="shared" si="48"/>
        <v>1.4741752378791895E-3</v>
      </c>
      <c r="J252" s="11">
        <f t="shared" si="48"/>
        <v>1.7810151262098871E-3</v>
      </c>
      <c r="K252" s="11">
        <f t="shared" si="48"/>
        <v>2.2254223817131848E-3</v>
      </c>
    </row>
    <row r="253" spans="1:11" ht="13">
      <c r="A253" s="3">
        <f t="shared" si="47"/>
        <v>28</v>
      </c>
      <c r="B253" s="11">
        <f t="shared" si="48"/>
        <v>5.2105376959630948E-4</v>
      </c>
      <c r="C253" s="11">
        <f t="shared" si="48"/>
        <v>5.7146034456543931E-4</v>
      </c>
      <c r="D253" s="11">
        <f t="shared" si="48"/>
        <v>6.3128575424288179E-4</v>
      </c>
      <c r="E253" s="11">
        <f t="shared" si="48"/>
        <v>7.0331921105145473E-4</v>
      </c>
      <c r="F253" s="11">
        <f t="shared" si="48"/>
        <v>7.9153746351699977E-4</v>
      </c>
      <c r="G253" s="11">
        <f t="shared" si="48"/>
        <v>9.017985557238235E-4</v>
      </c>
      <c r="H253" s="11">
        <f t="shared" si="48"/>
        <v>1.0430777868855642E-3</v>
      </c>
      <c r="I253" s="11">
        <f t="shared" si="48"/>
        <v>1.2298067430224872E-3</v>
      </c>
      <c r="J253" s="11">
        <f t="shared" si="48"/>
        <v>1.4866447144165889E-3</v>
      </c>
      <c r="K253" s="11">
        <f t="shared" si="48"/>
        <v>1.8591918105877975E-3</v>
      </c>
    </row>
    <row r="254" spans="1:11" ht="13">
      <c r="A254" s="3">
        <f t="shared" si="47"/>
        <v>29</v>
      </c>
      <c r="B254" s="11">
        <f t="shared" si="48"/>
        <v>4.3406069535589206E-4</v>
      </c>
      <c r="C254" s="11">
        <f t="shared" si="48"/>
        <v>4.7609000911210124E-4</v>
      </c>
      <c r="D254" s="11">
        <f t="shared" si="48"/>
        <v>5.2598295273753321E-4</v>
      </c>
      <c r="E254" s="11">
        <f t="shared" si="48"/>
        <v>5.8607190343243224E-4</v>
      </c>
      <c r="F254" s="11">
        <f t="shared" si="48"/>
        <v>6.5968418592055663E-4</v>
      </c>
      <c r="G254" s="11">
        <f t="shared" si="48"/>
        <v>7.517246626193633E-4</v>
      </c>
      <c r="H254" s="11">
        <f t="shared" si="48"/>
        <v>8.6971490229484979E-4</v>
      </c>
      <c r="I254" s="11">
        <f t="shared" si="48"/>
        <v>1.0257628150415568E-3</v>
      </c>
      <c r="J254" s="11">
        <f t="shared" si="48"/>
        <v>1.240588595199635E-3</v>
      </c>
      <c r="K254" s="11">
        <f t="shared" si="48"/>
        <v>1.5525886194070074E-3</v>
      </c>
    </row>
    <row r="255" spans="1:11" ht="13">
      <c r="A255" s="3">
        <f t="shared" si="47"/>
        <v>30</v>
      </c>
      <c r="B255" s="11">
        <f t="shared" si="48"/>
        <v>3.6161260491741676E-4</v>
      </c>
      <c r="C255" s="11">
        <f t="shared" si="48"/>
        <v>3.9665355901415968E-4</v>
      </c>
      <c r="D255" s="11">
        <f t="shared" si="48"/>
        <v>4.3825767735289768E-4</v>
      </c>
      <c r="E255" s="11">
        <f t="shared" si="48"/>
        <v>4.8837419485750228E-4</v>
      </c>
      <c r="F255" s="11">
        <f t="shared" si="48"/>
        <v>5.497851859272081E-4</v>
      </c>
      <c r="G255" s="11">
        <f t="shared" si="48"/>
        <v>6.2659416859911943E-4</v>
      </c>
      <c r="H255" s="11">
        <f t="shared" si="48"/>
        <v>7.2509851275250352E-4</v>
      </c>
      <c r="I255" s="11">
        <f t="shared" si="48"/>
        <v>8.5544512020528608E-4</v>
      </c>
      <c r="J255" s="11">
        <f t="shared" si="48"/>
        <v>1.0350203088556737E-3</v>
      </c>
      <c r="K255" s="11">
        <f t="shared" si="48"/>
        <v>1.2960990364182265E-3</v>
      </c>
    </row>
    <row r="257" spans="1:11">
      <c r="E257" s="1" t="s">
        <v>11</v>
      </c>
    </row>
    <row r="258" spans="1:11">
      <c r="E258" s="6" t="s">
        <v>12</v>
      </c>
    </row>
    <row r="259" spans="1:11">
      <c r="A259" t="s">
        <v>13</v>
      </c>
      <c r="B259">
        <f>B224+I$11</f>
        <v>-0.39999999999999997</v>
      </c>
      <c r="E259" s="7" t="s">
        <v>14</v>
      </c>
    </row>
    <row r="260" spans="1:11" ht="13">
      <c r="A260" t="s">
        <v>15</v>
      </c>
      <c r="B260" s="5">
        <v>1</v>
      </c>
      <c r="C260" s="4">
        <f t="shared" ref="C260:K260" si="49">B260+$D$11</f>
        <v>0.8</v>
      </c>
      <c r="D260" s="4">
        <f t="shared" si="49"/>
        <v>0.60000000000000009</v>
      </c>
      <c r="E260" s="4">
        <f t="shared" si="49"/>
        <v>0.40000000000000008</v>
      </c>
      <c r="F260" s="4">
        <f t="shared" si="49"/>
        <v>0.20000000000000007</v>
      </c>
      <c r="G260" s="4">
        <f t="shared" si="49"/>
        <v>5.5511151231257827E-17</v>
      </c>
      <c r="H260" s="4">
        <f t="shared" si="49"/>
        <v>-0.19999999999999996</v>
      </c>
      <c r="I260" s="4">
        <f t="shared" si="49"/>
        <v>-0.39999999999999997</v>
      </c>
      <c r="J260" s="4">
        <f t="shared" si="49"/>
        <v>-0.6</v>
      </c>
      <c r="K260" s="4">
        <f t="shared" si="49"/>
        <v>-0.8</v>
      </c>
    </row>
    <row r="261" spans="1:11" ht="13">
      <c r="A261" s="3">
        <v>1</v>
      </c>
      <c r="B261" s="9">
        <f t="shared" ref="B261:K261" si="50">$D$10</f>
        <v>0.1</v>
      </c>
      <c r="C261" s="11">
        <f t="shared" si="50"/>
        <v>0.1</v>
      </c>
      <c r="D261" s="11">
        <f t="shared" si="50"/>
        <v>0.1</v>
      </c>
      <c r="E261" s="11">
        <f t="shared" si="50"/>
        <v>0.1</v>
      </c>
      <c r="F261" s="11">
        <f t="shared" si="50"/>
        <v>0.1</v>
      </c>
      <c r="G261" s="11">
        <f t="shared" si="50"/>
        <v>0.1</v>
      </c>
      <c r="H261" s="11">
        <f t="shared" si="50"/>
        <v>0.1</v>
      </c>
      <c r="I261" s="11">
        <f t="shared" si="50"/>
        <v>0.1</v>
      </c>
      <c r="J261" s="11">
        <f t="shared" si="50"/>
        <v>0.1</v>
      </c>
      <c r="K261" s="11">
        <f t="shared" si="50"/>
        <v>0.1</v>
      </c>
    </row>
    <row r="262" spans="1:11" ht="13">
      <c r="A262" s="3">
        <f>A261+1</f>
        <v>2</v>
      </c>
      <c r="B262" s="10">
        <f>B261*(1-B261*B$15)/(1-B$15*B261*B261-$B$259*(1-B261)^2)</f>
        <v>6.8493150684931517E-2</v>
      </c>
      <c r="C262" s="11">
        <f t="shared" ref="C262:K262" si="51">C261*(1-C261*C$15)/(1-C$15*C261*C261-$B$259*(1-C261)^2)</f>
        <v>6.9908814589665649E-2</v>
      </c>
      <c r="D262" s="11">
        <f t="shared" si="51"/>
        <v>7.1320182094081933E-2</v>
      </c>
      <c r="E262" s="11">
        <f t="shared" si="51"/>
        <v>7.2727272727272724E-2</v>
      </c>
      <c r="F262" s="11">
        <f t="shared" si="51"/>
        <v>7.4130105900151289E-2</v>
      </c>
      <c r="G262" s="11">
        <f t="shared" si="51"/>
        <v>7.5528700906344406E-2</v>
      </c>
      <c r="H262" s="11">
        <f t="shared" si="51"/>
        <v>7.6923076923076927E-2</v>
      </c>
      <c r="I262" s="11">
        <f t="shared" si="51"/>
        <v>7.8313253012048195E-2</v>
      </c>
      <c r="J262" s="11">
        <f t="shared" si="51"/>
        <v>7.9699248120300756E-2</v>
      </c>
      <c r="K262" s="11">
        <f t="shared" si="51"/>
        <v>8.1081081081081086E-2</v>
      </c>
    </row>
    <row r="263" spans="1:11" ht="13">
      <c r="A263" s="3">
        <f t="shared" ref="A263:A278" si="52">A262+1</f>
        <v>3</v>
      </c>
      <c r="B263" s="11">
        <f t="shared" ref="B263:K278" si="53">B262*(1-B262*B$15)/(1-B$15*B262*B262-$B$259*(1-B262)^2)</f>
        <v>4.7528517110266164E-2</v>
      </c>
      <c r="C263" s="11">
        <f t="shared" si="53"/>
        <v>4.9175272350800776E-2</v>
      </c>
      <c r="D263" s="11">
        <f t="shared" si="53"/>
        <v>5.0873307145901686E-2</v>
      </c>
      <c r="E263" s="11">
        <f t="shared" si="53"/>
        <v>5.2623798965262376E-2</v>
      </c>
      <c r="F263" s="11">
        <f t="shared" si="53"/>
        <v>5.4427876854301789E-2</v>
      </c>
      <c r="G263" s="11">
        <f t="shared" si="53"/>
        <v>5.6286620313246091E-2</v>
      </c>
      <c r="H263" s="11">
        <f t="shared" si="53"/>
        <v>5.8201058201058198E-2</v>
      </c>
      <c r="I263" s="11">
        <f t="shared" si="53"/>
        <v>6.0172167668815162E-2</v>
      </c>
      <c r="J263" s="11">
        <f t="shared" si="53"/>
        <v>6.2200873127088503E-2</v>
      </c>
      <c r="K263" s="11">
        <f t="shared" si="53"/>
        <v>6.4288045251822037E-2</v>
      </c>
    </row>
    <row r="264" spans="1:11" ht="13">
      <c r="A264" s="3">
        <f t="shared" si="52"/>
        <v>4</v>
      </c>
      <c r="B264" s="11">
        <f t="shared" si="53"/>
        <v>3.3271227042853339E-2</v>
      </c>
      <c r="C264" s="11">
        <f t="shared" si="53"/>
        <v>3.4743669213103054E-2</v>
      </c>
      <c r="D264" s="11">
        <f t="shared" si="53"/>
        <v>3.6297498877466292E-2</v>
      </c>
      <c r="E264" s="11">
        <f t="shared" si="53"/>
        <v>3.7938034337086785E-2</v>
      </c>
      <c r="F264" s="11">
        <f t="shared" si="53"/>
        <v>3.9670897215265406E-2</v>
      </c>
      <c r="G264" s="11">
        <f t="shared" si="53"/>
        <v>4.1502023435042834E-2</v>
      </c>
      <c r="H264" s="11">
        <f t="shared" si="53"/>
        <v>4.3437672970003387E-2</v>
      </c>
      <c r="I264" s="11">
        <f t="shared" si="53"/>
        <v>4.5484438093102028E-2</v>
      </c>
      <c r="J264" s="11">
        <f t="shared" si="53"/>
        <v>4.7649249823431515E-2</v>
      </c>
      <c r="K264" s="11">
        <f t="shared" si="53"/>
        <v>4.9939382246328032E-2</v>
      </c>
    </row>
    <row r="265" spans="1:11" ht="13">
      <c r="A265" s="3">
        <f t="shared" si="52"/>
        <v>5</v>
      </c>
      <c r="B265" s="11">
        <f t="shared" si="53"/>
        <v>2.3431056459473649E-2</v>
      </c>
      <c r="C265" s="11">
        <f t="shared" si="53"/>
        <v>2.4624498158897428E-2</v>
      </c>
      <c r="D265" s="11">
        <f t="shared" si="53"/>
        <v>2.5904306339428574E-2</v>
      </c>
      <c r="E265" s="11">
        <f t="shared" si="53"/>
        <v>2.7278741443563376E-2</v>
      </c>
      <c r="F265" s="11">
        <f t="shared" si="53"/>
        <v>2.8756958023791006E-2</v>
      </c>
      <c r="G265" s="11">
        <f t="shared" si="53"/>
        <v>3.0349109615266979E-2</v>
      </c>
      <c r="H265" s="11">
        <f t="shared" si="53"/>
        <v>3.206646495910892E-2</v>
      </c>
      <c r="I265" s="11">
        <f t="shared" si="53"/>
        <v>3.3921536377491235E-2</v>
      </c>
      <c r="J265" s="11">
        <f t="shared" si="53"/>
        <v>3.5928220989424796E-2</v>
      </c>
      <c r="K265" s="11">
        <f t="shared" si="53"/>
        <v>3.8101955269463042E-2</v>
      </c>
    </row>
    <row r="266" spans="1:11" ht="13">
      <c r="A266" s="3">
        <f t="shared" si="52"/>
        <v>6</v>
      </c>
      <c r="B266" s="11">
        <f t="shared" si="53"/>
        <v>1.6570074180908098E-2</v>
      </c>
      <c r="C266" s="11">
        <f t="shared" si="53"/>
        <v>1.7491589458999833E-2</v>
      </c>
      <c r="D266" s="11">
        <f t="shared" si="53"/>
        <v>1.849097485731065E-2</v>
      </c>
      <c r="E266" s="11">
        <f t="shared" si="53"/>
        <v>1.9577376066829879E-2</v>
      </c>
      <c r="F266" s="11">
        <f t="shared" si="53"/>
        <v>2.0761254398219686E-2</v>
      </c>
      <c r="G266" s="11">
        <f t="shared" si="53"/>
        <v>2.2054610228312361E-2</v>
      </c>
      <c r="H266" s="11">
        <f t="shared" si="53"/>
        <v>2.3471248475470573E-2</v>
      </c>
      <c r="I266" s="11">
        <f t="shared" si="53"/>
        <v>2.5027094480126594E-2</v>
      </c>
      <c r="J266" s="11">
        <f t="shared" si="53"/>
        <v>2.6740570288022028E-2</v>
      </c>
      <c r="K266" s="11">
        <f t="shared" si="53"/>
        <v>2.8633043197885118E-2</v>
      </c>
    </row>
    <row r="267" spans="1:11" ht="13">
      <c r="A267" s="3">
        <f t="shared" si="52"/>
        <v>7</v>
      </c>
      <c r="B267" s="11">
        <f t="shared" si="53"/>
        <v>1.1752308717542948E-2</v>
      </c>
      <c r="C267" s="11">
        <f t="shared" si="53"/>
        <v>1.244463504147662E-2</v>
      </c>
      <c r="D267" s="11">
        <f t="shared" si="53"/>
        <v>1.3201438498210918E-2</v>
      </c>
      <c r="E267" s="11">
        <f t="shared" si="53"/>
        <v>1.4031302481193185E-2</v>
      </c>
      <c r="F267" s="11">
        <f t="shared" si="53"/>
        <v>1.4944263935280628E-2</v>
      </c>
      <c r="G267" s="11">
        <f t="shared" si="53"/>
        <v>1.5952114776150429E-2</v>
      </c>
      <c r="H267" s="11">
        <f t="shared" si="53"/>
        <v>1.7068776328944879E-2</v>
      </c>
      <c r="I267" s="11">
        <f t="shared" si="53"/>
        <v>1.831076689920989E-2</v>
      </c>
      <c r="J267" s="11">
        <f t="shared" si="53"/>
        <v>1.969778869048169E-2</v>
      </c>
      <c r="K267" s="11">
        <f t="shared" si="53"/>
        <v>2.125346835225779E-2</v>
      </c>
    </row>
    <row r="268" spans="1:11" ht="13">
      <c r="A268" s="3">
        <f t="shared" si="52"/>
        <v>8</v>
      </c>
      <c r="B268" s="11">
        <f t="shared" si="53"/>
        <v>8.3524374737867137E-3</v>
      </c>
      <c r="C268" s="11">
        <f t="shared" si="53"/>
        <v>8.8639542352090817E-3</v>
      </c>
      <c r="D268" s="11">
        <f t="shared" si="53"/>
        <v>9.4262516672123636E-3</v>
      </c>
      <c r="E268" s="11">
        <f t="shared" si="53"/>
        <v>1.00466612109768E-2</v>
      </c>
      <c r="F268" s="11">
        <f t="shared" si="53"/>
        <v>1.0733890256760664E-2</v>
      </c>
      <c r="G268" s="11">
        <f t="shared" si="53"/>
        <v>1.1498344796810705E-2</v>
      </c>
      <c r="H268" s="11">
        <f t="shared" si="53"/>
        <v>1.2352542777699971E-2</v>
      </c>
      <c r="I268" s="11">
        <f t="shared" si="53"/>
        <v>1.3311648008521878E-2</v>
      </c>
      <c r="J268" s="11">
        <f t="shared" si="53"/>
        <v>1.4394165734514257E-2</v>
      </c>
      <c r="K268" s="11">
        <f t="shared" si="53"/>
        <v>1.5622857002882949E-2</v>
      </c>
    </row>
    <row r="269" spans="1:11" ht="13">
      <c r="A269" s="3">
        <f t="shared" si="52"/>
        <v>9</v>
      </c>
      <c r="B269" s="11">
        <f t="shared" si="53"/>
        <v>5.9447468556721563E-3</v>
      </c>
      <c r="C269" s="11">
        <f t="shared" si="53"/>
        <v>6.3186454401872785E-3</v>
      </c>
      <c r="D269" s="11">
        <f t="shared" si="53"/>
        <v>6.7312996395374443E-3</v>
      </c>
      <c r="E269" s="11">
        <f t="shared" si="53"/>
        <v>7.1886173807868756E-3</v>
      </c>
      <c r="F269" s="11">
        <f t="shared" si="53"/>
        <v>7.6976932516611704E-3</v>
      </c>
      <c r="G269" s="11">
        <f t="shared" si="53"/>
        <v>8.2671100413958878E-3</v>
      </c>
      <c r="H269" s="11">
        <f t="shared" si="53"/>
        <v>8.9073335272100655E-3</v>
      </c>
      <c r="I269" s="11">
        <f t="shared" si="53"/>
        <v>9.6312348287904345E-3</v>
      </c>
      <c r="J269" s="11">
        <f t="shared" si="53"/>
        <v>1.0454789405115411E-2</v>
      </c>
      <c r="K269" s="11">
        <f t="shared" si="53"/>
        <v>1.139802381405665E-2</v>
      </c>
    </row>
    <row r="270" spans="1:11" ht="13">
      <c r="A270" s="3">
        <f t="shared" si="52"/>
        <v>10</v>
      </c>
      <c r="B270" s="11">
        <f t="shared" si="53"/>
        <v>4.235456874507086E-3</v>
      </c>
      <c r="C270" s="11">
        <f t="shared" si="53"/>
        <v>4.5068277341298937E-3</v>
      </c>
      <c r="D270" s="11">
        <f t="shared" si="53"/>
        <v>4.8071741351752607E-3</v>
      </c>
      <c r="E270" s="11">
        <f t="shared" si="53"/>
        <v>5.1410805009744279E-3</v>
      </c>
      <c r="F270" s="11">
        <f t="shared" si="53"/>
        <v>5.5140954720081696E-3</v>
      </c>
      <c r="G270" s="11">
        <f t="shared" si="53"/>
        <v>5.9329905669684149E-3</v>
      </c>
      <c r="H270" s="11">
        <f t="shared" si="53"/>
        <v>6.4061040939239451E-3</v>
      </c>
      <c r="I270" s="11">
        <f t="shared" si="53"/>
        <v>6.9438040994390928E-3</v>
      </c>
      <c r="J270" s="11">
        <f t="shared" si="53"/>
        <v>7.5591199658965828E-3</v>
      </c>
      <c r="K270" s="11">
        <f t="shared" si="53"/>
        <v>8.2686167311385814E-3</v>
      </c>
    </row>
    <row r="271" spans="1:11" ht="13">
      <c r="A271" s="3">
        <f t="shared" si="52"/>
        <v>11</v>
      </c>
      <c r="B271" s="11">
        <f t="shared" si="53"/>
        <v>3.0198447294539289E-3</v>
      </c>
      <c r="C271" s="11">
        <f t="shared" si="53"/>
        <v>3.2158566530401636E-3</v>
      </c>
      <c r="D271" s="11">
        <f t="shared" si="53"/>
        <v>3.43323426636952E-3</v>
      </c>
      <c r="E271" s="11">
        <f t="shared" si="53"/>
        <v>3.6754463069716774E-3</v>
      </c>
      <c r="F271" s="11">
        <f t="shared" si="53"/>
        <v>3.9467146221765581E-3</v>
      </c>
      <c r="G271" s="11">
        <f t="shared" si="53"/>
        <v>4.2522238702167705E-3</v>
      </c>
      <c r="H271" s="11">
        <f t="shared" si="53"/>
        <v>4.5984034161287886E-3</v>
      </c>
      <c r="I271" s="11">
        <f t="shared" si="53"/>
        <v>4.9933115139215254E-3</v>
      </c>
      <c r="J271" s="11">
        <f t="shared" si="53"/>
        <v>5.4471667998767757E-3</v>
      </c>
      <c r="K271" s="11">
        <f t="shared" si="53"/>
        <v>5.973095774392272E-3</v>
      </c>
    </row>
    <row r="272" spans="1:11" ht="13">
      <c r="A272" s="3">
        <f t="shared" si="52"/>
        <v>12</v>
      </c>
      <c r="B272" s="11">
        <f t="shared" si="53"/>
        <v>2.1542438858764969E-3</v>
      </c>
      <c r="C272" s="11">
        <f t="shared" si="53"/>
        <v>2.2953557063919352E-3</v>
      </c>
      <c r="D272" s="11">
        <f t="shared" si="53"/>
        <v>2.4520733014886734E-3</v>
      </c>
      <c r="E272" s="11">
        <f t="shared" si="53"/>
        <v>2.6269764238470925E-3</v>
      </c>
      <c r="F272" s="11">
        <f t="shared" si="53"/>
        <v>2.8232174733288898E-3</v>
      </c>
      <c r="G272" s="11">
        <f t="shared" si="53"/>
        <v>3.0446851397156996E-3</v>
      </c>
      <c r="H272" s="11">
        <f t="shared" si="53"/>
        <v>3.2962261150176427E-3</v>
      </c>
      <c r="I272" s="11">
        <f t="shared" si="53"/>
        <v>3.5839499380764359E-3</v>
      </c>
      <c r="J272" s="11">
        <f t="shared" si="53"/>
        <v>3.9156549802571976E-3</v>
      </c>
      <c r="K272" s="11">
        <f t="shared" si="53"/>
        <v>4.3014344411177524E-3</v>
      </c>
    </row>
    <row r="273" spans="1:11" ht="13">
      <c r="A273" s="3">
        <f t="shared" si="52"/>
        <v>13</v>
      </c>
      <c r="B273" s="11">
        <f t="shared" si="53"/>
        <v>1.5373263002904985E-3</v>
      </c>
      <c r="C273" s="11">
        <f t="shared" si="53"/>
        <v>1.6386809415118201E-3</v>
      </c>
      <c r="D273" s="11">
        <f t="shared" si="53"/>
        <v>1.7513595564843478E-3</v>
      </c>
      <c r="E273" s="11">
        <f t="shared" si="53"/>
        <v>1.8772580227487889E-3</v>
      </c>
      <c r="F273" s="11">
        <f t="shared" si="53"/>
        <v>2.018699661745141E-3</v>
      </c>
      <c r="G273" s="11">
        <f t="shared" si="53"/>
        <v>2.1785596314510798E-3</v>
      </c>
      <c r="H273" s="11">
        <f t="shared" si="53"/>
        <v>2.3604344063868081E-3</v>
      </c>
      <c r="I273" s="11">
        <f t="shared" si="53"/>
        <v>2.5688762849939858E-3</v>
      </c>
      <c r="J273" s="11">
        <f t="shared" si="53"/>
        <v>2.8097234564669646E-3</v>
      </c>
      <c r="K273" s="11">
        <f t="shared" si="53"/>
        <v>3.0905734368112288E-3</v>
      </c>
    </row>
    <row r="274" spans="1:11" ht="13">
      <c r="A274" s="3">
        <f t="shared" si="52"/>
        <v>14</v>
      </c>
      <c r="B274" s="11">
        <f t="shared" si="53"/>
        <v>1.0973672095764882E-3</v>
      </c>
      <c r="C274" s="11">
        <f t="shared" si="53"/>
        <v>1.1700484621304658E-3</v>
      </c>
      <c r="D274" s="11">
        <f t="shared" si="53"/>
        <v>1.2509090005895548E-3</v>
      </c>
      <c r="E274" s="11">
        <f t="shared" si="53"/>
        <v>1.3413305732421575E-3</v>
      </c>
      <c r="F274" s="11">
        <f t="shared" si="53"/>
        <v>1.4430098991862188E-3</v>
      </c>
      <c r="G274" s="11">
        <f t="shared" si="53"/>
        <v>1.5580515143402143E-3</v>
      </c>
      <c r="H274" s="11">
        <f t="shared" si="53"/>
        <v>1.6890947770132028E-3</v>
      </c>
      <c r="I274" s="11">
        <f t="shared" si="53"/>
        <v>1.8394904018103971E-3</v>
      </c>
      <c r="J274" s="11">
        <f t="shared" si="53"/>
        <v>2.0135502166879482E-3</v>
      </c>
      <c r="K274" s="11">
        <f t="shared" si="53"/>
        <v>2.2169075388948486E-3</v>
      </c>
    </row>
    <row r="275" spans="1:11" ht="13">
      <c r="A275" s="3">
        <f t="shared" si="52"/>
        <v>15</v>
      </c>
      <c r="B275" s="11">
        <f t="shared" si="53"/>
        <v>7.8346525723329294E-4</v>
      </c>
      <c r="C275" s="11">
        <f t="shared" si="53"/>
        <v>8.3552556662085348E-4</v>
      </c>
      <c r="D275" s="11">
        <f t="shared" si="53"/>
        <v>8.9347467186931453E-4</v>
      </c>
      <c r="E275" s="11">
        <f t="shared" si="53"/>
        <v>9.5831374184001598E-4</v>
      </c>
      <c r="F275" s="11">
        <f t="shared" si="53"/>
        <v>1.0312739464310328E-3</v>
      </c>
      <c r="G275" s="11">
        <f t="shared" si="53"/>
        <v>1.1138848748284979E-3</v>
      </c>
      <c r="H275" s="11">
        <f t="shared" si="53"/>
        <v>1.2080683934685577E-3</v>
      </c>
      <c r="I275" s="11">
        <f t="shared" si="53"/>
        <v>1.3162695291446848E-3</v>
      </c>
      <c r="J275" s="11">
        <f t="shared" si="53"/>
        <v>1.441642326983329E-3</v>
      </c>
      <c r="K275" s="11">
        <f t="shared" si="53"/>
        <v>1.5883191715896203E-3</v>
      </c>
    </row>
    <row r="276" spans="1:11" ht="13">
      <c r="A276" s="3">
        <f t="shared" si="52"/>
        <v>16</v>
      </c>
      <c r="B276" s="11">
        <f t="shared" si="53"/>
        <v>5.5943020054122162E-4</v>
      </c>
      <c r="C276" s="11">
        <f t="shared" si="53"/>
        <v>5.9669006479064278E-4</v>
      </c>
      <c r="D276" s="11">
        <f t="shared" si="53"/>
        <v>6.3817996691171758E-4</v>
      </c>
      <c r="E276" s="11">
        <f t="shared" si="53"/>
        <v>6.8462233009887116E-4</v>
      </c>
      <c r="F276" s="11">
        <f t="shared" si="53"/>
        <v>7.369064617461789E-4</v>
      </c>
      <c r="G276" s="11">
        <f t="shared" si="53"/>
        <v>7.961385178792557E-4</v>
      </c>
      <c r="H276" s="11">
        <f t="shared" si="53"/>
        <v>8.637101855599351E-4</v>
      </c>
      <c r="I276" s="11">
        <f t="shared" si="53"/>
        <v>9.4139468129914559E-4</v>
      </c>
      <c r="J276" s="11">
        <f t="shared" si="53"/>
        <v>1.0314834335135156E-3</v>
      </c>
      <c r="K276" s="11">
        <f t="shared" si="53"/>
        <v>1.1369847511143749E-3</v>
      </c>
    </row>
    <row r="277" spans="1:11" ht="13">
      <c r="A277" s="3">
        <f t="shared" si="52"/>
        <v>17</v>
      </c>
      <c r="B277" s="11">
        <f t="shared" si="53"/>
        <v>3.9949721861124831E-4</v>
      </c>
      <c r="C277" s="11">
        <f t="shared" si="53"/>
        <v>4.2614908385268122E-4</v>
      </c>
      <c r="D277" s="11">
        <f t="shared" si="53"/>
        <v>4.5583454529966286E-4</v>
      </c>
      <c r="E277" s="11">
        <f t="shared" si="53"/>
        <v>4.8907336531606052E-4</v>
      </c>
      <c r="F277" s="11">
        <f t="shared" si="53"/>
        <v>5.2650584770482097E-4</v>
      </c>
      <c r="G277" s="11">
        <f t="shared" si="53"/>
        <v>5.6892909337727165E-4</v>
      </c>
      <c r="H277" s="11">
        <f t="shared" si="53"/>
        <v>6.1734691096153543E-4</v>
      </c>
      <c r="I277" s="11">
        <f t="shared" si="53"/>
        <v>6.7303969321172647E-4</v>
      </c>
      <c r="J277" s="11">
        <f t="shared" si="53"/>
        <v>7.3766409582105906E-4</v>
      </c>
      <c r="K277" s="11">
        <f t="shared" si="53"/>
        <v>8.1339823848528177E-4</v>
      </c>
    </row>
    <row r="278" spans="1:11" ht="13">
      <c r="A278" s="3">
        <f t="shared" si="52"/>
        <v>18</v>
      </c>
      <c r="B278" s="11">
        <f t="shared" si="53"/>
        <v>2.8530630797525379E-4</v>
      </c>
      <c r="C278" s="11">
        <f t="shared" si="53"/>
        <v>3.0436256185009029E-4</v>
      </c>
      <c r="D278" s="11">
        <f t="shared" si="53"/>
        <v>3.2559187183497197E-4</v>
      </c>
      <c r="E278" s="11">
        <f t="shared" si="53"/>
        <v>3.4936741517955345E-4</v>
      </c>
      <c r="F278" s="11">
        <f t="shared" si="53"/>
        <v>3.7614915782422048E-4</v>
      </c>
      <c r="G278" s="11">
        <f t="shared" si="53"/>
        <v>4.0651004361285823E-4</v>
      </c>
      <c r="H278" s="11">
        <f t="shared" si="53"/>
        <v>4.4117208464227944E-4</v>
      </c>
      <c r="I278" s="11">
        <f t="shared" si="53"/>
        <v>4.8105694870846205E-4</v>
      </c>
      <c r="J278" s="11">
        <f t="shared" si="53"/>
        <v>5.273582203076672E-4</v>
      </c>
      <c r="K278" s="11">
        <f t="shared" si="53"/>
        <v>5.8164682746570133E-4</v>
      </c>
    </row>
    <row r="279" spans="1:11" ht="13">
      <c r="A279" s="3">
        <f t="shared" ref="A279:A290" si="54">A278+1</f>
        <v>19</v>
      </c>
      <c r="B279" s="11">
        <f t="shared" ref="B279:K290" si="55">B278*(1-B278*B$15)/(1-B$15*B278*B278-$B$259*(1-B278)^2)</f>
        <v>2.0376530475655545E-4</v>
      </c>
      <c r="C279" s="11">
        <f t="shared" si="55"/>
        <v>2.1738670867891546E-4</v>
      </c>
      <c r="D279" s="11">
        <f t="shared" si="55"/>
        <v>2.3256346238858158E-4</v>
      </c>
      <c r="E279" s="11">
        <f t="shared" si="55"/>
        <v>2.4956310251148331E-4</v>
      </c>
      <c r="F279" s="11">
        <f t="shared" si="55"/>
        <v>2.6871551019478799E-4</v>
      </c>
      <c r="G279" s="11">
        <f t="shared" si="55"/>
        <v>2.9043176797128694E-4</v>
      </c>
      <c r="H279" s="11">
        <f t="shared" si="55"/>
        <v>3.152301649933424E-4</v>
      </c>
      <c r="I279" s="11">
        <f t="shared" si="55"/>
        <v>3.4377267912066839E-4</v>
      </c>
      <c r="J279" s="11">
        <f t="shared" si="55"/>
        <v>3.7691713984404357E-4</v>
      </c>
      <c r="K279" s="11">
        <f t="shared" si="55"/>
        <v>4.1579341787652507E-4</v>
      </c>
    </row>
    <row r="280" spans="1:11" ht="13">
      <c r="A280" s="3">
        <f t="shared" si="54"/>
        <v>20</v>
      </c>
      <c r="B280" s="11">
        <f t="shared" si="55"/>
        <v>1.4553393706880853E-4</v>
      </c>
      <c r="C280" s="11">
        <f t="shared" si="55"/>
        <v>1.5526850619761046E-4</v>
      </c>
      <c r="D280" s="11">
        <f t="shared" si="55"/>
        <v>1.6611565619484742E-4</v>
      </c>
      <c r="E280" s="11">
        <f t="shared" si="55"/>
        <v>1.7826698636027314E-4</v>
      </c>
      <c r="F280" s="11">
        <f t="shared" si="55"/>
        <v>1.9195880833200338E-4</v>
      </c>
      <c r="G280" s="11">
        <f t="shared" si="55"/>
        <v>2.0748569237131445E-4</v>
      </c>
      <c r="H280" s="11">
        <f t="shared" si="55"/>
        <v>2.2521915876768913E-4</v>
      </c>
      <c r="I280" s="11">
        <f t="shared" si="55"/>
        <v>2.4563391538773413E-4</v>
      </c>
      <c r="J280" s="11">
        <f t="shared" si="55"/>
        <v>2.6934539872508311E-4</v>
      </c>
      <c r="K280" s="11">
        <f t="shared" si="55"/>
        <v>2.9716465060294721E-4</v>
      </c>
    </row>
    <row r="281" spans="1:11" ht="13">
      <c r="A281" s="3">
        <f t="shared" si="54"/>
        <v>21</v>
      </c>
      <c r="B281" s="11">
        <f t="shared" si="55"/>
        <v>1.0394632888408338E-4</v>
      </c>
      <c r="C281" s="11">
        <f t="shared" si="55"/>
        <v>1.1090214021969933E-4</v>
      </c>
      <c r="D281" s="11">
        <f t="shared" si="55"/>
        <v>1.1865347740224923E-4</v>
      </c>
      <c r="E281" s="11">
        <f t="shared" si="55"/>
        <v>1.2733745340296994E-4</v>
      </c>
      <c r="F281" s="11">
        <f t="shared" si="55"/>
        <v>1.3712321092226179E-4</v>
      </c>
      <c r="G281" s="11">
        <f t="shared" si="55"/>
        <v>1.4822163779588094E-4</v>
      </c>
      <c r="H281" s="11">
        <f t="shared" si="55"/>
        <v>1.6089877756758779E-4</v>
      </c>
      <c r="I281" s="11">
        <f t="shared" si="55"/>
        <v>1.7549466234128744E-4</v>
      </c>
      <c r="J281" s="11">
        <f t="shared" si="55"/>
        <v>1.9245027243284515E-4</v>
      </c>
      <c r="K281" s="11">
        <f t="shared" si="55"/>
        <v>2.1234696798186719E-4</v>
      </c>
    </row>
    <row r="282" spans="1:11" ht="13">
      <c r="A282" s="3">
        <f t="shared" si="54"/>
        <v>22</v>
      </c>
      <c r="B282" s="11">
        <f t="shared" si="55"/>
        <v>7.4244070317823425E-5</v>
      </c>
      <c r="C282" s="11">
        <f t="shared" si="55"/>
        <v>7.9213806547277996E-5</v>
      </c>
      <c r="D282" s="11">
        <f t="shared" si="55"/>
        <v>8.4752196690394675E-5</v>
      </c>
      <c r="E282" s="11">
        <f t="shared" si="55"/>
        <v>9.0957309492772586E-5</v>
      </c>
      <c r="F282" s="11">
        <f t="shared" si="55"/>
        <v>9.795013927786189E-5</v>
      </c>
      <c r="G282" s="11">
        <f t="shared" si="55"/>
        <v>1.0588156572619705E-4</v>
      </c>
      <c r="H282" s="11">
        <f t="shared" si="55"/>
        <v>1.1494196334473415E-4</v>
      </c>
      <c r="I282" s="11">
        <f t="shared" si="55"/>
        <v>1.2537470048243113E-4</v>
      </c>
      <c r="J282" s="11">
        <f t="shared" si="55"/>
        <v>1.3749547031243021E-4</v>
      </c>
      <c r="K282" s="11">
        <f t="shared" si="55"/>
        <v>1.517205762026171E-4</v>
      </c>
    </row>
    <row r="283" spans="1:11" ht="13">
      <c r="A283" s="3">
        <f t="shared" si="54"/>
        <v>23</v>
      </c>
      <c r="B283" s="11">
        <f t="shared" si="55"/>
        <v>5.302979144948874E-5</v>
      </c>
      <c r="C283" s="11">
        <f t="shared" si="55"/>
        <v>5.6580265984405464E-5</v>
      </c>
      <c r="D283" s="11">
        <f t="shared" si="55"/>
        <v>6.0537136814797393E-5</v>
      </c>
      <c r="E283" s="11">
        <f t="shared" si="55"/>
        <v>6.4970519882043119E-5</v>
      </c>
      <c r="F283" s="11">
        <f t="shared" si="55"/>
        <v>6.9966930652950755E-5</v>
      </c>
      <c r="G283" s="11">
        <f t="shared" si="55"/>
        <v>7.5634265719005069E-5</v>
      </c>
      <c r="H283" s="11">
        <f t="shared" si="55"/>
        <v>8.2108682293833662E-5</v>
      </c>
      <c r="I283" s="11">
        <f t="shared" si="55"/>
        <v>8.9564264397587467E-5</v>
      </c>
      <c r="J283" s="11">
        <f t="shared" si="55"/>
        <v>9.8226868612616056E-5</v>
      </c>
      <c r="K283" s="11">
        <f t="shared" si="55"/>
        <v>1.0839438931600083E-4</v>
      </c>
    </row>
    <row r="284" spans="1:11" ht="13">
      <c r="A284" s="3">
        <f t="shared" si="54"/>
        <v>24</v>
      </c>
      <c r="B284" s="11">
        <f t="shared" si="55"/>
        <v>3.7877561618551994E-5</v>
      </c>
      <c r="C284" s="11">
        <f t="shared" si="55"/>
        <v>4.0413953057663192E-5</v>
      </c>
      <c r="D284" s="11">
        <f t="shared" si="55"/>
        <v>4.3240737239908166E-5</v>
      </c>
      <c r="E284" s="11">
        <f t="shared" si="55"/>
        <v>4.6408031098419541E-5</v>
      </c>
      <c r="F284" s="11">
        <f t="shared" si="55"/>
        <v>4.9977677826797755E-5</v>
      </c>
      <c r="G284" s="11">
        <f t="shared" si="55"/>
        <v>5.4026810441349651E-5</v>
      </c>
      <c r="H284" s="11">
        <f t="shared" si="55"/>
        <v>5.8652773675204516E-5</v>
      </c>
      <c r="I284" s="11">
        <f t="shared" si="55"/>
        <v>6.3980040678720016E-5</v>
      </c>
      <c r="J284" s="11">
        <f t="shared" si="55"/>
        <v>7.0170122228078679E-5</v>
      </c>
      <c r="K284" s="11">
        <f t="shared" si="55"/>
        <v>7.7436073291301205E-5</v>
      </c>
    </row>
    <row r="285" spans="1:11" ht="13">
      <c r="A285" s="3">
        <f t="shared" si="54"/>
        <v>25</v>
      </c>
      <c r="B285" s="11">
        <f t="shared" si="55"/>
        <v>2.705496196639901E-5</v>
      </c>
      <c r="C285" s="11">
        <f t="shared" si="55"/>
        <v>2.8866842675014834E-5</v>
      </c>
      <c r="D285" s="11">
        <f t="shared" si="55"/>
        <v>3.0886202734560946E-5</v>
      </c>
      <c r="E285" s="11">
        <f t="shared" si="55"/>
        <v>3.3148857367744463E-5</v>
      </c>
      <c r="F285" s="11">
        <f t="shared" si="55"/>
        <v>3.5699003984259915E-5</v>
      </c>
      <c r="G285" s="11">
        <f t="shared" si="55"/>
        <v>3.8591770277498148E-5</v>
      </c>
      <c r="H285" s="11">
        <f t="shared" si="55"/>
        <v>4.1896733932871698E-5</v>
      </c>
      <c r="I285" s="11">
        <f t="shared" si="55"/>
        <v>4.570286940317943E-5</v>
      </c>
      <c r="J285" s="11">
        <f t="shared" si="55"/>
        <v>5.0125635818923992E-5</v>
      </c>
      <c r="K285" s="11">
        <f t="shared" si="55"/>
        <v>5.5317354869009292E-5</v>
      </c>
    </row>
    <row r="286" spans="1:11" ht="13">
      <c r="A286" s="3">
        <f t="shared" si="54"/>
        <v>26</v>
      </c>
      <c r="B286" s="11">
        <f t="shared" si="55"/>
        <v>1.9324748762995237E-5</v>
      </c>
      <c r="C286" s="11">
        <f t="shared" si="55"/>
        <v>2.0619037293862318E-5</v>
      </c>
      <c r="D286" s="11">
        <f t="shared" si="55"/>
        <v>2.2061553915971428E-5</v>
      </c>
      <c r="E286" s="11">
        <f t="shared" si="55"/>
        <v>2.3677889817886017E-5</v>
      </c>
      <c r="F286" s="11">
        <f t="shared" si="55"/>
        <v>2.54996266735734E-5</v>
      </c>
      <c r="G286" s="11">
        <f t="shared" si="55"/>
        <v>2.7566158087534603E-5</v>
      </c>
      <c r="H286" s="11">
        <f t="shared" si="55"/>
        <v>2.9927205750254646E-5</v>
      </c>
      <c r="I286" s="11">
        <f t="shared" si="55"/>
        <v>3.2646356053752683E-5</v>
      </c>
      <c r="J286" s="11">
        <f t="shared" si="55"/>
        <v>3.5806127943229642E-5</v>
      </c>
      <c r="K286" s="11">
        <f t="shared" si="55"/>
        <v>3.951539388668657E-5</v>
      </c>
    </row>
    <row r="287" spans="1:11" ht="13">
      <c r="A287" s="3">
        <f t="shared" si="54"/>
        <v>27</v>
      </c>
      <c r="B287" s="11">
        <f t="shared" si="55"/>
        <v>1.3803277654336837E-5</v>
      </c>
      <c r="C287" s="11">
        <f t="shared" si="55"/>
        <v>1.4727814370921982E-5</v>
      </c>
      <c r="D287" s="11">
        <f t="shared" si="55"/>
        <v>1.5758242865191666E-5</v>
      </c>
      <c r="E287" s="11">
        <f t="shared" si="55"/>
        <v>1.6912847092373924E-5</v>
      </c>
      <c r="F287" s="11">
        <f t="shared" si="55"/>
        <v>1.8214191563629033E-5</v>
      </c>
      <c r="G287" s="11">
        <f t="shared" si="55"/>
        <v>1.9690423080715657E-5</v>
      </c>
      <c r="H287" s="11">
        <f t="shared" si="55"/>
        <v>2.1377069050750597E-5</v>
      </c>
      <c r="I287" s="11">
        <f t="shared" si="55"/>
        <v>2.3319565276257167E-5</v>
      </c>
      <c r="J287" s="11">
        <f t="shared" si="55"/>
        <v>2.5576878432073043E-5</v>
      </c>
      <c r="K287" s="11">
        <f t="shared" si="55"/>
        <v>2.822681094408688E-5</v>
      </c>
    </row>
    <row r="288" spans="1:11" ht="13">
      <c r="A288" s="3">
        <f t="shared" si="54"/>
        <v>28</v>
      </c>
      <c r="B288" s="11">
        <f t="shared" si="55"/>
        <v>9.8594257135017548E-6</v>
      </c>
      <c r="C288" s="11">
        <f t="shared" si="55"/>
        <v>1.0519831994520047E-5</v>
      </c>
      <c r="D288" s="11">
        <f t="shared" si="55"/>
        <v>1.1255882693404485E-5</v>
      </c>
      <c r="E288" s="11">
        <f t="shared" si="55"/>
        <v>1.2080640092164386E-5</v>
      </c>
      <c r="F288" s="11">
        <f t="shared" si="55"/>
        <v>1.3010224848566475E-5</v>
      </c>
      <c r="G288" s="11">
        <f t="shared" si="55"/>
        <v>1.4064746165126026E-5</v>
      </c>
      <c r="H288" s="11">
        <f t="shared" si="55"/>
        <v>1.5269586841135665E-5</v>
      </c>
      <c r="I288" s="11">
        <f t="shared" si="55"/>
        <v>1.6657209672122194E-5</v>
      </c>
      <c r="J288" s="11">
        <f t="shared" si="55"/>
        <v>1.8269746251864781E-5</v>
      </c>
      <c r="K288" s="11">
        <f t="shared" si="55"/>
        <v>2.0162788308617843E-5</v>
      </c>
    </row>
    <row r="289" spans="1:11" ht="13">
      <c r="A289" s="3">
        <f t="shared" si="54"/>
        <v>29</v>
      </c>
      <c r="B289" s="11">
        <f t="shared" si="55"/>
        <v>7.0424171807059526E-6</v>
      </c>
      <c r="C289" s="11">
        <f t="shared" si="55"/>
        <v>7.5141476424408176E-6</v>
      </c>
      <c r="D289" s="11">
        <f t="shared" si="55"/>
        <v>8.0399136240934127E-6</v>
      </c>
      <c r="E289" s="11">
        <f t="shared" si="55"/>
        <v>8.6290465078160935E-6</v>
      </c>
      <c r="F289" s="11">
        <f t="shared" si="55"/>
        <v>9.2930626563782181E-6</v>
      </c>
      <c r="G289" s="11">
        <f t="shared" si="55"/>
        <v>1.0046328002552636E-5</v>
      </c>
      <c r="H289" s="11">
        <f t="shared" si="55"/>
        <v>1.0906976219773381E-5</v>
      </c>
      <c r="I289" s="11">
        <f t="shared" si="55"/>
        <v>1.1898199433697806E-5</v>
      </c>
      <c r="J289" s="11">
        <f t="shared" si="55"/>
        <v>1.3050098039478234E-5</v>
      </c>
      <c r="K289" s="11">
        <f t="shared" si="55"/>
        <v>1.4402389889920281E-5</v>
      </c>
    </row>
    <row r="290" spans="1:11" ht="13">
      <c r="A290" s="3">
        <f t="shared" si="54"/>
        <v>30</v>
      </c>
      <c r="B290" s="11">
        <f t="shared" si="55"/>
        <v>5.0302828039256625E-6</v>
      </c>
      <c r="C290" s="11">
        <f t="shared" si="55"/>
        <v>5.367239097722724E-6</v>
      </c>
      <c r="D290" s="11">
        <f t="shared" si="55"/>
        <v>5.7427941266399982E-6</v>
      </c>
      <c r="E290" s="11">
        <f t="shared" si="55"/>
        <v>6.1636137660903673E-6</v>
      </c>
      <c r="F290" s="11">
        <f t="shared" si="55"/>
        <v>6.6379248095584218E-6</v>
      </c>
      <c r="G290" s="11">
        <f t="shared" si="55"/>
        <v>7.1759897686717849E-6</v>
      </c>
      <c r="H290" s="11">
        <f t="shared" si="55"/>
        <v>7.7907628504110462E-6</v>
      </c>
      <c r="I290" s="11">
        <f t="shared" si="55"/>
        <v>8.4988121114602492E-6</v>
      </c>
      <c r="J290" s="11">
        <f t="shared" si="55"/>
        <v>9.3216410997072919E-6</v>
      </c>
      <c r="K290" s="11">
        <f t="shared" si="55"/>
        <v>1.0287624545379263E-5</v>
      </c>
    </row>
    <row r="292" spans="1:11">
      <c r="E292" s="1" t="s">
        <v>11</v>
      </c>
    </row>
    <row r="293" spans="1:11">
      <c r="E293" s="6" t="s">
        <v>12</v>
      </c>
    </row>
    <row r="294" spans="1:11">
      <c r="A294" t="s">
        <v>13</v>
      </c>
      <c r="B294">
        <f>B259+I$11</f>
        <v>-0.6</v>
      </c>
      <c r="E294" s="7" t="s">
        <v>14</v>
      </c>
    </row>
    <row r="295" spans="1:11" ht="13">
      <c r="A295" t="s">
        <v>15</v>
      </c>
      <c r="B295" s="5">
        <v>1</v>
      </c>
      <c r="C295" s="4">
        <f t="shared" ref="C295:K295" si="56">B295+$D$11</f>
        <v>0.8</v>
      </c>
      <c r="D295" s="4">
        <f t="shared" si="56"/>
        <v>0.60000000000000009</v>
      </c>
      <c r="E295" s="4">
        <f t="shared" si="56"/>
        <v>0.40000000000000008</v>
      </c>
      <c r="F295" s="4">
        <f t="shared" si="56"/>
        <v>0.20000000000000007</v>
      </c>
      <c r="G295" s="4">
        <f t="shared" si="56"/>
        <v>5.5511151231257827E-17</v>
      </c>
      <c r="H295" s="4">
        <f t="shared" si="56"/>
        <v>-0.19999999999999996</v>
      </c>
      <c r="I295" s="4">
        <f t="shared" si="56"/>
        <v>-0.39999999999999997</v>
      </c>
      <c r="J295" s="4">
        <f t="shared" si="56"/>
        <v>-0.6</v>
      </c>
      <c r="K295" s="4">
        <f t="shared" si="56"/>
        <v>-0.8</v>
      </c>
    </row>
    <row r="296" spans="1:11" ht="13">
      <c r="A296" s="3">
        <v>1</v>
      </c>
      <c r="B296" s="9">
        <f t="shared" ref="B296:K296" si="57">$D$10</f>
        <v>0.1</v>
      </c>
      <c r="C296" s="11">
        <f t="shared" si="57"/>
        <v>0.1</v>
      </c>
      <c r="D296" s="11">
        <f t="shared" si="57"/>
        <v>0.1</v>
      </c>
      <c r="E296" s="11">
        <f t="shared" si="57"/>
        <v>0.1</v>
      </c>
      <c r="F296" s="11">
        <f t="shared" si="57"/>
        <v>0.1</v>
      </c>
      <c r="G296" s="11">
        <f t="shared" si="57"/>
        <v>0.1</v>
      </c>
      <c r="H296" s="11">
        <f t="shared" si="57"/>
        <v>0.1</v>
      </c>
      <c r="I296" s="11">
        <f t="shared" si="57"/>
        <v>0.1</v>
      </c>
      <c r="J296" s="11">
        <f t="shared" si="57"/>
        <v>0.1</v>
      </c>
      <c r="K296" s="11">
        <f t="shared" si="57"/>
        <v>0.1</v>
      </c>
    </row>
    <row r="297" spans="1:11" ht="13">
      <c r="A297" s="3">
        <f>A296+1</f>
        <v>2</v>
      </c>
      <c r="B297" s="10">
        <f>B296*(1-B296*B$15)/(1-B$15*B296*B296-$B$294*(1-B296)^2)</f>
        <v>6.0975609756097567E-2</v>
      </c>
      <c r="C297" s="11">
        <f t="shared" ref="C297:K297" si="58">C296*(1-C296*C$15)/(1-C$15*C296*C296-$B$294*(1-C296)^2)</f>
        <v>6.2246278755074422E-2</v>
      </c>
      <c r="D297" s="11">
        <f t="shared" si="58"/>
        <v>6.3513513513513517E-2</v>
      </c>
      <c r="E297" s="11">
        <f t="shared" si="58"/>
        <v>6.4777327935222673E-2</v>
      </c>
      <c r="F297" s="11">
        <f t="shared" si="58"/>
        <v>6.6037735849056603E-2</v>
      </c>
      <c r="G297" s="11">
        <f t="shared" si="58"/>
        <v>6.7294751009421269E-2</v>
      </c>
      <c r="H297" s="11">
        <f t="shared" si="58"/>
        <v>6.8548387096774202E-2</v>
      </c>
      <c r="I297" s="11">
        <f t="shared" si="58"/>
        <v>6.9798657718120813E-2</v>
      </c>
      <c r="J297" s="11">
        <f t="shared" si="58"/>
        <v>7.1045576407506708E-2</v>
      </c>
      <c r="K297" s="11">
        <f t="shared" si="58"/>
        <v>7.2289156626506035E-2</v>
      </c>
    </row>
    <row r="298" spans="1:11" ht="13">
      <c r="A298" s="3">
        <f t="shared" ref="A298:A313" si="59">A297+1</f>
        <v>3</v>
      </c>
      <c r="B298" s="11">
        <f t="shared" ref="B298:K313" si="60">B297*(1-B297*B$15)/(1-B$15*B297*B297-$B$294*(1-B297)^2)</f>
        <v>3.7537537537537538E-2</v>
      </c>
      <c r="C298" s="11">
        <f t="shared" si="60"/>
        <v>3.8796623882266353E-2</v>
      </c>
      <c r="D298" s="11">
        <f t="shared" si="60"/>
        <v>4.0093046221105814E-2</v>
      </c>
      <c r="E298" s="11">
        <f t="shared" si="60"/>
        <v>4.1427759698331533E-2</v>
      </c>
      <c r="F298" s="11">
        <f t="shared" si="60"/>
        <v>4.2801692894053833E-2</v>
      </c>
      <c r="G298" s="11">
        <f t="shared" si="60"/>
        <v>4.4215747137818881E-2</v>
      </c>
      <c r="H298" s="11">
        <f t="shared" si="60"/>
        <v>4.5670795824677493E-2</v>
      </c>
      <c r="I298" s="11">
        <f t="shared" si="60"/>
        <v>4.7167683735738923E-2</v>
      </c>
      <c r="J298" s="11">
        <f t="shared" si="60"/>
        <v>4.8707226365237694E-2</v>
      </c>
      <c r="K298" s="11">
        <f t="shared" si="60"/>
        <v>5.0290209256147869E-2</v>
      </c>
    </row>
    <row r="299" spans="1:11" ht="13">
      <c r="A299" s="3">
        <f t="shared" si="59"/>
        <v>4</v>
      </c>
      <c r="B299" s="11">
        <f t="shared" si="60"/>
        <v>2.3242841204908889E-2</v>
      </c>
      <c r="C299" s="11">
        <f t="shared" si="60"/>
        <v>2.420413386381811E-2</v>
      </c>
      <c r="D299" s="11">
        <f t="shared" si="60"/>
        <v>2.5213524507567399E-2</v>
      </c>
      <c r="E299" s="11">
        <f t="shared" si="60"/>
        <v>2.6274003185562236E-2</v>
      </c>
      <c r="F299" s="11">
        <f t="shared" si="60"/>
        <v>2.7388728984955837E-2</v>
      </c>
      <c r="G299" s="11">
        <f t="shared" si="60"/>
        <v>2.8561038547673043E-2</v>
      </c>
      <c r="H299" s="11">
        <f t="shared" si="60"/>
        <v>2.9794454466089595E-2</v>
      </c>
      <c r="I299" s="11">
        <f t="shared" si="60"/>
        <v>3.1092693477918525E-2</v>
      </c>
      <c r="J299" s="11">
        <f t="shared" si="60"/>
        <v>3.2459674371242538E-2</v>
      </c>
      <c r="K299" s="11">
        <f t="shared" si="60"/>
        <v>3.389952550056452E-2</v>
      </c>
    </row>
    <row r="300" spans="1:11" ht="13">
      <c r="A300" s="3">
        <f t="shared" si="59"/>
        <v>5</v>
      </c>
      <c r="B300" s="11">
        <f t="shared" si="60"/>
        <v>1.4442852521144335E-2</v>
      </c>
      <c r="C300" s="11">
        <f t="shared" si="60"/>
        <v>1.5110064647619605E-2</v>
      </c>
      <c r="D300" s="11">
        <f t="shared" si="60"/>
        <v>1.5819200484779316E-2</v>
      </c>
      <c r="E300" s="11">
        <f t="shared" si="60"/>
        <v>1.6573836797644688E-2</v>
      </c>
      <c r="F300" s="11">
        <f t="shared" si="60"/>
        <v>1.7377897729803256E-2</v>
      </c>
      <c r="G300" s="11">
        <f t="shared" si="60"/>
        <v>1.8235693556399205E-2</v>
      </c>
      <c r="H300" s="11">
        <f t="shared" si="60"/>
        <v>1.915196377514294E-2</v>
      </c>
      <c r="I300" s="11">
        <f t="shared" si="60"/>
        <v>2.0131924993472116E-2</v>
      </c>
      <c r="J300" s="11">
        <f t="shared" si="60"/>
        <v>2.1181324100734124E-2</v>
      </c>
      <c r="K300" s="11">
        <f t="shared" si="60"/>
        <v>2.2306497240903139E-2</v>
      </c>
    </row>
    <row r="301" spans="1:11" ht="13">
      <c r="A301" s="3">
        <f t="shared" si="59"/>
        <v>6</v>
      </c>
      <c r="B301" s="11">
        <f t="shared" si="60"/>
        <v>8.994306963464406E-3</v>
      </c>
      <c r="C301" s="11">
        <f t="shared" si="60"/>
        <v>9.4368462158041216E-3</v>
      </c>
      <c r="D301" s="11">
        <f t="shared" si="60"/>
        <v>9.9107426577879059E-3</v>
      </c>
      <c r="E301" s="11">
        <f t="shared" si="60"/>
        <v>1.0419130957449398E-2</v>
      </c>
      <c r="F301" s="11">
        <f t="shared" si="60"/>
        <v>1.0965527654975903E-2</v>
      </c>
      <c r="G301" s="11">
        <f t="shared" si="60"/>
        <v>1.1553887536209818E-2</v>
      </c>
      <c r="H301" s="11">
        <f t="shared" si="60"/>
        <v>1.2188669402110601E-2</v>
      </c>
      <c r="I301" s="11">
        <f t="shared" si="60"/>
        <v>1.287491297731019E-2</v>
      </c>
      <c r="J301" s="11">
        <f t="shared" si="60"/>
        <v>1.3618329045799816E-2</v>
      </c>
      <c r="K301" s="11">
        <f t="shared" si="60"/>
        <v>1.4425405316311578E-2</v>
      </c>
    </row>
    <row r="302" spans="1:11" ht="13">
      <c r="A302" s="3">
        <f t="shared" si="59"/>
        <v>7</v>
      </c>
      <c r="B302" s="11">
        <f t="shared" si="60"/>
        <v>5.6088299675567327E-3</v>
      </c>
      <c r="C302" s="11">
        <f t="shared" si="60"/>
        <v>5.8952922010188551E-3</v>
      </c>
      <c r="D302" s="11">
        <f t="shared" si="60"/>
        <v>6.2034915095548326E-3</v>
      </c>
      <c r="E302" s="11">
        <f t="shared" si="60"/>
        <v>6.5358016162113354E-3</v>
      </c>
      <c r="F302" s="11">
        <f t="shared" si="60"/>
        <v>6.8949220120912702E-3</v>
      </c>
      <c r="G302" s="11">
        <f t="shared" si="60"/>
        <v>7.2839333896047498E-3</v>
      </c>
      <c r="H302" s="11">
        <f t="shared" si="60"/>
        <v>7.7063641347539791E-3</v>
      </c>
      <c r="I302" s="11">
        <f t="shared" si="60"/>
        <v>8.166270429822986E-3</v>
      </c>
      <c r="J302" s="11">
        <f t="shared" si="60"/>
        <v>8.6683331814712064E-3</v>
      </c>
      <c r="K302" s="11">
        <f t="shared" si="60"/>
        <v>9.217975844054583E-3</v>
      </c>
    </row>
    <row r="303" spans="1:11" ht="13">
      <c r="A303" s="3">
        <f t="shared" si="59"/>
        <v>8</v>
      </c>
      <c r="B303" s="11">
        <f t="shared" si="60"/>
        <v>3.5006101479473231E-3</v>
      </c>
      <c r="C303" s="11">
        <f t="shared" si="60"/>
        <v>3.6834827983158245E-3</v>
      </c>
      <c r="D303" s="11">
        <f t="shared" si="60"/>
        <v>3.8808068677214499E-3</v>
      </c>
      <c r="E303" s="11">
        <f t="shared" si="60"/>
        <v>4.0942443494905237E-3</v>
      </c>
      <c r="F303" s="11">
        <f t="shared" si="60"/>
        <v>4.3257013832202311E-3</v>
      </c>
      <c r="G303" s="11">
        <f t="shared" si="60"/>
        <v>4.5773732590630167E-3</v>
      </c>
      <c r="H303" s="11">
        <f t="shared" si="60"/>
        <v>4.8517993199990311E-3</v>
      </c>
      <c r="I303" s="11">
        <f t="shared" si="60"/>
        <v>5.1519303216361733E-3</v>
      </c>
      <c r="J303" s="11">
        <f t="shared" si="60"/>
        <v>5.4812115708962016E-3</v>
      </c>
      <c r="K303" s="11">
        <f t="shared" si="60"/>
        <v>5.8436861841505809E-3</v>
      </c>
    </row>
    <row r="304" spans="1:11" ht="13">
      <c r="A304" s="3">
        <f t="shared" si="59"/>
        <v>9</v>
      </c>
      <c r="B304" s="11">
        <f t="shared" si="60"/>
        <v>2.1859682867751331E-3</v>
      </c>
      <c r="C304" s="11">
        <f t="shared" si="60"/>
        <v>2.3017554875332446E-3</v>
      </c>
      <c r="D304" s="11">
        <f t="shared" si="60"/>
        <v>2.4269203509707936E-3</v>
      </c>
      <c r="E304" s="11">
        <f t="shared" si="60"/>
        <v>2.5625754974167208E-3</v>
      </c>
      <c r="F304" s="11">
        <f t="shared" si="60"/>
        <v>2.7100037259157701E-3</v>
      </c>
      <c r="G304" s="11">
        <f t="shared" si="60"/>
        <v>2.8706908993418306E-3</v>
      </c>
      <c r="H304" s="11">
        <f t="shared" si="60"/>
        <v>3.0463664830352689E-3</v>
      </c>
      <c r="I304" s="11">
        <f t="shared" si="60"/>
        <v>3.2390538497025782E-3</v>
      </c>
      <c r="J304" s="11">
        <f t="shared" si="60"/>
        <v>3.4511331415425241E-3</v>
      </c>
      <c r="K304" s="11">
        <f t="shared" si="60"/>
        <v>3.6854204087737453E-3</v>
      </c>
    </row>
    <row r="305" spans="1:11" ht="13">
      <c r="A305" s="3">
        <f t="shared" si="59"/>
        <v>10</v>
      </c>
      <c r="B305" s="11">
        <f t="shared" si="60"/>
        <v>1.3654839530800747E-3</v>
      </c>
      <c r="C305" s="11">
        <f t="shared" si="60"/>
        <v>1.4384322827120785E-3</v>
      </c>
      <c r="D305" s="11">
        <f t="shared" si="60"/>
        <v>1.517378408365051E-3</v>
      </c>
      <c r="E305" s="11">
        <f t="shared" si="60"/>
        <v>1.6030476196436565E-3</v>
      </c>
      <c r="F305" s="11">
        <f t="shared" si="60"/>
        <v>1.6962788908398082E-3</v>
      </c>
      <c r="G305" s="11">
        <f t="shared" si="60"/>
        <v>1.798047484450487E-3</v>
      </c>
      <c r="H305" s="11">
        <f t="shared" si="60"/>
        <v>1.9094929967087646E-3</v>
      </c>
      <c r="I305" s="11">
        <f t="shared" si="60"/>
        <v>2.0319544069649174E-3</v>
      </c>
      <c r="J305" s="11">
        <f t="shared" si="60"/>
        <v>2.1670142170117017E-3</v>
      </c>
      <c r="K305" s="11">
        <f t="shared" si="60"/>
        <v>2.3165544940173537E-3</v>
      </c>
    </row>
    <row r="306" spans="1:11" ht="13">
      <c r="A306" s="3">
        <f t="shared" si="59"/>
        <v>11</v>
      </c>
      <c r="B306" s="11">
        <f t="shared" si="60"/>
        <v>8.5313623471547297E-4</v>
      </c>
      <c r="C306" s="11">
        <f t="shared" si="60"/>
        <v>8.9895568063512725E-4</v>
      </c>
      <c r="D306" s="11">
        <f t="shared" si="60"/>
        <v>9.4857760464730513E-4</v>
      </c>
      <c r="E306" s="11">
        <f t="shared" si="60"/>
        <v>1.0024672519032848E-3</v>
      </c>
      <c r="F306" s="11">
        <f t="shared" si="60"/>
        <v>1.0611638956141429E-3</v>
      </c>
      <c r="G306" s="11">
        <f t="shared" si="60"/>
        <v>1.1252958149937523E-3</v>
      </c>
      <c r="H306" s="11">
        <f t="shared" si="60"/>
        <v>1.1955989545793821E-3</v>
      </c>
      <c r="I306" s="11">
        <f t="shared" si="60"/>
        <v>1.272940346738224E-3</v>
      </c>
      <c r="J306" s="11">
        <f t="shared" si="60"/>
        <v>1.3583477522311621E-3</v>
      </c>
      <c r="K306" s="11">
        <f t="shared" si="60"/>
        <v>1.453047495941524E-3</v>
      </c>
    </row>
    <row r="307" spans="1:11" ht="13">
      <c r="A307" s="3">
        <f t="shared" si="59"/>
        <v>12</v>
      </c>
      <c r="B307" s="11">
        <f t="shared" si="60"/>
        <v>5.3309644572355945E-4</v>
      </c>
      <c r="C307" s="11">
        <f t="shared" si="60"/>
        <v>5.6182208635866069E-4</v>
      </c>
      <c r="D307" s="11">
        <f t="shared" si="60"/>
        <v>5.9294541916159746E-4</v>
      </c>
      <c r="E307" s="11">
        <f t="shared" si="60"/>
        <v>6.2676194980651803E-4</v>
      </c>
      <c r="F307" s="11">
        <f t="shared" si="60"/>
        <v>6.6361464226245923E-4</v>
      </c>
      <c r="G307" s="11">
        <f t="shared" si="60"/>
        <v>7.0390362496862457E-4</v>
      </c>
      <c r="H307" s="11">
        <f t="shared" si="60"/>
        <v>7.4809831320339626E-4</v>
      </c>
      <c r="I307" s="11">
        <f t="shared" si="60"/>
        <v>7.9675266805625947E-4</v>
      </c>
      <c r="J307" s="11">
        <f t="shared" si="60"/>
        <v>8.5052456499112579E-4</v>
      </c>
      <c r="K307" s="11">
        <f t="shared" si="60"/>
        <v>9.1020060047301073E-4</v>
      </c>
    </row>
    <row r="308" spans="1:11" ht="13">
      <c r="A308" s="3">
        <f t="shared" si="59"/>
        <v>13</v>
      </c>
      <c r="B308" s="11">
        <f t="shared" si="60"/>
        <v>3.3314087952252501E-4</v>
      </c>
      <c r="C308" s="11">
        <f t="shared" si="60"/>
        <v>3.5112894979914133E-4</v>
      </c>
      <c r="D308" s="11">
        <f t="shared" si="60"/>
        <v>3.7062386266590891E-4</v>
      </c>
      <c r="E308" s="11">
        <f t="shared" si="60"/>
        <v>3.9181217147458243E-4</v>
      </c>
      <c r="F308" s="11">
        <f t="shared" si="60"/>
        <v>4.1491056322856562E-4</v>
      </c>
      <c r="G308" s="11">
        <f t="shared" si="60"/>
        <v>4.4017206285215719E-4</v>
      </c>
      <c r="H308" s="11">
        <f t="shared" si="60"/>
        <v>4.6789379412787385E-4</v>
      </c>
      <c r="I308" s="11">
        <f t="shared" si="60"/>
        <v>4.9842676562474844E-4</v>
      </c>
      <c r="J308" s="11">
        <f t="shared" si="60"/>
        <v>5.3218831582408895E-4</v>
      </c>
      <c r="K308" s="11">
        <f t="shared" si="60"/>
        <v>5.6967808590045223E-4</v>
      </c>
    </row>
    <row r="309" spans="1:11" ht="13">
      <c r="A309" s="3">
        <f t="shared" si="59"/>
        <v>14</v>
      </c>
      <c r="B309" s="11">
        <f t="shared" si="60"/>
        <v>2.0819571007608622E-4</v>
      </c>
      <c r="C309" s="11">
        <f t="shared" si="60"/>
        <v>2.1945174313191084E-4</v>
      </c>
      <c r="D309" s="11">
        <f t="shared" si="60"/>
        <v>2.3165279543873373E-4</v>
      </c>
      <c r="E309" s="11">
        <f t="shared" si="60"/>
        <v>2.4491619413673243E-4</v>
      </c>
      <c r="F309" s="11">
        <f t="shared" si="60"/>
        <v>2.5937828610095694E-4</v>
      </c>
      <c r="G309" s="11">
        <f t="shared" si="60"/>
        <v>2.7519837026331685E-4</v>
      </c>
      <c r="H309" s="11">
        <f t="shared" si="60"/>
        <v>2.9256362140769003E-4</v>
      </c>
      <c r="I309" s="11">
        <f t="shared" si="60"/>
        <v>3.1169530539144305E-4</v>
      </c>
      <c r="J309" s="11">
        <f t="shared" si="60"/>
        <v>3.3285669266852586E-4</v>
      </c>
      <c r="K309" s="11">
        <f t="shared" si="60"/>
        <v>3.5636322829468335E-4</v>
      </c>
    </row>
    <row r="310" spans="1:11" ht="13">
      <c r="A310" s="3">
        <f t="shared" si="59"/>
        <v>15</v>
      </c>
      <c r="B310" s="11">
        <f t="shared" si="60"/>
        <v>1.3011554642290902E-4</v>
      </c>
      <c r="C310" s="11">
        <f t="shared" si="60"/>
        <v>1.3715583506463885E-4</v>
      </c>
      <c r="D310" s="11">
        <f t="shared" si="60"/>
        <v>1.4478802893133161E-4</v>
      </c>
      <c r="E310" s="11">
        <f t="shared" si="60"/>
        <v>1.5308574408544787E-4</v>
      </c>
      <c r="F310" s="11">
        <f t="shared" si="60"/>
        <v>1.6213455708685118E-4</v>
      </c>
      <c r="G310" s="11">
        <f t="shared" si="60"/>
        <v>1.7203448423600958E-4</v>
      </c>
      <c r="H310" s="11">
        <f t="shared" si="60"/>
        <v>1.8290308782852876E-4</v>
      </c>
      <c r="I310" s="11">
        <f t="shared" si="60"/>
        <v>1.9487939977270641E-4</v>
      </c>
      <c r="J310" s="11">
        <f t="shared" si="60"/>
        <v>2.0812892104324346E-4</v>
      </c>
      <c r="K310" s="11">
        <f t="shared" si="60"/>
        <v>2.2285005196918798E-4</v>
      </c>
    </row>
    <row r="311" spans="1:11" ht="13">
      <c r="A311" s="3">
        <f t="shared" si="59"/>
        <v>16</v>
      </c>
      <c r="B311" s="11">
        <f t="shared" si="60"/>
        <v>8.131957127920516E-5</v>
      </c>
      <c r="C311" s="11">
        <f t="shared" si="60"/>
        <v>8.5721809190167077E-5</v>
      </c>
      <c r="D311" s="11">
        <f t="shared" si="60"/>
        <v>9.0494483630522109E-5</v>
      </c>
      <c r="E311" s="11">
        <f t="shared" si="60"/>
        <v>9.5683716821587831E-5</v>
      </c>
      <c r="F311" s="11">
        <f t="shared" si="60"/>
        <v>1.0134313497966724E-4</v>
      </c>
      <c r="G311" s="11">
        <f t="shared" si="60"/>
        <v>1.0753542630523069E-4</v>
      </c>
      <c r="H311" s="11">
        <f t="shared" si="60"/>
        <v>1.1433429374435712E-4</v>
      </c>
      <c r="I311" s="11">
        <f t="shared" si="60"/>
        <v>1.2182692262951127E-4</v>
      </c>
      <c r="J311" s="11">
        <f t="shared" si="60"/>
        <v>1.3011712639551121E-4</v>
      </c>
      <c r="K311" s="11">
        <f t="shared" si="60"/>
        <v>1.3932939467123419E-4</v>
      </c>
    </row>
    <row r="312" spans="1:11" ht="13">
      <c r="A312" s="3">
        <f t="shared" si="59"/>
        <v>17</v>
      </c>
      <c r="B312" s="11">
        <f t="shared" si="60"/>
        <v>5.0823698809153729E-5</v>
      </c>
      <c r="C312" s="11">
        <f t="shared" si="60"/>
        <v>5.3575901146161436E-5</v>
      </c>
      <c r="D312" s="11">
        <f t="shared" si="60"/>
        <v>5.6559820063521638E-5</v>
      </c>
      <c r="E312" s="11">
        <f t="shared" si="60"/>
        <v>5.9804325826767658E-5</v>
      </c>
      <c r="F312" s="11">
        <f t="shared" si="60"/>
        <v>6.334298992865991E-5</v>
      </c>
      <c r="G312" s="11">
        <f t="shared" si="60"/>
        <v>6.7215062149566187E-5</v>
      </c>
      <c r="H312" s="11">
        <f t="shared" si="60"/>
        <v>7.1466695485061709E-5</v>
      </c>
      <c r="I312" s="11">
        <f t="shared" si="60"/>
        <v>7.615249445485137E-5</v>
      </c>
      <c r="J312" s="11">
        <f t="shared" si="60"/>
        <v>8.1337489439646903E-5</v>
      </c>
      <c r="K312" s="11">
        <f t="shared" si="60"/>
        <v>8.7099678189226282E-5</v>
      </c>
    </row>
    <row r="313" spans="1:11" ht="13">
      <c r="A313" s="3">
        <f t="shared" si="59"/>
        <v>18</v>
      </c>
      <c r="B313" s="11">
        <f t="shared" si="60"/>
        <v>3.1764408159542795E-5</v>
      </c>
      <c r="C313" s="11">
        <f t="shared" si="60"/>
        <v>3.3484848525474222E-5</v>
      </c>
      <c r="D313" s="11">
        <f t="shared" si="60"/>
        <v>3.5350187459915374E-5</v>
      </c>
      <c r="E313" s="11">
        <f t="shared" si="60"/>
        <v>3.7378486032040278E-5</v>
      </c>
      <c r="F313" s="11">
        <f t="shared" si="60"/>
        <v>3.9590747971165479E-5</v>
      </c>
      <c r="G313" s="11">
        <f t="shared" si="60"/>
        <v>4.2011531628085001E-5</v>
      </c>
      <c r="H313" s="11">
        <f t="shared" si="60"/>
        <v>4.4669717297971625E-5</v>
      </c>
      <c r="I313" s="11">
        <f t="shared" si="60"/>
        <v>4.7599477276557668E-5</v>
      </c>
      <c r="J313" s="11">
        <f t="shared" si="60"/>
        <v>5.0841513058481086E-5</v>
      </c>
      <c r="K313" s="11">
        <f t="shared" si="60"/>
        <v>5.4444648267337349E-5</v>
      </c>
    </row>
    <row r="314" spans="1:11" ht="13">
      <c r="A314" s="3">
        <f t="shared" ref="A314:A325" si="61">A313+1</f>
        <v>19</v>
      </c>
      <c r="B314" s="11">
        <f t="shared" ref="B314:K325" si="62">B313*(1-B313*B$15)/(1-B$15*B313*B313-$B$294*(1-B313)^2)</f>
        <v>1.9852597448212152E-5</v>
      </c>
      <c r="C314" s="11">
        <f t="shared" si="62"/>
        <v>2.0927995291878372E-5</v>
      </c>
      <c r="D314" s="11">
        <f t="shared" si="62"/>
        <v>2.2093984318905125E-5</v>
      </c>
      <c r="E314" s="11">
        <f t="shared" si="62"/>
        <v>2.3361859401342146E-5</v>
      </c>
      <c r="F314" s="11">
        <f t="shared" si="62"/>
        <v>2.4744756291423864E-5</v>
      </c>
      <c r="G314" s="11">
        <f t="shared" si="62"/>
        <v>2.6258034605362384E-5</v>
      </c>
      <c r="H314" s="11">
        <f t="shared" si="62"/>
        <v>2.7919758082107805E-5</v>
      </c>
      <c r="I314" s="11">
        <f t="shared" si="62"/>
        <v>2.975130179308813E-5</v>
      </c>
      <c r="J314" s="11">
        <f t="shared" si="62"/>
        <v>3.1778126658269064E-5</v>
      </c>
      <c r="K314" s="11">
        <f t="shared" si="62"/>
        <v>3.4030776783937152E-5</v>
      </c>
    </row>
    <row r="315" spans="1:11" ht="13">
      <c r="A315" s="3">
        <f t="shared" si="61"/>
        <v>20</v>
      </c>
      <c r="B315" s="11">
        <f t="shared" si="62"/>
        <v>1.240781182330926E-5</v>
      </c>
      <c r="C315" s="11">
        <f t="shared" si="62"/>
        <v>1.3079983371019417E-5</v>
      </c>
      <c r="D315" s="11">
        <f t="shared" si="62"/>
        <v>1.3808785963587455E-5</v>
      </c>
      <c r="E315" s="11">
        <f t="shared" si="62"/>
        <v>1.4601281515538424E-5</v>
      </c>
      <c r="F315" s="11">
        <f t="shared" si="62"/>
        <v>1.5465683162822565E-5</v>
      </c>
      <c r="G315" s="11">
        <f t="shared" si="62"/>
        <v>1.6411594826276819E-5</v>
      </c>
      <c r="H315" s="11">
        <f t="shared" si="62"/>
        <v>1.745031163998701E-5</v>
      </c>
      <c r="I315" s="11">
        <f t="shared" si="62"/>
        <v>1.8595199818933871E-5</v>
      </c>
      <c r="J315" s="11">
        <f t="shared" si="62"/>
        <v>1.986218122705808E-5</v>
      </c>
      <c r="K315" s="11">
        <f t="shared" si="62"/>
        <v>2.1270357400379651E-5</v>
      </c>
    </row>
    <row r="316" spans="1:11" ht="13">
      <c r="A316" s="3">
        <f t="shared" si="61"/>
        <v>21</v>
      </c>
      <c r="B316" s="11">
        <f t="shared" si="62"/>
        <v>7.7548583343625554E-6</v>
      </c>
      <c r="C316" s="11">
        <f t="shared" si="62"/>
        <v>8.1749842605731098E-6</v>
      </c>
      <c r="D316" s="11">
        <f t="shared" si="62"/>
        <v>8.6305091039182179E-6</v>
      </c>
      <c r="E316" s="11">
        <f t="shared" si="62"/>
        <v>9.1258475844150764E-6</v>
      </c>
      <c r="F316" s="11">
        <f t="shared" si="62"/>
        <v>9.6661341977933217E-6</v>
      </c>
      <c r="G316" s="11">
        <f t="shared" si="62"/>
        <v>1.0257373020274483E-5</v>
      </c>
      <c r="H316" s="11">
        <f t="shared" si="62"/>
        <v>1.0906625580514808E-5</v>
      </c>
      <c r="I316" s="11">
        <f t="shared" si="62"/>
        <v>1.1622248418209783E-5</v>
      </c>
      <c r="J316" s="11">
        <f t="shared" si="62"/>
        <v>1.2414196132839387E-5</v>
      </c>
      <c r="K316" s="11">
        <f t="shared" si="62"/>
        <v>1.3294411666692016E-5</v>
      </c>
    </row>
    <row r="317" spans="1:11" ht="13">
      <c r="A317" s="3">
        <f t="shared" si="61"/>
        <v>22</v>
      </c>
      <c r="B317" s="11">
        <f t="shared" si="62"/>
        <v>4.8467770624592231E-6</v>
      </c>
      <c r="C317" s="11">
        <f t="shared" si="62"/>
        <v>5.1093630744390827E-6</v>
      </c>
      <c r="D317" s="11">
        <f t="shared" si="62"/>
        <v>5.3940751730272797E-6</v>
      </c>
      <c r="E317" s="11">
        <f t="shared" si="62"/>
        <v>5.7036729580640785E-6</v>
      </c>
      <c r="F317" s="11">
        <f t="shared" si="62"/>
        <v>6.0413659917017273E-6</v>
      </c>
      <c r="G317" s="11">
        <f t="shared" si="62"/>
        <v>6.4109074567204945E-6</v>
      </c>
      <c r="H317" s="11">
        <f t="shared" si="62"/>
        <v>6.8167116172174846E-6</v>
      </c>
      <c r="I317" s="11">
        <f t="shared" si="62"/>
        <v>7.2640023479622883E-6</v>
      </c>
      <c r="J317" s="11">
        <f t="shared" si="62"/>
        <v>7.7590026155626073E-6</v>
      </c>
      <c r="K317" s="11">
        <f t="shared" si="62"/>
        <v>8.3091785103180839E-6</v>
      </c>
    </row>
    <row r="318" spans="1:11" ht="13">
      <c r="A318" s="3">
        <f t="shared" si="61"/>
        <v>23</v>
      </c>
      <c r="B318" s="11">
        <f t="shared" si="62"/>
        <v>3.0292319935339789E-6</v>
      </c>
      <c r="C318" s="11">
        <f t="shared" si="62"/>
        <v>3.1933511057320014E-6</v>
      </c>
      <c r="D318" s="11">
        <f t="shared" si="62"/>
        <v>3.3712997109074889E-6</v>
      </c>
      <c r="E318" s="11">
        <f t="shared" si="62"/>
        <v>3.5648027151558849E-6</v>
      </c>
      <c r="F318" s="11">
        <f t="shared" si="62"/>
        <v>3.7758662910588954E-6</v>
      </c>
      <c r="G318" s="11">
        <f t="shared" si="62"/>
        <v>4.0068364259816949E-6</v>
      </c>
      <c r="H318" s="11">
        <f t="shared" si="62"/>
        <v>4.2604723509151268E-6</v>
      </c>
      <c r="I318" s="11">
        <f t="shared" si="62"/>
        <v>4.5400393929018414E-6</v>
      </c>
      <c r="J318" s="11">
        <f t="shared" si="62"/>
        <v>4.8494274303433527E-6</v>
      </c>
      <c r="K318" s="11">
        <f t="shared" si="62"/>
        <v>5.193303453922914E-6</v>
      </c>
    </row>
    <row r="319" spans="1:11" ht="13">
      <c r="A319" s="3">
        <f t="shared" si="61"/>
        <v>24</v>
      </c>
      <c r="B319" s="11">
        <f t="shared" si="62"/>
        <v>1.8932685621713116E-6</v>
      </c>
      <c r="C319" s="11">
        <f t="shared" si="62"/>
        <v>1.9958441224126793E-6</v>
      </c>
      <c r="D319" s="11">
        <f t="shared" si="62"/>
        <v>2.1070633848506632E-6</v>
      </c>
      <c r="E319" s="11">
        <f t="shared" si="62"/>
        <v>2.2280044768115954E-6</v>
      </c>
      <c r="F319" s="11">
        <f t="shared" si="62"/>
        <v>2.3599213328181745E-6</v>
      </c>
      <c r="G319" s="11">
        <f t="shared" si="62"/>
        <v>2.5042802919046029E-6</v>
      </c>
      <c r="H319" s="11">
        <f t="shared" si="62"/>
        <v>2.6628059968593622E-6</v>
      </c>
      <c r="I319" s="11">
        <f t="shared" si="62"/>
        <v>2.8375394354221298E-6</v>
      </c>
      <c r="J319" s="11">
        <f t="shared" si="62"/>
        <v>3.0309119864068322E-6</v>
      </c>
      <c r="K319" s="11">
        <f t="shared" si="62"/>
        <v>3.2458407863027294E-6</v>
      </c>
    </row>
    <row r="320" spans="1:11" ht="13">
      <c r="A320" s="3">
        <f t="shared" si="61"/>
        <v>25</v>
      </c>
      <c r="B320" s="11">
        <f t="shared" si="62"/>
        <v>1.183292291284546E-6</v>
      </c>
      <c r="C320" s="11">
        <f t="shared" si="62"/>
        <v>1.2474024520273044E-6</v>
      </c>
      <c r="D320" s="11">
        <f t="shared" si="62"/>
        <v>1.3169150317557076E-6</v>
      </c>
      <c r="E320" s="11">
        <f t="shared" si="62"/>
        <v>1.3925038838840616E-6</v>
      </c>
      <c r="F320" s="11">
        <f t="shared" si="62"/>
        <v>1.4749527474350586E-6</v>
      </c>
      <c r="G320" s="11">
        <f t="shared" si="62"/>
        <v>1.5651781221702395E-6</v>
      </c>
      <c r="H320" s="11">
        <f t="shared" si="62"/>
        <v>1.6642579580452265E-6</v>
      </c>
      <c r="I320" s="11">
        <f t="shared" si="62"/>
        <v>1.7734679342513191E-6</v>
      </c>
      <c r="J320" s="11">
        <f t="shared" si="62"/>
        <v>1.8943277425570157E-6</v>
      </c>
      <c r="K320" s="11">
        <f t="shared" si="62"/>
        <v>2.0286606976939353E-6</v>
      </c>
    </row>
    <row r="321" spans="1:11" ht="13">
      <c r="A321" s="3">
        <f t="shared" si="61"/>
        <v>26</v>
      </c>
      <c r="B321" s="11">
        <f t="shared" si="62"/>
        <v>7.3955746327468002E-7</v>
      </c>
      <c r="C321" s="11">
        <f t="shared" si="62"/>
        <v>7.7962648389176905E-7</v>
      </c>
      <c r="D321" s="11">
        <f t="shared" si="62"/>
        <v>8.2307205743484043E-7</v>
      </c>
      <c r="E321" s="11">
        <f t="shared" si="62"/>
        <v>8.703153515986913E-7</v>
      </c>
      <c r="F321" s="11">
        <f t="shared" si="62"/>
        <v>9.2184621497041499E-7</v>
      </c>
      <c r="G321" s="11">
        <f t="shared" si="62"/>
        <v>9.7823747469242127E-7</v>
      </c>
      <c r="H321" s="11">
        <f t="shared" si="62"/>
        <v>1.0401628683206433E-6</v>
      </c>
      <c r="I321" s="11">
        <f t="shared" si="62"/>
        <v>1.1084197195121469E-6</v>
      </c>
      <c r="J321" s="11">
        <f t="shared" si="62"/>
        <v>1.1839578668772219E-6</v>
      </c>
      <c r="K321" s="11">
        <f t="shared" si="62"/>
        <v>1.2679169229161789E-6</v>
      </c>
    </row>
    <row r="322" spans="1:11" ht="13">
      <c r="A322" s="3">
        <f t="shared" si="61"/>
        <v>27</v>
      </c>
      <c r="B322" s="11">
        <f t="shared" si="62"/>
        <v>4.6222332908649681E-7</v>
      </c>
      <c r="C322" s="11">
        <f t="shared" si="62"/>
        <v>4.8726653343808609E-7</v>
      </c>
      <c r="D322" s="11">
        <f t="shared" si="62"/>
        <v>5.1442009940752816E-7</v>
      </c>
      <c r="E322" s="11">
        <f t="shared" si="62"/>
        <v>5.4394726044116622E-7</v>
      </c>
      <c r="F322" s="11">
        <f t="shared" si="62"/>
        <v>5.7615417647549157E-7</v>
      </c>
      <c r="G322" s="11">
        <f t="shared" si="62"/>
        <v>6.11398870252509E-7</v>
      </c>
      <c r="H322" s="11">
        <f t="shared" si="62"/>
        <v>6.5010243510170957E-7</v>
      </c>
      <c r="I322" s="11">
        <f t="shared" si="62"/>
        <v>6.9276320774742886E-7</v>
      </c>
      <c r="J322" s="11">
        <f t="shared" si="62"/>
        <v>7.3997484953035543E-7</v>
      </c>
      <c r="K322" s="11">
        <f t="shared" si="62"/>
        <v>7.9244963419838504E-7</v>
      </c>
    </row>
    <row r="323" spans="1:11" ht="13">
      <c r="A323" s="3">
        <f t="shared" si="61"/>
        <v>28</v>
      </c>
      <c r="B323" s="11">
        <f t="shared" si="62"/>
        <v>2.8888954729618846E-7</v>
      </c>
      <c r="C323" s="11">
        <f t="shared" si="62"/>
        <v>3.0454157597916405E-7</v>
      </c>
      <c r="D323" s="11">
        <f t="shared" si="62"/>
        <v>3.2151258693859327E-7</v>
      </c>
      <c r="E323" s="11">
        <f t="shared" si="62"/>
        <v>3.3996710249919131E-7</v>
      </c>
      <c r="F323" s="11">
        <f t="shared" si="62"/>
        <v>3.6009647440626371E-7</v>
      </c>
      <c r="G323" s="11">
        <f t="shared" si="62"/>
        <v>3.8212446913061608E-7</v>
      </c>
      <c r="H323" s="11">
        <f t="shared" si="62"/>
        <v>4.0631427287705325E-7</v>
      </c>
      <c r="I323" s="11">
        <f t="shared" si="62"/>
        <v>4.3297734978531201E-7</v>
      </c>
      <c r="J323" s="11">
        <f t="shared" si="62"/>
        <v>4.6248474296263245E-7</v>
      </c>
      <c r="K323" s="11">
        <f t="shared" si="62"/>
        <v>4.952816297262397E-7</v>
      </c>
    </row>
    <row r="324" spans="1:11" ht="13">
      <c r="A324" s="3">
        <f t="shared" si="61"/>
        <v>29</v>
      </c>
      <c r="B324" s="11">
        <f t="shared" si="62"/>
        <v>1.8055595401993583E-7</v>
      </c>
      <c r="C324" s="11">
        <f t="shared" si="62"/>
        <v>1.9033848208867995E-7</v>
      </c>
      <c r="D324" s="11">
        <f t="shared" si="62"/>
        <v>2.0094537652759283E-7</v>
      </c>
      <c r="E324" s="11">
        <f t="shared" si="62"/>
        <v>2.1247946434460468E-7</v>
      </c>
      <c r="F324" s="11">
        <f t="shared" si="62"/>
        <v>2.2506034107780019E-7</v>
      </c>
      <c r="G324" s="11">
        <f t="shared" si="62"/>
        <v>2.3882786165309935E-7</v>
      </c>
      <c r="H324" s="11">
        <f t="shared" si="62"/>
        <v>2.5394651857111968E-7</v>
      </c>
      <c r="I324" s="11">
        <f t="shared" si="62"/>
        <v>2.7061097835945279E-7</v>
      </c>
      <c r="J324" s="11">
        <f t="shared" si="62"/>
        <v>2.8905314482315253E-7</v>
      </c>
      <c r="K324" s="11">
        <f t="shared" si="62"/>
        <v>3.0955125621706767E-7</v>
      </c>
    </row>
    <row r="325" spans="1:11" ht="13">
      <c r="A325" s="3">
        <f t="shared" si="61"/>
        <v>30</v>
      </c>
      <c r="B325" s="11">
        <f t="shared" si="62"/>
        <v>1.1284746616863942E-7</v>
      </c>
      <c r="C325" s="11">
        <f t="shared" si="62"/>
        <v>1.189615501732773E-7</v>
      </c>
      <c r="D325" s="11">
        <f t="shared" si="62"/>
        <v>1.2559086411528151E-7</v>
      </c>
      <c r="E325" s="11">
        <f t="shared" si="62"/>
        <v>1.3279967509139937E-7</v>
      </c>
      <c r="F325" s="11">
        <f t="shared" si="62"/>
        <v>1.4066273058530529E-7</v>
      </c>
      <c r="G325" s="11">
        <f t="shared" si="62"/>
        <v>1.4926744027010157E-7</v>
      </c>
      <c r="H325" s="11">
        <f t="shared" si="62"/>
        <v>1.5871661239719733E-7</v>
      </c>
      <c r="I325" s="11">
        <f t="shared" si="62"/>
        <v>1.691319141089402E-7</v>
      </c>
      <c r="J325" s="11">
        <f t="shared" si="62"/>
        <v>1.8065828601123849E-7</v>
      </c>
      <c r="K325" s="11">
        <f t="shared" si="62"/>
        <v>1.9346962796321598E-7</v>
      </c>
    </row>
    <row r="327" spans="1:11">
      <c r="E327" s="1" t="s">
        <v>11</v>
      </c>
    </row>
    <row r="328" spans="1:11">
      <c r="E328" s="6" t="s">
        <v>12</v>
      </c>
    </row>
    <row r="329" spans="1:11">
      <c r="A329" t="s">
        <v>13</v>
      </c>
      <c r="B329">
        <f>B294+I$11</f>
        <v>-0.8</v>
      </c>
      <c r="E329" s="7" t="s">
        <v>14</v>
      </c>
    </row>
    <row r="330" spans="1:11" ht="13">
      <c r="A330" t="s">
        <v>15</v>
      </c>
      <c r="B330" s="5">
        <v>1</v>
      </c>
      <c r="C330" s="4">
        <f t="shared" ref="C330:K330" si="63">B330+$D$11</f>
        <v>0.8</v>
      </c>
      <c r="D330" s="4">
        <f t="shared" si="63"/>
        <v>0.60000000000000009</v>
      </c>
      <c r="E330" s="4">
        <f t="shared" si="63"/>
        <v>0.40000000000000008</v>
      </c>
      <c r="F330" s="4">
        <f t="shared" si="63"/>
        <v>0.20000000000000007</v>
      </c>
      <c r="G330" s="4">
        <f t="shared" si="63"/>
        <v>5.5511151231257827E-17</v>
      </c>
      <c r="H330" s="4">
        <f t="shared" si="63"/>
        <v>-0.19999999999999996</v>
      </c>
      <c r="I330" s="4">
        <f t="shared" si="63"/>
        <v>-0.39999999999999997</v>
      </c>
      <c r="J330" s="4">
        <f t="shared" si="63"/>
        <v>-0.6</v>
      </c>
      <c r="K330" s="4">
        <f t="shared" si="63"/>
        <v>-0.8</v>
      </c>
    </row>
    <row r="331" spans="1:11" ht="13">
      <c r="A331" s="3">
        <v>1</v>
      </c>
      <c r="B331" s="9">
        <f t="shared" ref="B331:K331" si="64">$D$10</f>
        <v>0.1</v>
      </c>
      <c r="C331" s="11">
        <f t="shared" si="64"/>
        <v>0.1</v>
      </c>
      <c r="D331" s="11">
        <f t="shared" si="64"/>
        <v>0.1</v>
      </c>
      <c r="E331" s="11">
        <f t="shared" si="64"/>
        <v>0.1</v>
      </c>
      <c r="F331" s="11">
        <f t="shared" si="64"/>
        <v>0.1</v>
      </c>
      <c r="G331" s="11">
        <f t="shared" si="64"/>
        <v>0.1</v>
      </c>
      <c r="H331" s="11">
        <f t="shared" si="64"/>
        <v>0.1</v>
      </c>
      <c r="I331" s="11">
        <f t="shared" si="64"/>
        <v>0.1</v>
      </c>
      <c r="J331" s="11">
        <f t="shared" si="64"/>
        <v>0.1</v>
      </c>
      <c r="K331" s="11">
        <f t="shared" si="64"/>
        <v>0.1</v>
      </c>
    </row>
    <row r="332" spans="1:11" ht="13">
      <c r="A332" s="3">
        <f>A331+1</f>
        <v>2</v>
      </c>
      <c r="B332" s="10">
        <f>B331*(1-B331*B$15)/(1-B$15*B331*B331-$B$329*(1-B331)^2)</f>
        <v>5.4945054945054944E-2</v>
      </c>
      <c r="C332" s="11">
        <f t="shared" ref="C332:K332" si="65">C331*(1-C331*C$15)/(1-C$15*C331*C331-$B$329*(1-C331)^2)</f>
        <v>5.609756097560975E-2</v>
      </c>
      <c r="D332" s="11">
        <f t="shared" si="65"/>
        <v>5.7247259439707668E-2</v>
      </c>
      <c r="E332" s="11">
        <f t="shared" si="65"/>
        <v>5.8394160583941604E-2</v>
      </c>
      <c r="F332" s="11">
        <f t="shared" si="65"/>
        <v>5.9538274605103275E-2</v>
      </c>
      <c r="G332" s="11">
        <f t="shared" si="65"/>
        <v>6.0679611650485438E-2</v>
      </c>
      <c r="H332" s="11">
        <f t="shared" si="65"/>
        <v>6.1818181818181821E-2</v>
      </c>
      <c r="I332" s="11">
        <f t="shared" si="65"/>
        <v>6.2953995157384993E-2</v>
      </c>
      <c r="J332" s="11">
        <f t="shared" si="65"/>
        <v>6.4087061668681986E-2</v>
      </c>
      <c r="K332" s="11">
        <f t="shared" si="65"/>
        <v>6.5217391304347824E-2</v>
      </c>
    </row>
    <row r="333" spans="1:11" ht="13">
      <c r="A333" s="3">
        <f t="shared" ref="A333:A348" si="66">A332+1</f>
        <v>3</v>
      </c>
      <c r="B333" s="11">
        <f t="shared" ref="B333:K348" si="67">B332*(1-B332*B$15)/(1-B$15*B332*B332-$B$329*(1-B332)^2)</f>
        <v>3.0339805825242719E-2</v>
      </c>
      <c r="C333" s="11">
        <f t="shared" si="67"/>
        <v>3.1328871759909838E-2</v>
      </c>
      <c r="D333" s="11">
        <f t="shared" si="67"/>
        <v>3.2345801528572977E-2</v>
      </c>
      <c r="E333" s="11">
        <f t="shared" si="67"/>
        <v>3.3391356430269338E-2</v>
      </c>
      <c r="F333" s="11">
        <f t="shared" si="67"/>
        <v>3.4466282435506111E-2</v>
      </c>
      <c r="G333" s="11">
        <f t="shared" si="67"/>
        <v>3.5571309770160986E-2</v>
      </c>
      <c r="H333" s="11">
        <f t="shared" si="67"/>
        <v>3.6707152496626178E-2</v>
      </c>
      <c r="I333" s="11">
        <f t="shared" si="67"/>
        <v>3.7874508093111207E-2</v>
      </c>
      <c r="J333" s="11">
        <f t="shared" si="67"/>
        <v>3.9074057032032268E-2</v>
      </c>
      <c r="K333" s="11">
        <f t="shared" si="67"/>
        <v>4.0306462358427705E-2</v>
      </c>
    </row>
    <row r="334" spans="1:11" ht="13">
      <c r="A334" s="3">
        <f t="shared" si="66"/>
        <v>4</v>
      </c>
      <c r="B334" s="11">
        <f t="shared" si="67"/>
        <v>1.6798817363257626E-2</v>
      </c>
      <c r="C334" s="11">
        <f t="shared" si="67"/>
        <v>1.7454786227911183E-2</v>
      </c>
      <c r="D334" s="11">
        <f t="shared" si="67"/>
        <v>1.8140606105079168E-2</v>
      </c>
      <c r="E334" s="11">
        <f t="shared" si="67"/>
        <v>1.8858036369640781E-2</v>
      </c>
      <c r="F334" s="11">
        <f t="shared" si="67"/>
        <v>1.9608931273771408E-2</v>
      </c>
      <c r="G334" s="11">
        <f t="shared" si="67"/>
        <v>2.0395245296289999E-2</v>
      </c>
      <c r="H334" s="11">
        <f t="shared" si="67"/>
        <v>2.1219038571781458E-2</v>
      </c>
      <c r="I334" s="11">
        <f t="shared" si="67"/>
        <v>2.2082482377012613E-2</v>
      </c>
      <c r="J334" s="11">
        <f t="shared" si="67"/>
        <v>2.2987864648740749E-2</v>
      </c>
      <c r="K334" s="11">
        <f t="shared" si="67"/>
        <v>2.3937595503367316E-2</v>
      </c>
    </row>
    <row r="335" spans="1:11" ht="13">
      <c r="A335" s="3">
        <f t="shared" si="66"/>
        <v>5</v>
      </c>
      <c r="B335" s="11">
        <f t="shared" si="67"/>
        <v>9.3152889975258602E-3</v>
      </c>
      <c r="C335" s="11">
        <f t="shared" si="67"/>
        <v>9.712385984385655E-3</v>
      </c>
      <c r="D335" s="11">
        <f t="shared" si="67"/>
        <v>1.0131419151691703E-2</v>
      </c>
      <c r="E335" s="11">
        <f t="shared" si="67"/>
        <v>1.0574073336919917E-2</v>
      </c>
      <c r="F335" s="11">
        <f t="shared" si="67"/>
        <v>1.1042179036775573E-2</v>
      </c>
      <c r="G335" s="11">
        <f t="shared" si="67"/>
        <v>1.1537727503484561E-2</v>
      </c>
      <c r="H335" s="11">
        <f t="shared" si="67"/>
        <v>1.2062887446494282E-2</v>
      </c>
      <c r="I335" s="11">
        <f t="shared" si="67"/>
        <v>1.2620023516362919E-2</v>
      </c>
      <c r="J335" s="11">
        <f t="shared" si="67"/>
        <v>1.3211716765145315E-2</v>
      </c>
      <c r="K335" s="11">
        <f t="shared" si="67"/>
        <v>1.3840787296105569E-2</v>
      </c>
    </row>
    <row r="336" spans="1:11" ht="13">
      <c r="A336" s="3">
        <f t="shared" si="66"/>
        <v>6</v>
      </c>
      <c r="B336" s="11">
        <f t="shared" si="67"/>
        <v>5.169809635201689E-3</v>
      </c>
      <c r="C336" s="11">
        <f t="shared" si="67"/>
        <v>5.4004688510795786E-3</v>
      </c>
      <c r="D336" s="11">
        <f t="shared" si="67"/>
        <v>5.6451249292681022E-3</v>
      </c>
      <c r="E336" s="11">
        <f t="shared" si="67"/>
        <v>5.9049936478908441E-3</v>
      </c>
      <c r="F336" s="11">
        <f t="shared" si="67"/>
        <v>6.1814172105496756E-3</v>
      </c>
      <c r="G336" s="11">
        <f t="shared" si="67"/>
        <v>6.4758805357951216E-3</v>
      </c>
      <c r="H336" s="11">
        <f t="shared" si="67"/>
        <v>6.7900299135713448E-3</v>
      </c>
      <c r="I336" s="11">
        <f t="shared" si="67"/>
        <v>7.1256944195587681E-3</v>
      </c>
      <c r="J336" s="11">
        <f t="shared" si="67"/>
        <v>7.4849105490230865E-3</v>
      </c>
      <c r="K336" s="11">
        <f t="shared" si="67"/>
        <v>7.8699506161246692E-3</v>
      </c>
    </row>
    <row r="337" spans="1:11" ht="13">
      <c r="A337" s="3">
        <f t="shared" si="66"/>
        <v>7</v>
      </c>
      <c r="B337" s="11">
        <f t="shared" si="67"/>
        <v>2.8704676005499542E-3</v>
      </c>
      <c r="C337" s="11">
        <f t="shared" si="67"/>
        <v>3.0017076700365112E-3</v>
      </c>
      <c r="D337" s="11">
        <f t="shared" si="67"/>
        <v>3.141309657569394E-3</v>
      </c>
      <c r="E337" s="11">
        <f t="shared" si="67"/>
        <v>3.2900469499166731E-3</v>
      </c>
      <c r="F337" s="11">
        <f t="shared" si="67"/>
        <v>3.4487808474887153E-3</v>
      </c>
      <c r="G337" s="11">
        <f t="shared" si="67"/>
        <v>3.6184731204590695E-3</v>
      </c>
      <c r="H337" s="11">
        <f t="shared" si="67"/>
        <v>3.8002006501050584E-3</v>
      </c>
      <c r="I337" s="11">
        <f t="shared" si="67"/>
        <v>3.9951725587068594E-3</v>
      </c>
      <c r="J337" s="11">
        <f t="shared" si="67"/>
        <v>4.2047503197695348E-3</v>
      </c>
      <c r="K337" s="11">
        <f t="shared" si="67"/>
        <v>4.4304714504227946E-3</v>
      </c>
    </row>
    <row r="338" spans="1:11" ht="13">
      <c r="A338" s="3">
        <f t="shared" si="66"/>
        <v>8</v>
      </c>
      <c r="B338" s="11">
        <f t="shared" si="67"/>
        <v>1.5941957683830769E-3</v>
      </c>
      <c r="C338" s="11">
        <f t="shared" si="67"/>
        <v>1.6680615131936779E-3</v>
      </c>
      <c r="D338" s="11">
        <f t="shared" si="67"/>
        <v>1.7467582712289154E-3</v>
      </c>
      <c r="E338" s="11">
        <f t="shared" si="67"/>
        <v>1.8307480304418169E-3</v>
      </c>
      <c r="F338" s="11">
        <f t="shared" si="67"/>
        <v>1.9205477784186901E-3</v>
      </c>
      <c r="G338" s="11">
        <f t="shared" si="67"/>
        <v>2.0167377856272692E-3</v>
      </c>
      <c r="H338" s="11">
        <f t="shared" si="67"/>
        <v>2.1199713588554076E-3</v>
      </c>
      <c r="I338" s="11">
        <f t="shared" si="67"/>
        <v>2.2309863719213109E-3</v>
      </c>
      <c r="J338" s="11">
        <f t="shared" si="67"/>
        <v>2.3506189544035662E-3</v>
      </c>
      <c r="K338" s="11">
        <f t="shared" si="67"/>
        <v>2.4798198128524965E-3</v>
      </c>
    </row>
    <row r="339" spans="1:11" ht="13">
      <c r="A339" s="3">
        <f t="shared" si="66"/>
        <v>9</v>
      </c>
      <c r="B339" s="11">
        <f t="shared" si="67"/>
        <v>8.8550746329605853E-4</v>
      </c>
      <c r="C339" s="11">
        <f t="shared" si="67"/>
        <v>9.2683844860908676E-4</v>
      </c>
      <c r="D339" s="11">
        <f t="shared" si="67"/>
        <v>9.7091138670252956E-4</v>
      </c>
      <c r="E339" s="11">
        <f t="shared" si="67"/>
        <v>1.0179932850254432E-3</v>
      </c>
      <c r="F339" s="11">
        <f t="shared" si="67"/>
        <v>1.0683837357993618E-3</v>
      </c>
      <c r="G339" s="11">
        <f t="shared" si="67"/>
        <v>1.122419964622432E-3</v>
      </c>
      <c r="H339" s="11">
        <f t="shared" si="67"/>
        <v>1.1804828070746103E-3</v>
      </c>
      <c r="I339" s="11">
        <f t="shared" si="67"/>
        <v>1.2430038150827505E-3</v>
      </c>
      <c r="J339" s="11">
        <f t="shared" si="67"/>
        <v>1.3104737454999226E-3</v>
      </c>
      <c r="K339" s="11">
        <f t="shared" si="67"/>
        <v>1.3834527485952273E-3</v>
      </c>
    </row>
    <row r="340" spans="1:11" ht="13">
      <c r="A340" s="3">
        <f t="shared" si="66"/>
        <v>10</v>
      </c>
      <c r="B340" s="11">
        <f t="shared" si="67"/>
        <v>4.9190019279870807E-4</v>
      </c>
      <c r="C340" s="11">
        <f t="shared" si="67"/>
        <v>5.1495270541543413E-4</v>
      </c>
      <c r="D340" s="11">
        <f t="shared" si="67"/>
        <v>5.3954658149927117E-4</v>
      </c>
      <c r="E340" s="11">
        <f t="shared" si="67"/>
        <v>5.6583341651779331E-4</v>
      </c>
      <c r="F340" s="11">
        <f t="shared" si="67"/>
        <v>5.9398355779702089E-4</v>
      </c>
      <c r="G340" s="11">
        <f t="shared" si="67"/>
        <v>6.2418905507658352E-4</v>
      </c>
      <c r="H340" s="11">
        <f t="shared" si="67"/>
        <v>6.566671637718446E-4</v>
      </c>
      <c r="I340" s="11">
        <f t="shared" si="67"/>
        <v>6.9166452372705894E-4</v>
      </c>
      <c r="J340" s="11">
        <f t="shared" si="67"/>
        <v>7.2946216786865642E-4</v>
      </c>
      <c r="K340" s="11">
        <f t="shared" si="67"/>
        <v>7.7038155612610469E-4</v>
      </c>
    </row>
    <row r="341" spans="1:11" ht="13">
      <c r="A341" s="3">
        <f t="shared" si="66"/>
        <v>11</v>
      </c>
      <c r="B341" s="11">
        <f t="shared" si="67"/>
        <v>2.7326294954399722E-4</v>
      </c>
      <c r="C341" s="11">
        <f t="shared" si="67"/>
        <v>2.8609793746413325E-4</v>
      </c>
      <c r="D341" s="11">
        <f t="shared" si="67"/>
        <v>2.9979483498989606E-4</v>
      </c>
      <c r="E341" s="11">
        <f t="shared" si="67"/>
        <v>3.1443887850350627E-4</v>
      </c>
      <c r="F341" s="11">
        <f t="shared" si="67"/>
        <v>3.3012592645278955E-4</v>
      </c>
      <c r="G341" s="11">
        <f t="shared" si="67"/>
        <v>3.469641449368401E-4</v>
      </c>
      <c r="H341" s="11">
        <f t="shared" si="67"/>
        <v>3.650760123260494E-4</v>
      </c>
      <c r="I341" s="11">
        <f t="shared" si="67"/>
        <v>3.8460071462949704E-4</v>
      </c>
      <c r="J341" s="11">
        <f t="shared" si="67"/>
        <v>4.0569702204416348E-4</v>
      </c>
      <c r="K341" s="11">
        <f t="shared" si="67"/>
        <v>4.285467614520315E-4</v>
      </c>
    </row>
    <row r="342" spans="1:11" ht="13">
      <c r="A342" s="3">
        <f t="shared" si="66"/>
        <v>12</v>
      </c>
      <c r="B342" s="11">
        <f t="shared" si="67"/>
        <v>1.5180814046441757E-4</v>
      </c>
      <c r="C342" s="11">
        <f t="shared" si="67"/>
        <v>1.5894734169493065E-4</v>
      </c>
      <c r="D342" s="11">
        <f t="shared" si="67"/>
        <v>1.6656711298120944E-4</v>
      </c>
      <c r="E342" s="11">
        <f t="shared" si="67"/>
        <v>1.747151235746908E-4</v>
      </c>
      <c r="F342" s="11">
        <f t="shared" si="67"/>
        <v>1.8344500764268991E-4</v>
      </c>
      <c r="G342" s="11">
        <f t="shared" si="67"/>
        <v>1.9281731526611039E-4</v>
      </c>
      <c r="H342" s="11">
        <f t="shared" si="67"/>
        <v>2.0290064446410735E-4</v>
      </c>
      <c r="I342" s="11">
        <f t="shared" si="67"/>
        <v>2.13772995201754E-4</v>
      </c>
      <c r="J342" s="11">
        <f t="shared" si="67"/>
        <v>2.2552339710826453E-4</v>
      </c>
      <c r="K342" s="11">
        <f t="shared" si="67"/>
        <v>2.3825387665978872E-4</v>
      </c>
    </row>
    <row r="343" spans="1:11" ht="13">
      <c r="A343" s="3">
        <f t="shared" si="66"/>
        <v>13</v>
      </c>
      <c r="B343" s="11">
        <f t="shared" si="67"/>
        <v>8.4336433262775632E-5</v>
      </c>
      <c r="C343" s="11">
        <f t="shared" si="67"/>
        <v>8.8305326513353358E-5</v>
      </c>
      <c r="D343" s="11">
        <f t="shared" si="67"/>
        <v>9.254173820115913E-5</v>
      </c>
      <c r="E343" s="11">
        <f t="shared" si="67"/>
        <v>9.7072249013129447E-5</v>
      </c>
      <c r="F343" s="11">
        <f t="shared" si="67"/>
        <v>1.0192677327934503E-4</v>
      </c>
      <c r="G343" s="11">
        <f t="shared" si="67"/>
        <v>1.0713909184153925E-4</v>
      </c>
      <c r="H343" s="11">
        <f t="shared" si="67"/>
        <v>1.127474866761562E-4</v>
      </c>
      <c r="I343" s="11">
        <f t="shared" si="67"/>
        <v>1.1879550037580469E-4</v>
      </c>
      <c r="J343" s="11">
        <f t="shared" si="67"/>
        <v>1.2533284969420058E-4</v>
      </c>
      <c r="K343" s="11">
        <f t="shared" si="67"/>
        <v>1.3241653031316285E-4</v>
      </c>
    </row>
    <row r="344" spans="1:11" ht="13">
      <c r="A344" s="3">
        <f t="shared" si="66"/>
        <v>14</v>
      </c>
      <c r="B344" s="11">
        <f t="shared" si="67"/>
        <v>4.6853134987509574E-5</v>
      </c>
      <c r="C344" s="11">
        <f t="shared" si="67"/>
        <v>4.9058899837928091E-5</v>
      </c>
      <c r="D344" s="11">
        <f t="shared" si="67"/>
        <v>5.1413451307419066E-5</v>
      </c>
      <c r="E344" s="11">
        <f t="shared" si="67"/>
        <v>5.393158667660951E-5</v>
      </c>
      <c r="F344" s="11">
        <f t="shared" si="67"/>
        <v>5.6629961382054832E-5</v>
      </c>
      <c r="G344" s="11">
        <f t="shared" si="67"/>
        <v>5.9527386461721065E-5</v>
      </c>
      <c r="H344" s="11">
        <f t="shared" si="67"/>
        <v>6.2645182898911112E-5</v>
      </c>
      <c r="I344" s="11">
        <f t="shared" si="67"/>
        <v>6.6007605809353942E-5</v>
      </c>
      <c r="J344" s="11">
        <f t="shared" si="67"/>
        <v>6.9642354842358047E-5</v>
      </c>
      <c r="K344" s="11">
        <f t="shared" si="67"/>
        <v>7.358119163589945E-5</v>
      </c>
    </row>
    <row r="345" spans="1:11" ht="13">
      <c r="A345" s="3">
        <f t="shared" si="66"/>
        <v>15</v>
      </c>
      <c r="B345" s="11">
        <f t="shared" si="67"/>
        <v>2.6029383931034321E-5</v>
      </c>
      <c r="C345" s="11">
        <f t="shared" si="67"/>
        <v>2.7255063212706339E-5</v>
      </c>
      <c r="D345" s="11">
        <f t="shared" si="67"/>
        <v>2.8563452755351728E-5</v>
      </c>
      <c r="E345" s="11">
        <f t="shared" si="67"/>
        <v>2.9962782611102655E-5</v>
      </c>
      <c r="F345" s="11">
        <f t="shared" si="67"/>
        <v>3.1462317037049328E-5</v>
      </c>
      <c r="G345" s="11">
        <f t="shared" si="67"/>
        <v>3.307252017837261E-5</v>
      </c>
      <c r="H345" s="11">
        <f t="shared" si="67"/>
        <v>3.4805253475811415E-5</v>
      </c>
      <c r="I345" s="11">
        <f t="shared" si="67"/>
        <v>3.6674012022879845E-5</v>
      </c>
      <c r="J345" s="11">
        <f t="shared" si="67"/>
        <v>3.8694209013060622E-5</v>
      </c>
      <c r="K345" s="11">
        <f t="shared" si="67"/>
        <v>4.0883519915627438E-5</v>
      </c>
    </row>
    <row r="346" spans="1:11" ht="13">
      <c r="A346" s="3">
        <f t="shared" si="66"/>
        <v>16</v>
      </c>
      <c r="B346" s="11">
        <f t="shared" si="67"/>
        <v>1.446072702792843E-5</v>
      </c>
      <c r="C346" s="11">
        <f t="shared" si="67"/>
        <v>1.5141738469106863E-5</v>
      </c>
      <c r="D346" s="11">
        <f t="shared" si="67"/>
        <v>1.5868715808202901E-5</v>
      </c>
      <c r="E346" s="11">
        <f t="shared" si="67"/>
        <v>1.6646234180989914E-5</v>
      </c>
      <c r="F346" s="11">
        <f t="shared" si="67"/>
        <v>1.7479443867375831E-5</v>
      </c>
      <c r="G346" s="11">
        <f t="shared" si="67"/>
        <v>1.8374162472260669E-5</v>
      </c>
      <c r="H346" s="11">
        <f t="shared" si="67"/>
        <v>1.9336984766316881E-5</v>
      </c>
      <c r="I346" s="11">
        <f t="shared" si="67"/>
        <v>2.0375414211308161E-5</v>
      </c>
      <c r="J346" s="11">
        <f t="shared" si="67"/>
        <v>2.1498021261871888E-5</v>
      </c>
      <c r="K346" s="11">
        <f t="shared" si="67"/>
        <v>2.2714634928560282E-5</v>
      </c>
    </row>
    <row r="347" spans="1:11" ht="13">
      <c r="A347" s="3">
        <f t="shared" si="66"/>
        <v>17</v>
      </c>
      <c r="B347" s="11">
        <f t="shared" si="67"/>
        <v>8.0337243295719559E-6</v>
      </c>
      <c r="C347" s="11">
        <f t="shared" si="67"/>
        <v>8.4120882495200964E-6</v>
      </c>
      <c r="D347" s="11">
        <f t="shared" si="67"/>
        <v>8.815993642039074E-6</v>
      </c>
      <c r="E347" s="11">
        <f t="shared" si="67"/>
        <v>9.2479831398159919E-6</v>
      </c>
      <c r="F347" s="11">
        <f t="shared" si="67"/>
        <v>9.710919080971121E-6</v>
      </c>
      <c r="G347" s="11">
        <f t="shared" si="67"/>
        <v>1.0208034762247996E-5</v>
      </c>
      <c r="H347" s="11">
        <f t="shared" si="67"/>
        <v>1.0742995514178227E-5</v>
      </c>
      <c r="I347" s="11">
        <f t="shared" si="67"/>
        <v>1.1319971837363593E-5</v>
      </c>
      <c r="J347" s="11">
        <f t="shared" si="67"/>
        <v>1.1943727433058289E-5</v>
      </c>
      <c r="K347" s="11">
        <f t="shared" si="67"/>
        <v>1.2619725736552838E-5</v>
      </c>
    </row>
    <row r="348" spans="1:11" ht="13">
      <c r="A348" s="3">
        <f t="shared" si="66"/>
        <v>18</v>
      </c>
      <c r="B348" s="11">
        <f t="shared" si="67"/>
        <v>4.463176199103618E-6</v>
      </c>
      <c r="C348" s="11">
        <f t="shared" si="67"/>
        <v>4.6733858553510579E-6</v>
      </c>
      <c r="D348" s="11">
        <f t="shared" si="67"/>
        <v>4.8977867194928501E-6</v>
      </c>
      <c r="E348" s="11">
        <f t="shared" si="67"/>
        <v>5.1377916401667261E-6</v>
      </c>
      <c r="F348" s="11">
        <f t="shared" si="67"/>
        <v>5.3949911359954278E-6</v>
      </c>
      <c r="G348" s="11">
        <f t="shared" si="67"/>
        <v>5.6711818824278365E-6</v>
      </c>
      <c r="H348" s="11">
        <f t="shared" si="67"/>
        <v>5.9684006586012934E-6</v>
      </c>
      <c r="I348" s="11">
        <f t="shared" si="67"/>
        <v>6.2889649991956553E-6</v>
      </c>
      <c r="J348" s="11">
        <f t="shared" si="67"/>
        <v>6.6355221266090737E-6</v>
      </c>
      <c r="K348" s="11">
        <f t="shared" si="67"/>
        <v>7.0111081699822211E-6</v>
      </c>
    </row>
    <row r="349" spans="1:11" ht="13">
      <c r="A349" s="3">
        <f t="shared" ref="A349:A360" si="68">A348+1</f>
        <v>19</v>
      </c>
      <c r="B349" s="11">
        <f t="shared" ref="B349:K360" si="69">B348*(1-B348*B$15)/(1-B$15*B348*B348-$B$329*(1-B348)^2)</f>
        <v>2.4795411032099171E-6</v>
      </c>
      <c r="C349" s="11">
        <f t="shared" si="69"/>
        <v>2.5963265537444684E-6</v>
      </c>
      <c r="D349" s="11">
        <f t="shared" si="69"/>
        <v>2.7209964719264223E-6</v>
      </c>
      <c r="E349" s="11">
        <f t="shared" si="69"/>
        <v>2.8543358585267065E-6</v>
      </c>
      <c r="F349" s="11">
        <f t="shared" si="69"/>
        <v>2.9972284371058749E-6</v>
      </c>
      <c r="G349" s="11">
        <f t="shared" si="69"/>
        <v>3.1506724840030577E-6</v>
      </c>
      <c r="H349" s="11">
        <f t="shared" si="69"/>
        <v>3.3157996927100968E-6</v>
      </c>
      <c r="I349" s="11">
        <f t="shared" si="69"/>
        <v>3.4938977645907437E-6</v>
      </c>
      <c r="J349" s="11">
        <f t="shared" si="69"/>
        <v>3.6864376015418926E-6</v>
      </c>
      <c r="K349" s="11">
        <f t="shared" si="69"/>
        <v>3.8951062158909512E-6</v>
      </c>
    </row>
    <row r="350" spans="1:11" ht="13">
      <c r="A350" s="3">
        <f t="shared" si="68"/>
        <v>20</v>
      </c>
      <c r="B350" s="11">
        <f t="shared" si="69"/>
        <v>1.3775224556028928E-6</v>
      </c>
      <c r="C350" s="11">
        <f t="shared" si="69"/>
        <v>1.4424039738544393E-6</v>
      </c>
      <c r="D350" s="11">
        <f t="shared" si="69"/>
        <v>1.5116658948951171E-6</v>
      </c>
      <c r="E350" s="11">
        <f t="shared" si="69"/>
        <v>1.5857443564574601E-6</v>
      </c>
      <c r="F350" s="11">
        <f t="shared" si="69"/>
        <v>1.6651303475904919E-6</v>
      </c>
      <c r="G350" s="11">
        <f t="shared" si="69"/>
        <v>1.7503785043223231E-6</v>
      </c>
      <c r="H350" s="11">
        <f t="shared" si="69"/>
        <v>1.8421175914133742E-6</v>
      </c>
      <c r="I350" s="11">
        <f t="shared" si="69"/>
        <v>1.9410630547179629E-6</v>
      </c>
      <c r="J350" s="11">
        <f t="shared" si="69"/>
        <v>2.0480321307247167E-6</v>
      </c>
      <c r="K350" s="11">
        <f t="shared" si="69"/>
        <v>2.1639621330556311E-6</v>
      </c>
    </row>
    <row r="351" spans="1:11" ht="13">
      <c r="A351" s="3">
        <f t="shared" si="68"/>
        <v>21</v>
      </c>
      <c r="B351" s="11">
        <f t="shared" si="69"/>
        <v>7.652901359789019E-7</v>
      </c>
      <c r="C351" s="11">
        <f t="shared" si="69"/>
        <v>8.0133564377255956E-7</v>
      </c>
      <c r="D351" s="11">
        <f t="shared" si="69"/>
        <v>8.398147528029879E-7</v>
      </c>
      <c r="E351" s="11">
        <f t="shared" si="69"/>
        <v>8.8096976989502979E-7</v>
      </c>
      <c r="F351" s="11">
        <f t="shared" si="69"/>
        <v>9.2507347646989404E-7</v>
      </c>
      <c r="G351" s="11">
        <f t="shared" si="69"/>
        <v>9.7243401540227526E-7</v>
      </c>
      <c r="H351" s="11">
        <f t="shared" si="69"/>
        <v>1.0234007146936006E-6</v>
      </c>
      <c r="I351" s="11">
        <f t="shared" si="69"/>
        <v>1.0783710616118685E-6</v>
      </c>
      <c r="J351" s="11">
        <f t="shared" si="69"/>
        <v>1.1377990976544314E-6</v>
      </c>
      <c r="K351" s="11">
        <f t="shared" si="69"/>
        <v>1.2022055787089289E-6</v>
      </c>
    </row>
    <row r="352" spans="1:11" ht="13">
      <c r="A352" s="3">
        <f t="shared" si="68"/>
        <v>22</v>
      </c>
      <c r="B352" s="11">
        <f t="shared" si="69"/>
        <v>4.251611505025416E-7</v>
      </c>
      <c r="C352" s="11">
        <f t="shared" si="69"/>
        <v>4.4518650047311437E-7</v>
      </c>
      <c r="D352" s="11">
        <f t="shared" si="69"/>
        <v>4.6656386475176525E-7</v>
      </c>
      <c r="E352" s="11">
        <f t="shared" si="69"/>
        <v>4.8942786073645743E-7</v>
      </c>
      <c r="F352" s="11">
        <f t="shared" si="69"/>
        <v>5.1393003666350872E-7</v>
      </c>
      <c r="G352" s="11">
        <f t="shared" si="69"/>
        <v>5.4024158664485519E-7</v>
      </c>
      <c r="H352" s="11">
        <f t="shared" si="69"/>
        <v>5.6855658618930901E-7</v>
      </c>
      <c r="I352" s="11">
        <f t="shared" si="69"/>
        <v>5.9909586691162466E-7</v>
      </c>
      <c r="J352" s="11">
        <f t="shared" si="69"/>
        <v>6.3211168063950963E-7</v>
      </c>
      <c r="K352" s="11">
        <f t="shared" si="69"/>
        <v>6.6789334425453021E-7</v>
      </c>
    </row>
    <row r="353" spans="1:13" ht="13">
      <c r="A353" s="3">
        <f t="shared" si="68"/>
        <v>23</v>
      </c>
      <c r="B353" s="11">
        <f t="shared" si="69"/>
        <v>2.3620062800993081E-7</v>
      </c>
      <c r="C353" s="11">
        <f t="shared" si="69"/>
        <v>2.4732584338338939E-7</v>
      </c>
      <c r="D353" s="11">
        <f t="shared" si="69"/>
        <v>2.5920218202091379E-7</v>
      </c>
      <c r="E353" s="11">
        <f t="shared" si="69"/>
        <v>2.7190443213597015E-7</v>
      </c>
      <c r="F353" s="11">
        <f t="shared" si="69"/>
        <v>2.8551678811982909E-7</v>
      </c>
      <c r="G353" s="11">
        <f t="shared" si="69"/>
        <v>3.0013435893160263E-7</v>
      </c>
      <c r="H353" s="11">
        <f t="shared" si="69"/>
        <v>3.1586496565549766E-7</v>
      </c>
      <c r="I353" s="11">
        <f t="shared" si="69"/>
        <v>3.328312941746604E-7</v>
      </c>
      <c r="J353" s="11">
        <f t="shared" si="69"/>
        <v>3.5117348641544423E-7</v>
      </c>
      <c r="K353" s="11">
        <f t="shared" si="69"/>
        <v>3.7105227646490788E-7</v>
      </c>
    </row>
    <row r="354" spans="1:13" ht="13">
      <c r="A354" s="3">
        <f t="shared" si="68"/>
        <v>24</v>
      </c>
      <c r="B354" s="11">
        <f t="shared" si="69"/>
        <v>1.3122256767275568E-7</v>
      </c>
      <c r="C354" s="11">
        <f t="shared" si="69"/>
        <v>1.374032493448502E-7</v>
      </c>
      <c r="D354" s="11">
        <f t="shared" si="69"/>
        <v>1.4400122301674397E-7</v>
      </c>
      <c r="E354" s="11">
        <f t="shared" si="69"/>
        <v>1.5105803793362089E-7</v>
      </c>
      <c r="F354" s="11">
        <f t="shared" si="69"/>
        <v>1.5862046904330279E-7</v>
      </c>
      <c r="G354" s="11">
        <f t="shared" si="69"/>
        <v>1.6674135500182564E-7</v>
      </c>
      <c r="H354" s="11">
        <f t="shared" si="69"/>
        <v>1.754805968303843E-7</v>
      </c>
      <c r="I354" s="11">
        <f t="shared" si="69"/>
        <v>1.8490635386305427E-7</v>
      </c>
      <c r="J354" s="11">
        <f t="shared" si="69"/>
        <v>1.9509648334968929E-7</v>
      </c>
      <c r="K354" s="11">
        <f t="shared" si="69"/>
        <v>2.0614028277267215E-7</v>
      </c>
    </row>
    <row r="355" spans="1:13" ht="13">
      <c r="A355" s="3">
        <f t="shared" si="68"/>
        <v>25</v>
      </c>
      <c r="B355" s="11">
        <f t="shared" si="69"/>
        <v>7.290142542194068E-8</v>
      </c>
      <c r="C355" s="11">
        <f t="shared" si="69"/>
        <v>7.6335139457245434E-8</v>
      </c>
      <c r="D355" s="11">
        <f t="shared" si="69"/>
        <v>8.000068278180343E-8</v>
      </c>
      <c r="E355" s="11">
        <f t="shared" si="69"/>
        <v>8.392113838297099E-8</v>
      </c>
      <c r="F355" s="11">
        <f t="shared" si="69"/>
        <v>8.8122492431144758E-8</v>
      </c>
      <c r="G355" s="11">
        <f t="shared" si="69"/>
        <v>9.2634099841844496E-8</v>
      </c>
      <c r="H355" s="11">
        <f t="shared" si="69"/>
        <v>9.7489239089456129E-8</v>
      </c>
      <c r="I355" s="11">
        <f t="shared" si="69"/>
        <v>1.027257766281289E-7</v>
      </c>
      <c r="J355" s="11">
        <f t="shared" si="69"/>
        <v>1.0838696667818437E-7</v>
      </c>
      <c r="K355" s="11">
        <f t="shared" si="69"/>
        <v>1.1452241918889529E-7</v>
      </c>
    </row>
    <row r="356" spans="1:13" ht="13">
      <c r="A356" s="3">
        <f t="shared" si="68"/>
        <v>26</v>
      </c>
      <c r="B356" s="11">
        <f t="shared" si="69"/>
        <v>4.050079157301533E-8</v>
      </c>
      <c r="C356" s="11">
        <f t="shared" si="69"/>
        <v>4.2408411097336547E-8</v>
      </c>
      <c r="D356" s="11">
        <f t="shared" si="69"/>
        <v>4.4444824794846647E-8</v>
      </c>
      <c r="E356" s="11">
        <f t="shared" si="69"/>
        <v>4.6622856570053875E-8</v>
      </c>
      <c r="F356" s="11">
        <f t="shared" si="69"/>
        <v>4.8956943211534638E-8</v>
      </c>
      <c r="G356" s="11">
        <f t="shared" si="69"/>
        <v>5.1463393038593486E-8</v>
      </c>
      <c r="H356" s="11">
        <f t="shared" si="69"/>
        <v>5.416069413245651E-8</v>
      </c>
      <c r="I356" s="11">
        <f t="shared" si="69"/>
        <v>5.7069883460688455E-8</v>
      </c>
      <c r="J356" s="11">
        <f t="shared" si="69"/>
        <v>6.0214991205142493E-8</v>
      </c>
      <c r="K356" s="11">
        <f t="shared" si="69"/>
        <v>6.3623578521846324E-8</v>
      </c>
    </row>
    <row r="357" spans="1:13" ht="13">
      <c r="A357" s="3">
        <f t="shared" si="68"/>
        <v>27</v>
      </c>
      <c r="B357" s="11">
        <f t="shared" si="69"/>
        <v>2.2500439661532335E-8</v>
      </c>
      <c r="C357" s="11">
        <f t="shared" si="69"/>
        <v>2.3560228476222692E-8</v>
      </c>
      <c r="D357" s="11">
        <f t="shared" si="69"/>
        <v>2.4691569647500637E-8</v>
      </c>
      <c r="E357" s="11">
        <f t="shared" si="69"/>
        <v>2.5901587573748418E-8</v>
      </c>
      <c r="F357" s="11">
        <f t="shared" si="69"/>
        <v>2.7198302701472979E-8</v>
      </c>
      <c r="G357" s="11">
        <f t="shared" si="69"/>
        <v>2.8590775218221504E-8</v>
      </c>
      <c r="H357" s="11">
        <f t="shared" si="69"/>
        <v>3.0089276292545732E-8</v>
      </c>
      <c r="I357" s="11">
        <f t="shared" si="69"/>
        <v>3.1705493143646134E-8</v>
      </c>
      <c r="J357" s="11">
        <f t="shared" si="69"/>
        <v>3.3452775890901769E-8</v>
      </c>
      <c r="K357" s="11">
        <f t="shared" si="69"/>
        <v>3.5346436310222625E-8</v>
      </c>
    </row>
    <row r="358" spans="1:13" ht="13">
      <c r="A358" s="3">
        <f t="shared" si="68"/>
        <v>28</v>
      </c>
      <c r="B358" s="11">
        <f t="shared" si="69"/>
        <v>1.2500244225155632E-8</v>
      </c>
      <c r="C358" s="11">
        <f t="shared" si="69"/>
        <v>1.3089015847535291E-8</v>
      </c>
      <c r="D358" s="11">
        <f t="shared" si="69"/>
        <v>1.3717538790904761E-8</v>
      </c>
      <c r="E358" s="11">
        <f t="shared" si="69"/>
        <v>1.4389771056522323E-8</v>
      </c>
      <c r="F358" s="11">
        <f t="shared" si="69"/>
        <v>1.5110168450598296E-8</v>
      </c>
      <c r="G358" s="11">
        <f t="shared" si="69"/>
        <v>1.5883764413793398E-8</v>
      </c>
      <c r="H358" s="11">
        <f t="shared" si="69"/>
        <v>1.6716265154659522E-8</v>
      </c>
      <c r="I358" s="11">
        <f t="shared" si="69"/>
        <v>1.7614163577381455E-8</v>
      </c>
      <c r="J358" s="11">
        <f t="shared" si="69"/>
        <v>1.8584876420610996E-8</v>
      </c>
      <c r="K358" s="11">
        <f t="shared" si="69"/>
        <v>1.9636910233483729E-8</v>
      </c>
    </row>
    <row r="359" spans="1:13" ht="13">
      <c r="A359" s="3">
        <f t="shared" si="68"/>
        <v>29</v>
      </c>
      <c r="B359" s="11">
        <f t="shared" si="69"/>
        <v>6.9445801154410231E-9</v>
      </c>
      <c r="C359" s="11">
        <f t="shared" si="69"/>
        <v>7.2716754793133019E-9</v>
      </c>
      <c r="D359" s="11">
        <f t="shared" si="69"/>
        <v>7.6208549140362402E-9</v>
      </c>
      <c r="E359" s="11">
        <f t="shared" si="69"/>
        <v>7.9943173098635288E-9</v>
      </c>
      <c r="F359" s="11">
        <f t="shared" si="69"/>
        <v>8.3945381154908165E-9</v>
      </c>
      <c r="G359" s="11">
        <f t="shared" si="69"/>
        <v>8.8243136878081709E-9</v>
      </c>
      <c r="H359" s="11">
        <f t="shared" si="69"/>
        <v>9.2868141438508768E-9</v>
      </c>
      <c r="I359" s="11">
        <f t="shared" si="69"/>
        <v>9.785646654039179E-9</v>
      </c>
      <c r="J359" s="11">
        <f t="shared" si="69"/>
        <v>1.0324931630483165E-8</v>
      </c>
      <c r="K359" s="11">
        <f t="shared" si="69"/>
        <v>1.0909394935962895E-8</v>
      </c>
    </row>
    <row r="360" spans="1:13" ht="13">
      <c r="A360" s="3">
        <f t="shared" si="68"/>
        <v>30</v>
      </c>
      <c r="B360" s="11">
        <f t="shared" si="69"/>
        <v>3.8581000611569138E-9</v>
      </c>
      <c r="C360" s="11">
        <f t="shared" si="69"/>
        <v>4.0398197133408348E-9</v>
      </c>
      <c r="D360" s="11">
        <f t="shared" si="69"/>
        <v>4.2338082948967582E-9</v>
      </c>
      <c r="E360" s="11">
        <f t="shared" si="69"/>
        <v>4.4412874117266563E-9</v>
      </c>
      <c r="F360" s="11">
        <f t="shared" si="69"/>
        <v>4.6636323133531244E-9</v>
      </c>
      <c r="G360" s="11">
        <f t="shared" si="69"/>
        <v>4.9023965316803479E-9</v>
      </c>
      <c r="H360" s="11">
        <f t="shared" si="69"/>
        <v>5.159341243201116E-9</v>
      </c>
      <c r="I360" s="11">
        <f t="shared" si="69"/>
        <v>5.4364704319231871E-9</v>
      </c>
      <c r="J360" s="11">
        <f t="shared" si="69"/>
        <v>5.7360732162249974E-9</v>
      </c>
      <c r="K360" s="11">
        <f t="shared" si="69"/>
        <v>6.0607750760921319E-9</v>
      </c>
    </row>
    <row r="361" spans="1:13" ht="13">
      <c r="A361" s="19" t="s">
        <v>16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3" spans="1:13">
      <c r="B363" s="21">
        <v>2</v>
      </c>
      <c r="C363" s="21">
        <f t="shared" ref="C363:K363" si="70">B363+1</f>
        <v>3</v>
      </c>
      <c r="D363" s="21">
        <f t="shared" si="70"/>
        <v>4</v>
      </c>
      <c r="E363" s="21">
        <f t="shared" si="70"/>
        <v>5</v>
      </c>
      <c r="F363" s="21">
        <f t="shared" si="70"/>
        <v>6</v>
      </c>
      <c r="G363" s="21">
        <f t="shared" si="70"/>
        <v>7</v>
      </c>
      <c r="H363" s="21">
        <f t="shared" si="70"/>
        <v>8</v>
      </c>
      <c r="I363" s="21">
        <f t="shared" si="70"/>
        <v>9</v>
      </c>
      <c r="J363" s="21">
        <f t="shared" si="70"/>
        <v>10</v>
      </c>
      <c r="K363" s="21">
        <f t="shared" si="70"/>
        <v>11</v>
      </c>
    </row>
    <row r="364" spans="1:13">
      <c r="E364" s="6"/>
      <c r="M364">
        <v>35</v>
      </c>
    </row>
    <row r="365" spans="1:13" ht="13">
      <c r="A365" s="13" t="s">
        <v>17</v>
      </c>
      <c r="B365" s="26">
        <f t="shared" ref="B365:K365" si="71">B15</f>
        <v>1</v>
      </c>
      <c r="C365" s="26">
        <f t="shared" si="71"/>
        <v>0.8</v>
      </c>
      <c r="D365" s="26">
        <f t="shared" si="71"/>
        <v>0.60000000000000009</v>
      </c>
      <c r="E365" s="26">
        <f t="shared" si="71"/>
        <v>0.40000000000000008</v>
      </c>
      <c r="F365" s="26">
        <f t="shared" si="71"/>
        <v>0.20000000000000007</v>
      </c>
      <c r="G365" s="26">
        <f t="shared" si="71"/>
        <v>5.5511151231257827E-17</v>
      </c>
      <c r="H365" s="26">
        <f t="shared" si="71"/>
        <v>-0.19999999999999996</v>
      </c>
      <c r="I365" s="26">
        <f t="shared" si="71"/>
        <v>-0.39999999999999997</v>
      </c>
      <c r="J365" s="26">
        <f t="shared" si="71"/>
        <v>-0.6</v>
      </c>
      <c r="K365" s="26">
        <f t="shared" si="71"/>
        <v>-0.8</v>
      </c>
    </row>
    <row r="366" spans="1:13" ht="13">
      <c r="A366" s="27">
        <f ca="1">INDIRECT(ADDRESS(L366,2))</f>
        <v>1</v>
      </c>
      <c r="B366" s="24">
        <f ca="1">INDIRECT(ADDRESS($M366,B$363))</f>
        <v>0.5</v>
      </c>
      <c r="C366" s="25">
        <f t="shared" ref="C366:K375" ca="1" si="72">INDIRECT(ADDRESS($M366,C$363))</f>
        <v>0.55555555555555558</v>
      </c>
      <c r="D366" s="25">
        <f t="shared" ca="1" si="72"/>
        <v>0.62499999999936939</v>
      </c>
      <c r="E366" s="25">
        <f t="shared" ca="1" si="72"/>
        <v>0.71428564243249471</v>
      </c>
      <c r="F366" s="25">
        <f t="shared" ca="1" si="72"/>
        <v>0.83312292389299347</v>
      </c>
      <c r="G366" s="25">
        <f t="shared" ca="1" si="72"/>
        <v>0.96678966789667897</v>
      </c>
      <c r="H366" s="25">
        <f t="shared" ca="1" si="72"/>
        <v>0.99900699794611747</v>
      </c>
      <c r="I366" s="25">
        <f t="shared" ca="1" si="72"/>
        <v>0.99997784478111285</v>
      </c>
      <c r="J366" s="25">
        <f t="shared" ca="1" si="72"/>
        <v>0.99999932291494831</v>
      </c>
      <c r="K366" s="25">
        <f t="shared" ca="1" si="72"/>
        <v>0.99999997094614412</v>
      </c>
      <c r="L366">
        <v>14</v>
      </c>
      <c r="M366">
        <v>45</v>
      </c>
    </row>
    <row r="367" spans="1:13" ht="13">
      <c r="A367" s="27">
        <f t="shared" ref="A367:A375" ca="1" si="73">INDIRECT(ADDRESS(L367,2))</f>
        <v>0.8</v>
      </c>
      <c r="B367" s="24">
        <f t="shared" ref="B367:B375" ca="1" si="74">INDIRECT(ADDRESS($M367,B$363))</f>
        <v>0.44444444444444442</v>
      </c>
      <c r="C367" s="25">
        <f t="shared" ca="1" si="72"/>
        <v>0.4999999999999879</v>
      </c>
      <c r="D367" s="25">
        <f t="shared" ca="1" si="72"/>
        <v>0.57142857114258216</v>
      </c>
      <c r="E367" s="25">
        <f t="shared" ca="1" si="72"/>
        <v>0.66666589821348732</v>
      </c>
      <c r="F367" s="25">
        <f t="shared" ca="1" si="72"/>
        <v>0.79953713508469015</v>
      </c>
      <c r="G367" s="25">
        <f t="shared" ca="1" si="72"/>
        <v>0.95617099769073055</v>
      </c>
      <c r="H367" s="25">
        <f t="shared" ca="1" si="72"/>
        <v>0.99839689676846544</v>
      </c>
      <c r="I367" s="25">
        <f t="shared" ca="1" si="72"/>
        <v>0.99995836228162671</v>
      </c>
      <c r="J367" s="25">
        <f t="shared" ca="1" si="72"/>
        <v>0.99999858106396555</v>
      </c>
      <c r="K367" s="25">
        <f t="shared" ca="1" si="72"/>
        <v>0.99999993389631703</v>
      </c>
      <c r="L367">
        <f>L366+M$364</f>
        <v>49</v>
      </c>
      <c r="M367">
        <f>M366+M$364</f>
        <v>80</v>
      </c>
    </row>
    <row r="368" spans="1:13" ht="13">
      <c r="A368" s="27">
        <f t="shared" ca="1" si="73"/>
        <v>0.60000000000000009</v>
      </c>
      <c r="B368" s="24">
        <f t="shared" ca="1" si="74"/>
        <v>0.37499999999702771</v>
      </c>
      <c r="C368" s="25">
        <f t="shared" ca="1" si="72"/>
        <v>0.42857142810567866</v>
      </c>
      <c r="D368" s="25">
        <f t="shared" ca="1" si="72"/>
        <v>0.49999993216442506</v>
      </c>
      <c r="E368" s="25">
        <f t="shared" ca="1" si="72"/>
        <v>0.59999056243496496</v>
      </c>
      <c r="F368" s="25">
        <f t="shared" ca="1" si="72"/>
        <v>0.74884744582101603</v>
      </c>
      <c r="G368" s="25">
        <f t="shared" ca="1" si="72"/>
        <v>0.93784892302035894</v>
      </c>
      <c r="H368" s="25">
        <f t="shared" ca="1" si="72"/>
        <v>0.99719764970887037</v>
      </c>
      <c r="I368" s="25">
        <f t="shared" ca="1" si="72"/>
        <v>0.99991664191937146</v>
      </c>
      <c r="J368" s="25">
        <f t="shared" ca="1" si="72"/>
        <v>0.99999689954197657</v>
      </c>
      <c r="K368" s="25">
        <f t="shared" ca="1" si="72"/>
        <v>0.99999984657461782</v>
      </c>
      <c r="L368">
        <f t="shared" ref="L368:L375" si="75">L367+M$364</f>
        <v>84</v>
      </c>
      <c r="M368">
        <f t="shared" ref="M368:M375" si="76">M367+M$364</f>
        <v>115</v>
      </c>
    </row>
    <row r="369" spans="1:13" ht="13">
      <c r="A369" s="27">
        <f t="shared" ca="1" si="73"/>
        <v>0.40000000000000008</v>
      </c>
      <c r="B369" s="24">
        <f t="shared" ca="1" si="74"/>
        <v>0.28571409020687139</v>
      </c>
      <c r="C369" s="25">
        <f t="shared" ca="1" si="72"/>
        <v>0.33333203389657129</v>
      </c>
      <c r="D369" s="25">
        <f t="shared" ca="1" si="72"/>
        <v>0.399987982681768</v>
      </c>
      <c r="E369" s="25">
        <f t="shared" ca="1" si="72"/>
        <v>0.49982983262742892</v>
      </c>
      <c r="F369" s="25">
        <f t="shared" ca="1" si="72"/>
        <v>0.66271853547110549</v>
      </c>
      <c r="G369" s="25">
        <f t="shared" ca="1" si="72"/>
        <v>0.89726966378417605</v>
      </c>
      <c r="H369" s="25">
        <f t="shared" ca="1" si="72"/>
        <v>0.99367615990267522</v>
      </c>
      <c r="I369" s="25">
        <f t="shared" ca="1" si="72"/>
        <v>0.9997767809159599</v>
      </c>
      <c r="J369" s="25">
        <f t="shared" ca="1" si="72"/>
        <v>0.99999088127872238</v>
      </c>
      <c r="K369" s="25">
        <f t="shared" ca="1" si="72"/>
        <v>0.99999952345667797</v>
      </c>
      <c r="L369">
        <f t="shared" si="75"/>
        <v>119</v>
      </c>
      <c r="M369">
        <f t="shared" si="76"/>
        <v>150</v>
      </c>
    </row>
    <row r="370" spans="1:13" ht="13">
      <c r="A370" s="27">
        <f t="shared" ca="1" si="73"/>
        <v>0.20000000000000007</v>
      </c>
      <c r="B370" s="24">
        <f t="shared" ca="1" si="74"/>
        <v>0.16649490773947678</v>
      </c>
      <c r="C370" s="25">
        <f t="shared" ca="1" si="72"/>
        <v>0.19958429860307791</v>
      </c>
      <c r="D370" s="25">
        <f t="shared" ca="1" si="72"/>
        <v>0.24884848193589199</v>
      </c>
      <c r="E370" s="25">
        <f t="shared" ca="1" si="72"/>
        <v>0.32924429272389616</v>
      </c>
      <c r="F370" s="25">
        <f t="shared" ca="1" si="72"/>
        <v>0.47746826916952828</v>
      </c>
      <c r="G370" s="25">
        <f t="shared" ca="1" si="72"/>
        <v>0.75426357065468341</v>
      </c>
      <c r="H370" s="25">
        <f t="shared" ca="1" si="72"/>
        <v>0.97130429665804807</v>
      </c>
      <c r="I370" s="25">
        <f t="shared" ca="1" si="72"/>
        <v>0.99868857831067315</v>
      </c>
      <c r="J370" s="25">
        <f t="shared" ca="1" si="72"/>
        <v>0.99994178289560931</v>
      </c>
      <c r="K370" s="25">
        <f t="shared" ca="1" si="72"/>
        <v>0.99999690762272397</v>
      </c>
      <c r="L370">
        <f t="shared" si="75"/>
        <v>154</v>
      </c>
      <c r="M370">
        <f t="shared" si="76"/>
        <v>185</v>
      </c>
    </row>
    <row r="371" spans="1:13" ht="13">
      <c r="A371" s="27">
        <f t="shared" ca="1" si="73"/>
        <v>5.5511151231257827E-17</v>
      </c>
      <c r="B371" s="24">
        <f t="shared" ca="1" si="74"/>
        <v>2.5641025641025644E-2</v>
      </c>
      <c r="C371" s="25">
        <f t="shared" ca="1" si="72"/>
        <v>3.0357985463795943E-2</v>
      </c>
      <c r="D371" s="25">
        <f t="shared" ca="1" si="72"/>
        <v>3.7081570148770025E-2</v>
      </c>
      <c r="E371" s="25">
        <f t="shared" ca="1" si="72"/>
        <v>4.7369802672840959E-2</v>
      </c>
      <c r="F371" s="25">
        <f t="shared" ca="1" si="72"/>
        <v>6.4851819922484608E-2</v>
      </c>
      <c r="G371" s="25">
        <f t="shared" ca="1" si="72"/>
        <v>0.1</v>
      </c>
      <c r="H371" s="25">
        <f t="shared" ca="1" si="72"/>
        <v>0.19517338080939778</v>
      </c>
      <c r="I371" s="25">
        <f t="shared" ca="1" si="72"/>
        <v>0.57758088603739244</v>
      </c>
      <c r="J371" s="25">
        <f t="shared" ca="1" si="72"/>
        <v>0.97975294230982013</v>
      </c>
      <c r="K371" s="25">
        <f t="shared" ca="1" si="72"/>
        <v>0.99949364429607224</v>
      </c>
      <c r="L371">
        <f t="shared" si="75"/>
        <v>189</v>
      </c>
      <c r="M371">
        <f t="shared" si="76"/>
        <v>220</v>
      </c>
    </row>
    <row r="372" spans="1:13" ht="13">
      <c r="A372" s="27">
        <f t="shared" ca="1" si="73"/>
        <v>-0.19999999999999996</v>
      </c>
      <c r="B372" s="24">
        <f t="shared" ca="1" si="74"/>
        <v>3.6161260491741676E-4</v>
      </c>
      <c r="C372" s="25">
        <f t="shared" ca="1" si="72"/>
        <v>3.9665355901415968E-4</v>
      </c>
      <c r="D372" s="25">
        <f t="shared" ca="1" si="72"/>
        <v>4.3825767735289768E-4</v>
      </c>
      <c r="E372" s="25">
        <f t="shared" ca="1" si="72"/>
        <v>4.8837419485750228E-4</v>
      </c>
      <c r="F372" s="25">
        <f t="shared" ca="1" si="72"/>
        <v>5.497851859272081E-4</v>
      </c>
      <c r="G372" s="25">
        <f t="shared" ca="1" si="72"/>
        <v>6.2659416859911943E-4</v>
      </c>
      <c r="H372" s="25">
        <f t="shared" ca="1" si="72"/>
        <v>7.2509851275250352E-4</v>
      </c>
      <c r="I372" s="25">
        <f t="shared" ca="1" si="72"/>
        <v>8.5544512020528608E-4</v>
      </c>
      <c r="J372" s="25">
        <f t="shared" ca="1" si="72"/>
        <v>1.0350203088556737E-3</v>
      </c>
      <c r="K372" s="25">
        <f t="shared" ca="1" si="72"/>
        <v>1.2960990364182265E-3</v>
      </c>
      <c r="L372">
        <f t="shared" si="75"/>
        <v>224</v>
      </c>
      <c r="M372">
        <f t="shared" si="76"/>
        <v>255</v>
      </c>
    </row>
    <row r="373" spans="1:13" ht="13">
      <c r="A373" s="27">
        <f t="shared" ca="1" si="73"/>
        <v>-0.39999999999999997</v>
      </c>
      <c r="B373" s="24">
        <f t="shared" ca="1" si="74"/>
        <v>5.0302828039256625E-6</v>
      </c>
      <c r="C373" s="25">
        <f t="shared" ca="1" si="72"/>
        <v>5.367239097722724E-6</v>
      </c>
      <c r="D373" s="25">
        <f t="shared" ca="1" si="72"/>
        <v>5.7427941266399982E-6</v>
      </c>
      <c r="E373" s="25">
        <f t="shared" ca="1" si="72"/>
        <v>6.1636137660903673E-6</v>
      </c>
      <c r="F373" s="25">
        <f t="shared" ca="1" si="72"/>
        <v>6.6379248095584218E-6</v>
      </c>
      <c r="G373" s="25">
        <f t="shared" ca="1" si="72"/>
        <v>7.1759897686717849E-6</v>
      </c>
      <c r="H373" s="25">
        <f t="shared" ca="1" si="72"/>
        <v>7.7907628504110462E-6</v>
      </c>
      <c r="I373" s="25">
        <f t="shared" ca="1" si="72"/>
        <v>8.4988121114602492E-6</v>
      </c>
      <c r="J373" s="25">
        <f t="shared" ca="1" si="72"/>
        <v>9.3216410997072919E-6</v>
      </c>
      <c r="K373" s="25">
        <f t="shared" ca="1" si="72"/>
        <v>1.0287624545379263E-5</v>
      </c>
      <c r="L373">
        <f t="shared" si="75"/>
        <v>259</v>
      </c>
      <c r="M373">
        <f t="shared" si="76"/>
        <v>290</v>
      </c>
    </row>
    <row r="374" spans="1:13" ht="13">
      <c r="A374" s="27">
        <f t="shared" ca="1" si="73"/>
        <v>-0.6</v>
      </c>
      <c r="B374" s="24">
        <f t="shared" ca="1" si="74"/>
        <v>1.1284746616863942E-7</v>
      </c>
      <c r="C374" s="25">
        <f t="shared" ca="1" si="72"/>
        <v>1.189615501732773E-7</v>
      </c>
      <c r="D374" s="25">
        <f t="shared" ca="1" si="72"/>
        <v>1.2559086411528151E-7</v>
      </c>
      <c r="E374" s="25">
        <f t="shared" ca="1" si="72"/>
        <v>1.3279967509139937E-7</v>
      </c>
      <c r="F374" s="25">
        <f t="shared" ca="1" si="72"/>
        <v>1.4066273058530529E-7</v>
      </c>
      <c r="G374" s="25">
        <f t="shared" ca="1" si="72"/>
        <v>1.4926744027010157E-7</v>
      </c>
      <c r="H374" s="25">
        <f t="shared" ca="1" si="72"/>
        <v>1.5871661239719733E-7</v>
      </c>
      <c r="I374" s="25">
        <f t="shared" ca="1" si="72"/>
        <v>1.691319141089402E-7</v>
      </c>
      <c r="J374" s="25">
        <f t="shared" ca="1" si="72"/>
        <v>1.8065828601123849E-7</v>
      </c>
      <c r="K374" s="25">
        <f t="shared" ca="1" si="72"/>
        <v>1.9346962796321598E-7</v>
      </c>
      <c r="L374">
        <f t="shared" si="75"/>
        <v>294</v>
      </c>
      <c r="M374">
        <f t="shared" si="76"/>
        <v>325</v>
      </c>
    </row>
    <row r="375" spans="1:13" ht="13">
      <c r="A375" s="27">
        <f t="shared" ca="1" si="73"/>
        <v>-0.8</v>
      </c>
      <c r="B375" s="24">
        <f t="shared" ca="1" si="74"/>
        <v>3.8581000611569138E-9</v>
      </c>
      <c r="C375" s="25">
        <f t="shared" ca="1" si="72"/>
        <v>4.0398197133408348E-9</v>
      </c>
      <c r="D375" s="25">
        <f t="shared" ca="1" si="72"/>
        <v>4.2338082948967582E-9</v>
      </c>
      <c r="E375" s="25">
        <f t="shared" ca="1" si="72"/>
        <v>4.4412874117266563E-9</v>
      </c>
      <c r="F375" s="25">
        <f t="shared" ca="1" si="72"/>
        <v>4.6636323133531244E-9</v>
      </c>
      <c r="G375" s="25">
        <f t="shared" ca="1" si="72"/>
        <v>4.9023965316803479E-9</v>
      </c>
      <c r="H375" s="25">
        <f t="shared" ca="1" si="72"/>
        <v>5.159341243201116E-9</v>
      </c>
      <c r="I375" s="25">
        <f t="shared" ca="1" si="72"/>
        <v>5.4364704319231871E-9</v>
      </c>
      <c r="J375" s="25">
        <f t="shared" ca="1" si="72"/>
        <v>5.7360732162249974E-9</v>
      </c>
      <c r="K375" s="25">
        <f t="shared" ca="1" si="72"/>
        <v>6.0607750760921319E-9</v>
      </c>
      <c r="L375">
        <f t="shared" si="75"/>
        <v>329</v>
      </c>
      <c r="M375">
        <f t="shared" si="76"/>
        <v>360</v>
      </c>
    </row>
    <row r="376" spans="1:13" ht="13">
      <c r="A376" s="27"/>
      <c r="B376" s="25"/>
      <c r="C376" s="25"/>
      <c r="D376" s="25"/>
      <c r="E376" s="25"/>
      <c r="F376" s="25"/>
      <c r="G376" s="25"/>
      <c r="H376" s="25"/>
      <c r="I376" s="25"/>
      <c r="J376" s="25"/>
      <c r="K376" s="25"/>
    </row>
    <row r="377" spans="1:13" ht="13">
      <c r="A377" s="27"/>
      <c r="B377" s="25"/>
      <c r="C377" s="25"/>
      <c r="D377" s="25"/>
      <c r="E377" s="25"/>
      <c r="F377" s="25"/>
      <c r="G377" s="25"/>
      <c r="H377" s="25"/>
      <c r="I377" s="25"/>
      <c r="J377" s="25"/>
      <c r="K377" s="25"/>
    </row>
    <row r="378" spans="1:13" ht="13">
      <c r="A378" s="27"/>
      <c r="B378" s="25"/>
      <c r="C378" s="25"/>
      <c r="D378" s="25"/>
      <c r="E378" s="25"/>
      <c r="F378" s="25"/>
      <c r="G378" s="25"/>
      <c r="H378" s="25"/>
      <c r="I378" s="25"/>
      <c r="J378" s="25"/>
      <c r="K378" s="25"/>
    </row>
    <row r="379" spans="1:13" ht="13">
      <c r="A379" s="27"/>
      <c r="B379" s="25"/>
      <c r="C379" s="25"/>
      <c r="D379" s="25"/>
      <c r="E379" s="25"/>
      <c r="F379" s="25"/>
      <c r="G379" s="25"/>
      <c r="H379" s="25"/>
      <c r="I379" s="25"/>
      <c r="J379" s="25"/>
      <c r="K379" s="25"/>
    </row>
    <row r="380" spans="1:13" ht="13">
      <c r="A380" s="27"/>
      <c r="B380" s="25"/>
      <c r="C380" s="25"/>
      <c r="D380" s="25"/>
      <c r="E380" s="25"/>
      <c r="F380" s="25"/>
      <c r="G380" s="25"/>
      <c r="H380" s="25"/>
      <c r="I380" s="25"/>
      <c r="J380" s="25"/>
      <c r="K380" s="25"/>
    </row>
    <row r="381" spans="1:13" ht="13">
      <c r="A381" s="27"/>
      <c r="B381" s="25"/>
      <c r="C381" s="25"/>
      <c r="D381" s="25"/>
      <c r="E381" s="25"/>
      <c r="F381" s="25"/>
      <c r="G381" s="25"/>
      <c r="H381" s="25"/>
      <c r="I381" s="25"/>
      <c r="J381" s="25"/>
      <c r="K381" s="25"/>
    </row>
    <row r="382" spans="1:13" ht="13">
      <c r="A382" s="27"/>
      <c r="B382" s="25"/>
      <c r="C382" s="25"/>
      <c r="D382" s="25"/>
      <c r="E382" s="25"/>
      <c r="F382" s="25"/>
      <c r="G382" s="25"/>
      <c r="H382" s="25"/>
      <c r="I382" s="25"/>
      <c r="J382" s="25"/>
      <c r="K382" s="25"/>
    </row>
    <row r="383" spans="1:13" ht="13">
      <c r="A383" s="27"/>
      <c r="B383" s="25"/>
      <c r="C383" s="25"/>
      <c r="D383" s="25"/>
      <c r="E383" s="25"/>
      <c r="F383" s="25"/>
      <c r="G383" s="25"/>
      <c r="H383" s="25"/>
      <c r="I383" s="25"/>
      <c r="J383" s="25"/>
      <c r="K383" s="25"/>
    </row>
    <row r="384" spans="1:13" ht="13">
      <c r="A384" s="27"/>
      <c r="B384" s="25"/>
      <c r="C384" s="25"/>
      <c r="D384" s="25"/>
      <c r="E384" s="25"/>
      <c r="F384" s="25"/>
      <c r="G384" s="25"/>
      <c r="H384" s="25"/>
      <c r="I384" s="25"/>
      <c r="J384" s="25"/>
      <c r="K384" s="25"/>
    </row>
    <row r="385" spans="1:11" ht="13">
      <c r="A385" s="27"/>
      <c r="B385" s="25"/>
      <c r="C385" s="25"/>
      <c r="D385" s="25"/>
      <c r="E385" s="25"/>
      <c r="F385" s="25"/>
      <c r="G385" s="25"/>
      <c r="H385" s="25"/>
      <c r="I385" s="25"/>
      <c r="J385" s="25"/>
      <c r="K385" s="25"/>
    </row>
    <row r="386" spans="1:11" ht="13">
      <c r="A386" s="27"/>
      <c r="B386" s="25"/>
      <c r="C386" s="25"/>
      <c r="D386" s="25"/>
      <c r="E386" s="25"/>
      <c r="F386" s="25"/>
      <c r="G386" s="25"/>
      <c r="H386" s="25"/>
      <c r="I386" s="25"/>
      <c r="J386" s="25"/>
      <c r="K386" s="25"/>
    </row>
    <row r="387" spans="1:11" ht="13">
      <c r="A387" s="27"/>
      <c r="B387" s="25"/>
      <c r="C387" s="25"/>
      <c r="D387" s="25"/>
      <c r="E387" s="25"/>
      <c r="F387" s="25"/>
      <c r="G387" s="25"/>
      <c r="H387" s="25"/>
      <c r="I387" s="25"/>
      <c r="J387" s="25"/>
      <c r="K387" s="25"/>
    </row>
    <row r="388" spans="1:11" ht="13">
      <c r="A388" s="27"/>
      <c r="B388" s="25"/>
      <c r="C388" s="25"/>
      <c r="D388" s="25"/>
      <c r="E388" s="25"/>
      <c r="F388" s="25"/>
      <c r="G388" s="25"/>
      <c r="H388" s="25"/>
      <c r="I388" s="25"/>
      <c r="J388" s="25"/>
      <c r="K388" s="25"/>
    </row>
    <row r="389" spans="1:11" ht="13">
      <c r="A389" s="27"/>
      <c r="B389" s="25"/>
      <c r="C389" s="25"/>
      <c r="D389" s="25"/>
      <c r="E389" s="25"/>
      <c r="F389" s="25"/>
      <c r="G389" s="25"/>
      <c r="H389" s="25"/>
      <c r="I389" s="25"/>
      <c r="J389" s="25"/>
      <c r="K389" s="25"/>
    </row>
    <row r="390" spans="1:11" ht="13">
      <c r="A390" s="27"/>
      <c r="B390" s="25"/>
      <c r="C390" s="25"/>
      <c r="D390" s="25"/>
      <c r="E390" s="25"/>
      <c r="F390" s="25"/>
      <c r="G390" s="25"/>
      <c r="H390" s="25"/>
      <c r="I390" s="25"/>
      <c r="J390" s="25"/>
      <c r="K390" s="25"/>
    </row>
    <row r="391" spans="1:11" ht="13">
      <c r="A391" s="27"/>
      <c r="B391" s="25"/>
      <c r="C391" s="25"/>
      <c r="D391" s="25"/>
      <c r="E391" s="25"/>
      <c r="F391" s="25"/>
      <c r="G391" s="25"/>
      <c r="H391" s="25"/>
      <c r="I391" s="25"/>
      <c r="J391" s="25"/>
      <c r="K391" s="25"/>
    </row>
    <row r="392" spans="1:11" ht="13">
      <c r="A392" s="27"/>
      <c r="B392" s="25"/>
      <c r="C392" s="25"/>
      <c r="D392" s="25"/>
      <c r="E392" s="25"/>
      <c r="F392" s="25"/>
      <c r="G392" s="25"/>
      <c r="H392" s="25"/>
      <c r="I392" s="25"/>
      <c r="J392" s="25"/>
      <c r="K392" s="25"/>
    </row>
    <row r="393" spans="1:11" ht="13">
      <c r="A393" s="13"/>
      <c r="B393" s="17"/>
      <c r="C393" s="17"/>
      <c r="D393" s="17"/>
      <c r="E393" s="17"/>
      <c r="F393" s="17"/>
      <c r="G393" s="17"/>
      <c r="H393" s="17"/>
      <c r="I393" s="17"/>
      <c r="J393" s="17"/>
      <c r="K393" s="17"/>
    </row>
    <row r="394" spans="1:11" ht="13">
      <c r="A394" s="19" t="s">
        <v>18</v>
      </c>
      <c r="B394" s="17"/>
      <c r="C394" s="17"/>
      <c r="D394" s="17"/>
      <c r="E394" s="17"/>
      <c r="F394" s="17"/>
      <c r="G394" s="17"/>
      <c r="H394" s="17"/>
      <c r="I394" s="17"/>
      <c r="J394" s="17"/>
      <c r="K394" s="17"/>
    </row>
    <row r="395" spans="1:11" ht="13">
      <c r="A395" s="13"/>
      <c r="B395" s="17"/>
      <c r="C395" s="17"/>
      <c r="D395" s="17"/>
      <c r="E395" s="17"/>
      <c r="F395" s="17"/>
      <c r="G395" s="17"/>
      <c r="H395" s="17"/>
      <c r="I395" s="17"/>
      <c r="J395" s="17"/>
      <c r="K395" s="17"/>
    </row>
    <row r="396" spans="1:11" ht="13">
      <c r="A396" s="22" t="str">
        <f t="shared" ref="A396:K396" si="77">A365</f>
        <v>L=              K=</v>
      </c>
      <c r="B396" s="28">
        <f t="shared" si="77"/>
        <v>1</v>
      </c>
      <c r="C396" s="28">
        <f t="shared" si="77"/>
        <v>0.8</v>
      </c>
      <c r="D396" s="28">
        <f t="shared" si="77"/>
        <v>0.60000000000000009</v>
      </c>
      <c r="E396" s="28">
        <f t="shared" si="77"/>
        <v>0.40000000000000008</v>
      </c>
      <c r="F396" s="28">
        <f t="shared" si="77"/>
        <v>0.20000000000000007</v>
      </c>
      <c r="G396" s="28">
        <f t="shared" si="77"/>
        <v>5.5511151231257827E-17</v>
      </c>
      <c r="H396" s="28">
        <f t="shared" si="77"/>
        <v>-0.19999999999999996</v>
      </c>
      <c r="I396" s="28">
        <f t="shared" si="77"/>
        <v>-0.39999999999999997</v>
      </c>
      <c r="J396" s="28">
        <f t="shared" si="77"/>
        <v>-0.6</v>
      </c>
      <c r="K396" s="28">
        <f t="shared" si="77"/>
        <v>-0.8</v>
      </c>
    </row>
    <row r="397" spans="1:11" ht="13">
      <c r="A397" s="32">
        <f t="shared" ref="A397:A406" ca="1" si="78">A366</f>
        <v>1</v>
      </c>
      <c r="B397" s="22" t="str">
        <f t="shared" ref="B397:C397" ca="1" si="79">IF(B366^2&gt;2*B366*(1-B366),IF((1-B366)^2&gt;B366^2,"aa","AA"),IF((1-B366)^2&gt;2*B366*(1-B366),"aa","Aa"))</f>
        <v>Aa</v>
      </c>
      <c r="C397" s="22" t="str">
        <f t="shared" ca="1" si="79"/>
        <v>Aa</v>
      </c>
      <c r="D397" s="22" t="str">
        <f t="shared" ref="D397:K397" ca="1" si="80">IF(D366^2&gt;2*D366*(1-D366),IF((1-D366)^2&gt;D366^2,"aa","AA"),IF((1-D366)^2&gt;2*D366*(1-D366),"aa","Aa"))</f>
        <v>Aa</v>
      </c>
      <c r="E397" s="29" t="str">
        <f t="shared" ca="1" si="80"/>
        <v>AA</v>
      </c>
      <c r="F397" s="22" t="str">
        <f t="shared" ca="1" si="80"/>
        <v>AA</v>
      </c>
      <c r="G397" s="22" t="str">
        <f t="shared" ca="1" si="80"/>
        <v>AA</v>
      </c>
      <c r="H397" s="22" t="str">
        <f t="shared" ca="1" si="80"/>
        <v>AA</v>
      </c>
      <c r="I397" s="22" t="str">
        <f t="shared" ca="1" si="80"/>
        <v>AA</v>
      </c>
      <c r="J397" s="22" t="str">
        <f t="shared" ca="1" si="80"/>
        <v>AA</v>
      </c>
      <c r="K397" s="22" t="str">
        <f t="shared" ca="1" si="80"/>
        <v>AA</v>
      </c>
    </row>
    <row r="398" spans="1:11" ht="13">
      <c r="A398" s="32">
        <f t="shared" ca="1" si="78"/>
        <v>0.8</v>
      </c>
      <c r="B398" s="22" t="str">
        <f t="shared" ref="B398:K406" ca="1" si="81">IF(B367^2&gt;2*B367*(1-B367),IF((1-B367)^2&gt;B367^2,"aa","AA"),IF((1-B367)^2&gt;2*B367*(1-B367),"aa","Aa"))</f>
        <v>Aa</v>
      </c>
      <c r="C398" s="22" t="str">
        <f t="shared" ca="1" si="81"/>
        <v>Aa</v>
      </c>
      <c r="D398" s="22" t="str">
        <f t="shared" ca="1" si="81"/>
        <v>Aa</v>
      </c>
      <c r="E398" s="22" t="str">
        <f t="shared" ca="1" si="81"/>
        <v>Aa</v>
      </c>
      <c r="F398" s="23" t="str">
        <f t="shared" ca="1" si="81"/>
        <v>AA</v>
      </c>
      <c r="G398" s="22" t="str">
        <f t="shared" ca="1" si="81"/>
        <v>AA</v>
      </c>
      <c r="H398" s="22" t="str">
        <f t="shared" ca="1" si="81"/>
        <v>AA</v>
      </c>
      <c r="I398" s="22" t="str">
        <f t="shared" ca="1" si="81"/>
        <v>AA</v>
      </c>
      <c r="J398" s="22" t="str">
        <f t="shared" ca="1" si="81"/>
        <v>AA</v>
      </c>
      <c r="K398" s="22" t="str">
        <f t="shared" ca="1" si="81"/>
        <v>AA</v>
      </c>
    </row>
    <row r="399" spans="1:11" ht="13">
      <c r="A399" s="32">
        <f t="shared" ca="1" si="78"/>
        <v>0.60000000000000009</v>
      </c>
      <c r="B399" s="30" t="str">
        <f t="shared" ca="1" si="81"/>
        <v>Aa</v>
      </c>
      <c r="C399" s="30" t="str">
        <f t="shared" ca="1" si="81"/>
        <v>Aa</v>
      </c>
      <c r="D399" s="22" t="str">
        <f t="shared" ca="1" si="81"/>
        <v>Aa</v>
      </c>
      <c r="E399" s="22" t="str">
        <f t="shared" ca="1" si="81"/>
        <v>Aa</v>
      </c>
      <c r="F399" s="29" t="str">
        <f t="shared" ca="1" si="81"/>
        <v>AA</v>
      </c>
      <c r="G399" s="22" t="str">
        <f t="shared" ca="1" si="81"/>
        <v>AA</v>
      </c>
      <c r="H399" s="22" t="str">
        <f t="shared" ca="1" si="81"/>
        <v>AA</v>
      </c>
      <c r="I399" s="22" t="str">
        <f t="shared" ca="1" si="81"/>
        <v>AA</v>
      </c>
      <c r="J399" s="22" t="str">
        <f t="shared" ca="1" si="81"/>
        <v>AA</v>
      </c>
      <c r="K399" s="22" t="str">
        <f t="shared" ca="1" si="81"/>
        <v>AA</v>
      </c>
    </row>
    <row r="400" spans="1:11" ht="13">
      <c r="A400" s="32">
        <f t="shared" ca="1" si="78"/>
        <v>0.40000000000000008</v>
      </c>
      <c r="B400" s="22" t="str">
        <f t="shared" ca="1" si="81"/>
        <v>aa</v>
      </c>
      <c r="C400" s="22" t="str">
        <f t="shared" ca="1" si="81"/>
        <v>aa</v>
      </c>
      <c r="D400" s="29" t="str">
        <f ca="1">IF(D369^2&gt;2*D369*(1-D369),IF((1-D369)^2&gt;D369^2,"aa","AA"),IF((1-D369)^2&gt;2*D369*(1-D369),"aa","Aa"))</f>
        <v>Aa</v>
      </c>
      <c r="E400" s="30" t="str">
        <f t="shared" ca="1" si="81"/>
        <v>Aa</v>
      </c>
      <c r="F400" s="33" t="str">
        <f t="shared" ca="1" si="81"/>
        <v>Aa</v>
      </c>
      <c r="G400" s="22" t="str">
        <f t="shared" ca="1" si="81"/>
        <v>AA</v>
      </c>
      <c r="H400" s="22" t="str">
        <f t="shared" ca="1" si="81"/>
        <v>AA</v>
      </c>
      <c r="I400" s="22" t="str">
        <f t="shared" ca="1" si="81"/>
        <v>AA</v>
      </c>
      <c r="J400" s="22" t="str">
        <f t="shared" ca="1" si="81"/>
        <v>AA</v>
      </c>
      <c r="K400" s="22" t="str">
        <f t="shared" ca="1" si="81"/>
        <v>AA</v>
      </c>
    </row>
    <row r="401" spans="1:11" ht="13">
      <c r="A401" s="32">
        <f t="shared" ca="1" si="78"/>
        <v>0.20000000000000007</v>
      </c>
      <c r="B401" s="22" t="str">
        <f t="shared" ca="1" si="81"/>
        <v>aa</v>
      </c>
      <c r="C401" s="22" t="str">
        <f t="shared" ca="1" si="81"/>
        <v>aa</v>
      </c>
      <c r="D401" s="22" t="str">
        <f t="shared" ca="1" si="81"/>
        <v>aa</v>
      </c>
      <c r="E401" s="22" t="str">
        <f t="shared" ca="1" si="81"/>
        <v>aa</v>
      </c>
      <c r="F401" s="31" t="str">
        <f t="shared" ca="1" si="81"/>
        <v>Aa</v>
      </c>
      <c r="G401" s="30" t="str">
        <f t="shared" ca="1" si="81"/>
        <v>AA</v>
      </c>
      <c r="H401" s="30" t="str">
        <f t="shared" ca="1" si="81"/>
        <v>AA</v>
      </c>
      <c r="I401" s="30" t="str">
        <f t="shared" ca="1" si="81"/>
        <v>AA</v>
      </c>
      <c r="J401" s="22" t="str">
        <f t="shared" ca="1" si="81"/>
        <v>AA</v>
      </c>
      <c r="K401" s="22" t="str">
        <f t="shared" ca="1" si="81"/>
        <v>AA</v>
      </c>
    </row>
    <row r="402" spans="1:11" ht="13">
      <c r="A402" s="32">
        <f t="shared" ca="1" si="78"/>
        <v>5.5511151231257827E-17</v>
      </c>
      <c r="B402" s="22" t="str">
        <f t="shared" ca="1" si="81"/>
        <v>aa</v>
      </c>
      <c r="C402" s="22" t="str">
        <f t="shared" ca="1" si="81"/>
        <v>aa</v>
      </c>
      <c r="D402" s="22" t="str">
        <f t="shared" ca="1" si="81"/>
        <v>aa</v>
      </c>
      <c r="E402" s="22" t="str">
        <f t="shared" ca="1" si="81"/>
        <v>aa</v>
      </c>
      <c r="F402" s="22" t="str">
        <f t="shared" ca="1" si="81"/>
        <v>aa</v>
      </c>
      <c r="G402" s="22" t="str">
        <f t="shared" ca="1" si="81"/>
        <v>aa</v>
      </c>
      <c r="H402" s="22" t="str">
        <f t="shared" ca="1" si="81"/>
        <v>aa</v>
      </c>
      <c r="I402" s="29" t="str">
        <f t="shared" ca="1" si="81"/>
        <v>Aa</v>
      </c>
      <c r="J402" s="29" t="str">
        <f t="shared" ca="1" si="81"/>
        <v>AA</v>
      </c>
      <c r="K402" s="30" t="str">
        <f t="shared" ca="1" si="81"/>
        <v>AA</v>
      </c>
    </row>
    <row r="403" spans="1:11" ht="13">
      <c r="A403" s="32">
        <f t="shared" ca="1" si="78"/>
        <v>-0.19999999999999996</v>
      </c>
      <c r="B403" s="22" t="str">
        <f t="shared" ca="1" si="81"/>
        <v>aa</v>
      </c>
      <c r="C403" s="22" t="str">
        <f t="shared" ca="1" si="81"/>
        <v>aa</v>
      </c>
      <c r="D403" s="22" t="str">
        <f t="shared" ca="1" si="81"/>
        <v>aa</v>
      </c>
      <c r="E403" s="22" t="str">
        <f t="shared" ca="1" si="81"/>
        <v>aa</v>
      </c>
      <c r="F403" s="22" t="str">
        <f t="shared" ca="1" si="81"/>
        <v>aa</v>
      </c>
      <c r="G403" s="22" t="str">
        <f t="shared" ca="1" si="81"/>
        <v>aa</v>
      </c>
      <c r="H403" s="22" t="str">
        <f t="shared" ca="1" si="81"/>
        <v>aa</v>
      </c>
      <c r="I403" s="22" t="str">
        <f t="shared" ca="1" si="81"/>
        <v>aa</v>
      </c>
      <c r="J403" s="22" t="str">
        <f t="shared" ca="1" si="81"/>
        <v>aa</v>
      </c>
      <c r="K403" s="22" t="str">
        <f t="shared" ca="1" si="81"/>
        <v>aa</v>
      </c>
    </row>
    <row r="404" spans="1:11" ht="13">
      <c r="A404" s="32">
        <f t="shared" ca="1" si="78"/>
        <v>-0.39999999999999997</v>
      </c>
      <c r="B404" s="22" t="str">
        <f t="shared" ca="1" si="81"/>
        <v>aa</v>
      </c>
      <c r="C404" s="22" t="str">
        <f t="shared" ca="1" si="81"/>
        <v>aa</v>
      </c>
      <c r="D404" s="22" t="str">
        <f t="shared" ca="1" si="81"/>
        <v>aa</v>
      </c>
      <c r="E404" s="22" t="str">
        <f t="shared" ca="1" si="81"/>
        <v>aa</v>
      </c>
      <c r="F404" s="22" t="str">
        <f t="shared" ca="1" si="81"/>
        <v>aa</v>
      </c>
      <c r="G404" s="22" t="str">
        <f t="shared" ca="1" si="81"/>
        <v>aa</v>
      </c>
      <c r="H404" s="22" t="str">
        <f t="shared" ca="1" si="81"/>
        <v>aa</v>
      </c>
      <c r="I404" s="22" t="str">
        <f t="shared" ca="1" si="81"/>
        <v>aa</v>
      </c>
      <c r="J404" s="22" t="str">
        <f t="shared" ca="1" si="81"/>
        <v>aa</v>
      </c>
      <c r="K404" s="22" t="str">
        <f t="shared" ca="1" si="81"/>
        <v>aa</v>
      </c>
    </row>
    <row r="405" spans="1:11" ht="13">
      <c r="A405" s="32">
        <f t="shared" ca="1" si="78"/>
        <v>-0.6</v>
      </c>
      <c r="B405" s="22" t="str">
        <f t="shared" ca="1" si="81"/>
        <v>aa</v>
      </c>
      <c r="C405" s="22" t="str">
        <f t="shared" ca="1" si="81"/>
        <v>aa</v>
      </c>
      <c r="D405" s="22" t="str">
        <f t="shared" ca="1" si="81"/>
        <v>aa</v>
      </c>
      <c r="E405" s="22" t="str">
        <f t="shared" ca="1" si="81"/>
        <v>aa</v>
      </c>
      <c r="F405" s="22" t="str">
        <f t="shared" ca="1" si="81"/>
        <v>aa</v>
      </c>
      <c r="G405" s="22" t="str">
        <f t="shared" ca="1" si="81"/>
        <v>aa</v>
      </c>
      <c r="H405" s="22" t="str">
        <f t="shared" ca="1" si="81"/>
        <v>aa</v>
      </c>
      <c r="I405" s="22" t="str">
        <f t="shared" ca="1" si="81"/>
        <v>aa</v>
      </c>
      <c r="J405" s="22" t="str">
        <f t="shared" ca="1" si="81"/>
        <v>aa</v>
      </c>
      <c r="K405" s="22" t="str">
        <f t="shared" ca="1" si="81"/>
        <v>aa</v>
      </c>
    </row>
    <row r="406" spans="1:11" ht="13">
      <c r="A406" s="32">
        <f t="shared" ca="1" si="78"/>
        <v>-0.8</v>
      </c>
      <c r="B406" s="22" t="str">
        <f t="shared" ca="1" si="81"/>
        <v>aa</v>
      </c>
      <c r="C406" s="22" t="str">
        <f t="shared" ca="1" si="81"/>
        <v>aa</v>
      </c>
      <c r="D406" s="22" t="str">
        <f t="shared" ca="1" si="81"/>
        <v>aa</v>
      </c>
      <c r="E406" s="22" t="str">
        <f t="shared" ca="1" si="81"/>
        <v>aa</v>
      </c>
      <c r="F406" s="22" t="str">
        <f t="shared" ca="1" si="81"/>
        <v>aa</v>
      </c>
      <c r="G406" s="22" t="str">
        <f t="shared" ca="1" si="81"/>
        <v>aa</v>
      </c>
      <c r="H406" s="22" t="str">
        <f t="shared" ca="1" si="81"/>
        <v>aa</v>
      </c>
      <c r="I406" s="22" t="str">
        <f t="shared" ca="1" si="81"/>
        <v>aa</v>
      </c>
      <c r="J406" s="22" t="str">
        <f t="shared" ca="1" si="81"/>
        <v>aa</v>
      </c>
      <c r="K406" s="22" t="str">
        <f t="shared" ca="1" si="81"/>
        <v>aa</v>
      </c>
    </row>
    <row r="407" spans="1:11" ht="13">
      <c r="A407" s="13"/>
      <c r="B407" s="17"/>
      <c r="C407" s="17"/>
      <c r="D407" s="17"/>
      <c r="E407" s="17"/>
      <c r="F407" s="17"/>
      <c r="G407" s="17"/>
      <c r="H407" s="17"/>
      <c r="I407" s="17"/>
      <c r="J407" s="17"/>
      <c r="K407" s="17"/>
    </row>
    <row r="408" spans="1:11" ht="13">
      <c r="A408" s="13"/>
      <c r="B408" s="17"/>
      <c r="C408" s="17"/>
      <c r="D408" s="17"/>
      <c r="E408" s="17"/>
      <c r="F408" s="17"/>
      <c r="G408" s="17"/>
      <c r="H408" s="17"/>
      <c r="I408" s="17"/>
      <c r="J408" s="17"/>
      <c r="K408" s="17"/>
    </row>
    <row r="409" spans="1:11" ht="13">
      <c r="A409" s="13"/>
      <c r="B409" s="17"/>
      <c r="C409" s="17"/>
      <c r="D409" s="17"/>
      <c r="E409" s="17"/>
      <c r="F409" s="17"/>
      <c r="G409" s="17"/>
      <c r="H409" s="17"/>
      <c r="I409" s="17"/>
      <c r="J409" s="17"/>
      <c r="K409" s="17"/>
    </row>
    <row r="410" spans="1:11" ht="13">
      <c r="A410" s="13"/>
      <c r="B410" s="17"/>
      <c r="C410" s="17"/>
      <c r="D410" s="17"/>
      <c r="E410" s="17"/>
      <c r="F410" s="17"/>
      <c r="G410" s="17"/>
      <c r="H410" s="17"/>
      <c r="I410" s="17"/>
      <c r="J410" s="17"/>
      <c r="K410" s="17"/>
    </row>
    <row r="411" spans="1: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</row>
    <row r="412" spans="1:11">
      <c r="A412" s="13"/>
      <c r="B412" s="13"/>
      <c r="C412" s="13"/>
      <c r="D412" s="13"/>
      <c r="E412" s="19"/>
      <c r="F412" s="13"/>
      <c r="G412" s="13"/>
      <c r="H412" s="13"/>
      <c r="I412" s="13"/>
      <c r="J412" s="13"/>
      <c r="K412" s="13"/>
    </row>
    <row r="413" spans="1:11">
      <c r="A413" s="13"/>
      <c r="B413" s="13"/>
      <c r="C413" s="13"/>
      <c r="D413" s="13"/>
      <c r="E413" s="20"/>
      <c r="F413" s="13"/>
      <c r="G413" s="13"/>
      <c r="H413" s="13"/>
      <c r="I413" s="13"/>
      <c r="J413" s="13"/>
      <c r="K413" s="13"/>
    </row>
    <row r="414" spans="1:1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</row>
    <row r="415" spans="1:11" ht="13">
      <c r="A415" s="13"/>
      <c r="B415" s="15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ht="13">
      <c r="A416" s="13"/>
      <c r="B416" s="16"/>
      <c r="C416" s="17"/>
      <c r="D416" s="17"/>
      <c r="E416" s="17"/>
      <c r="F416" s="17"/>
      <c r="G416" s="17"/>
      <c r="H416" s="17"/>
      <c r="I416" s="17"/>
      <c r="J416" s="17"/>
      <c r="K416" s="17"/>
    </row>
    <row r="417" spans="1:11" ht="13">
      <c r="A417" s="13"/>
      <c r="B417" s="18"/>
      <c r="C417" s="17"/>
      <c r="D417" s="17"/>
      <c r="E417" s="17"/>
      <c r="F417" s="17"/>
      <c r="G417" s="17"/>
      <c r="H417" s="17"/>
      <c r="I417" s="17"/>
      <c r="J417" s="17"/>
      <c r="K417" s="17"/>
    </row>
    <row r="418" spans="1:11" ht="13">
      <c r="A418" s="13"/>
      <c r="B418" s="17"/>
      <c r="C418" s="17"/>
      <c r="D418" s="17"/>
      <c r="E418" s="17"/>
      <c r="F418" s="17"/>
      <c r="G418" s="17"/>
      <c r="H418" s="17"/>
      <c r="I418" s="17"/>
      <c r="J418" s="17"/>
      <c r="K418" s="17"/>
    </row>
    <row r="419" spans="1:11" ht="13">
      <c r="A419" s="13"/>
      <c r="B419" s="17"/>
      <c r="C419" s="17"/>
      <c r="D419" s="17"/>
      <c r="E419" s="17"/>
      <c r="F419" s="17"/>
      <c r="G419" s="17"/>
      <c r="H419" s="17"/>
      <c r="I419" s="17"/>
      <c r="J419" s="17"/>
      <c r="K419" s="17"/>
    </row>
    <row r="420" spans="1:11" ht="13">
      <c r="A420" s="13"/>
      <c r="B420" s="17"/>
      <c r="C420" s="17"/>
      <c r="D420" s="17"/>
      <c r="E420" s="17"/>
      <c r="F420" s="17"/>
      <c r="G420" s="17"/>
      <c r="H420" s="17"/>
      <c r="I420" s="17"/>
      <c r="J420" s="17"/>
      <c r="K420" s="17"/>
    </row>
    <row r="421" spans="1:11" ht="13">
      <c r="A421" s="13"/>
      <c r="B421" s="17"/>
      <c r="C421" s="17"/>
      <c r="D421" s="17"/>
      <c r="E421" s="17"/>
      <c r="F421" s="17"/>
      <c r="G421" s="17"/>
      <c r="H421" s="17"/>
      <c r="I421" s="17"/>
      <c r="J421" s="17"/>
      <c r="K421" s="17"/>
    </row>
    <row r="422" spans="1:11" ht="13">
      <c r="A422" s="13"/>
      <c r="B422" s="17"/>
      <c r="C422" s="17"/>
      <c r="D422" s="17"/>
      <c r="E422" s="17"/>
      <c r="F422" s="17"/>
      <c r="G422" s="17"/>
      <c r="H422" s="17"/>
      <c r="I422" s="17"/>
      <c r="J422" s="17"/>
      <c r="K422" s="17"/>
    </row>
    <row r="423" spans="1:11" ht="13">
      <c r="A423" s="13"/>
      <c r="B423" s="17"/>
      <c r="C423" s="17"/>
      <c r="D423" s="17"/>
      <c r="E423" s="17"/>
      <c r="F423" s="17"/>
      <c r="G423" s="17"/>
      <c r="H423" s="17"/>
      <c r="I423" s="17"/>
      <c r="J423" s="17"/>
      <c r="K423" s="17"/>
    </row>
    <row r="424" spans="1:11" ht="13">
      <c r="A424" s="13"/>
      <c r="B424" s="17"/>
      <c r="C424" s="17"/>
      <c r="D424" s="17"/>
      <c r="E424" s="17"/>
      <c r="F424" s="17"/>
      <c r="G424" s="17"/>
      <c r="H424" s="17"/>
      <c r="I424" s="17"/>
      <c r="J424" s="17"/>
      <c r="K424" s="17"/>
    </row>
    <row r="425" spans="1:11" ht="13">
      <c r="A425" s="13"/>
      <c r="B425" s="17"/>
      <c r="C425" s="17"/>
      <c r="D425" s="17"/>
      <c r="E425" s="17"/>
      <c r="F425" s="17"/>
      <c r="G425" s="17"/>
      <c r="H425" s="17"/>
      <c r="I425" s="17"/>
      <c r="J425" s="17"/>
      <c r="K425" s="17"/>
    </row>
    <row r="426" spans="1:11" ht="13">
      <c r="A426" s="13"/>
      <c r="B426" s="17"/>
      <c r="C426" s="17"/>
      <c r="D426" s="17"/>
      <c r="E426" s="17"/>
      <c r="F426" s="17"/>
      <c r="G426" s="17"/>
      <c r="H426" s="17"/>
      <c r="I426" s="17"/>
      <c r="J426" s="17"/>
      <c r="K426" s="17"/>
    </row>
    <row r="427" spans="1:11" ht="13">
      <c r="A427" s="13"/>
      <c r="B427" s="17"/>
      <c r="C427" s="17"/>
      <c r="D427" s="17"/>
      <c r="E427" s="17"/>
      <c r="F427" s="17"/>
      <c r="G427" s="17"/>
      <c r="H427" s="17"/>
      <c r="I427" s="17"/>
      <c r="J427" s="17"/>
      <c r="K427" s="17"/>
    </row>
    <row r="428" spans="1:11" ht="13">
      <c r="A428" s="13"/>
      <c r="B428" s="17"/>
      <c r="C428" s="17"/>
      <c r="D428" s="17"/>
      <c r="E428" s="17"/>
      <c r="F428" s="17"/>
      <c r="G428" s="17"/>
      <c r="H428" s="17"/>
      <c r="I428" s="17"/>
      <c r="J428" s="17"/>
      <c r="K428" s="17"/>
    </row>
    <row r="429" spans="1:11" ht="13">
      <c r="A429" s="13"/>
      <c r="B429" s="17"/>
      <c r="C429" s="17"/>
      <c r="D429" s="17"/>
      <c r="E429" s="17"/>
      <c r="F429" s="17"/>
      <c r="G429" s="17"/>
      <c r="H429" s="17"/>
      <c r="I429" s="17"/>
      <c r="J429" s="17"/>
      <c r="K429" s="17"/>
    </row>
    <row r="430" spans="1:11" ht="13">
      <c r="A430" s="13"/>
      <c r="B430" s="17"/>
      <c r="C430" s="17"/>
      <c r="D430" s="17"/>
      <c r="E430" s="17"/>
      <c r="F430" s="17"/>
      <c r="G430" s="17"/>
      <c r="H430" s="17"/>
      <c r="I430" s="17"/>
      <c r="J430" s="17"/>
      <c r="K430" s="17"/>
    </row>
    <row r="431" spans="1:11" ht="13">
      <c r="A431" s="13"/>
      <c r="B431" s="17"/>
      <c r="C431" s="17"/>
      <c r="D431" s="17"/>
      <c r="E431" s="17"/>
      <c r="F431" s="17"/>
      <c r="G431" s="17"/>
      <c r="H431" s="17"/>
      <c r="I431" s="17"/>
      <c r="J431" s="17"/>
      <c r="K431" s="17"/>
    </row>
    <row r="432" spans="1:11" ht="13">
      <c r="A432" s="13"/>
      <c r="B432" s="17"/>
      <c r="C432" s="17"/>
      <c r="D432" s="17"/>
      <c r="E432" s="17"/>
      <c r="F432" s="17"/>
      <c r="G432" s="17"/>
      <c r="H432" s="17"/>
      <c r="I432" s="17"/>
      <c r="J432" s="17"/>
      <c r="K432" s="17"/>
    </row>
    <row r="433" spans="1:11" ht="13">
      <c r="A433" s="13"/>
      <c r="B433" s="17"/>
      <c r="C433" s="17"/>
      <c r="D433" s="17"/>
      <c r="E433" s="17"/>
      <c r="F433" s="17"/>
      <c r="G433" s="17"/>
      <c r="H433" s="17"/>
      <c r="I433" s="17"/>
      <c r="J433" s="17"/>
      <c r="K433" s="17"/>
    </row>
    <row r="434" spans="1:11" ht="13">
      <c r="A434" s="13"/>
      <c r="B434" s="17"/>
      <c r="C434" s="17"/>
      <c r="D434" s="17"/>
      <c r="E434" s="17"/>
      <c r="F434" s="17"/>
      <c r="G434" s="17"/>
      <c r="H434" s="17"/>
      <c r="I434" s="17"/>
      <c r="J434" s="17"/>
      <c r="K434" s="17"/>
    </row>
    <row r="435" spans="1:11" ht="13">
      <c r="A435" s="13"/>
      <c r="B435" s="17"/>
      <c r="C435" s="17"/>
      <c r="D435" s="17"/>
      <c r="E435" s="17"/>
      <c r="F435" s="17"/>
      <c r="G435" s="17"/>
      <c r="H435" s="17"/>
      <c r="I435" s="17"/>
      <c r="J435" s="17"/>
      <c r="K435" s="17"/>
    </row>
    <row r="436" spans="1:11" ht="13">
      <c r="A436" s="13"/>
      <c r="B436" s="17"/>
      <c r="C436" s="17"/>
      <c r="D436" s="17"/>
      <c r="E436" s="17"/>
      <c r="F436" s="17"/>
      <c r="G436" s="17"/>
      <c r="H436" s="17"/>
      <c r="I436" s="17"/>
      <c r="J436" s="17"/>
      <c r="K436" s="17"/>
    </row>
    <row r="437" spans="1:11" ht="13">
      <c r="A437" s="13"/>
      <c r="B437" s="17"/>
      <c r="C437" s="17"/>
      <c r="D437" s="17"/>
      <c r="E437" s="17"/>
      <c r="F437" s="17"/>
      <c r="G437" s="17"/>
      <c r="H437" s="17"/>
      <c r="I437" s="17"/>
      <c r="J437" s="17"/>
      <c r="K437" s="17"/>
    </row>
    <row r="438" spans="1:11" ht="13">
      <c r="A438" s="13"/>
      <c r="B438" s="17"/>
      <c r="C438" s="17"/>
      <c r="D438" s="17"/>
      <c r="E438" s="17"/>
      <c r="F438" s="17"/>
      <c r="G438" s="17"/>
      <c r="H438" s="17"/>
      <c r="I438" s="17"/>
      <c r="J438" s="17"/>
      <c r="K438" s="17"/>
    </row>
    <row r="439" spans="1:11" ht="13">
      <c r="A439" s="13"/>
      <c r="B439" s="17"/>
      <c r="C439" s="17"/>
      <c r="D439" s="17"/>
      <c r="E439" s="17"/>
      <c r="F439" s="17"/>
      <c r="G439" s="17"/>
      <c r="H439" s="17"/>
      <c r="I439" s="17"/>
      <c r="J439" s="17"/>
      <c r="K439" s="17"/>
    </row>
    <row r="440" spans="1:11" ht="13">
      <c r="A440" s="13"/>
      <c r="B440" s="17"/>
      <c r="C440" s="17"/>
      <c r="D440" s="17"/>
      <c r="E440" s="17"/>
      <c r="F440" s="17"/>
      <c r="G440" s="17"/>
      <c r="H440" s="17"/>
      <c r="I440" s="17"/>
      <c r="J440" s="17"/>
      <c r="K440" s="17"/>
    </row>
    <row r="441" spans="1:11" ht="13">
      <c r="A441" s="13"/>
      <c r="B441" s="17"/>
      <c r="C441" s="17"/>
      <c r="D441" s="17"/>
      <c r="E441" s="17"/>
      <c r="F441" s="17"/>
      <c r="G441" s="17"/>
      <c r="H441" s="17"/>
      <c r="I441" s="17"/>
      <c r="J441" s="17"/>
      <c r="K441" s="17"/>
    </row>
    <row r="442" spans="1:11" ht="13">
      <c r="A442" s="13"/>
      <c r="B442" s="17"/>
      <c r="C442" s="17"/>
      <c r="D442" s="17"/>
      <c r="E442" s="17"/>
      <c r="F442" s="17"/>
      <c r="G442" s="17"/>
      <c r="H442" s="17"/>
      <c r="I442" s="17"/>
      <c r="J442" s="17"/>
      <c r="K442" s="17"/>
    </row>
    <row r="443" spans="1:11" ht="13">
      <c r="A443" s="13"/>
      <c r="B443" s="17"/>
      <c r="C443" s="17"/>
      <c r="D443" s="17"/>
      <c r="E443" s="17"/>
      <c r="F443" s="17"/>
      <c r="G443" s="17"/>
      <c r="H443" s="17"/>
      <c r="I443" s="17"/>
      <c r="J443" s="17"/>
      <c r="K443" s="17"/>
    </row>
    <row r="444" spans="1:11" ht="13">
      <c r="A444" s="13"/>
      <c r="B444" s="17"/>
      <c r="C444" s="17"/>
      <c r="D444" s="17"/>
      <c r="E444" s="17"/>
      <c r="F444" s="17"/>
      <c r="G444" s="17"/>
      <c r="H444" s="17"/>
      <c r="I444" s="17"/>
      <c r="J444" s="17"/>
      <c r="K444" s="17"/>
    </row>
    <row r="445" spans="1:11" ht="13">
      <c r="A445" s="13"/>
      <c r="B445" s="17"/>
      <c r="C445" s="17"/>
      <c r="D445" s="17"/>
      <c r="E445" s="17"/>
      <c r="F445" s="17"/>
      <c r="G445" s="17"/>
      <c r="H445" s="17"/>
      <c r="I445" s="17"/>
      <c r="J445" s="17"/>
      <c r="K445" s="17"/>
    </row>
    <row r="446" spans="1:1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</row>
    <row r="447" spans="1:11">
      <c r="E447" s="1"/>
    </row>
    <row r="448" spans="1:11">
      <c r="E448" s="6"/>
    </row>
    <row r="449" spans="1:13">
      <c r="E449" s="7"/>
    </row>
    <row r="450" spans="1:13" ht="13">
      <c r="A450" s="13"/>
      <c r="B450" s="15"/>
      <c r="C450" s="12"/>
      <c r="D450" s="12"/>
      <c r="E450" s="12"/>
      <c r="F450" s="12"/>
      <c r="G450" s="12"/>
      <c r="H450" s="12"/>
      <c r="I450" s="12"/>
      <c r="J450" s="12"/>
      <c r="K450" s="12"/>
      <c r="L450" s="13"/>
      <c r="M450" s="13"/>
    </row>
    <row r="451" spans="1:13" ht="13">
      <c r="A451" s="13"/>
      <c r="B451" s="16"/>
      <c r="C451" s="17"/>
      <c r="D451" s="17"/>
      <c r="E451" s="17"/>
      <c r="F451" s="17"/>
      <c r="G451" s="17"/>
      <c r="H451" s="17"/>
      <c r="I451" s="17"/>
      <c r="J451" s="17"/>
      <c r="K451" s="17"/>
      <c r="L451" s="13"/>
      <c r="M451" s="13"/>
    </row>
    <row r="452" spans="1:13" ht="13">
      <c r="A452" s="13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3"/>
      <c r="M452" s="13"/>
    </row>
    <row r="453" spans="1:13" ht="13">
      <c r="A453" s="13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3"/>
      <c r="M453" s="13"/>
    </row>
    <row r="454" spans="1:13" ht="13">
      <c r="A454" s="13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3"/>
      <c r="M454" s="13"/>
    </row>
    <row r="455" spans="1:13" ht="13">
      <c r="A455" s="13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3"/>
      <c r="M455" s="13"/>
    </row>
    <row r="456" spans="1:13" ht="13">
      <c r="A456" s="13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3"/>
      <c r="M456" s="13"/>
    </row>
    <row r="457" spans="1:13" ht="13">
      <c r="A457" s="13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3"/>
      <c r="M457" s="13"/>
    </row>
    <row r="458" spans="1:13" ht="13">
      <c r="A458" s="13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3"/>
      <c r="M458" s="13"/>
    </row>
    <row r="459" spans="1:13" ht="13">
      <c r="A459" s="13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3"/>
      <c r="M459" s="13"/>
    </row>
    <row r="460" spans="1:13" ht="13">
      <c r="A460" s="13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3"/>
      <c r="M460" s="13"/>
    </row>
    <row r="461" spans="1:13" ht="13">
      <c r="A461" s="13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3"/>
      <c r="M461" s="13"/>
    </row>
    <row r="462" spans="1:13" ht="13">
      <c r="A462" s="13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3"/>
      <c r="M462" s="13"/>
    </row>
    <row r="463" spans="1:13" ht="13">
      <c r="A463" s="13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3"/>
      <c r="M463" s="13"/>
    </row>
    <row r="464" spans="1:13" ht="13">
      <c r="A464" s="13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3"/>
      <c r="M464" s="13"/>
    </row>
    <row r="465" spans="1:13" ht="13">
      <c r="A465" s="13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3"/>
      <c r="M465" s="13"/>
    </row>
    <row r="466" spans="1:13" ht="13">
      <c r="A466" s="13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3"/>
      <c r="M466" s="13"/>
    </row>
    <row r="467" spans="1:13" ht="13">
      <c r="A467" s="13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3"/>
      <c r="M467" s="13"/>
    </row>
    <row r="468" spans="1:13" ht="13">
      <c r="A468" s="13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3"/>
      <c r="M468" s="13"/>
    </row>
    <row r="469" spans="1:13" ht="13">
      <c r="A469" s="13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3"/>
      <c r="M469" s="13"/>
    </row>
    <row r="470" spans="1:13" ht="13">
      <c r="A470" s="13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3"/>
      <c r="M470" s="13"/>
    </row>
    <row r="471" spans="1:13" ht="13">
      <c r="A471" s="13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3"/>
      <c r="M471" s="13"/>
    </row>
    <row r="472" spans="1:13" ht="13">
      <c r="A472" s="13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3"/>
      <c r="M472" s="13"/>
    </row>
    <row r="473" spans="1:13" ht="13">
      <c r="A473" s="13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3"/>
      <c r="M473" s="13"/>
    </row>
    <row r="474" spans="1:13" ht="13">
      <c r="A474" s="13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3"/>
      <c r="M474" s="13"/>
    </row>
    <row r="475" spans="1:13" ht="13">
      <c r="A475" s="13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3"/>
      <c r="M475" s="13"/>
    </row>
    <row r="476" spans="1:13" ht="13">
      <c r="A476" s="13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3"/>
      <c r="M476" s="13"/>
    </row>
    <row r="477" spans="1:13" ht="13">
      <c r="A477" s="13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3"/>
      <c r="M477" s="13"/>
    </row>
    <row r="478" spans="1:13" ht="13">
      <c r="A478" s="13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3"/>
      <c r="M478" s="13"/>
    </row>
    <row r="479" spans="1:13" ht="13">
      <c r="A479" s="13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3"/>
      <c r="M479" s="13"/>
    </row>
    <row r="480" spans="1:13" ht="13">
      <c r="A480" s="13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3"/>
      <c r="M480" s="13"/>
    </row>
    <row r="481" spans="1:1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spans="1:13">
      <c r="A482" s="13"/>
      <c r="B482" s="13"/>
      <c r="C482" s="13"/>
      <c r="D482" s="13"/>
      <c r="E482" s="19"/>
      <c r="F482" s="13"/>
      <c r="G482" s="13"/>
      <c r="H482" s="13"/>
      <c r="I482" s="13"/>
      <c r="J482" s="13"/>
      <c r="K482" s="13"/>
      <c r="L482" s="13"/>
      <c r="M482" s="13"/>
    </row>
    <row r="483" spans="1:13">
      <c r="A483" s="13"/>
      <c r="B483" s="13"/>
      <c r="C483" s="13"/>
      <c r="D483" s="13"/>
      <c r="E483" s="20"/>
      <c r="F483" s="13"/>
      <c r="G483" s="13"/>
      <c r="H483" s="13"/>
      <c r="I483" s="13"/>
      <c r="J483" s="13"/>
      <c r="K483" s="13"/>
      <c r="L483" s="13"/>
      <c r="M483" s="13"/>
    </row>
    <row r="484" spans="1:13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13"/>
    </row>
    <row r="485" spans="1:13" ht="13">
      <c r="A485" s="13"/>
      <c r="B485" s="15"/>
      <c r="C485" s="12"/>
      <c r="D485" s="12"/>
      <c r="E485" s="12"/>
      <c r="F485" s="12"/>
      <c r="G485" s="12"/>
      <c r="H485" s="12"/>
      <c r="I485" s="12"/>
      <c r="J485" s="12"/>
      <c r="K485" s="12"/>
      <c r="L485" s="13"/>
      <c r="M485" s="13"/>
    </row>
    <row r="486" spans="1:13" ht="13">
      <c r="A486" s="13"/>
      <c r="B486" s="16"/>
      <c r="C486" s="17"/>
      <c r="D486" s="17"/>
      <c r="E486" s="17"/>
      <c r="F486" s="17"/>
      <c r="G486" s="17"/>
      <c r="H486" s="17"/>
      <c r="I486" s="17"/>
      <c r="J486" s="17"/>
      <c r="K486" s="17"/>
      <c r="L486" s="13"/>
      <c r="M486" s="13"/>
    </row>
    <row r="487" spans="1:13" ht="13">
      <c r="A487" s="13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3"/>
      <c r="M487" s="13"/>
    </row>
    <row r="488" spans="1:13" ht="13">
      <c r="A488" s="13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3"/>
      <c r="M488" s="13"/>
    </row>
    <row r="489" spans="1:13" ht="13">
      <c r="A489" s="13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3"/>
      <c r="M489" s="13"/>
    </row>
    <row r="490" spans="1:13" ht="13">
      <c r="A490" s="13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3"/>
      <c r="M490" s="13"/>
    </row>
    <row r="491" spans="1:13" ht="13">
      <c r="A491" s="13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3"/>
      <c r="M491" s="13"/>
    </row>
    <row r="492" spans="1:13" ht="13">
      <c r="A492" s="13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3"/>
      <c r="M492" s="13"/>
    </row>
    <row r="493" spans="1:13" ht="13">
      <c r="A493" s="13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3"/>
      <c r="M493" s="13"/>
    </row>
    <row r="494" spans="1:13" ht="13">
      <c r="A494" s="13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3"/>
      <c r="M494" s="13"/>
    </row>
    <row r="495" spans="1:13" ht="13">
      <c r="A495" s="13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3"/>
      <c r="M495" s="13"/>
    </row>
    <row r="496" spans="1:13" ht="13">
      <c r="A496" s="13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3"/>
      <c r="M496" s="13"/>
    </row>
    <row r="497" spans="1:13" ht="13">
      <c r="A497" s="13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3"/>
      <c r="M497" s="13"/>
    </row>
    <row r="498" spans="1:13" ht="13">
      <c r="A498" s="13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3"/>
      <c r="M498" s="13"/>
    </row>
    <row r="499" spans="1:13" ht="13">
      <c r="A499" s="13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3"/>
      <c r="M499" s="13"/>
    </row>
    <row r="500" spans="1:13" ht="13">
      <c r="A500" s="13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3"/>
      <c r="M500" s="13"/>
    </row>
    <row r="501" spans="1:13" ht="13">
      <c r="A501" s="13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3"/>
      <c r="M501" s="13"/>
    </row>
    <row r="502" spans="1:13" ht="13">
      <c r="A502" s="13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3"/>
      <c r="M502" s="13"/>
    </row>
    <row r="503" spans="1:13" ht="13">
      <c r="A503" s="13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3"/>
      <c r="M503" s="13"/>
    </row>
    <row r="504" spans="1:13" ht="13">
      <c r="A504" s="13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3"/>
      <c r="M504" s="13"/>
    </row>
    <row r="505" spans="1:13" ht="13">
      <c r="A505" s="13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3"/>
      <c r="M505" s="13"/>
    </row>
    <row r="506" spans="1:13" ht="13">
      <c r="A506" s="13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3"/>
      <c r="M506" s="13"/>
    </row>
    <row r="507" spans="1:13" ht="13">
      <c r="A507" s="13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3"/>
      <c r="M507" s="13"/>
    </row>
    <row r="508" spans="1:13" ht="13">
      <c r="A508" s="13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3"/>
      <c r="M508" s="13"/>
    </row>
    <row r="509" spans="1:13" ht="13">
      <c r="A509" s="13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3"/>
      <c r="M509" s="13"/>
    </row>
    <row r="510" spans="1:13" ht="13">
      <c r="A510" s="13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3"/>
      <c r="M510" s="13"/>
    </row>
    <row r="511" spans="1:13" ht="13">
      <c r="A511" s="13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3"/>
      <c r="M511" s="13"/>
    </row>
    <row r="512" spans="1:13" ht="13">
      <c r="A512" s="13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3"/>
      <c r="M512" s="13"/>
    </row>
    <row r="513" spans="1:13" ht="13">
      <c r="A513" s="13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3"/>
      <c r="M513" s="13"/>
    </row>
    <row r="514" spans="1:13" ht="13">
      <c r="A514" s="13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3"/>
      <c r="M514" s="13"/>
    </row>
    <row r="515" spans="1:13" ht="13">
      <c r="A515" s="13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3"/>
      <c r="M515" s="13"/>
    </row>
    <row r="516" spans="1:1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</sheetData>
  <sheetCalcPr fullCalcOnLoad="1"/>
  <printOptions gridLines="1" gridLinesSet="0"/>
  <pageMargins left="0.5" right="0.5" top="1" bottom="1" header="0.5" footer="0.5"/>
  <pageSetup paperSize="0" orientation="portrait" horizontalDpi="4294967292" verticalDpi="4294967292"/>
  <headerFooter alignWithMargins="0">
    <oddHeader>Population genetics</oddHeader>
    <oddFooter>&amp;LRobert F. Murphy&amp;CPage &amp;P&amp;R&amp;D</oddFooter>
  </headerFooter>
  <rowBreaks count="1" manualBreakCount="1">
    <brk id="360" max="6553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cols>
    <col min="1" max="256" width="10.90625" customWidth="1"/>
  </cols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F. Murphy</dc:creator>
  <cp:keywords/>
  <dc:description/>
  <cp:lastModifiedBy>Carina Negreanu</cp:lastModifiedBy>
  <dcterms:created xsi:type="dcterms:W3CDTF">2020-01-27T11:28:16Z</dcterms:created>
  <dcterms:modified xsi:type="dcterms:W3CDTF">2020-01-27T11:28:16Z</dcterms:modified>
</cp:coreProperties>
</file>