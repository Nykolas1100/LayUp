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0AB5B4-6782-4605-8DC9-91BCE883697C}" xr6:coauthVersionLast="45" xr6:coauthVersionMax="45" xr10:uidLastSave="{00000000-0000-0000-0000-000000000000}"/>
  <bookViews>
    <workbookView xWindow="3420" yWindow="3420" windowWidth="28800" windowHeight="15460"/>
  </bookViews>
  <sheets>
    <sheet name="MODEL19" sheetId="1" r:id="rId1"/>
  </sheets>
  <definedNames>
    <definedName name="_Regression_Int" localSheetId="0" hidden="1">1</definedName>
    <definedName name="APHOME">MODEL19!$A$18</definedName>
    <definedName name="ASSETS">MODEL19!$B$47:$B$57</definedName>
    <definedName name="ASSETS1">MODEL19!$J$47:$J$57</definedName>
    <definedName name="ASSETS2">MODEL19!$K$47:$K$57</definedName>
    <definedName name="CODES">MODEL19!$C$25:$C$65</definedName>
    <definedName name="COMMONSTOCK">MODEL19!$B$65</definedName>
    <definedName name="COMMONSTOCK1">MODEL19!$J$65</definedName>
    <definedName name="COMMONSTOCK2">MODEL19!$K$65</definedName>
    <definedName name="DE_OE">MODEL19!$B$31:$B$33</definedName>
    <definedName name="DE_OE1">MODEL19!$J$31:$J$33</definedName>
    <definedName name="DE_OE2">MODEL19!$K$31:$K$33</definedName>
    <definedName name="DIVIDENDS">MODEL19!$B$43</definedName>
    <definedName name="DIVIDENDS1">MODEL19!$J$43</definedName>
    <definedName name="DIVIDENDS2">MODEL19!$K$43</definedName>
    <definedName name="INVENTORY_BEG">MODEL19!$B$27</definedName>
    <definedName name="INVENTORY_BEG1">MODEL19!$J$27</definedName>
    <definedName name="INVENTORY_BEG2">MODEL19!$K$27</definedName>
    <definedName name="INVENTORY_END">MODEL19!$B$29</definedName>
    <definedName name="INVENTORY_END1">MODEL19!$J$29</definedName>
    <definedName name="INVENTORY_END2">MODEL19!$K$29</definedName>
    <definedName name="LIAB">MODEL19!$B$60:$B$63</definedName>
    <definedName name="LIAB.">MODEL19!$B$60:$B$63</definedName>
    <definedName name="LIAB1">MODEL19!$J$60:$J$63</definedName>
    <definedName name="LIAB2">MODEL19!$K$60:$K$63</definedName>
    <definedName name="PURCHASES">MODEL19!$B$28</definedName>
    <definedName name="PURCHASES1">MODEL19!$J$28</definedName>
    <definedName name="PURCHASES2">MODEL19!$K$28</definedName>
    <definedName name="RATES">MODEL19!$D$71:$D$74</definedName>
    <definedName name="REBOY">MODEL19!$B$41</definedName>
    <definedName name="REBOY_DOLLARS">MODEL19!$E$41</definedName>
    <definedName name="REBOY1">MODEL19!$J$41</definedName>
    <definedName name="REBOY2">MODEL19!$K$41</definedName>
    <definedName name="REMEASUREMENTGAINLOSS">MODEL19!$E$37</definedName>
    <definedName name="SALES">MODEL19!$B$25</definedName>
    <definedName name="SALES1">MODEL19!$J$25</definedName>
    <definedName name="SALES2">MODEL19!$K$25</definedName>
    <definedName name="TAXEXPENSE">MODEL19!$B$35</definedName>
    <definedName name="TAXEXPENSE1">MODEL19!$J$35</definedName>
    <definedName name="TAXEXPENSE2">MODEL19!$K$35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5" i="1" l="1"/>
  <c r="E25" i="1" s="1"/>
  <c r="D27" i="1"/>
  <c r="E27" i="1"/>
  <c r="D28" i="1"/>
  <c r="E28" i="1" s="1"/>
  <c r="E30" i="1" s="1"/>
  <c r="E29" i="1"/>
  <c r="B30" i="1"/>
  <c r="J30" i="1"/>
  <c r="K30" i="1"/>
  <c r="K34" i="1" s="1"/>
  <c r="K36" i="1" s="1"/>
  <c r="K42" i="1" s="1"/>
  <c r="K44" i="1" s="1"/>
  <c r="D31" i="1"/>
  <c r="E31" i="1" s="1"/>
  <c r="D32" i="1"/>
  <c r="E32" i="1" s="1"/>
  <c r="D33" i="1"/>
  <c r="E33" i="1" s="1"/>
  <c r="B34" i="1"/>
  <c r="B36" i="1" s="1"/>
  <c r="B38" i="1" s="1"/>
  <c r="B42" i="1" s="1"/>
  <c r="B44" i="1" s="1"/>
  <c r="B66" i="1" s="1"/>
  <c r="B67" i="1" s="1"/>
  <c r="J34" i="1"/>
  <c r="J36" i="1" s="1"/>
  <c r="J42" i="1" s="1"/>
  <c r="J44" i="1" s="1"/>
  <c r="D35" i="1"/>
  <c r="E35" i="1"/>
  <c r="E43" i="1"/>
  <c r="D47" i="1"/>
  <c r="E47" i="1" s="1"/>
  <c r="E58" i="1" s="1"/>
  <c r="D48" i="1"/>
  <c r="E48" i="1"/>
  <c r="D49" i="1"/>
  <c r="E49" i="1"/>
  <c r="D51" i="1"/>
  <c r="E51" i="1" s="1"/>
  <c r="D52" i="1"/>
  <c r="E52" i="1"/>
  <c r="D53" i="1"/>
  <c r="E53" i="1"/>
  <c r="D54" i="1"/>
  <c r="E54" i="1"/>
  <c r="D55" i="1"/>
  <c r="E55" i="1"/>
  <c r="D56" i="1"/>
  <c r="E56" i="1" s="1"/>
  <c r="D57" i="1"/>
  <c r="E57" i="1"/>
  <c r="B58" i="1"/>
  <c r="J58" i="1"/>
  <c r="K58" i="1"/>
  <c r="D60" i="1"/>
  <c r="E60" i="1"/>
  <c r="D61" i="1"/>
  <c r="E61" i="1"/>
  <c r="D62" i="1"/>
  <c r="E62" i="1"/>
  <c r="D63" i="1"/>
  <c r="E63" i="1"/>
  <c r="B64" i="1"/>
  <c r="E64" i="1"/>
  <c r="J64" i="1"/>
  <c r="J68" i="1" s="1"/>
  <c r="K64" i="1"/>
  <c r="K68" i="1" s="1"/>
  <c r="D65" i="1"/>
  <c r="E65" i="1"/>
  <c r="J67" i="1"/>
  <c r="K67" i="1"/>
  <c r="B68" i="1" l="1"/>
  <c r="E34" i="1"/>
  <c r="E36" i="1" s="1"/>
  <c r="E38" i="1" s="1"/>
  <c r="E42" i="1" s="1"/>
  <c r="E44" i="1" s="1"/>
  <c r="E66" i="1" s="1"/>
  <c r="E67" i="1" s="1"/>
  <c r="E68" i="1" s="1"/>
</calcChain>
</file>

<file path=xl/sharedStrings.xml><?xml version="1.0" encoding="utf-8"?>
<sst xmlns="http://schemas.openxmlformats.org/spreadsheetml/2006/main" count="158" uniqueCount="140">
  <si>
    <t>MODEL 19: FOREIGN CURRENCY "REMEASUREMENT" WORKSHEET (for Chapter 19)</t>
  </si>
  <si>
    <t>GENERAL INSTRUCTIONS AND CAUTIONS:</t>
  </si>
  <si>
    <t xml:space="preserve"> 4.  Do not enter amounts where a "0" shows, unless you purposely</t>
  </si>
  <si>
    <t xml:space="preserve">      want to overwrite a formula stored at that location (which you can</t>
  </si>
  <si>
    <t>_____</t>
  </si>
  <si>
    <t xml:space="preserve">     ________________</t>
  </si>
  <si>
    <t xml:space="preserve">    For the Year Ended </t>
  </si>
  <si>
    <t xml:space="preserve"> _______</t>
  </si>
  <si>
    <t xml:space="preserve">  P 19-2</t>
  </si>
  <si>
    <t xml:space="preserve">  P 19-3</t>
  </si>
  <si>
    <t xml:space="preserve">  Foreign</t>
  </si>
  <si>
    <t xml:space="preserve"> Key = A)</t>
  </si>
  <si>
    <t xml:space="preserve"> Key = B)</t>
  </si>
  <si>
    <t xml:space="preserve"> Currency</t>
  </si>
  <si>
    <t xml:space="preserve">   Code</t>
  </si>
  <si>
    <t xml:space="preserve">   Rate</t>
  </si>
  <si>
    <t xml:space="preserve">  Dollars</t>
  </si>
  <si>
    <t xml:space="preserve"> -------- </t>
  </si>
  <si>
    <t>INCOME STATEMENT:</t>
  </si>
  <si>
    <t xml:space="preserve"> Sales........</t>
  </si>
  <si>
    <t xml:space="preserve"> Cost of Goods Sold:</t>
  </si>
  <si>
    <t xml:space="preserve"> Cost of goods sold:</t>
  </si>
  <si>
    <t xml:space="preserve">   Beginning inventory.....</t>
  </si>
  <si>
    <t xml:space="preserve"> + Purchases...............</t>
  </si>
  <si>
    <t xml:space="preserve"> - Ending inventory........</t>
  </si>
  <si>
    <t xml:space="preserve"> =   Cost of Goods Sold.... </t>
  </si>
  <si>
    <t xml:space="preserve"> Depreciation expense......</t>
  </si>
  <si>
    <t xml:space="preserve"> Operating expense.........</t>
  </si>
  <si>
    <t xml:space="preserve">   Income before Taxes.....</t>
  </si>
  <si>
    <t xml:space="preserve"> Income tax expense........</t>
  </si>
  <si>
    <t xml:space="preserve">   Net Income (Loss).......</t>
  </si>
  <si>
    <t>STMT. OF RETAINED EARNINGS:</t>
  </si>
  <si>
    <t xml:space="preserve"> Beginning balance.........</t>
  </si>
  <si>
    <t xml:space="preserve"> + Net income..............</t>
  </si>
  <si>
    <t xml:space="preserve"> - Dividends...............</t>
  </si>
  <si>
    <t xml:space="preserve"> Ending balance............</t>
  </si>
  <si>
    <t>BALANCE SHEET:</t>
  </si>
  <si>
    <t xml:space="preserve"> Cash......................</t>
  </si>
  <si>
    <t xml:space="preserve"> Accts. rec................</t>
  </si>
  <si>
    <t xml:space="preserve"> Allow. for doubtful accts.</t>
  </si>
  <si>
    <t xml:space="preserve"> Inventory:</t>
  </si>
  <si>
    <t xml:space="preserve">   Vendor acquired.........</t>
  </si>
  <si>
    <t xml:space="preserve">   Intercompany............</t>
  </si>
  <si>
    <t xml:space="preserve"> Land......................</t>
  </si>
  <si>
    <t xml:space="preserve"> Bldgs. &amp; equip............</t>
  </si>
  <si>
    <t xml:space="preserve"> ..........................</t>
  </si>
  <si>
    <t xml:space="preserve"> Accum. deprec.............</t>
  </si>
  <si>
    <t xml:space="preserve">   Total Assets............</t>
  </si>
  <si>
    <t xml:space="preserve"> Accts. payable............</t>
  </si>
  <si>
    <t xml:space="preserve"> Long-term debt............</t>
  </si>
  <si>
    <t xml:space="preserve">   Total Liabilities.......</t>
  </si>
  <si>
    <t xml:space="preserve"> Common stock..............</t>
  </si>
  <si>
    <t xml:space="preserve"> Retained earnings.........</t>
  </si>
  <si>
    <t xml:space="preserve">   Total Equity............</t>
  </si>
  <si>
    <t xml:space="preserve">   Total Liab. &amp; Equity....</t>
  </si>
  <si>
    <t xml:space="preserve">      CODE</t>
  </si>
  <si>
    <t xml:space="preserve">  Current Rate.........................</t>
  </si>
  <si>
    <t xml:space="preserve">  Average Rate..........................</t>
  </si>
  <si>
    <t xml:space="preserve">  Instructions for Using Macros:</t>
  </si>
  <si>
    <t xml:space="preserve">  1. Each macro named below has an explanation provided.</t>
  </si>
  <si>
    <t xml:space="preserve">  2. To invoke (use) a macro, press and hold down the CONTROL key</t>
  </si>
  <si>
    <t xml:space="preserve">      Problem l9-2 data into the remeasurement worksheet.)</t>
  </si>
  <si>
    <t>EXCHANGE RATES:</t>
  </si>
  <si>
    <t>MACROS: Stored instructions for loading problem data (stored to the</t>
  </si>
  <si>
    <t xml:space="preserve">  Explanation</t>
  </si>
  <si>
    <t>A</t>
  </si>
  <si>
    <t>B</t>
  </si>
  <si>
    <t>W</t>
  </si>
  <si>
    <t>X</t>
  </si>
  <si>
    <r>
      <t xml:space="preserve">      do by using the </t>
    </r>
    <r>
      <rPr>
        <b/>
        <sz val="10"/>
        <rFont val="Courier"/>
        <family val="3"/>
      </rPr>
      <t>TOOLS  PROTECTION  UNPROTECT SHEET</t>
    </r>
    <r>
      <rPr>
        <sz val="10"/>
        <rFont val="Courier"/>
        <family val="3"/>
      </rPr>
      <t xml:space="preserve"> command and the</t>
    </r>
  </si>
  <si>
    <r>
      <t xml:space="preserve">      </t>
    </r>
    <r>
      <rPr>
        <b/>
        <sz val="10"/>
        <rFont val="Courier"/>
        <family val="3"/>
      </rPr>
      <t>FORMAT  CELLS  PROTECTION  UNLOCK</t>
    </r>
    <r>
      <rPr>
        <sz val="10"/>
        <rFont val="Courier"/>
        <family val="3"/>
      </rPr>
      <t xml:space="preserve"> command).</t>
    </r>
  </si>
  <si>
    <t>"Screen shot(s) reprinted by permission from Microsoft Corporation".</t>
  </si>
  <si>
    <t xml:space="preserve">South-Western items and derived items copyright (c) 2003 by South-Western, Inc. </t>
  </si>
  <si>
    <t xml:space="preserve">      While holding this key down, strike the applicable letter key assigned </t>
  </si>
  <si>
    <t xml:space="preserve">      to the macro you want to use.</t>
  </si>
  <si>
    <t xml:space="preserve">      (For example, strike the letter key A to load</t>
  </si>
  <si>
    <t>BALANCE SHEET (12/31/04):</t>
  </si>
  <si>
    <t>INCOME STATEMENT (2004):</t>
  </si>
  <si>
    <t xml:space="preserve">  Historical Rate-1......................</t>
  </si>
  <si>
    <t xml:space="preserve">   (insert)</t>
  </si>
  <si>
    <t>(ENTER MANUALLY IN WORKSHEET)</t>
  </si>
  <si>
    <t>RATE</t>
  </si>
  <si>
    <t xml:space="preserve">  Historical Rate-3......................</t>
  </si>
  <si>
    <t xml:space="preserve">  Historical Rate-2......................</t>
  </si>
  <si>
    <t>Problem Number:</t>
  </si>
  <si>
    <t>___________</t>
  </si>
  <si>
    <t>NAME:</t>
  </si>
  <si>
    <t>Class Time &amp; Day:</t>
  </si>
  <si>
    <t xml:space="preserve">      (first)      (last)</t>
  </si>
  <si>
    <t xml:space="preserve">     REMEASUREMENT WORKSHEET</t>
  </si>
  <si>
    <t>Company</t>
  </si>
  <si>
    <t>Macro Name</t>
  </si>
  <si>
    <t>Loads UNADJUSTED Problem 19-2 data into the worksheet.</t>
  </si>
  <si>
    <t>Loads UNADJUSTED Problem 19-3 data into the worksheet.</t>
  </si>
  <si>
    <t>Erases data in column B of the worksheet.</t>
  </si>
  <si>
    <r>
      <t xml:space="preserve">  3. Manually enter amounts in the worksheet for </t>
    </r>
    <r>
      <rPr>
        <b/>
        <sz val="10"/>
        <color indexed="10"/>
        <rFont val="Courier"/>
        <family val="3"/>
      </rPr>
      <t>beginning</t>
    </r>
    <r>
      <rPr>
        <sz val="10"/>
        <color indexed="10"/>
        <rFont val="Courier"/>
        <family val="3"/>
      </rPr>
      <t xml:space="preserve"> retained earnings. </t>
    </r>
  </si>
  <si>
    <r>
      <t xml:space="preserve">Erases codes in column C and two inserted </t>
    </r>
    <r>
      <rPr>
        <b/>
        <sz val="10"/>
        <rFont val="Courier"/>
        <family val="3"/>
      </rPr>
      <t>dollar</t>
    </r>
    <r>
      <rPr>
        <sz val="10"/>
        <rFont val="Courier"/>
      </rPr>
      <t xml:space="preserve"> amounts.</t>
    </r>
  </si>
  <si>
    <t>FILE NAME: MODEL19.xls</t>
  </si>
  <si>
    <t>U.S.</t>
  </si>
  <si>
    <t>Exchange</t>
  </si>
  <si>
    <t xml:space="preserve">         right of the remeasurement worksheet) and other time-saving</t>
  </si>
  <si>
    <t xml:space="preserve">         features.</t>
  </si>
  <si>
    <t xml:space="preserve"> 1.  Go to row 78 for how to load problem data into worksheet.</t>
  </si>
  <si>
    <t>PROBLEM DATA:  Go to row 78 for loading instructions.</t>
  </si>
  <si>
    <t xml:space="preserve"> Income taxes payable..........................</t>
  </si>
  <si>
    <t xml:space="preserve"> =   Cost of Sales</t>
  </si>
  <si>
    <t xml:space="preserve"> Sales</t>
  </si>
  <si>
    <t xml:space="preserve">   Beginning inventory</t>
  </si>
  <si>
    <t xml:space="preserve"> + Purchases</t>
  </si>
  <si>
    <t xml:space="preserve"> - Ending inventory</t>
  </si>
  <si>
    <t xml:space="preserve"> Depreciation expense.</t>
  </si>
  <si>
    <t xml:space="preserve"> Operating expenses</t>
  </si>
  <si>
    <t xml:space="preserve">    Income tax expense</t>
  </si>
  <si>
    <t xml:space="preserve"> Net Income (Loss)</t>
  </si>
  <si>
    <t xml:space="preserve"> Beginning balances</t>
  </si>
  <si>
    <t xml:space="preserve"> + Net income</t>
  </si>
  <si>
    <t xml:space="preserve"> - Dividends</t>
  </si>
  <si>
    <t xml:space="preserve"> Ending balances</t>
  </si>
  <si>
    <t xml:space="preserve"> Cash</t>
  </si>
  <si>
    <t xml:space="preserve"> Accounts receivable</t>
  </si>
  <si>
    <t xml:space="preserve"> Allow. for uncollectibles</t>
  </si>
  <si>
    <t xml:space="preserve">   Vendor acquired</t>
  </si>
  <si>
    <t xml:space="preserve">   Intercompany</t>
  </si>
  <si>
    <t xml:space="preserve"> Land</t>
  </si>
  <si>
    <t xml:space="preserve"> Buildings and equipment</t>
  </si>
  <si>
    <t xml:space="preserve"> Accumulated depreciation</t>
  </si>
  <si>
    <t xml:space="preserve">   Total Assets</t>
  </si>
  <si>
    <t xml:space="preserve"> Accts. Payable</t>
  </si>
  <si>
    <t xml:space="preserve"> Income taxes payable</t>
  </si>
  <si>
    <t xml:space="preserve"> Long-term debt</t>
  </si>
  <si>
    <t xml:space="preserve">   Total Liabilities</t>
  </si>
  <si>
    <t xml:space="preserve"> Common stock</t>
  </si>
  <si>
    <t xml:space="preserve"> Retained earnings</t>
  </si>
  <si>
    <t xml:space="preserve">   Total Equity</t>
  </si>
  <si>
    <t xml:space="preserve">   Total Liab. &amp; Equity</t>
  </si>
  <si>
    <t xml:space="preserve"> Income bef. Inc. Taxes</t>
  </si>
  <si>
    <t xml:space="preserve"> Income bef. Remeasuremt</t>
  </si>
  <si>
    <t xml:space="preserve">    Remeas. gain (loss)</t>
  </si>
  <si>
    <t xml:space="preserve"> 2.  Enter appropriate exchange rates in cells D71, D72 and D73.</t>
  </si>
  <si>
    <t xml:space="preserve"> 3.  Use appropriate code from cells C71, C72, and C73 to code accounts.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</si>
</sst>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00_)"/>
    <numFmt numFmtId="173" formatCode="@\ *."/>
  </numFmts>
  <fonts count="10" x14ac:knownFonts="1">
    <font>
      <sz val="10"/>
      <name val="Courier"/>
    </font>
    <font>
      <sz val="10"/>
      <color indexed="12"/>
      <name val="Courier"/>
    </font>
    <font>
      <b/>
      <sz val="10"/>
      <name val="Courier"/>
      <family val="3"/>
    </font>
    <font>
      <b/>
      <sz val="10"/>
      <color indexed="12"/>
      <name val="Courier"/>
      <family val="3"/>
    </font>
    <font>
      <sz val="10"/>
      <name val="Courier"/>
      <family val="3"/>
    </font>
    <font>
      <sz val="10"/>
      <color indexed="12"/>
      <name val="Courier"/>
      <family val="3"/>
    </font>
    <font>
      <sz val="10"/>
      <color indexed="20"/>
      <name val="Courier"/>
      <family val="3"/>
    </font>
    <font>
      <b/>
      <u/>
      <sz val="10"/>
      <name val="Courier"/>
      <family val="3"/>
    </font>
    <font>
      <sz val="10"/>
      <color indexed="10"/>
      <name val="Courier"/>
      <family val="3"/>
    </font>
    <font>
      <b/>
      <sz val="10"/>
      <color indexed="10"/>
      <name val="Courier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37" fontId="0" fillId="0" borderId="0"/>
  </cellStyleXfs>
  <cellXfs count="50">
    <xf numFmtId="37" fontId="0" fillId="0" borderId="0" xfId="0"/>
    <xf numFmtId="37" fontId="0" fillId="0" borderId="0" xfId="0" applyAlignment="1" applyProtection="1">
      <alignment horizontal="left"/>
    </xf>
    <xf numFmtId="37" fontId="0" fillId="0" borderId="0" xfId="0" applyProtection="1"/>
    <xf numFmtId="37" fontId="1" fillId="0" borderId="0" xfId="0" applyFont="1" applyProtection="1">
      <protection locked="0"/>
    </xf>
    <xf numFmtId="37" fontId="1" fillId="0" borderId="0" xfId="0" applyFont="1" applyAlignment="1" applyProtection="1">
      <alignment horizontal="left"/>
      <protection locked="0"/>
    </xf>
    <xf numFmtId="172" fontId="0" fillId="0" borderId="0" xfId="0" applyNumberFormat="1" applyProtection="1"/>
    <xf numFmtId="172" fontId="1" fillId="0" borderId="0" xfId="0" applyNumberFormat="1" applyFont="1" applyProtection="1">
      <protection locked="0"/>
    </xf>
    <xf numFmtId="37" fontId="2" fillId="0" borderId="0" xfId="0" applyFont="1" applyAlignment="1" applyProtection="1">
      <alignment horizontal="left"/>
    </xf>
    <xf numFmtId="37" fontId="3" fillId="0" borderId="0" xfId="0" applyFont="1" applyAlignment="1" applyProtection="1">
      <alignment horizontal="left"/>
      <protection locked="0"/>
    </xf>
    <xf numFmtId="37" fontId="2" fillId="0" borderId="0" xfId="0" applyFont="1"/>
    <xf numFmtId="37" fontId="3" fillId="0" borderId="0" xfId="0" applyFont="1" applyProtection="1">
      <protection locked="0"/>
    </xf>
    <xf numFmtId="37" fontId="2" fillId="0" borderId="0" xfId="0" applyFont="1" applyProtection="1"/>
    <xf numFmtId="37" fontId="2" fillId="0" borderId="0" xfId="0" applyFont="1" applyAlignment="1" applyProtection="1">
      <alignment horizontal="fill"/>
    </xf>
    <xf numFmtId="172" fontId="2" fillId="0" borderId="0" xfId="0" applyNumberFormat="1" applyFont="1" applyProtection="1"/>
    <xf numFmtId="37" fontId="2" fillId="0" borderId="0" xfId="0" quotePrefix="1" applyFont="1" applyAlignment="1" applyProtection="1">
      <alignment horizontal="left"/>
    </xf>
    <xf numFmtId="37" fontId="0" fillId="0" borderId="0" xfId="0" quotePrefix="1" applyAlignment="1" applyProtection="1">
      <alignment horizontal="left"/>
    </xf>
    <xf numFmtId="37" fontId="0" fillId="0" borderId="0" xfId="0" applyProtection="1">
      <protection locked="0"/>
    </xf>
    <xf numFmtId="39" fontId="1" fillId="0" borderId="0" xfId="0" applyNumberFormat="1" applyFont="1" applyProtection="1">
      <protection locked="0"/>
    </xf>
    <xf numFmtId="37" fontId="2" fillId="0" borderId="0" xfId="0" applyFont="1" applyAlignment="1" applyProtection="1">
      <alignment horizontal="center"/>
    </xf>
    <xf numFmtId="39" fontId="6" fillId="0" borderId="0" xfId="0" applyNumberFormat="1" applyFont="1" applyProtection="1">
      <protection locked="0"/>
    </xf>
    <xf numFmtId="37" fontId="3" fillId="0" borderId="0" xfId="0" applyFont="1" applyAlignment="1" applyProtection="1">
      <alignment horizontal="left"/>
    </xf>
    <xf numFmtId="37" fontId="3" fillId="0" borderId="0" xfId="0" applyFont="1"/>
    <xf numFmtId="37" fontId="2" fillId="0" borderId="1" xfId="0" applyFont="1" applyBorder="1" applyAlignment="1" applyProtection="1">
      <alignment horizontal="left"/>
    </xf>
    <xf numFmtId="37" fontId="2" fillId="0" borderId="1" xfId="0" applyFont="1" applyBorder="1"/>
    <xf numFmtId="37" fontId="1" fillId="0" borderId="1" xfId="0" applyFont="1" applyBorder="1" applyProtection="1">
      <protection locked="0"/>
    </xf>
    <xf numFmtId="37" fontId="0" fillId="0" borderId="1" xfId="0" applyBorder="1" applyProtection="1"/>
    <xf numFmtId="37" fontId="0" fillId="0" borderId="1" xfId="0" applyBorder="1"/>
    <xf numFmtId="37" fontId="2" fillId="0" borderId="2" xfId="0" applyFont="1" applyBorder="1" applyProtection="1"/>
    <xf numFmtId="37" fontId="2" fillId="0" borderId="3" xfId="0" applyFont="1" applyBorder="1" applyProtection="1"/>
    <xf numFmtId="37" fontId="0" fillId="0" borderId="0" xfId="0" applyBorder="1" applyProtection="1"/>
    <xf numFmtId="37" fontId="2" fillId="0" borderId="0" xfId="0" applyFont="1" applyAlignment="1">
      <alignment horizontal="center"/>
    </xf>
    <xf numFmtId="37" fontId="7" fillId="0" borderId="0" xfId="0" applyFont="1" applyAlignment="1">
      <alignment horizontal="center"/>
    </xf>
    <xf numFmtId="39" fontId="5" fillId="0" borderId="0" xfId="0" applyNumberFormat="1" applyFont="1" applyBorder="1" applyAlignment="1" applyProtection="1">
      <alignment horizontal="center"/>
      <protection locked="0"/>
    </xf>
    <xf numFmtId="37" fontId="0" fillId="0" borderId="0" xfId="0" applyBorder="1"/>
    <xf numFmtId="37" fontId="8" fillId="0" borderId="0" xfId="0" applyFont="1" applyAlignment="1" applyProtection="1">
      <alignment horizontal="left"/>
    </xf>
    <xf numFmtId="39" fontId="5" fillId="0" borderId="0" xfId="0" applyNumberFormat="1" applyFont="1" applyBorder="1" applyAlignment="1" applyProtection="1">
      <alignment horizontal="right"/>
      <protection locked="0"/>
    </xf>
    <xf numFmtId="49" fontId="3" fillId="0" borderId="0" xfId="0" applyNumberFormat="1" applyFont="1" applyProtection="1">
      <protection locked="0"/>
    </xf>
    <xf numFmtId="49" fontId="3" fillId="0" borderId="0" xfId="0" applyNumberFormat="1" applyFont="1" applyAlignment="1" applyProtection="1">
      <alignment horizontal="left"/>
      <protection locked="0"/>
    </xf>
    <xf numFmtId="37" fontId="0" fillId="0" borderId="3" xfId="0" applyBorder="1" applyProtection="1"/>
    <xf numFmtId="37" fontId="0" fillId="0" borderId="2" xfId="0" applyBorder="1" applyProtection="1"/>
    <xf numFmtId="37" fontId="1" fillId="0" borderId="2" xfId="0" applyFont="1" applyBorder="1" applyProtection="1">
      <protection locked="0"/>
    </xf>
    <xf numFmtId="37" fontId="4" fillId="0" borderId="0" xfId="0" applyFont="1" applyAlignment="1" applyProtection="1">
      <alignment horizontal="left"/>
      <protection locked="0"/>
    </xf>
    <xf numFmtId="37" fontId="2" fillId="0" borderId="4" xfId="0" applyFont="1" applyBorder="1" applyProtection="1"/>
    <xf numFmtId="37" fontId="1" fillId="0" borderId="0" xfId="0" applyFont="1" applyBorder="1" applyProtection="1">
      <protection locked="0"/>
    </xf>
    <xf numFmtId="173" fontId="0" fillId="0" borderId="0" xfId="0" applyNumberFormat="1" applyAlignment="1" applyProtection="1">
      <alignment horizontal="left"/>
    </xf>
    <xf numFmtId="173" fontId="4" fillId="0" borderId="0" xfId="0" applyNumberFormat="1" applyFont="1" applyAlignment="1" applyProtection="1">
      <alignment horizontal="left"/>
      <protection locked="0"/>
    </xf>
    <xf numFmtId="173" fontId="1" fillId="0" borderId="0" xfId="0" applyNumberFormat="1" applyFont="1" applyAlignment="1" applyProtection="1">
      <alignment horizontal="left"/>
      <protection locked="0"/>
    </xf>
    <xf numFmtId="173" fontId="2" fillId="0" borderId="0" xfId="0" applyNumberFormat="1" applyFont="1" applyAlignment="1" applyProtection="1">
      <alignment horizontal="left"/>
    </xf>
    <xf numFmtId="173" fontId="5" fillId="0" borderId="0" xfId="0" applyNumberFormat="1" applyFont="1" applyAlignment="1" applyProtection="1">
      <alignment horizontal="left"/>
      <protection locked="0"/>
    </xf>
    <xf numFmtId="37" fontId="2" fillId="0" borderId="1" xfId="0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codeName="Sheet1"/>
  <dimension ref="A1:O99"/>
  <sheetViews>
    <sheetView showGridLines="0" tabSelected="1" workbookViewId="0"/>
  </sheetViews>
  <sheetFormatPr defaultColWidth="11.75" defaultRowHeight="12.5" x14ac:dyDescent="0.25"/>
  <cols>
    <col min="1" max="1" width="29.5" customWidth="1"/>
    <col min="2" max="2" width="13.33203125" customWidth="1"/>
    <col min="5" max="5" width="14.58203125" customWidth="1"/>
    <col min="8" max="8" width="17.75" customWidth="1"/>
    <col min="10" max="10" width="12.83203125" customWidth="1"/>
    <col min="11" max="11" width="12" bestFit="1" customWidth="1"/>
  </cols>
  <sheetData>
    <row r="1" spans="1:15" x14ac:dyDescent="0.25">
      <c r="A1" s="7" t="s">
        <v>0</v>
      </c>
      <c r="O1" s="2">
        <v>4</v>
      </c>
    </row>
    <row r="2" spans="1:15" x14ac:dyDescent="0.25">
      <c r="A2" s="14" t="s">
        <v>97</v>
      </c>
      <c r="C2" s="3"/>
      <c r="D2" s="3"/>
    </row>
    <row r="4" spans="1:15" x14ac:dyDescent="0.25">
      <c r="A4" s="7" t="s">
        <v>1</v>
      </c>
      <c r="C4" s="3"/>
    </row>
    <row r="5" spans="1:15" x14ac:dyDescent="0.25">
      <c r="A5" s="15" t="s">
        <v>102</v>
      </c>
    </row>
    <row r="6" spans="1:15" x14ac:dyDescent="0.25">
      <c r="A6" s="15" t="s">
        <v>138</v>
      </c>
    </row>
    <row r="7" spans="1:15" x14ac:dyDescent="0.25">
      <c r="A7" s="15" t="s">
        <v>139</v>
      </c>
    </row>
    <row r="8" spans="1:15" x14ac:dyDescent="0.25">
      <c r="A8" s="1" t="s">
        <v>2</v>
      </c>
    </row>
    <row r="9" spans="1:15" x14ac:dyDescent="0.25">
      <c r="A9" s="1" t="s">
        <v>3</v>
      </c>
    </row>
    <row r="10" spans="1:15" x14ac:dyDescent="0.25">
      <c r="A10" s="15" t="s">
        <v>69</v>
      </c>
    </row>
    <row r="11" spans="1:15" x14ac:dyDescent="0.25">
      <c r="A11" s="15" t="s">
        <v>70</v>
      </c>
    </row>
    <row r="13" spans="1:15" s="9" customFormat="1" x14ac:dyDescent="0.25">
      <c r="A13" s="20" t="s">
        <v>86</v>
      </c>
      <c r="B13" s="36" t="s">
        <v>85</v>
      </c>
      <c r="C13" s="36" t="s">
        <v>85</v>
      </c>
      <c r="D13" s="36" t="s">
        <v>85</v>
      </c>
    </row>
    <row r="14" spans="1:15" s="9" customFormat="1" x14ac:dyDescent="0.25">
      <c r="B14" s="21" t="s">
        <v>88</v>
      </c>
      <c r="C14" s="21"/>
      <c r="D14" s="21"/>
    </row>
    <row r="15" spans="1:15" x14ac:dyDescent="0.25">
      <c r="A15" s="20" t="s">
        <v>84</v>
      </c>
      <c r="B15" s="36" t="s">
        <v>85</v>
      </c>
    </row>
    <row r="16" spans="1:15" x14ac:dyDescent="0.25">
      <c r="A16" s="20" t="s">
        <v>87</v>
      </c>
      <c r="B16" s="36" t="s">
        <v>85</v>
      </c>
      <c r="C16" s="9"/>
      <c r="D16" s="9"/>
      <c r="E16" s="9"/>
    </row>
    <row r="17" spans="1:12" x14ac:dyDescent="0.25">
      <c r="B17" s="37"/>
      <c r="C17" s="9"/>
      <c r="D17" s="9"/>
      <c r="E17" s="9"/>
    </row>
    <row r="18" spans="1:12" x14ac:dyDescent="0.25">
      <c r="A18" s="9"/>
      <c r="B18" s="8" t="s">
        <v>5</v>
      </c>
      <c r="C18" s="36"/>
      <c r="D18" s="7" t="s">
        <v>90</v>
      </c>
      <c r="E18" s="9"/>
    </row>
    <row r="19" spans="1:12" x14ac:dyDescent="0.25">
      <c r="A19" s="9"/>
      <c r="B19" s="7" t="s">
        <v>89</v>
      </c>
      <c r="C19" s="9"/>
      <c r="D19" s="9"/>
      <c r="E19" s="9"/>
      <c r="H19" s="7" t="s">
        <v>103</v>
      </c>
    </row>
    <row r="20" spans="1:12" x14ac:dyDescent="0.25">
      <c r="A20" s="9"/>
      <c r="B20" s="7" t="s">
        <v>6</v>
      </c>
      <c r="C20" s="9"/>
      <c r="D20" s="37" t="s">
        <v>7</v>
      </c>
      <c r="E20" s="9"/>
    </row>
    <row r="21" spans="1:12" x14ac:dyDescent="0.25">
      <c r="A21" s="9"/>
      <c r="B21" s="9"/>
      <c r="C21" s="9"/>
      <c r="D21" s="9"/>
      <c r="E21" s="9"/>
      <c r="J21" s="7" t="s">
        <v>8</v>
      </c>
      <c r="K21" s="7" t="s">
        <v>9</v>
      </c>
    </row>
    <row r="22" spans="1:12" x14ac:dyDescent="0.25">
      <c r="A22" s="9"/>
      <c r="B22" s="7" t="s">
        <v>10</v>
      </c>
      <c r="C22" s="49" t="s">
        <v>99</v>
      </c>
      <c r="D22" s="49"/>
      <c r="E22" s="30" t="s">
        <v>98</v>
      </c>
      <c r="J22" s="7" t="s">
        <v>11</v>
      </c>
      <c r="K22" s="7" t="s">
        <v>12</v>
      </c>
    </row>
    <row r="23" spans="1:12" x14ac:dyDescent="0.25">
      <c r="A23" s="9"/>
      <c r="B23" s="22" t="s">
        <v>13</v>
      </c>
      <c r="C23" s="22" t="s">
        <v>14</v>
      </c>
      <c r="D23" s="22" t="s">
        <v>15</v>
      </c>
      <c r="E23" s="22" t="s">
        <v>16</v>
      </c>
      <c r="J23" s="7" t="s">
        <v>17</v>
      </c>
      <c r="K23" s="7" t="s">
        <v>17</v>
      </c>
    </row>
    <row r="24" spans="1:12" x14ac:dyDescent="0.25">
      <c r="A24" s="7" t="s">
        <v>77</v>
      </c>
      <c r="D24" s="5"/>
      <c r="H24" s="7" t="s">
        <v>18</v>
      </c>
    </row>
    <row r="25" spans="1:12" x14ac:dyDescent="0.25">
      <c r="A25" s="44" t="s">
        <v>106</v>
      </c>
      <c r="B25" s="24"/>
      <c r="C25" s="3"/>
      <c r="D25" s="5">
        <f>IF(C25=C71,D71,IF(C25=C72,D72,IF(C25=C73,D73,0)))</f>
        <v>0</v>
      </c>
      <c r="E25" s="25">
        <f>($B25*$D25)</f>
        <v>0</v>
      </c>
      <c r="H25" s="1" t="s">
        <v>19</v>
      </c>
      <c r="J25" s="24">
        <v>10000000</v>
      </c>
      <c r="K25" s="24">
        <v>4000000</v>
      </c>
      <c r="L25" s="3"/>
    </row>
    <row r="26" spans="1:12" x14ac:dyDescent="0.25">
      <c r="A26" s="1" t="s">
        <v>20</v>
      </c>
      <c r="B26" s="3"/>
      <c r="C26" s="3"/>
      <c r="H26" s="1" t="s">
        <v>21</v>
      </c>
      <c r="J26" s="3"/>
      <c r="K26" s="3"/>
    </row>
    <row r="27" spans="1:12" x14ac:dyDescent="0.25">
      <c r="A27" s="44" t="s">
        <v>107</v>
      </c>
      <c r="B27" s="3"/>
      <c r="C27" s="3"/>
      <c r="D27" s="5">
        <f>IF(C27=C71,D71,IF(C27=C72,D72,IF(C27=C73,D73,0)))</f>
        <v>0</v>
      </c>
      <c r="E27" s="2">
        <f>($B27*$D27)</f>
        <v>0</v>
      </c>
      <c r="H27" s="1" t="s">
        <v>22</v>
      </c>
      <c r="J27" s="3">
        <v>-1500000</v>
      </c>
      <c r="K27" s="3">
        <v>-800000</v>
      </c>
    </row>
    <row r="28" spans="1:12" x14ac:dyDescent="0.25">
      <c r="A28" s="44" t="s">
        <v>108</v>
      </c>
      <c r="B28" s="3"/>
      <c r="C28" s="3"/>
      <c r="D28" s="5">
        <f>IF(C28=C71,D71,IF(C28=C72,D72,IF(C28=C73,D73,0)))</f>
        <v>0</v>
      </c>
      <c r="E28" s="29">
        <f>($B28*$D28)</f>
        <v>0</v>
      </c>
      <c r="H28" s="1" t="s">
        <v>23</v>
      </c>
      <c r="J28" s="3">
        <v>-6000000</v>
      </c>
      <c r="K28" s="3">
        <v>-3200000</v>
      </c>
    </row>
    <row r="29" spans="1:12" x14ac:dyDescent="0.25">
      <c r="A29" s="44" t="s">
        <v>109</v>
      </c>
      <c r="B29" s="24"/>
      <c r="C29" s="3"/>
      <c r="D29" s="5"/>
      <c r="E29" s="25">
        <f>($B29*$D29)</f>
        <v>0</v>
      </c>
      <c r="H29" s="1" t="s">
        <v>24</v>
      </c>
      <c r="J29" s="24">
        <v>2000000</v>
      </c>
      <c r="K29" s="24">
        <v>900000</v>
      </c>
    </row>
    <row r="30" spans="1:12" x14ac:dyDescent="0.25">
      <c r="A30" s="44" t="s">
        <v>105</v>
      </c>
      <c r="B30" s="2">
        <f>SUM(B27:B29)</f>
        <v>0</v>
      </c>
      <c r="C30" s="3"/>
      <c r="D30" s="5"/>
      <c r="E30" s="29">
        <f>SUM(E27:E29)</f>
        <v>0</v>
      </c>
      <c r="H30" s="1" t="s">
        <v>25</v>
      </c>
      <c r="J30" s="2">
        <f>SUM(J27:J29)</f>
        <v>-5500000</v>
      </c>
      <c r="K30" s="2">
        <f>SUM(K27:K29)</f>
        <v>-3100000</v>
      </c>
      <c r="L30" s="3"/>
    </row>
    <row r="31" spans="1:12" x14ac:dyDescent="0.25">
      <c r="A31" s="44" t="s">
        <v>110</v>
      </c>
      <c r="B31" s="3"/>
      <c r="C31" s="3"/>
      <c r="D31" s="5">
        <f>IF(C31=C71,D71,IF(C31=C72,D72,IF(C31=C73,D73,0)))</f>
        <v>0</v>
      </c>
      <c r="E31" s="2">
        <f>(B31*D31)</f>
        <v>0</v>
      </c>
      <c r="H31" s="1" t="s">
        <v>26</v>
      </c>
      <c r="I31" s="3"/>
      <c r="J31" s="3">
        <v>-200000</v>
      </c>
      <c r="K31" s="3">
        <v>-50000</v>
      </c>
      <c r="L31" s="3"/>
    </row>
    <row r="32" spans="1:12" x14ac:dyDescent="0.25">
      <c r="A32" s="48" t="s">
        <v>45</v>
      </c>
      <c r="B32" s="3"/>
      <c r="C32" s="3"/>
      <c r="D32" s="5">
        <f>IF(C32=C71,D71,IF(C32=C72,D72,IF(C32=C73,D73,0)))</f>
        <v>0</v>
      </c>
      <c r="E32" s="2">
        <f>(B32*D32)</f>
        <v>0</v>
      </c>
      <c r="H32" s="4" t="s">
        <v>45</v>
      </c>
      <c r="I32" s="3"/>
      <c r="J32" s="3"/>
      <c r="K32" s="3"/>
      <c r="L32" s="3"/>
    </row>
    <row r="33" spans="1:12" x14ac:dyDescent="0.25">
      <c r="A33" s="44" t="s">
        <v>111</v>
      </c>
      <c r="B33" s="24"/>
      <c r="C33" s="3"/>
      <c r="D33" s="5">
        <f>IF(C33=C71,D71,IF(C33=C72,D72,IF(C33=C73,D73,0)))</f>
        <v>0</v>
      </c>
      <c r="E33" s="25">
        <f>(B33*D33)</f>
        <v>0</v>
      </c>
      <c r="H33" s="1" t="s">
        <v>27</v>
      </c>
      <c r="I33" s="3"/>
      <c r="J33" s="24">
        <v>-3300000</v>
      </c>
      <c r="K33" s="24">
        <v>-450000</v>
      </c>
      <c r="L33" s="43"/>
    </row>
    <row r="34" spans="1:12" s="9" customFormat="1" x14ac:dyDescent="0.25">
      <c r="A34" s="47" t="s">
        <v>135</v>
      </c>
      <c r="B34" s="11">
        <f>SUM(B30:B33)+B25</f>
        <v>0</v>
      </c>
      <c r="C34" s="10"/>
      <c r="D34" s="13"/>
      <c r="E34" s="11">
        <f>SUM(E30:E33)+E25</f>
        <v>0</v>
      </c>
      <c r="H34" s="7" t="s">
        <v>28</v>
      </c>
      <c r="J34" s="11">
        <f>SUM(J30:J33)+J25</f>
        <v>1000000</v>
      </c>
      <c r="K34" s="11">
        <f>SUM(K30:K33)+K25</f>
        <v>400000</v>
      </c>
    </row>
    <row r="35" spans="1:12" x14ac:dyDescent="0.25">
      <c r="A35" s="44" t="s">
        <v>112</v>
      </c>
      <c r="B35" s="24"/>
      <c r="C35" s="3"/>
      <c r="D35" s="5">
        <f>IF(C35=C71,D71,IF(C35=C72,D72,IF(C35=C73,D73,0)))</f>
        <v>0</v>
      </c>
      <c r="E35" s="25">
        <f>(B35*D35)</f>
        <v>0</v>
      </c>
      <c r="H35" s="1" t="s">
        <v>29</v>
      </c>
      <c r="I35" s="3"/>
      <c r="J35" s="24">
        <v>-400000</v>
      </c>
      <c r="K35" s="24">
        <v>-100000</v>
      </c>
      <c r="L35" s="3"/>
    </row>
    <row r="36" spans="1:12" s="9" customFormat="1" ht="13" thickBot="1" x14ac:dyDescent="0.3">
      <c r="A36" s="47" t="s">
        <v>136</v>
      </c>
      <c r="B36" s="11">
        <f>(B34+B35)</f>
        <v>0</v>
      </c>
      <c r="C36" s="10"/>
      <c r="D36" s="13"/>
      <c r="E36" s="11">
        <f>(E34+E35)</f>
        <v>0</v>
      </c>
      <c r="H36" s="7" t="s">
        <v>30</v>
      </c>
      <c r="J36" s="42">
        <f>(J34+J35)</f>
        <v>600000</v>
      </c>
      <c r="K36" s="42">
        <f>(K34+K35)</f>
        <v>300000</v>
      </c>
    </row>
    <row r="37" spans="1:12" ht="13" thickTop="1" x14ac:dyDescent="0.25">
      <c r="A37" s="44" t="s">
        <v>137</v>
      </c>
      <c r="B37" s="26"/>
      <c r="C37" s="3"/>
      <c r="E37" s="24"/>
      <c r="J37" s="1"/>
      <c r="K37" s="1"/>
    </row>
    <row r="38" spans="1:12" ht="13" thickBot="1" x14ac:dyDescent="0.3">
      <c r="A38" s="47" t="s">
        <v>113</v>
      </c>
      <c r="B38" s="28">
        <f>(B36+B37)</f>
        <v>0</v>
      </c>
      <c r="C38" s="10"/>
      <c r="D38" s="9"/>
      <c r="E38" s="28">
        <f>(E36+E37)</f>
        <v>0</v>
      </c>
    </row>
    <row r="39" spans="1:12" ht="13" thickTop="1" x14ac:dyDescent="0.25">
      <c r="A39" s="9"/>
      <c r="B39" s="7"/>
      <c r="C39" s="10"/>
      <c r="D39" s="9"/>
      <c r="E39" s="7"/>
    </row>
    <row r="40" spans="1:12" x14ac:dyDescent="0.25">
      <c r="A40" s="7" t="s">
        <v>31</v>
      </c>
      <c r="C40" s="3"/>
      <c r="H40" s="7" t="s">
        <v>31</v>
      </c>
    </row>
    <row r="41" spans="1:12" s="9" customFormat="1" x14ac:dyDescent="0.25">
      <c r="A41" s="47" t="s">
        <v>114</v>
      </c>
      <c r="B41" s="10"/>
      <c r="C41" s="10"/>
      <c r="D41" s="10"/>
      <c r="E41" s="10"/>
      <c r="H41" s="7" t="s">
        <v>32</v>
      </c>
      <c r="J41" s="10" t="s">
        <v>79</v>
      </c>
      <c r="K41" s="10" t="s">
        <v>79</v>
      </c>
    </row>
    <row r="42" spans="1:12" x14ac:dyDescent="0.25">
      <c r="A42" s="44" t="s">
        <v>115</v>
      </c>
      <c r="B42" s="2">
        <f>(B38)</f>
        <v>0</v>
      </c>
      <c r="C42" s="3"/>
      <c r="E42" s="2">
        <f>(E38)</f>
        <v>0</v>
      </c>
      <c r="H42" s="1" t="s">
        <v>33</v>
      </c>
      <c r="J42" s="16">
        <f>J36</f>
        <v>600000</v>
      </c>
      <c r="K42" s="16">
        <f>K36</f>
        <v>300000</v>
      </c>
    </row>
    <row r="43" spans="1:12" x14ac:dyDescent="0.25">
      <c r="A43" s="44" t="s">
        <v>116</v>
      </c>
      <c r="B43" s="3"/>
      <c r="C43" s="3"/>
      <c r="D43" s="6"/>
      <c r="E43" s="25">
        <f>(B43*D43)</f>
        <v>0</v>
      </c>
      <c r="H43" s="1" t="s">
        <v>34</v>
      </c>
      <c r="J43" s="3">
        <v>0</v>
      </c>
      <c r="K43" s="3">
        <v>-200000</v>
      </c>
    </row>
    <row r="44" spans="1:12" ht="13" thickBot="1" x14ac:dyDescent="0.3">
      <c r="A44" s="47" t="s">
        <v>117</v>
      </c>
      <c r="B44" s="28">
        <f>SUM(B41:B43)</f>
        <v>0</v>
      </c>
      <c r="C44" s="10"/>
      <c r="D44" s="9"/>
      <c r="E44" s="28">
        <f>SUM(E41:E43)</f>
        <v>0</v>
      </c>
      <c r="H44" s="7" t="s">
        <v>35</v>
      </c>
      <c r="J44" s="28">
        <f>SUM(J41:J43)</f>
        <v>600000</v>
      </c>
      <c r="K44" s="28">
        <f>SUM(K41:K43)</f>
        <v>100000</v>
      </c>
    </row>
    <row r="45" spans="1:12" ht="13" thickTop="1" x14ac:dyDescent="0.25">
      <c r="A45" s="9"/>
      <c r="B45" s="7"/>
      <c r="C45" s="10"/>
      <c r="D45" s="9"/>
      <c r="E45" s="12"/>
      <c r="H45" s="9"/>
      <c r="J45" s="7"/>
      <c r="K45" s="7"/>
    </row>
    <row r="46" spans="1:12" x14ac:dyDescent="0.25">
      <c r="A46" s="7" t="s">
        <v>76</v>
      </c>
      <c r="C46" s="3"/>
      <c r="H46" s="7" t="s">
        <v>36</v>
      </c>
    </row>
    <row r="47" spans="1:12" x14ac:dyDescent="0.25">
      <c r="A47" s="44" t="s">
        <v>118</v>
      </c>
      <c r="B47" s="3"/>
      <c r="C47" s="3"/>
      <c r="D47" s="5">
        <f>IF(C47=C71,D71,IF(C47=C72,D72,IF(C47=C73,D73,0)))</f>
        <v>0</v>
      </c>
      <c r="E47" s="2">
        <f>(B47*D47)</f>
        <v>0</v>
      </c>
      <c r="H47" s="1" t="s">
        <v>37</v>
      </c>
      <c r="I47" s="3"/>
      <c r="J47" s="3">
        <v>300000</v>
      </c>
      <c r="K47" s="3">
        <v>200000</v>
      </c>
      <c r="L47" s="3"/>
    </row>
    <row r="48" spans="1:12" x14ac:dyDescent="0.25">
      <c r="A48" s="44" t="s">
        <v>119</v>
      </c>
      <c r="B48" s="3"/>
      <c r="C48" s="3"/>
      <c r="D48" s="5">
        <f>IF(C48=C71,D71,IF(C48=C72,D72,IF(C48=C73,D73,0)))</f>
        <v>0</v>
      </c>
      <c r="E48" s="2">
        <f>(B48*D48)</f>
        <v>0</v>
      </c>
      <c r="H48" s="1" t="s">
        <v>38</v>
      </c>
      <c r="I48" s="3"/>
      <c r="J48" s="3">
        <v>1000000</v>
      </c>
      <c r="K48" s="3">
        <v>450000</v>
      </c>
      <c r="L48" s="3"/>
    </row>
    <row r="49" spans="1:12" x14ac:dyDescent="0.25">
      <c r="A49" s="44" t="s">
        <v>120</v>
      </c>
      <c r="B49" s="3"/>
      <c r="C49" s="3"/>
      <c r="D49" s="5">
        <f>IF(C49=C71,D71,IF(C49=C72,D72,IF(C49=C73,D73,0)))</f>
        <v>0</v>
      </c>
      <c r="E49" s="2">
        <f>(B49*D49)</f>
        <v>0</v>
      </c>
      <c r="H49" s="1" t="s">
        <v>39</v>
      </c>
      <c r="J49" s="3"/>
      <c r="K49" s="3"/>
    </row>
    <row r="50" spans="1:12" x14ac:dyDescent="0.25">
      <c r="A50" s="1" t="s">
        <v>40</v>
      </c>
      <c r="B50" s="3"/>
      <c r="C50" s="3"/>
      <c r="D50" s="5"/>
      <c r="H50" s="1" t="s">
        <v>40</v>
      </c>
      <c r="J50" s="3"/>
      <c r="K50" s="3"/>
      <c r="L50" s="3"/>
    </row>
    <row r="51" spans="1:12" x14ac:dyDescent="0.25">
      <c r="A51" s="44" t="s">
        <v>121</v>
      </c>
      <c r="B51" s="3"/>
      <c r="C51" s="3"/>
      <c r="D51" s="5">
        <f>IF(C51=C71,D71,IF(C51=C72,D72,IF(C51=C73,D73,0)))</f>
        <v>0</v>
      </c>
      <c r="E51" s="2">
        <f t="shared" ref="E51:E57" si="0">(B51*D51)</f>
        <v>0</v>
      </c>
      <c r="H51" s="1" t="s">
        <v>41</v>
      </c>
      <c r="I51" s="3"/>
      <c r="J51" s="3">
        <v>2000000</v>
      </c>
      <c r="K51" s="3">
        <v>900000</v>
      </c>
      <c r="L51" s="3"/>
    </row>
    <row r="52" spans="1:12" x14ac:dyDescent="0.25">
      <c r="A52" s="44" t="s">
        <v>122</v>
      </c>
      <c r="B52" s="3"/>
      <c r="C52" s="3"/>
      <c r="D52" s="5">
        <f>IF(C52=C71,D71,IF(C52=C72,D72,IF(C52=C73,D73,0)))</f>
        <v>0</v>
      </c>
      <c r="E52" s="2">
        <f t="shared" si="0"/>
        <v>0</v>
      </c>
      <c r="H52" s="1" t="s">
        <v>42</v>
      </c>
      <c r="I52" s="3"/>
      <c r="J52" s="3"/>
      <c r="K52" s="3"/>
      <c r="L52" s="3"/>
    </row>
    <row r="53" spans="1:12" x14ac:dyDescent="0.25">
      <c r="A53" s="44" t="s">
        <v>123</v>
      </c>
      <c r="B53" s="3"/>
      <c r="C53" s="3"/>
      <c r="D53" s="5">
        <f>IF(C53=C71,D71,IF(C53=C72,D72,IF(C53=C73,D73,0)))</f>
        <v>0</v>
      </c>
      <c r="E53" s="2">
        <f t="shared" si="0"/>
        <v>0</v>
      </c>
      <c r="H53" s="1" t="s">
        <v>43</v>
      </c>
      <c r="I53" s="3"/>
      <c r="J53" s="3">
        <v>1000000</v>
      </c>
      <c r="K53" s="3">
        <v>300000</v>
      </c>
      <c r="L53" s="3"/>
    </row>
    <row r="54" spans="1:12" x14ac:dyDescent="0.25">
      <c r="A54" s="45" t="s">
        <v>124</v>
      </c>
      <c r="B54" s="3"/>
      <c r="C54" s="3"/>
      <c r="D54" s="5">
        <f>IF(C54=C71,D71,IF(C54=C72,D72,IF(C54=C73,D73,0)))</f>
        <v>0</v>
      </c>
      <c r="E54" s="2">
        <f t="shared" si="0"/>
        <v>0</v>
      </c>
      <c r="H54" s="1" t="s">
        <v>44</v>
      </c>
      <c r="I54" s="3"/>
      <c r="J54" s="3">
        <v>5200000</v>
      </c>
      <c r="K54" s="3">
        <v>1100000</v>
      </c>
      <c r="L54" s="3"/>
    </row>
    <row r="55" spans="1:12" x14ac:dyDescent="0.25">
      <c r="A55" s="48" t="s">
        <v>45</v>
      </c>
      <c r="B55" s="3"/>
      <c r="C55" s="3"/>
      <c r="D55" s="5">
        <f>IF(C55=C71,D71,IF(C55=C72,D72,IF(C55=C73,D73,0)))</f>
        <v>0</v>
      </c>
      <c r="E55" s="2">
        <f t="shared" si="0"/>
        <v>0</v>
      </c>
      <c r="H55" s="4" t="s">
        <v>45</v>
      </c>
      <c r="J55" s="3"/>
      <c r="K55" s="3"/>
    </row>
    <row r="56" spans="1:12" x14ac:dyDescent="0.25">
      <c r="A56" s="44" t="s">
        <v>125</v>
      </c>
      <c r="B56" s="3"/>
      <c r="C56" s="3"/>
      <c r="D56" s="5">
        <f>IF(C56=C71,D71,IF(C56=C72,D72,IF(C56=C73,D73,0)))</f>
        <v>0</v>
      </c>
      <c r="E56" s="2">
        <f t="shared" si="0"/>
        <v>0</v>
      </c>
      <c r="H56" s="1" t="s">
        <v>46</v>
      </c>
      <c r="J56" s="3">
        <v>-500000</v>
      </c>
      <c r="K56" s="3">
        <v>-250000</v>
      </c>
    </row>
    <row r="57" spans="1:12" x14ac:dyDescent="0.25">
      <c r="A57" s="48" t="s">
        <v>45</v>
      </c>
      <c r="B57" s="3"/>
      <c r="C57" s="3"/>
      <c r="D57" s="5">
        <f>IF(C57=C71,D71,IF(C57=C72,D72,IF(C57=C73,D73,0)))</f>
        <v>0</v>
      </c>
      <c r="E57" s="29">
        <f t="shared" si="0"/>
        <v>0</v>
      </c>
      <c r="H57" s="4" t="s">
        <v>45</v>
      </c>
      <c r="I57" s="3"/>
      <c r="J57" s="3"/>
      <c r="K57" s="3"/>
      <c r="L57" s="3"/>
    </row>
    <row r="58" spans="1:12" ht="13" thickBot="1" x14ac:dyDescent="0.3">
      <c r="A58" s="47" t="s">
        <v>126</v>
      </c>
      <c r="B58" s="28">
        <f>SUM(B47:B57)</f>
        <v>0</v>
      </c>
      <c r="C58" s="10"/>
      <c r="D58" s="13"/>
      <c r="E58" s="28">
        <f>SUM(E47:E57)</f>
        <v>0</v>
      </c>
      <c r="H58" s="1" t="s">
        <v>47</v>
      </c>
      <c r="J58" s="38">
        <f>SUM(J47:J57)</f>
        <v>9000000</v>
      </c>
      <c r="K58" s="38">
        <f>SUM(K47:K57)</f>
        <v>2700000</v>
      </c>
    </row>
    <row r="59" spans="1:12" ht="13" thickTop="1" x14ac:dyDescent="0.25">
      <c r="A59" s="9"/>
      <c r="B59" s="7"/>
      <c r="C59" s="10"/>
      <c r="D59" s="13"/>
      <c r="E59" s="7"/>
      <c r="J59" s="1"/>
      <c r="K59" s="1"/>
    </row>
    <row r="60" spans="1:12" x14ac:dyDescent="0.25">
      <c r="A60" s="44" t="s">
        <v>127</v>
      </c>
      <c r="B60" s="3"/>
      <c r="C60" s="3"/>
      <c r="D60" s="5">
        <f>IF(C60=C71,D71,IF(C60=C72,D72,IF(C60=C73,D73,0)))</f>
        <v>0</v>
      </c>
      <c r="E60" s="2">
        <f>(B60*D60)</f>
        <v>0</v>
      </c>
      <c r="H60" s="1" t="s">
        <v>48</v>
      </c>
      <c r="I60" s="3"/>
      <c r="J60" s="3">
        <v>2500000</v>
      </c>
      <c r="K60" s="3">
        <v>700000</v>
      </c>
      <c r="L60" s="3"/>
    </row>
    <row r="61" spans="1:12" x14ac:dyDescent="0.25">
      <c r="A61" s="45" t="s">
        <v>128</v>
      </c>
      <c r="B61" s="3"/>
      <c r="C61" s="3"/>
      <c r="D61" s="5">
        <f>IF(C61=C71,D71,IF(C61=C72,D72,IF(C61=C73,D73,0)))</f>
        <v>0</v>
      </c>
      <c r="E61" s="2">
        <f>(B61*D61)</f>
        <v>0</v>
      </c>
      <c r="H61" s="41" t="s">
        <v>104</v>
      </c>
      <c r="I61" s="3"/>
      <c r="J61" s="3">
        <v>200000</v>
      </c>
      <c r="K61" s="3">
        <v>100000</v>
      </c>
      <c r="L61" s="3"/>
    </row>
    <row r="62" spans="1:12" x14ac:dyDescent="0.25">
      <c r="A62" s="46" t="s">
        <v>45</v>
      </c>
      <c r="B62" s="3"/>
      <c r="C62" s="3"/>
      <c r="D62" s="5">
        <f>IF(C62=C71,D71,IF(C62=C72,D72,IF(C62=C73,D73,0)))</f>
        <v>0</v>
      </c>
      <c r="E62" s="2">
        <f>(B62*D62)</f>
        <v>0</v>
      </c>
      <c r="H62" s="4" t="s">
        <v>45</v>
      </c>
      <c r="J62" s="3"/>
      <c r="K62" s="3">
        <v>500000</v>
      </c>
      <c r="L62" s="3"/>
    </row>
    <row r="63" spans="1:12" x14ac:dyDescent="0.25">
      <c r="A63" s="44" t="s">
        <v>129</v>
      </c>
      <c r="B63" s="3"/>
      <c r="C63" s="3"/>
      <c r="D63" s="5">
        <f>IF(C63=C71,D71,IF(C63=C72,D72,IF(C63=C73,D73,0)))</f>
        <v>0</v>
      </c>
      <c r="E63" s="2">
        <f>(B63*D63)</f>
        <v>0</v>
      </c>
      <c r="H63" s="1" t="s">
        <v>49</v>
      </c>
      <c r="I63" s="3"/>
      <c r="J63" s="3">
        <v>2800000</v>
      </c>
      <c r="K63" s="3">
        <v>600000</v>
      </c>
      <c r="L63" s="3"/>
    </row>
    <row r="64" spans="1:12" x14ac:dyDescent="0.25">
      <c r="A64" s="47" t="s">
        <v>130</v>
      </c>
      <c r="B64" s="27">
        <f>SUM(B60:B63)</f>
        <v>0</v>
      </c>
      <c r="C64" s="10"/>
      <c r="D64" s="13"/>
      <c r="E64" s="27">
        <f>SUM(E60:E63)</f>
        <v>0</v>
      </c>
      <c r="H64" s="1" t="s">
        <v>50</v>
      </c>
      <c r="J64" s="39">
        <f>SUM(J60:J63)</f>
        <v>5500000</v>
      </c>
      <c r="K64" s="39">
        <f>SUM(K60:K63)</f>
        <v>1900000</v>
      </c>
    </row>
    <row r="65" spans="1:12" x14ac:dyDescent="0.25">
      <c r="A65" s="44" t="s">
        <v>131</v>
      </c>
      <c r="B65" s="3"/>
      <c r="C65" s="3"/>
      <c r="D65" s="5">
        <f>IF(C65=C71,D71,IF(C65=C72,D72,IF(C65=C73,D73,0)))</f>
        <v>0</v>
      </c>
      <c r="E65" s="2">
        <f>(B65*D65)</f>
        <v>0</v>
      </c>
      <c r="H65" s="1" t="s">
        <v>51</v>
      </c>
      <c r="I65" s="3"/>
      <c r="J65" s="3">
        <v>1500000</v>
      </c>
      <c r="K65" s="3">
        <v>100000</v>
      </c>
      <c r="L65" s="3"/>
    </row>
    <row r="66" spans="1:12" x14ac:dyDescent="0.25">
      <c r="A66" s="44" t="s">
        <v>132</v>
      </c>
      <c r="B66" s="25">
        <f>(B44)</f>
        <v>0</v>
      </c>
      <c r="C66" s="3"/>
      <c r="D66" s="5"/>
      <c r="E66" s="25">
        <f>(E44)</f>
        <v>0</v>
      </c>
      <c r="H66" s="1" t="s">
        <v>52</v>
      </c>
      <c r="J66" s="40">
        <v>2000000</v>
      </c>
      <c r="K66" s="40">
        <v>700000</v>
      </c>
      <c r="L66" s="3"/>
    </row>
    <row r="67" spans="1:12" x14ac:dyDescent="0.25">
      <c r="A67" s="47" t="s">
        <v>133</v>
      </c>
      <c r="B67" s="11">
        <f>(B65+B66)</f>
        <v>0</v>
      </c>
      <c r="C67" s="10"/>
      <c r="D67" s="13"/>
      <c r="E67" s="11">
        <f>(E65+E66)</f>
        <v>0</v>
      </c>
      <c r="H67" s="1" t="s">
        <v>53</v>
      </c>
      <c r="J67" s="2">
        <f>SUM(J65:J66)</f>
        <v>3500000</v>
      </c>
      <c r="K67" s="2">
        <f>SUM(K65:K66)</f>
        <v>800000</v>
      </c>
    </row>
    <row r="68" spans="1:12" ht="13" thickBot="1" x14ac:dyDescent="0.3">
      <c r="A68" s="47" t="s">
        <v>134</v>
      </c>
      <c r="B68" s="28">
        <f>(B64+B67)</f>
        <v>0</v>
      </c>
      <c r="C68" s="10"/>
      <c r="D68" s="13"/>
      <c r="E68" s="28">
        <f>(E64+E67)</f>
        <v>0</v>
      </c>
      <c r="H68" s="1" t="s">
        <v>54</v>
      </c>
      <c r="J68" s="38">
        <f>(J64+J67)</f>
        <v>9000000</v>
      </c>
      <c r="K68" s="38">
        <f>(K64+K67)</f>
        <v>2700000</v>
      </c>
    </row>
    <row r="69" spans="1:12" ht="13" thickTop="1" x14ac:dyDescent="0.25">
      <c r="J69" s="3"/>
      <c r="K69" s="3"/>
      <c r="L69" s="3"/>
    </row>
    <row r="70" spans="1:12" x14ac:dyDescent="0.25">
      <c r="A70" s="14" t="s">
        <v>62</v>
      </c>
      <c r="C70" s="18" t="s">
        <v>55</v>
      </c>
      <c r="D70" s="18" t="s">
        <v>81</v>
      </c>
      <c r="J70" s="3"/>
      <c r="K70" s="3"/>
      <c r="L70" s="3"/>
    </row>
    <row r="71" spans="1:12" x14ac:dyDescent="0.25">
      <c r="A71" s="1" t="s">
        <v>56</v>
      </c>
      <c r="C71" s="11">
        <v>1</v>
      </c>
      <c r="D71" s="32"/>
      <c r="J71" s="3"/>
      <c r="K71" s="3"/>
      <c r="L71" s="3"/>
    </row>
    <row r="72" spans="1:12" x14ac:dyDescent="0.25">
      <c r="A72" s="1" t="s">
        <v>57</v>
      </c>
      <c r="C72" s="11">
        <v>2</v>
      </c>
      <c r="D72" s="32"/>
      <c r="E72" s="33"/>
    </row>
    <row r="73" spans="1:12" x14ac:dyDescent="0.25">
      <c r="A73" s="1" t="s">
        <v>78</v>
      </c>
      <c r="C73" s="11">
        <v>3</v>
      </c>
      <c r="D73" s="32"/>
      <c r="E73" s="17"/>
    </row>
    <row r="74" spans="1:12" x14ac:dyDescent="0.25">
      <c r="A74" s="1" t="s">
        <v>83</v>
      </c>
      <c r="C74" s="35" t="s">
        <v>4</v>
      </c>
      <c r="D74" s="32"/>
      <c r="E74" s="19" t="s">
        <v>80</v>
      </c>
      <c r="I74" s="3"/>
      <c r="J74" s="3"/>
      <c r="K74" s="3"/>
    </row>
    <row r="75" spans="1:12" x14ac:dyDescent="0.25">
      <c r="A75" s="1" t="s">
        <v>82</v>
      </c>
      <c r="C75" s="35" t="s">
        <v>4</v>
      </c>
      <c r="D75" s="32" t="s">
        <v>4</v>
      </c>
      <c r="E75" s="19" t="s">
        <v>80</v>
      </c>
    </row>
    <row r="77" spans="1:12" x14ac:dyDescent="0.25">
      <c r="A77" s="14" t="s">
        <v>63</v>
      </c>
    </row>
    <row r="78" spans="1:12" x14ac:dyDescent="0.25">
      <c r="A78" s="14" t="s">
        <v>100</v>
      </c>
    </row>
    <row r="79" spans="1:12" x14ac:dyDescent="0.25">
      <c r="A79" s="14" t="s">
        <v>101</v>
      </c>
    </row>
    <row r="80" spans="1:12" x14ac:dyDescent="0.25">
      <c r="A80" s="7" t="s">
        <v>58</v>
      </c>
    </row>
    <row r="81" spans="1:5" x14ac:dyDescent="0.25">
      <c r="A81" s="1" t="s">
        <v>59</v>
      </c>
    </row>
    <row r="82" spans="1:5" x14ac:dyDescent="0.25">
      <c r="A82" s="1" t="s">
        <v>60</v>
      </c>
    </row>
    <row r="83" spans="1:5" x14ac:dyDescent="0.25">
      <c r="A83" s="1" t="s">
        <v>73</v>
      </c>
    </row>
    <row r="84" spans="1:5" x14ac:dyDescent="0.25">
      <c r="A84" s="1" t="s">
        <v>74</v>
      </c>
    </row>
    <row r="85" spans="1:5" x14ac:dyDescent="0.25">
      <c r="A85" s="1" t="s">
        <v>75</v>
      </c>
    </row>
    <row r="86" spans="1:5" x14ac:dyDescent="0.25">
      <c r="A86" s="1" t="s">
        <v>61</v>
      </c>
    </row>
    <row r="87" spans="1:5" x14ac:dyDescent="0.25">
      <c r="A87" s="34" t="s">
        <v>95</v>
      </c>
    </row>
    <row r="88" spans="1:5" x14ac:dyDescent="0.25">
      <c r="A88" s="1"/>
    </row>
    <row r="89" spans="1:5" s="9" customFormat="1" x14ac:dyDescent="0.25">
      <c r="A89" s="31" t="s">
        <v>91</v>
      </c>
      <c r="B89" s="23"/>
      <c r="C89" s="23" t="s">
        <v>64</v>
      </c>
      <c r="D89" s="23"/>
      <c r="E89" s="23"/>
    </row>
    <row r="90" spans="1:5" x14ac:dyDescent="0.25">
      <c r="A90" s="30" t="s">
        <v>65</v>
      </c>
      <c r="B90" t="s">
        <v>92</v>
      </c>
    </row>
    <row r="91" spans="1:5" x14ac:dyDescent="0.25">
      <c r="A91" s="30"/>
    </row>
    <row r="92" spans="1:5" x14ac:dyDescent="0.25">
      <c r="A92" s="30" t="s">
        <v>66</v>
      </c>
      <c r="B92" t="s">
        <v>93</v>
      </c>
    </row>
    <row r="93" spans="1:5" x14ac:dyDescent="0.25">
      <c r="A93" s="30"/>
    </row>
    <row r="94" spans="1:5" x14ac:dyDescent="0.25">
      <c r="A94" s="30" t="s">
        <v>67</v>
      </c>
      <c r="B94" t="s">
        <v>94</v>
      </c>
    </row>
    <row r="95" spans="1:5" x14ac:dyDescent="0.25">
      <c r="A95" s="30"/>
    </row>
    <row r="96" spans="1:5" x14ac:dyDescent="0.25">
      <c r="A96" s="30" t="s">
        <v>68</v>
      </c>
      <c r="B96" t="s">
        <v>96</v>
      </c>
    </row>
    <row r="98" spans="1:1" x14ac:dyDescent="0.25">
      <c r="A98" s="1" t="s">
        <v>72</v>
      </c>
    </row>
    <row r="99" spans="1:1" x14ac:dyDescent="0.25">
      <c r="A99" s="1" t="s">
        <v>71</v>
      </c>
    </row>
  </sheetData>
  <sheetProtection sheet="1" objects="1" scenarios="1"/>
  <mergeCells count="1">
    <mergeCell ref="C22:D22"/>
  </mergeCell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MODEL19</vt:lpstr>
      <vt:lpstr>APHOME</vt:lpstr>
      <vt:lpstr>ASSETS</vt:lpstr>
      <vt:lpstr>ASSETS1</vt:lpstr>
      <vt:lpstr>ASSETS2</vt:lpstr>
      <vt:lpstr>CODES</vt:lpstr>
      <vt:lpstr>COMMONSTOCK</vt:lpstr>
      <vt:lpstr>COMMONSTOCK1</vt:lpstr>
      <vt:lpstr>COMMONSTOCK2</vt:lpstr>
      <vt:lpstr>DE_OE</vt:lpstr>
      <vt:lpstr>DE_OE1</vt:lpstr>
      <vt:lpstr>DE_OE2</vt:lpstr>
      <vt:lpstr>DIVIDENDS</vt:lpstr>
      <vt:lpstr>DIVIDENDS1</vt:lpstr>
      <vt:lpstr>DIVIDENDS2</vt:lpstr>
      <vt:lpstr>INVENTORY_BEG</vt:lpstr>
      <vt:lpstr>INVENTORY_BEG1</vt:lpstr>
      <vt:lpstr>INVENTORY_BEG2</vt:lpstr>
      <vt:lpstr>INVENTORY_END</vt:lpstr>
      <vt:lpstr>INVENTORY_END1</vt:lpstr>
      <vt:lpstr>INVENTORY_END2</vt:lpstr>
      <vt:lpstr>LIAB</vt:lpstr>
      <vt:lpstr>LIAB.</vt:lpstr>
      <vt:lpstr>LIAB1</vt:lpstr>
      <vt:lpstr>LIAB2</vt:lpstr>
      <vt:lpstr>PURCHASES</vt:lpstr>
      <vt:lpstr>PURCHASES1</vt:lpstr>
      <vt:lpstr>PURCHASES2</vt:lpstr>
      <vt:lpstr>RATES</vt:lpstr>
      <vt:lpstr>REBOY</vt:lpstr>
      <vt:lpstr>REBOY_DOLLARS</vt:lpstr>
      <vt:lpstr>REBOY1</vt:lpstr>
      <vt:lpstr>REBOY2</vt:lpstr>
      <vt:lpstr>REMEASUREMENTGAINLOSS</vt:lpstr>
      <vt:lpstr>SALES</vt:lpstr>
      <vt:lpstr>SALES1</vt:lpstr>
      <vt:lpstr>SALES2</vt:lpstr>
      <vt:lpstr>TAXEXPENSE</vt:lpstr>
      <vt:lpstr>TAXEXPENSE1</vt:lpstr>
      <vt:lpstr>TAXEXPENSE2</vt:lpstr>
    </vt:vector>
  </TitlesOfParts>
  <Company>San Jose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of Business</dc:creator>
  <cp:lastModifiedBy>Carina Negreanu</cp:lastModifiedBy>
  <dcterms:created xsi:type="dcterms:W3CDTF">1999-09-22T00:25:19Z</dcterms:created>
  <dcterms:modified xsi:type="dcterms:W3CDTF">2020-01-27T10:25:03Z</dcterms:modified>
</cp:coreProperties>
</file>