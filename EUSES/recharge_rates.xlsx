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17C448-A2FE-456E-991D-1E99DB5BB318}" xr6:coauthVersionLast="45" xr6:coauthVersionMax="45" xr10:uidLastSave="{00000000-0000-0000-0000-000000000000}"/>
  <bookViews>
    <workbookView xWindow="2280" yWindow="2280" windowWidth="28800" windowHeight="15460"/>
  </bookViews>
  <sheets>
    <sheet name="RECHRATE" sheetId="1" r:id="rId1"/>
  </sheets>
  <definedNames>
    <definedName name="_xlnm.Print_Area" localSheetId="0">RECHRATE!$A$1:$I$109</definedName>
    <definedName name="_xlnm.Print_Titles" localSheetId="0">RECHRATE!$1:$1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2" i="1"/>
  <c r="E15" i="1"/>
  <c r="E16" i="1"/>
  <c r="E18" i="1"/>
  <c r="E20" i="1"/>
  <c r="E21" i="1"/>
  <c r="E22" i="1"/>
  <c r="E24" i="1"/>
  <c r="E35" i="1"/>
  <c r="E37" i="1"/>
  <c r="E39" i="1"/>
  <c r="E44" i="1"/>
  <c r="E47" i="1"/>
  <c r="E48" i="1"/>
  <c r="E50" i="1"/>
  <c r="E58" i="1"/>
  <c r="E59" i="1"/>
  <c r="E60" i="1"/>
  <c r="E61" i="1"/>
  <c r="E67" i="1"/>
  <c r="E68" i="1"/>
  <c r="E69" i="1"/>
  <c r="E70" i="1"/>
  <c r="E71" i="1"/>
  <c r="E74" i="1"/>
  <c r="E76" i="1"/>
  <c r="E78" i="1"/>
  <c r="E83" i="1"/>
  <c r="E84" i="1"/>
  <c r="E88" i="1"/>
  <c r="E89" i="1"/>
  <c r="E90" i="1"/>
  <c r="E91" i="1"/>
  <c r="E92" i="1"/>
  <c r="E104" i="1"/>
  <c r="E105" i="1"/>
  <c r="E106" i="1"/>
  <c r="E107" i="1"/>
</calcChain>
</file>

<file path=xl/sharedStrings.xml><?xml version="1.0" encoding="utf-8"?>
<sst xmlns="http://schemas.openxmlformats.org/spreadsheetml/2006/main" count="433" uniqueCount="275">
  <si>
    <t>Aquifer</t>
  </si>
  <si>
    <t>Reference</t>
  </si>
  <si>
    <t>Technique</t>
  </si>
  <si>
    <t>Dutton, 1990</t>
  </si>
  <si>
    <t>water budget</t>
  </si>
  <si>
    <t>51 - 102</t>
  </si>
  <si>
    <t>Dutton, 1999</t>
  </si>
  <si>
    <t>gw modeling</t>
  </si>
  <si>
    <t>Alexander and White, 1966</t>
  </si>
  <si>
    <t>Follett, 1981</t>
  </si>
  <si>
    <t>Muller and Price, 1979</t>
  </si>
  <si>
    <t>Harden, 2000</t>
  </si>
  <si>
    <t>Sandeen, 1987</t>
  </si>
  <si>
    <t>Broom and Meyers, 1966</t>
  </si>
  <si>
    <t>Sabine, San Augustine</t>
  </si>
  <si>
    <t>Anders, 1967</t>
  </si>
  <si>
    <t>Gulf Coast</t>
  </si>
  <si>
    <t>&lt; 152.4</t>
  </si>
  <si>
    <t>Noble et al., 1996</t>
  </si>
  <si>
    <t>0 - 10</t>
  </si>
  <si>
    <t>Dutton and Richter, 1990</t>
  </si>
  <si>
    <t>0.01 - 3.0</t>
  </si>
  <si>
    <t>Loskot et al., 1982</t>
  </si>
  <si>
    <t>Myers and Dale, 1967</t>
  </si>
  <si>
    <t>Jim Wells</t>
  </si>
  <si>
    <t>&lt;2.5</t>
  </si>
  <si>
    <t>Mason, 1963</t>
  </si>
  <si>
    <t>High Plains</t>
  </si>
  <si>
    <t>Brown and Signor, 1973</t>
  </si>
  <si>
    <t>Cronin, 1961</t>
  </si>
  <si>
    <t>13 - 38</t>
  </si>
  <si>
    <t>Dugan et al., 1994</t>
  </si>
  <si>
    <t>Gould, 1906</t>
  </si>
  <si>
    <t>Havens, 1966</t>
  </si>
  <si>
    <t>76 - 102</t>
  </si>
  <si>
    <t>Johnson, 1901</t>
  </si>
  <si>
    <t>Klemt, 1981</t>
  </si>
  <si>
    <t>Knowles et al., 1984</t>
  </si>
  <si>
    <t>Luckey and Becker, 1999</t>
  </si>
  <si>
    <t>Mullican et al., 1994</t>
  </si>
  <si>
    <t>Mullican et al., 1997</t>
  </si>
  <si>
    <t>Nativ, 1988</t>
  </si>
  <si>
    <t>Tritium</t>
  </si>
  <si>
    <t>60 - 100</t>
  </si>
  <si>
    <t>Scanlon and Goldsmith, 1997</t>
  </si>
  <si>
    <t>0.1 - 4</t>
  </si>
  <si>
    <t>Theis, 1937</t>
  </si>
  <si>
    <t>Wood and Osterkamp, 1984</t>
  </si>
  <si>
    <t>Wood and Sanford, 1995</t>
  </si>
  <si>
    <t>Wood et al., 1997</t>
  </si>
  <si>
    <t>Trinity</t>
  </si>
  <si>
    <t>Ashworth, 1983</t>
  </si>
  <si>
    <t>baseflow</t>
  </si>
  <si>
    <t>Kuniansky, 1989</t>
  </si>
  <si>
    <t>Kuniansky and Holligan, 1994</t>
  </si>
  <si>
    <t>Mace et al., 2000</t>
  </si>
  <si>
    <t>Reeves, 1967</t>
  </si>
  <si>
    <t>Bell, Bosque, Brown, Burnet, Callahan, Comanche, Coryell, Eastland, Erath, Falls, Hamilton, Hill, Lampasas, Limestone, McLennan, Milam, Mills, Somervell, Williamson</t>
  </si>
  <si>
    <t>Reeves, 1969</t>
  </si>
  <si>
    <t>Seymour</t>
  </si>
  <si>
    <t>Willis and Knowles, 1953</t>
  </si>
  <si>
    <t>Maderak, 1972</t>
  </si>
  <si>
    <t>Preston, 1978</t>
  </si>
  <si>
    <t>Harden and Associates, 1978</t>
  </si>
  <si>
    <t>Price, 1978</t>
  </si>
  <si>
    <t>Iglehart, 1967</t>
  </si>
  <si>
    <t>Bennett and Sayre, 1962</t>
  </si>
  <si>
    <t>Long, 1958</t>
  </si>
  <si>
    <t>Thorkildsen et al., 1989</t>
  </si>
  <si>
    <t>Winter Garden area</t>
  </si>
  <si>
    <t>Total recharge (af/yr)</t>
  </si>
  <si>
    <t>Duval, Jim Wells</t>
  </si>
  <si>
    <t>Carrizo Wilcox</t>
  </si>
  <si>
    <t>Thorkildsen and Price, 1991</t>
  </si>
  <si>
    <t>Caldwell, Bastrop, Lee, Milam, Robertson, Limestone, Freestone</t>
  </si>
  <si>
    <t>baseflow discharge</t>
  </si>
  <si>
    <t>stream loss, sw modeling, water budget</t>
  </si>
  <si>
    <t>Freestone</t>
  </si>
  <si>
    <t>Navarro</t>
  </si>
  <si>
    <t>Thompson, 1972</t>
  </si>
  <si>
    <t xml:space="preserve">Carrizo Wilcox </t>
  </si>
  <si>
    <t>Bastrop, Lee, Milam, Robertson, Halls, Falls, Limestone, Freestone, Navarro</t>
  </si>
  <si>
    <t>Sandeen, 1972</t>
  </si>
  <si>
    <t xml:space="preserve">Washington </t>
  </si>
  <si>
    <t>base flow discharge</t>
  </si>
  <si>
    <t>Polk</t>
  </si>
  <si>
    <t>Tarver, 1968</t>
  </si>
  <si>
    <t>Jasper and Evangeline</t>
  </si>
  <si>
    <t xml:space="preserve">Montgomery </t>
  </si>
  <si>
    <t>Chicot, Evangeline, Jasper</t>
  </si>
  <si>
    <t>Popkin, 1971</t>
  </si>
  <si>
    <t>Transmission capacity, artificial gradient</t>
  </si>
  <si>
    <t xml:space="preserve">Harris, Montgomery, Walker </t>
  </si>
  <si>
    <t>Ryder, 1988</t>
  </si>
  <si>
    <t>18.8 (0 - 152)</t>
  </si>
  <si>
    <t>Williamson et al., 1990</t>
  </si>
  <si>
    <t>0 - 16.8</t>
  </si>
  <si>
    <t>Alluvium</t>
  </si>
  <si>
    <t xml:space="preserve">Cenozoic Pecos </t>
  </si>
  <si>
    <t>Darcy's law</t>
  </si>
  <si>
    <t>Luckey et al., 1986</t>
  </si>
  <si>
    <t>Stovall et al., 2000</t>
  </si>
  <si>
    <t xml:space="preserve"> </t>
  </si>
  <si>
    <t>3.6 - 42.7</t>
  </si>
  <si>
    <t>Dutton et al., 2000</t>
  </si>
  <si>
    <t>Turner et al., 1960</t>
  </si>
  <si>
    <t>observation</t>
  </si>
  <si>
    <t>assumed</t>
  </si>
  <si>
    <t>Bluntzer, 1992</t>
  </si>
  <si>
    <t xml:space="preserve">Bandera, Blanco, Comal, Gillespie, Hays, Kendall, Kerr, Medina, and Travis </t>
  </si>
  <si>
    <t>Broom et al., 1965</t>
  </si>
  <si>
    <t>Camp, Franklin, Morris, Titus</t>
  </si>
  <si>
    <t>Dutton et al., 1996</t>
  </si>
  <si>
    <t>1.0 to 7.6</t>
  </si>
  <si>
    <t>Groschen, 1985</t>
  </si>
  <si>
    <t>&lt;25.4</t>
  </si>
  <si>
    <t>Shafer, 1968</t>
  </si>
  <si>
    <t>Calvert Bluff sands</t>
  </si>
  <si>
    <t>soil water budget</t>
  </si>
  <si>
    <t>Simsboro, Carrizo</t>
  </si>
  <si>
    <t>White, 1973</t>
  </si>
  <si>
    <t>Broom, 1968</t>
  </si>
  <si>
    <t>Wood</t>
  </si>
  <si>
    <t xml:space="preserve">Harrison </t>
  </si>
  <si>
    <t>Carrizo sand</t>
  </si>
  <si>
    <t>Carrizo</t>
  </si>
  <si>
    <t>Major Aquifer</t>
  </si>
  <si>
    <t xml:space="preserve">Atascosa, Frio </t>
  </si>
  <si>
    <t>undifferentiated</t>
  </si>
  <si>
    <t>Darcy's Law</t>
  </si>
  <si>
    <t>5 - 127</t>
  </si>
  <si>
    <t>Carrizo, Simsboro</t>
  </si>
  <si>
    <t xml:space="preserve">Calvert Bluff, Hooper, </t>
  </si>
  <si>
    <t>76 - 127</t>
  </si>
  <si>
    <t>Matagorda,  Wharton</t>
  </si>
  <si>
    <t>Beaumont, Chicot, Evangeline</t>
  </si>
  <si>
    <t>Evangeline</t>
  </si>
  <si>
    <t>Chicot,  Evangeline</t>
  </si>
  <si>
    <t>Brooks</t>
  </si>
  <si>
    <t xml:space="preserve">Jasper, Evangeline, Catahoula, </t>
  </si>
  <si>
    <t>Central</t>
  </si>
  <si>
    <t>Southern</t>
  </si>
  <si>
    <t>Dallas, Kaufman, Parker, Tarrant</t>
  </si>
  <si>
    <t xml:space="preserve">Kendall </t>
  </si>
  <si>
    <t>Kerr</t>
  </si>
  <si>
    <t>Carrizo, Wilcox sand</t>
  </si>
  <si>
    <t>Bell, Brown, Callahan, Comanche, Cook, Coryell, Eastland, Erath, Hamilton, Hood, Mills, Montague, Parker, Somervell, Tarrant, Wise</t>
  </si>
  <si>
    <t>HDR Engineering Inc., 2000</t>
  </si>
  <si>
    <t>Bexar</t>
  </si>
  <si>
    <t>Hooper, Simsboro, Calvert Bluff</t>
  </si>
  <si>
    <t>Opfel and Elder, 1978</t>
  </si>
  <si>
    <t>Atascosa</t>
  </si>
  <si>
    <t>neutron probe logging</t>
  </si>
  <si>
    <t>15 - 279 (irrigated)</t>
  </si>
  <si>
    <t>Nueces, San Patricio</t>
  </si>
  <si>
    <t>5.1 (1.5 - 20)</t>
  </si>
  <si>
    <t>16 - 24</t>
  </si>
  <si>
    <t>1.6 - 2.1</t>
  </si>
  <si>
    <t>Atascosa, Bexar, Dimmit, Frio, Gonzales, Guadalupe, Medina, Uvalde, Wilson, Zavala</t>
  </si>
  <si>
    <t>Cypress</t>
  </si>
  <si>
    <t>Carson, Potter</t>
  </si>
  <si>
    <t>3.2 - 17.0</t>
  </si>
  <si>
    <t>Armstrong, Carson, Donley, Gray, Hemphill, Hutchinson, Potter, Randall, Roberts, Wheeler</t>
  </si>
  <si>
    <t>Lubbock</t>
  </si>
  <si>
    <t>1.6 (0.5 - 3.2)</t>
  </si>
  <si>
    <t>41 (13 - 82)</t>
  </si>
  <si>
    <t>literature</t>
  </si>
  <si>
    <t>Lynn</t>
  </si>
  <si>
    <t>N. half of Southern</t>
  </si>
  <si>
    <t>tritium</t>
  </si>
  <si>
    <t>Chloride mass balance</t>
  </si>
  <si>
    <t xml:space="preserve">Haskell, Knox </t>
  </si>
  <si>
    <t xml:space="preserve">Hardeman  </t>
  </si>
  <si>
    <t xml:space="preserve">Baylor  </t>
  </si>
  <si>
    <t xml:space="preserve">Jones </t>
  </si>
  <si>
    <t xml:space="preserve">Kinney </t>
  </si>
  <si>
    <t xml:space="preserve">Crockett  </t>
  </si>
  <si>
    <t xml:space="preserve">Real  </t>
  </si>
  <si>
    <t xml:space="preserve">Kerr  </t>
  </si>
  <si>
    <t xml:space="preserve">2.8 - 5.1  </t>
  </si>
  <si>
    <t xml:space="preserve">0.6 - 2 </t>
  </si>
  <si>
    <t xml:space="preserve">Chicot, Evangeline </t>
  </si>
  <si>
    <t>Lea Co., New Mexico</t>
  </si>
  <si>
    <t>2.0 - 4.0</t>
  </si>
  <si>
    <t>0.2 - 5.0</t>
  </si>
  <si>
    <t>3.0 - 5.0</t>
  </si>
  <si>
    <t>&lt; 1.0</t>
  </si>
  <si>
    <t>&lt; 0.1</t>
  </si>
  <si>
    <t>0.0 - 0.4</t>
  </si>
  <si>
    <t>0.0004 - 0.12</t>
  </si>
  <si>
    <t>1.2 - 1.3</t>
  </si>
  <si>
    <t>&lt; 6.0</t>
  </si>
  <si>
    <t>0.7 (0.0 - 6.0)</t>
  </si>
  <si>
    <t>0.0 - 0.7</t>
  </si>
  <si>
    <t>0.02 - 0.08</t>
  </si>
  <si>
    <t>0.5 - 1.5</t>
  </si>
  <si>
    <t>0.1 - 1.7</t>
  </si>
  <si>
    <t>3.0 - 4.0</t>
  </si>
  <si>
    <t>0.1 - 0.2</t>
  </si>
  <si>
    <t>0.6 - 11.0</t>
  </si>
  <si>
    <t>0.2 (0.06 - 0.8)</t>
  </si>
  <si>
    <t>0.6 - 0.9</t>
  </si>
  <si>
    <t>0.06 - 0.08</t>
  </si>
  <si>
    <t>0.13 (0.1 - 1.0)</t>
  </si>
  <si>
    <t>2.4 - 3.9</t>
  </si>
  <si>
    <t>0.004 - 0.16</t>
  </si>
  <si>
    <t>2.8 (0.6 - 5.5)</t>
  </si>
  <si>
    <t>0.1 - 0.7</t>
  </si>
  <si>
    <t>0.04 - 0.3</t>
  </si>
  <si>
    <t>2.1 - 6.0</t>
  </si>
  <si>
    <t>53 - 152</t>
  </si>
  <si>
    <t>Klemt et al., 1975</t>
  </si>
  <si>
    <t>groundwater modeling</t>
  </si>
  <si>
    <t>groundwater modeling, irrigation return flow, 1960 - 1980</t>
  </si>
  <si>
    <t>10,000 - 50,000</t>
  </si>
  <si>
    <t>Bastrop, Lee,  Milam</t>
  </si>
  <si>
    <t>Location (County/Area)</t>
  </si>
  <si>
    <t>Bastrop</t>
  </si>
  <si>
    <t>Guyton &amp; Assoc. and HDR, 1998</t>
  </si>
  <si>
    <t>Klemt et al., 1976</t>
  </si>
  <si>
    <t>Rusk</t>
  </si>
  <si>
    <t>Bastrop, Lee, Fayette</t>
  </si>
  <si>
    <t>Rains, Van Zandt</t>
  </si>
  <si>
    <t>Aransas, Bee, Brooks, Calhoun, De Witt, Duval, Goliad, Hidalgo, Jackson, Jim Hogg, Jim Wells, Karnes, Kenedy, Kleberg, Lavaca, Live Oak, McMullen, Nueces, Refugio, San Patricio, Starr, Victoria, Webb, Willacy</t>
  </si>
  <si>
    <t>Hay, 1999</t>
  </si>
  <si>
    <t>Colorado, Lavaca,  Wharton</t>
  </si>
  <si>
    <t>Armstrong, Carson, Collingsworth, Donley, Gray, Hansford, Hemphill, Hutchinson, Lipscomb, Ochiltree, Potter, Roberts, Wheeler</t>
  </si>
  <si>
    <t>Central, Southern</t>
  </si>
  <si>
    <t>Dallam,  Hartley</t>
  </si>
  <si>
    <t>Sherman  Moore, Hansford, Hutchinson, Ochiltree, Lipscomb</t>
  </si>
  <si>
    <t>U.S. Bur. Reclamation, 1982</t>
  </si>
  <si>
    <t>Bandera, Bexar, Comal, Gillespie, Hays, Kendall, Kerr, Travis</t>
  </si>
  <si>
    <t xml:space="preserve">Wilbarger </t>
  </si>
  <si>
    <t>Reeves</t>
  </si>
  <si>
    <t>Ogilbee and Osborne, 1962</t>
  </si>
  <si>
    <t>estimate</t>
  </si>
  <si>
    <t>Recharge rate (mm/yr)</t>
  </si>
  <si>
    <t>Recharge rate (in/yr)</t>
  </si>
  <si>
    <t>3.3 (2.5-25.4)</t>
  </si>
  <si>
    <t>3.8 (1.5-20.3)</t>
  </si>
  <si>
    <t>0.14 (0.06 - 0.8)</t>
  </si>
  <si>
    <t>71.1 (15.2-139.7)</t>
  </si>
  <si>
    <t>Bandera, Blanco, Gillespie, Kendall, Kerr</t>
  </si>
  <si>
    <t>Kendall</t>
  </si>
  <si>
    <t>Notes</t>
  </si>
  <si>
    <t>regional</t>
  </si>
  <si>
    <t>nonirrigated</t>
  </si>
  <si>
    <t>irrigated</t>
  </si>
  <si>
    <t>sand dunes</t>
  </si>
  <si>
    <t>low permeability soils</t>
  </si>
  <si>
    <t>playa</t>
  </si>
  <si>
    <t>Blackwater Draw</t>
  </si>
  <si>
    <t>Ogallala outcrop area</t>
  </si>
  <si>
    <t>playas Blackwater Draw</t>
  </si>
  <si>
    <t>interplaya</t>
  </si>
  <si>
    <t>playa annulus</t>
  </si>
  <si>
    <t>30 - 34</t>
  </si>
  <si>
    <t>1974 - 1977</t>
  </si>
  <si>
    <t>Comfort and Spring Branch on Guadalupe   1940 - 1960</t>
  </si>
  <si>
    <t>1.5 (0.07 - 4.6)</t>
  </si>
  <si>
    <t>38.1 (1.8 in 1956; - 116.8 in 1975)</t>
  </si>
  <si>
    <t>Cross section groundwater model</t>
  </si>
  <si>
    <r>
      <t>14</t>
    </r>
    <r>
      <rPr>
        <sz val="10"/>
        <rFont val="Arial"/>
        <family val="2"/>
      </rPr>
      <t>C, Darcy's Law</t>
    </r>
  </si>
  <si>
    <t>Comfort and Spring Branch on Guadalupe, 1940 - 1997</t>
  </si>
  <si>
    <t xml:space="preserve">Edwards - </t>
  </si>
  <si>
    <t>Hueco-</t>
  </si>
  <si>
    <t xml:space="preserve">Mesilla </t>
  </si>
  <si>
    <t>Bolson</t>
  </si>
  <si>
    <t>Hueco Bolson</t>
  </si>
  <si>
    <t>Meyer, 1976</t>
  </si>
  <si>
    <t>mountaIn-front</t>
  </si>
  <si>
    <t>Leggat et al., 1962</t>
  </si>
  <si>
    <t>Frenzel et al., 1992</t>
  </si>
  <si>
    <t>Mesilla Valley</t>
  </si>
  <si>
    <t>empirical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</si>
</sst>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3">
    <xf numFmtId="0" fontId="0" fillId="0" borderId="0">
      <alignment vertical="top"/>
    </xf>
    <xf numFmtId="3" fontId="3" fillId="0" borderId="0" applyFont="0" applyFill="0" applyBorder="0" applyAlignment="0" applyProtection="0"/>
    <xf numFmtId="0" fontId="3" fillId="0" borderId="0" applyFont="0" applyFill="0" applyBorder="0" applyAlignment="0" applyProtection="0"/>
  </cellStyleXfs>
  <cellXfs count="52">
    <xf numFmtId="0" fontId="0" fillId="0" borderId="0" xfId="0" applyAlignment="1"/>
    <xf numFmtId="0" fontId="1" fillId="0" borderId="0" xfId="0" applyFont="1" applyAlignment="1"/>
    <xf numFmtId="0" fontId="1" fillId="0" borderId="0" xfId="0" applyFont="1" applyBorder="1" applyAlignment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172" fontId="1" fillId="0" borderId="0" xfId="0" applyNumberFormat="1" applyFont="1" applyFill="1" applyBorder="1" applyAlignment="1">
      <alignment horizontal="center" wrapText="1"/>
    </xf>
    <xf numFmtId="3" fontId="1" fillId="0" borderId="0" xfId="0" applyNumberFormat="1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172" fontId="1" fillId="0" borderId="0" xfId="0" applyNumberFormat="1" applyFont="1" applyBorder="1" applyAlignment="1">
      <alignment horizontal="center" wrapText="1"/>
    </xf>
    <xf numFmtId="3" fontId="1" fillId="0" borderId="0" xfId="0" applyNumberFormat="1" applyFont="1" applyBorder="1" applyAlignment="1">
      <alignment horizontal="center" wrapText="1"/>
    </xf>
    <xf numFmtId="2" fontId="1" fillId="0" borderId="0" xfId="0" applyNumberFormat="1" applyFont="1" applyBorder="1" applyAlignment="1">
      <alignment horizontal="center" wrapText="1"/>
    </xf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72" fontId="1" fillId="0" borderId="2" xfId="0" applyNumberFormat="1" applyFont="1" applyBorder="1" applyAlignment="1">
      <alignment horizontal="center" wrapText="1"/>
    </xf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wrapText="1"/>
    </xf>
    <xf numFmtId="0" fontId="1" fillId="0" borderId="5" xfId="0" applyNumberFormat="1" applyFont="1" applyFill="1" applyBorder="1" applyAlignment="1" applyProtection="1">
      <alignment wrapText="1"/>
    </xf>
    <xf numFmtId="0" fontId="1" fillId="0" borderId="6" xfId="0" applyFont="1" applyBorder="1" applyAlignment="1"/>
    <xf numFmtId="0" fontId="1" fillId="0" borderId="5" xfId="0" applyFont="1" applyFill="1" applyBorder="1" applyAlignment="1">
      <alignment wrapText="1"/>
    </xf>
    <xf numFmtId="0" fontId="1" fillId="0" borderId="7" xfId="0" applyNumberFormat="1" applyFont="1" applyFill="1" applyBorder="1" applyAlignment="1" applyProtection="1">
      <alignment wrapText="1"/>
    </xf>
    <xf numFmtId="0" fontId="1" fillId="0" borderId="8" xfId="0" applyFont="1" applyFill="1" applyBorder="1" applyAlignment="1">
      <alignment wrapText="1"/>
    </xf>
    <xf numFmtId="0" fontId="1" fillId="0" borderId="8" xfId="0" applyFont="1" applyFill="1" applyBorder="1" applyAlignment="1">
      <alignment horizontal="center" wrapText="1"/>
    </xf>
    <xf numFmtId="172" fontId="1" fillId="0" borderId="8" xfId="0" applyNumberFormat="1" applyFont="1" applyFill="1" applyBorder="1" applyAlignment="1">
      <alignment horizontal="center" wrapText="1"/>
    </xf>
    <xf numFmtId="0" fontId="1" fillId="0" borderId="8" xfId="0" applyNumberFormat="1" applyFont="1" applyFill="1" applyBorder="1" applyAlignment="1" applyProtection="1">
      <alignment wrapText="1"/>
    </xf>
    <xf numFmtId="0" fontId="1" fillId="0" borderId="9" xfId="0" applyFont="1" applyBorder="1" applyAlignment="1"/>
    <xf numFmtId="0" fontId="1" fillId="0" borderId="10" xfId="0" applyNumberFormat="1" applyFont="1" applyFill="1" applyBorder="1" applyAlignment="1" applyProtection="1">
      <alignment wrapText="1"/>
    </xf>
    <xf numFmtId="0" fontId="1" fillId="0" borderId="11" xfId="0" applyFont="1" applyFill="1" applyBorder="1" applyAlignment="1">
      <alignment wrapText="1"/>
    </xf>
    <xf numFmtId="0" fontId="1" fillId="0" borderId="11" xfId="0" applyFont="1" applyFill="1" applyBorder="1" applyAlignment="1">
      <alignment horizontal="center" wrapText="1"/>
    </xf>
    <xf numFmtId="172" fontId="1" fillId="0" borderId="11" xfId="0" applyNumberFormat="1" applyFont="1" applyFill="1" applyBorder="1" applyAlignment="1">
      <alignment horizontal="center" wrapText="1"/>
    </xf>
    <xf numFmtId="0" fontId="1" fillId="0" borderId="12" xfId="0" applyFont="1" applyBorder="1" applyAlignment="1"/>
    <xf numFmtId="0" fontId="1" fillId="0" borderId="11" xfId="0" applyNumberFormat="1" applyFont="1" applyFill="1" applyBorder="1" applyAlignment="1" applyProtection="1">
      <alignment wrapText="1"/>
    </xf>
    <xf numFmtId="0" fontId="1" fillId="0" borderId="0" xfId="0" applyFont="1" applyBorder="1" applyAlignment="1"/>
    <xf numFmtId="172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/>
    <xf numFmtId="0" fontId="1" fillId="0" borderId="6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center" wrapText="1"/>
    </xf>
    <xf numFmtId="172" fontId="1" fillId="0" borderId="11" xfId="0" applyNumberFormat="1" applyFont="1" applyBorder="1" applyAlignment="1">
      <alignment horizontal="center" wrapText="1"/>
    </xf>
    <xf numFmtId="0" fontId="1" fillId="0" borderId="11" xfId="0" applyFont="1" applyBorder="1" applyAlignment="1"/>
    <xf numFmtId="0" fontId="1" fillId="0" borderId="5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11" xfId="0" applyNumberFormat="1" applyFont="1" applyFill="1" applyBorder="1" applyAlignment="1" applyProtection="1">
      <alignment horizontal="center" wrapText="1"/>
    </xf>
    <xf numFmtId="0" fontId="1" fillId="0" borderId="6" xfId="0" applyNumberFormat="1" applyFont="1" applyFill="1" applyBorder="1" applyAlignment="1" applyProtection="1">
      <alignment horizontal="center" wrapText="1"/>
    </xf>
    <xf numFmtId="0" fontId="1" fillId="0" borderId="10" xfId="0" applyFont="1" applyBorder="1" applyAlignment="1">
      <alignment wrapText="1"/>
    </xf>
    <xf numFmtId="0" fontId="2" fillId="0" borderId="0" xfId="0" applyNumberFormat="1" applyFont="1" applyFill="1" applyBorder="1" applyAlignment="1" applyProtection="1">
      <alignment wrapText="1"/>
    </xf>
    <xf numFmtId="3" fontId="1" fillId="0" borderId="11" xfId="0" applyNumberFormat="1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3" fontId="1" fillId="0" borderId="8" xfId="0" applyNumberFormat="1" applyFont="1" applyBorder="1" applyAlignment="1">
      <alignment horizontal="center" wrapText="1"/>
    </xf>
  </cellXfs>
  <cellStyles count="3">
    <cellStyle name="Comma0" xfId="1"/>
    <cellStyle name="Currency0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986"/>
  <sheetViews>
    <sheetView tabSelected="1" zoomScale="75" zoomScaleNormal="75" workbookViewId="0">
      <pane xSplit="1" ySplit="1" topLeftCell="I2" activePane="bottomRight" state="frozenSplit"/>
      <selection pane="topRight"/>
      <selection pane="bottomLeft"/>
      <selection pane="bottomRight" activeCell="R15" sqref="R15"/>
    </sheetView>
  </sheetViews>
  <sheetFormatPr defaultColWidth="9.1796875" defaultRowHeight="12.5" x14ac:dyDescent="0.25"/>
  <cols>
    <col min="1" max="1" width="10.7265625" style="8" customWidth="1"/>
    <col min="2" max="2" width="27.1796875" style="9" customWidth="1"/>
    <col min="3" max="3" width="13.7265625" style="9" customWidth="1"/>
    <col min="4" max="4" width="10.81640625" style="2" customWidth="1"/>
    <col min="5" max="5" width="11.26953125" style="10" customWidth="1"/>
    <col min="6" max="6" width="9.7265625" style="2" customWidth="1"/>
    <col min="7" max="7" width="19.453125" style="8" customWidth="1"/>
    <col min="8" max="8" width="19" style="9" customWidth="1"/>
    <col min="9" max="9" width="19" style="8" customWidth="1"/>
    <col min="10" max="29" width="9.1796875" style="34"/>
    <col min="30" max="16384" width="9.1796875" style="1"/>
  </cols>
  <sheetData>
    <row r="1" spans="1:252" ht="38.5" thickTop="1" thickBot="1" x14ac:dyDescent="0.3">
      <c r="A1" s="13" t="s">
        <v>126</v>
      </c>
      <c r="B1" s="14" t="s">
        <v>216</v>
      </c>
      <c r="C1" s="14" t="s">
        <v>0</v>
      </c>
      <c r="D1" s="15" t="s">
        <v>236</v>
      </c>
      <c r="E1" s="16" t="s">
        <v>237</v>
      </c>
      <c r="F1" s="14" t="s">
        <v>70</v>
      </c>
      <c r="G1" s="17" t="s">
        <v>1</v>
      </c>
      <c r="H1" s="17" t="s">
        <v>2</v>
      </c>
      <c r="I1" s="18" t="s">
        <v>244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</row>
    <row r="2" spans="1:252" s="34" customFormat="1" ht="13" thickTop="1" x14ac:dyDescent="0.25">
      <c r="A2" s="42"/>
      <c r="B2" s="2"/>
      <c r="C2" s="2"/>
      <c r="D2" s="2"/>
      <c r="E2" s="10"/>
      <c r="F2" s="2"/>
      <c r="G2" s="43"/>
      <c r="H2" s="44"/>
      <c r="I2" s="4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</row>
    <row r="3" spans="1:252" ht="25" x14ac:dyDescent="0.25">
      <c r="A3" s="19" t="s">
        <v>72</v>
      </c>
      <c r="B3" s="9" t="s">
        <v>127</v>
      </c>
      <c r="C3" s="9" t="s">
        <v>124</v>
      </c>
      <c r="D3" s="2">
        <v>45.7</v>
      </c>
      <c r="E3" s="10">
        <v>1.8</v>
      </c>
      <c r="G3" s="3" t="s">
        <v>8</v>
      </c>
      <c r="H3" s="47" t="s">
        <v>262</v>
      </c>
      <c r="I3" s="20"/>
    </row>
    <row r="4" spans="1:252" x14ac:dyDescent="0.25">
      <c r="A4" s="19"/>
      <c r="B4" s="4" t="s">
        <v>14</v>
      </c>
      <c r="C4" s="4" t="s">
        <v>128</v>
      </c>
      <c r="D4" s="5">
        <v>50.8</v>
      </c>
      <c r="E4" s="6">
        <v>2</v>
      </c>
      <c r="F4" s="5"/>
      <c r="G4" s="4" t="s">
        <v>15</v>
      </c>
      <c r="H4" s="4" t="s">
        <v>129</v>
      </c>
      <c r="I4" s="20"/>
    </row>
    <row r="5" spans="1:252" x14ac:dyDescent="0.25">
      <c r="A5" s="19"/>
      <c r="B5" s="4" t="s">
        <v>14</v>
      </c>
      <c r="C5" s="4" t="s">
        <v>128</v>
      </c>
      <c r="D5" s="5">
        <v>25.4</v>
      </c>
      <c r="E5" s="6">
        <v>1</v>
      </c>
      <c r="F5" s="5"/>
      <c r="G5" s="4" t="s">
        <v>15</v>
      </c>
      <c r="H5" s="4" t="s">
        <v>75</v>
      </c>
      <c r="I5" s="20"/>
    </row>
    <row r="6" spans="1:252" x14ac:dyDescent="0.25">
      <c r="A6" s="19"/>
      <c r="B6" s="4" t="s">
        <v>111</v>
      </c>
      <c r="C6" s="4" t="s">
        <v>72</v>
      </c>
      <c r="D6" s="5"/>
      <c r="E6" s="6"/>
      <c r="F6" s="7">
        <v>12000</v>
      </c>
      <c r="G6" s="4" t="s">
        <v>110</v>
      </c>
      <c r="H6" s="4" t="s">
        <v>75</v>
      </c>
      <c r="I6" s="20"/>
    </row>
    <row r="7" spans="1:252" ht="25" x14ac:dyDescent="0.25">
      <c r="A7" s="19"/>
      <c r="B7" s="9" t="s">
        <v>123</v>
      </c>
      <c r="C7" s="9" t="s">
        <v>159</v>
      </c>
      <c r="D7" s="2">
        <v>7.9</v>
      </c>
      <c r="E7" s="10">
        <f t="shared" ref="E7:E12" si="0">D7/25.4</f>
        <v>0.31102362204724415</v>
      </c>
      <c r="F7" s="11">
        <v>15000</v>
      </c>
      <c r="G7" s="9" t="s">
        <v>13</v>
      </c>
      <c r="H7" s="4" t="s">
        <v>129</v>
      </c>
      <c r="I7" s="20"/>
    </row>
    <row r="8" spans="1:252" ht="25" x14ac:dyDescent="0.25">
      <c r="A8" s="19"/>
      <c r="B8" s="9" t="s">
        <v>123</v>
      </c>
      <c r="C8" s="9" t="s">
        <v>159</v>
      </c>
      <c r="D8" s="2">
        <v>7.9</v>
      </c>
      <c r="E8" s="10">
        <f t="shared" si="0"/>
        <v>0.31102362204724415</v>
      </c>
      <c r="F8" s="11">
        <v>40000</v>
      </c>
      <c r="G8" s="9" t="s">
        <v>13</v>
      </c>
      <c r="H8" s="4" t="s">
        <v>75</v>
      </c>
      <c r="I8" s="20"/>
    </row>
    <row r="9" spans="1:252" x14ac:dyDescent="0.25">
      <c r="A9" s="19"/>
      <c r="B9" s="9" t="s">
        <v>122</v>
      </c>
      <c r="C9" s="9" t="s">
        <v>125</v>
      </c>
      <c r="D9" s="2">
        <v>12.7</v>
      </c>
      <c r="E9" s="10">
        <f t="shared" si="0"/>
        <v>0.5</v>
      </c>
      <c r="F9" s="11">
        <v>3000</v>
      </c>
      <c r="G9" s="9" t="s">
        <v>121</v>
      </c>
      <c r="H9" s="4" t="s">
        <v>129</v>
      </c>
      <c r="I9" s="20"/>
    </row>
    <row r="10" spans="1:252" ht="25" x14ac:dyDescent="0.25">
      <c r="A10" s="19"/>
      <c r="B10" s="9" t="s">
        <v>77</v>
      </c>
      <c r="C10" s="9" t="s">
        <v>117</v>
      </c>
      <c r="D10" s="2">
        <v>100</v>
      </c>
      <c r="E10" s="10">
        <f t="shared" si="0"/>
        <v>3.9370078740157481</v>
      </c>
      <c r="G10" s="3" t="s">
        <v>3</v>
      </c>
      <c r="H10" s="3" t="s">
        <v>118</v>
      </c>
      <c r="I10" s="20"/>
    </row>
    <row r="11" spans="1:252" ht="25" x14ac:dyDescent="0.25">
      <c r="A11" s="19"/>
      <c r="B11" s="9" t="s">
        <v>215</v>
      </c>
      <c r="C11" s="9" t="s">
        <v>119</v>
      </c>
      <c r="D11" s="2" t="s">
        <v>5</v>
      </c>
      <c r="E11" s="10" t="s">
        <v>183</v>
      </c>
      <c r="G11" s="3" t="s">
        <v>6</v>
      </c>
      <c r="H11" s="3" t="s">
        <v>212</v>
      </c>
      <c r="I11" s="20"/>
    </row>
    <row r="12" spans="1:252" ht="25" x14ac:dyDescent="0.25">
      <c r="A12" s="19"/>
      <c r="B12" s="9" t="s">
        <v>217</v>
      </c>
      <c r="C12" s="9" t="s">
        <v>145</v>
      </c>
      <c r="D12" s="2">
        <v>38</v>
      </c>
      <c r="E12" s="10">
        <f t="shared" si="0"/>
        <v>1.4960629921259843</v>
      </c>
      <c r="G12" s="3" t="s">
        <v>9</v>
      </c>
      <c r="H12" s="3" t="s">
        <v>129</v>
      </c>
      <c r="I12" s="20"/>
    </row>
    <row r="13" spans="1:252" ht="26.25" customHeight="1" x14ac:dyDescent="0.25">
      <c r="A13" s="19"/>
      <c r="B13" s="4" t="s">
        <v>69</v>
      </c>
      <c r="C13" s="4" t="s">
        <v>128</v>
      </c>
      <c r="D13" s="5" t="s">
        <v>130</v>
      </c>
      <c r="E13" s="6" t="s">
        <v>184</v>
      </c>
      <c r="F13" s="7"/>
      <c r="G13" s="3" t="s">
        <v>218</v>
      </c>
      <c r="H13" s="3" t="s">
        <v>76</v>
      </c>
      <c r="I13" s="20"/>
    </row>
    <row r="14" spans="1:252" ht="37.5" x14ac:dyDescent="0.25">
      <c r="A14" s="19"/>
      <c r="B14" s="9" t="s">
        <v>81</v>
      </c>
      <c r="C14" s="9" t="s">
        <v>131</v>
      </c>
      <c r="D14" s="2" t="s">
        <v>133</v>
      </c>
      <c r="E14" s="10" t="s">
        <v>185</v>
      </c>
      <c r="G14" s="3" t="s">
        <v>11</v>
      </c>
      <c r="H14" s="3" t="s">
        <v>212</v>
      </c>
      <c r="I14" s="20"/>
    </row>
    <row r="15" spans="1:252" ht="37.5" x14ac:dyDescent="0.25">
      <c r="A15" s="19"/>
      <c r="B15" s="9" t="s">
        <v>81</v>
      </c>
      <c r="C15" s="9" t="s">
        <v>132</v>
      </c>
      <c r="D15" s="2">
        <v>12.7</v>
      </c>
      <c r="E15" s="10">
        <f>D15/25.4</f>
        <v>0.5</v>
      </c>
      <c r="G15" s="3" t="s">
        <v>11</v>
      </c>
      <c r="H15" s="3" t="s">
        <v>212</v>
      </c>
      <c r="I15" s="20"/>
    </row>
    <row r="16" spans="1:252" ht="37.5" x14ac:dyDescent="0.25">
      <c r="A16" s="19"/>
      <c r="B16" s="9" t="s">
        <v>148</v>
      </c>
      <c r="C16" s="9" t="s">
        <v>149</v>
      </c>
      <c r="D16" s="2">
        <v>45.7</v>
      </c>
      <c r="E16" s="10">
        <f>D16/25.4</f>
        <v>1.799212598425197</v>
      </c>
      <c r="G16" s="3" t="s">
        <v>147</v>
      </c>
      <c r="H16" s="3" t="s">
        <v>212</v>
      </c>
      <c r="I16" s="20"/>
    </row>
    <row r="17" spans="1:29" x14ac:dyDescent="0.25">
      <c r="A17" s="19"/>
      <c r="B17" s="4" t="s">
        <v>69</v>
      </c>
      <c r="C17" s="4" t="s">
        <v>128</v>
      </c>
      <c r="D17" s="5"/>
      <c r="E17" s="6"/>
      <c r="F17" s="7">
        <v>100000</v>
      </c>
      <c r="G17" s="3" t="s">
        <v>219</v>
      </c>
      <c r="H17" s="3" t="s">
        <v>212</v>
      </c>
      <c r="I17" s="20"/>
    </row>
    <row r="18" spans="1:29" x14ac:dyDescent="0.25">
      <c r="A18" s="19"/>
      <c r="B18" s="4" t="s">
        <v>151</v>
      </c>
      <c r="C18" s="4" t="s">
        <v>125</v>
      </c>
      <c r="D18" s="5">
        <v>147</v>
      </c>
      <c r="E18" s="10">
        <f>D18/25.4</f>
        <v>5.78740157480315</v>
      </c>
      <c r="F18" s="7"/>
      <c r="G18" s="3" t="s">
        <v>150</v>
      </c>
      <c r="H18" s="3" t="s">
        <v>152</v>
      </c>
      <c r="I18" s="20"/>
    </row>
    <row r="19" spans="1:29" x14ac:dyDescent="0.25">
      <c r="A19" s="19"/>
      <c r="B19" s="9" t="s">
        <v>220</v>
      </c>
      <c r="C19" s="9" t="s">
        <v>125</v>
      </c>
      <c r="D19" s="2" t="s">
        <v>115</v>
      </c>
      <c r="E19" s="10" t="s">
        <v>186</v>
      </c>
      <c r="G19" s="9" t="s">
        <v>12</v>
      </c>
      <c r="H19" s="4" t="s">
        <v>129</v>
      </c>
      <c r="I19" s="20"/>
    </row>
    <row r="20" spans="1:29" x14ac:dyDescent="0.25">
      <c r="A20" s="19"/>
      <c r="B20" s="9" t="s">
        <v>78</v>
      </c>
      <c r="C20" s="9" t="s">
        <v>80</v>
      </c>
      <c r="D20" s="2">
        <v>12.7</v>
      </c>
      <c r="E20" s="10">
        <f>D20/25.4</f>
        <v>0.5</v>
      </c>
      <c r="G20" s="3" t="s">
        <v>79</v>
      </c>
      <c r="H20" s="3" t="s">
        <v>235</v>
      </c>
      <c r="I20" s="20"/>
    </row>
    <row r="21" spans="1:29" ht="36" customHeight="1" x14ac:dyDescent="0.25">
      <c r="A21" s="21"/>
      <c r="B21" s="9" t="s">
        <v>74</v>
      </c>
      <c r="C21" s="9" t="s">
        <v>128</v>
      </c>
      <c r="D21" s="2">
        <v>25.4</v>
      </c>
      <c r="E21" s="10">
        <f>D21/25.4</f>
        <v>1</v>
      </c>
      <c r="G21" s="3" t="s">
        <v>73</v>
      </c>
      <c r="H21" s="3" t="s">
        <v>212</v>
      </c>
      <c r="I21" s="20"/>
    </row>
    <row r="22" spans="1:29" ht="12.75" customHeight="1" x14ac:dyDescent="0.25">
      <c r="A22" s="21"/>
      <c r="B22" s="9" t="s">
        <v>221</v>
      </c>
      <c r="C22" s="9" t="s">
        <v>128</v>
      </c>
      <c r="D22" s="2">
        <v>25.4</v>
      </c>
      <c r="E22" s="10">
        <f>D22/25.4</f>
        <v>1</v>
      </c>
      <c r="G22" s="3" t="s">
        <v>68</v>
      </c>
      <c r="H22" s="3" t="s">
        <v>212</v>
      </c>
      <c r="I22" s="20"/>
    </row>
    <row r="23" spans="1:29" ht="37.5" x14ac:dyDescent="0.25">
      <c r="A23" s="21"/>
      <c r="B23" s="9" t="s">
        <v>158</v>
      </c>
      <c r="C23" s="9" t="s">
        <v>128</v>
      </c>
      <c r="F23" s="11">
        <v>25000</v>
      </c>
      <c r="G23" s="3" t="s">
        <v>105</v>
      </c>
      <c r="H23" s="3" t="s">
        <v>129</v>
      </c>
      <c r="I23" s="20"/>
    </row>
    <row r="24" spans="1:29" x14ac:dyDescent="0.25">
      <c r="A24" s="19"/>
      <c r="B24" s="9" t="s">
        <v>222</v>
      </c>
      <c r="C24" s="9" t="s">
        <v>72</v>
      </c>
      <c r="D24" s="2">
        <v>3</v>
      </c>
      <c r="E24" s="10">
        <f>D24/25.4</f>
        <v>0.11811023622047245</v>
      </c>
      <c r="F24" s="11">
        <v>5000</v>
      </c>
      <c r="G24" s="3" t="s">
        <v>120</v>
      </c>
      <c r="H24" s="3" t="s">
        <v>129</v>
      </c>
      <c r="I24" s="20"/>
    </row>
    <row r="25" spans="1:29" s="36" customFormat="1" ht="13" thickBot="1" x14ac:dyDescent="0.3">
      <c r="A25" s="22"/>
      <c r="B25" s="49"/>
      <c r="C25" s="49"/>
      <c r="D25" s="50"/>
      <c r="E25" s="35"/>
      <c r="F25" s="51"/>
      <c r="G25" s="26"/>
      <c r="H25" s="26"/>
      <c r="I25" s="27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s="41" customFormat="1" ht="13" thickTop="1" x14ac:dyDescent="0.25">
      <c r="A26" s="28"/>
      <c r="B26" s="38"/>
      <c r="C26" s="38"/>
      <c r="D26" s="39"/>
      <c r="E26" s="40"/>
      <c r="F26" s="48"/>
      <c r="G26" s="33"/>
      <c r="H26" s="33"/>
      <c r="I26" s="32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ht="37.5" x14ac:dyDescent="0.25">
      <c r="A27" s="19" t="s">
        <v>16</v>
      </c>
      <c r="B27" s="9" t="s">
        <v>134</v>
      </c>
      <c r="C27" s="9" t="s">
        <v>135</v>
      </c>
      <c r="D27" s="2" t="s">
        <v>19</v>
      </c>
      <c r="E27" s="10" t="s">
        <v>188</v>
      </c>
      <c r="G27" s="3" t="s">
        <v>20</v>
      </c>
      <c r="H27" s="3" t="s">
        <v>212</v>
      </c>
      <c r="I27" s="20"/>
    </row>
    <row r="28" spans="1:29" x14ac:dyDescent="0.25">
      <c r="A28" s="19"/>
      <c r="B28" s="9" t="s">
        <v>71</v>
      </c>
      <c r="C28" s="9" t="s">
        <v>136</v>
      </c>
      <c r="D28" s="2">
        <v>1.5</v>
      </c>
      <c r="E28" s="10">
        <v>0.06</v>
      </c>
      <c r="G28" s="3" t="s">
        <v>114</v>
      </c>
      <c r="H28" s="3" t="s">
        <v>212</v>
      </c>
      <c r="I28" s="20"/>
    </row>
    <row r="29" spans="1:29" ht="100" x14ac:dyDescent="0.25">
      <c r="A29" s="19"/>
      <c r="B29" s="9" t="s">
        <v>223</v>
      </c>
      <c r="C29" s="9" t="s">
        <v>89</v>
      </c>
      <c r="D29" s="2" t="s">
        <v>21</v>
      </c>
      <c r="E29" s="10" t="s">
        <v>189</v>
      </c>
      <c r="G29" s="3" t="s">
        <v>224</v>
      </c>
      <c r="H29" s="3" t="s">
        <v>212</v>
      </c>
      <c r="I29" s="20"/>
    </row>
    <row r="30" spans="1:29" ht="102" customHeight="1" x14ac:dyDescent="0.25">
      <c r="A30" s="19"/>
      <c r="B30" s="9" t="s">
        <v>225</v>
      </c>
      <c r="C30" s="9" t="s">
        <v>137</v>
      </c>
      <c r="D30" s="2" t="s">
        <v>256</v>
      </c>
      <c r="E30" s="10" t="s">
        <v>190</v>
      </c>
      <c r="G30" s="3" t="s">
        <v>22</v>
      </c>
      <c r="H30" s="3" t="s">
        <v>129</v>
      </c>
      <c r="I30" s="20"/>
    </row>
    <row r="31" spans="1:29" x14ac:dyDescent="0.25">
      <c r="A31" s="19"/>
      <c r="B31" s="4" t="s">
        <v>24</v>
      </c>
      <c r="C31" s="4" t="s">
        <v>136</v>
      </c>
      <c r="D31" s="5" t="s">
        <v>25</v>
      </c>
      <c r="E31" s="6" t="s">
        <v>187</v>
      </c>
      <c r="F31" s="5"/>
      <c r="G31" s="4" t="s">
        <v>26</v>
      </c>
      <c r="H31" s="4" t="s">
        <v>129</v>
      </c>
      <c r="I31" s="20"/>
    </row>
    <row r="32" spans="1:29" x14ac:dyDescent="0.25">
      <c r="A32" s="19"/>
      <c r="B32" s="9" t="s">
        <v>16</v>
      </c>
      <c r="G32" s="3" t="s">
        <v>10</v>
      </c>
      <c r="H32" s="3" t="s">
        <v>212</v>
      </c>
      <c r="I32" s="20"/>
    </row>
    <row r="33" spans="1:29" ht="12.75" customHeight="1" x14ac:dyDescent="0.25">
      <c r="A33" s="19"/>
      <c r="B33" s="9" t="s">
        <v>138</v>
      </c>
      <c r="C33" s="9" t="s">
        <v>136</v>
      </c>
      <c r="D33" s="2" t="s">
        <v>102</v>
      </c>
      <c r="F33" s="11">
        <v>5600</v>
      </c>
      <c r="G33" s="9" t="s">
        <v>23</v>
      </c>
      <c r="H33" s="4" t="s">
        <v>129</v>
      </c>
      <c r="I33" s="20"/>
    </row>
    <row r="34" spans="1:29" ht="25" x14ac:dyDescent="0.25">
      <c r="A34" s="19"/>
      <c r="B34" s="9" t="s">
        <v>92</v>
      </c>
      <c r="C34" s="9" t="s">
        <v>181</v>
      </c>
      <c r="D34" s="2" t="s">
        <v>17</v>
      </c>
      <c r="E34" s="10" t="s">
        <v>191</v>
      </c>
      <c r="G34" s="3" t="s">
        <v>18</v>
      </c>
      <c r="H34" s="3" t="s">
        <v>42</v>
      </c>
      <c r="I34" s="20"/>
    </row>
    <row r="35" spans="1:29" ht="12.75" customHeight="1" x14ac:dyDescent="0.25">
      <c r="A35" s="19"/>
      <c r="B35" s="9" t="s">
        <v>88</v>
      </c>
      <c r="C35" s="9" t="s">
        <v>89</v>
      </c>
      <c r="D35" s="2">
        <v>43.2</v>
      </c>
      <c r="E35" s="10">
        <f>D35/25.4</f>
        <v>1.7007874015748035</v>
      </c>
      <c r="G35" s="3" t="s">
        <v>90</v>
      </c>
      <c r="H35" s="3" t="s">
        <v>91</v>
      </c>
      <c r="I35" s="20"/>
    </row>
    <row r="36" spans="1:29" ht="25" x14ac:dyDescent="0.25">
      <c r="A36" s="21"/>
      <c r="B36" s="9" t="s">
        <v>16</v>
      </c>
      <c r="D36" s="2" t="s">
        <v>94</v>
      </c>
      <c r="E36" s="10" t="s">
        <v>192</v>
      </c>
      <c r="G36" s="3" t="s">
        <v>93</v>
      </c>
      <c r="H36" s="3" t="s">
        <v>212</v>
      </c>
      <c r="I36" s="20"/>
    </row>
    <row r="37" spans="1:29" ht="37.5" x14ac:dyDescent="0.25">
      <c r="A37" s="21"/>
      <c r="B37" s="9" t="s">
        <v>83</v>
      </c>
      <c r="C37" s="9" t="s">
        <v>139</v>
      </c>
      <c r="D37" s="2">
        <v>17.8</v>
      </c>
      <c r="E37" s="10">
        <f>D37/25.4</f>
        <v>0.70078740157480324</v>
      </c>
      <c r="G37" s="3" t="s">
        <v>82</v>
      </c>
      <c r="H37" s="3" t="s">
        <v>84</v>
      </c>
      <c r="I37" s="20"/>
    </row>
    <row r="38" spans="1:29" x14ac:dyDescent="0.25">
      <c r="A38" s="21"/>
      <c r="B38" s="9" t="s">
        <v>154</v>
      </c>
      <c r="F38" s="11">
        <v>5400</v>
      </c>
      <c r="G38" s="3" t="s">
        <v>116</v>
      </c>
      <c r="H38" s="3" t="s">
        <v>129</v>
      </c>
      <c r="I38" s="20"/>
    </row>
    <row r="39" spans="1:29" ht="25" x14ac:dyDescent="0.25">
      <c r="A39" s="19"/>
      <c r="B39" s="9" t="s">
        <v>85</v>
      </c>
      <c r="C39" s="9" t="s">
        <v>87</v>
      </c>
      <c r="D39" s="2">
        <v>50.8</v>
      </c>
      <c r="E39" s="10">
        <f>D39/25.4</f>
        <v>2</v>
      </c>
      <c r="G39" s="3" t="s">
        <v>86</v>
      </c>
      <c r="H39" s="3" t="s">
        <v>129</v>
      </c>
      <c r="I39" s="20"/>
    </row>
    <row r="40" spans="1:29" x14ac:dyDescent="0.25">
      <c r="A40" s="19"/>
      <c r="B40" s="9" t="s">
        <v>16</v>
      </c>
      <c r="D40" s="2" t="s">
        <v>96</v>
      </c>
      <c r="E40" s="10" t="s">
        <v>193</v>
      </c>
      <c r="G40" s="9" t="s">
        <v>95</v>
      </c>
      <c r="H40" s="3" t="s">
        <v>212</v>
      </c>
      <c r="I40" s="20"/>
    </row>
    <row r="41" spans="1:29" ht="16.5" customHeight="1" thickBot="1" x14ac:dyDescent="0.3">
      <c r="A41" s="19"/>
      <c r="G41" s="9"/>
      <c r="H41" s="3"/>
      <c r="I41" s="20"/>
    </row>
    <row r="42" spans="1:29" s="34" customFormat="1" ht="13.5" thickTop="1" thickBot="1" x14ac:dyDescent="0.3">
      <c r="A42" s="28"/>
      <c r="B42" s="38"/>
      <c r="C42" s="38"/>
      <c r="D42" s="39"/>
      <c r="E42" s="40"/>
      <c r="F42" s="39"/>
      <c r="G42" s="38"/>
      <c r="H42" s="33"/>
      <c r="I42" s="32"/>
    </row>
    <row r="43" spans="1:29" s="41" customFormat="1" ht="12.75" customHeight="1" thickTop="1" x14ac:dyDescent="0.25">
      <c r="A43" s="19" t="s">
        <v>27</v>
      </c>
      <c r="B43" s="9"/>
      <c r="C43" s="9" t="s">
        <v>141</v>
      </c>
      <c r="D43" s="2" t="s">
        <v>180</v>
      </c>
      <c r="E43" s="10" t="s">
        <v>194</v>
      </c>
      <c r="F43" s="2"/>
      <c r="G43" s="3" t="s">
        <v>28</v>
      </c>
      <c r="H43" s="3" t="s">
        <v>129</v>
      </c>
      <c r="I43" s="20" t="s">
        <v>245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 spans="1:29" s="34" customFormat="1" ht="12.75" customHeight="1" x14ac:dyDescent="0.25">
      <c r="A44" s="19"/>
      <c r="B44" s="9"/>
      <c r="C44" s="9" t="s">
        <v>141</v>
      </c>
      <c r="D44" s="2">
        <v>13</v>
      </c>
      <c r="E44" s="10">
        <f>D44/25.4</f>
        <v>0.51181102362204722</v>
      </c>
      <c r="F44" s="2"/>
      <c r="G44" s="3" t="s">
        <v>29</v>
      </c>
      <c r="H44" s="3" t="s">
        <v>129</v>
      </c>
      <c r="I44" s="20" t="s">
        <v>245</v>
      </c>
    </row>
    <row r="45" spans="1:29" x14ac:dyDescent="0.25">
      <c r="A45" s="19"/>
      <c r="D45" s="2" t="s">
        <v>30</v>
      </c>
      <c r="E45" s="10" t="s">
        <v>195</v>
      </c>
      <c r="G45" s="3" t="s">
        <v>31</v>
      </c>
      <c r="H45" s="3" t="s">
        <v>4</v>
      </c>
      <c r="I45" s="20" t="s">
        <v>245</v>
      </c>
    </row>
    <row r="46" spans="1:29" x14ac:dyDescent="0.25">
      <c r="A46" s="19"/>
      <c r="C46" s="9" t="s">
        <v>140</v>
      </c>
      <c r="D46" s="2" t="s">
        <v>103</v>
      </c>
      <c r="E46" s="10" t="s">
        <v>196</v>
      </c>
      <c r="G46" s="3" t="s">
        <v>104</v>
      </c>
      <c r="H46" s="3" t="s">
        <v>212</v>
      </c>
      <c r="I46" s="20" t="s">
        <v>245</v>
      </c>
    </row>
    <row r="47" spans="1:29" ht="62.5" x14ac:dyDescent="0.25">
      <c r="A47" s="19"/>
      <c r="B47" s="9" t="s">
        <v>226</v>
      </c>
      <c r="D47" s="2">
        <v>152</v>
      </c>
      <c r="E47" s="10">
        <f>D47/25.4</f>
        <v>5.984251968503937</v>
      </c>
      <c r="G47" s="3" t="s">
        <v>32</v>
      </c>
      <c r="H47" s="3" t="s">
        <v>106</v>
      </c>
      <c r="I47" s="20" t="s">
        <v>245</v>
      </c>
    </row>
    <row r="48" spans="1:29" ht="70.5" customHeight="1" x14ac:dyDescent="0.25">
      <c r="A48" s="19"/>
      <c r="B48" s="9" t="s">
        <v>182</v>
      </c>
      <c r="D48" s="2">
        <v>20.6</v>
      </c>
      <c r="E48" s="10">
        <f>D48/25.4</f>
        <v>0.81102362204724421</v>
      </c>
      <c r="G48" s="3" t="s">
        <v>33</v>
      </c>
      <c r="H48" s="3" t="s">
        <v>4</v>
      </c>
      <c r="I48" s="20" t="s">
        <v>245</v>
      </c>
    </row>
    <row r="49" spans="1:9" x14ac:dyDescent="0.25">
      <c r="A49" s="19"/>
      <c r="D49" s="2" t="s">
        <v>34</v>
      </c>
      <c r="E49" s="10" t="s">
        <v>197</v>
      </c>
      <c r="G49" s="3" t="s">
        <v>35</v>
      </c>
      <c r="H49" s="3" t="s">
        <v>106</v>
      </c>
      <c r="I49" s="20" t="s">
        <v>245</v>
      </c>
    </row>
    <row r="50" spans="1:9" ht="25" x14ac:dyDescent="0.25">
      <c r="A50" s="19"/>
      <c r="C50" s="9" t="s">
        <v>227</v>
      </c>
      <c r="D50" s="2">
        <v>4.8</v>
      </c>
      <c r="E50" s="10">
        <f>D50/25.4</f>
        <v>0.1889763779527559</v>
      </c>
      <c r="G50" s="3" t="s">
        <v>36</v>
      </c>
      <c r="H50" s="3" t="s">
        <v>152</v>
      </c>
      <c r="I50" s="20" t="s">
        <v>245</v>
      </c>
    </row>
    <row r="51" spans="1:9" ht="25" x14ac:dyDescent="0.25">
      <c r="A51" s="19"/>
      <c r="C51" s="9" t="s">
        <v>227</v>
      </c>
      <c r="D51" s="2" t="s">
        <v>179</v>
      </c>
      <c r="E51" s="10" t="s">
        <v>198</v>
      </c>
      <c r="G51" s="3" t="s">
        <v>36</v>
      </c>
      <c r="H51" s="3" t="s">
        <v>152</v>
      </c>
      <c r="I51" s="20" t="s">
        <v>246</v>
      </c>
    </row>
    <row r="52" spans="1:9" ht="25" x14ac:dyDescent="0.25">
      <c r="A52" s="19"/>
      <c r="C52" s="9" t="s">
        <v>227</v>
      </c>
      <c r="D52" s="2" t="s">
        <v>153</v>
      </c>
      <c r="E52" s="10" t="s">
        <v>199</v>
      </c>
      <c r="G52" s="3" t="s">
        <v>36</v>
      </c>
      <c r="H52" s="3" t="s">
        <v>152</v>
      </c>
      <c r="I52" s="20" t="s">
        <v>247</v>
      </c>
    </row>
    <row r="53" spans="1:9" ht="25" x14ac:dyDescent="0.25">
      <c r="A53" s="19"/>
      <c r="C53" s="9" t="s">
        <v>227</v>
      </c>
      <c r="D53" s="2" t="s">
        <v>155</v>
      </c>
      <c r="E53" s="10" t="s">
        <v>200</v>
      </c>
      <c r="G53" s="3" t="s">
        <v>37</v>
      </c>
      <c r="H53" s="3" t="s">
        <v>212</v>
      </c>
      <c r="I53" s="20" t="s">
        <v>245</v>
      </c>
    </row>
    <row r="54" spans="1:9" ht="25" x14ac:dyDescent="0.25">
      <c r="A54" s="19"/>
      <c r="B54" s="9" t="s">
        <v>228</v>
      </c>
      <c r="C54" s="9" t="s">
        <v>102</v>
      </c>
      <c r="D54" s="2" t="s">
        <v>156</v>
      </c>
      <c r="E54" s="10" t="s">
        <v>201</v>
      </c>
      <c r="G54" s="3" t="s">
        <v>38</v>
      </c>
      <c r="H54" s="3" t="s">
        <v>212</v>
      </c>
      <c r="I54" s="20" t="s">
        <v>248</v>
      </c>
    </row>
    <row r="55" spans="1:9" ht="25" x14ac:dyDescent="0.25">
      <c r="A55" s="19"/>
      <c r="B55" s="9" t="s">
        <v>229</v>
      </c>
      <c r="C55" s="9" t="s">
        <v>102</v>
      </c>
      <c r="D55" s="2" t="s">
        <v>157</v>
      </c>
      <c r="E55" s="10" t="s">
        <v>202</v>
      </c>
      <c r="G55" s="3" t="s">
        <v>38</v>
      </c>
      <c r="H55" s="3" t="s">
        <v>212</v>
      </c>
      <c r="I55" s="20" t="s">
        <v>249</v>
      </c>
    </row>
    <row r="56" spans="1:9" ht="25" x14ac:dyDescent="0.25">
      <c r="A56" s="19"/>
      <c r="C56" s="9" t="s">
        <v>141</v>
      </c>
      <c r="D56" s="2" t="s">
        <v>238</v>
      </c>
      <c r="E56" s="10" t="s">
        <v>203</v>
      </c>
      <c r="G56" s="3" t="s">
        <v>100</v>
      </c>
      <c r="H56" s="3" t="s">
        <v>212</v>
      </c>
      <c r="I56" s="20" t="s">
        <v>245</v>
      </c>
    </row>
    <row r="57" spans="1:9" ht="12.75" customHeight="1" x14ac:dyDescent="0.25">
      <c r="A57" s="19"/>
      <c r="C57" s="9" t="s">
        <v>140</v>
      </c>
      <c r="D57" s="2" t="s">
        <v>239</v>
      </c>
      <c r="E57" s="10" t="s">
        <v>240</v>
      </c>
      <c r="G57" s="3" t="s">
        <v>100</v>
      </c>
      <c r="H57" s="3" t="s">
        <v>213</v>
      </c>
      <c r="I57" s="20" t="s">
        <v>245</v>
      </c>
    </row>
    <row r="58" spans="1:9" ht="39" customHeight="1" x14ac:dyDescent="0.25">
      <c r="A58" s="19"/>
      <c r="B58" s="9" t="s">
        <v>160</v>
      </c>
      <c r="C58" s="9" t="s">
        <v>102</v>
      </c>
      <c r="D58" s="2">
        <v>205.5</v>
      </c>
      <c r="E58" s="10">
        <f>D58/25.4</f>
        <v>8.0905511811023629</v>
      </c>
      <c r="G58" s="3" t="s">
        <v>39</v>
      </c>
      <c r="H58" s="3" t="s">
        <v>7</v>
      </c>
      <c r="I58" s="20" t="s">
        <v>250</v>
      </c>
    </row>
    <row r="59" spans="1:9" x14ac:dyDescent="0.25">
      <c r="A59" s="19"/>
      <c r="B59" s="9" t="s">
        <v>160</v>
      </c>
      <c r="C59" s="9" t="s">
        <v>102</v>
      </c>
      <c r="D59" s="12">
        <v>6</v>
      </c>
      <c r="E59" s="10">
        <f>D59/25.4</f>
        <v>0.23622047244094491</v>
      </c>
      <c r="G59" s="3" t="s">
        <v>39</v>
      </c>
      <c r="H59" s="3" t="s">
        <v>7</v>
      </c>
      <c r="I59" s="20" t="s">
        <v>251</v>
      </c>
    </row>
    <row r="60" spans="1:9" ht="50" x14ac:dyDescent="0.25">
      <c r="A60" s="19"/>
      <c r="B60" s="9" t="s">
        <v>162</v>
      </c>
      <c r="C60" s="9" t="s">
        <v>102</v>
      </c>
      <c r="D60" s="12">
        <v>9</v>
      </c>
      <c r="E60" s="10">
        <f>D60/25.4</f>
        <v>0.35433070866141736</v>
      </c>
      <c r="G60" s="3" t="s">
        <v>40</v>
      </c>
      <c r="H60" s="3" t="s">
        <v>212</v>
      </c>
      <c r="I60" s="20" t="s">
        <v>252</v>
      </c>
    </row>
    <row r="61" spans="1:9" ht="51" customHeight="1" x14ac:dyDescent="0.25">
      <c r="A61" s="19"/>
      <c r="B61" s="9" t="s">
        <v>162</v>
      </c>
      <c r="C61" s="9" t="s">
        <v>102</v>
      </c>
      <c r="D61" s="12">
        <v>219</v>
      </c>
      <c r="E61" s="10">
        <f>D61/25.4</f>
        <v>8.6220472440944889</v>
      </c>
      <c r="G61" s="3" t="s">
        <v>40</v>
      </c>
      <c r="H61" s="3" t="s">
        <v>212</v>
      </c>
      <c r="I61" s="20" t="s">
        <v>253</v>
      </c>
    </row>
    <row r="62" spans="1:9" ht="25.5" customHeight="1" x14ac:dyDescent="0.25">
      <c r="A62" s="19"/>
      <c r="B62" s="9" t="s">
        <v>163</v>
      </c>
      <c r="C62" s="9" t="s">
        <v>102</v>
      </c>
      <c r="D62" s="2" t="s">
        <v>165</v>
      </c>
      <c r="E62" s="10" t="s">
        <v>164</v>
      </c>
      <c r="G62" s="3" t="s">
        <v>41</v>
      </c>
      <c r="H62" s="3" t="s">
        <v>42</v>
      </c>
      <c r="I62" s="20" t="s">
        <v>250</v>
      </c>
    </row>
    <row r="63" spans="1:9" ht="12.75" customHeight="1" x14ac:dyDescent="0.25">
      <c r="A63" s="19"/>
      <c r="B63" s="9" t="s">
        <v>160</v>
      </c>
      <c r="D63" s="2" t="s">
        <v>43</v>
      </c>
      <c r="E63" s="10" t="s">
        <v>204</v>
      </c>
      <c r="G63" s="3" t="s">
        <v>44</v>
      </c>
      <c r="H63" s="3" t="s">
        <v>170</v>
      </c>
      <c r="I63" s="20" t="s">
        <v>250</v>
      </c>
    </row>
    <row r="64" spans="1:9" ht="25" x14ac:dyDescent="0.25">
      <c r="A64" s="19"/>
      <c r="B64" s="9" t="s">
        <v>160</v>
      </c>
      <c r="D64" s="2" t="s">
        <v>45</v>
      </c>
      <c r="E64" s="10" t="s">
        <v>205</v>
      </c>
      <c r="G64" s="3" t="s">
        <v>44</v>
      </c>
      <c r="H64" s="3" t="s">
        <v>170</v>
      </c>
      <c r="I64" s="20" t="s">
        <v>254</v>
      </c>
    </row>
    <row r="65" spans="1:29" ht="25" x14ac:dyDescent="0.25">
      <c r="A65" s="19"/>
      <c r="C65" s="9" t="s">
        <v>141</v>
      </c>
      <c r="D65" s="2" t="s">
        <v>241</v>
      </c>
      <c r="E65" s="10" t="s">
        <v>206</v>
      </c>
      <c r="G65" s="3" t="s">
        <v>101</v>
      </c>
      <c r="H65" s="3" t="s">
        <v>212</v>
      </c>
      <c r="I65" s="20" t="s">
        <v>245</v>
      </c>
    </row>
    <row r="66" spans="1:29" ht="25" x14ac:dyDescent="0.25">
      <c r="A66" s="19"/>
      <c r="C66" s="9" t="s">
        <v>227</v>
      </c>
      <c r="D66" s="2" t="s">
        <v>161</v>
      </c>
      <c r="E66" s="10" t="s">
        <v>207</v>
      </c>
      <c r="G66" s="3" t="s">
        <v>46</v>
      </c>
      <c r="H66" s="3" t="s">
        <v>99</v>
      </c>
      <c r="I66" s="20" t="s">
        <v>245</v>
      </c>
    </row>
    <row r="67" spans="1:29" ht="25" x14ac:dyDescent="0.25">
      <c r="A67" s="19"/>
      <c r="D67" s="2">
        <v>24</v>
      </c>
      <c r="E67" s="10">
        <f>D67/25.4</f>
        <v>0.94488188976377963</v>
      </c>
      <c r="G67" s="3" t="s">
        <v>230</v>
      </c>
      <c r="H67" s="3"/>
      <c r="I67" s="20" t="s">
        <v>245</v>
      </c>
    </row>
    <row r="68" spans="1:29" ht="25" x14ac:dyDescent="0.25">
      <c r="A68" s="19"/>
      <c r="B68" s="9" t="s">
        <v>102</v>
      </c>
      <c r="C68" s="9" t="s">
        <v>227</v>
      </c>
      <c r="D68" s="2">
        <v>2.5</v>
      </c>
      <c r="E68" s="10">
        <f>D68/25.4</f>
        <v>9.8425196850393706E-2</v>
      </c>
      <c r="G68" s="3" t="s">
        <v>47</v>
      </c>
      <c r="H68" s="3" t="s">
        <v>166</v>
      </c>
      <c r="I68" s="20" t="s">
        <v>245</v>
      </c>
    </row>
    <row r="69" spans="1:29" ht="25" x14ac:dyDescent="0.25">
      <c r="A69" s="19"/>
      <c r="B69" s="9" t="s">
        <v>102</v>
      </c>
      <c r="C69" s="9" t="s">
        <v>227</v>
      </c>
      <c r="D69" s="2">
        <v>40</v>
      </c>
      <c r="E69" s="10">
        <f>D69/25.4</f>
        <v>1.5748031496062993</v>
      </c>
      <c r="G69" s="3" t="s">
        <v>47</v>
      </c>
      <c r="H69" s="3" t="s">
        <v>166</v>
      </c>
      <c r="I69" s="20" t="s">
        <v>255</v>
      </c>
    </row>
    <row r="70" spans="1:29" ht="25" x14ac:dyDescent="0.25">
      <c r="A70" s="19"/>
      <c r="C70" s="9" t="s">
        <v>168</v>
      </c>
      <c r="D70" s="2">
        <v>11</v>
      </c>
      <c r="E70" s="10">
        <f>D70/25.4</f>
        <v>0.43307086614173229</v>
      </c>
      <c r="G70" s="3" t="s">
        <v>48</v>
      </c>
      <c r="H70" s="3" t="s">
        <v>170</v>
      </c>
      <c r="I70" s="20" t="s">
        <v>245</v>
      </c>
    </row>
    <row r="71" spans="1:29" x14ac:dyDescent="0.25">
      <c r="A71" s="19"/>
      <c r="B71" s="9" t="s">
        <v>167</v>
      </c>
      <c r="D71" s="2">
        <v>77</v>
      </c>
      <c r="E71" s="10">
        <f>D71/25.4</f>
        <v>3.0314960629921264</v>
      </c>
      <c r="G71" s="3" t="s">
        <v>49</v>
      </c>
      <c r="H71" s="3" t="s">
        <v>169</v>
      </c>
      <c r="I71" s="20" t="s">
        <v>250</v>
      </c>
    </row>
    <row r="72" spans="1:29" ht="13" thickBot="1" x14ac:dyDescent="0.3">
      <c r="A72" s="19"/>
      <c r="G72" s="3"/>
      <c r="H72" s="3"/>
      <c r="I72" s="20"/>
    </row>
    <row r="73" spans="1:29" ht="13.5" thickTop="1" thickBot="1" x14ac:dyDescent="0.3">
      <c r="A73" s="28"/>
      <c r="B73" s="38"/>
      <c r="C73" s="38"/>
      <c r="D73" s="39"/>
      <c r="E73" s="40"/>
      <c r="F73" s="39"/>
      <c r="G73" s="33"/>
      <c r="H73" s="33"/>
      <c r="I73" s="32"/>
    </row>
    <row r="74" spans="1:29" s="41" customFormat="1" ht="38" thickTop="1" x14ac:dyDescent="0.25">
      <c r="A74" s="19" t="s">
        <v>50</v>
      </c>
      <c r="B74" s="4" t="s">
        <v>243</v>
      </c>
      <c r="C74" s="4"/>
      <c r="D74" s="5">
        <v>33</v>
      </c>
      <c r="E74" s="10">
        <f>D74/25.4</f>
        <v>1.299212598425197</v>
      </c>
      <c r="F74" s="5"/>
      <c r="G74" s="3" t="s">
        <v>51</v>
      </c>
      <c r="H74" s="3" t="s">
        <v>75</v>
      </c>
      <c r="I74" s="37" t="s">
        <v>258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</row>
    <row r="75" spans="1:29" s="34" customFormat="1" ht="50" x14ac:dyDescent="0.25">
      <c r="A75" s="19"/>
      <c r="B75" s="4" t="s">
        <v>109</v>
      </c>
      <c r="C75" s="4" t="s">
        <v>102</v>
      </c>
      <c r="D75" s="5" t="s">
        <v>260</v>
      </c>
      <c r="E75" s="6" t="s">
        <v>259</v>
      </c>
      <c r="F75" s="5"/>
      <c r="G75" s="3" t="s">
        <v>108</v>
      </c>
      <c r="H75" s="3" t="s">
        <v>75</v>
      </c>
      <c r="I75" s="20"/>
    </row>
    <row r="76" spans="1:29" s="34" customFormat="1" ht="38.25" customHeight="1" x14ac:dyDescent="0.25">
      <c r="A76" s="19"/>
      <c r="B76" s="4" t="s">
        <v>142</v>
      </c>
      <c r="C76" s="9" t="s">
        <v>102</v>
      </c>
      <c r="D76" s="2">
        <v>111.8</v>
      </c>
      <c r="E76" s="10">
        <f>D76/25.4</f>
        <v>4.4015748031496065</v>
      </c>
      <c r="F76" s="5"/>
      <c r="G76" s="3" t="s">
        <v>112</v>
      </c>
      <c r="H76" s="3" t="s">
        <v>261</v>
      </c>
      <c r="I76" s="20"/>
    </row>
    <row r="77" spans="1:29" s="34" customFormat="1" ht="24.75" customHeight="1" x14ac:dyDescent="0.25">
      <c r="A77" s="19"/>
      <c r="B77" s="4" t="s">
        <v>146</v>
      </c>
      <c r="C77" s="4" t="s">
        <v>102</v>
      </c>
      <c r="D77" s="2" t="s">
        <v>113</v>
      </c>
      <c r="E77" s="10" t="s">
        <v>208</v>
      </c>
      <c r="F77" s="5"/>
      <c r="G77" s="3" t="s">
        <v>112</v>
      </c>
      <c r="H77" s="3" t="s">
        <v>212</v>
      </c>
      <c r="I77" s="20"/>
    </row>
    <row r="78" spans="1:29" s="34" customFormat="1" ht="64.5" customHeight="1" x14ac:dyDescent="0.25">
      <c r="A78" s="19"/>
      <c r="B78" s="9" t="s">
        <v>57</v>
      </c>
      <c r="C78" s="9" t="s">
        <v>102</v>
      </c>
      <c r="D78" s="2">
        <v>30.5</v>
      </c>
      <c r="E78" s="10">
        <f>D78/25.4</f>
        <v>1.2007874015748032</v>
      </c>
      <c r="F78" s="2"/>
      <c r="G78" s="3" t="s">
        <v>211</v>
      </c>
      <c r="H78" s="3" t="s">
        <v>107</v>
      </c>
      <c r="I78" s="20"/>
    </row>
    <row r="79" spans="1:29" ht="79.5" customHeight="1" x14ac:dyDescent="0.25">
      <c r="A79" s="19"/>
      <c r="B79" s="9" t="s">
        <v>231</v>
      </c>
      <c r="C79" s="9" t="s">
        <v>102</v>
      </c>
      <c r="D79" s="2">
        <v>55.9</v>
      </c>
      <c r="E79" s="10">
        <v>2.2000000000000002</v>
      </c>
      <c r="F79" s="11" t="s">
        <v>102</v>
      </c>
      <c r="G79" s="3" t="s">
        <v>54</v>
      </c>
      <c r="H79" s="3" t="s">
        <v>212</v>
      </c>
      <c r="I79" s="20"/>
    </row>
    <row r="80" spans="1:29" ht="25" x14ac:dyDescent="0.25">
      <c r="A80" s="19"/>
      <c r="B80" s="9" t="s">
        <v>242</v>
      </c>
      <c r="D80" s="2" t="s">
        <v>210</v>
      </c>
      <c r="E80" s="10" t="s">
        <v>209</v>
      </c>
      <c r="G80" s="3" t="s">
        <v>53</v>
      </c>
      <c r="H80" s="3" t="s">
        <v>52</v>
      </c>
      <c r="I80" s="20" t="s">
        <v>257</v>
      </c>
    </row>
    <row r="81" spans="1:29" ht="50" x14ac:dyDescent="0.25">
      <c r="A81" s="19"/>
      <c r="B81" s="9" t="s">
        <v>143</v>
      </c>
      <c r="C81" s="9" t="s">
        <v>102</v>
      </c>
      <c r="D81" s="2">
        <v>55.9</v>
      </c>
      <c r="E81" s="10">
        <v>2.2000000000000002</v>
      </c>
      <c r="G81" s="3" t="s">
        <v>55</v>
      </c>
      <c r="H81" s="3" t="s">
        <v>52</v>
      </c>
      <c r="I81" s="37" t="s">
        <v>263</v>
      </c>
    </row>
    <row r="82" spans="1:29" ht="37.5" x14ac:dyDescent="0.25">
      <c r="A82" s="19"/>
      <c r="B82" s="9" t="s">
        <v>231</v>
      </c>
      <c r="C82" s="9" t="s">
        <v>102</v>
      </c>
      <c r="D82" s="2">
        <v>34.5</v>
      </c>
      <c r="E82" s="10">
        <v>1.36</v>
      </c>
      <c r="G82" s="3" t="s">
        <v>55</v>
      </c>
      <c r="H82" s="3" t="s">
        <v>212</v>
      </c>
      <c r="I82" s="20"/>
    </row>
    <row r="83" spans="1:29" ht="26.25" customHeight="1" x14ac:dyDescent="0.25">
      <c r="A83" s="19"/>
      <c r="B83" s="9" t="s">
        <v>143</v>
      </c>
      <c r="C83" s="9" t="s">
        <v>102</v>
      </c>
      <c r="D83" s="2">
        <v>38.1</v>
      </c>
      <c r="E83" s="10">
        <f>D83/25.4</f>
        <v>1.5000000000000002</v>
      </c>
      <c r="G83" s="3" t="s">
        <v>56</v>
      </c>
      <c r="H83" s="3" t="s">
        <v>52</v>
      </c>
      <c r="I83" s="20"/>
    </row>
    <row r="84" spans="1:29" x14ac:dyDescent="0.25">
      <c r="A84" s="19"/>
      <c r="B84" s="9" t="s">
        <v>144</v>
      </c>
      <c r="C84" s="9" t="s">
        <v>102</v>
      </c>
      <c r="D84" s="2">
        <v>25.4</v>
      </c>
      <c r="E84" s="10">
        <f>D84/25.4</f>
        <v>1</v>
      </c>
      <c r="G84" s="3" t="s">
        <v>58</v>
      </c>
      <c r="H84" s="3" t="s">
        <v>52</v>
      </c>
      <c r="I84" s="20"/>
    </row>
    <row r="85" spans="1:29" ht="12.75" customHeight="1" x14ac:dyDescent="0.25">
      <c r="A85" s="19"/>
      <c r="B85" s="4"/>
      <c r="C85" s="4"/>
      <c r="D85" s="5"/>
      <c r="E85" s="6"/>
      <c r="F85" s="5"/>
      <c r="G85" s="3"/>
      <c r="H85" s="3"/>
      <c r="I85" s="20"/>
    </row>
    <row r="86" spans="1:29" ht="14.25" customHeight="1" thickBot="1" x14ac:dyDescent="0.3">
      <c r="A86" s="19"/>
      <c r="B86" s="4"/>
      <c r="C86" s="4"/>
      <c r="D86" s="5"/>
      <c r="E86" s="6"/>
      <c r="F86" s="5"/>
      <c r="G86" s="3"/>
      <c r="H86" s="3"/>
      <c r="I86" s="20"/>
    </row>
    <row r="87" spans="1:29" ht="0.75" hidden="1" customHeight="1" thickBot="1" x14ac:dyDescent="0.3">
      <c r="A87" s="46"/>
      <c r="B87" s="38"/>
      <c r="C87" s="38"/>
      <c r="D87" s="39"/>
      <c r="E87" s="40"/>
      <c r="F87" s="39"/>
      <c r="G87" s="38"/>
      <c r="H87" s="38"/>
      <c r="I87" s="32"/>
    </row>
    <row r="88" spans="1:29" s="41" customFormat="1" ht="25.5" thickTop="1" x14ac:dyDescent="0.25">
      <c r="A88" s="19" t="s">
        <v>59</v>
      </c>
      <c r="B88" s="9" t="s">
        <v>171</v>
      </c>
      <c r="C88" s="9"/>
      <c r="D88" s="2">
        <v>55.9</v>
      </c>
      <c r="E88" s="10">
        <f>D88/25.4</f>
        <v>2.2007874015748032</v>
      </c>
      <c r="F88" s="2"/>
      <c r="G88" s="3" t="s">
        <v>63</v>
      </c>
      <c r="H88" s="3" t="s">
        <v>4</v>
      </c>
      <c r="I88" s="20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</row>
    <row r="89" spans="1:29" s="34" customFormat="1" x14ac:dyDescent="0.25">
      <c r="A89" s="19"/>
      <c r="B89" s="9" t="s">
        <v>172</v>
      </c>
      <c r="C89" s="9"/>
      <c r="D89" s="2">
        <v>25.4</v>
      </c>
      <c r="E89" s="10">
        <f>D89/25.4</f>
        <v>1</v>
      </c>
      <c r="F89" s="2"/>
      <c r="G89" s="3" t="s">
        <v>61</v>
      </c>
      <c r="H89" s="3" t="s">
        <v>129</v>
      </c>
      <c r="I89" s="20"/>
    </row>
    <row r="90" spans="1:29" x14ac:dyDescent="0.25">
      <c r="A90" s="19"/>
      <c r="B90" s="9" t="s">
        <v>173</v>
      </c>
      <c r="D90" s="2">
        <v>66</v>
      </c>
      <c r="E90" s="10">
        <f>D90/25.4</f>
        <v>2.598425196850394</v>
      </c>
      <c r="G90" s="3" t="s">
        <v>62</v>
      </c>
      <c r="H90" s="3" t="s">
        <v>52</v>
      </c>
      <c r="I90" s="20"/>
    </row>
    <row r="91" spans="1:29" x14ac:dyDescent="0.25">
      <c r="A91" s="19"/>
      <c r="B91" s="4" t="s">
        <v>174</v>
      </c>
      <c r="C91" s="4"/>
      <c r="D91" s="5">
        <v>45.7</v>
      </c>
      <c r="E91" s="10">
        <f>D91/25.4</f>
        <v>1.799212598425197</v>
      </c>
      <c r="F91" s="5"/>
      <c r="G91" s="3" t="s">
        <v>64</v>
      </c>
      <c r="H91" s="3" t="s">
        <v>52</v>
      </c>
      <c r="I91" s="20"/>
    </row>
    <row r="92" spans="1:29" ht="25" x14ac:dyDescent="0.25">
      <c r="A92" s="19"/>
      <c r="B92" s="4" t="s">
        <v>232</v>
      </c>
      <c r="C92" s="4"/>
      <c r="D92" s="5">
        <v>63.5</v>
      </c>
      <c r="E92" s="10">
        <f>D92/25.4</f>
        <v>2.5</v>
      </c>
      <c r="F92" s="5"/>
      <c r="G92" s="3" t="s">
        <v>60</v>
      </c>
      <c r="H92" s="3" t="s">
        <v>52</v>
      </c>
      <c r="I92" s="20"/>
    </row>
    <row r="93" spans="1:29" ht="25.5" customHeight="1" thickBot="1" x14ac:dyDescent="0.3">
      <c r="A93" s="22"/>
      <c r="B93" s="23"/>
      <c r="C93" s="23"/>
      <c r="D93" s="24"/>
      <c r="E93" s="35"/>
      <c r="F93" s="24"/>
      <c r="G93" s="26"/>
      <c r="H93" s="26"/>
      <c r="I93" s="27"/>
    </row>
    <row r="94" spans="1:29" s="36" customFormat="1" ht="13.5" thickTop="1" thickBot="1" x14ac:dyDescent="0.3">
      <c r="A94" s="19"/>
      <c r="B94" s="4"/>
      <c r="C94" s="4"/>
      <c r="D94" s="5"/>
      <c r="E94" s="10"/>
      <c r="F94" s="5"/>
      <c r="G94" s="3"/>
      <c r="H94" s="3"/>
      <c r="I94" s="20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</row>
    <row r="95" spans="1:29" s="34" customFormat="1" ht="13" thickTop="1" x14ac:dyDescent="0.25">
      <c r="A95" s="19" t="s">
        <v>265</v>
      </c>
      <c r="B95" s="4"/>
      <c r="C95" s="4" t="s">
        <v>268</v>
      </c>
      <c r="D95" s="5"/>
      <c r="E95" s="10"/>
      <c r="F95" s="7">
        <v>5640</v>
      </c>
      <c r="G95" s="3" t="s">
        <v>269</v>
      </c>
      <c r="H95" s="3" t="s">
        <v>212</v>
      </c>
      <c r="I95" s="20" t="s">
        <v>270</v>
      </c>
    </row>
    <row r="96" spans="1:29" s="34" customFormat="1" x14ac:dyDescent="0.25">
      <c r="A96" s="19" t="s">
        <v>266</v>
      </c>
      <c r="B96" s="4"/>
      <c r="C96" s="4" t="s">
        <v>273</v>
      </c>
      <c r="D96" s="5"/>
      <c r="E96" s="10"/>
      <c r="F96" s="7">
        <v>18000</v>
      </c>
      <c r="G96" s="3" t="s">
        <v>271</v>
      </c>
      <c r="H96" s="3" t="s">
        <v>129</v>
      </c>
      <c r="I96" s="20"/>
    </row>
    <row r="97" spans="1:24" x14ac:dyDescent="0.25">
      <c r="A97" s="19" t="s">
        <v>267</v>
      </c>
      <c r="B97" s="4"/>
      <c r="C97" s="4" t="s">
        <v>273</v>
      </c>
      <c r="D97" s="5"/>
      <c r="F97" s="7">
        <v>3547</v>
      </c>
      <c r="G97" s="3" t="s">
        <v>272</v>
      </c>
      <c r="H97" s="3" t="s">
        <v>274</v>
      </c>
      <c r="I97" s="20" t="s">
        <v>270</v>
      </c>
    </row>
    <row r="98" spans="1:24" ht="13" thickBot="1" x14ac:dyDescent="0.3">
      <c r="A98" s="22"/>
      <c r="B98" s="23"/>
      <c r="C98" s="23"/>
      <c r="D98" s="24"/>
      <c r="E98" s="35"/>
      <c r="F98" s="24"/>
      <c r="G98" s="26"/>
      <c r="H98" s="26"/>
      <c r="I98" s="27"/>
    </row>
    <row r="99" spans="1:24" s="36" customFormat="1" ht="13.5" thickTop="1" thickBot="1" x14ac:dyDescent="0.3">
      <c r="A99" s="19"/>
      <c r="B99" s="4"/>
      <c r="C99" s="4"/>
      <c r="D99" s="5"/>
      <c r="E99" s="10"/>
      <c r="F99" s="5"/>
      <c r="G99" s="3"/>
      <c r="H99" s="3"/>
      <c r="I99" s="20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spans="1:24" ht="25.5" thickTop="1" x14ac:dyDescent="0.25">
      <c r="A100" s="19" t="s">
        <v>98</v>
      </c>
      <c r="B100" s="4" t="s">
        <v>233</v>
      </c>
      <c r="C100" s="4"/>
      <c r="D100" s="5" t="s">
        <v>102</v>
      </c>
      <c r="E100" s="6"/>
      <c r="F100" s="5" t="s">
        <v>214</v>
      </c>
      <c r="G100" s="4" t="s">
        <v>234</v>
      </c>
      <c r="H100" s="4" t="s">
        <v>52</v>
      </c>
      <c r="I100" s="20"/>
    </row>
    <row r="101" spans="1:24" x14ac:dyDescent="0.25">
      <c r="A101" s="19" t="s">
        <v>97</v>
      </c>
      <c r="B101" s="4"/>
      <c r="C101" s="4"/>
      <c r="D101" s="5"/>
      <c r="E101" s="6"/>
      <c r="F101" s="5"/>
      <c r="G101" s="4"/>
      <c r="H101" s="4"/>
      <c r="I101" s="20"/>
    </row>
    <row r="102" spans="1:24" ht="13" thickBot="1" x14ac:dyDescent="0.3">
      <c r="A102" s="19" t="s">
        <v>102</v>
      </c>
      <c r="B102" s="4"/>
      <c r="C102" s="4"/>
      <c r="D102" s="5"/>
      <c r="E102" s="6"/>
      <c r="F102" s="5"/>
      <c r="G102" s="4"/>
      <c r="H102" s="4"/>
      <c r="I102" s="20"/>
    </row>
    <row r="103" spans="1:24" ht="13" thickTop="1" x14ac:dyDescent="0.25">
      <c r="A103" s="28"/>
      <c r="B103" s="29"/>
      <c r="C103" s="29"/>
      <c r="D103" s="30"/>
      <c r="E103" s="31"/>
      <c r="F103" s="30"/>
      <c r="G103" s="29"/>
      <c r="H103" s="29"/>
      <c r="I103" s="32"/>
    </row>
    <row r="104" spans="1:24" ht="25" x14ac:dyDescent="0.25">
      <c r="A104" s="19" t="s">
        <v>264</v>
      </c>
      <c r="B104" s="9" t="s">
        <v>175</v>
      </c>
      <c r="D104" s="2">
        <v>35.6</v>
      </c>
      <c r="E104" s="10">
        <f>D104/25.4</f>
        <v>1.4015748031496065</v>
      </c>
      <c r="G104" s="3" t="s">
        <v>66</v>
      </c>
      <c r="H104" s="3" t="s">
        <v>52</v>
      </c>
      <c r="I104" s="20"/>
    </row>
    <row r="105" spans="1:24" ht="12.75" customHeight="1" x14ac:dyDescent="0.25">
      <c r="A105" s="19" t="s">
        <v>50</v>
      </c>
      <c r="B105" s="9" t="s">
        <v>176</v>
      </c>
      <c r="D105" s="2">
        <v>7.6</v>
      </c>
      <c r="E105" s="10">
        <f>D105/25.4</f>
        <v>0.29921259842519687</v>
      </c>
      <c r="G105" s="3" t="s">
        <v>65</v>
      </c>
      <c r="H105" s="3" t="s">
        <v>52</v>
      </c>
      <c r="I105" s="20"/>
    </row>
    <row r="106" spans="1:24" x14ac:dyDescent="0.25">
      <c r="A106" s="19"/>
      <c r="B106" s="9" t="s">
        <v>177</v>
      </c>
      <c r="D106" s="2">
        <v>50.8</v>
      </c>
      <c r="E106" s="10">
        <f>D106/25.4</f>
        <v>2</v>
      </c>
      <c r="G106" s="3" t="s">
        <v>67</v>
      </c>
      <c r="H106" s="3" t="s">
        <v>52</v>
      </c>
      <c r="I106" s="20"/>
    </row>
    <row r="107" spans="1:24" x14ac:dyDescent="0.25">
      <c r="A107" s="19"/>
      <c r="B107" s="4" t="s">
        <v>178</v>
      </c>
      <c r="C107" s="4"/>
      <c r="D107" s="5">
        <v>25.4</v>
      </c>
      <c r="E107" s="10">
        <f>D107/25.4</f>
        <v>1</v>
      </c>
      <c r="F107" s="5"/>
      <c r="G107" s="3" t="s">
        <v>58</v>
      </c>
      <c r="H107" s="3" t="s">
        <v>52</v>
      </c>
      <c r="I107" s="20"/>
    </row>
    <row r="108" spans="1:24" ht="13" thickBot="1" x14ac:dyDescent="0.3">
      <c r="A108" s="22"/>
      <c r="B108" s="23"/>
      <c r="C108" s="23"/>
      <c r="D108" s="24"/>
      <c r="E108" s="25"/>
      <c r="F108" s="24"/>
      <c r="G108" s="26"/>
      <c r="H108" s="26"/>
      <c r="I108" s="27"/>
    </row>
    <row r="109" spans="1:24" ht="13" thickTop="1" x14ac:dyDescent="0.25">
      <c r="I109" s="1"/>
    </row>
    <row r="110" spans="1:24" x14ac:dyDescent="0.25">
      <c r="I110" s="1"/>
    </row>
    <row r="111" spans="1:24" x14ac:dyDescent="0.25">
      <c r="I111" s="1"/>
    </row>
    <row r="112" spans="1:24" x14ac:dyDescent="0.25">
      <c r="I112" s="1"/>
    </row>
    <row r="113" spans="9:9" x14ac:dyDescent="0.25">
      <c r="I113" s="1"/>
    </row>
    <row r="114" spans="9:9" x14ac:dyDescent="0.25">
      <c r="I114" s="1"/>
    </row>
    <row r="115" spans="9:9" x14ac:dyDescent="0.25">
      <c r="I115" s="1"/>
    </row>
    <row r="116" spans="9:9" x14ac:dyDescent="0.25">
      <c r="I116" s="1"/>
    </row>
    <row r="117" spans="9:9" x14ac:dyDescent="0.25">
      <c r="I117" s="1"/>
    </row>
    <row r="118" spans="9:9" x14ac:dyDescent="0.25">
      <c r="I118" s="1"/>
    </row>
    <row r="119" spans="9:9" x14ac:dyDescent="0.25">
      <c r="I119" s="1"/>
    </row>
    <row r="120" spans="9:9" x14ac:dyDescent="0.25">
      <c r="I120" s="1"/>
    </row>
    <row r="121" spans="9:9" x14ac:dyDescent="0.25">
      <c r="I121" s="1"/>
    </row>
    <row r="122" spans="9:9" x14ac:dyDescent="0.25">
      <c r="I122" s="1"/>
    </row>
    <row r="123" spans="9:9" x14ac:dyDescent="0.25">
      <c r="I123" s="1"/>
    </row>
    <row r="124" spans="9:9" x14ac:dyDescent="0.25">
      <c r="I124" s="1"/>
    </row>
    <row r="125" spans="9:9" x14ac:dyDescent="0.25">
      <c r="I125" s="1"/>
    </row>
    <row r="126" spans="9:9" x14ac:dyDescent="0.25">
      <c r="I126" s="1"/>
    </row>
    <row r="127" spans="9:9" x14ac:dyDescent="0.25">
      <c r="I127" s="1"/>
    </row>
    <row r="128" spans="9:9" x14ac:dyDescent="0.25">
      <c r="I128" s="1"/>
    </row>
    <row r="129" spans="9:9" x14ac:dyDescent="0.25">
      <c r="I129" s="1"/>
    </row>
    <row r="130" spans="9:9" x14ac:dyDescent="0.25">
      <c r="I130" s="1"/>
    </row>
    <row r="131" spans="9:9" x14ac:dyDescent="0.25">
      <c r="I131" s="1"/>
    </row>
    <row r="132" spans="9:9" x14ac:dyDescent="0.25">
      <c r="I132" s="1"/>
    </row>
    <row r="133" spans="9:9" x14ac:dyDescent="0.25">
      <c r="I133" s="1"/>
    </row>
    <row r="134" spans="9:9" x14ac:dyDescent="0.25">
      <c r="I134" s="1"/>
    </row>
    <row r="135" spans="9:9" x14ac:dyDescent="0.25">
      <c r="I135" s="1"/>
    </row>
    <row r="136" spans="9:9" x14ac:dyDescent="0.25">
      <c r="I136" s="1"/>
    </row>
    <row r="137" spans="9:9" x14ac:dyDescent="0.25">
      <c r="I137" s="1"/>
    </row>
    <row r="138" spans="9:9" x14ac:dyDescent="0.25">
      <c r="I138" s="1"/>
    </row>
    <row r="139" spans="9:9" x14ac:dyDescent="0.25">
      <c r="I139" s="1"/>
    </row>
    <row r="140" spans="9:9" x14ac:dyDescent="0.25">
      <c r="I140" s="1"/>
    </row>
    <row r="141" spans="9:9" x14ac:dyDescent="0.25">
      <c r="I141" s="1"/>
    </row>
    <row r="142" spans="9:9" x14ac:dyDescent="0.25">
      <c r="I142" s="1"/>
    </row>
    <row r="143" spans="9:9" x14ac:dyDescent="0.25">
      <c r="I143" s="1"/>
    </row>
    <row r="144" spans="9:9" x14ac:dyDescent="0.25">
      <c r="I144" s="1"/>
    </row>
    <row r="145" spans="9:9" x14ac:dyDescent="0.25">
      <c r="I145" s="1"/>
    </row>
    <row r="146" spans="9:9" x14ac:dyDescent="0.25">
      <c r="I146" s="1"/>
    </row>
    <row r="147" spans="9:9" x14ac:dyDescent="0.25">
      <c r="I147" s="1"/>
    </row>
    <row r="148" spans="9:9" x14ac:dyDescent="0.25">
      <c r="I148" s="1"/>
    </row>
    <row r="149" spans="9:9" x14ac:dyDescent="0.25">
      <c r="I149" s="1"/>
    </row>
    <row r="150" spans="9:9" x14ac:dyDescent="0.25">
      <c r="I150" s="1"/>
    </row>
    <row r="151" spans="9:9" x14ac:dyDescent="0.25">
      <c r="I151" s="1"/>
    </row>
    <row r="152" spans="9:9" x14ac:dyDescent="0.25">
      <c r="I152" s="1"/>
    </row>
    <row r="153" spans="9:9" x14ac:dyDescent="0.25">
      <c r="I153" s="1"/>
    </row>
    <row r="154" spans="9:9" x14ac:dyDescent="0.25">
      <c r="I154" s="1"/>
    </row>
    <row r="155" spans="9:9" x14ac:dyDescent="0.25">
      <c r="I155" s="1"/>
    </row>
    <row r="156" spans="9:9" x14ac:dyDescent="0.25">
      <c r="I156" s="1"/>
    </row>
    <row r="157" spans="9:9" x14ac:dyDescent="0.25">
      <c r="I157" s="1"/>
    </row>
    <row r="158" spans="9:9" x14ac:dyDescent="0.25">
      <c r="I158" s="1"/>
    </row>
    <row r="159" spans="9:9" x14ac:dyDescent="0.25">
      <c r="I159" s="1"/>
    </row>
    <row r="160" spans="9:9" x14ac:dyDescent="0.25">
      <c r="I160" s="1"/>
    </row>
    <row r="161" spans="9:9" x14ac:dyDescent="0.25">
      <c r="I161" s="1"/>
    </row>
    <row r="162" spans="9:9" x14ac:dyDescent="0.25">
      <c r="I162" s="1"/>
    </row>
    <row r="163" spans="9:9" x14ac:dyDescent="0.25">
      <c r="I163" s="1"/>
    </row>
    <row r="164" spans="9:9" x14ac:dyDescent="0.25">
      <c r="I164" s="1"/>
    </row>
    <row r="165" spans="9:9" x14ac:dyDescent="0.25">
      <c r="I165" s="1"/>
    </row>
    <row r="166" spans="9:9" x14ac:dyDescent="0.25">
      <c r="I166" s="1"/>
    </row>
    <row r="167" spans="9:9" x14ac:dyDescent="0.25">
      <c r="I167" s="1"/>
    </row>
    <row r="168" spans="9:9" x14ac:dyDescent="0.25">
      <c r="I168" s="1"/>
    </row>
    <row r="169" spans="9:9" x14ac:dyDescent="0.25">
      <c r="I169" s="1"/>
    </row>
    <row r="170" spans="9:9" x14ac:dyDescent="0.25">
      <c r="I170" s="1"/>
    </row>
    <row r="171" spans="9:9" x14ac:dyDescent="0.25">
      <c r="I171" s="1"/>
    </row>
    <row r="172" spans="9:9" x14ac:dyDescent="0.25">
      <c r="I172" s="1"/>
    </row>
    <row r="173" spans="9:9" x14ac:dyDescent="0.25">
      <c r="I173" s="1"/>
    </row>
    <row r="174" spans="9:9" x14ac:dyDescent="0.25">
      <c r="I174" s="1"/>
    </row>
    <row r="175" spans="9:9" x14ac:dyDescent="0.25">
      <c r="I175" s="1"/>
    </row>
    <row r="176" spans="9:9" x14ac:dyDescent="0.25">
      <c r="I176" s="1"/>
    </row>
    <row r="177" spans="9:9" x14ac:dyDescent="0.25">
      <c r="I177" s="1"/>
    </row>
    <row r="178" spans="9:9" x14ac:dyDescent="0.25">
      <c r="I178" s="1"/>
    </row>
    <row r="179" spans="9:9" x14ac:dyDescent="0.25">
      <c r="I179" s="1"/>
    </row>
    <row r="180" spans="9:9" x14ac:dyDescent="0.25">
      <c r="I180" s="1"/>
    </row>
    <row r="181" spans="9:9" x14ac:dyDescent="0.25">
      <c r="I181" s="1"/>
    </row>
    <row r="182" spans="9:9" x14ac:dyDescent="0.25">
      <c r="I182" s="1"/>
    </row>
    <row r="183" spans="9:9" x14ac:dyDescent="0.25">
      <c r="I183" s="1"/>
    </row>
    <row r="184" spans="9:9" x14ac:dyDescent="0.25">
      <c r="I184" s="1"/>
    </row>
    <row r="185" spans="9:9" x14ac:dyDescent="0.25">
      <c r="I185" s="1"/>
    </row>
    <row r="186" spans="9:9" x14ac:dyDescent="0.25">
      <c r="I186" s="1"/>
    </row>
    <row r="187" spans="9:9" x14ac:dyDescent="0.25">
      <c r="I187" s="1"/>
    </row>
    <row r="188" spans="9:9" x14ac:dyDescent="0.25">
      <c r="I188" s="1"/>
    </row>
    <row r="189" spans="9:9" x14ac:dyDescent="0.25">
      <c r="I189" s="1"/>
    </row>
    <row r="190" spans="9:9" x14ac:dyDescent="0.25">
      <c r="I190" s="1"/>
    </row>
    <row r="191" spans="9:9" x14ac:dyDescent="0.25">
      <c r="I191" s="1"/>
    </row>
    <row r="192" spans="9:9" x14ac:dyDescent="0.25">
      <c r="I192" s="1"/>
    </row>
    <row r="193" spans="9:9" x14ac:dyDescent="0.25">
      <c r="I193" s="1"/>
    </row>
    <row r="194" spans="9:9" x14ac:dyDescent="0.25">
      <c r="I194" s="1"/>
    </row>
    <row r="195" spans="9:9" x14ac:dyDescent="0.25">
      <c r="I195" s="1"/>
    </row>
    <row r="196" spans="9:9" x14ac:dyDescent="0.25">
      <c r="I196" s="1"/>
    </row>
    <row r="197" spans="9:9" x14ac:dyDescent="0.25">
      <c r="I197" s="1"/>
    </row>
    <row r="198" spans="9:9" x14ac:dyDescent="0.25">
      <c r="I198" s="1"/>
    </row>
    <row r="199" spans="9:9" x14ac:dyDescent="0.25">
      <c r="I199" s="1"/>
    </row>
    <row r="200" spans="9:9" x14ac:dyDescent="0.25">
      <c r="I200" s="1"/>
    </row>
    <row r="201" spans="9:9" x14ac:dyDescent="0.25">
      <c r="I201" s="1"/>
    </row>
    <row r="202" spans="9:9" x14ac:dyDescent="0.25">
      <c r="I202" s="1"/>
    </row>
    <row r="203" spans="9:9" x14ac:dyDescent="0.25">
      <c r="I203" s="1"/>
    </row>
    <row r="204" spans="9:9" x14ac:dyDescent="0.25">
      <c r="I204" s="1"/>
    </row>
    <row r="205" spans="9:9" x14ac:dyDescent="0.25">
      <c r="I205" s="1"/>
    </row>
    <row r="206" spans="9:9" x14ac:dyDescent="0.25">
      <c r="I206" s="1"/>
    </row>
    <row r="207" spans="9:9" x14ac:dyDescent="0.25">
      <c r="I207" s="1"/>
    </row>
    <row r="208" spans="9:9" x14ac:dyDescent="0.25">
      <c r="I208" s="1"/>
    </row>
    <row r="209" spans="9:9" x14ac:dyDescent="0.25">
      <c r="I209" s="1"/>
    </row>
    <row r="210" spans="9:9" x14ac:dyDescent="0.25">
      <c r="I210" s="1"/>
    </row>
    <row r="211" spans="9:9" x14ac:dyDescent="0.25">
      <c r="I211" s="1"/>
    </row>
    <row r="212" spans="9:9" x14ac:dyDescent="0.25">
      <c r="I212" s="1"/>
    </row>
    <row r="213" spans="9:9" x14ac:dyDescent="0.25">
      <c r="I213" s="1"/>
    </row>
    <row r="214" spans="9:9" x14ac:dyDescent="0.25">
      <c r="I214" s="1"/>
    </row>
    <row r="215" spans="9:9" x14ac:dyDescent="0.25">
      <c r="I215" s="1"/>
    </row>
    <row r="216" spans="9:9" x14ac:dyDescent="0.25">
      <c r="I216" s="1"/>
    </row>
    <row r="217" spans="9:9" x14ac:dyDescent="0.25">
      <c r="I217" s="1"/>
    </row>
    <row r="218" spans="9:9" x14ac:dyDescent="0.25">
      <c r="I218" s="1"/>
    </row>
    <row r="219" spans="9:9" x14ac:dyDescent="0.25">
      <c r="I219" s="1"/>
    </row>
    <row r="220" spans="9:9" x14ac:dyDescent="0.25">
      <c r="I220" s="1"/>
    </row>
    <row r="221" spans="9:9" x14ac:dyDescent="0.25">
      <c r="I221" s="1"/>
    </row>
    <row r="222" spans="9:9" x14ac:dyDescent="0.25">
      <c r="I222" s="1"/>
    </row>
    <row r="223" spans="9:9" x14ac:dyDescent="0.25">
      <c r="I223" s="1"/>
    </row>
    <row r="224" spans="9:9" x14ac:dyDescent="0.25">
      <c r="I224" s="1"/>
    </row>
    <row r="225" spans="9:9" x14ac:dyDescent="0.25">
      <c r="I225" s="1"/>
    </row>
    <row r="226" spans="9:9" x14ac:dyDescent="0.25">
      <c r="I226" s="1"/>
    </row>
    <row r="227" spans="9:9" x14ac:dyDescent="0.25">
      <c r="I227" s="1"/>
    </row>
    <row r="228" spans="9:9" x14ac:dyDescent="0.25">
      <c r="I228" s="1"/>
    </row>
    <row r="229" spans="9:9" x14ac:dyDescent="0.25">
      <c r="I229" s="1"/>
    </row>
    <row r="230" spans="9:9" x14ac:dyDescent="0.25">
      <c r="I230" s="1"/>
    </row>
    <row r="231" spans="9:9" x14ac:dyDescent="0.25">
      <c r="I231" s="1"/>
    </row>
    <row r="232" spans="9:9" x14ac:dyDescent="0.25">
      <c r="I232" s="1"/>
    </row>
    <row r="233" spans="9:9" x14ac:dyDescent="0.25">
      <c r="I233" s="1"/>
    </row>
    <row r="234" spans="9:9" x14ac:dyDescent="0.25">
      <c r="I234" s="1"/>
    </row>
    <row r="235" spans="9:9" x14ac:dyDescent="0.25">
      <c r="I235" s="1"/>
    </row>
    <row r="236" spans="9:9" x14ac:dyDescent="0.25">
      <c r="I236" s="1"/>
    </row>
    <row r="237" spans="9:9" x14ac:dyDescent="0.25">
      <c r="I237" s="1"/>
    </row>
    <row r="238" spans="9:9" x14ac:dyDescent="0.25">
      <c r="I238" s="1"/>
    </row>
    <row r="239" spans="9:9" x14ac:dyDescent="0.25">
      <c r="I239" s="1"/>
    </row>
    <row r="240" spans="9:9" x14ac:dyDescent="0.25">
      <c r="I240" s="1"/>
    </row>
    <row r="241" spans="9:9" x14ac:dyDescent="0.25">
      <c r="I241" s="1"/>
    </row>
    <row r="242" spans="9:9" x14ac:dyDescent="0.25">
      <c r="I242" s="1"/>
    </row>
    <row r="243" spans="9:9" x14ac:dyDescent="0.25">
      <c r="I243" s="1"/>
    </row>
    <row r="244" spans="9:9" x14ac:dyDescent="0.25">
      <c r="I244" s="1"/>
    </row>
    <row r="245" spans="9:9" x14ac:dyDescent="0.25">
      <c r="I245" s="1"/>
    </row>
    <row r="246" spans="9:9" x14ac:dyDescent="0.25">
      <c r="I246" s="1"/>
    </row>
    <row r="247" spans="9:9" x14ac:dyDescent="0.25">
      <c r="I247" s="1"/>
    </row>
    <row r="248" spans="9:9" x14ac:dyDescent="0.25">
      <c r="I248" s="1"/>
    </row>
    <row r="249" spans="9:9" x14ac:dyDescent="0.25">
      <c r="I249" s="1"/>
    </row>
    <row r="250" spans="9:9" x14ac:dyDescent="0.25">
      <c r="I250" s="1"/>
    </row>
    <row r="251" spans="9:9" x14ac:dyDescent="0.25">
      <c r="I251" s="1"/>
    </row>
    <row r="252" spans="9:9" x14ac:dyDescent="0.25">
      <c r="I252" s="1"/>
    </row>
    <row r="253" spans="9:9" x14ac:dyDescent="0.25">
      <c r="I253" s="1"/>
    </row>
    <row r="254" spans="9:9" x14ac:dyDescent="0.25">
      <c r="I254" s="1"/>
    </row>
    <row r="255" spans="9:9" x14ac:dyDescent="0.25">
      <c r="I255" s="1"/>
    </row>
    <row r="256" spans="9:9" x14ac:dyDescent="0.25">
      <c r="I256" s="1"/>
    </row>
    <row r="257" spans="9:9" x14ac:dyDescent="0.25">
      <c r="I257" s="1"/>
    </row>
    <row r="258" spans="9:9" x14ac:dyDescent="0.25">
      <c r="I258" s="1"/>
    </row>
    <row r="259" spans="9:9" x14ac:dyDescent="0.25">
      <c r="I259" s="1"/>
    </row>
    <row r="260" spans="9:9" x14ac:dyDescent="0.25">
      <c r="I260" s="1"/>
    </row>
    <row r="261" spans="9:9" x14ac:dyDescent="0.25">
      <c r="I261" s="1"/>
    </row>
    <row r="262" spans="9:9" x14ac:dyDescent="0.25">
      <c r="I262" s="1"/>
    </row>
    <row r="263" spans="9:9" x14ac:dyDescent="0.25">
      <c r="I263" s="1"/>
    </row>
    <row r="264" spans="9:9" x14ac:dyDescent="0.25">
      <c r="I264" s="1"/>
    </row>
    <row r="265" spans="9:9" x14ac:dyDescent="0.25">
      <c r="I265" s="1"/>
    </row>
    <row r="266" spans="9:9" x14ac:dyDescent="0.25">
      <c r="I266" s="1"/>
    </row>
    <row r="267" spans="9:9" x14ac:dyDescent="0.25">
      <c r="I267" s="1"/>
    </row>
    <row r="268" spans="9:9" x14ac:dyDescent="0.25">
      <c r="I268" s="1"/>
    </row>
    <row r="269" spans="9:9" x14ac:dyDescent="0.25">
      <c r="I269" s="1"/>
    </row>
    <row r="270" spans="9:9" x14ac:dyDescent="0.25">
      <c r="I270" s="1"/>
    </row>
    <row r="271" spans="9:9" x14ac:dyDescent="0.25">
      <c r="I271" s="1"/>
    </row>
    <row r="272" spans="9:9" x14ac:dyDescent="0.25">
      <c r="I272" s="1"/>
    </row>
    <row r="273" spans="9:9" x14ac:dyDescent="0.25">
      <c r="I273" s="1"/>
    </row>
    <row r="274" spans="9:9" x14ac:dyDescent="0.25">
      <c r="I274" s="1"/>
    </row>
    <row r="275" spans="9:9" x14ac:dyDescent="0.25">
      <c r="I275" s="1"/>
    </row>
    <row r="276" spans="9:9" x14ac:dyDescent="0.25">
      <c r="I276" s="1"/>
    </row>
    <row r="277" spans="9:9" x14ac:dyDescent="0.25">
      <c r="I277" s="1"/>
    </row>
    <row r="278" spans="9:9" x14ac:dyDescent="0.25">
      <c r="I278" s="1"/>
    </row>
    <row r="279" spans="9:9" x14ac:dyDescent="0.25">
      <c r="I279" s="1"/>
    </row>
    <row r="280" spans="9:9" x14ac:dyDescent="0.25">
      <c r="I280" s="1"/>
    </row>
    <row r="281" spans="9:9" x14ac:dyDescent="0.25">
      <c r="I281" s="1"/>
    </row>
    <row r="282" spans="9:9" x14ac:dyDescent="0.25">
      <c r="I282" s="1"/>
    </row>
    <row r="283" spans="9:9" x14ac:dyDescent="0.25">
      <c r="I283" s="1"/>
    </row>
    <row r="284" spans="9:9" x14ac:dyDescent="0.25">
      <c r="I284" s="1"/>
    </row>
    <row r="285" spans="9:9" x14ac:dyDescent="0.25">
      <c r="I285" s="1"/>
    </row>
    <row r="286" spans="9:9" x14ac:dyDescent="0.25">
      <c r="I286" s="1"/>
    </row>
    <row r="287" spans="9:9" x14ac:dyDescent="0.25">
      <c r="I287" s="1"/>
    </row>
    <row r="288" spans="9:9" x14ac:dyDescent="0.25">
      <c r="I288" s="1"/>
    </row>
    <row r="289" spans="9:9" x14ac:dyDescent="0.25">
      <c r="I289" s="1"/>
    </row>
    <row r="290" spans="9:9" x14ac:dyDescent="0.25">
      <c r="I290" s="1"/>
    </row>
    <row r="291" spans="9:9" x14ac:dyDescent="0.25">
      <c r="I291" s="1"/>
    </row>
    <row r="292" spans="9:9" x14ac:dyDescent="0.25">
      <c r="I292" s="1"/>
    </row>
    <row r="293" spans="9:9" x14ac:dyDescent="0.25">
      <c r="I293" s="1"/>
    </row>
    <row r="294" spans="9:9" x14ac:dyDescent="0.25">
      <c r="I294" s="1"/>
    </row>
    <row r="295" spans="9:9" x14ac:dyDescent="0.25">
      <c r="I295" s="1"/>
    </row>
    <row r="296" spans="9:9" x14ac:dyDescent="0.25">
      <c r="I296" s="1"/>
    </row>
    <row r="297" spans="9:9" x14ac:dyDescent="0.25">
      <c r="I297" s="1"/>
    </row>
    <row r="298" spans="9:9" x14ac:dyDescent="0.25">
      <c r="I298" s="1"/>
    </row>
    <row r="299" spans="9:9" x14ac:dyDescent="0.25">
      <c r="I299" s="1"/>
    </row>
    <row r="300" spans="9:9" x14ac:dyDescent="0.25">
      <c r="I300" s="1"/>
    </row>
    <row r="301" spans="9:9" x14ac:dyDescent="0.25">
      <c r="I301" s="1"/>
    </row>
    <row r="302" spans="9:9" x14ac:dyDescent="0.25">
      <c r="I302" s="1"/>
    </row>
    <row r="303" spans="9:9" x14ac:dyDescent="0.25">
      <c r="I303" s="1"/>
    </row>
    <row r="304" spans="9:9" x14ac:dyDescent="0.25">
      <c r="I304" s="1"/>
    </row>
    <row r="305" spans="9:9" x14ac:dyDescent="0.25">
      <c r="I305" s="1"/>
    </row>
    <row r="306" spans="9:9" x14ac:dyDescent="0.25">
      <c r="I306" s="1"/>
    </row>
    <row r="307" spans="9:9" x14ac:dyDescent="0.25">
      <c r="I307" s="1"/>
    </row>
    <row r="308" spans="9:9" x14ac:dyDescent="0.25">
      <c r="I308" s="1"/>
    </row>
    <row r="309" spans="9:9" x14ac:dyDescent="0.25">
      <c r="I309" s="1"/>
    </row>
    <row r="310" spans="9:9" x14ac:dyDescent="0.25">
      <c r="I310" s="1"/>
    </row>
    <row r="311" spans="9:9" x14ac:dyDescent="0.25">
      <c r="I311" s="1"/>
    </row>
    <row r="312" spans="9:9" x14ac:dyDescent="0.25">
      <c r="I312" s="1"/>
    </row>
    <row r="313" spans="9:9" x14ac:dyDescent="0.25">
      <c r="I313" s="1"/>
    </row>
    <row r="314" spans="9:9" x14ac:dyDescent="0.25">
      <c r="I314" s="1"/>
    </row>
    <row r="315" spans="9:9" x14ac:dyDescent="0.25">
      <c r="I315" s="1"/>
    </row>
    <row r="316" spans="9:9" x14ac:dyDescent="0.25">
      <c r="I316" s="1"/>
    </row>
    <row r="317" spans="9:9" x14ac:dyDescent="0.25">
      <c r="I317" s="1"/>
    </row>
    <row r="318" spans="9:9" x14ac:dyDescent="0.25">
      <c r="I318" s="1"/>
    </row>
    <row r="319" spans="9:9" x14ac:dyDescent="0.25">
      <c r="I319" s="1"/>
    </row>
    <row r="320" spans="9:9" x14ac:dyDescent="0.25">
      <c r="I320" s="1"/>
    </row>
    <row r="321" spans="9:9" x14ac:dyDescent="0.25">
      <c r="I321" s="1"/>
    </row>
    <row r="322" spans="9:9" x14ac:dyDescent="0.25">
      <c r="I322" s="1"/>
    </row>
    <row r="323" spans="9:9" x14ac:dyDescent="0.25">
      <c r="I323" s="1"/>
    </row>
    <row r="324" spans="9:9" x14ac:dyDescent="0.25">
      <c r="I324" s="1"/>
    </row>
    <row r="325" spans="9:9" x14ac:dyDescent="0.25">
      <c r="I325" s="1"/>
    </row>
    <row r="326" spans="9:9" x14ac:dyDescent="0.25">
      <c r="I326" s="1"/>
    </row>
    <row r="327" spans="9:9" x14ac:dyDescent="0.25">
      <c r="I327" s="1"/>
    </row>
    <row r="328" spans="9:9" x14ac:dyDescent="0.25">
      <c r="I328" s="1"/>
    </row>
    <row r="329" spans="9:9" x14ac:dyDescent="0.25">
      <c r="I329" s="1"/>
    </row>
    <row r="330" spans="9:9" x14ac:dyDescent="0.25">
      <c r="I330" s="1"/>
    </row>
    <row r="331" spans="9:9" x14ac:dyDescent="0.25">
      <c r="I331" s="1"/>
    </row>
    <row r="332" spans="9:9" x14ac:dyDescent="0.25">
      <c r="I332" s="1"/>
    </row>
    <row r="333" spans="9:9" x14ac:dyDescent="0.25">
      <c r="I333" s="1"/>
    </row>
    <row r="334" spans="9:9" x14ac:dyDescent="0.25">
      <c r="I334" s="1"/>
    </row>
    <row r="335" spans="9:9" x14ac:dyDescent="0.25">
      <c r="I335" s="1"/>
    </row>
    <row r="336" spans="9:9" x14ac:dyDescent="0.25">
      <c r="I336" s="1"/>
    </row>
    <row r="337" spans="9:9" x14ac:dyDescent="0.25">
      <c r="I337" s="1"/>
    </row>
    <row r="338" spans="9:9" x14ac:dyDescent="0.25">
      <c r="I338" s="1"/>
    </row>
    <row r="339" spans="9:9" x14ac:dyDescent="0.25">
      <c r="I339" s="1"/>
    </row>
    <row r="340" spans="9:9" x14ac:dyDescent="0.25">
      <c r="I340" s="1"/>
    </row>
    <row r="341" spans="9:9" x14ac:dyDescent="0.25">
      <c r="I341" s="1"/>
    </row>
    <row r="342" spans="9:9" x14ac:dyDescent="0.25">
      <c r="I342" s="1"/>
    </row>
    <row r="343" spans="9:9" x14ac:dyDescent="0.25">
      <c r="I343" s="1"/>
    </row>
    <row r="344" spans="9:9" x14ac:dyDescent="0.25">
      <c r="I344" s="1"/>
    </row>
    <row r="345" spans="9:9" x14ac:dyDescent="0.25">
      <c r="I345" s="1"/>
    </row>
    <row r="346" spans="9:9" x14ac:dyDescent="0.25">
      <c r="I346" s="1"/>
    </row>
    <row r="347" spans="9:9" x14ac:dyDescent="0.25">
      <c r="I347" s="1"/>
    </row>
    <row r="348" spans="9:9" x14ac:dyDescent="0.25">
      <c r="I348" s="1"/>
    </row>
    <row r="349" spans="9:9" x14ac:dyDescent="0.25">
      <c r="I349" s="1"/>
    </row>
    <row r="350" spans="9:9" x14ac:dyDescent="0.25">
      <c r="I350" s="1"/>
    </row>
    <row r="351" spans="9:9" x14ac:dyDescent="0.25">
      <c r="I351" s="1"/>
    </row>
    <row r="352" spans="9:9" x14ac:dyDescent="0.25">
      <c r="I352" s="1"/>
    </row>
    <row r="353" spans="9:9" x14ac:dyDescent="0.25">
      <c r="I353" s="1"/>
    </row>
    <row r="354" spans="9:9" x14ac:dyDescent="0.25">
      <c r="I354" s="1"/>
    </row>
    <row r="355" spans="9:9" x14ac:dyDescent="0.25">
      <c r="I355" s="1"/>
    </row>
    <row r="356" spans="9:9" x14ac:dyDescent="0.25">
      <c r="I356" s="1"/>
    </row>
    <row r="357" spans="9:9" x14ac:dyDescent="0.25">
      <c r="I357" s="1"/>
    </row>
    <row r="358" spans="9:9" x14ac:dyDescent="0.25">
      <c r="I358" s="1"/>
    </row>
    <row r="359" spans="9:9" x14ac:dyDescent="0.25">
      <c r="I359" s="1"/>
    </row>
    <row r="360" spans="9:9" x14ac:dyDescent="0.25">
      <c r="I360" s="1"/>
    </row>
    <row r="361" spans="9:9" x14ac:dyDescent="0.25">
      <c r="I361" s="1"/>
    </row>
    <row r="362" spans="9:9" x14ac:dyDescent="0.25">
      <c r="I362" s="1"/>
    </row>
    <row r="363" spans="9:9" x14ac:dyDescent="0.25">
      <c r="I363" s="1"/>
    </row>
    <row r="364" spans="9:9" x14ac:dyDescent="0.25">
      <c r="I364" s="1"/>
    </row>
    <row r="365" spans="9:9" x14ac:dyDescent="0.25">
      <c r="I365" s="1"/>
    </row>
    <row r="366" spans="9:9" x14ac:dyDescent="0.25">
      <c r="I366" s="1"/>
    </row>
    <row r="367" spans="9:9" x14ac:dyDescent="0.25">
      <c r="I367" s="1"/>
    </row>
    <row r="368" spans="9:9" x14ac:dyDescent="0.25">
      <c r="I368" s="1"/>
    </row>
    <row r="369" spans="9:9" x14ac:dyDescent="0.25">
      <c r="I369" s="1"/>
    </row>
    <row r="370" spans="9:9" x14ac:dyDescent="0.25">
      <c r="I370" s="1"/>
    </row>
    <row r="371" spans="9:9" x14ac:dyDescent="0.25">
      <c r="I371" s="1"/>
    </row>
    <row r="372" spans="9:9" x14ac:dyDescent="0.25">
      <c r="I372" s="1"/>
    </row>
    <row r="373" spans="9:9" x14ac:dyDescent="0.25">
      <c r="I373" s="1"/>
    </row>
    <row r="374" spans="9:9" x14ac:dyDescent="0.25">
      <c r="I374" s="1"/>
    </row>
    <row r="375" spans="9:9" x14ac:dyDescent="0.25">
      <c r="I375" s="1"/>
    </row>
    <row r="376" spans="9:9" x14ac:dyDescent="0.25">
      <c r="I376" s="1"/>
    </row>
    <row r="377" spans="9:9" x14ac:dyDescent="0.25">
      <c r="I377" s="1"/>
    </row>
    <row r="378" spans="9:9" x14ac:dyDescent="0.25">
      <c r="I378" s="1"/>
    </row>
    <row r="379" spans="9:9" x14ac:dyDescent="0.25">
      <c r="I379" s="1"/>
    </row>
    <row r="380" spans="9:9" x14ac:dyDescent="0.25">
      <c r="I380" s="1"/>
    </row>
    <row r="381" spans="9:9" x14ac:dyDescent="0.25">
      <c r="I381" s="1"/>
    </row>
    <row r="382" spans="9:9" x14ac:dyDescent="0.25">
      <c r="I382" s="1"/>
    </row>
    <row r="383" spans="9:9" x14ac:dyDescent="0.25">
      <c r="I383" s="1"/>
    </row>
    <row r="384" spans="9:9" x14ac:dyDescent="0.25">
      <c r="I384" s="1"/>
    </row>
    <row r="385" spans="9:9" x14ac:dyDescent="0.25">
      <c r="I385" s="1"/>
    </row>
    <row r="386" spans="9:9" x14ac:dyDescent="0.25">
      <c r="I386" s="1"/>
    </row>
    <row r="387" spans="9:9" x14ac:dyDescent="0.25">
      <c r="I387" s="1"/>
    </row>
    <row r="388" spans="9:9" x14ac:dyDescent="0.25">
      <c r="I388" s="1"/>
    </row>
    <row r="389" spans="9:9" x14ac:dyDescent="0.25">
      <c r="I389" s="1"/>
    </row>
    <row r="390" spans="9:9" x14ac:dyDescent="0.25">
      <c r="I390" s="1"/>
    </row>
    <row r="391" spans="9:9" x14ac:dyDescent="0.25">
      <c r="I391" s="1"/>
    </row>
    <row r="392" spans="9:9" x14ac:dyDescent="0.25">
      <c r="I392" s="1"/>
    </row>
    <row r="393" spans="9:9" x14ac:dyDescent="0.25">
      <c r="I393" s="1"/>
    </row>
    <row r="394" spans="9:9" x14ac:dyDescent="0.25">
      <c r="I394" s="1"/>
    </row>
    <row r="395" spans="9:9" x14ac:dyDescent="0.25">
      <c r="I395" s="1"/>
    </row>
    <row r="396" spans="9:9" x14ac:dyDescent="0.25">
      <c r="I396" s="1"/>
    </row>
    <row r="397" spans="9:9" x14ac:dyDescent="0.25">
      <c r="I397" s="1"/>
    </row>
    <row r="398" spans="9:9" x14ac:dyDescent="0.25">
      <c r="I398" s="1"/>
    </row>
    <row r="399" spans="9:9" x14ac:dyDescent="0.25">
      <c r="I399" s="1"/>
    </row>
    <row r="400" spans="9:9" x14ac:dyDescent="0.25">
      <c r="I400" s="1"/>
    </row>
    <row r="401" spans="9:9" x14ac:dyDescent="0.25">
      <c r="I401" s="1"/>
    </row>
    <row r="402" spans="9:9" x14ac:dyDescent="0.25">
      <c r="I402" s="1"/>
    </row>
    <row r="403" spans="9:9" x14ac:dyDescent="0.25">
      <c r="I403" s="1"/>
    </row>
    <row r="404" spans="9:9" x14ac:dyDescent="0.25">
      <c r="I404" s="1"/>
    </row>
    <row r="405" spans="9:9" x14ac:dyDescent="0.25">
      <c r="I405" s="1"/>
    </row>
    <row r="406" spans="9:9" x14ac:dyDescent="0.25">
      <c r="I406" s="1"/>
    </row>
    <row r="407" spans="9:9" x14ac:dyDescent="0.25">
      <c r="I407" s="1"/>
    </row>
    <row r="408" spans="9:9" x14ac:dyDescent="0.25">
      <c r="I408" s="1"/>
    </row>
    <row r="409" spans="9:9" x14ac:dyDescent="0.25">
      <c r="I409" s="1"/>
    </row>
    <row r="410" spans="9:9" x14ac:dyDescent="0.25">
      <c r="I410" s="1"/>
    </row>
    <row r="411" spans="9:9" x14ac:dyDescent="0.25">
      <c r="I411" s="1"/>
    </row>
    <row r="412" spans="9:9" x14ac:dyDescent="0.25">
      <c r="I412" s="1"/>
    </row>
    <row r="413" spans="9:9" x14ac:dyDescent="0.25">
      <c r="I413" s="1"/>
    </row>
    <row r="414" spans="9:9" x14ac:dyDescent="0.25">
      <c r="I414" s="1"/>
    </row>
    <row r="415" spans="9:9" x14ac:dyDescent="0.25">
      <c r="I415" s="1"/>
    </row>
    <row r="416" spans="9:9" x14ac:dyDescent="0.25">
      <c r="I416" s="1"/>
    </row>
    <row r="417" spans="9:9" x14ac:dyDescent="0.25">
      <c r="I417" s="1"/>
    </row>
    <row r="418" spans="9:9" x14ac:dyDescent="0.25">
      <c r="I418" s="1"/>
    </row>
    <row r="419" spans="9:9" x14ac:dyDescent="0.25">
      <c r="I419" s="1"/>
    </row>
    <row r="420" spans="9:9" x14ac:dyDescent="0.25">
      <c r="I420" s="1"/>
    </row>
    <row r="421" spans="9:9" x14ac:dyDescent="0.25">
      <c r="I421" s="1"/>
    </row>
    <row r="422" spans="9:9" x14ac:dyDescent="0.25">
      <c r="I422" s="1"/>
    </row>
    <row r="423" spans="9:9" x14ac:dyDescent="0.25">
      <c r="I423" s="1"/>
    </row>
    <row r="424" spans="9:9" x14ac:dyDescent="0.25">
      <c r="I424" s="1"/>
    </row>
    <row r="425" spans="9:9" x14ac:dyDescent="0.25">
      <c r="I425" s="1"/>
    </row>
    <row r="426" spans="9:9" x14ac:dyDescent="0.25">
      <c r="I426" s="1"/>
    </row>
    <row r="427" spans="9:9" x14ac:dyDescent="0.25">
      <c r="I427" s="1"/>
    </row>
    <row r="428" spans="9:9" x14ac:dyDescent="0.25">
      <c r="I428" s="1"/>
    </row>
    <row r="429" spans="9:9" x14ac:dyDescent="0.25">
      <c r="I429" s="1"/>
    </row>
    <row r="430" spans="9:9" x14ac:dyDescent="0.25">
      <c r="I430" s="1"/>
    </row>
    <row r="431" spans="9:9" x14ac:dyDescent="0.25">
      <c r="I431" s="1"/>
    </row>
    <row r="432" spans="9:9" x14ac:dyDescent="0.25">
      <c r="I432" s="1"/>
    </row>
    <row r="433" spans="9:9" x14ac:dyDescent="0.25">
      <c r="I433" s="1"/>
    </row>
    <row r="434" spans="9:9" x14ac:dyDescent="0.25">
      <c r="I434" s="1"/>
    </row>
    <row r="435" spans="9:9" x14ac:dyDescent="0.25">
      <c r="I435" s="1"/>
    </row>
    <row r="436" spans="9:9" x14ac:dyDescent="0.25">
      <c r="I436" s="1"/>
    </row>
    <row r="437" spans="9:9" x14ac:dyDescent="0.25">
      <c r="I437" s="1"/>
    </row>
    <row r="438" spans="9:9" x14ac:dyDescent="0.25">
      <c r="I438" s="1"/>
    </row>
    <row r="439" spans="9:9" x14ac:dyDescent="0.25">
      <c r="I439" s="1"/>
    </row>
    <row r="440" spans="9:9" x14ac:dyDescent="0.25">
      <c r="I440" s="1"/>
    </row>
    <row r="441" spans="9:9" x14ac:dyDescent="0.25">
      <c r="I441" s="1"/>
    </row>
    <row r="442" spans="9:9" x14ac:dyDescent="0.25">
      <c r="I442" s="1"/>
    </row>
    <row r="443" spans="9:9" x14ac:dyDescent="0.25">
      <c r="I443" s="1"/>
    </row>
    <row r="444" spans="9:9" x14ac:dyDescent="0.25">
      <c r="I444" s="1"/>
    </row>
    <row r="445" spans="9:9" x14ac:dyDescent="0.25">
      <c r="I445" s="1"/>
    </row>
    <row r="446" spans="9:9" x14ac:dyDescent="0.25">
      <c r="I446" s="1"/>
    </row>
    <row r="447" spans="9:9" x14ac:dyDescent="0.25">
      <c r="I447" s="1"/>
    </row>
    <row r="448" spans="9:9" x14ac:dyDescent="0.25">
      <c r="I448" s="1"/>
    </row>
    <row r="449" spans="9:9" x14ac:dyDescent="0.25">
      <c r="I449" s="1"/>
    </row>
    <row r="450" spans="9:9" x14ac:dyDescent="0.25">
      <c r="I450" s="1"/>
    </row>
    <row r="451" spans="9:9" x14ac:dyDescent="0.25">
      <c r="I451" s="1"/>
    </row>
    <row r="452" spans="9:9" x14ac:dyDescent="0.25">
      <c r="I452" s="1"/>
    </row>
    <row r="453" spans="9:9" x14ac:dyDescent="0.25">
      <c r="I453" s="1"/>
    </row>
    <row r="454" spans="9:9" x14ac:dyDescent="0.25">
      <c r="I454" s="1"/>
    </row>
    <row r="455" spans="9:9" x14ac:dyDescent="0.25">
      <c r="I455" s="1"/>
    </row>
    <row r="456" spans="9:9" x14ac:dyDescent="0.25">
      <c r="I456" s="1"/>
    </row>
    <row r="457" spans="9:9" x14ac:dyDescent="0.25">
      <c r="I457" s="1"/>
    </row>
    <row r="458" spans="9:9" x14ac:dyDescent="0.25">
      <c r="I458" s="1"/>
    </row>
    <row r="459" spans="9:9" x14ac:dyDescent="0.25">
      <c r="I459" s="1"/>
    </row>
    <row r="460" spans="9:9" x14ac:dyDescent="0.25">
      <c r="I460" s="1"/>
    </row>
    <row r="461" spans="9:9" x14ac:dyDescent="0.25">
      <c r="I461" s="1"/>
    </row>
    <row r="462" spans="9:9" x14ac:dyDescent="0.25">
      <c r="I462" s="1"/>
    </row>
    <row r="463" spans="9:9" x14ac:dyDescent="0.25">
      <c r="I463" s="1"/>
    </row>
    <row r="464" spans="9:9" x14ac:dyDescent="0.25">
      <c r="I464" s="1"/>
    </row>
    <row r="465" spans="9:9" x14ac:dyDescent="0.25">
      <c r="I465" s="1"/>
    </row>
    <row r="466" spans="9:9" x14ac:dyDescent="0.25">
      <c r="I466" s="1"/>
    </row>
    <row r="467" spans="9:9" x14ac:dyDescent="0.25">
      <c r="I467" s="1"/>
    </row>
    <row r="468" spans="9:9" x14ac:dyDescent="0.25">
      <c r="I468" s="1"/>
    </row>
    <row r="469" spans="9:9" x14ac:dyDescent="0.25">
      <c r="I469" s="1"/>
    </row>
    <row r="470" spans="9:9" x14ac:dyDescent="0.25">
      <c r="I470" s="1"/>
    </row>
    <row r="471" spans="9:9" x14ac:dyDescent="0.25">
      <c r="I471" s="1"/>
    </row>
    <row r="472" spans="9:9" x14ac:dyDescent="0.25">
      <c r="I472" s="1"/>
    </row>
    <row r="473" spans="9:9" x14ac:dyDescent="0.25">
      <c r="I473" s="1"/>
    </row>
    <row r="474" spans="9:9" x14ac:dyDescent="0.25">
      <c r="I474" s="1"/>
    </row>
    <row r="475" spans="9:9" x14ac:dyDescent="0.25">
      <c r="I475" s="1"/>
    </row>
    <row r="476" spans="9:9" x14ac:dyDescent="0.25">
      <c r="I476" s="1"/>
    </row>
    <row r="477" spans="9:9" x14ac:dyDescent="0.25">
      <c r="I477" s="1"/>
    </row>
    <row r="478" spans="9:9" x14ac:dyDescent="0.25">
      <c r="I478" s="1"/>
    </row>
    <row r="479" spans="9:9" x14ac:dyDescent="0.25">
      <c r="I479" s="1"/>
    </row>
    <row r="480" spans="9:9" x14ac:dyDescent="0.25">
      <c r="I480" s="1"/>
    </row>
    <row r="481" spans="9:9" x14ac:dyDescent="0.25">
      <c r="I481" s="1"/>
    </row>
    <row r="482" spans="9:9" x14ac:dyDescent="0.25">
      <c r="I482" s="1"/>
    </row>
    <row r="483" spans="9:9" x14ac:dyDescent="0.25">
      <c r="I483" s="1"/>
    </row>
    <row r="484" spans="9:9" x14ac:dyDescent="0.25">
      <c r="I484" s="1"/>
    </row>
    <row r="485" spans="9:9" x14ac:dyDescent="0.25">
      <c r="I485" s="1"/>
    </row>
    <row r="486" spans="9:9" x14ac:dyDescent="0.25">
      <c r="I486" s="1"/>
    </row>
    <row r="487" spans="9:9" x14ac:dyDescent="0.25">
      <c r="I487" s="1"/>
    </row>
    <row r="488" spans="9:9" x14ac:dyDescent="0.25">
      <c r="I488" s="1"/>
    </row>
    <row r="489" spans="9:9" x14ac:dyDescent="0.25">
      <c r="I489" s="1"/>
    </row>
    <row r="490" spans="9:9" x14ac:dyDescent="0.25">
      <c r="I490" s="1"/>
    </row>
    <row r="491" spans="9:9" x14ac:dyDescent="0.25">
      <c r="I491" s="1"/>
    </row>
    <row r="492" spans="9:9" x14ac:dyDescent="0.25">
      <c r="I492" s="1"/>
    </row>
    <row r="493" spans="9:9" x14ac:dyDescent="0.25">
      <c r="I493" s="1"/>
    </row>
    <row r="494" spans="9:9" x14ac:dyDescent="0.25">
      <c r="I494" s="1"/>
    </row>
    <row r="495" spans="9:9" x14ac:dyDescent="0.25">
      <c r="I495" s="1"/>
    </row>
    <row r="496" spans="9:9" x14ac:dyDescent="0.25">
      <c r="I496" s="1"/>
    </row>
    <row r="497" spans="9:9" x14ac:dyDescent="0.25">
      <c r="I497" s="1"/>
    </row>
    <row r="498" spans="9:9" x14ac:dyDescent="0.25">
      <c r="I498" s="1"/>
    </row>
    <row r="499" spans="9:9" x14ac:dyDescent="0.25">
      <c r="I499" s="1"/>
    </row>
    <row r="500" spans="9:9" x14ac:dyDescent="0.25">
      <c r="I500" s="1"/>
    </row>
    <row r="501" spans="9:9" x14ac:dyDescent="0.25">
      <c r="I501" s="1"/>
    </row>
    <row r="502" spans="9:9" x14ac:dyDescent="0.25">
      <c r="I502" s="1"/>
    </row>
    <row r="503" spans="9:9" x14ac:dyDescent="0.25">
      <c r="I503" s="1"/>
    </row>
    <row r="504" spans="9:9" x14ac:dyDescent="0.25">
      <c r="I504" s="1"/>
    </row>
    <row r="505" spans="9:9" x14ac:dyDescent="0.25">
      <c r="I505" s="1"/>
    </row>
    <row r="506" spans="9:9" x14ac:dyDescent="0.25">
      <c r="I506" s="1"/>
    </row>
    <row r="507" spans="9:9" x14ac:dyDescent="0.25">
      <c r="I507" s="1"/>
    </row>
    <row r="508" spans="9:9" x14ac:dyDescent="0.25">
      <c r="I508" s="1"/>
    </row>
    <row r="509" spans="9:9" x14ac:dyDescent="0.25">
      <c r="I509" s="1"/>
    </row>
    <row r="510" spans="9:9" x14ac:dyDescent="0.25">
      <c r="I510" s="1"/>
    </row>
    <row r="511" spans="9:9" x14ac:dyDescent="0.25">
      <c r="I511" s="1"/>
    </row>
    <row r="512" spans="9:9" x14ac:dyDescent="0.25">
      <c r="I512" s="1"/>
    </row>
    <row r="513" spans="9:9" x14ac:dyDescent="0.25">
      <c r="I513" s="1"/>
    </row>
    <row r="514" spans="9:9" x14ac:dyDescent="0.25">
      <c r="I514" s="1"/>
    </row>
    <row r="515" spans="9:9" x14ac:dyDescent="0.25">
      <c r="I515" s="1"/>
    </row>
    <row r="516" spans="9:9" x14ac:dyDescent="0.25">
      <c r="I516" s="1"/>
    </row>
    <row r="517" spans="9:9" x14ac:dyDescent="0.25">
      <c r="I517" s="1"/>
    </row>
    <row r="518" spans="9:9" x14ac:dyDescent="0.25">
      <c r="I518" s="1"/>
    </row>
    <row r="519" spans="9:9" x14ac:dyDescent="0.25">
      <c r="I519" s="1"/>
    </row>
    <row r="520" spans="9:9" x14ac:dyDescent="0.25">
      <c r="I520" s="1"/>
    </row>
    <row r="521" spans="9:9" x14ac:dyDescent="0.25">
      <c r="I521" s="1"/>
    </row>
    <row r="522" spans="9:9" x14ac:dyDescent="0.25">
      <c r="I522" s="1"/>
    </row>
    <row r="523" spans="9:9" x14ac:dyDescent="0.25">
      <c r="I523" s="1"/>
    </row>
    <row r="524" spans="9:9" x14ac:dyDescent="0.25">
      <c r="I524" s="1"/>
    </row>
    <row r="525" spans="9:9" x14ac:dyDescent="0.25">
      <c r="I525" s="1"/>
    </row>
    <row r="526" spans="9:9" x14ac:dyDescent="0.25">
      <c r="I526" s="1"/>
    </row>
    <row r="527" spans="9:9" x14ac:dyDescent="0.25">
      <c r="I527" s="1"/>
    </row>
    <row r="528" spans="9:9" x14ac:dyDescent="0.25">
      <c r="I528" s="1"/>
    </row>
    <row r="529" spans="9:9" x14ac:dyDescent="0.25">
      <c r="I529" s="1"/>
    </row>
    <row r="530" spans="9:9" x14ac:dyDescent="0.25">
      <c r="I530" s="1"/>
    </row>
    <row r="531" spans="9:9" x14ac:dyDescent="0.25">
      <c r="I531" s="1"/>
    </row>
    <row r="532" spans="9:9" x14ac:dyDescent="0.25">
      <c r="I532" s="1"/>
    </row>
    <row r="533" spans="9:9" x14ac:dyDescent="0.25">
      <c r="I533" s="1"/>
    </row>
    <row r="534" spans="9:9" x14ac:dyDescent="0.25">
      <c r="I534" s="1"/>
    </row>
    <row r="535" spans="9:9" x14ac:dyDescent="0.25">
      <c r="I535" s="1"/>
    </row>
    <row r="536" spans="9:9" x14ac:dyDescent="0.25">
      <c r="I536" s="1"/>
    </row>
    <row r="537" spans="9:9" x14ac:dyDescent="0.25">
      <c r="I537" s="1"/>
    </row>
    <row r="538" spans="9:9" x14ac:dyDescent="0.25">
      <c r="I538" s="1"/>
    </row>
    <row r="539" spans="9:9" x14ac:dyDescent="0.25">
      <c r="I539" s="1"/>
    </row>
    <row r="540" spans="9:9" x14ac:dyDescent="0.25">
      <c r="I540" s="1"/>
    </row>
    <row r="541" spans="9:9" x14ac:dyDescent="0.25">
      <c r="I541" s="1"/>
    </row>
    <row r="542" spans="9:9" x14ac:dyDescent="0.25">
      <c r="I542" s="1"/>
    </row>
    <row r="543" spans="9:9" x14ac:dyDescent="0.25">
      <c r="I543" s="1"/>
    </row>
    <row r="544" spans="9:9" x14ac:dyDescent="0.25">
      <c r="I544" s="1"/>
    </row>
    <row r="545" spans="9:9" x14ac:dyDescent="0.25">
      <c r="I545" s="1"/>
    </row>
    <row r="546" spans="9:9" x14ac:dyDescent="0.25">
      <c r="I546" s="1"/>
    </row>
    <row r="547" spans="9:9" x14ac:dyDescent="0.25">
      <c r="I547" s="1"/>
    </row>
    <row r="548" spans="9:9" x14ac:dyDescent="0.25">
      <c r="I548" s="1"/>
    </row>
    <row r="549" spans="9:9" x14ac:dyDescent="0.25">
      <c r="I549" s="1"/>
    </row>
    <row r="550" spans="9:9" x14ac:dyDescent="0.25">
      <c r="I550" s="1"/>
    </row>
    <row r="551" spans="9:9" x14ac:dyDescent="0.25">
      <c r="I551" s="1"/>
    </row>
    <row r="552" spans="9:9" x14ac:dyDescent="0.25">
      <c r="I552" s="1"/>
    </row>
    <row r="553" spans="9:9" x14ac:dyDescent="0.25">
      <c r="I553" s="1"/>
    </row>
    <row r="554" spans="9:9" x14ac:dyDescent="0.25">
      <c r="I554" s="1"/>
    </row>
    <row r="555" spans="9:9" x14ac:dyDescent="0.25">
      <c r="I555" s="1"/>
    </row>
    <row r="556" spans="9:9" x14ac:dyDescent="0.25">
      <c r="I556" s="1"/>
    </row>
    <row r="557" spans="9:9" x14ac:dyDescent="0.25">
      <c r="I557" s="1"/>
    </row>
    <row r="558" spans="9:9" x14ac:dyDescent="0.25">
      <c r="I558" s="1"/>
    </row>
    <row r="559" spans="9:9" x14ac:dyDescent="0.25">
      <c r="I559" s="1"/>
    </row>
    <row r="560" spans="9:9" x14ac:dyDescent="0.25">
      <c r="I560" s="1"/>
    </row>
    <row r="561" spans="9:9" x14ac:dyDescent="0.25">
      <c r="I561" s="1"/>
    </row>
    <row r="562" spans="9:9" x14ac:dyDescent="0.25">
      <c r="I562" s="1"/>
    </row>
    <row r="563" spans="9:9" x14ac:dyDescent="0.25">
      <c r="I563" s="1"/>
    </row>
    <row r="564" spans="9:9" x14ac:dyDescent="0.25">
      <c r="I564" s="1"/>
    </row>
    <row r="565" spans="9:9" x14ac:dyDescent="0.25">
      <c r="I565" s="1"/>
    </row>
    <row r="566" spans="9:9" x14ac:dyDescent="0.25">
      <c r="I566" s="1"/>
    </row>
    <row r="567" spans="9:9" x14ac:dyDescent="0.25">
      <c r="I567" s="1"/>
    </row>
    <row r="568" spans="9:9" x14ac:dyDescent="0.25">
      <c r="I568" s="1"/>
    </row>
    <row r="569" spans="9:9" x14ac:dyDescent="0.25">
      <c r="I569" s="1"/>
    </row>
    <row r="570" spans="9:9" x14ac:dyDescent="0.25">
      <c r="I570" s="1"/>
    </row>
    <row r="571" spans="9:9" x14ac:dyDescent="0.25">
      <c r="I571" s="1"/>
    </row>
    <row r="572" spans="9:9" x14ac:dyDescent="0.25">
      <c r="I572" s="1"/>
    </row>
    <row r="573" spans="9:9" x14ac:dyDescent="0.25">
      <c r="I573" s="1"/>
    </row>
    <row r="574" spans="9:9" x14ac:dyDescent="0.25">
      <c r="I574" s="1"/>
    </row>
    <row r="575" spans="9:9" x14ac:dyDescent="0.25">
      <c r="I575" s="1"/>
    </row>
    <row r="576" spans="9:9" x14ac:dyDescent="0.25">
      <c r="I576" s="1"/>
    </row>
    <row r="577" spans="9:9" x14ac:dyDescent="0.25">
      <c r="I577" s="1"/>
    </row>
    <row r="578" spans="9:9" x14ac:dyDescent="0.25">
      <c r="I578" s="1"/>
    </row>
    <row r="579" spans="9:9" x14ac:dyDescent="0.25">
      <c r="I579" s="1"/>
    </row>
    <row r="580" spans="9:9" x14ac:dyDescent="0.25">
      <c r="I580" s="1"/>
    </row>
    <row r="581" spans="9:9" x14ac:dyDescent="0.25">
      <c r="I581" s="1"/>
    </row>
    <row r="582" spans="9:9" x14ac:dyDescent="0.25">
      <c r="I582" s="1"/>
    </row>
    <row r="583" spans="9:9" x14ac:dyDescent="0.25">
      <c r="I583" s="1"/>
    </row>
    <row r="584" spans="9:9" x14ac:dyDescent="0.25">
      <c r="I584" s="1"/>
    </row>
    <row r="585" spans="9:9" x14ac:dyDescent="0.25">
      <c r="I585" s="1"/>
    </row>
    <row r="586" spans="9:9" x14ac:dyDescent="0.25">
      <c r="I586" s="1"/>
    </row>
    <row r="587" spans="9:9" x14ac:dyDescent="0.25">
      <c r="I587" s="1"/>
    </row>
    <row r="588" spans="9:9" x14ac:dyDescent="0.25">
      <c r="I588" s="1"/>
    </row>
    <row r="589" spans="9:9" x14ac:dyDescent="0.25">
      <c r="I589" s="1"/>
    </row>
    <row r="590" spans="9:9" x14ac:dyDescent="0.25">
      <c r="I590" s="1"/>
    </row>
    <row r="591" spans="9:9" x14ac:dyDescent="0.25">
      <c r="I591" s="1"/>
    </row>
    <row r="592" spans="9:9" x14ac:dyDescent="0.25">
      <c r="I592" s="1"/>
    </row>
    <row r="593" spans="9:9" x14ac:dyDescent="0.25">
      <c r="I593" s="1"/>
    </row>
    <row r="594" spans="9:9" x14ac:dyDescent="0.25">
      <c r="I594" s="1"/>
    </row>
    <row r="595" spans="9:9" x14ac:dyDescent="0.25">
      <c r="I595" s="1"/>
    </row>
    <row r="596" spans="9:9" x14ac:dyDescent="0.25">
      <c r="I596" s="1"/>
    </row>
    <row r="597" spans="9:9" x14ac:dyDescent="0.25">
      <c r="I597" s="1"/>
    </row>
    <row r="598" spans="9:9" x14ac:dyDescent="0.25">
      <c r="I598" s="1"/>
    </row>
    <row r="599" spans="9:9" x14ac:dyDescent="0.25">
      <c r="I599" s="1"/>
    </row>
    <row r="600" spans="9:9" x14ac:dyDescent="0.25">
      <c r="I600" s="1"/>
    </row>
    <row r="601" spans="9:9" x14ac:dyDescent="0.25">
      <c r="I601" s="1"/>
    </row>
    <row r="602" spans="9:9" x14ac:dyDescent="0.25">
      <c r="I602" s="1"/>
    </row>
    <row r="603" spans="9:9" x14ac:dyDescent="0.25">
      <c r="I603" s="1"/>
    </row>
    <row r="604" spans="9:9" x14ac:dyDescent="0.25">
      <c r="I604" s="1"/>
    </row>
    <row r="605" spans="9:9" x14ac:dyDescent="0.25">
      <c r="I605" s="1"/>
    </row>
    <row r="606" spans="9:9" x14ac:dyDescent="0.25">
      <c r="I606" s="1"/>
    </row>
    <row r="607" spans="9:9" x14ac:dyDescent="0.25">
      <c r="I607" s="1"/>
    </row>
    <row r="608" spans="9:9" x14ac:dyDescent="0.25">
      <c r="I608" s="1"/>
    </row>
    <row r="609" spans="9:9" x14ac:dyDescent="0.25">
      <c r="I609" s="1"/>
    </row>
    <row r="610" spans="9:9" x14ac:dyDescent="0.25">
      <c r="I610" s="1"/>
    </row>
    <row r="611" spans="9:9" x14ac:dyDescent="0.25">
      <c r="I611" s="1"/>
    </row>
    <row r="612" spans="9:9" x14ac:dyDescent="0.25">
      <c r="I612" s="1"/>
    </row>
    <row r="613" spans="9:9" x14ac:dyDescent="0.25">
      <c r="I613" s="1"/>
    </row>
    <row r="614" spans="9:9" x14ac:dyDescent="0.25">
      <c r="I614" s="1"/>
    </row>
    <row r="615" spans="9:9" x14ac:dyDescent="0.25">
      <c r="I615" s="1"/>
    </row>
    <row r="616" spans="9:9" x14ac:dyDescent="0.25">
      <c r="I616" s="1"/>
    </row>
    <row r="617" spans="9:9" x14ac:dyDescent="0.25">
      <c r="I617" s="1"/>
    </row>
    <row r="618" spans="9:9" x14ac:dyDescent="0.25">
      <c r="I618" s="1"/>
    </row>
    <row r="619" spans="9:9" x14ac:dyDescent="0.25">
      <c r="I619" s="1"/>
    </row>
    <row r="620" spans="9:9" x14ac:dyDescent="0.25">
      <c r="I620" s="1"/>
    </row>
    <row r="621" spans="9:9" x14ac:dyDescent="0.25">
      <c r="I621" s="1"/>
    </row>
    <row r="622" spans="9:9" x14ac:dyDescent="0.25">
      <c r="I622" s="1"/>
    </row>
    <row r="623" spans="9:9" x14ac:dyDescent="0.25">
      <c r="I623" s="1"/>
    </row>
    <row r="624" spans="9:9" x14ac:dyDescent="0.25">
      <c r="I624" s="1"/>
    </row>
    <row r="625" spans="9:9" x14ac:dyDescent="0.25">
      <c r="I625" s="1"/>
    </row>
    <row r="626" spans="9:9" x14ac:dyDescent="0.25">
      <c r="I626" s="1"/>
    </row>
    <row r="627" spans="9:9" x14ac:dyDescent="0.25">
      <c r="I627" s="1"/>
    </row>
    <row r="628" spans="9:9" x14ac:dyDescent="0.25">
      <c r="I628" s="1"/>
    </row>
    <row r="629" spans="9:9" x14ac:dyDescent="0.25">
      <c r="I629" s="1"/>
    </row>
    <row r="630" spans="9:9" x14ac:dyDescent="0.25">
      <c r="I630" s="1"/>
    </row>
    <row r="631" spans="9:9" x14ac:dyDescent="0.25">
      <c r="I631" s="1"/>
    </row>
    <row r="632" spans="9:9" x14ac:dyDescent="0.25">
      <c r="I632" s="1"/>
    </row>
    <row r="633" spans="9:9" x14ac:dyDescent="0.25">
      <c r="I633" s="1"/>
    </row>
    <row r="634" spans="9:9" x14ac:dyDescent="0.25">
      <c r="I634" s="1"/>
    </row>
    <row r="635" spans="9:9" x14ac:dyDescent="0.25">
      <c r="I635" s="1"/>
    </row>
    <row r="636" spans="9:9" x14ac:dyDescent="0.25">
      <c r="I636" s="1"/>
    </row>
    <row r="637" spans="9:9" x14ac:dyDescent="0.25">
      <c r="I637" s="1"/>
    </row>
    <row r="638" spans="9:9" x14ac:dyDescent="0.25">
      <c r="I638" s="1"/>
    </row>
    <row r="639" spans="9:9" x14ac:dyDescent="0.25">
      <c r="I639" s="1"/>
    </row>
    <row r="640" spans="9:9" x14ac:dyDescent="0.25">
      <c r="I640" s="1"/>
    </row>
    <row r="641" spans="9:9" x14ac:dyDescent="0.25">
      <c r="I641" s="1"/>
    </row>
    <row r="642" spans="9:9" x14ac:dyDescent="0.25">
      <c r="I642" s="1"/>
    </row>
    <row r="643" spans="9:9" x14ac:dyDescent="0.25">
      <c r="I643" s="1"/>
    </row>
    <row r="644" spans="9:9" x14ac:dyDescent="0.25">
      <c r="I644" s="1"/>
    </row>
    <row r="645" spans="9:9" x14ac:dyDescent="0.25">
      <c r="I645" s="1"/>
    </row>
    <row r="646" spans="9:9" x14ac:dyDescent="0.25">
      <c r="I646" s="1"/>
    </row>
    <row r="647" spans="9:9" x14ac:dyDescent="0.25">
      <c r="I647" s="1"/>
    </row>
    <row r="648" spans="9:9" x14ac:dyDescent="0.25">
      <c r="I648" s="1"/>
    </row>
    <row r="649" spans="9:9" x14ac:dyDescent="0.25">
      <c r="I649" s="1"/>
    </row>
    <row r="650" spans="9:9" x14ac:dyDescent="0.25">
      <c r="I650" s="1"/>
    </row>
    <row r="651" spans="9:9" x14ac:dyDescent="0.25">
      <c r="I651" s="1"/>
    </row>
    <row r="652" spans="9:9" x14ac:dyDescent="0.25">
      <c r="I652" s="1"/>
    </row>
    <row r="653" spans="9:9" x14ac:dyDescent="0.25">
      <c r="I653" s="1"/>
    </row>
    <row r="654" spans="9:9" x14ac:dyDescent="0.25">
      <c r="I654" s="1"/>
    </row>
    <row r="655" spans="9:9" x14ac:dyDescent="0.25">
      <c r="I655" s="1"/>
    </row>
    <row r="656" spans="9:9" x14ac:dyDescent="0.25">
      <c r="I656" s="1"/>
    </row>
    <row r="657" spans="9:9" x14ac:dyDescent="0.25">
      <c r="I657" s="1"/>
    </row>
    <row r="658" spans="9:9" x14ac:dyDescent="0.25">
      <c r="I658" s="1"/>
    </row>
    <row r="659" spans="9:9" x14ac:dyDescent="0.25">
      <c r="I659" s="1"/>
    </row>
    <row r="660" spans="9:9" x14ac:dyDescent="0.25">
      <c r="I660" s="1"/>
    </row>
    <row r="661" spans="9:9" x14ac:dyDescent="0.25">
      <c r="I661" s="1"/>
    </row>
    <row r="662" spans="9:9" x14ac:dyDescent="0.25">
      <c r="I662" s="1"/>
    </row>
    <row r="663" spans="9:9" x14ac:dyDescent="0.25">
      <c r="I663" s="1"/>
    </row>
    <row r="664" spans="9:9" x14ac:dyDescent="0.25">
      <c r="I664" s="1"/>
    </row>
    <row r="665" spans="9:9" x14ac:dyDescent="0.25">
      <c r="I665" s="1"/>
    </row>
    <row r="666" spans="9:9" x14ac:dyDescent="0.25">
      <c r="I666" s="1"/>
    </row>
    <row r="667" spans="9:9" x14ac:dyDescent="0.25">
      <c r="I667" s="1"/>
    </row>
    <row r="668" spans="9:9" x14ac:dyDescent="0.25">
      <c r="I668" s="1"/>
    </row>
    <row r="669" spans="9:9" x14ac:dyDescent="0.25">
      <c r="I669" s="1"/>
    </row>
    <row r="670" spans="9:9" x14ac:dyDescent="0.25">
      <c r="I670" s="1"/>
    </row>
    <row r="671" spans="9:9" x14ac:dyDescent="0.25">
      <c r="I671" s="1"/>
    </row>
    <row r="672" spans="9:9" x14ac:dyDescent="0.25">
      <c r="I672" s="1"/>
    </row>
    <row r="673" spans="9:9" x14ac:dyDescent="0.25">
      <c r="I673" s="1"/>
    </row>
    <row r="674" spans="9:9" x14ac:dyDescent="0.25">
      <c r="I674" s="1"/>
    </row>
    <row r="675" spans="9:9" x14ac:dyDescent="0.25">
      <c r="I675" s="1"/>
    </row>
    <row r="676" spans="9:9" x14ac:dyDescent="0.25">
      <c r="I676" s="1"/>
    </row>
    <row r="677" spans="9:9" x14ac:dyDescent="0.25">
      <c r="I677" s="1"/>
    </row>
    <row r="678" spans="9:9" x14ac:dyDescent="0.25">
      <c r="I678" s="1"/>
    </row>
    <row r="679" spans="9:9" x14ac:dyDescent="0.25">
      <c r="I679" s="1"/>
    </row>
    <row r="680" spans="9:9" x14ac:dyDescent="0.25">
      <c r="I680" s="1"/>
    </row>
    <row r="681" spans="9:9" x14ac:dyDescent="0.25">
      <c r="I681" s="1"/>
    </row>
    <row r="682" spans="9:9" x14ac:dyDescent="0.25">
      <c r="I682" s="1"/>
    </row>
    <row r="683" spans="9:9" x14ac:dyDescent="0.25">
      <c r="I683" s="1"/>
    </row>
    <row r="684" spans="9:9" x14ac:dyDescent="0.25">
      <c r="I684" s="1"/>
    </row>
    <row r="685" spans="9:9" x14ac:dyDescent="0.25">
      <c r="I685" s="1"/>
    </row>
    <row r="686" spans="9:9" x14ac:dyDescent="0.25">
      <c r="I686" s="1"/>
    </row>
    <row r="687" spans="9:9" x14ac:dyDescent="0.25">
      <c r="I687" s="1"/>
    </row>
    <row r="688" spans="9:9" x14ac:dyDescent="0.25">
      <c r="I688" s="1"/>
    </row>
    <row r="689" spans="9:9" x14ac:dyDescent="0.25">
      <c r="I689" s="1"/>
    </row>
    <row r="690" spans="9:9" x14ac:dyDescent="0.25">
      <c r="I690" s="1"/>
    </row>
    <row r="691" spans="9:9" x14ac:dyDescent="0.25">
      <c r="I691" s="1"/>
    </row>
    <row r="692" spans="9:9" x14ac:dyDescent="0.25">
      <c r="I692" s="1"/>
    </row>
    <row r="693" spans="9:9" x14ac:dyDescent="0.25">
      <c r="I693" s="1"/>
    </row>
    <row r="694" spans="9:9" x14ac:dyDescent="0.25">
      <c r="I694" s="1"/>
    </row>
    <row r="695" spans="9:9" x14ac:dyDescent="0.25">
      <c r="I695" s="1"/>
    </row>
    <row r="696" spans="9:9" x14ac:dyDescent="0.25">
      <c r="I696" s="1"/>
    </row>
    <row r="697" spans="9:9" x14ac:dyDescent="0.25">
      <c r="I697" s="1"/>
    </row>
    <row r="698" spans="9:9" x14ac:dyDescent="0.25">
      <c r="I698" s="1"/>
    </row>
    <row r="699" spans="9:9" x14ac:dyDescent="0.25">
      <c r="I699" s="1"/>
    </row>
    <row r="700" spans="9:9" x14ac:dyDescent="0.25">
      <c r="I700" s="1"/>
    </row>
    <row r="701" spans="9:9" x14ac:dyDescent="0.25">
      <c r="I701" s="1"/>
    </row>
    <row r="702" spans="9:9" x14ac:dyDescent="0.25">
      <c r="I702" s="1"/>
    </row>
    <row r="703" spans="9:9" x14ac:dyDescent="0.25">
      <c r="I703" s="1"/>
    </row>
    <row r="704" spans="9:9" x14ac:dyDescent="0.25">
      <c r="I704" s="1"/>
    </row>
    <row r="705" spans="9:9" x14ac:dyDescent="0.25">
      <c r="I705" s="1"/>
    </row>
    <row r="706" spans="9:9" x14ac:dyDescent="0.25">
      <c r="I706" s="1"/>
    </row>
    <row r="707" spans="9:9" x14ac:dyDescent="0.25">
      <c r="I707" s="1"/>
    </row>
    <row r="708" spans="9:9" x14ac:dyDescent="0.25">
      <c r="I708" s="1"/>
    </row>
    <row r="709" spans="9:9" x14ac:dyDescent="0.25">
      <c r="I709" s="1"/>
    </row>
    <row r="710" spans="9:9" x14ac:dyDescent="0.25">
      <c r="I710" s="1"/>
    </row>
    <row r="711" spans="9:9" x14ac:dyDescent="0.25">
      <c r="I711" s="1"/>
    </row>
    <row r="712" spans="9:9" x14ac:dyDescent="0.25">
      <c r="I712" s="1"/>
    </row>
    <row r="713" spans="9:9" x14ac:dyDescent="0.25">
      <c r="I713" s="1"/>
    </row>
    <row r="714" spans="9:9" x14ac:dyDescent="0.25">
      <c r="I714" s="1"/>
    </row>
    <row r="715" spans="9:9" x14ac:dyDescent="0.25">
      <c r="I715" s="1"/>
    </row>
    <row r="716" spans="9:9" x14ac:dyDescent="0.25">
      <c r="I716" s="1"/>
    </row>
    <row r="717" spans="9:9" x14ac:dyDescent="0.25">
      <c r="I717" s="1"/>
    </row>
    <row r="718" spans="9:9" x14ac:dyDescent="0.25">
      <c r="I718" s="1"/>
    </row>
    <row r="719" spans="9:9" x14ac:dyDescent="0.25">
      <c r="I719" s="1"/>
    </row>
    <row r="720" spans="9:9" x14ac:dyDescent="0.25">
      <c r="I720" s="1"/>
    </row>
    <row r="721" spans="9:9" x14ac:dyDescent="0.25">
      <c r="I721" s="1"/>
    </row>
    <row r="722" spans="9:9" x14ac:dyDescent="0.25">
      <c r="I722" s="1"/>
    </row>
    <row r="723" spans="9:9" x14ac:dyDescent="0.25">
      <c r="I723" s="1"/>
    </row>
    <row r="724" spans="9:9" x14ac:dyDescent="0.25">
      <c r="I724" s="1"/>
    </row>
    <row r="725" spans="9:9" x14ac:dyDescent="0.25">
      <c r="I725" s="1"/>
    </row>
    <row r="726" spans="9:9" x14ac:dyDescent="0.25">
      <c r="I726" s="1"/>
    </row>
    <row r="727" spans="9:9" x14ac:dyDescent="0.25">
      <c r="I727" s="1"/>
    </row>
    <row r="728" spans="9:9" x14ac:dyDescent="0.25">
      <c r="I728" s="1"/>
    </row>
    <row r="729" spans="9:9" x14ac:dyDescent="0.25">
      <c r="I729" s="1"/>
    </row>
    <row r="730" spans="9:9" x14ac:dyDescent="0.25">
      <c r="I730" s="1"/>
    </row>
    <row r="731" spans="9:9" x14ac:dyDescent="0.25">
      <c r="I731" s="1"/>
    </row>
    <row r="732" spans="9:9" x14ac:dyDescent="0.25">
      <c r="I732" s="1"/>
    </row>
    <row r="733" spans="9:9" x14ac:dyDescent="0.25">
      <c r="I733" s="1"/>
    </row>
    <row r="734" spans="9:9" x14ac:dyDescent="0.25">
      <c r="I734" s="1"/>
    </row>
    <row r="735" spans="9:9" x14ac:dyDescent="0.25">
      <c r="I735" s="1"/>
    </row>
    <row r="736" spans="9:9" x14ac:dyDescent="0.25">
      <c r="I736" s="1"/>
    </row>
    <row r="737" spans="9:9" x14ac:dyDescent="0.25">
      <c r="I737" s="1"/>
    </row>
    <row r="738" spans="9:9" x14ac:dyDescent="0.25">
      <c r="I738" s="1"/>
    </row>
    <row r="739" spans="9:9" x14ac:dyDescent="0.25">
      <c r="I739" s="1"/>
    </row>
    <row r="740" spans="9:9" x14ac:dyDescent="0.25">
      <c r="I740" s="1"/>
    </row>
    <row r="741" spans="9:9" x14ac:dyDescent="0.25">
      <c r="I741" s="1"/>
    </row>
    <row r="742" spans="9:9" x14ac:dyDescent="0.25">
      <c r="I742" s="1"/>
    </row>
    <row r="743" spans="9:9" x14ac:dyDescent="0.25">
      <c r="I743" s="1"/>
    </row>
    <row r="744" spans="9:9" x14ac:dyDescent="0.25">
      <c r="I744" s="1"/>
    </row>
    <row r="745" spans="9:9" x14ac:dyDescent="0.25">
      <c r="I745" s="1"/>
    </row>
    <row r="746" spans="9:9" x14ac:dyDescent="0.25">
      <c r="I746" s="1"/>
    </row>
    <row r="747" spans="9:9" x14ac:dyDescent="0.25">
      <c r="I747" s="1"/>
    </row>
    <row r="748" spans="9:9" x14ac:dyDescent="0.25">
      <c r="I748" s="1"/>
    </row>
    <row r="749" spans="9:9" x14ac:dyDescent="0.25">
      <c r="I749" s="1"/>
    </row>
    <row r="750" spans="9:9" x14ac:dyDescent="0.25">
      <c r="I750" s="1"/>
    </row>
    <row r="751" spans="9:9" x14ac:dyDescent="0.25">
      <c r="I751" s="1"/>
    </row>
    <row r="752" spans="9:9" x14ac:dyDescent="0.25">
      <c r="I752" s="1"/>
    </row>
    <row r="753" spans="9:9" x14ac:dyDescent="0.25">
      <c r="I753" s="1"/>
    </row>
    <row r="754" spans="9:9" x14ac:dyDescent="0.25">
      <c r="I754" s="1"/>
    </row>
    <row r="755" spans="9:9" x14ac:dyDescent="0.25">
      <c r="I755" s="1"/>
    </row>
    <row r="756" spans="9:9" x14ac:dyDescent="0.25">
      <c r="I756" s="1"/>
    </row>
    <row r="757" spans="9:9" x14ac:dyDescent="0.25">
      <c r="I757" s="1"/>
    </row>
    <row r="758" spans="9:9" x14ac:dyDescent="0.25">
      <c r="I758" s="1"/>
    </row>
    <row r="759" spans="9:9" x14ac:dyDescent="0.25">
      <c r="I759" s="1"/>
    </row>
    <row r="760" spans="9:9" x14ac:dyDescent="0.25">
      <c r="I760" s="1"/>
    </row>
    <row r="761" spans="9:9" x14ac:dyDescent="0.25">
      <c r="I761" s="1"/>
    </row>
    <row r="762" spans="9:9" x14ac:dyDescent="0.25">
      <c r="I762" s="1"/>
    </row>
    <row r="763" spans="9:9" x14ac:dyDescent="0.25">
      <c r="I763" s="1"/>
    </row>
    <row r="764" spans="9:9" x14ac:dyDescent="0.25">
      <c r="I764" s="1"/>
    </row>
    <row r="765" spans="9:9" x14ac:dyDescent="0.25">
      <c r="I765" s="1"/>
    </row>
    <row r="766" spans="9:9" x14ac:dyDescent="0.25">
      <c r="I766" s="1"/>
    </row>
    <row r="767" spans="9:9" x14ac:dyDescent="0.25">
      <c r="I767" s="1"/>
    </row>
    <row r="768" spans="9:9" x14ac:dyDescent="0.25">
      <c r="I768" s="1"/>
    </row>
    <row r="769" spans="9:9" x14ac:dyDescent="0.25">
      <c r="I769" s="1"/>
    </row>
    <row r="770" spans="9:9" x14ac:dyDescent="0.25">
      <c r="I770" s="1"/>
    </row>
    <row r="771" spans="9:9" x14ac:dyDescent="0.25">
      <c r="I771" s="1"/>
    </row>
    <row r="772" spans="9:9" x14ac:dyDescent="0.25">
      <c r="I772" s="1"/>
    </row>
    <row r="773" spans="9:9" x14ac:dyDescent="0.25">
      <c r="I773" s="1"/>
    </row>
    <row r="774" spans="9:9" x14ac:dyDescent="0.25">
      <c r="I774" s="1"/>
    </row>
    <row r="775" spans="9:9" x14ac:dyDescent="0.25">
      <c r="I775" s="1"/>
    </row>
    <row r="776" spans="9:9" x14ac:dyDescent="0.25">
      <c r="I776" s="1"/>
    </row>
    <row r="777" spans="9:9" x14ac:dyDescent="0.25">
      <c r="I777" s="1"/>
    </row>
    <row r="778" spans="9:9" x14ac:dyDescent="0.25">
      <c r="I778" s="1"/>
    </row>
    <row r="779" spans="9:9" x14ac:dyDescent="0.25">
      <c r="I779" s="1"/>
    </row>
    <row r="780" spans="9:9" x14ac:dyDescent="0.25">
      <c r="I780" s="1"/>
    </row>
    <row r="781" spans="9:9" x14ac:dyDescent="0.25">
      <c r="I781" s="1"/>
    </row>
    <row r="782" spans="9:9" x14ac:dyDescent="0.25">
      <c r="I782" s="1"/>
    </row>
    <row r="783" spans="9:9" x14ac:dyDescent="0.25">
      <c r="I783" s="1"/>
    </row>
    <row r="784" spans="9:9" x14ac:dyDescent="0.25">
      <c r="I784" s="1"/>
    </row>
    <row r="785" spans="9:9" x14ac:dyDescent="0.25">
      <c r="I785" s="1"/>
    </row>
    <row r="786" spans="9:9" x14ac:dyDescent="0.25">
      <c r="I786" s="1"/>
    </row>
    <row r="787" spans="9:9" x14ac:dyDescent="0.25">
      <c r="I787" s="1"/>
    </row>
    <row r="788" spans="9:9" x14ac:dyDescent="0.25">
      <c r="I788" s="1"/>
    </row>
    <row r="789" spans="9:9" x14ac:dyDescent="0.25">
      <c r="I789" s="1"/>
    </row>
    <row r="790" spans="9:9" x14ac:dyDescent="0.25">
      <c r="I790" s="1"/>
    </row>
    <row r="791" spans="9:9" x14ac:dyDescent="0.25">
      <c r="I791" s="1"/>
    </row>
    <row r="792" spans="9:9" x14ac:dyDescent="0.25">
      <c r="I792" s="1"/>
    </row>
    <row r="793" spans="9:9" x14ac:dyDescent="0.25">
      <c r="I793" s="1"/>
    </row>
    <row r="794" spans="9:9" x14ac:dyDescent="0.25">
      <c r="I794" s="1"/>
    </row>
    <row r="795" spans="9:9" x14ac:dyDescent="0.25">
      <c r="I795" s="1"/>
    </row>
    <row r="796" spans="9:9" x14ac:dyDescent="0.25">
      <c r="I796" s="1"/>
    </row>
    <row r="797" spans="9:9" x14ac:dyDescent="0.25">
      <c r="I797" s="1"/>
    </row>
    <row r="798" spans="9:9" x14ac:dyDescent="0.25">
      <c r="I798" s="1"/>
    </row>
    <row r="799" spans="9:9" x14ac:dyDescent="0.25">
      <c r="I799" s="1"/>
    </row>
    <row r="800" spans="9:9" x14ac:dyDescent="0.25">
      <c r="I800" s="1"/>
    </row>
    <row r="801" spans="9:9" x14ac:dyDescent="0.25">
      <c r="I801" s="1"/>
    </row>
    <row r="802" spans="9:9" x14ac:dyDescent="0.25">
      <c r="I802" s="1"/>
    </row>
    <row r="803" spans="9:9" x14ac:dyDescent="0.25">
      <c r="I803" s="1"/>
    </row>
    <row r="804" spans="9:9" x14ac:dyDescent="0.25">
      <c r="I804" s="1"/>
    </row>
    <row r="805" spans="9:9" x14ac:dyDescent="0.25">
      <c r="I805" s="1"/>
    </row>
    <row r="806" spans="9:9" x14ac:dyDescent="0.25">
      <c r="I806" s="1"/>
    </row>
    <row r="807" spans="9:9" x14ac:dyDescent="0.25">
      <c r="I807" s="1"/>
    </row>
    <row r="808" spans="9:9" x14ac:dyDescent="0.25">
      <c r="I808" s="1"/>
    </row>
    <row r="809" spans="9:9" x14ac:dyDescent="0.25">
      <c r="I809" s="1"/>
    </row>
    <row r="810" spans="9:9" x14ac:dyDescent="0.25">
      <c r="I810" s="1"/>
    </row>
    <row r="811" spans="9:9" x14ac:dyDescent="0.25">
      <c r="I811" s="1"/>
    </row>
    <row r="812" spans="9:9" x14ac:dyDescent="0.25">
      <c r="I812" s="1"/>
    </row>
    <row r="813" spans="9:9" x14ac:dyDescent="0.25">
      <c r="I813" s="1"/>
    </row>
    <row r="814" spans="9:9" x14ac:dyDescent="0.25">
      <c r="I814" s="1"/>
    </row>
    <row r="815" spans="9:9" x14ac:dyDescent="0.25">
      <c r="I815" s="1"/>
    </row>
    <row r="816" spans="9:9" x14ac:dyDescent="0.25">
      <c r="I816" s="1"/>
    </row>
    <row r="817" spans="9:9" x14ac:dyDescent="0.25">
      <c r="I817" s="1"/>
    </row>
    <row r="818" spans="9:9" x14ac:dyDescent="0.25">
      <c r="I818" s="1"/>
    </row>
    <row r="819" spans="9:9" x14ac:dyDescent="0.25">
      <c r="I819" s="1"/>
    </row>
    <row r="820" spans="9:9" x14ac:dyDescent="0.25">
      <c r="I820" s="1"/>
    </row>
    <row r="821" spans="9:9" x14ac:dyDescent="0.25">
      <c r="I821" s="1"/>
    </row>
    <row r="822" spans="9:9" x14ac:dyDescent="0.25">
      <c r="I822" s="1"/>
    </row>
    <row r="823" spans="9:9" x14ac:dyDescent="0.25">
      <c r="I823" s="1"/>
    </row>
    <row r="824" spans="9:9" x14ac:dyDescent="0.25">
      <c r="I824" s="1"/>
    </row>
    <row r="825" spans="9:9" x14ac:dyDescent="0.25">
      <c r="I825" s="1"/>
    </row>
    <row r="826" spans="9:9" x14ac:dyDescent="0.25">
      <c r="I826" s="1"/>
    </row>
    <row r="827" spans="9:9" x14ac:dyDescent="0.25">
      <c r="I827" s="1"/>
    </row>
    <row r="828" spans="9:9" x14ac:dyDescent="0.25">
      <c r="I828" s="1"/>
    </row>
    <row r="829" spans="9:9" x14ac:dyDescent="0.25">
      <c r="I829" s="1"/>
    </row>
    <row r="830" spans="9:9" x14ac:dyDescent="0.25">
      <c r="I830" s="1"/>
    </row>
    <row r="831" spans="9:9" x14ac:dyDescent="0.25">
      <c r="I831" s="1"/>
    </row>
    <row r="832" spans="9:9" x14ac:dyDescent="0.25">
      <c r="I832" s="1"/>
    </row>
    <row r="833" spans="9:9" x14ac:dyDescent="0.25">
      <c r="I833" s="1"/>
    </row>
    <row r="834" spans="9:9" x14ac:dyDescent="0.25">
      <c r="I834" s="1"/>
    </row>
    <row r="835" spans="9:9" x14ac:dyDescent="0.25">
      <c r="I835" s="1"/>
    </row>
    <row r="836" spans="9:9" x14ac:dyDescent="0.25">
      <c r="I836" s="1"/>
    </row>
    <row r="837" spans="9:9" x14ac:dyDescent="0.25">
      <c r="I837" s="1"/>
    </row>
    <row r="838" spans="9:9" x14ac:dyDescent="0.25">
      <c r="I838" s="1"/>
    </row>
    <row r="839" spans="9:9" x14ac:dyDescent="0.25">
      <c r="I839" s="1"/>
    </row>
    <row r="840" spans="9:9" x14ac:dyDescent="0.25">
      <c r="I840" s="1"/>
    </row>
    <row r="841" spans="9:9" x14ac:dyDescent="0.25">
      <c r="I841" s="1"/>
    </row>
    <row r="842" spans="9:9" x14ac:dyDescent="0.25">
      <c r="I842" s="1"/>
    </row>
    <row r="843" spans="9:9" x14ac:dyDescent="0.25">
      <c r="I843" s="1"/>
    </row>
    <row r="844" spans="9:9" x14ac:dyDescent="0.25">
      <c r="I844" s="1"/>
    </row>
    <row r="845" spans="9:9" x14ac:dyDescent="0.25">
      <c r="I845" s="1"/>
    </row>
    <row r="846" spans="9:9" x14ac:dyDescent="0.25">
      <c r="I846" s="1"/>
    </row>
    <row r="847" spans="9:9" x14ac:dyDescent="0.25">
      <c r="I847" s="1"/>
    </row>
    <row r="848" spans="9:9" x14ac:dyDescent="0.25">
      <c r="I848" s="1"/>
    </row>
    <row r="849" spans="9:9" x14ac:dyDescent="0.25">
      <c r="I849" s="1"/>
    </row>
    <row r="850" spans="9:9" x14ac:dyDescent="0.25">
      <c r="I850" s="1"/>
    </row>
    <row r="851" spans="9:9" x14ac:dyDescent="0.25">
      <c r="I851" s="1"/>
    </row>
    <row r="852" spans="9:9" x14ac:dyDescent="0.25">
      <c r="I852" s="1"/>
    </row>
    <row r="853" spans="9:9" x14ac:dyDescent="0.25">
      <c r="I853" s="1"/>
    </row>
    <row r="854" spans="9:9" x14ac:dyDescent="0.25">
      <c r="I854" s="1"/>
    </row>
    <row r="855" spans="9:9" x14ac:dyDescent="0.25">
      <c r="I855" s="1"/>
    </row>
    <row r="856" spans="9:9" x14ac:dyDescent="0.25">
      <c r="I856" s="1"/>
    </row>
    <row r="857" spans="9:9" x14ac:dyDescent="0.25">
      <c r="I857" s="1"/>
    </row>
    <row r="858" spans="9:9" x14ac:dyDescent="0.25">
      <c r="I858" s="1"/>
    </row>
    <row r="859" spans="9:9" x14ac:dyDescent="0.25">
      <c r="I859" s="1"/>
    </row>
    <row r="860" spans="9:9" x14ac:dyDescent="0.25">
      <c r="I860" s="1"/>
    </row>
    <row r="861" spans="9:9" x14ac:dyDescent="0.25">
      <c r="I861" s="1"/>
    </row>
    <row r="862" spans="9:9" x14ac:dyDescent="0.25">
      <c r="I862" s="1"/>
    </row>
    <row r="863" spans="9:9" x14ac:dyDescent="0.25">
      <c r="I863" s="1"/>
    </row>
    <row r="864" spans="9:9" x14ac:dyDescent="0.25">
      <c r="I864" s="1"/>
    </row>
    <row r="865" spans="9:9" x14ac:dyDescent="0.25">
      <c r="I865" s="1"/>
    </row>
    <row r="866" spans="9:9" x14ac:dyDescent="0.25">
      <c r="I866" s="1"/>
    </row>
    <row r="867" spans="9:9" x14ac:dyDescent="0.25">
      <c r="I867" s="1"/>
    </row>
    <row r="868" spans="9:9" x14ac:dyDescent="0.25">
      <c r="I868" s="1"/>
    </row>
    <row r="869" spans="9:9" x14ac:dyDescent="0.25">
      <c r="I869" s="1"/>
    </row>
    <row r="870" spans="9:9" x14ac:dyDescent="0.25">
      <c r="I870" s="1"/>
    </row>
    <row r="871" spans="9:9" x14ac:dyDescent="0.25">
      <c r="I871" s="1"/>
    </row>
    <row r="872" spans="9:9" x14ac:dyDescent="0.25">
      <c r="I872" s="1"/>
    </row>
    <row r="873" spans="9:9" x14ac:dyDescent="0.25">
      <c r="I873" s="1"/>
    </row>
    <row r="874" spans="9:9" x14ac:dyDescent="0.25">
      <c r="I874" s="1"/>
    </row>
    <row r="875" spans="9:9" x14ac:dyDescent="0.25">
      <c r="I875" s="1"/>
    </row>
    <row r="876" spans="9:9" x14ac:dyDescent="0.25">
      <c r="I876" s="1"/>
    </row>
    <row r="877" spans="9:9" x14ac:dyDescent="0.25">
      <c r="I877" s="1"/>
    </row>
    <row r="878" spans="9:9" x14ac:dyDescent="0.25">
      <c r="I878" s="1"/>
    </row>
    <row r="879" spans="9:9" x14ac:dyDescent="0.25">
      <c r="I879" s="1"/>
    </row>
    <row r="880" spans="9:9" x14ac:dyDescent="0.25">
      <c r="I880" s="1"/>
    </row>
    <row r="881" spans="9:9" x14ac:dyDescent="0.25">
      <c r="I881" s="1"/>
    </row>
    <row r="882" spans="9:9" x14ac:dyDescent="0.25">
      <c r="I882" s="1"/>
    </row>
    <row r="883" spans="9:9" x14ac:dyDescent="0.25">
      <c r="I883" s="1"/>
    </row>
    <row r="884" spans="9:9" x14ac:dyDescent="0.25">
      <c r="I884" s="1"/>
    </row>
    <row r="885" spans="9:9" x14ac:dyDescent="0.25">
      <c r="I885" s="1"/>
    </row>
    <row r="886" spans="9:9" x14ac:dyDescent="0.25">
      <c r="I886" s="1"/>
    </row>
    <row r="887" spans="9:9" x14ac:dyDescent="0.25">
      <c r="I887" s="1"/>
    </row>
    <row r="888" spans="9:9" x14ac:dyDescent="0.25">
      <c r="I888" s="1"/>
    </row>
    <row r="889" spans="9:9" x14ac:dyDescent="0.25">
      <c r="I889" s="1"/>
    </row>
    <row r="890" spans="9:9" x14ac:dyDescent="0.25">
      <c r="I890" s="1"/>
    </row>
    <row r="891" spans="9:9" x14ac:dyDescent="0.25">
      <c r="I891" s="1"/>
    </row>
    <row r="892" spans="9:9" x14ac:dyDescent="0.25">
      <c r="I892" s="1"/>
    </row>
    <row r="893" spans="9:9" x14ac:dyDescent="0.25">
      <c r="I893" s="1"/>
    </row>
    <row r="894" spans="9:9" x14ac:dyDescent="0.25">
      <c r="I894" s="1"/>
    </row>
    <row r="895" spans="9:9" x14ac:dyDescent="0.25">
      <c r="I895" s="1"/>
    </row>
    <row r="896" spans="9:9" x14ac:dyDescent="0.25">
      <c r="I896" s="1"/>
    </row>
    <row r="897" spans="9:9" x14ac:dyDescent="0.25">
      <c r="I897" s="1"/>
    </row>
    <row r="898" spans="9:9" x14ac:dyDescent="0.25">
      <c r="I898" s="1"/>
    </row>
    <row r="899" spans="9:9" x14ac:dyDescent="0.25">
      <c r="I899" s="1"/>
    </row>
    <row r="900" spans="9:9" x14ac:dyDescent="0.25">
      <c r="I900" s="1"/>
    </row>
    <row r="901" spans="9:9" x14ac:dyDescent="0.25">
      <c r="I901" s="1"/>
    </row>
    <row r="902" spans="9:9" x14ac:dyDescent="0.25">
      <c r="I902" s="1"/>
    </row>
    <row r="903" spans="9:9" x14ac:dyDescent="0.25">
      <c r="I903" s="1"/>
    </row>
    <row r="904" spans="9:9" x14ac:dyDescent="0.25">
      <c r="I904" s="1"/>
    </row>
    <row r="905" spans="9:9" x14ac:dyDescent="0.25">
      <c r="I905" s="1"/>
    </row>
    <row r="906" spans="9:9" x14ac:dyDescent="0.25">
      <c r="I906" s="1"/>
    </row>
    <row r="907" spans="9:9" x14ac:dyDescent="0.25">
      <c r="I907" s="1"/>
    </row>
    <row r="908" spans="9:9" x14ac:dyDescent="0.25">
      <c r="I908" s="1"/>
    </row>
    <row r="909" spans="9:9" x14ac:dyDescent="0.25">
      <c r="I909" s="1"/>
    </row>
    <row r="910" spans="9:9" x14ac:dyDescent="0.25">
      <c r="I910" s="1"/>
    </row>
    <row r="911" spans="9:9" x14ac:dyDescent="0.25">
      <c r="I911" s="1"/>
    </row>
    <row r="912" spans="9:9" x14ac:dyDescent="0.25">
      <c r="I912" s="1"/>
    </row>
    <row r="913" spans="9:9" x14ac:dyDescent="0.25">
      <c r="I913" s="1"/>
    </row>
    <row r="914" spans="9:9" x14ac:dyDescent="0.25">
      <c r="I914" s="1"/>
    </row>
    <row r="915" spans="9:9" x14ac:dyDescent="0.25">
      <c r="I915" s="1"/>
    </row>
    <row r="916" spans="9:9" x14ac:dyDescent="0.25">
      <c r="I916" s="1"/>
    </row>
    <row r="917" spans="9:9" x14ac:dyDescent="0.25">
      <c r="I917" s="1"/>
    </row>
    <row r="918" spans="9:9" x14ac:dyDescent="0.25">
      <c r="I918" s="1"/>
    </row>
    <row r="919" spans="9:9" x14ac:dyDescent="0.25">
      <c r="I919" s="1"/>
    </row>
    <row r="920" spans="9:9" x14ac:dyDescent="0.25">
      <c r="I920" s="1"/>
    </row>
    <row r="921" spans="9:9" x14ac:dyDescent="0.25">
      <c r="I921" s="1"/>
    </row>
    <row r="922" spans="9:9" x14ac:dyDescent="0.25">
      <c r="I922" s="1"/>
    </row>
    <row r="923" spans="9:9" x14ac:dyDescent="0.25">
      <c r="I923" s="1"/>
    </row>
    <row r="924" spans="9:9" x14ac:dyDescent="0.25">
      <c r="I924" s="1"/>
    </row>
    <row r="925" spans="9:9" x14ac:dyDescent="0.25">
      <c r="I925" s="1"/>
    </row>
    <row r="926" spans="9:9" x14ac:dyDescent="0.25">
      <c r="I926" s="1"/>
    </row>
    <row r="927" spans="9:9" x14ac:dyDescent="0.25">
      <c r="I927" s="1"/>
    </row>
    <row r="928" spans="9:9" x14ac:dyDescent="0.25">
      <c r="I928" s="1"/>
    </row>
    <row r="929" spans="9:9" x14ac:dyDescent="0.25">
      <c r="I929" s="1"/>
    </row>
    <row r="930" spans="9:9" x14ac:dyDescent="0.25">
      <c r="I930" s="1"/>
    </row>
    <row r="931" spans="9:9" x14ac:dyDescent="0.25">
      <c r="I931" s="1"/>
    </row>
    <row r="932" spans="9:9" x14ac:dyDescent="0.25">
      <c r="I932" s="1"/>
    </row>
    <row r="933" spans="9:9" x14ac:dyDescent="0.25">
      <c r="I933" s="1"/>
    </row>
    <row r="934" spans="9:9" x14ac:dyDescent="0.25">
      <c r="I934" s="1"/>
    </row>
    <row r="935" spans="9:9" x14ac:dyDescent="0.25">
      <c r="I935" s="1"/>
    </row>
    <row r="936" spans="9:9" x14ac:dyDescent="0.25">
      <c r="I936" s="1"/>
    </row>
    <row r="937" spans="9:9" x14ac:dyDescent="0.25">
      <c r="I937" s="1"/>
    </row>
    <row r="938" spans="9:9" x14ac:dyDescent="0.25">
      <c r="I938" s="1"/>
    </row>
    <row r="939" spans="9:9" x14ac:dyDescent="0.25">
      <c r="I939" s="1"/>
    </row>
    <row r="940" spans="9:9" x14ac:dyDescent="0.25">
      <c r="I940" s="1"/>
    </row>
    <row r="941" spans="9:9" x14ac:dyDescent="0.25">
      <c r="I941" s="1"/>
    </row>
    <row r="942" spans="9:9" x14ac:dyDescent="0.25">
      <c r="I942" s="1"/>
    </row>
    <row r="943" spans="9:9" x14ac:dyDescent="0.25">
      <c r="I943" s="1"/>
    </row>
    <row r="944" spans="9:9" x14ac:dyDescent="0.25">
      <c r="I944" s="1"/>
    </row>
    <row r="945" spans="9:9" x14ac:dyDescent="0.25">
      <c r="I945" s="1"/>
    </row>
    <row r="946" spans="9:9" x14ac:dyDescent="0.25">
      <c r="I946" s="1"/>
    </row>
    <row r="947" spans="9:9" x14ac:dyDescent="0.25">
      <c r="I947" s="1"/>
    </row>
    <row r="948" spans="9:9" x14ac:dyDescent="0.25">
      <c r="I948" s="1"/>
    </row>
    <row r="949" spans="9:9" x14ac:dyDescent="0.25">
      <c r="I949" s="1"/>
    </row>
    <row r="950" spans="9:9" x14ac:dyDescent="0.25">
      <c r="I950" s="1"/>
    </row>
    <row r="951" spans="9:9" x14ac:dyDescent="0.25">
      <c r="I951" s="1"/>
    </row>
    <row r="952" spans="9:9" x14ac:dyDescent="0.25">
      <c r="I952" s="1"/>
    </row>
    <row r="953" spans="9:9" x14ac:dyDescent="0.25">
      <c r="I953" s="1"/>
    </row>
    <row r="954" spans="9:9" x14ac:dyDescent="0.25">
      <c r="I954" s="1"/>
    </row>
    <row r="955" spans="9:9" x14ac:dyDescent="0.25">
      <c r="I955" s="1"/>
    </row>
    <row r="956" spans="9:9" x14ac:dyDescent="0.25">
      <c r="I956" s="1"/>
    </row>
    <row r="957" spans="9:9" x14ac:dyDescent="0.25">
      <c r="I957" s="1"/>
    </row>
    <row r="958" spans="9:9" x14ac:dyDescent="0.25">
      <c r="I958" s="1"/>
    </row>
    <row r="959" spans="9:9" x14ac:dyDescent="0.25">
      <c r="I959" s="1"/>
    </row>
    <row r="960" spans="9:9" x14ac:dyDescent="0.25">
      <c r="I960" s="1"/>
    </row>
    <row r="961" spans="9:9" x14ac:dyDescent="0.25">
      <c r="I961" s="1"/>
    </row>
    <row r="962" spans="9:9" x14ac:dyDescent="0.25">
      <c r="I962" s="1"/>
    </row>
    <row r="963" spans="9:9" x14ac:dyDescent="0.25">
      <c r="I963" s="1"/>
    </row>
    <row r="964" spans="9:9" x14ac:dyDescent="0.25">
      <c r="I964" s="1"/>
    </row>
    <row r="965" spans="9:9" x14ac:dyDescent="0.25">
      <c r="I965" s="1"/>
    </row>
    <row r="966" spans="9:9" x14ac:dyDescent="0.25">
      <c r="I966" s="1"/>
    </row>
    <row r="967" spans="9:9" x14ac:dyDescent="0.25">
      <c r="I967" s="1"/>
    </row>
    <row r="968" spans="9:9" x14ac:dyDescent="0.25">
      <c r="I968" s="1"/>
    </row>
    <row r="969" spans="9:9" x14ac:dyDescent="0.25">
      <c r="I969" s="1"/>
    </row>
    <row r="970" spans="9:9" x14ac:dyDescent="0.25">
      <c r="I970" s="1"/>
    </row>
    <row r="971" spans="9:9" x14ac:dyDescent="0.25">
      <c r="I971" s="1"/>
    </row>
    <row r="972" spans="9:9" x14ac:dyDescent="0.25">
      <c r="I972" s="1"/>
    </row>
    <row r="973" spans="9:9" x14ac:dyDescent="0.25">
      <c r="I973" s="1"/>
    </row>
    <row r="974" spans="9:9" x14ac:dyDescent="0.25">
      <c r="I974" s="1"/>
    </row>
    <row r="975" spans="9:9" x14ac:dyDescent="0.25">
      <c r="I975" s="1"/>
    </row>
    <row r="976" spans="9:9" x14ac:dyDescent="0.25">
      <c r="I976" s="1"/>
    </row>
    <row r="977" spans="9:9" x14ac:dyDescent="0.25">
      <c r="I977" s="1"/>
    </row>
    <row r="978" spans="9:9" x14ac:dyDescent="0.25">
      <c r="I978" s="1"/>
    </row>
    <row r="979" spans="9:9" x14ac:dyDescent="0.25">
      <c r="I979" s="1"/>
    </row>
    <row r="980" spans="9:9" x14ac:dyDescent="0.25">
      <c r="I980" s="1"/>
    </row>
    <row r="981" spans="9:9" x14ac:dyDescent="0.25">
      <c r="I981" s="1"/>
    </row>
    <row r="982" spans="9:9" x14ac:dyDescent="0.25">
      <c r="I982" s="1"/>
    </row>
    <row r="983" spans="9:9" x14ac:dyDescent="0.25">
      <c r="I983" s="1"/>
    </row>
    <row r="984" spans="9:9" x14ac:dyDescent="0.25">
      <c r="I984" s="1"/>
    </row>
    <row r="985" spans="9:9" x14ac:dyDescent="0.25">
      <c r="I985" s="1"/>
    </row>
    <row r="986" spans="9:9" x14ac:dyDescent="0.25">
      <c r="I986" s="1"/>
    </row>
  </sheetData>
  <printOptions gridLines="1"/>
  <pageMargins left="0.75" right="0.75" top="1" bottom="1" header="0.5" footer="0.5"/>
  <pageSetup scale="64" fitToHeight="3" orientation="portrait" verticalDpi="0" r:id="rId1"/>
  <headerFooter alignWithMargins="0">
    <oddFooter>&amp;R&amp;P</oddFooter>
  </headerFooter>
  <rowBreaks count="2" manualBreakCount="2">
    <brk id="42" max="8" man="1"/>
    <brk id="7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RECHRATE</vt:lpstr>
      <vt:lpstr>RECHRATE!Print_Area</vt:lpstr>
      <vt:lpstr>RECHRATE!Print_Titles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2001-02-26T21:54:38Z</cp:lastPrinted>
  <dcterms:created xsi:type="dcterms:W3CDTF">2001-02-07T22:09:14Z</dcterms:created>
  <dcterms:modified xsi:type="dcterms:W3CDTF">2020-01-27T12:01:38Z</dcterms:modified>
</cp:coreProperties>
</file>