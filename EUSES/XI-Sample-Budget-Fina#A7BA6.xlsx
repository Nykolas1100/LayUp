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90418B5-EDD4-46FF-B647-549F1B458C78}" xr6:coauthVersionLast="45" xr6:coauthVersionMax="45" xr10:uidLastSave="{00000000-0000-0000-0000-000000000000}"/>
  <bookViews>
    <workbookView xWindow="1900" yWindow="1900" windowWidth="28800" windowHeight="15460"/>
  </bookViews>
  <sheets>
    <sheet name="Summary" sheetId="1" r:id="rId1"/>
    <sheet name="Income" sheetId="2" r:id="rId2"/>
    <sheet name="Expenses" sheetId="3" r:id="rId3"/>
  </sheets>
  <definedNames>
    <definedName name="_xlnm.Print_Area" localSheetId="2">Expenses!$A$1:$E$82</definedName>
    <definedName name="_xlnm.Print_Area" localSheetId="1">Income!$A$1:$D$69</definedName>
    <definedName name="_xlnm.Print_Area" localSheetId="0">Summary!$A$1:$C$38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4" i="3" l="1"/>
  <c r="D14" i="3"/>
  <c r="C31" i="3"/>
  <c r="D31" i="3"/>
  <c r="C36" i="3"/>
  <c r="C37" i="3"/>
  <c r="C38" i="3"/>
  <c r="C39" i="3"/>
  <c r="C41" i="3"/>
  <c r="C44" i="3"/>
  <c r="C45" i="3"/>
  <c r="C46" i="3"/>
  <c r="C47" i="3"/>
  <c r="C51" i="3"/>
  <c r="C53" i="3"/>
  <c r="B27" i="1" s="1"/>
  <c r="D53" i="3"/>
  <c r="C27" i="1" s="1"/>
  <c r="C31" i="1" s="1"/>
  <c r="D80" i="3" s="1"/>
  <c r="C59" i="3"/>
  <c r="B28" i="1" s="1"/>
  <c r="D59" i="3"/>
  <c r="C28" i="1" s="1"/>
  <c r="C62" i="3"/>
  <c r="C64" i="3"/>
  <c r="B29" i="1" s="1"/>
  <c r="D64" i="3"/>
  <c r="C74" i="3"/>
  <c r="C77" i="3"/>
  <c r="B9" i="2"/>
  <c r="B10" i="2"/>
  <c r="B11" i="2"/>
  <c r="B12" i="2"/>
  <c r="B13" i="2"/>
  <c r="B14" i="2"/>
  <c r="B15" i="2"/>
  <c r="B16" i="2"/>
  <c r="B51" i="2" s="1"/>
  <c r="C16" i="2"/>
  <c r="C51" i="2" s="1"/>
  <c r="B21" i="2"/>
  <c r="B17" i="1" s="1"/>
  <c r="C21" i="2"/>
  <c r="C17" i="1" s="1"/>
  <c r="B33" i="2"/>
  <c r="B18" i="1" s="1"/>
  <c r="C33" i="2"/>
  <c r="C18" i="1" s="1"/>
  <c r="B40" i="2"/>
  <c r="B19" i="1" s="1"/>
  <c r="C40" i="2"/>
  <c r="B47" i="2"/>
  <c r="B49" i="2"/>
  <c r="C49" i="2"/>
  <c r="C19" i="1"/>
  <c r="B20" i="1"/>
  <c r="C20" i="1"/>
  <c r="B21" i="1"/>
  <c r="C21" i="1"/>
  <c r="B25" i="1"/>
  <c r="C25" i="1"/>
  <c r="B26" i="1"/>
  <c r="C26" i="1"/>
  <c r="C29" i="1"/>
  <c r="B30" i="1"/>
  <c r="C30" i="1"/>
  <c r="B31" i="1" l="1"/>
  <c r="C16" i="1"/>
  <c r="C22" i="1" s="1"/>
  <c r="C33" i="1" s="1"/>
  <c r="B16" i="1"/>
  <c r="B22" i="1" s="1"/>
  <c r="B33" i="1" s="1"/>
  <c r="C80" i="3" l="1"/>
  <c r="C81" i="3" s="1"/>
  <c r="B36" i="1"/>
</calcChain>
</file>

<file path=xl/sharedStrings.xml><?xml version="1.0" encoding="utf-8"?>
<sst xmlns="http://schemas.openxmlformats.org/spreadsheetml/2006/main" count="211" uniqueCount="147">
  <si>
    <t>DO NOT ENTER ANY NUMBERS IN THIS PAGE</t>
  </si>
  <si>
    <t>ALL COLUMNS ARE LINKED TO APPROPRIATE</t>
  </si>
  <si>
    <t>TOTAL ON ACCOMPANYING SPREADSHEETS</t>
  </si>
  <si>
    <t>Income</t>
  </si>
  <si>
    <t>Registration Fees</t>
  </si>
  <si>
    <t>Donations</t>
  </si>
  <si>
    <t>Booth Sales</t>
  </si>
  <si>
    <t>Other</t>
  </si>
  <si>
    <t>Total Income</t>
  </si>
  <si>
    <t>Expenses</t>
  </si>
  <si>
    <t>Room Rental</t>
  </si>
  <si>
    <t>A/V Equipment</t>
  </si>
  <si>
    <t>Food Service</t>
  </si>
  <si>
    <t>Transportation</t>
  </si>
  <si>
    <t>Total Expenses</t>
  </si>
  <si>
    <t>Budget</t>
  </si>
  <si>
    <t>Actual</t>
  </si>
  <si>
    <t>Balance (Income - Expenses)</t>
  </si>
  <si>
    <t>BUDGET/FINANCIAL REPORT</t>
  </si>
  <si>
    <t>Advertising</t>
  </si>
  <si>
    <t>ASME International (CMA)</t>
  </si>
  <si>
    <t>Total Registration Fees</t>
  </si>
  <si>
    <t>RAC Delegates</t>
  </si>
  <si>
    <t>SSA's</t>
  </si>
  <si>
    <t>Guests</t>
  </si>
  <si>
    <t>Students</t>
  </si>
  <si>
    <t>GSTC</t>
  </si>
  <si>
    <t>Total Donations</t>
  </si>
  <si>
    <t>Total Booth Sales</t>
  </si>
  <si>
    <t>Total Advertising</t>
  </si>
  <si>
    <t>Total Other</t>
  </si>
  <si>
    <t>Comments</t>
  </si>
  <si>
    <t>Other (Tours, Etc)</t>
  </si>
  <si>
    <t>10 at $15 each</t>
  </si>
  <si>
    <t>Dinner Only (Saturday)</t>
  </si>
  <si>
    <t>ABC Company</t>
  </si>
  <si>
    <t>JKL Company</t>
  </si>
  <si>
    <t>XYZ Company</t>
  </si>
  <si>
    <t>MNO Company</t>
  </si>
  <si>
    <t>STU Company</t>
  </si>
  <si>
    <t>DEF Company</t>
  </si>
  <si>
    <t>GHI Company</t>
  </si>
  <si>
    <t>PQR Company</t>
  </si>
  <si>
    <t>AAA Company</t>
  </si>
  <si>
    <t>BBB Company</t>
  </si>
  <si>
    <t>CCC Company</t>
  </si>
  <si>
    <t>Non-Monetary Donations - Recognize the following in Program</t>
  </si>
  <si>
    <t>GGG Movie Theatres</t>
  </si>
  <si>
    <t>10 Movie Tickets</t>
  </si>
  <si>
    <t>HHH Bank</t>
  </si>
  <si>
    <t>Pens/Pencils/Pads</t>
  </si>
  <si>
    <t>ZZZ Sporting Goods</t>
  </si>
  <si>
    <t>Baseballs</t>
  </si>
  <si>
    <t>KING Lumber Yard</t>
  </si>
  <si>
    <t>Materials for Design Competition</t>
  </si>
  <si>
    <t>MMM Inc.</t>
  </si>
  <si>
    <t>Program Printing</t>
  </si>
  <si>
    <t>XXX Company</t>
  </si>
  <si>
    <t>Registration Package Bags</t>
  </si>
  <si>
    <t>Always Acknowledge the following in the Program for Donations</t>
  </si>
  <si>
    <t>ASME Council on Member Affairs</t>
  </si>
  <si>
    <t xml:space="preserve">Host University </t>
  </si>
  <si>
    <t xml:space="preserve">the program … A box the size of a </t>
  </si>
  <si>
    <t>business card is suffucient.</t>
  </si>
  <si>
    <t xml:space="preserve">Give these a small ad (at no charge) in </t>
  </si>
  <si>
    <t>Give these recognition in the program</t>
  </si>
  <si>
    <t>ASME Old Guard</t>
  </si>
  <si>
    <t>Ad in Program</t>
  </si>
  <si>
    <t>These should all get (at minimum):</t>
  </si>
  <si>
    <t xml:space="preserve">Booth and/or Table </t>
  </si>
  <si>
    <t>Ad in Program plus Big Sign in lunch area</t>
  </si>
  <si>
    <t>MMM Company 
(Sponsor Lunch on Friday)</t>
  </si>
  <si>
    <t>SAMPLE</t>
  </si>
  <si>
    <t>Thursday</t>
  </si>
  <si>
    <t>Friday</t>
  </si>
  <si>
    <t>Dinner</t>
  </si>
  <si>
    <t>Saturday</t>
  </si>
  <si>
    <t>Lunch</t>
  </si>
  <si>
    <t>Reception</t>
  </si>
  <si>
    <t>RAC</t>
  </si>
  <si>
    <t>RSC</t>
  </si>
  <si>
    <t>RAC/RSC</t>
  </si>
  <si>
    <t>SDC</t>
  </si>
  <si>
    <t>Chips/Dips/Sodas/Snacks</t>
  </si>
  <si>
    <t>Breakfast</t>
  </si>
  <si>
    <t>Lunch - RSC</t>
  </si>
  <si>
    <t>Morning Break - RSC</t>
  </si>
  <si>
    <t>Afternoon Break - RSC</t>
  </si>
  <si>
    <t>Dinner (All)</t>
  </si>
  <si>
    <t>Sunday</t>
  </si>
  <si>
    <t>Morning Break - All</t>
  </si>
  <si>
    <t>Lunch - All</t>
  </si>
  <si>
    <t>Afternoon Break - All</t>
  </si>
  <si>
    <t>Comp Meals</t>
  </si>
  <si>
    <t>Judges/Vendors/Special Guests</t>
  </si>
  <si>
    <t>PreConference Tour and Optional Spouse Tour</t>
  </si>
  <si>
    <t xml:space="preserve">Printing </t>
  </si>
  <si>
    <t>Printing</t>
  </si>
  <si>
    <t>Program</t>
  </si>
  <si>
    <t>Miscellaneous items</t>
  </si>
  <si>
    <t>Postage</t>
  </si>
  <si>
    <t>Telephone</t>
  </si>
  <si>
    <t>SDC Supplies</t>
  </si>
  <si>
    <t>Ice Breaker/Impromptu Supplies &amp; Prizes</t>
  </si>
  <si>
    <t>Furniture Rental</t>
  </si>
  <si>
    <t>Mailing Supplies (Envelopes, Etc.)</t>
  </si>
  <si>
    <t>Registration Package</t>
  </si>
  <si>
    <t>Gasoline</t>
  </si>
  <si>
    <t>Signs</t>
  </si>
  <si>
    <t>10 at $50 each</t>
  </si>
  <si>
    <t>Note:   Don't forget to factor in service/tip/gratuity charge into all functions as necessary.</t>
  </si>
  <si>
    <r>
      <t>100 at $20 each (</t>
    </r>
    <r>
      <rPr>
        <b/>
        <u/>
        <sz val="10"/>
        <rFont val="Arial"/>
        <family val="2"/>
      </rPr>
      <t>Charge ACTUAL COST</t>
    </r>
    <r>
      <rPr>
        <sz val="10"/>
        <rFont val="Arial"/>
      </rPr>
      <t>)</t>
    </r>
  </si>
  <si>
    <t>Ten Percent Allocation</t>
  </si>
  <si>
    <t>Section Allocation Percentage</t>
  </si>
  <si>
    <t>RSC/RAC Delegates</t>
  </si>
  <si>
    <t>10 at $90 each (Budget)</t>
  </si>
  <si>
    <t>15 at $45 each (Budget)</t>
  </si>
  <si>
    <t>10 at $20 each (Budget)</t>
  </si>
  <si>
    <t>Hilton by Contract</t>
  </si>
  <si>
    <t>Consider Using All Day Pkg at $22.95++)($28.68 each)</t>
  </si>
  <si>
    <t>Dutch Treat</t>
  </si>
  <si>
    <t>Dinner - RAC</t>
  </si>
  <si>
    <t>Breakfast RAC</t>
  </si>
  <si>
    <t>Possibly may need to rent a couple vans</t>
  </si>
  <si>
    <t>Spouse Program/Plant Tour</t>
  </si>
  <si>
    <t>Tables/Chairs/Booth Equipment</t>
  </si>
  <si>
    <t>Bags, Etc. (400 * 3)</t>
  </si>
  <si>
    <t>40 at $90 each (Budget)</t>
  </si>
  <si>
    <t>125 at $45 each (Budget)</t>
  </si>
  <si>
    <t>15 at $130 each (Budget)</t>
  </si>
  <si>
    <t>165 at $10.31 each</t>
  </si>
  <si>
    <t>165 at 3.00 each</t>
  </si>
  <si>
    <t>165 at $17.50 each</t>
  </si>
  <si>
    <t>165 at $5.00 each</t>
  </si>
  <si>
    <t>220 at $26.25 each</t>
  </si>
  <si>
    <t>220 at $10.31 each</t>
  </si>
  <si>
    <t>220 at 3.00 each</t>
  </si>
  <si>
    <t>220 at $17.50 each</t>
  </si>
  <si>
    <t>50 at $5.00 each</t>
  </si>
  <si>
    <t>55 at $10.31 each</t>
  </si>
  <si>
    <t>250 programs at $7 each</t>
  </si>
  <si>
    <t>Region XI Spring Conference</t>
  </si>
  <si>
    <t>Jackson, MS</t>
  </si>
  <si>
    <t>Estimated Cost Per Person 
(Base = 230 persons)</t>
  </si>
  <si>
    <t>Cost Per Person 230 people)</t>
  </si>
  <si>
    <t>Optional Spouse Tour and Pre-Conf Activity</t>
  </si>
  <si>
    <t>Budget 75% of Possible $5,058.00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</si>
</sst>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&quot;$&quot;#,##0.00_);[Red]\(&quot;$&quot;#,##0.00\)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8"/>
      <color indexed="10"/>
      <name val="Arial"/>
      <family val="2"/>
    </font>
    <font>
      <sz val="10"/>
      <color indexed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7" fontId="0" fillId="2" borderId="0" xfId="0" applyNumberFormat="1" applyFill="1"/>
    <xf numFmtId="0" fontId="1" fillId="2" borderId="0" xfId="0" applyFont="1" applyFill="1"/>
    <xf numFmtId="0" fontId="0" fillId="2" borderId="0" xfId="0" applyFill="1" applyAlignment="1">
      <alignment horizontal="left" indent="1"/>
    </xf>
    <xf numFmtId="167" fontId="0" fillId="2" borderId="0" xfId="0" applyNumberFormat="1" applyFill="1" applyAlignment="1">
      <alignment horizontal="center"/>
    </xf>
    <xf numFmtId="0" fontId="0" fillId="2" borderId="1" xfId="0" applyFill="1" applyBorder="1"/>
    <xf numFmtId="0" fontId="4" fillId="2" borderId="2" xfId="0" applyFont="1" applyFill="1" applyBorder="1" applyAlignment="1">
      <alignment horizontal="right"/>
    </xf>
    <xf numFmtId="0" fontId="1" fillId="2" borderId="0" xfId="0" applyFont="1" applyFill="1" applyAlignment="1">
      <alignment horizontal="left" indent="1"/>
    </xf>
    <xf numFmtId="0" fontId="0" fillId="2" borderId="0" xfId="0" applyFill="1" applyAlignment="1">
      <alignment horizontal="left" indent="2"/>
    </xf>
    <xf numFmtId="0" fontId="0" fillId="2" borderId="0" xfId="0" applyFill="1" applyAlignment="1">
      <alignment horizontal="left" indent="3"/>
    </xf>
    <xf numFmtId="0" fontId="4" fillId="2" borderId="3" xfId="0" applyFont="1" applyFill="1" applyBorder="1"/>
    <xf numFmtId="0" fontId="4" fillId="2" borderId="0" xfId="0" applyFont="1" applyFill="1" applyBorder="1"/>
    <xf numFmtId="0" fontId="0" fillId="2" borderId="0" xfId="0" applyFill="1" applyBorder="1"/>
    <xf numFmtId="0" fontId="4" fillId="2" borderId="2" xfId="0" applyFont="1" applyFill="1" applyBorder="1" applyAlignment="1">
      <alignment horizontal="center"/>
    </xf>
    <xf numFmtId="0" fontId="5" fillId="2" borderId="0" xfId="0" applyFont="1" applyFill="1"/>
    <xf numFmtId="0" fontId="0" fillId="2" borderId="0" xfId="0" applyFill="1" applyAlignment="1">
      <alignment wrapText="1"/>
    </xf>
    <xf numFmtId="0" fontId="3" fillId="2" borderId="0" xfId="0" applyFont="1" applyFill="1"/>
    <xf numFmtId="167" fontId="3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left" wrapText="1" indent="2"/>
    </xf>
    <xf numFmtId="167" fontId="7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left" indent="1"/>
    </xf>
    <xf numFmtId="167" fontId="8" fillId="2" borderId="0" xfId="0" applyNumberFormat="1" applyFont="1" applyFill="1" applyAlignment="1">
      <alignment horizontal="center"/>
    </xf>
    <xf numFmtId="0" fontId="6" fillId="2" borderId="0" xfId="0" applyFont="1" applyFill="1"/>
    <xf numFmtId="0" fontId="4" fillId="2" borderId="4" xfId="0" applyFont="1" applyFill="1" applyBorder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workbookViewId="0">
      <selection activeCell="E9" sqref="E9"/>
    </sheetView>
  </sheetViews>
  <sheetFormatPr defaultColWidth="9.1796875" defaultRowHeight="12.5" x14ac:dyDescent="0.25"/>
  <cols>
    <col min="1" max="1" width="27.1796875" style="1" customWidth="1"/>
    <col min="2" max="2" width="14" style="4" customWidth="1"/>
    <col min="3" max="3" width="15.7265625" style="4" customWidth="1"/>
    <col min="4" max="16384" width="9.1796875" style="1"/>
  </cols>
  <sheetData>
    <row r="1" spans="1:7" ht="24" thickTop="1" thickBot="1" x14ac:dyDescent="0.55000000000000004">
      <c r="C1" s="26" t="s">
        <v>72</v>
      </c>
    </row>
    <row r="2" spans="1:7" ht="13.5" thickTop="1" thickBot="1" x14ac:dyDescent="0.3"/>
    <row r="3" spans="1:7" ht="19" thickTop="1" thickBot="1" x14ac:dyDescent="0.45">
      <c r="A3" s="29" t="s">
        <v>141</v>
      </c>
      <c r="B3" s="29"/>
      <c r="C3" s="29"/>
      <c r="G3" s="8"/>
    </row>
    <row r="4" spans="1:7" ht="13.5" thickTop="1" x14ac:dyDescent="0.3">
      <c r="A4" s="27" t="s">
        <v>142</v>
      </c>
      <c r="B4" s="27"/>
      <c r="C4" s="27"/>
    </row>
    <row r="5" spans="1:7" ht="13" x14ac:dyDescent="0.3">
      <c r="A5" s="2"/>
      <c r="B5" s="3"/>
      <c r="C5" s="3"/>
    </row>
    <row r="6" spans="1:7" ht="18" x14ac:dyDescent="0.4">
      <c r="A6" s="29" t="s">
        <v>18</v>
      </c>
      <c r="B6" s="29"/>
      <c r="C6" s="29"/>
    </row>
    <row r="7" spans="1:7" ht="13" x14ac:dyDescent="0.3">
      <c r="A7" s="2"/>
      <c r="B7" s="3"/>
      <c r="C7" s="3"/>
    </row>
    <row r="8" spans="1:7" ht="13" x14ac:dyDescent="0.3">
      <c r="A8" s="27" t="s">
        <v>0</v>
      </c>
      <c r="B8" s="27"/>
      <c r="C8" s="27"/>
    </row>
    <row r="9" spans="1:7" ht="13" x14ac:dyDescent="0.3">
      <c r="A9" s="27" t="s">
        <v>1</v>
      </c>
      <c r="B9" s="27"/>
      <c r="C9" s="27"/>
    </row>
    <row r="10" spans="1:7" ht="13" x14ac:dyDescent="0.3">
      <c r="A10" s="27" t="s">
        <v>2</v>
      </c>
      <c r="B10" s="27"/>
      <c r="C10" s="27"/>
    </row>
    <row r="11" spans="1:7" ht="13" x14ac:dyDescent="0.3">
      <c r="A11" s="2"/>
      <c r="B11" s="2"/>
      <c r="C11" s="2"/>
    </row>
    <row r="12" spans="1:7" ht="13" x14ac:dyDescent="0.3">
      <c r="A12" s="28"/>
      <c r="B12" s="28"/>
      <c r="C12" s="28"/>
    </row>
    <row r="15" spans="1:7" s="5" customFormat="1" ht="13" x14ac:dyDescent="0.3">
      <c r="A15" s="5" t="s">
        <v>3</v>
      </c>
      <c r="B15" s="3" t="s">
        <v>15</v>
      </c>
      <c r="C15" s="3" t="s">
        <v>16</v>
      </c>
    </row>
    <row r="16" spans="1:7" x14ac:dyDescent="0.25">
      <c r="A16" s="6" t="s">
        <v>4</v>
      </c>
      <c r="B16" s="7">
        <f>SUM(Income!B16)</f>
        <v>11675</v>
      </c>
      <c r="C16" s="7">
        <f>SUM(Income!C16)</f>
        <v>0</v>
      </c>
    </row>
    <row r="17" spans="1:3" x14ac:dyDescent="0.25">
      <c r="A17" s="6" t="s">
        <v>5</v>
      </c>
      <c r="B17" s="7">
        <f>SUM(Income!B21)</f>
        <v>200</v>
      </c>
      <c r="C17" s="7">
        <f>SUM(Income!C21)</f>
        <v>200</v>
      </c>
    </row>
    <row r="18" spans="1:3" x14ac:dyDescent="0.25">
      <c r="A18" s="6" t="s">
        <v>6</v>
      </c>
      <c r="B18" s="7">
        <f>SUM(Income!B33)</f>
        <v>0</v>
      </c>
      <c r="C18" s="7">
        <f>SUM(Income!C33)</f>
        <v>0</v>
      </c>
    </row>
    <row r="19" spans="1:3" x14ac:dyDescent="0.25">
      <c r="A19" s="6" t="s">
        <v>19</v>
      </c>
      <c r="B19" s="7">
        <f>SUM(Income!B40)</f>
        <v>0</v>
      </c>
      <c r="C19" s="7">
        <f>SUM(Income!C40)</f>
        <v>0</v>
      </c>
    </row>
    <row r="20" spans="1:3" x14ac:dyDescent="0.25">
      <c r="A20" s="6" t="s">
        <v>113</v>
      </c>
      <c r="B20" s="7">
        <f>SUM(Income!B42)</f>
        <v>3793.5</v>
      </c>
      <c r="C20" s="7">
        <f>SUM(Income!C42)</f>
        <v>0</v>
      </c>
    </row>
    <row r="21" spans="1:3" x14ac:dyDescent="0.25">
      <c r="A21" s="6" t="s">
        <v>7</v>
      </c>
      <c r="B21" s="7">
        <f>SUM(Income!B49)</f>
        <v>2000</v>
      </c>
      <c r="C21" s="7">
        <f>SUM(Income!C49)</f>
        <v>0</v>
      </c>
    </row>
    <row r="22" spans="1:3" ht="13" x14ac:dyDescent="0.3">
      <c r="A22" s="5" t="s">
        <v>8</v>
      </c>
      <c r="B22" s="7">
        <f>SUM(B16:B21)</f>
        <v>17668.5</v>
      </c>
      <c r="C22" s="7">
        <f>SUM(C16:C21)</f>
        <v>200</v>
      </c>
    </row>
    <row r="23" spans="1:3" x14ac:dyDescent="0.25">
      <c r="B23" s="7"/>
      <c r="C23" s="7"/>
    </row>
    <row r="24" spans="1:3" s="5" customFormat="1" ht="13" x14ac:dyDescent="0.3">
      <c r="A24" s="5" t="s">
        <v>9</v>
      </c>
      <c r="B24" s="3" t="s">
        <v>15</v>
      </c>
      <c r="C24" s="3" t="s">
        <v>16</v>
      </c>
    </row>
    <row r="25" spans="1:3" x14ac:dyDescent="0.25">
      <c r="A25" s="6" t="s">
        <v>10</v>
      </c>
      <c r="B25" s="7">
        <f>SUM(Expenses!C14)</f>
        <v>1750</v>
      </c>
      <c r="C25" s="7">
        <f>SUM(Expenses!D14)</f>
        <v>0</v>
      </c>
    </row>
    <row r="26" spans="1:3" x14ac:dyDescent="0.25">
      <c r="A26" s="6" t="s">
        <v>11</v>
      </c>
      <c r="B26" s="7">
        <f>SUM(Expenses!C31)</f>
        <v>3800</v>
      </c>
      <c r="C26" s="7">
        <f>SUM(Expenses!D31)</f>
        <v>0</v>
      </c>
    </row>
    <row r="27" spans="1:3" x14ac:dyDescent="0.25">
      <c r="A27" s="6" t="s">
        <v>12</v>
      </c>
      <c r="B27" s="7">
        <f>SUM(Expenses!C53)</f>
        <v>21311.85</v>
      </c>
      <c r="C27" s="7">
        <f>SUM(Expenses!D53)</f>
        <v>0</v>
      </c>
    </row>
    <row r="28" spans="1:3" x14ac:dyDescent="0.25">
      <c r="A28" s="6" t="s">
        <v>13</v>
      </c>
      <c r="B28" s="7">
        <f>SUM(Expenses!C59)</f>
        <v>200</v>
      </c>
      <c r="C28" s="7">
        <f>SUM(Expenses!D59)</f>
        <v>0</v>
      </c>
    </row>
    <row r="29" spans="1:3" x14ac:dyDescent="0.25">
      <c r="A29" s="6" t="s">
        <v>96</v>
      </c>
      <c r="B29" s="7">
        <f>SUM(Expenses!C64)</f>
        <v>2250</v>
      </c>
      <c r="C29" s="7">
        <f>SUM(Expenses!D64)</f>
        <v>0</v>
      </c>
    </row>
    <row r="30" spans="1:3" x14ac:dyDescent="0.25">
      <c r="A30" s="6" t="s">
        <v>7</v>
      </c>
      <c r="B30" s="7">
        <f>SUM(Expenses!C77)</f>
        <v>5225</v>
      </c>
      <c r="C30" s="7">
        <f>SUM(Expenses!D77)</f>
        <v>0</v>
      </c>
    </row>
    <row r="31" spans="1:3" ht="13" x14ac:dyDescent="0.3">
      <c r="A31" s="5" t="s">
        <v>14</v>
      </c>
      <c r="B31" s="7">
        <f>SUM(B25:B30)</f>
        <v>34536.85</v>
      </c>
      <c r="C31" s="7">
        <f>SUM(C25:C30)</f>
        <v>0</v>
      </c>
    </row>
    <row r="32" spans="1:3" x14ac:dyDescent="0.25">
      <c r="B32" s="7"/>
      <c r="C32" s="7"/>
    </row>
    <row r="33" spans="1:3" ht="13" x14ac:dyDescent="0.3">
      <c r="A33" s="5" t="s">
        <v>17</v>
      </c>
      <c r="B33" s="7">
        <f>SUM(B22-B31)</f>
        <v>-16868.349999999999</v>
      </c>
      <c r="C33" s="7">
        <f>SUM(C22-C31)</f>
        <v>200</v>
      </c>
    </row>
    <row r="34" spans="1:3" x14ac:dyDescent="0.25">
      <c r="B34" s="7"/>
      <c r="C34" s="7"/>
    </row>
    <row r="35" spans="1:3" x14ac:dyDescent="0.25">
      <c r="B35" s="7"/>
      <c r="C35" s="7"/>
    </row>
    <row r="36" spans="1:3" ht="25" x14ac:dyDescent="0.25">
      <c r="A36" s="18" t="s">
        <v>143</v>
      </c>
      <c r="B36" s="7">
        <f>SUM(B31/230)</f>
        <v>150.16021739130434</v>
      </c>
      <c r="C36" s="7"/>
    </row>
    <row r="37" spans="1:3" x14ac:dyDescent="0.25">
      <c r="B37" s="7"/>
      <c r="C37" s="7"/>
    </row>
    <row r="38" spans="1:3" x14ac:dyDescent="0.25">
      <c r="B38" s="7"/>
      <c r="C38" s="7"/>
    </row>
    <row r="39" spans="1:3" x14ac:dyDescent="0.25">
      <c r="B39" s="7"/>
      <c r="C39" s="7"/>
    </row>
    <row r="40" spans="1:3" x14ac:dyDescent="0.25">
      <c r="B40" s="7"/>
      <c r="C40" s="7"/>
    </row>
  </sheetData>
  <mergeCells count="7">
    <mergeCell ref="A9:C9"/>
    <mergeCell ref="A10:C10"/>
    <mergeCell ref="A12:C12"/>
    <mergeCell ref="A3:C3"/>
    <mergeCell ref="A4:C4"/>
    <mergeCell ref="A6:C6"/>
    <mergeCell ref="A8:C8"/>
  </mergeCells>
  <phoneticPr fontId="0" type="noConversion"/>
  <printOptions horizontalCentered="1"/>
  <pageMargins left="0.75" right="0.52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topLeftCell="A29" workbookViewId="0">
      <selection activeCell="B41" sqref="B41"/>
    </sheetView>
  </sheetViews>
  <sheetFormatPr defaultColWidth="9.1796875" defaultRowHeight="12.5" x14ac:dyDescent="0.25"/>
  <cols>
    <col min="1" max="1" width="27.26953125" style="1" customWidth="1"/>
    <col min="2" max="2" width="16.26953125" style="1" customWidth="1"/>
    <col min="3" max="3" width="15" style="1" customWidth="1"/>
    <col min="4" max="4" width="36.453125" style="1" customWidth="1"/>
    <col min="5" max="16384" width="9.1796875" style="1"/>
  </cols>
  <sheetData>
    <row r="1" spans="1:4" ht="24" thickTop="1" thickBot="1" x14ac:dyDescent="0.55000000000000004">
      <c r="A1" s="29" t="s">
        <v>141</v>
      </c>
      <c r="B1" s="29"/>
      <c r="C1" s="29"/>
      <c r="D1" s="9" t="s">
        <v>72</v>
      </c>
    </row>
    <row r="2" spans="1:4" ht="13.5" thickTop="1" x14ac:dyDescent="0.3">
      <c r="A2" s="27" t="s">
        <v>142</v>
      </c>
      <c r="B2" s="27"/>
      <c r="C2" s="27"/>
    </row>
    <row r="3" spans="1:4" ht="13" x14ac:dyDescent="0.3">
      <c r="A3" s="2"/>
      <c r="B3" s="3"/>
      <c r="C3" s="3"/>
    </row>
    <row r="4" spans="1:4" ht="18" x14ac:dyDescent="0.4">
      <c r="A4" s="29" t="s">
        <v>18</v>
      </c>
      <c r="B4" s="29"/>
      <c r="C4" s="29"/>
    </row>
    <row r="5" spans="1:4" ht="13" x14ac:dyDescent="0.3">
      <c r="A5" s="2"/>
      <c r="B5" s="3"/>
      <c r="C5" s="3"/>
    </row>
    <row r="6" spans="1:4" s="19" customFormat="1" ht="15.5" x14ac:dyDescent="0.35">
      <c r="A6" s="19" t="s">
        <v>3</v>
      </c>
      <c r="B6" s="20" t="s">
        <v>15</v>
      </c>
      <c r="C6" s="20" t="s">
        <v>16</v>
      </c>
      <c r="D6" s="19" t="s">
        <v>31</v>
      </c>
    </row>
    <row r="7" spans="1:4" s="19" customFormat="1" ht="15.5" x14ac:dyDescent="0.35">
      <c r="B7" s="20"/>
      <c r="C7" s="20"/>
    </row>
    <row r="8" spans="1:4" ht="13" x14ac:dyDescent="0.3">
      <c r="A8" s="10" t="s">
        <v>4</v>
      </c>
      <c r="B8" s="7"/>
      <c r="C8" s="7"/>
    </row>
    <row r="9" spans="1:4" x14ac:dyDescent="0.25">
      <c r="A9" s="11" t="s">
        <v>22</v>
      </c>
      <c r="B9" s="7">
        <f>40*90</f>
        <v>3600</v>
      </c>
      <c r="C9" s="7"/>
      <c r="D9" s="1" t="s">
        <v>127</v>
      </c>
    </row>
    <row r="10" spans="1:4" x14ac:dyDescent="0.25">
      <c r="A10" s="11" t="s">
        <v>23</v>
      </c>
      <c r="B10" s="7">
        <f>10*90</f>
        <v>900</v>
      </c>
      <c r="C10" s="7"/>
      <c r="D10" s="1" t="s">
        <v>115</v>
      </c>
    </row>
    <row r="11" spans="1:4" x14ac:dyDescent="0.25">
      <c r="A11" s="11" t="s">
        <v>24</v>
      </c>
      <c r="B11" s="7">
        <f>15*45</f>
        <v>675</v>
      </c>
      <c r="C11" s="7"/>
      <c r="D11" s="1" t="s">
        <v>116</v>
      </c>
    </row>
    <row r="12" spans="1:4" x14ac:dyDescent="0.25">
      <c r="A12" s="11" t="s">
        <v>25</v>
      </c>
      <c r="B12" s="7">
        <f>125*45</f>
        <v>5625</v>
      </c>
      <c r="C12" s="7"/>
      <c r="D12" s="1" t="s">
        <v>128</v>
      </c>
    </row>
    <row r="13" spans="1:4" x14ac:dyDescent="0.25">
      <c r="A13" s="11" t="s">
        <v>26</v>
      </c>
      <c r="B13" s="7">
        <f>15*45</f>
        <v>675</v>
      </c>
      <c r="C13" s="7"/>
      <c r="D13" s="1" t="s">
        <v>116</v>
      </c>
    </row>
    <row r="14" spans="1:4" x14ac:dyDescent="0.25">
      <c r="A14" s="11" t="s">
        <v>32</v>
      </c>
      <c r="B14" s="7">
        <f>10*20</f>
        <v>200</v>
      </c>
      <c r="C14" s="7"/>
      <c r="D14" s="1" t="s">
        <v>117</v>
      </c>
    </row>
    <row r="15" spans="1:4" x14ac:dyDescent="0.25">
      <c r="A15" s="11" t="s">
        <v>114</v>
      </c>
      <c r="B15" s="7">
        <f>15*130</f>
        <v>1950</v>
      </c>
      <c r="C15" s="7"/>
      <c r="D15" s="1" t="s">
        <v>129</v>
      </c>
    </row>
    <row r="16" spans="1:4" ht="13" x14ac:dyDescent="0.3">
      <c r="A16" s="10" t="s">
        <v>21</v>
      </c>
      <c r="B16" s="7">
        <f>SUM(B9:B14)</f>
        <v>11675</v>
      </c>
      <c r="C16" s="7">
        <f>SUM(C9:C14)</f>
        <v>0</v>
      </c>
    </row>
    <row r="17" spans="1:4" ht="13" x14ac:dyDescent="0.3">
      <c r="A17" s="10"/>
      <c r="B17" s="7"/>
      <c r="C17" s="7"/>
    </row>
    <row r="18" spans="1:4" ht="13" x14ac:dyDescent="0.3">
      <c r="A18" s="10" t="s">
        <v>5</v>
      </c>
      <c r="B18" s="7"/>
      <c r="C18" s="7"/>
    </row>
    <row r="19" spans="1:4" x14ac:dyDescent="0.25">
      <c r="A19" s="11" t="s">
        <v>20</v>
      </c>
      <c r="B19" s="7">
        <v>200</v>
      </c>
      <c r="C19" s="7">
        <v>200</v>
      </c>
      <c r="D19" s="1" t="s">
        <v>65</v>
      </c>
    </row>
    <row r="20" spans="1:4" x14ac:dyDescent="0.25">
      <c r="A20" s="11"/>
      <c r="B20" s="7"/>
      <c r="C20" s="7"/>
    </row>
    <row r="21" spans="1:4" ht="13" x14ac:dyDescent="0.3">
      <c r="A21" s="10" t="s">
        <v>27</v>
      </c>
      <c r="B21" s="7">
        <f>SUM(B19:B20)</f>
        <v>200</v>
      </c>
      <c r="C21" s="7">
        <f>SUM(C19:C20)</f>
        <v>200</v>
      </c>
    </row>
    <row r="22" spans="1:4" x14ac:dyDescent="0.25">
      <c r="A22" s="6"/>
      <c r="B22" s="7"/>
      <c r="C22" s="7"/>
    </row>
    <row r="23" spans="1:4" ht="13" x14ac:dyDescent="0.3">
      <c r="A23" s="10" t="s">
        <v>6</v>
      </c>
      <c r="B23" s="7"/>
      <c r="C23" s="7"/>
    </row>
    <row r="24" spans="1:4" x14ac:dyDescent="0.25">
      <c r="A24" s="12" t="s">
        <v>35</v>
      </c>
      <c r="B24" s="7"/>
      <c r="C24" s="7"/>
      <c r="D24" s="1" t="s">
        <v>68</v>
      </c>
    </row>
    <row r="25" spans="1:4" x14ac:dyDescent="0.25">
      <c r="A25" s="12" t="s">
        <v>36</v>
      </c>
      <c r="B25" s="7"/>
      <c r="C25" s="7"/>
      <c r="D25" s="11" t="s">
        <v>69</v>
      </c>
    </row>
    <row r="26" spans="1:4" x14ac:dyDescent="0.25">
      <c r="A26" s="12" t="s">
        <v>37</v>
      </c>
      <c r="B26" s="7"/>
      <c r="C26" s="7"/>
      <c r="D26" s="11" t="s">
        <v>67</v>
      </c>
    </row>
    <row r="27" spans="1:4" x14ac:dyDescent="0.25">
      <c r="A27" s="12" t="s">
        <v>40</v>
      </c>
      <c r="B27" s="7"/>
      <c r="C27" s="7"/>
    </row>
    <row r="28" spans="1:4" x14ac:dyDescent="0.25">
      <c r="A28" s="12" t="s">
        <v>41</v>
      </c>
      <c r="B28" s="7"/>
      <c r="C28" s="7"/>
    </row>
    <row r="29" spans="1:4" x14ac:dyDescent="0.25">
      <c r="A29" s="12" t="s">
        <v>38</v>
      </c>
      <c r="B29" s="7"/>
      <c r="C29" s="7"/>
    </row>
    <row r="30" spans="1:4" x14ac:dyDescent="0.25">
      <c r="A30" s="12" t="s">
        <v>42</v>
      </c>
      <c r="B30" s="7"/>
      <c r="C30" s="7"/>
    </row>
    <row r="31" spans="1:4" x14ac:dyDescent="0.25">
      <c r="A31" s="12" t="s">
        <v>39</v>
      </c>
      <c r="B31" s="7"/>
      <c r="C31" s="7"/>
    </row>
    <row r="32" spans="1:4" x14ac:dyDescent="0.25">
      <c r="A32" s="12"/>
      <c r="B32" s="7"/>
      <c r="C32" s="7"/>
    </row>
    <row r="33" spans="1:4" ht="13" x14ac:dyDescent="0.3">
      <c r="A33" s="10" t="s">
        <v>28</v>
      </c>
      <c r="B33" s="7">
        <f>SUM(B23:B32)</f>
        <v>0</v>
      </c>
      <c r="C33" s="7">
        <f>SUM(C23:C32)</f>
        <v>0</v>
      </c>
    </row>
    <row r="34" spans="1:4" x14ac:dyDescent="0.25">
      <c r="A34" s="6"/>
      <c r="B34" s="7"/>
      <c r="C34" s="7"/>
    </row>
    <row r="35" spans="1:4" ht="13" x14ac:dyDescent="0.3">
      <c r="A35" s="10" t="s">
        <v>19</v>
      </c>
      <c r="B35" s="7"/>
      <c r="C35" s="7"/>
    </row>
    <row r="36" spans="1:4" x14ac:dyDescent="0.25">
      <c r="A36" s="11" t="s">
        <v>43</v>
      </c>
      <c r="B36" s="7"/>
      <c r="C36" s="7"/>
    </row>
    <row r="37" spans="1:4" x14ac:dyDescent="0.25">
      <c r="A37" s="11" t="s">
        <v>44</v>
      </c>
      <c r="B37" s="7"/>
      <c r="C37" s="7"/>
    </row>
    <row r="38" spans="1:4" x14ac:dyDescent="0.25">
      <c r="A38" s="11" t="s">
        <v>45</v>
      </c>
      <c r="B38" s="7"/>
      <c r="C38" s="7"/>
    </row>
    <row r="39" spans="1:4" x14ac:dyDescent="0.25">
      <c r="A39" s="11"/>
      <c r="B39" s="7"/>
      <c r="C39" s="7"/>
    </row>
    <row r="40" spans="1:4" ht="13" x14ac:dyDescent="0.3">
      <c r="A40" s="10" t="s">
        <v>29</v>
      </c>
      <c r="B40" s="7">
        <f>SUM(B35:B39)</f>
        <v>0</v>
      </c>
      <c r="C40" s="7">
        <f>SUM(C35:C39)</f>
        <v>0</v>
      </c>
    </row>
    <row r="41" spans="1:4" ht="13" x14ac:dyDescent="0.3">
      <c r="A41" s="10"/>
      <c r="B41" s="7"/>
      <c r="C41" s="7"/>
    </row>
    <row r="42" spans="1:4" ht="13" x14ac:dyDescent="0.3">
      <c r="A42" s="10" t="s">
        <v>112</v>
      </c>
      <c r="B42" s="7">
        <v>3793.5</v>
      </c>
      <c r="C42" s="7">
        <v>0</v>
      </c>
      <c r="D42" s="25" t="s">
        <v>146</v>
      </c>
    </row>
    <row r="43" spans="1:4" ht="13" x14ac:dyDescent="0.3">
      <c r="A43" s="10"/>
      <c r="B43" s="7"/>
      <c r="C43" s="7"/>
    </row>
    <row r="44" spans="1:4" ht="13" x14ac:dyDescent="0.3">
      <c r="A44" s="10" t="s">
        <v>7</v>
      </c>
      <c r="B44" s="7"/>
      <c r="C44" s="7"/>
    </row>
    <row r="45" spans="1:4" x14ac:dyDescent="0.25">
      <c r="A45" s="11" t="s">
        <v>34</v>
      </c>
      <c r="B45" s="7"/>
      <c r="C45" s="7"/>
      <c r="D45" s="1" t="s">
        <v>33</v>
      </c>
    </row>
    <row r="46" spans="1:4" ht="25" x14ac:dyDescent="0.25">
      <c r="A46" s="21" t="s">
        <v>71</v>
      </c>
      <c r="B46" s="7"/>
      <c r="C46" s="7"/>
      <c r="D46" s="1" t="s">
        <v>70</v>
      </c>
    </row>
    <row r="47" spans="1:4" ht="25.5" x14ac:dyDescent="0.3">
      <c r="A47" s="21" t="s">
        <v>95</v>
      </c>
      <c r="B47" s="7">
        <f>100*20</f>
        <v>2000</v>
      </c>
      <c r="C47" s="7"/>
      <c r="D47" s="1" t="s">
        <v>111</v>
      </c>
    </row>
    <row r="48" spans="1:4" x14ac:dyDescent="0.25">
      <c r="A48" s="11"/>
      <c r="B48" s="7"/>
      <c r="C48" s="7"/>
    </row>
    <row r="49" spans="1:4" ht="13" x14ac:dyDescent="0.3">
      <c r="A49" s="10" t="s">
        <v>30</v>
      </c>
      <c r="B49" s="7">
        <f>SUM(B45:B48)</f>
        <v>2000</v>
      </c>
      <c r="C49" s="7">
        <f>SUM(C45:C48)</f>
        <v>0</v>
      </c>
    </row>
    <row r="50" spans="1:4" x14ac:dyDescent="0.25">
      <c r="A50" s="6"/>
      <c r="B50" s="7"/>
      <c r="C50" s="7"/>
    </row>
    <row r="51" spans="1:4" s="19" customFormat="1" ht="15.5" x14ac:dyDescent="0.35">
      <c r="A51" s="19" t="s">
        <v>8</v>
      </c>
      <c r="B51" s="20">
        <f>SUM(B16+B21+B33+B40+B49)</f>
        <v>13875</v>
      </c>
      <c r="C51" s="20">
        <f>SUM(C16+C21+C33+C40+C49)</f>
        <v>200</v>
      </c>
    </row>
    <row r="54" spans="1:4" s="19" customFormat="1" ht="15.5" x14ac:dyDescent="0.35">
      <c r="A54" s="19" t="s">
        <v>46</v>
      </c>
    </row>
    <row r="56" spans="1:4" x14ac:dyDescent="0.25">
      <c r="A56" s="1" t="s">
        <v>47</v>
      </c>
      <c r="B56" s="1" t="s">
        <v>48</v>
      </c>
      <c r="D56" s="1" t="s">
        <v>64</v>
      </c>
    </row>
    <row r="57" spans="1:4" x14ac:dyDescent="0.25">
      <c r="A57" s="1" t="s">
        <v>49</v>
      </c>
      <c r="B57" s="1" t="s">
        <v>50</v>
      </c>
      <c r="D57" s="1" t="s">
        <v>62</v>
      </c>
    </row>
    <row r="58" spans="1:4" x14ac:dyDescent="0.25">
      <c r="A58" s="1" t="s">
        <v>51</v>
      </c>
      <c r="B58" s="1" t="s">
        <v>52</v>
      </c>
      <c r="D58" s="1" t="s">
        <v>63</v>
      </c>
    </row>
    <row r="59" spans="1:4" x14ac:dyDescent="0.25">
      <c r="A59" s="1" t="s">
        <v>53</v>
      </c>
      <c r="B59" s="1" t="s">
        <v>54</v>
      </c>
    </row>
    <row r="60" spans="1:4" x14ac:dyDescent="0.25">
      <c r="A60" s="1" t="s">
        <v>55</v>
      </c>
      <c r="B60" s="1" t="s">
        <v>56</v>
      </c>
    </row>
    <row r="61" spans="1:4" x14ac:dyDescent="0.25">
      <c r="A61" s="1" t="s">
        <v>57</v>
      </c>
      <c r="B61" s="1" t="s">
        <v>58</v>
      </c>
    </row>
    <row r="64" spans="1:4" s="19" customFormat="1" ht="15.5" x14ac:dyDescent="0.35">
      <c r="A64" s="19" t="s">
        <v>59</v>
      </c>
    </row>
    <row r="66" spans="1:1" ht="13" x14ac:dyDescent="0.3">
      <c r="A66" s="5" t="s">
        <v>60</v>
      </c>
    </row>
    <row r="67" spans="1:1" ht="13" x14ac:dyDescent="0.3">
      <c r="A67" s="5" t="s">
        <v>61</v>
      </c>
    </row>
    <row r="68" spans="1:1" s="5" customFormat="1" ht="13" x14ac:dyDescent="0.3">
      <c r="A68" s="5" t="s">
        <v>66</v>
      </c>
    </row>
  </sheetData>
  <mergeCells count="3">
    <mergeCell ref="A1:C1"/>
    <mergeCell ref="A2:C2"/>
    <mergeCell ref="A4:C4"/>
  </mergeCells>
  <phoneticPr fontId="0" type="noConversion"/>
  <pageMargins left="0.4" right="0.44" top="0.83" bottom="1.27" header="0.31" footer="0.5"/>
  <pageSetup scale="9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opLeftCell="A58" workbookViewId="0">
      <selection activeCell="C77" sqref="C77"/>
    </sheetView>
  </sheetViews>
  <sheetFormatPr defaultColWidth="9.1796875" defaultRowHeight="12.5" x14ac:dyDescent="0.25"/>
  <cols>
    <col min="1" max="1" width="16.453125" style="1" customWidth="1"/>
    <col min="2" max="2" width="23.54296875" style="1" customWidth="1"/>
    <col min="3" max="3" width="16.54296875" style="7" customWidth="1"/>
    <col min="4" max="4" width="17.1796875" style="1" customWidth="1"/>
    <col min="5" max="5" width="35" style="1" customWidth="1"/>
    <col min="6" max="16384" width="9.1796875" style="1"/>
  </cols>
  <sheetData>
    <row r="1" spans="1:8" ht="24" thickTop="1" thickBot="1" x14ac:dyDescent="0.55000000000000004">
      <c r="A1" s="29" t="s">
        <v>141</v>
      </c>
      <c r="B1" s="29"/>
      <c r="C1" s="29"/>
      <c r="D1" s="29"/>
      <c r="E1" s="16" t="s">
        <v>72</v>
      </c>
      <c r="F1" s="13"/>
      <c r="G1" s="14"/>
      <c r="H1" s="15"/>
    </row>
    <row r="2" spans="1:8" ht="13.5" thickTop="1" x14ac:dyDescent="0.3">
      <c r="A2" s="27" t="s">
        <v>142</v>
      </c>
      <c r="B2" s="27"/>
      <c r="C2" s="27"/>
      <c r="D2" s="27"/>
      <c r="H2" s="15"/>
    </row>
    <row r="3" spans="1:8" ht="13" x14ac:dyDescent="0.3">
      <c r="A3" s="2"/>
      <c r="B3" s="2"/>
      <c r="C3" s="3"/>
      <c r="D3" s="3"/>
    </row>
    <row r="4" spans="1:8" ht="18" x14ac:dyDescent="0.4">
      <c r="A4" s="29" t="s">
        <v>18</v>
      </c>
      <c r="B4" s="29"/>
      <c r="C4" s="29"/>
      <c r="D4" s="29"/>
    </row>
    <row r="5" spans="1:8" ht="13" x14ac:dyDescent="0.3">
      <c r="A5" s="2"/>
      <c r="B5" s="2"/>
      <c r="C5" s="3"/>
      <c r="D5" s="3"/>
    </row>
    <row r="6" spans="1:8" ht="13" x14ac:dyDescent="0.3">
      <c r="A6" s="27"/>
      <c r="B6" s="27"/>
      <c r="C6" s="27"/>
      <c r="D6" s="27"/>
    </row>
    <row r="7" spans="1:8" ht="13" x14ac:dyDescent="0.3">
      <c r="A7" s="27"/>
      <c r="B7" s="27"/>
      <c r="C7" s="27"/>
      <c r="D7" s="27"/>
    </row>
    <row r="8" spans="1:8" ht="13" x14ac:dyDescent="0.3">
      <c r="A8" s="27"/>
      <c r="B8" s="27"/>
      <c r="C8" s="27"/>
      <c r="D8" s="27"/>
    </row>
    <row r="9" spans="1:8" ht="13" x14ac:dyDescent="0.3">
      <c r="A9" s="2"/>
      <c r="B9" s="2"/>
      <c r="C9" s="3"/>
      <c r="D9" s="2"/>
    </row>
    <row r="10" spans="1:8" s="5" customFormat="1" ht="13" x14ac:dyDescent="0.3">
      <c r="A10" s="5" t="s">
        <v>9</v>
      </c>
      <c r="C10" s="3" t="s">
        <v>15</v>
      </c>
      <c r="D10" s="3" t="s">
        <v>16</v>
      </c>
      <c r="E10" s="5" t="s">
        <v>31</v>
      </c>
    </row>
    <row r="11" spans="1:8" ht="13" x14ac:dyDescent="0.3">
      <c r="A11" s="10" t="s">
        <v>10</v>
      </c>
      <c r="B11" s="6"/>
      <c r="D11" s="7"/>
    </row>
    <row r="12" spans="1:8" x14ac:dyDescent="0.25">
      <c r="A12" s="12" t="s">
        <v>118</v>
      </c>
      <c r="B12" s="6"/>
      <c r="C12" s="7">
        <v>1750</v>
      </c>
      <c r="D12" s="7"/>
    </row>
    <row r="13" spans="1:8" x14ac:dyDescent="0.25">
      <c r="A13" s="12"/>
      <c r="B13" s="6"/>
      <c r="D13" s="7"/>
    </row>
    <row r="14" spans="1:8" ht="13" x14ac:dyDescent="0.3">
      <c r="A14" s="10" t="s">
        <v>10</v>
      </c>
      <c r="B14" s="6"/>
      <c r="C14" s="3">
        <f>SUM(C12:C13)</f>
        <v>1750</v>
      </c>
      <c r="D14" s="3">
        <f>SUM(D12:D13)</f>
        <v>0</v>
      </c>
    </row>
    <row r="15" spans="1:8" x14ac:dyDescent="0.25">
      <c r="A15" s="6"/>
      <c r="B15" s="6"/>
      <c r="D15" s="7"/>
    </row>
    <row r="16" spans="1:8" ht="13" x14ac:dyDescent="0.3">
      <c r="A16" s="10" t="s">
        <v>11</v>
      </c>
      <c r="B16" s="6"/>
      <c r="D16" s="7"/>
    </row>
    <row r="17" spans="1:4" x14ac:dyDescent="0.25">
      <c r="A17" s="11" t="s">
        <v>73</v>
      </c>
      <c r="B17" s="6" t="s">
        <v>78</v>
      </c>
      <c r="C17" s="7">
        <v>0</v>
      </c>
      <c r="D17" s="7"/>
    </row>
    <row r="18" spans="1:4" x14ac:dyDescent="0.25">
      <c r="A18" s="11"/>
      <c r="B18" s="6"/>
      <c r="D18" s="7"/>
    </row>
    <row r="19" spans="1:4" x14ac:dyDescent="0.25">
      <c r="A19" s="11" t="s">
        <v>74</v>
      </c>
      <c r="B19" s="6" t="s">
        <v>80</v>
      </c>
      <c r="C19" s="7">
        <v>1500</v>
      </c>
      <c r="D19" s="7"/>
    </row>
    <row r="20" spans="1:4" x14ac:dyDescent="0.25">
      <c r="A20" s="11" t="s">
        <v>74</v>
      </c>
      <c r="B20" s="6" t="s">
        <v>77</v>
      </c>
      <c r="C20" s="7">
        <v>100</v>
      </c>
      <c r="D20" s="7"/>
    </row>
    <row r="21" spans="1:4" x14ac:dyDescent="0.25">
      <c r="A21" s="11" t="s">
        <v>74</v>
      </c>
      <c r="B21" s="6" t="s">
        <v>75</v>
      </c>
      <c r="C21" s="7">
        <v>100</v>
      </c>
      <c r="D21" s="7"/>
    </row>
    <row r="22" spans="1:4" x14ac:dyDescent="0.25">
      <c r="A22" s="11" t="s">
        <v>74</v>
      </c>
      <c r="B22" s="6" t="s">
        <v>82</v>
      </c>
      <c r="C22" s="7">
        <v>100</v>
      </c>
      <c r="D22" s="7"/>
    </row>
    <row r="23" spans="1:4" x14ac:dyDescent="0.25">
      <c r="A23" s="11"/>
      <c r="B23" s="6"/>
      <c r="D23" s="7"/>
    </row>
    <row r="24" spans="1:4" x14ac:dyDescent="0.25">
      <c r="A24" s="11" t="s">
        <v>76</v>
      </c>
      <c r="B24" s="6" t="s">
        <v>81</v>
      </c>
      <c r="C24" s="7">
        <v>1500</v>
      </c>
      <c r="D24" s="7"/>
    </row>
    <row r="25" spans="1:4" x14ac:dyDescent="0.25">
      <c r="A25" s="11" t="s">
        <v>76</v>
      </c>
      <c r="B25" s="6" t="s">
        <v>26</v>
      </c>
      <c r="C25" s="7">
        <v>300</v>
      </c>
      <c r="D25" s="7"/>
    </row>
    <row r="26" spans="1:4" x14ac:dyDescent="0.25">
      <c r="A26" s="11" t="s">
        <v>76</v>
      </c>
      <c r="B26" s="6" t="s">
        <v>77</v>
      </c>
      <c r="C26" s="7">
        <v>200</v>
      </c>
      <c r="D26" s="7"/>
    </row>
    <row r="27" spans="1:4" x14ac:dyDescent="0.25">
      <c r="A27" s="11" t="s">
        <v>76</v>
      </c>
      <c r="B27" s="6" t="s">
        <v>75</v>
      </c>
      <c r="C27" s="7">
        <v>0</v>
      </c>
      <c r="D27" s="7"/>
    </row>
    <row r="28" spans="1:4" x14ac:dyDescent="0.25">
      <c r="A28" s="11"/>
      <c r="B28" s="6"/>
      <c r="D28" s="7"/>
    </row>
    <row r="29" spans="1:4" x14ac:dyDescent="0.25">
      <c r="A29" s="11" t="s">
        <v>89</v>
      </c>
      <c r="B29" s="6" t="s">
        <v>79</v>
      </c>
      <c r="C29" s="7">
        <v>200</v>
      </c>
      <c r="D29" s="7"/>
    </row>
    <row r="30" spans="1:4" x14ac:dyDescent="0.25">
      <c r="A30" s="11"/>
      <c r="B30" s="6"/>
      <c r="D30" s="7"/>
    </row>
    <row r="31" spans="1:4" ht="13" x14ac:dyDescent="0.3">
      <c r="A31" s="10" t="s">
        <v>11</v>
      </c>
      <c r="B31" s="6"/>
      <c r="C31" s="3">
        <f>SUM(C17:C27)</f>
        <v>3800</v>
      </c>
      <c r="D31" s="3">
        <f>SUM(D17:D27)</f>
        <v>0</v>
      </c>
    </row>
    <row r="32" spans="1:4" x14ac:dyDescent="0.25">
      <c r="A32" s="6"/>
      <c r="B32" s="6"/>
      <c r="D32" s="7"/>
    </row>
    <row r="33" spans="1:5" ht="13" x14ac:dyDescent="0.3">
      <c r="A33" s="10" t="s">
        <v>12</v>
      </c>
      <c r="B33" s="6"/>
      <c r="D33" s="7"/>
    </row>
    <row r="34" spans="1:5" x14ac:dyDescent="0.25">
      <c r="A34" s="11" t="s">
        <v>73</v>
      </c>
      <c r="B34" s="6" t="s">
        <v>78</v>
      </c>
      <c r="C34" s="7">
        <v>2000</v>
      </c>
      <c r="D34" s="7"/>
      <c r="E34" s="1" t="s">
        <v>83</v>
      </c>
    </row>
    <row r="35" spans="1:5" x14ac:dyDescent="0.25">
      <c r="A35" s="11"/>
      <c r="B35" s="6"/>
      <c r="D35" s="7"/>
    </row>
    <row r="36" spans="1:5" x14ac:dyDescent="0.25">
      <c r="A36" s="11" t="s">
        <v>74</v>
      </c>
      <c r="B36" s="6" t="s">
        <v>84</v>
      </c>
      <c r="C36" s="7">
        <f>165*10.31</f>
        <v>1701.15</v>
      </c>
      <c r="D36" s="7"/>
      <c r="E36" s="1" t="s">
        <v>130</v>
      </c>
    </row>
    <row r="37" spans="1:5" x14ac:dyDescent="0.25">
      <c r="A37" s="11" t="s">
        <v>74</v>
      </c>
      <c r="B37" s="6" t="s">
        <v>86</v>
      </c>
      <c r="C37" s="7">
        <f>165*3</f>
        <v>495</v>
      </c>
      <c r="D37" s="7"/>
      <c r="E37" s="1" t="s">
        <v>131</v>
      </c>
    </row>
    <row r="38" spans="1:5" x14ac:dyDescent="0.25">
      <c r="A38" s="11" t="s">
        <v>74</v>
      </c>
      <c r="B38" s="6" t="s">
        <v>85</v>
      </c>
      <c r="C38" s="7">
        <f>165*17.5</f>
        <v>2887.5</v>
      </c>
      <c r="D38" s="7"/>
      <c r="E38" s="1" t="s">
        <v>132</v>
      </c>
    </row>
    <row r="39" spans="1:5" x14ac:dyDescent="0.25">
      <c r="A39" s="11" t="s">
        <v>74</v>
      </c>
      <c r="B39" s="6" t="s">
        <v>87</v>
      </c>
      <c r="C39" s="7">
        <f>165*5</f>
        <v>825</v>
      </c>
      <c r="D39" s="7"/>
      <c r="E39" s="1" t="s">
        <v>133</v>
      </c>
    </row>
    <row r="40" spans="1:5" x14ac:dyDescent="0.25">
      <c r="A40" s="11"/>
      <c r="B40" s="23" t="s">
        <v>119</v>
      </c>
      <c r="C40" s="24"/>
      <c r="D40" s="22"/>
    </row>
    <row r="41" spans="1:5" x14ac:dyDescent="0.25">
      <c r="A41" s="11" t="s">
        <v>74</v>
      </c>
      <c r="B41" s="6" t="s">
        <v>88</v>
      </c>
      <c r="C41" s="7">
        <f>220*26.25</f>
        <v>5775</v>
      </c>
      <c r="D41" s="7"/>
      <c r="E41" s="1" t="s">
        <v>134</v>
      </c>
    </row>
    <row r="42" spans="1:5" x14ac:dyDescent="0.25">
      <c r="A42" s="11" t="s">
        <v>74</v>
      </c>
      <c r="B42" s="6" t="s">
        <v>93</v>
      </c>
      <c r="C42" s="7">
        <v>300</v>
      </c>
      <c r="D42" s="7"/>
      <c r="E42" s="1" t="s">
        <v>94</v>
      </c>
    </row>
    <row r="43" spans="1:5" x14ac:dyDescent="0.25">
      <c r="A43" s="11"/>
      <c r="B43" s="6"/>
      <c r="D43" s="7"/>
    </row>
    <row r="44" spans="1:5" x14ac:dyDescent="0.25">
      <c r="A44" s="11" t="s">
        <v>76</v>
      </c>
      <c r="B44" s="6" t="s">
        <v>84</v>
      </c>
      <c r="C44" s="7">
        <f>220*10.31</f>
        <v>2268.2000000000003</v>
      </c>
      <c r="D44" s="7"/>
      <c r="E44" s="1" t="s">
        <v>135</v>
      </c>
    </row>
    <row r="45" spans="1:5" x14ac:dyDescent="0.25">
      <c r="A45" s="11" t="s">
        <v>76</v>
      </c>
      <c r="B45" s="6" t="s">
        <v>90</v>
      </c>
      <c r="C45" s="7">
        <f>220*3</f>
        <v>660</v>
      </c>
      <c r="D45" s="7"/>
      <c r="E45" s="1" t="s">
        <v>136</v>
      </c>
    </row>
    <row r="46" spans="1:5" x14ac:dyDescent="0.25">
      <c r="A46" s="11" t="s">
        <v>76</v>
      </c>
      <c r="B46" s="6" t="s">
        <v>91</v>
      </c>
      <c r="C46" s="7">
        <f>220*17.5</f>
        <v>3850</v>
      </c>
      <c r="D46" s="7"/>
      <c r="E46" s="1" t="s">
        <v>137</v>
      </c>
    </row>
    <row r="47" spans="1:5" x14ac:dyDescent="0.25">
      <c r="A47" s="11" t="s">
        <v>76</v>
      </c>
      <c r="B47" s="6" t="s">
        <v>92</v>
      </c>
      <c r="C47" s="7">
        <f>50*5</f>
        <v>250</v>
      </c>
      <c r="D47" s="7"/>
      <c r="E47" s="1" t="s">
        <v>138</v>
      </c>
    </row>
    <row r="48" spans="1:5" x14ac:dyDescent="0.25">
      <c r="A48" s="11" t="s">
        <v>76</v>
      </c>
      <c r="B48" s="6" t="s">
        <v>121</v>
      </c>
      <c r="C48" s="7">
        <v>0</v>
      </c>
      <c r="D48" s="7"/>
      <c r="E48" s="1" t="s">
        <v>120</v>
      </c>
    </row>
    <row r="49" spans="1:5" x14ac:dyDescent="0.25">
      <c r="A49" s="11" t="s">
        <v>76</v>
      </c>
      <c r="B49" s="6" t="s">
        <v>93</v>
      </c>
      <c r="C49" s="7">
        <v>300</v>
      </c>
      <c r="D49" s="7"/>
      <c r="E49" s="1" t="s">
        <v>94</v>
      </c>
    </row>
    <row r="50" spans="1:5" x14ac:dyDescent="0.25">
      <c r="A50" s="11"/>
      <c r="B50" s="6"/>
      <c r="D50" s="7"/>
    </row>
    <row r="51" spans="1:5" x14ac:dyDescent="0.25">
      <c r="A51" s="11" t="s">
        <v>89</v>
      </c>
      <c r="B51" s="6" t="s">
        <v>122</v>
      </c>
      <c r="C51" s="7">
        <f>55*10.31</f>
        <v>567.05000000000007</v>
      </c>
      <c r="D51" s="7"/>
      <c r="E51" s="1" t="s">
        <v>139</v>
      </c>
    </row>
    <row r="52" spans="1:5" x14ac:dyDescent="0.25">
      <c r="A52" s="11"/>
      <c r="B52" s="6"/>
      <c r="D52" s="7"/>
    </row>
    <row r="53" spans="1:5" ht="13" x14ac:dyDescent="0.3">
      <c r="A53" s="10" t="s">
        <v>12</v>
      </c>
      <c r="C53" s="3">
        <f>SUM(C34:C49)</f>
        <v>21311.85</v>
      </c>
      <c r="D53" s="3">
        <f>SUM(D34:D49)</f>
        <v>0</v>
      </c>
    </row>
    <row r="54" spans="1:5" ht="13" x14ac:dyDescent="0.3">
      <c r="A54" s="10"/>
      <c r="B54" s="17" t="s">
        <v>110</v>
      </c>
      <c r="C54" s="3"/>
      <c r="D54" s="3"/>
    </row>
    <row r="55" spans="1:5" x14ac:dyDescent="0.25">
      <c r="D55" s="7"/>
    </row>
    <row r="56" spans="1:5" ht="13" x14ac:dyDescent="0.3">
      <c r="A56" s="5" t="s">
        <v>13</v>
      </c>
      <c r="D56" s="7"/>
    </row>
    <row r="57" spans="1:5" x14ac:dyDescent="0.25">
      <c r="A57" s="6" t="s">
        <v>124</v>
      </c>
      <c r="C57" s="7">
        <v>200</v>
      </c>
      <c r="D57" s="7"/>
      <c r="E57" s="1" t="s">
        <v>123</v>
      </c>
    </row>
    <row r="58" spans="1:5" x14ac:dyDescent="0.25">
      <c r="A58" s="6"/>
    </row>
    <row r="59" spans="1:5" ht="13" x14ac:dyDescent="0.3">
      <c r="A59" s="5" t="s">
        <v>13</v>
      </c>
      <c r="C59" s="3">
        <f>SUM(C57:C58)</f>
        <v>200</v>
      </c>
      <c r="D59" s="3">
        <f>SUM(D57:D58)</f>
        <v>0</v>
      </c>
    </row>
    <row r="61" spans="1:5" ht="13" x14ac:dyDescent="0.3">
      <c r="A61" s="5" t="s">
        <v>97</v>
      </c>
    </row>
    <row r="62" spans="1:5" x14ac:dyDescent="0.25">
      <c r="A62" s="6" t="s">
        <v>98</v>
      </c>
      <c r="C62" s="7">
        <f>250*7</f>
        <v>1750</v>
      </c>
      <c r="E62" s="1" t="s">
        <v>140</v>
      </c>
    </row>
    <row r="63" spans="1:5" x14ac:dyDescent="0.25">
      <c r="A63" s="6" t="s">
        <v>99</v>
      </c>
      <c r="C63" s="7">
        <v>500</v>
      </c>
    </row>
    <row r="64" spans="1:5" ht="13" x14ac:dyDescent="0.3">
      <c r="A64" s="5" t="s">
        <v>97</v>
      </c>
      <c r="C64" s="3">
        <f>SUM(C62:C63)</f>
        <v>2250</v>
      </c>
      <c r="D64" s="3">
        <f>SUM(D62:D63)</f>
        <v>0</v>
      </c>
    </row>
    <row r="66" spans="1:5" ht="13" x14ac:dyDescent="0.3">
      <c r="A66" s="5" t="s">
        <v>7</v>
      </c>
    </row>
    <row r="67" spans="1:5" x14ac:dyDescent="0.25">
      <c r="A67" s="6" t="s">
        <v>105</v>
      </c>
      <c r="C67" s="7">
        <v>100</v>
      </c>
    </row>
    <row r="68" spans="1:5" x14ac:dyDescent="0.25">
      <c r="A68" s="6" t="s">
        <v>100</v>
      </c>
      <c r="C68" s="7">
        <v>100</v>
      </c>
    </row>
    <row r="69" spans="1:5" x14ac:dyDescent="0.25">
      <c r="A69" s="6" t="s">
        <v>101</v>
      </c>
      <c r="C69" s="7">
        <v>25</v>
      </c>
    </row>
    <row r="70" spans="1:5" x14ac:dyDescent="0.25">
      <c r="A70" s="6" t="s">
        <v>107</v>
      </c>
      <c r="C70" s="7">
        <v>25</v>
      </c>
    </row>
    <row r="71" spans="1:5" x14ac:dyDescent="0.25">
      <c r="A71" s="6" t="s">
        <v>102</v>
      </c>
      <c r="C71" s="7">
        <v>75</v>
      </c>
    </row>
    <row r="72" spans="1:5" x14ac:dyDescent="0.25">
      <c r="A72" s="6" t="s">
        <v>103</v>
      </c>
      <c r="C72" s="7">
        <v>200</v>
      </c>
    </row>
    <row r="73" spans="1:5" x14ac:dyDescent="0.25">
      <c r="A73" s="6" t="s">
        <v>104</v>
      </c>
      <c r="C73" s="7">
        <v>1000</v>
      </c>
      <c r="E73" s="1" t="s">
        <v>125</v>
      </c>
    </row>
    <row r="74" spans="1:5" x14ac:dyDescent="0.25">
      <c r="A74" s="6" t="s">
        <v>106</v>
      </c>
      <c r="C74" s="7">
        <f>3*400</f>
        <v>1200</v>
      </c>
      <c r="E74" s="1" t="s">
        <v>126</v>
      </c>
    </row>
    <row r="75" spans="1:5" x14ac:dyDescent="0.25">
      <c r="A75" s="6" t="s">
        <v>108</v>
      </c>
      <c r="C75" s="7">
        <v>500</v>
      </c>
      <c r="E75" s="1" t="s">
        <v>109</v>
      </c>
    </row>
    <row r="76" spans="1:5" x14ac:dyDescent="0.25">
      <c r="A76" s="6" t="s">
        <v>145</v>
      </c>
      <c r="C76" s="7">
        <v>2000</v>
      </c>
    </row>
    <row r="77" spans="1:5" ht="13" x14ac:dyDescent="0.3">
      <c r="A77" s="5" t="s">
        <v>7</v>
      </c>
      <c r="C77" s="3">
        <f>SUM(C67:C76)</f>
        <v>5225</v>
      </c>
      <c r="D77" s="5"/>
    </row>
    <row r="80" spans="1:5" ht="13" x14ac:dyDescent="0.3">
      <c r="A80" s="5" t="s">
        <v>14</v>
      </c>
      <c r="B80" s="5"/>
      <c r="C80" s="3">
        <f>SUM(Summary!B31)</f>
        <v>34536.85</v>
      </c>
      <c r="D80" s="3">
        <f>SUM(Summary!C31)</f>
        <v>0</v>
      </c>
    </row>
    <row r="81" spans="1:4" ht="13" x14ac:dyDescent="0.3">
      <c r="A81" s="10" t="s">
        <v>144</v>
      </c>
      <c r="B81" s="5"/>
      <c r="C81" s="3">
        <f>SUM(C80/230)</f>
        <v>150.16021739130434</v>
      </c>
      <c r="D81" s="5"/>
    </row>
  </sheetData>
  <mergeCells count="6">
    <mergeCell ref="A7:D7"/>
    <mergeCell ref="A8:D8"/>
    <mergeCell ref="A1:D1"/>
    <mergeCell ref="A2:D2"/>
    <mergeCell ref="A4:D4"/>
    <mergeCell ref="A6:D6"/>
  </mergeCells>
  <phoneticPr fontId="0" type="noConversion"/>
  <pageMargins left="0.44" right="0.4" top="1" bottom="1.17" header="0.5" footer="0.5"/>
  <pageSetup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Summary</vt:lpstr>
      <vt:lpstr>Income</vt:lpstr>
      <vt:lpstr>Expenses</vt:lpstr>
      <vt:lpstr>Expenses!Print_Area</vt:lpstr>
      <vt:lpstr>Income!Print_Area</vt:lpstr>
      <vt:lpstr>Summary!Print_Area</vt:lpstr>
    </vt:vector>
  </TitlesOfParts>
  <Company>ASME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ASME</dc:creator>
  <cp:lastModifiedBy>Carina Negreanu</cp:lastModifiedBy>
  <cp:lastPrinted>2001-10-24T15:17:17Z</cp:lastPrinted>
  <dcterms:created xsi:type="dcterms:W3CDTF">2001-10-02T16:12:49Z</dcterms:created>
  <dcterms:modified xsi:type="dcterms:W3CDTF">2020-01-27T12:51:16Z</dcterms:modified>
</cp:coreProperties>
</file>