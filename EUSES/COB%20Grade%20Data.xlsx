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5FF86C-4F6B-4E83-8880-9678DAEB02D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6" i="1" l="1"/>
  <c r="E126" i="1"/>
  <c r="F113" i="1"/>
  <c r="E113" i="1"/>
  <c r="F98" i="1"/>
  <c r="E98" i="1"/>
  <c r="F80" i="1"/>
  <c r="E80" i="1"/>
  <c r="F62" i="1"/>
  <c r="E62" i="1"/>
  <c r="F49" i="1"/>
  <c r="E49" i="1"/>
  <c r="F35" i="1"/>
  <c r="E35" i="1"/>
  <c r="F17" i="1"/>
  <c r="E17" i="1"/>
</calcChain>
</file>

<file path=xl/sharedStrings.xml><?xml version="1.0" encoding="utf-8"?>
<sst xmlns="http://schemas.openxmlformats.org/spreadsheetml/2006/main" count="136" uniqueCount="28">
  <si>
    <t>Subject</t>
  </si>
  <si>
    <t>Number of grades</t>
  </si>
  <si>
    <t>Grade points</t>
  </si>
  <si>
    <t>Average grade</t>
  </si>
  <si>
    <t>ACTG</t>
  </si>
  <si>
    <t>BLAW</t>
  </si>
  <si>
    <t>CIS</t>
  </si>
  <si>
    <t>COB</t>
  </si>
  <si>
    <t>ECON</t>
  </si>
  <si>
    <t>FIN</t>
  </si>
  <si>
    <t>HTM</t>
  </si>
  <si>
    <t>IBUS</t>
  </si>
  <si>
    <t>MGT</t>
  </si>
  <si>
    <t>MKTG</t>
  </si>
  <si>
    <t>OM</t>
  </si>
  <si>
    <t>College Total</t>
  </si>
  <si>
    <t>Fall 2001</t>
  </si>
  <si>
    <t xml:space="preserve">College of Business - Upper Level Classes </t>
  </si>
  <si>
    <t>Number of Drops</t>
  </si>
  <si>
    <t>Number of Repeats</t>
  </si>
  <si>
    <t>Spring 2002</t>
  </si>
  <si>
    <t>College of Business - Lower Level Classes</t>
  </si>
  <si>
    <t>GBUS</t>
  </si>
  <si>
    <t>GECON</t>
  </si>
  <si>
    <t>College of Business - Upper Level Classes</t>
  </si>
  <si>
    <t>Fall 2000</t>
  </si>
  <si>
    <t>Spring 2001</t>
  </si>
  <si>
    <t xml:space="preserve">College of Business - Lower Level Classes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</si>
</sst>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10">
    <font>
      <sz val="10"/>
      <color indexed="8"/>
      <name val="MS Sans Serif"/>
    </font>
    <font>
      <sz val="10.050000000000001"/>
      <color indexed="8"/>
      <name val="Arial Unicode MS"/>
    </font>
    <font>
      <sz val="10.050000000000001"/>
      <color indexed="8"/>
      <name val="Arial Unicode MS"/>
    </font>
    <font>
      <sz val="10.050000000000001"/>
      <color indexed="8"/>
      <name val="Arial Unicode MS"/>
    </font>
    <font>
      <b/>
      <sz val="10.050000000000001"/>
      <color indexed="8"/>
      <name val="Arial Unicode MS"/>
    </font>
    <font>
      <b/>
      <sz val="10.050000000000001"/>
      <color indexed="8"/>
      <name val="Arial Unicode MS"/>
    </font>
    <font>
      <sz val="12"/>
      <color indexed="8"/>
      <name val="Arial Unicode MS"/>
      <family val="2"/>
    </font>
    <font>
      <sz val="10"/>
      <color indexed="8"/>
      <name val="Arial Unicode MS"/>
      <family val="2"/>
    </font>
    <font>
      <b/>
      <u/>
      <sz val="12"/>
      <color indexed="8"/>
      <name val="Arial Unicode MS"/>
    </font>
    <font>
      <b/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0" borderId="0" xfId="0" applyFont="1"/>
    <xf numFmtId="172" fontId="6" fillId="0" borderId="0" xfId="0" applyNumberFormat="1" applyFont="1"/>
    <xf numFmtId="172" fontId="0" fillId="0" borderId="0" xfId="0" applyNumberFormat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" fontId="4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172" fontId="5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/>
    <xf numFmtId="1" fontId="2" fillId="0" borderId="5" xfId="0" applyNumberFormat="1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172" fontId="1" fillId="0" borderId="4" xfId="0" applyNumberFormat="1" applyFont="1" applyBorder="1" applyAlignment="1">
      <alignment horizontal="left" vertical="center"/>
    </xf>
    <xf numFmtId="172" fontId="0" fillId="0" borderId="5" xfId="0" applyNumberFormat="1" applyBorder="1"/>
    <xf numFmtId="172" fontId="3" fillId="0" borderId="5" xfId="0" applyNumberFormat="1" applyFont="1" applyBorder="1" applyAlignment="1">
      <alignment horizontal="right" vertical="center"/>
    </xf>
    <xf numFmtId="172" fontId="3" fillId="0" borderId="6" xfId="0" applyNumberFormat="1" applyFont="1" applyBorder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72" fontId="1" fillId="0" borderId="5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right" vertical="center"/>
    </xf>
    <xf numFmtId="2" fontId="1" fillId="0" borderId="6" xfId="0" applyNumberFormat="1" applyFont="1" applyBorder="1" applyAlignment="1">
      <alignment horizontal="right" vertical="center"/>
    </xf>
    <xf numFmtId="172" fontId="1" fillId="0" borderId="6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172" fontId="4" fillId="0" borderId="3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1" fontId="6" fillId="0" borderId="0" xfId="0" applyNumberFormat="1" applyFont="1"/>
    <xf numFmtId="1" fontId="1" fillId="0" borderId="4" xfId="0" applyNumberFormat="1" applyFont="1" applyBorder="1" applyAlignment="1">
      <alignment horizontal="left" vertical="center"/>
    </xf>
    <xf numFmtId="1" fontId="0" fillId="0" borderId="5" xfId="0" applyNumberFormat="1" applyBorder="1"/>
    <xf numFmtId="1" fontId="3" fillId="0" borderId="5" xfId="0" applyNumberFormat="1" applyFont="1" applyBorder="1" applyAlignment="1">
      <alignment horizontal="right" vertical="center"/>
    </xf>
    <xf numFmtId="1" fontId="3" fillId="0" borderId="6" xfId="0" applyNumberFormat="1" applyFont="1" applyBorder="1" applyAlignment="1">
      <alignment horizontal="right" vertical="center"/>
    </xf>
    <xf numFmtId="1" fontId="5" fillId="0" borderId="3" xfId="0" applyNumberFormat="1" applyFont="1" applyBorder="1" applyAlignment="1">
      <alignment horizontal="right" vertical="center"/>
    </xf>
    <xf numFmtId="1" fontId="5" fillId="0" borderId="8" xfId="0" applyNumberFormat="1" applyFont="1" applyBorder="1" applyAlignment="1">
      <alignment horizontal="right" vertical="center"/>
    </xf>
    <xf numFmtId="1" fontId="4" fillId="0" borderId="8" xfId="0" applyNumberFormat="1" applyFont="1" applyBorder="1" applyAlignment="1">
      <alignment horizontal="right" vertical="center"/>
    </xf>
    <xf numFmtId="1" fontId="0" fillId="0" borderId="0" xfId="0" applyNumberForma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72" fontId="7" fillId="0" borderId="4" xfId="0" applyNumberFormat="1" applyFont="1" applyBorder="1" applyAlignment="1">
      <alignment horizontal="left" vertical="center"/>
    </xf>
    <xf numFmtId="0" fontId="7" fillId="0" borderId="4" xfId="0" applyFont="1" applyBorder="1"/>
    <xf numFmtId="0" fontId="7" fillId="0" borderId="2" xfId="0" applyFont="1" applyBorder="1"/>
    <xf numFmtId="0" fontId="7" fillId="0" borderId="5" xfId="0" applyFont="1" applyBorder="1"/>
    <xf numFmtId="172" fontId="7" fillId="0" borderId="5" xfId="0" applyNumberFormat="1" applyFont="1" applyBorder="1"/>
    <xf numFmtId="0" fontId="7" fillId="0" borderId="2" xfId="0" applyFont="1" applyBorder="1" applyAlignment="1">
      <alignment horizontal="left" vertical="center"/>
    </xf>
    <xf numFmtId="1" fontId="7" fillId="0" borderId="5" xfId="0" applyNumberFormat="1" applyFont="1" applyBorder="1" applyAlignment="1">
      <alignment horizontal="right" vertical="center"/>
    </xf>
    <xf numFmtId="2" fontId="7" fillId="0" borderId="5" xfId="0" applyNumberFormat="1" applyFont="1" applyBorder="1" applyAlignment="1">
      <alignment horizontal="right" vertical="center"/>
    </xf>
    <xf numFmtId="172" fontId="7" fillId="0" borderId="5" xfId="0" applyNumberFormat="1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2" fontId="7" fillId="0" borderId="6" xfId="0" applyNumberFormat="1" applyFont="1" applyBorder="1" applyAlignment="1">
      <alignment horizontal="right" vertical="center"/>
    </xf>
    <xf numFmtId="172" fontId="7" fillId="0" borderId="6" xfId="0" applyNumberFormat="1" applyFont="1" applyBorder="1" applyAlignment="1">
      <alignment horizontal="right" vertical="center"/>
    </xf>
    <xf numFmtId="0" fontId="7" fillId="0" borderId="6" xfId="0" applyFont="1" applyBorder="1"/>
    <xf numFmtId="1" fontId="9" fillId="0" borderId="3" xfId="0" applyNumberFormat="1" applyFont="1" applyBorder="1" applyAlignment="1">
      <alignment horizontal="right" vertical="center"/>
    </xf>
    <xf numFmtId="2" fontId="9" fillId="0" borderId="3" xfId="0" applyNumberFormat="1" applyFont="1" applyBorder="1" applyAlignment="1">
      <alignment horizontal="right" vertical="center"/>
    </xf>
    <xf numFmtId="172" fontId="9" fillId="0" borderId="3" xfId="0" applyNumberFormat="1" applyFont="1" applyBorder="1" applyAlignment="1">
      <alignment horizontal="right" vertical="center"/>
    </xf>
    <xf numFmtId="0" fontId="9" fillId="0" borderId="3" xfId="0" applyFont="1" applyBorder="1"/>
    <xf numFmtId="0" fontId="9" fillId="0" borderId="8" xfId="0" applyFont="1" applyBorder="1"/>
    <xf numFmtId="1" fontId="7" fillId="0" borderId="4" xfId="0" applyNumberFormat="1" applyFont="1" applyBorder="1" applyAlignment="1">
      <alignment horizontal="left" vertical="center"/>
    </xf>
    <xf numFmtId="1" fontId="7" fillId="0" borderId="5" xfId="0" applyNumberFormat="1" applyFont="1" applyBorder="1"/>
    <xf numFmtId="1" fontId="9" fillId="0" borderId="8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172" fontId="1" fillId="0" borderId="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topLeftCell="A114" workbookViewId="0">
      <selection activeCell="C115" sqref="C115"/>
    </sheetView>
  </sheetViews>
  <sheetFormatPr defaultColWidth="19.453125" defaultRowHeight="13"/>
  <cols>
    <col min="1" max="1" width="14.26953125" customWidth="1"/>
    <col min="2" max="2" width="15.81640625" customWidth="1"/>
    <col min="3" max="3" width="12.26953125" customWidth="1"/>
    <col min="4" max="4" width="13.81640625" style="3" customWidth="1"/>
    <col min="5" max="5" width="15.26953125" style="37" customWidth="1"/>
    <col min="6" max="6" width="17" style="37" customWidth="1"/>
  </cols>
  <sheetData>
    <row r="1" spans="1:6" s="1" customFormat="1" ht="15.5">
      <c r="A1" s="39" t="s">
        <v>17</v>
      </c>
      <c r="B1" s="38"/>
      <c r="C1" s="38"/>
      <c r="D1" s="2"/>
      <c r="E1" s="29"/>
      <c r="F1" s="29"/>
    </row>
    <row r="2" spans="1:6" s="1" customFormat="1" ht="15.5">
      <c r="A2" s="38" t="s">
        <v>16</v>
      </c>
      <c r="B2" s="38"/>
      <c r="C2" s="38"/>
      <c r="D2" s="2"/>
      <c r="E2" s="29"/>
      <c r="F2" s="29"/>
    </row>
    <row r="4" spans="1:6">
      <c r="A4" s="4" t="s">
        <v>0</v>
      </c>
      <c r="B4" s="10" t="s">
        <v>1</v>
      </c>
      <c r="C4" s="10" t="s">
        <v>2</v>
      </c>
      <c r="D4" s="16" t="s">
        <v>3</v>
      </c>
      <c r="E4" s="30" t="s">
        <v>18</v>
      </c>
      <c r="F4" s="30" t="s">
        <v>19</v>
      </c>
    </row>
    <row r="5" spans="1:6">
      <c r="A5" s="5"/>
      <c r="B5" s="11"/>
      <c r="C5" s="11"/>
      <c r="D5" s="17"/>
      <c r="E5" s="31"/>
      <c r="F5" s="31"/>
    </row>
    <row r="6" spans="1:6">
      <c r="A6" s="6" t="s">
        <v>4</v>
      </c>
      <c r="B6" s="12">
        <v>355</v>
      </c>
      <c r="C6" s="14">
        <v>971.9</v>
      </c>
      <c r="D6" s="18">
        <v>2.7377464788732397</v>
      </c>
      <c r="E6" s="32">
        <v>11</v>
      </c>
      <c r="F6" s="32">
        <v>5</v>
      </c>
    </row>
    <row r="7" spans="1:6">
      <c r="A7" s="6" t="s">
        <v>5</v>
      </c>
      <c r="B7" s="12">
        <v>106</v>
      </c>
      <c r="C7" s="14">
        <v>350.9</v>
      </c>
      <c r="D7" s="18">
        <v>3.310377358490566</v>
      </c>
      <c r="E7" s="32">
        <v>2</v>
      </c>
      <c r="F7" s="32"/>
    </row>
    <row r="8" spans="1:6">
      <c r="A8" s="6" t="s">
        <v>6</v>
      </c>
      <c r="B8" s="12">
        <v>1015</v>
      </c>
      <c r="C8" s="14">
        <v>3260.2</v>
      </c>
      <c r="D8" s="18">
        <v>3.2120197044334975</v>
      </c>
      <c r="E8" s="32">
        <v>44</v>
      </c>
      <c r="F8" s="32">
        <v>12</v>
      </c>
    </row>
    <row r="9" spans="1:6">
      <c r="A9" s="6" t="s">
        <v>7</v>
      </c>
      <c r="B9" s="12">
        <v>2314</v>
      </c>
      <c r="C9" s="14">
        <v>6255.1</v>
      </c>
      <c r="D9" s="18">
        <v>2.7031547104580813</v>
      </c>
      <c r="E9" s="32">
        <v>15</v>
      </c>
      <c r="F9" s="32">
        <v>4</v>
      </c>
    </row>
    <row r="10" spans="1:6">
      <c r="A10" s="6" t="s">
        <v>8</v>
      </c>
      <c r="B10" s="12">
        <v>305</v>
      </c>
      <c r="C10" s="14">
        <v>835.7</v>
      </c>
      <c r="D10" s="18">
        <v>2.74</v>
      </c>
      <c r="E10" s="32">
        <v>17</v>
      </c>
      <c r="F10" s="32">
        <v>7</v>
      </c>
    </row>
    <row r="11" spans="1:6">
      <c r="A11" s="6" t="s">
        <v>9</v>
      </c>
      <c r="B11" s="12">
        <v>512</v>
      </c>
      <c r="C11" s="14">
        <v>1503.4</v>
      </c>
      <c r="D11" s="18">
        <v>2.9363281250000002</v>
      </c>
      <c r="E11" s="32">
        <v>20</v>
      </c>
      <c r="F11" s="32">
        <v>8</v>
      </c>
    </row>
    <row r="12" spans="1:6">
      <c r="A12" s="6" t="s">
        <v>10</v>
      </c>
      <c r="B12" s="12">
        <v>206</v>
      </c>
      <c r="C12" s="14">
        <v>738.6</v>
      </c>
      <c r="D12" s="18">
        <v>3.5854368932038838</v>
      </c>
      <c r="E12" s="32">
        <v>7</v>
      </c>
      <c r="F12" s="32"/>
    </row>
    <row r="13" spans="1:6">
      <c r="A13" s="6" t="s">
        <v>11</v>
      </c>
      <c r="B13" s="12">
        <v>4</v>
      </c>
      <c r="C13" s="14">
        <v>15.3</v>
      </c>
      <c r="D13" s="18">
        <v>3.8250000000000002</v>
      </c>
      <c r="E13" s="32"/>
      <c r="F13" s="32"/>
    </row>
    <row r="14" spans="1:6">
      <c r="A14" s="6" t="s">
        <v>12</v>
      </c>
      <c r="B14" s="12">
        <v>419</v>
      </c>
      <c r="C14" s="14">
        <v>1374.8</v>
      </c>
      <c r="D14" s="18">
        <v>3.2811455847255373</v>
      </c>
      <c r="E14" s="32">
        <v>2</v>
      </c>
      <c r="F14" s="32">
        <v>2</v>
      </c>
    </row>
    <row r="15" spans="1:6">
      <c r="A15" s="6" t="s">
        <v>13</v>
      </c>
      <c r="B15" s="12">
        <v>879</v>
      </c>
      <c r="C15" s="14">
        <v>2848</v>
      </c>
      <c r="D15" s="18">
        <v>3.2400455062571103</v>
      </c>
      <c r="E15" s="32">
        <v>16</v>
      </c>
      <c r="F15" s="32">
        <v>11</v>
      </c>
    </row>
    <row r="16" spans="1:6">
      <c r="A16" s="6" t="s">
        <v>14</v>
      </c>
      <c r="B16" s="13">
        <v>30</v>
      </c>
      <c r="C16" s="15">
        <v>79</v>
      </c>
      <c r="D16" s="19">
        <v>2.6333333333333333</v>
      </c>
      <c r="E16" s="33"/>
      <c r="F16" s="33">
        <v>5</v>
      </c>
    </row>
    <row r="17" spans="1:6">
      <c r="A17" s="28" t="s">
        <v>15</v>
      </c>
      <c r="B17" s="7">
        <v>6145</v>
      </c>
      <c r="C17" s="8">
        <v>18232.900000000001</v>
      </c>
      <c r="D17" s="9">
        <v>2.9671114727420669</v>
      </c>
      <c r="E17" s="34">
        <f>SUM(E6:E16)</f>
        <v>134</v>
      </c>
      <c r="F17" s="35">
        <f>SUM(F6:F16)</f>
        <v>54</v>
      </c>
    </row>
    <row r="20" spans="1:6" ht="15.5">
      <c r="A20" s="38" t="s">
        <v>20</v>
      </c>
      <c r="B20" s="1"/>
      <c r="C20" s="1"/>
      <c r="D20" s="2"/>
      <c r="E20" s="29"/>
      <c r="F20" s="29"/>
    </row>
    <row r="21" spans="1:6" ht="15.5">
      <c r="A21" s="1"/>
      <c r="B21" s="1"/>
      <c r="C21" s="1"/>
      <c r="D21" s="2"/>
      <c r="E21" s="29"/>
      <c r="F21" s="29"/>
    </row>
    <row r="22" spans="1:6">
      <c r="A22" s="4" t="s">
        <v>0</v>
      </c>
      <c r="B22" s="10" t="s">
        <v>1</v>
      </c>
      <c r="C22" s="10" t="s">
        <v>2</v>
      </c>
      <c r="D22" s="16" t="s">
        <v>3</v>
      </c>
      <c r="E22" s="30" t="s">
        <v>18</v>
      </c>
      <c r="F22" s="30" t="s">
        <v>19</v>
      </c>
    </row>
    <row r="23" spans="1:6">
      <c r="A23" s="5"/>
      <c r="B23" s="11"/>
      <c r="C23" s="11"/>
      <c r="D23" s="17"/>
      <c r="E23" s="31"/>
      <c r="F23" s="31"/>
    </row>
    <row r="24" spans="1:6">
      <c r="A24" s="6" t="s">
        <v>4</v>
      </c>
      <c r="B24" s="20">
        <v>369</v>
      </c>
      <c r="C24" s="21">
        <v>1063.2</v>
      </c>
      <c r="D24" s="22">
        <v>2.8813008130081301</v>
      </c>
      <c r="E24" s="20">
        <v>10</v>
      </c>
      <c r="F24" s="20">
        <v>10</v>
      </c>
    </row>
    <row r="25" spans="1:6">
      <c r="A25" s="6" t="s">
        <v>5</v>
      </c>
      <c r="B25" s="20">
        <v>145</v>
      </c>
      <c r="C25" s="21">
        <v>456.7</v>
      </c>
      <c r="D25" s="22">
        <v>3.1496551724137931</v>
      </c>
      <c r="E25" s="20">
        <v>2</v>
      </c>
      <c r="F25" s="20">
        <v>1</v>
      </c>
    </row>
    <row r="26" spans="1:6">
      <c r="A26" s="6" t="s">
        <v>6</v>
      </c>
      <c r="B26" s="20">
        <v>1008</v>
      </c>
      <c r="C26" s="21">
        <v>3131.9</v>
      </c>
      <c r="D26" s="22">
        <v>3.1070436507936505</v>
      </c>
      <c r="E26" s="20">
        <v>24</v>
      </c>
      <c r="F26" s="20">
        <v>19</v>
      </c>
    </row>
    <row r="27" spans="1:6">
      <c r="A27" s="6" t="s">
        <v>7</v>
      </c>
      <c r="B27" s="20">
        <v>1240</v>
      </c>
      <c r="C27" s="21">
        <v>3765.4</v>
      </c>
      <c r="D27" s="22">
        <v>3.0366129032258069</v>
      </c>
      <c r="E27" s="20">
        <v>3</v>
      </c>
      <c r="F27" s="20">
        <v>2</v>
      </c>
    </row>
    <row r="28" spans="1:6">
      <c r="A28" s="6" t="s">
        <v>8</v>
      </c>
      <c r="B28" s="20">
        <v>344</v>
      </c>
      <c r="C28" s="21">
        <v>961.8</v>
      </c>
      <c r="D28" s="22">
        <v>2.7959302325581392</v>
      </c>
      <c r="E28" s="20">
        <v>21</v>
      </c>
      <c r="F28" s="20">
        <v>11</v>
      </c>
    </row>
    <row r="29" spans="1:6">
      <c r="A29" s="6" t="s">
        <v>9</v>
      </c>
      <c r="B29" s="20">
        <v>646</v>
      </c>
      <c r="C29" s="21">
        <v>1981.7</v>
      </c>
      <c r="D29" s="22">
        <v>3.0676470588235292</v>
      </c>
      <c r="E29" s="20">
        <v>21</v>
      </c>
      <c r="F29" s="20">
        <v>9</v>
      </c>
    </row>
    <row r="30" spans="1:6">
      <c r="A30" s="6" t="s">
        <v>10</v>
      </c>
      <c r="B30" s="20">
        <v>152</v>
      </c>
      <c r="C30" s="21">
        <v>566</v>
      </c>
      <c r="D30" s="22">
        <v>3.7236842105263155</v>
      </c>
      <c r="E30" s="20">
        <v>2</v>
      </c>
      <c r="F30" s="20">
        <v>1</v>
      </c>
    </row>
    <row r="31" spans="1:6">
      <c r="A31" s="6" t="s">
        <v>11</v>
      </c>
      <c r="B31" s="20">
        <v>13</v>
      </c>
      <c r="C31" s="21">
        <v>45.4</v>
      </c>
      <c r="D31" s="22">
        <v>3.4923076923076923</v>
      </c>
      <c r="E31" s="20"/>
      <c r="F31" s="20"/>
    </row>
    <row r="32" spans="1:6">
      <c r="A32" s="6" t="s">
        <v>12</v>
      </c>
      <c r="B32" s="20">
        <v>427</v>
      </c>
      <c r="C32" s="21">
        <v>1443.4</v>
      </c>
      <c r="D32" s="22">
        <v>3.3803278688524592</v>
      </c>
      <c r="E32" s="20">
        <v>2</v>
      </c>
      <c r="F32" s="20">
        <v>2</v>
      </c>
    </row>
    <row r="33" spans="1:6">
      <c r="A33" s="6" t="s">
        <v>13</v>
      </c>
      <c r="B33" s="20">
        <v>1069</v>
      </c>
      <c r="C33" s="21">
        <v>3490.6</v>
      </c>
      <c r="D33" s="22">
        <v>3.2652946679139383</v>
      </c>
      <c r="E33" s="20">
        <v>10</v>
      </c>
      <c r="F33" s="20">
        <v>6</v>
      </c>
    </row>
    <row r="34" spans="1:6">
      <c r="A34" s="6" t="s">
        <v>14</v>
      </c>
      <c r="B34" s="23">
        <v>42</v>
      </c>
      <c r="C34" s="24">
        <v>139</v>
      </c>
      <c r="D34" s="25">
        <v>3.3095238095238098</v>
      </c>
      <c r="E34" s="23">
        <v>1</v>
      </c>
      <c r="F34" s="23">
        <v>4</v>
      </c>
    </row>
    <row r="35" spans="1:6">
      <c r="A35" s="28" t="s">
        <v>15</v>
      </c>
      <c r="B35" s="7">
        <v>5455</v>
      </c>
      <c r="C35" s="26">
        <v>17045.099999999999</v>
      </c>
      <c r="D35" s="27">
        <v>3.1246746104491292</v>
      </c>
      <c r="E35" s="7">
        <f>SUM(E24:E34)</f>
        <v>96</v>
      </c>
      <c r="F35" s="36">
        <f>SUM(F24:F34)</f>
        <v>65</v>
      </c>
    </row>
    <row r="38" spans="1:6" ht="15.5">
      <c r="A38" s="39" t="s">
        <v>21</v>
      </c>
      <c r="B38" s="38"/>
      <c r="C38" s="38"/>
      <c r="D38" s="2"/>
      <c r="E38" s="40"/>
      <c r="F38" s="40"/>
    </row>
    <row r="39" spans="1:6" ht="15.5">
      <c r="A39" s="38" t="s">
        <v>16</v>
      </c>
      <c r="B39" s="38"/>
      <c r="C39" s="38"/>
      <c r="D39" s="2"/>
      <c r="E39" s="40"/>
      <c r="F39" s="40"/>
    </row>
    <row r="40" spans="1:6">
      <c r="E40" s="40"/>
      <c r="F40" s="40"/>
    </row>
    <row r="41" spans="1:6">
      <c r="A41" s="41" t="s">
        <v>0</v>
      </c>
      <c r="B41" s="42" t="s">
        <v>1</v>
      </c>
      <c r="C41" s="42" t="s">
        <v>2</v>
      </c>
      <c r="D41" s="43" t="s">
        <v>3</v>
      </c>
      <c r="E41" s="44" t="s">
        <v>18</v>
      </c>
      <c r="F41" s="44" t="s">
        <v>19</v>
      </c>
    </row>
    <row r="42" spans="1:6">
      <c r="A42" s="45"/>
      <c r="B42" s="46"/>
      <c r="C42" s="46"/>
      <c r="D42" s="47"/>
      <c r="E42" s="46"/>
      <c r="F42" s="46"/>
    </row>
    <row r="43" spans="1:6">
      <c r="A43" s="48" t="s">
        <v>7</v>
      </c>
      <c r="B43" s="49">
        <v>3211</v>
      </c>
      <c r="C43" s="50">
        <v>8704</v>
      </c>
      <c r="D43" s="51">
        <v>2.7106820305200872</v>
      </c>
      <c r="E43" s="46">
        <v>182</v>
      </c>
      <c r="F43" s="46">
        <v>82</v>
      </c>
    </row>
    <row r="44" spans="1:6">
      <c r="A44" s="48" t="s">
        <v>8</v>
      </c>
      <c r="B44" s="49">
        <v>677</v>
      </c>
      <c r="C44" s="50">
        <v>1510</v>
      </c>
      <c r="D44" s="51">
        <v>2.2304283604135895</v>
      </c>
      <c r="E44" s="46">
        <v>47</v>
      </c>
      <c r="F44" s="46">
        <v>29</v>
      </c>
    </row>
    <row r="45" spans="1:6">
      <c r="A45" s="48" t="s">
        <v>9</v>
      </c>
      <c r="B45" s="49">
        <v>84</v>
      </c>
      <c r="C45" s="50">
        <v>267</v>
      </c>
      <c r="D45" s="51">
        <v>3.1785714285714284</v>
      </c>
      <c r="E45" s="46">
        <v>1</v>
      </c>
      <c r="F45" s="46">
        <v>1</v>
      </c>
    </row>
    <row r="46" spans="1:6">
      <c r="A46" s="48" t="s">
        <v>22</v>
      </c>
      <c r="B46" s="49">
        <v>717</v>
      </c>
      <c r="C46" s="50">
        <v>2301</v>
      </c>
      <c r="D46" s="51">
        <v>3.2092050209205021</v>
      </c>
      <c r="E46" s="46"/>
      <c r="F46" s="46">
        <v>1</v>
      </c>
    </row>
    <row r="47" spans="1:6">
      <c r="A47" s="48" t="s">
        <v>23</v>
      </c>
      <c r="B47" s="49">
        <v>827</v>
      </c>
      <c r="C47" s="50">
        <v>1930.9</v>
      </c>
      <c r="D47" s="51">
        <v>2.3348246674727933</v>
      </c>
      <c r="E47" s="46">
        <v>40</v>
      </c>
      <c r="F47" s="46">
        <v>34</v>
      </c>
    </row>
    <row r="48" spans="1:6">
      <c r="A48" s="48" t="s">
        <v>10</v>
      </c>
      <c r="B48" s="52">
        <v>107</v>
      </c>
      <c r="C48" s="53">
        <v>371.3</v>
      </c>
      <c r="D48" s="54">
        <v>3.4700934579439253</v>
      </c>
      <c r="E48" s="55">
        <v>2</v>
      </c>
      <c r="F48" s="55">
        <v>1</v>
      </c>
    </row>
    <row r="49" spans="1:6">
      <c r="A49" s="28" t="s">
        <v>15</v>
      </c>
      <c r="B49" s="56">
        <v>5623</v>
      </c>
      <c r="C49" s="57">
        <v>15084.2</v>
      </c>
      <c r="D49" s="58">
        <v>2.682589365107594</v>
      </c>
      <c r="E49" s="59">
        <f>SUM(E43:E48)</f>
        <v>272</v>
      </c>
      <c r="F49" s="60">
        <f>SUM(F43:F48)</f>
        <v>148</v>
      </c>
    </row>
    <row r="50" spans="1:6">
      <c r="E50" s="40"/>
      <c r="F50" s="40"/>
    </row>
    <row r="51" spans="1:6">
      <c r="E51" s="40"/>
      <c r="F51" s="40"/>
    </row>
    <row r="52" spans="1:6" ht="15.5">
      <c r="A52" s="38" t="s">
        <v>20</v>
      </c>
      <c r="B52" s="1"/>
      <c r="C52" s="1"/>
      <c r="D52" s="2"/>
      <c r="E52" s="40"/>
      <c r="F52" s="40"/>
    </row>
    <row r="53" spans="1:6" ht="15.5">
      <c r="A53" s="1"/>
      <c r="B53" s="1"/>
      <c r="C53" s="1"/>
      <c r="D53" s="2"/>
      <c r="E53" s="40"/>
      <c r="F53" s="40"/>
    </row>
    <row r="54" spans="1:6">
      <c r="A54" s="4" t="s">
        <v>0</v>
      </c>
      <c r="B54" s="10" t="s">
        <v>1</v>
      </c>
      <c r="C54" s="10" t="s">
        <v>2</v>
      </c>
      <c r="D54" s="16" t="s">
        <v>3</v>
      </c>
      <c r="E54" s="44" t="s">
        <v>18</v>
      </c>
      <c r="F54" s="44" t="s">
        <v>19</v>
      </c>
    </row>
    <row r="55" spans="1:6">
      <c r="A55" s="5"/>
      <c r="B55" s="11"/>
      <c r="C55" s="11"/>
      <c r="D55" s="17"/>
      <c r="E55" s="46"/>
      <c r="F55" s="46"/>
    </row>
    <row r="56" spans="1:6">
      <c r="A56" s="6" t="s">
        <v>7</v>
      </c>
      <c r="B56" s="20">
        <v>3160</v>
      </c>
      <c r="C56" s="21">
        <v>8856.5</v>
      </c>
      <c r="D56" s="22">
        <v>2.8026898734177217</v>
      </c>
      <c r="E56" s="46">
        <v>112</v>
      </c>
      <c r="F56" s="46">
        <v>111</v>
      </c>
    </row>
    <row r="57" spans="1:6">
      <c r="A57" s="6" t="s">
        <v>8</v>
      </c>
      <c r="B57" s="20">
        <v>669</v>
      </c>
      <c r="C57" s="21">
        <v>1585.8</v>
      </c>
      <c r="D57" s="22">
        <v>2.370403587443946</v>
      </c>
      <c r="E57" s="46">
        <v>34</v>
      </c>
      <c r="F57" s="46">
        <v>29</v>
      </c>
    </row>
    <row r="58" spans="1:6">
      <c r="A58" s="6" t="s">
        <v>9</v>
      </c>
      <c r="B58" s="20">
        <v>109</v>
      </c>
      <c r="C58" s="21">
        <v>336</v>
      </c>
      <c r="D58" s="22">
        <v>3.0825688073394497</v>
      </c>
      <c r="E58" s="46">
        <v>2</v>
      </c>
      <c r="F58" s="46"/>
    </row>
    <row r="59" spans="1:6">
      <c r="A59" s="6" t="s">
        <v>22</v>
      </c>
      <c r="B59" s="20">
        <v>500</v>
      </c>
      <c r="C59" s="21">
        <v>1631</v>
      </c>
      <c r="D59" s="22">
        <v>3.262</v>
      </c>
      <c r="E59" s="46">
        <v>8</v>
      </c>
      <c r="F59" s="46">
        <v>2</v>
      </c>
    </row>
    <row r="60" spans="1:6">
      <c r="A60" s="6" t="s">
        <v>23</v>
      </c>
      <c r="B60" s="20">
        <v>868</v>
      </c>
      <c r="C60" s="21">
        <v>2137.8000000000002</v>
      </c>
      <c r="D60" s="22">
        <v>2.4629032258064516</v>
      </c>
      <c r="E60" s="46">
        <v>33</v>
      </c>
      <c r="F60" s="46">
        <v>31</v>
      </c>
    </row>
    <row r="61" spans="1:6">
      <c r="A61" s="6" t="s">
        <v>10</v>
      </c>
      <c r="B61" s="23">
        <v>242</v>
      </c>
      <c r="C61" s="24">
        <v>936.6</v>
      </c>
      <c r="D61" s="25">
        <v>3.8702479338842979</v>
      </c>
      <c r="E61" s="55">
        <v>3</v>
      </c>
      <c r="F61" s="55">
        <v>2</v>
      </c>
    </row>
    <row r="62" spans="1:6">
      <c r="A62" s="28" t="s">
        <v>15</v>
      </c>
      <c r="B62" s="7">
        <v>5548</v>
      </c>
      <c r="C62" s="26">
        <v>15483.7</v>
      </c>
      <c r="D62" s="27">
        <v>2.7908615717375631</v>
      </c>
      <c r="E62" s="59">
        <f>SUM(E56:E61)</f>
        <v>192</v>
      </c>
      <c r="F62" s="60">
        <f>SUM(F56:F61)</f>
        <v>175</v>
      </c>
    </row>
    <row r="65" spans="1:6" ht="15.5">
      <c r="A65" s="39" t="s">
        <v>24</v>
      </c>
      <c r="B65" s="38"/>
      <c r="C65" s="38"/>
      <c r="D65" s="2"/>
      <c r="E65" s="29"/>
      <c r="F65" s="29"/>
    </row>
    <row r="66" spans="1:6" ht="15.5">
      <c r="A66" s="38" t="s">
        <v>25</v>
      </c>
      <c r="B66" s="38"/>
      <c r="C66" s="38"/>
      <c r="D66" s="2"/>
      <c r="E66" s="29"/>
      <c r="F66" s="29"/>
    </row>
    <row r="68" spans="1:6">
      <c r="A68" s="41" t="s">
        <v>0</v>
      </c>
      <c r="B68" s="42" t="s">
        <v>1</v>
      </c>
      <c r="C68" s="42" t="s">
        <v>2</v>
      </c>
      <c r="D68" s="43" t="s">
        <v>3</v>
      </c>
      <c r="E68" s="61" t="s">
        <v>18</v>
      </c>
      <c r="F68" s="61" t="s">
        <v>19</v>
      </c>
    </row>
    <row r="69" spans="1:6">
      <c r="A69" s="45"/>
      <c r="B69" s="46"/>
      <c r="C69" s="46"/>
      <c r="D69" s="47"/>
      <c r="E69" s="62"/>
      <c r="F69" s="62"/>
    </row>
    <row r="70" spans="1:6">
      <c r="A70" s="48" t="s">
        <v>4</v>
      </c>
      <c r="B70" s="49">
        <v>436</v>
      </c>
      <c r="C70" s="50">
        <v>1243.0999999999999</v>
      </c>
      <c r="D70" s="51">
        <v>2.8511467889908255</v>
      </c>
      <c r="E70" s="49">
        <v>17</v>
      </c>
      <c r="F70" s="49">
        <v>14</v>
      </c>
    </row>
    <row r="71" spans="1:6">
      <c r="A71" s="48" t="s">
        <v>5</v>
      </c>
      <c r="B71" s="49">
        <v>82</v>
      </c>
      <c r="C71" s="50">
        <v>248.3</v>
      </c>
      <c r="D71" s="51">
        <v>3.0280487804878051</v>
      </c>
      <c r="E71" s="49"/>
      <c r="F71" s="49">
        <v>1</v>
      </c>
    </row>
    <row r="72" spans="1:6">
      <c r="A72" s="48" t="s">
        <v>6</v>
      </c>
      <c r="B72" s="49">
        <v>1192</v>
      </c>
      <c r="C72" s="50">
        <v>3741.8</v>
      </c>
      <c r="D72" s="51">
        <v>3.1390939597315435</v>
      </c>
      <c r="E72" s="49">
        <v>62</v>
      </c>
      <c r="F72" s="49">
        <v>8</v>
      </c>
    </row>
    <row r="73" spans="1:6">
      <c r="A73" s="48" t="s">
        <v>7</v>
      </c>
      <c r="B73" s="49">
        <v>2062</v>
      </c>
      <c r="C73" s="50">
        <v>5878.9</v>
      </c>
      <c r="D73" s="51">
        <v>2.8510669253152283</v>
      </c>
      <c r="E73" s="49">
        <v>8</v>
      </c>
      <c r="F73" s="49">
        <v>2</v>
      </c>
    </row>
    <row r="74" spans="1:6">
      <c r="A74" s="48" t="s">
        <v>8</v>
      </c>
      <c r="B74" s="49">
        <v>271</v>
      </c>
      <c r="C74" s="50">
        <v>802.8</v>
      </c>
      <c r="D74" s="51">
        <v>2.962361623616236</v>
      </c>
      <c r="E74" s="49">
        <v>19</v>
      </c>
      <c r="F74" s="49">
        <v>4</v>
      </c>
    </row>
    <row r="75" spans="1:6">
      <c r="A75" s="48" t="s">
        <v>9</v>
      </c>
      <c r="B75" s="49">
        <v>534</v>
      </c>
      <c r="C75" s="50">
        <v>1598.9</v>
      </c>
      <c r="D75" s="51">
        <v>2.994194756554307</v>
      </c>
      <c r="E75" s="49">
        <v>14</v>
      </c>
      <c r="F75" s="49">
        <v>13</v>
      </c>
    </row>
    <row r="76" spans="1:6">
      <c r="A76" s="48" t="s">
        <v>10</v>
      </c>
      <c r="B76" s="49">
        <v>172</v>
      </c>
      <c r="C76" s="50">
        <v>574.20000000000005</v>
      </c>
      <c r="D76" s="51">
        <v>3.3383720930232559</v>
      </c>
      <c r="E76" s="49"/>
      <c r="F76" s="49"/>
    </row>
    <row r="77" spans="1:6">
      <c r="A77" s="48" t="s">
        <v>12</v>
      </c>
      <c r="B77" s="49">
        <v>407</v>
      </c>
      <c r="C77" s="50">
        <v>1297</v>
      </c>
      <c r="D77" s="51">
        <v>3.1867321867321867</v>
      </c>
      <c r="E77" s="49">
        <v>6</v>
      </c>
      <c r="F77" s="49"/>
    </row>
    <row r="78" spans="1:6">
      <c r="A78" s="48" t="s">
        <v>13</v>
      </c>
      <c r="B78" s="49">
        <v>1009</v>
      </c>
      <c r="C78" s="50">
        <v>3312.3</v>
      </c>
      <c r="D78" s="51">
        <v>3.2827552031714569</v>
      </c>
      <c r="E78" s="49">
        <v>11</v>
      </c>
      <c r="F78" s="49">
        <v>8</v>
      </c>
    </row>
    <row r="79" spans="1:6">
      <c r="A79" s="48" t="s">
        <v>14</v>
      </c>
      <c r="B79" s="52">
        <v>179</v>
      </c>
      <c r="C79" s="53">
        <v>492.2</v>
      </c>
      <c r="D79" s="54">
        <v>2.7497206703910617</v>
      </c>
      <c r="E79" s="52">
        <v>4</v>
      </c>
      <c r="F79" s="52">
        <v>19</v>
      </c>
    </row>
    <row r="80" spans="1:6">
      <c r="A80" s="28" t="s">
        <v>15</v>
      </c>
      <c r="B80" s="56">
        <v>6344</v>
      </c>
      <c r="C80" s="57">
        <v>19189.5</v>
      </c>
      <c r="D80" s="58">
        <v>3.0248266078184112</v>
      </c>
      <c r="E80" s="56">
        <f>SUM(E70:E79)</f>
        <v>141</v>
      </c>
      <c r="F80" s="63">
        <f>SUM(F70:F79)</f>
        <v>69</v>
      </c>
    </row>
    <row r="83" spans="1:6" ht="15.5">
      <c r="A83" s="38" t="s">
        <v>26</v>
      </c>
      <c r="B83" s="1"/>
      <c r="C83" s="1"/>
      <c r="D83" s="2"/>
      <c r="E83" s="29"/>
      <c r="F83" s="29"/>
    </row>
    <row r="84" spans="1:6" ht="15.5">
      <c r="A84" s="1"/>
      <c r="B84" s="1"/>
      <c r="C84" s="1"/>
      <c r="D84" s="2"/>
      <c r="E84" s="29"/>
      <c r="F84" s="29"/>
    </row>
    <row r="85" spans="1:6">
      <c r="A85" s="4" t="s">
        <v>0</v>
      </c>
      <c r="B85" s="10" t="s">
        <v>1</v>
      </c>
      <c r="C85" s="10" t="s">
        <v>2</v>
      </c>
      <c r="D85" s="16" t="s">
        <v>3</v>
      </c>
      <c r="E85" s="30" t="s">
        <v>18</v>
      </c>
      <c r="F85" s="30" t="s">
        <v>19</v>
      </c>
    </row>
    <row r="86" spans="1:6">
      <c r="A86" s="5"/>
      <c r="B86" s="11"/>
      <c r="C86" s="11"/>
      <c r="D86" s="17"/>
      <c r="E86" s="31"/>
      <c r="F86" s="31"/>
    </row>
    <row r="87" spans="1:6">
      <c r="A87" s="6" t="s">
        <v>4</v>
      </c>
      <c r="B87" s="20">
        <v>390</v>
      </c>
      <c r="C87" s="21">
        <v>1145.8</v>
      </c>
      <c r="D87" s="22">
        <v>2.9379487179487178</v>
      </c>
      <c r="E87" s="20">
        <v>17</v>
      </c>
      <c r="F87" s="20">
        <v>8</v>
      </c>
    </row>
    <row r="88" spans="1:6">
      <c r="A88" s="6" t="s">
        <v>5</v>
      </c>
      <c r="B88" s="20">
        <v>139</v>
      </c>
      <c r="C88" s="21">
        <v>402.3</v>
      </c>
      <c r="D88" s="22">
        <v>2.8942446043165466</v>
      </c>
      <c r="E88" s="20">
        <v>2</v>
      </c>
      <c r="F88" s="20"/>
    </row>
    <row r="89" spans="1:6">
      <c r="A89" s="6" t="s">
        <v>6</v>
      </c>
      <c r="B89" s="20">
        <v>1149</v>
      </c>
      <c r="C89" s="21">
        <v>3643</v>
      </c>
      <c r="D89" s="22">
        <v>3.1705831157528288</v>
      </c>
      <c r="E89" s="20">
        <v>58</v>
      </c>
      <c r="F89" s="20">
        <v>25</v>
      </c>
    </row>
    <row r="90" spans="1:6">
      <c r="A90" s="6" t="s">
        <v>7</v>
      </c>
      <c r="B90" s="20">
        <v>1216</v>
      </c>
      <c r="C90" s="21">
        <v>3527.1</v>
      </c>
      <c r="D90" s="22">
        <v>2.9005756578947373</v>
      </c>
      <c r="E90" s="20">
        <v>2</v>
      </c>
      <c r="F90" s="20"/>
    </row>
    <row r="91" spans="1:6">
      <c r="A91" s="6" t="s">
        <v>8</v>
      </c>
      <c r="B91" s="20">
        <v>332</v>
      </c>
      <c r="C91" s="21">
        <v>875.7</v>
      </c>
      <c r="D91" s="22">
        <v>2.6376506024096389</v>
      </c>
      <c r="E91" s="20">
        <v>23</v>
      </c>
      <c r="F91" s="20">
        <v>5</v>
      </c>
    </row>
    <row r="92" spans="1:6">
      <c r="A92" s="6" t="s">
        <v>9</v>
      </c>
      <c r="B92" s="20">
        <v>650</v>
      </c>
      <c r="C92" s="21">
        <v>1925.8</v>
      </c>
      <c r="D92" s="22">
        <v>2.962769230769231</v>
      </c>
      <c r="E92" s="20">
        <v>15</v>
      </c>
      <c r="F92" s="20">
        <v>15</v>
      </c>
    </row>
    <row r="93" spans="1:6">
      <c r="A93" s="6" t="s">
        <v>10</v>
      </c>
      <c r="B93" s="20">
        <v>138</v>
      </c>
      <c r="C93" s="21">
        <v>496.9</v>
      </c>
      <c r="D93" s="22">
        <v>3.6007246376811595</v>
      </c>
      <c r="E93" s="20">
        <v>3</v>
      </c>
      <c r="F93" s="20"/>
    </row>
    <row r="94" spans="1:6">
      <c r="A94" s="6" t="s">
        <v>11</v>
      </c>
      <c r="B94" s="20">
        <v>9</v>
      </c>
      <c r="C94" s="21">
        <v>30.7</v>
      </c>
      <c r="D94" s="22">
        <v>3.411111111111111</v>
      </c>
      <c r="E94" s="20"/>
      <c r="F94" s="20"/>
    </row>
    <row r="95" spans="1:6">
      <c r="A95" s="6" t="s">
        <v>12</v>
      </c>
      <c r="B95" s="20">
        <v>410</v>
      </c>
      <c r="C95" s="21">
        <v>1327.9</v>
      </c>
      <c r="D95" s="22">
        <v>3.238780487804878</v>
      </c>
      <c r="E95" s="20">
        <v>3</v>
      </c>
      <c r="F95" s="20">
        <v>3</v>
      </c>
    </row>
    <row r="96" spans="1:6">
      <c r="A96" s="6" t="s">
        <v>13</v>
      </c>
      <c r="B96" s="20">
        <v>1137</v>
      </c>
      <c r="C96" s="21">
        <v>3713.3</v>
      </c>
      <c r="D96" s="22">
        <v>3.2658751099384347</v>
      </c>
      <c r="E96" s="20">
        <v>17</v>
      </c>
      <c r="F96" s="20">
        <v>8</v>
      </c>
    </row>
    <row r="97" spans="1:6">
      <c r="A97" s="6" t="s">
        <v>14</v>
      </c>
      <c r="B97" s="23">
        <v>94</v>
      </c>
      <c r="C97" s="24">
        <v>231</v>
      </c>
      <c r="D97" s="25">
        <v>2.4574468085106385</v>
      </c>
      <c r="E97" s="23">
        <v>3</v>
      </c>
      <c r="F97" s="23">
        <v>9</v>
      </c>
    </row>
    <row r="98" spans="1:6">
      <c r="A98" s="28" t="s">
        <v>15</v>
      </c>
      <c r="B98" s="7">
        <v>5664</v>
      </c>
      <c r="C98" s="26">
        <v>17319.5</v>
      </c>
      <c r="D98" s="27">
        <v>3.0578213276836159</v>
      </c>
      <c r="E98" s="7">
        <f>SUM(E87:E97)</f>
        <v>143</v>
      </c>
      <c r="F98" s="36">
        <f>SUM(F87:F97)</f>
        <v>73</v>
      </c>
    </row>
    <row r="101" spans="1:6" ht="15.5">
      <c r="A101" s="39" t="s">
        <v>27</v>
      </c>
      <c r="B101" s="38"/>
      <c r="C101" s="38"/>
      <c r="D101" s="2"/>
      <c r="E101" s="40"/>
      <c r="F101" s="40"/>
    </row>
    <row r="102" spans="1:6" ht="15.5">
      <c r="A102" s="38" t="s">
        <v>25</v>
      </c>
      <c r="B102" s="38"/>
      <c r="C102" s="38"/>
      <c r="D102" s="2"/>
      <c r="E102" s="40"/>
      <c r="F102" s="40"/>
    </row>
    <row r="103" spans="1:6">
      <c r="E103" s="40"/>
      <c r="F103" s="40"/>
    </row>
    <row r="104" spans="1:6">
      <c r="A104" s="4" t="s">
        <v>0</v>
      </c>
      <c r="B104" s="10" t="s">
        <v>1</v>
      </c>
      <c r="C104" s="10" t="s">
        <v>2</v>
      </c>
      <c r="D104" s="16" t="s">
        <v>3</v>
      </c>
      <c r="E104" s="44" t="s">
        <v>18</v>
      </c>
      <c r="F104" s="44" t="s">
        <v>19</v>
      </c>
    </row>
    <row r="105" spans="1:6">
      <c r="A105" s="6"/>
      <c r="B105" s="64"/>
      <c r="C105" s="64"/>
      <c r="D105" s="65"/>
      <c r="E105" s="46"/>
      <c r="F105" s="46"/>
    </row>
    <row r="106" spans="1:6">
      <c r="A106" s="45" t="s">
        <v>6</v>
      </c>
      <c r="B106" s="46"/>
      <c r="C106" s="46"/>
      <c r="D106" s="47"/>
      <c r="E106" s="46">
        <v>6</v>
      </c>
      <c r="F106" s="46"/>
    </row>
    <row r="107" spans="1:6">
      <c r="A107" s="6" t="s">
        <v>7</v>
      </c>
      <c r="B107" s="20">
        <v>3029</v>
      </c>
      <c r="C107" s="21">
        <v>8478</v>
      </c>
      <c r="D107" s="22">
        <v>2.7989435457246619</v>
      </c>
      <c r="E107" s="46">
        <v>107</v>
      </c>
      <c r="F107" s="46">
        <v>84</v>
      </c>
    </row>
    <row r="108" spans="1:6">
      <c r="A108" s="6" t="s">
        <v>8</v>
      </c>
      <c r="B108" s="20">
        <v>810</v>
      </c>
      <c r="C108" s="21">
        <v>1783.1</v>
      </c>
      <c r="D108" s="22">
        <v>2.2013580246913582</v>
      </c>
      <c r="E108" s="46">
        <v>44</v>
      </c>
      <c r="F108" s="46">
        <v>33</v>
      </c>
    </row>
    <row r="109" spans="1:6">
      <c r="A109" s="6" t="s">
        <v>9</v>
      </c>
      <c r="B109" s="20">
        <v>91</v>
      </c>
      <c r="C109" s="21">
        <v>285</v>
      </c>
      <c r="D109" s="22">
        <v>3.1318681318681318</v>
      </c>
      <c r="E109" s="46">
        <v>2</v>
      </c>
      <c r="F109" s="46">
        <v>1</v>
      </c>
    </row>
    <row r="110" spans="1:6">
      <c r="A110" s="6" t="s">
        <v>22</v>
      </c>
      <c r="B110" s="20">
        <v>689</v>
      </c>
      <c r="C110" s="21">
        <v>2248</v>
      </c>
      <c r="D110" s="22">
        <v>3.2626995645863572</v>
      </c>
      <c r="E110" s="46">
        <v>2</v>
      </c>
      <c r="F110" s="46">
        <v>4</v>
      </c>
    </row>
    <row r="111" spans="1:6">
      <c r="A111" s="6" t="s">
        <v>23</v>
      </c>
      <c r="B111" s="20">
        <v>889</v>
      </c>
      <c r="C111" s="21">
        <v>2050</v>
      </c>
      <c r="D111" s="22">
        <v>2.3059617547806526</v>
      </c>
      <c r="E111" s="46">
        <v>37</v>
      </c>
      <c r="F111" s="46">
        <v>32</v>
      </c>
    </row>
    <row r="112" spans="1:6">
      <c r="A112" s="6" t="s">
        <v>10</v>
      </c>
      <c r="B112" s="23">
        <v>115</v>
      </c>
      <c r="C112" s="24">
        <v>412.1</v>
      </c>
      <c r="D112" s="25">
        <v>3.583478260869565</v>
      </c>
      <c r="E112" s="55">
        <v>2</v>
      </c>
      <c r="F112" s="55"/>
    </row>
    <row r="113" spans="1:6">
      <c r="A113" s="28" t="s">
        <v>15</v>
      </c>
      <c r="B113" s="7">
        <v>5623</v>
      </c>
      <c r="C113" s="26">
        <v>15256.2</v>
      </c>
      <c r="D113" s="27">
        <v>2.713178018851147</v>
      </c>
      <c r="E113" s="59">
        <f>SUM(E106:E112)</f>
        <v>200</v>
      </c>
      <c r="F113" s="60">
        <f>SUM(F106:F112)</f>
        <v>154</v>
      </c>
    </row>
    <row r="114" spans="1:6">
      <c r="E114" s="40"/>
      <c r="F114" s="40"/>
    </row>
    <row r="115" spans="1:6">
      <c r="E115" s="40"/>
      <c r="F115" s="40"/>
    </row>
    <row r="116" spans="1:6" ht="15.5">
      <c r="A116" s="38" t="s">
        <v>26</v>
      </c>
      <c r="B116" s="1"/>
      <c r="C116" s="1"/>
      <c r="D116" s="2"/>
      <c r="E116" s="40"/>
      <c r="F116" s="40"/>
    </row>
    <row r="117" spans="1:6" ht="15.5">
      <c r="A117" s="1"/>
      <c r="B117" s="1"/>
      <c r="C117" s="1"/>
      <c r="D117" s="2"/>
      <c r="E117" s="40"/>
      <c r="F117" s="40"/>
    </row>
    <row r="118" spans="1:6">
      <c r="A118" s="4" t="s">
        <v>0</v>
      </c>
      <c r="B118" s="10" t="s">
        <v>1</v>
      </c>
      <c r="C118" s="10" t="s">
        <v>2</v>
      </c>
      <c r="D118" s="16" t="s">
        <v>3</v>
      </c>
      <c r="E118" s="44" t="s">
        <v>18</v>
      </c>
      <c r="F118" s="44" t="s">
        <v>19</v>
      </c>
    </row>
    <row r="119" spans="1:6">
      <c r="A119" s="5"/>
      <c r="B119" s="11"/>
      <c r="C119" s="11"/>
      <c r="D119" s="17"/>
      <c r="E119" s="46"/>
      <c r="F119" s="46"/>
    </row>
    <row r="120" spans="1:6">
      <c r="A120" s="6" t="s">
        <v>7</v>
      </c>
      <c r="B120" s="20">
        <v>3058</v>
      </c>
      <c r="C120" s="21">
        <v>8394.6</v>
      </c>
      <c r="D120" s="22">
        <v>2.7451275343361674</v>
      </c>
      <c r="E120" s="46">
        <v>112</v>
      </c>
      <c r="F120" s="46">
        <v>80</v>
      </c>
    </row>
    <row r="121" spans="1:6">
      <c r="A121" s="6" t="s">
        <v>8</v>
      </c>
      <c r="B121" s="20">
        <v>720</v>
      </c>
      <c r="C121" s="21">
        <v>1604.5</v>
      </c>
      <c r="D121" s="22">
        <v>2.2284722222222224</v>
      </c>
      <c r="E121" s="46">
        <v>43</v>
      </c>
      <c r="F121" s="46">
        <v>28</v>
      </c>
    </row>
    <row r="122" spans="1:6">
      <c r="A122" s="6" t="s">
        <v>9</v>
      </c>
      <c r="B122" s="20">
        <v>129</v>
      </c>
      <c r="C122" s="21">
        <v>403</v>
      </c>
      <c r="D122" s="22">
        <v>3.1240310077519382</v>
      </c>
      <c r="E122" s="46">
        <v>1</v>
      </c>
      <c r="F122" s="46">
        <v>2</v>
      </c>
    </row>
    <row r="123" spans="1:6">
      <c r="A123" s="6" t="s">
        <v>22</v>
      </c>
      <c r="B123" s="20">
        <v>562</v>
      </c>
      <c r="C123" s="21">
        <v>1748.7</v>
      </c>
      <c r="D123" s="22">
        <v>3.1115658362989325</v>
      </c>
      <c r="E123" s="46">
        <v>3</v>
      </c>
      <c r="F123" s="46">
        <v>3</v>
      </c>
    </row>
    <row r="124" spans="1:6">
      <c r="A124" s="6" t="s">
        <v>23</v>
      </c>
      <c r="B124" s="20">
        <v>662</v>
      </c>
      <c r="C124" s="21">
        <v>1652.6</v>
      </c>
      <c r="D124" s="22">
        <v>2.4963746223564955</v>
      </c>
      <c r="E124" s="46">
        <v>24</v>
      </c>
      <c r="F124" s="46">
        <v>28</v>
      </c>
    </row>
    <row r="125" spans="1:6">
      <c r="A125" s="6" t="s">
        <v>10</v>
      </c>
      <c r="B125" s="23">
        <v>197</v>
      </c>
      <c r="C125" s="24">
        <v>726</v>
      </c>
      <c r="D125" s="25">
        <v>3.6852791878172586</v>
      </c>
      <c r="E125" s="55">
        <v>8</v>
      </c>
      <c r="F125" s="55"/>
    </row>
    <row r="126" spans="1:6">
      <c r="A126" s="28" t="s">
        <v>15</v>
      </c>
      <c r="B126" s="7">
        <v>5328</v>
      </c>
      <c r="C126" s="26">
        <v>14529.4</v>
      </c>
      <c r="D126" s="27">
        <v>2.7269894894894895</v>
      </c>
      <c r="E126" s="59">
        <f>SUM(E120:E125)</f>
        <v>191</v>
      </c>
      <c r="F126" s="60">
        <f>SUM(F120:F125)</f>
        <v>141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&amp;C&amp;"Arial,Regular"&amp;8&amp;P
&amp;D
c:\grade_distribution_fall2000_spring2002\cob_upper_1018.xls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2003-01-08T14:51:32Z</cp:lastPrinted>
  <dcterms:created xsi:type="dcterms:W3CDTF">2003-01-07T19:52:22Z</dcterms:created>
  <dcterms:modified xsi:type="dcterms:W3CDTF">2020-01-27T11:20:12Z</dcterms:modified>
</cp:coreProperties>
</file>