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19774BE-3CEB-4F80-86A9-C799682EB437}" xr6:coauthVersionLast="45" xr6:coauthVersionMax="45" xr10:uidLastSave="{00000000-0000-0000-0000-000000000000}"/>
  <bookViews>
    <workbookView xWindow="3420" yWindow="3420" windowWidth="28800" windowHeight="15460" activeTab="2"/>
  </bookViews>
  <sheets>
    <sheet name="CBS" sheetId="1" r:id="rId1"/>
    <sheet name="CSRE" sheetId="2" r:id="rId2"/>
    <sheet name="CSREB " sheetId="7" r:id="rId3"/>
    <sheet name="PROPCSRE" sheetId="4" r:id="rId4"/>
    <sheet name="CSCF1" sheetId="5" r:id="rId5"/>
    <sheet name="CSCF2" sheetId="6" r:id="rId6"/>
  </sheets>
  <definedNames>
    <definedName name="__123Graph_D" localSheetId="1" hidden="1">CSRE!#REF!</definedName>
    <definedName name="_xlnm.Criteria">CSCF1!#REF!</definedName>
    <definedName name="_xlnm.Print_Area" localSheetId="4">CSCF1!$A$1:$I$66</definedName>
    <definedName name="Print_Area_MI" localSheetId="4">CSCF1!$A$1:$K$36</definedName>
    <definedName name="Print_Area_MI" localSheetId="5">CSCF2!$A$1:$J$5</definedName>
    <definedName name="Print_Area_MI" localSheetId="1">CSRE!$A$2:$Q$57</definedName>
    <definedName name="Print_Area_MI" localSheetId="2">'CSREB '!$A$1:$AD$12</definedName>
    <definedName name="Print_Area_MI" localSheetId="3">PROPCSRE!$A$1:$E$67</definedName>
    <definedName name="Print_Area_MI">CBS!$A$13:$V$67</definedName>
    <definedName name="solver_opt" localSheetId="3" hidden="1">PROPCSRE!$C$7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8" i="6" l="1"/>
  <c r="G18" i="6"/>
  <c r="G23" i="6"/>
  <c r="G27" i="6"/>
  <c r="G28" i="6"/>
  <c r="G29" i="6"/>
  <c r="G30" i="6"/>
  <c r="G31" i="6"/>
  <c r="G32" i="6"/>
  <c r="G33" i="6"/>
  <c r="G34" i="6"/>
  <c r="G35" i="6"/>
  <c r="C36" i="6"/>
  <c r="E36" i="6"/>
  <c r="G36" i="6"/>
  <c r="I36" i="6"/>
  <c r="C39" i="6"/>
  <c r="E39" i="6"/>
  <c r="G39" i="6"/>
  <c r="I39" i="6"/>
  <c r="G45" i="6"/>
</calcChain>
</file>

<file path=xl/sharedStrings.xml><?xml version="1.0" encoding="utf-8"?>
<sst xmlns="http://schemas.openxmlformats.org/spreadsheetml/2006/main" count="406" uniqueCount="285">
  <si>
    <t>CITY OF BEAVERTON, OREGON</t>
  </si>
  <si>
    <t>COMBINED BALANCE SHEET</t>
  </si>
  <si>
    <t>ALL FUND TYPES AND ACCOUNT GROUPS</t>
  </si>
  <si>
    <t>______________</t>
  </si>
  <si>
    <t>Fiduciary</t>
  </si>
  <si>
    <t>Account Groups</t>
  </si>
  <si>
    <t>Governmental Fund Types</t>
  </si>
  <si>
    <t>Proprietary Fund Types</t>
  </si>
  <si>
    <t>Fund Types</t>
  </si>
  <si>
    <t>General</t>
  </si>
  <si>
    <t>Totals</t>
  </si>
  <si>
    <t>Special</t>
  </si>
  <si>
    <t>Debt</t>
  </si>
  <si>
    <t>Capital</t>
  </si>
  <si>
    <t xml:space="preserve">Internal </t>
  </si>
  <si>
    <t>Fixed</t>
  </si>
  <si>
    <t>Long-Term</t>
  </si>
  <si>
    <t>(Memorandum Only)</t>
  </si>
  <si>
    <t>Revenue</t>
  </si>
  <si>
    <t>Service</t>
  </si>
  <si>
    <t>Projects</t>
  </si>
  <si>
    <t>Enterprise</t>
  </si>
  <si>
    <t>Assets</t>
  </si>
  <si>
    <t>Assets and other debits</t>
  </si>
  <si>
    <t>Assets:</t>
  </si>
  <si>
    <t xml:space="preserve">    Cash and investments</t>
  </si>
  <si>
    <t xml:space="preserve">    Property taxes receivable</t>
  </si>
  <si>
    <t xml:space="preserve">    Assessment liens receivable</t>
  </si>
  <si>
    <t xml:space="preserve">    Accounts and other receivables, net</t>
  </si>
  <si>
    <t xml:space="preserve">    Accrued interest receivable</t>
  </si>
  <si>
    <t xml:space="preserve">    Due from other funds</t>
  </si>
  <si>
    <t xml:space="preserve">    Due from other governments</t>
  </si>
  <si>
    <t xml:space="preserve">    Grants receivable</t>
  </si>
  <si>
    <t xml:space="preserve">    Inventory of materials and supplies</t>
  </si>
  <si>
    <t xml:space="preserve">    Other assets</t>
  </si>
  <si>
    <t xml:space="preserve">    Fixed assets, net</t>
  </si>
  <si>
    <t xml:space="preserve">    Investments in joint ventures</t>
  </si>
  <si>
    <t xml:space="preserve">    Intangible assets - water rights, net</t>
  </si>
  <si>
    <t>Other debits:</t>
  </si>
  <si>
    <t xml:space="preserve">    Amount available for bonded debt service</t>
  </si>
  <si>
    <t xml:space="preserve">    Amount to be provided for retirement of general long-term debt</t>
  </si>
  <si>
    <t xml:space="preserve">    Amount to be provided for special assessment debt service</t>
  </si>
  <si>
    <t>TOTAL ASSETS AND OTHER DEBITS</t>
  </si>
  <si>
    <t>Liabilities, equity and other credits</t>
  </si>
  <si>
    <t>Liabilities:</t>
  </si>
  <si>
    <t xml:space="preserve">    Accounts payable</t>
  </si>
  <si>
    <t xml:space="preserve">    Accrued salaries and payroll taxes</t>
  </si>
  <si>
    <t xml:space="preserve">    Accrued interest payable</t>
  </si>
  <si>
    <t xml:space="preserve">    Other accrued liabilities</t>
  </si>
  <si>
    <t xml:space="preserve">    Due to other funds</t>
  </si>
  <si>
    <t xml:space="preserve">    Due to other governments</t>
  </si>
  <si>
    <t xml:space="preserve">    Deferred revenues:</t>
  </si>
  <si>
    <t xml:space="preserve">        Property taxes</t>
  </si>
  <si>
    <t xml:space="preserve">        Assessment liens, interest, and miscellaneous </t>
  </si>
  <si>
    <t xml:space="preserve">        Grants</t>
  </si>
  <si>
    <t xml:space="preserve">    Deposits and retainages payable</t>
  </si>
  <si>
    <t xml:space="preserve">    Special assessment debt with governmental commitment</t>
  </si>
  <si>
    <t xml:space="preserve">    Unmatured general obligation and revenue bonds payable</t>
  </si>
  <si>
    <t xml:space="preserve">                TOTAL LIABILITIES</t>
  </si>
  <si>
    <t>Equity and other credits:</t>
  </si>
  <si>
    <t xml:space="preserve">    Contributed capital</t>
  </si>
  <si>
    <t xml:space="preserve">    Investment in general fixed assets</t>
  </si>
  <si>
    <t xml:space="preserve">    Retained earnings:</t>
  </si>
  <si>
    <t xml:space="preserve">        Reserved for debt service</t>
  </si>
  <si>
    <t xml:space="preserve">        Reserved for construction</t>
  </si>
  <si>
    <t xml:space="preserve">        Unreserved</t>
  </si>
  <si>
    <t xml:space="preserve">    Fund balances:</t>
  </si>
  <si>
    <t xml:space="preserve">        Reserved:</t>
  </si>
  <si>
    <t xml:space="preserve">            Reserved for encumbrances</t>
  </si>
  <si>
    <t xml:space="preserve">            Reserved for construction</t>
  </si>
  <si>
    <t xml:space="preserve">        Unreserved:</t>
  </si>
  <si>
    <t xml:space="preserve">            Designated for debt service</t>
  </si>
  <si>
    <t xml:space="preserve">            Undesignated</t>
  </si>
  <si>
    <t xml:space="preserve">                TOTAL EQUITY AND OTHER CREDITS</t>
  </si>
  <si>
    <t>TOTAL LIABILITIES, EQUITY AND OTHER CREDITS</t>
  </si>
  <si>
    <t>The accompanying notes are an integral part of the general purpose financial statements.</t>
  </si>
  <si>
    <t>3</t>
  </si>
  <si>
    <t>Continuation of Page 3</t>
  </si>
  <si>
    <t>COMBINED STATEMENT OF REVENUES, EXPENDITURES AND CHANGES IN FUND BALANCES</t>
  </si>
  <si>
    <t>ALL GOVERNMENTAL FUND TYPES AND EXPENDABLE TRUST FUNDS</t>
  </si>
  <si>
    <t>(GENERALLY ACCEPTED ACCOUNTING PRINCIPLES BASIS)</t>
  </si>
  <si>
    <t xml:space="preserve">  Governmental Fund Types</t>
  </si>
  <si>
    <t>Fund Type</t>
  </si>
  <si>
    <t>Expendable</t>
  </si>
  <si>
    <t>Trust</t>
  </si>
  <si>
    <t>Revenues:</t>
  </si>
  <si>
    <t xml:space="preserve">    Taxes</t>
  </si>
  <si>
    <t xml:space="preserve">    Special assessments</t>
  </si>
  <si>
    <t xml:space="preserve">    Intergovernmental</t>
  </si>
  <si>
    <t xml:space="preserve">    Federal grants</t>
  </si>
  <si>
    <t xml:space="preserve">    Fees, licenses, and permits</t>
  </si>
  <si>
    <t xml:space="preserve">    Franchise fees</t>
  </si>
  <si>
    <t xml:space="preserve">    Fines and forfeits</t>
  </si>
  <si>
    <t xml:space="preserve">    Interest on investments</t>
  </si>
  <si>
    <t xml:space="preserve">      and assessments</t>
  </si>
  <si>
    <t xml:space="preserve">    Charges for services</t>
  </si>
  <si>
    <t xml:space="preserve">    Contributions, donations, and others</t>
  </si>
  <si>
    <t xml:space="preserve">    Miscellaneous and cash-in-lieu</t>
  </si>
  <si>
    <t xml:space="preserve">        TOTAL REVENUES</t>
  </si>
  <si>
    <t>Expenditures:</t>
  </si>
  <si>
    <t xml:space="preserve">    Current:</t>
  </si>
  <si>
    <t xml:space="preserve">        General government</t>
  </si>
  <si>
    <t xml:space="preserve">        Public safety</t>
  </si>
  <si>
    <t xml:space="preserve">        Highways and streets</t>
  </si>
  <si>
    <t xml:space="preserve">        Education</t>
  </si>
  <si>
    <t xml:space="preserve">        Cultural</t>
  </si>
  <si>
    <t xml:space="preserve">    Debt service:</t>
  </si>
  <si>
    <t xml:space="preserve">        Bond principal retirement</t>
  </si>
  <si>
    <t xml:space="preserve">        Interest</t>
  </si>
  <si>
    <t xml:space="preserve">        TOTAL EXPENDITURES</t>
  </si>
  <si>
    <t xml:space="preserve">        EXCESS OF REVENUES OVER</t>
  </si>
  <si>
    <t xml:space="preserve">          (UNDER) EXPENDITURES</t>
  </si>
  <si>
    <t>Other financing sources (uses):</t>
  </si>
  <si>
    <t xml:space="preserve">    Operating transfers in</t>
  </si>
  <si>
    <t xml:space="preserve">    Operating transfers out</t>
  </si>
  <si>
    <t xml:space="preserve">        TOTAL OTHER FINANCING</t>
  </si>
  <si>
    <t xml:space="preserve">          SOURCES (USES)</t>
  </si>
  <si>
    <t>EXCESS OF REVENUES AND</t>
  </si>
  <si>
    <t xml:space="preserve">  OTHER SOURCES OVER (UNDER)</t>
  </si>
  <si>
    <t xml:space="preserve">  EXPENDITURES AND OTHER USES</t>
  </si>
  <si>
    <t>FUND BALANCES - End of year</t>
  </si>
  <si>
    <t>4</t>
  </si>
  <si>
    <t>BUDGET (NON-GAAP BUDGETARY BASIS) AND ACTUAL</t>
  </si>
  <si>
    <t>ALL GOVERNMENTAL FUND TYPES</t>
  </si>
  <si>
    <t>General Fund</t>
  </si>
  <si>
    <t>Special Revenue Funds</t>
  </si>
  <si>
    <t>Debt Service Funds</t>
  </si>
  <si>
    <t>Capital Projects Funds</t>
  </si>
  <si>
    <t>Totals (Memorandum Only)</t>
  </si>
  <si>
    <t>Original and</t>
  </si>
  <si>
    <t>Variance</t>
  </si>
  <si>
    <t>Supplemental</t>
  </si>
  <si>
    <t>Favorable</t>
  </si>
  <si>
    <t>Actual</t>
  </si>
  <si>
    <t>(Unfavorable)</t>
  </si>
  <si>
    <t xml:space="preserve">    Interest on investments and assessments</t>
  </si>
  <si>
    <t xml:space="preserve">            TOTAL REVENUES</t>
  </si>
  <si>
    <t xml:space="preserve">    Debt Service:</t>
  </si>
  <si>
    <t xml:space="preserve">        Interest and fees</t>
  </si>
  <si>
    <t xml:space="preserve">    Contingency / Reserve</t>
  </si>
  <si>
    <t xml:space="preserve">            TOTAL EXPENDITURES</t>
  </si>
  <si>
    <t xml:space="preserve">            EXCESS OF REVENUES OVER</t>
  </si>
  <si>
    <t xml:space="preserve">              (UNDER) EXPENDITURES</t>
  </si>
  <si>
    <t xml:space="preserve">    Cancellation of prior year's encumbrances</t>
  </si>
  <si>
    <t xml:space="preserve">            TOTAL OTHER FINANCING</t>
  </si>
  <si>
    <t xml:space="preserve">              SOURCES (USES)</t>
  </si>
  <si>
    <t>FUND BALANCES - budgetary basis,</t>
  </si>
  <si>
    <t xml:space="preserve">  Beginning of year</t>
  </si>
  <si>
    <t xml:space="preserve">  End of year</t>
  </si>
  <si>
    <t>Adjustments to generally accepted</t>
  </si>
  <si>
    <t xml:space="preserve">  accounting principles basis:</t>
  </si>
  <si>
    <t xml:space="preserve">        Current year</t>
  </si>
  <si>
    <t xml:space="preserve">        Prior year</t>
  </si>
  <si>
    <t>FUND BALANCES - generally accepted</t>
  </si>
  <si>
    <t xml:space="preserve">  accounting principles basis, End of year</t>
  </si>
  <si>
    <t>5</t>
  </si>
  <si>
    <t>Continuation of page 5</t>
  </si>
  <si>
    <t>COMBINED STATEMENT OF REVENUES, EXPENSES AND</t>
  </si>
  <si>
    <t>CHANGES IN RETAINED EARNINGS</t>
  </si>
  <si>
    <t>ALL PROPRIETARY FUND TYPES</t>
  </si>
  <si>
    <t>Proprietary</t>
  </si>
  <si>
    <t>Internal</t>
  </si>
  <si>
    <t>Operating revenues:</t>
  </si>
  <si>
    <t xml:space="preserve">    Installation fees</t>
  </si>
  <si>
    <t xml:space="preserve">    Miscellaneous</t>
  </si>
  <si>
    <t xml:space="preserve">        TOTAL OPERATING REVENUES</t>
  </si>
  <si>
    <t>Operating expenses:</t>
  </si>
  <si>
    <t xml:space="preserve">    Personal services</t>
  </si>
  <si>
    <t xml:space="preserve">    Water purchases</t>
  </si>
  <si>
    <t xml:space="preserve">    Administration charges from General Fund</t>
  </si>
  <si>
    <t xml:space="preserve">    Payments in lieu of taxes</t>
  </si>
  <si>
    <t xml:space="preserve">    Supplies, repairs, and services</t>
  </si>
  <si>
    <t xml:space="preserve">    Insurance claims</t>
  </si>
  <si>
    <t xml:space="preserve">    Contract charges</t>
  </si>
  <si>
    <t xml:space="preserve">    Depreciation and amortization</t>
  </si>
  <si>
    <t xml:space="preserve">        TOTAL OPERATING EXPENSES</t>
  </si>
  <si>
    <t xml:space="preserve">        OPERATING INCOME (LOSS)</t>
  </si>
  <si>
    <t>Nonoperating revenues (expenses):</t>
  </si>
  <si>
    <t xml:space="preserve">    Gain on sale of property and equipment</t>
  </si>
  <si>
    <t xml:space="preserve">    Interest expense</t>
  </si>
  <si>
    <t xml:space="preserve">    Loss on equity in earnings of joint venture</t>
  </si>
  <si>
    <t xml:space="preserve">        TOTAL NONOPERATING</t>
  </si>
  <si>
    <t xml:space="preserve">          REVENUES (EXPENSES)</t>
  </si>
  <si>
    <t>Operating transfers in (out):</t>
  </si>
  <si>
    <t xml:space="preserve">    Experience refund on insurance premium</t>
  </si>
  <si>
    <t xml:space="preserve">    Return of premium contribution</t>
  </si>
  <si>
    <t>NET INCOME (LOSS)</t>
  </si>
  <si>
    <t>Transfer of depreciation on contributed</t>
  </si>
  <si>
    <t xml:space="preserve">  fixed assets to contributed capital</t>
  </si>
  <si>
    <t>RETAINED EARNINGS - End of year</t>
  </si>
  <si>
    <t>6</t>
  </si>
  <si>
    <t>COMBINED STATEMENT OF CASH FLOWS</t>
  </si>
  <si>
    <t xml:space="preserve">                 Proprietary</t>
  </si>
  <si>
    <t xml:space="preserve">                 Fund Types</t>
  </si>
  <si>
    <t>Cash flows from operating activities:</t>
  </si>
  <si>
    <t xml:space="preserve">    Cash receipts from customers</t>
  </si>
  <si>
    <t xml:space="preserve">    Cash receipts from quasi-external</t>
  </si>
  <si>
    <t xml:space="preserve">      operating transactions with other funds</t>
  </si>
  <si>
    <t xml:space="preserve">    Cash payments to suppliers </t>
  </si>
  <si>
    <t xml:space="preserve">    Cash payments to employees</t>
  </si>
  <si>
    <t xml:space="preserve">    Cash payments for quasi-external</t>
  </si>
  <si>
    <t xml:space="preserve">          OPERATING ACTIVITIES</t>
  </si>
  <si>
    <t>Cash flows from noncapital financing activities:</t>
  </si>
  <si>
    <t xml:space="preserve">    Cash paid to increase deposit</t>
  </si>
  <si>
    <t>Cash flows from capital and related</t>
  </si>
  <si>
    <t xml:space="preserve"> financing activities:</t>
  </si>
  <si>
    <t xml:space="preserve">    Acquisition of property and equipment</t>
  </si>
  <si>
    <t xml:space="preserve">    Proceeds from sale of property and equipment</t>
  </si>
  <si>
    <t xml:space="preserve">    Principal paid on bonds and contracts</t>
  </si>
  <si>
    <t xml:space="preserve">    Contributions of system development, connection,</t>
  </si>
  <si>
    <t xml:space="preserve">      and detention quality and quantity fees</t>
  </si>
  <si>
    <t>Cash flows from investing activities:</t>
  </si>
  <si>
    <t xml:space="preserve">    Interest received</t>
  </si>
  <si>
    <t xml:space="preserve">  AND CASH EQUIVALENTS</t>
  </si>
  <si>
    <t xml:space="preserve"> </t>
  </si>
  <si>
    <t>CASH AND CASH EQUIVALENTS</t>
  </si>
  <si>
    <t xml:space="preserve">  AT END OF YEAR</t>
  </si>
  <si>
    <t>Continued</t>
  </si>
  <si>
    <t>7</t>
  </si>
  <si>
    <t>ALL PROPRIETARY FUND TYPES - Continued</t>
  </si>
  <si>
    <t xml:space="preserve">              Proprietary</t>
  </si>
  <si>
    <t xml:space="preserve">              Fund Types</t>
  </si>
  <si>
    <t>Reconciliation of operating income</t>
  </si>
  <si>
    <t xml:space="preserve">  operating activities:</t>
  </si>
  <si>
    <t xml:space="preserve">    Operating income (loss)</t>
  </si>
  <si>
    <t>Adjustments to reconcile operating</t>
  </si>
  <si>
    <t xml:space="preserve">  by operating activities:</t>
  </si>
  <si>
    <t xml:space="preserve">    Change in assets and liabilities:</t>
  </si>
  <si>
    <t xml:space="preserve">        Accounts receivable</t>
  </si>
  <si>
    <t xml:space="preserve">        Other receivables</t>
  </si>
  <si>
    <t xml:space="preserve">        Inventory of materials and supplies</t>
  </si>
  <si>
    <t xml:space="preserve">        Accounts payable</t>
  </si>
  <si>
    <t xml:space="preserve">        Accrued salaries and payroll taxes</t>
  </si>
  <si>
    <t xml:space="preserve">        Other accrued liabilities</t>
  </si>
  <si>
    <t xml:space="preserve">        Due to other governments</t>
  </si>
  <si>
    <t xml:space="preserve">               TOTAL ADJUSTMENTS</t>
  </si>
  <si>
    <t xml:space="preserve">  OPERATING ACTIVITIES</t>
  </si>
  <si>
    <t>Schedule of non-cash transactions:</t>
  </si>
  <si>
    <t xml:space="preserve">    Reduction in investment in joint venture due</t>
  </si>
  <si>
    <t xml:space="preserve">    Reduction in deferred amount of refunding</t>
  </si>
  <si>
    <t>8</t>
  </si>
  <si>
    <t xml:space="preserve">  Transfers to fund encumbrances:</t>
  </si>
  <si>
    <t xml:space="preserve">  Encumbrances</t>
  </si>
  <si>
    <t xml:space="preserve">  Accrued interest on bonds</t>
  </si>
  <si>
    <t>Budgets</t>
  </si>
  <si>
    <t>Agency and</t>
  </si>
  <si>
    <t>Expendable Trust</t>
  </si>
  <si>
    <t>NET INCOME (LOSS) BEFORE OPERATING TRANSFERS</t>
  </si>
  <si>
    <t xml:space="preserve">    Interest paid</t>
  </si>
  <si>
    <t>FUND BALANCES, Beginning of year</t>
  </si>
  <si>
    <t xml:space="preserve">  AT BEGINNING OF YEAR</t>
  </si>
  <si>
    <t xml:space="preserve">    Sale of City property</t>
  </si>
  <si>
    <t>$        ----</t>
  </si>
  <si>
    <t>$      ----</t>
  </si>
  <si>
    <t xml:space="preserve">        Due from other governments</t>
  </si>
  <si>
    <t xml:space="preserve">        TOTAL OPERATING TRANSFERS (OUT)</t>
  </si>
  <si>
    <t xml:space="preserve">          AND RELATED FINANCING ACTIVITIES</t>
  </si>
  <si>
    <t xml:space="preserve">    Loss on disposition of obsolete equipment</t>
  </si>
  <si>
    <t xml:space="preserve">    Adjustment to reflect change in accounting policy</t>
  </si>
  <si>
    <t>RETAINED EARNINGS - Beginning of year, as restated</t>
  </si>
  <si>
    <t xml:space="preserve">RETAINED EARNINGS - </t>
  </si>
  <si>
    <t xml:space="preserve">    Beginning of year, as previously reported</t>
  </si>
  <si>
    <t xml:space="preserve">        NET CASH PROVIDED (USED) BY </t>
  </si>
  <si>
    <t xml:space="preserve">  (loss) to net cash provided (used) by </t>
  </si>
  <si>
    <t xml:space="preserve">  income (loss) to net cash provided (used)</t>
  </si>
  <si>
    <t xml:space="preserve">NET CASH PROVIDED (USED) BY </t>
  </si>
  <si>
    <t xml:space="preserve">    Interfund receivable</t>
  </si>
  <si>
    <t xml:space="preserve">  Transfers reclassified as interfund receivable (payable)</t>
  </si>
  <si>
    <t xml:space="preserve">    Interfund payable</t>
  </si>
  <si>
    <t xml:space="preserve">        NET CASH PROVIDED (USED) BY  CAPITAL </t>
  </si>
  <si>
    <t xml:space="preserve">    Acquisition in joint venture</t>
  </si>
  <si>
    <t>INCREASE (DECREASE) IN RETAINED EARNINGS</t>
  </si>
  <si>
    <t>June 30, 2002</t>
  </si>
  <si>
    <t>for the fiscal year ended June 30, 2002</t>
  </si>
  <si>
    <t xml:space="preserve">    Sale of city property</t>
  </si>
  <si>
    <t xml:space="preserve">    Construction loan proceeds</t>
  </si>
  <si>
    <t xml:space="preserve">    Interfund loan</t>
  </si>
  <si>
    <t xml:space="preserve">    Payment of construction loan</t>
  </si>
  <si>
    <t xml:space="preserve"> $     ----</t>
  </si>
  <si>
    <t xml:space="preserve">    Systems development charges revenue</t>
  </si>
  <si>
    <t>NET INCREASE (DECREASE) IN CASH</t>
  </si>
  <si>
    <t xml:space="preserve">        Other assets</t>
  </si>
  <si>
    <t xml:space="preserve">      to loss on equity of joint venture</t>
  </si>
  <si>
    <t xml:space="preserve">      (net of $526,967 discount)</t>
  </si>
  <si>
    <t xml:space="preserve">    Contracts payable (net of $439,735 discount)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</si>
</sst>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$&quot;#,##0_);\(&quot;$&quot;#,##0\)"/>
    <numFmt numFmtId="165" formatCode="&quot;$&quot;#,##0_);[Red]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General_)"/>
    <numFmt numFmtId="178" formatCode="_(&quot;$&quot;*#\,##0_);&quot;$&quot;\(#,##0\)"/>
  </numFmts>
  <fonts count="13" x14ac:knownFonts="1">
    <font>
      <sz val="10"/>
      <name val="Arial"/>
    </font>
    <font>
      <sz val="10"/>
      <name val="Arial"/>
    </font>
    <font>
      <sz val="10"/>
      <name val="Courier"/>
    </font>
    <font>
      <b/>
      <sz val="8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9"/>
      <name val="Times New Roman"/>
    </font>
    <font>
      <b/>
      <sz val="8"/>
      <name val="Times New Roman"/>
    </font>
    <font>
      <sz val="8"/>
      <color indexed="10"/>
      <name val="Times New Roman"/>
      <family val="1"/>
    </font>
    <font>
      <sz val="9"/>
      <color indexed="10"/>
      <name val="Times New Roman"/>
      <family val="1"/>
    </font>
    <font>
      <b/>
      <sz val="9"/>
      <color indexed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indexed="6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2" fontId="2" fillId="0" borderId="0"/>
    <xf numFmtId="37" fontId="2" fillId="0" borderId="0"/>
    <xf numFmtId="37" fontId="2" fillId="0" borderId="0"/>
    <xf numFmtId="172" fontId="2" fillId="0" borderId="0"/>
    <xf numFmtId="172" fontId="2" fillId="0" borderId="0"/>
    <xf numFmtId="37" fontId="2" fillId="0" borderId="0"/>
    <xf numFmtId="37" fontId="2" fillId="0" borderId="0"/>
  </cellStyleXfs>
  <cellXfs count="273">
    <xf numFmtId="0" fontId="0" fillId="0" borderId="0" xfId="0"/>
    <xf numFmtId="172" fontId="3" fillId="0" borderId="0" xfId="3" applyNumberFormat="1" applyFont="1" applyAlignment="1" applyProtection="1">
      <alignment horizontal="left"/>
    </xf>
    <xf numFmtId="172" fontId="4" fillId="0" borderId="0" xfId="3" applyFont="1"/>
    <xf numFmtId="172" fontId="4" fillId="0" borderId="0" xfId="3" applyNumberFormat="1" applyFont="1" applyAlignment="1" applyProtection="1">
      <alignment horizontal="left"/>
    </xf>
    <xf numFmtId="172" fontId="4" fillId="0" borderId="1" xfId="3" applyFont="1" applyBorder="1"/>
    <xf numFmtId="172" fontId="4" fillId="0" borderId="0" xfId="3" applyFont="1" applyBorder="1"/>
    <xf numFmtId="172" fontId="4" fillId="0" borderId="0" xfId="3" applyNumberFormat="1" applyFont="1" applyAlignment="1" applyProtection="1">
      <alignment horizontal="center"/>
    </xf>
    <xf numFmtId="172" fontId="4" fillId="0" borderId="1" xfId="3" applyNumberFormat="1" applyFont="1" applyBorder="1" applyAlignment="1" applyProtection="1">
      <alignment horizontal="left"/>
    </xf>
    <xf numFmtId="172" fontId="4" fillId="0" borderId="1" xfId="3" applyNumberFormat="1" applyFont="1" applyBorder="1" applyAlignment="1" applyProtection="1">
      <alignment horizontal="center"/>
    </xf>
    <xf numFmtId="172" fontId="4" fillId="0" borderId="1" xfId="3" applyNumberFormat="1" applyFont="1" applyBorder="1" applyAlignment="1" applyProtection="1"/>
    <xf numFmtId="172" fontId="4" fillId="0" borderId="0" xfId="3" applyFont="1" applyAlignment="1">
      <alignment horizontal="center"/>
    </xf>
    <xf numFmtId="172" fontId="4" fillId="0" borderId="0" xfId="3" applyNumberFormat="1" applyFont="1" applyBorder="1" applyAlignment="1" applyProtection="1">
      <alignment horizontal="center"/>
    </xf>
    <xf numFmtId="164" fontId="4" fillId="0" borderId="0" xfId="3" applyNumberFormat="1" applyFont="1" applyProtection="1"/>
    <xf numFmtId="164" fontId="4" fillId="2" borderId="0" xfId="3" applyNumberFormat="1" applyFont="1" applyFill="1" applyBorder="1" applyProtection="1"/>
    <xf numFmtId="37" fontId="4" fillId="0" borderId="0" xfId="3" applyNumberFormat="1" applyFont="1" applyProtection="1"/>
    <xf numFmtId="164" fontId="4" fillId="0" borderId="0" xfId="3" applyNumberFormat="1" applyFont="1" applyFill="1" applyBorder="1" applyProtection="1"/>
    <xf numFmtId="37" fontId="4" fillId="2" borderId="0" xfId="3" applyNumberFormat="1" applyFont="1" applyFill="1" applyBorder="1" applyProtection="1"/>
    <xf numFmtId="37" fontId="4" fillId="0" borderId="0" xfId="3" applyNumberFormat="1" applyFont="1" applyFill="1" applyBorder="1" applyProtection="1"/>
    <xf numFmtId="37" fontId="4" fillId="0" borderId="1" xfId="3" applyNumberFormat="1" applyFont="1" applyBorder="1" applyProtection="1"/>
    <xf numFmtId="37" fontId="4" fillId="0" borderId="0" xfId="3" applyNumberFormat="1" applyFont="1" applyBorder="1" applyProtection="1"/>
    <xf numFmtId="37" fontId="4" fillId="2" borderId="1" xfId="3" applyNumberFormat="1" applyFont="1" applyFill="1" applyBorder="1" applyProtection="1"/>
    <xf numFmtId="37" fontId="4" fillId="0" borderId="1" xfId="3" applyNumberFormat="1" applyFont="1" applyFill="1" applyBorder="1" applyProtection="1"/>
    <xf numFmtId="164" fontId="4" fillId="0" borderId="2" xfId="3" applyNumberFormat="1" applyFont="1" applyBorder="1" applyProtection="1"/>
    <xf numFmtId="164" fontId="4" fillId="0" borderId="0" xfId="3" applyNumberFormat="1" applyFont="1" applyBorder="1" applyProtection="1"/>
    <xf numFmtId="164" fontId="4" fillId="2" borderId="2" xfId="3" applyNumberFormat="1" applyFont="1" applyFill="1" applyBorder="1" applyProtection="1"/>
    <xf numFmtId="172" fontId="4" fillId="2" borderId="0" xfId="3" applyFont="1" applyFill="1" applyBorder="1"/>
    <xf numFmtId="172" fontId="4" fillId="0" borderId="0" xfId="3" applyFont="1" applyFill="1" applyBorder="1"/>
    <xf numFmtId="165" fontId="4" fillId="0" borderId="0" xfId="3" applyNumberFormat="1" applyFont="1" applyProtection="1"/>
    <xf numFmtId="38" fontId="4" fillId="0" borderId="0" xfId="3" applyNumberFormat="1" applyFont="1" applyProtection="1"/>
    <xf numFmtId="38" fontId="4" fillId="0" borderId="0" xfId="3" applyNumberFormat="1" applyFont="1"/>
    <xf numFmtId="172" fontId="4" fillId="0" borderId="0" xfId="6" applyFont="1"/>
    <xf numFmtId="172" fontId="3" fillId="0" borderId="0" xfId="6" applyFont="1" applyAlignment="1" applyProtection="1">
      <alignment horizontal="left"/>
    </xf>
    <xf numFmtId="172" fontId="4" fillId="0" borderId="0" xfId="6" applyFont="1" applyBorder="1"/>
    <xf numFmtId="172" fontId="3" fillId="0" borderId="0" xfId="6" applyFont="1" applyBorder="1" applyAlignment="1" applyProtection="1">
      <alignment horizontal="left"/>
    </xf>
    <xf numFmtId="172" fontId="4" fillId="0" borderId="0" xfId="6" applyFont="1" applyAlignment="1" applyProtection="1">
      <alignment horizontal="center"/>
    </xf>
    <xf numFmtId="172" fontId="4" fillId="0" borderId="0" xfId="6" applyFont="1" applyAlignment="1" applyProtection="1">
      <alignment horizontal="left"/>
    </xf>
    <xf numFmtId="172" fontId="4" fillId="0" borderId="1" xfId="6" applyFont="1" applyBorder="1" applyAlignment="1" applyProtection="1">
      <alignment horizontal="left"/>
    </xf>
    <xf numFmtId="172" fontId="4" fillId="0" borderId="1" xfId="6" applyFont="1" applyBorder="1"/>
    <xf numFmtId="172" fontId="4" fillId="0" borderId="1" xfId="6" applyFont="1" applyBorder="1" applyAlignment="1" applyProtection="1">
      <alignment horizontal="center"/>
    </xf>
    <xf numFmtId="172" fontId="4" fillId="0" borderId="0" xfId="6" applyFont="1" applyBorder="1" applyAlignment="1" applyProtection="1">
      <alignment horizontal="center"/>
    </xf>
    <xf numFmtId="165" fontId="4" fillId="0" borderId="0" xfId="6" applyNumberFormat="1" applyFont="1" applyProtection="1"/>
    <xf numFmtId="164" fontId="4" fillId="0" borderId="0" xfId="6" applyNumberFormat="1" applyFont="1" applyProtection="1"/>
    <xf numFmtId="164" fontId="4" fillId="2" borderId="0" xfId="6" applyNumberFormat="1" applyFont="1" applyFill="1" applyProtection="1"/>
    <xf numFmtId="37" fontId="4" fillId="0" borderId="0" xfId="6" applyNumberFormat="1" applyFont="1" applyProtection="1"/>
    <xf numFmtId="37" fontId="4" fillId="2" borderId="0" xfId="6" applyNumberFormat="1" applyFont="1" applyFill="1" applyProtection="1"/>
    <xf numFmtId="37" fontId="4" fillId="0" borderId="1" xfId="6" applyNumberFormat="1" applyFont="1" applyBorder="1" applyProtection="1"/>
    <xf numFmtId="37" fontId="4" fillId="2" borderId="1" xfId="6" applyNumberFormat="1" applyFont="1" applyFill="1" applyBorder="1" applyProtection="1"/>
    <xf numFmtId="37" fontId="4" fillId="0" borderId="0" xfId="6" applyNumberFormat="1" applyFont="1" applyBorder="1" applyProtection="1"/>
    <xf numFmtId="37" fontId="4" fillId="0" borderId="0" xfId="6" applyNumberFormat="1" applyFont="1" applyAlignment="1" applyProtection="1">
      <alignment horizontal="right"/>
    </xf>
    <xf numFmtId="37" fontId="4" fillId="2" borderId="0" xfId="6" applyNumberFormat="1" applyFont="1" applyFill="1" applyAlignment="1" applyProtection="1">
      <alignment horizontal="right"/>
    </xf>
    <xf numFmtId="172" fontId="4" fillId="0" borderId="0" xfId="6" applyFont="1" applyAlignment="1">
      <alignment horizontal="right"/>
    </xf>
    <xf numFmtId="172" fontId="4" fillId="0" borderId="0" xfId="6" applyFont="1" applyBorder="1" applyAlignment="1" applyProtection="1">
      <alignment horizontal="left"/>
    </xf>
    <xf numFmtId="164" fontId="4" fillId="0" borderId="2" xfId="6" applyNumberFormat="1" applyFont="1" applyBorder="1" applyProtection="1"/>
    <xf numFmtId="164" fontId="4" fillId="0" borderId="0" xfId="6" applyNumberFormat="1" applyFont="1" applyBorder="1" applyProtection="1"/>
    <xf numFmtId="172" fontId="3" fillId="0" borderId="0" xfId="7" applyFont="1" applyAlignment="1" applyProtection="1">
      <alignment horizontal="left"/>
    </xf>
    <xf numFmtId="172" fontId="4" fillId="0" borderId="0" xfId="7" applyFont="1"/>
    <xf numFmtId="172" fontId="4" fillId="0" borderId="0" xfId="7" applyFont="1" applyAlignment="1" applyProtection="1">
      <alignment horizontal="left"/>
    </xf>
    <xf numFmtId="172" fontId="4" fillId="0" borderId="0" xfId="7" applyFont="1" applyBorder="1"/>
    <xf numFmtId="172" fontId="4" fillId="0" borderId="1" xfId="7" applyFont="1" applyBorder="1" applyAlignment="1" applyProtection="1">
      <alignment horizontal="center"/>
    </xf>
    <xf numFmtId="172" fontId="4" fillId="0" borderId="0" xfId="7" applyFont="1" applyBorder="1" applyAlignment="1">
      <alignment horizontal="center"/>
    </xf>
    <xf numFmtId="172" fontId="4" fillId="0" borderId="0" xfId="7" applyFont="1" applyBorder="1" applyAlignment="1" applyProtection="1">
      <alignment horizontal="left"/>
    </xf>
    <xf numFmtId="172" fontId="4" fillId="0" borderId="0" xfId="7" applyFont="1" applyAlignment="1" applyProtection="1">
      <alignment horizontal="center"/>
    </xf>
    <xf numFmtId="172" fontId="4" fillId="0" borderId="0" xfId="7" applyFont="1" applyBorder="1" applyAlignment="1" applyProtection="1">
      <alignment horizontal="center"/>
    </xf>
    <xf numFmtId="172" fontId="3" fillId="0" borderId="0" xfId="7" applyFont="1"/>
    <xf numFmtId="164" fontId="4" fillId="0" borderId="0" xfId="7" applyNumberFormat="1" applyFont="1" applyProtection="1"/>
    <xf numFmtId="37" fontId="4" fillId="0" borderId="0" xfId="7" applyNumberFormat="1" applyFont="1" applyProtection="1"/>
    <xf numFmtId="38" fontId="4" fillId="0" borderId="0" xfId="7" applyNumberFormat="1" applyFont="1" applyProtection="1"/>
    <xf numFmtId="165" fontId="4" fillId="0" borderId="0" xfId="7" applyNumberFormat="1" applyFont="1" applyProtection="1"/>
    <xf numFmtId="37" fontId="4" fillId="0" borderId="1" xfId="7" applyNumberFormat="1" applyFont="1" applyBorder="1" applyProtection="1"/>
    <xf numFmtId="37" fontId="4" fillId="0" borderId="0" xfId="7" applyNumberFormat="1" applyFont="1" applyBorder="1" applyProtection="1"/>
    <xf numFmtId="37" fontId="4" fillId="0" borderId="0" xfId="7" applyNumberFormat="1" applyFont="1" applyAlignment="1" applyProtection="1">
      <alignment horizontal="left"/>
    </xf>
    <xf numFmtId="164" fontId="4" fillId="0" borderId="2" xfId="7" applyNumberFormat="1" applyFont="1" applyBorder="1" applyProtection="1"/>
    <xf numFmtId="164" fontId="4" fillId="0" borderId="0" xfId="7" applyNumberFormat="1" applyFont="1" applyBorder="1" applyProtection="1"/>
    <xf numFmtId="37" fontId="4" fillId="0" borderId="0" xfId="7" quotePrefix="1" applyNumberFormat="1" applyFont="1" applyProtection="1"/>
    <xf numFmtId="37" fontId="5" fillId="0" borderId="0" xfId="4" applyFont="1" applyAlignment="1" applyProtection="1">
      <alignment horizontal="left"/>
    </xf>
    <xf numFmtId="37" fontId="6" fillId="0" borderId="0" xfId="4" applyFont="1"/>
    <xf numFmtId="37" fontId="6" fillId="0" borderId="1" xfId="4" applyFont="1" applyBorder="1"/>
    <xf numFmtId="37" fontId="6" fillId="0" borderId="0" xfId="4" applyFont="1" applyBorder="1" applyAlignment="1" applyProtection="1">
      <alignment horizontal="left"/>
    </xf>
    <xf numFmtId="37" fontId="6" fillId="0" borderId="0" xfId="4" applyFont="1" applyBorder="1" applyAlignment="1" applyProtection="1">
      <alignment horizontal="center"/>
    </xf>
    <xf numFmtId="37" fontId="6" fillId="0" borderId="0" xfId="4" applyFont="1" applyBorder="1"/>
    <xf numFmtId="37" fontId="6" fillId="0" borderId="0" xfId="4" applyFont="1" applyAlignment="1" applyProtection="1">
      <alignment horizontal="center"/>
    </xf>
    <xf numFmtId="37" fontId="6" fillId="0" borderId="1" xfId="4" applyFont="1" applyBorder="1" applyAlignment="1" applyProtection="1">
      <alignment horizontal="left"/>
    </xf>
    <xf numFmtId="37" fontId="6" fillId="0" borderId="1" xfId="4" applyFont="1" applyBorder="1" applyAlignment="1" applyProtection="1">
      <alignment horizontal="center"/>
    </xf>
    <xf numFmtId="1" fontId="6" fillId="0" borderId="1" xfId="4" applyNumberFormat="1" applyFont="1" applyBorder="1" applyAlignment="1" applyProtection="1">
      <alignment horizontal="center"/>
    </xf>
    <xf numFmtId="1" fontId="6" fillId="0" borderId="0" xfId="4" applyNumberFormat="1" applyFont="1" applyAlignment="1" applyProtection="1">
      <alignment horizontal="left"/>
    </xf>
    <xf numFmtId="1" fontId="6" fillId="0" borderId="0" xfId="4" applyNumberFormat="1" applyFont="1" applyBorder="1" applyAlignment="1" applyProtection="1">
      <alignment horizontal="center"/>
    </xf>
    <xf numFmtId="37" fontId="6" fillId="0" borderId="0" xfId="4" applyFont="1" applyAlignment="1" applyProtection="1">
      <alignment horizontal="left"/>
    </xf>
    <xf numFmtId="164" fontId="6" fillId="0" borderId="0" xfId="4" applyNumberFormat="1" applyFont="1" applyProtection="1"/>
    <xf numFmtId="164" fontId="6" fillId="2" borderId="0" xfId="4" applyNumberFormat="1" applyFont="1" applyFill="1" applyProtection="1"/>
    <xf numFmtId="37" fontId="6" fillId="0" borderId="0" xfId="4" applyFont="1" applyProtection="1"/>
    <xf numFmtId="37" fontId="6" fillId="2" borderId="0" xfId="4" applyNumberFormat="1" applyFont="1" applyFill="1" applyProtection="1"/>
    <xf numFmtId="37" fontId="6" fillId="2" borderId="0" xfId="4" applyFont="1" applyFill="1" applyProtection="1"/>
    <xf numFmtId="37" fontId="6" fillId="0" borderId="1" xfId="4" applyFont="1" applyBorder="1" applyProtection="1"/>
    <xf numFmtId="37" fontId="6" fillId="0" borderId="0" xfId="4" applyFont="1" applyBorder="1" applyProtection="1"/>
    <xf numFmtId="37" fontId="6" fillId="2" borderId="1" xfId="4" applyFont="1" applyFill="1" applyBorder="1" applyProtection="1"/>
    <xf numFmtId="37" fontId="6" fillId="2" borderId="0" xfId="4" applyFont="1" applyFill="1" applyAlignment="1" applyProtection="1">
      <alignment horizontal="left"/>
    </xf>
    <xf numFmtId="37" fontId="6" fillId="2" borderId="0" xfId="4" applyFont="1" applyFill="1" applyBorder="1" applyProtection="1"/>
    <xf numFmtId="37" fontId="6" fillId="2" borderId="0" xfId="4" applyFont="1" applyFill="1"/>
    <xf numFmtId="37" fontId="7" fillId="0" borderId="0" xfId="4" applyFont="1"/>
    <xf numFmtId="164" fontId="6" fillId="0" borderId="2" xfId="4" applyNumberFormat="1" applyFont="1" applyBorder="1" applyProtection="1"/>
    <xf numFmtId="164" fontId="6" fillId="2" borderId="2" xfId="4" applyNumberFormat="1" applyFont="1" applyFill="1" applyBorder="1" applyProtection="1"/>
    <xf numFmtId="37" fontId="5" fillId="0" borderId="0" xfId="5" applyFont="1" applyAlignment="1" applyProtection="1">
      <alignment horizontal="left"/>
    </xf>
    <xf numFmtId="37" fontId="6" fillId="0" borderId="0" xfId="5" applyFont="1"/>
    <xf numFmtId="37" fontId="6" fillId="0" borderId="1" xfId="5" applyFont="1" applyBorder="1"/>
    <xf numFmtId="37" fontId="6" fillId="0" borderId="0" xfId="5" applyFont="1" applyBorder="1"/>
    <xf numFmtId="37" fontId="6" fillId="0" borderId="0" xfId="5" applyFont="1" applyBorder="1" applyAlignment="1" applyProtection="1">
      <alignment horizontal="left"/>
    </xf>
    <xf numFmtId="37" fontId="6" fillId="0" borderId="0" xfId="5" applyFont="1" applyBorder="1" applyAlignment="1" applyProtection="1">
      <alignment horizontal="center"/>
    </xf>
    <xf numFmtId="37" fontId="6" fillId="0" borderId="1" xfId="5" applyFont="1" applyBorder="1" applyAlignment="1" applyProtection="1">
      <alignment horizontal="left"/>
    </xf>
    <xf numFmtId="37" fontId="6" fillId="0" borderId="1" xfId="5" applyFont="1" applyBorder="1" applyAlignment="1" applyProtection="1">
      <alignment horizontal="center"/>
    </xf>
    <xf numFmtId="37" fontId="6" fillId="0" borderId="0" xfId="5" applyFont="1" applyAlignment="1" applyProtection="1">
      <alignment horizontal="center"/>
    </xf>
    <xf numFmtId="1" fontId="6" fillId="0" borderId="1" xfId="5" applyNumberFormat="1" applyFont="1" applyBorder="1" applyAlignment="1" applyProtection="1">
      <alignment horizontal="center"/>
    </xf>
    <xf numFmtId="1" fontId="6" fillId="0" borderId="0" xfId="5" applyNumberFormat="1" applyFont="1" applyAlignment="1" applyProtection="1">
      <alignment horizontal="left"/>
    </xf>
    <xf numFmtId="37" fontId="6" fillId="0" borderId="0" xfId="5" applyFont="1" applyAlignment="1" applyProtection="1">
      <alignment horizontal="left"/>
    </xf>
    <xf numFmtId="164" fontId="6" fillId="0" borderId="1" xfId="5" applyNumberFormat="1" applyFont="1" applyBorder="1" applyProtection="1"/>
    <xf numFmtId="164" fontId="6" fillId="0" borderId="0" xfId="5" applyNumberFormat="1" applyFont="1" applyProtection="1"/>
    <xf numFmtId="164" fontId="6" fillId="2" borderId="1" xfId="5" applyNumberFormat="1" applyFont="1" applyFill="1" applyBorder="1" applyProtection="1"/>
    <xf numFmtId="37" fontId="6" fillId="2" borderId="0" xfId="5" applyFont="1" applyFill="1" applyAlignment="1" applyProtection="1">
      <alignment horizontal="left"/>
    </xf>
    <xf numFmtId="37" fontId="6" fillId="2" borderId="0" xfId="5" applyFont="1" applyFill="1"/>
    <xf numFmtId="37" fontId="6" fillId="0" borderId="0" xfId="5" applyFont="1" applyProtection="1"/>
    <xf numFmtId="37" fontId="6" fillId="2" borderId="0" xfId="5" applyFont="1" applyFill="1" applyProtection="1"/>
    <xf numFmtId="37" fontId="6" fillId="0" borderId="1" xfId="5" applyFont="1" applyBorder="1" applyProtection="1"/>
    <xf numFmtId="37" fontId="6" fillId="2" borderId="1" xfId="5" applyFont="1" applyFill="1" applyBorder="1" applyProtection="1"/>
    <xf numFmtId="164" fontId="6" fillId="0" borderId="2" xfId="5" applyNumberFormat="1" applyFont="1" applyBorder="1" applyProtection="1"/>
    <xf numFmtId="164" fontId="6" fillId="2" borderId="2" xfId="5" applyNumberFormat="1" applyFont="1" applyFill="1" applyBorder="1" applyProtection="1"/>
    <xf numFmtId="37" fontId="4" fillId="2" borderId="0" xfId="6" applyNumberFormat="1" applyFont="1" applyFill="1" applyBorder="1" applyProtection="1"/>
    <xf numFmtId="172" fontId="4" fillId="0" borderId="1" xfId="6" applyFont="1" applyBorder="1" applyAlignment="1" applyProtection="1"/>
    <xf numFmtId="37" fontId="6" fillId="0" borderId="0" xfId="9" applyFont="1"/>
    <xf numFmtId="37" fontId="5" fillId="0" borderId="0" xfId="9" applyFont="1" applyAlignment="1" applyProtection="1">
      <alignment horizontal="left"/>
    </xf>
    <xf numFmtId="37" fontId="6" fillId="0" borderId="1" xfId="9" applyFont="1" applyBorder="1"/>
    <xf numFmtId="37" fontId="6" fillId="0" borderId="0" xfId="9" applyFont="1" applyAlignment="1">
      <alignment horizontal="center"/>
    </xf>
    <xf numFmtId="1" fontId="6" fillId="0" borderId="1" xfId="9" applyNumberFormat="1" applyFont="1" applyBorder="1" applyAlignment="1" applyProtection="1">
      <alignment horizontal="center"/>
    </xf>
    <xf numFmtId="37" fontId="6" fillId="0" borderId="1" xfId="9" applyFont="1" applyBorder="1" applyAlignment="1" applyProtection="1">
      <alignment horizontal="center"/>
    </xf>
    <xf numFmtId="1" fontId="6" fillId="0" borderId="0" xfId="9" applyNumberFormat="1" applyFont="1" applyBorder="1" applyAlignment="1" applyProtection="1">
      <alignment horizontal="center"/>
    </xf>
    <xf numFmtId="37" fontId="6" fillId="0" borderId="0" xfId="9" applyFont="1" applyAlignment="1" applyProtection="1">
      <alignment horizontal="left"/>
    </xf>
    <xf numFmtId="37" fontId="6" fillId="0" borderId="0" xfId="9" applyFont="1" applyAlignment="1" applyProtection="1">
      <alignment horizontal="center"/>
    </xf>
    <xf numFmtId="37" fontId="6" fillId="0" borderId="1" xfId="9" applyFont="1" applyBorder="1" applyAlignment="1" applyProtection="1">
      <alignment horizontal="left"/>
    </xf>
    <xf numFmtId="37" fontId="6" fillId="0" borderId="1" xfId="9" applyFont="1" applyBorder="1" applyAlignment="1">
      <alignment horizontal="center"/>
    </xf>
    <xf numFmtId="1" fontId="6" fillId="0" borderId="0" xfId="9" applyNumberFormat="1" applyFont="1" applyAlignment="1">
      <alignment horizontal="center"/>
    </xf>
    <xf numFmtId="1" fontId="6" fillId="0" borderId="1" xfId="9" applyNumberFormat="1" applyFont="1" applyBorder="1" applyAlignment="1">
      <alignment horizontal="center"/>
    </xf>
    <xf numFmtId="37" fontId="6" fillId="0" borderId="0" xfId="9" applyFont="1" applyBorder="1" applyAlignment="1" applyProtection="1">
      <alignment horizontal="center"/>
    </xf>
    <xf numFmtId="164" fontId="6" fillId="0" borderId="0" xfId="9" applyNumberFormat="1" applyFont="1" applyProtection="1"/>
    <xf numFmtId="164" fontId="6" fillId="2" borderId="0" xfId="9" applyNumberFormat="1" applyFont="1" applyFill="1" applyProtection="1"/>
    <xf numFmtId="165" fontId="6" fillId="0" borderId="0" xfId="9" applyNumberFormat="1" applyFont="1"/>
    <xf numFmtId="38" fontId="6" fillId="0" borderId="0" xfId="9" applyNumberFormat="1" applyFont="1" applyProtection="1"/>
    <xf numFmtId="38" fontId="6" fillId="2" borderId="0" xfId="9" applyNumberFormat="1" applyFont="1" applyFill="1" applyProtection="1"/>
    <xf numFmtId="37" fontId="6" fillId="0" borderId="1" xfId="9" applyNumberFormat="1" applyFont="1" applyBorder="1" applyProtection="1"/>
    <xf numFmtId="37" fontId="6" fillId="0" borderId="0" xfId="9" applyNumberFormat="1" applyFont="1" applyProtection="1"/>
    <xf numFmtId="38" fontId="6" fillId="2" borderId="1" xfId="9" applyNumberFormat="1" applyFont="1" applyFill="1" applyBorder="1" applyProtection="1"/>
    <xf numFmtId="37" fontId="6" fillId="0" borderId="1" xfId="9" applyFont="1" applyBorder="1" applyProtection="1"/>
    <xf numFmtId="37" fontId="6" fillId="0" borderId="0" xfId="9" applyFont="1" applyProtection="1"/>
    <xf numFmtId="37" fontId="6" fillId="2" borderId="1" xfId="9" applyFont="1" applyFill="1" applyBorder="1" applyProtection="1"/>
    <xf numFmtId="37" fontId="6" fillId="0" borderId="1" xfId="9" applyFont="1" applyFill="1" applyBorder="1" applyProtection="1"/>
    <xf numFmtId="37" fontId="6" fillId="2" borderId="0" xfId="9" applyFont="1" applyFill="1" applyAlignment="1" applyProtection="1">
      <alignment horizontal="left"/>
    </xf>
    <xf numFmtId="37" fontId="6" fillId="2" borderId="0" xfId="9" applyFont="1" applyFill="1"/>
    <xf numFmtId="37" fontId="6" fillId="2" borderId="1" xfId="9" applyNumberFormat="1" applyFont="1" applyFill="1" applyBorder="1" applyProtection="1"/>
    <xf numFmtId="37" fontId="6" fillId="2" borderId="0" xfId="9" applyNumberFormat="1" applyFont="1" applyFill="1" applyProtection="1"/>
    <xf numFmtId="37" fontId="6" fillId="0" borderId="0" xfId="9" applyFont="1" applyBorder="1" applyProtection="1"/>
    <xf numFmtId="38" fontId="6" fillId="2" borderId="0" xfId="9" applyNumberFormat="1" applyFont="1" applyFill="1" applyBorder="1" applyProtection="1"/>
    <xf numFmtId="37" fontId="6" fillId="0" borderId="0" xfId="9" applyFont="1" applyBorder="1"/>
    <xf numFmtId="37" fontId="6" fillId="0" borderId="0" xfId="9" applyFont="1" applyAlignment="1" applyProtection="1">
      <alignment horizontal="right"/>
    </xf>
    <xf numFmtId="164" fontId="6" fillId="0" borderId="2" xfId="9" applyNumberFormat="1" applyFont="1" applyBorder="1" applyProtection="1"/>
    <xf numFmtId="164" fontId="6" fillId="2" borderId="2" xfId="9" applyNumberFormat="1" applyFont="1" applyFill="1" applyBorder="1" applyProtection="1"/>
    <xf numFmtId="37" fontId="6" fillId="0" borderId="0" xfId="9" applyFont="1" applyBorder="1" applyAlignment="1" applyProtection="1">
      <alignment horizontal="left"/>
    </xf>
    <xf numFmtId="37" fontId="6" fillId="2" borderId="0" xfId="9" applyFont="1" applyFill="1" applyBorder="1" applyProtection="1"/>
    <xf numFmtId="165" fontId="4" fillId="0" borderId="2" xfId="7" applyNumberFormat="1" applyFont="1" applyBorder="1" applyProtection="1"/>
    <xf numFmtId="165" fontId="6" fillId="0" borderId="2" xfId="5" applyNumberFormat="1" applyFont="1" applyBorder="1" applyAlignment="1" applyProtection="1"/>
    <xf numFmtId="165" fontId="6" fillId="0" borderId="2" xfId="5" quotePrefix="1" applyNumberFormat="1" applyFont="1" applyBorder="1" applyAlignment="1" applyProtection="1"/>
    <xf numFmtId="37" fontId="5" fillId="0" borderId="0" xfId="5" applyFont="1" applyAlignment="1" applyProtection="1">
      <alignment horizontal="centerContinuous"/>
    </xf>
    <xf numFmtId="37" fontId="6" fillId="0" borderId="0" xfId="5" applyFont="1" applyAlignment="1">
      <alignment horizontal="centerContinuous"/>
    </xf>
    <xf numFmtId="37" fontId="5" fillId="0" borderId="0" xfId="5" applyFont="1" applyBorder="1" applyAlignment="1" applyProtection="1">
      <alignment horizontal="centerContinuous"/>
    </xf>
    <xf numFmtId="37" fontId="6" fillId="0" borderId="0" xfId="5" applyFont="1" applyBorder="1" applyAlignment="1">
      <alignment horizontal="centerContinuous"/>
    </xf>
    <xf numFmtId="37" fontId="6" fillId="0" borderId="0" xfId="5" quotePrefix="1" applyFont="1" applyAlignment="1">
      <alignment horizontal="centerContinuous"/>
    </xf>
    <xf numFmtId="37" fontId="5" fillId="0" borderId="0" xfId="4" applyFont="1" applyAlignment="1" applyProtection="1">
      <alignment horizontal="centerContinuous"/>
    </xf>
    <xf numFmtId="37" fontId="6" fillId="0" borderId="0" xfId="4" applyFont="1" applyAlignment="1">
      <alignment horizontal="centerContinuous"/>
    </xf>
    <xf numFmtId="37" fontId="5" fillId="0" borderId="0" xfId="4" applyFont="1" applyBorder="1" applyAlignment="1" applyProtection="1">
      <alignment horizontal="centerContinuous"/>
    </xf>
    <xf numFmtId="37" fontId="6" fillId="0" borderId="0" xfId="4" applyFont="1" applyBorder="1" applyAlignment="1">
      <alignment horizontal="centerContinuous"/>
    </xf>
    <xf numFmtId="37" fontId="6" fillId="0" borderId="0" xfId="4" quotePrefix="1" applyFont="1" applyAlignment="1">
      <alignment horizontal="centerContinuous"/>
    </xf>
    <xf numFmtId="37" fontId="6" fillId="0" borderId="0" xfId="4" applyFont="1" applyAlignment="1" applyProtection="1">
      <alignment horizontal="centerContinuous"/>
    </xf>
    <xf numFmtId="172" fontId="5" fillId="0" borderId="0" xfId="9" applyNumberFormat="1" applyFont="1" applyAlignment="1" applyProtection="1">
      <alignment horizontal="centerContinuous"/>
    </xf>
    <xf numFmtId="37" fontId="6" fillId="0" borderId="0" xfId="9" applyFont="1" applyAlignment="1">
      <alignment horizontal="centerContinuous"/>
    </xf>
    <xf numFmtId="37" fontId="5" fillId="0" borderId="0" xfId="9" applyFont="1" applyAlignment="1" applyProtection="1">
      <alignment horizontal="centerContinuous"/>
    </xf>
    <xf numFmtId="37" fontId="8" fillId="0" borderId="0" xfId="9" applyFont="1" applyAlignment="1">
      <alignment horizontal="centerContinuous"/>
    </xf>
    <xf numFmtId="37" fontId="6" fillId="0" borderId="0" xfId="9" applyFont="1" applyBorder="1" applyAlignment="1">
      <alignment horizontal="centerContinuous"/>
    </xf>
    <xf numFmtId="172" fontId="4" fillId="0" borderId="0" xfId="7" applyFont="1" applyAlignment="1">
      <alignment horizontal="centerContinuous"/>
    </xf>
    <xf numFmtId="172" fontId="9" fillId="0" borderId="0" xfId="7" applyFont="1" applyAlignment="1" applyProtection="1">
      <alignment horizontal="centerContinuous"/>
    </xf>
    <xf numFmtId="172" fontId="4" fillId="0" borderId="0" xfId="7" applyFont="1" applyBorder="1" applyAlignment="1">
      <alignment horizontal="centerContinuous"/>
    </xf>
    <xf numFmtId="172" fontId="4" fillId="0" borderId="0" xfId="6" applyFont="1" applyAlignment="1">
      <alignment horizontal="centerContinuous"/>
    </xf>
    <xf numFmtId="172" fontId="9" fillId="0" borderId="0" xfId="6" applyFont="1" applyAlignment="1">
      <alignment horizontal="centerContinuous"/>
    </xf>
    <xf numFmtId="172" fontId="3" fillId="0" borderId="0" xfId="6" applyFont="1" applyBorder="1" applyAlignment="1" applyProtection="1">
      <alignment horizontal="centerContinuous"/>
    </xf>
    <xf numFmtId="172" fontId="4" fillId="0" borderId="0" xfId="6" applyFont="1" applyBorder="1" applyAlignment="1">
      <alignment horizontal="centerContinuous"/>
    </xf>
    <xf numFmtId="172" fontId="4" fillId="0" borderId="0" xfId="6" quotePrefix="1" applyFont="1" applyAlignment="1" applyProtection="1">
      <alignment horizontal="centerContinuous"/>
    </xf>
    <xf numFmtId="172" fontId="3" fillId="0" borderId="0" xfId="3" applyNumberFormat="1" applyFont="1" applyAlignment="1" applyProtection="1">
      <alignment horizontal="centerContinuous"/>
    </xf>
    <xf numFmtId="172" fontId="4" fillId="0" borderId="0" xfId="3" applyFont="1" applyAlignment="1">
      <alignment horizontal="centerContinuous"/>
    </xf>
    <xf numFmtId="172" fontId="4" fillId="0" borderId="0" xfId="3" applyNumberFormat="1" applyFont="1" applyAlignment="1" applyProtection="1">
      <alignment horizontal="centerContinuous"/>
    </xf>
    <xf numFmtId="172" fontId="4" fillId="0" borderId="0" xfId="3" applyFont="1" applyBorder="1" applyAlignment="1">
      <alignment horizontal="centerContinuous"/>
    </xf>
    <xf numFmtId="37" fontId="6" fillId="0" borderId="1" xfId="9" applyFont="1" applyBorder="1" applyAlignment="1" applyProtection="1">
      <alignment horizontal="right"/>
    </xf>
    <xf numFmtId="37" fontId="6" fillId="0" borderId="3" xfId="9" applyFont="1" applyBorder="1" applyProtection="1"/>
    <xf numFmtId="37" fontId="8" fillId="0" borderId="0" xfId="9" applyFont="1" applyAlignment="1" applyProtection="1">
      <alignment horizontal="left"/>
    </xf>
    <xf numFmtId="37" fontId="6" fillId="0" borderId="0" xfId="8" applyFont="1" applyBorder="1" applyAlignment="1" applyProtection="1">
      <alignment horizontal="left"/>
    </xf>
    <xf numFmtId="37" fontId="6" fillId="0" borderId="0" xfId="8" applyFont="1" applyAlignment="1" applyProtection="1">
      <alignment horizontal="left"/>
    </xf>
    <xf numFmtId="164" fontId="4" fillId="0" borderId="0" xfId="7" quotePrefix="1" applyNumberFormat="1" applyFont="1" applyBorder="1" applyProtection="1"/>
    <xf numFmtId="165" fontId="4" fillId="0" borderId="0" xfId="7" applyNumberFormat="1" applyFont="1" applyBorder="1" applyProtection="1"/>
    <xf numFmtId="172" fontId="4" fillId="0" borderId="1" xfId="7" applyFont="1" applyBorder="1" applyAlignment="1" applyProtection="1">
      <alignment horizontal="centerContinuous"/>
    </xf>
    <xf numFmtId="172" fontId="4" fillId="0" borderId="1" xfId="7" applyFont="1" applyBorder="1" applyAlignment="1">
      <alignment horizontal="centerContinuous"/>
    </xf>
    <xf numFmtId="164" fontId="6" fillId="0" borderId="0" xfId="4" applyNumberFormat="1" applyFont="1" applyBorder="1" applyProtection="1"/>
    <xf numFmtId="172" fontId="5" fillId="0" borderId="0" xfId="3" applyNumberFormat="1" applyFont="1" applyAlignment="1" applyProtection="1">
      <alignment horizontal="centerContinuous"/>
    </xf>
    <xf numFmtId="172" fontId="6" fillId="0" borderId="0" xfId="3" applyFont="1" applyAlignment="1">
      <alignment horizontal="centerContinuous"/>
    </xf>
    <xf numFmtId="172" fontId="6" fillId="0" borderId="0" xfId="3" applyNumberFormat="1" applyFont="1" applyAlignment="1" applyProtection="1">
      <alignment horizontal="centerContinuous"/>
    </xf>
    <xf numFmtId="172" fontId="6" fillId="0" borderId="0" xfId="3" applyFont="1"/>
    <xf numFmtId="172" fontId="5" fillId="0" borderId="0" xfId="3" quotePrefix="1" applyNumberFormat="1" applyFont="1" applyAlignment="1" applyProtection="1">
      <alignment horizontal="centerContinuous"/>
    </xf>
    <xf numFmtId="172" fontId="5" fillId="0" borderId="0" xfId="6" applyFont="1" applyAlignment="1">
      <alignment horizontal="centerContinuous"/>
    </xf>
    <xf numFmtId="172" fontId="6" fillId="0" borderId="0" xfId="6" applyFont="1" applyAlignment="1">
      <alignment horizontal="centerContinuous"/>
    </xf>
    <xf numFmtId="172" fontId="6" fillId="0" borderId="0" xfId="6" applyFont="1"/>
    <xf numFmtId="172" fontId="5" fillId="0" borderId="0" xfId="6" applyFont="1" applyAlignment="1" applyProtection="1">
      <alignment horizontal="centerContinuous"/>
    </xf>
    <xf numFmtId="172" fontId="7" fillId="0" borderId="0" xfId="6" applyFont="1"/>
    <xf numFmtId="37" fontId="7" fillId="0" borderId="0" xfId="7" applyNumberFormat="1" applyFont="1" applyProtection="1"/>
    <xf numFmtId="172" fontId="7" fillId="0" borderId="0" xfId="7" applyFont="1"/>
    <xf numFmtId="172" fontId="5" fillId="0" borderId="0" xfId="7" applyFont="1" applyAlignment="1" applyProtection="1">
      <alignment horizontal="centerContinuous"/>
    </xf>
    <xf numFmtId="172" fontId="6" fillId="0" borderId="0" xfId="7" applyFont="1" applyAlignment="1">
      <alignment horizontal="centerContinuous"/>
    </xf>
    <xf numFmtId="172" fontId="6" fillId="0" borderId="0" xfId="7" applyFont="1"/>
    <xf numFmtId="37" fontId="7" fillId="0" borderId="0" xfId="4" applyFont="1" applyAlignment="1">
      <alignment horizontal="right"/>
    </xf>
    <xf numFmtId="37" fontId="7" fillId="0" borderId="0" xfId="5" applyFont="1" applyAlignment="1">
      <alignment horizontal="centerContinuous"/>
    </xf>
    <xf numFmtId="37" fontId="7" fillId="0" borderId="0" xfId="5" applyFont="1" applyAlignment="1" applyProtection="1">
      <alignment horizontal="centerContinuous"/>
    </xf>
    <xf numFmtId="37" fontId="7" fillId="0" borderId="0" xfId="5" applyFont="1"/>
    <xf numFmtId="164" fontId="4" fillId="2" borderId="2" xfId="6" applyNumberFormat="1" applyFont="1" applyFill="1" applyBorder="1" applyProtection="1"/>
    <xf numFmtId="172" fontId="4" fillId="0" borderId="0" xfId="6" quotePrefix="1" applyFont="1" applyAlignment="1" applyProtection="1">
      <alignment horizontal="left"/>
    </xf>
    <xf numFmtId="37" fontId="10" fillId="0" borderId="0" xfId="3" applyNumberFormat="1" applyFont="1" applyProtection="1"/>
    <xf numFmtId="164" fontId="11" fillId="0" borderId="0" xfId="9" applyNumberFormat="1" applyFont="1" applyProtection="1"/>
    <xf numFmtId="37" fontId="11" fillId="0" borderId="0" xfId="9" applyFont="1" applyProtection="1"/>
    <xf numFmtId="164" fontId="11" fillId="0" borderId="0" xfId="4" applyNumberFormat="1" applyFont="1" applyProtection="1"/>
    <xf numFmtId="164" fontId="11" fillId="0" borderId="0" xfId="5" applyNumberFormat="1" applyFont="1" applyProtection="1"/>
    <xf numFmtId="37" fontId="6" fillId="0" borderId="0" xfId="9" applyFont="1" applyAlignment="1">
      <alignment horizontal="right"/>
    </xf>
    <xf numFmtId="37" fontId="6" fillId="2" borderId="1" xfId="9" applyFont="1" applyFill="1" applyBorder="1" applyAlignment="1" applyProtection="1">
      <alignment horizontal="right"/>
    </xf>
    <xf numFmtId="37" fontId="12" fillId="0" borderId="0" xfId="4" applyFont="1" applyAlignment="1" applyProtection="1">
      <alignment horizontal="left"/>
    </xf>
    <xf numFmtId="37" fontId="11" fillId="0" borderId="0" xfId="4" applyFont="1"/>
    <xf numFmtId="37" fontId="11" fillId="2" borderId="0" xfId="4" applyFont="1" applyFill="1"/>
    <xf numFmtId="37" fontId="11" fillId="0" borderId="0" xfId="4" applyFont="1" applyAlignment="1" applyProtection="1">
      <alignment horizontal="left"/>
    </xf>
    <xf numFmtId="37" fontId="11" fillId="0" borderId="0" xfId="4" applyFont="1" applyBorder="1" applyAlignment="1" applyProtection="1">
      <alignment horizontal="left"/>
    </xf>
    <xf numFmtId="37" fontId="11" fillId="0" borderId="1" xfId="4" applyFont="1" applyBorder="1" applyProtection="1"/>
    <xf numFmtId="37" fontId="11" fillId="0" borderId="0" xfId="4" applyFont="1" applyBorder="1" applyProtection="1"/>
    <xf numFmtId="37" fontId="11" fillId="0" borderId="1" xfId="4" applyFont="1" applyBorder="1"/>
    <xf numFmtId="37" fontId="11" fillId="0" borderId="0" xfId="4" applyFont="1" applyBorder="1"/>
    <xf numFmtId="37" fontId="11" fillId="2" borderId="1" xfId="4" applyFont="1" applyFill="1" applyBorder="1" applyProtection="1"/>
    <xf numFmtId="37" fontId="4" fillId="0" borderId="3" xfId="6" applyNumberFormat="1" applyFont="1" applyBorder="1" applyProtection="1"/>
    <xf numFmtId="37" fontId="4" fillId="2" borderId="3" xfId="6" applyNumberFormat="1" applyFont="1" applyFill="1" applyBorder="1" applyProtection="1"/>
    <xf numFmtId="37" fontId="4" fillId="0" borderId="4" xfId="6" applyNumberFormat="1" applyFont="1" applyBorder="1" applyAlignment="1" applyProtection="1">
      <alignment horizontal="right"/>
    </xf>
    <xf numFmtId="172" fontId="7" fillId="0" borderId="0" xfId="3" applyFont="1" applyAlignment="1">
      <alignment horizontal="center"/>
    </xf>
    <xf numFmtId="164" fontId="4" fillId="3" borderId="0" xfId="6" applyNumberFormat="1" applyFont="1" applyFill="1" applyBorder="1" applyProtection="1"/>
    <xf numFmtId="37" fontId="6" fillId="3" borderId="1" xfId="9" applyFont="1" applyFill="1" applyBorder="1" applyAlignment="1" applyProtection="1">
      <alignment horizontal="right"/>
    </xf>
    <xf numFmtId="37" fontId="6" fillId="0" borderId="1" xfId="9" applyFont="1" applyBorder="1" applyAlignment="1"/>
    <xf numFmtId="37" fontId="4" fillId="0" borderId="4" xfId="7" applyNumberFormat="1" applyFont="1" applyBorder="1" applyProtection="1"/>
    <xf numFmtId="37" fontId="4" fillId="2" borderId="0" xfId="6" applyNumberFormat="1" applyFont="1" applyFill="1" applyBorder="1" applyAlignment="1" applyProtection="1">
      <alignment horizontal="right"/>
    </xf>
    <xf numFmtId="37" fontId="4" fillId="2" borderId="1" xfId="6" applyNumberFormat="1" applyFont="1" applyFill="1" applyBorder="1" applyAlignment="1" applyProtection="1">
      <alignment horizontal="right"/>
    </xf>
    <xf numFmtId="178" fontId="6" fillId="0" borderId="2" xfId="2" applyNumberFormat="1" applyFont="1" applyBorder="1" applyProtection="1"/>
    <xf numFmtId="178" fontId="6" fillId="0" borderId="0" xfId="2" applyNumberFormat="1" applyFont="1" applyBorder="1" applyProtection="1"/>
    <xf numFmtId="178" fontId="6" fillId="0" borderId="1" xfId="2" applyNumberFormat="1" applyFont="1" applyBorder="1" applyProtection="1"/>
    <xf numFmtId="171" fontId="4" fillId="0" borderId="0" xfId="1" applyFont="1"/>
    <xf numFmtId="171" fontId="6" fillId="0" borderId="0" xfId="1" applyFont="1"/>
    <xf numFmtId="37" fontId="6" fillId="2" borderId="1" xfId="9" applyFont="1" applyFill="1" applyBorder="1"/>
    <xf numFmtId="172" fontId="7" fillId="0" borderId="0" xfId="3" quotePrefix="1" applyFont="1" applyAlignment="1">
      <alignment horizontal="center"/>
    </xf>
    <xf numFmtId="172" fontId="7" fillId="0" borderId="0" xfId="3" applyNumberFormat="1" applyFont="1" applyAlignment="1" applyProtection="1">
      <alignment horizontal="center"/>
    </xf>
    <xf numFmtId="172" fontId="7" fillId="0" borderId="0" xfId="3" applyFont="1" applyAlignment="1">
      <alignment horizontal="center"/>
    </xf>
    <xf numFmtId="172" fontId="7" fillId="0" borderId="0" xfId="6" quotePrefix="1" applyFont="1" applyAlignment="1">
      <alignment horizontal="center"/>
    </xf>
    <xf numFmtId="172" fontId="7" fillId="0" borderId="0" xfId="6" applyFont="1" applyAlignment="1" applyProtection="1">
      <alignment horizontal="center"/>
    </xf>
    <xf numFmtId="172" fontId="7" fillId="0" borderId="0" xfId="7" quotePrefix="1" applyFont="1" applyAlignment="1">
      <alignment horizontal="center"/>
    </xf>
    <xf numFmtId="172" fontId="7" fillId="0" borderId="0" xfId="7" applyFont="1" applyAlignment="1" applyProtection="1">
      <alignment horizontal="center"/>
    </xf>
    <xf numFmtId="37" fontId="7" fillId="0" borderId="0" xfId="7" applyNumberFormat="1" applyFont="1" applyAlignment="1" applyProtection="1">
      <alignment horizontal="center"/>
    </xf>
    <xf numFmtId="37" fontId="7" fillId="0" borderId="0" xfId="9" quotePrefix="1" applyFont="1" applyAlignment="1" applyProtection="1">
      <alignment horizontal="center"/>
    </xf>
    <xf numFmtId="37" fontId="7" fillId="0" borderId="0" xfId="9" applyFont="1" applyAlignment="1">
      <alignment horizontal="center"/>
    </xf>
    <xf numFmtId="37" fontId="7" fillId="0" borderId="0" xfId="4" quotePrefix="1" applyFont="1" applyAlignment="1">
      <alignment horizontal="center"/>
    </xf>
    <xf numFmtId="37" fontId="7" fillId="0" borderId="0" xfId="4" applyFont="1" applyAlignment="1">
      <alignment horizontal="center"/>
    </xf>
    <xf numFmtId="37" fontId="7" fillId="0" borderId="0" xfId="5" quotePrefix="1" applyFont="1" applyAlignment="1">
      <alignment horizontal="center"/>
    </xf>
    <xf numFmtId="37" fontId="7" fillId="0" borderId="0" xfId="5" applyFont="1" applyAlignment="1">
      <alignment horizontal="center"/>
    </xf>
  </cellXfs>
  <cellStyles count="10">
    <cellStyle name="Comma" xfId="1" builtinId="3"/>
    <cellStyle name="Currency" xfId="2" builtinId="4"/>
    <cellStyle name="Normal" xfId="0" builtinId="0"/>
    <cellStyle name="Normal_CBS" xfId="3"/>
    <cellStyle name="Normal_CSCF1" xfId="4"/>
    <cellStyle name="Normal_CSCF2" xfId="5"/>
    <cellStyle name="Normal_CSRE" xfId="6"/>
    <cellStyle name="Normal_CSREB" xfId="7"/>
    <cellStyle name="Normal_ENTCSRE" xfId="8"/>
    <cellStyle name="Normal_PROPCSRE" xfId="9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AC74"/>
  <sheetViews>
    <sheetView showGridLines="0" defaultGridColor="0" colorId="8" zoomScale="125" zoomScaleNormal="125" workbookViewId="0">
      <selection activeCell="K73" sqref="K73:X73"/>
    </sheetView>
  </sheetViews>
  <sheetFormatPr defaultColWidth="12.453125" defaultRowHeight="10" customHeight="1" x14ac:dyDescent="0.25"/>
  <cols>
    <col min="1" max="1" width="38.54296875" style="2" customWidth="1"/>
    <col min="2" max="2" width="3.54296875" style="2" customWidth="1"/>
    <col min="3" max="3" width="9.81640625" style="2" customWidth="1"/>
    <col min="4" max="4" width="2.7265625" style="2" customWidth="1"/>
    <col min="5" max="5" width="9.81640625" style="2" customWidth="1"/>
    <col min="6" max="6" width="2.7265625" style="2" customWidth="1"/>
    <col min="7" max="7" width="9.81640625" style="2" customWidth="1"/>
    <col min="8" max="8" width="2.7265625" style="2" customWidth="1"/>
    <col min="9" max="9" width="9.81640625" style="2" customWidth="1"/>
    <col min="10" max="11" width="3.26953125" style="2" customWidth="1"/>
    <col min="12" max="12" width="9.81640625" style="2" customWidth="1"/>
    <col min="13" max="13" width="2.7265625" style="2" customWidth="1"/>
    <col min="14" max="14" width="9.81640625" style="2" customWidth="1"/>
    <col min="15" max="15" width="2.7265625" style="2" customWidth="1"/>
    <col min="16" max="16" width="9.81640625" style="2" customWidth="1"/>
    <col min="17" max="17" width="2.7265625" style="2" customWidth="1"/>
    <col min="18" max="18" width="9.81640625" style="2" customWidth="1"/>
    <col min="19" max="19" width="2.7265625" style="2" customWidth="1"/>
    <col min="20" max="20" width="9.81640625" style="2" customWidth="1"/>
    <col min="21" max="21" width="2.7265625" style="2" customWidth="1"/>
    <col min="22" max="22" width="11" style="2" customWidth="1"/>
    <col min="23" max="23" width="2.7265625" style="2" customWidth="1"/>
    <col min="24" max="24" width="11" style="2" customWidth="1"/>
    <col min="25" max="16384" width="12.453125" style="2"/>
  </cols>
  <sheetData>
    <row r="1" spans="1:24" s="208" customFormat="1" ht="10" customHeight="1" x14ac:dyDescent="0.25">
      <c r="A1" s="205" t="s">
        <v>0</v>
      </c>
      <c r="B1" s="206"/>
      <c r="C1" s="206"/>
      <c r="D1" s="207"/>
      <c r="E1" s="206"/>
      <c r="F1" s="206"/>
      <c r="G1" s="206"/>
      <c r="H1" s="206"/>
      <c r="I1" s="206"/>
    </row>
    <row r="2" spans="1:24" s="208" customFormat="1" ht="10" customHeight="1" x14ac:dyDescent="0.25">
      <c r="A2" s="205" t="s">
        <v>1</v>
      </c>
      <c r="B2" s="206"/>
      <c r="C2" s="206"/>
      <c r="D2" s="207"/>
      <c r="E2" s="206"/>
      <c r="F2" s="206"/>
      <c r="G2" s="206"/>
      <c r="H2" s="206"/>
      <c r="I2" s="206"/>
    </row>
    <row r="3" spans="1:24" s="208" customFormat="1" ht="10" customHeight="1" x14ac:dyDescent="0.25">
      <c r="A3" s="205" t="s">
        <v>2</v>
      </c>
      <c r="B3" s="206"/>
      <c r="C3" s="206"/>
      <c r="D3" s="207"/>
      <c r="E3" s="206"/>
      <c r="F3" s="206"/>
      <c r="G3" s="206"/>
      <c r="H3" s="206"/>
      <c r="I3" s="206"/>
    </row>
    <row r="4" spans="1:24" s="208" customFormat="1" ht="10" customHeight="1" x14ac:dyDescent="0.25">
      <c r="A4" s="209" t="s">
        <v>272</v>
      </c>
      <c r="B4" s="206"/>
      <c r="C4" s="206"/>
      <c r="D4" s="207"/>
      <c r="E4" s="206"/>
      <c r="F4" s="206"/>
      <c r="G4" s="206"/>
      <c r="H4" s="206"/>
      <c r="I4" s="206"/>
    </row>
    <row r="5" spans="1:24" ht="3" customHeight="1" x14ac:dyDescent="0.25">
      <c r="A5" s="191" t="s">
        <v>3</v>
      </c>
      <c r="B5" s="194"/>
      <c r="C5" s="194"/>
      <c r="D5" s="193"/>
      <c r="E5" s="192"/>
      <c r="F5" s="192"/>
      <c r="G5" s="192"/>
      <c r="H5" s="192"/>
      <c r="I5" s="192"/>
    </row>
    <row r="6" spans="1:24" ht="10" customHeight="1" x14ac:dyDescent="0.25">
      <c r="A6" s="1"/>
      <c r="B6" s="5"/>
      <c r="C6" s="5"/>
      <c r="D6" s="3"/>
    </row>
    <row r="7" spans="1:24" ht="10" customHeight="1" x14ac:dyDescent="0.25">
      <c r="P7" s="6" t="s">
        <v>4</v>
      </c>
      <c r="R7" s="7"/>
      <c r="S7" s="8" t="s">
        <v>5</v>
      </c>
      <c r="T7" s="4"/>
    </row>
    <row r="8" spans="1:24" ht="12" customHeight="1" x14ac:dyDescent="0.25">
      <c r="C8" s="4"/>
      <c r="D8" s="4"/>
      <c r="E8" s="9"/>
      <c r="F8" s="8" t="s">
        <v>6</v>
      </c>
      <c r="G8" s="4"/>
      <c r="H8" s="4"/>
      <c r="I8" s="4"/>
      <c r="J8" s="5"/>
      <c r="K8" s="5"/>
      <c r="L8" s="7"/>
      <c r="M8" s="8" t="s">
        <v>7</v>
      </c>
      <c r="N8" s="4"/>
      <c r="P8" s="8" t="s">
        <v>8</v>
      </c>
      <c r="R8" s="6" t="s">
        <v>9</v>
      </c>
      <c r="S8" s="6"/>
      <c r="T8" s="6" t="s">
        <v>9</v>
      </c>
      <c r="W8" s="10" t="s">
        <v>10</v>
      </c>
    </row>
    <row r="9" spans="1:24" ht="12" customHeight="1" x14ac:dyDescent="0.25">
      <c r="E9" s="6" t="s">
        <v>11</v>
      </c>
      <c r="F9" s="6"/>
      <c r="G9" s="6" t="s">
        <v>12</v>
      </c>
      <c r="H9" s="6"/>
      <c r="I9" s="6" t="s">
        <v>13</v>
      </c>
      <c r="J9" s="6"/>
      <c r="K9" s="6"/>
      <c r="N9" s="6" t="s">
        <v>14</v>
      </c>
      <c r="P9" s="6" t="s">
        <v>245</v>
      </c>
      <c r="R9" s="6" t="s">
        <v>15</v>
      </c>
      <c r="S9" s="6"/>
      <c r="T9" s="6" t="s">
        <v>16</v>
      </c>
      <c r="V9" s="7"/>
      <c r="W9" s="8" t="s">
        <v>17</v>
      </c>
      <c r="X9" s="4"/>
    </row>
    <row r="10" spans="1:24" ht="12" customHeight="1" x14ac:dyDescent="0.25">
      <c r="A10" s="1"/>
      <c r="B10" s="1"/>
      <c r="C10" s="8" t="s">
        <v>9</v>
      </c>
      <c r="D10" s="6"/>
      <c r="E10" s="8" t="s">
        <v>18</v>
      </c>
      <c r="F10" s="6"/>
      <c r="G10" s="8" t="s">
        <v>19</v>
      </c>
      <c r="H10" s="6"/>
      <c r="I10" s="8" t="s">
        <v>20</v>
      </c>
      <c r="J10" s="11"/>
      <c r="K10" s="11"/>
      <c r="L10" s="8" t="s">
        <v>21</v>
      </c>
      <c r="M10" s="11"/>
      <c r="N10" s="8" t="s">
        <v>19</v>
      </c>
      <c r="P10" s="8" t="s">
        <v>246</v>
      </c>
      <c r="R10" s="8" t="s">
        <v>22</v>
      </c>
      <c r="S10" s="11"/>
      <c r="T10" s="8" t="s">
        <v>12</v>
      </c>
      <c r="V10" s="8">
        <v>2002</v>
      </c>
      <c r="W10" s="11"/>
      <c r="X10" s="8">
        <v>2001</v>
      </c>
    </row>
    <row r="11" spans="1:24" ht="14.15" customHeight="1" x14ac:dyDescent="0.25">
      <c r="A11" s="1" t="s">
        <v>23</v>
      </c>
      <c r="B11" s="1"/>
      <c r="C11" s="11"/>
      <c r="D11" s="6"/>
      <c r="E11" s="11"/>
      <c r="F11" s="6"/>
      <c r="G11" s="11"/>
      <c r="H11" s="6"/>
      <c r="I11" s="11"/>
      <c r="J11" s="11"/>
      <c r="K11" s="11"/>
      <c r="L11" s="11"/>
      <c r="M11" s="11"/>
      <c r="N11" s="11"/>
      <c r="P11" s="11"/>
      <c r="R11" s="11"/>
      <c r="S11" s="11"/>
      <c r="T11" s="11"/>
      <c r="V11" s="11"/>
      <c r="W11" s="11"/>
      <c r="X11" s="11"/>
    </row>
    <row r="12" spans="1:24" ht="10" customHeight="1" x14ac:dyDescent="0.25">
      <c r="A12" s="3" t="s">
        <v>24</v>
      </c>
      <c r="B12" s="1"/>
      <c r="C12" s="11"/>
      <c r="D12" s="6"/>
      <c r="E12" s="11"/>
      <c r="F12" s="6"/>
      <c r="G12" s="11"/>
      <c r="H12" s="6"/>
      <c r="I12" s="11"/>
      <c r="J12" s="11"/>
      <c r="K12" s="11"/>
      <c r="L12" s="11"/>
      <c r="M12" s="11"/>
      <c r="N12" s="11"/>
      <c r="P12" s="11"/>
      <c r="R12" s="11"/>
      <c r="S12" s="11"/>
      <c r="T12" s="11"/>
      <c r="V12" s="11"/>
      <c r="W12" s="11"/>
      <c r="X12" s="11"/>
    </row>
    <row r="13" spans="1:24" ht="10" customHeight="1" x14ac:dyDescent="0.25">
      <c r="A13" s="3" t="s">
        <v>25</v>
      </c>
      <c r="B13" s="3"/>
      <c r="C13" s="12">
        <v>12207662</v>
      </c>
      <c r="D13" s="12"/>
      <c r="E13" s="12">
        <v>11168579</v>
      </c>
      <c r="F13" s="12"/>
      <c r="G13" s="12">
        <v>2308392</v>
      </c>
      <c r="H13" s="12"/>
      <c r="I13" s="12">
        <v>1928862</v>
      </c>
      <c r="J13" s="12"/>
      <c r="K13" s="12"/>
      <c r="L13" s="12">
        <v>23495570</v>
      </c>
      <c r="M13" s="12"/>
      <c r="N13" s="12">
        <v>4786048</v>
      </c>
      <c r="O13" s="12"/>
      <c r="P13" s="12">
        <v>460947</v>
      </c>
      <c r="Q13" s="12"/>
      <c r="R13" s="12"/>
      <c r="S13" s="12"/>
      <c r="T13" s="12"/>
      <c r="U13" s="12"/>
      <c r="V13" s="13">
        <v>56356060</v>
      </c>
      <c r="W13" s="14"/>
      <c r="X13" s="15">
        <v>63724649</v>
      </c>
    </row>
    <row r="14" spans="1:24" ht="10" customHeight="1" x14ac:dyDescent="0.25">
      <c r="A14" s="3" t="s">
        <v>26</v>
      </c>
      <c r="B14" s="3"/>
      <c r="C14" s="14">
        <v>596746</v>
      </c>
      <c r="D14" s="14"/>
      <c r="E14" s="14">
        <v>68459</v>
      </c>
      <c r="F14" s="14"/>
      <c r="G14" s="14">
        <v>55117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6">
        <v>720322</v>
      </c>
      <c r="W14" s="14"/>
      <c r="X14" s="17">
        <v>753440</v>
      </c>
    </row>
    <row r="15" spans="1:24" ht="10" customHeight="1" x14ac:dyDescent="0.25">
      <c r="A15" s="3" t="s">
        <v>27</v>
      </c>
      <c r="B15" s="3"/>
      <c r="C15" s="14"/>
      <c r="D15" s="14"/>
      <c r="E15" s="14"/>
      <c r="F15" s="14"/>
      <c r="G15" s="14">
        <v>204641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6">
        <v>204641</v>
      </c>
      <c r="W15" s="14"/>
      <c r="X15" s="17">
        <v>330734</v>
      </c>
    </row>
    <row r="16" spans="1:24" ht="10" customHeight="1" x14ac:dyDescent="0.25">
      <c r="A16" s="3" t="s">
        <v>28</v>
      </c>
      <c r="B16" s="3"/>
      <c r="C16" s="14">
        <v>555267</v>
      </c>
      <c r="D16" s="14"/>
      <c r="E16" s="14">
        <v>32616</v>
      </c>
      <c r="F16" s="14"/>
      <c r="G16" s="14"/>
      <c r="H16" s="14"/>
      <c r="I16" s="14">
        <v>10397</v>
      </c>
      <c r="J16" s="14"/>
      <c r="K16" s="14"/>
      <c r="L16" s="14">
        <v>2317918</v>
      </c>
      <c r="M16" s="226"/>
      <c r="N16" s="14">
        <v>42639</v>
      </c>
      <c r="O16" s="14"/>
      <c r="P16" s="14"/>
      <c r="Q16" s="14"/>
      <c r="R16" s="14"/>
      <c r="S16" s="14"/>
      <c r="T16" s="14"/>
      <c r="U16" s="14"/>
      <c r="V16" s="16">
        <v>2958837</v>
      </c>
      <c r="W16" s="14"/>
      <c r="X16" s="17">
        <v>2807766</v>
      </c>
    </row>
    <row r="17" spans="1:24" ht="10" customHeight="1" x14ac:dyDescent="0.25">
      <c r="A17" s="3" t="s">
        <v>29</v>
      </c>
      <c r="B17" s="3"/>
      <c r="C17" s="14"/>
      <c r="D17" s="14"/>
      <c r="E17" s="14"/>
      <c r="F17" s="14"/>
      <c r="G17" s="14">
        <v>49993</v>
      </c>
      <c r="H17" s="14"/>
      <c r="I17" s="14"/>
      <c r="J17" s="14"/>
      <c r="K17" s="14"/>
      <c r="L17" s="14">
        <v>75998</v>
      </c>
      <c r="M17" s="14"/>
      <c r="N17" s="14">
        <v>23328</v>
      </c>
      <c r="O17" s="14"/>
      <c r="P17" s="14"/>
      <c r="Q17" s="14"/>
      <c r="R17" s="14"/>
      <c r="S17" s="14"/>
      <c r="T17" s="14"/>
      <c r="U17" s="14"/>
      <c r="V17" s="16">
        <v>149319</v>
      </c>
      <c r="W17" s="14"/>
      <c r="X17" s="17">
        <v>401450</v>
      </c>
    </row>
    <row r="18" spans="1:24" ht="10" customHeight="1" x14ac:dyDescent="0.25">
      <c r="A18" s="3" t="s">
        <v>30</v>
      </c>
      <c r="B18" s="3"/>
      <c r="C18" s="14">
        <v>148903</v>
      </c>
      <c r="D18" s="14"/>
      <c r="E18" s="14">
        <v>45501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6">
        <v>194404</v>
      </c>
      <c r="W18" s="14"/>
      <c r="X18" s="17">
        <v>135972</v>
      </c>
    </row>
    <row r="19" spans="1:24" ht="10" customHeight="1" x14ac:dyDescent="0.25">
      <c r="A19" s="3" t="s">
        <v>266</v>
      </c>
      <c r="B19" s="3"/>
      <c r="C19" s="14">
        <v>99294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6">
        <v>99294</v>
      </c>
      <c r="W19" s="14"/>
      <c r="X19" s="17">
        <v>145918</v>
      </c>
    </row>
    <row r="20" spans="1:24" ht="10" customHeight="1" x14ac:dyDescent="0.25">
      <c r="A20" s="3" t="s">
        <v>31</v>
      </c>
      <c r="B20" s="3"/>
      <c r="C20" s="14">
        <v>179496</v>
      </c>
      <c r="D20" s="14"/>
      <c r="E20" s="14">
        <v>293078</v>
      </c>
      <c r="F20" s="14"/>
      <c r="G20" s="14"/>
      <c r="H20" s="14"/>
      <c r="I20" s="14">
        <v>595347</v>
      </c>
      <c r="J20" s="14"/>
      <c r="K20" s="14"/>
      <c r="L20" s="14">
        <v>204631</v>
      </c>
      <c r="M20" s="226"/>
      <c r="N20" s="14"/>
      <c r="O20" s="14"/>
      <c r="P20" s="14"/>
      <c r="Q20" s="14"/>
      <c r="R20" s="14"/>
      <c r="S20" s="14"/>
      <c r="T20" s="14"/>
      <c r="U20" s="14"/>
      <c r="V20" s="16">
        <v>1272552</v>
      </c>
      <c r="W20" s="14"/>
      <c r="X20" s="17">
        <v>563063</v>
      </c>
    </row>
    <row r="21" spans="1:24" ht="10" customHeight="1" x14ac:dyDescent="0.25">
      <c r="A21" s="3" t="s">
        <v>32</v>
      </c>
      <c r="B21" s="3"/>
      <c r="C21" s="14">
        <v>1229</v>
      </c>
      <c r="D21" s="14"/>
      <c r="E21" s="14">
        <v>347386</v>
      </c>
      <c r="F21" s="14"/>
      <c r="G21" s="14"/>
      <c r="H21" s="14"/>
      <c r="I21" s="14">
        <v>309149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6">
        <v>657764</v>
      </c>
      <c r="W21" s="14"/>
      <c r="X21" s="17">
        <v>432846</v>
      </c>
    </row>
    <row r="22" spans="1:24" ht="10" customHeight="1" x14ac:dyDescent="0.25">
      <c r="A22" s="3" t="s">
        <v>33</v>
      </c>
      <c r="B22" s="3"/>
      <c r="C22" s="14"/>
      <c r="D22" s="14"/>
      <c r="E22" s="14"/>
      <c r="F22" s="14"/>
      <c r="G22" s="14"/>
      <c r="H22" s="14"/>
      <c r="I22" s="14"/>
      <c r="J22" s="14"/>
      <c r="K22" s="14"/>
      <c r="L22" s="14">
        <v>65759</v>
      </c>
      <c r="M22" s="14"/>
      <c r="N22" s="14">
        <v>61847</v>
      </c>
      <c r="O22" s="14"/>
      <c r="P22" s="14"/>
      <c r="Q22" s="14"/>
      <c r="R22" s="14"/>
      <c r="S22" s="14"/>
      <c r="T22" s="14"/>
      <c r="U22" s="14"/>
      <c r="V22" s="16">
        <v>127606</v>
      </c>
      <c r="W22" s="14"/>
      <c r="X22" s="17">
        <v>128527</v>
      </c>
    </row>
    <row r="23" spans="1:24" ht="10" customHeight="1" x14ac:dyDescent="0.25">
      <c r="A23" s="3" t="s">
        <v>34</v>
      </c>
      <c r="B23" s="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>
        <v>52400</v>
      </c>
      <c r="O23" s="14"/>
      <c r="P23" s="14"/>
      <c r="Q23" s="14"/>
      <c r="R23" s="14"/>
      <c r="S23" s="14"/>
      <c r="T23" s="14"/>
      <c r="U23" s="14"/>
      <c r="V23" s="16">
        <v>52400</v>
      </c>
      <c r="W23" s="14"/>
      <c r="X23" s="17">
        <v>44900</v>
      </c>
    </row>
    <row r="24" spans="1:24" ht="10" customHeight="1" x14ac:dyDescent="0.25">
      <c r="A24" s="3" t="s">
        <v>35</v>
      </c>
      <c r="B24" s="3"/>
      <c r="C24" s="14"/>
      <c r="D24" s="14"/>
      <c r="E24" s="14"/>
      <c r="F24" s="14"/>
      <c r="G24" s="14"/>
      <c r="H24" s="14"/>
      <c r="I24" s="14"/>
      <c r="J24" s="14"/>
      <c r="K24" s="14"/>
      <c r="L24" s="14">
        <v>47973008</v>
      </c>
      <c r="M24" s="14"/>
      <c r="N24" s="14">
        <v>2331769</v>
      </c>
      <c r="O24" s="14"/>
      <c r="P24" s="14"/>
      <c r="Q24" s="14"/>
      <c r="R24" s="12">
        <v>41941220</v>
      </c>
      <c r="S24" s="12"/>
      <c r="T24" s="14"/>
      <c r="U24" s="14"/>
      <c r="V24" s="16">
        <v>92245997</v>
      </c>
      <c r="W24" s="14"/>
      <c r="X24" s="17">
        <v>85602832</v>
      </c>
    </row>
    <row r="25" spans="1:24" ht="10" customHeight="1" x14ac:dyDescent="0.25">
      <c r="A25" s="3" t="s">
        <v>36</v>
      </c>
      <c r="B25" s="3"/>
      <c r="C25" s="14"/>
      <c r="D25" s="14"/>
      <c r="E25" s="14"/>
      <c r="F25" s="14"/>
      <c r="G25" s="14"/>
      <c r="H25" s="14"/>
      <c r="I25" s="14"/>
      <c r="J25" s="14"/>
      <c r="K25" s="14"/>
      <c r="L25" s="14">
        <v>18273015</v>
      </c>
      <c r="M25" s="14"/>
      <c r="N25" s="14"/>
      <c r="O25" s="14"/>
      <c r="P25" s="14"/>
      <c r="Q25" s="14"/>
      <c r="R25" s="14"/>
      <c r="S25" s="14"/>
      <c r="T25" s="14"/>
      <c r="U25" s="14"/>
      <c r="V25" s="16">
        <v>18273015</v>
      </c>
      <c r="W25" s="14"/>
      <c r="X25" s="17">
        <v>18733470</v>
      </c>
    </row>
    <row r="26" spans="1:24" ht="10" customHeight="1" x14ac:dyDescent="0.25">
      <c r="A26" s="3" t="s">
        <v>37</v>
      </c>
      <c r="B26" s="3"/>
      <c r="C26" s="14"/>
      <c r="D26" s="14"/>
      <c r="E26" s="14"/>
      <c r="F26" s="14"/>
      <c r="G26" s="14"/>
      <c r="H26" s="14"/>
      <c r="I26" s="14"/>
      <c r="J26" s="14"/>
      <c r="K26" s="14"/>
      <c r="L26" s="14">
        <v>413171</v>
      </c>
      <c r="M26" s="14"/>
      <c r="N26" s="14"/>
      <c r="O26" s="14"/>
      <c r="P26" s="14"/>
      <c r="Q26" s="14"/>
      <c r="R26" s="14"/>
      <c r="S26" s="14"/>
      <c r="T26" s="14"/>
      <c r="U26" s="14"/>
      <c r="V26" s="16">
        <v>413171</v>
      </c>
      <c r="W26" s="14"/>
      <c r="X26" s="17">
        <v>434511</v>
      </c>
    </row>
    <row r="27" spans="1:24" ht="10" customHeight="1" x14ac:dyDescent="0.25">
      <c r="A27" s="3" t="s">
        <v>38</v>
      </c>
      <c r="B27" s="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6"/>
      <c r="W27" s="14"/>
      <c r="X27" s="17"/>
    </row>
    <row r="28" spans="1:24" ht="10" customHeight="1" x14ac:dyDescent="0.25">
      <c r="A28" s="3" t="s">
        <v>39</v>
      </c>
      <c r="B28" s="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2">
        <v>2164249</v>
      </c>
      <c r="U28" s="14"/>
      <c r="V28" s="16">
        <v>2164249</v>
      </c>
      <c r="W28" s="14"/>
      <c r="X28" s="17">
        <v>3726423</v>
      </c>
    </row>
    <row r="29" spans="1:24" ht="10" customHeight="1" x14ac:dyDescent="0.25">
      <c r="A29" s="3" t="s">
        <v>40</v>
      </c>
      <c r="B29" s="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>
        <v>20205751</v>
      </c>
      <c r="U29" s="14"/>
      <c r="V29" s="16">
        <v>20205751</v>
      </c>
      <c r="W29" s="14"/>
      <c r="X29" s="17">
        <v>19962331</v>
      </c>
    </row>
    <row r="30" spans="1:24" ht="10" customHeight="1" x14ac:dyDescent="0.25">
      <c r="A30" s="3" t="s">
        <v>41</v>
      </c>
      <c r="B30" s="3"/>
      <c r="C30" s="18"/>
      <c r="D30" s="14"/>
      <c r="E30" s="18"/>
      <c r="F30" s="14"/>
      <c r="G30" s="18"/>
      <c r="H30" s="14"/>
      <c r="I30" s="18"/>
      <c r="J30" s="19"/>
      <c r="K30" s="14"/>
      <c r="L30" s="18"/>
      <c r="M30" s="14"/>
      <c r="N30" s="18"/>
      <c r="O30" s="14"/>
      <c r="P30" s="18"/>
      <c r="Q30" s="14"/>
      <c r="R30" s="18"/>
      <c r="S30" s="14"/>
      <c r="T30" s="18"/>
      <c r="U30" s="14"/>
      <c r="V30" s="20"/>
      <c r="W30" s="14"/>
      <c r="X30" s="18">
        <v>51246</v>
      </c>
    </row>
    <row r="31" spans="1:24" ht="16" customHeight="1" thickBot="1" x14ac:dyDescent="0.3">
      <c r="A31" s="3" t="s">
        <v>42</v>
      </c>
      <c r="B31" s="3"/>
      <c r="C31" s="22">
        <v>13788597</v>
      </c>
      <c r="D31" s="12"/>
      <c r="E31" s="22">
        <v>11955619</v>
      </c>
      <c r="F31" s="12"/>
      <c r="G31" s="22">
        <v>2618143</v>
      </c>
      <c r="H31" s="12"/>
      <c r="I31" s="22">
        <v>2843755</v>
      </c>
      <c r="J31" s="23"/>
      <c r="K31" s="12"/>
      <c r="L31" s="22">
        <v>92819070</v>
      </c>
      <c r="M31" s="12"/>
      <c r="N31" s="22">
        <v>7298031</v>
      </c>
      <c r="O31" s="12"/>
      <c r="P31" s="22">
        <v>460947</v>
      </c>
      <c r="Q31" s="12"/>
      <c r="R31" s="22">
        <v>41941220</v>
      </c>
      <c r="S31" s="12"/>
      <c r="T31" s="22">
        <v>22370000</v>
      </c>
      <c r="U31" s="12"/>
      <c r="V31" s="24">
        <v>196095382</v>
      </c>
      <c r="W31" s="12"/>
      <c r="X31" s="22">
        <v>197980078</v>
      </c>
    </row>
    <row r="32" spans="1:24" ht="10" customHeight="1" thickTop="1" x14ac:dyDescent="0.25">
      <c r="A32" s="3"/>
      <c r="B32" s="3"/>
      <c r="C32" s="23"/>
      <c r="D32" s="12"/>
      <c r="E32" s="23"/>
      <c r="F32" s="12"/>
      <c r="G32" s="23"/>
      <c r="H32" s="12"/>
      <c r="I32" s="23"/>
      <c r="J32" s="23"/>
      <c r="K32" s="12"/>
      <c r="L32" s="23"/>
      <c r="M32" s="12"/>
      <c r="N32" s="23"/>
      <c r="O32" s="12"/>
      <c r="P32" s="23"/>
      <c r="Q32" s="12"/>
      <c r="R32" s="23"/>
      <c r="S32" s="12"/>
      <c r="T32" s="23"/>
      <c r="U32" s="12"/>
      <c r="V32" s="13"/>
      <c r="W32" s="12"/>
      <c r="X32" s="15"/>
    </row>
    <row r="33" spans="1:24" ht="10" customHeight="1" x14ac:dyDescent="0.25">
      <c r="A33" s="1" t="s">
        <v>43</v>
      </c>
      <c r="B33" s="1"/>
      <c r="V33" s="25"/>
      <c r="X33" s="26"/>
    </row>
    <row r="34" spans="1:24" ht="10" customHeight="1" x14ac:dyDescent="0.25">
      <c r="A34" s="3" t="s">
        <v>44</v>
      </c>
      <c r="B34" s="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3"/>
      <c r="W34" s="12"/>
      <c r="X34" s="15"/>
    </row>
    <row r="35" spans="1:24" ht="10" customHeight="1" x14ac:dyDescent="0.25">
      <c r="A35" s="3" t="s">
        <v>45</v>
      </c>
      <c r="B35" s="3"/>
      <c r="C35" s="12">
        <v>360590</v>
      </c>
      <c r="D35" s="12"/>
      <c r="E35" s="12">
        <v>365117</v>
      </c>
      <c r="F35" s="12"/>
      <c r="G35" s="12"/>
      <c r="H35" s="12"/>
      <c r="I35" s="27">
        <v>109466</v>
      </c>
      <c r="J35" s="14"/>
      <c r="K35" s="14"/>
      <c r="L35" s="12">
        <v>88532</v>
      </c>
      <c r="M35" s="12"/>
      <c r="N35" s="12">
        <v>314364</v>
      </c>
      <c r="O35" s="14"/>
      <c r="P35" s="12">
        <v>3498</v>
      </c>
      <c r="Q35" s="14"/>
      <c r="R35" s="12"/>
      <c r="S35" s="14"/>
      <c r="T35" s="12"/>
      <c r="U35" s="14"/>
      <c r="V35" s="13">
        <v>1241567</v>
      </c>
      <c r="W35" s="12"/>
      <c r="X35" s="15">
        <v>1200666</v>
      </c>
    </row>
    <row r="36" spans="1:24" ht="10" customHeight="1" x14ac:dyDescent="0.25">
      <c r="A36" s="3" t="s">
        <v>46</v>
      </c>
      <c r="B36" s="3"/>
      <c r="C36" s="14">
        <v>2192911</v>
      </c>
      <c r="D36" s="14"/>
      <c r="E36" s="14">
        <v>356313</v>
      </c>
      <c r="F36" s="14"/>
      <c r="G36" s="14"/>
      <c r="H36" s="14"/>
      <c r="I36" s="14"/>
      <c r="J36" s="14"/>
      <c r="K36" s="14"/>
      <c r="L36" s="14">
        <v>154351</v>
      </c>
      <c r="M36" s="14"/>
      <c r="N36" s="14">
        <v>99585</v>
      </c>
      <c r="O36" s="14"/>
      <c r="P36" s="14"/>
      <c r="Q36" s="14"/>
      <c r="R36" s="14"/>
      <c r="S36" s="14"/>
      <c r="T36" s="14"/>
      <c r="U36" s="14"/>
      <c r="V36" s="16">
        <v>2803160</v>
      </c>
      <c r="W36" s="14"/>
      <c r="X36" s="17">
        <v>2579425</v>
      </c>
    </row>
    <row r="37" spans="1:24" ht="10" customHeight="1" x14ac:dyDescent="0.25">
      <c r="A37" s="3" t="s">
        <v>47</v>
      </c>
      <c r="B37" s="3"/>
      <c r="C37" s="14"/>
      <c r="D37" s="14"/>
      <c r="E37" s="14"/>
      <c r="F37" s="14"/>
      <c r="G37" s="27">
        <v>11250</v>
      </c>
      <c r="H37" s="14"/>
      <c r="I37" s="14"/>
      <c r="J37" s="14"/>
      <c r="K37" s="14"/>
      <c r="L37" s="14">
        <v>162333</v>
      </c>
      <c r="M37" s="14"/>
      <c r="N37" s="14"/>
      <c r="O37" s="14"/>
      <c r="P37" s="14"/>
      <c r="Q37" s="14"/>
      <c r="R37" s="14"/>
      <c r="S37" s="14"/>
      <c r="T37" s="14"/>
      <c r="U37" s="14"/>
      <c r="V37" s="16">
        <v>173583</v>
      </c>
      <c r="W37" s="14"/>
      <c r="X37" s="17">
        <v>281382</v>
      </c>
    </row>
    <row r="38" spans="1:24" ht="10" customHeight="1" x14ac:dyDescent="0.25">
      <c r="A38" s="3" t="s">
        <v>48</v>
      </c>
      <c r="B38" s="3"/>
      <c r="C38" s="14">
        <v>110349</v>
      </c>
      <c r="D38" s="14"/>
      <c r="E38" s="14">
        <v>13562</v>
      </c>
      <c r="F38" s="14"/>
      <c r="G38" s="14"/>
      <c r="H38" s="14"/>
      <c r="I38" s="14"/>
      <c r="J38" s="14"/>
      <c r="K38" s="14"/>
      <c r="L38" s="14">
        <v>13664</v>
      </c>
      <c r="M38" s="14"/>
      <c r="N38" s="14">
        <v>506281</v>
      </c>
      <c r="O38" s="14"/>
      <c r="P38" s="14"/>
      <c r="Q38" s="14"/>
      <c r="R38" s="14"/>
      <c r="S38" s="14"/>
      <c r="T38" s="14"/>
      <c r="U38" s="14"/>
      <c r="V38" s="16">
        <v>643856</v>
      </c>
      <c r="W38" s="14"/>
      <c r="X38" s="17">
        <v>681607</v>
      </c>
    </row>
    <row r="39" spans="1:24" ht="10" customHeight="1" x14ac:dyDescent="0.25">
      <c r="A39" s="3" t="s">
        <v>49</v>
      </c>
      <c r="B39" s="3"/>
      <c r="C39" s="14"/>
      <c r="D39" s="14"/>
      <c r="E39" s="14">
        <v>45501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148903</v>
      </c>
      <c r="Q39" s="14"/>
      <c r="R39" s="14"/>
      <c r="S39" s="14"/>
      <c r="T39" s="14"/>
      <c r="U39" s="14"/>
      <c r="V39" s="16">
        <v>194404</v>
      </c>
      <c r="W39" s="14"/>
      <c r="X39" s="17">
        <v>135972</v>
      </c>
    </row>
    <row r="40" spans="1:24" ht="10" customHeight="1" x14ac:dyDescent="0.25">
      <c r="A40" s="3" t="s">
        <v>268</v>
      </c>
      <c r="B40" s="3"/>
      <c r="C40" s="14"/>
      <c r="D40" s="14"/>
      <c r="E40" s="14"/>
      <c r="F40" s="14"/>
      <c r="G40" s="14">
        <v>99294</v>
      </c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6">
        <v>99294</v>
      </c>
      <c r="W40" s="14"/>
      <c r="X40" s="17">
        <v>145918</v>
      </c>
    </row>
    <row r="41" spans="1:24" ht="10" customHeight="1" x14ac:dyDescent="0.25">
      <c r="A41" s="3" t="s">
        <v>50</v>
      </c>
      <c r="B41" s="3"/>
      <c r="C41" s="14"/>
      <c r="D41" s="14"/>
      <c r="E41" s="14"/>
      <c r="F41" s="14"/>
      <c r="G41" s="14"/>
      <c r="H41" s="14"/>
      <c r="I41" s="14">
        <v>402746</v>
      </c>
      <c r="J41" s="14"/>
      <c r="K41" s="14"/>
      <c r="L41" s="14">
        <v>2205670</v>
      </c>
      <c r="M41" s="226"/>
      <c r="N41" s="14"/>
      <c r="O41" s="14"/>
      <c r="P41" s="14">
        <v>57237</v>
      </c>
      <c r="Q41" s="14"/>
      <c r="R41" s="14"/>
      <c r="S41" s="14"/>
      <c r="T41" s="14"/>
      <c r="U41" s="14"/>
      <c r="V41" s="16">
        <v>2665653</v>
      </c>
      <c r="W41" s="14"/>
      <c r="X41" s="17">
        <v>2244678</v>
      </c>
    </row>
    <row r="42" spans="1:24" ht="10" customHeight="1" x14ac:dyDescent="0.25">
      <c r="A42" s="3" t="s">
        <v>51</v>
      </c>
      <c r="B42" s="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6"/>
      <c r="W42" s="14"/>
      <c r="X42" s="17"/>
    </row>
    <row r="43" spans="1:24" ht="10" customHeight="1" x14ac:dyDescent="0.25">
      <c r="A43" s="3" t="s">
        <v>52</v>
      </c>
      <c r="B43" s="3"/>
      <c r="C43" s="14">
        <v>491223</v>
      </c>
      <c r="D43" s="14"/>
      <c r="E43" s="14">
        <v>56297</v>
      </c>
      <c r="F43" s="14"/>
      <c r="G43" s="14">
        <v>46972</v>
      </c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6">
        <v>594492</v>
      </c>
      <c r="W43" s="14"/>
      <c r="X43" s="17">
        <v>649816</v>
      </c>
    </row>
    <row r="44" spans="1:24" ht="10" customHeight="1" x14ac:dyDescent="0.25">
      <c r="A44" s="3" t="s">
        <v>53</v>
      </c>
      <c r="B44" s="3"/>
      <c r="C44" s="14"/>
      <c r="D44" s="14"/>
      <c r="E44" s="14">
        <v>14792</v>
      </c>
      <c r="F44" s="14"/>
      <c r="G44" s="14">
        <v>238765</v>
      </c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6">
        <v>253557</v>
      </c>
      <c r="W44" s="14"/>
      <c r="X44" s="17">
        <v>365462</v>
      </c>
    </row>
    <row r="45" spans="1:24" ht="10" customHeight="1" x14ac:dyDescent="0.25">
      <c r="A45" s="3" t="s">
        <v>54</v>
      </c>
      <c r="B45" s="3"/>
      <c r="C45" s="14">
        <v>5828</v>
      </c>
      <c r="D45" s="14"/>
      <c r="E45" s="14">
        <v>238249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6">
        <v>244077</v>
      </c>
      <c r="W45" s="14"/>
      <c r="X45" s="17">
        <v>377413</v>
      </c>
    </row>
    <row r="46" spans="1:24" ht="10" customHeight="1" x14ac:dyDescent="0.25">
      <c r="A46" s="3" t="s">
        <v>55</v>
      </c>
      <c r="B46" s="3"/>
      <c r="C46" s="14"/>
      <c r="D46" s="14"/>
      <c r="E46" s="14">
        <v>268191</v>
      </c>
      <c r="F46" s="14"/>
      <c r="G46" s="14"/>
      <c r="H46" s="14"/>
      <c r="I46" s="14">
        <v>141332</v>
      </c>
      <c r="J46" s="14"/>
      <c r="K46" s="14"/>
      <c r="L46" s="14">
        <v>875739</v>
      </c>
      <c r="M46" s="14"/>
      <c r="N46" s="14"/>
      <c r="O46" s="14"/>
      <c r="P46" s="14">
        <v>64681</v>
      </c>
      <c r="Q46" s="14"/>
      <c r="R46" s="14"/>
      <c r="S46" s="14"/>
      <c r="T46" s="14"/>
      <c r="U46" s="14"/>
      <c r="V46" s="16">
        <v>1349943</v>
      </c>
      <c r="W46" s="14"/>
      <c r="X46" s="17">
        <v>1390337</v>
      </c>
    </row>
    <row r="47" spans="1:24" ht="10" customHeight="1" x14ac:dyDescent="0.25">
      <c r="A47" s="3" t="s">
        <v>284</v>
      </c>
      <c r="B47" s="3"/>
      <c r="C47" s="14"/>
      <c r="D47" s="14"/>
      <c r="E47" s="14"/>
      <c r="F47" s="14"/>
      <c r="G47" s="14"/>
      <c r="H47" s="14"/>
      <c r="I47" s="14"/>
      <c r="J47" s="14"/>
      <c r="K47" s="14"/>
      <c r="L47" s="14">
        <v>763520</v>
      </c>
      <c r="M47" s="14"/>
      <c r="N47" s="14"/>
      <c r="O47" s="14"/>
      <c r="P47" s="14"/>
      <c r="Q47" s="14"/>
      <c r="R47" s="14"/>
      <c r="S47" s="14"/>
      <c r="T47" s="12"/>
      <c r="U47" s="14"/>
      <c r="V47" s="16">
        <v>763520</v>
      </c>
      <c r="W47" s="14"/>
      <c r="X47" s="17">
        <v>774652</v>
      </c>
    </row>
    <row r="48" spans="1:24" ht="10" customHeight="1" x14ac:dyDescent="0.25">
      <c r="A48" s="3" t="s">
        <v>56</v>
      </c>
      <c r="B48" s="3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23">
        <v>900000</v>
      </c>
      <c r="U48" s="14"/>
      <c r="V48" s="16">
        <v>900000</v>
      </c>
      <c r="W48" s="14"/>
      <c r="X48" s="17">
        <v>970000</v>
      </c>
    </row>
    <row r="49" spans="1:24" ht="10" customHeight="1" x14ac:dyDescent="0.25">
      <c r="A49" s="3" t="s">
        <v>57</v>
      </c>
      <c r="B49" s="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6"/>
      <c r="W49" s="14"/>
      <c r="X49" s="17"/>
    </row>
    <row r="50" spans="1:24" ht="10" customHeight="1" x14ac:dyDescent="0.25">
      <c r="A50" s="3" t="s">
        <v>283</v>
      </c>
      <c r="B50" s="3"/>
      <c r="C50" s="18"/>
      <c r="D50" s="14"/>
      <c r="E50" s="18"/>
      <c r="F50" s="14"/>
      <c r="G50" s="18"/>
      <c r="H50" s="14"/>
      <c r="I50" s="18"/>
      <c r="J50" s="19"/>
      <c r="K50" s="14"/>
      <c r="L50" s="18">
        <v>20908033</v>
      </c>
      <c r="M50" s="14"/>
      <c r="N50" s="18"/>
      <c r="O50" s="14"/>
      <c r="P50" s="18"/>
      <c r="Q50" s="14"/>
      <c r="R50" s="18"/>
      <c r="S50" s="14"/>
      <c r="T50" s="18">
        <v>21470000</v>
      </c>
      <c r="U50" s="14"/>
      <c r="V50" s="20">
        <v>42378033</v>
      </c>
      <c r="W50" s="14"/>
      <c r="X50" s="18">
        <v>45018775</v>
      </c>
    </row>
    <row r="51" spans="1:24" ht="13" customHeight="1" x14ac:dyDescent="0.25">
      <c r="A51" s="3" t="s">
        <v>58</v>
      </c>
      <c r="B51" s="3"/>
      <c r="C51" s="18">
        <v>3160901</v>
      </c>
      <c r="D51" s="14"/>
      <c r="E51" s="18">
        <v>1358022</v>
      </c>
      <c r="F51" s="14"/>
      <c r="G51" s="18">
        <v>396281</v>
      </c>
      <c r="H51" s="14"/>
      <c r="I51" s="18">
        <v>653544</v>
      </c>
      <c r="J51" s="19"/>
      <c r="K51" s="14"/>
      <c r="L51" s="18">
        <v>25171842</v>
      </c>
      <c r="M51" s="14"/>
      <c r="N51" s="18">
        <v>920230</v>
      </c>
      <c r="O51" s="14"/>
      <c r="P51" s="18">
        <v>274319</v>
      </c>
      <c r="Q51" s="14"/>
      <c r="R51" s="18"/>
      <c r="S51" s="14"/>
      <c r="T51" s="18">
        <v>22370000</v>
      </c>
      <c r="U51" s="14"/>
      <c r="V51" s="20">
        <v>54305139</v>
      </c>
      <c r="W51" s="14"/>
      <c r="X51" s="18">
        <v>56816103</v>
      </c>
    </row>
    <row r="52" spans="1:24" ht="13" customHeight="1" x14ac:dyDescent="0.25">
      <c r="A52" s="3" t="s">
        <v>59</v>
      </c>
      <c r="B52" s="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6"/>
      <c r="W52" s="14"/>
      <c r="X52" s="17"/>
    </row>
    <row r="53" spans="1:24" ht="10" customHeight="1" x14ac:dyDescent="0.25">
      <c r="A53" s="3" t="s">
        <v>60</v>
      </c>
      <c r="B53" s="3"/>
      <c r="C53" s="14"/>
      <c r="D53" s="14"/>
      <c r="E53" s="28"/>
      <c r="F53" s="14"/>
      <c r="G53" s="14"/>
      <c r="H53" s="14"/>
      <c r="I53" s="14"/>
      <c r="J53" s="14"/>
      <c r="K53" s="14"/>
      <c r="L53" s="14">
        <v>31968806</v>
      </c>
      <c r="M53" s="14"/>
      <c r="N53" s="14">
        <v>3596388</v>
      </c>
      <c r="O53" s="14"/>
      <c r="P53" s="14"/>
      <c r="Q53" s="14"/>
      <c r="R53" s="14"/>
      <c r="S53" s="14"/>
      <c r="T53" s="14"/>
      <c r="U53" s="14"/>
      <c r="V53" s="16">
        <v>35565194</v>
      </c>
      <c r="W53" s="14"/>
      <c r="X53" s="17">
        <v>35706420</v>
      </c>
    </row>
    <row r="54" spans="1:24" ht="10" customHeight="1" x14ac:dyDescent="0.25">
      <c r="A54" s="3" t="s">
        <v>61</v>
      </c>
      <c r="B54" s="3"/>
      <c r="C54" s="14"/>
      <c r="D54" s="14"/>
      <c r="E54" s="28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2">
        <v>41941220</v>
      </c>
      <c r="S54" s="12"/>
      <c r="T54" s="14"/>
      <c r="U54" s="14"/>
      <c r="V54" s="16">
        <v>41941220</v>
      </c>
      <c r="W54" s="14"/>
      <c r="X54" s="17">
        <v>42617624</v>
      </c>
    </row>
    <row r="55" spans="1:24" ht="10" customHeight="1" x14ac:dyDescent="0.25">
      <c r="A55" s="3" t="s">
        <v>62</v>
      </c>
      <c r="B55" s="3"/>
      <c r="C55" s="14"/>
      <c r="D55" s="14"/>
      <c r="E55" s="28"/>
      <c r="F55" s="14"/>
      <c r="G55" s="14"/>
      <c r="H55" s="14"/>
      <c r="I55" s="14"/>
      <c r="J55" s="14"/>
      <c r="K55" s="14"/>
      <c r="L55" s="14"/>
      <c r="M55" s="14"/>
      <c r="O55" s="14"/>
      <c r="P55" s="14"/>
      <c r="Q55" s="14"/>
      <c r="R55" s="14"/>
      <c r="S55" s="14"/>
      <c r="T55" s="14"/>
      <c r="U55" s="14"/>
      <c r="V55" s="16"/>
      <c r="W55" s="14"/>
      <c r="X55" s="17"/>
    </row>
    <row r="56" spans="1:24" ht="10" customHeight="1" x14ac:dyDescent="0.25">
      <c r="A56" s="3" t="s">
        <v>63</v>
      </c>
      <c r="B56" s="3"/>
      <c r="E56" s="29"/>
      <c r="L56" s="14">
        <v>131757</v>
      </c>
      <c r="M56" s="14"/>
      <c r="V56" s="16">
        <v>131757</v>
      </c>
      <c r="W56" s="14"/>
      <c r="X56" s="17">
        <v>194260</v>
      </c>
    </row>
    <row r="57" spans="1:24" ht="10" customHeight="1" x14ac:dyDescent="0.25">
      <c r="A57" s="3" t="s">
        <v>64</v>
      </c>
      <c r="B57" s="3"/>
      <c r="E57" s="29"/>
      <c r="L57" s="14">
        <v>4768436</v>
      </c>
      <c r="M57" s="14"/>
      <c r="V57" s="16">
        <v>4768436</v>
      </c>
      <c r="W57" s="14"/>
      <c r="X57" s="17">
        <v>6638747</v>
      </c>
    </row>
    <row r="58" spans="1:24" ht="10" customHeight="1" x14ac:dyDescent="0.25">
      <c r="A58" s="3" t="s">
        <v>65</v>
      </c>
      <c r="B58" s="3"/>
      <c r="E58" s="29"/>
      <c r="L58" s="14">
        <v>30778229</v>
      </c>
      <c r="M58" s="226"/>
      <c r="N58" s="14">
        <v>2781413</v>
      </c>
      <c r="V58" s="16">
        <v>33559642</v>
      </c>
      <c r="W58" s="14"/>
      <c r="X58" s="17">
        <v>27622981</v>
      </c>
    </row>
    <row r="59" spans="1:24" ht="10" customHeight="1" x14ac:dyDescent="0.25">
      <c r="A59" s="3" t="s">
        <v>66</v>
      </c>
      <c r="B59" s="3"/>
      <c r="C59" s="14"/>
      <c r="D59" s="14"/>
      <c r="E59" s="28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6"/>
      <c r="W59" s="14"/>
      <c r="X59" s="17"/>
    </row>
    <row r="60" spans="1:24" ht="10" customHeight="1" x14ac:dyDescent="0.25">
      <c r="A60" s="3" t="s">
        <v>67</v>
      </c>
      <c r="B60" s="3"/>
      <c r="C60" s="14"/>
      <c r="D60" s="14"/>
      <c r="E60" s="28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6"/>
      <c r="W60" s="14"/>
      <c r="X60" s="17"/>
    </row>
    <row r="61" spans="1:24" ht="10" customHeight="1" x14ac:dyDescent="0.25">
      <c r="A61" s="3" t="s">
        <v>68</v>
      </c>
      <c r="B61" s="3"/>
      <c r="C61" s="14">
        <v>419013</v>
      </c>
      <c r="D61" s="14"/>
      <c r="E61" s="14">
        <v>1005868</v>
      </c>
      <c r="F61" s="14"/>
      <c r="G61" s="14"/>
      <c r="H61" s="14"/>
      <c r="I61" s="14">
        <v>264088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6">
        <v>1688969</v>
      </c>
      <c r="W61" s="14"/>
      <c r="X61" s="17">
        <v>1807676</v>
      </c>
    </row>
    <row r="62" spans="1:24" ht="10" customHeight="1" x14ac:dyDescent="0.25">
      <c r="A62" s="3" t="s">
        <v>69</v>
      </c>
      <c r="B62" s="3"/>
      <c r="C62" s="14"/>
      <c r="D62" s="14"/>
      <c r="E62" s="14"/>
      <c r="F62" s="14"/>
      <c r="G62" s="14"/>
      <c r="H62" s="14"/>
      <c r="I62" s="14">
        <v>1926123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6">
        <v>1926123</v>
      </c>
      <c r="W62" s="14"/>
      <c r="X62" s="17">
        <v>729556</v>
      </c>
    </row>
    <row r="63" spans="1:24" ht="10" customHeight="1" x14ac:dyDescent="0.25">
      <c r="A63" s="3" t="s">
        <v>70</v>
      </c>
      <c r="B63" s="3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6"/>
      <c r="W63" s="14"/>
      <c r="X63" s="17"/>
    </row>
    <row r="64" spans="1:24" ht="10" customHeight="1" x14ac:dyDescent="0.25">
      <c r="A64" s="3" t="s">
        <v>71</v>
      </c>
      <c r="B64" s="3"/>
      <c r="C64" s="14"/>
      <c r="D64" s="14"/>
      <c r="E64" s="14"/>
      <c r="F64" s="14"/>
      <c r="G64" s="14">
        <v>2164249</v>
      </c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6">
        <v>2164249</v>
      </c>
      <c r="W64" s="14"/>
      <c r="X64" s="17">
        <v>3726423</v>
      </c>
    </row>
    <row r="65" spans="1:29" ht="10" customHeight="1" x14ac:dyDescent="0.25">
      <c r="A65" s="3" t="s">
        <v>72</v>
      </c>
      <c r="B65" s="3"/>
      <c r="C65" s="18">
        <v>10208683</v>
      </c>
      <c r="D65" s="14"/>
      <c r="E65" s="18">
        <v>9591729</v>
      </c>
      <c r="F65" s="14"/>
      <c r="G65" s="18">
        <v>57613</v>
      </c>
      <c r="H65" s="14"/>
      <c r="I65" s="18"/>
      <c r="J65" s="19"/>
      <c r="K65" s="14"/>
      <c r="L65" s="18"/>
      <c r="M65" s="14"/>
      <c r="N65" s="18"/>
      <c r="O65" s="14"/>
      <c r="P65" s="18">
        <v>186628</v>
      </c>
      <c r="Q65" s="14"/>
      <c r="R65" s="18"/>
      <c r="S65" s="14"/>
      <c r="T65" s="18"/>
      <c r="U65" s="14"/>
      <c r="V65" s="20">
        <v>20044653</v>
      </c>
      <c r="W65" s="14"/>
      <c r="X65" s="21">
        <v>22120288</v>
      </c>
    </row>
    <row r="66" spans="1:29" ht="13" customHeight="1" x14ac:dyDescent="0.25">
      <c r="A66" s="3" t="s">
        <v>73</v>
      </c>
      <c r="B66" s="3"/>
      <c r="C66" s="18">
        <v>10627696</v>
      </c>
      <c r="D66" s="14"/>
      <c r="E66" s="18">
        <v>10597597</v>
      </c>
      <c r="F66" s="14"/>
      <c r="G66" s="18">
        <v>2221862</v>
      </c>
      <c r="H66" s="14"/>
      <c r="I66" s="18">
        <v>2190211</v>
      </c>
      <c r="J66" s="19"/>
      <c r="K66" s="14"/>
      <c r="L66" s="18">
        <v>67647228</v>
      </c>
      <c r="M66" s="14"/>
      <c r="N66" s="18">
        <v>6377801</v>
      </c>
      <c r="O66" s="14"/>
      <c r="P66" s="18">
        <v>186628</v>
      </c>
      <c r="Q66" s="14"/>
      <c r="R66" s="18">
        <v>41941220</v>
      </c>
      <c r="S66" s="19"/>
      <c r="T66" s="18"/>
      <c r="U66" s="14"/>
      <c r="V66" s="20">
        <v>141790243</v>
      </c>
      <c r="W66" s="14"/>
      <c r="X66" s="21">
        <v>141163975</v>
      </c>
    </row>
    <row r="67" spans="1:29" ht="16" customHeight="1" thickBot="1" x14ac:dyDescent="0.3">
      <c r="A67" s="3" t="s">
        <v>74</v>
      </c>
      <c r="B67" s="3"/>
      <c r="C67" s="22">
        <v>13788597</v>
      </c>
      <c r="D67" s="12"/>
      <c r="E67" s="22">
        <v>11955619</v>
      </c>
      <c r="F67" s="12"/>
      <c r="G67" s="22">
        <v>2618143</v>
      </c>
      <c r="H67" s="12"/>
      <c r="I67" s="22">
        <v>2843755</v>
      </c>
      <c r="J67" s="23"/>
      <c r="K67" s="12"/>
      <c r="L67" s="22">
        <v>92819070</v>
      </c>
      <c r="M67" s="12"/>
      <c r="N67" s="22">
        <v>7298031</v>
      </c>
      <c r="P67" s="22">
        <v>460947</v>
      </c>
      <c r="R67" s="22">
        <v>41941220</v>
      </c>
      <c r="S67" s="12"/>
      <c r="T67" s="22">
        <v>22370000</v>
      </c>
      <c r="V67" s="24">
        <v>196095382</v>
      </c>
      <c r="W67" s="12"/>
      <c r="X67" s="22">
        <v>197980078</v>
      </c>
      <c r="Y67" s="256"/>
    </row>
    <row r="68" spans="1:29" ht="10" customHeight="1" thickTop="1" x14ac:dyDescent="0.25">
      <c r="X68" s="14"/>
    </row>
    <row r="69" spans="1:29" ht="10" customHeight="1" x14ac:dyDescent="0.25">
      <c r="X69" s="14"/>
    </row>
    <row r="70" spans="1:29" ht="10" customHeight="1" x14ac:dyDescent="0.25">
      <c r="X70" s="14" t="s">
        <v>214</v>
      </c>
    </row>
    <row r="71" spans="1:29" ht="12" customHeight="1" x14ac:dyDescent="0.3">
      <c r="A71" s="260" t="s">
        <v>75</v>
      </c>
      <c r="B71" s="260"/>
      <c r="C71" s="260"/>
      <c r="D71" s="260"/>
      <c r="E71" s="260"/>
      <c r="F71" s="260"/>
      <c r="G71" s="260"/>
      <c r="H71" s="260"/>
      <c r="I71" s="260"/>
      <c r="J71" s="260"/>
      <c r="X71" s="14"/>
    </row>
    <row r="72" spans="1:29" ht="7.5" customHeight="1" x14ac:dyDescent="0.25"/>
    <row r="73" spans="1:29" ht="12" customHeight="1" x14ac:dyDescent="0.3">
      <c r="A73" s="259" t="s">
        <v>76</v>
      </c>
      <c r="B73" s="259"/>
      <c r="C73" s="259"/>
      <c r="D73" s="259"/>
      <c r="E73" s="259"/>
      <c r="F73" s="259"/>
      <c r="G73" s="259"/>
      <c r="H73" s="259"/>
      <c r="I73" s="259"/>
      <c r="J73" s="259"/>
      <c r="K73" s="261" t="s">
        <v>77</v>
      </c>
      <c r="L73" s="261"/>
      <c r="M73" s="261"/>
      <c r="N73" s="261"/>
      <c r="O73" s="261"/>
      <c r="P73" s="261"/>
      <c r="Q73" s="261"/>
      <c r="R73" s="261"/>
      <c r="S73" s="261"/>
      <c r="T73" s="261"/>
      <c r="U73" s="261"/>
      <c r="V73" s="261"/>
      <c r="W73" s="261"/>
      <c r="X73" s="261"/>
      <c r="Y73" s="246"/>
      <c r="Z73" s="246"/>
      <c r="AA73" s="246"/>
      <c r="AB73" s="246"/>
      <c r="AC73" s="246"/>
    </row>
    <row r="74" spans="1:29" ht="12" customHeight="1" x14ac:dyDescent="0.25"/>
  </sheetData>
  <mergeCells count="3">
    <mergeCell ref="A73:J73"/>
    <mergeCell ref="A71:J71"/>
    <mergeCell ref="K73:X73"/>
  </mergeCells>
  <phoneticPr fontId="0" type="noConversion"/>
  <printOptions gridLinesSet="0"/>
  <pageMargins left="0.75" right="0.6" top="0.7" bottom="0.25" header="0.5" footer="0.5"/>
  <pageSetup scale="98" fitToWidth="2" orientation="portrait" horizontalDpi="300" verticalDpi="300" r:id="rId1"/>
  <headerFooter alignWithMargins="0"/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showGridLines="0" defaultGridColor="0" colorId="8" zoomScale="125" zoomScaleNormal="125" workbookViewId="0">
      <selection activeCell="K73" sqref="K73:X73"/>
    </sheetView>
  </sheetViews>
  <sheetFormatPr defaultColWidth="12.453125" defaultRowHeight="10.5" customHeight="1" x14ac:dyDescent="0.25"/>
  <cols>
    <col min="1" max="1" width="24.54296875" style="30" customWidth="1"/>
    <col min="2" max="2" width="9" style="30" customWidth="1"/>
    <col min="3" max="3" width="0.7265625" style="30" customWidth="1"/>
    <col min="4" max="4" width="8.26953125" style="30" customWidth="1"/>
    <col min="5" max="5" width="0.81640625" style="30" customWidth="1"/>
    <col min="6" max="6" width="8.54296875" style="30" customWidth="1"/>
    <col min="7" max="7" width="0.81640625" style="30" customWidth="1"/>
    <col min="8" max="8" width="8.26953125" style="30" customWidth="1"/>
    <col min="9" max="9" width="0.81640625" style="30" customWidth="1"/>
    <col min="10" max="10" width="7.7265625" style="30" customWidth="1"/>
    <col min="11" max="11" width="0.81640625" style="30" customWidth="1"/>
    <col min="12" max="12" width="9.7265625" style="30" customWidth="1"/>
    <col min="13" max="13" width="0.81640625" style="30" customWidth="1"/>
    <col min="14" max="14" width="9.7265625" style="30" customWidth="1"/>
    <col min="15" max="16384" width="12.453125" style="30"/>
  </cols>
  <sheetData>
    <row r="1" spans="1:14" s="212" customFormat="1" ht="10" customHeight="1" x14ac:dyDescent="0.25">
      <c r="A1" s="210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</row>
    <row r="2" spans="1:14" s="212" customFormat="1" ht="10" customHeight="1" x14ac:dyDescent="0.25">
      <c r="A2" s="213" t="s">
        <v>78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</row>
    <row r="3" spans="1:14" s="212" customFormat="1" ht="10" customHeight="1" x14ac:dyDescent="0.25">
      <c r="A3" s="213" t="s">
        <v>79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</row>
    <row r="4" spans="1:14" s="212" customFormat="1" ht="10" customHeight="1" x14ac:dyDescent="0.25">
      <c r="A4" s="213" t="s">
        <v>80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</row>
    <row r="5" spans="1:14" s="212" customFormat="1" ht="11.25" customHeight="1" x14ac:dyDescent="0.25">
      <c r="A5" s="213" t="s">
        <v>273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</row>
    <row r="6" spans="1:14" ht="3" customHeight="1" x14ac:dyDescent="0.25">
      <c r="A6" s="187" t="s">
        <v>3</v>
      </c>
      <c r="B6" s="186"/>
      <c r="C6" s="186"/>
      <c r="D6" s="188"/>
      <c r="E6" s="188"/>
      <c r="F6" s="189"/>
      <c r="G6" s="189"/>
      <c r="H6" s="186"/>
      <c r="I6" s="186"/>
      <c r="J6" s="186"/>
      <c r="K6" s="186"/>
      <c r="L6" s="186"/>
      <c r="M6" s="186"/>
      <c r="N6" s="186"/>
    </row>
    <row r="7" spans="1:14" ht="10.5" customHeight="1" x14ac:dyDescent="0.25">
      <c r="D7" s="33"/>
      <c r="E7" s="33"/>
      <c r="F7" s="32"/>
    </row>
    <row r="8" spans="1:14" ht="10.5" customHeight="1" x14ac:dyDescent="0.25">
      <c r="D8" s="33"/>
      <c r="E8" s="33"/>
      <c r="F8" s="32"/>
    </row>
    <row r="9" spans="1:14" ht="10.5" customHeight="1" x14ac:dyDescent="0.25">
      <c r="J9" s="34" t="s">
        <v>4</v>
      </c>
      <c r="K9" s="34"/>
      <c r="L9" s="35"/>
      <c r="M9" s="34"/>
    </row>
    <row r="10" spans="1:14" ht="11.15" customHeight="1" x14ac:dyDescent="0.25">
      <c r="B10" s="36"/>
      <c r="C10" s="36"/>
      <c r="D10" s="125" t="s">
        <v>81</v>
      </c>
      <c r="E10" s="125"/>
      <c r="F10" s="37"/>
      <c r="G10" s="37"/>
      <c r="H10" s="37"/>
      <c r="I10" s="32"/>
      <c r="J10" s="38" t="s">
        <v>82</v>
      </c>
      <c r="K10" s="34"/>
      <c r="L10" s="35"/>
      <c r="M10" s="34" t="s">
        <v>10</v>
      </c>
    </row>
    <row r="11" spans="1:14" ht="12" customHeight="1" x14ac:dyDescent="0.25">
      <c r="D11" s="34" t="s">
        <v>11</v>
      </c>
      <c r="E11" s="34"/>
      <c r="F11" s="34" t="s">
        <v>12</v>
      </c>
      <c r="G11" s="34"/>
      <c r="H11" s="34" t="s">
        <v>13</v>
      </c>
      <c r="I11" s="34"/>
      <c r="J11" s="34" t="s">
        <v>83</v>
      </c>
      <c r="K11" s="34"/>
      <c r="L11" s="38"/>
      <c r="M11" s="38" t="s">
        <v>17</v>
      </c>
      <c r="N11" s="37"/>
    </row>
    <row r="12" spans="1:14" ht="12" customHeight="1" x14ac:dyDescent="0.25">
      <c r="B12" s="38" t="s">
        <v>9</v>
      </c>
      <c r="C12" s="39"/>
      <c r="D12" s="38" t="s">
        <v>18</v>
      </c>
      <c r="E12" s="39"/>
      <c r="F12" s="38" t="s">
        <v>19</v>
      </c>
      <c r="G12" s="39"/>
      <c r="H12" s="38" t="s">
        <v>20</v>
      </c>
      <c r="I12" s="39"/>
      <c r="J12" s="38" t="s">
        <v>84</v>
      </c>
      <c r="K12" s="39"/>
      <c r="L12" s="38">
        <v>2002</v>
      </c>
      <c r="M12" s="39"/>
      <c r="N12" s="38">
        <v>2001</v>
      </c>
    </row>
    <row r="13" spans="1:14" ht="11.15" customHeight="1" x14ac:dyDescent="0.2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1:14" ht="11.15" customHeight="1" x14ac:dyDescent="0.25">
      <c r="A14" s="31" t="s">
        <v>85</v>
      </c>
    </row>
    <row r="15" spans="1:14" ht="11.25" customHeight="1" x14ac:dyDescent="0.25">
      <c r="A15" s="35" t="s">
        <v>86</v>
      </c>
      <c r="B15" s="40">
        <v>13849499</v>
      </c>
      <c r="C15" s="41"/>
      <c r="D15" s="41">
        <v>1586146</v>
      </c>
      <c r="E15" s="41"/>
      <c r="F15" s="41">
        <v>707995</v>
      </c>
      <c r="G15" s="41"/>
      <c r="H15" s="41"/>
      <c r="I15" s="41"/>
      <c r="J15" s="41"/>
      <c r="K15" s="41"/>
      <c r="L15" s="42">
        <v>16143640</v>
      </c>
      <c r="M15" s="41"/>
      <c r="N15" s="41">
        <v>17355043</v>
      </c>
    </row>
    <row r="16" spans="1:14" ht="11.25" customHeight="1" x14ac:dyDescent="0.25">
      <c r="A16" s="35" t="s">
        <v>87</v>
      </c>
      <c r="F16" s="43">
        <v>283215</v>
      </c>
      <c r="G16" s="43"/>
      <c r="L16" s="44">
        <v>283215</v>
      </c>
      <c r="M16" s="43"/>
      <c r="N16" s="43">
        <v>222491</v>
      </c>
    </row>
    <row r="17" spans="1:14" ht="11.25" customHeight="1" x14ac:dyDescent="0.25">
      <c r="A17" s="35" t="s">
        <v>88</v>
      </c>
      <c r="B17" s="43">
        <v>1513562</v>
      </c>
      <c r="C17" s="43"/>
      <c r="D17" s="43">
        <v>6720395</v>
      </c>
      <c r="E17" s="43"/>
      <c r="F17" s="43"/>
      <c r="G17" s="43"/>
      <c r="H17" s="41">
        <v>1461391</v>
      </c>
      <c r="I17" s="41"/>
      <c r="J17" s="41">
        <v>15027</v>
      </c>
      <c r="K17" s="43"/>
      <c r="L17" s="44">
        <v>9710375</v>
      </c>
      <c r="M17" s="43"/>
      <c r="N17" s="43">
        <v>7916304</v>
      </c>
    </row>
    <row r="18" spans="1:14" ht="11.25" customHeight="1" x14ac:dyDescent="0.25">
      <c r="A18" s="35" t="s">
        <v>89</v>
      </c>
      <c r="B18" s="43">
        <v>125626</v>
      </c>
      <c r="C18" s="43"/>
      <c r="D18" s="43">
        <v>559499</v>
      </c>
      <c r="E18" s="43"/>
      <c r="F18" s="43"/>
      <c r="G18" s="43"/>
      <c r="H18" s="43">
        <v>309149</v>
      </c>
      <c r="I18" s="41"/>
      <c r="J18" s="43"/>
      <c r="K18" s="43"/>
      <c r="L18" s="44">
        <v>994274</v>
      </c>
      <c r="M18" s="43"/>
      <c r="N18" s="43">
        <v>552982</v>
      </c>
    </row>
    <row r="19" spans="1:14" ht="11.25" customHeight="1" x14ac:dyDescent="0.25">
      <c r="A19" s="35" t="s">
        <v>90</v>
      </c>
      <c r="B19" s="43">
        <v>770626</v>
      </c>
      <c r="C19" s="43"/>
      <c r="D19" s="43">
        <v>2592028</v>
      </c>
      <c r="E19" s="43"/>
      <c r="H19" s="43"/>
      <c r="I19" s="43"/>
      <c r="J19" s="43"/>
      <c r="K19" s="43"/>
      <c r="L19" s="44">
        <v>3362654</v>
      </c>
      <c r="M19" s="43"/>
      <c r="N19" s="43">
        <v>4200446</v>
      </c>
    </row>
    <row r="20" spans="1:14" ht="11.25" customHeight="1" x14ac:dyDescent="0.25">
      <c r="A20" s="35" t="s">
        <v>91</v>
      </c>
      <c r="B20" s="43">
        <v>4196319</v>
      </c>
      <c r="C20" s="43"/>
      <c r="D20" s="43"/>
      <c r="E20" s="43"/>
      <c r="F20" s="43"/>
      <c r="G20" s="43"/>
      <c r="H20" s="43"/>
      <c r="I20" s="43"/>
      <c r="J20" s="43"/>
      <c r="K20" s="43"/>
      <c r="L20" s="44">
        <v>4196319</v>
      </c>
      <c r="M20" s="43"/>
      <c r="N20" s="43">
        <v>3354532</v>
      </c>
    </row>
    <row r="21" spans="1:14" ht="11.25" customHeight="1" x14ac:dyDescent="0.25">
      <c r="A21" s="35" t="s">
        <v>92</v>
      </c>
      <c r="B21" s="43">
        <v>1725679</v>
      </c>
      <c r="C21" s="43"/>
      <c r="D21" s="43">
        <v>122111</v>
      </c>
      <c r="E21" s="43"/>
      <c r="F21" s="43"/>
      <c r="G21" s="43"/>
      <c r="H21" s="43"/>
      <c r="I21" s="43"/>
      <c r="J21" s="43"/>
      <c r="K21" s="43"/>
      <c r="L21" s="44">
        <v>1847790</v>
      </c>
      <c r="M21" s="43"/>
      <c r="N21" s="43">
        <v>1610107</v>
      </c>
    </row>
    <row r="22" spans="1:14" ht="11.25" customHeight="1" x14ac:dyDescent="0.25">
      <c r="A22" s="35" t="s">
        <v>93</v>
      </c>
      <c r="B22" s="43"/>
      <c r="C22" s="43"/>
      <c r="D22" s="43"/>
      <c r="E22" s="43"/>
      <c r="F22" s="43"/>
      <c r="G22" s="43"/>
      <c r="I22" s="43"/>
      <c r="J22" s="43"/>
      <c r="K22" s="43"/>
      <c r="L22" s="44"/>
      <c r="M22" s="43"/>
      <c r="N22" s="43"/>
    </row>
    <row r="23" spans="1:14" ht="11.25" customHeight="1" x14ac:dyDescent="0.25">
      <c r="A23" s="35" t="s">
        <v>94</v>
      </c>
      <c r="B23" s="43">
        <v>397223</v>
      </c>
      <c r="C23" s="43"/>
      <c r="D23" s="43">
        <v>478427</v>
      </c>
      <c r="E23" s="43"/>
      <c r="F23" s="43">
        <v>152200</v>
      </c>
      <c r="G23" s="43"/>
      <c r="H23" s="43">
        <v>122631</v>
      </c>
      <c r="I23" s="43"/>
      <c r="J23" s="43">
        <v>8090</v>
      </c>
      <c r="K23" s="43"/>
      <c r="L23" s="44">
        <v>1158571</v>
      </c>
      <c r="M23" s="43"/>
      <c r="N23" s="43">
        <v>2208039</v>
      </c>
    </row>
    <row r="24" spans="1:14" ht="11.25" customHeight="1" x14ac:dyDescent="0.25">
      <c r="A24" s="35" t="s">
        <v>95</v>
      </c>
      <c r="B24" s="43">
        <v>3069045</v>
      </c>
      <c r="C24" s="43"/>
      <c r="D24" s="43">
        <v>593751</v>
      </c>
      <c r="E24" s="43"/>
      <c r="F24" s="43"/>
      <c r="G24" s="43"/>
      <c r="H24" s="43"/>
      <c r="I24" s="43"/>
      <c r="J24" s="43"/>
      <c r="K24" s="43"/>
      <c r="L24" s="44">
        <v>3662796</v>
      </c>
      <c r="M24" s="43"/>
      <c r="N24" s="43">
        <v>3056802</v>
      </c>
    </row>
    <row r="25" spans="1:14" ht="11.25" customHeight="1" x14ac:dyDescent="0.25">
      <c r="A25" s="35" t="s">
        <v>96</v>
      </c>
      <c r="B25" s="43"/>
      <c r="C25" s="43"/>
      <c r="D25" s="43">
        <v>13092</v>
      </c>
      <c r="E25" s="43"/>
      <c r="F25" s="43"/>
      <c r="G25" s="43"/>
      <c r="H25" s="43"/>
      <c r="I25" s="43"/>
      <c r="J25" s="43">
        <v>186557</v>
      </c>
      <c r="K25" s="43"/>
      <c r="L25" s="44">
        <v>199649</v>
      </c>
      <c r="M25" s="43"/>
      <c r="N25" s="43">
        <v>58544</v>
      </c>
    </row>
    <row r="26" spans="1:14" ht="11.25" customHeight="1" x14ac:dyDescent="0.25">
      <c r="A26" s="225" t="s">
        <v>251</v>
      </c>
      <c r="B26" s="43">
        <v>1900000</v>
      </c>
      <c r="C26" s="43"/>
      <c r="D26" s="43">
        <v>10746</v>
      </c>
      <c r="E26" s="43"/>
      <c r="F26" s="43"/>
      <c r="G26" s="43"/>
      <c r="H26" s="43"/>
      <c r="I26" s="43"/>
      <c r="J26" s="43"/>
      <c r="K26" s="43"/>
      <c r="L26" s="44">
        <v>1910746</v>
      </c>
      <c r="M26" s="43"/>
      <c r="N26" s="43">
        <v>710</v>
      </c>
    </row>
    <row r="27" spans="1:14" ht="11.25" customHeight="1" x14ac:dyDescent="0.25">
      <c r="A27" s="35" t="s">
        <v>97</v>
      </c>
      <c r="B27" s="45">
        <v>551012</v>
      </c>
      <c r="C27" s="43"/>
      <c r="D27" s="45">
        <v>210918</v>
      </c>
      <c r="E27" s="43"/>
      <c r="F27" s="45">
        <v>6361</v>
      </c>
      <c r="G27" s="43"/>
      <c r="H27" s="45">
        <v>110644</v>
      </c>
      <c r="I27" s="43"/>
      <c r="J27" s="45">
        <v>6949</v>
      </c>
      <c r="K27" s="43"/>
      <c r="L27" s="46">
        <v>885884</v>
      </c>
      <c r="M27" s="43"/>
      <c r="N27" s="45">
        <v>1911509</v>
      </c>
    </row>
    <row r="28" spans="1:14" ht="13" customHeight="1" x14ac:dyDescent="0.25">
      <c r="A28" s="35" t="s">
        <v>98</v>
      </c>
      <c r="B28" s="45">
        <v>28098591</v>
      </c>
      <c r="C28" s="43"/>
      <c r="D28" s="45">
        <v>12887113</v>
      </c>
      <c r="E28" s="43"/>
      <c r="F28" s="45">
        <v>1149771</v>
      </c>
      <c r="G28" s="43"/>
      <c r="H28" s="45">
        <v>2003815</v>
      </c>
      <c r="I28" s="43"/>
      <c r="J28" s="45">
        <v>216623</v>
      </c>
      <c r="K28" s="43"/>
      <c r="L28" s="46">
        <v>44355913</v>
      </c>
      <c r="M28" s="43"/>
      <c r="N28" s="45">
        <v>42447509</v>
      </c>
    </row>
    <row r="29" spans="1:14" ht="13.5" customHeight="1" x14ac:dyDescent="0.25">
      <c r="A29" s="35"/>
      <c r="B29" s="47"/>
      <c r="C29" s="43"/>
      <c r="D29" s="47"/>
      <c r="E29" s="43"/>
      <c r="F29" s="47"/>
      <c r="G29" s="43"/>
      <c r="H29" s="47"/>
      <c r="I29" s="43"/>
      <c r="J29" s="47"/>
      <c r="K29" s="43"/>
      <c r="L29" s="124"/>
      <c r="M29" s="43"/>
      <c r="N29" s="47"/>
    </row>
    <row r="30" spans="1:14" ht="11.15" customHeight="1" x14ac:dyDescent="0.25">
      <c r="A30" s="31" t="s">
        <v>99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4"/>
      <c r="M30" s="43"/>
      <c r="N30" s="43"/>
    </row>
    <row r="31" spans="1:14" ht="13.5" customHeight="1" x14ac:dyDescent="0.25">
      <c r="A31" s="35" t="s">
        <v>100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4"/>
      <c r="M31" s="43"/>
      <c r="N31" s="43"/>
    </row>
    <row r="32" spans="1:14" ht="11.25" customHeight="1" x14ac:dyDescent="0.25">
      <c r="A32" s="35" t="s">
        <v>101</v>
      </c>
      <c r="B32" s="43">
        <v>12683034</v>
      </c>
      <c r="C32" s="43"/>
      <c r="D32" s="43">
        <v>3522816</v>
      </c>
      <c r="E32" s="43"/>
      <c r="F32" s="43">
        <v>35923</v>
      </c>
      <c r="G32" s="43"/>
      <c r="H32" s="43">
        <v>1087244</v>
      </c>
      <c r="I32" s="43"/>
      <c r="J32" s="43">
        <v>1169</v>
      </c>
      <c r="K32" s="43"/>
      <c r="L32" s="44">
        <v>17330186</v>
      </c>
      <c r="M32" s="43"/>
      <c r="N32" s="43">
        <v>16858311</v>
      </c>
    </row>
    <row r="33" spans="1:14" ht="11.25" customHeight="1" x14ac:dyDescent="0.25">
      <c r="A33" s="35" t="s">
        <v>102</v>
      </c>
      <c r="B33" s="43">
        <v>13322592</v>
      </c>
      <c r="C33" s="43"/>
      <c r="D33" s="43"/>
      <c r="E33" s="43"/>
      <c r="F33" s="43"/>
      <c r="G33" s="43"/>
      <c r="H33" s="43"/>
      <c r="I33" s="43"/>
      <c r="J33" s="43"/>
      <c r="K33" s="43"/>
      <c r="L33" s="44">
        <v>13322592</v>
      </c>
      <c r="M33" s="43"/>
      <c r="N33" s="43">
        <v>12549033</v>
      </c>
    </row>
    <row r="34" spans="1:14" ht="11.25" customHeight="1" x14ac:dyDescent="0.25">
      <c r="A34" s="35" t="s">
        <v>103</v>
      </c>
      <c r="D34" s="43">
        <v>5112918</v>
      </c>
      <c r="E34" s="43"/>
      <c r="F34" s="43"/>
      <c r="G34" s="43"/>
      <c r="H34" s="43">
        <v>3402085</v>
      </c>
      <c r="I34" s="43"/>
      <c r="J34" s="43"/>
      <c r="K34" s="43"/>
      <c r="L34" s="44">
        <v>8515003</v>
      </c>
      <c r="M34" s="43"/>
      <c r="N34" s="43">
        <v>6909350</v>
      </c>
    </row>
    <row r="35" spans="1:14" ht="11.25" customHeight="1" x14ac:dyDescent="0.25">
      <c r="A35" s="35" t="s">
        <v>104</v>
      </c>
      <c r="B35" s="43"/>
      <c r="C35" s="43"/>
      <c r="D35" s="43">
        <v>4693681</v>
      </c>
      <c r="E35" s="43"/>
      <c r="F35" s="43"/>
      <c r="G35" s="43"/>
      <c r="H35" s="43">
        <v>233582</v>
      </c>
      <c r="I35" s="43"/>
      <c r="J35" s="43">
        <v>182790</v>
      </c>
      <c r="K35" s="43"/>
      <c r="L35" s="44">
        <v>5110053</v>
      </c>
      <c r="M35" s="43"/>
      <c r="N35" s="43">
        <v>10861558</v>
      </c>
    </row>
    <row r="36" spans="1:14" ht="11.25" customHeight="1" x14ac:dyDescent="0.25">
      <c r="A36" s="35" t="s">
        <v>105</v>
      </c>
      <c r="B36" s="43"/>
      <c r="C36" s="43"/>
      <c r="D36" s="43">
        <v>137782</v>
      </c>
      <c r="E36" s="43"/>
      <c r="F36" s="43"/>
      <c r="G36" s="43"/>
      <c r="H36" s="43"/>
      <c r="I36" s="43"/>
      <c r="J36" s="43"/>
      <c r="K36" s="43"/>
      <c r="L36" s="44">
        <v>137782</v>
      </c>
      <c r="M36" s="43"/>
      <c r="N36" s="43">
        <v>121412</v>
      </c>
    </row>
    <row r="37" spans="1:14" ht="11.25" customHeight="1" x14ac:dyDescent="0.25">
      <c r="A37" s="35" t="s">
        <v>106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4"/>
      <c r="M37" s="43"/>
      <c r="N37" s="43"/>
    </row>
    <row r="38" spans="1:14" ht="11.25" customHeight="1" x14ac:dyDescent="0.25">
      <c r="A38" s="35" t="s">
        <v>107</v>
      </c>
      <c r="B38" s="43"/>
      <c r="C38" s="43"/>
      <c r="D38" s="43"/>
      <c r="E38" s="43"/>
      <c r="F38" s="43">
        <v>1370000</v>
      </c>
      <c r="G38" s="43"/>
      <c r="H38" s="43"/>
      <c r="I38" s="43"/>
      <c r="J38" s="43"/>
      <c r="K38" s="43"/>
      <c r="L38" s="44">
        <v>1370000</v>
      </c>
      <c r="M38" s="43"/>
      <c r="N38" s="43">
        <v>1320000</v>
      </c>
    </row>
    <row r="39" spans="1:14" s="32" customFormat="1" ht="11.25" customHeight="1" x14ac:dyDescent="0.25">
      <c r="A39" s="51" t="s">
        <v>108</v>
      </c>
      <c r="B39" s="47"/>
      <c r="C39" s="47"/>
      <c r="D39" s="47"/>
      <c r="E39" s="47"/>
      <c r="F39" s="47">
        <v>1130246</v>
      </c>
      <c r="G39" s="47"/>
      <c r="H39" s="47"/>
      <c r="I39" s="47"/>
      <c r="J39" s="47"/>
      <c r="K39" s="47"/>
      <c r="L39" s="124">
        <v>1130246</v>
      </c>
      <c r="M39" s="47"/>
      <c r="N39" s="43">
        <v>1187907</v>
      </c>
    </row>
    <row r="40" spans="1:14" ht="13" customHeight="1" x14ac:dyDescent="0.25">
      <c r="A40" s="35" t="s">
        <v>109</v>
      </c>
      <c r="B40" s="243">
        <v>26005626</v>
      </c>
      <c r="C40" s="43"/>
      <c r="D40" s="243">
        <v>13467197</v>
      </c>
      <c r="E40" s="47"/>
      <c r="F40" s="243">
        <v>2536169</v>
      </c>
      <c r="G40" s="43"/>
      <c r="H40" s="243">
        <v>4722911</v>
      </c>
      <c r="I40" s="43"/>
      <c r="J40" s="243">
        <v>183959</v>
      </c>
      <c r="K40" s="43"/>
      <c r="L40" s="244">
        <v>46915862</v>
      </c>
      <c r="M40" s="43"/>
      <c r="N40" s="243">
        <v>49807571</v>
      </c>
    </row>
    <row r="41" spans="1:14" ht="11.15" customHeight="1" x14ac:dyDescent="0.25">
      <c r="A41" s="35"/>
      <c r="B41" s="47"/>
      <c r="C41" s="43"/>
      <c r="D41" s="47"/>
      <c r="E41" s="47"/>
      <c r="F41" s="47"/>
      <c r="G41" s="43"/>
      <c r="H41" s="47"/>
      <c r="I41" s="43"/>
      <c r="J41" s="47"/>
      <c r="K41" s="43"/>
      <c r="L41" s="124"/>
      <c r="M41" s="43"/>
      <c r="N41" s="47"/>
    </row>
    <row r="42" spans="1:14" ht="11.15" customHeight="1" x14ac:dyDescent="0.25">
      <c r="A42" s="35" t="s">
        <v>110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9"/>
      <c r="M42" s="48"/>
      <c r="N42" s="48"/>
    </row>
    <row r="43" spans="1:14" ht="11.15" customHeight="1" x14ac:dyDescent="0.25">
      <c r="A43" s="35" t="s">
        <v>111</v>
      </c>
      <c r="B43" s="45">
        <v>2092965</v>
      </c>
      <c r="C43" s="47"/>
      <c r="D43" s="45">
        <v>-580084</v>
      </c>
      <c r="E43" s="43"/>
      <c r="F43" s="45">
        <v>-1386398</v>
      </c>
      <c r="G43" s="43"/>
      <c r="H43" s="45">
        <v>-2719096</v>
      </c>
      <c r="I43" s="43"/>
      <c r="J43" s="45">
        <v>32664</v>
      </c>
      <c r="K43" s="43"/>
      <c r="L43" s="46">
        <v>-2559949</v>
      </c>
      <c r="M43" s="43"/>
      <c r="N43" s="45">
        <v>-7360062</v>
      </c>
    </row>
    <row r="44" spans="1:14" ht="13.5" customHeight="1" x14ac:dyDescent="0.25">
      <c r="A44" s="35"/>
      <c r="B44" s="47"/>
      <c r="C44" s="47"/>
      <c r="D44" s="47"/>
      <c r="E44" s="43"/>
      <c r="F44" s="47"/>
      <c r="G44" s="43"/>
      <c r="H44" s="47"/>
      <c r="I44" s="43"/>
      <c r="J44" s="47"/>
      <c r="K44" s="43"/>
      <c r="L44" s="124"/>
      <c r="M44" s="43"/>
      <c r="N44" s="47"/>
    </row>
    <row r="45" spans="1:14" ht="11.15" customHeight="1" x14ac:dyDescent="0.25">
      <c r="A45" s="31" t="s">
        <v>112</v>
      </c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4"/>
      <c r="M45" s="43"/>
      <c r="N45" s="43"/>
    </row>
    <row r="46" spans="1:14" ht="13.5" customHeight="1" x14ac:dyDescent="0.25">
      <c r="A46" s="35" t="s">
        <v>113</v>
      </c>
      <c r="B46" s="43">
        <v>15808</v>
      </c>
      <c r="C46" s="43"/>
      <c r="D46" s="43">
        <v>88794</v>
      </c>
      <c r="E46" s="43"/>
      <c r="F46" s="43">
        <v>29650</v>
      </c>
      <c r="G46" s="43"/>
      <c r="H46" s="43">
        <v>2022772</v>
      </c>
      <c r="I46" s="43"/>
      <c r="J46" s="43"/>
      <c r="K46" s="43"/>
      <c r="L46" s="44">
        <v>2157024</v>
      </c>
      <c r="M46" s="43"/>
      <c r="N46" s="43">
        <v>4816804</v>
      </c>
    </row>
    <row r="47" spans="1:14" ht="11.25" customHeight="1" x14ac:dyDescent="0.25">
      <c r="A47" s="35" t="s">
        <v>114</v>
      </c>
      <c r="B47" s="43">
        <v>-543622</v>
      </c>
      <c r="C47" s="43"/>
      <c r="D47" s="43">
        <v>-1435939</v>
      </c>
      <c r="E47" s="43"/>
      <c r="F47" s="43">
        <v>-147813</v>
      </c>
      <c r="G47" s="43"/>
      <c r="H47" s="43">
        <v>-29650</v>
      </c>
      <c r="I47" s="43"/>
      <c r="J47" s="43"/>
      <c r="K47" s="43"/>
      <c r="L47" s="46">
        <v>-2157024</v>
      </c>
      <c r="M47" s="43"/>
      <c r="N47" s="43">
        <v>-4556821</v>
      </c>
    </row>
    <row r="48" spans="1:14" s="50" customFormat="1" ht="13" customHeight="1" x14ac:dyDescent="0.25">
      <c r="A48" s="35" t="s">
        <v>115</v>
      </c>
      <c r="B48" s="245"/>
      <c r="C48" s="48"/>
      <c r="D48" s="245"/>
      <c r="E48" s="48"/>
      <c r="F48" s="245"/>
      <c r="G48" s="48"/>
      <c r="H48" s="245"/>
      <c r="I48" s="48"/>
      <c r="J48" s="245"/>
      <c r="K48" s="48"/>
      <c r="L48" s="251"/>
      <c r="M48" s="48"/>
      <c r="N48" s="245"/>
    </row>
    <row r="49" spans="1:15" ht="11.15" customHeight="1" x14ac:dyDescent="0.25">
      <c r="A49" s="35" t="s">
        <v>116</v>
      </c>
      <c r="B49" s="45">
        <v>-527814</v>
      </c>
      <c r="C49" s="43"/>
      <c r="D49" s="45">
        <v>-1347145</v>
      </c>
      <c r="E49" s="43"/>
      <c r="F49" s="45">
        <v>-118163</v>
      </c>
      <c r="G49" s="43"/>
      <c r="H49" s="45">
        <v>1993122</v>
      </c>
      <c r="I49" s="43"/>
      <c r="J49" s="45"/>
      <c r="K49" s="43"/>
      <c r="L49" s="252"/>
      <c r="M49" s="43"/>
      <c r="N49" s="45">
        <v>259983</v>
      </c>
    </row>
    <row r="50" spans="1:15" ht="13.5" customHeight="1" x14ac:dyDescent="0.25">
      <c r="A50" s="35"/>
      <c r="B50" s="47"/>
      <c r="C50" s="43"/>
      <c r="D50" s="47"/>
      <c r="E50" s="43"/>
      <c r="F50" s="47"/>
      <c r="G50" s="43"/>
      <c r="H50" s="47"/>
      <c r="I50" s="43"/>
      <c r="J50" s="47"/>
      <c r="K50" s="43"/>
      <c r="L50" s="124"/>
      <c r="M50" s="43"/>
      <c r="N50" s="47"/>
    </row>
    <row r="51" spans="1:15" ht="11.15" customHeight="1" x14ac:dyDescent="0.25">
      <c r="A51" s="35" t="s">
        <v>117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4"/>
      <c r="M51" s="43"/>
      <c r="N51" s="43"/>
    </row>
    <row r="52" spans="1:15" ht="11.15" customHeight="1" x14ac:dyDescent="0.25">
      <c r="A52" s="35" t="s">
        <v>118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4"/>
      <c r="M52" s="43"/>
      <c r="N52" s="43"/>
    </row>
    <row r="53" spans="1:15" s="32" customFormat="1" ht="11.15" customHeight="1" x14ac:dyDescent="0.25">
      <c r="A53" s="51" t="s">
        <v>119</v>
      </c>
      <c r="B53" s="47">
        <v>1565151</v>
      </c>
      <c r="C53" s="47"/>
      <c r="D53" s="47">
        <v>-1927229</v>
      </c>
      <c r="E53" s="47"/>
      <c r="F53" s="47">
        <v>-1504561</v>
      </c>
      <c r="G53" s="47"/>
      <c r="H53" s="47">
        <v>-725974</v>
      </c>
      <c r="I53" s="47"/>
      <c r="J53" s="47">
        <v>32664</v>
      </c>
      <c r="K53" s="47"/>
      <c r="L53" s="124">
        <v>-2559949</v>
      </c>
      <c r="M53" s="47"/>
      <c r="N53" s="47">
        <v>-7100079</v>
      </c>
    </row>
    <row r="54" spans="1:15" s="32" customFormat="1" ht="10.5" customHeight="1" x14ac:dyDescent="0.25">
      <c r="A54" s="5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124"/>
      <c r="M54" s="47"/>
      <c r="N54" s="47"/>
    </row>
    <row r="55" spans="1:15" ht="12" customHeight="1" x14ac:dyDescent="0.25">
      <c r="A55" s="51" t="s">
        <v>249</v>
      </c>
      <c r="B55" s="45">
        <v>9062545</v>
      </c>
      <c r="C55" s="43"/>
      <c r="D55" s="45">
        <v>12524826</v>
      </c>
      <c r="E55" s="43"/>
      <c r="F55" s="45">
        <v>3726423</v>
      </c>
      <c r="G55" s="43"/>
      <c r="H55" s="45">
        <v>2916185</v>
      </c>
      <c r="I55" s="43"/>
      <c r="J55" s="45">
        <v>153964</v>
      </c>
      <c r="K55" s="43"/>
      <c r="L55" s="46">
        <v>28383943</v>
      </c>
      <c r="M55" s="43"/>
      <c r="N55" s="45">
        <v>35484022</v>
      </c>
    </row>
    <row r="56" spans="1:15" ht="12.75" customHeight="1" x14ac:dyDescent="0.25">
      <c r="A56" s="51"/>
      <c r="B56" s="47"/>
      <c r="C56" s="43"/>
      <c r="D56" s="47"/>
      <c r="E56" s="43"/>
      <c r="F56" s="47"/>
      <c r="G56" s="43"/>
      <c r="H56" s="47"/>
      <c r="I56" s="43"/>
      <c r="J56" s="47"/>
      <c r="K56" s="43"/>
      <c r="L56" s="124"/>
      <c r="M56" s="43"/>
      <c r="N56" s="47"/>
    </row>
    <row r="57" spans="1:15" ht="12" customHeight="1" thickBot="1" x14ac:dyDescent="0.3">
      <c r="A57" s="35" t="s">
        <v>120</v>
      </c>
      <c r="B57" s="52">
        <v>10627696</v>
      </c>
      <c r="C57" s="41"/>
      <c r="D57" s="52">
        <v>10597597</v>
      </c>
      <c r="E57" s="41"/>
      <c r="F57" s="52">
        <v>2221862</v>
      </c>
      <c r="G57" s="41"/>
      <c r="H57" s="52">
        <v>2190211</v>
      </c>
      <c r="I57" s="41"/>
      <c r="J57" s="52">
        <v>186628</v>
      </c>
      <c r="K57" s="41"/>
      <c r="L57" s="224">
        <v>25823994</v>
      </c>
      <c r="M57" s="41"/>
      <c r="N57" s="52">
        <v>28383943</v>
      </c>
      <c r="O57" s="256"/>
    </row>
    <row r="58" spans="1:15" ht="11.25" customHeight="1" thickTop="1" x14ac:dyDescent="0.25">
      <c r="A58" s="35"/>
      <c r="B58" s="53"/>
      <c r="C58" s="41"/>
      <c r="D58" s="53"/>
      <c r="E58" s="41"/>
      <c r="F58" s="53"/>
      <c r="G58" s="41"/>
      <c r="H58" s="53"/>
      <c r="I58" s="41"/>
      <c r="J58" s="53"/>
      <c r="K58" s="41"/>
      <c r="L58" s="247"/>
      <c r="M58" s="41"/>
      <c r="N58" s="53"/>
    </row>
    <row r="59" spans="1:15" ht="8.25" customHeight="1" x14ac:dyDescent="0.25">
      <c r="A59" s="35"/>
      <c r="B59" s="53"/>
      <c r="C59" s="41"/>
      <c r="D59" s="53"/>
      <c r="E59" s="41"/>
      <c r="F59" s="53"/>
      <c r="G59" s="41"/>
      <c r="H59" s="53"/>
      <c r="I59" s="41"/>
      <c r="J59" s="53"/>
      <c r="K59" s="41"/>
      <c r="L59" s="53"/>
      <c r="M59" s="41"/>
      <c r="N59" s="53"/>
    </row>
    <row r="60" spans="1:15" s="214" customFormat="1" ht="12" customHeight="1" x14ac:dyDescent="0.3"/>
    <row r="61" spans="1:15" s="214" customFormat="1" ht="12" customHeight="1" x14ac:dyDescent="0.3"/>
    <row r="63" spans="1:15" ht="10.5" customHeight="1" x14ac:dyDescent="0.3">
      <c r="A63" s="263" t="s">
        <v>75</v>
      </c>
      <c r="B63" s="263"/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63"/>
    </row>
    <row r="64" spans="1:15" ht="7.4" customHeight="1" x14ac:dyDescent="0.25"/>
    <row r="65" spans="1:18" ht="12" customHeight="1" x14ac:dyDescent="0.3">
      <c r="A65" s="262" t="s">
        <v>121</v>
      </c>
      <c r="B65" s="262"/>
      <c r="C65" s="262"/>
      <c r="D65" s="262"/>
      <c r="E65" s="262"/>
      <c r="F65" s="262"/>
      <c r="G65" s="262"/>
      <c r="H65" s="262"/>
      <c r="I65" s="262"/>
      <c r="J65" s="262"/>
      <c r="K65" s="262"/>
      <c r="L65" s="262"/>
      <c r="M65" s="262"/>
      <c r="N65" s="262"/>
    </row>
    <row r="66" spans="1:18" ht="0.75" hidden="1" customHeight="1" x14ac:dyDescent="0.25">
      <c r="B66" s="186"/>
      <c r="C66" s="186"/>
      <c r="D66" s="190"/>
      <c r="E66" s="190"/>
      <c r="F66" s="186"/>
      <c r="G66" s="186"/>
      <c r="H66" s="186"/>
      <c r="I66" s="186"/>
      <c r="J66" s="186"/>
      <c r="K66" s="186"/>
      <c r="L66" s="186"/>
      <c r="M66" s="186"/>
      <c r="N66" s="186"/>
    </row>
    <row r="67" spans="1:18" ht="12" customHeight="1" x14ac:dyDescent="0.25"/>
    <row r="68" spans="1:18" ht="7.5" customHeight="1" x14ac:dyDescent="0.25"/>
    <row r="69" spans="1:18" ht="12" customHeight="1" x14ac:dyDescent="0.25"/>
    <row r="70" spans="1:18" ht="12" customHeight="1" x14ac:dyDescent="0.25"/>
    <row r="71" spans="1:18" ht="11.15" customHeight="1" x14ac:dyDescent="0.25"/>
    <row r="72" spans="1:18" ht="11.15" customHeight="1" x14ac:dyDescent="0.25"/>
    <row r="73" spans="1:18" ht="11.15" customHeight="1" x14ac:dyDescent="0.25">
      <c r="Q73" s="41"/>
      <c r="R73" s="41"/>
    </row>
  </sheetData>
  <mergeCells count="2">
    <mergeCell ref="A65:N65"/>
    <mergeCell ref="A63:N63"/>
  </mergeCells>
  <phoneticPr fontId="0" type="noConversion"/>
  <printOptions gridLinesSet="0"/>
  <pageMargins left="0.6" right="0.9" top="0.7" bottom="0.25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AF128"/>
  <sheetViews>
    <sheetView showGridLines="0" tabSelected="1" defaultGridColor="0" topLeftCell="N8" colorId="8" zoomScale="125" zoomScaleNormal="125" workbookViewId="0">
      <selection activeCell="V24" sqref="V24"/>
    </sheetView>
  </sheetViews>
  <sheetFormatPr defaultColWidth="12.453125" defaultRowHeight="10" customHeight="1" x14ac:dyDescent="0.25"/>
  <cols>
    <col min="1" max="1" width="29.26953125" style="55" customWidth="1"/>
    <col min="2" max="2" width="9.26953125" style="55" customWidth="1"/>
    <col min="3" max="3" width="1" style="55" customWidth="1"/>
    <col min="4" max="4" width="9.26953125" style="55" customWidth="1"/>
    <col min="5" max="5" width="1" style="55" customWidth="1"/>
    <col min="6" max="6" width="9.26953125" style="55" customWidth="1"/>
    <col min="7" max="7" width="1" style="55" customWidth="1"/>
    <col min="8" max="8" width="9.26953125" style="55" customWidth="1"/>
    <col min="9" max="9" width="1" style="55" customWidth="1"/>
    <col min="10" max="10" width="9.26953125" style="55" customWidth="1"/>
    <col min="11" max="11" width="1" style="55" customWidth="1"/>
    <col min="12" max="12" width="9.26953125" style="55" customWidth="1"/>
    <col min="13" max="13" width="2.54296875" style="55" customWidth="1"/>
    <col min="14" max="14" width="9.26953125" style="55" customWidth="1"/>
    <col min="15" max="15" width="1" style="55" customWidth="1"/>
    <col min="16" max="16" width="9.26953125" style="55" customWidth="1"/>
    <col min="17" max="17" width="1" style="55" customWidth="1"/>
    <col min="18" max="18" width="9.26953125" style="55" customWidth="1"/>
    <col min="19" max="19" width="1" style="55" customWidth="1"/>
    <col min="20" max="20" width="9.26953125" style="55" customWidth="1"/>
    <col min="21" max="21" width="1" style="55" customWidth="1"/>
    <col min="22" max="22" width="9.26953125" style="55" customWidth="1"/>
    <col min="23" max="23" width="1" style="55" customWidth="1"/>
    <col min="24" max="24" width="9.26953125" style="55" customWidth="1"/>
    <col min="25" max="25" width="1" style="55" customWidth="1"/>
    <col min="26" max="26" width="9.26953125" style="55" customWidth="1"/>
    <col min="27" max="27" width="1" style="55" customWidth="1"/>
    <col min="28" max="28" width="9.26953125" style="55" customWidth="1"/>
    <col min="29" max="29" width="1" style="55" customWidth="1"/>
    <col min="30" max="30" width="9.26953125" style="55" customWidth="1"/>
    <col min="31" max="31" width="12.453125" style="55"/>
    <col min="32" max="94" width="18.81640625" style="55" customWidth="1"/>
    <col min="95" max="16384" width="12.453125" style="55"/>
  </cols>
  <sheetData>
    <row r="1" spans="1:31" s="219" customFormat="1" ht="10" customHeight="1" x14ac:dyDescent="0.25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</row>
    <row r="2" spans="1:31" s="219" customFormat="1" ht="10" customHeight="1" x14ac:dyDescent="0.25">
      <c r="A2" s="217" t="s">
        <v>78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</row>
    <row r="3" spans="1:31" s="219" customFormat="1" ht="10" customHeight="1" x14ac:dyDescent="0.25">
      <c r="A3" s="217" t="s">
        <v>122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</row>
    <row r="4" spans="1:31" s="219" customFormat="1" ht="10" customHeight="1" x14ac:dyDescent="0.25">
      <c r="A4" s="217" t="s">
        <v>123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</row>
    <row r="5" spans="1:31" s="219" customFormat="1" ht="10" customHeight="1" x14ac:dyDescent="0.25">
      <c r="A5" s="217" t="s">
        <v>273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</row>
    <row r="6" spans="1:31" ht="3" customHeight="1" x14ac:dyDescent="0.25">
      <c r="A6" s="184" t="s">
        <v>3</v>
      </c>
      <c r="B6" s="183"/>
      <c r="C6" s="185"/>
      <c r="D6" s="185"/>
      <c r="E6" s="185"/>
      <c r="F6" s="183"/>
      <c r="G6" s="183"/>
      <c r="H6" s="183"/>
      <c r="I6" s="183"/>
      <c r="J6" s="183"/>
      <c r="K6" s="183"/>
      <c r="L6" s="183"/>
    </row>
    <row r="7" spans="1:31" ht="3" customHeight="1" x14ac:dyDescent="0.25">
      <c r="B7" s="57"/>
      <c r="C7" s="57"/>
      <c r="D7" s="57"/>
      <c r="E7" s="57"/>
      <c r="F7" s="57"/>
    </row>
    <row r="8" spans="1:31" ht="3.75" customHeight="1" x14ac:dyDescent="0.25">
      <c r="B8" s="57"/>
      <c r="C8" s="57"/>
      <c r="D8" s="57"/>
      <c r="E8" s="57"/>
      <c r="F8" s="57"/>
    </row>
    <row r="9" spans="1:31" ht="9.75" customHeight="1" x14ac:dyDescent="0.25">
      <c r="B9" s="202" t="s">
        <v>124</v>
      </c>
      <c r="C9" s="203"/>
      <c r="D9" s="202"/>
      <c r="E9" s="202"/>
      <c r="F9" s="203"/>
      <c r="H9" s="202" t="s">
        <v>125</v>
      </c>
      <c r="I9" s="202"/>
      <c r="J9" s="202"/>
      <c r="K9" s="203"/>
      <c r="L9" s="203"/>
      <c r="N9" s="202" t="s">
        <v>126</v>
      </c>
      <c r="O9" s="202"/>
      <c r="P9" s="202"/>
      <c r="Q9" s="203"/>
      <c r="R9" s="203"/>
      <c r="T9" s="202" t="s">
        <v>127</v>
      </c>
      <c r="U9" s="202"/>
      <c r="V9" s="202"/>
      <c r="W9" s="203"/>
      <c r="X9" s="203"/>
      <c r="Z9" s="202" t="s">
        <v>128</v>
      </c>
      <c r="AA9" s="202"/>
      <c r="AB9" s="202"/>
      <c r="AC9" s="203"/>
      <c r="AD9" s="203"/>
      <c r="AE9" s="57"/>
    </row>
    <row r="10" spans="1:31" ht="12" customHeight="1" x14ac:dyDescent="0.25">
      <c r="B10" s="59" t="s">
        <v>129</v>
      </c>
      <c r="C10" s="57"/>
      <c r="D10" s="60"/>
      <c r="E10" s="60"/>
      <c r="F10" s="59" t="s">
        <v>130</v>
      </c>
      <c r="H10" s="59" t="s">
        <v>129</v>
      </c>
      <c r="I10" s="60"/>
      <c r="J10" s="57"/>
      <c r="K10" s="57"/>
      <c r="L10" s="59" t="s">
        <v>130</v>
      </c>
      <c r="N10" s="59" t="s">
        <v>129</v>
      </c>
      <c r="O10" s="60"/>
      <c r="P10" s="57"/>
      <c r="Q10" s="57"/>
      <c r="R10" s="59" t="s">
        <v>130</v>
      </c>
      <c r="T10" s="59" t="s">
        <v>129</v>
      </c>
      <c r="U10" s="60"/>
      <c r="V10" s="57"/>
      <c r="W10" s="57"/>
      <c r="X10" s="59" t="s">
        <v>130</v>
      </c>
      <c r="Z10" s="59" t="s">
        <v>129</v>
      </c>
      <c r="AA10" s="60"/>
      <c r="AB10" s="57"/>
      <c r="AC10" s="57"/>
      <c r="AD10" s="59" t="s">
        <v>130</v>
      </c>
      <c r="AE10" s="59"/>
    </row>
    <row r="11" spans="1:31" ht="10" customHeight="1" x14ac:dyDescent="0.25">
      <c r="B11" s="59" t="s">
        <v>131</v>
      </c>
      <c r="C11" s="57"/>
      <c r="D11" s="60"/>
      <c r="E11" s="60"/>
      <c r="F11" s="59" t="s">
        <v>132</v>
      </c>
      <c r="H11" s="59" t="s">
        <v>131</v>
      </c>
      <c r="I11" s="60"/>
      <c r="J11" s="57"/>
      <c r="K11" s="57"/>
      <c r="L11" s="59" t="s">
        <v>132</v>
      </c>
      <c r="N11" s="59" t="s">
        <v>131</v>
      </c>
      <c r="O11" s="60"/>
      <c r="P11" s="57"/>
      <c r="Q11" s="57"/>
      <c r="R11" s="59" t="s">
        <v>132</v>
      </c>
      <c r="T11" s="59" t="s">
        <v>131</v>
      </c>
      <c r="U11" s="60"/>
      <c r="V11" s="57"/>
      <c r="W11" s="57"/>
      <c r="X11" s="59" t="s">
        <v>132</v>
      </c>
      <c r="Z11" s="59" t="s">
        <v>131</v>
      </c>
      <c r="AA11" s="60"/>
      <c r="AB11" s="57"/>
      <c r="AC11" s="57"/>
      <c r="AD11" s="59" t="s">
        <v>132</v>
      </c>
      <c r="AE11" s="59"/>
    </row>
    <row r="12" spans="1:31" ht="10" customHeight="1" x14ac:dyDescent="0.25">
      <c r="A12" s="56"/>
      <c r="B12" s="58" t="s">
        <v>244</v>
      </c>
      <c r="C12" s="61"/>
      <c r="D12" s="58" t="s">
        <v>133</v>
      </c>
      <c r="E12" s="61"/>
      <c r="F12" s="58" t="s">
        <v>134</v>
      </c>
      <c r="G12" s="61"/>
      <c r="H12" s="58" t="s">
        <v>244</v>
      </c>
      <c r="I12" s="61"/>
      <c r="J12" s="58" t="s">
        <v>133</v>
      </c>
      <c r="K12" s="61"/>
      <c r="L12" s="58" t="s">
        <v>134</v>
      </c>
      <c r="M12" s="61"/>
      <c r="N12" s="58" t="s">
        <v>244</v>
      </c>
      <c r="O12" s="61"/>
      <c r="P12" s="58" t="s">
        <v>133</v>
      </c>
      <c r="Q12" s="61"/>
      <c r="R12" s="58" t="s">
        <v>134</v>
      </c>
      <c r="S12" s="61"/>
      <c r="T12" s="58" t="s">
        <v>244</v>
      </c>
      <c r="U12" s="61"/>
      <c r="V12" s="58" t="s">
        <v>133</v>
      </c>
      <c r="W12" s="61"/>
      <c r="X12" s="58" t="s">
        <v>134</v>
      </c>
      <c r="Y12" s="61"/>
      <c r="Z12" s="58" t="s">
        <v>244</v>
      </c>
      <c r="AA12" s="61"/>
      <c r="AB12" s="58" t="s">
        <v>133</v>
      </c>
      <c r="AC12" s="61"/>
      <c r="AD12" s="58" t="s">
        <v>134</v>
      </c>
      <c r="AE12" s="62"/>
    </row>
    <row r="13" spans="1:31" ht="2.25" customHeight="1" x14ac:dyDescent="0.25">
      <c r="A13" s="56"/>
      <c r="B13" s="62"/>
      <c r="C13" s="61"/>
      <c r="D13" s="62"/>
      <c r="E13" s="61"/>
      <c r="F13" s="62"/>
      <c r="G13" s="61"/>
      <c r="H13" s="62"/>
      <c r="I13" s="61"/>
      <c r="J13" s="62"/>
      <c r="K13" s="61"/>
      <c r="L13" s="62"/>
      <c r="M13" s="61"/>
      <c r="N13" s="62"/>
      <c r="O13" s="61"/>
      <c r="P13" s="62"/>
      <c r="Q13" s="61"/>
      <c r="R13" s="62"/>
      <c r="S13" s="61"/>
      <c r="T13" s="62"/>
      <c r="U13" s="61"/>
      <c r="V13" s="62"/>
      <c r="W13" s="61"/>
      <c r="X13" s="62"/>
      <c r="Y13" s="61"/>
      <c r="Z13" s="62"/>
      <c r="AA13" s="61"/>
      <c r="AB13" s="62"/>
      <c r="AC13" s="61"/>
      <c r="AD13" s="62"/>
      <c r="AE13" s="62"/>
    </row>
    <row r="14" spans="1:31" ht="10" customHeight="1" x14ac:dyDescent="0.25">
      <c r="A14" s="63" t="s">
        <v>85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</row>
    <row r="15" spans="1:31" ht="10" customHeight="1" x14ac:dyDescent="0.25">
      <c r="A15" s="56" t="s">
        <v>86</v>
      </c>
      <c r="B15" s="64">
        <v>13702410</v>
      </c>
      <c r="C15" s="64"/>
      <c r="D15" s="64">
        <v>13849499</v>
      </c>
      <c r="E15" s="64"/>
      <c r="F15" s="64">
        <v>147089</v>
      </c>
      <c r="G15" s="64"/>
      <c r="H15" s="64">
        <v>1581992</v>
      </c>
      <c r="I15" s="64"/>
      <c r="J15" s="64">
        <v>1586146</v>
      </c>
      <c r="K15" s="64"/>
      <c r="L15" s="64">
        <v>4154</v>
      </c>
      <c r="M15" s="64"/>
      <c r="N15" s="64">
        <v>676233</v>
      </c>
      <c r="O15" s="64"/>
      <c r="P15" s="64">
        <v>707995</v>
      </c>
      <c r="Q15" s="64"/>
      <c r="R15" s="64">
        <v>31762</v>
      </c>
      <c r="S15" s="64"/>
      <c r="T15" s="64"/>
      <c r="U15" s="64"/>
      <c r="V15" s="64"/>
      <c r="W15" s="64"/>
      <c r="X15" s="64"/>
      <c r="Y15" s="64"/>
      <c r="Z15" s="64">
        <v>15960635</v>
      </c>
      <c r="AA15" s="64"/>
      <c r="AB15" s="64">
        <v>16143640</v>
      </c>
      <c r="AC15" s="64"/>
      <c r="AD15" s="64">
        <v>183005</v>
      </c>
      <c r="AE15" s="64"/>
    </row>
    <row r="16" spans="1:31" ht="10" customHeight="1" x14ac:dyDescent="0.25">
      <c r="A16" s="56" t="s">
        <v>87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>
        <v>280710</v>
      </c>
      <c r="O16" s="65"/>
      <c r="P16" s="65">
        <v>283215</v>
      </c>
      <c r="Q16" s="65"/>
      <c r="R16" s="66">
        <v>2505</v>
      </c>
      <c r="S16" s="64"/>
      <c r="T16" s="65"/>
      <c r="U16" s="65"/>
      <c r="V16" s="65"/>
      <c r="W16" s="65"/>
      <c r="X16" s="66"/>
      <c r="Y16" s="65"/>
      <c r="Z16" s="65">
        <v>280710</v>
      </c>
      <c r="AA16" s="65"/>
      <c r="AB16" s="65">
        <v>283215</v>
      </c>
      <c r="AC16" s="65"/>
      <c r="AD16" s="65">
        <v>2505</v>
      </c>
      <c r="AE16" s="65"/>
    </row>
    <row r="17" spans="1:32" ht="10" customHeight="1" x14ac:dyDescent="0.25">
      <c r="A17" s="56" t="s">
        <v>88</v>
      </c>
      <c r="B17" s="65">
        <v>1512262</v>
      </c>
      <c r="C17" s="65"/>
      <c r="D17" s="65">
        <v>1513562</v>
      </c>
      <c r="E17" s="65"/>
      <c r="F17" s="65">
        <v>1300</v>
      </c>
      <c r="G17" s="65"/>
      <c r="H17" s="65">
        <v>6679974</v>
      </c>
      <c r="I17" s="65"/>
      <c r="J17" s="65">
        <v>6720395</v>
      </c>
      <c r="K17" s="65"/>
      <c r="L17" s="65">
        <v>40421</v>
      </c>
      <c r="M17" s="65"/>
      <c r="N17" s="65"/>
      <c r="O17" s="65"/>
      <c r="P17" s="65"/>
      <c r="Q17" s="65"/>
      <c r="R17" s="66"/>
      <c r="S17" s="65"/>
      <c r="T17" s="67">
        <v>1990382</v>
      </c>
      <c r="U17" s="67"/>
      <c r="V17" s="67">
        <v>1906249</v>
      </c>
      <c r="W17" s="67"/>
      <c r="X17" s="254">
        <v>-84133</v>
      </c>
      <c r="Y17" s="65"/>
      <c r="Z17" s="65">
        <v>10182618</v>
      </c>
      <c r="AA17" s="65"/>
      <c r="AB17" s="65">
        <v>10140206</v>
      </c>
      <c r="AC17" s="65"/>
      <c r="AD17" s="65">
        <v>-42412</v>
      </c>
      <c r="AE17" s="65"/>
    </row>
    <row r="18" spans="1:32" ht="10" customHeight="1" x14ac:dyDescent="0.25">
      <c r="A18" s="56" t="s">
        <v>89</v>
      </c>
      <c r="B18" s="65">
        <v>119745</v>
      </c>
      <c r="C18" s="65"/>
      <c r="D18" s="65">
        <v>125626</v>
      </c>
      <c r="E18" s="65"/>
      <c r="F18" s="65">
        <v>5881</v>
      </c>
      <c r="G18" s="65"/>
      <c r="H18" s="65">
        <v>703563</v>
      </c>
      <c r="I18" s="65"/>
      <c r="J18" s="65">
        <v>542359</v>
      </c>
      <c r="K18" s="65"/>
      <c r="L18" s="65">
        <v>-161204</v>
      </c>
      <c r="M18" s="65"/>
      <c r="N18" s="65"/>
      <c r="O18" s="65"/>
      <c r="P18" s="65"/>
      <c r="Q18" s="65"/>
      <c r="R18" s="66"/>
      <c r="S18" s="65"/>
      <c r="T18" s="66">
        <v>166000</v>
      </c>
      <c r="U18" s="66"/>
      <c r="V18" s="66">
        <v>9156</v>
      </c>
      <c r="W18" s="67"/>
      <c r="X18" s="65">
        <v>-156844</v>
      </c>
      <c r="Y18" s="65"/>
      <c r="Z18" s="65">
        <v>989308</v>
      </c>
      <c r="AA18" s="65"/>
      <c r="AB18" s="65">
        <v>677141</v>
      </c>
      <c r="AC18" s="65"/>
      <c r="AD18" s="65">
        <v>-312167</v>
      </c>
      <c r="AE18" s="65"/>
    </row>
    <row r="19" spans="1:32" ht="10" customHeight="1" x14ac:dyDescent="0.25">
      <c r="A19" s="56" t="s">
        <v>90</v>
      </c>
      <c r="B19" s="65">
        <v>827200</v>
      </c>
      <c r="C19" s="65"/>
      <c r="D19" s="65">
        <v>770626</v>
      </c>
      <c r="E19" s="65"/>
      <c r="F19" s="65">
        <v>-56574</v>
      </c>
      <c r="G19" s="65"/>
      <c r="H19" s="65">
        <v>2751000</v>
      </c>
      <c r="I19" s="65"/>
      <c r="J19" s="65">
        <v>2592028</v>
      </c>
      <c r="K19" s="65"/>
      <c r="L19" s="65">
        <v>-158972</v>
      </c>
      <c r="M19" s="65"/>
      <c r="N19" s="65"/>
      <c r="O19" s="65"/>
      <c r="P19" s="65"/>
      <c r="Q19" s="65"/>
      <c r="R19" s="66"/>
      <c r="S19" s="65"/>
      <c r="T19" s="65"/>
      <c r="U19" s="65"/>
      <c r="V19" s="65"/>
      <c r="W19" s="65"/>
      <c r="X19" s="66"/>
      <c r="Y19" s="65"/>
      <c r="Z19" s="65">
        <v>3578200</v>
      </c>
      <c r="AA19" s="65"/>
      <c r="AB19" s="65">
        <v>3362654</v>
      </c>
      <c r="AC19" s="65"/>
      <c r="AD19" s="65">
        <v>-215546</v>
      </c>
      <c r="AE19" s="65"/>
    </row>
    <row r="20" spans="1:32" ht="10" customHeight="1" x14ac:dyDescent="0.25">
      <c r="A20" s="56" t="s">
        <v>91</v>
      </c>
      <c r="B20" s="65">
        <v>3920045</v>
      </c>
      <c r="C20" s="65"/>
      <c r="D20" s="65">
        <v>4196319</v>
      </c>
      <c r="E20" s="65"/>
      <c r="F20" s="65">
        <v>276274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6"/>
      <c r="S20" s="65"/>
      <c r="T20" s="65"/>
      <c r="U20" s="65"/>
      <c r="V20" s="65"/>
      <c r="W20" s="65"/>
      <c r="X20" s="66"/>
      <c r="Y20" s="65"/>
      <c r="Z20" s="65">
        <v>3920045</v>
      </c>
      <c r="AA20" s="65"/>
      <c r="AB20" s="65">
        <v>4196319</v>
      </c>
      <c r="AC20" s="65"/>
      <c r="AD20" s="65">
        <v>276274</v>
      </c>
      <c r="AE20" s="65"/>
    </row>
    <row r="21" spans="1:32" ht="10" customHeight="1" x14ac:dyDescent="0.25">
      <c r="A21" s="56" t="s">
        <v>92</v>
      </c>
      <c r="B21" s="65">
        <v>2370500</v>
      </c>
      <c r="C21" s="65"/>
      <c r="D21" s="65">
        <v>1725679</v>
      </c>
      <c r="E21" s="65"/>
      <c r="F21" s="65">
        <v>-644821</v>
      </c>
      <c r="G21" s="65"/>
      <c r="H21" s="65">
        <v>85000</v>
      </c>
      <c r="I21" s="65"/>
      <c r="J21" s="65">
        <v>122111</v>
      </c>
      <c r="K21" s="65"/>
      <c r="L21" s="65">
        <v>37111</v>
      </c>
      <c r="M21" s="65"/>
      <c r="N21" s="65"/>
      <c r="O21" s="65"/>
      <c r="P21" s="65"/>
      <c r="Q21" s="65"/>
      <c r="R21" s="66"/>
      <c r="S21" s="65"/>
      <c r="T21" s="65"/>
      <c r="U21" s="65"/>
      <c r="V21" s="65"/>
      <c r="W21" s="65"/>
      <c r="X21" s="66"/>
      <c r="Y21" s="65"/>
      <c r="Z21" s="65">
        <v>2455500</v>
      </c>
      <c r="AA21" s="65"/>
      <c r="AB21" s="65">
        <v>1847790</v>
      </c>
      <c r="AC21" s="65"/>
      <c r="AD21" s="65">
        <v>-607710</v>
      </c>
      <c r="AE21" s="65"/>
    </row>
    <row r="22" spans="1:32" ht="10" customHeight="1" x14ac:dyDescent="0.25">
      <c r="A22" s="56" t="s">
        <v>135</v>
      </c>
      <c r="B22" s="65">
        <v>582000</v>
      </c>
      <c r="C22" s="65"/>
      <c r="D22" s="65">
        <v>397223</v>
      </c>
      <c r="E22" s="65"/>
      <c r="F22" s="65">
        <v>-184777</v>
      </c>
      <c r="G22" s="65"/>
      <c r="H22" s="65">
        <v>571330</v>
      </c>
      <c r="I22" s="65"/>
      <c r="J22" s="65">
        <v>478427</v>
      </c>
      <c r="K22" s="65"/>
      <c r="L22" s="65">
        <v>-92903</v>
      </c>
      <c r="M22" s="65"/>
      <c r="N22" s="65">
        <v>92587</v>
      </c>
      <c r="O22" s="65"/>
      <c r="P22" s="65">
        <v>152200</v>
      </c>
      <c r="Q22" s="65"/>
      <c r="R22" s="66">
        <v>59613</v>
      </c>
      <c r="S22" s="65"/>
      <c r="T22" s="65">
        <v>83300</v>
      </c>
      <c r="U22" s="65"/>
      <c r="V22" s="66">
        <v>122631</v>
      </c>
      <c r="W22" s="65"/>
      <c r="X22" s="66">
        <v>39331</v>
      </c>
      <c r="Y22" s="65"/>
      <c r="Z22" s="65">
        <v>1329217</v>
      </c>
      <c r="AA22" s="65"/>
      <c r="AB22" s="65">
        <v>1150481</v>
      </c>
      <c r="AC22" s="65"/>
      <c r="AD22" s="65">
        <v>-178736</v>
      </c>
      <c r="AE22" s="65"/>
    </row>
    <row r="23" spans="1:32" ht="10" customHeight="1" x14ac:dyDescent="0.25">
      <c r="A23" s="56" t="s">
        <v>95</v>
      </c>
      <c r="B23" s="65">
        <v>450000</v>
      </c>
      <c r="C23" s="65"/>
      <c r="D23" s="65">
        <v>554969</v>
      </c>
      <c r="E23" s="65"/>
      <c r="F23" s="65">
        <v>104969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6"/>
      <c r="S23" s="65"/>
      <c r="T23" s="65"/>
      <c r="U23" s="65"/>
      <c r="V23" s="65"/>
      <c r="W23" s="65"/>
      <c r="X23" s="66"/>
      <c r="Y23" s="65"/>
      <c r="Z23" s="65">
        <v>450000</v>
      </c>
      <c r="AA23" s="65"/>
      <c r="AB23" s="65">
        <v>554969</v>
      </c>
      <c r="AC23" s="65"/>
      <c r="AD23" s="65">
        <v>104969</v>
      </c>
      <c r="AE23" s="65"/>
    </row>
    <row r="24" spans="1:32" ht="10" customHeight="1" x14ac:dyDescent="0.25">
      <c r="A24" s="56" t="s">
        <v>96</v>
      </c>
      <c r="B24" s="65"/>
      <c r="C24" s="65"/>
      <c r="D24" s="65"/>
      <c r="E24" s="65"/>
      <c r="F24" s="65"/>
      <c r="G24" s="65"/>
      <c r="H24" s="65">
        <v>13000</v>
      </c>
      <c r="I24" s="65"/>
      <c r="J24" s="65">
        <v>13092</v>
      </c>
      <c r="K24" s="65"/>
      <c r="L24" s="65">
        <v>92</v>
      </c>
      <c r="M24" s="65"/>
      <c r="N24" s="65"/>
      <c r="O24" s="65"/>
      <c r="P24" s="65"/>
      <c r="Q24" s="65"/>
      <c r="R24" s="66"/>
      <c r="S24" s="65"/>
      <c r="T24" s="65"/>
      <c r="U24" s="65"/>
      <c r="V24" s="65"/>
      <c r="W24" s="65"/>
      <c r="X24" s="66"/>
      <c r="Y24" s="65"/>
      <c r="Z24" s="65">
        <v>13000</v>
      </c>
      <c r="AA24" s="65"/>
      <c r="AB24" s="65">
        <v>13092</v>
      </c>
      <c r="AC24" s="65"/>
      <c r="AD24" s="65">
        <v>92</v>
      </c>
      <c r="AE24" s="65"/>
    </row>
    <row r="25" spans="1:32" ht="10" customHeight="1" x14ac:dyDescent="0.25">
      <c r="A25" s="56" t="s">
        <v>274</v>
      </c>
      <c r="B25" s="65">
        <v>1900000</v>
      </c>
      <c r="C25" s="65"/>
      <c r="D25" s="65">
        <v>1900000</v>
      </c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6"/>
      <c r="S25" s="65"/>
      <c r="T25" s="65"/>
      <c r="U25" s="65"/>
      <c r="V25" s="65"/>
      <c r="W25" s="65"/>
      <c r="X25" s="66"/>
      <c r="Y25" s="65"/>
      <c r="Z25" s="65">
        <v>1900000</v>
      </c>
      <c r="AA25" s="65"/>
      <c r="AB25" s="65">
        <v>1900000</v>
      </c>
      <c r="AC25" s="65"/>
      <c r="AD25" s="65"/>
      <c r="AE25" s="65"/>
    </row>
    <row r="26" spans="1:32" ht="10" customHeight="1" x14ac:dyDescent="0.25">
      <c r="A26" s="56" t="s">
        <v>97</v>
      </c>
      <c r="B26" s="68">
        <v>341415</v>
      </c>
      <c r="C26" s="65"/>
      <c r="D26" s="68">
        <v>551012</v>
      </c>
      <c r="E26" s="65"/>
      <c r="F26" s="68">
        <v>209597</v>
      </c>
      <c r="G26" s="65"/>
      <c r="H26" s="68">
        <v>304740</v>
      </c>
      <c r="I26" s="65"/>
      <c r="J26" s="68">
        <v>503372</v>
      </c>
      <c r="K26" s="65"/>
      <c r="L26" s="68">
        <v>198632</v>
      </c>
      <c r="M26" s="65"/>
      <c r="N26" s="68"/>
      <c r="O26" s="65"/>
      <c r="P26" s="68">
        <v>6361</v>
      </c>
      <c r="Q26" s="65"/>
      <c r="R26" s="68">
        <v>6361</v>
      </c>
      <c r="S26" s="65"/>
      <c r="T26" s="68">
        <v>255059</v>
      </c>
      <c r="U26" s="65"/>
      <c r="V26" s="68">
        <v>205460</v>
      </c>
      <c r="W26" s="65"/>
      <c r="X26" s="68">
        <v>-49599</v>
      </c>
      <c r="Y26" s="65"/>
      <c r="Z26" s="68">
        <v>901214</v>
      </c>
      <c r="AA26" s="65"/>
      <c r="AB26" s="68">
        <v>1266205</v>
      </c>
      <c r="AC26" s="65"/>
      <c r="AD26" s="68">
        <v>364991</v>
      </c>
      <c r="AE26" s="69"/>
    </row>
    <row r="27" spans="1:32" ht="12.65" customHeight="1" x14ac:dyDescent="0.25">
      <c r="A27" s="60" t="s">
        <v>136</v>
      </c>
      <c r="B27" s="68">
        <v>25725577</v>
      </c>
      <c r="C27" s="65"/>
      <c r="D27" s="68">
        <v>25584515</v>
      </c>
      <c r="E27" s="65"/>
      <c r="F27" s="68">
        <v>-141062</v>
      </c>
      <c r="G27" s="65"/>
      <c r="H27" s="68">
        <v>12690599</v>
      </c>
      <c r="I27" s="65"/>
      <c r="J27" s="68">
        <v>12557930</v>
      </c>
      <c r="K27" s="65"/>
      <c r="L27" s="68">
        <v>-132669</v>
      </c>
      <c r="M27" s="65"/>
      <c r="N27" s="68">
        <v>1049530</v>
      </c>
      <c r="O27" s="65"/>
      <c r="P27" s="68">
        <v>1149771</v>
      </c>
      <c r="Q27" s="65"/>
      <c r="R27" s="68">
        <v>100241</v>
      </c>
      <c r="S27" s="65"/>
      <c r="T27" s="68">
        <v>2494741</v>
      </c>
      <c r="U27" s="65"/>
      <c r="V27" s="68">
        <v>2243496</v>
      </c>
      <c r="W27" s="65"/>
      <c r="X27" s="68">
        <v>-251245</v>
      </c>
      <c r="Y27" s="65"/>
      <c r="Z27" s="68">
        <v>41960447</v>
      </c>
      <c r="AA27" s="65"/>
      <c r="AB27" s="68">
        <v>41535712</v>
      </c>
      <c r="AC27" s="65"/>
      <c r="AD27" s="68">
        <v>-424735</v>
      </c>
      <c r="AE27" s="69"/>
      <c r="AF27" s="65"/>
    </row>
    <row r="28" spans="1:32" ht="2.25" customHeight="1" x14ac:dyDescent="0.25">
      <c r="A28" s="60"/>
      <c r="B28" s="69"/>
      <c r="C28" s="65"/>
      <c r="D28" s="69"/>
      <c r="E28" s="65"/>
      <c r="F28" s="250"/>
      <c r="G28" s="65"/>
      <c r="H28" s="69"/>
      <c r="I28" s="65"/>
      <c r="J28" s="69"/>
      <c r="K28" s="65"/>
      <c r="L28" s="69"/>
      <c r="M28" s="65"/>
      <c r="N28" s="69"/>
      <c r="O28" s="65"/>
      <c r="P28" s="69"/>
      <c r="Q28" s="65"/>
      <c r="R28" s="69"/>
      <c r="S28" s="65"/>
      <c r="T28" s="69"/>
      <c r="U28" s="65"/>
      <c r="V28" s="69"/>
      <c r="W28" s="65"/>
      <c r="X28" s="69"/>
      <c r="Y28" s="65"/>
      <c r="Z28" s="69"/>
      <c r="AA28" s="65"/>
      <c r="AB28" s="69"/>
      <c r="AC28" s="65"/>
      <c r="AD28" s="69"/>
      <c r="AE28" s="69"/>
      <c r="AF28" s="65"/>
    </row>
    <row r="29" spans="1:32" ht="10" customHeight="1" x14ac:dyDescent="0.25">
      <c r="A29" s="54" t="s">
        <v>99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</row>
    <row r="30" spans="1:32" ht="10" customHeight="1" x14ac:dyDescent="0.25">
      <c r="A30" s="56" t="s">
        <v>100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</row>
    <row r="31" spans="1:32" ht="10" customHeight="1" x14ac:dyDescent="0.25">
      <c r="A31" s="56" t="s">
        <v>101</v>
      </c>
      <c r="B31" s="65">
        <v>13403387</v>
      </c>
      <c r="C31" s="65"/>
      <c r="D31" s="65">
        <v>11276417</v>
      </c>
      <c r="E31" s="65"/>
      <c r="F31" s="69">
        <v>2126970</v>
      </c>
      <c r="G31" s="65"/>
      <c r="H31" s="65">
        <v>3402042</v>
      </c>
      <c r="I31" s="65"/>
      <c r="J31" s="65">
        <v>3105448</v>
      </c>
      <c r="K31" s="65"/>
      <c r="L31" s="69">
        <v>296594</v>
      </c>
      <c r="M31" s="65"/>
      <c r="N31" s="65"/>
      <c r="O31" s="65"/>
      <c r="P31" s="65"/>
      <c r="Q31" s="65"/>
      <c r="R31" s="69"/>
      <c r="S31" s="65"/>
      <c r="T31" s="65">
        <v>204424</v>
      </c>
      <c r="U31" s="65"/>
      <c r="V31" s="65">
        <v>191174</v>
      </c>
      <c r="W31" s="65"/>
      <c r="X31" s="69">
        <v>13250</v>
      </c>
      <c r="Y31" s="65"/>
      <c r="Z31" s="65">
        <v>17009853</v>
      </c>
      <c r="AA31" s="64"/>
      <c r="AB31" s="65">
        <v>14573039</v>
      </c>
      <c r="AC31" s="64"/>
      <c r="AD31" s="65">
        <v>2436814</v>
      </c>
      <c r="AE31" s="65"/>
    </row>
    <row r="32" spans="1:32" ht="10" customHeight="1" x14ac:dyDescent="0.25">
      <c r="A32" s="56" t="s">
        <v>102</v>
      </c>
      <c r="B32" s="65">
        <v>13570101</v>
      </c>
      <c r="C32" s="65"/>
      <c r="D32" s="65">
        <v>12448145</v>
      </c>
      <c r="E32" s="65"/>
      <c r="F32" s="69">
        <v>1121956</v>
      </c>
      <c r="G32" s="65"/>
      <c r="H32" s="65"/>
      <c r="I32" s="65"/>
      <c r="J32" s="65"/>
      <c r="K32" s="65"/>
      <c r="L32" s="69"/>
      <c r="M32" s="65"/>
      <c r="N32" s="65"/>
      <c r="O32" s="65"/>
      <c r="P32" s="65"/>
      <c r="Q32" s="65"/>
      <c r="R32" s="69"/>
      <c r="S32" s="65"/>
      <c r="T32" s="65"/>
      <c r="U32" s="65"/>
      <c r="V32" s="65"/>
      <c r="W32" s="65"/>
      <c r="X32" s="69"/>
      <c r="Y32" s="65"/>
      <c r="Z32" s="65">
        <v>13570101</v>
      </c>
      <c r="AA32" s="65"/>
      <c r="AB32" s="65">
        <v>12448145</v>
      </c>
      <c r="AC32" s="65"/>
      <c r="AD32" s="65">
        <v>1121956</v>
      </c>
      <c r="AE32" s="65"/>
    </row>
    <row r="33" spans="1:31" ht="10" customHeight="1" x14ac:dyDescent="0.25">
      <c r="A33" s="56" t="s">
        <v>103</v>
      </c>
      <c r="B33" s="65"/>
      <c r="C33" s="65"/>
      <c r="F33" s="69"/>
      <c r="G33" s="65"/>
      <c r="H33" s="65">
        <v>4986155</v>
      </c>
      <c r="I33" s="65"/>
      <c r="J33" s="65">
        <v>4522245</v>
      </c>
      <c r="K33" s="65"/>
      <c r="L33" s="69">
        <v>463910</v>
      </c>
      <c r="M33" s="65"/>
      <c r="N33" s="65"/>
      <c r="O33" s="65"/>
      <c r="P33" s="65"/>
      <c r="Q33" s="65"/>
      <c r="R33" s="69"/>
      <c r="S33" s="65"/>
      <c r="T33" s="65">
        <v>7916733</v>
      </c>
      <c r="U33" s="65"/>
      <c r="V33" s="65">
        <v>4175120</v>
      </c>
      <c r="W33" s="65"/>
      <c r="X33" s="69">
        <v>3741613</v>
      </c>
      <c r="Y33" s="65"/>
      <c r="Z33" s="65">
        <v>12902888</v>
      </c>
      <c r="AA33" s="65"/>
      <c r="AB33" s="65">
        <v>8697365</v>
      </c>
      <c r="AC33" s="65"/>
      <c r="AD33" s="65">
        <v>4205523</v>
      </c>
      <c r="AE33" s="65"/>
    </row>
    <row r="34" spans="1:31" ht="10" customHeight="1" x14ac:dyDescent="0.25">
      <c r="A34" s="56" t="s">
        <v>104</v>
      </c>
      <c r="B34" s="65"/>
      <c r="C34" s="65"/>
      <c r="D34" s="65"/>
      <c r="E34" s="65"/>
      <c r="F34" s="69"/>
      <c r="G34" s="65"/>
      <c r="H34" s="65">
        <v>4114027</v>
      </c>
      <c r="I34" s="65"/>
      <c r="J34" s="65">
        <v>3971205</v>
      </c>
      <c r="K34" s="65"/>
      <c r="L34" s="69">
        <v>142822</v>
      </c>
      <c r="M34" s="65"/>
      <c r="N34" s="65"/>
      <c r="O34" s="65"/>
      <c r="P34" s="65"/>
      <c r="Q34" s="65"/>
      <c r="R34" s="69"/>
      <c r="S34" s="65"/>
      <c r="T34" s="65">
        <v>233000</v>
      </c>
      <c r="U34" s="65"/>
      <c r="V34" s="65">
        <v>130950</v>
      </c>
      <c r="W34" s="65"/>
      <c r="X34" s="69">
        <v>102050</v>
      </c>
      <c r="Y34" s="65"/>
      <c r="Z34" s="65">
        <v>4347027</v>
      </c>
      <c r="AA34" s="65"/>
      <c r="AB34" s="65">
        <v>4102155</v>
      </c>
      <c r="AC34" s="65"/>
      <c r="AD34" s="65">
        <v>244872</v>
      </c>
      <c r="AE34" s="65"/>
    </row>
    <row r="35" spans="1:31" ht="10" customHeight="1" x14ac:dyDescent="0.25">
      <c r="A35" s="56" t="s">
        <v>105</v>
      </c>
      <c r="B35" s="65"/>
      <c r="C35" s="65"/>
      <c r="D35" s="65"/>
      <c r="E35" s="65"/>
      <c r="F35" s="69"/>
      <c r="G35" s="65"/>
      <c r="H35" s="65">
        <v>136686</v>
      </c>
      <c r="I35" s="65"/>
      <c r="J35" s="65">
        <v>132124</v>
      </c>
      <c r="K35" s="65"/>
      <c r="L35" s="69">
        <v>4562</v>
      </c>
      <c r="M35" s="65"/>
      <c r="N35" s="65"/>
      <c r="O35" s="65"/>
      <c r="P35" s="65"/>
      <c r="Q35" s="65"/>
      <c r="R35" s="69"/>
      <c r="S35" s="65"/>
      <c r="T35" s="65"/>
      <c r="U35" s="65"/>
      <c r="V35" s="65"/>
      <c r="W35" s="65"/>
      <c r="X35" s="69"/>
      <c r="Y35" s="65"/>
      <c r="Z35" s="65">
        <v>136686</v>
      </c>
      <c r="AA35" s="65"/>
      <c r="AB35" s="65">
        <v>132124</v>
      </c>
      <c r="AC35" s="65"/>
      <c r="AD35" s="65">
        <v>4562</v>
      </c>
      <c r="AE35" s="65"/>
    </row>
    <row r="36" spans="1:31" ht="10" customHeight="1" x14ac:dyDescent="0.25">
      <c r="A36" s="56" t="s">
        <v>137</v>
      </c>
      <c r="B36" s="65"/>
      <c r="C36" s="65"/>
      <c r="D36" s="65"/>
      <c r="E36" s="65"/>
      <c r="F36" s="69"/>
      <c r="G36" s="65"/>
      <c r="H36" s="65"/>
      <c r="I36" s="65"/>
      <c r="J36" s="65"/>
      <c r="K36" s="65"/>
      <c r="L36" s="69"/>
      <c r="M36" s="65"/>
      <c r="N36" s="65"/>
      <c r="O36" s="65"/>
      <c r="P36" s="65"/>
      <c r="Q36" s="65"/>
      <c r="R36" s="69"/>
      <c r="S36" s="65"/>
      <c r="T36" s="65"/>
      <c r="U36" s="65"/>
      <c r="V36" s="65"/>
      <c r="W36" s="65"/>
      <c r="X36" s="69"/>
      <c r="Y36" s="65"/>
      <c r="Z36" s="65"/>
      <c r="AA36" s="65"/>
      <c r="AB36" s="65"/>
      <c r="AC36" s="65"/>
      <c r="AD36" s="65"/>
      <c r="AE36" s="65"/>
    </row>
    <row r="37" spans="1:31" ht="10" customHeight="1" x14ac:dyDescent="0.25">
      <c r="A37" s="56" t="s">
        <v>107</v>
      </c>
      <c r="B37" s="65"/>
      <c r="C37" s="65"/>
      <c r="D37" s="65"/>
      <c r="E37" s="65"/>
      <c r="F37" s="69"/>
      <c r="G37" s="65"/>
      <c r="H37" s="65"/>
      <c r="I37" s="65"/>
      <c r="J37" s="65"/>
      <c r="K37" s="65"/>
      <c r="L37" s="69"/>
      <c r="M37" s="65"/>
      <c r="N37" s="65">
        <v>1370000</v>
      </c>
      <c r="O37" s="65"/>
      <c r="P37" s="65">
        <v>1370000</v>
      </c>
      <c r="Q37" s="65"/>
      <c r="R37" s="69"/>
      <c r="S37" s="65"/>
      <c r="T37" s="65"/>
      <c r="U37" s="65"/>
      <c r="V37" s="65"/>
      <c r="W37" s="65"/>
      <c r="X37" s="69"/>
      <c r="Y37" s="65"/>
      <c r="Z37" s="65">
        <v>1370000</v>
      </c>
      <c r="AA37" s="65"/>
      <c r="AB37" s="65">
        <v>1370000</v>
      </c>
      <c r="AC37" s="65"/>
      <c r="AD37" s="65"/>
      <c r="AE37" s="65"/>
    </row>
    <row r="38" spans="1:31" ht="10" customHeight="1" x14ac:dyDescent="0.25">
      <c r="A38" s="56" t="s">
        <v>138</v>
      </c>
      <c r="B38" s="65"/>
      <c r="C38" s="65"/>
      <c r="D38" s="65"/>
      <c r="E38" s="65"/>
      <c r="F38" s="69"/>
      <c r="G38" s="65"/>
      <c r="H38" s="65"/>
      <c r="I38" s="65"/>
      <c r="J38" s="65"/>
      <c r="K38" s="65"/>
      <c r="L38" s="69"/>
      <c r="M38" s="65"/>
      <c r="N38" s="65">
        <v>1138530</v>
      </c>
      <c r="O38" s="65"/>
      <c r="P38" s="65">
        <v>1131086</v>
      </c>
      <c r="Q38" s="65"/>
      <c r="R38" s="69">
        <v>7444</v>
      </c>
      <c r="S38" s="65"/>
      <c r="T38" s="65"/>
      <c r="U38" s="65"/>
      <c r="V38" s="65"/>
      <c r="W38" s="65"/>
      <c r="X38" s="69"/>
      <c r="Y38" s="65"/>
      <c r="Z38" s="65">
        <v>1138530</v>
      </c>
      <c r="AA38" s="65"/>
      <c r="AB38" s="65">
        <v>1131086</v>
      </c>
      <c r="AC38" s="65"/>
      <c r="AD38" s="65">
        <v>7444</v>
      </c>
      <c r="AE38" s="65"/>
    </row>
    <row r="39" spans="1:31" ht="10" customHeight="1" x14ac:dyDescent="0.25">
      <c r="A39" s="60" t="s">
        <v>139</v>
      </c>
      <c r="B39" s="68">
        <v>6397372</v>
      </c>
      <c r="C39" s="65"/>
      <c r="D39" s="68"/>
      <c r="E39" s="65"/>
      <c r="F39" s="68">
        <v>6397372</v>
      </c>
      <c r="G39" s="65"/>
      <c r="H39" s="68">
        <v>5280206</v>
      </c>
      <c r="I39" s="65"/>
      <c r="J39" s="68"/>
      <c r="K39" s="65"/>
      <c r="L39" s="68">
        <v>5280206</v>
      </c>
      <c r="M39" s="69"/>
      <c r="N39" s="68">
        <v>2176016</v>
      </c>
      <c r="O39" s="65"/>
      <c r="P39" s="68"/>
      <c r="Q39" s="65"/>
      <c r="R39" s="68">
        <v>2176016</v>
      </c>
      <c r="S39" s="65"/>
      <c r="T39" s="68">
        <v>823574</v>
      </c>
      <c r="U39" s="65"/>
      <c r="V39" s="68"/>
      <c r="W39" s="65"/>
      <c r="X39" s="68">
        <v>823574</v>
      </c>
      <c r="Y39" s="69"/>
      <c r="Z39" s="68">
        <v>14677168</v>
      </c>
      <c r="AA39" s="65"/>
      <c r="AB39" s="68"/>
      <c r="AC39" s="65"/>
      <c r="AD39" s="68">
        <v>14677168</v>
      </c>
      <c r="AE39" s="69"/>
    </row>
    <row r="40" spans="1:31" ht="12.65" customHeight="1" x14ac:dyDescent="0.25">
      <c r="A40" s="56" t="s">
        <v>140</v>
      </c>
      <c r="B40" s="68">
        <v>33370860</v>
      </c>
      <c r="C40" s="65"/>
      <c r="D40" s="68">
        <v>23724562</v>
      </c>
      <c r="E40" s="65"/>
      <c r="F40" s="68">
        <v>9646298</v>
      </c>
      <c r="G40" s="65"/>
      <c r="H40" s="68">
        <v>17919116</v>
      </c>
      <c r="I40" s="65"/>
      <c r="J40" s="68">
        <v>11731022</v>
      </c>
      <c r="K40" s="65"/>
      <c r="L40" s="68">
        <v>6188094</v>
      </c>
      <c r="M40" s="69"/>
      <c r="N40" s="68">
        <v>4684546</v>
      </c>
      <c r="O40" s="65"/>
      <c r="P40" s="68">
        <v>2501086</v>
      </c>
      <c r="Q40" s="65"/>
      <c r="R40" s="68">
        <v>2183460</v>
      </c>
      <c r="S40" s="65"/>
      <c r="T40" s="68">
        <v>9177731</v>
      </c>
      <c r="U40" s="65"/>
      <c r="V40" s="68">
        <v>4497244</v>
      </c>
      <c r="W40" s="65"/>
      <c r="X40" s="68">
        <v>4680487</v>
      </c>
      <c r="Y40" s="65"/>
      <c r="Z40" s="68">
        <v>65152253</v>
      </c>
      <c r="AA40" s="65"/>
      <c r="AB40" s="68">
        <v>42453914</v>
      </c>
      <c r="AC40" s="65"/>
      <c r="AD40" s="68">
        <v>22698339</v>
      </c>
      <c r="AE40" s="69"/>
    </row>
    <row r="41" spans="1:31" ht="9.75" customHeight="1" x14ac:dyDescent="0.25">
      <c r="A41" s="56" t="s">
        <v>141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</row>
    <row r="42" spans="1:31" ht="10" customHeight="1" x14ac:dyDescent="0.25">
      <c r="A42" s="56" t="s">
        <v>142</v>
      </c>
      <c r="B42" s="68">
        <v>-7645283</v>
      </c>
      <c r="C42" s="65"/>
      <c r="D42" s="68">
        <v>1859953</v>
      </c>
      <c r="E42" s="65"/>
      <c r="F42" s="68">
        <v>9505236</v>
      </c>
      <c r="G42" s="65"/>
      <c r="H42" s="68">
        <v>-5228517</v>
      </c>
      <c r="I42" s="65"/>
      <c r="J42" s="68">
        <v>826908</v>
      </c>
      <c r="K42" s="65"/>
      <c r="L42" s="68">
        <v>6055425</v>
      </c>
      <c r="M42" s="65"/>
      <c r="N42" s="68">
        <v>-3635016</v>
      </c>
      <c r="O42" s="65"/>
      <c r="P42" s="68">
        <v>-1351315</v>
      </c>
      <c r="Q42" s="65"/>
      <c r="R42" s="68">
        <v>2283701</v>
      </c>
      <c r="S42" s="65"/>
      <c r="T42" s="68">
        <v>-6682990</v>
      </c>
      <c r="U42" s="69"/>
      <c r="V42" s="68">
        <v>-2253748</v>
      </c>
      <c r="W42" s="65"/>
      <c r="X42" s="68">
        <v>4429242</v>
      </c>
      <c r="Y42" s="65"/>
      <c r="Z42" s="68">
        <v>-23191806</v>
      </c>
      <c r="AA42" s="65"/>
      <c r="AB42" s="68">
        <v>-918202</v>
      </c>
      <c r="AC42" s="65"/>
      <c r="AD42" s="68">
        <v>22273604</v>
      </c>
      <c r="AE42" s="69"/>
    </row>
    <row r="43" spans="1:31" ht="1.5" customHeight="1" x14ac:dyDescent="0.25">
      <c r="A43" s="56"/>
      <c r="B43" s="69"/>
      <c r="C43" s="65"/>
      <c r="D43" s="69"/>
      <c r="E43" s="65"/>
      <c r="F43" s="69"/>
      <c r="G43" s="65"/>
      <c r="H43" s="69"/>
      <c r="I43" s="65"/>
      <c r="J43" s="69"/>
      <c r="K43" s="65"/>
      <c r="L43" s="69"/>
      <c r="M43" s="65"/>
      <c r="N43" s="69"/>
      <c r="O43" s="65"/>
      <c r="P43" s="69"/>
      <c r="Q43" s="65"/>
      <c r="R43" s="69"/>
      <c r="S43" s="65"/>
      <c r="T43" s="69"/>
      <c r="U43" s="69"/>
      <c r="V43" s="69"/>
      <c r="W43" s="65"/>
      <c r="X43" s="69"/>
      <c r="Y43" s="65"/>
      <c r="Z43" s="69"/>
      <c r="AA43" s="65"/>
      <c r="AB43" s="69"/>
      <c r="AC43" s="65"/>
      <c r="AD43" s="69"/>
      <c r="AE43" s="69"/>
    </row>
    <row r="44" spans="1:31" ht="10" customHeight="1" x14ac:dyDescent="0.25">
      <c r="A44" s="54" t="s">
        <v>112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</row>
    <row r="45" spans="1:31" ht="10" customHeight="1" x14ac:dyDescent="0.25">
      <c r="A45" s="56" t="s">
        <v>113</v>
      </c>
      <c r="B45" s="65">
        <v>2592828</v>
      </c>
      <c r="C45" s="65"/>
      <c r="D45" s="65">
        <v>2529884</v>
      </c>
      <c r="E45" s="65"/>
      <c r="F45" s="69">
        <v>-62944</v>
      </c>
      <c r="G45" s="65"/>
      <c r="H45" s="65">
        <v>325216</v>
      </c>
      <c r="I45" s="65"/>
      <c r="J45" s="65">
        <v>400837</v>
      </c>
      <c r="K45" s="65"/>
      <c r="L45" s="69">
        <v>75621</v>
      </c>
      <c r="M45" s="65"/>
      <c r="N45" s="65">
        <v>25162</v>
      </c>
      <c r="O45" s="65"/>
      <c r="P45" s="65">
        <v>29650</v>
      </c>
      <c r="Q45" s="65"/>
      <c r="R45" s="69">
        <v>4488</v>
      </c>
      <c r="S45" s="65"/>
      <c r="T45" s="65">
        <v>4085769</v>
      </c>
      <c r="U45" s="65"/>
      <c r="V45" s="65">
        <v>1678071</v>
      </c>
      <c r="W45" s="65"/>
      <c r="X45" s="65">
        <v>-2407698</v>
      </c>
      <c r="Y45" s="65"/>
      <c r="Z45" s="65">
        <v>7028975</v>
      </c>
      <c r="AA45" s="65"/>
      <c r="AB45" s="65">
        <v>4638442</v>
      </c>
      <c r="AC45" s="65"/>
      <c r="AD45" s="65">
        <v>-2390533</v>
      </c>
      <c r="AE45" s="65"/>
    </row>
    <row r="46" spans="1:31" ht="10" customHeight="1" x14ac:dyDescent="0.25">
      <c r="A46" s="56" t="s">
        <v>275</v>
      </c>
      <c r="B46" s="65">
        <v>162004</v>
      </c>
      <c r="C46" s="65"/>
      <c r="D46" s="65">
        <v>147813</v>
      </c>
      <c r="E46" s="65"/>
      <c r="F46" s="69">
        <v>-14191</v>
      </c>
      <c r="G46" s="65"/>
      <c r="H46" s="65"/>
      <c r="I46" s="65"/>
      <c r="J46" s="65"/>
      <c r="K46" s="65"/>
      <c r="L46" s="69"/>
      <c r="M46" s="65"/>
      <c r="N46" s="65"/>
      <c r="O46" s="65"/>
      <c r="P46" s="65"/>
      <c r="Q46" s="65"/>
      <c r="R46" s="69"/>
      <c r="S46" s="65"/>
      <c r="T46" s="65"/>
      <c r="U46" s="65"/>
      <c r="V46" s="65"/>
      <c r="W46" s="65"/>
      <c r="X46" s="65"/>
      <c r="Y46" s="65"/>
      <c r="Z46" s="65">
        <v>162004</v>
      </c>
      <c r="AA46" s="65"/>
      <c r="AB46" s="65">
        <v>147813</v>
      </c>
      <c r="AC46" s="65"/>
      <c r="AD46" s="65">
        <v>-14191</v>
      </c>
      <c r="AE46" s="65"/>
    </row>
    <row r="47" spans="1:31" ht="10" customHeight="1" x14ac:dyDescent="0.25">
      <c r="A47" s="56" t="s">
        <v>114</v>
      </c>
      <c r="B47" s="65">
        <v>-2974687</v>
      </c>
      <c r="C47" s="65"/>
      <c r="D47" s="65">
        <v>-2543078</v>
      </c>
      <c r="E47" s="65"/>
      <c r="F47" s="69">
        <v>431609</v>
      </c>
      <c r="G47" s="65"/>
      <c r="H47" s="65">
        <v>-5728498</v>
      </c>
      <c r="I47" s="65"/>
      <c r="J47" s="65">
        <v>-3522788</v>
      </c>
      <c r="K47" s="65"/>
      <c r="L47" s="69">
        <v>2205710</v>
      </c>
      <c r="M47" s="65"/>
      <c r="N47" s="65">
        <v>-28659</v>
      </c>
      <c r="O47" s="65"/>
      <c r="P47" s="65">
        <v>-27739</v>
      </c>
      <c r="Q47" s="65"/>
      <c r="R47" s="69">
        <v>920</v>
      </c>
      <c r="S47" s="65"/>
      <c r="T47" s="65">
        <v>-55938</v>
      </c>
      <c r="U47" s="65"/>
      <c r="V47" s="65">
        <v>-60426</v>
      </c>
      <c r="W47" s="65"/>
      <c r="X47" s="65">
        <v>-4488</v>
      </c>
      <c r="Y47" s="65"/>
      <c r="Z47" s="65">
        <v>-8787782</v>
      </c>
      <c r="AA47" s="65"/>
      <c r="AB47" s="65">
        <v>-6154031</v>
      </c>
      <c r="AC47" s="65"/>
      <c r="AD47" s="65">
        <v>2633751</v>
      </c>
      <c r="AE47" s="65"/>
    </row>
    <row r="48" spans="1:31" ht="10" hidden="1" customHeight="1" x14ac:dyDescent="0.25">
      <c r="A48" s="56" t="s">
        <v>114</v>
      </c>
      <c r="B48" s="65">
        <v>0</v>
      </c>
      <c r="C48" s="65"/>
      <c r="D48" s="65"/>
      <c r="E48" s="65"/>
      <c r="F48" s="69">
        <v>0</v>
      </c>
      <c r="G48" s="65"/>
      <c r="H48" s="65"/>
      <c r="I48" s="65"/>
      <c r="J48" s="65"/>
      <c r="K48" s="65"/>
      <c r="L48" s="69"/>
      <c r="M48" s="65"/>
      <c r="N48" s="65"/>
      <c r="O48" s="65"/>
      <c r="P48" s="65"/>
      <c r="Q48" s="65"/>
      <c r="R48" s="69">
        <v>0</v>
      </c>
      <c r="S48" s="65"/>
      <c r="T48" s="65"/>
      <c r="U48" s="65"/>
      <c r="V48" s="65"/>
      <c r="W48" s="65"/>
      <c r="X48" s="69"/>
      <c r="Y48" s="65"/>
      <c r="Z48" s="65">
        <v>0</v>
      </c>
      <c r="AA48" s="65"/>
      <c r="AB48" s="65">
        <v>0</v>
      </c>
      <c r="AC48" s="65"/>
      <c r="AD48" s="65">
        <v>0</v>
      </c>
      <c r="AE48" s="65"/>
    </row>
    <row r="49" spans="1:31" ht="10" customHeight="1" x14ac:dyDescent="0.25">
      <c r="A49" s="56" t="s">
        <v>276</v>
      </c>
      <c r="B49" s="65">
        <v>-100000</v>
      </c>
      <c r="C49" s="65"/>
      <c r="D49" s="65">
        <v>-99294</v>
      </c>
      <c r="E49" s="65"/>
      <c r="F49" s="69">
        <v>706</v>
      </c>
      <c r="G49" s="65"/>
      <c r="H49" s="65"/>
      <c r="I49" s="65"/>
      <c r="J49" s="65"/>
      <c r="K49" s="65"/>
      <c r="L49" s="69"/>
      <c r="M49" s="65"/>
      <c r="N49" s="65">
        <v>65000</v>
      </c>
      <c r="O49" s="65"/>
      <c r="P49" s="65">
        <v>99294</v>
      </c>
      <c r="Q49" s="65"/>
      <c r="R49" s="69">
        <v>34294</v>
      </c>
      <c r="S49" s="65"/>
      <c r="T49" s="65"/>
      <c r="U49" s="65"/>
      <c r="V49" s="65"/>
      <c r="W49" s="65"/>
      <c r="X49" s="69"/>
      <c r="Y49" s="65"/>
      <c r="Z49" s="65">
        <v>-35000</v>
      </c>
      <c r="AA49" s="65"/>
      <c r="AB49" s="65"/>
      <c r="AC49" s="65"/>
      <c r="AD49" s="65">
        <v>35000</v>
      </c>
      <c r="AE49" s="65"/>
    </row>
    <row r="50" spans="1:31" ht="10" customHeight="1" x14ac:dyDescent="0.25">
      <c r="A50" s="56" t="s">
        <v>277</v>
      </c>
      <c r="B50" s="65"/>
      <c r="C50" s="65"/>
      <c r="D50" s="65"/>
      <c r="E50" s="65"/>
      <c r="F50" s="69"/>
      <c r="G50" s="65"/>
      <c r="H50" s="65"/>
      <c r="I50" s="65"/>
      <c r="J50" s="65"/>
      <c r="K50" s="65"/>
      <c r="L50" s="69"/>
      <c r="M50" s="65"/>
      <c r="N50" s="65">
        <v>-165000</v>
      </c>
      <c r="O50" s="65"/>
      <c r="P50" s="65">
        <v>-155997</v>
      </c>
      <c r="Q50" s="65"/>
      <c r="R50" s="69">
        <v>9003</v>
      </c>
      <c r="S50" s="65"/>
      <c r="T50" s="65"/>
      <c r="U50" s="65"/>
      <c r="V50" s="65"/>
      <c r="W50" s="65"/>
      <c r="X50" s="69"/>
      <c r="Y50" s="65"/>
      <c r="Z50" s="65">
        <v>-165000</v>
      </c>
      <c r="AA50" s="65"/>
      <c r="AB50" s="65">
        <v>-155997</v>
      </c>
      <c r="AC50" s="65"/>
      <c r="AD50" s="65">
        <v>9003</v>
      </c>
      <c r="AE50" s="65"/>
    </row>
    <row r="51" spans="1:31" ht="10" customHeight="1" x14ac:dyDescent="0.25">
      <c r="A51" s="60" t="s">
        <v>143</v>
      </c>
      <c r="B51" s="68"/>
      <c r="C51" s="65"/>
      <c r="D51" s="68">
        <v>149117</v>
      </c>
      <c r="E51" s="65"/>
      <c r="F51" s="68">
        <v>149117</v>
      </c>
      <c r="G51" s="65"/>
      <c r="H51" s="68"/>
      <c r="I51" s="65"/>
      <c r="J51" s="68">
        <v>112149</v>
      </c>
      <c r="K51" s="65"/>
      <c r="L51" s="68">
        <v>112149</v>
      </c>
      <c r="M51" s="65"/>
      <c r="N51" s="68"/>
      <c r="O51" s="65"/>
      <c r="P51" s="68"/>
      <c r="Q51" s="65"/>
      <c r="R51" s="68"/>
      <c r="S51" s="65"/>
      <c r="T51" s="68">
        <v>30808</v>
      </c>
      <c r="U51" s="65"/>
      <c r="V51" s="68">
        <v>49763</v>
      </c>
      <c r="W51" s="65"/>
      <c r="X51" s="68">
        <v>18955</v>
      </c>
      <c r="Y51" s="65"/>
      <c r="Z51" s="68">
        <v>30808</v>
      </c>
      <c r="AA51" s="65"/>
      <c r="AB51" s="68">
        <v>311029</v>
      </c>
      <c r="AC51" s="65"/>
      <c r="AD51" s="68">
        <v>280221</v>
      </c>
      <c r="AE51" s="69"/>
    </row>
    <row r="52" spans="1:31" ht="12.65" customHeight="1" x14ac:dyDescent="0.25">
      <c r="A52" s="56" t="s">
        <v>144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</row>
    <row r="53" spans="1:31" ht="10" customHeight="1" x14ac:dyDescent="0.25">
      <c r="A53" s="56" t="s">
        <v>145</v>
      </c>
      <c r="B53" s="68">
        <v>-319855</v>
      </c>
      <c r="C53" s="65"/>
      <c r="D53" s="68">
        <v>184442</v>
      </c>
      <c r="E53" s="65"/>
      <c r="F53" s="68">
        <v>504297</v>
      </c>
      <c r="G53" s="65"/>
      <c r="H53" s="68">
        <v>-5403282</v>
      </c>
      <c r="I53" s="65"/>
      <c r="J53" s="68">
        <v>-3009802</v>
      </c>
      <c r="K53" s="65"/>
      <c r="L53" s="68">
        <v>2393480</v>
      </c>
      <c r="M53" s="65"/>
      <c r="N53" s="68">
        <v>-103497</v>
      </c>
      <c r="O53" s="65"/>
      <c r="P53" s="68">
        <v>-54792</v>
      </c>
      <c r="Q53" s="65"/>
      <c r="R53" s="68">
        <v>48705</v>
      </c>
      <c r="S53" s="65"/>
      <c r="T53" s="68">
        <v>4060639</v>
      </c>
      <c r="U53" s="65"/>
      <c r="V53" s="68">
        <v>1667408</v>
      </c>
      <c r="W53" s="65"/>
      <c r="X53" s="68">
        <v>-2393231</v>
      </c>
      <c r="Y53" s="65"/>
      <c r="Z53" s="68">
        <v>-1765995</v>
      </c>
      <c r="AA53" s="65"/>
      <c r="AB53" s="68">
        <v>-1212744</v>
      </c>
      <c r="AC53" s="65"/>
      <c r="AD53" s="68">
        <v>553251</v>
      </c>
      <c r="AE53" s="69"/>
    </row>
    <row r="54" spans="1:31" ht="14.15" customHeight="1" x14ac:dyDescent="0.25">
      <c r="A54" s="56" t="s">
        <v>117</v>
      </c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</row>
    <row r="55" spans="1:31" ht="10" customHeight="1" x14ac:dyDescent="0.25">
      <c r="A55" s="56" t="s">
        <v>118</v>
      </c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</row>
    <row r="56" spans="1:31" s="57" customFormat="1" ht="10" customHeight="1" x14ac:dyDescent="0.25">
      <c r="A56" s="60" t="s">
        <v>119</v>
      </c>
      <c r="B56" s="69">
        <v>-7965138</v>
      </c>
      <c r="C56" s="69"/>
      <c r="D56" s="69">
        <v>2044395</v>
      </c>
      <c r="E56" s="69"/>
      <c r="F56" s="69">
        <v>10009533</v>
      </c>
      <c r="G56" s="69"/>
      <c r="H56" s="69">
        <v>-10631799</v>
      </c>
      <c r="I56" s="69"/>
      <c r="J56" s="69">
        <v>-2182894</v>
      </c>
      <c r="K56" s="69"/>
      <c r="L56" s="69">
        <v>8448905</v>
      </c>
      <c r="M56" s="69"/>
      <c r="N56" s="69">
        <v>-3738513</v>
      </c>
      <c r="O56" s="69"/>
      <c r="P56" s="69">
        <v>-1406107</v>
      </c>
      <c r="Q56" s="69"/>
      <c r="R56" s="69">
        <v>2332406</v>
      </c>
      <c r="S56" s="69"/>
      <c r="T56" s="69">
        <v>-2622351</v>
      </c>
      <c r="U56" s="69"/>
      <c r="V56" s="69">
        <v>-586340</v>
      </c>
      <c r="W56" s="69"/>
      <c r="X56" s="69">
        <v>2036011</v>
      </c>
      <c r="Y56" s="69"/>
      <c r="Z56" s="69">
        <v>-24957801</v>
      </c>
      <c r="AA56" s="69"/>
      <c r="AB56" s="69">
        <v>-2130946</v>
      </c>
      <c r="AC56" s="69"/>
      <c r="AD56" s="69">
        <v>22826855</v>
      </c>
      <c r="AE56" s="69"/>
    </row>
    <row r="57" spans="1:31" ht="14.15" customHeight="1" x14ac:dyDescent="0.25">
      <c r="A57" s="56" t="s">
        <v>146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9"/>
      <c r="Y57" s="65"/>
      <c r="Z57" s="65"/>
      <c r="AA57" s="65"/>
      <c r="AB57" s="65"/>
      <c r="AC57" s="65"/>
      <c r="AD57" s="69"/>
      <c r="AE57" s="65"/>
    </row>
    <row r="58" spans="1:31" ht="10" customHeight="1" x14ac:dyDescent="0.25">
      <c r="A58" s="56" t="s">
        <v>147</v>
      </c>
      <c r="B58" s="68">
        <v>7965138</v>
      </c>
      <c r="C58" s="65"/>
      <c r="D58" s="68">
        <v>7965138</v>
      </c>
      <c r="E58" s="65"/>
      <c r="F58" s="68"/>
      <c r="G58" s="65"/>
      <c r="H58" s="68">
        <v>10631799</v>
      </c>
      <c r="I58" s="65"/>
      <c r="J58" s="68">
        <v>10631798</v>
      </c>
      <c r="K58" s="65"/>
      <c r="L58" s="68">
        <v>-1</v>
      </c>
      <c r="M58" s="65"/>
      <c r="N58" s="68">
        <v>3738513</v>
      </c>
      <c r="O58" s="65"/>
      <c r="P58" s="68">
        <v>3738513</v>
      </c>
      <c r="Q58" s="65"/>
      <c r="R58" s="68"/>
      <c r="S58" s="65"/>
      <c r="T58" s="68">
        <v>2622351</v>
      </c>
      <c r="U58" s="65"/>
      <c r="V58" s="68">
        <v>2622351</v>
      </c>
      <c r="W58" s="65"/>
      <c r="X58" s="68"/>
      <c r="Y58" s="65"/>
      <c r="Z58" s="68">
        <v>24957801</v>
      </c>
      <c r="AA58" s="65"/>
      <c r="AB58" s="68">
        <v>24957800</v>
      </c>
      <c r="AC58" s="65"/>
      <c r="AD58" s="68">
        <v>-1</v>
      </c>
      <c r="AE58" s="69"/>
    </row>
    <row r="59" spans="1:31" ht="14.15" customHeight="1" x14ac:dyDescent="0.25">
      <c r="A59" s="56" t="s">
        <v>146</v>
      </c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</row>
    <row r="60" spans="1:31" ht="13.5" customHeight="1" thickBot="1" x14ac:dyDescent="0.3">
      <c r="A60" s="56" t="s">
        <v>148</v>
      </c>
      <c r="B60" s="71" t="s">
        <v>252</v>
      </c>
      <c r="C60" s="70"/>
      <c r="D60" s="65">
        <v>10009533</v>
      </c>
      <c r="E60" s="65"/>
      <c r="F60" s="164">
        <v>10009533</v>
      </c>
      <c r="G60" s="64"/>
      <c r="H60" s="71" t="s">
        <v>252</v>
      </c>
      <c r="I60" s="70"/>
      <c r="J60" s="65">
        <v>8448904</v>
      </c>
      <c r="K60" s="65"/>
      <c r="L60" s="164">
        <v>8448904</v>
      </c>
      <c r="M60" s="65"/>
      <c r="N60" s="71" t="s">
        <v>252</v>
      </c>
      <c r="O60" s="70"/>
      <c r="P60" s="65">
        <v>2332406</v>
      </c>
      <c r="Q60" s="65"/>
      <c r="R60" s="164">
        <v>2332406</v>
      </c>
      <c r="S60" s="64"/>
      <c r="T60" s="71" t="s">
        <v>252</v>
      </c>
      <c r="U60" s="70"/>
      <c r="V60" s="65">
        <v>2036011</v>
      </c>
      <c r="W60" s="65"/>
      <c r="X60" s="164">
        <v>2036011</v>
      </c>
      <c r="Y60" s="64"/>
      <c r="Z60" s="71" t="s">
        <v>252</v>
      </c>
      <c r="AA60" s="70"/>
      <c r="AB60" s="65">
        <v>22826854</v>
      </c>
      <c r="AC60" s="65"/>
      <c r="AD60" s="164">
        <v>22826854</v>
      </c>
      <c r="AE60" s="72"/>
    </row>
    <row r="61" spans="1:31" ht="6" customHeight="1" thickTop="1" x14ac:dyDescent="0.25">
      <c r="A61" s="56"/>
      <c r="B61" s="200"/>
      <c r="C61" s="70"/>
      <c r="D61" s="65"/>
      <c r="E61" s="65"/>
      <c r="F61" s="201"/>
      <c r="G61" s="64"/>
      <c r="H61" s="200"/>
      <c r="I61" s="70"/>
      <c r="J61" s="65"/>
      <c r="K61" s="65"/>
      <c r="L61" s="201"/>
      <c r="M61" s="65"/>
      <c r="N61" s="200"/>
      <c r="O61" s="70"/>
      <c r="P61" s="65"/>
      <c r="Q61" s="65"/>
      <c r="R61" s="201"/>
      <c r="S61" s="64"/>
      <c r="T61" s="200"/>
      <c r="U61" s="70"/>
      <c r="V61" s="65"/>
      <c r="W61" s="65"/>
      <c r="X61" s="201"/>
      <c r="Y61" s="64"/>
      <c r="Z61" s="200"/>
      <c r="AA61" s="70"/>
      <c r="AB61" s="65"/>
      <c r="AC61" s="65"/>
      <c r="AD61" s="201"/>
      <c r="AE61" s="72"/>
    </row>
    <row r="62" spans="1:31" ht="10" customHeight="1" x14ac:dyDescent="0.25">
      <c r="A62" s="54" t="s">
        <v>149</v>
      </c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</row>
    <row r="63" spans="1:31" ht="10" customHeight="1" x14ac:dyDescent="0.25">
      <c r="A63" s="54" t="s">
        <v>150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</row>
    <row r="64" spans="1:31" ht="10" customHeight="1" x14ac:dyDescent="0.25">
      <c r="A64" s="56" t="s">
        <v>242</v>
      </c>
      <c r="B64" s="65"/>
      <c r="C64" s="65"/>
      <c r="D64" s="65">
        <v>419013</v>
      </c>
      <c r="E64" s="65"/>
      <c r="F64" s="65"/>
      <c r="G64" s="65"/>
      <c r="H64" s="65"/>
      <c r="I64" s="65"/>
      <c r="J64" s="65">
        <v>1005868</v>
      </c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>
        <v>2630705</v>
      </c>
      <c r="W64" s="73"/>
      <c r="X64" s="65"/>
      <c r="Y64" s="65"/>
      <c r="Z64" s="65"/>
      <c r="AA64" s="65"/>
      <c r="AB64" s="65">
        <v>4055586</v>
      </c>
      <c r="AC64" s="65"/>
      <c r="AD64" s="65"/>
      <c r="AE64" s="65"/>
    </row>
    <row r="65" spans="1:31" ht="10" customHeight="1" x14ac:dyDescent="0.25">
      <c r="A65" s="56" t="s">
        <v>241</v>
      </c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</row>
    <row r="66" spans="1:31" ht="10" customHeight="1" x14ac:dyDescent="0.25">
      <c r="A66" s="56" t="s">
        <v>151</v>
      </c>
      <c r="B66" s="65"/>
      <c r="C66" s="65"/>
      <c r="D66" s="65">
        <v>99856</v>
      </c>
      <c r="E66" s="65"/>
      <c r="F66" s="65"/>
      <c r="G66" s="65"/>
      <c r="H66" s="65"/>
      <c r="I66" s="65"/>
      <c r="J66" s="65">
        <v>848684</v>
      </c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>
        <v>-1553601</v>
      </c>
      <c r="W66" s="65"/>
      <c r="X66" s="65"/>
      <c r="Y66" s="65"/>
      <c r="Z66" s="65"/>
      <c r="AA66" s="65"/>
      <c r="AB66" s="65">
        <v>-605061</v>
      </c>
      <c r="AC66" s="65"/>
      <c r="AD66" s="65"/>
      <c r="AE66" s="65"/>
    </row>
    <row r="67" spans="1:31" ht="10" customHeight="1" x14ac:dyDescent="0.25">
      <c r="A67" s="56" t="s">
        <v>152</v>
      </c>
      <c r="B67" s="65"/>
      <c r="C67" s="65"/>
      <c r="D67" s="65"/>
      <c r="E67" s="65"/>
      <c r="F67" s="65"/>
      <c r="G67" s="65"/>
      <c r="H67" s="65"/>
      <c r="I67" s="65"/>
      <c r="J67" s="65">
        <v>294141</v>
      </c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>
        <v>-922904</v>
      </c>
      <c r="W67" s="65"/>
      <c r="X67" s="65"/>
      <c r="Y67" s="65"/>
      <c r="Z67" s="65"/>
      <c r="AA67" s="65"/>
      <c r="AB67" s="65">
        <v>-628763</v>
      </c>
      <c r="AC67" s="65"/>
      <c r="AD67" s="65"/>
      <c r="AE67" s="65"/>
    </row>
    <row r="68" spans="1:31" ht="10" customHeight="1" x14ac:dyDescent="0.25">
      <c r="A68" s="56" t="s">
        <v>267</v>
      </c>
      <c r="B68" s="65"/>
      <c r="C68" s="65"/>
      <c r="D68" s="65">
        <v>99294</v>
      </c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>
        <v>-99294</v>
      </c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</row>
    <row r="69" spans="1:31" ht="9.75" customHeight="1" x14ac:dyDescent="0.25">
      <c r="A69" s="56" t="s">
        <v>243</v>
      </c>
      <c r="B69" s="65"/>
      <c r="C69" s="65"/>
      <c r="D69" s="68"/>
      <c r="E69" s="65"/>
      <c r="F69" s="65"/>
      <c r="G69" s="65"/>
      <c r="H69" s="65"/>
      <c r="I69" s="65"/>
      <c r="J69" s="68"/>
      <c r="K69" s="65"/>
      <c r="L69" s="65"/>
      <c r="M69" s="65"/>
      <c r="N69" s="65"/>
      <c r="O69" s="65"/>
      <c r="P69" s="68">
        <v>-11250</v>
      </c>
      <c r="Q69" s="65"/>
      <c r="R69" s="65"/>
      <c r="S69" s="65"/>
      <c r="T69" s="65"/>
      <c r="U69" s="65"/>
      <c r="V69" s="68"/>
      <c r="W69" s="65"/>
      <c r="X69" s="65"/>
      <c r="Y69" s="65"/>
      <c r="Z69" s="65"/>
      <c r="AA69" s="65"/>
      <c r="AB69" s="68">
        <v>-11250</v>
      </c>
      <c r="AC69" s="65"/>
      <c r="AD69" s="65"/>
      <c r="AE69" s="65"/>
    </row>
    <row r="70" spans="1:31" ht="13.5" customHeight="1" x14ac:dyDescent="0.25">
      <c r="A70" s="56" t="s">
        <v>153</v>
      </c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</row>
    <row r="71" spans="1:31" ht="10.5" customHeight="1" thickBot="1" x14ac:dyDescent="0.3">
      <c r="A71" s="56" t="s">
        <v>154</v>
      </c>
      <c r="B71" s="65"/>
      <c r="C71" s="65"/>
      <c r="D71" s="71">
        <v>10627696</v>
      </c>
      <c r="E71" s="64"/>
      <c r="F71" s="65"/>
      <c r="G71" s="65"/>
      <c r="H71" s="65"/>
      <c r="I71" s="65"/>
      <c r="J71" s="71">
        <v>10597597</v>
      </c>
      <c r="K71" s="64"/>
      <c r="L71" s="65"/>
      <c r="M71" s="65"/>
      <c r="N71" s="65"/>
      <c r="O71" s="65"/>
      <c r="P71" s="71">
        <v>2221862</v>
      </c>
      <c r="Q71" s="64"/>
      <c r="R71" s="65"/>
      <c r="S71" s="65"/>
      <c r="T71" s="65"/>
      <c r="U71" s="65"/>
      <c r="V71" s="71">
        <v>2190211</v>
      </c>
      <c r="W71" s="64"/>
      <c r="X71" s="65"/>
      <c r="Y71" s="65"/>
      <c r="Z71" s="65"/>
      <c r="AA71" s="65"/>
      <c r="AB71" s="71">
        <v>25637366</v>
      </c>
      <c r="AC71" s="64"/>
      <c r="AD71" s="65"/>
      <c r="AE71" s="65"/>
    </row>
    <row r="72" spans="1:31" ht="4" customHeight="1" thickTop="1" x14ac:dyDescent="0.25">
      <c r="A72" s="56"/>
      <c r="B72" s="65"/>
      <c r="C72" s="65"/>
      <c r="D72" s="72"/>
      <c r="E72" s="64"/>
      <c r="F72" s="65"/>
      <c r="G72" s="65"/>
      <c r="H72" s="65"/>
      <c r="I72" s="65"/>
      <c r="J72" s="72"/>
      <c r="K72" s="64"/>
      <c r="L72" s="65"/>
      <c r="M72" s="65"/>
      <c r="N72" s="65"/>
      <c r="O72" s="65"/>
      <c r="P72" s="72"/>
      <c r="Q72" s="64"/>
      <c r="R72" s="65"/>
      <c r="S72" s="65"/>
      <c r="T72" s="65"/>
      <c r="U72" s="65"/>
      <c r="V72" s="72"/>
      <c r="W72" s="64"/>
      <c r="X72" s="65"/>
      <c r="Y72" s="65"/>
      <c r="Z72" s="65"/>
      <c r="AA72" s="65"/>
      <c r="AB72" s="72"/>
      <c r="AC72" s="64"/>
      <c r="AD72" s="65"/>
      <c r="AE72" s="65"/>
    </row>
    <row r="73" spans="1:31" ht="7.5" customHeight="1" x14ac:dyDescent="0.25">
      <c r="A73" s="56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</row>
    <row r="74" spans="1:31" s="216" customFormat="1" ht="15.75" customHeight="1" x14ac:dyDescent="0.3"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  <c r="AA74" s="215"/>
      <c r="AB74" s="215"/>
      <c r="AC74" s="215"/>
      <c r="AD74" s="215"/>
      <c r="AE74" s="215"/>
    </row>
    <row r="75" spans="1:31" ht="12" customHeight="1" x14ac:dyDescent="0.3">
      <c r="A75" s="265" t="s">
        <v>75</v>
      </c>
      <c r="B75" s="265"/>
      <c r="C75" s="265"/>
      <c r="D75" s="265"/>
      <c r="E75" s="265"/>
      <c r="F75" s="265"/>
      <c r="G75" s="265"/>
      <c r="H75" s="265"/>
      <c r="I75" s="265"/>
      <c r="J75" s="265"/>
      <c r="K75" s="265"/>
      <c r="L75" s="265"/>
    </row>
    <row r="76" spans="1:31" ht="6.75" customHeight="1" x14ac:dyDescent="0.25"/>
    <row r="77" spans="1:31" ht="12" customHeight="1" x14ac:dyDescent="0.25">
      <c r="AE77" s="65"/>
    </row>
    <row r="78" spans="1:31" ht="12" customHeight="1" x14ac:dyDescent="0.3">
      <c r="A78" s="264" t="s">
        <v>155</v>
      </c>
      <c r="B78" s="264"/>
      <c r="C78" s="264"/>
      <c r="D78" s="264"/>
      <c r="E78" s="264"/>
      <c r="F78" s="264"/>
      <c r="G78" s="264"/>
      <c r="H78" s="264"/>
      <c r="I78" s="264"/>
      <c r="J78" s="264"/>
      <c r="K78" s="264"/>
      <c r="L78" s="264"/>
      <c r="M78" s="266" t="s">
        <v>156</v>
      </c>
      <c r="N78" s="266"/>
      <c r="O78" s="266"/>
      <c r="P78" s="266"/>
      <c r="Q78" s="266"/>
      <c r="R78" s="266"/>
      <c r="S78" s="266"/>
      <c r="T78" s="266"/>
      <c r="U78" s="266"/>
      <c r="V78" s="266"/>
      <c r="W78" s="266"/>
      <c r="X78" s="266"/>
      <c r="Y78" s="266"/>
      <c r="Z78" s="266"/>
      <c r="AA78" s="266"/>
      <c r="AB78" s="266"/>
      <c r="AC78" s="266"/>
      <c r="AD78" s="266"/>
    </row>
    <row r="79" spans="1:31" ht="12" customHeight="1" x14ac:dyDescent="0.25">
      <c r="AE79" s="65"/>
    </row>
    <row r="80" spans="1:31" ht="10" customHeight="1" x14ac:dyDescent="0.25">
      <c r="A80" s="56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</row>
    <row r="82" spans="1:31" ht="10" customHeight="1" x14ac:dyDescent="0.25">
      <c r="B82" s="65"/>
      <c r="C82" s="65"/>
      <c r="D82" s="65"/>
      <c r="E82" s="65"/>
      <c r="F82" s="65"/>
      <c r="G82" s="65"/>
      <c r="H82" s="65"/>
      <c r="I82" s="65"/>
      <c r="J82" s="65"/>
      <c r="K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</row>
    <row r="83" spans="1:31" ht="10" customHeight="1" x14ac:dyDescent="0.25"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</row>
    <row r="84" spans="1:31" ht="10" customHeight="1" x14ac:dyDescent="0.25"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</row>
    <row r="85" spans="1:31" ht="10" customHeight="1" x14ac:dyDescent="0.25"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</row>
    <row r="86" spans="1:31" ht="10" customHeight="1" x14ac:dyDescent="0.25"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</row>
    <row r="87" spans="1:31" ht="10" customHeight="1" x14ac:dyDescent="0.25">
      <c r="A87" s="56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</row>
    <row r="88" spans="1:31" ht="10" customHeight="1" x14ac:dyDescent="0.25"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</row>
    <row r="89" spans="1:31" ht="10" customHeight="1" x14ac:dyDescent="0.25"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</row>
    <row r="90" spans="1:31" ht="10" customHeight="1" x14ac:dyDescent="0.25"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</row>
    <row r="91" spans="1:31" ht="10" customHeight="1" x14ac:dyDescent="0.25"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</row>
    <row r="92" spans="1:31" ht="10" customHeight="1" x14ac:dyDescent="0.25"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</row>
    <row r="93" spans="1:31" ht="10" customHeight="1" x14ac:dyDescent="0.25"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</row>
    <row r="94" spans="1:31" ht="10" customHeight="1" x14ac:dyDescent="0.25"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</row>
    <row r="95" spans="1:31" ht="10" customHeight="1" x14ac:dyDescent="0.25"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</row>
    <row r="96" spans="1:31" ht="10" customHeight="1" x14ac:dyDescent="0.25"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</row>
    <row r="97" spans="2:31" ht="10" customHeight="1" x14ac:dyDescent="0.25"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</row>
    <row r="98" spans="2:31" ht="10" customHeight="1" x14ac:dyDescent="0.25"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</row>
    <row r="99" spans="2:31" ht="10" customHeight="1" x14ac:dyDescent="0.25"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</row>
    <row r="100" spans="2:31" ht="10" customHeight="1" x14ac:dyDescent="0.25"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</row>
    <row r="101" spans="2:31" ht="10" customHeight="1" x14ac:dyDescent="0.25"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</row>
    <row r="102" spans="2:31" ht="10" customHeight="1" x14ac:dyDescent="0.25"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</row>
    <row r="103" spans="2:31" ht="10" customHeight="1" x14ac:dyDescent="0.25"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</row>
    <row r="104" spans="2:31" ht="10" customHeight="1" x14ac:dyDescent="0.25"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</row>
    <row r="105" spans="2:31" ht="10" customHeight="1" x14ac:dyDescent="0.25"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</row>
    <row r="106" spans="2:31" ht="10" customHeight="1" x14ac:dyDescent="0.25"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</row>
    <row r="107" spans="2:31" ht="10" customHeight="1" x14ac:dyDescent="0.25"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</row>
    <row r="108" spans="2:31" ht="10" customHeight="1" x14ac:dyDescent="0.25"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</row>
    <row r="109" spans="2:31" ht="10" customHeight="1" x14ac:dyDescent="0.25"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</row>
    <row r="110" spans="2:31" ht="10" customHeight="1" x14ac:dyDescent="0.25"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</row>
    <row r="111" spans="2:31" ht="10" customHeight="1" x14ac:dyDescent="0.25"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</row>
    <row r="112" spans="2:31" ht="10" customHeight="1" x14ac:dyDescent="0.25"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</row>
    <row r="113" spans="2:31" ht="10" customHeight="1" x14ac:dyDescent="0.25"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</row>
    <row r="114" spans="2:31" ht="10" customHeight="1" x14ac:dyDescent="0.25"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</row>
    <row r="115" spans="2:31" ht="10" customHeight="1" x14ac:dyDescent="0.25"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</row>
    <row r="116" spans="2:31" ht="10" customHeight="1" x14ac:dyDescent="0.25"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</row>
    <row r="117" spans="2:31" ht="10" customHeight="1" x14ac:dyDescent="0.25"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</row>
    <row r="118" spans="2:31" ht="10" customHeight="1" x14ac:dyDescent="0.25"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</row>
    <row r="119" spans="2:31" ht="10" customHeight="1" x14ac:dyDescent="0.25"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</row>
    <row r="120" spans="2:31" ht="10" customHeight="1" x14ac:dyDescent="0.25"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</row>
    <row r="121" spans="2:31" ht="10" customHeight="1" x14ac:dyDescent="0.25"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</row>
    <row r="122" spans="2:31" ht="10" customHeight="1" x14ac:dyDescent="0.25"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</row>
    <row r="123" spans="2:31" ht="10" customHeight="1" x14ac:dyDescent="0.25"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</row>
    <row r="124" spans="2:31" ht="10" customHeight="1" x14ac:dyDescent="0.25"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</row>
    <row r="125" spans="2:31" ht="10" customHeight="1" x14ac:dyDescent="0.25"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</row>
    <row r="126" spans="2:31" ht="10" customHeight="1" x14ac:dyDescent="0.25"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</row>
    <row r="127" spans="2:31" ht="10" customHeight="1" x14ac:dyDescent="0.25"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</row>
    <row r="128" spans="2:31" ht="10" customHeight="1" x14ac:dyDescent="0.25"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</row>
  </sheetData>
  <mergeCells count="3">
    <mergeCell ref="A78:L78"/>
    <mergeCell ref="A75:L75"/>
    <mergeCell ref="M78:AD78"/>
  </mergeCells>
  <phoneticPr fontId="0" type="noConversion"/>
  <printOptions gridLinesSet="0"/>
  <pageMargins left="0.75" right="0.6" top="0.7" bottom="0.25" header="0.5" footer="0.5"/>
  <pageSetup scale="98" fitToWidth="2" orientation="portrait" horizontalDpi="300" verticalDpi="300" r:id="rId1"/>
  <headerFooter alignWithMargins="0"/>
  <colBreaks count="1" manualBreakCount="1">
    <brk id="12" max="78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AD143"/>
  <sheetViews>
    <sheetView showGridLines="0" defaultGridColor="0" topLeftCell="A48" colorId="8" zoomScaleNormal="100" workbookViewId="0">
      <selection activeCell="K73" sqref="K73:X73"/>
    </sheetView>
  </sheetViews>
  <sheetFormatPr defaultColWidth="20.1796875" defaultRowHeight="11.5" customHeight="1" x14ac:dyDescent="0.25"/>
  <cols>
    <col min="1" max="1" width="39.453125" style="126" customWidth="1"/>
    <col min="2" max="2" width="3" style="126" customWidth="1"/>
    <col min="3" max="3" width="9.81640625" style="126" customWidth="1"/>
    <col min="4" max="4" width="3" style="126" customWidth="1"/>
    <col min="5" max="5" width="9.81640625" style="126" customWidth="1"/>
    <col min="6" max="6" width="3" style="126" customWidth="1"/>
    <col min="7" max="7" width="9.81640625" style="126" customWidth="1"/>
    <col min="8" max="8" width="3" style="126" customWidth="1"/>
    <col min="9" max="9" width="9.81640625" style="126" customWidth="1"/>
    <col min="10" max="16384" width="20.1796875" style="126"/>
  </cols>
  <sheetData>
    <row r="1" spans="1:9" ht="10.5" customHeight="1" x14ac:dyDescent="0.25">
      <c r="A1" s="178" t="s">
        <v>0</v>
      </c>
      <c r="B1" s="178"/>
      <c r="C1" s="179"/>
      <c r="D1" s="179"/>
      <c r="E1" s="179"/>
      <c r="F1" s="179"/>
      <c r="G1" s="179"/>
      <c r="H1" s="179"/>
      <c r="I1" s="179"/>
    </row>
    <row r="2" spans="1:9" ht="10.5" customHeight="1" x14ac:dyDescent="0.25">
      <c r="A2" s="178" t="s">
        <v>157</v>
      </c>
      <c r="B2" s="178"/>
      <c r="C2" s="179"/>
      <c r="D2" s="179"/>
      <c r="E2" s="179"/>
      <c r="F2" s="179"/>
      <c r="G2" s="179"/>
      <c r="H2" s="179"/>
      <c r="I2" s="179"/>
    </row>
    <row r="3" spans="1:9" ht="10.5" customHeight="1" x14ac:dyDescent="0.25">
      <c r="A3" s="178" t="s">
        <v>158</v>
      </c>
      <c r="B3" s="178"/>
      <c r="C3" s="179"/>
      <c r="D3" s="179"/>
      <c r="E3" s="179"/>
      <c r="F3" s="179"/>
      <c r="G3" s="179"/>
      <c r="H3" s="179"/>
      <c r="I3" s="179"/>
    </row>
    <row r="4" spans="1:9" ht="10.5" customHeight="1" x14ac:dyDescent="0.25">
      <c r="A4" s="178" t="s">
        <v>159</v>
      </c>
      <c r="B4" s="178"/>
      <c r="C4" s="179"/>
      <c r="D4" s="179"/>
      <c r="E4" s="179"/>
      <c r="F4" s="179"/>
      <c r="G4" s="179"/>
      <c r="H4" s="179"/>
      <c r="I4" s="179"/>
    </row>
    <row r="5" spans="1:9" ht="10.5" customHeight="1" x14ac:dyDescent="0.25">
      <c r="A5" s="180" t="s">
        <v>273</v>
      </c>
      <c r="B5" s="178"/>
      <c r="C5" s="179"/>
      <c r="D5" s="179"/>
      <c r="E5" s="179"/>
      <c r="F5" s="179"/>
      <c r="G5" s="179"/>
      <c r="H5" s="179"/>
      <c r="I5" s="179"/>
    </row>
    <row r="6" spans="1:9" ht="3" customHeight="1" x14ac:dyDescent="0.25">
      <c r="A6" s="181" t="s">
        <v>3</v>
      </c>
      <c r="B6" s="182"/>
      <c r="C6" s="182"/>
      <c r="D6" s="179"/>
      <c r="E6" s="179"/>
      <c r="F6" s="179"/>
      <c r="G6" s="179"/>
      <c r="H6" s="179"/>
      <c r="I6" s="179"/>
    </row>
    <row r="7" spans="1:9" ht="11.15" customHeight="1" x14ac:dyDescent="0.25"/>
    <row r="8" spans="1:9" ht="6.75" customHeight="1" x14ac:dyDescent="0.25"/>
    <row r="9" spans="1:9" ht="11.15" customHeight="1" x14ac:dyDescent="0.25">
      <c r="D9" s="129" t="s">
        <v>160</v>
      </c>
    </row>
    <row r="10" spans="1:9" ht="11.15" customHeight="1" x14ac:dyDescent="0.25">
      <c r="C10" s="130"/>
      <c r="D10" s="131" t="s">
        <v>8</v>
      </c>
      <c r="E10" s="130"/>
      <c r="G10" s="132"/>
      <c r="H10" s="129" t="s">
        <v>10</v>
      </c>
    </row>
    <row r="11" spans="1:9" ht="13" customHeight="1" x14ac:dyDescent="0.25">
      <c r="C11" s="133"/>
      <c r="D11" s="133"/>
      <c r="E11" s="134" t="s">
        <v>161</v>
      </c>
      <c r="G11" s="135"/>
      <c r="H11" s="136" t="s">
        <v>17</v>
      </c>
      <c r="I11" s="128"/>
    </row>
    <row r="12" spans="1:9" ht="13" customHeight="1" x14ac:dyDescent="0.25">
      <c r="C12" s="131" t="s">
        <v>21</v>
      </c>
      <c r="D12" s="133"/>
      <c r="E12" s="131" t="s">
        <v>19</v>
      </c>
      <c r="G12" s="130">
        <v>2002</v>
      </c>
      <c r="H12" s="137"/>
      <c r="I12" s="138">
        <v>2001</v>
      </c>
    </row>
    <row r="13" spans="1:9" ht="8.15" customHeight="1" x14ac:dyDescent="0.25">
      <c r="C13" s="139"/>
      <c r="D13" s="133"/>
      <c r="E13" s="139"/>
      <c r="G13" s="133"/>
    </row>
    <row r="14" spans="1:9" ht="14.25" customHeight="1" x14ac:dyDescent="0.25">
      <c r="A14" s="127" t="s">
        <v>162</v>
      </c>
      <c r="B14" s="127"/>
    </row>
    <row r="15" spans="1:9" ht="13.5" customHeight="1" x14ac:dyDescent="0.25">
      <c r="A15" s="133" t="s">
        <v>95</v>
      </c>
      <c r="B15" s="133"/>
      <c r="C15" s="140">
        <v>12389324</v>
      </c>
      <c r="D15" s="227"/>
      <c r="E15" s="140">
        <v>7711484</v>
      </c>
      <c r="G15" s="141">
        <v>20100808</v>
      </c>
      <c r="I15" s="142">
        <v>18847205</v>
      </c>
    </row>
    <row r="16" spans="1:9" ht="11.25" customHeight="1" x14ac:dyDescent="0.25">
      <c r="A16" s="133" t="s">
        <v>163</v>
      </c>
      <c r="B16" s="133"/>
      <c r="C16" s="143">
        <v>38312</v>
      </c>
      <c r="D16" s="140"/>
      <c r="E16" s="140"/>
      <c r="G16" s="144">
        <v>38312</v>
      </c>
      <c r="I16" s="126">
        <v>37470</v>
      </c>
    </row>
    <row r="17" spans="1:9" ht="11.25" customHeight="1" x14ac:dyDescent="0.25">
      <c r="A17" s="133" t="s">
        <v>164</v>
      </c>
      <c r="B17" s="133"/>
      <c r="C17" s="145">
        <v>163797</v>
      </c>
      <c r="D17" s="146"/>
      <c r="E17" s="145">
        <v>118737</v>
      </c>
      <c r="G17" s="147">
        <v>282534</v>
      </c>
      <c r="I17" s="128">
        <v>276661</v>
      </c>
    </row>
    <row r="18" spans="1:9" ht="11.25" customHeight="1" x14ac:dyDescent="0.25">
      <c r="A18" s="133" t="s">
        <v>165</v>
      </c>
      <c r="B18" s="133"/>
      <c r="C18" s="148">
        <v>12591433</v>
      </c>
      <c r="D18" s="149"/>
      <c r="E18" s="148">
        <v>7830221</v>
      </c>
      <c r="G18" s="150">
        <v>20421654</v>
      </c>
      <c r="I18" s="151">
        <v>19161336</v>
      </c>
    </row>
    <row r="19" spans="1:9" ht="6" customHeight="1" x14ac:dyDescent="0.25">
      <c r="C19" s="133"/>
      <c r="D19" s="133"/>
      <c r="E19" s="133"/>
      <c r="G19" s="152"/>
    </row>
    <row r="20" spans="1:9" ht="14.25" customHeight="1" x14ac:dyDescent="0.25">
      <c r="A20" s="127" t="s">
        <v>166</v>
      </c>
      <c r="B20" s="127"/>
      <c r="G20" s="153"/>
    </row>
    <row r="21" spans="1:9" ht="13.5" customHeight="1" x14ac:dyDescent="0.25">
      <c r="A21" s="133" t="s">
        <v>167</v>
      </c>
      <c r="B21" s="133"/>
      <c r="C21" s="149">
        <v>2586847</v>
      </c>
      <c r="D21" s="149"/>
      <c r="E21" s="149">
        <v>2029717</v>
      </c>
      <c r="G21" s="144">
        <v>4616564</v>
      </c>
      <c r="I21" s="126">
        <v>4120949</v>
      </c>
    </row>
    <row r="22" spans="1:9" ht="11.25" customHeight="1" x14ac:dyDescent="0.25">
      <c r="A22" s="133" t="s">
        <v>168</v>
      </c>
      <c r="B22" s="133"/>
      <c r="C22" s="149">
        <v>1073153</v>
      </c>
      <c r="D22" s="149"/>
      <c r="E22" s="149"/>
      <c r="G22" s="144">
        <v>1073153</v>
      </c>
      <c r="I22" s="126">
        <v>938892</v>
      </c>
    </row>
    <row r="23" spans="1:9" ht="11.25" customHeight="1" x14ac:dyDescent="0.25">
      <c r="A23" s="133" t="s">
        <v>169</v>
      </c>
      <c r="B23" s="133"/>
      <c r="C23" s="149">
        <v>394771</v>
      </c>
      <c r="D23" s="149"/>
      <c r="E23" s="149"/>
      <c r="G23" s="144">
        <v>394771</v>
      </c>
      <c r="I23" s="126">
        <v>427509</v>
      </c>
    </row>
    <row r="24" spans="1:9" ht="11.25" customHeight="1" x14ac:dyDescent="0.25">
      <c r="A24" s="133" t="s">
        <v>170</v>
      </c>
      <c r="B24" s="133"/>
      <c r="C24" s="149">
        <v>1110255</v>
      </c>
      <c r="D24" s="149"/>
      <c r="E24" s="149"/>
      <c r="G24" s="144">
        <v>1110255</v>
      </c>
      <c r="I24" s="126">
        <v>1043443</v>
      </c>
    </row>
    <row r="25" spans="1:9" ht="11.25" customHeight="1" x14ac:dyDescent="0.25">
      <c r="A25" s="133" t="s">
        <v>171</v>
      </c>
      <c r="B25" s="133"/>
      <c r="C25" s="149">
        <v>2361855</v>
      </c>
      <c r="D25" s="149"/>
      <c r="E25" s="149">
        <v>2075870</v>
      </c>
      <c r="G25" s="144">
        <v>4437725</v>
      </c>
      <c r="I25" s="126">
        <v>3831874</v>
      </c>
    </row>
    <row r="26" spans="1:9" ht="11.25" customHeight="1" x14ac:dyDescent="0.25">
      <c r="A26" s="133" t="s">
        <v>172</v>
      </c>
      <c r="B26" s="133"/>
      <c r="C26" s="149"/>
      <c r="D26" s="149"/>
      <c r="E26" s="149">
        <v>3847118</v>
      </c>
      <c r="G26" s="144">
        <v>3847118</v>
      </c>
      <c r="I26" s="126">
        <v>2986415</v>
      </c>
    </row>
    <row r="27" spans="1:9" ht="11.25" customHeight="1" x14ac:dyDescent="0.25">
      <c r="A27" s="133" t="s">
        <v>173</v>
      </c>
      <c r="B27" s="133"/>
      <c r="C27" s="149"/>
      <c r="D27" s="149"/>
      <c r="E27" s="149">
        <v>288103</v>
      </c>
      <c r="G27" s="144">
        <v>288103</v>
      </c>
      <c r="I27" s="126">
        <v>197526</v>
      </c>
    </row>
    <row r="28" spans="1:9" ht="11.25" customHeight="1" x14ac:dyDescent="0.25">
      <c r="A28" s="133" t="s">
        <v>174</v>
      </c>
      <c r="B28" s="133"/>
      <c r="C28" s="148">
        <v>1054837</v>
      </c>
      <c r="D28" s="149"/>
      <c r="E28" s="148">
        <v>622290</v>
      </c>
      <c r="G28" s="147">
        <v>1677127</v>
      </c>
      <c r="I28" s="128">
        <v>1800733</v>
      </c>
    </row>
    <row r="29" spans="1:9" ht="11.25" customHeight="1" x14ac:dyDescent="0.25">
      <c r="A29" s="133" t="s">
        <v>175</v>
      </c>
      <c r="B29" s="133"/>
      <c r="C29" s="145">
        <v>8581718</v>
      </c>
      <c r="D29" s="146"/>
      <c r="E29" s="145">
        <v>8863098</v>
      </c>
      <c r="G29" s="154">
        <v>17444816</v>
      </c>
      <c r="I29" s="145">
        <v>15347341</v>
      </c>
    </row>
    <row r="30" spans="1:9" ht="3" customHeight="1" x14ac:dyDescent="0.25">
      <c r="A30" s="133"/>
      <c r="B30" s="133"/>
      <c r="C30" s="146"/>
      <c r="D30" s="146"/>
      <c r="E30" s="146"/>
      <c r="G30" s="155"/>
    </row>
    <row r="31" spans="1:9" ht="11.25" customHeight="1" x14ac:dyDescent="0.25">
      <c r="A31" s="133" t="s">
        <v>176</v>
      </c>
      <c r="B31" s="133"/>
      <c r="C31" s="148">
        <v>4009715</v>
      </c>
      <c r="D31" s="228"/>
      <c r="E31" s="148">
        <v>-1032877</v>
      </c>
      <c r="G31" s="150">
        <v>2976838</v>
      </c>
      <c r="I31" s="148">
        <v>3813995</v>
      </c>
    </row>
    <row r="32" spans="1:9" ht="6" customHeight="1" x14ac:dyDescent="0.25">
      <c r="C32" s="133"/>
      <c r="D32" s="133"/>
      <c r="E32" s="133"/>
      <c r="G32" s="152"/>
    </row>
    <row r="33" spans="1:9" ht="14.25" customHeight="1" x14ac:dyDescent="0.25">
      <c r="A33" s="127" t="s">
        <v>177</v>
      </c>
      <c r="B33" s="127"/>
      <c r="G33" s="153"/>
    </row>
    <row r="34" spans="1:9" ht="14.25" customHeight="1" x14ac:dyDescent="0.25">
      <c r="A34" s="133" t="s">
        <v>279</v>
      </c>
      <c r="B34" s="127"/>
      <c r="C34" s="126">
        <v>1706978</v>
      </c>
      <c r="G34" s="144">
        <v>1706978</v>
      </c>
    </row>
    <row r="35" spans="1:9" ht="11.25" customHeight="1" x14ac:dyDescent="0.25">
      <c r="A35" s="133" t="s">
        <v>93</v>
      </c>
      <c r="B35" s="133"/>
      <c r="C35" s="149">
        <v>825385</v>
      </c>
      <c r="D35" s="149"/>
      <c r="E35" s="149">
        <v>142797</v>
      </c>
      <c r="G35" s="144">
        <v>968182</v>
      </c>
      <c r="I35" s="126">
        <v>1996470</v>
      </c>
    </row>
    <row r="36" spans="1:9" ht="11.25" customHeight="1" x14ac:dyDescent="0.25">
      <c r="A36" s="133" t="s">
        <v>178</v>
      </c>
      <c r="B36" s="133"/>
      <c r="C36" s="149">
        <v>7500</v>
      </c>
      <c r="D36" s="146"/>
      <c r="E36" s="146">
        <v>27877</v>
      </c>
      <c r="G36" s="144">
        <v>35377</v>
      </c>
      <c r="I36" s="126">
        <v>27815</v>
      </c>
    </row>
    <row r="37" spans="1:9" ht="11.25" customHeight="1" x14ac:dyDescent="0.25">
      <c r="A37" s="133" t="s">
        <v>257</v>
      </c>
      <c r="B37" s="133"/>
      <c r="C37" s="149"/>
      <c r="D37" s="146"/>
      <c r="E37" s="146"/>
      <c r="G37" s="144"/>
      <c r="I37" s="126">
        <v>-53849</v>
      </c>
    </row>
    <row r="38" spans="1:9" ht="11.25" customHeight="1" x14ac:dyDescent="0.25">
      <c r="A38" s="133" t="s">
        <v>179</v>
      </c>
      <c r="B38" s="133"/>
      <c r="C38" s="149">
        <v>-1648261</v>
      </c>
      <c r="D38" s="149"/>
      <c r="E38" s="149"/>
      <c r="G38" s="153">
        <v>-1648261</v>
      </c>
      <c r="I38" s="126">
        <v>-1516469</v>
      </c>
    </row>
    <row r="39" spans="1:9" ht="11.25" customHeight="1" x14ac:dyDescent="0.25">
      <c r="A39" s="133" t="s">
        <v>180</v>
      </c>
      <c r="B39" s="133"/>
      <c r="C39" s="148">
        <v>-460455</v>
      </c>
      <c r="D39" s="149"/>
      <c r="E39" s="148"/>
      <c r="G39" s="258">
        <v>-460455</v>
      </c>
      <c r="I39" s="128">
        <v>-435490</v>
      </c>
    </row>
    <row r="40" spans="1:9" ht="11.25" customHeight="1" x14ac:dyDescent="0.25">
      <c r="A40" s="133" t="s">
        <v>181</v>
      </c>
      <c r="B40" s="133"/>
      <c r="C40" s="156"/>
      <c r="D40" s="149"/>
      <c r="E40" s="156"/>
      <c r="G40" s="157"/>
      <c r="I40" s="158"/>
    </row>
    <row r="41" spans="1:9" ht="11.25" customHeight="1" x14ac:dyDescent="0.25">
      <c r="A41" s="133" t="s">
        <v>182</v>
      </c>
      <c r="B41" s="133"/>
      <c r="C41" s="148">
        <v>431147</v>
      </c>
      <c r="D41" s="149"/>
      <c r="E41" s="148">
        <v>170674</v>
      </c>
      <c r="G41" s="150">
        <v>601821</v>
      </c>
      <c r="I41" s="148">
        <v>18477</v>
      </c>
    </row>
    <row r="42" spans="1:9" ht="8.25" customHeight="1" x14ac:dyDescent="0.25">
      <c r="C42" s="133"/>
      <c r="D42" s="133"/>
      <c r="E42" s="133"/>
      <c r="G42" s="152"/>
    </row>
    <row r="43" spans="1:9" ht="11.25" customHeight="1" x14ac:dyDescent="0.25">
      <c r="A43" s="133" t="s">
        <v>247</v>
      </c>
      <c r="C43" s="195">
        <v>4440862</v>
      </c>
      <c r="D43" s="133"/>
      <c r="E43" s="195">
        <v>-862203</v>
      </c>
      <c r="G43" s="147">
        <v>3578659</v>
      </c>
      <c r="I43" s="148">
        <v>3832472</v>
      </c>
    </row>
    <row r="44" spans="1:9" ht="6" customHeight="1" x14ac:dyDescent="0.25">
      <c r="A44" s="133"/>
      <c r="C44" s="159"/>
      <c r="D44" s="133"/>
      <c r="E44" s="159"/>
      <c r="G44" s="144"/>
      <c r="I44" s="159"/>
    </row>
    <row r="45" spans="1:9" ht="14.25" customHeight="1" x14ac:dyDescent="0.25">
      <c r="A45" s="197" t="s">
        <v>183</v>
      </c>
      <c r="C45" s="159"/>
      <c r="D45" s="133"/>
      <c r="E45" s="159"/>
      <c r="G45" s="144"/>
      <c r="I45" s="159"/>
    </row>
    <row r="46" spans="1:9" ht="13.5" customHeight="1" x14ac:dyDescent="0.25">
      <c r="A46" s="133" t="s">
        <v>184</v>
      </c>
      <c r="B46" s="133"/>
      <c r="C46" s="149"/>
      <c r="D46" s="149"/>
      <c r="E46" s="149"/>
      <c r="G46" s="144"/>
      <c r="I46" s="126">
        <v>55017</v>
      </c>
    </row>
    <row r="47" spans="1:9" s="158" customFormat="1" ht="11.25" customHeight="1" x14ac:dyDescent="0.25">
      <c r="A47" s="162" t="s">
        <v>185</v>
      </c>
      <c r="B47" s="162"/>
      <c r="C47" s="156"/>
      <c r="D47" s="156"/>
      <c r="E47" s="156"/>
      <c r="G47" s="147"/>
      <c r="I47" s="158">
        <v>-315000</v>
      </c>
    </row>
    <row r="48" spans="1:9" ht="11.25" customHeight="1" x14ac:dyDescent="0.25">
      <c r="A48" s="133" t="s">
        <v>255</v>
      </c>
      <c r="B48" s="133"/>
      <c r="C48" s="196"/>
      <c r="D48" s="149"/>
      <c r="E48" s="196"/>
      <c r="G48" s="147"/>
      <c r="I48" s="196">
        <v>-259983</v>
      </c>
    </row>
    <row r="49" spans="1:30" ht="6" customHeight="1" x14ac:dyDescent="0.25">
      <c r="A49" s="133"/>
      <c r="B49" s="133"/>
      <c r="C49" s="149"/>
      <c r="D49" s="149"/>
      <c r="E49" s="149"/>
      <c r="G49" s="144"/>
    </row>
    <row r="50" spans="1:30" ht="11.25" customHeight="1" x14ac:dyDescent="0.25">
      <c r="A50" s="133" t="s">
        <v>186</v>
      </c>
      <c r="B50" s="133"/>
      <c r="C50" s="149">
        <v>4440862</v>
      </c>
      <c r="D50" s="228"/>
      <c r="E50" s="149">
        <v>-862203</v>
      </c>
      <c r="G50" s="144">
        <v>3578659</v>
      </c>
      <c r="I50" s="149">
        <v>3572489</v>
      </c>
    </row>
    <row r="51" spans="1:30" ht="6" customHeight="1" x14ac:dyDescent="0.25">
      <c r="A51" s="133"/>
      <c r="C51" s="159"/>
      <c r="D51" s="133"/>
      <c r="E51" s="159"/>
      <c r="G51" s="144"/>
      <c r="I51" s="159"/>
    </row>
    <row r="52" spans="1:30" ht="11.25" customHeight="1" x14ac:dyDescent="0.25">
      <c r="A52" s="133" t="s">
        <v>187</v>
      </c>
      <c r="B52" s="133"/>
      <c r="C52" s="149"/>
      <c r="D52" s="149"/>
      <c r="E52" s="149"/>
      <c r="G52" s="144"/>
    </row>
    <row r="53" spans="1:30" ht="11.25" customHeight="1" x14ac:dyDescent="0.25">
      <c r="A53" s="133" t="s">
        <v>188</v>
      </c>
      <c r="B53" s="133"/>
      <c r="C53" s="148">
        <v>127956</v>
      </c>
      <c r="D53" s="149"/>
      <c r="E53" s="148">
        <v>389937</v>
      </c>
      <c r="G53" s="147">
        <v>517893</v>
      </c>
      <c r="I53" s="128">
        <v>637225</v>
      </c>
    </row>
    <row r="54" spans="1:30" ht="6" customHeight="1" x14ac:dyDescent="0.25">
      <c r="A54" s="133"/>
      <c r="B54" s="133"/>
      <c r="C54" s="156"/>
      <c r="D54" s="149"/>
      <c r="E54" s="156"/>
      <c r="G54" s="157"/>
      <c r="I54" s="158"/>
    </row>
    <row r="55" spans="1:30" s="158" customFormat="1" ht="11.25" customHeight="1" x14ac:dyDescent="0.25">
      <c r="A55" s="162" t="s">
        <v>271</v>
      </c>
      <c r="B55" s="162"/>
      <c r="C55" s="148">
        <v>4568818</v>
      </c>
      <c r="D55" s="156"/>
      <c r="E55" s="148">
        <v>-472266</v>
      </c>
      <c r="G55" s="150">
        <v>4096552</v>
      </c>
      <c r="I55" s="148">
        <v>4209714</v>
      </c>
    </row>
    <row r="56" spans="1:30" s="158" customFormat="1" ht="2.25" customHeight="1" x14ac:dyDescent="0.25">
      <c r="A56" s="162"/>
      <c r="B56" s="162"/>
      <c r="C56" s="156"/>
      <c r="D56" s="156"/>
      <c r="E56" s="156"/>
      <c r="G56" s="163"/>
      <c r="I56" s="156"/>
    </row>
    <row r="57" spans="1:30" s="158" customFormat="1" ht="1.5" customHeight="1" x14ac:dyDescent="0.25">
      <c r="A57" s="199"/>
      <c r="B57" s="162"/>
      <c r="C57" s="156"/>
      <c r="D57" s="156"/>
      <c r="E57" s="156"/>
      <c r="G57" s="163"/>
      <c r="I57" s="156"/>
    </row>
    <row r="58" spans="1:30" s="158" customFormat="1" ht="1.5" customHeight="1" x14ac:dyDescent="0.25">
      <c r="A58" s="198"/>
      <c r="B58" s="162"/>
      <c r="C58" s="156"/>
      <c r="D58" s="156"/>
      <c r="E58" s="156"/>
      <c r="G58" s="157"/>
      <c r="I58" s="156"/>
    </row>
    <row r="59" spans="1:30" s="158" customFormat="1" ht="0.75" hidden="1" customHeight="1" x14ac:dyDescent="0.25">
      <c r="A59" s="199"/>
      <c r="B59" s="162"/>
      <c r="C59" s="156"/>
      <c r="D59" s="156"/>
      <c r="E59" s="156"/>
      <c r="G59" s="163"/>
      <c r="I59" s="156"/>
    </row>
    <row r="60" spans="1:30" s="158" customFormat="1" ht="0.75" hidden="1" customHeight="1" x14ac:dyDescent="0.25">
      <c r="A60" s="199"/>
      <c r="B60" s="162"/>
      <c r="C60" s="156"/>
      <c r="D60" s="156"/>
      <c r="E60" s="156"/>
      <c r="G60" s="157"/>
      <c r="I60" s="156"/>
    </row>
    <row r="61" spans="1:30" ht="6" customHeight="1" x14ac:dyDescent="0.25">
      <c r="G61" s="163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</row>
    <row r="62" spans="1:30" ht="12" customHeight="1" x14ac:dyDescent="0.25">
      <c r="A62" s="133" t="s">
        <v>260</v>
      </c>
      <c r="C62" s="158"/>
      <c r="D62" s="158"/>
      <c r="E62" s="158"/>
      <c r="F62" s="158"/>
      <c r="G62" s="163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</row>
    <row r="63" spans="1:30" ht="12" customHeight="1" x14ac:dyDescent="0.25">
      <c r="A63" s="133" t="s">
        <v>261</v>
      </c>
      <c r="C63" s="158">
        <v>31187733</v>
      </c>
      <c r="D63" s="158"/>
      <c r="E63" s="158">
        <v>3268255</v>
      </c>
      <c r="F63" s="158"/>
      <c r="G63" s="163">
        <v>34455988</v>
      </c>
      <c r="H63" s="158"/>
      <c r="I63" s="158">
        <v>30326811</v>
      </c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</row>
    <row r="64" spans="1:30" ht="12" customHeight="1" x14ac:dyDescent="0.25">
      <c r="A64" s="162" t="s">
        <v>258</v>
      </c>
      <c r="C64" s="128">
        <v>-78129</v>
      </c>
      <c r="D64" s="158"/>
      <c r="E64" s="128">
        <v>-14576</v>
      </c>
      <c r="F64" s="158"/>
      <c r="G64" s="150">
        <v>-92705</v>
      </c>
      <c r="H64" s="158"/>
      <c r="I64" s="249">
        <v>-80537</v>
      </c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</row>
    <row r="65" spans="1:10" ht="7" hidden="1" customHeight="1" x14ac:dyDescent="0.25">
      <c r="C65" s="133"/>
      <c r="D65" s="133"/>
      <c r="E65" s="133"/>
      <c r="G65" s="152"/>
    </row>
    <row r="66" spans="1:10" ht="11.25" customHeight="1" x14ac:dyDescent="0.25">
      <c r="A66" s="126" t="s">
        <v>259</v>
      </c>
      <c r="C66" s="195">
        <v>31109604</v>
      </c>
      <c r="D66" s="159"/>
      <c r="E66" s="195">
        <v>3253679</v>
      </c>
      <c r="F66" s="231"/>
      <c r="G66" s="232">
        <v>34363283</v>
      </c>
      <c r="H66" s="231"/>
      <c r="I66" s="248">
        <v>30246274</v>
      </c>
      <c r="J66" s="231"/>
    </row>
    <row r="67" spans="1:10" ht="17.25" customHeight="1" thickBot="1" x14ac:dyDescent="0.3">
      <c r="A67" s="133" t="s">
        <v>189</v>
      </c>
      <c r="B67" s="133"/>
      <c r="C67" s="160">
        <v>35678422</v>
      </c>
      <c r="D67" s="227"/>
      <c r="E67" s="160">
        <v>2781413</v>
      </c>
      <c r="G67" s="161">
        <v>38459835</v>
      </c>
      <c r="I67" s="160">
        <v>34455988</v>
      </c>
      <c r="J67" s="257"/>
    </row>
    <row r="68" spans="1:10" ht="12.75" customHeight="1" thickTop="1" x14ac:dyDescent="0.25">
      <c r="A68" s="179"/>
      <c r="B68" s="179"/>
      <c r="C68" s="179"/>
      <c r="D68" s="179"/>
      <c r="E68" s="179"/>
      <c r="F68" s="179"/>
      <c r="G68" s="179"/>
      <c r="H68" s="179"/>
      <c r="I68" s="179"/>
      <c r="J68" s="257"/>
    </row>
    <row r="69" spans="1:10" ht="8.25" customHeight="1" x14ac:dyDescent="0.25">
      <c r="A69" s="179"/>
      <c r="B69" s="179"/>
      <c r="C69" s="179"/>
      <c r="D69" s="179"/>
      <c r="E69" s="179"/>
      <c r="F69" s="179"/>
      <c r="G69" s="179"/>
      <c r="H69" s="179"/>
      <c r="I69" s="179"/>
    </row>
    <row r="70" spans="1:10" ht="12" customHeight="1" x14ac:dyDescent="0.25">
      <c r="B70" s="179"/>
      <c r="C70" s="179"/>
      <c r="D70" s="179"/>
      <c r="E70" s="179"/>
      <c r="F70" s="179"/>
      <c r="G70" s="179"/>
      <c r="H70" s="179"/>
      <c r="I70" s="179"/>
    </row>
    <row r="71" spans="1:10" ht="7.5" customHeight="1" x14ac:dyDescent="0.25">
      <c r="B71" s="179"/>
      <c r="C71" s="179"/>
      <c r="D71" s="179"/>
      <c r="E71" s="179"/>
      <c r="F71" s="179"/>
      <c r="G71" s="179"/>
      <c r="H71" s="179"/>
      <c r="I71" s="179"/>
    </row>
    <row r="72" spans="1:10" ht="12" customHeight="1" x14ac:dyDescent="0.3">
      <c r="A72" s="268" t="s">
        <v>75</v>
      </c>
      <c r="B72" s="268"/>
      <c r="C72" s="268"/>
      <c r="D72" s="268"/>
      <c r="E72" s="268"/>
      <c r="F72" s="268"/>
      <c r="G72" s="268"/>
      <c r="H72" s="268"/>
      <c r="I72" s="268"/>
    </row>
    <row r="73" spans="1:10" ht="7.5" customHeight="1" x14ac:dyDescent="0.25"/>
    <row r="74" spans="1:10" ht="12" customHeight="1" x14ac:dyDescent="0.3">
      <c r="A74" s="267" t="s">
        <v>190</v>
      </c>
      <c r="B74" s="267"/>
      <c r="C74" s="267"/>
      <c r="D74" s="267"/>
      <c r="E74" s="267"/>
      <c r="F74" s="267"/>
      <c r="G74" s="267"/>
      <c r="H74" s="267"/>
      <c r="I74" s="267"/>
    </row>
    <row r="75" spans="1:10" ht="12" customHeight="1" x14ac:dyDescent="0.25"/>
    <row r="76" spans="1:10" ht="11.15" customHeight="1" x14ac:dyDescent="0.25"/>
    <row r="77" spans="1:10" ht="11.15" customHeight="1" x14ac:dyDescent="0.25"/>
    <row r="78" spans="1:10" ht="11.15" customHeight="1" x14ac:dyDescent="0.25"/>
    <row r="79" spans="1:10" ht="11.15" customHeight="1" x14ac:dyDescent="0.25"/>
    <row r="80" spans="1:10" ht="11.15" customHeight="1" x14ac:dyDescent="0.25"/>
    <row r="81" ht="11.15" customHeight="1" x14ac:dyDescent="0.25"/>
    <row r="82" ht="11.15" customHeight="1" x14ac:dyDescent="0.25"/>
    <row r="83" ht="11.15" customHeight="1" x14ac:dyDescent="0.25"/>
    <row r="84" ht="11.15" customHeight="1" x14ac:dyDescent="0.25"/>
    <row r="85" ht="11.15" customHeight="1" x14ac:dyDescent="0.25"/>
    <row r="86" ht="11.15" customHeight="1" x14ac:dyDescent="0.25"/>
    <row r="87" ht="11.15" customHeight="1" x14ac:dyDescent="0.25"/>
    <row r="88" ht="11.15" customHeight="1" x14ac:dyDescent="0.25"/>
    <row r="89" ht="11.15" customHeight="1" x14ac:dyDescent="0.25"/>
    <row r="90" ht="11.15" customHeight="1" x14ac:dyDescent="0.25"/>
    <row r="91" ht="11.15" customHeight="1" x14ac:dyDescent="0.25"/>
    <row r="92" ht="11.15" customHeight="1" x14ac:dyDescent="0.25"/>
    <row r="93" ht="11.15" customHeight="1" x14ac:dyDescent="0.25"/>
    <row r="94" ht="11.15" customHeight="1" x14ac:dyDescent="0.25"/>
    <row r="95" ht="11.15" customHeight="1" x14ac:dyDescent="0.25"/>
    <row r="96" ht="11.15" customHeight="1" x14ac:dyDescent="0.25"/>
    <row r="97" ht="11.15" customHeight="1" x14ac:dyDescent="0.25"/>
    <row r="98" ht="11.15" customHeight="1" x14ac:dyDescent="0.25"/>
    <row r="99" ht="11.15" customHeight="1" x14ac:dyDescent="0.25"/>
    <row r="100" ht="11.15" customHeight="1" x14ac:dyDescent="0.25"/>
    <row r="101" ht="11.15" customHeight="1" x14ac:dyDescent="0.25"/>
    <row r="102" ht="11.15" customHeight="1" x14ac:dyDescent="0.25"/>
    <row r="103" ht="11.15" customHeight="1" x14ac:dyDescent="0.25"/>
    <row r="104" ht="11.15" customHeight="1" x14ac:dyDescent="0.25"/>
    <row r="105" ht="11.15" customHeight="1" x14ac:dyDescent="0.25"/>
    <row r="106" ht="11.15" customHeight="1" x14ac:dyDescent="0.25"/>
    <row r="107" ht="11.15" customHeight="1" x14ac:dyDescent="0.25"/>
    <row r="108" ht="11.15" customHeight="1" x14ac:dyDescent="0.25"/>
    <row r="109" ht="11.15" customHeight="1" x14ac:dyDescent="0.25"/>
    <row r="110" ht="11.15" customHeight="1" x14ac:dyDescent="0.25"/>
    <row r="111" ht="11.15" customHeight="1" x14ac:dyDescent="0.25"/>
    <row r="112" ht="11.15" customHeight="1" x14ac:dyDescent="0.25"/>
    <row r="113" ht="11.15" customHeight="1" x14ac:dyDescent="0.25"/>
    <row r="114" ht="11.15" customHeight="1" x14ac:dyDescent="0.25"/>
    <row r="115" ht="11.15" customHeight="1" x14ac:dyDescent="0.25"/>
    <row r="116" ht="11.15" customHeight="1" x14ac:dyDescent="0.25"/>
    <row r="117" ht="11.15" customHeight="1" x14ac:dyDescent="0.25"/>
    <row r="118" ht="11.15" customHeight="1" x14ac:dyDescent="0.25"/>
    <row r="119" ht="11.15" customHeight="1" x14ac:dyDescent="0.25"/>
    <row r="120" ht="11.15" customHeight="1" x14ac:dyDescent="0.25"/>
    <row r="121" ht="11.15" customHeight="1" x14ac:dyDescent="0.25"/>
    <row r="122" ht="11.15" customHeight="1" x14ac:dyDescent="0.25"/>
    <row r="123" ht="11.15" customHeight="1" x14ac:dyDescent="0.25"/>
    <row r="124" ht="11.15" customHeight="1" x14ac:dyDescent="0.25"/>
    <row r="125" ht="11.15" customHeight="1" x14ac:dyDescent="0.25"/>
    <row r="126" ht="11.15" customHeight="1" x14ac:dyDescent="0.25"/>
    <row r="127" ht="11.15" customHeight="1" x14ac:dyDescent="0.25"/>
    <row r="128" ht="11.15" customHeight="1" x14ac:dyDescent="0.25"/>
    <row r="129" ht="11.15" customHeight="1" x14ac:dyDescent="0.25"/>
    <row r="130" ht="11.15" customHeight="1" x14ac:dyDescent="0.25"/>
    <row r="131" ht="11.15" customHeight="1" x14ac:dyDescent="0.25"/>
    <row r="132" ht="11.15" customHeight="1" x14ac:dyDescent="0.25"/>
    <row r="133" ht="11.15" customHeight="1" x14ac:dyDescent="0.25"/>
    <row r="134" ht="11.15" customHeight="1" x14ac:dyDescent="0.25"/>
    <row r="135" ht="11.15" customHeight="1" x14ac:dyDescent="0.25"/>
    <row r="136" ht="11.15" customHeight="1" x14ac:dyDescent="0.25"/>
    <row r="137" ht="11.15" customHeight="1" x14ac:dyDescent="0.25"/>
    <row r="138" ht="11.15" customHeight="1" x14ac:dyDescent="0.25"/>
    <row r="139" ht="11.15" customHeight="1" x14ac:dyDescent="0.25"/>
    <row r="140" ht="11.15" customHeight="1" x14ac:dyDescent="0.25"/>
    <row r="141" ht="11.15" customHeight="1" x14ac:dyDescent="0.25"/>
    <row r="142" ht="11.15" customHeight="1" x14ac:dyDescent="0.25"/>
    <row r="143" ht="11.15" customHeight="1" x14ac:dyDescent="0.25"/>
  </sheetData>
  <mergeCells count="2">
    <mergeCell ref="A74:I74"/>
    <mergeCell ref="A72:I72"/>
  </mergeCells>
  <phoneticPr fontId="0" type="noConversion"/>
  <printOptions gridLinesSet="0"/>
  <pageMargins left="0.6" right="0.9" top="0.7" bottom="0.25" header="0.5" footer="0.5"/>
  <pageSetup orientation="portrait" horizontalDpi="300" vertic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L68"/>
  <sheetViews>
    <sheetView showGridLines="0" defaultGridColor="0" topLeftCell="A32" colorId="8" zoomScaleNormal="100" workbookViewId="0">
      <selection activeCell="K73" sqref="K73:X73"/>
    </sheetView>
  </sheetViews>
  <sheetFormatPr defaultColWidth="20.1796875" defaultRowHeight="11.5" customHeight="1" x14ac:dyDescent="0.25"/>
  <cols>
    <col min="1" max="1" width="37.54296875" style="75" customWidth="1"/>
    <col min="2" max="2" width="2" style="75" customWidth="1"/>
    <col min="3" max="3" width="10" style="75" customWidth="1"/>
    <col min="4" max="4" width="3.54296875" style="75" customWidth="1"/>
    <col min="5" max="5" width="9.1796875" style="75" customWidth="1"/>
    <col min="6" max="6" width="3.54296875" style="75" customWidth="1"/>
    <col min="7" max="7" width="10" style="75" customWidth="1"/>
    <col min="8" max="8" width="3.54296875" style="75" customWidth="1"/>
    <col min="9" max="9" width="10" style="75" customWidth="1"/>
    <col min="10" max="16384" width="20.1796875" style="75"/>
  </cols>
  <sheetData>
    <row r="1" spans="1:9" ht="10.5" customHeight="1" x14ac:dyDescent="0.25">
      <c r="A1" s="172" t="s">
        <v>0</v>
      </c>
      <c r="B1" s="172"/>
      <c r="C1" s="173"/>
      <c r="D1" s="173"/>
      <c r="E1" s="173"/>
      <c r="F1" s="173"/>
      <c r="G1" s="173"/>
      <c r="H1" s="173"/>
      <c r="I1" s="173"/>
    </row>
    <row r="2" spans="1:9" ht="10.5" customHeight="1" x14ac:dyDescent="0.25">
      <c r="A2" s="172" t="s">
        <v>191</v>
      </c>
      <c r="B2" s="172"/>
      <c r="C2" s="173"/>
      <c r="D2" s="173"/>
      <c r="E2" s="173"/>
      <c r="F2" s="173"/>
      <c r="G2" s="173"/>
      <c r="H2" s="173"/>
      <c r="I2" s="173"/>
    </row>
    <row r="3" spans="1:9" ht="10.5" customHeight="1" x14ac:dyDescent="0.25">
      <c r="A3" s="172" t="s">
        <v>159</v>
      </c>
      <c r="B3" s="172"/>
      <c r="C3" s="173"/>
      <c r="D3" s="173"/>
      <c r="E3" s="173"/>
      <c r="F3" s="173"/>
      <c r="G3" s="173"/>
      <c r="H3" s="173"/>
      <c r="I3" s="173"/>
    </row>
    <row r="4" spans="1:9" ht="10.5" customHeight="1" x14ac:dyDescent="0.25">
      <c r="A4" s="172" t="s">
        <v>273</v>
      </c>
      <c r="B4" s="172"/>
      <c r="C4" s="173"/>
      <c r="D4" s="173"/>
      <c r="E4" s="173"/>
      <c r="F4" s="173"/>
      <c r="G4" s="173"/>
      <c r="H4" s="173"/>
      <c r="I4" s="173"/>
    </row>
    <row r="5" spans="1:9" ht="3" customHeight="1" x14ac:dyDescent="0.25">
      <c r="A5" s="172" t="s">
        <v>3</v>
      </c>
      <c r="B5" s="174"/>
      <c r="C5" s="175"/>
      <c r="D5" s="173"/>
      <c r="E5" s="173"/>
      <c r="F5" s="173"/>
      <c r="G5" s="173"/>
      <c r="H5" s="173"/>
      <c r="I5" s="173"/>
    </row>
    <row r="6" spans="1:9" ht="9" customHeight="1" x14ac:dyDescent="0.25">
      <c r="A6" s="74"/>
      <c r="B6" s="74"/>
    </row>
    <row r="7" spans="1:9" ht="11.25" customHeight="1" x14ac:dyDescent="0.25">
      <c r="A7" s="74"/>
      <c r="B7" s="74"/>
    </row>
    <row r="8" spans="1:9" ht="11.5" customHeight="1" x14ac:dyDescent="0.25">
      <c r="C8" s="75" t="s">
        <v>192</v>
      </c>
      <c r="G8" s="77"/>
      <c r="H8" s="78"/>
      <c r="I8" s="79"/>
    </row>
    <row r="9" spans="1:9" ht="12" customHeight="1" x14ac:dyDescent="0.25">
      <c r="C9" s="76" t="s">
        <v>193</v>
      </c>
      <c r="D9" s="76"/>
      <c r="E9" s="76"/>
      <c r="G9" s="77"/>
      <c r="H9" s="78" t="s">
        <v>10</v>
      </c>
      <c r="I9" s="79"/>
    </row>
    <row r="10" spans="1:9" ht="13" customHeight="1" x14ac:dyDescent="0.25">
      <c r="D10" s="80"/>
      <c r="E10" s="80" t="s">
        <v>161</v>
      </c>
      <c r="G10" s="81"/>
      <c r="H10" s="82" t="s">
        <v>17</v>
      </c>
      <c r="I10" s="76"/>
    </row>
    <row r="11" spans="1:9" ht="13.5" customHeight="1" x14ac:dyDescent="0.25">
      <c r="C11" s="82" t="s">
        <v>21</v>
      </c>
      <c r="E11" s="82" t="s">
        <v>19</v>
      </c>
      <c r="G11" s="83">
        <v>2002</v>
      </c>
      <c r="H11" s="84"/>
      <c r="I11" s="83">
        <v>2001</v>
      </c>
    </row>
    <row r="12" spans="1:9" ht="7.5" customHeight="1" x14ac:dyDescent="0.25">
      <c r="C12" s="78"/>
      <c r="E12" s="78"/>
      <c r="G12" s="85"/>
      <c r="H12" s="84"/>
      <c r="I12" s="85"/>
    </row>
    <row r="13" spans="1:9" ht="12" customHeight="1" x14ac:dyDescent="0.25">
      <c r="A13" s="74" t="s">
        <v>194</v>
      </c>
      <c r="B13" s="74"/>
    </row>
    <row r="14" spans="1:9" ht="14.25" customHeight="1" x14ac:dyDescent="0.25">
      <c r="A14" s="86" t="s">
        <v>195</v>
      </c>
      <c r="B14" s="86"/>
      <c r="C14" s="87">
        <v>12427972</v>
      </c>
      <c r="D14" s="229"/>
      <c r="E14" s="87">
        <v>89926</v>
      </c>
      <c r="F14" s="87"/>
      <c r="G14" s="88">
        <v>12517898</v>
      </c>
      <c r="H14" s="87"/>
      <c r="I14" s="87">
        <v>12635512</v>
      </c>
    </row>
    <row r="15" spans="1:9" ht="12" customHeight="1" x14ac:dyDescent="0.25">
      <c r="A15" s="86" t="s">
        <v>196</v>
      </c>
      <c r="B15" s="86"/>
      <c r="C15" s="87"/>
      <c r="D15" s="87"/>
      <c r="E15" s="87"/>
      <c r="F15" s="87"/>
      <c r="G15" s="88"/>
      <c r="H15" s="87"/>
      <c r="I15" s="87"/>
    </row>
    <row r="16" spans="1:9" ht="12" customHeight="1" x14ac:dyDescent="0.25">
      <c r="A16" s="86" t="s">
        <v>197</v>
      </c>
      <c r="B16" s="86"/>
      <c r="E16" s="89">
        <v>7708633</v>
      </c>
      <c r="G16" s="90">
        <v>7708633</v>
      </c>
      <c r="H16" s="89"/>
      <c r="I16" s="89">
        <v>6381769</v>
      </c>
    </row>
    <row r="17" spans="1:9" ht="12" customHeight="1" x14ac:dyDescent="0.25">
      <c r="A17" s="86" t="s">
        <v>198</v>
      </c>
      <c r="B17" s="86"/>
      <c r="C17" s="89">
        <v>-3419127</v>
      </c>
      <c r="D17" s="229"/>
      <c r="E17" s="89">
        <v>-6217412</v>
      </c>
      <c r="G17" s="90">
        <v>-9636539</v>
      </c>
      <c r="H17" s="87"/>
      <c r="I17" s="89">
        <v>-8017872</v>
      </c>
    </row>
    <row r="18" spans="1:9" ht="12" customHeight="1" x14ac:dyDescent="0.25">
      <c r="A18" s="86" t="s">
        <v>199</v>
      </c>
      <c r="B18" s="86"/>
      <c r="C18" s="89">
        <v>-2583074</v>
      </c>
      <c r="D18" s="89"/>
      <c r="E18" s="89">
        <v>-2007123</v>
      </c>
      <c r="G18" s="91">
        <v>-4590197</v>
      </c>
      <c r="H18" s="89"/>
      <c r="I18" s="89">
        <v>-4026121</v>
      </c>
    </row>
    <row r="19" spans="1:9" ht="12" customHeight="1" x14ac:dyDescent="0.25">
      <c r="A19" s="86" t="s">
        <v>200</v>
      </c>
      <c r="B19" s="86"/>
      <c r="C19" s="89"/>
      <c r="D19" s="89"/>
      <c r="E19" s="89"/>
      <c r="G19" s="91"/>
      <c r="H19" s="89"/>
      <c r="I19" s="89"/>
    </row>
    <row r="20" spans="1:9" ht="12" customHeight="1" x14ac:dyDescent="0.25">
      <c r="A20" s="86" t="s">
        <v>197</v>
      </c>
      <c r="B20" s="86"/>
      <c r="C20" s="92">
        <v>-1505026</v>
      </c>
      <c r="D20" s="93"/>
      <c r="E20" s="92"/>
      <c r="G20" s="94">
        <v>-1505026</v>
      </c>
      <c r="H20" s="89"/>
      <c r="I20" s="92">
        <v>-1470952</v>
      </c>
    </row>
    <row r="21" spans="1:9" ht="15" customHeight="1" x14ac:dyDescent="0.25">
      <c r="A21" s="86" t="s">
        <v>262</v>
      </c>
      <c r="B21" s="86"/>
      <c r="C21" s="86"/>
      <c r="D21" s="86"/>
      <c r="E21" s="86"/>
      <c r="G21" s="95"/>
      <c r="H21" s="86"/>
      <c r="I21" s="86"/>
    </row>
    <row r="22" spans="1:9" ht="12" customHeight="1" x14ac:dyDescent="0.25">
      <c r="A22" s="86" t="s">
        <v>201</v>
      </c>
      <c r="B22" s="86"/>
      <c r="C22" s="92">
        <v>4920745</v>
      </c>
      <c r="D22" s="229"/>
      <c r="E22" s="92">
        <v>-425976</v>
      </c>
      <c r="G22" s="94">
        <v>4494769</v>
      </c>
      <c r="H22" s="89"/>
      <c r="I22" s="92">
        <v>5502336</v>
      </c>
    </row>
    <row r="23" spans="1:9" ht="12" customHeight="1" x14ac:dyDescent="0.25">
      <c r="A23" s="86"/>
      <c r="B23" s="86"/>
      <c r="C23" s="93"/>
      <c r="D23" s="89"/>
      <c r="E23" s="93"/>
      <c r="G23" s="96"/>
      <c r="H23" s="89"/>
      <c r="I23" s="93"/>
    </row>
    <row r="24" spans="1:9" s="234" customFormat="1" ht="12" hidden="1" customHeight="1" x14ac:dyDescent="0.25">
      <c r="A24" s="233" t="s">
        <v>202</v>
      </c>
      <c r="B24" s="233"/>
      <c r="G24" s="235"/>
    </row>
    <row r="25" spans="1:9" s="241" customFormat="1" ht="14.25" hidden="1" customHeight="1" x14ac:dyDescent="0.25">
      <c r="A25" s="236" t="s">
        <v>203</v>
      </c>
      <c r="B25" s="237"/>
      <c r="C25" s="238"/>
      <c r="D25" s="239"/>
      <c r="E25" s="240"/>
      <c r="G25" s="242"/>
      <c r="H25" s="239"/>
      <c r="I25" s="238"/>
    </row>
    <row r="26" spans="1:9" ht="7.5" hidden="1" customHeight="1" x14ac:dyDescent="0.25">
      <c r="A26" s="86"/>
      <c r="B26" s="86"/>
      <c r="C26" s="93"/>
      <c r="D26" s="89"/>
      <c r="E26" s="93"/>
      <c r="G26" s="96"/>
      <c r="H26" s="89"/>
      <c r="I26" s="93"/>
    </row>
    <row r="27" spans="1:9" ht="12" customHeight="1" x14ac:dyDescent="0.25">
      <c r="A27" s="74" t="s">
        <v>204</v>
      </c>
      <c r="B27" s="74"/>
      <c r="G27" s="97"/>
    </row>
    <row r="28" spans="1:9" ht="12" customHeight="1" x14ac:dyDescent="0.25">
      <c r="A28" s="74" t="s">
        <v>205</v>
      </c>
      <c r="B28" s="74"/>
      <c r="G28" s="97"/>
    </row>
    <row r="29" spans="1:9" ht="14.25" customHeight="1" x14ac:dyDescent="0.25">
      <c r="A29" s="86" t="s">
        <v>248</v>
      </c>
      <c r="B29" s="86"/>
      <c r="C29" s="89">
        <v>-1706142</v>
      </c>
      <c r="D29" s="89"/>
      <c r="G29" s="91">
        <v>-1706142</v>
      </c>
      <c r="H29" s="89"/>
      <c r="I29" s="89">
        <v>-1388691</v>
      </c>
    </row>
    <row r="30" spans="1:9" ht="12" customHeight="1" x14ac:dyDescent="0.25">
      <c r="A30" s="86" t="s">
        <v>206</v>
      </c>
      <c r="B30" s="86"/>
      <c r="C30" s="89">
        <v>-8285230</v>
      </c>
      <c r="D30" s="89"/>
      <c r="E30" s="89">
        <v>-677481</v>
      </c>
      <c r="G30" s="91">
        <v>-8962711</v>
      </c>
      <c r="H30" s="89"/>
      <c r="I30" s="89">
        <v>-5614569</v>
      </c>
    </row>
    <row r="31" spans="1:9" ht="12" customHeight="1" x14ac:dyDescent="0.25">
      <c r="A31" s="86" t="s">
        <v>270</v>
      </c>
      <c r="B31" s="86"/>
      <c r="C31" s="89"/>
      <c r="D31" s="89"/>
      <c r="E31" s="89"/>
      <c r="G31" s="91"/>
      <c r="H31" s="89"/>
      <c r="I31" s="89">
        <v>-1223252</v>
      </c>
    </row>
    <row r="32" spans="1:9" ht="12" customHeight="1" x14ac:dyDescent="0.25">
      <c r="A32" s="86" t="s">
        <v>207</v>
      </c>
      <c r="B32" s="86"/>
      <c r="C32" s="89">
        <v>7500</v>
      </c>
      <c r="D32" s="89"/>
      <c r="E32" s="89">
        <v>27877</v>
      </c>
      <c r="G32" s="91">
        <v>35377</v>
      </c>
      <c r="H32" s="89"/>
      <c r="I32" s="89">
        <v>39341</v>
      </c>
    </row>
    <row r="33" spans="1:12" ht="12" customHeight="1" x14ac:dyDescent="0.25">
      <c r="A33" s="86" t="s">
        <v>208</v>
      </c>
      <c r="B33" s="86"/>
      <c r="C33" s="89">
        <v>-1431218</v>
      </c>
      <c r="D33" s="89"/>
      <c r="G33" s="91">
        <v>-1431218</v>
      </c>
      <c r="H33" s="89"/>
      <c r="I33" s="89">
        <v>-1726467</v>
      </c>
    </row>
    <row r="34" spans="1:12" ht="12" customHeight="1" x14ac:dyDescent="0.25">
      <c r="A34" s="86" t="s">
        <v>60</v>
      </c>
      <c r="B34" s="86"/>
      <c r="E34" s="89">
        <v>398967</v>
      </c>
      <c r="G34" s="91">
        <v>398967</v>
      </c>
      <c r="H34" s="89"/>
      <c r="I34" s="89">
        <v>722511</v>
      </c>
    </row>
    <row r="35" spans="1:12" ht="12" customHeight="1" x14ac:dyDescent="0.3">
      <c r="A35" s="86" t="s">
        <v>209</v>
      </c>
      <c r="B35" s="86"/>
      <c r="C35" s="89"/>
      <c r="D35" s="89"/>
      <c r="G35" s="91"/>
      <c r="H35" s="89"/>
      <c r="I35" s="98"/>
    </row>
    <row r="36" spans="1:12" ht="12" customHeight="1" x14ac:dyDescent="0.25">
      <c r="A36" s="86" t="s">
        <v>210</v>
      </c>
      <c r="B36" s="86"/>
      <c r="C36" s="76">
        <v>1706978</v>
      </c>
      <c r="D36" s="79"/>
      <c r="E36" s="76"/>
      <c r="F36" s="79"/>
      <c r="G36" s="94">
        <v>1706978</v>
      </c>
      <c r="H36" s="79"/>
      <c r="I36" s="92">
        <v>1770784</v>
      </c>
    </row>
    <row r="37" spans="1:12" ht="15" customHeight="1" x14ac:dyDescent="0.25">
      <c r="A37" s="86" t="s">
        <v>269</v>
      </c>
      <c r="B37" s="86"/>
      <c r="C37" s="86"/>
      <c r="D37" s="86"/>
      <c r="E37" s="86"/>
      <c r="G37" s="95"/>
      <c r="H37" s="86"/>
      <c r="I37" s="86"/>
    </row>
    <row r="38" spans="1:12" ht="12" customHeight="1" x14ac:dyDescent="0.25">
      <c r="A38" s="86" t="s">
        <v>256</v>
      </c>
      <c r="B38" s="86"/>
      <c r="C38" s="92">
        <v>-9708112</v>
      </c>
      <c r="D38" s="89"/>
      <c r="E38" s="92">
        <v>-250637</v>
      </c>
      <c r="G38" s="94">
        <v>-9958749</v>
      </c>
      <c r="H38" s="89"/>
      <c r="I38" s="92">
        <v>-7420343</v>
      </c>
    </row>
    <row r="39" spans="1:12" ht="6" customHeight="1" x14ac:dyDescent="0.25">
      <c r="A39" s="86"/>
      <c r="B39" s="86"/>
      <c r="C39" s="93"/>
      <c r="D39" s="89"/>
      <c r="E39" s="93"/>
      <c r="G39" s="96"/>
      <c r="H39" s="89"/>
      <c r="I39" s="93"/>
    </row>
    <row r="40" spans="1:12" ht="12" customHeight="1" x14ac:dyDescent="0.25">
      <c r="A40" s="74" t="s">
        <v>211</v>
      </c>
      <c r="B40" s="74"/>
      <c r="G40" s="97"/>
    </row>
    <row r="41" spans="1:12" ht="14.25" customHeight="1" x14ac:dyDescent="0.25">
      <c r="A41" s="86" t="s">
        <v>212</v>
      </c>
      <c r="B41" s="86"/>
      <c r="C41" s="92">
        <v>1049100</v>
      </c>
      <c r="D41" s="93"/>
      <c r="E41" s="92">
        <v>169659</v>
      </c>
      <c r="G41" s="94">
        <v>1218759</v>
      </c>
      <c r="H41" s="89"/>
      <c r="I41" s="92">
        <v>2044822</v>
      </c>
    </row>
    <row r="42" spans="1:12" ht="12" customHeight="1" x14ac:dyDescent="0.25">
      <c r="A42" s="86"/>
      <c r="B42" s="86"/>
      <c r="C42" s="93"/>
      <c r="D42" s="89"/>
      <c r="E42" s="93"/>
      <c r="G42" s="96"/>
      <c r="H42" s="89"/>
      <c r="I42" s="93"/>
    </row>
    <row r="43" spans="1:12" ht="12" customHeight="1" x14ac:dyDescent="0.25">
      <c r="A43" s="86" t="s">
        <v>280</v>
      </c>
      <c r="B43" s="86"/>
      <c r="C43" s="86"/>
      <c r="D43" s="86"/>
      <c r="E43" s="86"/>
      <c r="G43" s="95"/>
      <c r="H43" s="86"/>
      <c r="I43" s="86"/>
    </row>
    <row r="44" spans="1:12" ht="12" customHeight="1" x14ac:dyDescent="0.25">
      <c r="A44" s="86" t="s">
        <v>213</v>
      </c>
      <c r="B44" s="86"/>
      <c r="C44" s="93">
        <v>-3738267</v>
      </c>
      <c r="D44" s="93"/>
      <c r="E44" s="93">
        <v>-506954</v>
      </c>
      <c r="F44" s="79"/>
      <c r="G44" s="96">
        <v>-4245221</v>
      </c>
      <c r="H44" s="93"/>
      <c r="I44" s="93">
        <v>126815</v>
      </c>
      <c r="J44" s="79" t="s">
        <v>214</v>
      </c>
      <c r="K44" s="79"/>
      <c r="L44" s="79"/>
    </row>
    <row r="45" spans="1:12" ht="11.25" customHeight="1" x14ac:dyDescent="0.25">
      <c r="A45" s="86"/>
      <c r="B45" s="86"/>
      <c r="C45" s="89"/>
      <c r="D45" s="89"/>
      <c r="E45" s="89"/>
      <c r="G45" s="91"/>
      <c r="H45" s="89"/>
      <c r="I45" s="89"/>
    </row>
    <row r="46" spans="1:12" ht="12" customHeight="1" x14ac:dyDescent="0.25">
      <c r="A46" s="86" t="s">
        <v>215</v>
      </c>
      <c r="B46" s="86"/>
      <c r="G46" s="97"/>
    </row>
    <row r="47" spans="1:12" ht="12" customHeight="1" x14ac:dyDescent="0.25">
      <c r="A47" s="86" t="s">
        <v>250</v>
      </c>
      <c r="B47" s="86"/>
      <c r="C47" s="92">
        <v>27233837</v>
      </c>
      <c r="D47" s="89"/>
      <c r="E47" s="92">
        <v>5293002</v>
      </c>
      <c r="G47" s="94">
        <v>32526839</v>
      </c>
      <c r="H47" s="89"/>
      <c r="I47" s="92">
        <v>32400024</v>
      </c>
    </row>
    <row r="48" spans="1:12" ht="11.25" customHeight="1" x14ac:dyDescent="0.25">
      <c r="A48" s="86"/>
      <c r="B48" s="86"/>
      <c r="C48" s="93"/>
      <c r="D48" s="89"/>
      <c r="E48" s="93"/>
      <c r="G48" s="96"/>
      <c r="H48" s="89"/>
      <c r="I48" s="93"/>
    </row>
    <row r="49" spans="1:9" ht="12" customHeight="1" x14ac:dyDescent="0.25">
      <c r="A49" s="86" t="s">
        <v>215</v>
      </c>
      <c r="B49" s="86"/>
      <c r="G49" s="97"/>
    </row>
    <row r="50" spans="1:9" ht="12" customHeight="1" thickBot="1" x14ac:dyDescent="0.3">
      <c r="A50" s="86" t="s">
        <v>216</v>
      </c>
      <c r="B50" s="86"/>
      <c r="C50" s="99">
        <v>23495570</v>
      </c>
      <c r="D50" s="87"/>
      <c r="E50" s="99">
        <v>4786048</v>
      </c>
      <c r="F50" s="87"/>
      <c r="G50" s="100">
        <v>28281618</v>
      </c>
      <c r="H50" s="87"/>
      <c r="I50" s="99">
        <v>32526839</v>
      </c>
    </row>
    <row r="51" spans="1:9" ht="12" customHeight="1" thickTop="1" x14ac:dyDescent="0.25">
      <c r="A51" s="86"/>
      <c r="B51" s="86"/>
      <c r="C51" s="204"/>
      <c r="D51" s="87"/>
      <c r="E51" s="204"/>
      <c r="F51" s="87"/>
      <c r="G51" s="86"/>
      <c r="H51" s="87"/>
      <c r="I51" s="204"/>
    </row>
    <row r="52" spans="1:9" ht="12" customHeight="1" x14ac:dyDescent="0.25">
      <c r="A52" s="86"/>
      <c r="B52" s="86"/>
      <c r="C52" s="204"/>
      <c r="D52" s="87"/>
      <c r="E52" s="204"/>
      <c r="F52" s="87"/>
      <c r="G52" s="86"/>
      <c r="H52" s="87"/>
      <c r="I52" s="204"/>
    </row>
    <row r="53" spans="1:9" ht="12.75" customHeight="1" x14ac:dyDescent="0.25">
      <c r="C53" s="86"/>
      <c r="D53" s="86"/>
      <c r="E53" s="86"/>
      <c r="G53" s="86"/>
      <c r="H53" s="86"/>
    </row>
    <row r="54" spans="1:9" ht="7.5" customHeight="1" x14ac:dyDescent="0.25">
      <c r="C54" s="86"/>
      <c r="D54" s="86"/>
      <c r="E54" s="86"/>
      <c r="G54" s="86"/>
      <c r="H54" s="86"/>
    </row>
    <row r="55" spans="1:9" ht="7.5" customHeight="1" x14ac:dyDescent="0.25"/>
    <row r="56" spans="1:9" ht="12" customHeight="1" x14ac:dyDescent="0.3">
      <c r="C56" s="86"/>
      <c r="D56" s="86"/>
      <c r="E56" s="86"/>
      <c r="G56" s="86"/>
      <c r="H56" s="86"/>
      <c r="I56" s="220" t="s">
        <v>217</v>
      </c>
    </row>
    <row r="57" spans="1:9" ht="12" customHeight="1" x14ac:dyDescent="0.25">
      <c r="B57" s="173"/>
      <c r="C57" s="176"/>
      <c r="D57" s="173"/>
      <c r="E57" s="176"/>
      <c r="F57" s="173"/>
      <c r="G57" s="173"/>
      <c r="H57" s="173"/>
    </row>
    <row r="60" spans="1:9" ht="12" customHeight="1" x14ac:dyDescent="0.25">
      <c r="A60" s="173"/>
      <c r="B60" s="173"/>
      <c r="C60" s="177"/>
      <c r="D60" s="177"/>
      <c r="E60" s="177"/>
      <c r="F60" s="173"/>
      <c r="G60" s="177"/>
      <c r="H60" s="177"/>
      <c r="I60" s="177"/>
    </row>
    <row r="61" spans="1:9" ht="12" customHeight="1" x14ac:dyDescent="0.25">
      <c r="C61" s="86"/>
      <c r="D61" s="86"/>
      <c r="E61" s="86"/>
      <c r="G61" s="86"/>
      <c r="H61" s="86"/>
      <c r="I61" s="86"/>
    </row>
    <row r="64" spans="1:9" ht="10.5" customHeight="1" x14ac:dyDescent="0.3">
      <c r="A64" s="270" t="s">
        <v>75</v>
      </c>
      <c r="B64" s="270"/>
      <c r="C64" s="270"/>
      <c r="D64" s="270"/>
      <c r="E64" s="270"/>
      <c r="F64" s="270"/>
      <c r="G64" s="270"/>
      <c r="H64" s="270"/>
      <c r="I64" s="270"/>
    </row>
    <row r="66" spans="1:9" ht="12" customHeight="1" x14ac:dyDescent="0.3">
      <c r="A66" s="269" t="s">
        <v>218</v>
      </c>
      <c r="B66" s="269"/>
      <c r="C66" s="269"/>
      <c r="D66" s="269"/>
      <c r="E66" s="269"/>
      <c r="F66" s="269"/>
      <c r="G66" s="269"/>
      <c r="H66" s="269"/>
      <c r="I66" s="269"/>
    </row>
    <row r="68" spans="1:9" ht="12" customHeight="1" x14ac:dyDescent="0.25">
      <c r="A68" s="86"/>
    </row>
  </sheetData>
  <mergeCells count="2">
    <mergeCell ref="A66:I66"/>
    <mergeCell ref="A64:I64"/>
  </mergeCells>
  <phoneticPr fontId="0" type="noConversion"/>
  <printOptions gridLinesSet="0"/>
  <pageMargins left="0.9" right="0.6" top="0.7" bottom="0.25" header="0.5" footer="0.5"/>
  <pageSetup orientation="portrait" horizontalDpi="300" verticalDpi="4294967292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I67"/>
  <sheetViews>
    <sheetView showGridLines="0" defaultGridColor="0" topLeftCell="A35" colorId="8" zoomScaleNormal="100" workbookViewId="0">
      <selection activeCell="K73" sqref="K73:X73"/>
    </sheetView>
  </sheetViews>
  <sheetFormatPr defaultColWidth="20.1796875" defaultRowHeight="12" customHeight="1" x14ac:dyDescent="0.25"/>
  <cols>
    <col min="1" max="1" width="39.7265625" style="102" customWidth="1"/>
    <col min="2" max="2" width="2.7265625" style="102" customWidth="1"/>
    <col min="3" max="3" width="9" style="102" customWidth="1"/>
    <col min="4" max="4" width="4.1796875" style="102" customWidth="1"/>
    <col min="5" max="5" width="10.453125" style="102" customWidth="1"/>
    <col min="6" max="6" width="4.1796875" style="102" customWidth="1"/>
    <col min="7" max="7" width="9.7265625" style="102" customWidth="1"/>
    <col min="8" max="8" width="4.1796875" style="102" customWidth="1"/>
    <col min="9" max="9" width="9" style="102" customWidth="1"/>
    <col min="10" max="16384" width="20.1796875" style="102"/>
  </cols>
  <sheetData>
    <row r="1" spans="1:9" ht="10.5" customHeight="1" x14ac:dyDescent="0.25">
      <c r="A1" s="167" t="s">
        <v>0</v>
      </c>
      <c r="B1" s="167"/>
      <c r="C1" s="168"/>
      <c r="D1" s="168"/>
      <c r="E1" s="168"/>
      <c r="F1" s="168"/>
      <c r="G1" s="168"/>
      <c r="H1" s="168"/>
      <c r="I1" s="168"/>
    </row>
    <row r="2" spans="1:9" ht="10.5" customHeight="1" x14ac:dyDescent="0.25">
      <c r="A2" s="167" t="s">
        <v>191</v>
      </c>
      <c r="B2" s="167"/>
      <c r="C2" s="168"/>
      <c r="D2" s="168"/>
      <c r="E2" s="168"/>
      <c r="F2" s="168"/>
      <c r="G2" s="168"/>
      <c r="H2" s="168"/>
      <c r="I2" s="168"/>
    </row>
    <row r="3" spans="1:9" ht="10.5" customHeight="1" x14ac:dyDescent="0.25">
      <c r="A3" s="167" t="s">
        <v>219</v>
      </c>
      <c r="B3" s="167"/>
      <c r="C3" s="168"/>
      <c r="D3" s="168"/>
      <c r="E3" s="168"/>
      <c r="F3" s="168"/>
      <c r="G3" s="168"/>
      <c r="H3" s="168"/>
      <c r="I3" s="168"/>
    </row>
    <row r="4" spans="1:9" ht="10.5" customHeight="1" x14ac:dyDescent="0.25">
      <c r="A4" s="167" t="s">
        <v>273</v>
      </c>
      <c r="B4" s="167"/>
      <c r="C4" s="168"/>
      <c r="D4" s="168"/>
      <c r="E4" s="168"/>
      <c r="F4" s="168"/>
      <c r="G4" s="168"/>
      <c r="H4" s="168"/>
      <c r="I4" s="168"/>
    </row>
    <row r="5" spans="1:9" ht="3" customHeight="1" x14ac:dyDescent="0.25">
      <c r="A5" s="167" t="s">
        <v>3</v>
      </c>
      <c r="B5" s="169"/>
      <c r="C5" s="170"/>
      <c r="D5" s="168"/>
      <c r="E5" s="168"/>
      <c r="F5" s="168"/>
      <c r="G5" s="168"/>
      <c r="H5" s="168"/>
      <c r="I5" s="168"/>
    </row>
    <row r="6" spans="1:9" ht="11.5" customHeight="1" x14ac:dyDescent="0.25">
      <c r="A6" s="101"/>
      <c r="B6" s="101"/>
      <c r="C6" s="104"/>
    </row>
    <row r="7" spans="1:9" ht="5.25" customHeight="1" x14ac:dyDescent="0.25">
      <c r="A7" s="101"/>
      <c r="B7" s="101"/>
      <c r="C7" s="104"/>
    </row>
    <row r="8" spans="1:9" ht="10.5" customHeight="1" x14ac:dyDescent="0.25">
      <c r="A8" s="101"/>
      <c r="B8" s="101"/>
      <c r="C8" s="104"/>
    </row>
    <row r="9" spans="1:9" ht="11.5" customHeight="1" x14ac:dyDescent="0.25">
      <c r="C9" s="102" t="s">
        <v>220</v>
      </c>
      <c r="G9" s="105"/>
      <c r="H9" s="106" t="s">
        <v>10</v>
      </c>
      <c r="I9" s="104"/>
    </row>
    <row r="10" spans="1:9" ht="11.5" customHeight="1" x14ac:dyDescent="0.25">
      <c r="C10" s="103" t="s">
        <v>221</v>
      </c>
      <c r="D10" s="103"/>
      <c r="E10" s="103"/>
      <c r="G10" s="107"/>
      <c r="H10" s="108" t="s">
        <v>17</v>
      </c>
      <c r="I10" s="103"/>
    </row>
    <row r="11" spans="1:9" ht="13" customHeight="1" x14ac:dyDescent="0.25">
      <c r="D11" s="109"/>
      <c r="E11" s="109" t="s">
        <v>161</v>
      </c>
    </row>
    <row r="12" spans="1:9" ht="11.5" customHeight="1" x14ac:dyDescent="0.25">
      <c r="C12" s="108" t="s">
        <v>21</v>
      </c>
      <c r="E12" s="108" t="s">
        <v>19</v>
      </c>
      <c r="G12" s="110">
        <v>2002</v>
      </c>
      <c r="H12" s="111"/>
      <c r="I12" s="110">
        <v>2001</v>
      </c>
    </row>
    <row r="13" spans="1:9" ht="12" customHeight="1" x14ac:dyDescent="0.25">
      <c r="C13" s="112"/>
      <c r="D13" s="112"/>
      <c r="E13" s="112"/>
      <c r="G13" s="112"/>
      <c r="I13" s="112"/>
    </row>
    <row r="14" spans="1:9" ht="9" customHeight="1" x14ac:dyDescent="0.25">
      <c r="C14" s="112"/>
      <c r="D14" s="112"/>
      <c r="E14" s="112"/>
      <c r="G14" s="112"/>
      <c r="I14" s="112"/>
    </row>
    <row r="15" spans="1:9" ht="12" customHeight="1" x14ac:dyDescent="0.25">
      <c r="A15" s="101" t="s">
        <v>222</v>
      </c>
      <c r="B15" s="101"/>
      <c r="C15" s="112"/>
      <c r="D15" s="112"/>
      <c r="E15" s="112"/>
      <c r="G15" s="112"/>
      <c r="I15" s="112"/>
    </row>
    <row r="16" spans="1:9" ht="12" customHeight="1" x14ac:dyDescent="0.25">
      <c r="A16" s="101" t="s">
        <v>263</v>
      </c>
      <c r="B16" s="101"/>
      <c r="C16" s="112"/>
      <c r="D16" s="112"/>
      <c r="E16" s="112"/>
      <c r="G16" s="112"/>
      <c r="I16" s="112"/>
    </row>
    <row r="17" spans="1:9" ht="12" customHeight="1" x14ac:dyDescent="0.25">
      <c r="A17" s="101" t="s">
        <v>223</v>
      </c>
      <c r="B17" s="101"/>
      <c r="C17" s="112"/>
      <c r="D17" s="112"/>
      <c r="E17" s="112"/>
      <c r="G17" s="112"/>
      <c r="I17" s="112"/>
    </row>
    <row r="18" spans="1:9" ht="12" customHeight="1" x14ac:dyDescent="0.25">
      <c r="A18" s="112" t="s">
        <v>224</v>
      </c>
      <c r="B18" s="112"/>
      <c r="C18" s="113">
        <v>4009715</v>
      </c>
      <c r="D18" s="230"/>
      <c r="E18" s="255">
        <f>2865-219992-274789-137722-9239-394000</f>
        <v>-1032877</v>
      </c>
      <c r="F18" s="114"/>
      <c r="G18" s="115">
        <f>SUM(C18:F18)</f>
        <v>2976838</v>
      </c>
      <c r="I18" s="113">
        <v>3813995</v>
      </c>
    </row>
    <row r="19" spans="1:9" ht="12" customHeight="1" x14ac:dyDescent="0.25">
      <c r="C19" s="112"/>
      <c r="D19" s="112"/>
      <c r="E19" s="112"/>
      <c r="G19" s="116"/>
      <c r="I19" s="112"/>
    </row>
    <row r="20" spans="1:9" ht="12" customHeight="1" x14ac:dyDescent="0.25">
      <c r="A20" s="101" t="s">
        <v>225</v>
      </c>
      <c r="B20" s="101"/>
      <c r="G20" s="117"/>
    </row>
    <row r="21" spans="1:9" ht="12" customHeight="1" x14ac:dyDescent="0.25">
      <c r="A21" s="101" t="s">
        <v>264</v>
      </c>
      <c r="B21" s="101"/>
      <c r="G21" s="117"/>
    </row>
    <row r="22" spans="1:9" ht="12" customHeight="1" x14ac:dyDescent="0.25">
      <c r="A22" s="101" t="s">
        <v>226</v>
      </c>
      <c r="B22" s="101"/>
      <c r="G22" s="117"/>
    </row>
    <row r="23" spans="1:9" ht="12" customHeight="1" x14ac:dyDescent="0.25">
      <c r="A23" s="112" t="s">
        <v>174</v>
      </c>
      <c r="B23" s="112"/>
      <c r="C23" s="118">
        <v>1054837</v>
      </c>
      <c r="D23" s="118"/>
      <c r="E23" s="118">
        <v>622290</v>
      </c>
      <c r="G23" s="119">
        <f>SUM(C23:F23)</f>
        <v>1677127</v>
      </c>
      <c r="I23" s="118">
        <v>1800733</v>
      </c>
    </row>
    <row r="24" spans="1:9" ht="12" customHeight="1" x14ac:dyDescent="0.25">
      <c r="A24" s="112" t="s">
        <v>184</v>
      </c>
      <c r="B24" s="112"/>
      <c r="C24" s="118"/>
      <c r="D24" s="118"/>
      <c r="E24" s="118"/>
      <c r="G24" s="119"/>
      <c r="I24" s="118">
        <v>55017</v>
      </c>
    </row>
    <row r="25" spans="1:9" ht="12" customHeight="1" x14ac:dyDescent="0.25">
      <c r="A25" s="112" t="s">
        <v>185</v>
      </c>
      <c r="B25" s="112"/>
      <c r="C25" s="118"/>
      <c r="D25" s="118"/>
      <c r="E25" s="118"/>
      <c r="G25" s="119"/>
      <c r="I25" s="118">
        <v>-315000</v>
      </c>
    </row>
    <row r="26" spans="1:9" ht="12" customHeight="1" x14ac:dyDescent="0.25">
      <c r="A26" s="112" t="s">
        <v>227</v>
      </c>
      <c r="B26" s="112"/>
      <c r="G26" s="117"/>
    </row>
    <row r="27" spans="1:9" ht="12" customHeight="1" x14ac:dyDescent="0.25">
      <c r="A27" s="112" t="s">
        <v>228</v>
      </c>
      <c r="B27" s="112"/>
      <c r="C27" s="118">
        <v>24627</v>
      </c>
      <c r="D27" s="118"/>
      <c r="E27" s="118">
        <v>-43679</v>
      </c>
      <c r="G27" s="119">
        <f t="shared" ref="G27:G35" si="0">SUM(C27:F27)</f>
        <v>-19052</v>
      </c>
      <c r="I27" s="118">
        <v>1816</v>
      </c>
    </row>
    <row r="28" spans="1:9" ht="12" customHeight="1" x14ac:dyDescent="0.25">
      <c r="A28" s="112" t="s">
        <v>229</v>
      </c>
      <c r="B28" s="112"/>
      <c r="C28" s="118">
        <v>3779</v>
      </c>
      <c r="D28" s="230"/>
      <c r="E28" s="118"/>
      <c r="G28" s="119">
        <f>SUM(C28:F28)</f>
        <v>3779</v>
      </c>
      <c r="I28" s="118">
        <v>705</v>
      </c>
    </row>
    <row r="29" spans="1:9" ht="12" customHeight="1" x14ac:dyDescent="0.25">
      <c r="A29" s="112" t="s">
        <v>254</v>
      </c>
      <c r="B29" s="112"/>
      <c r="C29" s="118">
        <v>-150881</v>
      </c>
      <c r="D29" s="230"/>
      <c r="E29" s="118"/>
      <c r="G29" s="119">
        <f t="shared" si="0"/>
        <v>-150881</v>
      </c>
      <c r="I29" s="118">
        <v>9179</v>
      </c>
    </row>
    <row r="30" spans="1:9" ht="12" customHeight="1" x14ac:dyDescent="0.25">
      <c r="A30" s="112" t="s">
        <v>230</v>
      </c>
      <c r="B30" s="112"/>
      <c r="C30" s="118">
        <v>7423</v>
      </c>
      <c r="D30" s="118"/>
      <c r="E30" s="118">
        <v>5515</v>
      </c>
      <c r="G30" s="119">
        <f t="shared" si="0"/>
        <v>12938</v>
      </c>
      <c r="I30" s="118">
        <v>-21757</v>
      </c>
    </row>
    <row r="31" spans="1:9" ht="12" customHeight="1" x14ac:dyDescent="0.25">
      <c r="A31" s="112" t="s">
        <v>281</v>
      </c>
      <c r="B31" s="112"/>
      <c r="C31" s="118"/>
      <c r="D31" s="118"/>
      <c r="E31" s="118">
        <v>-7500</v>
      </c>
      <c r="G31" s="119">
        <f t="shared" si="0"/>
        <v>-7500</v>
      </c>
      <c r="I31" s="118"/>
    </row>
    <row r="32" spans="1:9" ht="12" customHeight="1" x14ac:dyDescent="0.25">
      <c r="A32" s="112" t="s">
        <v>231</v>
      </c>
      <c r="B32" s="112"/>
      <c r="C32" s="118">
        <v>-70518</v>
      </c>
      <c r="D32" s="118"/>
      <c r="E32" s="118">
        <v>45668</v>
      </c>
      <c r="G32" s="119">
        <f t="shared" si="0"/>
        <v>-24850</v>
      </c>
      <c r="I32" s="118">
        <v>-91932</v>
      </c>
    </row>
    <row r="33" spans="1:9" ht="12" customHeight="1" x14ac:dyDescent="0.25">
      <c r="A33" s="112" t="s">
        <v>232</v>
      </c>
      <c r="B33" s="112"/>
      <c r="C33" s="118">
        <v>3773</v>
      </c>
      <c r="D33" s="118"/>
      <c r="E33" s="118">
        <v>-7734</v>
      </c>
      <c r="G33" s="119">
        <f t="shared" si="0"/>
        <v>-3961</v>
      </c>
      <c r="I33" s="118">
        <v>88924</v>
      </c>
    </row>
    <row r="34" spans="1:9" ht="12" customHeight="1" x14ac:dyDescent="0.25">
      <c r="A34" s="112" t="s">
        <v>233</v>
      </c>
      <c r="B34" s="112"/>
      <c r="C34" s="118">
        <v>-3635</v>
      </c>
      <c r="D34" s="118"/>
      <c r="E34" s="102">
        <v>-7659</v>
      </c>
      <c r="G34" s="119">
        <f t="shared" si="0"/>
        <v>-11294</v>
      </c>
      <c r="I34" s="118">
        <v>1711</v>
      </c>
    </row>
    <row r="35" spans="1:9" ht="12" customHeight="1" x14ac:dyDescent="0.25">
      <c r="A35" s="112" t="s">
        <v>234</v>
      </c>
      <c r="B35" s="112"/>
      <c r="C35" s="120">
        <v>41625</v>
      </c>
      <c r="D35" s="230"/>
      <c r="E35" s="103"/>
      <c r="G35" s="121">
        <f t="shared" si="0"/>
        <v>41625</v>
      </c>
      <c r="I35" s="120">
        <v>158945</v>
      </c>
    </row>
    <row r="36" spans="1:9" ht="14.15" customHeight="1" x14ac:dyDescent="0.25">
      <c r="A36" s="112" t="s">
        <v>235</v>
      </c>
      <c r="B36" s="112"/>
      <c r="C36" s="120">
        <f>SUM(C23:C35)</f>
        <v>911030</v>
      </c>
      <c r="D36" s="118"/>
      <c r="E36" s="120">
        <f>SUM(E23:E35)</f>
        <v>606901</v>
      </c>
      <c r="G36" s="121">
        <f>SUM(G23:G35)</f>
        <v>1517931</v>
      </c>
      <c r="I36" s="120">
        <f>SUM(I23:I35)</f>
        <v>1688341</v>
      </c>
    </row>
    <row r="37" spans="1:9" ht="12" customHeight="1" x14ac:dyDescent="0.25">
      <c r="A37" s="112"/>
      <c r="B37" s="112"/>
      <c r="C37" s="118"/>
      <c r="D37" s="118"/>
      <c r="E37" s="118"/>
      <c r="G37" s="119"/>
      <c r="I37" s="118"/>
    </row>
    <row r="38" spans="1:9" ht="12" customHeight="1" x14ac:dyDescent="0.25">
      <c r="A38" s="112" t="s">
        <v>265</v>
      </c>
      <c r="B38" s="112"/>
      <c r="C38" s="112"/>
      <c r="D38" s="112"/>
      <c r="E38" s="112"/>
      <c r="G38" s="116"/>
      <c r="I38" s="112"/>
    </row>
    <row r="39" spans="1:9" ht="12" customHeight="1" thickBot="1" x14ac:dyDescent="0.3">
      <c r="A39" s="112" t="s">
        <v>236</v>
      </c>
      <c r="B39" s="112"/>
      <c r="C39" s="122">
        <f>C18+C36</f>
        <v>4920745</v>
      </c>
      <c r="D39" s="114"/>
      <c r="E39" s="253">
        <f>E18+E36</f>
        <v>-425976</v>
      </c>
      <c r="F39" s="114"/>
      <c r="G39" s="123">
        <f>G18+G36</f>
        <v>4494769</v>
      </c>
      <c r="I39" s="122">
        <f>I18+I36</f>
        <v>5502336</v>
      </c>
    </row>
    <row r="40" spans="1:9" ht="12" customHeight="1" thickTop="1" x14ac:dyDescent="0.25">
      <c r="C40" s="112"/>
      <c r="D40" s="112"/>
      <c r="E40" s="112"/>
      <c r="G40" s="116"/>
      <c r="I40" s="112"/>
    </row>
    <row r="41" spans="1:9" ht="6.75" customHeight="1" x14ac:dyDescent="0.25">
      <c r="G41" s="117"/>
    </row>
    <row r="42" spans="1:9" ht="12" customHeight="1" x14ac:dyDescent="0.25">
      <c r="A42" s="101" t="s">
        <v>237</v>
      </c>
      <c r="B42" s="101"/>
      <c r="G42" s="117"/>
    </row>
    <row r="43" spans="1:9" ht="9.75" customHeight="1" x14ac:dyDescent="0.25">
      <c r="A43" s="101"/>
      <c r="B43" s="101"/>
      <c r="G43" s="117"/>
    </row>
    <row r="44" spans="1:9" ht="12" customHeight="1" x14ac:dyDescent="0.25">
      <c r="A44" s="112" t="s">
        <v>238</v>
      </c>
      <c r="B44" s="112"/>
      <c r="G44" s="117"/>
    </row>
    <row r="45" spans="1:9" ht="12" customHeight="1" thickBot="1" x14ac:dyDescent="0.3">
      <c r="A45" s="112" t="s">
        <v>282</v>
      </c>
      <c r="B45" s="112"/>
      <c r="C45" s="122">
        <v>460455</v>
      </c>
      <c r="D45" s="114"/>
      <c r="E45" s="165" t="s">
        <v>253</v>
      </c>
      <c r="F45" s="114"/>
      <c r="G45" s="123">
        <f>+C45</f>
        <v>460455</v>
      </c>
      <c r="I45" s="122">
        <v>435490</v>
      </c>
    </row>
    <row r="46" spans="1:9" ht="12" customHeight="1" thickTop="1" x14ac:dyDescent="0.25">
      <c r="A46" s="112"/>
      <c r="B46" s="112"/>
      <c r="G46" s="117"/>
    </row>
    <row r="47" spans="1:9" ht="12" customHeight="1" thickBot="1" x14ac:dyDescent="0.3">
      <c r="A47" s="102" t="s">
        <v>239</v>
      </c>
      <c r="B47" s="112"/>
      <c r="C47" s="165" t="s">
        <v>253</v>
      </c>
      <c r="D47" s="114"/>
      <c r="E47" s="165" t="s">
        <v>253</v>
      </c>
      <c r="F47" s="114"/>
      <c r="G47" s="123" t="s">
        <v>278</v>
      </c>
      <c r="I47" s="166">
        <v>37991</v>
      </c>
    </row>
    <row r="48" spans="1:9" ht="7.5" customHeight="1" thickTop="1" x14ac:dyDescent="0.25">
      <c r="C48" s="112"/>
      <c r="D48" s="112"/>
      <c r="E48" s="112"/>
      <c r="G48" s="112"/>
      <c r="I48" s="112"/>
    </row>
    <row r="49" spans="1:9" ht="12" customHeight="1" x14ac:dyDescent="0.25">
      <c r="C49" s="112"/>
      <c r="D49" s="112"/>
      <c r="E49" s="112"/>
      <c r="G49" s="112"/>
      <c r="I49" s="112"/>
    </row>
    <row r="50" spans="1:9" ht="12" customHeight="1" x14ac:dyDescent="0.25">
      <c r="C50" s="112"/>
      <c r="D50" s="112"/>
      <c r="E50" s="112"/>
      <c r="G50" s="112"/>
      <c r="I50" s="112"/>
    </row>
    <row r="51" spans="1:9" ht="12" customHeight="1" x14ac:dyDescent="0.25">
      <c r="C51" s="112"/>
      <c r="D51" s="112"/>
      <c r="E51" s="112"/>
      <c r="G51" s="112"/>
      <c r="I51" s="112"/>
    </row>
    <row r="52" spans="1:9" ht="12" customHeight="1" x14ac:dyDescent="0.25">
      <c r="C52" s="112"/>
      <c r="D52" s="112"/>
      <c r="E52" s="112"/>
      <c r="I52" s="112"/>
    </row>
    <row r="53" spans="1:9" ht="12" customHeight="1" x14ac:dyDescent="0.25">
      <c r="C53" s="112"/>
      <c r="D53" s="112"/>
      <c r="E53" s="112"/>
      <c r="I53" s="112"/>
    </row>
    <row r="54" spans="1:9" ht="12" customHeight="1" x14ac:dyDescent="0.25">
      <c r="C54" s="112"/>
      <c r="D54" s="112"/>
      <c r="E54" s="112"/>
      <c r="I54" s="112"/>
    </row>
    <row r="55" spans="1:9" ht="12" customHeight="1" x14ac:dyDescent="0.25">
      <c r="C55" s="112"/>
      <c r="D55" s="112"/>
      <c r="E55" s="112"/>
      <c r="G55" s="112"/>
      <c r="I55" s="112"/>
    </row>
    <row r="59" spans="1:9" s="223" customFormat="1" ht="12" customHeight="1" x14ac:dyDescent="0.3">
      <c r="B59" s="221"/>
      <c r="C59" s="222"/>
      <c r="D59" s="222"/>
      <c r="E59" s="222"/>
      <c r="F59" s="221"/>
      <c r="G59" s="222"/>
      <c r="H59" s="221"/>
      <c r="I59" s="222"/>
    </row>
    <row r="60" spans="1:9" ht="12" customHeight="1" x14ac:dyDescent="0.25">
      <c r="B60" s="168"/>
      <c r="C60" s="171"/>
      <c r="D60" s="168"/>
      <c r="E60" s="171"/>
      <c r="F60" s="168"/>
      <c r="G60" s="168"/>
      <c r="H60" s="168"/>
      <c r="I60" s="168"/>
    </row>
    <row r="63" spans="1:9" ht="12" customHeight="1" x14ac:dyDescent="0.3">
      <c r="A63" s="272" t="s">
        <v>75</v>
      </c>
      <c r="B63" s="272"/>
      <c r="C63" s="272"/>
      <c r="D63" s="272"/>
      <c r="E63" s="272"/>
      <c r="F63" s="272"/>
      <c r="G63" s="272"/>
      <c r="H63" s="272"/>
      <c r="I63" s="272"/>
    </row>
    <row r="64" spans="1:9" ht="7.5" customHeight="1" x14ac:dyDescent="0.25"/>
    <row r="65" spans="1:9" ht="12" customHeight="1" x14ac:dyDescent="0.3">
      <c r="A65" s="271" t="s">
        <v>240</v>
      </c>
      <c r="B65" s="271"/>
      <c r="C65" s="271"/>
      <c r="D65" s="271"/>
      <c r="E65" s="271"/>
      <c r="F65" s="271"/>
      <c r="G65" s="271"/>
      <c r="H65" s="271"/>
      <c r="I65" s="271"/>
    </row>
    <row r="67" spans="1:9" ht="12" customHeight="1" x14ac:dyDescent="0.25">
      <c r="A67" s="112"/>
    </row>
  </sheetData>
  <mergeCells count="2">
    <mergeCell ref="A65:I65"/>
    <mergeCell ref="A63:I63"/>
  </mergeCells>
  <phoneticPr fontId="0" type="noConversion"/>
  <printOptions gridLinesSet="0"/>
  <pageMargins left="0.6" right="0.65" top="0.7" bottom="0.25" header="0.5" footer="0.5"/>
  <pageSetup orientation="portrait" horizontalDpi="300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CBS</vt:lpstr>
      <vt:lpstr>CSRE</vt:lpstr>
      <vt:lpstr>CSREB </vt:lpstr>
      <vt:lpstr>PROPCSRE</vt:lpstr>
      <vt:lpstr>CSCF1</vt:lpstr>
      <vt:lpstr>CSCF2</vt:lpstr>
      <vt:lpstr>CSCF1!Print_Area</vt:lpstr>
      <vt:lpstr>CSCF1!Print_Area_MI</vt:lpstr>
      <vt:lpstr>CSCF2!Print_Area_MI</vt:lpstr>
      <vt:lpstr>CSRE!Print_Area_MI</vt:lpstr>
      <vt:lpstr>'CSREB '!Print_Area_MI</vt:lpstr>
      <vt:lpstr>PROPCSRE!Print_Area_MI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2003-01-14T17:15:28Z</cp:lastPrinted>
  <dcterms:created xsi:type="dcterms:W3CDTF">1998-05-04T23:20:59Z</dcterms:created>
  <dcterms:modified xsi:type="dcterms:W3CDTF">2020-01-27T11:20:24Z</dcterms:modified>
</cp:coreProperties>
</file>