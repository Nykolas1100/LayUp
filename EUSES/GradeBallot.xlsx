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85A95D-4748-4477-BDF0-04359CD15B81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  <sheet name="Ranks" sheetId="2" r:id="rId2"/>
    <sheet name="Budgets" sheetId="3" r:id="rId3"/>
    <sheet name="Program" sheetId="4" r:id="rId4"/>
  </sheets>
  <definedNames>
    <definedName name="Ballot_Data_Entry_Guide">Program!$B$19</definedName>
    <definedName name="BallotZ">Ranks!$A$1:$AZ$1000</definedName>
    <definedName name="Budgets">Grades!$C$4:$C$104</definedName>
    <definedName name="BudgetZ">Budgets!$A$1:$AZ$100</definedName>
    <definedName name="Epsilon">Grades!$N$1</definedName>
    <definedName name="Five">Grades!$F$8</definedName>
    <definedName name="GradePlusses">Grades!$G$4:$G$73</definedName>
    <definedName name="Grades">Grades!$D$4:$D$104</definedName>
    <definedName name="iNums">Grades!$A$4:$A$104</definedName>
    <definedName name="iTitles">Grades!$E$4:$E$104</definedName>
    <definedName name="NumItems">Grades!$F$1</definedName>
    <definedName name="Program_Modules">Program!$B$51</definedName>
    <definedName name="Ranks">Grades!$F$4:$F$104</definedName>
    <definedName name="RanksClean">Grades!$J$4:$J$104</definedName>
    <definedName name="RanksNeet">Grades!$L$4:$L$104</definedName>
    <definedName name="RanksRaw">Grades!$I$4:$I$104</definedName>
    <definedName name="RankZ">Ranks!$A$1:$AZ$1000</definedName>
    <definedName name="SerialNum">Grades!$D$3</definedName>
    <definedName name="TieBreakers">Grades!$M$4:$M$104</definedName>
    <definedName name="Untied">Grades!$N$4:$N$104</definedName>
  </definedNames>
  <calcPr calcId="0" calcOnSave="0"/>
</workbook>
</file>

<file path=xl/calcChain.xml><?xml version="1.0" encoding="utf-8"?>
<calcChain xmlns="http://schemas.openxmlformats.org/spreadsheetml/2006/main">
  <c r="I4" i="1" l="1"/>
  <c r="B4" i="1" s="1"/>
  <c r="I5" i="1"/>
  <c r="B5" i="1" s="1"/>
  <c r="J5" i="1"/>
  <c r="K5" i="1"/>
  <c r="L5" i="1"/>
  <c r="M5" i="1"/>
  <c r="N5" i="1"/>
  <c r="B6" i="1"/>
  <c r="I6" i="1"/>
  <c r="J6" i="1" s="1"/>
  <c r="K6" i="1" s="1"/>
  <c r="I7" i="1"/>
  <c r="B7" i="1" s="1"/>
  <c r="I8" i="1"/>
  <c r="B8" i="1" s="1"/>
  <c r="J8" i="1"/>
  <c r="K8" i="1" s="1"/>
  <c r="I9" i="1"/>
  <c r="B9" i="1" s="1"/>
  <c r="J9" i="1"/>
  <c r="K9" i="1"/>
  <c r="L9" i="1" s="1"/>
  <c r="N9" i="1"/>
  <c r="I10" i="1"/>
  <c r="B10" i="1" s="1"/>
  <c r="J10" i="1"/>
  <c r="K10" i="1"/>
  <c r="M10" i="1" s="1"/>
  <c r="L10" i="1"/>
  <c r="I11" i="1"/>
  <c r="B11" i="1" s="1"/>
  <c r="I12" i="1"/>
  <c r="B12" i="1" s="1"/>
  <c r="J12" i="1"/>
  <c r="K12" i="1"/>
  <c r="L12" i="1"/>
  <c r="M12" i="1"/>
  <c r="N12" i="1"/>
  <c r="I13" i="1"/>
  <c r="B13" i="1" s="1"/>
  <c r="J13" i="1"/>
  <c r="K13" i="1" s="1"/>
  <c r="I14" i="1"/>
  <c r="B14" i="1" s="1"/>
  <c r="J14" i="1"/>
  <c r="K14" i="1"/>
  <c r="L14" i="1"/>
  <c r="M14" i="1"/>
  <c r="N14" i="1"/>
  <c r="B15" i="1"/>
  <c r="I15" i="1"/>
  <c r="J15" i="1"/>
  <c r="K15" i="1" s="1"/>
  <c r="I16" i="1"/>
  <c r="B16" i="1" s="1"/>
  <c r="J16" i="1"/>
  <c r="K16" i="1"/>
  <c r="L16" i="1"/>
  <c r="M16" i="1"/>
  <c r="N16" i="1"/>
  <c r="I17" i="1"/>
  <c r="J17" i="1" s="1"/>
  <c r="K17" i="1" s="1"/>
  <c r="I18" i="1"/>
  <c r="B18" i="1" s="1"/>
  <c r="J18" i="1"/>
  <c r="K18" i="1" s="1"/>
  <c r="I19" i="1"/>
  <c r="B19" i="1" s="1"/>
  <c r="J19" i="1"/>
  <c r="K19" i="1"/>
  <c r="L19" i="1" s="1"/>
  <c r="B20" i="1"/>
  <c r="I20" i="1"/>
  <c r="J20" i="1" s="1"/>
  <c r="K20" i="1" s="1"/>
  <c r="I21" i="1"/>
  <c r="B21" i="1" s="1"/>
  <c r="J21" i="1"/>
  <c r="K21" i="1"/>
  <c r="N21" i="1" s="1"/>
  <c r="L21" i="1"/>
  <c r="M21" i="1"/>
  <c r="I22" i="1"/>
  <c r="B22" i="1" s="1"/>
  <c r="I23" i="1"/>
  <c r="B23" i="1" s="1"/>
  <c r="J23" i="1"/>
  <c r="K23" i="1"/>
  <c r="L23" i="1"/>
  <c r="M23" i="1"/>
  <c r="N23" i="1"/>
  <c r="I24" i="1"/>
  <c r="B24" i="1" s="1"/>
  <c r="B25" i="1"/>
  <c r="I25" i="1"/>
  <c r="J25" i="1"/>
  <c r="K25" i="1"/>
  <c r="L25" i="1"/>
  <c r="M25" i="1"/>
  <c r="N25" i="1"/>
  <c r="B26" i="1"/>
  <c r="I26" i="1"/>
  <c r="J26" i="1" s="1"/>
  <c r="K26" i="1" s="1"/>
  <c r="I27" i="1"/>
  <c r="B27" i="1" s="1"/>
  <c r="I28" i="1"/>
  <c r="B28" i="1" s="1"/>
  <c r="J28" i="1"/>
  <c r="K28" i="1" s="1"/>
  <c r="B29" i="1"/>
  <c r="I29" i="1"/>
  <c r="J29" i="1"/>
  <c r="K29" i="1"/>
  <c r="L29" i="1" s="1"/>
  <c r="N29" i="1"/>
  <c r="I30" i="1"/>
  <c r="B30" i="1" s="1"/>
  <c r="J30" i="1"/>
  <c r="K30" i="1"/>
  <c r="M30" i="1" s="1"/>
  <c r="L30" i="1"/>
  <c r="I31" i="1"/>
  <c r="B31" i="1" s="1"/>
  <c r="I32" i="1"/>
  <c r="B32" i="1" s="1"/>
  <c r="J32" i="1"/>
  <c r="K32" i="1"/>
  <c r="L32" i="1"/>
  <c r="M32" i="1"/>
  <c r="N32" i="1"/>
  <c r="I33" i="1"/>
  <c r="B33" i="1" s="1"/>
  <c r="J33" i="1"/>
  <c r="K33" i="1" s="1"/>
  <c r="I34" i="1"/>
  <c r="B34" i="1" s="1"/>
  <c r="J34" i="1"/>
  <c r="K34" i="1"/>
  <c r="L34" i="1"/>
  <c r="M34" i="1"/>
  <c r="N34" i="1"/>
  <c r="B35" i="1"/>
  <c r="I35" i="1"/>
  <c r="J35" i="1"/>
  <c r="K35" i="1" s="1"/>
  <c r="I36" i="1"/>
  <c r="B36" i="1" s="1"/>
  <c r="I37" i="1"/>
  <c r="J37" i="1" s="1"/>
  <c r="K37" i="1" s="1"/>
  <c r="I38" i="1"/>
  <c r="B38" i="1" s="1"/>
  <c r="J38" i="1"/>
  <c r="K38" i="1" s="1"/>
  <c r="I39" i="1"/>
  <c r="B39" i="1" s="1"/>
  <c r="J39" i="1"/>
  <c r="K39" i="1"/>
  <c r="L39" i="1" s="1"/>
  <c r="B40" i="1"/>
  <c r="I40" i="1"/>
  <c r="J40" i="1" s="1"/>
  <c r="K40" i="1" s="1"/>
  <c r="I41" i="1"/>
  <c r="B41" i="1" s="1"/>
  <c r="J41" i="1"/>
  <c r="K41" i="1"/>
  <c r="N41" i="1" s="1"/>
  <c r="L41" i="1"/>
  <c r="M41" i="1"/>
  <c r="I42" i="1"/>
  <c r="B42" i="1" s="1"/>
  <c r="I43" i="1"/>
  <c r="B43" i="1" s="1"/>
  <c r="J43" i="1"/>
  <c r="K43" i="1"/>
  <c r="L43" i="1"/>
  <c r="M43" i="1"/>
  <c r="N43" i="1"/>
  <c r="I44" i="1"/>
  <c r="B44" i="1" s="1"/>
  <c r="B45" i="1"/>
  <c r="I45" i="1"/>
  <c r="J45" i="1"/>
  <c r="K45" i="1"/>
  <c r="L45" i="1"/>
  <c r="M45" i="1"/>
  <c r="N45" i="1"/>
  <c r="B46" i="1"/>
  <c r="I46" i="1"/>
  <c r="J46" i="1" s="1"/>
  <c r="K46" i="1" s="1"/>
  <c r="I47" i="1"/>
  <c r="B47" i="1" s="1"/>
  <c r="I48" i="1"/>
  <c r="B48" i="1" s="1"/>
  <c r="J48" i="1"/>
  <c r="K48" i="1" s="1"/>
  <c r="B49" i="1"/>
  <c r="I49" i="1"/>
  <c r="J49" i="1"/>
  <c r="K49" i="1"/>
  <c r="L49" i="1" s="1"/>
  <c r="N49" i="1"/>
  <c r="I50" i="1"/>
  <c r="B50" i="1" s="1"/>
  <c r="J50" i="1"/>
  <c r="K50" i="1"/>
  <c r="M50" i="1" s="1"/>
  <c r="L50" i="1"/>
  <c r="I51" i="1"/>
  <c r="B51" i="1" s="1"/>
  <c r="I52" i="1"/>
  <c r="B52" i="1" s="1"/>
  <c r="J52" i="1"/>
  <c r="K52" i="1"/>
  <c r="L52" i="1"/>
  <c r="M52" i="1"/>
  <c r="N52" i="1"/>
  <c r="I53" i="1"/>
  <c r="B53" i="1" s="1"/>
  <c r="J53" i="1"/>
  <c r="K53" i="1" s="1"/>
  <c r="I54" i="1"/>
  <c r="B54" i="1" s="1"/>
  <c r="J54" i="1"/>
  <c r="K54" i="1"/>
  <c r="L54" i="1"/>
  <c r="M54" i="1"/>
  <c r="N54" i="1"/>
  <c r="B55" i="1"/>
  <c r="I55" i="1"/>
  <c r="J55" i="1"/>
  <c r="K55" i="1" s="1"/>
  <c r="I56" i="1"/>
  <c r="B56" i="1" s="1"/>
  <c r="J56" i="1"/>
  <c r="K56" i="1"/>
  <c r="L56" i="1"/>
  <c r="M56" i="1"/>
  <c r="N56" i="1"/>
  <c r="I57" i="1"/>
  <c r="J57" i="1" s="1"/>
  <c r="K57" i="1" s="1"/>
  <c r="I58" i="1"/>
  <c r="B58" i="1" s="1"/>
  <c r="J58" i="1"/>
  <c r="K58" i="1" s="1"/>
  <c r="I59" i="1"/>
  <c r="B59" i="1" s="1"/>
  <c r="J59" i="1"/>
  <c r="K59" i="1"/>
  <c r="L59" i="1" s="1"/>
  <c r="B60" i="1"/>
  <c r="I60" i="1"/>
  <c r="J60" i="1" s="1"/>
  <c r="K60" i="1" s="1"/>
  <c r="I61" i="1"/>
  <c r="B61" i="1" s="1"/>
  <c r="J61" i="1"/>
  <c r="K61" i="1"/>
  <c r="N61" i="1" s="1"/>
  <c r="L61" i="1"/>
  <c r="M61" i="1"/>
  <c r="I62" i="1"/>
  <c r="B62" i="1" s="1"/>
  <c r="I63" i="1"/>
  <c r="B63" i="1" s="1"/>
  <c r="J63" i="1"/>
  <c r="K63" i="1"/>
  <c r="L63" i="1"/>
  <c r="M63" i="1"/>
  <c r="N63" i="1"/>
  <c r="I64" i="1"/>
  <c r="B64" i="1" s="1"/>
  <c r="B65" i="1"/>
  <c r="I65" i="1"/>
  <c r="J65" i="1"/>
  <c r="K65" i="1"/>
  <c r="L65" i="1"/>
  <c r="M65" i="1"/>
  <c r="N65" i="1"/>
  <c r="B66" i="1"/>
  <c r="I66" i="1"/>
  <c r="J66" i="1" s="1"/>
  <c r="K66" i="1" s="1"/>
  <c r="I67" i="1"/>
  <c r="B67" i="1" s="1"/>
  <c r="I68" i="1"/>
  <c r="B68" i="1" s="1"/>
  <c r="J68" i="1"/>
  <c r="K68" i="1" s="1"/>
  <c r="B69" i="1"/>
  <c r="I69" i="1"/>
  <c r="J69" i="1"/>
  <c r="K69" i="1"/>
  <c r="L69" i="1" s="1"/>
  <c r="N69" i="1"/>
  <c r="I70" i="1"/>
  <c r="B70" i="1" s="1"/>
  <c r="J70" i="1"/>
  <c r="K70" i="1"/>
  <c r="M70" i="1" s="1"/>
  <c r="L70" i="1"/>
  <c r="I71" i="1"/>
  <c r="B71" i="1" s="1"/>
  <c r="I72" i="1"/>
  <c r="B72" i="1" s="1"/>
  <c r="J72" i="1"/>
  <c r="K72" i="1"/>
  <c r="L72" i="1"/>
  <c r="M72" i="1"/>
  <c r="N72" i="1"/>
  <c r="I73" i="1"/>
  <c r="B73" i="1" s="1"/>
  <c r="J73" i="1"/>
  <c r="K73" i="1" s="1"/>
  <c r="I74" i="1"/>
  <c r="B74" i="1" s="1"/>
  <c r="J74" i="1"/>
  <c r="K74" i="1"/>
  <c r="L74" i="1"/>
  <c r="M74" i="1"/>
  <c r="N74" i="1"/>
  <c r="B75" i="1"/>
  <c r="I75" i="1"/>
  <c r="J75" i="1"/>
  <c r="K75" i="1" s="1"/>
  <c r="I76" i="1"/>
  <c r="B76" i="1" s="1"/>
  <c r="I77" i="1"/>
  <c r="J77" i="1" s="1"/>
  <c r="K77" i="1" s="1"/>
  <c r="B78" i="1"/>
  <c r="I78" i="1"/>
  <c r="J78" i="1"/>
  <c r="K78" i="1" s="1"/>
  <c r="I79" i="1"/>
  <c r="B79" i="1" s="1"/>
  <c r="J79" i="1"/>
  <c r="K79" i="1"/>
  <c r="L79" i="1" s="1"/>
  <c r="B80" i="1"/>
  <c r="I80" i="1"/>
  <c r="J80" i="1" s="1"/>
  <c r="K80" i="1" s="1"/>
  <c r="I81" i="1"/>
  <c r="B81" i="1" s="1"/>
  <c r="J81" i="1"/>
  <c r="K81" i="1"/>
  <c r="N81" i="1" s="1"/>
  <c r="L81" i="1"/>
  <c r="M81" i="1"/>
  <c r="I82" i="1"/>
  <c r="B82" i="1" s="1"/>
  <c r="I83" i="1"/>
  <c r="B83" i="1" s="1"/>
  <c r="J83" i="1"/>
  <c r="K83" i="1"/>
  <c r="L83" i="1"/>
  <c r="M83" i="1"/>
  <c r="N83" i="1"/>
  <c r="I84" i="1"/>
  <c r="B84" i="1" s="1"/>
  <c r="B85" i="1"/>
  <c r="I85" i="1"/>
  <c r="J85" i="1"/>
  <c r="K85" i="1"/>
  <c r="L85" i="1"/>
  <c r="M85" i="1"/>
  <c r="N85" i="1"/>
  <c r="B86" i="1"/>
  <c r="I86" i="1"/>
  <c r="J86" i="1" s="1"/>
  <c r="K86" i="1" s="1"/>
  <c r="I87" i="1"/>
  <c r="B87" i="1" s="1"/>
  <c r="I88" i="1"/>
  <c r="B88" i="1" s="1"/>
  <c r="J88" i="1"/>
  <c r="K88" i="1" s="1"/>
  <c r="B89" i="1"/>
  <c r="I89" i="1"/>
  <c r="J89" i="1"/>
  <c r="K89" i="1"/>
  <c r="L89" i="1" s="1"/>
  <c r="N89" i="1"/>
  <c r="I90" i="1"/>
  <c r="B90" i="1" s="1"/>
  <c r="J90" i="1"/>
  <c r="K90" i="1"/>
  <c r="M90" i="1" s="1"/>
  <c r="L90" i="1"/>
  <c r="I91" i="1"/>
  <c r="B91" i="1" s="1"/>
  <c r="I92" i="1"/>
  <c r="B92" i="1" s="1"/>
  <c r="J92" i="1"/>
  <c r="K92" i="1"/>
  <c r="L92" i="1"/>
  <c r="M92" i="1"/>
  <c r="N92" i="1"/>
  <c r="B93" i="1"/>
  <c r="I93" i="1"/>
  <c r="J93" i="1"/>
  <c r="K93" i="1" s="1"/>
  <c r="I94" i="1"/>
  <c r="B94" i="1" s="1"/>
  <c r="J94" i="1"/>
  <c r="K94" i="1"/>
  <c r="L94" i="1"/>
  <c r="M94" i="1"/>
  <c r="N94" i="1"/>
  <c r="B95" i="1"/>
  <c r="I95" i="1"/>
  <c r="J95" i="1"/>
  <c r="K95" i="1" s="1"/>
  <c r="I96" i="1"/>
  <c r="B96" i="1" s="1"/>
  <c r="I97" i="1"/>
  <c r="J97" i="1" s="1"/>
  <c r="K97" i="1" s="1"/>
  <c r="B98" i="1"/>
  <c r="I98" i="1"/>
  <c r="J98" i="1"/>
  <c r="K98" i="1" s="1"/>
  <c r="I99" i="1"/>
  <c r="B99" i="1" s="1"/>
  <c r="J99" i="1"/>
  <c r="K99" i="1"/>
  <c r="L99" i="1" s="1"/>
  <c r="B100" i="1"/>
  <c r="I100" i="1"/>
  <c r="J100" i="1" s="1"/>
  <c r="K100" i="1" s="1"/>
  <c r="I101" i="1"/>
  <c r="B101" i="1" s="1"/>
  <c r="J101" i="1"/>
  <c r="K101" i="1"/>
  <c r="N101" i="1" s="1"/>
  <c r="L101" i="1"/>
  <c r="M101" i="1"/>
  <c r="I102" i="1"/>
  <c r="B102" i="1" s="1"/>
  <c r="I103" i="1"/>
  <c r="B103" i="1" s="1"/>
  <c r="J103" i="1"/>
  <c r="K103" i="1"/>
  <c r="L103" i="1"/>
  <c r="M103" i="1"/>
  <c r="N103" i="1"/>
  <c r="I104" i="1"/>
  <c r="B104" i="1" s="1"/>
  <c r="L60" i="1" l="1"/>
  <c r="M60" i="1"/>
  <c r="N60" i="1"/>
  <c r="L15" i="1"/>
  <c r="M15" i="1"/>
  <c r="N15" i="1"/>
  <c r="L53" i="1"/>
  <c r="M53" i="1"/>
  <c r="N53" i="1"/>
  <c r="L26" i="1"/>
  <c r="M26" i="1"/>
  <c r="N26" i="1"/>
  <c r="L48" i="1"/>
  <c r="M48" i="1"/>
  <c r="N48" i="1"/>
  <c r="L28" i="1"/>
  <c r="M28" i="1"/>
  <c r="N28" i="1"/>
  <c r="L40" i="1"/>
  <c r="M40" i="1"/>
  <c r="N40" i="1"/>
  <c r="L95" i="1"/>
  <c r="M95" i="1"/>
  <c r="N95" i="1"/>
  <c r="N58" i="1"/>
  <c r="L58" i="1"/>
  <c r="M58" i="1"/>
  <c r="L20" i="1"/>
  <c r="M20" i="1"/>
  <c r="N20" i="1"/>
  <c r="N38" i="1"/>
  <c r="L38" i="1"/>
  <c r="M38" i="1"/>
  <c r="L97" i="1"/>
  <c r="M97" i="1"/>
  <c r="N97" i="1"/>
  <c r="L46" i="1"/>
  <c r="M46" i="1"/>
  <c r="N46" i="1"/>
  <c r="L6" i="1"/>
  <c r="M6" i="1"/>
  <c r="N6" i="1"/>
  <c r="N18" i="1"/>
  <c r="L18" i="1"/>
  <c r="M18" i="1"/>
  <c r="L33" i="1"/>
  <c r="M33" i="1"/>
  <c r="N33" i="1"/>
  <c r="L57" i="1"/>
  <c r="M57" i="1"/>
  <c r="N57" i="1"/>
  <c r="L37" i="1"/>
  <c r="M37" i="1"/>
  <c r="N37" i="1"/>
  <c r="L77" i="1"/>
  <c r="M77" i="1"/>
  <c r="N77" i="1"/>
  <c r="L8" i="1"/>
  <c r="M8" i="1"/>
  <c r="N8" i="1"/>
  <c r="L13" i="1"/>
  <c r="M13" i="1"/>
  <c r="N13" i="1"/>
  <c r="L17" i="1"/>
  <c r="M17" i="1"/>
  <c r="N17" i="1"/>
  <c r="L68" i="1"/>
  <c r="M68" i="1"/>
  <c r="N68" i="1"/>
  <c r="L35" i="1"/>
  <c r="M35" i="1"/>
  <c r="N35" i="1"/>
  <c r="N78" i="1"/>
  <c r="M78" i="1"/>
  <c r="L78" i="1"/>
  <c r="L75" i="1"/>
  <c r="M75" i="1"/>
  <c r="N75" i="1"/>
  <c r="L93" i="1"/>
  <c r="M93" i="1"/>
  <c r="N93" i="1"/>
  <c r="L86" i="1"/>
  <c r="M86" i="1"/>
  <c r="N86" i="1"/>
  <c r="N98" i="1"/>
  <c r="M98" i="1"/>
  <c r="L98" i="1"/>
  <c r="L88" i="1"/>
  <c r="M88" i="1"/>
  <c r="N88" i="1"/>
  <c r="L55" i="1"/>
  <c r="M55" i="1"/>
  <c r="N55" i="1"/>
  <c r="L100" i="1"/>
  <c r="M100" i="1"/>
  <c r="N100" i="1"/>
  <c r="L73" i="1"/>
  <c r="M73" i="1"/>
  <c r="N73" i="1"/>
  <c r="L80" i="1"/>
  <c r="M80" i="1"/>
  <c r="N80" i="1"/>
  <c r="L66" i="1"/>
  <c r="M66" i="1"/>
  <c r="N66" i="1"/>
  <c r="J96" i="1"/>
  <c r="K96" i="1" s="1"/>
  <c r="M89" i="1"/>
  <c r="J76" i="1"/>
  <c r="K76" i="1" s="1"/>
  <c r="M69" i="1"/>
  <c r="M49" i="1"/>
  <c r="J36" i="1"/>
  <c r="K36" i="1" s="1"/>
  <c r="M29" i="1"/>
  <c r="M9" i="1"/>
  <c r="B77" i="1"/>
  <c r="J87" i="1"/>
  <c r="K87" i="1" s="1"/>
  <c r="J67" i="1"/>
  <c r="K67" i="1" s="1"/>
  <c r="J47" i="1"/>
  <c r="K47" i="1" s="1"/>
  <c r="J27" i="1"/>
  <c r="K27" i="1" s="1"/>
  <c r="J7" i="1"/>
  <c r="K7" i="1" s="1"/>
  <c r="B97" i="1"/>
  <c r="B57" i="1"/>
  <c r="B37" i="1"/>
  <c r="J91" i="1"/>
  <c r="K91" i="1" s="1"/>
  <c r="J71" i="1"/>
  <c r="K71" i="1" s="1"/>
  <c r="J51" i="1"/>
  <c r="K51" i="1" s="1"/>
  <c r="J31" i="1"/>
  <c r="K31" i="1" s="1"/>
  <c r="J11" i="1"/>
  <c r="K11" i="1" s="1"/>
  <c r="J102" i="1"/>
  <c r="K102" i="1" s="1"/>
  <c r="J82" i="1"/>
  <c r="K82" i="1" s="1"/>
  <c r="J62" i="1"/>
  <c r="K62" i="1" s="1"/>
  <c r="J42" i="1"/>
  <c r="K42" i="1" s="1"/>
  <c r="J22" i="1"/>
  <c r="K22" i="1" s="1"/>
  <c r="B17" i="1"/>
  <c r="J104" i="1"/>
  <c r="K104" i="1" s="1"/>
  <c r="J84" i="1"/>
  <c r="K84" i="1" s="1"/>
  <c r="J64" i="1"/>
  <c r="K64" i="1" s="1"/>
  <c r="J44" i="1"/>
  <c r="K44" i="1" s="1"/>
  <c r="J24" i="1"/>
  <c r="K24" i="1" s="1"/>
  <c r="J4" i="1"/>
  <c r="K4" i="1" s="1"/>
  <c r="N59" i="1"/>
  <c r="N39" i="1"/>
  <c r="N19" i="1"/>
  <c r="N99" i="1"/>
  <c r="M99" i="1"/>
  <c r="N90" i="1"/>
  <c r="M79" i="1"/>
  <c r="N70" i="1"/>
  <c r="M59" i="1"/>
  <c r="N50" i="1"/>
  <c r="M39" i="1"/>
  <c r="N30" i="1"/>
  <c r="M19" i="1"/>
  <c r="N10" i="1"/>
  <c r="N79" i="1"/>
  <c r="M7" i="1" l="1"/>
  <c r="N7" i="1"/>
  <c r="L7" i="1"/>
  <c r="L44" i="1"/>
  <c r="M44" i="1"/>
  <c r="N44" i="1"/>
  <c r="N27" i="1"/>
  <c r="M27" i="1"/>
  <c r="L27" i="1"/>
  <c r="L64" i="1"/>
  <c r="M64" i="1"/>
  <c r="N64" i="1"/>
  <c r="M36" i="1"/>
  <c r="N36" i="1"/>
  <c r="L36" i="1"/>
  <c r="M87" i="1"/>
  <c r="L87" i="1"/>
  <c r="N87" i="1"/>
  <c r="L22" i="1"/>
  <c r="M22" i="1"/>
  <c r="N22" i="1"/>
  <c r="L42" i="1"/>
  <c r="N42" i="1"/>
  <c r="M42" i="1"/>
  <c r="L82" i="1"/>
  <c r="M82" i="1"/>
  <c r="N82" i="1"/>
  <c r="L24" i="1"/>
  <c r="M24" i="1"/>
  <c r="N24" i="1"/>
  <c r="L84" i="1"/>
  <c r="M84" i="1"/>
  <c r="N84" i="1"/>
  <c r="L11" i="1"/>
  <c r="M11" i="1"/>
  <c r="N11" i="1"/>
  <c r="L4" i="1"/>
  <c r="M4" i="1"/>
  <c r="N4" i="1"/>
  <c r="N67" i="1"/>
  <c r="L67" i="1"/>
  <c r="M67" i="1"/>
  <c r="N62" i="1"/>
  <c r="L62" i="1"/>
  <c r="M62" i="1"/>
  <c r="L76" i="1"/>
  <c r="N76" i="1"/>
  <c r="M76" i="1"/>
  <c r="N96" i="1"/>
  <c r="M96" i="1"/>
  <c r="L96" i="1"/>
  <c r="M91" i="1"/>
  <c r="L91" i="1"/>
  <c r="N91" i="1"/>
  <c r="L51" i="1"/>
  <c r="M51" i="1"/>
  <c r="N51" i="1"/>
  <c r="N47" i="1"/>
  <c r="L47" i="1"/>
  <c r="M47" i="1"/>
  <c r="L104" i="1"/>
  <c r="M104" i="1"/>
  <c r="N104" i="1"/>
  <c r="N102" i="1"/>
  <c r="L102" i="1"/>
  <c r="M102" i="1"/>
  <c r="L31" i="1"/>
  <c r="M31" i="1"/>
  <c r="N31" i="1"/>
  <c r="M71" i="1"/>
  <c r="L71" i="1"/>
  <c r="N71" i="1"/>
  <c r="O12" i="1" l="1"/>
  <c r="H12" i="1" s="1"/>
  <c r="O32" i="1"/>
  <c r="H32" i="1" s="1"/>
  <c r="O52" i="1"/>
  <c r="H52" i="1" s="1"/>
  <c r="O72" i="1"/>
  <c r="H72" i="1" s="1"/>
  <c r="O92" i="1"/>
  <c r="H92" i="1" s="1"/>
  <c r="O90" i="1"/>
  <c r="H90" i="1" s="1"/>
  <c r="O98" i="1"/>
  <c r="H98" i="1" s="1"/>
  <c r="O36" i="1"/>
  <c r="H36" i="1" s="1"/>
  <c r="O21" i="1"/>
  <c r="H21" i="1" s="1"/>
  <c r="O41" i="1"/>
  <c r="H41" i="1" s="1"/>
  <c r="O61" i="1"/>
  <c r="H61" i="1" s="1"/>
  <c r="O81" i="1"/>
  <c r="H81" i="1" s="1"/>
  <c r="O101" i="1"/>
  <c r="H101" i="1" s="1"/>
  <c r="O93" i="1"/>
  <c r="H93" i="1" s="1"/>
  <c r="O29" i="1"/>
  <c r="H29" i="1" s="1"/>
  <c r="O89" i="1"/>
  <c r="H89" i="1" s="1"/>
  <c r="O47" i="1"/>
  <c r="H47" i="1" s="1"/>
  <c r="O96" i="1"/>
  <c r="H96" i="1" s="1"/>
  <c r="O5" i="1"/>
  <c r="H5" i="1" s="1"/>
  <c r="O45" i="1"/>
  <c r="H45" i="1" s="1"/>
  <c r="O23" i="1"/>
  <c r="H23" i="1" s="1"/>
  <c r="O63" i="1"/>
  <c r="H63" i="1" s="1"/>
  <c r="O83" i="1"/>
  <c r="H83" i="1" s="1"/>
  <c r="O10" i="1"/>
  <c r="H10" i="1" s="1"/>
  <c r="O30" i="1"/>
  <c r="H30" i="1" s="1"/>
  <c r="O50" i="1"/>
  <c r="H50" i="1" s="1"/>
  <c r="O70" i="1"/>
  <c r="H70" i="1" s="1"/>
  <c r="O58" i="1"/>
  <c r="H58" i="1" s="1"/>
  <c r="O16" i="1"/>
  <c r="H16" i="1" s="1"/>
  <c r="O65" i="1"/>
  <c r="H65" i="1" s="1"/>
  <c r="O14" i="1"/>
  <c r="H14" i="1" s="1"/>
  <c r="O19" i="1"/>
  <c r="H19" i="1" s="1"/>
  <c r="O39" i="1"/>
  <c r="H39" i="1" s="1"/>
  <c r="O59" i="1"/>
  <c r="H59" i="1" s="1"/>
  <c r="O79" i="1"/>
  <c r="H79" i="1" s="1"/>
  <c r="O99" i="1"/>
  <c r="H99" i="1" s="1"/>
  <c r="O88" i="1"/>
  <c r="H88" i="1" s="1"/>
  <c r="O80" i="1"/>
  <c r="H80" i="1" s="1"/>
  <c r="O8" i="1"/>
  <c r="H8" i="1" s="1"/>
  <c r="O28" i="1"/>
  <c r="H28" i="1" s="1"/>
  <c r="O48" i="1"/>
  <c r="H48" i="1" s="1"/>
  <c r="O68" i="1"/>
  <c r="H68" i="1" s="1"/>
  <c r="O100" i="1"/>
  <c r="H100" i="1" s="1"/>
  <c r="O78" i="1"/>
  <c r="H78" i="1" s="1"/>
  <c r="O17" i="1"/>
  <c r="H17" i="1" s="1"/>
  <c r="O37" i="1"/>
  <c r="H37" i="1" s="1"/>
  <c r="O57" i="1"/>
  <c r="H57" i="1" s="1"/>
  <c r="O77" i="1"/>
  <c r="H77" i="1" s="1"/>
  <c r="O97" i="1"/>
  <c r="H97" i="1" s="1"/>
  <c r="O6" i="1"/>
  <c r="H6" i="1" s="1"/>
  <c r="O26" i="1"/>
  <c r="H26" i="1" s="1"/>
  <c r="O46" i="1"/>
  <c r="H46" i="1" s="1"/>
  <c r="O66" i="1"/>
  <c r="H66" i="1" s="1"/>
  <c r="O86" i="1"/>
  <c r="H86" i="1" s="1"/>
  <c r="O9" i="1"/>
  <c r="H9" i="1" s="1"/>
  <c r="O15" i="1"/>
  <c r="H15" i="1" s="1"/>
  <c r="O35" i="1"/>
  <c r="H35" i="1" s="1"/>
  <c r="O55" i="1"/>
  <c r="H55" i="1" s="1"/>
  <c r="O75" i="1"/>
  <c r="H75" i="1" s="1"/>
  <c r="O95" i="1"/>
  <c r="H95" i="1" s="1"/>
  <c r="O76" i="1"/>
  <c r="H76" i="1" s="1"/>
  <c r="O94" i="1"/>
  <c r="H94" i="1" s="1"/>
  <c r="O4" i="1"/>
  <c r="H4" i="1" s="1"/>
  <c r="O24" i="1"/>
  <c r="H24" i="1" s="1"/>
  <c r="O44" i="1"/>
  <c r="H44" i="1" s="1"/>
  <c r="O64" i="1"/>
  <c r="H64" i="1" s="1"/>
  <c r="O84" i="1"/>
  <c r="H84" i="1" s="1"/>
  <c r="O104" i="1"/>
  <c r="H104" i="1" s="1"/>
  <c r="O69" i="1"/>
  <c r="H69" i="1" s="1"/>
  <c r="O38" i="1"/>
  <c r="H38" i="1" s="1"/>
  <c r="O7" i="1"/>
  <c r="H7" i="1" s="1"/>
  <c r="O87" i="1"/>
  <c r="H87" i="1" s="1"/>
  <c r="O56" i="1"/>
  <c r="H56" i="1" s="1"/>
  <c r="O34" i="1"/>
  <c r="H34" i="1" s="1"/>
  <c r="O74" i="1"/>
  <c r="H74" i="1" s="1"/>
  <c r="O43" i="1"/>
  <c r="H43" i="1" s="1"/>
  <c r="O103" i="1"/>
  <c r="H103" i="1" s="1"/>
  <c r="O13" i="1"/>
  <c r="H13" i="1" s="1"/>
  <c r="O33" i="1"/>
  <c r="H33" i="1" s="1"/>
  <c r="O53" i="1"/>
  <c r="H53" i="1" s="1"/>
  <c r="O73" i="1"/>
  <c r="H73" i="1" s="1"/>
  <c r="O27" i="1"/>
  <c r="H27" i="1" s="1"/>
  <c r="O85" i="1"/>
  <c r="H85" i="1" s="1"/>
  <c r="O22" i="1"/>
  <c r="H22" i="1" s="1"/>
  <c r="O42" i="1"/>
  <c r="H42" i="1" s="1"/>
  <c r="O62" i="1"/>
  <c r="H62" i="1" s="1"/>
  <c r="O82" i="1"/>
  <c r="H82" i="1" s="1"/>
  <c r="O102" i="1"/>
  <c r="H102" i="1" s="1"/>
  <c r="O49" i="1"/>
  <c r="H49" i="1" s="1"/>
  <c r="O25" i="1"/>
  <c r="H25" i="1" s="1"/>
  <c r="O11" i="1"/>
  <c r="H11" i="1" s="1"/>
  <c r="O31" i="1"/>
  <c r="H31" i="1" s="1"/>
  <c r="O51" i="1"/>
  <c r="H51" i="1" s="1"/>
  <c r="O71" i="1"/>
  <c r="H71" i="1" s="1"/>
  <c r="O91" i="1"/>
  <c r="H91" i="1" s="1"/>
  <c r="O20" i="1"/>
  <c r="H20" i="1" s="1"/>
  <c r="O40" i="1"/>
  <c r="H40" i="1" s="1"/>
  <c r="O60" i="1"/>
  <c r="H60" i="1" s="1"/>
  <c r="O18" i="1"/>
  <c r="H18" i="1" s="1"/>
  <c r="O67" i="1"/>
  <c r="H67" i="1" s="1"/>
  <c r="O54" i="1"/>
  <c r="H54" i="1" s="1"/>
</calcChain>
</file>

<file path=xl/sharedStrings.xml><?xml version="1.0" encoding="utf-8"?>
<sst xmlns="http://schemas.openxmlformats.org/spreadsheetml/2006/main" count="140" uniqueCount="130">
  <si>
    <t>Ballot</t>
  </si>
  <si>
    <t>Items</t>
  </si>
  <si>
    <t>Record Budgets</t>
  </si>
  <si>
    <t>Epsilon</t>
  </si>
  <si>
    <t>Item</t>
  </si>
  <si>
    <t>Preferred</t>
  </si>
  <si>
    <t>Number</t>
  </si>
  <si>
    <t>Valid</t>
  </si>
  <si>
    <t>Budgets</t>
  </si>
  <si>
    <t>Item Titles</t>
  </si>
  <si>
    <t>Ranks</t>
  </si>
  <si>
    <t>Grades</t>
  </si>
  <si>
    <t>Ranked Items</t>
  </si>
  <si>
    <t>RanksRaw</t>
  </si>
  <si>
    <t>RanksClean</t>
  </si>
  <si>
    <t>RanksNeet</t>
  </si>
  <si>
    <t>TieBreakers</t>
  </si>
  <si>
    <t>Untied</t>
  </si>
  <si>
    <t>One</t>
  </si>
  <si>
    <t>A++</t>
  </si>
  <si>
    <t>Two</t>
  </si>
  <si>
    <t>A+</t>
  </si>
  <si>
    <t>Three</t>
  </si>
  <si>
    <t>A</t>
  </si>
  <si>
    <t>Four</t>
  </si>
  <si>
    <t>A-</t>
  </si>
  <si>
    <t>Five</t>
  </si>
  <si>
    <t>A--</t>
  </si>
  <si>
    <t>Six</t>
  </si>
  <si>
    <t>B++</t>
  </si>
  <si>
    <t>Seven</t>
  </si>
  <si>
    <t>B+</t>
  </si>
  <si>
    <t>Eight</t>
  </si>
  <si>
    <t>B</t>
  </si>
  <si>
    <t>Nine</t>
  </si>
  <si>
    <t>B-</t>
  </si>
  <si>
    <t>Ten</t>
  </si>
  <si>
    <t>B--</t>
  </si>
  <si>
    <t>Eleven</t>
  </si>
  <si>
    <t>C++</t>
  </si>
  <si>
    <t>Twelve</t>
  </si>
  <si>
    <t>C+</t>
  </si>
  <si>
    <t>Thirteen</t>
  </si>
  <si>
    <t>C</t>
  </si>
  <si>
    <t>Fourteen</t>
  </si>
  <si>
    <t>C-</t>
  </si>
  <si>
    <t>Fifteen</t>
  </si>
  <si>
    <t>C--</t>
  </si>
  <si>
    <t>D++</t>
  </si>
  <si>
    <t>D+</t>
  </si>
  <si>
    <t>D</t>
  </si>
  <si>
    <t>D-</t>
  </si>
  <si>
    <t>D--</t>
  </si>
  <si>
    <t>E++</t>
  </si>
  <si>
    <t>E+</t>
  </si>
  <si>
    <t>E</t>
  </si>
  <si>
    <t>E-</t>
  </si>
  <si>
    <t>E--</t>
  </si>
  <si>
    <t>F++</t>
  </si>
  <si>
    <t>F+</t>
  </si>
  <si>
    <t>F</t>
  </si>
  <si>
    <t>F-</t>
  </si>
  <si>
    <t>F--</t>
  </si>
  <si>
    <t>++</t>
  </si>
  <si>
    <t>+</t>
  </si>
  <si>
    <t>-</t>
  </si>
  <si>
    <t>--</t>
  </si>
  <si>
    <t>APP</t>
  </si>
  <si>
    <t>AP</t>
  </si>
  <si>
    <t>AL</t>
  </si>
  <si>
    <t>ALL</t>
  </si>
  <si>
    <t>BPP</t>
  </si>
  <si>
    <t>BP</t>
  </si>
  <si>
    <t>BL</t>
  </si>
  <si>
    <t>BLL</t>
  </si>
  <si>
    <t>CPP</t>
  </si>
  <si>
    <t>CP</t>
  </si>
  <si>
    <t>CL</t>
  </si>
  <si>
    <t>CLL</t>
  </si>
  <si>
    <t>DPP</t>
  </si>
  <si>
    <t>DP</t>
  </si>
  <si>
    <t>DL</t>
  </si>
  <si>
    <t>DLL</t>
  </si>
  <si>
    <t>EPP</t>
  </si>
  <si>
    <t>EP</t>
  </si>
  <si>
    <t>EL</t>
  </si>
  <si>
    <t>ELL</t>
  </si>
  <si>
    <t>FPP</t>
  </si>
  <si>
    <t>FP</t>
  </si>
  <si>
    <t>FL</t>
  </si>
  <si>
    <t>FLL</t>
  </si>
  <si>
    <t>PP</t>
  </si>
  <si>
    <t>P</t>
  </si>
  <si>
    <t>L</t>
  </si>
  <si>
    <t>LL</t>
  </si>
  <si>
    <t>Ballot Data Entry</t>
  </si>
  <si>
    <t>Copyright 2003 by Robert Loring</t>
  </si>
  <si>
    <t>Free, Open source software</t>
  </si>
  <si>
    <t>Contents</t>
  </si>
  <si>
    <t>Ballot Data Entry Guide</t>
  </si>
  <si>
    <t>Enter the number of items in cell F1.</t>
  </si>
  <si>
    <t>Enter the candidates' names under "Item Titles".</t>
  </si>
  <si>
    <t>An entry area that looks like the printed ballot helps clerks place entries correctly.</t>
  </si>
  <si>
    <t xml:space="preserve">Data entry is faster using P for + and L for -.  This lets clerks type "cords" </t>
  </si>
  <si>
    <t>such as  "A, P, Enter"; flowing right to left, resting the middle finger on the "P".</t>
  </si>
  <si>
    <t>To save the rank data as a comma-delimited text file:</t>
  </si>
  <si>
    <t xml:space="preserve">  Select the "Ranks" page tab at the bottom left of your screen.</t>
  </si>
  <si>
    <t xml:space="preserve">  Go to File / Save As / </t>
  </si>
  <si>
    <t xml:space="preserve">  Select "CSV (Comma delimited) *.csv" from the drop down list at the bottom of the dialog box.</t>
  </si>
  <si>
    <t>To save the rank data as a tab-delimited text file:</t>
  </si>
  <si>
    <t xml:space="preserve">  Select "Text (Tab delimited) *.txt" from the drop down list at the bottom of the dialog box.</t>
  </si>
  <si>
    <t>To hide a column:</t>
  </si>
  <si>
    <t xml:space="preserve">  Select the column's header, A  B  C...</t>
  </si>
  <si>
    <t xml:space="preserve">  Go to Format / Columns / Hide.</t>
  </si>
  <si>
    <t>To show a hide column:</t>
  </si>
  <si>
    <t xml:space="preserve">  Select the column headers on both sides of the hidden column(s).</t>
  </si>
  <si>
    <t xml:space="preserve">  Go to Format / Columns / Unhide.</t>
  </si>
  <si>
    <t>Column B is for Budgets and is hidden by default.</t>
  </si>
  <si>
    <t>Unhide it for TAS ballots that let voters set Preferred Budgets for projects.</t>
  </si>
  <si>
    <t>Also type "TRUE" in cell I1 to record their budgets on the Budgets page.</t>
  </si>
  <si>
    <t>Program Modules</t>
  </si>
  <si>
    <t>Auto_Open</t>
  </si>
  <si>
    <t>Eraser</t>
  </si>
  <si>
    <t>Guide</t>
  </si>
  <si>
    <t xml:space="preserve">Record button macro </t>
  </si>
  <si>
    <t>RecordBallot</t>
  </si>
  <si>
    <t>Store Ranks on "Ranks" page on row number = ballot's ID number.</t>
  </si>
  <si>
    <t>If there is an "ERROR", alert, halt.</t>
  </si>
  <si>
    <t>RecordRanks</t>
  </si>
  <si>
    <t>RecordBudgets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</si>
</sst>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18"/>
      <name val="Arial"/>
      <family val="2"/>
    </font>
    <font>
      <b/>
      <sz val="11"/>
      <color indexed="5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57"/>
      </left>
      <right/>
      <top style="medium">
        <color indexed="57"/>
      </top>
      <bottom style="medium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/>
      <diagonal/>
    </border>
    <border>
      <left style="medium">
        <color indexed="57"/>
      </left>
      <right style="medium">
        <color indexed="57"/>
      </right>
      <top/>
      <bottom/>
      <diagonal/>
    </border>
    <border>
      <left style="medium">
        <color indexed="57"/>
      </left>
      <right style="medium">
        <color indexed="57"/>
      </right>
      <top/>
      <bottom style="medium">
        <color indexed="57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/>
      <right style="medium">
        <color indexed="57"/>
      </right>
      <top style="medium">
        <color indexed="57"/>
      </top>
      <bottom style="medium">
        <color indexed="57"/>
      </bottom>
      <diagonal/>
    </border>
    <border>
      <left/>
      <right/>
      <top style="medium">
        <color indexed="57"/>
      </top>
      <bottom style="medium">
        <color indexed="5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2" xfId="0" applyFont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3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1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3" xfId="0" applyFont="1" applyFill="1" applyBorder="1" applyAlignment="1">
      <alignment horizontal="center"/>
    </xf>
    <xf numFmtId="0" fontId="3" fillId="3" borderId="11" xfId="0" applyFont="1" applyFill="1" applyBorder="1"/>
    <xf numFmtId="0" fontId="3" fillId="2" borderId="12" xfId="0" applyFont="1" applyFill="1" applyBorder="1" applyAlignment="1">
      <alignment horizontal="left"/>
    </xf>
    <xf numFmtId="0" fontId="3" fillId="2" borderId="12" xfId="0" quotePrefix="1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" fillId="2" borderId="17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5" fillId="0" borderId="20" xfId="0" applyFont="1" applyFill="1" applyBorder="1"/>
    <xf numFmtId="0" fontId="6" fillId="0" borderId="0" xfId="0" applyFont="1"/>
    <xf numFmtId="0" fontId="5" fillId="0" borderId="21" xfId="0" applyFont="1" applyFill="1" applyBorder="1"/>
    <xf numFmtId="0" fontId="3" fillId="0" borderId="2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596900</xdr:colOff>
          <xdr:row>0</xdr:row>
          <xdr:rowOff>38100</xdr:rowOff>
        </xdr:from>
        <xdr:to>
          <xdr:col>4</xdr:col>
          <xdr:colOff>1384300</xdr:colOff>
          <xdr:row>1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0760181-4E47-40A0-9627-72F81B3340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0" rIns="36576" bIns="32004" anchor="b" upright="1"/>
            <a:lstStyle/>
            <a:p>
              <a:pPr algn="ctr" rtl="0">
                <a:defRPr sz="1000"/>
              </a:pPr>
              <a:r>
                <a:rPr lang="en-GB" sz="11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en-GB" sz="11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ecord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0</xdr:row>
          <xdr:rowOff>38100</xdr:rowOff>
        </xdr:from>
        <xdr:to>
          <xdr:col>7</xdr:col>
          <xdr:colOff>1524000</xdr:colOff>
          <xdr:row>1</xdr:row>
          <xdr:rowOff>95250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74B368B-6520-4346-99A5-5B05AA407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0" rIns="36576" bIns="32004" anchor="b" upright="1"/>
            <a:lstStyle/>
            <a:p>
              <a:pPr algn="ctr" rtl="0">
                <a:defRPr sz="1000"/>
              </a:pPr>
              <a:r>
                <a:rPr lang="en-GB" sz="11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en-GB" sz="11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uide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4"/>
  <sheetViews>
    <sheetView tabSelected="1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2.5" x14ac:dyDescent="0.25"/>
  <cols>
    <col min="1" max="1" width="1" customWidth="1"/>
    <col min="2" max="2" width="8.1796875" customWidth="1"/>
    <col min="3" max="3" width="8.1796875" hidden="1" customWidth="1"/>
    <col min="4" max="4" width="8.81640625" customWidth="1"/>
    <col min="5" max="5" width="28.26953125" customWidth="1"/>
    <col min="8" max="8" width="32.26953125" customWidth="1"/>
    <col min="9" max="9" width="10.54296875" customWidth="1"/>
    <col min="10" max="10" width="13" customWidth="1"/>
    <col min="11" max="11" width="9.1796875" customWidth="1"/>
    <col min="12" max="12" width="10.54296875" customWidth="1"/>
  </cols>
  <sheetData>
    <row r="1" spans="1:16" ht="14.5" thickBot="1" x14ac:dyDescent="0.35">
      <c r="C1" s="29" t="s">
        <v>0</v>
      </c>
      <c r="D1" s="29" t="s">
        <v>0</v>
      </c>
      <c r="E1" s="19"/>
      <c r="F1" s="21">
        <v>15</v>
      </c>
      <c r="G1" s="31" t="s">
        <v>1</v>
      </c>
      <c r="I1" s="21" t="b">
        <v>0</v>
      </c>
      <c r="J1" s="33" t="s">
        <v>2</v>
      </c>
      <c r="K1" s="34"/>
      <c r="M1" s="12" t="s">
        <v>3</v>
      </c>
      <c r="N1" s="13">
        <v>9.9999999999999995E-7</v>
      </c>
    </row>
    <row r="2" spans="1:16" ht="13.5" thickBot="1" x14ac:dyDescent="0.35">
      <c r="B2" s="2" t="s">
        <v>4</v>
      </c>
      <c r="C2" s="2" t="s">
        <v>5</v>
      </c>
      <c r="D2" s="18" t="s">
        <v>6</v>
      </c>
      <c r="E2" s="11"/>
      <c r="G2" s="20" t="s">
        <v>7</v>
      </c>
    </row>
    <row r="3" spans="1:16" ht="14.5" thickBot="1" x14ac:dyDescent="0.35">
      <c r="B3" s="3" t="s">
        <v>6</v>
      </c>
      <c r="C3" s="17" t="s">
        <v>8</v>
      </c>
      <c r="D3" s="28"/>
      <c r="E3" s="30" t="s">
        <v>9</v>
      </c>
      <c r="F3" s="15" t="s">
        <v>10</v>
      </c>
      <c r="G3" s="16" t="s">
        <v>11</v>
      </c>
      <c r="H3" s="15" t="s">
        <v>12</v>
      </c>
      <c r="I3" s="5" t="s">
        <v>13</v>
      </c>
      <c r="J3" s="5" t="s">
        <v>14</v>
      </c>
      <c r="K3" s="5"/>
      <c r="L3" s="5" t="s">
        <v>15</v>
      </c>
      <c r="M3" s="14" t="s">
        <v>16</v>
      </c>
      <c r="N3" s="14" t="s">
        <v>17</v>
      </c>
      <c r="O3" s="5"/>
      <c r="P3" s="1"/>
    </row>
    <row r="4" spans="1:16" ht="13" x14ac:dyDescent="0.3">
      <c r="A4" s="4">
        <v>1</v>
      </c>
      <c r="B4" s="4">
        <f t="shared" ref="B4:B67" si="0">IF(ISERROR(I4),"ERROR",A4)</f>
        <v>1</v>
      </c>
      <c r="C4" s="6"/>
      <c r="D4" s="22"/>
      <c r="E4" s="25" t="s">
        <v>18</v>
      </c>
      <c r="F4" s="4"/>
      <c r="G4" s="8" t="s">
        <v>19</v>
      </c>
      <c r="H4" t="str">
        <f>IF(ISERROR(O4),""," "&amp;O4)</f>
        <v/>
      </c>
      <c r="I4" t="str">
        <f>IF(ISBLANK(D4),"",MATCH(D4,GradePlusses,0))</f>
        <v/>
      </c>
      <c r="J4" t="str">
        <f>IF(ISERROR(I4),"",I4)</f>
        <v/>
      </c>
      <c r="K4" t="b">
        <f>J4=""</f>
        <v>1</v>
      </c>
      <c r="L4" t="str">
        <f>IF(K4,"",RANK(J4,RanksClean,1))</f>
        <v/>
      </c>
      <c r="M4" t="str">
        <f>IF(K4,"",L4+(Epsilon*A4))</f>
        <v/>
      </c>
      <c r="N4" t="str">
        <f>IF(K4,"",RANK(M4,TieBreakers,1))</f>
        <v/>
      </c>
      <c r="O4" t="e">
        <f>INDEX(iTitles,MATCH(A4,Untied,0))</f>
        <v>#N/A</v>
      </c>
    </row>
    <row r="5" spans="1:16" ht="13" x14ac:dyDescent="0.3">
      <c r="A5" s="4">
        <v>2</v>
      </c>
      <c r="B5" s="4">
        <f t="shared" si="0"/>
        <v>2</v>
      </c>
      <c r="C5" s="6"/>
      <c r="D5" s="22"/>
      <c r="E5" s="26" t="s">
        <v>20</v>
      </c>
      <c r="F5" s="4"/>
      <c r="G5" s="8" t="s">
        <v>21</v>
      </c>
      <c r="H5" t="str">
        <f t="shared" ref="H5:H68" si="1">IF(ISERROR(O5),""," "&amp;O5)</f>
        <v/>
      </c>
      <c r="I5" t="str">
        <f t="shared" ref="I5:I68" si="2">IF(ISBLANK(D5),"",MATCH(D5,GradePlusses,0))</f>
        <v/>
      </c>
      <c r="J5" t="str">
        <f t="shared" ref="J5:J68" si="3">IF(ISERROR(I5),"",I5)</f>
        <v/>
      </c>
      <c r="K5" t="b">
        <f t="shared" ref="K5:K68" si="4">J5=""</f>
        <v>1</v>
      </c>
      <c r="L5" t="str">
        <f t="shared" ref="L5:L68" si="5">IF(K5,"",RANK(J5,RanksClean,1))</f>
        <v/>
      </c>
      <c r="M5" t="str">
        <f t="shared" ref="M5:M68" si="6">IF(K5,"",L5+(Epsilon*A5))</f>
        <v/>
      </c>
      <c r="N5" t="str">
        <f t="shared" ref="N5:N68" si="7">IF(K5,"",RANK(M5,TieBreakers,1))</f>
        <v/>
      </c>
      <c r="O5" t="e">
        <f t="shared" ref="O5:O68" si="8">INDEX(iTitles,MATCH(A5,Untied,0))</f>
        <v>#N/A</v>
      </c>
    </row>
    <row r="6" spans="1:16" ht="13" x14ac:dyDescent="0.3">
      <c r="A6" s="4">
        <v>3</v>
      </c>
      <c r="B6" s="4">
        <f t="shared" si="0"/>
        <v>3</v>
      </c>
      <c r="C6" s="6"/>
      <c r="D6" s="22"/>
      <c r="E6" s="26" t="s">
        <v>22</v>
      </c>
      <c r="F6" s="4"/>
      <c r="G6" s="8" t="s">
        <v>23</v>
      </c>
      <c r="H6" t="str">
        <f t="shared" si="1"/>
        <v/>
      </c>
      <c r="I6" t="str">
        <f t="shared" si="2"/>
        <v/>
      </c>
      <c r="J6" t="str">
        <f t="shared" si="3"/>
        <v/>
      </c>
      <c r="K6" t="b">
        <f t="shared" si="4"/>
        <v>1</v>
      </c>
      <c r="L6" t="str">
        <f t="shared" si="5"/>
        <v/>
      </c>
      <c r="M6" t="str">
        <f t="shared" si="6"/>
        <v/>
      </c>
      <c r="N6" t="str">
        <f t="shared" si="7"/>
        <v/>
      </c>
      <c r="O6" t="e">
        <f t="shared" si="8"/>
        <v>#N/A</v>
      </c>
    </row>
    <row r="7" spans="1:16" ht="13" x14ac:dyDescent="0.3">
      <c r="A7" s="4">
        <v>4</v>
      </c>
      <c r="B7" s="4">
        <f t="shared" si="0"/>
        <v>4</v>
      </c>
      <c r="C7" s="6"/>
      <c r="D7" s="22"/>
      <c r="E7" s="26" t="s">
        <v>24</v>
      </c>
      <c r="F7" s="4"/>
      <c r="G7" s="8" t="s">
        <v>25</v>
      </c>
      <c r="H7" t="str">
        <f t="shared" si="1"/>
        <v/>
      </c>
      <c r="I7" t="str">
        <f t="shared" si="2"/>
        <v/>
      </c>
      <c r="J7" t="str">
        <f t="shared" si="3"/>
        <v/>
      </c>
      <c r="K7" t="b">
        <f t="shared" si="4"/>
        <v>1</v>
      </c>
      <c r="L7" t="str">
        <f t="shared" si="5"/>
        <v/>
      </c>
      <c r="M7" t="str">
        <f t="shared" si="6"/>
        <v/>
      </c>
      <c r="N7" t="str">
        <f t="shared" si="7"/>
        <v/>
      </c>
      <c r="O7" t="e">
        <f t="shared" si="8"/>
        <v>#N/A</v>
      </c>
    </row>
    <row r="8" spans="1:16" ht="13" x14ac:dyDescent="0.3">
      <c r="A8" s="4">
        <v>5</v>
      </c>
      <c r="B8" s="4">
        <f t="shared" si="0"/>
        <v>5</v>
      </c>
      <c r="C8" s="6"/>
      <c r="D8" s="22"/>
      <c r="E8" s="26" t="s">
        <v>26</v>
      </c>
      <c r="F8" s="4"/>
      <c r="G8" s="8" t="s">
        <v>27</v>
      </c>
      <c r="H8" t="str">
        <f t="shared" si="1"/>
        <v/>
      </c>
      <c r="I8" t="str">
        <f t="shared" si="2"/>
        <v/>
      </c>
      <c r="J8" t="str">
        <f t="shared" si="3"/>
        <v/>
      </c>
      <c r="K8" t="b">
        <f t="shared" si="4"/>
        <v>1</v>
      </c>
      <c r="L8" t="str">
        <f t="shared" si="5"/>
        <v/>
      </c>
      <c r="M8" t="str">
        <f t="shared" si="6"/>
        <v/>
      </c>
      <c r="N8" t="str">
        <f t="shared" si="7"/>
        <v/>
      </c>
      <c r="O8" t="e">
        <f t="shared" si="8"/>
        <v>#N/A</v>
      </c>
    </row>
    <row r="9" spans="1:16" ht="13" x14ac:dyDescent="0.3">
      <c r="A9" s="4">
        <v>6</v>
      </c>
      <c r="B9" s="4">
        <f t="shared" si="0"/>
        <v>6</v>
      </c>
      <c r="C9" s="6"/>
      <c r="D9" s="22"/>
      <c r="E9" s="26" t="s">
        <v>28</v>
      </c>
      <c r="F9" s="4"/>
      <c r="G9" s="8" t="s">
        <v>29</v>
      </c>
      <c r="H9" t="str">
        <f t="shared" si="1"/>
        <v/>
      </c>
      <c r="I9" t="str">
        <f t="shared" si="2"/>
        <v/>
      </c>
      <c r="J9" t="str">
        <f t="shared" si="3"/>
        <v/>
      </c>
      <c r="K9" t="b">
        <f t="shared" si="4"/>
        <v>1</v>
      </c>
      <c r="L9" t="str">
        <f t="shared" si="5"/>
        <v/>
      </c>
      <c r="M9" t="str">
        <f t="shared" si="6"/>
        <v/>
      </c>
      <c r="N9" t="str">
        <f t="shared" si="7"/>
        <v/>
      </c>
      <c r="O9" t="e">
        <f t="shared" si="8"/>
        <v>#N/A</v>
      </c>
    </row>
    <row r="10" spans="1:16" ht="13" x14ac:dyDescent="0.3">
      <c r="A10" s="4">
        <v>7</v>
      </c>
      <c r="B10" s="4">
        <f t="shared" si="0"/>
        <v>7</v>
      </c>
      <c r="C10" s="6"/>
      <c r="D10" s="23"/>
      <c r="E10" s="26" t="s">
        <v>30</v>
      </c>
      <c r="F10" s="4"/>
      <c r="G10" s="8" t="s">
        <v>31</v>
      </c>
      <c r="H10" t="str">
        <f t="shared" si="1"/>
        <v/>
      </c>
      <c r="I10" t="str">
        <f t="shared" si="2"/>
        <v/>
      </c>
      <c r="J10" t="str">
        <f t="shared" si="3"/>
        <v/>
      </c>
      <c r="K10" t="b">
        <f t="shared" si="4"/>
        <v>1</v>
      </c>
      <c r="L10" t="str">
        <f t="shared" si="5"/>
        <v/>
      </c>
      <c r="M10" t="str">
        <f t="shared" si="6"/>
        <v/>
      </c>
      <c r="N10" t="str">
        <f t="shared" si="7"/>
        <v/>
      </c>
      <c r="O10" t="e">
        <f t="shared" si="8"/>
        <v>#N/A</v>
      </c>
    </row>
    <row r="11" spans="1:16" ht="13" x14ac:dyDescent="0.3">
      <c r="A11" s="4">
        <v>8</v>
      </c>
      <c r="B11" s="4">
        <f t="shared" si="0"/>
        <v>8</v>
      </c>
      <c r="C11" s="6"/>
      <c r="D11" s="22"/>
      <c r="E11" s="26" t="s">
        <v>32</v>
      </c>
      <c r="F11" s="4"/>
      <c r="G11" s="8" t="s">
        <v>33</v>
      </c>
      <c r="H11" t="str">
        <f t="shared" si="1"/>
        <v/>
      </c>
      <c r="I11" t="str">
        <f t="shared" si="2"/>
        <v/>
      </c>
      <c r="J11" t="str">
        <f t="shared" si="3"/>
        <v/>
      </c>
      <c r="K11" t="b">
        <f t="shared" si="4"/>
        <v>1</v>
      </c>
      <c r="L11" t="str">
        <f t="shared" si="5"/>
        <v/>
      </c>
      <c r="M11" t="str">
        <f t="shared" si="6"/>
        <v/>
      </c>
      <c r="N11" t="str">
        <f t="shared" si="7"/>
        <v/>
      </c>
      <c r="O11" t="e">
        <f t="shared" si="8"/>
        <v>#N/A</v>
      </c>
    </row>
    <row r="12" spans="1:16" ht="13" x14ac:dyDescent="0.3">
      <c r="A12" s="4">
        <v>9</v>
      </c>
      <c r="B12" s="4">
        <f t="shared" si="0"/>
        <v>9</v>
      </c>
      <c r="C12" s="6"/>
      <c r="D12" s="22"/>
      <c r="E12" s="26" t="s">
        <v>34</v>
      </c>
      <c r="F12" s="4"/>
      <c r="G12" s="8" t="s">
        <v>35</v>
      </c>
      <c r="H12" t="str">
        <f t="shared" si="1"/>
        <v/>
      </c>
      <c r="I12" t="str">
        <f t="shared" si="2"/>
        <v/>
      </c>
      <c r="J12" t="str">
        <f t="shared" si="3"/>
        <v/>
      </c>
      <c r="K12" t="b">
        <f t="shared" si="4"/>
        <v>1</v>
      </c>
      <c r="L12" t="str">
        <f t="shared" si="5"/>
        <v/>
      </c>
      <c r="M12" t="str">
        <f t="shared" si="6"/>
        <v/>
      </c>
      <c r="N12" t="str">
        <f t="shared" si="7"/>
        <v/>
      </c>
      <c r="O12" t="e">
        <f t="shared" si="8"/>
        <v>#N/A</v>
      </c>
    </row>
    <row r="13" spans="1:16" ht="13" x14ac:dyDescent="0.3">
      <c r="A13" s="4">
        <v>10</v>
      </c>
      <c r="B13" s="4">
        <f t="shared" si="0"/>
        <v>10</v>
      </c>
      <c r="C13" s="6"/>
      <c r="D13" s="22"/>
      <c r="E13" s="26" t="s">
        <v>36</v>
      </c>
      <c r="F13" s="4"/>
      <c r="G13" s="8" t="s">
        <v>37</v>
      </c>
      <c r="H13" t="str">
        <f t="shared" si="1"/>
        <v/>
      </c>
      <c r="I13" t="str">
        <f t="shared" si="2"/>
        <v/>
      </c>
      <c r="J13" t="str">
        <f t="shared" si="3"/>
        <v/>
      </c>
      <c r="K13" t="b">
        <f t="shared" si="4"/>
        <v>1</v>
      </c>
      <c r="L13" t="str">
        <f t="shared" si="5"/>
        <v/>
      </c>
      <c r="M13" t="str">
        <f t="shared" si="6"/>
        <v/>
      </c>
      <c r="N13" t="str">
        <f t="shared" si="7"/>
        <v/>
      </c>
      <c r="O13" t="e">
        <f t="shared" si="8"/>
        <v>#N/A</v>
      </c>
    </row>
    <row r="14" spans="1:16" ht="13" x14ac:dyDescent="0.3">
      <c r="A14" s="4">
        <v>11</v>
      </c>
      <c r="B14" s="4">
        <f t="shared" si="0"/>
        <v>11</v>
      </c>
      <c r="C14" s="6"/>
      <c r="D14" s="22"/>
      <c r="E14" s="26" t="s">
        <v>38</v>
      </c>
      <c r="F14" s="4"/>
      <c r="G14" s="8" t="s">
        <v>39</v>
      </c>
      <c r="H14" t="str">
        <f t="shared" si="1"/>
        <v/>
      </c>
      <c r="I14" t="str">
        <f t="shared" si="2"/>
        <v/>
      </c>
      <c r="J14" t="str">
        <f t="shared" si="3"/>
        <v/>
      </c>
      <c r="K14" t="b">
        <f t="shared" si="4"/>
        <v>1</v>
      </c>
      <c r="L14" t="str">
        <f t="shared" si="5"/>
        <v/>
      </c>
      <c r="M14" t="str">
        <f t="shared" si="6"/>
        <v/>
      </c>
      <c r="N14" t="str">
        <f t="shared" si="7"/>
        <v/>
      </c>
      <c r="O14" t="e">
        <f t="shared" si="8"/>
        <v>#N/A</v>
      </c>
    </row>
    <row r="15" spans="1:16" ht="13" x14ac:dyDescent="0.3">
      <c r="A15" s="4">
        <v>12</v>
      </c>
      <c r="B15" s="4">
        <f t="shared" si="0"/>
        <v>12</v>
      </c>
      <c r="C15" s="6"/>
      <c r="D15" s="22"/>
      <c r="E15" s="26" t="s">
        <v>40</v>
      </c>
      <c r="F15" s="4"/>
      <c r="G15" s="8" t="s">
        <v>41</v>
      </c>
      <c r="H15" t="str">
        <f t="shared" si="1"/>
        <v/>
      </c>
      <c r="I15" t="str">
        <f t="shared" si="2"/>
        <v/>
      </c>
      <c r="J15" t="str">
        <f t="shared" si="3"/>
        <v/>
      </c>
      <c r="K15" t="b">
        <f t="shared" si="4"/>
        <v>1</v>
      </c>
      <c r="L15" t="str">
        <f t="shared" si="5"/>
        <v/>
      </c>
      <c r="M15" t="str">
        <f t="shared" si="6"/>
        <v/>
      </c>
      <c r="N15" t="str">
        <f t="shared" si="7"/>
        <v/>
      </c>
      <c r="O15" t="e">
        <f t="shared" si="8"/>
        <v>#N/A</v>
      </c>
    </row>
    <row r="16" spans="1:16" ht="13" x14ac:dyDescent="0.3">
      <c r="A16" s="4">
        <v>13</v>
      </c>
      <c r="B16" s="4">
        <f t="shared" si="0"/>
        <v>13</v>
      </c>
      <c r="C16" s="6"/>
      <c r="D16" s="22"/>
      <c r="E16" s="26" t="s">
        <v>42</v>
      </c>
      <c r="F16" s="4"/>
      <c r="G16" s="8" t="s">
        <v>43</v>
      </c>
      <c r="H16" t="str">
        <f t="shared" si="1"/>
        <v/>
      </c>
      <c r="I16" t="str">
        <f t="shared" si="2"/>
        <v/>
      </c>
      <c r="J16" t="str">
        <f t="shared" si="3"/>
        <v/>
      </c>
      <c r="K16" t="b">
        <f t="shared" si="4"/>
        <v>1</v>
      </c>
      <c r="L16" t="str">
        <f t="shared" si="5"/>
        <v/>
      </c>
      <c r="M16" t="str">
        <f t="shared" si="6"/>
        <v/>
      </c>
      <c r="N16" t="str">
        <f t="shared" si="7"/>
        <v/>
      </c>
      <c r="O16" t="e">
        <f t="shared" si="8"/>
        <v>#N/A</v>
      </c>
    </row>
    <row r="17" spans="1:15" ht="13" x14ac:dyDescent="0.3">
      <c r="A17" s="4">
        <v>14</v>
      </c>
      <c r="B17" s="4">
        <f t="shared" si="0"/>
        <v>14</v>
      </c>
      <c r="C17" s="6"/>
      <c r="D17" s="22"/>
      <c r="E17" s="26" t="s">
        <v>44</v>
      </c>
      <c r="F17" s="4"/>
      <c r="G17" s="8" t="s">
        <v>45</v>
      </c>
      <c r="H17" t="str">
        <f t="shared" si="1"/>
        <v/>
      </c>
      <c r="I17" t="str">
        <f t="shared" si="2"/>
        <v/>
      </c>
      <c r="J17" t="str">
        <f t="shared" si="3"/>
        <v/>
      </c>
      <c r="K17" t="b">
        <f t="shared" si="4"/>
        <v>1</v>
      </c>
      <c r="L17" t="str">
        <f t="shared" si="5"/>
        <v/>
      </c>
      <c r="M17" t="str">
        <f t="shared" si="6"/>
        <v/>
      </c>
      <c r="N17" t="str">
        <f t="shared" si="7"/>
        <v/>
      </c>
      <c r="O17" t="e">
        <f t="shared" si="8"/>
        <v>#N/A</v>
      </c>
    </row>
    <row r="18" spans="1:15" ht="13" x14ac:dyDescent="0.3">
      <c r="A18" s="4">
        <v>15</v>
      </c>
      <c r="B18" s="4">
        <f t="shared" si="0"/>
        <v>15</v>
      </c>
      <c r="C18" s="6"/>
      <c r="D18" s="22"/>
      <c r="E18" s="26" t="s">
        <v>46</v>
      </c>
      <c r="F18" s="4"/>
      <c r="G18" s="8" t="s">
        <v>47</v>
      </c>
      <c r="H18" t="str">
        <f t="shared" si="1"/>
        <v/>
      </c>
      <c r="I18" t="str">
        <f t="shared" si="2"/>
        <v/>
      </c>
      <c r="J18" t="str">
        <f t="shared" si="3"/>
        <v/>
      </c>
      <c r="K18" t="b">
        <f t="shared" si="4"/>
        <v>1</v>
      </c>
      <c r="L18" t="str">
        <f t="shared" si="5"/>
        <v/>
      </c>
      <c r="M18" t="str">
        <f t="shared" si="6"/>
        <v/>
      </c>
      <c r="N18" t="str">
        <f t="shared" si="7"/>
        <v/>
      </c>
      <c r="O18" t="e">
        <f t="shared" si="8"/>
        <v>#N/A</v>
      </c>
    </row>
    <row r="19" spans="1:15" ht="13" x14ac:dyDescent="0.3">
      <c r="A19" s="4">
        <v>16</v>
      </c>
      <c r="B19" s="4">
        <f t="shared" si="0"/>
        <v>16</v>
      </c>
      <c r="C19" s="6"/>
      <c r="D19" s="22"/>
      <c r="E19" s="26"/>
      <c r="F19" s="4"/>
      <c r="G19" s="8" t="s">
        <v>48</v>
      </c>
      <c r="H19" t="str">
        <f t="shared" si="1"/>
        <v/>
      </c>
      <c r="I19" t="str">
        <f t="shared" si="2"/>
        <v/>
      </c>
      <c r="J19" t="str">
        <f t="shared" si="3"/>
        <v/>
      </c>
      <c r="K19" t="b">
        <f t="shared" si="4"/>
        <v>1</v>
      </c>
      <c r="L19" t="str">
        <f t="shared" si="5"/>
        <v/>
      </c>
      <c r="M19" t="str">
        <f t="shared" si="6"/>
        <v/>
      </c>
      <c r="N19" t="str">
        <f t="shared" si="7"/>
        <v/>
      </c>
      <c r="O19" t="e">
        <f t="shared" si="8"/>
        <v>#N/A</v>
      </c>
    </row>
    <row r="20" spans="1:15" ht="13" x14ac:dyDescent="0.3">
      <c r="A20" s="4">
        <v>17</v>
      </c>
      <c r="B20" s="4">
        <f t="shared" si="0"/>
        <v>17</v>
      </c>
      <c r="C20" s="6"/>
      <c r="D20" s="22"/>
      <c r="E20" s="26"/>
      <c r="F20" s="4"/>
      <c r="G20" s="8" t="s">
        <v>49</v>
      </c>
      <c r="H20" t="str">
        <f t="shared" si="1"/>
        <v/>
      </c>
      <c r="I20" t="str">
        <f t="shared" si="2"/>
        <v/>
      </c>
      <c r="J20" t="str">
        <f t="shared" si="3"/>
        <v/>
      </c>
      <c r="K20" t="b">
        <f t="shared" si="4"/>
        <v>1</v>
      </c>
      <c r="L20" t="str">
        <f t="shared" si="5"/>
        <v/>
      </c>
      <c r="M20" t="str">
        <f t="shared" si="6"/>
        <v/>
      </c>
      <c r="N20" t="str">
        <f t="shared" si="7"/>
        <v/>
      </c>
      <c r="O20" t="e">
        <f t="shared" si="8"/>
        <v>#N/A</v>
      </c>
    </row>
    <row r="21" spans="1:15" ht="13" x14ac:dyDescent="0.3">
      <c r="A21" s="4">
        <v>18</v>
      </c>
      <c r="B21" s="4">
        <f t="shared" si="0"/>
        <v>18</v>
      </c>
      <c r="C21" s="6"/>
      <c r="D21" s="22"/>
      <c r="E21" s="26"/>
      <c r="F21" s="4"/>
      <c r="G21" s="8" t="s">
        <v>50</v>
      </c>
      <c r="H21" t="str">
        <f t="shared" si="1"/>
        <v/>
      </c>
      <c r="I21" t="str">
        <f t="shared" si="2"/>
        <v/>
      </c>
      <c r="J21" t="str">
        <f t="shared" si="3"/>
        <v/>
      </c>
      <c r="K21" t="b">
        <f t="shared" si="4"/>
        <v>1</v>
      </c>
      <c r="L21" t="str">
        <f t="shared" si="5"/>
        <v/>
      </c>
      <c r="M21" t="str">
        <f t="shared" si="6"/>
        <v/>
      </c>
      <c r="N21" t="str">
        <f t="shared" si="7"/>
        <v/>
      </c>
      <c r="O21" t="e">
        <f t="shared" si="8"/>
        <v>#N/A</v>
      </c>
    </row>
    <row r="22" spans="1:15" ht="13" x14ac:dyDescent="0.3">
      <c r="A22" s="4">
        <v>19</v>
      </c>
      <c r="B22" s="4">
        <f t="shared" si="0"/>
        <v>19</v>
      </c>
      <c r="C22" s="6"/>
      <c r="D22" s="22"/>
      <c r="E22" s="26"/>
      <c r="F22" s="4"/>
      <c r="G22" s="8" t="s">
        <v>51</v>
      </c>
      <c r="H22" t="str">
        <f t="shared" si="1"/>
        <v/>
      </c>
      <c r="I22" t="str">
        <f t="shared" si="2"/>
        <v/>
      </c>
      <c r="J22" t="str">
        <f t="shared" si="3"/>
        <v/>
      </c>
      <c r="K22" t="b">
        <f t="shared" si="4"/>
        <v>1</v>
      </c>
      <c r="L22" t="str">
        <f t="shared" si="5"/>
        <v/>
      </c>
      <c r="M22" t="str">
        <f t="shared" si="6"/>
        <v/>
      </c>
      <c r="N22" t="str">
        <f t="shared" si="7"/>
        <v/>
      </c>
      <c r="O22" t="e">
        <f t="shared" si="8"/>
        <v>#N/A</v>
      </c>
    </row>
    <row r="23" spans="1:15" ht="13" x14ac:dyDescent="0.3">
      <c r="A23" s="4">
        <v>20</v>
      </c>
      <c r="B23" s="4">
        <f t="shared" si="0"/>
        <v>20</v>
      </c>
      <c r="C23" s="6"/>
      <c r="D23" s="22"/>
      <c r="E23" s="26"/>
      <c r="F23" s="4"/>
      <c r="G23" s="8" t="s">
        <v>52</v>
      </c>
      <c r="H23" t="str">
        <f t="shared" si="1"/>
        <v/>
      </c>
      <c r="I23" t="str">
        <f t="shared" si="2"/>
        <v/>
      </c>
      <c r="J23" t="str">
        <f t="shared" si="3"/>
        <v/>
      </c>
      <c r="K23" t="b">
        <f t="shared" si="4"/>
        <v>1</v>
      </c>
      <c r="L23" t="str">
        <f t="shared" si="5"/>
        <v/>
      </c>
      <c r="M23" t="str">
        <f t="shared" si="6"/>
        <v/>
      </c>
      <c r="N23" t="str">
        <f t="shared" si="7"/>
        <v/>
      </c>
      <c r="O23" t="e">
        <f t="shared" si="8"/>
        <v>#N/A</v>
      </c>
    </row>
    <row r="24" spans="1:15" ht="13" x14ac:dyDescent="0.3">
      <c r="A24" s="4">
        <v>21</v>
      </c>
      <c r="B24" s="4">
        <f t="shared" si="0"/>
        <v>21</v>
      </c>
      <c r="C24" s="6"/>
      <c r="D24" s="22"/>
      <c r="E24" s="26"/>
      <c r="F24" s="4"/>
      <c r="G24" s="8" t="s">
        <v>53</v>
      </c>
      <c r="H24" t="str">
        <f t="shared" si="1"/>
        <v/>
      </c>
      <c r="I24" t="str">
        <f t="shared" si="2"/>
        <v/>
      </c>
      <c r="J24" t="str">
        <f t="shared" si="3"/>
        <v/>
      </c>
      <c r="K24" t="b">
        <f t="shared" si="4"/>
        <v>1</v>
      </c>
      <c r="L24" t="str">
        <f t="shared" si="5"/>
        <v/>
      </c>
      <c r="M24" t="str">
        <f t="shared" si="6"/>
        <v/>
      </c>
      <c r="N24" t="str">
        <f t="shared" si="7"/>
        <v/>
      </c>
      <c r="O24" t="e">
        <f t="shared" si="8"/>
        <v>#N/A</v>
      </c>
    </row>
    <row r="25" spans="1:15" ht="13" x14ac:dyDescent="0.3">
      <c r="A25" s="4">
        <v>22</v>
      </c>
      <c r="B25" s="4">
        <f t="shared" si="0"/>
        <v>22</v>
      </c>
      <c r="C25" s="6"/>
      <c r="D25" s="22"/>
      <c r="E25" s="26"/>
      <c r="F25" s="4"/>
      <c r="G25" s="8" t="s">
        <v>54</v>
      </c>
      <c r="H25" t="str">
        <f t="shared" si="1"/>
        <v/>
      </c>
      <c r="I25" t="str">
        <f t="shared" si="2"/>
        <v/>
      </c>
      <c r="J25" t="str">
        <f t="shared" si="3"/>
        <v/>
      </c>
      <c r="K25" t="b">
        <f t="shared" si="4"/>
        <v>1</v>
      </c>
      <c r="L25" t="str">
        <f t="shared" si="5"/>
        <v/>
      </c>
      <c r="M25" t="str">
        <f t="shared" si="6"/>
        <v/>
      </c>
      <c r="N25" t="str">
        <f t="shared" si="7"/>
        <v/>
      </c>
      <c r="O25" t="e">
        <f t="shared" si="8"/>
        <v>#N/A</v>
      </c>
    </row>
    <row r="26" spans="1:15" ht="13" x14ac:dyDescent="0.3">
      <c r="A26" s="4">
        <v>23</v>
      </c>
      <c r="B26" s="4">
        <f t="shared" si="0"/>
        <v>23</v>
      </c>
      <c r="C26" s="6"/>
      <c r="D26" s="22"/>
      <c r="E26" s="26"/>
      <c r="F26" s="4"/>
      <c r="G26" s="8" t="s">
        <v>55</v>
      </c>
      <c r="H26" t="str">
        <f t="shared" si="1"/>
        <v/>
      </c>
      <c r="I26" t="str">
        <f t="shared" si="2"/>
        <v/>
      </c>
      <c r="J26" t="str">
        <f t="shared" si="3"/>
        <v/>
      </c>
      <c r="K26" t="b">
        <f t="shared" si="4"/>
        <v>1</v>
      </c>
      <c r="L26" t="str">
        <f t="shared" si="5"/>
        <v/>
      </c>
      <c r="M26" t="str">
        <f t="shared" si="6"/>
        <v/>
      </c>
      <c r="N26" t="str">
        <f t="shared" si="7"/>
        <v/>
      </c>
      <c r="O26" t="e">
        <f t="shared" si="8"/>
        <v>#N/A</v>
      </c>
    </row>
    <row r="27" spans="1:15" ht="13" x14ac:dyDescent="0.3">
      <c r="A27" s="4">
        <v>24</v>
      </c>
      <c r="B27" s="4">
        <f t="shared" si="0"/>
        <v>24</v>
      </c>
      <c r="C27" s="6"/>
      <c r="D27" s="22"/>
      <c r="E27" s="26"/>
      <c r="F27" s="4"/>
      <c r="G27" s="8" t="s">
        <v>56</v>
      </c>
      <c r="H27" t="str">
        <f t="shared" si="1"/>
        <v/>
      </c>
      <c r="I27" t="str">
        <f t="shared" si="2"/>
        <v/>
      </c>
      <c r="J27" t="str">
        <f t="shared" si="3"/>
        <v/>
      </c>
      <c r="K27" t="b">
        <f t="shared" si="4"/>
        <v>1</v>
      </c>
      <c r="L27" t="str">
        <f t="shared" si="5"/>
        <v/>
      </c>
      <c r="M27" t="str">
        <f t="shared" si="6"/>
        <v/>
      </c>
      <c r="N27" t="str">
        <f t="shared" si="7"/>
        <v/>
      </c>
      <c r="O27" t="e">
        <f t="shared" si="8"/>
        <v>#N/A</v>
      </c>
    </row>
    <row r="28" spans="1:15" ht="13" x14ac:dyDescent="0.3">
      <c r="A28" s="4">
        <v>25</v>
      </c>
      <c r="B28" s="4">
        <f t="shared" si="0"/>
        <v>25</v>
      </c>
      <c r="C28" s="6"/>
      <c r="D28" s="22"/>
      <c r="E28" s="26"/>
      <c r="F28" s="4"/>
      <c r="G28" s="8" t="s">
        <v>57</v>
      </c>
      <c r="H28" t="str">
        <f t="shared" si="1"/>
        <v/>
      </c>
      <c r="I28" t="str">
        <f t="shared" si="2"/>
        <v/>
      </c>
      <c r="J28" t="str">
        <f t="shared" si="3"/>
        <v/>
      </c>
      <c r="K28" t="b">
        <f t="shared" si="4"/>
        <v>1</v>
      </c>
      <c r="L28" t="str">
        <f t="shared" si="5"/>
        <v/>
      </c>
      <c r="M28" t="str">
        <f t="shared" si="6"/>
        <v/>
      </c>
      <c r="N28" t="str">
        <f t="shared" si="7"/>
        <v/>
      </c>
      <c r="O28" t="e">
        <f t="shared" si="8"/>
        <v>#N/A</v>
      </c>
    </row>
    <row r="29" spans="1:15" ht="13" x14ac:dyDescent="0.3">
      <c r="A29" s="4">
        <v>26</v>
      </c>
      <c r="B29" s="4">
        <f t="shared" si="0"/>
        <v>26</v>
      </c>
      <c r="C29" s="6"/>
      <c r="D29" s="22"/>
      <c r="E29" s="26"/>
      <c r="F29" s="4"/>
      <c r="G29" s="8" t="s">
        <v>58</v>
      </c>
      <c r="H29" t="str">
        <f t="shared" si="1"/>
        <v/>
      </c>
      <c r="I29" t="str">
        <f t="shared" si="2"/>
        <v/>
      </c>
      <c r="J29" t="str">
        <f t="shared" si="3"/>
        <v/>
      </c>
      <c r="K29" t="b">
        <f t="shared" si="4"/>
        <v>1</v>
      </c>
      <c r="L29" t="str">
        <f t="shared" si="5"/>
        <v/>
      </c>
      <c r="M29" t="str">
        <f t="shared" si="6"/>
        <v/>
      </c>
      <c r="N29" t="str">
        <f t="shared" si="7"/>
        <v/>
      </c>
      <c r="O29" t="e">
        <f t="shared" si="8"/>
        <v>#N/A</v>
      </c>
    </row>
    <row r="30" spans="1:15" ht="13" x14ac:dyDescent="0.3">
      <c r="A30" s="4">
        <v>27</v>
      </c>
      <c r="B30" s="4">
        <f t="shared" si="0"/>
        <v>27</v>
      </c>
      <c r="C30" s="6"/>
      <c r="D30" s="22"/>
      <c r="E30" s="26"/>
      <c r="F30" s="4"/>
      <c r="G30" s="8" t="s">
        <v>59</v>
      </c>
      <c r="H30" t="str">
        <f t="shared" si="1"/>
        <v/>
      </c>
      <c r="I30" t="str">
        <f t="shared" si="2"/>
        <v/>
      </c>
      <c r="J30" t="str">
        <f t="shared" si="3"/>
        <v/>
      </c>
      <c r="K30" t="b">
        <f t="shared" si="4"/>
        <v>1</v>
      </c>
      <c r="L30" t="str">
        <f t="shared" si="5"/>
        <v/>
      </c>
      <c r="M30" t="str">
        <f t="shared" si="6"/>
        <v/>
      </c>
      <c r="N30" t="str">
        <f t="shared" si="7"/>
        <v/>
      </c>
      <c r="O30" t="e">
        <f t="shared" si="8"/>
        <v>#N/A</v>
      </c>
    </row>
    <row r="31" spans="1:15" ht="13" x14ac:dyDescent="0.3">
      <c r="A31" s="4">
        <v>28</v>
      </c>
      <c r="B31" s="4">
        <f t="shared" si="0"/>
        <v>28</v>
      </c>
      <c r="C31" s="6"/>
      <c r="D31" s="22"/>
      <c r="E31" s="26"/>
      <c r="F31" s="4"/>
      <c r="G31" s="8" t="s">
        <v>60</v>
      </c>
      <c r="H31" t="str">
        <f t="shared" si="1"/>
        <v/>
      </c>
      <c r="I31" t="str">
        <f t="shared" si="2"/>
        <v/>
      </c>
      <c r="J31" t="str">
        <f t="shared" si="3"/>
        <v/>
      </c>
      <c r="K31" t="b">
        <f t="shared" si="4"/>
        <v>1</v>
      </c>
      <c r="L31" t="str">
        <f t="shared" si="5"/>
        <v/>
      </c>
      <c r="M31" t="str">
        <f t="shared" si="6"/>
        <v/>
      </c>
      <c r="N31" t="str">
        <f t="shared" si="7"/>
        <v/>
      </c>
      <c r="O31" t="e">
        <f t="shared" si="8"/>
        <v>#N/A</v>
      </c>
    </row>
    <row r="32" spans="1:15" ht="13" x14ac:dyDescent="0.3">
      <c r="A32" s="4">
        <v>29</v>
      </c>
      <c r="B32" s="4">
        <f t="shared" si="0"/>
        <v>29</v>
      </c>
      <c r="C32" s="6"/>
      <c r="D32" s="22"/>
      <c r="E32" s="26"/>
      <c r="F32" s="4"/>
      <c r="G32" s="8" t="s">
        <v>61</v>
      </c>
      <c r="H32" t="str">
        <f t="shared" si="1"/>
        <v/>
      </c>
      <c r="I32" t="str">
        <f t="shared" si="2"/>
        <v/>
      </c>
      <c r="J32" t="str">
        <f t="shared" si="3"/>
        <v/>
      </c>
      <c r="K32" t="b">
        <f t="shared" si="4"/>
        <v>1</v>
      </c>
      <c r="L32" t="str">
        <f t="shared" si="5"/>
        <v/>
      </c>
      <c r="M32" t="str">
        <f t="shared" si="6"/>
        <v/>
      </c>
      <c r="N32" t="str">
        <f t="shared" si="7"/>
        <v/>
      </c>
      <c r="O32" t="e">
        <f t="shared" si="8"/>
        <v>#N/A</v>
      </c>
    </row>
    <row r="33" spans="1:15" ht="13" x14ac:dyDescent="0.3">
      <c r="A33" s="4">
        <v>30</v>
      </c>
      <c r="B33" s="4">
        <f t="shared" si="0"/>
        <v>30</v>
      </c>
      <c r="C33" s="6"/>
      <c r="D33" s="22"/>
      <c r="E33" s="26"/>
      <c r="F33" s="4"/>
      <c r="G33" s="8" t="s">
        <v>62</v>
      </c>
      <c r="H33" t="str">
        <f t="shared" si="1"/>
        <v/>
      </c>
      <c r="I33" t="str">
        <f t="shared" si="2"/>
        <v/>
      </c>
      <c r="J33" t="str">
        <f t="shared" si="3"/>
        <v/>
      </c>
      <c r="K33" t="b">
        <f t="shared" si="4"/>
        <v>1</v>
      </c>
      <c r="L33" t="str">
        <f t="shared" si="5"/>
        <v/>
      </c>
      <c r="M33" t="str">
        <f t="shared" si="6"/>
        <v/>
      </c>
      <c r="N33" t="str">
        <f t="shared" si="7"/>
        <v/>
      </c>
      <c r="O33" t="e">
        <f t="shared" si="8"/>
        <v>#N/A</v>
      </c>
    </row>
    <row r="34" spans="1:15" ht="13" x14ac:dyDescent="0.3">
      <c r="A34" s="4">
        <v>31</v>
      </c>
      <c r="B34" s="4">
        <f t="shared" si="0"/>
        <v>31</v>
      </c>
      <c r="C34" s="6"/>
      <c r="D34" s="22"/>
      <c r="E34" s="26"/>
      <c r="F34" s="4"/>
      <c r="G34" s="8" t="s">
        <v>63</v>
      </c>
      <c r="H34" t="str">
        <f t="shared" si="1"/>
        <v/>
      </c>
      <c r="I34" t="str">
        <f t="shared" si="2"/>
        <v/>
      </c>
      <c r="J34" t="str">
        <f t="shared" si="3"/>
        <v/>
      </c>
      <c r="K34" t="b">
        <f t="shared" si="4"/>
        <v>1</v>
      </c>
      <c r="L34" t="str">
        <f t="shared" si="5"/>
        <v/>
      </c>
      <c r="M34" t="str">
        <f t="shared" si="6"/>
        <v/>
      </c>
      <c r="N34" t="str">
        <f t="shared" si="7"/>
        <v/>
      </c>
      <c r="O34" t="e">
        <f t="shared" si="8"/>
        <v>#N/A</v>
      </c>
    </row>
    <row r="35" spans="1:15" ht="13" x14ac:dyDescent="0.3">
      <c r="A35" s="4">
        <v>32</v>
      </c>
      <c r="B35" s="4">
        <f t="shared" si="0"/>
        <v>32</v>
      </c>
      <c r="C35" s="6"/>
      <c r="D35" s="22"/>
      <c r="E35" s="26"/>
      <c r="F35" s="4"/>
      <c r="G35" s="8" t="s">
        <v>64</v>
      </c>
      <c r="H35" t="str">
        <f t="shared" si="1"/>
        <v/>
      </c>
      <c r="I35" t="str">
        <f t="shared" si="2"/>
        <v/>
      </c>
      <c r="J35" t="str">
        <f t="shared" si="3"/>
        <v/>
      </c>
      <c r="K35" t="b">
        <f t="shared" si="4"/>
        <v>1</v>
      </c>
      <c r="L35" t="str">
        <f t="shared" si="5"/>
        <v/>
      </c>
      <c r="M35" t="str">
        <f t="shared" si="6"/>
        <v/>
      </c>
      <c r="N35" t="str">
        <f t="shared" si="7"/>
        <v/>
      </c>
      <c r="O35" t="e">
        <f t="shared" si="8"/>
        <v>#N/A</v>
      </c>
    </row>
    <row r="36" spans="1:15" ht="13" x14ac:dyDescent="0.3">
      <c r="A36" s="4">
        <v>33</v>
      </c>
      <c r="B36" s="4">
        <f t="shared" si="0"/>
        <v>33</v>
      </c>
      <c r="C36" s="6"/>
      <c r="D36" s="22"/>
      <c r="E36" s="26"/>
      <c r="F36" s="4"/>
      <c r="G36" s="8"/>
      <c r="H36" t="str">
        <f t="shared" si="1"/>
        <v/>
      </c>
      <c r="I36" t="str">
        <f t="shared" si="2"/>
        <v/>
      </c>
      <c r="J36" t="str">
        <f t="shared" si="3"/>
        <v/>
      </c>
      <c r="K36" t="b">
        <f t="shared" si="4"/>
        <v>1</v>
      </c>
      <c r="L36" t="str">
        <f t="shared" si="5"/>
        <v/>
      </c>
      <c r="M36" t="str">
        <f t="shared" si="6"/>
        <v/>
      </c>
      <c r="N36" t="str">
        <f t="shared" si="7"/>
        <v/>
      </c>
      <c r="O36" t="e">
        <f t="shared" si="8"/>
        <v>#N/A</v>
      </c>
    </row>
    <row r="37" spans="1:15" ht="13" x14ac:dyDescent="0.3">
      <c r="A37" s="4">
        <v>34</v>
      </c>
      <c r="B37" s="4">
        <f t="shared" si="0"/>
        <v>34</v>
      </c>
      <c r="C37" s="6"/>
      <c r="D37" s="22"/>
      <c r="E37" s="26"/>
      <c r="F37" s="4"/>
      <c r="G37" s="8" t="s">
        <v>65</v>
      </c>
      <c r="H37" t="str">
        <f t="shared" si="1"/>
        <v/>
      </c>
      <c r="I37" t="str">
        <f t="shared" si="2"/>
        <v/>
      </c>
      <c r="J37" t="str">
        <f t="shared" si="3"/>
        <v/>
      </c>
      <c r="K37" t="b">
        <f t="shared" si="4"/>
        <v>1</v>
      </c>
      <c r="L37" t="str">
        <f t="shared" si="5"/>
        <v/>
      </c>
      <c r="M37" t="str">
        <f t="shared" si="6"/>
        <v/>
      </c>
      <c r="N37" t="str">
        <f t="shared" si="7"/>
        <v/>
      </c>
      <c r="O37" t="e">
        <f t="shared" si="8"/>
        <v>#N/A</v>
      </c>
    </row>
    <row r="38" spans="1:15" ht="13" x14ac:dyDescent="0.3">
      <c r="A38" s="4">
        <v>35</v>
      </c>
      <c r="B38" s="4">
        <f t="shared" si="0"/>
        <v>35</v>
      </c>
      <c r="C38" s="6"/>
      <c r="D38" s="22"/>
      <c r="E38" s="26"/>
      <c r="F38" s="4"/>
      <c r="G38" s="9" t="s">
        <v>66</v>
      </c>
      <c r="H38" t="str">
        <f t="shared" si="1"/>
        <v/>
      </c>
      <c r="I38" t="str">
        <f t="shared" si="2"/>
        <v/>
      </c>
      <c r="J38" t="str">
        <f t="shared" si="3"/>
        <v/>
      </c>
      <c r="K38" t="b">
        <f t="shared" si="4"/>
        <v>1</v>
      </c>
      <c r="L38" t="str">
        <f t="shared" si="5"/>
        <v/>
      </c>
      <c r="M38" t="str">
        <f t="shared" si="6"/>
        <v/>
      </c>
      <c r="N38" t="str">
        <f t="shared" si="7"/>
        <v/>
      </c>
      <c r="O38" t="e">
        <f t="shared" si="8"/>
        <v>#N/A</v>
      </c>
    </row>
    <row r="39" spans="1:15" ht="13" x14ac:dyDescent="0.3">
      <c r="A39" s="4">
        <v>36</v>
      </c>
      <c r="B39" s="4">
        <f t="shared" si="0"/>
        <v>36</v>
      </c>
      <c r="C39" s="6"/>
      <c r="D39" s="22"/>
      <c r="E39" s="26"/>
      <c r="F39" s="4"/>
      <c r="G39" s="7" t="s">
        <v>67</v>
      </c>
      <c r="H39" t="str">
        <f t="shared" si="1"/>
        <v/>
      </c>
      <c r="I39" t="str">
        <f t="shared" si="2"/>
        <v/>
      </c>
      <c r="J39" t="str">
        <f t="shared" si="3"/>
        <v/>
      </c>
      <c r="K39" t="b">
        <f t="shared" si="4"/>
        <v>1</v>
      </c>
      <c r="L39" t="str">
        <f t="shared" si="5"/>
        <v/>
      </c>
      <c r="M39" t="str">
        <f t="shared" si="6"/>
        <v/>
      </c>
      <c r="N39" t="str">
        <f t="shared" si="7"/>
        <v/>
      </c>
      <c r="O39" t="e">
        <f t="shared" si="8"/>
        <v>#N/A</v>
      </c>
    </row>
    <row r="40" spans="1:15" ht="13" x14ac:dyDescent="0.3">
      <c r="A40" s="4">
        <v>37</v>
      </c>
      <c r="B40" s="4">
        <f t="shared" si="0"/>
        <v>37</v>
      </c>
      <c r="C40" s="6"/>
      <c r="D40" s="22"/>
      <c r="E40" s="26"/>
      <c r="F40" s="4"/>
      <c r="G40" s="8" t="s">
        <v>68</v>
      </c>
      <c r="H40" t="str">
        <f t="shared" si="1"/>
        <v/>
      </c>
      <c r="I40" t="str">
        <f t="shared" si="2"/>
        <v/>
      </c>
      <c r="J40" t="str">
        <f t="shared" si="3"/>
        <v/>
      </c>
      <c r="K40" t="b">
        <f t="shared" si="4"/>
        <v>1</v>
      </c>
      <c r="L40" t="str">
        <f t="shared" si="5"/>
        <v/>
      </c>
      <c r="M40" t="str">
        <f t="shared" si="6"/>
        <v/>
      </c>
      <c r="N40" t="str">
        <f t="shared" si="7"/>
        <v/>
      </c>
      <c r="O40" t="e">
        <f t="shared" si="8"/>
        <v>#N/A</v>
      </c>
    </row>
    <row r="41" spans="1:15" ht="13" x14ac:dyDescent="0.3">
      <c r="A41" s="4">
        <v>38</v>
      </c>
      <c r="B41" s="4">
        <f t="shared" si="0"/>
        <v>38</v>
      </c>
      <c r="C41" s="6"/>
      <c r="D41" s="22"/>
      <c r="E41" s="26"/>
      <c r="F41" s="4"/>
      <c r="G41" s="8" t="s">
        <v>23</v>
      </c>
      <c r="H41" t="str">
        <f t="shared" si="1"/>
        <v/>
      </c>
      <c r="I41" t="str">
        <f t="shared" si="2"/>
        <v/>
      </c>
      <c r="J41" t="str">
        <f t="shared" si="3"/>
        <v/>
      </c>
      <c r="K41" t="b">
        <f t="shared" si="4"/>
        <v>1</v>
      </c>
      <c r="L41" t="str">
        <f t="shared" si="5"/>
        <v/>
      </c>
      <c r="M41" t="str">
        <f t="shared" si="6"/>
        <v/>
      </c>
      <c r="N41" t="str">
        <f t="shared" si="7"/>
        <v/>
      </c>
      <c r="O41" t="e">
        <f t="shared" si="8"/>
        <v>#N/A</v>
      </c>
    </row>
    <row r="42" spans="1:15" ht="13" x14ac:dyDescent="0.3">
      <c r="A42" s="4">
        <v>39</v>
      </c>
      <c r="B42" s="4">
        <f t="shared" si="0"/>
        <v>39</v>
      </c>
      <c r="C42" s="6"/>
      <c r="D42" s="22"/>
      <c r="E42" s="26"/>
      <c r="F42" s="4"/>
      <c r="G42" s="8" t="s">
        <v>69</v>
      </c>
      <c r="H42" t="str">
        <f t="shared" si="1"/>
        <v/>
      </c>
      <c r="I42" t="str">
        <f t="shared" si="2"/>
        <v/>
      </c>
      <c r="J42" t="str">
        <f t="shared" si="3"/>
        <v/>
      </c>
      <c r="K42" t="b">
        <f t="shared" si="4"/>
        <v>1</v>
      </c>
      <c r="L42" t="str">
        <f t="shared" si="5"/>
        <v/>
      </c>
      <c r="M42" t="str">
        <f t="shared" si="6"/>
        <v/>
      </c>
      <c r="N42" t="str">
        <f t="shared" si="7"/>
        <v/>
      </c>
      <c r="O42" t="e">
        <f t="shared" si="8"/>
        <v>#N/A</v>
      </c>
    </row>
    <row r="43" spans="1:15" ht="13" x14ac:dyDescent="0.3">
      <c r="A43" s="4">
        <v>40</v>
      </c>
      <c r="B43" s="4">
        <f t="shared" si="0"/>
        <v>40</v>
      </c>
      <c r="C43" s="6"/>
      <c r="D43" s="22"/>
      <c r="E43" s="26"/>
      <c r="F43" s="4"/>
      <c r="G43" s="8" t="s">
        <v>70</v>
      </c>
      <c r="H43" t="str">
        <f t="shared" si="1"/>
        <v/>
      </c>
      <c r="I43" t="str">
        <f t="shared" si="2"/>
        <v/>
      </c>
      <c r="J43" t="str">
        <f t="shared" si="3"/>
        <v/>
      </c>
      <c r="K43" t="b">
        <f t="shared" si="4"/>
        <v>1</v>
      </c>
      <c r="L43" t="str">
        <f t="shared" si="5"/>
        <v/>
      </c>
      <c r="M43" t="str">
        <f t="shared" si="6"/>
        <v/>
      </c>
      <c r="N43" t="str">
        <f t="shared" si="7"/>
        <v/>
      </c>
      <c r="O43" t="e">
        <f t="shared" si="8"/>
        <v>#N/A</v>
      </c>
    </row>
    <row r="44" spans="1:15" ht="13" x14ac:dyDescent="0.3">
      <c r="A44" s="4">
        <v>41</v>
      </c>
      <c r="B44" s="4">
        <f t="shared" si="0"/>
        <v>41</v>
      </c>
      <c r="C44" s="6"/>
      <c r="D44" s="22"/>
      <c r="E44" s="26"/>
      <c r="F44" s="4"/>
      <c r="G44" s="8" t="s">
        <v>71</v>
      </c>
      <c r="H44" t="str">
        <f t="shared" si="1"/>
        <v/>
      </c>
      <c r="I44" t="str">
        <f t="shared" si="2"/>
        <v/>
      </c>
      <c r="J44" t="str">
        <f t="shared" si="3"/>
        <v/>
      </c>
      <c r="K44" t="b">
        <f t="shared" si="4"/>
        <v>1</v>
      </c>
      <c r="L44" t="str">
        <f t="shared" si="5"/>
        <v/>
      </c>
      <c r="M44" t="str">
        <f t="shared" si="6"/>
        <v/>
      </c>
      <c r="N44" t="str">
        <f t="shared" si="7"/>
        <v/>
      </c>
      <c r="O44" t="e">
        <f t="shared" si="8"/>
        <v>#N/A</v>
      </c>
    </row>
    <row r="45" spans="1:15" ht="13" x14ac:dyDescent="0.3">
      <c r="A45" s="4">
        <v>42</v>
      </c>
      <c r="B45" s="4">
        <f t="shared" si="0"/>
        <v>42</v>
      </c>
      <c r="C45" s="6"/>
      <c r="D45" s="22"/>
      <c r="E45" s="26"/>
      <c r="F45" s="4"/>
      <c r="G45" s="8" t="s">
        <v>72</v>
      </c>
      <c r="H45" t="str">
        <f t="shared" si="1"/>
        <v/>
      </c>
      <c r="I45" t="str">
        <f t="shared" si="2"/>
        <v/>
      </c>
      <c r="J45" t="str">
        <f t="shared" si="3"/>
        <v/>
      </c>
      <c r="K45" t="b">
        <f t="shared" si="4"/>
        <v>1</v>
      </c>
      <c r="L45" t="str">
        <f t="shared" si="5"/>
        <v/>
      </c>
      <c r="M45" t="str">
        <f t="shared" si="6"/>
        <v/>
      </c>
      <c r="N45" t="str">
        <f t="shared" si="7"/>
        <v/>
      </c>
      <c r="O45" t="e">
        <f t="shared" si="8"/>
        <v>#N/A</v>
      </c>
    </row>
    <row r="46" spans="1:15" ht="13" x14ac:dyDescent="0.3">
      <c r="A46" s="4">
        <v>43</v>
      </c>
      <c r="B46" s="4">
        <f t="shared" si="0"/>
        <v>43</v>
      </c>
      <c r="C46" s="6"/>
      <c r="D46" s="22"/>
      <c r="E46" s="26"/>
      <c r="F46" s="4"/>
      <c r="G46" s="8" t="s">
        <v>33</v>
      </c>
      <c r="H46" t="str">
        <f t="shared" si="1"/>
        <v/>
      </c>
      <c r="I46" t="str">
        <f t="shared" si="2"/>
        <v/>
      </c>
      <c r="J46" t="str">
        <f t="shared" si="3"/>
        <v/>
      </c>
      <c r="K46" t="b">
        <f t="shared" si="4"/>
        <v>1</v>
      </c>
      <c r="L46" t="str">
        <f t="shared" si="5"/>
        <v/>
      </c>
      <c r="M46" t="str">
        <f t="shared" si="6"/>
        <v/>
      </c>
      <c r="N46" t="str">
        <f t="shared" si="7"/>
        <v/>
      </c>
      <c r="O46" t="e">
        <f t="shared" si="8"/>
        <v>#N/A</v>
      </c>
    </row>
    <row r="47" spans="1:15" ht="13" x14ac:dyDescent="0.3">
      <c r="A47" s="4">
        <v>44</v>
      </c>
      <c r="B47" s="4">
        <f t="shared" si="0"/>
        <v>44</v>
      </c>
      <c r="C47" s="6"/>
      <c r="D47" s="22"/>
      <c r="E47" s="26"/>
      <c r="F47" s="4"/>
      <c r="G47" s="8" t="s">
        <v>73</v>
      </c>
      <c r="H47" t="str">
        <f t="shared" si="1"/>
        <v/>
      </c>
      <c r="I47" t="str">
        <f t="shared" si="2"/>
        <v/>
      </c>
      <c r="J47" t="str">
        <f t="shared" si="3"/>
        <v/>
      </c>
      <c r="K47" t="b">
        <f t="shared" si="4"/>
        <v>1</v>
      </c>
      <c r="L47" t="str">
        <f t="shared" si="5"/>
        <v/>
      </c>
      <c r="M47" t="str">
        <f t="shared" si="6"/>
        <v/>
      </c>
      <c r="N47" t="str">
        <f t="shared" si="7"/>
        <v/>
      </c>
      <c r="O47" t="e">
        <f t="shared" si="8"/>
        <v>#N/A</v>
      </c>
    </row>
    <row r="48" spans="1:15" ht="13" x14ac:dyDescent="0.3">
      <c r="A48" s="4">
        <v>45</v>
      </c>
      <c r="B48" s="4">
        <f t="shared" si="0"/>
        <v>45</v>
      </c>
      <c r="C48" s="6"/>
      <c r="D48" s="22"/>
      <c r="E48" s="26"/>
      <c r="F48" s="4"/>
      <c r="G48" s="8" t="s">
        <v>74</v>
      </c>
      <c r="H48" t="str">
        <f t="shared" si="1"/>
        <v/>
      </c>
      <c r="I48" t="str">
        <f t="shared" si="2"/>
        <v/>
      </c>
      <c r="J48" t="str">
        <f t="shared" si="3"/>
        <v/>
      </c>
      <c r="K48" t="b">
        <f t="shared" si="4"/>
        <v>1</v>
      </c>
      <c r="L48" t="str">
        <f t="shared" si="5"/>
        <v/>
      </c>
      <c r="M48" t="str">
        <f t="shared" si="6"/>
        <v/>
      </c>
      <c r="N48" t="str">
        <f t="shared" si="7"/>
        <v/>
      </c>
      <c r="O48" t="e">
        <f t="shared" si="8"/>
        <v>#N/A</v>
      </c>
    </row>
    <row r="49" spans="1:15" ht="13" x14ac:dyDescent="0.3">
      <c r="A49" s="4">
        <v>46</v>
      </c>
      <c r="B49" s="4">
        <f t="shared" si="0"/>
        <v>46</v>
      </c>
      <c r="C49" s="6"/>
      <c r="D49" s="22"/>
      <c r="E49" s="26"/>
      <c r="F49" s="4"/>
      <c r="G49" s="8" t="s">
        <v>75</v>
      </c>
      <c r="H49" t="str">
        <f t="shared" si="1"/>
        <v/>
      </c>
      <c r="I49" t="str">
        <f t="shared" si="2"/>
        <v/>
      </c>
      <c r="J49" t="str">
        <f t="shared" si="3"/>
        <v/>
      </c>
      <c r="K49" t="b">
        <f t="shared" si="4"/>
        <v>1</v>
      </c>
      <c r="L49" t="str">
        <f t="shared" si="5"/>
        <v/>
      </c>
      <c r="M49" t="str">
        <f t="shared" si="6"/>
        <v/>
      </c>
      <c r="N49" t="str">
        <f t="shared" si="7"/>
        <v/>
      </c>
      <c r="O49" t="e">
        <f t="shared" si="8"/>
        <v>#N/A</v>
      </c>
    </row>
    <row r="50" spans="1:15" ht="13" x14ac:dyDescent="0.3">
      <c r="A50" s="4">
        <v>47</v>
      </c>
      <c r="B50" s="4">
        <f t="shared" si="0"/>
        <v>47</v>
      </c>
      <c r="C50" s="6"/>
      <c r="D50" s="22"/>
      <c r="E50" s="26"/>
      <c r="F50" s="4"/>
      <c r="G50" s="8" t="s">
        <v>76</v>
      </c>
      <c r="H50" t="str">
        <f t="shared" si="1"/>
        <v/>
      </c>
      <c r="I50" t="str">
        <f t="shared" si="2"/>
        <v/>
      </c>
      <c r="J50" t="str">
        <f t="shared" si="3"/>
        <v/>
      </c>
      <c r="K50" t="b">
        <f t="shared" si="4"/>
        <v>1</v>
      </c>
      <c r="L50" t="str">
        <f t="shared" si="5"/>
        <v/>
      </c>
      <c r="M50" t="str">
        <f t="shared" si="6"/>
        <v/>
      </c>
      <c r="N50" t="str">
        <f t="shared" si="7"/>
        <v/>
      </c>
      <c r="O50" t="e">
        <f t="shared" si="8"/>
        <v>#N/A</v>
      </c>
    </row>
    <row r="51" spans="1:15" ht="13" x14ac:dyDescent="0.3">
      <c r="A51" s="4">
        <v>48</v>
      </c>
      <c r="B51" s="4">
        <f t="shared" si="0"/>
        <v>48</v>
      </c>
      <c r="C51" s="6"/>
      <c r="D51" s="22"/>
      <c r="E51" s="26"/>
      <c r="F51" s="4"/>
      <c r="G51" s="8" t="s">
        <v>43</v>
      </c>
      <c r="H51" t="str">
        <f t="shared" si="1"/>
        <v/>
      </c>
      <c r="I51" t="str">
        <f t="shared" si="2"/>
        <v/>
      </c>
      <c r="J51" t="str">
        <f t="shared" si="3"/>
        <v/>
      </c>
      <c r="K51" t="b">
        <f t="shared" si="4"/>
        <v>1</v>
      </c>
      <c r="L51" t="str">
        <f t="shared" si="5"/>
        <v/>
      </c>
      <c r="M51" t="str">
        <f t="shared" si="6"/>
        <v/>
      </c>
      <c r="N51" t="str">
        <f t="shared" si="7"/>
        <v/>
      </c>
      <c r="O51" t="e">
        <f t="shared" si="8"/>
        <v>#N/A</v>
      </c>
    </row>
    <row r="52" spans="1:15" ht="13" x14ac:dyDescent="0.3">
      <c r="A52" s="4">
        <v>49</v>
      </c>
      <c r="B52" s="4">
        <f t="shared" si="0"/>
        <v>49</v>
      </c>
      <c r="C52" s="6"/>
      <c r="D52" s="22"/>
      <c r="E52" s="26"/>
      <c r="F52" s="4"/>
      <c r="G52" s="8" t="s">
        <v>77</v>
      </c>
      <c r="H52" t="str">
        <f t="shared" si="1"/>
        <v/>
      </c>
      <c r="I52" t="str">
        <f t="shared" si="2"/>
        <v/>
      </c>
      <c r="J52" t="str">
        <f t="shared" si="3"/>
        <v/>
      </c>
      <c r="K52" t="b">
        <f t="shared" si="4"/>
        <v>1</v>
      </c>
      <c r="L52" t="str">
        <f t="shared" si="5"/>
        <v/>
      </c>
      <c r="M52" t="str">
        <f t="shared" si="6"/>
        <v/>
      </c>
      <c r="N52" t="str">
        <f t="shared" si="7"/>
        <v/>
      </c>
      <c r="O52" t="e">
        <f t="shared" si="8"/>
        <v>#N/A</v>
      </c>
    </row>
    <row r="53" spans="1:15" ht="13" x14ac:dyDescent="0.3">
      <c r="A53" s="4">
        <v>50</v>
      </c>
      <c r="B53" s="4">
        <f t="shared" si="0"/>
        <v>50</v>
      </c>
      <c r="C53" s="6"/>
      <c r="D53" s="22"/>
      <c r="E53" s="26"/>
      <c r="F53" s="4"/>
      <c r="G53" s="8" t="s">
        <v>78</v>
      </c>
      <c r="H53" t="str">
        <f t="shared" si="1"/>
        <v/>
      </c>
      <c r="I53" t="str">
        <f t="shared" si="2"/>
        <v/>
      </c>
      <c r="J53" t="str">
        <f t="shared" si="3"/>
        <v/>
      </c>
      <c r="K53" t="b">
        <f t="shared" si="4"/>
        <v>1</v>
      </c>
      <c r="L53" t="str">
        <f t="shared" si="5"/>
        <v/>
      </c>
      <c r="M53" t="str">
        <f t="shared" si="6"/>
        <v/>
      </c>
      <c r="N53" t="str">
        <f t="shared" si="7"/>
        <v/>
      </c>
      <c r="O53" t="e">
        <f t="shared" si="8"/>
        <v>#N/A</v>
      </c>
    </row>
    <row r="54" spans="1:15" ht="13" x14ac:dyDescent="0.3">
      <c r="A54" s="4">
        <v>51</v>
      </c>
      <c r="B54" s="4">
        <f t="shared" si="0"/>
        <v>51</v>
      </c>
      <c r="C54" s="6"/>
      <c r="D54" s="22"/>
      <c r="E54" s="26"/>
      <c r="F54" s="4"/>
      <c r="G54" s="8" t="s">
        <v>79</v>
      </c>
      <c r="H54" t="str">
        <f t="shared" si="1"/>
        <v/>
      </c>
      <c r="I54" t="str">
        <f t="shared" si="2"/>
        <v/>
      </c>
      <c r="J54" t="str">
        <f t="shared" si="3"/>
        <v/>
      </c>
      <c r="K54" t="b">
        <f t="shared" si="4"/>
        <v>1</v>
      </c>
      <c r="L54" t="str">
        <f t="shared" si="5"/>
        <v/>
      </c>
      <c r="M54" t="str">
        <f t="shared" si="6"/>
        <v/>
      </c>
      <c r="N54" t="str">
        <f t="shared" si="7"/>
        <v/>
      </c>
      <c r="O54" t="e">
        <f t="shared" si="8"/>
        <v>#N/A</v>
      </c>
    </row>
    <row r="55" spans="1:15" ht="13" x14ac:dyDescent="0.3">
      <c r="A55" s="4">
        <v>52</v>
      </c>
      <c r="B55" s="4">
        <f t="shared" si="0"/>
        <v>52</v>
      </c>
      <c r="C55" s="6"/>
      <c r="D55" s="22"/>
      <c r="E55" s="26"/>
      <c r="F55" s="4"/>
      <c r="G55" s="8" t="s">
        <v>80</v>
      </c>
      <c r="H55" t="str">
        <f t="shared" si="1"/>
        <v/>
      </c>
      <c r="I55" t="str">
        <f t="shared" si="2"/>
        <v/>
      </c>
      <c r="J55" t="str">
        <f t="shared" si="3"/>
        <v/>
      </c>
      <c r="K55" t="b">
        <f t="shared" si="4"/>
        <v>1</v>
      </c>
      <c r="L55" t="str">
        <f t="shared" si="5"/>
        <v/>
      </c>
      <c r="M55" t="str">
        <f t="shared" si="6"/>
        <v/>
      </c>
      <c r="N55" t="str">
        <f t="shared" si="7"/>
        <v/>
      </c>
      <c r="O55" t="e">
        <f t="shared" si="8"/>
        <v>#N/A</v>
      </c>
    </row>
    <row r="56" spans="1:15" ht="13" x14ac:dyDescent="0.3">
      <c r="A56" s="4">
        <v>53</v>
      </c>
      <c r="B56" s="4">
        <f t="shared" si="0"/>
        <v>53</v>
      </c>
      <c r="C56" s="6"/>
      <c r="D56" s="22"/>
      <c r="E56" s="26"/>
      <c r="F56" s="4"/>
      <c r="G56" s="8" t="s">
        <v>50</v>
      </c>
      <c r="H56" t="str">
        <f t="shared" si="1"/>
        <v/>
      </c>
      <c r="I56" t="str">
        <f t="shared" si="2"/>
        <v/>
      </c>
      <c r="J56" t="str">
        <f t="shared" si="3"/>
        <v/>
      </c>
      <c r="K56" t="b">
        <f t="shared" si="4"/>
        <v>1</v>
      </c>
      <c r="L56" t="str">
        <f t="shared" si="5"/>
        <v/>
      </c>
      <c r="M56" t="str">
        <f t="shared" si="6"/>
        <v/>
      </c>
      <c r="N56" t="str">
        <f t="shared" si="7"/>
        <v/>
      </c>
      <c r="O56" t="e">
        <f t="shared" si="8"/>
        <v>#N/A</v>
      </c>
    </row>
    <row r="57" spans="1:15" ht="13" x14ac:dyDescent="0.3">
      <c r="A57" s="4">
        <v>54</v>
      </c>
      <c r="B57" s="4">
        <f t="shared" si="0"/>
        <v>54</v>
      </c>
      <c r="C57" s="6"/>
      <c r="D57" s="22"/>
      <c r="E57" s="26"/>
      <c r="F57" s="4"/>
      <c r="G57" s="8" t="s">
        <v>81</v>
      </c>
      <c r="H57" t="str">
        <f t="shared" si="1"/>
        <v/>
      </c>
      <c r="I57" t="str">
        <f t="shared" si="2"/>
        <v/>
      </c>
      <c r="J57" t="str">
        <f t="shared" si="3"/>
        <v/>
      </c>
      <c r="K57" t="b">
        <f t="shared" si="4"/>
        <v>1</v>
      </c>
      <c r="L57" t="str">
        <f t="shared" si="5"/>
        <v/>
      </c>
      <c r="M57" t="str">
        <f t="shared" si="6"/>
        <v/>
      </c>
      <c r="N57" t="str">
        <f t="shared" si="7"/>
        <v/>
      </c>
      <c r="O57" t="e">
        <f t="shared" si="8"/>
        <v>#N/A</v>
      </c>
    </row>
    <row r="58" spans="1:15" ht="13" x14ac:dyDescent="0.3">
      <c r="A58" s="4">
        <v>55</v>
      </c>
      <c r="B58" s="4">
        <f t="shared" si="0"/>
        <v>55</v>
      </c>
      <c r="C58" s="6"/>
      <c r="D58" s="22"/>
      <c r="E58" s="26"/>
      <c r="F58" s="4"/>
      <c r="G58" s="8" t="s">
        <v>82</v>
      </c>
      <c r="H58" t="str">
        <f t="shared" si="1"/>
        <v/>
      </c>
      <c r="I58" t="str">
        <f t="shared" si="2"/>
        <v/>
      </c>
      <c r="J58" t="str">
        <f t="shared" si="3"/>
        <v/>
      </c>
      <c r="K58" t="b">
        <f t="shared" si="4"/>
        <v>1</v>
      </c>
      <c r="L58" t="str">
        <f t="shared" si="5"/>
        <v/>
      </c>
      <c r="M58" t="str">
        <f t="shared" si="6"/>
        <v/>
      </c>
      <c r="N58" t="str">
        <f t="shared" si="7"/>
        <v/>
      </c>
      <c r="O58" t="e">
        <f t="shared" si="8"/>
        <v>#N/A</v>
      </c>
    </row>
    <row r="59" spans="1:15" ht="13" x14ac:dyDescent="0.3">
      <c r="A59" s="4">
        <v>56</v>
      </c>
      <c r="B59" s="4">
        <f t="shared" si="0"/>
        <v>56</v>
      </c>
      <c r="C59" s="6"/>
      <c r="D59" s="22"/>
      <c r="E59" s="26"/>
      <c r="F59" s="4"/>
      <c r="G59" s="8" t="s">
        <v>83</v>
      </c>
      <c r="H59" t="str">
        <f t="shared" si="1"/>
        <v/>
      </c>
      <c r="I59" t="str">
        <f t="shared" si="2"/>
        <v/>
      </c>
      <c r="J59" t="str">
        <f t="shared" si="3"/>
        <v/>
      </c>
      <c r="K59" t="b">
        <f t="shared" si="4"/>
        <v>1</v>
      </c>
      <c r="L59" t="str">
        <f t="shared" si="5"/>
        <v/>
      </c>
      <c r="M59" t="str">
        <f t="shared" si="6"/>
        <v/>
      </c>
      <c r="N59" t="str">
        <f t="shared" si="7"/>
        <v/>
      </c>
      <c r="O59" t="e">
        <f t="shared" si="8"/>
        <v>#N/A</v>
      </c>
    </row>
    <row r="60" spans="1:15" ht="13" x14ac:dyDescent="0.3">
      <c r="A60" s="4">
        <v>57</v>
      </c>
      <c r="B60" s="4">
        <f t="shared" si="0"/>
        <v>57</v>
      </c>
      <c r="C60" s="6"/>
      <c r="D60" s="22"/>
      <c r="E60" s="26"/>
      <c r="F60" s="4"/>
      <c r="G60" s="8" t="s">
        <v>84</v>
      </c>
      <c r="H60" t="str">
        <f t="shared" si="1"/>
        <v/>
      </c>
      <c r="I60" t="str">
        <f t="shared" si="2"/>
        <v/>
      </c>
      <c r="J60" t="str">
        <f t="shared" si="3"/>
        <v/>
      </c>
      <c r="K60" t="b">
        <f t="shared" si="4"/>
        <v>1</v>
      </c>
      <c r="L60" t="str">
        <f t="shared" si="5"/>
        <v/>
      </c>
      <c r="M60" t="str">
        <f t="shared" si="6"/>
        <v/>
      </c>
      <c r="N60" t="str">
        <f t="shared" si="7"/>
        <v/>
      </c>
      <c r="O60" t="e">
        <f t="shared" si="8"/>
        <v>#N/A</v>
      </c>
    </row>
    <row r="61" spans="1:15" ht="13" x14ac:dyDescent="0.3">
      <c r="A61" s="4">
        <v>58</v>
      </c>
      <c r="B61" s="4">
        <f t="shared" si="0"/>
        <v>58</v>
      </c>
      <c r="C61" s="6"/>
      <c r="D61" s="22"/>
      <c r="E61" s="26"/>
      <c r="F61" s="4"/>
      <c r="G61" s="8" t="s">
        <v>55</v>
      </c>
      <c r="H61" t="str">
        <f t="shared" si="1"/>
        <v/>
      </c>
      <c r="I61" t="str">
        <f t="shared" si="2"/>
        <v/>
      </c>
      <c r="J61" t="str">
        <f t="shared" si="3"/>
        <v/>
      </c>
      <c r="K61" t="b">
        <f t="shared" si="4"/>
        <v>1</v>
      </c>
      <c r="L61" t="str">
        <f t="shared" si="5"/>
        <v/>
      </c>
      <c r="M61" t="str">
        <f t="shared" si="6"/>
        <v/>
      </c>
      <c r="N61" t="str">
        <f t="shared" si="7"/>
        <v/>
      </c>
      <c r="O61" t="e">
        <f t="shared" si="8"/>
        <v>#N/A</v>
      </c>
    </row>
    <row r="62" spans="1:15" ht="13" x14ac:dyDescent="0.3">
      <c r="A62" s="4">
        <v>59</v>
      </c>
      <c r="B62" s="4">
        <f t="shared" si="0"/>
        <v>59</v>
      </c>
      <c r="C62" s="6"/>
      <c r="D62" s="22"/>
      <c r="E62" s="26"/>
      <c r="F62" s="4"/>
      <c r="G62" s="8" t="s">
        <v>85</v>
      </c>
      <c r="H62" t="str">
        <f t="shared" si="1"/>
        <v/>
      </c>
      <c r="I62" t="str">
        <f t="shared" si="2"/>
        <v/>
      </c>
      <c r="J62" t="str">
        <f t="shared" si="3"/>
        <v/>
      </c>
      <c r="K62" t="b">
        <f t="shared" si="4"/>
        <v>1</v>
      </c>
      <c r="L62" t="str">
        <f t="shared" si="5"/>
        <v/>
      </c>
      <c r="M62" t="str">
        <f t="shared" si="6"/>
        <v/>
      </c>
      <c r="N62" t="str">
        <f t="shared" si="7"/>
        <v/>
      </c>
      <c r="O62" t="e">
        <f t="shared" si="8"/>
        <v>#N/A</v>
      </c>
    </row>
    <row r="63" spans="1:15" ht="13" x14ac:dyDescent="0.3">
      <c r="A63" s="4">
        <v>60</v>
      </c>
      <c r="B63" s="4">
        <f t="shared" si="0"/>
        <v>60</v>
      </c>
      <c r="C63" s="6"/>
      <c r="D63" s="22"/>
      <c r="E63" s="26"/>
      <c r="F63" s="4"/>
      <c r="G63" s="8" t="s">
        <v>86</v>
      </c>
      <c r="H63" t="str">
        <f t="shared" si="1"/>
        <v/>
      </c>
      <c r="I63" t="str">
        <f t="shared" si="2"/>
        <v/>
      </c>
      <c r="J63" t="str">
        <f t="shared" si="3"/>
        <v/>
      </c>
      <c r="K63" t="b">
        <f t="shared" si="4"/>
        <v>1</v>
      </c>
      <c r="L63" t="str">
        <f t="shared" si="5"/>
        <v/>
      </c>
      <c r="M63" t="str">
        <f t="shared" si="6"/>
        <v/>
      </c>
      <c r="N63" t="str">
        <f t="shared" si="7"/>
        <v/>
      </c>
      <c r="O63" t="e">
        <f t="shared" si="8"/>
        <v>#N/A</v>
      </c>
    </row>
    <row r="64" spans="1:15" ht="13" x14ac:dyDescent="0.3">
      <c r="A64" s="4">
        <v>61</v>
      </c>
      <c r="B64" s="4">
        <f t="shared" si="0"/>
        <v>61</v>
      </c>
      <c r="C64" s="6"/>
      <c r="D64" s="22"/>
      <c r="E64" s="26"/>
      <c r="F64" s="4"/>
      <c r="G64" s="8" t="s">
        <v>87</v>
      </c>
      <c r="H64" t="str">
        <f t="shared" si="1"/>
        <v/>
      </c>
      <c r="I64" t="str">
        <f t="shared" si="2"/>
        <v/>
      </c>
      <c r="J64" t="str">
        <f t="shared" si="3"/>
        <v/>
      </c>
      <c r="K64" t="b">
        <f t="shared" si="4"/>
        <v>1</v>
      </c>
      <c r="L64" t="str">
        <f t="shared" si="5"/>
        <v/>
      </c>
      <c r="M64" t="str">
        <f t="shared" si="6"/>
        <v/>
      </c>
      <c r="N64" t="str">
        <f t="shared" si="7"/>
        <v/>
      </c>
      <c r="O64" t="e">
        <f t="shared" si="8"/>
        <v>#N/A</v>
      </c>
    </row>
    <row r="65" spans="1:15" ht="13" x14ac:dyDescent="0.3">
      <c r="A65" s="4">
        <v>62</v>
      </c>
      <c r="B65" s="4">
        <f t="shared" si="0"/>
        <v>62</v>
      </c>
      <c r="C65" s="6"/>
      <c r="D65" s="22"/>
      <c r="E65" s="26"/>
      <c r="F65" s="4"/>
      <c r="G65" s="8" t="s">
        <v>88</v>
      </c>
      <c r="H65" t="str">
        <f t="shared" si="1"/>
        <v/>
      </c>
      <c r="I65" t="str">
        <f t="shared" si="2"/>
        <v/>
      </c>
      <c r="J65" t="str">
        <f t="shared" si="3"/>
        <v/>
      </c>
      <c r="K65" t="b">
        <f t="shared" si="4"/>
        <v>1</v>
      </c>
      <c r="L65" t="str">
        <f t="shared" si="5"/>
        <v/>
      </c>
      <c r="M65" t="str">
        <f t="shared" si="6"/>
        <v/>
      </c>
      <c r="N65" t="str">
        <f t="shared" si="7"/>
        <v/>
      </c>
      <c r="O65" t="e">
        <f t="shared" si="8"/>
        <v>#N/A</v>
      </c>
    </row>
    <row r="66" spans="1:15" ht="13" x14ac:dyDescent="0.3">
      <c r="A66" s="4">
        <v>63</v>
      </c>
      <c r="B66" s="4">
        <f t="shared" si="0"/>
        <v>63</v>
      </c>
      <c r="C66" s="6"/>
      <c r="D66" s="22"/>
      <c r="E66" s="26"/>
      <c r="F66" s="4"/>
      <c r="G66" s="8" t="s">
        <v>60</v>
      </c>
      <c r="H66" t="str">
        <f t="shared" si="1"/>
        <v/>
      </c>
      <c r="I66" t="str">
        <f t="shared" si="2"/>
        <v/>
      </c>
      <c r="J66" t="str">
        <f t="shared" si="3"/>
        <v/>
      </c>
      <c r="K66" t="b">
        <f t="shared" si="4"/>
        <v>1</v>
      </c>
      <c r="L66" t="str">
        <f t="shared" si="5"/>
        <v/>
      </c>
      <c r="M66" t="str">
        <f t="shared" si="6"/>
        <v/>
      </c>
      <c r="N66" t="str">
        <f t="shared" si="7"/>
        <v/>
      </c>
      <c r="O66" t="e">
        <f t="shared" si="8"/>
        <v>#N/A</v>
      </c>
    </row>
    <row r="67" spans="1:15" ht="13" x14ac:dyDescent="0.3">
      <c r="A67" s="4">
        <v>64</v>
      </c>
      <c r="B67" s="4">
        <f t="shared" si="0"/>
        <v>64</v>
      </c>
      <c r="C67" s="6"/>
      <c r="D67" s="22"/>
      <c r="E67" s="26"/>
      <c r="F67" s="4"/>
      <c r="G67" s="8" t="s">
        <v>89</v>
      </c>
      <c r="H67" t="str">
        <f t="shared" si="1"/>
        <v/>
      </c>
      <c r="I67" t="str">
        <f t="shared" si="2"/>
        <v/>
      </c>
      <c r="J67" t="str">
        <f t="shared" si="3"/>
        <v/>
      </c>
      <c r="K67" t="b">
        <f t="shared" si="4"/>
        <v>1</v>
      </c>
      <c r="L67" t="str">
        <f t="shared" si="5"/>
        <v/>
      </c>
      <c r="M67" t="str">
        <f t="shared" si="6"/>
        <v/>
      </c>
      <c r="N67" t="str">
        <f t="shared" si="7"/>
        <v/>
      </c>
      <c r="O67" t="e">
        <f t="shared" si="8"/>
        <v>#N/A</v>
      </c>
    </row>
    <row r="68" spans="1:15" ht="13" x14ac:dyDescent="0.3">
      <c r="A68" s="4">
        <v>65</v>
      </c>
      <c r="B68" s="4">
        <f t="shared" ref="B68:B104" si="9">IF(ISERROR(I68),"ERROR",A68)</f>
        <v>65</v>
      </c>
      <c r="C68" s="6"/>
      <c r="D68" s="22"/>
      <c r="E68" s="26"/>
      <c r="F68" s="4"/>
      <c r="G68" s="8" t="s">
        <v>90</v>
      </c>
      <c r="H68" t="str">
        <f t="shared" si="1"/>
        <v/>
      </c>
      <c r="I68" t="str">
        <f t="shared" si="2"/>
        <v/>
      </c>
      <c r="J68" t="str">
        <f t="shared" si="3"/>
        <v/>
      </c>
      <c r="K68" t="b">
        <f t="shared" si="4"/>
        <v>1</v>
      </c>
      <c r="L68" t="str">
        <f t="shared" si="5"/>
        <v/>
      </c>
      <c r="M68" t="str">
        <f t="shared" si="6"/>
        <v/>
      </c>
      <c r="N68" t="str">
        <f t="shared" si="7"/>
        <v/>
      </c>
      <c r="O68" t="e">
        <f t="shared" si="8"/>
        <v>#N/A</v>
      </c>
    </row>
    <row r="69" spans="1:15" ht="13" x14ac:dyDescent="0.3">
      <c r="A69" s="4">
        <v>66</v>
      </c>
      <c r="B69" s="4">
        <f t="shared" si="9"/>
        <v>66</v>
      </c>
      <c r="C69" s="6"/>
      <c r="D69" s="22"/>
      <c r="E69" s="26"/>
      <c r="F69" s="4"/>
      <c r="G69" s="8" t="s">
        <v>91</v>
      </c>
      <c r="H69" t="str">
        <f t="shared" ref="H69:H103" si="10">IF(ISERROR(O69),""," "&amp;O69)</f>
        <v/>
      </c>
      <c r="I69" t="str">
        <f t="shared" ref="I69:I104" si="11">IF(ISBLANK(D69),"",MATCH(D69,GradePlusses,0))</f>
        <v/>
      </c>
      <c r="J69" t="str">
        <f t="shared" ref="J69:J104" si="12">IF(ISERROR(I69),"",I69)</f>
        <v/>
      </c>
      <c r="K69" t="b">
        <f t="shared" ref="K69:K104" si="13">J69=""</f>
        <v>1</v>
      </c>
      <c r="L69" t="str">
        <f t="shared" ref="L69:L104" si="14">IF(K69,"",RANK(J69,RanksClean,1))</f>
        <v/>
      </c>
      <c r="M69" t="str">
        <f t="shared" ref="M69:M104" si="15">IF(K69,"",L69+(Epsilon*A69))</f>
        <v/>
      </c>
      <c r="N69" t="str">
        <f t="shared" ref="N69:N104" si="16">IF(K69,"",RANK(M69,TieBreakers,1))</f>
        <v/>
      </c>
      <c r="O69" t="e">
        <f t="shared" ref="O69:O104" si="17">INDEX(iTitles,MATCH(A69,Untied,0))</f>
        <v>#N/A</v>
      </c>
    </row>
    <row r="70" spans="1:15" ht="13" x14ac:dyDescent="0.3">
      <c r="A70" s="4">
        <v>67</v>
      </c>
      <c r="B70" s="4">
        <f t="shared" si="9"/>
        <v>67</v>
      </c>
      <c r="C70" s="6"/>
      <c r="D70" s="22"/>
      <c r="E70" s="26"/>
      <c r="F70" s="4"/>
      <c r="G70" s="8" t="s">
        <v>92</v>
      </c>
      <c r="H70" t="str">
        <f t="shared" si="10"/>
        <v/>
      </c>
      <c r="I70" t="str">
        <f t="shared" si="11"/>
        <v/>
      </c>
      <c r="J70" t="str">
        <f t="shared" si="12"/>
        <v/>
      </c>
      <c r="K70" t="b">
        <f t="shared" si="13"/>
        <v>1</v>
      </c>
      <c r="L70" t="str">
        <f t="shared" si="14"/>
        <v/>
      </c>
      <c r="M70" t="str">
        <f t="shared" si="15"/>
        <v/>
      </c>
      <c r="N70" t="str">
        <f t="shared" si="16"/>
        <v/>
      </c>
      <c r="O70" t="e">
        <f t="shared" si="17"/>
        <v>#N/A</v>
      </c>
    </row>
    <row r="71" spans="1:15" ht="13" x14ac:dyDescent="0.3">
      <c r="A71" s="4">
        <v>68</v>
      </c>
      <c r="B71" s="4">
        <f t="shared" si="9"/>
        <v>68</v>
      </c>
      <c r="C71" s="6"/>
      <c r="D71" s="22"/>
      <c r="E71" s="26"/>
      <c r="F71" s="4"/>
      <c r="G71" s="8"/>
      <c r="H71" t="str">
        <f t="shared" si="10"/>
        <v/>
      </c>
      <c r="I71" t="str">
        <f t="shared" si="11"/>
        <v/>
      </c>
      <c r="J71" t="str">
        <f t="shared" si="12"/>
        <v/>
      </c>
      <c r="K71" t="b">
        <f t="shared" si="13"/>
        <v>1</v>
      </c>
      <c r="L71" t="str">
        <f t="shared" si="14"/>
        <v/>
      </c>
      <c r="M71" t="str">
        <f t="shared" si="15"/>
        <v/>
      </c>
      <c r="N71" t="str">
        <f t="shared" si="16"/>
        <v/>
      </c>
      <c r="O71" t="e">
        <f t="shared" si="17"/>
        <v>#N/A</v>
      </c>
    </row>
    <row r="72" spans="1:15" ht="13" x14ac:dyDescent="0.3">
      <c r="A72" s="4">
        <v>69</v>
      </c>
      <c r="B72" s="4">
        <f t="shared" si="9"/>
        <v>69</v>
      </c>
      <c r="C72" s="6"/>
      <c r="D72" s="22"/>
      <c r="E72" s="26"/>
      <c r="F72" s="4"/>
      <c r="G72" s="8" t="s">
        <v>93</v>
      </c>
      <c r="H72" t="str">
        <f t="shared" si="10"/>
        <v/>
      </c>
      <c r="I72" t="str">
        <f t="shared" si="11"/>
        <v/>
      </c>
      <c r="J72" t="str">
        <f t="shared" si="12"/>
        <v/>
      </c>
      <c r="K72" t="b">
        <f t="shared" si="13"/>
        <v>1</v>
      </c>
      <c r="L72" t="str">
        <f t="shared" si="14"/>
        <v/>
      </c>
      <c r="M72" t="str">
        <f t="shared" si="15"/>
        <v/>
      </c>
      <c r="N72" t="str">
        <f t="shared" si="16"/>
        <v/>
      </c>
      <c r="O72" t="e">
        <f t="shared" si="17"/>
        <v>#N/A</v>
      </c>
    </row>
    <row r="73" spans="1:15" ht="13" x14ac:dyDescent="0.3">
      <c r="A73" s="4">
        <v>70</v>
      </c>
      <c r="B73" s="4">
        <f t="shared" si="9"/>
        <v>70</v>
      </c>
      <c r="C73" s="6"/>
      <c r="D73" s="22"/>
      <c r="E73" s="26"/>
      <c r="F73" s="4"/>
      <c r="G73" s="9" t="s">
        <v>94</v>
      </c>
      <c r="H73" t="str">
        <f t="shared" si="10"/>
        <v/>
      </c>
      <c r="I73" t="str">
        <f t="shared" si="11"/>
        <v/>
      </c>
      <c r="J73" t="str">
        <f t="shared" si="12"/>
        <v/>
      </c>
      <c r="K73" t="b">
        <f t="shared" si="13"/>
        <v>1</v>
      </c>
      <c r="L73" t="str">
        <f t="shared" si="14"/>
        <v/>
      </c>
      <c r="M73" t="str">
        <f t="shared" si="15"/>
        <v/>
      </c>
      <c r="N73" t="str">
        <f t="shared" si="16"/>
        <v/>
      </c>
      <c r="O73" t="e">
        <f t="shared" si="17"/>
        <v>#N/A</v>
      </c>
    </row>
    <row r="74" spans="1:15" ht="13" x14ac:dyDescent="0.3">
      <c r="A74" s="4">
        <v>71</v>
      </c>
      <c r="B74" s="4">
        <f t="shared" si="9"/>
        <v>71</v>
      </c>
      <c r="C74" s="6"/>
      <c r="D74" s="22"/>
      <c r="E74" s="26"/>
      <c r="F74" s="4"/>
      <c r="H74" t="str">
        <f t="shared" si="10"/>
        <v/>
      </c>
      <c r="I74" t="str">
        <f t="shared" si="11"/>
        <v/>
      </c>
      <c r="J74" t="str">
        <f t="shared" si="12"/>
        <v/>
      </c>
      <c r="K74" t="b">
        <f t="shared" si="13"/>
        <v>1</v>
      </c>
      <c r="L74" t="str">
        <f t="shared" si="14"/>
        <v/>
      </c>
      <c r="M74" t="str">
        <f t="shared" si="15"/>
        <v/>
      </c>
      <c r="N74" t="str">
        <f t="shared" si="16"/>
        <v/>
      </c>
      <c r="O74" t="e">
        <f t="shared" si="17"/>
        <v>#N/A</v>
      </c>
    </row>
    <row r="75" spans="1:15" ht="13" x14ac:dyDescent="0.3">
      <c r="A75" s="4">
        <v>72</v>
      </c>
      <c r="B75" s="4">
        <f t="shared" si="9"/>
        <v>72</v>
      </c>
      <c r="C75" s="6"/>
      <c r="D75" s="22"/>
      <c r="E75" s="26"/>
      <c r="F75" s="4"/>
      <c r="H75" t="str">
        <f t="shared" si="10"/>
        <v/>
      </c>
      <c r="I75" t="str">
        <f t="shared" si="11"/>
        <v/>
      </c>
      <c r="J75" t="str">
        <f t="shared" si="12"/>
        <v/>
      </c>
      <c r="K75" t="b">
        <f t="shared" si="13"/>
        <v>1</v>
      </c>
      <c r="L75" t="str">
        <f t="shared" si="14"/>
        <v/>
      </c>
      <c r="M75" t="str">
        <f t="shared" si="15"/>
        <v/>
      </c>
      <c r="N75" t="str">
        <f t="shared" si="16"/>
        <v/>
      </c>
      <c r="O75" t="e">
        <f t="shared" si="17"/>
        <v>#N/A</v>
      </c>
    </row>
    <row r="76" spans="1:15" ht="13" x14ac:dyDescent="0.3">
      <c r="A76" s="4">
        <v>73</v>
      </c>
      <c r="B76" s="4">
        <f t="shared" si="9"/>
        <v>73</v>
      </c>
      <c r="C76" s="6"/>
      <c r="D76" s="22"/>
      <c r="E76" s="26"/>
      <c r="F76" s="4"/>
      <c r="H76" t="str">
        <f t="shared" si="10"/>
        <v/>
      </c>
      <c r="I76" t="str">
        <f t="shared" si="11"/>
        <v/>
      </c>
      <c r="J76" t="str">
        <f t="shared" si="12"/>
        <v/>
      </c>
      <c r="K76" t="b">
        <f t="shared" si="13"/>
        <v>1</v>
      </c>
      <c r="L76" t="str">
        <f t="shared" si="14"/>
        <v/>
      </c>
      <c r="M76" t="str">
        <f t="shared" si="15"/>
        <v/>
      </c>
      <c r="N76" t="str">
        <f t="shared" si="16"/>
        <v/>
      </c>
      <c r="O76" t="e">
        <f t="shared" si="17"/>
        <v>#N/A</v>
      </c>
    </row>
    <row r="77" spans="1:15" ht="13" x14ac:dyDescent="0.3">
      <c r="A77" s="4">
        <v>74</v>
      </c>
      <c r="B77" s="4">
        <f t="shared" si="9"/>
        <v>74</v>
      </c>
      <c r="C77" s="6"/>
      <c r="D77" s="22"/>
      <c r="E77" s="26"/>
      <c r="F77" s="4"/>
      <c r="H77" t="str">
        <f t="shared" si="10"/>
        <v/>
      </c>
      <c r="I77" t="str">
        <f t="shared" si="11"/>
        <v/>
      </c>
      <c r="J77" t="str">
        <f t="shared" si="12"/>
        <v/>
      </c>
      <c r="K77" t="b">
        <f t="shared" si="13"/>
        <v>1</v>
      </c>
      <c r="L77" t="str">
        <f t="shared" si="14"/>
        <v/>
      </c>
      <c r="M77" t="str">
        <f t="shared" si="15"/>
        <v/>
      </c>
      <c r="N77" t="str">
        <f t="shared" si="16"/>
        <v/>
      </c>
      <c r="O77" t="e">
        <f t="shared" si="17"/>
        <v>#N/A</v>
      </c>
    </row>
    <row r="78" spans="1:15" ht="13" x14ac:dyDescent="0.3">
      <c r="A78" s="4">
        <v>75</v>
      </c>
      <c r="B78" s="4">
        <f t="shared" si="9"/>
        <v>75</v>
      </c>
      <c r="C78" s="6"/>
      <c r="D78" s="22"/>
      <c r="E78" s="26"/>
      <c r="F78" s="4"/>
      <c r="H78" t="str">
        <f t="shared" si="10"/>
        <v/>
      </c>
      <c r="I78" t="str">
        <f t="shared" si="11"/>
        <v/>
      </c>
      <c r="J78" t="str">
        <f t="shared" si="12"/>
        <v/>
      </c>
      <c r="K78" t="b">
        <f t="shared" si="13"/>
        <v>1</v>
      </c>
      <c r="L78" t="str">
        <f t="shared" si="14"/>
        <v/>
      </c>
      <c r="M78" t="str">
        <f t="shared" si="15"/>
        <v/>
      </c>
      <c r="N78" t="str">
        <f t="shared" si="16"/>
        <v/>
      </c>
      <c r="O78" t="e">
        <f t="shared" si="17"/>
        <v>#N/A</v>
      </c>
    </row>
    <row r="79" spans="1:15" ht="13" x14ac:dyDescent="0.3">
      <c r="A79" s="4">
        <v>76</v>
      </c>
      <c r="B79" s="4">
        <f t="shared" si="9"/>
        <v>76</v>
      </c>
      <c r="C79" s="6"/>
      <c r="D79" s="22"/>
      <c r="E79" s="26"/>
      <c r="F79" s="4"/>
      <c r="H79" t="str">
        <f t="shared" si="10"/>
        <v/>
      </c>
      <c r="I79" t="str">
        <f t="shared" si="11"/>
        <v/>
      </c>
      <c r="J79" t="str">
        <f t="shared" si="12"/>
        <v/>
      </c>
      <c r="K79" t="b">
        <f t="shared" si="13"/>
        <v>1</v>
      </c>
      <c r="L79" t="str">
        <f t="shared" si="14"/>
        <v/>
      </c>
      <c r="M79" t="str">
        <f t="shared" si="15"/>
        <v/>
      </c>
      <c r="N79" t="str">
        <f t="shared" si="16"/>
        <v/>
      </c>
      <c r="O79" t="e">
        <f t="shared" si="17"/>
        <v>#N/A</v>
      </c>
    </row>
    <row r="80" spans="1:15" ht="13" x14ac:dyDescent="0.3">
      <c r="A80" s="4">
        <v>77</v>
      </c>
      <c r="B80" s="4">
        <f t="shared" si="9"/>
        <v>77</v>
      </c>
      <c r="C80" s="6"/>
      <c r="D80" s="22"/>
      <c r="E80" s="26"/>
      <c r="F80" s="4"/>
      <c r="H80" t="str">
        <f t="shared" si="10"/>
        <v/>
      </c>
      <c r="I80" t="str">
        <f t="shared" si="11"/>
        <v/>
      </c>
      <c r="J80" t="str">
        <f t="shared" si="12"/>
        <v/>
      </c>
      <c r="K80" t="b">
        <f t="shared" si="13"/>
        <v>1</v>
      </c>
      <c r="L80" t="str">
        <f t="shared" si="14"/>
        <v/>
      </c>
      <c r="M80" t="str">
        <f t="shared" si="15"/>
        <v/>
      </c>
      <c r="N80" t="str">
        <f t="shared" si="16"/>
        <v/>
      </c>
      <c r="O80" t="e">
        <f t="shared" si="17"/>
        <v>#N/A</v>
      </c>
    </row>
    <row r="81" spans="1:15" ht="13" x14ac:dyDescent="0.3">
      <c r="A81" s="4">
        <v>78</v>
      </c>
      <c r="B81" s="4">
        <f t="shared" si="9"/>
        <v>78</v>
      </c>
      <c r="C81" s="6"/>
      <c r="D81" s="22"/>
      <c r="E81" s="26"/>
      <c r="F81" s="4"/>
      <c r="H81" t="str">
        <f t="shared" si="10"/>
        <v/>
      </c>
      <c r="I81" t="str">
        <f t="shared" si="11"/>
        <v/>
      </c>
      <c r="J81" t="str">
        <f t="shared" si="12"/>
        <v/>
      </c>
      <c r="K81" t="b">
        <f t="shared" si="13"/>
        <v>1</v>
      </c>
      <c r="L81" t="str">
        <f t="shared" si="14"/>
        <v/>
      </c>
      <c r="M81" t="str">
        <f t="shared" si="15"/>
        <v/>
      </c>
      <c r="N81" t="str">
        <f t="shared" si="16"/>
        <v/>
      </c>
      <c r="O81" t="e">
        <f t="shared" si="17"/>
        <v>#N/A</v>
      </c>
    </row>
    <row r="82" spans="1:15" ht="13" x14ac:dyDescent="0.3">
      <c r="A82" s="4">
        <v>79</v>
      </c>
      <c r="B82" s="4">
        <f t="shared" si="9"/>
        <v>79</v>
      </c>
      <c r="C82" s="6"/>
      <c r="D82" s="22"/>
      <c r="E82" s="26"/>
      <c r="F82" s="4"/>
      <c r="H82" t="str">
        <f t="shared" si="10"/>
        <v/>
      </c>
      <c r="I82" t="str">
        <f t="shared" si="11"/>
        <v/>
      </c>
      <c r="J82" t="str">
        <f t="shared" si="12"/>
        <v/>
      </c>
      <c r="K82" t="b">
        <f t="shared" si="13"/>
        <v>1</v>
      </c>
      <c r="L82" t="str">
        <f t="shared" si="14"/>
        <v/>
      </c>
      <c r="M82" t="str">
        <f t="shared" si="15"/>
        <v/>
      </c>
      <c r="N82" t="str">
        <f t="shared" si="16"/>
        <v/>
      </c>
      <c r="O82" t="e">
        <f t="shared" si="17"/>
        <v>#N/A</v>
      </c>
    </row>
    <row r="83" spans="1:15" ht="13" x14ac:dyDescent="0.3">
      <c r="A83" s="4">
        <v>80</v>
      </c>
      <c r="B83" s="4">
        <f t="shared" si="9"/>
        <v>80</v>
      </c>
      <c r="C83" s="6"/>
      <c r="D83" s="22"/>
      <c r="E83" s="26"/>
      <c r="F83" s="4"/>
      <c r="H83" t="str">
        <f t="shared" si="10"/>
        <v/>
      </c>
      <c r="I83" t="str">
        <f t="shared" si="11"/>
        <v/>
      </c>
      <c r="J83" t="str">
        <f t="shared" si="12"/>
        <v/>
      </c>
      <c r="K83" t="b">
        <f t="shared" si="13"/>
        <v>1</v>
      </c>
      <c r="L83" t="str">
        <f t="shared" si="14"/>
        <v/>
      </c>
      <c r="M83" t="str">
        <f t="shared" si="15"/>
        <v/>
      </c>
      <c r="N83" t="str">
        <f t="shared" si="16"/>
        <v/>
      </c>
      <c r="O83" t="e">
        <f t="shared" si="17"/>
        <v>#N/A</v>
      </c>
    </row>
    <row r="84" spans="1:15" ht="13" x14ac:dyDescent="0.3">
      <c r="A84" s="4">
        <v>81</v>
      </c>
      <c r="B84" s="4">
        <f t="shared" si="9"/>
        <v>81</v>
      </c>
      <c r="C84" s="6"/>
      <c r="D84" s="22"/>
      <c r="E84" s="26"/>
      <c r="F84" s="4"/>
      <c r="H84" t="str">
        <f t="shared" si="10"/>
        <v/>
      </c>
      <c r="I84" t="str">
        <f t="shared" si="11"/>
        <v/>
      </c>
      <c r="J84" t="str">
        <f t="shared" si="12"/>
        <v/>
      </c>
      <c r="K84" t="b">
        <f t="shared" si="13"/>
        <v>1</v>
      </c>
      <c r="L84" t="str">
        <f t="shared" si="14"/>
        <v/>
      </c>
      <c r="M84" t="str">
        <f t="shared" si="15"/>
        <v/>
      </c>
      <c r="N84" t="str">
        <f t="shared" si="16"/>
        <v/>
      </c>
      <c r="O84" t="e">
        <f t="shared" si="17"/>
        <v>#N/A</v>
      </c>
    </row>
    <row r="85" spans="1:15" ht="13" x14ac:dyDescent="0.3">
      <c r="A85" s="4">
        <v>82</v>
      </c>
      <c r="B85" s="4">
        <f t="shared" si="9"/>
        <v>82</v>
      </c>
      <c r="C85" s="6"/>
      <c r="D85" s="22"/>
      <c r="E85" s="26"/>
      <c r="F85" s="4"/>
      <c r="H85" t="str">
        <f t="shared" si="10"/>
        <v/>
      </c>
      <c r="I85" t="str">
        <f t="shared" si="11"/>
        <v/>
      </c>
      <c r="J85" t="str">
        <f t="shared" si="12"/>
        <v/>
      </c>
      <c r="K85" t="b">
        <f t="shared" si="13"/>
        <v>1</v>
      </c>
      <c r="L85" t="str">
        <f t="shared" si="14"/>
        <v/>
      </c>
      <c r="M85" t="str">
        <f t="shared" si="15"/>
        <v/>
      </c>
      <c r="N85" t="str">
        <f t="shared" si="16"/>
        <v/>
      </c>
      <c r="O85" t="e">
        <f t="shared" si="17"/>
        <v>#N/A</v>
      </c>
    </row>
    <row r="86" spans="1:15" ht="13" x14ac:dyDescent="0.3">
      <c r="A86" s="4">
        <v>83</v>
      </c>
      <c r="B86" s="4">
        <f t="shared" si="9"/>
        <v>83</v>
      </c>
      <c r="C86" s="6"/>
      <c r="D86" s="22"/>
      <c r="E86" s="26"/>
      <c r="F86" s="4"/>
      <c r="H86" t="str">
        <f t="shared" si="10"/>
        <v/>
      </c>
      <c r="I86" t="str">
        <f t="shared" si="11"/>
        <v/>
      </c>
      <c r="J86" t="str">
        <f t="shared" si="12"/>
        <v/>
      </c>
      <c r="K86" t="b">
        <f t="shared" si="13"/>
        <v>1</v>
      </c>
      <c r="L86" t="str">
        <f t="shared" si="14"/>
        <v/>
      </c>
      <c r="M86" t="str">
        <f t="shared" si="15"/>
        <v/>
      </c>
      <c r="N86" t="str">
        <f t="shared" si="16"/>
        <v/>
      </c>
      <c r="O86" t="e">
        <f t="shared" si="17"/>
        <v>#N/A</v>
      </c>
    </row>
    <row r="87" spans="1:15" ht="13" x14ac:dyDescent="0.3">
      <c r="A87" s="4">
        <v>84</v>
      </c>
      <c r="B87" s="4">
        <f t="shared" si="9"/>
        <v>84</v>
      </c>
      <c r="C87" s="6"/>
      <c r="D87" s="22"/>
      <c r="E87" s="26"/>
      <c r="F87" s="4"/>
      <c r="H87" t="str">
        <f t="shared" si="10"/>
        <v/>
      </c>
      <c r="I87" t="str">
        <f t="shared" si="11"/>
        <v/>
      </c>
      <c r="J87" t="str">
        <f t="shared" si="12"/>
        <v/>
      </c>
      <c r="K87" t="b">
        <f t="shared" si="13"/>
        <v>1</v>
      </c>
      <c r="L87" t="str">
        <f t="shared" si="14"/>
        <v/>
      </c>
      <c r="M87" t="str">
        <f t="shared" si="15"/>
        <v/>
      </c>
      <c r="N87" t="str">
        <f t="shared" si="16"/>
        <v/>
      </c>
      <c r="O87" t="e">
        <f t="shared" si="17"/>
        <v>#N/A</v>
      </c>
    </row>
    <row r="88" spans="1:15" ht="13" x14ac:dyDescent="0.3">
      <c r="A88" s="4">
        <v>85</v>
      </c>
      <c r="B88" s="4">
        <f t="shared" si="9"/>
        <v>85</v>
      </c>
      <c r="C88" s="6"/>
      <c r="D88" s="22"/>
      <c r="E88" s="26"/>
      <c r="F88" s="4"/>
      <c r="H88" t="str">
        <f t="shared" si="10"/>
        <v/>
      </c>
      <c r="I88" t="str">
        <f t="shared" si="11"/>
        <v/>
      </c>
      <c r="J88" t="str">
        <f t="shared" si="12"/>
        <v/>
      </c>
      <c r="K88" t="b">
        <f t="shared" si="13"/>
        <v>1</v>
      </c>
      <c r="L88" t="str">
        <f t="shared" si="14"/>
        <v/>
      </c>
      <c r="M88" t="str">
        <f t="shared" si="15"/>
        <v/>
      </c>
      <c r="N88" t="str">
        <f t="shared" si="16"/>
        <v/>
      </c>
      <c r="O88" t="e">
        <f t="shared" si="17"/>
        <v>#N/A</v>
      </c>
    </row>
    <row r="89" spans="1:15" ht="13" x14ac:dyDescent="0.3">
      <c r="A89" s="4">
        <v>86</v>
      </c>
      <c r="B89" s="4">
        <f t="shared" si="9"/>
        <v>86</v>
      </c>
      <c r="C89" s="6"/>
      <c r="D89" s="22"/>
      <c r="E89" s="26"/>
      <c r="F89" s="4"/>
      <c r="H89" t="str">
        <f t="shared" si="10"/>
        <v/>
      </c>
      <c r="I89" t="str">
        <f t="shared" si="11"/>
        <v/>
      </c>
      <c r="J89" t="str">
        <f t="shared" si="12"/>
        <v/>
      </c>
      <c r="K89" t="b">
        <f t="shared" si="13"/>
        <v>1</v>
      </c>
      <c r="L89" t="str">
        <f t="shared" si="14"/>
        <v/>
      </c>
      <c r="M89" t="str">
        <f t="shared" si="15"/>
        <v/>
      </c>
      <c r="N89" t="str">
        <f t="shared" si="16"/>
        <v/>
      </c>
      <c r="O89" t="e">
        <f t="shared" si="17"/>
        <v>#N/A</v>
      </c>
    </row>
    <row r="90" spans="1:15" ht="13" x14ac:dyDescent="0.3">
      <c r="A90" s="4">
        <v>87</v>
      </c>
      <c r="B90" s="4">
        <f t="shared" si="9"/>
        <v>87</v>
      </c>
      <c r="C90" s="6"/>
      <c r="D90" s="22"/>
      <c r="E90" s="26"/>
      <c r="F90" s="4"/>
      <c r="H90" t="str">
        <f t="shared" si="10"/>
        <v/>
      </c>
      <c r="I90" t="str">
        <f t="shared" si="11"/>
        <v/>
      </c>
      <c r="J90" t="str">
        <f t="shared" si="12"/>
        <v/>
      </c>
      <c r="K90" t="b">
        <f t="shared" si="13"/>
        <v>1</v>
      </c>
      <c r="L90" t="str">
        <f t="shared" si="14"/>
        <v/>
      </c>
      <c r="M90" t="str">
        <f t="shared" si="15"/>
        <v/>
      </c>
      <c r="N90" t="str">
        <f t="shared" si="16"/>
        <v/>
      </c>
      <c r="O90" t="e">
        <f t="shared" si="17"/>
        <v>#N/A</v>
      </c>
    </row>
    <row r="91" spans="1:15" ht="13" x14ac:dyDescent="0.3">
      <c r="A91" s="4">
        <v>88</v>
      </c>
      <c r="B91" s="4">
        <f t="shared" si="9"/>
        <v>88</v>
      </c>
      <c r="C91" s="6"/>
      <c r="D91" s="22"/>
      <c r="E91" s="26"/>
      <c r="F91" s="4"/>
      <c r="H91" t="str">
        <f t="shared" si="10"/>
        <v/>
      </c>
      <c r="I91" t="str">
        <f t="shared" si="11"/>
        <v/>
      </c>
      <c r="J91" t="str">
        <f t="shared" si="12"/>
        <v/>
      </c>
      <c r="K91" t="b">
        <f t="shared" si="13"/>
        <v>1</v>
      </c>
      <c r="L91" t="str">
        <f t="shared" si="14"/>
        <v/>
      </c>
      <c r="M91" t="str">
        <f t="shared" si="15"/>
        <v/>
      </c>
      <c r="N91" t="str">
        <f t="shared" si="16"/>
        <v/>
      </c>
      <c r="O91" t="e">
        <f t="shared" si="17"/>
        <v>#N/A</v>
      </c>
    </row>
    <row r="92" spans="1:15" ht="13" x14ac:dyDescent="0.3">
      <c r="A92" s="4">
        <v>89</v>
      </c>
      <c r="B92" s="4">
        <f t="shared" si="9"/>
        <v>89</v>
      </c>
      <c r="C92" s="6"/>
      <c r="D92" s="22"/>
      <c r="E92" s="26"/>
      <c r="F92" s="4"/>
      <c r="H92" t="str">
        <f t="shared" si="10"/>
        <v/>
      </c>
      <c r="I92" t="str">
        <f t="shared" si="11"/>
        <v/>
      </c>
      <c r="J92" t="str">
        <f t="shared" si="12"/>
        <v/>
      </c>
      <c r="K92" t="b">
        <f t="shared" si="13"/>
        <v>1</v>
      </c>
      <c r="L92" t="str">
        <f t="shared" si="14"/>
        <v/>
      </c>
      <c r="M92" t="str">
        <f t="shared" si="15"/>
        <v/>
      </c>
      <c r="N92" t="str">
        <f t="shared" si="16"/>
        <v/>
      </c>
      <c r="O92" t="e">
        <f t="shared" si="17"/>
        <v>#N/A</v>
      </c>
    </row>
    <row r="93" spans="1:15" ht="13" x14ac:dyDescent="0.3">
      <c r="A93" s="4">
        <v>90</v>
      </c>
      <c r="B93" s="4">
        <f t="shared" si="9"/>
        <v>90</v>
      </c>
      <c r="C93" s="6"/>
      <c r="D93" s="22"/>
      <c r="E93" s="26"/>
      <c r="F93" s="4"/>
      <c r="H93" t="str">
        <f t="shared" si="10"/>
        <v/>
      </c>
      <c r="I93" t="str">
        <f t="shared" si="11"/>
        <v/>
      </c>
      <c r="J93" t="str">
        <f t="shared" si="12"/>
        <v/>
      </c>
      <c r="K93" t="b">
        <f t="shared" si="13"/>
        <v>1</v>
      </c>
      <c r="L93" t="str">
        <f t="shared" si="14"/>
        <v/>
      </c>
      <c r="M93" t="str">
        <f t="shared" si="15"/>
        <v/>
      </c>
      <c r="N93" t="str">
        <f t="shared" si="16"/>
        <v/>
      </c>
      <c r="O93" t="e">
        <f t="shared" si="17"/>
        <v>#N/A</v>
      </c>
    </row>
    <row r="94" spans="1:15" ht="13" x14ac:dyDescent="0.3">
      <c r="A94" s="4">
        <v>91</v>
      </c>
      <c r="B94" s="4">
        <f t="shared" si="9"/>
        <v>91</v>
      </c>
      <c r="C94" s="6"/>
      <c r="D94" s="22"/>
      <c r="E94" s="26"/>
      <c r="F94" s="4"/>
      <c r="H94" t="str">
        <f t="shared" si="10"/>
        <v/>
      </c>
      <c r="I94" t="str">
        <f t="shared" si="11"/>
        <v/>
      </c>
      <c r="J94" t="str">
        <f t="shared" si="12"/>
        <v/>
      </c>
      <c r="K94" t="b">
        <f t="shared" si="13"/>
        <v>1</v>
      </c>
      <c r="L94" t="str">
        <f t="shared" si="14"/>
        <v/>
      </c>
      <c r="M94" t="str">
        <f t="shared" si="15"/>
        <v/>
      </c>
      <c r="N94" t="str">
        <f t="shared" si="16"/>
        <v/>
      </c>
      <c r="O94" t="e">
        <f t="shared" si="17"/>
        <v>#N/A</v>
      </c>
    </row>
    <row r="95" spans="1:15" ht="13" x14ac:dyDescent="0.3">
      <c r="A95" s="4">
        <v>92</v>
      </c>
      <c r="B95" s="4">
        <f t="shared" si="9"/>
        <v>92</v>
      </c>
      <c r="C95" s="6"/>
      <c r="D95" s="22"/>
      <c r="E95" s="26"/>
      <c r="F95" s="4"/>
      <c r="H95" t="str">
        <f t="shared" si="10"/>
        <v/>
      </c>
      <c r="I95" t="str">
        <f t="shared" si="11"/>
        <v/>
      </c>
      <c r="J95" t="str">
        <f t="shared" si="12"/>
        <v/>
      </c>
      <c r="K95" t="b">
        <f t="shared" si="13"/>
        <v>1</v>
      </c>
      <c r="L95" t="str">
        <f t="shared" si="14"/>
        <v/>
      </c>
      <c r="M95" t="str">
        <f t="shared" si="15"/>
        <v/>
      </c>
      <c r="N95" t="str">
        <f t="shared" si="16"/>
        <v/>
      </c>
      <c r="O95" t="e">
        <f t="shared" si="17"/>
        <v>#N/A</v>
      </c>
    </row>
    <row r="96" spans="1:15" ht="13" x14ac:dyDescent="0.3">
      <c r="A96" s="4">
        <v>93</v>
      </c>
      <c r="B96" s="4">
        <f t="shared" si="9"/>
        <v>93</v>
      </c>
      <c r="C96" s="6"/>
      <c r="D96" s="22"/>
      <c r="E96" s="26"/>
      <c r="F96" s="4"/>
      <c r="H96" t="str">
        <f t="shared" si="10"/>
        <v/>
      </c>
      <c r="I96" t="str">
        <f t="shared" si="11"/>
        <v/>
      </c>
      <c r="J96" t="str">
        <f t="shared" si="12"/>
        <v/>
      </c>
      <c r="K96" t="b">
        <f t="shared" si="13"/>
        <v>1</v>
      </c>
      <c r="L96" t="str">
        <f t="shared" si="14"/>
        <v/>
      </c>
      <c r="M96" t="str">
        <f t="shared" si="15"/>
        <v/>
      </c>
      <c r="N96" t="str">
        <f t="shared" si="16"/>
        <v/>
      </c>
      <c r="O96" t="e">
        <f t="shared" si="17"/>
        <v>#N/A</v>
      </c>
    </row>
    <row r="97" spans="1:15" ht="13" x14ac:dyDescent="0.3">
      <c r="A97" s="4">
        <v>94</v>
      </c>
      <c r="B97" s="4">
        <f t="shared" si="9"/>
        <v>94</v>
      </c>
      <c r="C97" s="6"/>
      <c r="D97" s="22"/>
      <c r="E97" s="26"/>
      <c r="F97" s="4"/>
      <c r="H97" t="str">
        <f t="shared" si="10"/>
        <v/>
      </c>
      <c r="I97" t="str">
        <f t="shared" si="11"/>
        <v/>
      </c>
      <c r="J97" t="str">
        <f t="shared" si="12"/>
        <v/>
      </c>
      <c r="K97" t="b">
        <f t="shared" si="13"/>
        <v>1</v>
      </c>
      <c r="L97" t="str">
        <f t="shared" si="14"/>
        <v/>
      </c>
      <c r="M97" t="str">
        <f t="shared" si="15"/>
        <v/>
      </c>
      <c r="N97" t="str">
        <f t="shared" si="16"/>
        <v/>
      </c>
      <c r="O97" t="e">
        <f t="shared" si="17"/>
        <v>#N/A</v>
      </c>
    </row>
    <row r="98" spans="1:15" ht="13" x14ac:dyDescent="0.3">
      <c r="A98" s="4">
        <v>95</v>
      </c>
      <c r="B98" s="4">
        <f t="shared" si="9"/>
        <v>95</v>
      </c>
      <c r="C98" s="6"/>
      <c r="D98" s="22"/>
      <c r="E98" s="26"/>
      <c r="F98" s="4"/>
      <c r="H98" t="str">
        <f t="shared" si="10"/>
        <v/>
      </c>
      <c r="I98" t="str">
        <f t="shared" si="11"/>
        <v/>
      </c>
      <c r="J98" t="str">
        <f t="shared" si="12"/>
        <v/>
      </c>
      <c r="K98" t="b">
        <f t="shared" si="13"/>
        <v>1</v>
      </c>
      <c r="L98" t="str">
        <f t="shared" si="14"/>
        <v/>
      </c>
      <c r="M98" t="str">
        <f t="shared" si="15"/>
        <v/>
      </c>
      <c r="N98" t="str">
        <f t="shared" si="16"/>
        <v/>
      </c>
      <c r="O98" t="e">
        <f t="shared" si="17"/>
        <v>#N/A</v>
      </c>
    </row>
    <row r="99" spans="1:15" ht="13" x14ac:dyDescent="0.3">
      <c r="A99" s="4">
        <v>96</v>
      </c>
      <c r="B99" s="4">
        <f t="shared" si="9"/>
        <v>96</v>
      </c>
      <c r="C99" s="6"/>
      <c r="D99" s="22"/>
      <c r="E99" s="26"/>
      <c r="F99" s="4"/>
      <c r="H99" t="str">
        <f t="shared" si="10"/>
        <v/>
      </c>
      <c r="I99" t="str">
        <f t="shared" si="11"/>
        <v/>
      </c>
      <c r="J99" t="str">
        <f t="shared" si="12"/>
        <v/>
      </c>
      <c r="K99" t="b">
        <f t="shared" si="13"/>
        <v>1</v>
      </c>
      <c r="L99" t="str">
        <f t="shared" si="14"/>
        <v/>
      </c>
      <c r="M99" t="str">
        <f t="shared" si="15"/>
        <v/>
      </c>
      <c r="N99" t="str">
        <f t="shared" si="16"/>
        <v/>
      </c>
      <c r="O99" t="e">
        <f t="shared" si="17"/>
        <v>#N/A</v>
      </c>
    </row>
    <row r="100" spans="1:15" ht="13" x14ac:dyDescent="0.3">
      <c r="A100" s="4">
        <v>97</v>
      </c>
      <c r="B100" s="4">
        <f t="shared" si="9"/>
        <v>97</v>
      </c>
      <c r="C100" s="6"/>
      <c r="D100" s="22"/>
      <c r="E100" s="26"/>
      <c r="F100" s="4"/>
      <c r="H100" t="str">
        <f t="shared" si="10"/>
        <v/>
      </c>
      <c r="I100" t="str">
        <f t="shared" si="11"/>
        <v/>
      </c>
      <c r="J100" t="str">
        <f t="shared" si="12"/>
        <v/>
      </c>
      <c r="K100" t="b">
        <f t="shared" si="13"/>
        <v>1</v>
      </c>
      <c r="L100" t="str">
        <f t="shared" si="14"/>
        <v/>
      </c>
      <c r="M100" t="str">
        <f t="shared" si="15"/>
        <v/>
      </c>
      <c r="N100" t="str">
        <f t="shared" si="16"/>
        <v/>
      </c>
      <c r="O100" t="e">
        <f t="shared" si="17"/>
        <v>#N/A</v>
      </c>
    </row>
    <row r="101" spans="1:15" ht="13" x14ac:dyDescent="0.3">
      <c r="A101" s="4">
        <v>98</v>
      </c>
      <c r="B101" s="4">
        <f t="shared" si="9"/>
        <v>98</v>
      </c>
      <c r="C101" s="6"/>
      <c r="D101" s="22"/>
      <c r="E101" s="26"/>
      <c r="F101" s="4"/>
      <c r="H101" t="str">
        <f t="shared" si="10"/>
        <v/>
      </c>
      <c r="I101" t="str">
        <f t="shared" si="11"/>
        <v/>
      </c>
      <c r="J101" t="str">
        <f t="shared" si="12"/>
        <v/>
      </c>
      <c r="K101" t="b">
        <f t="shared" si="13"/>
        <v>1</v>
      </c>
      <c r="L101" t="str">
        <f t="shared" si="14"/>
        <v/>
      </c>
      <c r="M101" t="str">
        <f t="shared" si="15"/>
        <v/>
      </c>
      <c r="N101" t="str">
        <f t="shared" si="16"/>
        <v/>
      </c>
      <c r="O101" t="e">
        <f t="shared" si="17"/>
        <v>#N/A</v>
      </c>
    </row>
    <row r="102" spans="1:15" ht="13" x14ac:dyDescent="0.3">
      <c r="A102" s="4">
        <v>99</v>
      </c>
      <c r="B102" s="4">
        <f t="shared" si="9"/>
        <v>99</v>
      </c>
      <c r="C102" s="6"/>
      <c r="D102" s="22"/>
      <c r="E102" s="26"/>
      <c r="F102" s="4"/>
      <c r="H102" t="str">
        <f t="shared" si="10"/>
        <v/>
      </c>
      <c r="I102" t="str">
        <f t="shared" si="11"/>
        <v/>
      </c>
      <c r="J102" t="str">
        <f t="shared" si="12"/>
        <v/>
      </c>
      <c r="K102" t="b">
        <f t="shared" si="13"/>
        <v>1</v>
      </c>
      <c r="L102" t="str">
        <f t="shared" si="14"/>
        <v/>
      </c>
      <c r="M102" t="str">
        <f t="shared" si="15"/>
        <v/>
      </c>
      <c r="N102" t="str">
        <f t="shared" si="16"/>
        <v/>
      </c>
      <c r="O102" t="e">
        <f t="shared" si="17"/>
        <v>#N/A</v>
      </c>
    </row>
    <row r="103" spans="1:15" ht="13" x14ac:dyDescent="0.3">
      <c r="A103" s="4">
        <v>100</v>
      </c>
      <c r="B103" s="4">
        <f t="shared" si="9"/>
        <v>100</v>
      </c>
      <c r="C103" s="10"/>
      <c r="D103" s="22"/>
      <c r="E103" s="26"/>
      <c r="F103" s="4"/>
      <c r="H103" t="str">
        <f t="shared" si="10"/>
        <v/>
      </c>
      <c r="I103" t="str">
        <f t="shared" si="11"/>
        <v/>
      </c>
      <c r="J103" t="str">
        <f t="shared" si="12"/>
        <v/>
      </c>
      <c r="K103" t="b">
        <f t="shared" si="13"/>
        <v>1</v>
      </c>
      <c r="L103" t="str">
        <f t="shared" si="14"/>
        <v/>
      </c>
      <c r="M103" t="str">
        <f t="shared" si="15"/>
        <v/>
      </c>
      <c r="N103" t="str">
        <f t="shared" si="16"/>
        <v/>
      </c>
      <c r="O103" t="e">
        <f t="shared" si="17"/>
        <v>#N/A</v>
      </c>
    </row>
    <row r="104" spans="1:15" ht="13.5" thickBot="1" x14ac:dyDescent="0.35">
      <c r="A104" s="4">
        <v>101</v>
      </c>
      <c r="B104" s="4">
        <f t="shared" si="9"/>
        <v>101</v>
      </c>
      <c r="C104" s="10"/>
      <c r="D104" s="24"/>
      <c r="E104" s="27"/>
      <c r="F104" s="4"/>
      <c r="H104" t="str">
        <f>IF(ISERROR(O104),""," "&amp;O104)</f>
        <v/>
      </c>
      <c r="I104" t="str">
        <f t="shared" si="11"/>
        <v/>
      </c>
      <c r="J104" t="str">
        <f t="shared" si="12"/>
        <v/>
      </c>
      <c r="K104" t="b">
        <f t="shared" si="13"/>
        <v>1</v>
      </c>
      <c r="L104" t="str">
        <f t="shared" si="14"/>
        <v/>
      </c>
      <c r="M104" t="str">
        <f t="shared" si="15"/>
        <v/>
      </c>
      <c r="N104" t="str">
        <f t="shared" si="16"/>
        <v/>
      </c>
      <c r="O104" t="e">
        <f t="shared" si="17"/>
        <v>#N/A</v>
      </c>
    </row>
  </sheetData>
  <pageMargins left="0.75" right="0.75" top="1" bottom="1" header="0.5" footer="0.5"/>
  <pageSetup orientation="portrait" horizontalDpi="180" verticalDpi="180" copies="0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RecordBallot">
                <anchor moveWithCells="1">
                  <from>
                    <xdr:col>4</xdr:col>
                    <xdr:colOff>596900</xdr:colOff>
                    <xdr:row>0</xdr:row>
                    <xdr:rowOff>38100</xdr:rowOff>
                  </from>
                  <to>
                    <xdr:col>4</xdr:col>
                    <xdr:colOff>1384300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Line="0" autoPict="0" macro="[0]!Guide">
                <anchor moveWithCells="1">
                  <from>
                    <xdr:col>7</xdr:col>
                    <xdr:colOff>736600</xdr:colOff>
                    <xdr:row>0</xdr:row>
                    <xdr:rowOff>38100</xdr:rowOff>
                  </from>
                  <to>
                    <xdr:col>7</xdr:col>
                    <xdr:colOff>1524000</xdr:colOff>
                    <xdr:row>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Z1000"/>
    </sheetView>
  </sheetViews>
  <sheetFormatPr defaultRowHeight="12.5" x14ac:dyDescent="0.25"/>
  <cols>
    <col min="1" max="52" width="4.45312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Z100"/>
    </sheetView>
  </sheetViews>
  <sheetFormatPr defaultRowHeight="12.5" x14ac:dyDescent="0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"/>
  <sheetViews>
    <sheetView workbookViewId="0"/>
  </sheetViews>
  <sheetFormatPr defaultRowHeight="12.5" x14ac:dyDescent="0.25"/>
  <cols>
    <col min="2" max="2" width="40.81640625" customWidth="1"/>
    <col min="3" max="3" width="9.1796875" customWidth="1"/>
  </cols>
  <sheetData>
    <row r="1" spans="2:2" ht="14" x14ac:dyDescent="0.3">
      <c r="B1" s="32" t="s">
        <v>95</v>
      </c>
    </row>
    <row r="2" spans="2:2" x14ac:dyDescent="0.25">
      <c r="B2" t="s">
        <v>96</v>
      </c>
    </row>
    <row r="3" spans="2:2" x14ac:dyDescent="0.25">
      <c r="B3" t="s">
        <v>97</v>
      </c>
    </row>
    <row r="6" spans="2:2" ht="14" x14ac:dyDescent="0.3">
      <c r="B6" s="32" t="s">
        <v>98</v>
      </c>
    </row>
    <row r="7" spans="2:2" ht="13" x14ac:dyDescent="0.3"/>
    <row r="8" spans="2:2" ht="13" x14ac:dyDescent="0.3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9" spans="2:2" ht="14" x14ac:dyDescent="0.3">
      <c r="B19" s="32" t="s">
        <v>99</v>
      </c>
    </row>
    <row r="21" spans="2:2" x14ac:dyDescent="0.25">
      <c r="B21" t="s">
        <v>100</v>
      </c>
    </row>
    <row r="22" spans="2:2" x14ac:dyDescent="0.25">
      <c r="B22" t="s">
        <v>101</v>
      </c>
    </row>
    <row r="23" spans="2:2" x14ac:dyDescent="0.25">
      <c r="B23" t="s">
        <v>102</v>
      </c>
    </row>
    <row r="25" spans="2:2" x14ac:dyDescent="0.25">
      <c r="B25" t="s">
        <v>103</v>
      </c>
    </row>
    <row r="26" spans="2:2" x14ac:dyDescent="0.25">
      <c r="B26" t="s">
        <v>104</v>
      </c>
    </row>
    <row r="28" spans="2:2" x14ac:dyDescent="0.25">
      <c r="B28" t="s">
        <v>105</v>
      </c>
    </row>
    <row r="29" spans="2:2" x14ac:dyDescent="0.25">
      <c r="B29" t="s">
        <v>106</v>
      </c>
    </row>
    <row r="30" spans="2:2" x14ac:dyDescent="0.25">
      <c r="B30" t="s">
        <v>107</v>
      </c>
    </row>
    <row r="31" spans="2:2" x14ac:dyDescent="0.25">
      <c r="B31" t="s">
        <v>108</v>
      </c>
    </row>
    <row r="33" spans="2:2" x14ac:dyDescent="0.25">
      <c r="B33" t="s">
        <v>109</v>
      </c>
    </row>
    <row r="34" spans="2:2" x14ac:dyDescent="0.25">
      <c r="B34" t="s">
        <v>106</v>
      </c>
    </row>
    <row r="35" spans="2:2" x14ac:dyDescent="0.25">
      <c r="B35" t="s">
        <v>107</v>
      </c>
    </row>
    <row r="36" spans="2:2" x14ac:dyDescent="0.25">
      <c r="B36" t="s">
        <v>110</v>
      </c>
    </row>
    <row r="38" spans="2:2" x14ac:dyDescent="0.25">
      <c r="B38" t="s">
        <v>111</v>
      </c>
    </row>
    <row r="39" spans="2:2" x14ac:dyDescent="0.25">
      <c r="B39" t="s">
        <v>112</v>
      </c>
    </row>
    <row r="40" spans="2:2" x14ac:dyDescent="0.25">
      <c r="B40" t="s">
        <v>113</v>
      </c>
    </row>
    <row r="42" spans="2:2" x14ac:dyDescent="0.25">
      <c r="B42" t="s">
        <v>114</v>
      </c>
    </row>
    <row r="43" spans="2:2" x14ac:dyDescent="0.25">
      <c r="B43" t="s">
        <v>115</v>
      </c>
    </row>
    <row r="44" spans="2:2" x14ac:dyDescent="0.25">
      <c r="B44" t="s">
        <v>116</v>
      </c>
    </row>
    <row r="46" spans="2:2" x14ac:dyDescent="0.25">
      <c r="B46" t="s">
        <v>117</v>
      </c>
    </row>
    <row r="47" spans="2:2" x14ac:dyDescent="0.25">
      <c r="B47" t="s">
        <v>118</v>
      </c>
    </row>
    <row r="48" spans="2:2" x14ac:dyDescent="0.25">
      <c r="B48" t="s">
        <v>119</v>
      </c>
    </row>
    <row r="51" spans="2:2" ht="14" x14ac:dyDescent="0.3">
      <c r="B51" s="32" t="s">
        <v>120</v>
      </c>
    </row>
    <row r="53" spans="2:2" ht="13" x14ac:dyDescent="0.3">
      <c r="B53" s="2" t="s">
        <v>121</v>
      </c>
    </row>
    <row r="54" spans="2:2" x14ac:dyDescent="0.25"/>
    <row r="55" spans="2:2" x14ac:dyDescent="0.25"/>
    <row r="56" spans="2:2" x14ac:dyDescent="0.25"/>
    <row r="59" spans="2:2" ht="13" x14ac:dyDescent="0.3">
      <c r="B59" s="2" t="s">
        <v>122</v>
      </c>
    </row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7" spans="2:2" ht="13" x14ac:dyDescent="0.3">
      <c r="B77" s="2" t="s">
        <v>123</v>
      </c>
    </row>
    <row r="78" spans="2:2" x14ac:dyDescent="0.25"/>
    <row r="79" spans="2:2" x14ac:dyDescent="0.25"/>
    <row r="80" spans="2:2" x14ac:dyDescent="0.25"/>
    <row r="83" spans="1:2" ht="13" x14ac:dyDescent="0.3">
      <c r="A83" t="s">
        <v>124</v>
      </c>
      <c r="B83" s="2" t="s">
        <v>125</v>
      </c>
    </row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>
      <c r="A89" t="s">
        <v>126</v>
      </c>
    </row>
    <row r="90" spans="1:2" x14ac:dyDescent="0.25"/>
    <row r="91" spans="1:2" x14ac:dyDescent="0.25">
      <c r="A91" t="s">
        <v>127</v>
      </c>
    </row>
    <row r="92" spans="1:2" x14ac:dyDescent="0.25"/>
    <row r="93" spans="1:2" x14ac:dyDescent="0.25"/>
    <row r="94" spans="1:2" x14ac:dyDescent="0.25"/>
    <row r="97" spans="2:2" ht="13" x14ac:dyDescent="0.3">
      <c r="B97" s="2" t="s">
        <v>128</v>
      </c>
    </row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12" spans="2:2" ht="13" x14ac:dyDescent="0.3">
      <c r="B112" s="2" t="s">
        <v>129</v>
      </c>
    </row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Excel 4.0 Macros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Grades</vt:lpstr>
      <vt:lpstr>Ranks</vt:lpstr>
      <vt:lpstr>Budgets</vt:lpstr>
      <vt:lpstr>Program</vt:lpstr>
      <vt:lpstr>BallotZ</vt:lpstr>
      <vt:lpstr>Budgets</vt:lpstr>
      <vt:lpstr>BudgetZ</vt:lpstr>
      <vt:lpstr>Epsilon</vt:lpstr>
      <vt:lpstr>Five</vt:lpstr>
      <vt:lpstr>GradePlusses</vt:lpstr>
      <vt:lpstr>Grades</vt:lpstr>
      <vt:lpstr>iNums</vt:lpstr>
      <vt:lpstr>iTitles</vt:lpstr>
      <vt:lpstr>NumItems</vt:lpstr>
      <vt:lpstr>Ranks</vt:lpstr>
      <vt:lpstr>RanksClean</vt:lpstr>
      <vt:lpstr>RanksNeet</vt:lpstr>
      <vt:lpstr>RanksRaw</vt:lpstr>
      <vt:lpstr>RankZ</vt:lpstr>
      <vt:lpstr>SerialNum</vt:lpstr>
      <vt:lpstr>TieBreakers</vt:lpstr>
      <vt:lpstr>Untied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Loring</dc:creator>
  <cp:lastModifiedBy>Carina Negreanu</cp:lastModifiedBy>
  <dcterms:created xsi:type="dcterms:W3CDTF">2003-05-21T16:48:21Z</dcterms:created>
  <dcterms:modified xsi:type="dcterms:W3CDTF">2020-01-27T11:39:07Z</dcterms:modified>
</cp:coreProperties>
</file>