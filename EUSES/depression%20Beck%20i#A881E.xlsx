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F776D3-81F1-4AD3-9BBA-7107C80BD82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H6" i="1" l="1"/>
  <c r="I6" i="1"/>
  <c r="J6" i="1"/>
  <c r="H8" i="1"/>
  <c r="I8" i="1"/>
  <c r="J8" i="1"/>
  <c r="H10" i="1"/>
  <c r="I10" i="1"/>
  <c r="J10" i="1"/>
  <c r="H12" i="1"/>
  <c r="I12" i="1"/>
  <c r="J12" i="1"/>
  <c r="H14" i="1"/>
  <c r="I14" i="1"/>
  <c r="J14" i="1"/>
  <c r="H16" i="1"/>
  <c r="I16" i="1"/>
  <c r="J16" i="1"/>
  <c r="H18" i="1"/>
  <c r="I18" i="1"/>
  <c r="J18" i="1"/>
  <c r="H20" i="1"/>
  <c r="I20" i="1"/>
  <c r="J20" i="1"/>
  <c r="H22" i="1"/>
  <c r="I22" i="1"/>
  <c r="J22" i="1"/>
  <c r="H24" i="1"/>
  <c r="I24" i="1"/>
  <c r="J24" i="1"/>
  <c r="H26" i="1"/>
  <c r="I26" i="1"/>
  <c r="J26" i="1"/>
  <c r="H28" i="1"/>
  <c r="I28" i="1"/>
  <c r="J28" i="1"/>
  <c r="H30" i="1"/>
  <c r="I30" i="1"/>
  <c r="J30" i="1"/>
  <c r="H32" i="1"/>
  <c r="I32" i="1"/>
  <c r="J32" i="1"/>
  <c r="H34" i="1"/>
  <c r="I34" i="1"/>
  <c r="J34" i="1"/>
  <c r="H36" i="1"/>
  <c r="I36" i="1"/>
  <c r="J36" i="1"/>
  <c r="H38" i="1"/>
  <c r="I38" i="1"/>
  <c r="J38" i="1"/>
  <c r="H40" i="1"/>
  <c r="I40" i="1"/>
  <c r="J40" i="1"/>
  <c r="H42" i="1"/>
  <c r="I42" i="1"/>
  <c r="J42" i="1"/>
  <c r="H44" i="1"/>
  <c r="I44" i="1"/>
  <c r="J44" i="1"/>
  <c r="H46" i="1"/>
  <c r="I46" i="1"/>
  <c r="J46" i="1"/>
  <c r="C49" i="1"/>
  <c r="C50" i="1"/>
  <c r="C51" i="1"/>
  <c r="C52" i="1"/>
  <c r="D52" i="1"/>
  <c r="C53" i="1"/>
</calcChain>
</file>

<file path=xl/sharedStrings.xml><?xml version="1.0" encoding="utf-8"?>
<sst xmlns="http://schemas.openxmlformats.org/spreadsheetml/2006/main" count="149" uniqueCount="129">
  <si>
    <t>Purpose: To measure the behavioral manifestations of depression using the depression inventory of Beck et al.</t>
  </si>
  <si>
    <t>Citations with documentation. 18.04.04</t>
  </si>
  <si>
    <t>Sriram &amp; Svirbely 1997</t>
  </si>
  <si>
    <t>enter an "x" in the appropriate column for each row which best matches your feelings (give only 1 answer per row)</t>
  </si>
  <si>
    <t>A</t>
  </si>
  <si>
    <t>I do not feel sad.</t>
  </si>
  <si>
    <t>I feel blue or sad.</t>
  </si>
  <si>
    <t>I am blue or sad all the time and I can't snap out of it.</t>
  </si>
  <si>
    <t>I am so sad or unhappy that it is very painful.</t>
  </si>
  <si>
    <t>I am so sad or unhappy that I can't stand it.</t>
  </si>
  <si>
    <t>x</t>
  </si>
  <si>
    <t>B</t>
  </si>
  <si>
    <t>I am not particu-larly pessimistic or discouraged about the future.</t>
  </si>
  <si>
    <t>I feel discouraged about the future.</t>
  </si>
  <si>
    <t>I feel I have nothing to look forward to.</t>
  </si>
  <si>
    <t>I feel that I won't ever get over my troubles.</t>
  </si>
  <si>
    <t>I feel that the future is hopeless and that things cannot improve.</t>
  </si>
  <si>
    <t>C</t>
  </si>
  <si>
    <t>I do not feel like a failure.</t>
  </si>
  <si>
    <t>I feel I have failed more than the average person.</t>
  </si>
  <si>
    <t>I feel I have accomplished very little that is worthwhile or that means anything.</t>
  </si>
  <si>
    <t>As I look back on my life all I can see is a lot of failures.</t>
  </si>
  <si>
    <t>I feel I am a complete failure as a person.</t>
  </si>
  <si>
    <t>D</t>
  </si>
  <si>
    <t>I am not particularly dissatisfied.</t>
  </si>
  <si>
    <t>I feel bored most of the time.</t>
  </si>
  <si>
    <t>I don't enjoy things the way I used to.</t>
  </si>
  <si>
    <t>I don't get satisfaction out of anything any more.</t>
  </si>
  <si>
    <t>I am dissatisfied with everything.</t>
  </si>
  <si>
    <t>E</t>
  </si>
  <si>
    <t>I don't feel particularly guilty.</t>
  </si>
  <si>
    <t>I feel bad or unworthy a good part of the time.</t>
  </si>
  <si>
    <t>I feel quite guilty.</t>
  </si>
  <si>
    <t>I feel bad or unworthy practically all the time now.</t>
  </si>
  <si>
    <t>I feel as though I am very bad or worthless.</t>
  </si>
  <si>
    <t>F</t>
  </si>
  <si>
    <t>I don't feel I am being punished.</t>
  </si>
  <si>
    <t>I have a feeling that something bad may happen to me.</t>
  </si>
  <si>
    <t>I feel I am being punished or will be punished.</t>
  </si>
  <si>
    <t>I feel I deserve to be punished.</t>
  </si>
  <si>
    <t>I want to be punished.</t>
  </si>
  <si>
    <t>G</t>
  </si>
  <si>
    <t>I don't feel disappointed in myself.</t>
  </si>
  <si>
    <t>I am disappointed in myself.</t>
  </si>
  <si>
    <t>I don't like myself.</t>
  </si>
  <si>
    <t>I disgusted with myself.</t>
  </si>
  <si>
    <t>I hate myself.</t>
  </si>
  <si>
    <t>H</t>
  </si>
  <si>
    <t>I don't feel I am any worse than anybody else.</t>
  </si>
  <si>
    <t>I am very critical of myself for my weaknesses or mistakes.</t>
  </si>
  <si>
    <t>I blame myself for everything that goes wrong.</t>
  </si>
  <si>
    <t>I feel I have many bad faults.</t>
  </si>
  <si>
    <t>I</t>
  </si>
  <si>
    <t>I don't have any thoughts of harming myself.</t>
  </si>
  <si>
    <t>I have thoughts of harming myself but I would not carry them out.</t>
  </si>
  <si>
    <t>I feel I would be better off dead.</t>
  </si>
  <si>
    <t>I have definite plans about committing suicide.</t>
  </si>
  <si>
    <t>I feel my family would be better off if I were dead.</t>
  </si>
  <si>
    <t>I would kill myself if I could.</t>
  </si>
  <si>
    <t>J</t>
  </si>
  <si>
    <t>I don't cry any more than usual.</t>
  </si>
  <si>
    <t>I cry more now than I used to.</t>
  </si>
  <si>
    <t>I cry all the time now. I can't stop it.</t>
  </si>
  <si>
    <t>I used to be able to cry but now I can't cry at all even though I want to.</t>
  </si>
  <si>
    <t>K</t>
  </si>
  <si>
    <t>I am no more irritated now than I ever am.</t>
  </si>
  <si>
    <t>I get annoyed or irritated more easily than I used to.</t>
  </si>
  <si>
    <t>I feel irritated all the time.</t>
  </si>
  <si>
    <t>I don't get irritated at all at the things that used to irritate me.</t>
  </si>
  <si>
    <t>L</t>
  </si>
  <si>
    <t>I have not lost interest in other people.</t>
  </si>
  <si>
    <t>I am less interested in other people now than I used to be.</t>
  </si>
  <si>
    <t>I have lost most of my interest in other people and have little feeling for them.</t>
  </si>
  <si>
    <t>I have lost all of my interest in other people and don't care about them at all.</t>
  </si>
  <si>
    <t>M</t>
  </si>
  <si>
    <t>I make decisions about as well as ever.</t>
  </si>
  <si>
    <t>I am less sure of myself now and try to put off making decisions.</t>
  </si>
  <si>
    <t>I can't make decisions any more without help.</t>
  </si>
  <si>
    <t>I can't make any decisions at all any more.</t>
  </si>
  <si>
    <t>N</t>
  </si>
  <si>
    <t>I don't feel I look any worse than I used to.</t>
  </si>
  <si>
    <t>I am worried that I am looking old or unattractive.</t>
  </si>
  <si>
    <t>I feel that there are permanent changes in my appearance and they make me look unattractive.</t>
  </si>
  <si>
    <t>I feel that I am ugly or repulsive looking.</t>
  </si>
  <si>
    <t>O</t>
  </si>
  <si>
    <t>I can work about as well as before.</t>
  </si>
  <si>
    <t>It takes extra effort to get started at doing something.</t>
  </si>
  <si>
    <t>I don't work as well as I used to.</t>
  </si>
  <si>
    <t>I have to push myself very hard to do anything.</t>
  </si>
  <si>
    <t>I can't do any work at all.</t>
  </si>
  <si>
    <t>P</t>
  </si>
  <si>
    <t>I can sleep as well as usual.</t>
  </si>
  <si>
    <t>I wake up more tired in the morn-ing than I used to.</t>
  </si>
  <si>
    <t>I wake up 1-2 hours earlier than usual and find it hard to get back to sleep.</t>
  </si>
  <si>
    <t>I wake up early every day and can;t get more than 5 hours sleep.</t>
  </si>
  <si>
    <t>Q</t>
  </si>
  <si>
    <t>I don't get any more tired than usual.</t>
  </si>
  <si>
    <t>I get tired more easily than I used to.</t>
  </si>
  <si>
    <t>I get tired from doing anything.</t>
  </si>
  <si>
    <t>I get too tired to do anything.</t>
  </si>
  <si>
    <t>R</t>
  </si>
  <si>
    <t>My appetite is no worse than usual.</t>
  </si>
  <si>
    <t>My appetite is not as good as it used to be.</t>
  </si>
  <si>
    <t>My appetite is much worse now.</t>
  </si>
  <si>
    <t>I have no appetite at all any more.</t>
  </si>
  <si>
    <t>S</t>
  </si>
  <si>
    <t>I haven't lost much weight, if any, lately.</t>
  </si>
  <si>
    <t>I have lost more than 5 pounds.</t>
  </si>
  <si>
    <t>I have lost more than 10 pounds.</t>
  </si>
  <si>
    <t>I have lost more than 15 pounds.</t>
  </si>
  <si>
    <t>T</t>
  </si>
  <si>
    <t>I am no more concerned abut my health than usual.</t>
  </si>
  <si>
    <t>I am concerned about aches and pains or upset stomach or constipation or other unpleasant feelings in my body.</t>
  </si>
  <si>
    <t>I am so concerned with how I feel that it's hard to think of much else.</t>
  </si>
  <si>
    <t>I am completely absorbed in what I feel.</t>
  </si>
  <si>
    <t>U</t>
  </si>
  <si>
    <t>I have not noticed any recent change in my interest in sex.</t>
  </si>
  <si>
    <t>I am less interested in sex than I used to be.</t>
  </si>
  <si>
    <t>I am much less interested in sex now.</t>
  </si>
  <si>
    <t>I have lost interest in sex completely.</t>
  </si>
  <si>
    <t>calculate</t>
  </si>
  <si>
    <t>result</t>
  </si>
  <si>
    <t>data complete?</t>
  </si>
  <si>
    <t>total score</t>
  </si>
  <si>
    <t>out of 62</t>
  </si>
  <si>
    <t>average</t>
  </si>
  <si>
    <t>indicating</t>
  </si>
  <si>
    <t>number of severely depressed answers</t>
  </si>
  <si>
    <t>out of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</si>
</sst>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>
    <font>
      <sz val="10"/>
      <name val="Geneva"/>
    </font>
    <font>
      <b/>
      <sz val="10"/>
      <name val="Geneva"/>
    </font>
    <font>
      <sz val="9"/>
      <name val="Geneva"/>
    </font>
    <font>
      <b/>
      <sz val="10"/>
      <color indexed="10"/>
      <name val="Geneva"/>
    </font>
    <font>
      <b/>
      <sz val="10"/>
      <color indexed="8"/>
      <name val="Geneva"/>
    </font>
  </fonts>
  <fills count="9">
    <fill>
      <patternFill patternType="none"/>
    </fill>
    <fill>
      <patternFill patternType="gray125"/>
    </fill>
    <fill>
      <patternFill patternType="solid">
        <fgColor indexed="3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Continuous" vertical="top" wrapText="1"/>
    </xf>
    <xf numFmtId="0" fontId="0" fillId="2" borderId="0" xfId="0" applyFill="1"/>
    <xf numFmtId="0" fontId="0" fillId="0" borderId="0" xfId="0" applyAlignment="1">
      <alignment horizontal="centerContinuous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right"/>
    </xf>
    <xf numFmtId="0" fontId="0" fillId="5" borderId="1" xfId="0" applyFill="1" applyBorder="1" applyAlignment="1">
      <alignment horizontal="center" wrapText="1"/>
    </xf>
    <xf numFmtId="0" fontId="0" fillId="3" borderId="0" xfId="0" applyFill="1" applyProtection="1"/>
    <xf numFmtId="0" fontId="0" fillId="3" borderId="0" xfId="0" applyFill="1" applyBorder="1" applyAlignment="1">
      <alignment horizontal="center"/>
    </xf>
    <xf numFmtId="0" fontId="0" fillId="3" borderId="0" xfId="0" applyFill="1" applyBorder="1" applyAlignment="1" applyProtection="1">
      <alignment horizontal="center"/>
    </xf>
    <xf numFmtId="172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 applyBorder="1" applyAlignment="1" applyProtection="1">
      <alignment horizontal="right"/>
    </xf>
    <xf numFmtId="0" fontId="1" fillId="4" borderId="0" xfId="0" applyFont="1" applyFill="1" applyProtection="1"/>
    <xf numFmtId="0" fontId="1" fillId="4" borderId="0" xfId="0" applyFont="1" applyFill="1" applyAlignment="1" applyProtection="1">
      <alignment horizontal="center"/>
    </xf>
    <xf numFmtId="0" fontId="0" fillId="4" borderId="0" xfId="0" applyFill="1" applyProtection="1"/>
    <xf numFmtId="0" fontId="3" fillId="6" borderId="2" xfId="0" applyFont="1" applyFill="1" applyBorder="1" applyAlignment="1" applyProtection="1">
      <alignment horizontal="centerContinuous"/>
    </xf>
    <xf numFmtId="0" fontId="0" fillId="4" borderId="1" xfId="0" applyFill="1" applyBorder="1" applyAlignment="1">
      <alignment horizontal="centerContinuous"/>
    </xf>
    <xf numFmtId="0" fontId="0" fillId="4" borderId="1" xfId="0" applyFill="1" applyBorder="1" applyAlignment="1">
      <alignment horizontal="centerContinuous" wrapText="1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4" fillId="6" borderId="5" xfId="0" applyFont="1" applyFill="1" applyBorder="1" applyAlignment="1" applyProtection="1">
      <alignment horizontal="centerContinuous" wrapText="1"/>
    </xf>
    <xf numFmtId="0" fontId="4" fillId="6" borderId="6" xfId="0" applyFont="1" applyFill="1" applyBorder="1" applyAlignment="1" applyProtection="1">
      <alignment horizontal="centerContinuous" wrapText="1"/>
    </xf>
    <xf numFmtId="0" fontId="0" fillId="6" borderId="5" xfId="0" applyFill="1" applyBorder="1" applyAlignment="1">
      <alignment horizontal="centerContinuous"/>
    </xf>
    <xf numFmtId="0" fontId="2" fillId="0" borderId="0" xfId="0" applyFont="1" applyAlignment="1">
      <alignment horizontal="centerContinuous" vertical="top" wrapText="1"/>
    </xf>
    <xf numFmtId="0" fontId="2" fillId="0" borderId="0" xfId="0" applyFont="1" applyAlignment="1" applyProtection="1">
      <alignment horizontal="centerContinuous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workbookViewId="0">
      <selection activeCell="G2" sqref="G2"/>
    </sheetView>
  </sheetViews>
  <sheetFormatPr defaultRowHeight="12.5"/>
  <cols>
    <col min="1" max="1" width="5.7265625" customWidth="1"/>
    <col min="2" max="2" width="15.7265625" customWidth="1"/>
    <col min="3" max="5" width="17.7265625" customWidth="1"/>
    <col min="6" max="6" width="15.7265625" customWidth="1"/>
    <col min="7" max="7" width="13.7265625" customWidth="1"/>
    <col min="8" max="8" width="6.7265625" customWidth="1"/>
    <col min="9" max="10" width="6.7265625" style="24" customWidth="1"/>
    <col min="11" max="256" width="10.90625" customWidth="1"/>
  </cols>
  <sheetData>
    <row r="1" spans="1:10" ht="39" customHeight="1">
      <c r="A1" s="1" t="s">
        <v>0</v>
      </c>
      <c r="B1" s="3"/>
      <c r="C1" s="3"/>
      <c r="D1" s="14"/>
      <c r="G1" s="33" t="s">
        <v>1</v>
      </c>
      <c r="H1" s="3"/>
      <c r="I1" s="32" t="s">
        <v>2</v>
      </c>
      <c r="J1" s="3"/>
    </row>
    <row r="2" spans="1:10">
      <c r="A2" s="2"/>
      <c r="B2" s="2"/>
      <c r="C2" s="2"/>
      <c r="D2" s="2"/>
      <c r="E2" s="2"/>
      <c r="F2" s="2"/>
      <c r="G2" s="2"/>
      <c r="H2" s="2"/>
      <c r="I2" s="25"/>
      <c r="J2" s="25"/>
    </row>
    <row r="3" spans="1:10" ht="13" customHeight="1">
      <c r="A3" s="4"/>
      <c r="B3" s="15"/>
      <c r="C3" s="10"/>
      <c r="D3" s="10"/>
      <c r="E3" s="10"/>
      <c r="F3" s="10"/>
      <c r="G3" s="4"/>
      <c r="H3" s="4"/>
      <c r="I3" s="5"/>
      <c r="J3" s="5"/>
    </row>
    <row r="4" spans="1:10" ht="26" customHeight="1">
      <c r="A4" s="30" t="s">
        <v>3</v>
      </c>
      <c r="B4" s="31"/>
      <c r="C4" s="29"/>
      <c r="D4" s="29"/>
      <c r="E4" s="29"/>
      <c r="F4" s="19"/>
      <c r="G4" s="4"/>
      <c r="H4" s="4"/>
      <c r="I4" s="5"/>
      <c r="J4" s="5"/>
    </row>
    <row r="5" spans="1:10" ht="39" customHeight="1">
      <c r="A5" s="22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4"/>
      <c r="H5" s="5"/>
      <c r="I5" s="28"/>
      <c r="J5" s="26"/>
    </row>
    <row r="6" spans="1:10" ht="13" customHeight="1">
      <c r="A6" s="23"/>
      <c r="B6" s="7"/>
      <c r="C6" s="7"/>
      <c r="D6" s="7" t="s">
        <v>10</v>
      </c>
      <c r="E6" s="7"/>
      <c r="F6" s="7"/>
      <c r="G6" s="4"/>
      <c r="H6" s="5" t="str">
        <f>IF(IF(NOT(ISBLANK(B6)),1,0)+IF(NOT(ISBLANK(C6)),1,0)+IF(NOT(ISBLANK(D6)),1,0)+IF(NOT(ISBLANK(E6)),1,0)+IF(NOT(ISBLANK(F6)),1,0)=1,"Yes","No")</f>
        <v>Yes</v>
      </c>
      <c r="I6" s="28">
        <f>IF(H6="No","check data",IF(NOT(ISBLANK(B6)),0,0)+IF(NOT(ISBLANK(C6)),1,0)+IF(NOT(ISBLANK(D6)),2,0)+IF(NOT(ISBLANK(E6)),2,0)+IF(NOT(ISBLANK(F6)),3,0))</f>
        <v>2</v>
      </c>
      <c r="J6" s="26">
        <f>IF(I6=3,1,0)</f>
        <v>0</v>
      </c>
    </row>
    <row r="7" spans="1:10" ht="52" customHeight="1">
      <c r="A7" s="22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9" t="s">
        <v>16</v>
      </c>
      <c r="G7" s="4"/>
      <c r="H7" s="5"/>
      <c r="I7" s="28"/>
      <c r="J7" s="26"/>
    </row>
    <row r="8" spans="1:10" ht="13" customHeight="1">
      <c r="A8" s="23"/>
      <c r="B8" s="7"/>
      <c r="C8" s="7"/>
      <c r="D8" s="7" t="s">
        <v>10</v>
      </c>
      <c r="E8" s="7"/>
      <c r="F8" s="7"/>
      <c r="G8" s="4"/>
      <c r="H8" s="5" t="str">
        <f>IF(IF(NOT(ISBLANK(B8)),1,0)+IF(NOT(ISBLANK(C8)),1,0)+IF(NOT(ISBLANK(D8)),1,0)+IF(NOT(ISBLANK(E8)),1,0)+IF(NOT(ISBLANK(F8)),1,0)=1,"Yes","No")</f>
        <v>Yes</v>
      </c>
      <c r="I8" s="28">
        <f>IF(H8="No","check data",IF(NOT(ISBLANK(B8)),0,0)+IF(NOT(ISBLANK(C8)),1,0)+IF(NOT(ISBLANK(D8)),2,0)+IF(NOT(ISBLANK(E8)),2,0)+IF(NOT(ISBLANK(F8)),3,0))</f>
        <v>2</v>
      </c>
      <c r="J8" s="26">
        <f>IF(I8=3,1,0)</f>
        <v>0</v>
      </c>
    </row>
    <row r="9" spans="1:10" ht="52" customHeight="1">
      <c r="A9" s="22" t="s">
        <v>17</v>
      </c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4"/>
      <c r="H9" s="5"/>
      <c r="I9" s="28"/>
      <c r="J9" s="26"/>
    </row>
    <row r="10" spans="1:10" ht="13" customHeight="1">
      <c r="A10" s="23"/>
      <c r="B10" s="7"/>
      <c r="C10" s="7"/>
      <c r="D10" s="7" t="s">
        <v>10</v>
      </c>
      <c r="E10" s="7"/>
      <c r="F10" s="7"/>
      <c r="G10" s="4"/>
      <c r="H10" s="5" t="str">
        <f>IF(IF(NOT(ISBLANK(B10)),1,0)+IF(NOT(ISBLANK(C10)),1,0)+IF(NOT(ISBLANK(D10)),1,0)+IF(NOT(ISBLANK(E10)),1,0)+IF(NOT(ISBLANK(F10)),1,0)=1,"Yes","No")</f>
        <v>Yes</v>
      </c>
      <c r="I10" s="28">
        <f>IF(H10="No","check data",IF(NOT(ISBLANK(B10)),0,0)+IF(NOT(ISBLANK(C10)),1,0)+IF(NOT(ISBLANK(D10)),2,0)+IF(NOT(ISBLANK(E10)),2,0)+IF(NOT(ISBLANK(F10)),3,0))</f>
        <v>2</v>
      </c>
      <c r="J10" s="26">
        <f>IF(I10=3,1,0)</f>
        <v>0</v>
      </c>
    </row>
    <row r="11" spans="1:10" ht="39" customHeight="1">
      <c r="A11" s="22" t="s">
        <v>23</v>
      </c>
      <c r="B11" s="9" t="s">
        <v>24</v>
      </c>
      <c r="C11" s="9" t="s">
        <v>25</v>
      </c>
      <c r="D11" s="9" t="s">
        <v>26</v>
      </c>
      <c r="E11" s="9" t="s">
        <v>27</v>
      </c>
      <c r="F11" s="9" t="s">
        <v>28</v>
      </c>
      <c r="G11" s="4"/>
      <c r="H11" s="5"/>
      <c r="I11" s="28"/>
      <c r="J11" s="26"/>
    </row>
    <row r="12" spans="1:10" ht="13" customHeight="1">
      <c r="A12" s="23"/>
      <c r="B12" s="7"/>
      <c r="C12" s="7"/>
      <c r="D12" s="7" t="s">
        <v>10</v>
      </c>
      <c r="E12" s="7"/>
      <c r="F12" s="7"/>
      <c r="G12" s="4"/>
      <c r="H12" s="5" t="str">
        <f>IF(IF(NOT(ISBLANK(B12)),1,0)+IF(NOT(ISBLANK(C12)),1,0)+IF(NOT(ISBLANK(D12)),1,0)+IF(NOT(ISBLANK(E12)),1,0)+IF(NOT(ISBLANK(F12)),1,0)=1,"Yes","No")</f>
        <v>Yes</v>
      </c>
      <c r="I12" s="28">
        <f>IF(H12="No","check data",IF(NOT(ISBLANK(B12)),0,0)+IF(NOT(ISBLANK(C12)),1,0)+IF(NOT(ISBLANK(D12)),1,0)+IF(NOT(ISBLANK(E12)),2,0)+IF(NOT(ISBLANK(F12)),3,0))</f>
        <v>1</v>
      </c>
      <c r="J12" s="26">
        <f>IF(I12=3,1,0)</f>
        <v>0</v>
      </c>
    </row>
    <row r="13" spans="1:10" ht="39" customHeight="1">
      <c r="A13" s="22" t="s">
        <v>29</v>
      </c>
      <c r="B13" s="9" t="s">
        <v>30</v>
      </c>
      <c r="C13" s="9" t="s">
        <v>31</v>
      </c>
      <c r="D13" s="9" t="s">
        <v>32</v>
      </c>
      <c r="E13" s="9" t="s">
        <v>33</v>
      </c>
      <c r="F13" s="9" t="s">
        <v>34</v>
      </c>
      <c r="G13" s="4"/>
      <c r="H13" s="5"/>
      <c r="I13" s="28"/>
      <c r="J13" s="26"/>
    </row>
    <row r="14" spans="1:10" ht="13" customHeight="1">
      <c r="A14" s="23"/>
      <c r="B14" s="7"/>
      <c r="C14" s="7"/>
      <c r="D14" s="7" t="s">
        <v>10</v>
      </c>
      <c r="E14" s="7"/>
      <c r="F14" s="7"/>
      <c r="G14" s="4"/>
      <c r="H14" s="5" t="str">
        <f>IF(IF(NOT(ISBLANK(B14)),1,0)+IF(NOT(ISBLANK(C14)),1,0)+IF(NOT(ISBLANK(D14)),1,0)+IF(NOT(ISBLANK(E14)),1,0)+IF(NOT(ISBLANK(F14)),1,0)=1,"Yes","No")</f>
        <v>Yes</v>
      </c>
      <c r="I14" s="28">
        <f>IF(H14="No","check data",IF(NOT(ISBLANK(B14)),0,0)+IF(NOT(ISBLANK(C14)),1,0)+IF(NOT(ISBLANK(D14)),2,0)+IF(NOT(ISBLANK(E14)),2,0)+IF(NOT(ISBLANK(F14)),3,0))</f>
        <v>2</v>
      </c>
      <c r="J14" s="26">
        <f>IF(I14=3,1,0)</f>
        <v>0</v>
      </c>
    </row>
    <row r="15" spans="1:10" ht="39" customHeight="1">
      <c r="A15" s="22" t="s">
        <v>35</v>
      </c>
      <c r="B15" s="9" t="s">
        <v>36</v>
      </c>
      <c r="C15" s="9" t="s">
        <v>37</v>
      </c>
      <c r="D15" s="9" t="s">
        <v>38</v>
      </c>
      <c r="E15" s="9" t="s">
        <v>39</v>
      </c>
      <c r="F15" s="9" t="s">
        <v>40</v>
      </c>
      <c r="G15" s="4"/>
      <c r="H15" s="5"/>
      <c r="I15" s="28"/>
      <c r="J15" s="26"/>
    </row>
    <row r="16" spans="1:10" ht="13" customHeight="1">
      <c r="A16" s="23"/>
      <c r="B16" s="7"/>
      <c r="C16" s="7"/>
      <c r="D16" s="7" t="s">
        <v>10</v>
      </c>
      <c r="E16" s="7"/>
      <c r="F16" s="7"/>
      <c r="G16" s="4"/>
      <c r="H16" s="5" t="str">
        <f>IF(IF(NOT(ISBLANK(B16)),1,0)+IF(NOT(ISBLANK(C16)),1,0)+IF(NOT(ISBLANK(D16)),1,0)+IF(NOT(ISBLANK(E16)),1,0)+IF(NOT(ISBLANK(F16)),1,0)=1,"Yes","No")</f>
        <v>Yes</v>
      </c>
      <c r="I16" s="28">
        <f>IF(H16="No","check data",IF(NOT(ISBLANK(B16)),0,0)+IF(NOT(ISBLANK(C16)),1,0)+IF(NOT(ISBLANK(D16)),2,0)+IF(NOT(ISBLANK(E16)),3,0)+IF(NOT(ISBLANK(F16)),3,0))</f>
        <v>2</v>
      </c>
      <c r="J16" s="26">
        <f>IF(I16=3,1,0)</f>
        <v>0</v>
      </c>
    </row>
    <row r="17" spans="1:10" ht="39" customHeight="1">
      <c r="A17" s="22" t="s">
        <v>41</v>
      </c>
      <c r="B17" s="9" t="s">
        <v>42</v>
      </c>
      <c r="C17" s="9" t="s">
        <v>43</v>
      </c>
      <c r="D17" s="9" t="s">
        <v>44</v>
      </c>
      <c r="E17" s="9" t="s">
        <v>45</v>
      </c>
      <c r="F17" s="9" t="s">
        <v>46</v>
      </c>
      <c r="G17" s="4"/>
      <c r="H17" s="5"/>
      <c r="I17" s="28"/>
      <c r="J17" s="26"/>
    </row>
    <row r="18" spans="1:10" ht="13" customHeight="1">
      <c r="A18" s="23"/>
      <c r="B18" s="7"/>
      <c r="C18" s="7"/>
      <c r="D18" s="7" t="s">
        <v>10</v>
      </c>
      <c r="E18" s="7"/>
      <c r="F18" s="7"/>
      <c r="G18" s="4"/>
      <c r="H18" s="5" t="str">
        <f>IF(IF(NOT(ISBLANK(B18)),1,0)+IF(NOT(ISBLANK(C18)),1,0)+IF(NOT(ISBLANK(D18)),1,0)+IF(NOT(ISBLANK(E18)),1,0)+IF(NOT(ISBLANK(F18)),1,0)=1,"Yes","No")</f>
        <v>Yes</v>
      </c>
      <c r="I18" s="28">
        <f>IF(H18="No","check data",IF(NOT(ISBLANK(B18)),0,0)+IF(NOT(ISBLANK(C18)),1,0)+IF(NOT(ISBLANK(D18)),1,0)+IF(NOT(ISBLANK(E18)),2,0)+IF(NOT(ISBLANK(F18)),3,0))</f>
        <v>1</v>
      </c>
      <c r="J18" s="26">
        <f>IF(I18=3,1,0)</f>
        <v>0</v>
      </c>
    </row>
    <row r="19" spans="1:10" ht="39" customHeight="1">
      <c r="A19" s="22" t="s">
        <v>47</v>
      </c>
      <c r="B19" s="9" t="s">
        <v>48</v>
      </c>
      <c r="C19" s="9" t="s">
        <v>49</v>
      </c>
      <c r="D19" s="9" t="s">
        <v>50</v>
      </c>
      <c r="E19" s="9" t="s">
        <v>51</v>
      </c>
      <c r="F19" s="11"/>
      <c r="G19" s="4"/>
      <c r="H19" s="5"/>
      <c r="I19" s="28"/>
      <c r="J19" s="26"/>
    </row>
    <row r="20" spans="1:10" ht="13" customHeight="1">
      <c r="A20" s="23"/>
      <c r="B20" s="7"/>
      <c r="C20" s="7"/>
      <c r="D20" s="7" t="s">
        <v>10</v>
      </c>
      <c r="E20" s="7"/>
      <c r="F20" s="12"/>
      <c r="G20" s="10"/>
      <c r="H20" s="5" t="str">
        <f>IF(IF(NOT(ISBLANK(B20)),1,0)+IF(NOT(ISBLANK(C20)),1,0)+IF(NOT(ISBLANK(D20)),1,0)+IF(NOT(ISBLANK(E20)),1,0)=1,"Yes","No")</f>
        <v>Yes</v>
      </c>
      <c r="I20" s="28">
        <f>IF(H20="No","check data",IF(NOT(ISBLANK(B20)),0,0)+IF(NOT(ISBLANK(C20)),1,0)+IF(NOT(ISBLANK(D20)),2,0)+IF(NOT(ISBLANK(E20)),2,0))</f>
        <v>2</v>
      </c>
      <c r="J20" s="26">
        <f>IF(I20=3,1,0)</f>
        <v>0</v>
      </c>
    </row>
    <row r="21" spans="1:10" ht="52" customHeight="1">
      <c r="A21" s="22" t="s">
        <v>52</v>
      </c>
      <c r="B21" s="9" t="s">
        <v>53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5"/>
      <c r="I21" s="28"/>
      <c r="J21" s="26"/>
    </row>
    <row r="22" spans="1:10" ht="13" customHeight="1">
      <c r="A22" s="23"/>
      <c r="B22" s="7"/>
      <c r="C22" s="7"/>
      <c r="D22" s="7"/>
      <c r="E22" s="7"/>
      <c r="F22" s="7"/>
      <c r="G22" s="7" t="s">
        <v>10</v>
      </c>
      <c r="H22" s="5" t="str">
        <f>IF(IF(NOT(ISBLANK(B22)),1,0)+IF(NOT(ISBLANK(C22)),1,0)+IF(NOT(ISBLANK(D22)),1,0)+IF(NOT(ISBLANK(E22)),1,0)+IF(NOT(ISBLANK(F22)),1,0)+IF(NOT(ISBLANK(G22)),1,0)=1,"Yes","No")</f>
        <v>Yes</v>
      </c>
      <c r="I22" s="28">
        <f>IF(H22="No","check data",IF(NOT(ISBLANK(B22)),0,0)+IF(NOT(ISBLANK(C22)),1,0)+IF(NOT(ISBLANK(D22)),2,0)+IF(NOT(ISBLANK(E22)),2,0)+IF(NOT(ISBLANK(F22)),2,0)+IF(NOT(ISBLANK(G22)),3,0))</f>
        <v>3</v>
      </c>
      <c r="J22" s="26">
        <f>IF(I22=3,1,0)</f>
        <v>1</v>
      </c>
    </row>
    <row r="23" spans="1:10" ht="39" customHeight="1">
      <c r="A23" s="22" t="s">
        <v>59</v>
      </c>
      <c r="B23" s="9" t="s">
        <v>60</v>
      </c>
      <c r="C23" s="9" t="s">
        <v>61</v>
      </c>
      <c r="D23" s="9" t="s">
        <v>62</v>
      </c>
      <c r="E23" s="9" t="s">
        <v>63</v>
      </c>
      <c r="F23" s="11"/>
      <c r="G23" s="4"/>
      <c r="H23" s="5"/>
      <c r="I23" s="28"/>
      <c r="J23" s="26"/>
    </row>
    <row r="24" spans="1:10" ht="13" customHeight="1">
      <c r="A24" s="23"/>
      <c r="B24" s="7"/>
      <c r="C24" s="7"/>
      <c r="D24" s="7" t="s">
        <v>10</v>
      </c>
      <c r="E24" s="7"/>
      <c r="F24" s="12"/>
      <c r="G24" s="10"/>
      <c r="H24" s="5" t="str">
        <f>IF(IF(NOT(ISBLANK(B24)),1,0)+IF(NOT(ISBLANK(C24)),1,0)+IF(NOT(ISBLANK(D24)),1,0)+IF(NOT(ISBLANK(E24)),1,0)=1,"Yes","No")</f>
        <v>Yes</v>
      </c>
      <c r="I24" s="28">
        <f>IF(H24="No","check data",IF(NOT(ISBLANK(B24)),0,0)+IF(NOT(ISBLANK(C24)),1,0)+IF(NOT(ISBLANK(D24)),2,0)+IF(NOT(ISBLANK(E24)),3,0))</f>
        <v>2</v>
      </c>
      <c r="J24" s="26">
        <f>IF(I24=3,1,0)</f>
        <v>0</v>
      </c>
    </row>
    <row r="25" spans="1:10" ht="39" customHeight="1">
      <c r="A25" s="22" t="s">
        <v>64</v>
      </c>
      <c r="B25" s="9" t="s">
        <v>65</v>
      </c>
      <c r="C25" s="9" t="s">
        <v>66</v>
      </c>
      <c r="D25" s="9" t="s">
        <v>67</v>
      </c>
      <c r="E25" s="9" t="s">
        <v>68</v>
      </c>
      <c r="F25" s="11"/>
      <c r="G25" s="4"/>
      <c r="H25" s="5"/>
      <c r="I25" s="28"/>
      <c r="J25" s="26"/>
    </row>
    <row r="26" spans="1:10" ht="13" customHeight="1">
      <c r="A26" s="23"/>
      <c r="B26" s="7"/>
      <c r="C26" s="7"/>
      <c r="D26" s="7" t="s">
        <v>10</v>
      </c>
      <c r="E26" s="7"/>
      <c r="F26" s="12"/>
      <c r="G26" s="10"/>
      <c r="H26" s="5" t="str">
        <f>IF(IF(NOT(ISBLANK(B26)),1,0)+IF(NOT(ISBLANK(C26)),1,0)+IF(NOT(ISBLANK(D26)),1,0)+IF(NOT(ISBLANK(E26)),1,0)=1,"Yes","No")</f>
        <v>Yes</v>
      </c>
      <c r="I26" s="28">
        <f>IF(H26="No","check data",IF(NOT(ISBLANK(B26)),0,0)+IF(NOT(ISBLANK(C26)),1,0)+IF(NOT(ISBLANK(D26)),2,0)+IF(NOT(ISBLANK(E26)),3,0))</f>
        <v>2</v>
      </c>
      <c r="J26" s="26">
        <f>IF(I26=3,1,0)</f>
        <v>0</v>
      </c>
    </row>
    <row r="27" spans="1:10" ht="52" customHeight="1">
      <c r="A27" s="22" t="s">
        <v>69</v>
      </c>
      <c r="B27" s="9" t="s">
        <v>70</v>
      </c>
      <c r="C27" s="9" t="s">
        <v>71</v>
      </c>
      <c r="D27" s="9" t="s">
        <v>72</v>
      </c>
      <c r="E27" s="9" t="s">
        <v>73</v>
      </c>
      <c r="F27" s="11"/>
      <c r="G27" s="4"/>
      <c r="H27" s="5"/>
      <c r="I27" s="28"/>
      <c r="J27" s="26"/>
    </row>
    <row r="28" spans="1:10" ht="13" customHeight="1">
      <c r="A28" s="23"/>
      <c r="B28" s="7"/>
      <c r="C28" s="7"/>
      <c r="D28" s="7" t="s">
        <v>10</v>
      </c>
      <c r="E28" s="7"/>
      <c r="F28" s="12"/>
      <c r="G28" s="10"/>
      <c r="H28" s="5" t="str">
        <f>IF(IF(NOT(ISBLANK(B28)),1,0)+IF(NOT(ISBLANK(C28)),1,0)+IF(NOT(ISBLANK(D28)),1,0)+IF(NOT(ISBLANK(E28)),1,0)=1,"Yes","No")</f>
        <v>Yes</v>
      </c>
      <c r="I28" s="28">
        <f>IF(H28="No","check data",IF(NOT(ISBLANK(B28)),0,0)+IF(NOT(ISBLANK(C28)),1,0)+IF(NOT(ISBLANK(D28)),2,0)+IF(NOT(ISBLANK(E28)),3,0))</f>
        <v>2</v>
      </c>
      <c r="J28" s="26">
        <f>IF(I28=3,1,0)</f>
        <v>0</v>
      </c>
    </row>
    <row r="29" spans="1:10" ht="52" customHeight="1">
      <c r="A29" s="22" t="s">
        <v>74</v>
      </c>
      <c r="B29" s="9" t="s">
        <v>75</v>
      </c>
      <c r="C29" s="9" t="s">
        <v>76</v>
      </c>
      <c r="D29" s="9" t="s">
        <v>77</v>
      </c>
      <c r="E29" s="9" t="s">
        <v>78</v>
      </c>
      <c r="F29" s="11"/>
      <c r="G29" s="4"/>
      <c r="H29" s="5"/>
      <c r="I29" s="28"/>
      <c r="J29" s="26"/>
    </row>
    <row r="30" spans="1:10" ht="13" customHeight="1">
      <c r="A30" s="23"/>
      <c r="B30" s="7"/>
      <c r="C30" s="7"/>
      <c r="D30" s="7" t="s">
        <v>10</v>
      </c>
      <c r="E30" s="7"/>
      <c r="F30" s="12"/>
      <c r="G30" s="10"/>
      <c r="H30" s="5" t="str">
        <f>IF(IF(NOT(ISBLANK(B30)),1,0)+IF(NOT(ISBLANK(C30)),1,0)+IF(NOT(ISBLANK(D30)),1,0)+IF(NOT(ISBLANK(E30)),1,0)=1,"Yes","No")</f>
        <v>Yes</v>
      </c>
      <c r="I30" s="28">
        <f>IF(H30="No","check data",IF(NOT(ISBLANK(B30)),0,0)+IF(NOT(ISBLANK(C30)),1,0)+IF(NOT(ISBLANK(D30)),2,0)+IF(NOT(ISBLANK(E30)),3,0))</f>
        <v>2</v>
      </c>
      <c r="J30" s="26">
        <f>IF(I30=3,1,0)</f>
        <v>0</v>
      </c>
    </row>
    <row r="31" spans="1:10" ht="65" customHeight="1">
      <c r="A31" s="22" t="s">
        <v>79</v>
      </c>
      <c r="B31" s="9" t="s">
        <v>80</v>
      </c>
      <c r="C31" s="9" t="s">
        <v>81</v>
      </c>
      <c r="D31" s="9" t="s">
        <v>82</v>
      </c>
      <c r="E31" s="9" t="s">
        <v>83</v>
      </c>
      <c r="F31" s="11"/>
      <c r="G31" s="4"/>
      <c r="H31" s="5"/>
      <c r="I31" s="28"/>
      <c r="J31" s="26"/>
    </row>
    <row r="32" spans="1:10" ht="13" customHeight="1">
      <c r="A32" s="23"/>
      <c r="B32" s="7"/>
      <c r="C32" s="7"/>
      <c r="D32" s="7" t="s">
        <v>10</v>
      </c>
      <c r="E32" s="7"/>
      <c r="F32" s="12"/>
      <c r="G32" s="10"/>
      <c r="H32" s="5" t="str">
        <f>IF(IF(NOT(ISBLANK(B32)),1,0)+IF(NOT(ISBLANK(C32)),1,0)+IF(NOT(ISBLANK(D32)),1,0)+IF(NOT(ISBLANK(E32)),1,0)=1,"Yes","No")</f>
        <v>Yes</v>
      </c>
      <c r="I32" s="28">
        <f>IF(H32="No","check data",IF(NOT(ISBLANK(B32)),0,0)+IF(NOT(ISBLANK(C32)),1,0)+IF(NOT(ISBLANK(D32)),2,0)+IF(NOT(ISBLANK(E32)),3,0))</f>
        <v>2</v>
      </c>
      <c r="J32" s="26">
        <f>IF(I32=3,1,0)</f>
        <v>0</v>
      </c>
    </row>
    <row r="33" spans="1:10" ht="39" customHeight="1">
      <c r="A33" s="22" t="s">
        <v>84</v>
      </c>
      <c r="B33" s="9" t="s">
        <v>85</v>
      </c>
      <c r="C33" s="9" t="s">
        <v>86</v>
      </c>
      <c r="D33" s="9" t="s">
        <v>87</v>
      </c>
      <c r="E33" s="9" t="s">
        <v>88</v>
      </c>
      <c r="F33" s="9" t="s">
        <v>89</v>
      </c>
      <c r="G33" s="4"/>
      <c r="H33" s="5"/>
      <c r="I33" s="28"/>
      <c r="J33" s="26"/>
    </row>
    <row r="34" spans="1:10" ht="13" customHeight="1">
      <c r="A34" s="23"/>
      <c r="B34" s="7"/>
      <c r="C34" s="7"/>
      <c r="D34" s="7" t="s">
        <v>10</v>
      </c>
      <c r="E34" s="7"/>
      <c r="F34" s="7"/>
      <c r="G34" s="4"/>
      <c r="H34" s="5" t="str">
        <f>IF(IF(NOT(ISBLANK(B34)),1,0)+IF(NOT(ISBLANK(C34)),1,0)+IF(NOT(ISBLANK(D34)),1,0)+IF(NOT(ISBLANK(E34)),1,0)+IF(NOT(ISBLANK(F34)),1,0)=1,"Yes","No")</f>
        <v>Yes</v>
      </c>
      <c r="I34" s="28">
        <f>IF(H34="No","check data",IF(NOT(ISBLANK(B34)),0,0)+IF(NOT(ISBLANK(C34)),1,0)+IF(NOT(ISBLANK(D34)),1,0)+IF(NOT(ISBLANK(E34)),2,0)+IF(NOT(ISBLANK(F34)),3,0))</f>
        <v>1</v>
      </c>
      <c r="J34" s="26">
        <f>IF(I34=3,1,0)</f>
        <v>0</v>
      </c>
    </row>
    <row r="35" spans="1:10" ht="52" customHeight="1">
      <c r="A35" s="22" t="s">
        <v>90</v>
      </c>
      <c r="B35" s="9" t="s">
        <v>91</v>
      </c>
      <c r="C35" s="9" t="s">
        <v>92</v>
      </c>
      <c r="D35" s="9" t="s">
        <v>93</v>
      </c>
      <c r="E35" s="9" t="s">
        <v>94</v>
      </c>
      <c r="F35" s="11"/>
      <c r="G35" s="4"/>
      <c r="H35" s="5"/>
      <c r="I35" s="28"/>
      <c r="J35" s="26"/>
    </row>
    <row r="36" spans="1:10" ht="13" customHeight="1">
      <c r="A36" s="23"/>
      <c r="B36" s="7"/>
      <c r="C36" s="7"/>
      <c r="D36" s="7" t="s">
        <v>10</v>
      </c>
      <c r="E36" s="7"/>
      <c r="F36" s="12"/>
      <c r="G36" s="10"/>
      <c r="H36" s="5" t="str">
        <f>IF(IF(NOT(ISBLANK(B36)),1,0)+IF(NOT(ISBLANK(C36)),1,0)+IF(NOT(ISBLANK(D36)),1,0)+IF(NOT(ISBLANK(E36)),1,0)=1,"Yes","No")</f>
        <v>Yes</v>
      </c>
      <c r="I36" s="28">
        <f>IF(H36="No","check data",IF(NOT(ISBLANK(B36)),0,0)+IF(NOT(ISBLANK(C36)),1,0)+IF(NOT(ISBLANK(D36)),2,0)+IF(NOT(ISBLANK(E36)),3,0))</f>
        <v>2</v>
      </c>
      <c r="J36" s="26">
        <f>IF(I36=3,1,0)</f>
        <v>0</v>
      </c>
    </row>
    <row r="37" spans="1:10" ht="26" customHeight="1">
      <c r="A37" s="22" t="s">
        <v>95</v>
      </c>
      <c r="B37" s="9" t="s">
        <v>96</v>
      </c>
      <c r="C37" s="9" t="s">
        <v>97</v>
      </c>
      <c r="D37" s="9" t="s">
        <v>98</v>
      </c>
      <c r="E37" s="9" t="s">
        <v>99</v>
      </c>
      <c r="F37" s="11"/>
      <c r="G37" s="4"/>
      <c r="H37" s="5"/>
      <c r="I37" s="28"/>
      <c r="J37" s="26"/>
    </row>
    <row r="38" spans="1:10" ht="13" customHeight="1">
      <c r="A38" s="23"/>
      <c r="B38" s="7"/>
      <c r="C38" s="7"/>
      <c r="D38" s="7" t="s">
        <v>10</v>
      </c>
      <c r="E38" s="7"/>
      <c r="F38" s="12"/>
      <c r="G38" s="10"/>
      <c r="H38" s="5" t="str">
        <f>IF(IF(NOT(ISBLANK(B38)),1,0)+IF(NOT(ISBLANK(C38)),1,0)+IF(NOT(ISBLANK(D38)),1,0)+IF(NOT(ISBLANK(E38)),1,0)=1,"Yes","No")</f>
        <v>Yes</v>
      </c>
      <c r="I38" s="28">
        <f>IF(H38="No","check data",IF(NOT(ISBLANK(B38)),0,0)+IF(NOT(ISBLANK(C38)),1,0)+IF(NOT(ISBLANK(D38)),2,0)+IF(NOT(ISBLANK(E38)),3,0))</f>
        <v>2</v>
      </c>
      <c r="J38" s="26">
        <f>IF(I38=3,1,0)</f>
        <v>0</v>
      </c>
    </row>
    <row r="39" spans="1:10" ht="26" customHeight="1">
      <c r="A39" s="22" t="s">
        <v>100</v>
      </c>
      <c r="B39" s="9" t="s">
        <v>101</v>
      </c>
      <c r="C39" s="9" t="s">
        <v>102</v>
      </c>
      <c r="D39" s="9" t="s">
        <v>103</v>
      </c>
      <c r="E39" s="9" t="s">
        <v>104</v>
      </c>
      <c r="F39" s="11"/>
      <c r="G39" s="4"/>
      <c r="H39" s="5"/>
      <c r="I39" s="28"/>
      <c r="J39" s="26"/>
    </row>
    <row r="40" spans="1:10" ht="13" customHeight="1">
      <c r="A40" s="23"/>
      <c r="B40" s="7"/>
      <c r="C40" s="7"/>
      <c r="D40" s="7" t="s">
        <v>10</v>
      </c>
      <c r="E40" s="7"/>
      <c r="F40" s="12"/>
      <c r="G40" s="10"/>
      <c r="H40" s="5" t="str">
        <f>IF(IF(NOT(ISBLANK(B40)),1,0)+IF(NOT(ISBLANK(C40)),1,0)+IF(NOT(ISBLANK(D40)),1,0)+IF(NOT(ISBLANK(E40)),1,0)=1,"Yes","No")</f>
        <v>Yes</v>
      </c>
      <c r="I40" s="28">
        <f>IF(H40="No","check data",IF(NOT(ISBLANK(B40)),0,0)+IF(NOT(ISBLANK(C40)),1,0)+IF(NOT(ISBLANK(D40)),2,0)+IF(NOT(ISBLANK(E40)),3,0))</f>
        <v>2</v>
      </c>
      <c r="J40" s="26">
        <f>IF(I40=3,1,0)</f>
        <v>0</v>
      </c>
    </row>
    <row r="41" spans="1:10" ht="26" customHeight="1">
      <c r="A41" s="22" t="s">
        <v>105</v>
      </c>
      <c r="B41" s="9" t="s">
        <v>106</v>
      </c>
      <c r="C41" s="9" t="s">
        <v>107</v>
      </c>
      <c r="D41" s="9" t="s">
        <v>108</v>
      </c>
      <c r="E41" s="9" t="s">
        <v>109</v>
      </c>
      <c r="F41" s="11"/>
      <c r="G41" s="4"/>
      <c r="H41" s="5"/>
      <c r="I41" s="28"/>
      <c r="J41" s="26"/>
    </row>
    <row r="42" spans="1:10" ht="13" customHeight="1">
      <c r="A42" s="23"/>
      <c r="B42" s="7"/>
      <c r="C42" s="7"/>
      <c r="D42" s="7" t="s">
        <v>10</v>
      </c>
      <c r="E42" s="7"/>
      <c r="F42" s="12"/>
      <c r="G42" s="10"/>
      <c r="H42" s="5" t="str">
        <f>IF(IF(NOT(ISBLANK(B42)),1,0)+IF(NOT(ISBLANK(C42)),1,0)+IF(NOT(ISBLANK(D42)),1,0)+IF(NOT(ISBLANK(E42)),1,0)=1,"Yes","No")</f>
        <v>Yes</v>
      </c>
      <c r="I42" s="28">
        <f>IF(H42="No","check data",IF(NOT(ISBLANK(B42)),0,0)+IF(NOT(ISBLANK(C42)),1,0)+IF(NOT(ISBLANK(D42)),2,0)+IF(NOT(ISBLANK(E42)),3,0))</f>
        <v>2</v>
      </c>
      <c r="J42" s="26">
        <f>IF(I42=3,1,0)</f>
        <v>0</v>
      </c>
    </row>
    <row r="43" spans="1:10" ht="65" customHeight="1">
      <c r="A43" s="22" t="s">
        <v>110</v>
      </c>
      <c r="B43" s="9" t="s">
        <v>111</v>
      </c>
      <c r="C43" s="9" t="s">
        <v>112</v>
      </c>
      <c r="D43" s="9" t="s">
        <v>113</v>
      </c>
      <c r="E43" s="9" t="s">
        <v>114</v>
      </c>
      <c r="F43" s="11"/>
      <c r="G43" s="4"/>
      <c r="H43" s="5"/>
      <c r="I43" s="28"/>
      <c r="J43" s="26"/>
    </row>
    <row r="44" spans="1:10" ht="13" customHeight="1">
      <c r="A44" s="23"/>
      <c r="B44" s="7"/>
      <c r="C44" s="7"/>
      <c r="D44" s="7" t="s">
        <v>10</v>
      </c>
      <c r="E44" s="7"/>
      <c r="F44" s="12"/>
      <c r="G44" s="10"/>
      <c r="H44" s="5" t="str">
        <f>IF(IF(NOT(ISBLANK(B44)),1,0)+IF(NOT(ISBLANK(C44)),1,0)+IF(NOT(ISBLANK(D44)),1,0)+IF(NOT(ISBLANK(E44)),1,0)=1,"Yes","No")</f>
        <v>Yes</v>
      </c>
      <c r="I44" s="28">
        <f>IF(H44="No","check data",IF(NOT(ISBLANK(B44)),0,0)+IF(NOT(ISBLANK(C44)),1,0)+IF(NOT(ISBLANK(D44)),2,0)+IF(NOT(ISBLANK(E44)),3,0))</f>
        <v>2</v>
      </c>
      <c r="J44" s="26">
        <f>IF(I44=3,1,0)</f>
        <v>0</v>
      </c>
    </row>
    <row r="45" spans="1:10" ht="39" customHeight="1">
      <c r="A45" s="22" t="s">
        <v>115</v>
      </c>
      <c r="B45" s="9" t="s">
        <v>116</v>
      </c>
      <c r="C45" s="9" t="s">
        <v>117</v>
      </c>
      <c r="D45" s="9" t="s">
        <v>118</v>
      </c>
      <c r="E45" s="9" t="s">
        <v>119</v>
      </c>
      <c r="F45" s="11"/>
      <c r="G45" s="4"/>
      <c r="H45" s="5"/>
      <c r="I45" s="28"/>
      <c r="J45" s="26"/>
    </row>
    <row r="46" spans="1:10" ht="13" customHeight="1">
      <c r="A46" s="23"/>
      <c r="B46" s="7"/>
      <c r="C46" s="7"/>
      <c r="D46" s="7" t="s">
        <v>10</v>
      </c>
      <c r="E46" s="7"/>
      <c r="F46" s="12"/>
      <c r="G46" s="10"/>
      <c r="H46" s="5" t="str">
        <f>IF(IF(NOT(ISBLANK(B46)),1,0)+IF(NOT(ISBLANK(C46)),1,0)+IF(NOT(ISBLANK(D46)),1,0)+IF(NOT(ISBLANK(E46)),1,0)=1,"Yes","No")</f>
        <v>Yes</v>
      </c>
      <c r="I46" s="28">
        <f>IF(H46="No","check data",IF(NOT(ISBLANK(B46)),0,0)+IF(NOT(ISBLANK(C46)),1,0)+IF(NOT(ISBLANK(D46)),2,0)+IF(NOT(ISBLANK(E46)),3,0))</f>
        <v>2</v>
      </c>
      <c r="J46" s="26">
        <f>IF(I46=3,1,0)</f>
        <v>0</v>
      </c>
    </row>
    <row r="47" spans="1:10" ht="13" customHeight="1">
      <c r="A47" s="4"/>
      <c r="B47" s="15"/>
      <c r="C47" s="10"/>
      <c r="D47" s="10"/>
      <c r="E47" s="10"/>
      <c r="F47" s="10"/>
      <c r="G47" s="10"/>
      <c r="H47" s="10"/>
      <c r="I47" s="5"/>
      <c r="J47" s="5"/>
    </row>
    <row r="48" spans="1:10" ht="13">
      <c r="A48" s="6"/>
      <c r="B48" s="16" t="s">
        <v>120</v>
      </c>
      <c r="C48" s="17" t="s">
        <v>121</v>
      </c>
      <c r="D48" s="18"/>
      <c r="E48" s="18"/>
      <c r="F48" s="18"/>
      <c r="G48" s="18"/>
      <c r="H48" s="18"/>
      <c r="I48" s="27"/>
      <c r="J48" s="27"/>
    </row>
    <row r="49" spans="1:10">
      <c r="A49" s="20" t="s">
        <v>122</v>
      </c>
      <c r="B49" s="20"/>
      <c r="C49" s="8" t="str">
        <f>IF(OR(H6="No",H8="No",H10="No",H12="No",H14="No",H16="No",H18="No",H20="No",H22="No",H24="No",H26="No",H28="No"),"No",IF(OR(H30="No",H32="No",H34="No",H36="No",H38="No",H40="No",H42="No",H44="No",H46="No"),"No","Yes"))</f>
        <v>Yes</v>
      </c>
      <c r="D49" s="6"/>
      <c r="E49" s="6"/>
      <c r="F49" s="6"/>
      <c r="G49" s="6"/>
      <c r="H49" s="6"/>
      <c r="I49" s="27"/>
      <c r="J49" s="27"/>
    </row>
    <row r="50" spans="1:10">
      <c r="A50" s="20" t="s">
        <v>123</v>
      </c>
      <c r="B50" s="20"/>
      <c r="C50" s="8">
        <f>IF(C49="No","complete data",SUM(I6:I46))</f>
        <v>40</v>
      </c>
      <c r="D50" s="6" t="s">
        <v>124</v>
      </c>
      <c r="E50" s="6"/>
      <c r="F50" s="6"/>
      <c r="G50" s="6"/>
      <c r="H50" s="6"/>
      <c r="I50" s="27"/>
      <c r="J50" s="27"/>
    </row>
    <row r="51" spans="1:10">
      <c r="A51" s="20" t="s">
        <v>125</v>
      </c>
      <c r="B51" s="20"/>
      <c r="C51" s="13">
        <f>IF(C49="No","complete data",C50/21)</f>
        <v>1.9047619047619047</v>
      </c>
      <c r="D51" s="6"/>
      <c r="E51" s="6"/>
      <c r="F51" s="6"/>
      <c r="G51" s="6"/>
      <c r="H51" s="6"/>
      <c r="I51" s="27"/>
      <c r="J51" s="27"/>
    </row>
    <row r="52" spans="1:10">
      <c r="A52" s="20" t="s">
        <v>126</v>
      </c>
      <c r="B52" s="20"/>
      <c r="C52" s="8" t="str">
        <f>IF(C49="No","complete data",IF(C51&lt;=0.5,"not noticable",IF(C51&lt;1,"borderline",IF(C51&lt;=1.5,"mild",IF(C51&lt;=2,"moderate",IF(C51&lt;2.5,"moderate-to-severe","severe"))))))</f>
        <v>moderate</v>
      </c>
      <c r="D52" s="6" t="str">
        <f>IF(C49="No",":-):-):-)","depression")</f>
        <v>depression</v>
      </c>
      <c r="E52" s="6"/>
      <c r="F52" s="6"/>
      <c r="G52" s="6"/>
      <c r="H52" s="6"/>
      <c r="I52" s="27"/>
      <c r="J52" s="27"/>
    </row>
    <row r="53" spans="1:10" ht="26" customHeight="1">
      <c r="A53" s="21" t="s">
        <v>127</v>
      </c>
      <c r="B53" s="20"/>
      <c r="C53" s="8">
        <f>IF(C49="No","complete data",SUM(J6:J46))</f>
        <v>1</v>
      </c>
      <c r="D53" s="6" t="s">
        <v>128</v>
      </c>
      <c r="E53" s="6"/>
      <c r="F53" s="6"/>
      <c r="G53" s="6"/>
      <c r="H53" s="6"/>
      <c r="I53" s="27"/>
      <c r="J53" s="27"/>
    </row>
    <row r="54" spans="1:10">
      <c r="A54" s="6"/>
      <c r="B54" s="6"/>
      <c r="C54" s="6"/>
      <c r="D54" s="6"/>
      <c r="E54" s="6"/>
      <c r="F54" s="6"/>
      <c r="G54" s="6"/>
      <c r="H54" s="6"/>
      <c r="I54" s="27"/>
      <c r="J54" s="27"/>
    </row>
  </sheetData>
  <sheetProtection sheet="1" objects="1" scenarios="1"/>
  <printOptions gridLines="1" gridLinesSet="0"/>
  <pageMargins left="0.75" right="0.75" top="1" bottom="1" header="0.5" footer="0.5"/>
  <pageSetup paperSize="0" orientation="portrait" horizontalDpi="4294967292" verticalDpi="4294967292"/>
  <headerFooter alignWithMargins="0">
    <oddHeader>&amp;C&amp;"Helvetica,Regular"&amp;12&amp;F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Svirbely</dc:creator>
  <cp:keywords/>
  <dc:description/>
  <cp:lastModifiedBy>Carina Negreanu</cp:lastModifiedBy>
  <dcterms:created xsi:type="dcterms:W3CDTF">2020-01-27T10:28:50Z</dcterms:created>
  <dcterms:modified xsi:type="dcterms:W3CDTF">2020-01-27T10:28:50Z</dcterms:modified>
</cp:coreProperties>
</file>