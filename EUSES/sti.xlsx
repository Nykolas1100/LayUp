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FBFCE9-AC56-43DA-8852-D99CBF335F1F}" xr6:coauthVersionLast="45" xr6:coauthVersionMax="45" xr10:uidLastSave="{00000000-0000-0000-0000-000000000000}"/>
  <bookViews>
    <workbookView xWindow="3800" yWindow="3800" windowWidth="28800" windowHeight="15460"/>
  </bookViews>
  <sheets>
    <sheet name="STI Prod. Lst &amp; Associated Cost" sheetId="1" r:id="rId1"/>
  </sheets>
  <definedNames>
    <definedName name="_xlnm.Print_Area" localSheetId="0">'STI Prod. Lst &amp; Associated Cost'!$A$1:$E$129</definedName>
  </definedNames>
  <calcPr calcId="0" iterate="1"/>
</workbook>
</file>

<file path=xl/calcChain.xml><?xml version="1.0" encoding="utf-8"?>
<calcChain xmlns="http://schemas.openxmlformats.org/spreadsheetml/2006/main">
  <c r="D14" i="1" l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51" i="1"/>
  <c r="D52" i="1"/>
  <c r="D53" i="1"/>
  <c r="D54" i="1"/>
  <c r="D55" i="1"/>
  <c r="D56" i="1"/>
  <c r="D57" i="1"/>
  <c r="D58" i="1"/>
  <c r="D59" i="1"/>
  <c r="D60" i="1"/>
  <c r="D62" i="1"/>
  <c r="D64" i="1"/>
  <c r="D65" i="1"/>
  <c r="D67" i="1"/>
  <c r="D69" i="1"/>
  <c r="D70" i="1"/>
  <c r="D71" i="1"/>
  <c r="D72" i="1"/>
  <c r="D73" i="1"/>
  <c r="D74" i="1"/>
  <c r="D75" i="1"/>
  <c r="D76" i="1"/>
  <c r="D77" i="1"/>
  <c r="D81" i="1"/>
  <c r="D82" i="1"/>
  <c r="D83" i="1"/>
  <c r="D84" i="1"/>
  <c r="D85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</calcChain>
</file>

<file path=xl/sharedStrings.xml><?xml version="1.0" encoding="utf-8"?>
<sst xmlns="http://schemas.openxmlformats.org/spreadsheetml/2006/main" count="207" uniqueCount="168">
  <si>
    <t>KETS PRICE CONTRACT</t>
  </si>
  <si>
    <t>Management Software</t>
  </si>
  <si>
    <t>Master Agreement # C-99001736</t>
  </si>
  <si>
    <t>Revised August 13, 2002</t>
  </si>
  <si>
    <t xml:space="preserve">School District Name:  </t>
  </si>
  <si>
    <r>
      <t>Software Technology Inc.,</t>
    </r>
    <r>
      <rPr>
        <sz val="10"/>
        <rFont val="Helvetica"/>
        <family val="2"/>
      </rPr>
      <t xml:space="preserve"> 4721 Morrison Drive, Suite 200, Mobile AL  36609-3350</t>
    </r>
  </si>
  <si>
    <t>Ruby McCullough, (877) 844-0884, Fax (251) 304-0011</t>
  </si>
  <si>
    <t>School Level STI Software</t>
  </si>
  <si>
    <t>School Product Purchases</t>
  </si>
  <si>
    <t># of Schools (ENR &gt; 50)</t>
  </si>
  <si>
    <t>Cost</t>
  </si>
  <si>
    <t>Total</t>
  </si>
  <si>
    <t>Comments</t>
  </si>
  <si>
    <t>STIOffice</t>
  </si>
  <si>
    <r>
      <t xml:space="preserve">Includes Attendance, Demographics, Grading, Scheduling, Discipline.  </t>
    </r>
    <r>
      <rPr>
        <b/>
        <sz val="9"/>
        <rFont val="Arial"/>
        <family val="2"/>
      </rPr>
      <t>Training Required.</t>
    </r>
  </si>
  <si>
    <t>STIOffice Annual Support</t>
  </si>
  <si>
    <t>Annual support cost for enhancements only</t>
  </si>
  <si>
    <t>Student Academic History</t>
  </si>
  <si>
    <r>
      <t xml:space="preserve">Student's Transcripts &amp; Testing Module.  </t>
    </r>
    <r>
      <rPr>
        <b/>
        <sz val="9"/>
        <rFont val="Arial"/>
        <family val="2"/>
      </rPr>
      <t>Training Required.</t>
    </r>
  </si>
  <si>
    <t>STISets/STIHealth - Less than 250 students</t>
  </si>
  <si>
    <r>
      <t xml:space="preserve">Records student's detailed Special Ed information such as IEPs and detailed Health Information.  </t>
    </r>
    <r>
      <rPr>
        <b/>
        <sz val="9"/>
        <rFont val="Arial"/>
        <family val="2"/>
      </rPr>
      <t>Training Required.</t>
    </r>
  </si>
  <si>
    <t>STISets/STIHealth - More than 250 students</t>
  </si>
  <si>
    <r>
      <t xml:space="preserve">Records student's detailed Special Ed information such as IEPs and detailed Health Information. </t>
    </r>
    <r>
      <rPr>
        <b/>
        <sz val="9"/>
        <rFont val="Arial"/>
        <family val="2"/>
      </rPr>
      <t xml:space="preserve"> Training Required.</t>
    </r>
  </si>
  <si>
    <t>STISets/STIHealth Annual Support</t>
  </si>
  <si>
    <t>Support for STISets/STIHealth</t>
  </si>
  <si>
    <t>STIDistrict Sets</t>
  </si>
  <si>
    <r>
      <t xml:space="preserve">STISets/STIHealth Accumulator.  </t>
    </r>
    <r>
      <rPr>
        <b/>
        <sz val="9"/>
        <rFont val="Arial"/>
        <family val="2"/>
      </rPr>
      <t>Training Required.</t>
    </r>
  </si>
  <si>
    <t>STIDistrict Sets Annual Support</t>
  </si>
  <si>
    <t>STIDistrict Sets Annual Support.  Effective July 1, 2003.</t>
  </si>
  <si>
    <t>STISets DL - District Level Only</t>
  </si>
  <si>
    <r>
      <t xml:space="preserve">STISets/STIHealth installed only at District Office.  </t>
    </r>
    <r>
      <rPr>
        <b/>
        <sz val="9"/>
        <rFont val="Arial"/>
        <family val="2"/>
      </rPr>
      <t>Training Required.</t>
    </r>
  </si>
  <si>
    <t>STISets DL - District Level Annual Support</t>
  </si>
  <si>
    <t>STISets/STIHealth installed only at District Office annual support</t>
  </si>
  <si>
    <t>STIClassroom(Win)</t>
  </si>
  <si>
    <r>
      <t xml:space="preserve">Record Attendance &amp; Grades from Classroom.  </t>
    </r>
    <r>
      <rPr>
        <b/>
        <sz val="9"/>
        <rFont val="Arial"/>
        <family val="2"/>
      </rPr>
      <t>Training Required.</t>
    </r>
  </si>
  <si>
    <t>STIClassroom(Web) with STIClassroom(Win) already installed</t>
  </si>
  <si>
    <r>
      <t xml:space="preserve">Record Attendance &amp; Grades from Classroom -  Requires Windows 2000 Server.  </t>
    </r>
    <r>
      <rPr>
        <b/>
        <sz val="9"/>
        <rFont val="Arial"/>
        <family val="2"/>
      </rPr>
      <t>Training Required.</t>
    </r>
  </si>
  <si>
    <t>STIClassroom(Web)</t>
  </si>
  <si>
    <r>
      <t xml:space="preserve">Record Attendance &amp; Grades from Classroom - Requires Windows 2000 Server.  </t>
    </r>
    <r>
      <rPr>
        <b/>
        <sz val="9"/>
        <rFont val="Arial"/>
        <family val="2"/>
      </rPr>
      <t>Training Required.</t>
    </r>
  </si>
  <si>
    <t>STIClassroom(Win) with STIClassroom(Web) already installed</t>
  </si>
  <si>
    <t>STIClassroom Annual Support</t>
  </si>
  <si>
    <t>STIClassroom Annual Support (all versions)</t>
  </si>
  <si>
    <t>STIClassroom Companion (1-20 teachers) per teacher</t>
  </si>
  <si>
    <t>STIClassroom Take-Home version</t>
  </si>
  <si>
    <t>STIClassroom Companion (21-40 teachers) per teacher</t>
  </si>
  <si>
    <t>STIClassroom Companion (41-60 teachers) per teacher</t>
  </si>
  <si>
    <t>STIClassroom Companion (61-100 teachers) per teacher</t>
  </si>
  <si>
    <t>STIClassroom Companion (101-200 teachers) per teacher</t>
  </si>
  <si>
    <t>STIClassroom Companion (201 or more teachers) per teacher</t>
  </si>
  <si>
    <t>STICaller - Outbound only w/STI supplied workstation</t>
  </si>
  <si>
    <r>
      <t xml:space="preserve">STICaller.  </t>
    </r>
    <r>
      <rPr>
        <b/>
        <sz val="9"/>
        <rFont val="Arial"/>
        <family val="2"/>
      </rPr>
      <t>Training Required.</t>
    </r>
  </si>
  <si>
    <t>STICaller - Inbound &amp; Outbound w/STI workstation</t>
  </si>
  <si>
    <t>STICaller - Outbound only w/o STI supplied workstation</t>
  </si>
  <si>
    <t>STICaller - Inbound &amp; Outbound w/o STI workstation</t>
  </si>
  <si>
    <t>STICaller Annual Support</t>
  </si>
  <si>
    <t>STICaller Annual Support (all versions)</t>
  </si>
  <si>
    <t>STIDish (per school)</t>
  </si>
  <si>
    <t>Manual transfer of student info to STISets DL</t>
  </si>
  <si>
    <t>STISets Companion - 1-2 Special Ed. Teachers per teacher</t>
  </si>
  <si>
    <t>Take home version of STISets per site</t>
  </si>
  <si>
    <t>STISets Companion - 3-6 Special Ed. Teachers per teacher</t>
  </si>
  <si>
    <t>STISets Companion - 7 or more Special Ed. Teachers per teacher</t>
  </si>
  <si>
    <t>STIHome - High School (per month)</t>
  </si>
  <si>
    <t>STIHome for High School</t>
  </si>
  <si>
    <t>STIHome -  High School Initial Set up fee (per site)</t>
  </si>
  <si>
    <t>One month fee required at purchase for set up</t>
  </si>
  <si>
    <t>STIHome - Middle School (per month)</t>
  </si>
  <si>
    <t>STIHome for Middle School</t>
  </si>
  <si>
    <t>STI Software Continued</t>
  </si>
  <si>
    <t>STIHome - Middle School Initial Set up fee (per site)</t>
  </si>
  <si>
    <t>STIHome - Elementary School (per month)</t>
  </si>
  <si>
    <t>STIHome for Elem School</t>
  </si>
  <si>
    <t>STIHome - Elementary School Initial Set up fee (per site)</t>
  </si>
  <si>
    <t>STIBookkeeper - High School</t>
  </si>
  <si>
    <r>
      <t xml:space="preserve">STIBookkeeper - H. S. </t>
    </r>
    <r>
      <rPr>
        <b/>
        <sz val="9"/>
        <rFont val="Arial"/>
        <family val="2"/>
      </rPr>
      <t>Training Required.</t>
    </r>
  </si>
  <si>
    <t>STIBookkeeper - Middle School</t>
  </si>
  <si>
    <r>
      <t xml:space="preserve">STIBookkeeper - M. S. </t>
    </r>
    <r>
      <rPr>
        <b/>
        <sz val="9"/>
        <rFont val="Arial"/>
        <family val="2"/>
      </rPr>
      <t>Training Required.</t>
    </r>
  </si>
  <si>
    <t>STIBookkeeper - Elementary School</t>
  </si>
  <si>
    <r>
      <t xml:space="preserve">STIBookkeeper - E. S. </t>
    </r>
    <r>
      <rPr>
        <b/>
        <sz val="9"/>
        <rFont val="Arial"/>
        <family val="2"/>
      </rPr>
      <t>Training Required.</t>
    </r>
  </si>
  <si>
    <t>STIBookkeeper Annual Support</t>
  </si>
  <si>
    <t>STIAccessories</t>
  </si>
  <si>
    <r>
      <t xml:space="preserve">Package includes STISave-It, STIQuery Builder, STIData Import/Export, and STIPalm.  </t>
    </r>
    <r>
      <rPr>
        <b/>
        <sz val="9"/>
        <rFont val="Arial"/>
        <family val="2"/>
      </rPr>
      <t>Training Required.</t>
    </r>
  </si>
  <si>
    <t>STIAccessories Annual Support</t>
  </si>
  <si>
    <t>STIAccessories Annual Support.  Effective July 1, 2003.</t>
  </si>
  <si>
    <t>STISave-It</t>
  </si>
  <si>
    <r>
      <t>Back up utility with built in scheduler.</t>
    </r>
    <r>
      <rPr>
        <b/>
        <sz val="9"/>
        <rFont val="Arial"/>
        <family val="2"/>
      </rPr>
      <t xml:space="preserve">  Training Required.</t>
    </r>
  </si>
  <si>
    <t>STISave-It Annual Support</t>
  </si>
  <si>
    <t>STISave-It Annual Support.  Effective July 1, 2003.</t>
  </si>
  <si>
    <t>STIOffice Query Builder</t>
  </si>
  <si>
    <r>
      <t xml:space="preserve">Includes more detailed school-level query functionality.  </t>
    </r>
    <r>
      <rPr>
        <b/>
        <sz val="9"/>
        <rFont val="Arial"/>
        <family val="2"/>
      </rPr>
      <t>Training Required.</t>
    </r>
  </si>
  <si>
    <t>STIOffice Query Builder Annual Support</t>
  </si>
  <si>
    <t>STIOffice Query Builder Annual Support.  Effective July 1, 2003</t>
  </si>
  <si>
    <t>STIOffice Data Import/Export</t>
  </si>
  <si>
    <r>
      <t xml:space="preserve">Exports STIOffice data to 3rd-party products.  </t>
    </r>
    <r>
      <rPr>
        <b/>
        <sz val="9"/>
        <rFont val="Arial"/>
        <family val="2"/>
      </rPr>
      <t>Training Required.</t>
    </r>
  </si>
  <si>
    <t>STIPalm - Less than 450 students</t>
  </si>
  <si>
    <r>
      <t xml:space="preserve">Ability to download STIOffice to handheld device.  </t>
    </r>
    <r>
      <rPr>
        <b/>
        <sz val="9"/>
        <rFont val="Arial"/>
        <family val="2"/>
      </rPr>
      <t>Training Required.</t>
    </r>
  </si>
  <si>
    <t>STIPalm Annual Support w/more than 450 students</t>
  </si>
  <si>
    <t>STIPalm Annual Support.  Effective July 1, 2003.</t>
  </si>
  <si>
    <t>STIPalm - More than 450 students</t>
  </si>
  <si>
    <t>Teacher's Pal - 500 or less students</t>
  </si>
  <si>
    <r>
      <t xml:space="preserve">Facilitates the management of standards-based curriculum and lesson plans.  </t>
    </r>
    <r>
      <rPr>
        <b/>
        <sz val="9"/>
        <rFont val="Arial"/>
        <family val="2"/>
      </rPr>
      <t>Training Required.</t>
    </r>
  </si>
  <si>
    <t>Teacher's Pal - Over 500 students</t>
  </si>
  <si>
    <t>$4 per student</t>
  </si>
  <si>
    <t>Teacher's Pal Annual Support</t>
  </si>
  <si>
    <t>20% of purchase/year</t>
  </si>
  <si>
    <t>Confluent EDU</t>
  </si>
  <si>
    <t>$2 per student</t>
  </si>
  <si>
    <r>
      <t xml:space="preserve">Data Mining program.  </t>
    </r>
    <r>
      <rPr>
        <b/>
        <sz val="9"/>
        <rFont val="Arial"/>
        <family val="2"/>
      </rPr>
      <t>Training Required.</t>
    </r>
  </si>
  <si>
    <t>Confluent EDU Training</t>
  </si>
  <si>
    <t>Confluent EDU Annual Support</t>
  </si>
  <si>
    <t>E - OnCampus</t>
  </si>
  <si>
    <t>$12 per employee</t>
  </si>
  <si>
    <r>
      <t xml:space="preserve">Tracks professional development .  </t>
    </r>
    <r>
      <rPr>
        <b/>
        <sz val="9"/>
        <rFont val="Arial"/>
        <family val="2"/>
      </rPr>
      <t>Training Required.</t>
    </r>
  </si>
  <si>
    <t>E - OnCampus Training</t>
  </si>
  <si>
    <t>E - OnCampus Annual Support</t>
  </si>
  <si>
    <t>Additional School Related Costs</t>
  </si>
  <si>
    <t># of Days</t>
  </si>
  <si>
    <t>Data Conversion</t>
  </si>
  <si>
    <t>A school may or may not have data to convert.</t>
  </si>
  <si>
    <t>Phase I &amp; II Training quoted prior to April 1, 2002</t>
  </si>
  <si>
    <t>On-site training quoted prior to April 1, 2002.</t>
  </si>
  <si>
    <t>Phase I &amp; II Training quoted after April 1, 2002</t>
  </si>
  <si>
    <t>On-site training quoted after April 1, 2002, unless otherwise specified.</t>
  </si>
  <si>
    <t>Consulting for Information Systems Implementation</t>
  </si>
  <si>
    <t>Consulting fee for days above and beyond the training days.</t>
  </si>
  <si>
    <t>School Subtotal</t>
  </si>
  <si>
    <t>District Level STI Software</t>
  </si>
  <si>
    <t>District Product Purchases</t>
  </si>
  <si>
    <t>Quantity</t>
  </si>
  <si>
    <t>STIDistrict</t>
  </si>
  <si>
    <r>
      <t xml:space="preserve">District Accumulator.  </t>
    </r>
    <r>
      <rPr>
        <b/>
        <sz val="9"/>
        <rFont val="Arial"/>
        <family val="2"/>
      </rPr>
      <t>Training Required.</t>
    </r>
  </si>
  <si>
    <t>STIDistrict Net</t>
  </si>
  <si>
    <t>$1500 + $200 per school &gt;5</t>
  </si>
  <si>
    <t>Piece that exports student data from STIOffice program into the STIDistrict program.</t>
  </si>
  <si>
    <t>STIDistrict Training and Installation</t>
  </si>
  <si>
    <t>Product installation and training.  EdTech - Professional Development</t>
  </si>
  <si>
    <t>STIDistrict Annual Support</t>
  </si>
  <si>
    <t>STIDistrict annual support cost for enhancements only</t>
  </si>
  <si>
    <t>STIDistrict Exchange Manager</t>
  </si>
  <si>
    <t>$1 per student</t>
  </si>
  <si>
    <r>
      <t xml:space="preserve">Manages student e-mails.  Price based on district enrollment.  </t>
    </r>
    <r>
      <rPr>
        <b/>
        <sz val="9"/>
        <rFont val="Arial"/>
        <family val="2"/>
      </rPr>
      <t>Training Required.</t>
    </r>
  </si>
  <si>
    <t>STIDistrict Exchange Manager Support</t>
  </si>
  <si>
    <t>Annual support costs include phone support and enhancements.</t>
  </si>
  <si>
    <t>STITextbook - 5 or less schools</t>
  </si>
  <si>
    <r>
      <t xml:space="preserve">Tracking and management of textbook distribution from the District Office.  </t>
    </r>
    <r>
      <rPr>
        <b/>
        <sz val="9"/>
        <rFont val="Arial"/>
        <family val="2"/>
      </rPr>
      <t>Training Required.</t>
    </r>
  </si>
  <si>
    <t>STITextbook - 6 -20 schools</t>
  </si>
  <si>
    <t>STITextbook - 21 - 30 schools</t>
  </si>
  <si>
    <t>STITextbook - more than 30 schools</t>
  </si>
  <si>
    <t>STITextbook Training</t>
  </si>
  <si>
    <t>STITextbook Annual Support</t>
  </si>
  <si>
    <t>District Subtotal</t>
  </si>
  <si>
    <t>Total due to STI</t>
  </si>
  <si>
    <r>
      <t xml:space="preserve">Please Note:  </t>
    </r>
    <r>
      <rPr>
        <sz val="10"/>
        <rFont val="Helvetica"/>
        <family val="2"/>
      </rPr>
      <t>There are other hardware and software items on this contract which can be purchased</t>
    </r>
  </si>
  <si>
    <t xml:space="preserve">by school districts but cannot be purchased with Ed. Tech. Funds.  For information on these items, </t>
  </si>
  <si>
    <t>please contact the vendor.</t>
  </si>
  <si>
    <t xml:space="preserve">Internet training is available on some products at a cost of $75 per hour with a minimum of one hour.  </t>
  </si>
  <si>
    <t>A full day cost of training via the Internet is $450.  56kb Internet connection or better is required.</t>
  </si>
  <si>
    <t>The cost of these items will be taken out of the District's Allotment for this line item.  We verify this</t>
  </si>
  <si>
    <t xml:space="preserve">has not gone over the State Master Plan budget for this line item (State Board Approved Master Plan of </t>
  </si>
  <si>
    <r>
      <t xml:space="preserve">September, 2000).  We verify the above will be purchased </t>
    </r>
    <r>
      <rPr>
        <b/>
        <u/>
        <sz val="10"/>
        <rFont val="Helvetica"/>
        <family val="2"/>
      </rPr>
      <t>(NOT LEASED/BONDED)</t>
    </r>
    <r>
      <rPr>
        <sz val="10"/>
        <rFont val="Helvetica"/>
        <family val="2"/>
      </rPr>
      <t xml:space="preserve"> 100% from the</t>
    </r>
  </si>
  <si>
    <t>KETS Price Contract and we have sufficient Education Technology Funds in our account to cover</t>
  </si>
  <si>
    <t>these expenditures:</t>
  </si>
  <si>
    <t xml:space="preserve">Financial Officer Name:  </t>
  </si>
  <si>
    <t xml:space="preserve">Date:  </t>
  </si>
  <si>
    <t xml:space="preserve">District Technology Coordinator Name:  </t>
  </si>
  <si>
    <r>
      <t xml:space="preserve">I verify the District has correctly filled out their request form and may proceed to </t>
    </r>
    <r>
      <rPr>
        <sz val="10"/>
        <rFont val="Helvetica"/>
      </rPr>
      <t>PURCHASE</t>
    </r>
    <r>
      <rPr>
        <sz val="10"/>
        <rFont val="Helvetica"/>
        <family val="2"/>
      </rPr>
      <t xml:space="preserve"> KETS</t>
    </r>
  </si>
  <si>
    <t>Technology.</t>
  </si>
  <si>
    <t xml:space="preserve">KETS Regional Engineer Name: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</si>
</sst>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2" formatCode="&quot;$&quot;#,##0"/>
    <numFmt numFmtId="173" formatCode="&quot;$&quot;#,##0.00"/>
    <numFmt numFmtId="174" formatCode="mmm\ d\,\ yyyy"/>
  </numFmts>
  <fonts count="13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Helvetica"/>
      <family val="2"/>
    </font>
    <font>
      <b/>
      <sz val="10"/>
      <name val="Helvetica"/>
      <family val="2"/>
    </font>
    <font>
      <b/>
      <u/>
      <sz val="10"/>
      <name val="Helvetica"/>
      <family val="2"/>
    </font>
    <font>
      <u/>
      <sz val="10"/>
      <name val="Helvetica"/>
      <family val="2"/>
    </font>
    <font>
      <sz val="10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9">
    <xf numFmtId="0" fontId="0" fillId="0" borderId="0" xfId="0"/>
    <xf numFmtId="0" fontId="8" fillId="2" borderId="0" xfId="0" applyFont="1" applyFill="1" applyAlignment="1" applyProtection="1">
      <alignment horizontal="centerContinuous"/>
    </xf>
    <xf numFmtId="0" fontId="8" fillId="2" borderId="0" xfId="0" applyFont="1" applyFill="1" applyProtection="1"/>
    <xf numFmtId="0" fontId="9" fillId="2" borderId="0" xfId="0" applyFont="1" applyFill="1" applyProtection="1">
      <protection locked="0"/>
    </xf>
    <xf numFmtId="174" fontId="8" fillId="2" borderId="0" xfId="0" applyNumberFormat="1" applyFont="1" applyFill="1" applyProtection="1"/>
    <xf numFmtId="0" fontId="10" fillId="2" borderId="0" xfId="0" applyFont="1" applyFill="1" applyProtection="1"/>
    <xf numFmtId="0" fontId="9" fillId="2" borderId="0" xfId="0" applyFont="1" applyFill="1" applyProtection="1"/>
    <xf numFmtId="170" fontId="8" fillId="2" borderId="0" xfId="1" applyFont="1" applyFill="1" applyProtection="1"/>
    <xf numFmtId="164" fontId="11" fillId="2" borderId="0" xfId="0" applyNumberFormat="1" applyFont="1" applyFill="1" applyAlignment="1" applyProtection="1">
      <alignment horizontal="right"/>
    </xf>
    <xf numFmtId="0" fontId="8" fillId="2" borderId="0" xfId="0" applyFont="1" applyFill="1" applyAlignment="1" applyProtection="1">
      <alignment horizontal="left"/>
      <protection locked="0"/>
    </xf>
    <xf numFmtId="0" fontId="2" fillId="2" borderId="0" xfId="0" applyFont="1" applyFill="1" applyProtection="1"/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 wrapText="1"/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5" fillId="2" borderId="4" xfId="0" applyFont="1" applyFill="1" applyBorder="1" applyAlignment="1" applyProtection="1">
      <alignment horizontal="center" wrapText="1"/>
      <protection locked="0"/>
    </xf>
    <xf numFmtId="0" fontId="2" fillId="2" borderId="1" xfId="0" applyFont="1" applyFill="1" applyBorder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2" fillId="2" borderId="4" xfId="0" applyFont="1" applyFill="1" applyBorder="1" applyAlignment="1" applyProtection="1">
      <alignment wrapText="1"/>
      <protection locked="0"/>
    </xf>
    <xf numFmtId="174" fontId="8" fillId="2" borderId="0" xfId="0" applyNumberFormat="1" applyFont="1" applyFill="1" applyAlignment="1" applyProtection="1">
      <alignment horizontal="right"/>
    </xf>
    <xf numFmtId="0" fontId="3" fillId="2" borderId="0" xfId="0" applyFont="1" applyFill="1" applyBorder="1" applyAlignment="1" applyProtection="1">
      <alignment horizontal="centerContinuous"/>
    </xf>
    <xf numFmtId="0" fontId="0" fillId="2" borderId="0" xfId="0" applyFill="1" applyBorder="1" applyAlignment="1" applyProtection="1">
      <alignment horizontal="left"/>
    </xf>
    <xf numFmtId="0" fontId="2" fillId="2" borderId="0" xfId="0" applyFont="1" applyFill="1" applyBorder="1" applyAlignment="1" applyProtection="1"/>
    <xf numFmtId="0" fontId="2" fillId="2" borderId="0" xfId="0" applyFont="1" applyFill="1" applyAlignment="1" applyProtection="1">
      <alignment wrapText="1"/>
    </xf>
    <xf numFmtId="0" fontId="2" fillId="2" borderId="1" xfId="0" applyFont="1" applyFill="1" applyBorder="1" applyAlignment="1" applyProtection="1">
      <alignment wrapText="1"/>
      <protection locked="0"/>
    </xf>
    <xf numFmtId="0" fontId="2" fillId="2" borderId="3" xfId="0" applyFont="1" applyFill="1" applyBorder="1" applyAlignment="1" applyProtection="1">
      <alignment horizontal="center" wrapText="1"/>
      <protection locked="0"/>
    </xf>
    <xf numFmtId="0" fontId="2" fillId="2" borderId="5" xfId="0" applyFont="1" applyFill="1" applyBorder="1" applyProtection="1"/>
    <xf numFmtId="165" fontId="2" fillId="2" borderId="4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wrapText="1"/>
    </xf>
    <xf numFmtId="0" fontId="2" fillId="2" borderId="3" xfId="0" applyFont="1" applyFill="1" applyBorder="1" applyAlignment="1" applyProtection="1">
      <alignment wrapText="1"/>
      <protection locked="0"/>
    </xf>
    <xf numFmtId="0" fontId="2" fillId="2" borderId="2" xfId="0" applyFont="1" applyFill="1" applyBorder="1" applyAlignment="1" applyProtection="1">
      <alignment horizontal="center" wrapText="1"/>
      <protection locked="0"/>
    </xf>
    <xf numFmtId="0" fontId="6" fillId="2" borderId="0" xfId="0" applyFont="1" applyFill="1" applyProtection="1"/>
    <xf numFmtId="0" fontId="7" fillId="2" borderId="0" xfId="0" applyFont="1" applyFill="1" applyAlignment="1" applyProtection="1">
      <alignment horizontal="right"/>
    </xf>
    <xf numFmtId="0" fontId="5" fillId="2" borderId="0" xfId="0" applyFont="1" applyFill="1" applyBorder="1" applyAlignment="1" applyProtection="1">
      <alignment horizontal="centerContinuous"/>
    </xf>
    <xf numFmtId="0" fontId="4" fillId="2" borderId="0" xfId="0" applyFont="1" applyFill="1" applyBorder="1" applyAlignment="1" applyProtection="1">
      <alignment horizontal="centerContinuous"/>
    </xf>
    <xf numFmtId="0" fontId="7" fillId="2" borderId="0" xfId="0" applyFont="1" applyFill="1" applyBorder="1" applyAlignment="1" applyProtection="1">
      <alignment horizontal="center"/>
    </xf>
    <xf numFmtId="172" fontId="6" fillId="2" borderId="0" xfId="0" applyNumberFormat="1" applyFont="1" applyFill="1" applyBorder="1" applyAlignment="1" applyProtection="1">
      <alignment horizontal="left"/>
    </xf>
    <xf numFmtId="172" fontId="6" fillId="2" borderId="0" xfId="0" applyNumberFormat="1" applyFont="1" applyFill="1" applyBorder="1" applyAlignment="1" applyProtection="1">
      <alignment horizontal="center"/>
    </xf>
    <xf numFmtId="172" fontId="7" fillId="2" borderId="0" xfId="0" applyNumberFormat="1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wrapText="1"/>
      <protection locked="0"/>
    </xf>
    <xf numFmtId="173" fontId="7" fillId="2" borderId="7" xfId="0" applyNumberFormat="1" applyFont="1" applyFill="1" applyBorder="1" applyAlignment="1" applyProtection="1">
      <alignment horizontal="center"/>
    </xf>
    <xf numFmtId="0" fontId="5" fillId="3" borderId="8" xfId="0" applyFont="1" applyFill="1" applyBorder="1" applyAlignment="1" applyProtection="1">
      <alignment horizontal="centerContinuous"/>
    </xf>
    <xf numFmtId="0" fontId="5" fillId="3" borderId="9" xfId="0" applyFont="1" applyFill="1" applyBorder="1" applyAlignment="1" applyProtection="1">
      <alignment horizontal="centerContinuous"/>
    </xf>
    <xf numFmtId="0" fontId="5" fillId="3" borderId="10" xfId="0" applyFont="1" applyFill="1" applyBorder="1" applyAlignment="1" applyProtection="1">
      <alignment horizontal="centerContinuous"/>
    </xf>
    <xf numFmtId="0" fontId="5" fillId="2" borderId="11" xfId="0" applyFont="1" applyFill="1" applyBorder="1" applyAlignment="1" applyProtection="1">
      <alignment horizontal="centerContinuous"/>
    </xf>
    <xf numFmtId="0" fontId="5" fillId="2" borderId="12" xfId="0" applyFont="1" applyFill="1" applyBorder="1" applyAlignment="1" applyProtection="1">
      <alignment horizontal="centerContinuous"/>
    </xf>
    <xf numFmtId="0" fontId="5" fillId="2" borderId="13" xfId="0" applyFont="1" applyFill="1" applyBorder="1" applyAlignment="1" applyProtection="1">
      <alignment horizontal="center" wrapText="1"/>
    </xf>
    <xf numFmtId="0" fontId="5" fillId="2" borderId="14" xfId="0" applyFont="1" applyFill="1" applyBorder="1" applyAlignment="1" applyProtection="1">
      <alignment horizontal="center" wrapText="1"/>
    </xf>
    <xf numFmtId="0" fontId="5" fillId="2" borderId="15" xfId="0" applyFont="1" applyFill="1" applyBorder="1" applyAlignment="1" applyProtection="1">
      <alignment horizontal="center" wrapText="1"/>
    </xf>
    <xf numFmtId="0" fontId="2" fillId="2" borderId="16" xfId="0" applyFont="1" applyFill="1" applyBorder="1" applyAlignment="1" applyProtection="1">
      <alignment wrapText="1"/>
    </xf>
    <xf numFmtId="164" fontId="2" fillId="2" borderId="3" xfId="1" applyNumberFormat="1" applyFont="1" applyFill="1" applyBorder="1" applyAlignment="1" applyProtection="1">
      <alignment horizontal="center" wrapText="1"/>
    </xf>
    <xf numFmtId="164" fontId="2" fillId="2" borderId="3" xfId="0" applyNumberFormat="1" applyFont="1" applyFill="1" applyBorder="1" applyAlignment="1" applyProtection="1">
      <alignment horizontal="center" wrapText="1"/>
    </xf>
    <xf numFmtId="0" fontId="2" fillId="2" borderId="17" xfId="0" applyFont="1" applyFill="1" applyBorder="1" applyAlignment="1" applyProtection="1">
      <alignment wrapText="1"/>
    </xf>
    <xf numFmtId="0" fontId="2" fillId="2" borderId="18" xfId="0" applyFont="1" applyFill="1" applyBorder="1" applyAlignment="1" applyProtection="1">
      <alignment wrapText="1"/>
    </xf>
    <xf numFmtId="164" fontId="2" fillId="2" borderId="1" xfId="1" applyNumberFormat="1" applyFont="1" applyFill="1" applyBorder="1" applyAlignment="1" applyProtection="1">
      <alignment horizontal="center" wrapText="1"/>
    </xf>
    <xf numFmtId="0" fontId="2" fillId="2" borderId="5" xfId="0" applyFont="1" applyFill="1" applyBorder="1" applyAlignment="1" applyProtection="1">
      <alignment wrapText="1"/>
    </xf>
    <xf numFmtId="172" fontId="2" fillId="2" borderId="1" xfId="0" applyNumberFormat="1" applyFont="1" applyFill="1" applyBorder="1" applyAlignment="1" applyProtection="1">
      <alignment horizontal="center" wrapText="1"/>
    </xf>
    <xf numFmtId="0" fontId="2" fillId="0" borderId="18" xfId="0" applyFont="1" applyFill="1" applyBorder="1" applyAlignment="1" applyProtection="1">
      <alignment wrapText="1"/>
    </xf>
    <xf numFmtId="0" fontId="2" fillId="0" borderId="18" xfId="0" applyFont="1" applyFill="1" applyBorder="1" applyAlignment="1" applyProtection="1">
      <alignment horizontal="left" wrapText="1"/>
    </xf>
    <xf numFmtId="0" fontId="2" fillId="2" borderId="6" xfId="0" applyFont="1" applyFill="1" applyBorder="1" applyAlignment="1" applyProtection="1">
      <alignment horizontal="left" wrapText="1"/>
    </xf>
    <xf numFmtId="0" fontId="2" fillId="0" borderId="16" xfId="0" applyFont="1" applyFill="1" applyBorder="1" applyAlignment="1" applyProtection="1">
      <alignment wrapText="1"/>
    </xf>
    <xf numFmtId="0" fontId="2" fillId="2" borderId="18" xfId="0" applyFont="1" applyFill="1" applyBorder="1" applyAlignment="1" applyProtection="1">
      <alignment horizontal="left" wrapText="1"/>
    </xf>
    <xf numFmtId="164" fontId="2" fillId="2" borderId="1" xfId="0" applyNumberFormat="1" applyFont="1" applyFill="1" applyBorder="1" applyAlignment="1" applyProtection="1">
      <alignment horizontal="center" wrapText="1"/>
    </xf>
    <xf numFmtId="0" fontId="2" fillId="2" borderId="19" xfId="0" applyFont="1" applyFill="1" applyBorder="1" applyAlignment="1" applyProtection="1">
      <alignment horizontal="left" wrapText="1"/>
    </xf>
    <xf numFmtId="172" fontId="2" fillId="2" borderId="2" xfId="0" applyNumberFormat="1" applyFont="1" applyFill="1" applyBorder="1" applyAlignment="1" applyProtection="1">
      <alignment horizontal="center" wrapText="1"/>
    </xf>
    <xf numFmtId="164" fontId="2" fillId="2" borderId="2" xfId="0" applyNumberFormat="1" applyFont="1" applyFill="1" applyBorder="1" applyAlignment="1" applyProtection="1">
      <alignment horizontal="center" wrapText="1"/>
    </xf>
    <xf numFmtId="0" fontId="2" fillId="2" borderId="2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horizontal="left" wrapText="1"/>
    </xf>
    <xf numFmtId="0" fontId="2" fillId="2" borderId="0" xfId="0" applyFont="1" applyFill="1" applyBorder="1" applyAlignment="1" applyProtection="1">
      <alignment wrapText="1"/>
    </xf>
    <xf numFmtId="172" fontId="2" fillId="2" borderId="0" xfId="0" applyNumberFormat="1" applyFont="1" applyFill="1" applyBorder="1" applyAlignment="1" applyProtection="1">
      <alignment horizontal="center" wrapText="1"/>
    </xf>
    <xf numFmtId="164" fontId="2" fillId="2" borderId="0" xfId="0" applyNumberFormat="1" applyFont="1" applyFill="1" applyBorder="1" applyAlignment="1" applyProtection="1">
      <alignment horizontal="center" wrapText="1"/>
    </xf>
    <xf numFmtId="0" fontId="2" fillId="2" borderId="0" xfId="0" applyFont="1" applyFill="1" applyBorder="1" applyAlignment="1" applyProtection="1">
      <alignment horizontal="center" wrapText="1"/>
    </xf>
    <xf numFmtId="0" fontId="2" fillId="2" borderId="21" xfId="0" applyFont="1" applyFill="1" applyBorder="1" applyAlignment="1" applyProtection="1">
      <alignment horizontal="left" wrapText="1"/>
    </xf>
    <xf numFmtId="0" fontId="2" fillId="2" borderId="21" xfId="0" applyFont="1" applyFill="1" applyBorder="1" applyAlignment="1" applyProtection="1">
      <alignment horizontal="center" wrapText="1"/>
    </xf>
    <xf numFmtId="172" fontId="2" fillId="2" borderId="21" xfId="0" applyNumberFormat="1" applyFont="1" applyFill="1" applyBorder="1" applyAlignment="1" applyProtection="1">
      <alignment horizontal="center" wrapText="1"/>
    </xf>
    <xf numFmtId="164" fontId="2" fillId="2" borderId="21" xfId="0" applyNumberFormat="1" applyFont="1" applyFill="1" applyBorder="1" applyAlignment="1" applyProtection="1">
      <alignment horizontal="center" wrapText="1"/>
    </xf>
    <xf numFmtId="0" fontId="2" fillId="2" borderId="16" xfId="0" applyFont="1" applyFill="1" applyBorder="1" applyAlignment="1" applyProtection="1">
      <alignment horizontal="left" wrapText="1"/>
    </xf>
    <xf numFmtId="172" fontId="2" fillId="2" borderId="3" xfId="0" applyNumberFormat="1" applyFont="1" applyFill="1" applyBorder="1" applyAlignment="1" applyProtection="1">
      <alignment horizontal="center" wrapText="1"/>
    </xf>
    <xf numFmtId="0" fontId="2" fillId="2" borderId="17" xfId="0" applyFont="1" applyFill="1" applyBorder="1" applyAlignment="1" applyProtection="1">
      <alignment horizontal="left" wrapText="1"/>
    </xf>
    <xf numFmtId="172" fontId="2" fillId="2" borderId="4" xfId="0" applyNumberFormat="1" applyFont="1" applyFill="1" applyBorder="1" applyAlignment="1" applyProtection="1">
      <alignment horizontal="center" wrapText="1"/>
    </xf>
    <xf numFmtId="0" fontId="2" fillId="2" borderId="22" xfId="0" applyFont="1" applyFill="1" applyBorder="1" applyAlignment="1" applyProtection="1">
      <alignment horizontal="left" wrapText="1"/>
    </xf>
    <xf numFmtId="0" fontId="2" fillId="2" borderId="5" xfId="0" applyFont="1" applyFill="1" applyBorder="1" applyAlignment="1" applyProtection="1">
      <alignment horizontal="left" wrapText="1"/>
    </xf>
    <xf numFmtId="173" fontId="2" fillId="2" borderId="4" xfId="0" applyNumberFormat="1" applyFont="1" applyFill="1" applyBorder="1" applyAlignment="1" applyProtection="1">
      <alignment horizontal="center" wrapText="1"/>
    </xf>
    <xf numFmtId="164" fontId="2" fillId="2" borderId="23" xfId="0" applyNumberFormat="1" applyFont="1" applyFill="1" applyBorder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left" wrapText="1"/>
    </xf>
    <xf numFmtId="164" fontId="2" fillId="2" borderId="24" xfId="0" applyNumberFormat="1" applyFont="1" applyFill="1" applyBorder="1" applyAlignment="1" applyProtection="1">
      <alignment horizontal="center" wrapText="1"/>
    </xf>
    <xf numFmtId="164" fontId="2" fillId="2" borderId="25" xfId="0" applyNumberFormat="1" applyFont="1" applyFill="1" applyBorder="1" applyAlignment="1" applyProtection="1">
      <alignment horizontal="center" wrapText="1"/>
    </xf>
    <xf numFmtId="0" fontId="2" fillId="2" borderId="20" xfId="0" applyFont="1" applyFill="1" applyBorder="1" applyAlignment="1" applyProtection="1">
      <alignment horizontal="left" wrapText="1"/>
    </xf>
    <xf numFmtId="0" fontId="2" fillId="2" borderId="0" xfId="0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164" fontId="2" fillId="2" borderId="0" xfId="1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horizontal="center"/>
    </xf>
    <xf numFmtId="164" fontId="2" fillId="2" borderId="0" xfId="1" applyNumberFormat="1" applyFont="1" applyFill="1" applyAlignment="1" applyProtection="1">
      <alignment horizontal="center"/>
    </xf>
    <xf numFmtId="0" fontId="5" fillId="2" borderId="13" xfId="0" applyFont="1" applyFill="1" applyBorder="1" applyAlignment="1" applyProtection="1">
      <alignment horizontal="center"/>
    </xf>
    <xf numFmtId="0" fontId="5" fillId="2" borderId="14" xfId="0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5" fillId="2" borderId="15" xfId="0" applyFont="1" applyFill="1" applyBorder="1" applyAlignment="1" applyProtection="1">
      <alignment horizontal="center"/>
    </xf>
    <xf numFmtId="164" fontId="2" fillId="2" borderId="4" xfId="1" applyNumberFormat="1" applyFont="1" applyFill="1" applyBorder="1" applyAlignment="1" applyProtection="1">
      <alignment horizontal="center" wrapText="1"/>
    </xf>
    <xf numFmtId="0" fontId="2" fillId="2" borderId="22" xfId="0" applyFont="1" applyFill="1" applyBorder="1" applyAlignment="1" applyProtection="1">
      <alignment wrapText="1"/>
    </xf>
    <xf numFmtId="0" fontId="6" fillId="2" borderId="0" xfId="0" applyFont="1" applyFill="1" applyAlignment="1" applyProtection="1">
      <alignment wrapText="1"/>
    </xf>
    <xf numFmtId="166" fontId="7" fillId="2" borderId="26" xfId="0" applyNumberFormat="1" applyFont="1" applyFill="1" applyBorder="1" applyAlignment="1" applyProtection="1">
      <alignment horizontal="center" wrapText="1"/>
    </xf>
    <xf numFmtId="164" fontId="7" fillId="2" borderId="0" xfId="0" applyNumberFormat="1" applyFont="1" applyFill="1" applyBorder="1" applyAlignment="1" applyProtection="1">
      <alignment horizontal="center" wrapText="1"/>
    </xf>
    <xf numFmtId="0" fontId="5" fillId="2" borderId="0" xfId="0" applyFont="1" applyFill="1" applyAlignment="1" applyProtection="1">
      <alignment horizontal="right"/>
    </xf>
    <xf numFmtId="0" fontId="5" fillId="2" borderId="0" xfId="0" applyFont="1" applyFill="1" applyAlignment="1" applyProtection="1">
      <alignment horizontal="centerContinuous"/>
    </xf>
    <xf numFmtId="0" fontId="5" fillId="2" borderId="27" xfId="0" applyFont="1" applyFill="1" applyBorder="1" applyAlignment="1" applyProtection="1">
      <alignment horizontal="center" wrapText="1"/>
    </xf>
    <xf numFmtId="0" fontId="5" fillId="2" borderId="28" xfId="0" applyFont="1" applyFill="1" applyBorder="1" applyAlignment="1" applyProtection="1">
      <alignment horizontal="center" wrapText="1"/>
    </xf>
    <xf numFmtId="0" fontId="5" fillId="2" borderId="29" xfId="0" applyFont="1" applyFill="1" applyBorder="1" applyAlignment="1" applyProtection="1">
      <alignment horizontal="center" wrapText="1"/>
    </xf>
    <xf numFmtId="0" fontId="2" fillId="2" borderId="18" xfId="0" applyFont="1" applyFill="1" applyBorder="1" applyProtection="1"/>
    <xf numFmtId="172" fontId="2" fillId="2" borderId="1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Protection="1"/>
    <xf numFmtId="172" fontId="2" fillId="2" borderId="3" xfId="0" applyNumberFormat="1" applyFont="1" applyFill="1" applyBorder="1" applyAlignment="1" applyProtection="1">
      <alignment horizontal="center"/>
    </xf>
    <xf numFmtId="0" fontId="2" fillId="2" borderId="30" xfId="0" applyFont="1" applyFill="1" applyBorder="1" applyProtection="1"/>
    <xf numFmtId="0" fontId="2" fillId="2" borderId="19" xfId="0" applyFont="1" applyFill="1" applyBorder="1" applyProtection="1"/>
    <xf numFmtId="0" fontId="2" fillId="2" borderId="31" xfId="0" applyFont="1" applyFill="1" applyBorder="1" applyProtection="1"/>
    <xf numFmtId="173" fontId="7" fillId="2" borderId="26" xfId="0" applyNumberFormat="1" applyFont="1" applyFill="1" applyBorder="1" applyAlignment="1" applyProtection="1">
      <alignment horizontal="center"/>
    </xf>
    <xf numFmtId="173" fontId="7" fillId="2" borderId="0" xfId="0" applyNumberFormat="1" applyFont="1" applyFill="1" applyBorder="1" applyAlignment="1" applyProtection="1">
      <alignment horizontal="center"/>
    </xf>
    <xf numFmtId="14" fontId="8" fillId="2" borderId="0" xfId="0" applyNumberFormat="1" applyFont="1" applyFill="1" applyProtection="1"/>
    <xf numFmtId="0" fontId="2" fillId="2" borderId="4" xfId="0" applyFont="1" applyFill="1" applyBorder="1" applyProtection="1">
      <protection locked="0"/>
    </xf>
    <xf numFmtId="0" fontId="8" fillId="2" borderId="0" xfId="0" applyFont="1" applyFill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8AED02F-8F4B-4EAF-A6F2-C8188ED16E16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8877B23E-0D56-4BA3-84F0-0DD6C63837AC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4CA3902A-943A-4C2E-880A-E50012C5B2C7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B704BFD1-48C7-4099-9495-F4F6A36A79AD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C505D252-9B03-47EE-B3A9-D4DB0A5E8F5D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C14F0485-0CC4-49C1-82E7-EDB932F227EE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E56B8CB9-58E6-4F7E-9307-D3F4E1FF7D56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C3503259-F4E4-49CB-B862-54D278BE0BBE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86776D7F-7BBE-48EC-ABDA-898A47BA2B60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D6C135C7-AA2E-43A3-849D-3CA74EB8AB53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3542EEE2-D8C7-4164-AC93-0FC53B45B514}"/>
            </a:ext>
          </a:extLst>
        </xdr:cNvPr>
        <xdr:cNvSpPr>
          <a:spLocks noChangeArrowheads="1"/>
        </xdr:cNvSpPr>
      </xdr:nvSpPr>
      <xdr:spPr bwMode="auto">
        <a:xfrm>
          <a:off x="0" y="27647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tabSelected="1" workbookViewId="0"/>
  </sheetViews>
  <sheetFormatPr defaultColWidth="10" defaultRowHeight="11.5" x14ac:dyDescent="0.25"/>
  <cols>
    <col min="1" max="1" width="43" style="10" customWidth="1"/>
    <col min="2" max="2" width="11.26953125" style="10" customWidth="1"/>
    <col min="3" max="3" width="13.54296875" style="10" customWidth="1"/>
    <col min="4" max="4" width="11.26953125" style="10" customWidth="1"/>
    <col min="5" max="5" width="40" style="10" customWidth="1"/>
    <col min="6" max="16384" width="10" style="10"/>
  </cols>
  <sheetData>
    <row r="1" spans="1:5" ht="12.5" x14ac:dyDescent="0.25">
      <c r="A1" s="1" t="s">
        <v>0</v>
      </c>
      <c r="B1" s="1"/>
      <c r="C1" s="1"/>
      <c r="D1" s="1"/>
      <c r="E1" s="1"/>
    </row>
    <row r="2" spans="1:5" ht="12.5" x14ac:dyDescent="0.25">
      <c r="A2" s="1" t="s">
        <v>1</v>
      </c>
      <c r="B2" s="1"/>
      <c r="C2" s="1"/>
      <c r="D2" s="1"/>
      <c r="E2" s="1"/>
    </row>
    <row r="3" spans="1:5" ht="12.5" x14ac:dyDescent="0.25">
      <c r="A3" s="1" t="s">
        <v>2</v>
      </c>
      <c r="B3" s="1"/>
      <c r="C3" s="1"/>
      <c r="D3" s="1"/>
      <c r="E3" s="1"/>
    </row>
    <row r="4" spans="1:5" ht="15.5" x14ac:dyDescent="0.35">
      <c r="A4" s="2"/>
      <c r="B4" s="1"/>
      <c r="C4" s="2"/>
      <c r="D4" s="2"/>
      <c r="E4" s="20"/>
    </row>
    <row r="5" spans="1:5" ht="12.5" x14ac:dyDescent="0.25">
      <c r="B5" s="19"/>
      <c r="C5" s="19"/>
      <c r="D5" s="19"/>
      <c r="E5" s="19" t="s">
        <v>3</v>
      </c>
    </row>
    <row r="6" spans="1:5" ht="13" x14ac:dyDescent="0.3">
      <c r="A6" s="3" t="s">
        <v>4</v>
      </c>
      <c r="B6" s="1"/>
      <c r="C6" s="2"/>
      <c r="D6" s="4"/>
      <c r="E6" s="21"/>
    </row>
    <row r="7" spans="1:5" ht="12.5" x14ac:dyDescent="0.25">
      <c r="A7" s="2"/>
      <c r="B7" s="2"/>
      <c r="C7" s="2"/>
      <c r="D7" s="2"/>
      <c r="E7" s="21"/>
    </row>
    <row r="8" spans="1:5" ht="13" x14ac:dyDescent="0.3">
      <c r="A8" s="5" t="s">
        <v>5</v>
      </c>
      <c r="B8" s="2"/>
      <c r="C8" s="2"/>
      <c r="D8" s="2"/>
      <c r="E8" s="21"/>
    </row>
    <row r="9" spans="1:5" ht="12.5" x14ac:dyDescent="0.25">
      <c r="A9" s="2" t="s">
        <v>6</v>
      </c>
      <c r="B9" s="2"/>
      <c r="C9" s="2"/>
      <c r="D9" s="2"/>
    </row>
    <row r="10" spans="1:5" ht="12" thickBot="1" x14ac:dyDescent="0.3">
      <c r="A10" s="22"/>
      <c r="B10" s="22"/>
      <c r="C10" s="22"/>
      <c r="D10" s="22"/>
      <c r="E10" s="22"/>
    </row>
    <row r="11" spans="1:5" ht="12" thickBot="1" x14ac:dyDescent="0.3">
      <c r="A11" s="41" t="s">
        <v>7</v>
      </c>
      <c r="B11" s="42"/>
      <c r="C11" s="42"/>
      <c r="D11" s="42"/>
      <c r="E11" s="43"/>
    </row>
    <row r="12" spans="1:5" ht="12" thickBot="1" x14ac:dyDescent="0.3">
      <c r="A12" s="44"/>
      <c r="B12" s="33"/>
      <c r="C12" s="33"/>
      <c r="D12" s="33"/>
      <c r="E12" s="45"/>
    </row>
    <row r="13" spans="1:5" s="23" customFormat="1" ht="23.5" thickBot="1" x14ac:dyDescent="0.3">
      <c r="A13" s="46" t="s">
        <v>8</v>
      </c>
      <c r="B13" s="47" t="s">
        <v>9</v>
      </c>
      <c r="C13" s="47" t="s">
        <v>10</v>
      </c>
      <c r="D13" s="47" t="s">
        <v>11</v>
      </c>
      <c r="E13" s="48" t="s">
        <v>12</v>
      </c>
    </row>
    <row r="14" spans="1:5" ht="23" x14ac:dyDescent="0.25">
      <c r="A14" s="49" t="s">
        <v>13</v>
      </c>
      <c r="B14" s="13"/>
      <c r="C14" s="50">
        <v>3390</v>
      </c>
      <c r="D14" s="51">
        <f>C14*B14</f>
        <v>0</v>
      </c>
      <c r="E14" s="52" t="s">
        <v>14</v>
      </c>
    </row>
    <row r="15" spans="1:5" ht="15" customHeight="1" x14ac:dyDescent="0.25">
      <c r="A15" s="53" t="s">
        <v>15</v>
      </c>
      <c r="B15" s="14"/>
      <c r="C15" s="54">
        <v>336</v>
      </c>
      <c r="D15" s="51">
        <f>C15*B15</f>
        <v>0</v>
      </c>
      <c r="E15" s="28" t="s">
        <v>16</v>
      </c>
    </row>
    <row r="16" spans="1:5" ht="23" x14ac:dyDescent="0.25">
      <c r="A16" s="55" t="s">
        <v>17</v>
      </c>
      <c r="B16" s="14"/>
      <c r="C16" s="54">
        <v>0</v>
      </c>
      <c r="D16" s="51">
        <v>0</v>
      </c>
      <c r="E16" s="28" t="s">
        <v>18</v>
      </c>
    </row>
    <row r="17" spans="1:5" ht="34.5" x14ac:dyDescent="0.25">
      <c r="A17" s="53" t="s">
        <v>19</v>
      </c>
      <c r="B17" s="17"/>
      <c r="C17" s="56">
        <v>1060</v>
      </c>
      <c r="D17" s="51">
        <f t="shared" ref="D17:D23" si="0">C17*B17</f>
        <v>0</v>
      </c>
      <c r="E17" s="28" t="s">
        <v>20</v>
      </c>
    </row>
    <row r="18" spans="1:5" ht="34.5" x14ac:dyDescent="0.25">
      <c r="A18" s="57" t="s">
        <v>21</v>
      </c>
      <c r="B18" s="17"/>
      <c r="C18" s="56">
        <v>2120</v>
      </c>
      <c r="D18" s="51">
        <f t="shared" si="0"/>
        <v>0</v>
      </c>
      <c r="E18" s="28" t="s">
        <v>22</v>
      </c>
    </row>
    <row r="19" spans="1:5" x14ac:dyDescent="0.25">
      <c r="A19" s="57" t="s">
        <v>23</v>
      </c>
      <c r="B19" s="17"/>
      <c r="C19" s="56">
        <v>175</v>
      </c>
      <c r="D19" s="51">
        <f t="shared" si="0"/>
        <v>0</v>
      </c>
      <c r="E19" s="28" t="s">
        <v>24</v>
      </c>
    </row>
    <row r="20" spans="1:5" ht="23" x14ac:dyDescent="0.25">
      <c r="A20" s="58" t="s">
        <v>25</v>
      </c>
      <c r="B20" s="17"/>
      <c r="C20" s="56">
        <v>3400</v>
      </c>
      <c r="D20" s="51">
        <f t="shared" si="0"/>
        <v>0</v>
      </c>
      <c r="E20" s="28" t="s">
        <v>26</v>
      </c>
    </row>
    <row r="21" spans="1:5" ht="23" x14ac:dyDescent="0.25">
      <c r="A21" s="58" t="s">
        <v>27</v>
      </c>
      <c r="B21" s="17"/>
      <c r="C21" s="56">
        <v>450</v>
      </c>
      <c r="D21" s="51">
        <f t="shared" si="0"/>
        <v>0</v>
      </c>
      <c r="E21" s="28" t="s">
        <v>28</v>
      </c>
    </row>
    <row r="22" spans="1:5" ht="23" x14ac:dyDescent="0.25">
      <c r="A22" s="58" t="s">
        <v>29</v>
      </c>
      <c r="B22" s="17"/>
      <c r="C22" s="56">
        <v>3995</v>
      </c>
      <c r="D22" s="51">
        <f t="shared" si="0"/>
        <v>0</v>
      </c>
      <c r="E22" s="59" t="s">
        <v>30</v>
      </c>
    </row>
    <row r="23" spans="1:5" ht="23" x14ac:dyDescent="0.25">
      <c r="A23" s="58" t="s">
        <v>31</v>
      </c>
      <c r="B23" s="17"/>
      <c r="C23" s="56">
        <v>250</v>
      </c>
      <c r="D23" s="51">
        <f t="shared" si="0"/>
        <v>0</v>
      </c>
      <c r="E23" s="59" t="s">
        <v>32</v>
      </c>
    </row>
    <row r="24" spans="1:5" ht="23" x14ac:dyDescent="0.25">
      <c r="A24" s="60" t="s">
        <v>33</v>
      </c>
      <c r="B24" s="17"/>
      <c r="C24" s="56">
        <v>2120</v>
      </c>
      <c r="D24" s="51">
        <f>C24*B24</f>
        <v>0</v>
      </c>
      <c r="E24" s="28" t="s">
        <v>34</v>
      </c>
    </row>
    <row r="25" spans="1:5" ht="34.5" x14ac:dyDescent="0.25">
      <c r="A25" s="49" t="s">
        <v>35</v>
      </c>
      <c r="B25" s="17"/>
      <c r="C25" s="56">
        <v>1000</v>
      </c>
      <c r="D25" s="51">
        <f>C25*B25</f>
        <v>0</v>
      </c>
      <c r="E25" s="28" t="s">
        <v>36</v>
      </c>
    </row>
    <row r="26" spans="1:5" ht="34.5" x14ac:dyDescent="0.25">
      <c r="A26" s="49" t="s">
        <v>37</v>
      </c>
      <c r="B26" s="17"/>
      <c r="C26" s="56">
        <v>2120</v>
      </c>
      <c r="D26" s="51">
        <f>C26*B26</f>
        <v>0</v>
      </c>
      <c r="E26" s="28" t="s">
        <v>38</v>
      </c>
    </row>
    <row r="27" spans="1:5" ht="23" x14ac:dyDescent="0.25">
      <c r="A27" s="49" t="s">
        <v>39</v>
      </c>
      <c r="B27" s="17"/>
      <c r="C27" s="56">
        <v>1000</v>
      </c>
      <c r="D27" s="51">
        <f>C27*B27</f>
        <v>0</v>
      </c>
      <c r="E27" s="28" t="s">
        <v>34</v>
      </c>
    </row>
    <row r="28" spans="1:5" ht="15.75" customHeight="1" x14ac:dyDescent="0.25">
      <c r="A28" s="53" t="s">
        <v>40</v>
      </c>
      <c r="B28" s="17"/>
      <c r="C28" s="56">
        <v>175</v>
      </c>
      <c r="D28" s="51">
        <f>C28*B28</f>
        <v>0</v>
      </c>
      <c r="E28" s="28" t="s">
        <v>41</v>
      </c>
    </row>
    <row r="29" spans="1:5" x14ac:dyDescent="0.25">
      <c r="A29" s="61" t="s">
        <v>42</v>
      </c>
      <c r="B29" s="17"/>
      <c r="C29" s="56">
        <v>99</v>
      </c>
      <c r="D29" s="51">
        <f t="shared" ref="D29:D34" si="1">C29*B29</f>
        <v>0</v>
      </c>
      <c r="E29" s="28" t="s">
        <v>43</v>
      </c>
    </row>
    <row r="30" spans="1:5" x14ac:dyDescent="0.25">
      <c r="A30" s="61" t="s">
        <v>44</v>
      </c>
      <c r="B30" s="17"/>
      <c r="C30" s="56">
        <v>89</v>
      </c>
      <c r="D30" s="51">
        <f t="shared" si="1"/>
        <v>0</v>
      </c>
      <c r="E30" s="28" t="s">
        <v>43</v>
      </c>
    </row>
    <row r="31" spans="1:5" x14ac:dyDescent="0.25">
      <c r="A31" s="61" t="s">
        <v>45</v>
      </c>
      <c r="B31" s="17"/>
      <c r="C31" s="56">
        <v>79</v>
      </c>
      <c r="D31" s="51">
        <f t="shared" si="1"/>
        <v>0</v>
      </c>
      <c r="E31" s="28" t="s">
        <v>43</v>
      </c>
    </row>
    <row r="32" spans="1:5" x14ac:dyDescent="0.25">
      <c r="A32" s="61" t="s">
        <v>46</v>
      </c>
      <c r="B32" s="17"/>
      <c r="C32" s="56">
        <v>69</v>
      </c>
      <c r="D32" s="51">
        <f t="shared" si="1"/>
        <v>0</v>
      </c>
      <c r="E32" s="28" t="s">
        <v>43</v>
      </c>
    </row>
    <row r="33" spans="1:5" ht="23" x14ac:dyDescent="0.25">
      <c r="A33" s="61" t="s">
        <v>47</v>
      </c>
      <c r="B33" s="17"/>
      <c r="C33" s="56">
        <v>59</v>
      </c>
      <c r="D33" s="62">
        <f t="shared" si="1"/>
        <v>0</v>
      </c>
      <c r="E33" s="28" t="s">
        <v>43</v>
      </c>
    </row>
    <row r="34" spans="1:5" ht="23" x14ac:dyDescent="0.25">
      <c r="A34" s="61" t="s">
        <v>48</v>
      </c>
      <c r="B34" s="17"/>
      <c r="C34" s="56">
        <v>49</v>
      </c>
      <c r="D34" s="62">
        <f t="shared" si="1"/>
        <v>0</v>
      </c>
      <c r="E34" s="28" t="s">
        <v>43</v>
      </c>
    </row>
    <row r="35" spans="1:5" ht="13.5" customHeight="1" x14ac:dyDescent="0.25">
      <c r="A35" s="53" t="s">
        <v>49</v>
      </c>
      <c r="B35" s="17"/>
      <c r="C35" s="56">
        <v>2995</v>
      </c>
      <c r="D35" s="51">
        <f t="shared" ref="D35:D53" si="2">C35*B35</f>
        <v>0</v>
      </c>
      <c r="E35" s="28" t="s">
        <v>50</v>
      </c>
    </row>
    <row r="36" spans="1:5" x14ac:dyDescent="0.25">
      <c r="A36" s="53" t="s">
        <v>51</v>
      </c>
      <c r="B36" s="17"/>
      <c r="C36" s="56">
        <v>4995</v>
      </c>
      <c r="D36" s="51">
        <f t="shared" si="2"/>
        <v>0</v>
      </c>
      <c r="E36" s="28" t="s">
        <v>50</v>
      </c>
    </row>
    <row r="37" spans="1:5" x14ac:dyDescent="0.25">
      <c r="A37" s="53" t="s">
        <v>52</v>
      </c>
      <c r="B37" s="17"/>
      <c r="C37" s="56">
        <v>1995</v>
      </c>
      <c r="D37" s="51">
        <f t="shared" si="2"/>
        <v>0</v>
      </c>
      <c r="E37" s="28" t="s">
        <v>50</v>
      </c>
    </row>
    <row r="38" spans="1:5" ht="14.25" customHeight="1" x14ac:dyDescent="0.25">
      <c r="A38" s="53" t="s">
        <v>53</v>
      </c>
      <c r="B38" s="17"/>
      <c r="C38" s="56">
        <v>3995</v>
      </c>
      <c r="D38" s="51">
        <f t="shared" si="2"/>
        <v>0</v>
      </c>
      <c r="E38" s="28" t="s">
        <v>50</v>
      </c>
    </row>
    <row r="39" spans="1:5" ht="15" customHeight="1" x14ac:dyDescent="0.25">
      <c r="A39" s="53" t="s">
        <v>54</v>
      </c>
      <c r="B39" s="17"/>
      <c r="C39" s="56">
        <v>150</v>
      </c>
      <c r="D39" s="51">
        <f t="shared" si="2"/>
        <v>0</v>
      </c>
      <c r="E39" s="28" t="s">
        <v>55</v>
      </c>
    </row>
    <row r="40" spans="1:5" ht="15" customHeight="1" x14ac:dyDescent="0.25">
      <c r="A40" s="61" t="s">
        <v>56</v>
      </c>
      <c r="B40" s="24"/>
      <c r="C40" s="56">
        <v>200</v>
      </c>
      <c r="D40" s="62">
        <f t="shared" si="2"/>
        <v>0</v>
      </c>
      <c r="E40" s="59" t="s">
        <v>57</v>
      </c>
    </row>
    <row r="41" spans="1:5" ht="23" x14ac:dyDescent="0.25">
      <c r="A41" s="53" t="s">
        <v>58</v>
      </c>
      <c r="B41" s="17"/>
      <c r="C41" s="56">
        <v>595</v>
      </c>
      <c r="D41" s="51">
        <f t="shared" si="2"/>
        <v>0</v>
      </c>
      <c r="E41" s="28" t="s">
        <v>59</v>
      </c>
    </row>
    <row r="42" spans="1:5" ht="23" x14ac:dyDescent="0.25">
      <c r="A42" s="53" t="s">
        <v>60</v>
      </c>
      <c r="B42" s="17"/>
      <c r="C42" s="56">
        <v>995</v>
      </c>
      <c r="D42" s="51">
        <f t="shared" si="2"/>
        <v>0</v>
      </c>
      <c r="E42" s="28" t="s">
        <v>59</v>
      </c>
    </row>
    <row r="43" spans="1:5" ht="23" x14ac:dyDescent="0.25">
      <c r="A43" s="53" t="s">
        <v>61</v>
      </c>
      <c r="B43" s="17"/>
      <c r="C43" s="56">
        <v>1595</v>
      </c>
      <c r="D43" s="51">
        <f t="shared" si="2"/>
        <v>0</v>
      </c>
      <c r="E43" s="28" t="s">
        <v>59</v>
      </c>
    </row>
    <row r="44" spans="1:5" ht="15" customHeight="1" x14ac:dyDescent="0.25">
      <c r="A44" s="61" t="s">
        <v>62</v>
      </c>
      <c r="B44" s="24"/>
      <c r="C44" s="56">
        <v>50</v>
      </c>
      <c r="D44" s="51">
        <f t="shared" si="2"/>
        <v>0</v>
      </c>
      <c r="E44" s="28" t="s">
        <v>63</v>
      </c>
    </row>
    <row r="45" spans="1:5" ht="15" customHeight="1" x14ac:dyDescent="0.25">
      <c r="A45" s="61" t="s">
        <v>64</v>
      </c>
      <c r="B45" s="17"/>
      <c r="C45" s="56">
        <v>50</v>
      </c>
      <c r="D45" s="51">
        <f t="shared" si="2"/>
        <v>0</v>
      </c>
      <c r="E45" s="28" t="s">
        <v>65</v>
      </c>
    </row>
    <row r="46" spans="1:5" ht="15" customHeight="1" thickBot="1" x14ac:dyDescent="0.3">
      <c r="A46" s="63" t="s">
        <v>66</v>
      </c>
      <c r="B46" s="39"/>
      <c r="C46" s="64">
        <v>40</v>
      </c>
      <c r="D46" s="65">
        <f t="shared" si="2"/>
        <v>0</v>
      </c>
      <c r="E46" s="66" t="s">
        <v>67</v>
      </c>
    </row>
    <row r="47" spans="1:5" ht="15" customHeight="1" x14ac:dyDescent="0.25">
      <c r="A47" s="67"/>
      <c r="B47" s="68"/>
      <c r="C47" s="69"/>
      <c r="D47" s="70"/>
      <c r="E47" s="68"/>
    </row>
    <row r="48" spans="1:5" ht="14.25" customHeight="1" x14ac:dyDescent="0.25">
      <c r="A48" s="67"/>
      <c r="B48" s="71"/>
      <c r="C48" s="69"/>
      <c r="D48" s="70"/>
      <c r="E48" s="67"/>
    </row>
    <row r="49" spans="1:5" ht="14.25" customHeight="1" x14ac:dyDescent="0.25">
      <c r="A49" s="67" t="s">
        <v>68</v>
      </c>
      <c r="B49" s="71"/>
      <c r="C49" s="69"/>
      <c r="D49" s="70"/>
      <c r="E49" s="67"/>
    </row>
    <row r="50" spans="1:5" ht="14.25" customHeight="1" thickBot="1" x14ac:dyDescent="0.3">
      <c r="A50" s="72"/>
      <c r="B50" s="73"/>
      <c r="C50" s="74"/>
      <c r="D50" s="75"/>
      <c r="E50" s="72"/>
    </row>
    <row r="51" spans="1:5" ht="15" customHeight="1" x14ac:dyDescent="0.25">
      <c r="A51" s="76" t="s">
        <v>69</v>
      </c>
      <c r="B51" s="25"/>
      <c r="C51" s="77">
        <v>40</v>
      </c>
      <c r="D51" s="51">
        <f t="shared" si="2"/>
        <v>0</v>
      </c>
      <c r="E51" s="52" t="s">
        <v>65</v>
      </c>
    </row>
    <row r="52" spans="1:5" ht="13.5" customHeight="1" x14ac:dyDescent="0.25">
      <c r="A52" s="61" t="s">
        <v>70</v>
      </c>
      <c r="B52" s="17"/>
      <c r="C52" s="56">
        <v>30</v>
      </c>
      <c r="D52" s="51">
        <f t="shared" si="2"/>
        <v>0</v>
      </c>
      <c r="E52" s="28" t="s">
        <v>71</v>
      </c>
    </row>
    <row r="53" spans="1:5" x14ac:dyDescent="0.25">
      <c r="A53" s="61" t="s">
        <v>72</v>
      </c>
      <c r="B53" s="17"/>
      <c r="C53" s="56">
        <v>30</v>
      </c>
      <c r="D53" s="51">
        <f t="shared" si="2"/>
        <v>0</v>
      </c>
      <c r="E53" s="28" t="s">
        <v>65</v>
      </c>
    </row>
    <row r="54" spans="1:5" ht="14.25" customHeight="1" x14ac:dyDescent="0.25">
      <c r="A54" s="61" t="s">
        <v>73</v>
      </c>
      <c r="B54" s="17"/>
      <c r="C54" s="56">
        <v>995</v>
      </c>
      <c r="D54" s="62">
        <f t="shared" ref="D54:D60" si="3">C54*B54</f>
        <v>0</v>
      </c>
      <c r="E54" s="59" t="s">
        <v>74</v>
      </c>
    </row>
    <row r="55" spans="1:5" ht="15" customHeight="1" x14ac:dyDescent="0.25">
      <c r="A55" s="76" t="s">
        <v>75</v>
      </c>
      <c r="B55" s="25"/>
      <c r="C55" s="77">
        <v>895</v>
      </c>
      <c r="D55" s="51">
        <f t="shared" si="3"/>
        <v>0</v>
      </c>
      <c r="E55" s="78" t="s">
        <v>76</v>
      </c>
    </row>
    <row r="56" spans="1:5" ht="14.25" customHeight="1" x14ac:dyDescent="0.25">
      <c r="A56" s="61" t="s">
        <v>77</v>
      </c>
      <c r="B56" s="17"/>
      <c r="C56" s="56">
        <v>795</v>
      </c>
      <c r="D56" s="62">
        <f t="shared" si="3"/>
        <v>0</v>
      </c>
      <c r="E56" s="59" t="s">
        <v>78</v>
      </c>
    </row>
    <row r="57" spans="1:5" ht="14.25" customHeight="1" x14ac:dyDescent="0.25">
      <c r="A57" s="61" t="s">
        <v>79</v>
      </c>
      <c r="B57" s="17"/>
      <c r="C57" s="56">
        <v>175</v>
      </c>
      <c r="D57" s="62">
        <f t="shared" si="3"/>
        <v>0</v>
      </c>
      <c r="E57" s="59" t="s">
        <v>79</v>
      </c>
    </row>
    <row r="58" spans="1:5" ht="34.5" x14ac:dyDescent="0.25">
      <c r="A58" s="61" t="s">
        <v>80</v>
      </c>
      <c r="B58" s="18"/>
      <c r="C58" s="79">
        <v>999</v>
      </c>
      <c r="D58" s="62">
        <f t="shared" si="3"/>
        <v>0</v>
      </c>
      <c r="E58" s="80" t="s">
        <v>81</v>
      </c>
    </row>
    <row r="59" spans="1:5" ht="23" x14ac:dyDescent="0.25">
      <c r="A59" s="81" t="s">
        <v>82</v>
      </c>
      <c r="B59" s="18"/>
      <c r="C59" s="82">
        <v>199.8</v>
      </c>
      <c r="D59" s="83">
        <f t="shared" si="3"/>
        <v>0</v>
      </c>
      <c r="E59" s="59" t="s">
        <v>83</v>
      </c>
    </row>
    <row r="60" spans="1:5" ht="23" x14ac:dyDescent="0.25">
      <c r="A60" s="26" t="s">
        <v>84</v>
      </c>
      <c r="B60" s="117"/>
      <c r="C60" s="27">
        <v>295</v>
      </c>
      <c r="D60" s="62">
        <f t="shared" si="3"/>
        <v>0</v>
      </c>
      <c r="E60" s="28" t="s">
        <v>85</v>
      </c>
    </row>
    <row r="61" spans="1:5" x14ac:dyDescent="0.25">
      <c r="A61" s="26" t="s">
        <v>86</v>
      </c>
      <c r="B61" s="117"/>
      <c r="C61" s="27">
        <v>59</v>
      </c>
      <c r="D61" s="62"/>
      <c r="E61" s="28" t="s">
        <v>87</v>
      </c>
    </row>
    <row r="62" spans="1:5" ht="23" x14ac:dyDescent="0.25">
      <c r="A62" s="61" t="s">
        <v>88</v>
      </c>
      <c r="B62" s="24"/>
      <c r="C62" s="56">
        <v>295</v>
      </c>
      <c r="D62" s="62">
        <f>C62*B62</f>
        <v>0</v>
      </c>
      <c r="E62" s="59" t="s">
        <v>89</v>
      </c>
    </row>
    <row r="63" spans="1:5" ht="23" x14ac:dyDescent="0.25">
      <c r="A63" s="84" t="s">
        <v>90</v>
      </c>
      <c r="B63" s="24"/>
      <c r="C63" s="56">
        <v>59</v>
      </c>
      <c r="D63" s="62"/>
      <c r="E63" s="59" t="s">
        <v>91</v>
      </c>
    </row>
    <row r="64" spans="1:5" ht="23" x14ac:dyDescent="0.25">
      <c r="A64" s="84" t="s">
        <v>92</v>
      </c>
      <c r="B64" s="24"/>
      <c r="C64" s="56">
        <v>295</v>
      </c>
      <c r="D64" s="62">
        <f>C64*B64</f>
        <v>0</v>
      </c>
      <c r="E64" s="28" t="s">
        <v>93</v>
      </c>
    </row>
    <row r="65" spans="1:5" ht="23" x14ac:dyDescent="0.25">
      <c r="A65" s="76" t="s">
        <v>94</v>
      </c>
      <c r="B65" s="29"/>
      <c r="C65" s="77">
        <v>495</v>
      </c>
      <c r="D65" s="51">
        <f>C65*B65</f>
        <v>0</v>
      </c>
      <c r="E65" s="52" t="s">
        <v>95</v>
      </c>
    </row>
    <row r="66" spans="1:5" x14ac:dyDescent="0.25">
      <c r="A66" s="61" t="s">
        <v>96</v>
      </c>
      <c r="B66" s="24"/>
      <c r="C66" s="56">
        <v>99</v>
      </c>
      <c r="D66" s="62"/>
      <c r="E66" s="28" t="s">
        <v>97</v>
      </c>
    </row>
    <row r="67" spans="1:5" ht="23" x14ac:dyDescent="0.25">
      <c r="A67" s="76" t="s">
        <v>98</v>
      </c>
      <c r="B67" s="29"/>
      <c r="C67" s="77">
        <v>895</v>
      </c>
      <c r="D67" s="51">
        <f>C67*B67</f>
        <v>0</v>
      </c>
      <c r="E67" s="52" t="s">
        <v>95</v>
      </c>
    </row>
    <row r="68" spans="1:5" x14ac:dyDescent="0.25">
      <c r="A68" s="76" t="s">
        <v>96</v>
      </c>
      <c r="B68" s="29"/>
      <c r="C68" s="77">
        <v>179</v>
      </c>
      <c r="D68" s="51"/>
      <c r="E68" s="52" t="s">
        <v>97</v>
      </c>
    </row>
    <row r="69" spans="1:5" ht="23" x14ac:dyDescent="0.25">
      <c r="A69" s="76" t="s">
        <v>99</v>
      </c>
      <c r="B69" s="25"/>
      <c r="C69" s="77">
        <v>2000</v>
      </c>
      <c r="D69" s="51">
        <f>C69*B69</f>
        <v>0</v>
      </c>
      <c r="E69" s="78" t="s">
        <v>100</v>
      </c>
    </row>
    <row r="70" spans="1:5" ht="23" x14ac:dyDescent="0.25">
      <c r="A70" s="61" t="s">
        <v>101</v>
      </c>
      <c r="B70" s="17"/>
      <c r="C70" s="56" t="s">
        <v>102</v>
      </c>
      <c r="D70" s="51">
        <f>B70*4</f>
        <v>0</v>
      </c>
      <c r="E70" s="59" t="s">
        <v>100</v>
      </c>
    </row>
    <row r="71" spans="1:5" ht="23" x14ac:dyDescent="0.25">
      <c r="A71" s="61" t="s">
        <v>103</v>
      </c>
      <c r="B71" s="17"/>
      <c r="C71" s="56" t="s">
        <v>104</v>
      </c>
      <c r="D71" s="51">
        <f>(D69+D70)*0.2</f>
        <v>0</v>
      </c>
      <c r="E71" s="59" t="s">
        <v>103</v>
      </c>
    </row>
    <row r="72" spans="1:5" ht="26.25" customHeight="1" x14ac:dyDescent="0.25">
      <c r="A72" s="61" t="s">
        <v>105</v>
      </c>
      <c r="B72" s="17"/>
      <c r="C72" s="56" t="s">
        <v>106</v>
      </c>
      <c r="D72" s="51">
        <f>B72*2</f>
        <v>0</v>
      </c>
      <c r="E72" s="59" t="s">
        <v>107</v>
      </c>
    </row>
    <row r="73" spans="1:5" x14ac:dyDescent="0.25">
      <c r="A73" s="61" t="s">
        <v>108</v>
      </c>
      <c r="B73" s="17"/>
      <c r="C73" s="56">
        <v>750</v>
      </c>
      <c r="D73" s="51">
        <f>C73*B73</f>
        <v>0</v>
      </c>
      <c r="E73" s="59"/>
    </row>
    <row r="74" spans="1:5" ht="27.75" customHeight="1" x14ac:dyDescent="0.25">
      <c r="A74" s="61" t="s">
        <v>109</v>
      </c>
      <c r="B74" s="17"/>
      <c r="C74" s="56" t="s">
        <v>104</v>
      </c>
      <c r="D74" s="85">
        <f>D72*0.2</f>
        <v>0</v>
      </c>
      <c r="E74" s="59" t="s">
        <v>109</v>
      </c>
    </row>
    <row r="75" spans="1:5" ht="28.5" customHeight="1" x14ac:dyDescent="0.25">
      <c r="A75" s="61" t="s">
        <v>110</v>
      </c>
      <c r="B75" s="17"/>
      <c r="C75" s="56" t="s">
        <v>111</v>
      </c>
      <c r="D75" s="85">
        <f>B75*12</f>
        <v>0</v>
      </c>
      <c r="E75" s="59" t="s">
        <v>112</v>
      </c>
    </row>
    <row r="76" spans="1:5" x14ac:dyDescent="0.25">
      <c r="A76" s="61" t="s">
        <v>113</v>
      </c>
      <c r="B76" s="17"/>
      <c r="C76" s="56">
        <v>1000</v>
      </c>
      <c r="D76" s="85">
        <f>C76*B76</f>
        <v>0</v>
      </c>
      <c r="E76" s="59"/>
    </row>
    <row r="77" spans="1:5" ht="23.5" thickBot="1" x14ac:dyDescent="0.3">
      <c r="A77" s="63" t="s">
        <v>114</v>
      </c>
      <c r="B77" s="30"/>
      <c r="C77" s="64" t="s">
        <v>104</v>
      </c>
      <c r="D77" s="86">
        <f>D75*0.2</f>
        <v>0</v>
      </c>
      <c r="E77" s="87" t="s">
        <v>114</v>
      </c>
    </row>
    <row r="78" spans="1:5" ht="15" customHeight="1" x14ac:dyDescent="0.25">
      <c r="A78" s="88"/>
      <c r="B78" s="89"/>
      <c r="C78" s="90"/>
      <c r="D78" s="91"/>
      <c r="E78" s="88"/>
    </row>
    <row r="79" spans="1:5" ht="12" thickBot="1" x14ac:dyDescent="0.3">
      <c r="C79" s="92"/>
    </row>
    <row r="80" spans="1:5" ht="12" thickBot="1" x14ac:dyDescent="0.3">
      <c r="A80" s="93" t="s">
        <v>115</v>
      </c>
      <c r="B80" s="94" t="s">
        <v>116</v>
      </c>
      <c r="C80" s="95" t="s">
        <v>10</v>
      </c>
      <c r="D80" s="94" t="s">
        <v>11</v>
      </c>
      <c r="E80" s="96" t="s">
        <v>12</v>
      </c>
    </row>
    <row r="81" spans="1:5" x14ac:dyDescent="0.25">
      <c r="A81" s="49" t="s">
        <v>117</v>
      </c>
      <c r="B81" s="13"/>
      <c r="C81" s="50">
        <v>500</v>
      </c>
      <c r="D81" s="51">
        <f>C81*B81</f>
        <v>0</v>
      </c>
      <c r="E81" s="52" t="s">
        <v>118</v>
      </c>
    </row>
    <row r="82" spans="1:5" x14ac:dyDescent="0.25">
      <c r="A82" s="53" t="s">
        <v>119</v>
      </c>
      <c r="B82" s="14"/>
      <c r="C82" s="54">
        <v>450</v>
      </c>
      <c r="D82" s="51">
        <f>C82*B82</f>
        <v>0</v>
      </c>
      <c r="E82" s="28" t="s">
        <v>120</v>
      </c>
    </row>
    <row r="83" spans="1:5" ht="23" x14ac:dyDescent="0.25">
      <c r="A83" s="53" t="s">
        <v>121</v>
      </c>
      <c r="B83" s="15"/>
      <c r="C83" s="97">
        <v>600</v>
      </c>
      <c r="D83" s="51">
        <f>C83*B83</f>
        <v>0</v>
      </c>
      <c r="E83" s="98" t="s">
        <v>122</v>
      </c>
    </row>
    <row r="84" spans="1:5" ht="23.5" thickBot="1" x14ac:dyDescent="0.3">
      <c r="A84" s="63" t="s">
        <v>123</v>
      </c>
      <c r="B84" s="30"/>
      <c r="C84" s="64">
        <v>600</v>
      </c>
      <c r="D84" s="65">
        <f>C84*B84</f>
        <v>0</v>
      </c>
      <c r="E84" s="66" t="s">
        <v>124</v>
      </c>
    </row>
    <row r="85" spans="1:5" s="23" customFormat="1" ht="12" thickBot="1" x14ac:dyDescent="0.3">
      <c r="A85" s="99"/>
      <c r="B85" s="99"/>
      <c r="C85" s="32" t="s">
        <v>125</v>
      </c>
      <c r="D85" s="100">
        <f>((SUM(D14:D84)))</f>
        <v>0</v>
      </c>
      <c r="E85" s="99"/>
    </row>
    <row r="86" spans="1:5" s="23" customFormat="1" x14ac:dyDescent="0.25">
      <c r="A86" s="99"/>
      <c r="B86" s="99"/>
      <c r="C86" s="32"/>
      <c r="D86" s="101"/>
      <c r="E86" s="99"/>
    </row>
    <row r="87" spans="1:5" s="23" customFormat="1" x14ac:dyDescent="0.25">
      <c r="A87" s="99"/>
      <c r="B87" s="99"/>
      <c r="C87" s="32"/>
      <c r="D87" s="101"/>
      <c r="E87" s="99"/>
    </row>
    <row r="88" spans="1:5" ht="17.25" customHeight="1" x14ac:dyDescent="0.25">
      <c r="A88" s="10" t="s">
        <v>68</v>
      </c>
      <c r="C88" s="102"/>
      <c r="D88" s="91"/>
    </row>
    <row r="89" spans="1:5" ht="17.25" customHeight="1" thickBot="1" x14ac:dyDescent="0.3"/>
    <row r="90" spans="1:5" ht="25.5" customHeight="1" thickBot="1" x14ac:dyDescent="0.3">
      <c r="A90" s="41" t="s">
        <v>126</v>
      </c>
      <c r="B90" s="42"/>
      <c r="C90" s="42"/>
      <c r="D90" s="42"/>
      <c r="E90" s="43"/>
    </row>
    <row r="91" spans="1:5" ht="12" thickBot="1" x14ac:dyDescent="0.3">
      <c r="A91" s="103"/>
      <c r="B91" s="103"/>
      <c r="C91" s="103"/>
      <c r="D91" s="103"/>
      <c r="E91" s="103"/>
    </row>
    <row r="92" spans="1:5" x14ac:dyDescent="0.25">
      <c r="A92" s="104" t="s">
        <v>127</v>
      </c>
      <c r="B92" s="105" t="s">
        <v>128</v>
      </c>
      <c r="C92" s="105" t="s">
        <v>10</v>
      </c>
      <c r="D92" s="105" t="s">
        <v>11</v>
      </c>
      <c r="E92" s="106" t="s">
        <v>12</v>
      </c>
    </row>
    <row r="93" spans="1:5" x14ac:dyDescent="0.25">
      <c r="A93" s="107" t="s">
        <v>129</v>
      </c>
      <c r="B93" s="11"/>
      <c r="C93" s="108">
        <v>5995</v>
      </c>
      <c r="D93" s="108">
        <f>C93*B93</f>
        <v>0</v>
      </c>
      <c r="E93" s="109" t="s">
        <v>130</v>
      </c>
    </row>
    <row r="94" spans="1:5" ht="23" x14ac:dyDescent="0.25">
      <c r="A94" s="107" t="s">
        <v>131</v>
      </c>
      <c r="B94" s="11"/>
      <c r="C94" s="16" t="s">
        <v>132</v>
      </c>
      <c r="D94" s="108">
        <f>IF(B94=0,0,(IF(B94&gt;5,(1500+((B94-5)*200)),1500)))</f>
        <v>0</v>
      </c>
      <c r="E94" s="28" t="s">
        <v>133</v>
      </c>
    </row>
    <row r="95" spans="1:5" ht="12.75" customHeight="1" x14ac:dyDescent="0.25">
      <c r="A95" s="107" t="s">
        <v>134</v>
      </c>
      <c r="B95" s="11"/>
      <c r="C95" s="108">
        <v>1000</v>
      </c>
      <c r="D95" s="108">
        <f t="shared" ref="D95:D103" si="4">C95*B95</f>
        <v>0</v>
      </c>
      <c r="E95" s="28" t="s">
        <v>135</v>
      </c>
    </row>
    <row r="96" spans="1:5" ht="12.75" customHeight="1" x14ac:dyDescent="0.25">
      <c r="A96" s="107" t="s">
        <v>136</v>
      </c>
      <c r="B96" s="11"/>
      <c r="C96" s="108">
        <v>900</v>
      </c>
      <c r="D96" s="108">
        <f t="shared" si="4"/>
        <v>0</v>
      </c>
      <c r="E96" s="28" t="s">
        <v>137</v>
      </c>
    </row>
    <row r="97" spans="1:5" ht="12.75" customHeight="1" x14ac:dyDescent="0.25">
      <c r="A97" s="107" t="s">
        <v>138</v>
      </c>
      <c r="B97" s="11"/>
      <c r="C97" s="108" t="s">
        <v>139</v>
      </c>
      <c r="D97" s="85">
        <f>B97*1</f>
        <v>0</v>
      </c>
      <c r="E97" s="28" t="s">
        <v>140</v>
      </c>
    </row>
    <row r="98" spans="1:5" ht="23" x14ac:dyDescent="0.25">
      <c r="A98" s="107" t="s">
        <v>141</v>
      </c>
      <c r="B98" s="11"/>
      <c r="C98" s="56" t="s">
        <v>104</v>
      </c>
      <c r="D98" s="62">
        <f>D97*0.2</f>
        <v>0</v>
      </c>
      <c r="E98" s="28" t="s">
        <v>142</v>
      </c>
    </row>
    <row r="99" spans="1:5" ht="24.75" customHeight="1" x14ac:dyDescent="0.25">
      <c r="A99" s="107" t="s">
        <v>143</v>
      </c>
      <c r="B99" s="11"/>
      <c r="C99" s="108">
        <v>1995</v>
      </c>
      <c r="D99" s="110">
        <f t="shared" si="4"/>
        <v>0</v>
      </c>
      <c r="E99" s="28" t="s">
        <v>144</v>
      </c>
    </row>
    <row r="100" spans="1:5" ht="24" customHeight="1" x14ac:dyDescent="0.25">
      <c r="A100" s="107" t="s">
        <v>145</v>
      </c>
      <c r="B100" s="11"/>
      <c r="C100" s="108">
        <v>2995</v>
      </c>
      <c r="D100" s="108">
        <f t="shared" si="4"/>
        <v>0</v>
      </c>
      <c r="E100" s="28" t="s">
        <v>144</v>
      </c>
    </row>
    <row r="101" spans="1:5" ht="24" customHeight="1" x14ac:dyDescent="0.25">
      <c r="A101" s="107" t="s">
        <v>146</v>
      </c>
      <c r="B101" s="11"/>
      <c r="C101" s="108">
        <v>3995</v>
      </c>
      <c r="D101" s="108">
        <f t="shared" si="4"/>
        <v>0</v>
      </c>
      <c r="E101" s="28" t="s">
        <v>144</v>
      </c>
    </row>
    <row r="102" spans="1:5" ht="25.5" customHeight="1" x14ac:dyDescent="0.25">
      <c r="A102" s="107" t="s">
        <v>147</v>
      </c>
      <c r="B102" s="11"/>
      <c r="C102" s="108">
        <v>5995</v>
      </c>
      <c r="D102" s="108">
        <f t="shared" si="4"/>
        <v>0</v>
      </c>
      <c r="E102" s="28" t="s">
        <v>144</v>
      </c>
    </row>
    <row r="103" spans="1:5" x14ac:dyDescent="0.25">
      <c r="A103" s="107" t="s">
        <v>148</v>
      </c>
      <c r="B103" s="11"/>
      <c r="C103" s="108">
        <v>750</v>
      </c>
      <c r="D103" s="108">
        <f t="shared" si="4"/>
        <v>0</v>
      </c>
      <c r="E103" s="111" t="s">
        <v>148</v>
      </c>
    </row>
    <row r="104" spans="1:5" ht="27" customHeight="1" thickBot="1" x14ac:dyDescent="0.3">
      <c r="A104" s="112" t="s">
        <v>149</v>
      </c>
      <c r="B104" s="12"/>
      <c r="C104" s="64" t="s">
        <v>104</v>
      </c>
      <c r="D104" s="65">
        <f>(D99+D100+D101+D102)*0.2</f>
        <v>0</v>
      </c>
      <c r="E104" s="113" t="s">
        <v>149</v>
      </c>
    </row>
    <row r="105" spans="1:5" ht="15" customHeight="1" thickBot="1" x14ac:dyDescent="0.3">
      <c r="A105" s="31"/>
      <c r="B105" s="31"/>
      <c r="C105" s="32" t="s">
        <v>150</v>
      </c>
      <c r="D105" s="114">
        <f>SUM(D93:D104)</f>
        <v>0</v>
      </c>
      <c r="E105" s="31"/>
    </row>
    <row r="106" spans="1:5" ht="12" thickBot="1" x14ac:dyDescent="0.3">
      <c r="A106" s="31"/>
      <c r="B106" s="31"/>
      <c r="C106" s="32"/>
      <c r="D106" s="115"/>
      <c r="E106" s="31"/>
    </row>
    <row r="107" spans="1:5" ht="12" thickBot="1" x14ac:dyDescent="0.3">
      <c r="A107" s="31"/>
      <c r="B107" s="31"/>
      <c r="C107" s="32" t="s">
        <v>151</v>
      </c>
      <c r="D107" s="40">
        <f>D105+D85</f>
        <v>0</v>
      </c>
      <c r="E107" s="31"/>
    </row>
    <row r="108" spans="1:5" x14ac:dyDescent="0.25">
      <c r="A108" s="31"/>
      <c r="B108" s="31"/>
      <c r="C108" s="31"/>
      <c r="D108" s="31"/>
      <c r="E108" s="31"/>
    </row>
    <row r="109" spans="1:5" ht="12.75" customHeight="1" x14ac:dyDescent="0.3">
      <c r="A109" s="6" t="s">
        <v>152</v>
      </c>
      <c r="B109" s="7"/>
      <c r="C109" s="2"/>
      <c r="D109" s="8"/>
      <c r="E109" s="22"/>
    </row>
    <row r="110" spans="1:5" ht="12.75" customHeight="1" x14ac:dyDescent="0.25">
      <c r="A110" s="2" t="s">
        <v>153</v>
      </c>
      <c r="B110" s="7"/>
      <c r="C110" s="2"/>
      <c r="D110" s="8"/>
      <c r="E110" s="33"/>
    </row>
    <row r="111" spans="1:5" ht="12.75" customHeight="1" x14ac:dyDescent="0.3">
      <c r="A111" s="2" t="s">
        <v>154</v>
      </c>
      <c r="B111" s="7"/>
      <c r="C111" s="2"/>
      <c r="D111" s="8"/>
      <c r="E111" s="34"/>
    </row>
    <row r="112" spans="1:5" ht="12.75" customHeight="1" x14ac:dyDescent="0.25">
      <c r="A112" s="2" t="s">
        <v>155</v>
      </c>
      <c r="B112" s="2"/>
      <c r="C112" s="2"/>
      <c r="D112" s="2"/>
      <c r="E112" s="35"/>
    </row>
    <row r="113" spans="1:5" ht="12.75" customHeight="1" x14ac:dyDescent="0.25">
      <c r="A113" s="2" t="s">
        <v>156</v>
      </c>
      <c r="B113" s="2"/>
      <c r="C113" s="2"/>
      <c r="D113" s="2"/>
      <c r="E113" s="35"/>
    </row>
    <row r="114" spans="1:5" s="22" customFormat="1" ht="12.5" x14ac:dyDescent="0.25">
      <c r="A114" s="2"/>
      <c r="B114" s="2"/>
      <c r="C114" s="2"/>
      <c r="D114" s="2"/>
      <c r="E114" s="35"/>
    </row>
    <row r="115" spans="1:5" s="22" customFormat="1" ht="12.5" x14ac:dyDescent="0.25">
      <c r="A115" s="2" t="s">
        <v>157</v>
      </c>
      <c r="B115" s="2"/>
      <c r="C115" s="2"/>
      <c r="D115" s="2"/>
      <c r="E115" s="36"/>
    </row>
    <row r="116" spans="1:5" s="22" customFormat="1" ht="12.5" x14ac:dyDescent="0.25">
      <c r="A116" s="2" t="s">
        <v>158</v>
      </c>
      <c r="B116" s="2"/>
      <c r="C116" s="2"/>
      <c r="D116" s="2"/>
      <c r="E116" s="36"/>
    </row>
    <row r="117" spans="1:5" s="22" customFormat="1" ht="12" customHeight="1" x14ac:dyDescent="0.3">
      <c r="A117" s="2" t="s">
        <v>159</v>
      </c>
      <c r="B117" s="2"/>
      <c r="C117" s="2"/>
      <c r="D117" s="2"/>
      <c r="E117" s="37"/>
    </row>
    <row r="118" spans="1:5" s="22" customFormat="1" ht="12" customHeight="1" x14ac:dyDescent="0.25">
      <c r="A118" s="2" t="s">
        <v>160</v>
      </c>
      <c r="B118" s="2"/>
      <c r="C118" s="2"/>
      <c r="D118" s="2"/>
      <c r="E118" s="37"/>
    </row>
    <row r="119" spans="1:5" s="22" customFormat="1" ht="12" customHeight="1" x14ac:dyDescent="0.25">
      <c r="A119" s="2" t="s">
        <v>161</v>
      </c>
      <c r="B119" s="2"/>
      <c r="C119" s="2"/>
      <c r="D119" s="2"/>
      <c r="E119" s="37"/>
    </row>
    <row r="120" spans="1:5" s="22" customFormat="1" ht="12" customHeight="1" x14ac:dyDescent="0.25">
      <c r="A120" s="2"/>
      <c r="B120" s="2"/>
      <c r="C120" s="2"/>
      <c r="D120" s="2"/>
      <c r="E120" s="37"/>
    </row>
    <row r="121" spans="1:5" s="22" customFormat="1" ht="12" customHeight="1" x14ac:dyDescent="0.25">
      <c r="A121" s="9" t="s">
        <v>162</v>
      </c>
      <c r="B121" s="2"/>
      <c r="C121" s="118" t="s">
        <v>163</v>
      </c>
      <c r="D121" s="116"/>
      <c r="E121" s="37"/>
    </row>
    <row r="122" spans="1:5" s="22" customFormat="1" ht="12.5" x14ac:dyDescent="0.25">
      <c r="A122" s="2"/>
      <c r="B122" s="2"/>
      <c r="C122" s="2"/>
      <c r="D122" s="2"/>
      <c r="E122" s="37"/>
    </row>
    <row r="123" spans="1:5" s="22" customFormat="1" ht="12.5" x14ac:dyDescent="0.25">
      <c r="A123" s="2"/>
      <c r="B123" s="2"/>
      <c r="C123" s="2"/>
      <c r="D123" s="2"/>
      <c r="E123" s="37"/>
    </row>
    <row r="124" spans="1:5" s="22" customFormat="1" ht="12.5" x14ac:dyDescent="0.25">
      <c r="A124" s="9" t="s">
        <v>164</v>
      </c>
      <c r="B124" s="2"/>
      <c r="C124" s="118" t="s">
        <v>163</v>
      </c>
      <c r="D124" s="116"/>
      <c r="E124" s="37"/>
    </row>
    <row r="125" spans="1:5" s="22" customFormat="1" ht="12.5" x14ac:dyDescent="0.25">
      <c r="A125" s="2"/>
      <c r="B125" s="2"/>
      <c r="C125" s="2"/>
      <c r="D125" s="2"/>
      <c r="E125" s="37"/>
    </row>
    <row r="126" spans="1:5" s="22" customFormat="1" ht="12.5" x14ac:dyDescent="0.25">
      <c r="A126" s="2" t="s">
        <v>165</v>
      </c>
      <c r="B126" s="2"/>
      <c r="C126" s="2"/>
      <c r="D126" s="2"/>
      <c r="E126" s="37"/>
    </row>
    <row r="127" spans="1:5" s="22" customFormat="1" ht="13" x14ac:dyDescent="0.3">
      <c r="A127" s="2" t="s">
        <v>166</v>
      </c>
      <c r="B127" s="2"/>
      <c r="C127" s="2"/>
      <c r="D127" s="2"/>
      <c r="E127" s="34"/>
    </row>
    <row r="128" spans="1:5" s="22" customFormat="1" ht="12.5" x14ac:dyDescent="0.25">
      <c r="A128" s="2"/>
      <c r="B128" s="2"/>
      <c r="C128" s="2"/>
      <c r="D128" s="2"/>
      <c r="E128" s="37"/>
    </row>
    <row r="129" spans="1:5" s="22" customFormat="1" ht="12.5" x14ac:dyDescent="0.25">
      <c r="A129" s="9" t="s">
        <v>167</v>
      </c>
      <c r="B129" s="2"/>
      <c r="C129" s="118" t="s">
        <v>163</v>
      </c>
      <c r="D129" s="116"/>
      <c r="E129" s="38"/>
    </row>
    <row r="130" spans="1:5" s="22" customFormat="1" x14ac:dyDescent="0.25"/>
    <row r="131" spans="1:5" s="22" customFormat="1" x14ac:dyDescent="0.25"/>
    <row r="132" spans="1:5" s="22" customFormat="1" x14ac:dyDescent="0.25"/>
    <row r="133" spans="1:5" s="22" customFormat="1" x14ac:dyDescent="0.25"/>
    <row r="134" spans="1:5" s="22" customFormat="1" x14ac:dyDescent="0.25"/>
    <row r="135" spans="1:5" s="22" customFormat="1" x14ac:dyDescent="0.25">
      <c r="A135" s="10"/>
      <c r="B135" s="10"/>
      <c r="C135" s="10"/>
      <c r="D135" s="10"/>
      <c r="E135" s="10"/>
    </row>
    <row r="136" spans="1:5" s="22" customFormat="1" x14ac:dyDescent="0.25">
      <c r="A136" s="10"/>
      <c r="B136" s="10"/>
      <c r="C136" s="10"/>
      <c r="D136" s="10"/>
      <c r="E136" s="10"/>
    </row>
    <row r="137" spans="1:5" s="22" customFormat="1" x14ac:dyDescent="0.25">
      <c r="A137" s="10"/>
      <c r="B137" s="10"/>
      <c r="C137" s="10"/>
      <c r="D137" s="10"/>
      <c r="E137" s="10"/>
    </row>
    <row r="138" spans="1:5" s="22" customFormat="1" x14ac:dyDescent="0.25">
      <c r="A138" s="10"/>
      <c r="B138" s="10"/>
      <c r="C138" s="10"/>
      <c r="D138" s="10"/>
      <c r="E138" s="10"/>
    </row>
    <row r="139" spans="1:5" s="22" customFormat="1" x14ac:dyDescent="0.25">
      <c r="A139" s="10"/>
      <c r="B139" s="10"/>
      <c r="C139" s="10"/>
      <c r="D139" s="10"/>
      <c r="E139" s="10"/>
    </row>
    <row r="140" spans="1:5" s="22" customFormat="1" x14ac:dyDescent="0.25">
      <c r="A140" s="10"/>
      <c r="B140" s="10"/>
      <c r="C140" s="10"/>
      <c r="D140" s="10"/>
      <c r="E140" s="10"/>
    </row>
    <row r="141" spans="1:5" s="22" customFormat="1" x14ac:dyDescent="0.25">
      <c r="A141" s="10"/>
      <c r="B141" s="10"/>
      <c r="C141" s="10"/>
      <c r="D141" s="10"/>
      <c r="E141" s="10"/>
    </row>
    <row r="142" spans="1:5" s="22" customFormat="1" x14ac:dyDescent="0.25">
      <c r="A142" s="10"/>
      <c r="B142" s="10"/>
      <c r="C142" s="10"/>
      <c r="D142" s="10"/>
      <c r="E142" s="10"/>
    </row>
    <row r="143" spans="1:5" s="22" customFormat="1" x14ac:dyDescent="0.25">
      <c r="A143" s="10"/>
      <c r="B143" s="10"/>
      <c r="C143" s="10"/>
      <c r="D143" s="10"/>
      <c r="E143" s="10"/>
    </row>
    <row r="144" spans="1:5" s="22" customFormat="1" x14ac:dyDescent="0.25">
      <c r="A144" s="10"/>
      <c r="B144" s="10"/>
      <c r="C144" s="10"/>
      <c r="D144" s="10"/>
      <c r="E144" s="10"/>
    </row>
    <row r="145" spans="1:5" s="22" customFormat="1" x14ac:dyDescent="0.25">
      <c r="A145" s="10"/>
      <c r="B145" s="10"/>
      <c r="C145" s="10"/>
      <c r="D145" s="10"/>
      <c r="E145" s="10"/>
    </row>
    <row r="146" spans="1:5" s="22" customFormat="1" x14ac:dyDescent="0.25">
      <c r="A146" s="10"/>
      <c r="B146" s="10"/>
      <c r="C146" s="10"/>
      <c r="D146" s="10"/>
      <c r="E146" s="10"/>
    </row>
    <row r="147" spans="1:5" s="22" customFormat="1" x14ac:dyDescent="0.25">
      <c r="A147" s="10"/>
      <c r="B147" s="10"/>
      <c r="C147" s="10"/>
      <c r="D147" s="10"/>
      <c r="E147" s="10"/>
    </row>
    <row r="148" spans="1:5" s="22" customFormat="1" x14ac:dyDescent="0.25">
      <c r="A148" s="10"/>
      <c r="B148" s="10"/>
      <c r="C148" s="10"/>
      <c r="D148" s="10"/>
      <c r="E148" s="10"/>
    </row>
    <row r="149" spans="1:5" s="22" customFormat="1" x14ac:dyDescent="0.25">
      <c r="A149" s="10"/>
      <c r="B149" s="10"/>
      <c r="C149" s="10"/>
      <c r="D149" s="10"/>
      <c r="E149" s="10"/>
    </row>
    <row r="150" spans="1:5" s="22" customFormat="1" x14ac:dyDescent="0.25">
      <c r="A150" s="10"/>
      <c r="B150" s="10"/>
      <c r="C150" s="10"/>
      <c r="D150" s="10"/>
      <c r="E150" s="10"/>
    </row>
    <row r="151" spans="1:5" s="22" customFormat="1" x14ac:dyDescent="0.25">
      <c r="A151" s="10"/>
      <c r="B151" s="10"/>
      <c r="C151" s="10"/>
      <c r="D151" s="10"/>
      <c r="E151" s="10"/>
    </row>
    <row r="152" spans="1:5" s="22" customFormat="1" x14ac:dyDescent="0.25">
      <c r="A152" s="10"/>
      <c r="B152" s="10"/>
      <c r="C152" s="10"/>
      <c r="D152" s="10"/>
      <c r="E152" s="10"/>
    </row>
    <row r="153" spans="1:5" s="22" customFormat="1" x14ac:dyDescent="0.25">
      <c r="A153" s="10"/>
      <c r="B153" s="10"/>
      <c r="C153" s="10"/>
      <c r="D153" s="10"/>
      <c r="E153" s="10"/>
    </row>
    <row r="154" spans="1:5" s="22" customFormat="1" x14ac:dyDescent="0.25">
      <c r="A154" s="10"/>
      <c r="B154" s="10"/>
      <c r="C154" s="10"/>
      <c r="D154" s="10"/>
      <c r="E154" s="10"/>
    </row>
    <row r="155" spans="1:5" s="22" customFormat="1" x14ac:dyDescent="0.25">
      <c r="A155" s="10"/>
      <c r="B155" s="10"/>
      <c r="C155" s="10"/>
      <c r="D155" s="10"/>
      <c r="E155" s="10"/>
    </row>
    <row r="156" spans="1:5" s="22" customFormat="1" x14ac:dyDescent="0.25">
      <c r="A156" s="10"/>
      <c r="B156" s="10"/>
      <c r="C156" s="10"/>
      <c r="D156" s="10"/>
      <c r="E156" s="10"/>
    </row>
    <row r="157" spans="1:5" s="22" customFormat="1" x14ac:dyDescent="0.25">
      <c r="A157" s="10"/>
      <c r="B157" s="10"/>
      <c r="C157" s="10"/>
      <c r="D157" s="10"/>
      <c r="E157" s="10"/>
    </row>
    <row r="158" spans="1:5" s="22" customFormat="1" x14ac:dyDescent="0.25">
      <c r="A158" s="10"/>
      <c r="B158" s="10"/>
      <c r="C158" s="10"/>
      <c r="D158" s="10"/>
      <c r="E158" s="10"/>
    </row>
    <row r="159" spans="1:5" s="22" customFormat="1" x14ac:dyDescent="0.25">
      <c r="A159" s="10"/>
      <c r="B159" s="10"/>
      <c r="C159" s="10"/>
      <c r="D159" s="10"/>
      <c r="E159" s="10"/>
    </row>
    <row r="160" spans="1:5" s="22" customFormat="1" x14ac:dyDescent="0.25">
      <c r="A160" s="10"/>
      <c r="B160" s="10"/>
      <c r="C160" s="10"/>
      <c r="D160" s="10"/>
      <c r="E160" s="10"/>
    </row>
    <row r="161" spans="1:5" s="22" customFormat="1" x14ac:dyDescent="0.25">
      <c r="A161" s="10"/>
      <c r="B161" s="10"/>
      <c r="C161" s="10"/>
      <c r="D161" s="10"/>
      <c r="E161" s="10"/>
    </row>
    <row r="162" spans="1:5" s="22" customFormat="1" x14ac:dyDescent="0.25">
      <c r="A162" s="10"/>
      <c r="B162" s="10"/>
      <c r="C162" s="10"/>
      <c r="D162" s="10"/>
      <c r="E162" s="10"/>
    </row>
    <row r="163" spans="1:5" s="22" customFormat="1" x14ac:dyDescent="0.25">
      <c r="A163" s="10"/>
      <c r="B163" s="10"/>
      <c r="C163" s="10"/>
      <c r="D163" s="10"/>
      <c r="E163" s="10"/>
    </row>
    <row r="164" spans="1:5" s="22" customFormat="1" x14ac:dyDescent="0.25">
      <c r="A164" s="10"/>
      <c r="B164" s="10"/>
      <c r="C164" s="10"/>
      <c r="D164" s="10"/>
      <c r="E164" s="10"/>
    </row>
    <row r="165" spans="1:5" s="22" customFormat="1" x14ac:dyDescent="0.25">
      <c r="A165" s="10"/>
      <c r="B165" s="10"/>
      <c r="C165" s="10"/>
      <c r="D165" s="10"/>
      <c r="E165" s="10"/>
    </row>
    <row r="166" spans="1:5" s="22" customFormat="1" x14ac:dyDescent="0.25">
      <c r="A166" s="10"/>
      <c r="B166" s="10"/>
      <c r="C166" s="10"/>
      <c r="D166" s="10"/>
      <c r="E166" s="10"/>
    </row>
    <row r="167" spans="1:5" s="22" customFormat="1" x14ac:dyDescent="0.25">
      <c r="A167" s="10"/>
      <c r="B167" s="10"/>
      <c r="C167" s="10"/>
      <c r="D167" s="10"/>
      <c r="E167" s="10"/>
    </row>
    <row r="168" spans="1:5" s="22" customFormat="1" x14ac:dyDescent="0.25">
      <c r="A168" s="10"/>
      <c r="B168" s="10"/>
      <c r="C168" s="10"/>
      <c r="D168" s="10"/>
      <c r="E168" s="10"/>
    </row>
    <row r="169" spans="1:5" s="22" customFormat="1" x14ac:dyDescent="0.25">
      <c r="A169" s="10"/>
      <c r="B169" s="10"/>
      <c r="C169" s="10"/>
      <c r="D169" s="10"/>
      <c r="E169" s="10"/>
    </row>
    <row r="170" spans="1:5" s="22" customFormat="1" x14ac:dyDescent="0.25">
      <c r="A170" s="10"/>
      <c r="B170" s="10"/>
      <c r="C170" s="10"/>
      <c r="D170" s="10"/>
      <c r="E170" s="10"/>
    </row>
    <row r="171" spans="1:5" s="22" customFormat="1" x14ac:dyDescent="0.25">
      <c r="A171" s="10"/>
      <c r="B171" s="10"/>
      <c r="C171" s="10"/>
      <c r="D171" s="10"/>
      <c r="E171" s="10"/>
    </row>
    <row r="172" spans="1:5" s="22" customFormat="1" x14ac:dyDescent="0.25">
      <c r="A172" s="10"/>
      <c r="B172" s="10"/>
      <c r="C172" s="10"/>
      <c r="D172" s="10"/>
      <c r="E172" s="10"/>
    </row>
    <row r="173" spans="1:5" s="22" customFormat="1" x14ac:dyDescent="0.25">
      <c r="A173" s="10"/>
      <c r="B173" s="10"/>
      <c r="C173" s="10"/>
      <c r="D173" s="10"/>
      <c r="E173" s="10"/>
    </row>
    <row r="174" spans="1:5" s="22" customFormat="1" x14ac:dyDescent="0.25">
      <c r="A174" s="10"/>
      <c r="B174" s="10"/>
      <c r="C174" s="10"/>
      <c r="D174" s="10"/>
      <c r="E174" s="10"/>
    </row>
    <row r="175" spans="1:5" s="22" customFormat="1" x14ac:dyDescent="0.25">
      <c r="A175" s="10"/>
      <c r="B175" s="10"/>
      <c r="C175" s="10"/>
      <c r="D175" s="10"/>
      <c r="E175" s="10"/>
    </row>
    <row r="176" spans="1:5" s="22" customFormat="1" x14ac:dyDescent="0.25">
      <c r="A176" s="10"/>
      <c r="B176" s="10"/>
      <c r="C176" s="10"/>
      <c r="D176" s="10"/>
      <c r="E176" s="10"/>
    </row>
    <row r="177" spans="1:5" s="22" customFormat="1" x14ac:dyDescent="0.25">
      <c r="A177" s="10"/>
      <c r="B177" s="10"/>
      <c r="C177" s="10"/>
      <c r="D177" s="10"/>
      <c r="E177" s="10"/>
    </row>
    <row r="178" spans="1:5" s="22" customFormat="1" x14ac:dyDescent="0.25">
      <c r="A178" s="10"/>
      <c r="B178" s="10"/>
      <c r="C178" s="10"/>
      <c r="D178" s="10"/>
      <c r="E178" s="10"/>
    </row>
    <row r="179" spans="1:5" s="22" customFormat="1" x14ac:dyDescent="0.25">
      <c r="A179" s="10"/>
      <c r="B179" s="10"/>
      <c r="C179" s="10"/>
      <c r="D179" s="10"/>
      <c r="E179" s="10"/>
    </row>
  </sheetData>
  <sheetProtection password="850B" sheet="1" objects="1" scenarios="1"/>
  <printOptions horizontalCentered="1"/>
  <pageMargins left="0.5" right="0.5" top="0.5" bottom="0.5" header="0.5" footer="0.5"/>
  <pageSetup scale="79" fitToHeight="2" orientation="portrait" r:id="rId1"/>
  <headerFooter alignWithMargins="0"/>
  <rowBreaks count="2" manualBreakCount="2">
    <brk id="47" max="65535" man="1"/>
    <brk id="86" max="655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STI Prod. Lst &amp; Associated Cost</vt:lpstr>
      <vt:lpstr>'STI Prod. Lst &amp; Associated Cost'!Print_Area</vt:lpstr>
    </vt:vector>
  </TitlesOfParts>
  <Company>KDE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Adams</dc:creator>
  <cp:lastModifiedBy>Carina Negreanu</cp:lastModifiedBy>
  <cp:lastPrinted>2002-08-13T21:11:10Z</cp:lastPrinted>
  <dcterms:created xsi:type="dcterms:W3CDTF">2000-06-23T10:46:18Z</dcterms:created>
  <dcterms:modified xsi:type="dcterms:W3CDTF">2020-01-27T12:42:43Z</dcterms:modified>
</cp:coreProperties>
</file>