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A253A78-782C-4F59-ABC4-D4CF9BD6BE60}" xr6:coauthVersionLast="45" xr6:coauthVersionMax="45" xr10:uidLastSave="{00000000-0000-0000-0000-000000000000}"/>
  <bookViews>
    <workbookView xWindow="760" yWindow="760" windowWidth="28800" windowHeight="15460"/>
  </bookViews>
  <sheets>
    <sheet name="CMail" sheetId="17" r:id="rId1"/>
  </sheets>
  <definedNames>
    <definedName name="_xlnm.Print_Area" localSheetId="0">CMail!$A$1:$N$169</definedName>
    <definedName name="_xlnm.Print_Titles" localSheetId="0">CMail!$1:$4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0" i="17" l="1"/>
  <c r="J21" i="17"/>
  <c r="I22" i="17"/>
  <c r="J22" i="17"/>
  <c r="J19" i="17"/>
  <c r="J15" i="17"/>
  <c r="I11" i="17"/>
  <c r="J11" i="17"/>
  <c r="I12" i="17"/>
  <c r="J12" i="17" s="1"/>
  <c r="J10" i="17" s="1"/>
  <c r="I7" i="17"/>
  <c r="J7" i="17"/>
  <c r="J6" i="17"/>
  <c r="J30" i="17"/>
  <c r="J31" i="17"/>
  <c r="J32" i="17"/>
  <c r="J29" i="17" s="1"/>
  <c r="J45" i="17"/>
  <c r="J40" i="17" s="1"/>
  <c r="K40" i="17" s="1"/>
  <c r="L40" i="17" s="1"/>
  <c r="J46" i="17"/>
  <c r="J50" i="17"/>
  <c r="J58" i="17"/>
  <c r="J59" i="17"/>
  <c r="J57" i="17" s="1"/>
  <c r="K57" i="17" s="1"/>
  <c r="L57" i="17" s="1"/>
  <c r="J60" i="17"/>
  <c r="J64" i="17"/>
  <c r="J69" i="17"/>
  <c r="J70" i="17"/>
  <c r="J71" i="17"/>
  <c r="J72" i="17"/>
  <c r="J73" i="17"/>
  <c r="J74" i="17"/>
  <c r="I75" i="17"/>
  <c r="I68" i="17" s="1"/>
  <c r="J75" i="17"/>
  <c r="J76" i="17"/>
  <c r="J77" i="17"/>
  <c r="J68" i="17"/>
  <c r="K68" i="17" s="1"/>
  <c r="L68" i="17" s="1"/>
  <c r="J83" i="17"/>
  <c r="J79" i="17" s="1"/>
  <c r="K79" i="17" s="1"/>
  <c r="L79" i="17" s="1"/>
  <c r="J86" i="17"/>
  <c r="J87" i="17"/>
  <c r="J88" i="17"/>
  <c r="J89" i="17"/>
  <c r="J90" i="17"/>
  <c r="J91" i="17"/>
  <c r="J85" i="17"/>
  <c r="J94" i="17"/>
  <c r="J95" i="17"/>
  <c r="J93" i="17"/>
  <c r="I98" i="17"/>
  <c r="I97" i="17" s="1"/>
  <c r="J98" i="17"/>
  <c r="I99" i="17"/>
  <c r="J99" i="17"/>
  <c r="J100" i="17"/>
  <c r="I101" i="17"/>
  <c r="J101" i="17"/>
  <c r="J102" i="17"/>
  <c r="I103" i="17"/>
  <c r="J103" i="17" s="1"/>
  <c r="J104" i="17"/>
  <c r="I105" i="17"/>
  <c r="J105" i="17"/>
  <c r="J106" i="17"/>
  <c r="J107" i="17"/>
  <c r="I111" i="17"/>
  <c r="I110" i="17" s="1"/>
  <c r="J111" i="17"/>
  <c r="I112" i="17"/>
  <c r="J112" i="17"/>
  <c r="J110" i="17"/>
  <c r="J116" i="17"/>
  <c r="J117" i="17"/>
  <c r="J120" i="17"/>
  <c r="J121" i="17"/>
  <c r="J125" i="17"/>
  <c r="J115" i="17"/>
  <c r="K115" i="17" s="1"/>
  <c r="L115" i="17" s="1"/>
  <c r="J132" i="17"/>
  <c r="K132" i="17" s="1"/>
  <c r="I140" i="17"/>
  <c r="J140" i="17" s="1"/>
  <c r="J139" i="17" s="1"/>
  <c r="I141" i="17"/>
  <c r="J141" i="17"/>
  <c r="I142" i="17"/>
  <c r="J142" i="17"/>
  <c r="I143" i="17"/>
  <c r="J143" i="17"/>
  <c r="J144" i="17"/>
  <c r="J145" i="17"/>
  <c r="J146" i="17"/>
  <c r="I147" i="17"/>
  <c r="J147" i="17"/>
  <c r="J148" i="17"/>
  <c r="I149" i="17"/>
  <c r="J149" i="17"/>
  <c r="J150" i="17"/>
  <c r="J151" i="17"/>
  <c r="I152" i="17"/>
  <c r="J152" i="17"/>
  <c r="I153" i="17"/>
  <c r="J153" i="17" s="1"/>
  <c r="J154" i="17"/>
  <c r="J155" i="17"/>
  <c r="I19" i="17"/>
  <c r="I16" i="17"/>
  <c r="I15" i="17"/>
  <c r="K15" i="17" s="1"/>
  <c r="L15" i="17" s="1"/>
  <c r="I10" i="17"/>
  <c r="I6" i="17"/>
  <c r="I26" i="17"/>
  <c r="I30" i="17"/>
  <c r="I29" i="17" s="1"/>
  <c r="I31" i="17"/>
  <c r="I32" i="17"/>
  <c r="I33" i="17"/>
  <c r="I34" i="17"/>
  <c r="I35" i="17"/>
  <c r="I41" i="17"/>
  <c r="I45" i="17"/>
  <c r="I40" i="17" s="1"/>
  <c r="I46" i="17"/>
  <c r="I50" i="17"/>
  <c r="K50" i="17" s="1"/>
  <c r="L50" i="17" s="1"/>
  <c r="I58" i="17"/>
  <c r="I59" i="17"/>
  <c r="I60" i="17"/>
  <c r="I57" i="17"/>
  <c r="I66" i="17"/>
  <c r="I64" i="17"/>
  <c r="I79" i="17"/>
  <c r="I86" i="17"/>
  <c r="I85" i="17" s="1"/>
  <c r="K85" i="17" s="1"/>
  <c r="L85" i="17" s="1"/>
  <c r="I87" i="17"/>
  <c r="I88" i="17"/>
  <c r="I89" i="17"/>
  <c r="I90" i="17"/>
  <c r="I93" i="17"/>
  <c r="I124" i="17"/>
  <c r="I115" i="17"/>
  <c r="I132" i="17"/>
  <c r="I163" i="17"/>
  <c r="I164" i="17"/>
  <c r="I162" i="17"/>
  <c r="K93" i="17"/>
  <c r="L93" i="17"/>
  <c r="K64" i="17"/>
  <c r="K19" i="17"/>
  <c r="L19" i="17"/>
  <c r="K6" i="17"/>
  <c r="L6" i="17"/>
  <c r="J164" i="17" l="1"/>
  <c r="J163" i="17"/>
  <c r="J162" i="17" s="1"/>
  <c r="K162" i="17" s="1"/>
  <c r="K29" i="17"/>
  <c r="L29" i="17" s="1"/>
  <c r="K10" i="17"/>
  <c r="L10" i="17" s="1"/>
  <c r="J26" i="17"/>
  <c r="J97" i="17"/>
  <c r="K97" i="17" s="1"/>
  <c r="L97" i="17" s="1"/>
  <c r="K110" i="17"/>
  <c r="L110" i="17" s="1"/>
  <c r="I139" i="17"/>
  <c r="I158" i="17" s="1"/>
  <c r="I160" i="17" s="1"/>
  <c r="I168" i="17" s="1"/>
  <c r="K26" i="17" l="1"/>
  <c r="L26" i="17" s="1"/>
  <c r="K139" i="17"/>
  <c r="L139" i="17" s="1"/>
  <c r="J158" i="17"/>
  <c r="K158" i="17" s="1"/>
  <c r="L158" i="17" s="1"/>
  <c r="J160" i="17" l="1"/>
  <c r="K160" i="17" l="1"/>
  <c r="L160" i="17" s="1"/>
  <c r="J168" i="17"/>
  <c r="K168" i="17" s="1"/>
  <c r="L168" i="17" s="1"/>
</calcChain>
</file>

<file path=xl/sharedStrings.xml><?xml version="1.0" encoding="utf-8"?>
<sst xmlns="http://schemas.openxmlformats.org/spreadsheetml/2006/main" count="204" uniqueCount="160">
  <si>
    <t>Telephone</t>
  </si>
  <si>
    <t>CUFS</t>
  </si>
  <si>
    <t>Fund</t>
  </si>
  <si>
    <t>Object</t>
  </si>
  <si>
    <t>Area</t>
  </si>
  <si>
    <t>Org</t>
  </si>
  <si>
    <t>Allotment</t>
  </si>
  <si>
    <t>Data Processing</t>
  </si>
  <si>
    <t>Vehicle</t>
  </si>
  <si>
    <t>BU</t>
  </si>
  <si>
    <t>JDE</t>
  </si>
  <si>
    <t>JDE Acct Description</t>
  </si>
  <si>
    <t>Insurance</t>
  </si>
  <si>
    <t>Building Maint &amp; Rent</t>
  </si>
  <si>
    <t>Supplies</t>
  </si>
  <si>
    <t>Diff/%</t>
  </si>
  <si>
    <t>Assumption/Backup/Notes</t>
  </si>
  <si>
    <t>TOTAL INCOME</t>
  </si>
  <si>
    <t>Office</t>
  </si>
  <si>
    <t>TOTAL EXPENSE</t>
  </si>
  <si>
    <t>MARGIN</t>
  </si>
  <si>
    <t>Campus Mail</t>
  </si>
  <si>
    <t>Account</t>
  </si>
  <si>
    <t>Reproj 2003</t>
  </si>
  <si>
    <t>Budget 2004</t>
  </si>
  <si>
    <t>O&amp;M+$7604.00 extra allotment for $12.00/hr salary (time 2 for 03) plus 2805 difference on U's worksheet</t>
  </si>
  <si>
    <t>Special funding from Fac Mgmt</t>
  </si>
  <si>
    <t>Funded only through 2003</t>
  </si>
  <si>
    <t>Business Reply/Postage Due</t>
  </si>
  <si>
    <t>BusRply</t>
  </si>
  <si>
    <t>expected increase</t>
  </si>
  <si>
    <t xml:space="preserve">2003 $289 added to handle  December that was larger than usual </t>
  </si>
  <si>
    <t>Post Due</t>
  </si>
  <si>
    <t>Courier Service</t>
  </si>
  <si>
    <t>Courier</t>
  </si>
  <si>
    <t>Modest 3% volume increase</t>
  </si>
  <si>
    <t>(03) 971 in off-site revenue</t>
  </si>
  <si>
    <t>Other Income</t>
  </si>
  <si>
    <t>Address Corrections</t>
  </si>
  <si>
    <t>new venture</t>
  </si>
  <si>
    <t>Books</t>
  </si>
  <si>
    <t>no change</t>
  </si>
  <si>
    <t>Postal Svc</t>
  </si>
  <si>
    <t>Web Development</t>
  </si>
  <si>
    <t>Payroll &amp; Fringes</t>
  </si>
  <si>
    <t>G&amp;A Office Campus Mail</t>
  </si>
  <si>
    <t>G&amp;A Office Campus Courier</t>
  </si>
  <si>
    <t>G&amp;A Office Misc Mail Serv</t>
  </si>
  <si>
    <t>AFSCME Office Campus Mail</t>
  </si>
  <si>
    <t>AFSCME Office Campus Courier</t>
  </si>
  <si>
    <t>AFSCME Office Misc Mail Serv</t>
  </si>
  <si>
    <t>G&amp;A Office Overtime Campus Mail</t>
  </si>
  <si>
    <t>G&amp;A Office Campus Courier Overtime</t>
  </si>
  <si>
    <t>AFSCME Overtime Campus Mail</t>
  </si>
  <si>
    <t>Production</t>
  </si>
  <si>
    <t>Afscme Mailroom</t>
  </si>
  <si>
    <t>Afscme Courier</t>
  </si>
  <si>
    <t>Afscme Mailroom, StP US/POST DUE</t>
  </si>
  <si>
    <t>Afscme Campus Mail Overtime</t>
  </si>
  <si>
    <t>Teamsters Campus Mail</t>
  </si>
  <si>
    <t>Teamsters Campus Courier</t>
  </si>
  <si>
    <t>Teamsters O.T. Campus Mail</t>
  </si>
  <si>
    <t>Teamsters O.T. Campus Courier</t>
  </si>
  <si>
    <t>Student/Other</t>
  </si>
  <si>
    <t>Student Campus Mail</t>
  </si>
  <si>
    <t>Student Campus Courier</t>
  </si>
  <si>
    <t>Univ Serv Admin Payroll</t>
  </si>
  <si>
    <t>Univ Serv Admin Pay Cour</t>
  </si>
  <si>
    <t>Fringe</t>
  </si>
  <si>
    <t>Fringe Campus Mail</t>
  </si>
  <si>
    <t>Fringe Courier</t>
  </si>
  <si>
    <t>Fringe Misc Mail Service</t>
  </si>
  <si>
    <t>Aux Svc Adm - Campus Mail</t>
  </si>
  <si>
    <t>Aux Svc Adm - Campus Courier</t>
  </si>
  <si>
    <t>Aux Serv Bldg Rebill</t>
  </si>
  <si>
    <t>Campus Mail Bldg</t>
  </si>
  <si>
    <t>2002 change office</t>
  </si>
  <si>
    <t>Equip Purch/R&amp;M/Rent</t>
  </si>
  <si>
    <t>Major Equipment</t>
  </si>
  <si>
    <t>Small Equipment (radios)</t>
  </si>
  <si>
    <t>Radios</t>
  </si>
  <si>
    <t>Small Equipment, Courier</t>
  </si>
  <si>
    <t>Equipment Rental Campus Mail</t>
  </si>
  <si>
    <t>Equipment Rental Campus Cour</t>
  </si>
  <si>
    <t>Equipment Rental Other</t>
  </si>
  <si>
    <t>Eq Maintenance Campus Mail</t>
  </si>
  <si>
    <t>maintain strapper</t>
  </si>
  <si>
    <t>Eq Maintenance Campus Cour</t>
  </si>
  <si>
    <t>Eq Maintenance Other</t>
  </si>
  <si>
    <t>Computer Hardware/Sftw</t>
  </si>
  <si>
    <t>Computer Hardware Campus Mail</t>
  </si>
  <si>
    <t>Min maintenance</t>
  </si>
  <si>
    <t>Computer Hardware Campus Cour</t>
  </si>
  <si>
    <t>Computer Hardware Other</t>
  </si>
  <si>
    <t>Computer Software</t>
  </si>
  <si>
    <t>OIT campus mail</t>
  </si>
  <si>
    <t>OIT</t>
  </si>
  <si>
    <t>OIT Campus Courier</t>
  </si>
  <si>
    <t>OIT Misc Mail Serv</t>
  </si>
  <si>
    <t>Data Proc Fee/Svc Exp</t>
  </si>
  <si>
    <t>Aux Serv rebill</t>
  </si>
  <si>
    <t>-490 because of data restore that won't be repeated</t>
  </si>
  <si>
    <t>Auxiliary Service Administration</t>
  </si>
  <si>
    <t>Adm Rebill</t>
  </si>
  <si>
    <t>Aux Serv</t>
  </si>
  <si>
    <t>Telephone Campus Mail</t>
  </si>
  <si>
    <t>no etherjack charges</t>
  </si>
  <si>
    <t>Long dist Campus Mail</t>
  </si>
  <si>
    <t>paperless office</t>
  </si>
  <si>
    <t>Pager Campus Mail</t>
  </si>
  <si>
    <t>Radio/cell phones Campus Mail</t>
  </si>
  <si>
    <t>Telephone Campus Courier</t>
  </si>
  <si>
    <t>Long dist Campus Courier</t>
  </si>
  <si>
    <t>Pager Campus Courier</t>
  </si>
  <si>
    <t>Radio/cell phones Campus Courier</t>
  </si>
  <si>
    <t>Telephone Other</t>
  </si>
  <si>
    <t>Long dist Other</t>
  </si>
  <si>
    <t>Parking</t>
  </si>
  <si>
    <t>Parking Campus Mail</t>
  </si>
  <si>
    <t>5%??</t>
  </si>
  <si>
    <t>Parking Campus Courier</t>
  </si>
  <si>
    <t>Vehicle, campus mail</t>
  </si>
  <si>
    <t>Vehicle leases</t>
  </si>
  <si>
    <t>Vehicle, courier</t>
  </si>
  <si>
    <t>Prorated by FTE, decals excluded</t>
  </si>
  <si>
    <t>Vehicle, Camp Mail, gas (repl'mt. veh.)</t>
  </si>
  <si>
    <t>Vehicle, courier, gas (repl'mt. veh.)</t>
  </si>
  <si>
    <t>Vehicle, Campus Mail (maint&amp;deduct)</t>
  </si>
  <si>
    <t>deduct and stripes</t>
  </si>
  <si>
    <t>Vehicle, courier (maint.)</t>
  </si>
  <si>
    <t>Paid by Admin</t>
  </si>
  <si>
    <t>Based on sq foot</t>
  </si>
  <si>
    <t>Continuing Ed/Travel</t>
  </si>
  <si>
    <t>Professional Development</t>
  </si>
  <si>
    <t>Travel</t>
  </si>
  <si>
    <t>Other Operating Exp</t>
  </si>
  <si>
    <t>Supplies, Campus Mail</t>
  </si>
  <si>
    <t>Rubberbands, strapping, uniforms, lookups labels, tubs, etc.</t>
  </si>
  <si>
    <t>Supplies, Campus Courier</t>
  </si>
  <si>
    <t>Forms, envelopes &amp; uniforms</t>
  </si>
  <si>
    <t>Supplies, Misc Mail Serv</t>
  </si>
  <si>
    <t>Advertising, Courier</t>
  </si>
  <si>
    <t>Stores open house</t>
  </si>
  <si>
    <t>Dues/Subscriptions/NACUMS</t>
  </si>
  <si>
    <t>Misc Campus Mail</t>
  </si>
  <si>
    <t>Fax, Copies</t>
  </si>
  <si>
    <t>Misc-Dining Srv's Campus Mail</t>
  </si>
  <si>
    <t>Misc-Bus Reply other</t>
  </si>
  <si>
    <t>Misc-Uniforms Campus Mail</t>
  </si>
  <si>
    <t>Misc-Aux Srv PSoft Campus Mail</t>
  </si>
  <si>
    <t>Misc-security alarm Campus Mail</t>
  </si>
  <si>
    <t>Misc Courier</t>
  </si>
  <si>
    <t>Misc Other</t>
  </si>
  <si>
    <t>Misc-Uniforms Courier</t>
  </si>
  <si>
    <t>University Overhead</t>
  </si>
  <si>
    <t>Enterprise</t>
  </si>
  <si>
    <t>Enterprise Project</t>
  </si>
  <si>
    <t>FINAL MARGIN</t>
  </si>
  <si>
    <t>backup in dept</t>
  </si>
  <si>
    <t>Financial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</si>
</sst>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1" formatCode="_(* #,##0.00_);_(* \(#,##0.00\);_(* &quot;-&quot;??_);_(@_)"/>
    <numFmt numFmtId="172" formatCode="0.0%"/>
    <numFmt numFmtId="173" formatCode="0.0"/>
    <numFmt numFmtId="174" formatCode="#,##0.00000"/>
    <numFmt numFmtId="175" formatCode="&quot;$&quot;#,##0"/>
  </numFmts>
  <fonts count="10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7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1" xfId="0" applyBorder="1" applyAlignment="1">
      <alignment horizontal="center"/>
    </xf>
    <xf numFmtId="0" fontId="3" fillId="0" borderId="0" xfId="0" applyFont="1"/>
    <xf numFmtId="171" fontId="0" fillId="0" borderId="0" xfId="0" applyNumberFormat="1" applyBorder="1"/>
    <xf numFmtId="171" fontId="0" fillId="0" borderId="2" xfId="0" applyNumberFormat="1" applyBorder="1"/>
    <xf numFmtId="171" fontId="0" fillId="0" borderId="1" xfId="0" applyNumberFormat="1" applyBorder="1"/>
    <xf numFmtId="0" fontId="0" fillId="0" borderId="0" xfId="0" quotePrefix="1"/>
    <xf numFmtId="0" fontId="6" fillId="0" borderId="0" xfId="0" applyFont="1"/>
    <xf numFmtId="1" fontId="0" fillId="0" borderId="0" xfId="0" applyNumberFormat="1"/>
    <xf numFmtId="0" fontId="0" fillId="0" borderId="3" xfId="0" applyBorder="1"/>
    <xf numFmtId="1" fontId="0" fillId="0" borderId="1" xfId="0" applyNumberFormat="1" applyBorder="1" applyAlignment="1">
      <alignment horizontal="center"/>
    </xf>
    <xf numFmtId="0" fontId="6" fillId="0" borderId="4" xfId="0" applyFont="1" applyBorder="1"/>
    <xf numFmtId="0" fontId="6" fillId="0" borderId="5" xfId="0" applyFont="1" applyBorder="1"/>
    <xf numFmtId="1" fontId="0" fillId="0" borderId="0" xfId="0" applyNumberFormat="1" applyAlignment="1">
      <alignment horizontal="center"/>
    </xf>
    <xf numFmtId="1" fontId="0" fillId="0" borderId="0" xfId="0" applyNumberFormat="1" applyBorder="1" applyAlignment="1">
      <alignment horizontal="center"/>
    </xf>
    <xf numFmtId="3" fontId="0" fillId="0" borderId="2" xfId="1" applyNumberFormat="1" applyFont="1" applyBorder="1" applyAlignment="1">
      <alignment horizontal="center"/>
    </xf>
    <xf numFmtId="9" fontId="0" fillId="0" borderId="2" xfId="2" applyFont="1" applyBorder="1"/>
    <xf numFmtId="3" fontId="0" fillId="0" borderId="0" xfId="0" applyNumberFormat="1" applyBorder="1" applyAlignment="1">
      <alignment horizontal="center"/>
    </xf>
    <xf numFmtId="3" fontId="0" fillId="0" borderId="0" xfId="1" applyNumberFormat="1" applyFont="1" applyBorder="1" applyAlignment="1">
      <alignment horizontal="center"/>
    </xf>
    <xf numFmtId="0" fontId="7" fillId="0" borderId="0" xfId="0" applyFont="1"/>
    <xf numFmtId="9" fontId="0" fillId="0" borderId="0" xfId="2" applyFont="1" applyBorder="1"/>
    <xf numFmtId="3" fontId="0" fillId="0" borderId="0" xfId="0" applyNumberFormat="1"/>
    <xf numFmtId="3" fontId="4" fillId="0" borderId="0" xfId="1" applyNumberFormat="1" applyFont="1" applyAlignment="1">
      <alignment horizontal="center"/>
    </xf>
    <xf numFmtId="39" fontId="0" fillId="0" borderId="0" xfId="0" applyNumberFormat="1"/>
    <xf numFmtId="3" fontId="0" fillId="0" borderId="0" xfId="1" applyNumberFormat="1" applyFont="1" applyAlignment="1">
      <alignment horizontal="center"/>
    </xf>
    <xf numFmtId="3" fontId="3" fillId="0" borderId="0" xfId="0" applyNumberFormat="1" applyFont="1"/>
    <xf numFmtId="37" fontId="0" fillId="0" borderId="1" xfId="0" applyNumberFormat="1" applyBorder="1"/>
    <xf numFmtId="9" fontId="0" fillId="0" borderId="1" xfId="2" applyFont="1" applyBorder="1"/>
    <xf numFmtId="3" fontId="0" fillId="0" borderId="2" xfId="0" applyNumberFormat="1" applyBorder="1"/>
    <xf numFmtId="3" fontId="5" fillId="0" borderId="0" xfId="1" applyNumberFormat="1" applyFont="1" applyAlignment="1">
      <alignment horizontal="center"/>
    </xf>
    <xf numFmtId="3" fontId="0" fillId="0" borderId="0" xfId="1" applyNumberFormat="1" applyFont="1" applyFill="1" applyAlignment="1">
      <alignment horizontal="center"/>
    </xf>
    <xf numFmtId="174" fontId="0" fillId="0" borderId="0" xfId="1" applyNumberFormat="1" applyFont="1" applyAlignment="1">
      <alignment horizontal="center"/>
    </xf>
    <xf numFmtId="3" fontId="0" fillId="0" borderId="6" xfId="1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1" quotePrefix="1" applyNumberFormat="1" applyFont="1" applyAlignment="1">
      <alignment horizontal="center"/>
    </xf>
    <xf numFmtId="3" fontId="0" fillId="0" borderId="2" xfId="1" applyNumberFormat="1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39" fontId="3" fillId="0" borderId="0" xfId="0" applyNumberFormat="1" applyFont="1"/>
    <xf numFmtId="1" fontId="0" fillId="0" borderId="0" xfId="1" applyNumberFormat="1" applyFont="1" applyAlignment="1">
      <alignment horizontal="center"/>
    </xf>
    <xf numFmtId="175" fontId="0" fillId="0" borderId="1" xfId="1" applyNumberFormat="1" applyFont="1" applyBorder="1" applyAlignment="1">
      <alignment horizontal="center"/>
    </xf>
    <xf numFmtId="172" fontId="0" fillId="0" borderId="1" xfId="2" applyNumberFormat="1" applyFont="1" applyBorder="1"/>
    <xf numFmtId="9" fontId="0" fillId="0" borderId="1" xfId="2" applyNumberFormat="1" applyFont="1" applyBorder="1"/>
    <xf numFmtId="39" fontId="0" fillId="0" borderId="0" xfId="1" applyNumberFormat="1" applyFont="1" applyBorder="1" applyAlignment="1">
      <alignment horizontal="center"/>
    </xf>
    <xf numFmtId="1" fontId="0" fillId="0" borderId="0" xfId="1" applyNumberFormat="1" applyFont="1" applyBorder="1" applyAlignment="1">
      <alignment horizontal="center"/>
    </xf>
    <xf numFmtId="9" fontId="0" fillId="0" borderId="0" xfId="2" applyNumberFormat="1" applyFont="1" applyBorder="1"/>
    <xf numFmtId="1" fontId="0" fillId="0" borderId="0" xfId="1" applyNumberFormat="1" applyFont="1"/>
    <xf numFmtId="39" fontId="0" fillId="0" borderId="1" xfId="0" applyNumberFormat="1" applyBorder="1"/>
    <xf numFmtId="1" fontId="0" fillId="0" borderId="1" xfId="0" applyNumberFormat="1" applyBorder="1"/>
    <xf numFmtId="171" fontId="0" fillId="0" borderId="0" xfId="1" applyFont="1"/>
    <xf numFmtId="171" fontId="0" fillId="0" borderId="0" xfId="0" applyNumberFormat="1"/>
    <xf numFmtId="0" fontId="0" fillId="0" borderId="7" xfId="0" applyBorder="1" applyAlignment="1">
      <alignment horizontal="center"/>
    </xf>
    <xf numFmtId="173" fontId="0" fillId="0" borderId="0" xfId="0" applyNumberFormat="1" applyBorder="1" applyAlignment="1">
      <alignment horizontal="center"/>
    </xf>
    <xf numFmtId="173" fontId="0" fillId="0" borderId="0" xfId="0" applyNumberForma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09"/>
  <sheetViews>
    <sheetView tabSelected="1" zoomScale="80" workbookViewId="0">
      <selection activeCell="B2" sqref="B2:C2"/>
    </sheetView>
  </sheetViews>
  <sheetFormatPr defaultRowHeight="12.5" x14ac:dyDescent="0.25"/>
  <cols>
    <col min="1" max="1" width="11.1796875" customWidth="1"/>
    <col min="2" max="2" width="8.7265625" customWidth="1"/>
    <col min="3" max="3" width="9.453125" style="3" customWidth="1"/>
    <col min="4" max="4" width="6.7265625" customWidth="1"/>
    <col min="5" max="5" width="5.7265625" customWidth="1"/>
    <col min="6" max="6" width="6.7265625" customWidth="1"/>
    <col min="8" max="8" width="29.453125" customWidth="1"/>
    <col min="9" max="9" width="13" customWidth="1"/>
    <col min="10" max="10" width="13.26953125" bestFit="1" customWidth="1"/>
    <col min="11" max="11" width="12.7265625" customWidth="1"/>
    <col min="12" max="12" width="8.26953125" bestFit="1" customWidth="1"/>
    <col min="13" max="13" width="13.81640625" customWidth="1"/>
  </cols>
  <sheetData>
    <row r="1" spans="1:13" ht="15.5" x14ac:dyDescent="0.35">
      <c r="A1" s="6" t="s">
        <v>21</v>
      </c>
      <c r="B1" s="6"/>
      <c r="C1" s="6" t="s">
        <v>159</v>
      </c>
      <c r="D1" s="4"/>
      <c r="E1" s="4"/>
      <c r="F1" s="4"/>
      <c r="G1" s="4"/>
      <c r="J1" s="12"/>
    </row>
    <row r="2" spans="1:13" ht="15.5" x14ac:dyDescent="0.35">
      <c r="B2" s="60" t="s">
        <v>10</v>
      </c>
      <c r="C2" s="59"/>
      <c r="D2" s="58" t="s">
        <v>1</v>
      </c>
      <c r="E2" s="58"/>
      <c r="F2" s="58"/>
      <c r="G2" s="59"/>
      <c r="J2" s="12"/>
      <c r="K2" s="13" t="s">
        <v>15</v>
      </c>
    </row>
    <row r="3" spans="1:13" x14ac:dyDescent="0.25">
      <c r="B3" s="55" t="s">
        <v>9</v>
      </c>
      <c r="C3" s="55" t="s">
        <v>22</v>
      </c>
      <c r="D3" s="5" t="s">
        <v>2</v>
      </c>
      <c r="E3" s="5" t="s">
        <v>4</v>
      </c>
      <c r="F3" s="5" t="s">
        <v>5</v>
      </c>
      <c r="G3" s="5" t="s">
        <v>3</v>
      </c>
      <c r="H3" t="s">
        <v>11</v>
      </c>
      <c r="I3" s="5" t="s">
        <v>23</v>
      </c>
      <c r="J3" s="14" t="s">
        <v>24</v>
      </c>
      <c r="K3" s="15" t="s">
        <v>16</v>
      </c>
      <c r="L3" s="16"/>
    </row>
    <row r="4" spans="1:13" x14ac:dyDescent="0.25">
      <c r="B4" s="1"/>
      <c r="C4" s="56"/>
      <c r="D4" s="2"/>
      <c r="E4" s="2"/>
      <c r="F4" s="2"/>
      <c r="G4" s="2"/>
      <c r="J4" s="17"/>
    </row>
    <row r="5" spans="1:13" x14ac:dyDescent="0.25">
      <c r="B5" s="1"/>
      <c r="C5" s="56"/>
      <c r="D5" s="2"/>
      <c r="E5" s="2"/>
      <c r="F5" s="2"/>
      <c r="G5" s="2"/>
      <c r="J5" s="18"/>
    </row>
    <row r="6" spans="1:13" x14ac:dyDescent="0.25">
      <c r="A6" t="s">
        <v>6</v>
      </c>
      <c r="B6" s="1"/>
      <c r="C6" s="57"/>
      <c r="D6" s="1"/>
      <c r="E6" s="1"/>
      <c r="F6" s="1"/>
      <c r="G6" s="1"/>
      <c r="I6" s="19">
        <f>SUM(I7:I8)</f>
        <v>586964.53</v>
      </c>
      <c r="J6" s="19">
        <f>SUM(J7:J8)</f>
        <v>543864.53</v>
      </c>
      <c r="K6" s="8">
        <f>+J6-I6</f>
        <v>-43100</v>
      </c>
      <c r="L6" s="20">
        <f>+K6/I6</f>
        <v>-7.342862779118868E-2</v>
      </c>
    </row>
    <row r="7" spans="1:13" x14ac:dyDescent="0.25">
      <c r="B7" s="1">
        <v>2301</v>
      </c>
      <c r="C7" s="57">
        <v>4910</v>
      </c>
      <c r="D7" s="1">
        <v>1003</v>
      </c>
      <c r="E7" s="1">
        <v>591</v>
      </c>
      <c r="F7" s="1">
        <v>2310</v>
      </c>
      <c r="G7" s="1">
        <v>5985</v>
      </c>
      <c r="H7" t="s">
        <v>25</v>
      </c>
      <c r="I7" s="21">
        <f>553130+(7604*2)+5821.53+2805</f>
        <v>576964.53</v>
      </c>
      <c r="J7" s="17">
        <f>I7-33100</f>
        <v>543864.53</v>
      </c>
    </row>
    <row r="8" spans="1:13" x14ac:dyDescent="0.25">
      <c r="B8" s="1">
        <v>2301</v>
      </c>
      <c r="C8" s="56">
        <v>4910.1000000000004</v>
      </c>
      <c r="D8" s="2">
        <v>1003</v>
      </c>
      <c r="E8" s="2">
        <v>591</v>
      </c>
      <c r="F8" s="2">
        <v>2310</v>
      </c>
      <c r="G8" s="2">
        <v>5985</v>
      </c>
      <c r="H8" t="s">
        <v>26</v>
      </c>
      <c r="I8" s="21">
        <v>10000</v>
      </c>
      <c r="J8" s="22"/>
      <c r="K8" s="23" t="s">
        <v>27</v>
      </c>
    </row>
    <row r="9" spans="1:13" x14ac:dyDescent="0.25">
      <c r="B9" s="1"/>
      <c r="C9" s="57"/>
      <c r="D9" s="1"/>
      <c r="E9" s="1"/>
      <c r="F9" s="1"/>
      <c r="G9" s="1"/>
      <c r="I9" s="22"/>
      <c r="J9" s="22"/>
      <c r="K9" s="7"/>
      <c r="L9" s="24"/>
    </row>
    <row r="10" spans="1:13" x14ac:dyDescent="0.25">
      <c r="A10" t="s">
        <v>28</v>
      </c>
      <c r="B10" s="1"/>
      <c r="C10" s="57"/>
      <c r="D10" s="1"/>
      <c r="E10" s="1"/>
      <c r="F10" s="1"/>
      <c r="G10" s="1"/>
      <c r="I10" s="19">
        <f>SUM(I11:I12)</f>
        <v>12917.8</v>
      </c>
      <c r="J10" s="19">
        <f>SUM(J11:J12)</f>
        <v>13917.8</v>
      </c>
      <c r="K10" s="8">
        <f>+J10-I10</f>
        <v>1000</v>
      </c>
      <c r="L10" s="20">
        <f>+K10/I10</f>
        <v>7.7412562510644226E-2</v>
      </c>
    </row>
    <row r="11" spans="1:13" x14ac:dyDescent="0.25">
      <c r="B11" s="1">
        <v>2303</v>
      </c>
      <c r="C11" s="57">
        <v>4010</v>
      </c>
      <c r="D11" s="1">
        <v>1157</v>
      </c>
      <c r="E11" s="1">
        <v>591</v>
      </c>
      <c r="F11" s="1">
        <v>2300</v>
      </c>
      <c r="G11" s="1">
        <v>7341</v>
      </c>
      <c r="H11" t="s">
        <v>29</v>
      </c>
      <c r="I11" s="21">
        <f>(841+553+575+603+483+11+21+24+32+12)*2.4+289</f>
        <v>7861</v>
      </c>
      <c r="J11" s="21">
        <f>I11+500</f>
        <v>8361</v>
      </c>
      <c r="K11" t="s">
        <v>30</v>
      </c>
      <c r="M11" t="s">
        <v>31</v>
      </c>
    </row>
    <row r="12" spans="1:13" x14ac:dyDescent="0.25">
      <c r="B12" s="1">
        <v>2303</v>
      </c>
      <c r="C12" s="57">
        <v>4020</v>
      </c>
      <c r="D12" s="1">
        <v>1157</v>
      </c>
      <c r="E12" s="1">
        <v>591</v>
      </c>
      <c r="F12" s="1">
        <v>2300</v>
      </c>
      <c r="G12" s="1">
        <v>7341</v>
      </c>
      <c r="H12" t="s">
        <v>32</v>
      </c>
      <c r="I12" s="21">
        <f>(221+465+135+197+363+485+109+67+37+28)*2.4</f>
        <v>5056.8</v>
      </c>
      <c r="J12" s="21">
        <f>I12+500</f>
        <v>5556.8</v>
      </c>
      <c r="K12" t="s">
        <v>30</v>
      </c>
    </row>
    <row r="13" spans="1:13" x14ac:dyDescent="0.25">
      <c r="B13" s="1"/>
      <c r="C13" s="57"/>
      <c r="D13" s="1"/>
      <c r="E13" s="1"/>
      <c r="F13" s="1"/>
      <c r="G13" s="1"/>
      <c r="I13" s="25"/>
      <c r="J13" s="26"/>
    </row>
    <row r="14" spans="1:13" x14ac:dyDescent="0.25">
      <c r="B14" s="1"/>
      <c r="C14" s="57"/>
      <c r="D14" s="1"/>
      <c r="E14" s="1"/>
      <c r="F14" s="1"/>
      <c r="G14" s="1"/>
      <c r="H14" s="27"/>
      <c r="I14" s="25"/>
      <c r="J14" s="26"/>
    </row>
    <row r="15" spans="1:13" x14ac:dyDescent="0.25">
      <c r="A15" t="s">
        <v>33</v>
      </c>
      <c r="B15" s="1"/>
      <c r="C15" s="57"/>
      <c r="I15" s="19">
        <f>+I16</f>
        <v>154590.19999999998</v>
      </c>
      <c r="J15" s="19">
        <f>+J16</f>
        <v>162755</v>
      </c>
      <c r="K15" s="8">
        <f>+J15-I15</f>
        <v>8164.8000000000175</v>
      </c>
      <c r="L15" s="20">
        <f>+K15/I15</f>
        <v>5.2815767105547556E-2</v>
      </c>
    </row>
    <row r="16" spans="1:13" x14ac:dyDescent="0.25">
      <c r="B16" s="1">
        <v>2302</v>
      </c>
      <c r="C16" s="57">
        <v>4050</v>
      </c>
      <c r="D16" s="1">
        <v>1157</v>
      </c>
      <c r="E16" s="1">
        <v>591</v>
      </c>
      <c r="F16" s="1">
        <v>2300</v>
      </c>
      <c r="G16" s="1">
        <v>4410</v>
      </c>
      <c r="H16" t="s">
        <v>34</v>
      </c>
      <c r="I16" s="21">
        <f>64008*2.4+971</f>
        <v>154590.19999999998</v>
      </c>
      <c r="J16" s="21">
        <v>162755</v>
      </c>
      <c r="K16" s="23" t="s">
        <v>35</v>
      </c>
      <c r="M16" t="s">
        <v>36</v>
      </c>
    </row>
    <row r="17" spans="1:12" x14ac:dyDescent="0.25">
      <c r="B17" s="1"/>
      <c r="C17" s="57"/>
      <c r="D17" s="1"/>
      <c r="E17" s="1"/>
      <c r="F17" s="1"/>
      <c r="G17" s="1"/>
      <c r="I17" s="25"/>
      <c r="J17" s="25"/>
    </row>
    <row r="18" spans="1:12" x14ac:dyDescent="0.25">
      <c r="B18" s="1"/>
      <c r="C18" s="57"/>
      <c r="D18" s="1"/>
      <c r="E18" s="1"/>
      <c r="F18" s="1"/>
      <c r="G18" s="1"/>
      <c r="I18" s="25"/>
      <c r="J18" s="25"/>
    </row>
    <row r="19" spans="1:12" x14ac:dyDescent="0.25">
      <c r="A19" t="s">
        <v>37</v>
      </c>
      <c r="B19" s="1"/>
      <c r="C19" s="57"/>
      <c r="D19" s="1"/>
      <c r="E19" s="1"/>
      <c r="F19" s="1"/>
      <c r="G19" s="1"/>
      <c r="I19" s="19">
        <f>SUM(I20:I23)</f>
        <v>18162.399999999998</v>
      </c>
      <c r="J19" s="19">
        <f>SUM(J20:J23)</f>
        <v>18162.399999999998</v>
      </c>
      <c r="K19" s="8">
        <f>+J19-I19</f>
        <v>0</v>
      </c>
      <c r="L19" s="20">
        <f>+K19/I19</f>
        <v>0</v>
      </c>
    </row>
    <row r="20" spans="1:12" x14ac:dyDescent="0.25">
      <c r="B20" s="1">
        <v>2303</v>
      </c>
      <c r="C20" s="57">
        <v>4030</v>
      </c>
      <c r="D20" s="1">
        <v>1157</v>
      </c>
      <c r="E20" s="1">
        <v>591</v>
      </c>
      <c r="F20" s="1">
        <v>2300</v>
      </c>
      <c r="G20" s="1">
        <v>4410</v>
      </c>
      <c r="H20" t="s">
        <v>38</v>
      </c>
      <c r="I20" s="26">
        <v>0</v>
      </c>
      <c r="J20" s="26">
        <f>I20</f>
        <v>0</v>
      </c>
      <c r="K20" t="s">
        <v>39</v>
      </c>
    </row>
    <row r="21" spans="1:12" x14ac:dyDescent="0.25">
      <c r="B21" s="1">
        <v>2303</v>
      </c>
      <c r="C21" s="57">
        <v>4040</v>
      </c>
      <c r="D21" s="1">
        <v>1157</v>
      </c>
      <c r="E21" s="1">
        <v>591</v>
      </c>
      <c r="F21" s="1">
        <v>2300</v>
      </c>
      <c r="G21" s="1">
        <v>4410</v>
      </c>
      <c r="H21" t="s">
        <v>40</v>
      </c>
      <c r="I21" s="26">
        <v>100</v>
      </c>
      <c r="J21" s="26">
        <f>I21</f>
        <v>100</v>
      </c>
      <c r="K21" t="s">
        <v>41</v>
      </c>
    </row>
    <row r="22" spans="1:12" x14ac:dyDescent="0.25">
      <c r="B22" s="1">
        <v>2303</v>
      </c>
      <c r="C22" s="57">
        <v>4060</v>
      </c>
      <c r="D22" s="1">
        <v>1157</v>
      </c>
      <c r="E22" s="1">
        <v>591</v>
      </c>
      <c r="F22" s="1">
        <v>2300</v>
      </c>
      <c r="G22" s="1">
        <v>4410</v>
      </c>
      <c r="H22" t="s">
        <v>42</v>
      </c>
      <c r="I22" s="26">
        <f>7526*2.4</f>
        <v>18062.399999999998</v>
      </c>
      <c r="J22" s="26">
        <f>I22</f>
        <v>18062.399999999998</v>
      </c>
      <c r="K22" t="s">
        <v>41</v>
      </c>
    </row>
    <row r="23" spans="1:12" x14ac:dyDescent="0.25">
      <c r="B23" s="1">
        <v>2303</v>
      </c>
      <c r="C23" s="57">
        <v>4070</v>
      </c>
      <c r="D23" s="1">
        <v>1157</v>
      </c>
      <c r="E23" s="1">
        <v>591</v>
      </c>
      <c r="F23" s="1">
        <v>2300</v>
      </c>
      <c r="G23" s="1">
        <v>4410</v>
      </c>
      <c r="H23" t="s">
        <v>43</v>
      </c>
      <c r="I23" s="25"/>
      <c r="J23" s="26"/>
    </row>
    <row r="24" spans="1:12" x14ac:dyDescent="0.25">
      <c r="B24" s="1"/>
      <c r="C24" s="57"/>
      <c r="I24" s="25"/>
      <c r="J24" s="28"/>
    </row>
    <row r="25" spans="1:12" ht="15.5" x14ac:dyDescent="0.35">
      <c r="B25" s="1"/>
      <c r="C25" s="57"/>
      <c r="I25" s="29" t="s">
        <v>17</v>
      </c>
      <c r="J25" s="28"/>
    </row>
    <row r="26" spans="1:12" x14ac:dyDescent="0.25">
      <c r="B26" s="1"/>
      <c r="C26" s="57"/>
      <c r="I26" s="30">
        <f>+I19+I15+I10+I6</f>
        <v>772634.92999999993</v>
      </c>
      <c r="J26" s="30">
        <f>+J19+J15+J10+J6</f>
        <v>738699.73</v>
      </c>
      <c r="K26" s="9">
        <f>+J26-I26</f>
        <v>-33935.199999999953</v>
      </c>
      <c r="L26" s="31">
        <f>+K26/I26</f>
        <v>-4.3921389885906346E-2</v>
      </c>
    </row>
    <row r="27" spans="1:12" x14ac:dyDescent="0.25">
      <c r="B27" s="1"/>
      <c r="C27" s="57"/>
      <c r="D27" s="1"/>
      <c r="E27" s="1"/>
      <c r="F27" s="1"/>
      <c r="G27" s="1"/>
      <c r="I27" s="25"/>
      <c r="J27" s="28"/>
    </row>
    <row r="28" spans="1:12" x14ac:dyDescent="0.25">
      <c r="A28" t="s">
        <v>44</v>
      </c>
      <c r="B28" s="1"/>
      <c r="C28" s="57"/>
      <c r="D28" s="1"/>
      <c r="E28" s="1"/>
      <c r="F28" s="1"/>
      <c r="G28" s="1"/>
      <c r="H28" s="25"/>
      <c r="I28" s="22"/>
      <c r="J28" s="22"/>
      <c r="K28" s="7"/>
      <c r="L28" s="24"/>
    </row>
    <row r="29" spans="1:12" x14ac:dyDescent="0.25">
      <c r="A29" t="s">
        <v>18</v>
      </c>
      <c r="B29" s="1"/>
      <c r="C29" s="57"/>
      <c r="D29" s="1"/>
      <c r="E29" s="1"/>
      <c r="F29" s="1"/>
      <c r="G29" s="1"/>
      <c r="I29" s="32">
        <f>SUM(I30:I38)</f>
        <v>163414</v>
      </c>
      <c r="J29" s="32">
        <f>SUM(J30:J38)</f>
        <v>165971</v>
      </c>
      <c r="K29" s="8">
        <f>+J29-I29</f>
        <v>2557</v>
      </c>
      <c r="L29" s="20">
        <f>+K29/I29</f>
        <v>1.5647374153989254E-2</v>
      </c>
    </row>
    <row r="30" spans="1:12" x14ac:dyDescent="0.25">
      <c r="B30" s="1">
        <v>2301</v>
      </c>
      <c r="C30" s="57">
        <v>6010</v>
      </c>
      <c r="D30" s="1">
        <v>1003</v>
      </c>
      <c r="E30" s="1">
        <v>591</v>
      </c>
      <c r="F30" s="1">
        <v>2310</v>
      </c>
      <c r="G30" s="1">
        <v>7010</v>
      </c>
      <c r="H30" t="s">
        <v>45</v>
      </c>
      <c r="I30" s="33">
        <f>50466+32464+34879</f>
        <v>117809</v>
      </c>
      <c r="J30" s="33">
        <f>51475+33113+35577</f>
        <v>120165</v>
      </c>
      <c r="K30" t="s">
        <v>158</v>
      </c>
    </row>
    <row r="31" spans="1:12" x14ac:dyDescent="0.25">
      <c r="B31" s="1">
        <v>2302</v>
      </c>
      <c r="C31" s="57">
        <v>6010</v>
      </c>
      <c r="D31" s="1">
        <v>1157</v>
      </c>
      <c r="E31" s="1">
        <v>591</v>
      </c>
      <c r="F31" s="1">
        <v>2300</v>
      </c>
      <c r="G31" s="1">
        <v>7010</v>
      </c>
      <c r="H31" t="s">
        <v>46</v>
      </c>
      <c r="I31" s="33">
        <f>2657+8116+6380</f>
        <v>17153</v>
      </c>
      <c r="J31" s="33">
        <f>2710+8278+6508</f>
        <v>17496</v>
      </c>
      <c r="K31" t="s">
        <v>158</v>
      </c>
    </row>
    <row r="32" spans="1:12" x14ac:dyDescent="0.25">
      <c r="B32" s="1">
        <v>2303</v>
      </c>
      <c r="C32" s="57">
        <v>6010</v>
      </c>
      <c r="D32" s="1">
        <v>1157</v>
      </c>
      <c r="E32" s="1">
        <v>591</v>
      </c>
      <c r="F32" s="1">
        <v>2300</v>
      </c>
      <c r="G32" s="1">
        <v>7010</v>
      </c>
      <c r="H32" t="s">
        <v>47</v>
      </c>
      <c r="I32" s="33">
        <f>1275</f>
        <v>1275</v>
      </c>
      <c r="J32" s="33">
        <f>1301</f>
        <v>1301</v>
      </c>
      <c r="K32" t="s">
        <v>158</v>
      </c>
    </row>
    <row r="33" spans="1:12" x14ac:dyDescent="0.25">
      <c r="B33" s="1">
        <v>2301</v>
      </c>
      <c r="C33" s="57">
        <v>6011</v>
      </c>
      <c r="D33" s="1">
        <v>1003</v>
      </c>
      <c r="E33" s="1">
        <v>591</v>
      </c>
      <c r="F33" s="1">
        <v>2310</v>
      </c>
      <c r="G33" s="1">
        <v>7010</v>
      </c>
      <c r="H33" t="s">
        <v>48</v>
      </c>
      <c r="I33" s="33">
        <f>16621</f>
        <v>16621</v>
      </c>
      <c r="J33" s="33">
        <v>19987</v>
      </c>
      <c r="K33" t="s">
        <v>158</v>
      </c>
    </row>
    <row r="34" spans="1:12" x14ac:dyDescent="0.25">
      <c r="B34" s="1">
        <v>2302</v>
      </c>
      <c r="C34" s="57">
        <v>6011</v>
      </c>
      <c r="D34" s="1">
        <v>1157</v>
      </c>
      <c r="E34" s="1">
        <v>591</v>
      </c>
      <c r="F34" s="1">
        <v>2300</v>
      </c>
      <c r="G34" s="1">
        <v>7010</v>
      </c>
      <c r="H34" t="s">
        <v>49</v>
      </c>
      <c r="I34" s="33">
        <f>6233</f>
        <v>6233</v>
      </c>
      <c r="J34" s="33">
        <v>3781</v>
      </c>
      <c r="K34" t="s">
        <v>158</v>
      </c>
    </row>
    <row r="35" spans="1:12" x14ac:dyDescent="0.25">
      <c r="B35" s="1">
        <v>2303</v>
      </c>
      <c r="C35" s="57">
        <v>6011</v>
      </c>
      <c r="D35" s="1">
        <v>1157</v>
      </c>
      <c r="E35" s="1">
        <v>591</v>
      </c>
      <c r="F35" s="1">
        <v>2310</v>
      </c>
      <c r="G35" s="1">
        <v>7010</v>
      </c>
      <c r="H35" t="s">
        <v>50</v>
      </c>
      <c r="I35" s="33">
        <f>3116</f>
        <v>3116</v>
      </c>
      <c r="J35" s="33">
        <v>3241</v>
      </c>
      <c r="K35" t="s">
        <v>158</v>
      </c>
    </row>
    <row r="36" spans="1:12" ht="14.25" customHeight="1" x14ac:dyDescent="0.25">
      <c r="B36" s="1">
        <v>2301</v>
      </c>
      <c r="C36" s="57">
        <v>6015</v>
      </c>
      <c r="D36" s="1">
        <v>1003</v>
      </c>
      <c r="E36" s="1">
        <v>591</v>
      </c>
      <c r="F36" s="1">
        <v>2310</v>
      </c>
      <c r="G36" s="1">
        <v>7010</v>
      </c>
      <c r="H36" t="s">
        <v>51</v>
      </c>
      <c r="I36" s="33">
        <v>768</v>
      </c>
      <c r="J36" s="33"/>
      <c r="K36" t="s">
        <v>158</v>
      </c>
    </row>
    <row r="37" spans="1:12" x14ac:dyDescent="0.25">
      <c r="B37" s="1">
        <v>2302</v>
      </c>
      <c r="C37" s="57">
        <v>6015</v>
      </c>
      <c r="D37" s="1">
        <v>1157</v>
      </c>
      <c r="E37" s="1">
        <v>591</v>
      </c>
      <c r="F37" s="1">
        <v>2300</v>
      </c>
      <c r="G37" s="1">
        <v>7010</v>
      </c>
      <c r="H37" t="s">
        <v>52</v>
      </c>
      <c r="I37" s="33">
        <v>321</v>
      </c>
      <c r="J37" s="33"/>
      <c r="K37" t="s">
        <v>158</v>
      </c>
    </row>
    <row r="38" spans="1:12" x14ac:dyDescent="0.25">
      <c r="B38" s="1">
        <v>2301</v>
      </c>
      <c r="C38" s="57">
        <v>6016</v>
      </c>
      <c r="D38" s="1">
        <v>1003</v>
      </c>
      <c r="E38" s="1">
        <v>291</v>
      </c>
      <c r="F38" s="1">
        <v>2310</v>
      </c>
      <c r="G38" s="1">
        <v>7010</v>
      </c>
      <c r="H38" t="s">
        <v>53</v>
      </c>
      <c r="I38" s="33">
        <v>118</v>
      </c>
      <c r="J38" s="33"/>
      <c r="K38" t="s">
        <v>158</v>
      </c>
    </row>
    <row r="39" spans="1:12" x14ac:dyDescent="0.25">
      <c r="B39" s="1"/>
      <c r="C39" s="57"/>
      <c r="D39" s="1"/>
      <c r="E39" s="1"/>
      <c r="F39" s="1"/>
      <c r="J39" s="26"/>
    </row>
    <row r="40" spans="1:12" x14ac:dyDescent="0.25">
      <c r="A40" t="s">
        <v>54</v>
      </c>
      <c r="B40" s="1"/>
      <c r="C40" s="57"/>
      <c r="D40" s="1"/>
      <c r="E40" s="1"/>
      <c r="F40" s="1"/>
      <c r="I40" s="19">
        <f>SUM(I41:I48)</f>
        <v>304140</v>
      </c>
      <c r="J40" s="19">
        <f>SUM(J41:J48)</f>
        <v>275423</v>
      </c>
      <c r="K40" s="8">
        <f>+J40-I40</f>
        <v>-28717</v>
      </c>
      <c r="L40" s="20">
        <f>+K40/I40</f>
        <v>-9.442033274150062E-2</v>
      </c>
    </row>
    <row r="41" spans="1:12" x14ac:dyDescent="0.25">
      <c r="B41" s="1">
        <v>2301</v>
      </c>
      <c r="C41" s="57">
        <v>6111</v>
      </c>
      <c r="D41" s="1">
        <v>1003</v>
      </c>
      <c r="E41" s="1">
        <v>591</v>
      </c>
      <c r="F41" s="1">
        <v>2310</v>
      </c>
      <c r="G41" s="1">
        <v>7010</v>
      </c>
      <c r="H41" t="s">
        <v>55</v>
      </c>
      <c r="I41" s="33">
        <f>24730+21795+18360+26944</f>
        <v>91829</v>
      </c>
      <c r="J41" s="33">
        <v>90253</v>
      </c>
      <c r="K41" t="s">
        <v>158</v>
      </c>
    </row>
    <row r="42" spans="1:12" x14ac:dyDescent="0.25">
      <c r="B42" s="1">
        <v>2302</v>
      </c>
      <c r="C42" s="57">
        <v>6111</v>
      </c>
      <c r="D42" s="1">
        <v>1157</v>
      </c>
      <c r="E42" s="1">
        <v>591</v>
      </c>
      <c r="F42" s="1">
        <v>2300</v>
      </c>
      <c r="G42" s="1">
        <v>7010</v>
      </c>
      <c r="H42" t="s">
        <v>56</v>
      </c>
      <c r="I42" s="33">
        <v>1915</v>
      </c>
      <c r="J42" s="33">
        <v>1992</v>
      </c>
      <c r="K42" t="s">
        <v>158</v>
      </c>
    </row>
    <row r="43" spans="1:12" x14ac:dyDescent="0.25">
      <c r="B43" s="1">
        <v>2303</v>
      </c>
      <c r="C43" s="57">
        <v>6111</v>
      </c>
      <c r="D43" s="1">
        <v>1157</v>
      </c>
      <c r="E43" s="1">
        <v>591</v>
      </c>
      <c r="F43" s="1">
        <v>2300</v>
      </c>
      <c r="G43" s="1">
        <v>7010</v>
      </c>
      <c r="H43" t="s">
        <v>57</v>
      </c>
      <c r="I43" s="33">
        <v>17110</v>
      </c>
      <c r="J43" s="33">
        <v>17795</v>
      </c>
      <c r="K43" t="s">
        <v>158</v>
      </c>
    </row>
    <row r="44" spans="1:12" x14ac:dyDescent="0.25">
      <c r="B44" s="1">
        <v>2301</v>
      </c>
      <c r="C44" s="57">
        <v>6116</v>
      </c>
      <c r="D44" s="1">
        <v>1003</v>
      </c>
      <c r="E44" s="1">
        <v>591</v>
      </c>
      <c r="F44" s="1">
        <v>2310</v>
      </c>
      <c r="G44" s="1">
        <v>7010</v>
      </c>
      <c r="H44" t="s">
        <v>58</v>
      </c>
      <c r="I44" s="33">
        <v>90</v>
      </c>
      <c r="J44" s="26">
        <v>0</v>
      </c>
      <c r="K44" t="s">
        <v>158</v>
      </c>
    </row>
    <row r="45" spans="1:12" x14ac:dyDescent="0.25">
      <c r="B45" s="1">
        <v>2301</v>
      </c>
      <c r="C45" s="57">
        <v>6112</v>
      </c>
      <c r="D45" s="1">
        <v>1003</v>
      </c>
      <c r="E45" s="1">
        <v>591</v>
      </c>
      <c r="F45" s="1">
        <v>2310</v>
      </c>
      <c r="G45" s="1">
        <v>7010</v>
      </c>
      <c r="H45" t="s">
        <v>59</v>
      </c>
      <c r="I45" s="33">
        <f>112851+1868</f>
        <v>114719</v>
      </c>
      <c r="J45" s="33">
        <f>97384+1535</f>
        <v>98919</v>
      </c>
      <c r="K45" t="s">
        <v>158</v>
      </c>
    </row>
    <row r="46" spans="1:12" x14ac:dyDescent="0.25">
      <c r="B46" s="1">
        <v>2302</v>
      </c>
      <c r="C46" s="57">
        <v>6112</v>
      </c>
      <c r="D46" s="1">
        <v>1157</v>
      </c>
      <c r="E46" s="1">
        <v>591</v>
      </c>
      <c r="F46" s="1">
        <v>2300</v>
      </c>
      <c r="G46" s="1">
        <v>7010</v>
      </c>
      <c r="H46" t="s">
        <v>60</v>
      </c>
      <c r="I46" s="33">
        <f>77170-293+1307</f>
        <v>78184</v>
      </c>
      <c r="J46" s="33">
        <f>65399+1065</f>
        <v>66464</v>
      </c>
      <c r="K46" t="s">
        <v>158</v>
      </c>
    </row>
    <row r="47" spans="1:12" x14ac:dyDescent="0.25">
      <c r="B47" s="1">
        <v>2301</v>
      </c>
      <c r="C47" s="57">
        <v>6117</v>
      </c>
      <c r="D47" s="1">
        <v>1003</v>
      </c>
      <c r="E47" s="1">
        <v>591</v>
      </c>
      <c r="F47" s="1">
        <v>2310</v>
      </c>
      <c r="G47" s="1">
        <v>7010</v>
      </c>
      <c r="H47" t="s">
        <v>61</v>
      </c>
      <c r="I47" s="33"/>
      <c r="J47" s="26"/>
      <c r="K47" t="s">
        <v>158</v>
      </c>
    </row>
    <row r="48" spans="1:12" x14ac:dyDescent="0.25">
      <c r="B48" s="1">
        <v>2302</v>
      </c>
      <c r="C48" s="57">
        <v>6117</v>
      </c>
      <c r="D48" s="1">
        <v>1157</v>
      </c>
      <c r="E48" s="1">
        <v>591</v>
      </c>
      <c r="F48" s="1">
        <v>2300</v>
      </c>
      <c r="G48" s="1">
        <v>7010</v>
      </c>
      <c r="H48" t="s">
        <v>62</v>
      </c>
      <c r="I48" s="33">
        <v>293</v>
      </c>
      <c r="J48" s="26"/>
      <c r="K48" t="s">
        <v>158</v>
      </c>
    </row>
    <row r="49" spans="1:12" x14ac:dyDescent="0.25">
      <c r="A49" s="3"/>
      <c r="B49" s="1"/>
      <c r="C49" s="57"/>
      <c r="D49" s="1"/>
      <c r="E49" s="1"/>
      <c r="F49" s="1"/>
      <c r="G49" s="33"/>
      <c r="H49" s="33"/>
      <c r="I49" s="33"/>
      <c r="J49" s="33"/>
    </row>
    <row r="50" spans="1:12" x14ac:dyDescent="0.25">
      <c r="A50" t="s">
        <v>63</v>
      </c>
      <c r="B50" s="1"/>
      <c r="C50" s="57"/>
      <c r="D50" s="1"/>
      <c r="E50" s="1"/>
      <c r="F50" s="1"/>
      <c r="G50" s="33"/>
      <c r="H50" s="33"/>
      <c r="I50" s="19">
        <f>SUM(I51:I54)</f>
        <v>33236</v>
      </c>
      <c r="J50" s="19">
        <f>SUM(J51:J54)</f>
        <v>30901</v>
      </c>
      <c r="K50" s="8">
        <f>+J50-I50</f>
        <v>-2335</v>
      </c>
      <c r="L50" s="20">
        <f>+K50/I50</f>
        <v>-7.0255145023468524E-2</v>
      </c>
    </row>
    <row r="51" spans="1:12" x14ac:dyDescent="0.25">
      <c r="B51" s="1">
        <v>2301</v>
      </c>
      <c r="C51" s="57">
        <v>6114</v>
      </c>
      <c r="D51" s="1">
        <v>1003</v>
      </c>
      <c r="E51" s="1">
        <v>591</v>
      </c>
      <c r="F51" s="1">
        <v>2310</v>
      </c>
      <c r="G51" s="1">
        <v>7010</v>
      </c>
      <c r="H51" t="s">
        <v>64</v>
      </c>
      <c r="I51" s="33">
        <v>23188</v>
      </c>
      <c r="J51" s="33">
        <v>23652</v>
      </c>
      <c r="K51" t="s">
        <v>158</v>
      </c>
    </row>
    <row r="52" spans="1:12" x14ac:dyDescent="0.25">
      <c r="B52" s="1">
        <v>2302</v>
      </c>
      <c r="C52" s="57">
        <v>6114</v>
      </c>
      <c r="D52" s="1">
        <v>1157</v>
      </c>
      <c r="E52" s="1">
        <v>591</v>
      </c>
      <c r="F52" s="1">
        <v>2300</v>
      </c>
      <c r="G52" s="1">
        <v>7010</v>
      </c>
      <c r="H52" t="s">
        <v>65</v>
      </c>
      <c r="I52" s="34">
        <v>10048</v>
      </c>
      <c r="J52" s="33">
        <v>7249</v>
      </c>
      <c r="K52" t="s">
        <v>158</v>
      </c>
    </row>
    <row r="53" spans="1:12" x14ac:dyDescent="0.25">
      <c r="B53" s="1">
        <v>2301</v>
      </c>
      <c r="C53" s="57">
        <v>6300</v>
      </c>
      <c r="D53" s="1">
        <v>1003</v>
      </c>
      <c r="E53" s="1">
        <v>591</v>
      </c>
      <c r="F53" s="1">
        <v>2310</v>
      </c>
      <c r="G53" s="1">
        <v>7000</v>
      </c>
      <c r="H53" t="s">
        <v>66</v>
      </c>
      <c r="I53" s="25"/>
      <c r="J53" s="26"/>
      <c r="K53" t="s">
        <v>158</v>
      </c>
    </row>
    <row r="54" spans="1:12" x14ac:dyDescent="0.25">
      <c r="B54" s="1">
        <v>2302</v>
      </c>
      <c r="C54" s="57">
        <v>6300</v>
      </c>
      <c r="D54" s="1">
        <v>1157</v>
      </c>
      <c r="E54" s="1">
        <v>591</v>
      </c>
      <c r="F54" s="1">
        <v>2300</v>
      </c>
      <c r="G54" s="1">
        <v>7000</v>
      </c>
      <c r="H54" t="s">
        <v>67</v>
      </c>
      <c r="I54" s="25"/>
      <c r="J54" s="26"/>
      <c r="K54" t="s">
        <v>158</v>
      </c>
    </row>
    <row r="55" spans="1:12" x14ac:dyDescent="0.25">
      <c r="A55" s="3"/>
      <c r="B55" s="1"/>
      <c r="C55" s="57"/>
      <c r="D55" s="1"/>
      <c r="E55" s="1"/>
      <c r="F55" s="1"/>
      <c r="G55" s="25"/>
      <c r="H55" s="25"/>
      <c r="I55" s="25"/>
      <c r="J55" s="28"/>
    </row>
    <row r="56" spans="1:12" x14ac:dyDescent="0.25">
      <c r="A56" s="3"/>
      <c r="B56" s="1"/>
      <c r="C56" s="57"/>
      <c r="D56" s="1"/>
      <c r="E56" s="1"/>
      <c r="F56" s="1"/>
      <c r="G56" s="25"/>
      <c r="H56" s="25"/>
      <c r="I56" s="25"/>
      <c r="J56" s="35"/>
    </row>
    <row r="57" spans="1:12" x14ac:dyDescent="0.25">
      <c r="A57" t="s">
        <v>68</v>
      </c>
      <c r="B57" s="1"/>
      <c r="C57" s="57"/>
      <c r="D57" s="1"/>
      <c r="E57" s="1"/>
      <c r="F57" s="1"/>
      <c r="G57" s="1"/>
      <c r="I57" s="19">
        <f>SUM(I58:I62)</f>
        <v>144271.27779999998</v>
      </c>
      <c r="J57" s="19">
        <f>SUM(J58:J62)</f>
        <v>146453</v>
      </c>
      <c r="K57" s="8">
        <f>+J57-I57</f>
        <v>2181.7222000000183</v>
      </c>
      <c r="L57" s="20">
        <f>+K57/I57</f>
        <v>1.5122359996176721E-2</v>
      </c>
    </row>
    <row r="58" spans="1:12" x14ac:dyDescent="0.25">
      <c r="B58" s="1">
        <v>2301</v>
      </c>
      <c r="C58" s="57">
        <v>6610</v>
      </c>
      <c r="D58" s="1">
        <v>1003</v>
      </c>
      <c r="E58" s="1">
        <v>591</v>
      </c>
      <c r="F58" s="1">
        <v>2310</v>
      </c>
      <c r="G58" s="1">
        <v>7100</v>
      </c>
      <c r="H58" t="s">
        <v>69</v>
      </c>
      <c r="I58" s="36">
        <f>(44153*2.3636)+(4348*0.309)</f>
        <v>105703.5628</v>
      </c>
      <c r="J58" s="28">
        <f>46250+32643+29784+607</f>
        <v>109284</v>
      </c>
      <c r="K58" t="s">
        <v>158</v>
      </c>
    </row>
    <row r="59" spans="1:12" x14ac:dyDescent="0.25">
      <c r="B59" s="1">
        <v>2302</v>
      </c>
      <c r="C59" s="57">
        <v>6610</v>
      </c>
      <c r="D59" s="1">
        <v>1157</v>
      </c>
      <c r="E59" s="1">
        <v>591</v>
      </c>
      <c r="F59" s="1">
        <v>2300</v>
      </c>
      <c r="G59" s="1">
        <v>7100</v>
      </c>
      <c r="H59" t="s">
        <v>70</v>
      </c>
      <c r="I59" s="22">
        <f>13405*2.3636+(2963*0.309)</f>
        <v>32599.624999999996</v>
      </c>
      <c r="J59" s="28">
        <f>7022+21933+657+186</f>
        <v>29798</v>
      </c>
      <c r="K59" t="s">
        <v>158</v>
      </c>
    </row>
    <row r="60" spans="1:12" x14ac:dyDescent="0.25">
      <c r="B60" s="1">
        <v>2303</v>
      </c>
      <c r="C60" s="57">
        <v>6610</v>
      </c>
      <c r="D60" s="1">
        <v>1157</v>
      </c>
      <c r="E60" s="1">
        <v>591</v>
      </c>
      <c r="F60" s="1">
        <v>2300</v>
      </c>
      <c r="G60" s="1">
        <v>7100</v>
      </c>
      <c r="H60" t="s">
        <v>71</v>
      </c>
      <c r="I60" s="22">
        <f>2525*2.3636</f>
        <v>5968.09</v>
      </c>
      <c r="J60" s="28">
        <f>1499+5872</f>
        <v>7371</v>
      </c>
      <c r="K60" t="s">
        <v>158</v>
      </c>
    </row>
    <row r="61" spans="1:12" x14ac:dyDescent="0.25">
      <c r="B61" s="1">
        <v>2301</v>
      </c>
      <c r="C61" s="57">
        <v>6611</v>
      </c>
      <c r="D61" s="1">
        <v>1003</v>
      </c>
      <c r="E61" s="1">
        <v>591</v>
      </c>
      <c r="F61" s="1">
        <v>2310</v>
      </c>
      <c r="G61" s="1">
        <v>7100</v>
      </c>
      <c r="H61" t="s">
        <v>72</v>
      </c>
      <c r="J61" s="28"/>
    </row>
    <row r="62" spans="1:12" x14ac:dyDescent="0.25">
      <c r="B62" s="1">
        <v>2302</v>
      </c>
      <c r="C62" s="57">
        <v>6611</v>
      </c>
      <c r="D62" s="1">
        <v>1157</v>
      </c>
      <c r="E62" s="1">
        <v>591</v>
      </c>
      <c r="F62" s="1">
        <v>2300</v>
      </c>
      <c r="G62" s="1">
        <v>7100</v>
      </c>
      <c r="H62" t="s">
        <v>73</v>
      </c>
      <c r="I62" s="28"/>
      <c r="J62" s="28"/>
    </row>
    <row r="63" spans="1:12" x14ac:dyDescent="0.25">
      <c r="A63" s="3"/>
      <c r="B63" s="1"/>
      <c r="C63" s="57"/>
      <c r="D63" s="1"/>
      <c r="E63" s="1"/>
      <c r="F63" s="1"/>
      <c r="G63" s="1"/>
      <c r="I63" s="25"/>
      <c r="J63" s="28"/>
    </row>
    <row r="64" spans="1:12" x14ac:dyDescent="0.25">
      <c r="A64" s="3" t="s">
        <v>13</v>
      </c>
      <c r="B64" s="1"/>
      <c r="C64" s="57"/>
      <c r="D64" s="1"/>
      <c r="E64" s="1"/>
      <c r="F64" s="1"/>
      <c r="G64" s="1"/>
      <c r="I64" s="19">
        <f>SUM(I65:I66)</f>
        <v>3923</v>
      </c>
      <c r="J64" s="19">
        <f>SUM(J65:J66)</f>
        <v>2200</v>
      </c>
      <c r="K64" s="8">
        <f>+J64-I64</f>
        <v>-1723</v>
      </c>
      <c r="L64" s="20"/>
    </row>
    <row r="65" spans="1:13" ht="13.5" customHeight="1" x14ac:dyDescent="0.25">
      <c r="B65" s="1">
        <v>2301</v>
      </c>
      <c r="C65" s="57">
        <v>7690</v>
      </c>
      <c r="D65" s="1">
        <v>1003</v>
      </c>
      <c r="E65" s="1">
        <v>591</v>
      </c>
      <c r="F65" s="1">
        <v>2310</v>
      </c>
      <c r="G65" s="1">
        <v>8020</v>
      </c>
      <c r="H65" t="s">
        <v>74</v>
      </c>
      <c r="I65" s="28">
        <v>1200</v>
      </c>
      <c r="J65" s="28">
        <v>1200</v>
      </c>
    </row>
    <row r="66" spans="1:13" ht="13.5" customHeight="1" x14ac:dyDescent="0.25">
      <c r="B66" s="1">
        <v>2301</v>
      </c>
      <c r="C66" s="57">
        <v>7700</v>
      </c>
      <c r="D66" s="1">
        <v>1003</v>
      </c>
      <c r="E66" s="1">
        <v>591</v>
      </c>
      <c r="F66" s="1">
        <v>2310</v>
      </c>
      <c r="G66" s="1">
        <v>8020</v>
      </c>
      <c r="H66" t="s">
        <v>75</v>
      </c>
      <c r="I66" s="37">
        <f>780+1943</f>
        <v>2723</v>
      </c>
      <c r="J66" s="28">
        <v>1000</v>
      </c>
      <c r="K66" t="s">
        <v>76</v>
      </c>
    </row>
    <row r="67" spans="1:13" ht="13.5" customHeight="1" x14ac:dyDescent="0.25">
      <c r="A67" s="3"/>
      <c r="B67" s="1"/>
      <c r="C67" s="57"/>
      <c r="D67" s="1"/>
      <c r="E67" s="1"/>
      <c r="F67" s="1"/>
      <c r="G67" s="1"/>
      <c r="I67" s="25"/>
      <c r="J67" s="28"/>
    </row>
    <row r="68" spans="1:13" x14ac:dyDescent="0.25">
      <c r="A68" t="s">
        <v>77</v>
      </c>
      <c r="B68" s="1"/>
      <c r="C68" s="57"/>
      <c r="D68" s="1"/>
      <c r="E68" s="1"/>
      <c r="F68" s="1"/>
      <c r="G68" s="1"/>
      <c r="I68" s="19">
        <f>SUM(I69:I78)</f>
        <v>1226</v>
      </c>
      <c r="J68" s="19">
        <f>SUM(J69:J78)</f>
        <v>1262.78</v>
      </c>
      <c r="K68" s="8">
        <f>+J68-I68</f>
        <v>36.779999999999973</v>
      </c>
      <c r="L68" s="20">
        <f>+K68/I68</f>
        <v>2.9999999999999978E-2</v>
      </c>
      <c r="M68" s="27"/>
    </row>
    <row r="69" spans="1:13" x14ac:dyDescent="0.25">
      <c r="B69" s="1">
        <v>2301</v>
      </c>
      <c r="C69" s="57">
        <v>7080</v>
      </c>
      <c r="D69" s="1">
        <v>1003</v>
      </c>
      <c r="E69" s="1">
        <v>591</v>
      </c>
      <c r="F69" s="1">
        <v>2310</v>
      </c>
      <c r="G69" s="1">
        <v>8200</v>
      </c>
      <c r="H69" t="s">
        <v>78</v>
      </c>
      <c r="I69" s="28">
        <v>0</v>
      </c>
      <c r="J69" s="28">
        <f t="shared" ref="J69:J77" si="0">I69*1.03</f>
        <v>0</v>
      </c>
      <c r="K69" s="28"/>
    </row>
    <row r="70" spans="1:13" x14ac:dyDescent="0.25">
      <c r="B70" s="1">
        <v>2301</v>
      </c>
      <c r="C70" s="57">
        <v>7080</v>
      </c>
      <c r="D70" s="1">
        <v>1003</v>
      </c>
      <c r="E70" s="1">
        <v>591</v>
      </c>
      <c r="F70" s="1">
        <v>2310</v>
      </c>
      <c r="G70" s="1">
        <v>8210</v>
      </c>
      <c r="H70" t="s">
        <v>79</v>
      </c>
      <c r="I70" s="28">
        <v>0</v>
      </c>
      <c r="J70" s="28">
        <f t="shared" si="0"/>
        <v>0</v>
      </c>
      <c r="K70" t="s">
        <v>80</v>
      </c>
    </row>
    <row r="71" spans="1:13" x14ac:dyDescent="0.25">
      <c r="B71" s="1">
        <v>2302</v>
      </c>
      <c r="C71" s="57">
        <v>7080</v>
      </c>
      <c r="D71" s="1">
        <v>1157</v>
      </c>
      <c r="E71" s="1">
        <v>591</v>
      </c>
      <c r="F71" s="1">
        <v>2300</v>
      </c>
      <c r="G71" s="1">
        <v>8210</v>
      </c>
      <c r="H71" t="s">
        <v>81</v>
      </c>
      <c r="I71" s="28">
        <v>0</v>
      </c>
      <c r="J71" s="28">
        <f t="shared" si="0"/>
        <v>0</v>
      </c>
    </row>
    <row r="72" spans="1:13" x14ac:dyDescent="0.25">
      <c r="B72" s="1">
        <v>2301</v>
      </c>
      <c r="C72" s="57">
        <v>7090</v>
      </c>
      <c r="D72" s="1">
        <v>1003</v>
      </c>
      <c r="E72" s="1">
        <v>591</v>
      </c>
      <c r="F72" s="1">
        <v>2310</v>
      </c>
      <c r="G72" s="1">
        <v>8030</v>
      </c>
      <c r="H72" t="s">
        <v>82</v>
      </c>
      <c r="I72" s="28">
        <v>0</v>
      </c>
      <c r="J72" s="28">
        <f t="shared" si="0"/>
        <v>0</v>
      </c>
    </row>
    <row r="73" spans="1:13" x14ac:dyDescent="0.25">
      <c r="B73" s="1">
        <v>2302</v>
      </c>
      <c r="C73" s="57">
        <v>7090</v>
      </c>
      <c r="D73" s="1">
        <v>1157</v>
      </c>
      <c r="E73" s="1">
        <v>591</v>
      </c>
      <c r="F73" s="1">
        <v>2300</v>
      </c>
      <c r="G73" s="1">
        <v>8030</v>
      </c>
      <c r="H73" t="s">
        <v>83</v>
      </c>
      <c r="I73" s="28">
        <v>0</v>
      </c>
      <c r="J73" s="28">
        <f t="shared" si="0"/>
        <v>0</v>
      </c>
    </row>
    <row r="74" spans="1:13" x14ac:dyDescent="0.25">
      <c r="B74" s="1">
        <v>2303</v>
      </c>
      <c r="C74" s="57">
        <v>7090</v>
      </c>
      <c r="D74" s="1">
        <v>1157</v>
      </c>
      <c r="E74" s="1">
        <v>591</v>
      </c>
      <c r="F74" s="1">
        <v>2300</v>
      </c>
      <c r="G74" s="1">
        <v>8030</v>
      </c>
      <c r="H74" t="s">
        <v>84</v>
      </c>
      <c r="I74" s="28">
        <v>0</v>
      </c>
      <c r="J74" s="28">
        <f t="shared" si="0"/>
        <v>0</v>
      </c>
    </row>
    <row r="75" spans="1:13" ht="13.5" customHeight="1" x14ac:dyDescent="0.25">
      <c r="B75" s="1">
        <v>2301</v>
      </c>
      <c r="C75" s="57">
        <v>7851</v>
      </c>
      <c r="D75" s="1">
        <v>1003</v>
      </c>
      <c r="E75" s="1">
        <v>591</v>
      </c>
      <c r="F75" s="1">
        <v>2310</v>
      </c>
      <c r="G75" s="1">
        <v>8020</v>
      </c>
      <c r="H75" t="s">
        <v>85</v>
      </c>
      <c r="I75" s="28">
        <f>778+250+117</f>
        <v>1145</v>
      </c>
      <c r="J75" s="28">
        <f t="shared" si="0"/>
        <v>1179.3500000000001</v>
      </c>
      <c r="K75" t="s">
        <v>86</v>
      </c>
    </row>
    <row r="76" spans="1:13" ht="13.5" customHeight="1" x14ac:dyDescent="0.25">
      <c r="B76" s="1">
        <v>2302</v>
      </c>
      <c r="C76" s="57">
        <v>7851</v>
      </c>
      <c r="D76" s="1">
        <v>1157</v>
      </c>
      <c r="E76" s="1">
        <v>591</v>
      </c>
      <c r="F76" s="1">
        <v>2300</v>
      </c>
      <c r="G76" s="1">
        <v>8020</v>
      </c>
      <c r="H76" t="s">
        <v>87</v>
      </c>
      <c r="I76" s="28">
        <v>77</v>
      </c>
      <c r="J76" s="28">
        <f t="shared" si="0"/>
        <v>79.31</v>
      </c>
    </row>
    <row r="77" spans="1:13" ht="13.5" customHeight="1" x14ac:dyDescent="0.25">
      <c r="B77" s="1">
        <v>2303</v>
      </c>
      <c r="C77" s="57">
        <v>7851</v>
      </c>
      <c r="D77" s="1">
        <v>1157</v>
      </c>
      <c r="E77" s="1">
        <v>591</v>
      </c>
      <c r="F77" s="1">
        <v>2300</v>
      </c>
      <c r="G77" s="1">
        <v>8020</v>
      </c>
      <c r="H77" t="s">
        <v>88</v>
      </c>
      <c r="I77" s="28">
        <v>4</v>
      </c>
      <c r="J77" s="28">
        <f t="shared" si="0"/>
        <v>4.12</v>
      </c>
    </row>
    <row r="78" spans="1:13" x14ac:dyDescent="0.25">
      <c r="B78" s="1"/>
      <c r="C78" s="57"/>
      <c r="I78" s="25"/>
      <c r="J78" s="25"/>
    </row>
    <row r="79" spans="1:13" x14ac:dyDescent="0.25">
      <c r="A79" t="s">
        <v>89</v>
      </c>
      <c r="B79" s="1"/>
      <c r="C79" s="57"/>
      <c r="I79" s="19">
        <f>SUM(I80:I83)</f>
        <v>178</v>
      </c>
      <c r="J79" s="19">
        <f>SUM(J80:J83)</f>
        <v>683.34</v>
      </c>
      <c r="K79" s="8">
        <f>+J79-I79</f>
        <v>505.34000000000003</v>
      </c>
      <c r="L79" s="20">
        <f>+K79/I79</f>
        <v>2.8389887640449438</v>
      </c>
    </row>
    <row r="80" spans="1:13" x14ac:dyDescent="0.25">
      <c r="B80" s="1">
        <v>2301</v>
      </c>
      <c r="C80" s="57">
        <v>7950</v>
      </c>
      <c r="D80" s="1">
        <v>1003</v>
      </c>
      <c r="E80" s="1">
        <v>591</v>
      </c>
      <c r="F80" s="1">
        <v>2310</v>
      </c>
      <c r="G80" s="1">
        <v>8210</v>
      </c>
      <c r="H80" t="s">
        <v>90</v>
      </c>
      <c r="I80" s="28">
        <v>0</v>
      </c>
      <c r="J80" s="28">
        <v>500</v>
      </c>
      <c r="K80" t="s">
        <v>91</v>
      </c>
    </row>
    <row r="81" spans="1:13" x14ac:dyDescent="0.25">
      <c r="B81" s="1">
        <v>2302</v>
      </c>
      <c r="C81" s="57">
        <v>7950</v>
      </c>
      <c r="D81" s="1">
        <v>1157</v>
      </c>
      <c r="E81" s="1">
        <v>591</v>
      </c>
      <c r="F81" s="1">
        <v>2300</v>
      </c>
      <c r="G81" s="1">
        <v>8210</v>
      </c>
      <c r="H81" t="s">
        <v>92</v>
      </c>
      <c r="I81" s="28">
        <v>0</v>
      </c>
      <c r="J81" s="28"/>
    </row>
    <row r="82" spans="1:13" x14ac:dyDescent="0.25">
      <c r="B82" s="1">
        <v>2303</v>
      </c>
      <c r="C82" s="57">
        <v>7950</v>
      </c>
      <c r="D82" s="1">
        <v>1157</v>
      </c>
      <c r="E82" s="1">
        <v>591</v>
      </c>
      <c r="F82" s="1">
        <v>2300</v>
      </c>
      <c r="G82" s="1">
        <v>8210</v>
      </c>
      <c r="H82" t="s">
        <v>93</v>
      </c>
      <c r="I82" s="28">
        <v>0</v>
      </c>
      <c r="J82" s="28"/>
    </row>
    <row r="83" spans="1:13" x14ac:dyDescent="0.25">
      <c r="B83" s="1">
        <v>2301</v>
      </c>
      <c r="C83" s="57">
        <v>7910</v>
      </c>
      <c r="D83" s="1">
        <v>1003</v>
      </c>
      <c r="E83" s="1">
        <v>591</v>
      </c>
      <c r="F83" s="1">
        <v>2310</v>
      </c>
      <c r="G83" s="1">
        <v>7300</v>
      </c>
      <c r="H83" t="s">
        <v>94</v>
      </c>
      <c r="I83" s="38">
        <v>178</v>
      </c>
      <c r="J83" s="28">
        <f>I83*1.03</f>
        <v>183.34</v>
      </c>
    </row>
    <row r="84" spans="1:13" x14ac:dyDescent="0.25">
      <c r="B84" s="1"/>
      <c r="C84" s="57"/>
      <c r="I84" s="25"/>
      <c r="J84" s="25"/>
    </row>
    <row r="85" spans="1:13" x14ac:dyDescent="0.25">
      <c r="A85" t="s">
        <v>7</v>
      </c>
      <c r="B85" s="1"/>
      <c r="C85" s="57"/>
      <c r="D85" s="1"/>
      <c r="E85" s="1"/>
      <c r="F85" s="1"/>
      <c r="G85" s="1"/>
      <c r="I85" s="19">
        <f>SUM(I86:I91)</f>
        <v>28277.8</v>
      </c>
      <c r="J85" s="19">
        <f>SUM(J86:J91)+1</f>
        <v>14371.28</v>
      </c>
      <c r="K85" s="8">
        <f>+J85-I85</f>
        <v>-13906.519999999999</v>
      </c>
      <c r="L85" s="20">
        <f>+K85/I85</f>
        <v>-0.49178224614361793</v>
      </c>
    </row>
    <row r="86" spans="1:13" x14ac:dyDescent="0.25">
      <c r="B86" s="1">
        <v>2301</v>
      </c>
      <c r="C86" s="57">
        <v>7961</v>
      </c>
      <c r="D86" s="1">
        <v>1003</v>
      </c>
      <c r="E86" s="1">
        <v>591</v>
      </c>
      <c r="F86" s="1">
        <v>2310</v>
      </c>
      <c r="G86" s="1">
        <v>7300</v>
      </c>
      <c r="H86" t="s">
        <v>95</v>
      </c>
      <c r="I86" s="28">
        <f>316*2.4</f>
        <v>758.4</v>
      </c>
      <c r="J86" s="28">
        <f>(73*12)*0.85*1.03</f>
        <v>766.93799999999999</v>
      </c>
      <c r="K86" s="11" t="s">
        <v>96</v>
      </c>
    </row>
    <row r="87" spans="1:13" x14ac:dyDescent="0.25">
      <c r="B87" s="1">
        <v>2302</v>
      </c>
      <c r="C87" s="57">
        <v>7961</v>
      </c>
      <c r="D87" s="1">
        <v>1157</v>
      </c>
      <c r="E87" s="1">
        <v>591</v>
      </c>
      <c r="F87" s="1">
        <v>2300</v>
      </c>
      <c r="G87" s="1">
        <v>7300</v>
      </c>
      <c r="H87" t="s">
        <v>97</v>
      </c>
      <c r="I87" s="28">
        <f>37*2.4</f>
        <v>88.8</v>
      </c>
      <c r="J87" s="28">
        <f>(73*12)*0.1*1.03</f>
        <v>90.228000000000009</v>
      </c>
      <c r="K87" s="11" t="s">
        <v>96</v>
      </c>
    </row>
    <row r="88" spans="1:13" x14ac:dyDescent="0.25">
      <c r="B88" s="1">
        <v>2303</v>
      </c>
      <c r="C88" s="57">
        <v>7961</v>
      </c>
      <c r="D88" s="1">
        <v>1157</v>
      </c>
      <c r="E88" s="1">
        <v>591</v>
      </c>
      <c r="F88" s="1">
        <v>2300</v>
      </c>
      <c r="G88" s="1">
        <v>7300</v>
      </c>
      <c r="H88" t="s">
        <v>98</v>
      </c>
      <c r="I88" s="28">
        <f>19*2.4</f>
        <v>45.6</v>
      </c>
      <c r="J88" s="28">
        <f>(73*12)*0.05*1.03</f>
        <v>45.114000000000004</v>
      </c>
      <c r="K88" s="11" t="s">
        <v>96</v>
      </c>
    </row>
    <row r="89" spans="1:13" x14ac:dyDescent="0.25">
      <c r="B89" s="1">
        <v>2301</v>
      </c>
      <c r="C89" s="57">
        <v>7965</v>
      </c>
      <c r="D89" s="1">
        <v>1003</v>
      </c>
      <c r="E89" s="1">
        <v>591</v>
      </c>
      <c r="F89" s="1">
        <v>2310</v>
      </c>
      <c r="G89" s="1">
        <v>7300</v>
      </c>
      <c r="H89" t="s">
        <v>99</v>
      </c>
      <c r="I89" s="28">
        <f>13770-490</f>
        <v>13280</v>
      </c>
      <c r="J89" s="28">
        <f>13468*0.85</f>
        <v>11447.8</v>
      </c>
      <c r="K89" s="11" t="s">
        <v>100</v>
      </c>
      <c r="M89" s="10" t="s">
        <v>101</v>
      </c>
    </row>
    <row r="90" spans="1:13" x14ac:dyDescent="0.25">
      <c r="B90" s="1">
        <v>2302</v>
      </c>
      <c r="C90" s="57">
        <v>7965</v>
      </c>
      <c r="D90" s="1">
        <v>1157</v>
      </c>
      <c r="E90" s="1">
        <v>591</v>
      </c>
      <c r="F90" s="1">
        <v>2300</v>
      </c>
      <c r="G90" s="1">
        <v>7300</v>
      </c>
      <c r="H90" t="s">
        <v>99</v>
      </c>
      <c r="I90" s="28">
        <f>1295+12000</f>
        <v>13295</v>
      </c>
      <c r="J90" s="28">
        <f>13468*0.1</f>
        <v>1346.8000000000002</v>
      </c>
      <c r="K90" s="11" t="s">
        <v>100</v>
      </c>
    </row>
    <row r="91" spans="1:13" x14ac:dyDescent="0.25">
      <c r="B91" s="1">
        <v>2303</v>
      </c>
      <c r="C91" s="57">
        <v>7965</v>
      </c>
      <c r="D91" s="1">
        <v>1157</v>
      </c>
      <c r="E91" s="1">
        <v>591</v>
      </c>
      <c r="F91" s="1">
        <v>2300</v>
      </c>
      <c r="G91" s="1">
        <v>7300</v>
      </c>
      <c r="H91" t="s">
        <v>99</v>
      </c>
      <c r="I91" s="28">
        <v>810</v>
      </c>
      <c r="J91" s="28">
        <f>13468*0.05</f>
        <v>673.40000000000009</v>
      </c>
      <c r="K91" s="11" t="s">
        <v>100</v>
      </c>
    </row>
    <row r="92" spans="1:13" x14ac:dyDescent="0.25">
      <c r="B92" s="1"/>
      <c r="C92" s="57"/>
      <c r="D92" s="1"/>
      <c r="E92" s="1"/>
      <c r="F92" s="1"/>
      <c r="G92" s="1"/>
      <c r="I92" s="25"/>
      <c r="J92" s="26"/>
    </row>
    <row r="93" spans="1:13" x14ac:dyDescent="0.25">
      <c r="A93" t="s">
        <v>102</v>
      </c>
      <c r="B93" s="1"/>
      <c r="C93" s="57"/>
      <c r="D93" s="1"/>
      <c r="E93" s="1"/>
      <c r="F93" s="1"/>
      <c r="G93" s="1"/>
      <c r="I93" s="19">
        <f>SUM(I94:I95)</f>
        <v>7284</v>
      </c>
      <c r="J93" s="19">
        <f>SUM(J94:J95)</f>
        <v>7570.9999999999991</v>
      </c>
      <c r="K93" s="8">
        <f>+J93-I93</f>
        <v>286.99999999999909</v>
      </c>
      <c r="L93" s="20">
        <f>+K93/I93</f>
        <v>3.9401427786930135E-2</v>
      </c>
    </row>
    <row r="94" spans="1:13" x14ac:dyDescent="0.25">
      <c r="B94" s="1">
        <v>2301</v>
      </c>
      <c r="C94" s="57">
        <v>8110</v>
      </c>
      <c r="D94" s="1">
        <v>1003</v>
      </c>
      <c r="E94" s="1">
        <v>591</v>
      </c>
      <c r="F94" s="1">
        <v>2310</v>
      </c>
      <c r="G94" s="1">
        <v>7300</v>
      </c>
      <c r="H94" t="s">
        <v>103</v>
      </c>
      <c r="I94" s="28">
        <v>6920</v>
      </c>
      <c r="J94" s="28">
        <f>7571*0.85</f>
        <v>6435.3499999999995</v>
      </c>
      <c r="K94" t="s">
        <v>104</v>
      </c>
    </row>
    <row r="95" spans="1:13" x14ac:dyDescent="0.25">
      <c r="B95" s="1">
        <v>2302</v>
      </c>
      <c r="C95" s="57">
        <v>8110</v>
      </c>
      <c r="D95" s="1">
        <v>1157</v>
      </c>
      <c r="E95" s="1">
        <v>591</v>
      </c>
      <c r="F95" s="1">
        <v>2300</v>
      </c>
      <c r="G95" s="1">
        <v>7300</v>
      </c>
      <c r="H95" t="s">
        <v>103</v>
      </c>
      <c r="I95" s="28">
        <v>364</v>
      </c>
      <c r="J95" s="28">
        <f>7571*0.15</f>
        <v>1135.6499999999999</v>
      </c>
      <c r="K95" t="s">
        <v>104</v>
      </c>
    </row>
    <row r="96" spans="1:13" x14ac:dyDescent="0.25">
      <c r="B96" s="1"/>
      <c r="C96" s="57"/>
      <c r="I96" s="25"/>
      <c r="J96" s="25"/>
    </row>
    <row r="97" spans="1:12" x14ac:dyDescent="0.25">
      <c r="A97" t="s">
        <v>0</v>
      </c>
      <c r="B97" s="1"/>
      <c r="C97" s="57"/>
      <c r="D97" s="1"/>
      <c r="E97" s="1"/>
      <c r="F97" s="1"/>
      <c r="G97" s="1"/>
      <c r="I97" s="19">
        <f>SUM(I98:I107)</f>
        <v>7737</v>
      </c>
      <c r="J97" s="19">
        <f>SUM(J98:J107)</f>
        <v>7703.8499999999985</v>
      </c>
      <c r="K97" s="8">
        <f>+J97-I97</f>
        <v>-33.150000000001455</v>
      </c>
      <c r="L97" s="20">
        <f>+K97/I97</f>
        <v>-4.2846064366035231E-3</v>
      </c>
    </row>
    <row r="98" spans="1:12" x14ac:dyDescent="0.25">
      <c r="B98" s="1">
        <v>2301</v>
      </c>
      <c r="C98" s="57">
        <v>7410</v>
      </c>
      <c r="D98" s="1">
        <v>1003</v>
      </c>
      <c r="E98" s="1">
        <v>591</v>
      </c>
      <c r="F98" s="1">
        <v>2310</v>
      </c>
      <c r="G98" s="1">
        <v>7350</v>
      </c>
      <c r="H98" t="s">
        <v>105</v>
      </c>
      <c r="I98" s="28">
        <f>2919-1943</f>
        <v>976</v>
      </c>
      <c r="J98" s="28">
        <f t="shared" ref="J98:J107" si="1">I98*1.05</f>
        <v>1024.8</v>
      </c>
      <c r="K98" t="s">
        <v>106</v>
      </c>
    </row>
    <row r="99" spans="1:12" x14ac:dyDescent="0.25">
      <c r="B99" s="1">
        <v>2301</v>
      </c>
      <c r="C99" s="57">
        <v>7410.1</v>
      </c>
      <c r="D99" s="1">
        <v>1003</v>
      </c>
      <c r="E99" s="1">
        <v>591</v>
      </c>
      <c r="F99" s="1">
        <v>2310</v>
      </c>
      <c r="G99" s="1">
        <v>7350</v>
      </c>
      <c r="H99" t="s">
        <v>107</v>
      </c>
      <c r="I99" s="28">
        <f>71+128</f>
        <v>199</v>
      </c>
      <c r="J99" s="28">
        <f t="shared" si="1"/>
        <v>208.95000000000002</v>
      </c>
      <c r="K99" t="s">
        <v>108</v>
      </c>
    </row>
    <row r="100" spans="1:12" x14ac:dyDescent="0.25">
      <c r="B100" s="1">
        <v>2301</v>
      </c>
      <c r="C100" s="57">
        <v>7410.2</v>
      </c>
      <c r="D100" s="1">
        <v>1003</v>
      </c>
      <c r="E100" s="1">
        <v>591</v>
      </c>
      <c r="F100" s="1">
        <v>2310</v>
      </c>
      <c r="G100" s="1">
        <v>7350</v>
      </c>
      <c r="H100" t="s">
        <v>109</v>
      </c>
      <c r="I100" s="28">
        <v>74</v>
      </c>
      <c r="J100" s="28">
        <f t="shared" si="1"/>
        <v>77.7</v>
      </c>
    </row>
    <row r="101" spans="1:12" x14ac:dyDescent="0.25">
      <c r="B101" s="1">
        <v>2301</v>
      </c>
      <c r="C101" s="57">
        <v>7410.3</v>
      </c>
      <c r="D101" s="1">
        <v>1003</v>
      </c>
      <c r="E101" s="1">
        <v>591</v>
      </c>
      <c r="F101" s="1">
        <v>2310</v>
      </c>
      <c r="G101" s="1">
        <v>7350</v>
      </c>
      <c r="H101" t="s">
        <v>110</v>
      </c>
      <c r="I101" s="28">
        <f>3724+858</f>
        <v>4582</v>
      </c>
      <c r="J101" s="28">
        <f>I101*1.05-(35*12*0.6)</f>
        <v>4559.1000000000004</v>
      </c>
    </row>
    <row r="102" spans="1:12" x14ac:dyDescent="0.25">
      <c r="B102" s="1">
        <v>2302</v>
      </c>
      <c r="C102" s="57">
        <v>7410</v>
      </c>
      <c r="D102" s="1">
        <v>1157</v>
      </c>
      <c r="E102" s="1">
        <v>591</v>
      </c>
      <c r="F102" s="1">
        <v>2300</v>
      </c>
      <c r="G102" s="1">
        <v>7350</v>
      </c>
      <c r="H102" t="s">
        <v>111</v>
      </c>
      <c r="I102" s="28">
        <v>338</v>
      </c>
      <c r="J102" s="28">
        <f t="shared" si="1"/>
        <v>354.90000000000003</v>
      </c>
      <c r="K102" t="s">
        <v>106</v>
      </c>
    </row>
    <row r="103" spans="1:12" x14ac:dyDescent="0.25">
      <c r="B103" s="1">
        <v>2302</v>
      </c>
      <c r="C103" s="57">
        <v>7410.1</v>
      </c>
      <c r="D103" s="1">
        <v>1157</v>
      </c>
      <c r="E103" s="1">
        <v>591</v>
      </c>
      <c r="F103" s="1">
        <v>2300</v>
      </c>
      <c r="G103" s="1">
        <v>7350</v>
      </c>
      <c r="H103" t="s">
        <v>112</v>
      </c>
      <c r="I103" s="28">
        <f>29.6+23.4</f>
        <v>53</v>
      </c>
      <c r="J103" s="28">
        <f t="shared" si="1"/>
        <v>55.650000000000006</v>
      </c>
    </row>
    <row r="104" spans="1:12" x14ac:dyDescent="0.25">
      <c r="B104" s="1">
        <v>2302</v>
      </c>
      <c r="C104" s="57">
        <v>7410.2</v>
      </c>
      <c r="D104" s="1">
        <v>1157</v>
      </c>
      <c r="E104" s="1">
        <v>591</v>
      </c>
      <c r="F104" s="1">
        <v>2300</v>
      </c>
      <c r="G104" s="1">
        <v>7350</v>
      </c>
      <c r="H104" t="s">
        <v>113</v>
      </c>
      <c r="I104" s="28">
        <v>4</v>
      </c>
      <c r="J104" s="28">
        <f t="shared" si="1"/>
        <v>4.2</v>
      </c>
    </row>
    <row r="105" spans="1:12" x14ac:dyDescent="0.25">
      <c r="B105" s="1">
        <v>2302</v>
      </c>
      <c r="C105" s="57">
        <v>7410.3</v>
      </c>
      <c r="D105" s="1">
        <v>1157</v>
      </c>
      <c r="E105" s="1">
        <v>591</v>
      </c>
      <c r="F105" s="1">
        <v>2300</v>
      </c>
      <c r="G105" s="1">
        <v>7350</v>
      </c>
      <c r="H105" t="s">
        <v>114</v>
      </c>
      <c r="I105" s="28">
        <f>261+1133</f>
        <v>1394</v>
      </c>
      <c r="J105" s="28">
        <f>I105*1.05-(35*12*0.4)</f>
        <v>1295.7</v>
      </c>
    </row>
    <row r="106" spans="1:12" x14ac:dyDescent="0.25">
      <c r="B106" s="1">
        <v>2303</v>
      </c>
      <c r="C106" s="57">
        <v>7410</v>
      </c>
      <c r="D106" s="1">
        <v>1157</v>
      </c>
      <c r="E106" s="1">
        <v>591</v>
      </c>
      <c r="F106" s="1">
        <v>2300</v>
      </c>
      <c r="G106" s="1">
        <v>7350</v>
      </c>
      <c r="H106" t="s">
        <v>115</v>
      </c>
      <c r="I106" s="28">
        <v>104</v>
      </c>
      <c r="J106" s="28">
        <f t="shared" si="1"/>
        <v>109.2</v>
      </c>
    </row>
    <row r="107" spans="1:12" x14ac:dyDescent="0.25">
      <c r="B107" s="1">
        <v>2303</v>
      </c>
      <c r="C107" s="57">
        <v>7410.1</v>
      </c>
      <c r="D107" s="1">
        <v>1157</v>
      </c>
      <c r="E107" s="1">
        <v>591</v>
      </c>
      <c r="F107" s="1">
        <v>2300</v>
      </c>
      <c r="G107" s="1">
        <v>7350</v>
      </c>
      <c r="H107" t="s">
        <v>116</v>
      </c>
      <c r="I107" s="28">
        <v>13</v>
      </c>
      <c r="J107" s="28">
        <f t="shared" si="1"/>
        <v>13.65</v>
      </c>
    </row>
    <row r="108" spans="1:12" x14ac:dyDescent="0.25">
      <c r="A108" s="3"/>
      <c r="B108" s="1"/>
      <c r="C108" s="57"/>
      <c r="D108" s="1"/>
      <c r="E108" s="1"/>
      <c r="F108" s="1"/>
      <c r="G108" s="1"/>
      <c r="I108" s="25"/>
      <c r="J108" s="28"/>
    </row>
    <row r="109" spans="1:12" x14ac:dyDescent="0.25">
      <c r="A109" s="3"/>
      <c r="B109" s="1"/>
      <c r="C109" s="57"/>
      <c r="D109" s="1"/>
      <c r="E109" s="1"/>
      <c r="F109" s="1"/>
      <c r="G109" s="1"/>
      <c r="I109" s="25"/>
      <c r="J109" s="28"/>
    </row>
    <row r="110" spans="1:12" x14ac:dyDescent="0.25">
      <c r="A110" s="3" t="s">
        <v>117</v>
      </c>
      <c r="B110" s="1"/>
      <c r="C110" s="57"/>
      <c r="D110" s="1"/>
      <c r="E110" s="1"/>
      <c r="F110" s="1"/>
      <c r="G110" s="1"/>
      <c r="I110" s="19">
        <f>SUM(I111:I112)</f>
        <v>4625</v>
      </c>
      <c r="J110" s="19">
        <f>SUM(J111:J112)</f>
        <v>4230.5357142857147</v>
      </c>
      <c r="K110" s="8">
        <f>+J110-I110</f>
        <v>-394.46428571428532</v>
      </c>
      <c r="L110" s="20">
        <f>+K110/I110</f>
        <v>-8.5289575289575204E-2</v>
      </c>
    </row>
    <row r="111" spans="1:12" x14ac:dyDescent="0.25">
      <c r="B111" s="1">
        <v>2301</v>
      </c>
      <c r="C111" s="57">
        <v>8240</v>
      </c>
      <c r="D111" s="1">
        <v>1003</v>
      </c>
      <c r="E111" s="1">
        <v>591</v>
      </c>
      <c r="F111" s="1">
        <v>2310</v>
      </c>
      <c r="G111" s="1">
        <v>7300</v>
      </c>
      <c r="H111" t="s">
        <v>118</v>
      </c>
      <c r="I111" s="28">
        <f>3427+42</f>
        <v>3469</v>
      </c>
      <c r="J111" s="28">
        <f>I111*1.05-((275+90)*12/7)</f>
        <v>3016.7357142857145</v>
      </c>
      <c r="K111" t="s">
        <v>119</v>
      </c>
    </row>
    <row r="112" spans="1:12" x14ac:dyDescent="0.25">
      <c r="B112" s="1">
        <v>2302</v>
      </c>
      <c r="C112" s="57">
        <v>8240</v>
      </c>
      <c r="D112" s="1">
        <v>1157</v>
      </c>
      <c r="E112" s="1">
        <v>591</v>
      </c>
      <c r="F112" s="1">
        <v>2300</v>
      </c>
      <c r="G112" s="1">
        <v>7300</v>
      </c>
      <c r="H112" t="s">
        <v>120</v>
      </c>
      <c r="I112" s="28">
        <f>1142+14</f>
        <v>1156</v>
      </c>
      <c r="J112" s="28">
        <f>I112*1.05</f>
        <v>1213.8</v>
      </c>
      <c r="K112" t="s">
        <v>119</v>
      </c>
    </row>
    <row r="113" spans="1:12" x14ac:dyDescent="0.25">
      <c r="A113" s="3"/>
      <c r="B113" s="1"/>
      <c r="C113" s="57"/>
      <c r="D113" s="1"/>
      <c r="E113" s="1"/>
      <c r="F113" s="1"/>
      <c r="G113" s="1"/>
      <c r="I113" s="25"/>
      <c r="J113" s="28"/>
    </row>
    <row r="114" spans="1:12" x14ac:dyDescent="0.25">
      <c r="A114" s="3"/>
      <c r="B114" s="1"/>
      <c r="C114" s="57"/>
      <c r="D114" s="1"/>
      <c r="E114" s="1"/>
      <c r="F114" s="1"/>
      <c r="G114" s="1"/>
      <c r="I114" s="25"/>
      <c r="J114" s="22"/>
    </row>
    <row r="115" spans="1:12" x14ac:dyDescent="0.25">
      <c r="A115" t="s">
        <v>8</v>
      </c>
      <c r="B115" s="1"/>
      <c r="C115" s="57"/>
      <c r="D115" s="1"/>
      <c r="E115" s="1"/>
      <c r="F115" s="1"/>
      <c r="G115" s="1"/>
      <c r="I115" s="39">
        <f>SUM(I116:I125)</f>
        <v>73514</v>
      </c>
      <c r="J115" s="39">
        <f>SUM(J116:J125)</f>
        <v>64822.969999999994</v>
      </c>
      <c r="K115" s="8">
        <f>+J115-I115</f>
        <v>-8691.0300000000061</v>
      </c>
      <c r="L115" s="20">
        <f>+K115/I115</f>
        <v>-0.11822278749625929</v>
      </c>
    </row>
    <row r="116" spans="1:12" x14ac:dyDescent="0.25">
      <c r="B116" s="1">
        <v>2301</v>
      </c>
      <c r="C116" s="57">
        <v>7110</v>
      </c>
      <c r="D116" s="1">
        <v>1003</v>
      </c>
      <c r="E116" s="1">
        <v>591</v>
      </c>
      <c r="F116" s="1">
        <v>2310</v>
      </c>
      <c r="G116" s="1">
        <v>8030</v>
      </c>
      <c r="H116" t="s">
        <v>121</v>
      </c>
      <c r="I116" s="28">
        <v>43977</v>
      </c>
      <c r="J116" s="28">
        <f>I116*1.03-(675*12*0.6)-2946</f>
        <v>37490.31</v>
      </c>
      <c r="K116" t="s">
        <v>122</v>
      </c>
    </row>
    <row r="117" spans="1:12" x14ac:dyDescent="0.25">
      <c r="B117" s="1">
        <v>2302</v>
      </c>
      <c r="C117" s="57">
        <v>7110</v>
      </c>
      <c r="D117" s="1">
        <v>1157</v>
      </c>
      <c r="E117" s="1">
        <v>591</v>
      </c>
      <c r="F117" s="1">
        <v>2300</v>
      </c>
      <c r="G117" s="1">
        <v>8030</v>
      </c>
      <c r="H117" t="s">
        <v>123</v>
      </c>
      <c r="I117" s="28">
        <v>26191</v>
      </c>
      <c r="J117" s="28">
        <f>I117*1.03-(675*12*0.4)+2946</f>
        <v>26682.73</v>
      </c>
      <c r="K117" s="40" t="s">
        <v>124</v>
      </c>
    </row>
    <row r="118" spans="1:12" x14ac:dyDescent="0.25">
      <c r="B118" s="1"/>
      <c r="C118" s="57"/>
      <c r="D118" s="1"/>
      <c r="E118" s="1"/>
      <c r="F118" s="1"/>
      <c r="G118" s="1"/>
      <c r="I118" s="28"/>
      <c r="J118" s="28"/>
      <c r="K118" s="40"/>
    </row>
    <row r="119" spans="1:12" x14ac:dyDescent="0.25">
      <c r="A119" t="s">
        <v>8</v>
      </c>
      <c r="B119" s="1"/>
      <c r="C119" s="57"/>
      <c r="D119" s="1"/>
      <c r="E119" s="1"/>
      <c r="F119" s="1"/>
      <c r="G119" s="1"/>
      <c r="I119" s="28"/>
      <c r="J119" s="28"/>
      <c r="K119" s="40"/>
    </row>
    <row r="120" spans="1:12" x14ac:dyDescent="0.25">
      <c r="B120" s="1">
        <v>2301</v>
      </c>
      <c r="C120" s="57">
        <v>7110.1</v>
      </c>
      <c r="D120" s="1">
        <v>1003</v>
      </c>
      <c r="E120" s="1">
        <v>591</v>
      </c>
      <c r="F120" s="1">
        <v>2310</v>
      </c>
      <c r="G120" s="1">
        <v>8030</v>
      </c>
      <c r="H120" t="s">
        <v>125</v>
      </c>
      <c r="I120" s="28">
        <v>375</v>
      </c>
      <c r="J120" s="28">
        <f>I120*1.03</f>
        <v>386.25</v>
      </c>
      <c r="K120" s="40"/>
    </row>
    <row r="121" spans="1:12" x14ac:dyDescent="0.25">
      <c r="B121" s="1">
        <v>2302</v>
      </c>
      <c r="C121" s="57">
        <v>7110.1</v>
      </c>
      <c r="D121" s="1">
        <v>1157</v>
      </c>
      <c r="E121" s="1">
        <v>591</v>
      </c>
      <c r="F121" s="1">
        <v>2300</v>
      </c>
      <c r="G121" s="1">
        <v>8030</v>
      </c>
      <c r="H121" t="s">
        <v>126</v>
      </c>
      <c r="I121" s="28">
        <v>256</v>
      </c>
      <c r="J121" s="28">
        <f>I121*1.03</f>
        <v>263.68</v>
      </c>
      <c r="K121" s="40"/>
    </row>
    <row r="122" spans="1:12" x14ac:dyDescent="0.25">
      <c r="B122" s="1"/>
      <c r="C122" s="57"/>
      <c r="D122" s="1"/>
      <c r="E122" s="1"/>
      <c r="F122" s="1"/>
      <c r="G122" s="1"/>
      <c r="I122" s="28"/>
      <c r="J122" s="28"/>
      <c r="K122" s="40"/>
    </row>
    <row r="123" spans="1:12" x14ac:dyDescent="0.25">
      <c r="A123" t="s">
        <v>8</v>
      </c>
      <c r="B123" s="1"/>
      <c r="C123" s="57"/>
      <c r="D123" s="1"/>
      <c r="E123" s="1"/>
      <c r="F123" s="1"/>
      <c r="G123" s="1"/>
      <c r="I123" s="28"/>
      <c r="J123" s="28"/>
      <c r="K123" s="40"/>
    </row>
    <row r="124" spans="1:12" x14ac:dyDescent="0.25">
      <c r="B124" s="1">
        <v>2301</v>
      </c>
      <c r="C124" s="57">
        <v>7120</v>
      </c>
      <c r="D124" s="1">
        <v>1003</v>
      </c>
      <c r="E124" s="1">
        <v>591</v>
      </c>
      <c r="F124" s="1">
        <v>2310</v>
      </c>
      <c r="G124" s="1">
        <v>8130</v>
      </c>
      <c r="H124" t="s">
        <v>127</v>
      </c>
      <c r="I124" s="28">
        <f>1500+1215</f>
        <v>2715</v>
      </c>
      <c r="J124" s="28">
        <v>0</v>
      </c>
      <c r="K124" s="40" t="s">
        <v>128</v>
      </c>
    </row>
    <row r="125" spans="1:12" x14ac:dyDescent="0.25">
      <c r="B125" s="1">
        <v>2302</v>
      </c>
      <c r="C125" s="57">
        <v>7120</v>
      </c>
      <c r="D125" s="1">
        <v>1157</v>
      </c>
      <c r="E125" s="1">
        <v>591</v>
      </c>
      <c r="F125" s="1">
        <v>2300</v>
      </c>
      <c r="G125" s="1">
        <v>8130</v>
      </c>
      <c r="H125" t="s">
        <v>129</v>
      </c>
      <c r="I125" s="28"/>
      <c r="J125" s="28">
        <f>I125*1.03</f>
        <v>0</v>
      </c>
      <c r="K125" s="40"/>
    </row>
    <row r="126" spans="1:12" x14ac:dyDescent="0.25">
      <c r="A126" s="3"/>
      <c r="B126" s="1"/>
      <c r="C126" s="57"/>
      <c r="D126" s="1"/>
      <c r="E126" s="1"/>
      <c r="F126" s="1"/>
      <c r="G126" s="1"/>
      <c r="H126" s="41"/>
      <c r="I126" s="25"/>
      <c r="J126" s="28"/>
    </row>
    <row r="127" spans="1:12" x14ac:dyDescent="0.25">
      <c r="A127" t="s">
        <v>12</v>
      </c>
      <c r="B127" s="1"/>
      <c r="C127" s="57"/>
      <c r="D127" s="1"/>
      <c r="E127" s="1"/>
      <c r="F127" s="1"/>
      <c r="G127" s="1"/>
      <c r="I127" s="19">
        <v>0</v>
      </c>
      <c r="J127" s="19">
        <v>0</v>
      </c>
      <c r="K127" t="s">
        <v>130</v>
      </c>
    </row>
    <row r="128" spans="1:12" x14ac:dyDescent="0.25">
      <c r="B128" s="1">
        <v>2301</v>
      </c>
      <c r="C128" s="57">
        <v>7210</v>
      </c>
      <c r="D128" s="1">
        <v>1003</v>
      </c>
      <c r="E128" s="1">
        <v>591</v>
      </c>
      <c r="F128" s="1">
        <v>2310</v>
      </c>
      <c r="G128" s="1">
        <v>7301</v>
      </c>
      <c r="H128" t="s">
        <v>131</v>
      </c>
      <c r="I128" s="28">
        <v>0</v>
      </c>
      <c r="J128" s="28">
        <v>0</v>
      </c>
    </row>
    <row r="129" spans="1:12" x14ac:dyDescent="0.25">
      <c r="B129" s="1"/>
      <c r="C129" s="57"/>
      <c r="D129" s="1"/>
      <c r="E129" s="1"/>
      <c r="F129" s="1"/>
      <c r="G129" s="1"/>
      <c r="I129" s="25"/>
      <c r="J129" s="26"/>
    </row>
    <row r="130" spans="1:12" x14ac:dyDescent="0.25">
      <c r="B130" s="1"/>
      <c r="C130" s="57"/>
      <c r="D130" s="1"/>
      <c r="E130" s="1"/>
      <c r="F130" s="1"/>
      <c r="G130" s="1"/>
      <c r="I130" s="25"/>
      <c r="J130" s="26"/>
    </row>
    <row r="131" spans="1:12" x14ac:dyDescent="0.25">
      <c r="B131" s="1"/>
      <c r="C131" s="57"/>
      <c r="D131" s="1"/>
      <c r="E131" s="1"/>
      <c r="F131" s="1"/>
      <c r="G131" s="1"/>
      <c r="I131" s="25"/>
      <c r="J131" s="26"/>
    </row>
    <row r="132" spans="1:12" x14ac:dyDescent="0.25">
      <c r="A132" t="s">
        <v>132</v>
      </c>
      <c r="B132" s="1"/>
      <c r="C132" s="57"/>
      <c r="D132" s="1"/>
      <c r="E132" s="1"/>
      <c r="F132" s="1"/>
      <c r="G132" s="1"/>
      <c r="I132" s="19">
        <f>SUM(I133:I136)</f>
        <v>0</v>
      </c>
      <c r="J132" s="19">
        <f>SUM(J133:J136)</f>
        <v>3000</v>
      </c>
      <c r="K132" s="8">
        <f>+J132-I132</f>
        <v>3000</v>
      </c>
      <c r="L132" s="20"/>
    </row>
    <row r="133" spans="1:12" ht="13.5" customHeight="1" x14ac:dyDescent="0.25">
      <c r="B133" s="1">
        <v>2301</v>
      </c>
      <c r="C133" s="57">
        <v>8210</v>
      </c>
      <c r="D133" s="1">
        <v>1003</v>
      </c>
      <c r="E133" s="1">
        <v>591</v>
      </c>
      <c r="F133" s="1">
        <v>2310</v>
      </c>
      <c r="G133" s="1">
        <v>7301</v>
      </c>
      <c r="H133" t="s">
        <v>133</v>
      </c>
      <c r="I133" s="28">
        <v>0</v>
      </c>
      <c r="J133" s="28">
        <v>1000</v>
      </c>
    </row>
    <row r="134" spans="1:12" ht="13.5" customHeight="1" x14ac:dyDescent="0.25">
      <c r="B134" s="1">
        <v>2302</v>
      </c>
      <c r="C134" s="57">
        <v>8210</v>
      </c>
      <c r="D134" s="1">
        <v>1157</v>
      </c>
      <c r="E134" s="1">
        <v>591</v>
      </c>
      <c r="F134" s="1">
        <v>2300</v>
      </c>
      <c r="G134" s="1">
        <v>7301</v>
      </c>
      <c r="H134" t="s">
        <v>133</v>
      </c>
      <c r="I134" s="28">
        <v>0</v>
      </c>
      <c r="J134" s="28">
        <v>0</v>
      </c>
    </row>
    <row r="135" spans="1:12" ht="13.5" customHeight="1" x14ac:dyDescent="0.25">
      <c r="B135" s="1">
        <v>2303</v>
      </c>
      <c r="C135" s="57">
        <v>8210</v>
      </c>
      <c r="D135" s="1">
        <v>1157</v>
      </c>
      <c r="E135" s="1">
        <v>591</v>
      </c>
      <c r="F135" s="1">
        <v>2300</v>
      </c>
      <c r="G135" s="1">
        <v>7301</v>
      </c>
      <c r="H135" t="s">
        <v>133</v>
      </c>
      <c r="I135" s="28">
        <v>0</v>
      </c>
      <c r="J135" s="28">
        <v>0</v>
      </c>
    </row>
    <row r="136" spans="1:12" x14ac:dyDescent="0.25">
      <c r="B136" s="1">
        <v>2301</v>
      </c>
      <c r="C136" s="57">
        <v>8220</v>
      </c>
      <c r="D136" s="1">
        <v>1003</v>
      </c>
      <c r="E136" s="1">
        <v>591</v>
      </c>
      <c r="F136" s="1">
        <v>2310</v>
      </c>
      <c r="G136" s="1">
        <v>7600</v>
      </c>
      <c r="H136" t="s">
        <v>134</v>
      </c>
      <c r="I136" s="38"/>
      <c r="J136" s="28">
        <v>2000</v>
      </c>
    </row>
    <row r="137" spans="1:12" x14ac:dyDescent="0.25">
      <c r="A137" s="3"/>
      <c r="B137" s="1"/>
      <c r="C137" s="57"/>
      <c r="D137" s="1"/>
      <c r="E137" s="1"/>
      <c r="F137" s="1"/>
      <c r="G137" s="1"/>
      <c r="I137" s="25"/>
      <c r="J137" s="28"/>
    </row>
    <row r="138" spans="1:12" x14ac:dyDescent="0.25">
      <c r="A138" s="3"/>
      <c r="B138" s="1"/>
      <c r="C138" s="57"/>
      <c r="D138" s="1"/>
      <c r="E138" s="1"/>
      <c r="F138" s="1"/>
      <c r="G138" s="1"/>
      <c r="I138" s="25"/>
      <c r="J138" s="28"/>
    </row>
    <row r="139" spans="1:12" x14ac:dyDescent="0.25">
      <c r="A139" s="3" t="s">
        <v>135</v>
      </c>
      <c r="B139" s="1"/>
      <c r="C139" s="57"/>
      <c r="D139" s="1"/>
      <c r="E139" s="1"/>
      <c r="F139" s="1"/>
      <c r="G139" s="1"/>
      <c r="I139" s="19">
        <f>SUM(I140:I155)</f>
        <v>7231.6580000000004</v>
      </c>
      <c r="J139" s="19">
        <f>SUM(J140:J155)</f>
        <v>7444.677740000001</v>
      </c>
      <c r="K139" s="8">
        <f>+J139-I139</f>
        <v>213.01974000000064</v>
      </c>
      <c r="L139" s="20">
        <f>+K139/I139</f>
        <v>2.9456556159044113E-2</v>
      </c>
    </row>
    <row r="140" spans="1:12" x14ac:dyDescent="0.25">
      <c r="B140" s="1">
        <v>2301</v>
      </c>
      <c r="C140" s="57">
        <v>7010</v>
      </c>
      <c r="D140" s="1">
        <v>1003</v>
      </c>
      <c r="E140" s="1">
        <v>591</v>
      </c>
      <c r="F140" s="1">
        <v>2310</v>
      </c>
      <c r="G140" s="1">
        <v>7300</v>
      </c>
      <c r="H140" t="s">
        <v>136</v>
      </c>
      <c r="I140" s="28">
        <f>(52.97+27.12+27.12+285+356.22+189.52+27.52+42.15)*2.4+70.44</f>
        <v>2488.7280000000001</v>
      </c>
      <c r="J140" s="28">
        <f>I140*1.03</f>
        <v>2563.3898400000003</v>
      </c>
      <c r="K140" t="s">
        <v>137</v>
      </c>
    </row>
    <row r="141" spans="1:12" x14ac:dyDescent="0.25">
      <c r="B141" s="1">
        <v>2302</v>
      </c>
      <c r="C141" s="57">
        <v>7010</v>
      </c>
      <c r="D141" s="1">
        <v>1157</v>
      </c>
      <c r="E141" s="1">
        <v>591</v>
      </c>
      <c r="F141" s="1">
        <v>2300</v>
      </c>
      <c r="G141" s="1">
        <v>7300</v>
      </c>
      <c r="H141" t="s">
        <v>138</v>
      </c>
      <c r="I141" s="28">
        <f>(24.38+3.18+3.18+45.69+7.71+4.19)*2.4+77.3+107.45</f>
        <v>396.74199999999996</v>
      </c>
      <c r="J141" s="28">
        <f>I141*1.03</f>
        <v>408.64425999999997</v>
      </c>
      <c r="K141" t="s">
        <v>139</v>
      </c>
    </row>
    <row r="142" spans="1:12" x14ac:dyDescent="0.25">
      <c r="B142" s="1">
        <v>2303</v>
      </c>
      <c r="C142" s="57">
        <v>7010</v>
      </c>
      <c r="D142" s="1">
        <v>1157</v>
      </c>
      <c r="E142" s="1">
        <v>591</v>
      </c>
      <c r="F142" s="1">
        <v>2300</v>
      </c>
      <c r="G142" s="1">
        <v>7300</v>
      </c>
      <c r="H142" t="s">
        <v>140</v>
      </c>
      <c r="I142" s="28">
        <f>(1.6+1.6+12.37+1.47+2.48)*2.4</f>
        <v>46.847999999999999</v>
      </c>
      <c r="J142" s="28">
        <f>I142*1.03</f>
        <v>48.253439999999998</v>
      </c>
    </row>
    <row r="143" spans="1:12" x14ac:dyDescent="0.25">
      <c r="B143" s="1">
        <v>2302</v>
      </c>
      <c r="C143" s="57">
        <v>7020</v>
      </c>
      <c r="D143" s="1">
        <v>1157</v>
      </c>
      <c r="E143" s="1">
        <v>591</v>
      </c>
      <c r="F143" s="1">
        <v>2300</v>
      </c>
      <c r="G143" s="1">
        <v>7301</v>
      </c>
      <c r="H143" t="s">
        <v>141</v>
      </c>
      <c r="I143" s="38">
        <f>340+90+43</f>
        <v>473</v>
      </c>
      <c r="J143" s="28">
        <f>I143*1.03</f>
        <v>487.19</v>
      </c>
      <c r="K143" t="s">
        <v>142</v>
      </c>
    </row>
    <row r="144" spans="1:12" x14ac:dyDescent="0.25">
      <c r="B144" s="1">
        <v>2301</v>
      </c>
      <c r="C144" s="57">
        <v>8230</v>
      </c>
      <c r="D144" s="1">
        <v>1003</v>
      </c>
      <c r="E144" s="1">
        <v>591</v>
      </c>
      <c r="F144" s="1">
        <v>2310</v>
      </c>
      <c r="G144" s="1">
        <v>7301</v>
      </c>
      <c r="H144" t="s">
        <v>143</v>
      </c>
      <c r="I144" s="28">
        <v>111</v>
      </c>
      <c r="J144" s="28">
        <f>I144</f>
        <v>111</v>
      </c>
    </row>
    <row r="145" spans="2:12" x14ac:dyDescent="0.25">
      <c r="B145" s="1">
        <v>2302</v>
      </c>
      <c r="C145" s="57">
        <v>8230</v>
      </c>
      <c r="D145" s="1">
        <v>1157</v>
      </c>
      <c r="E145" s="1">
        <v>591</v>
      </c>
      <c r="F145" s="1">
        <v>2300</v>
      </c>
      <c r="G145" s="1">
        <v>7301</v>
      </c>
      <c r="H145" t="s">
        <v>143</v>
      </c>
      <c r="I145" s="28">
        <v>13</v>
      </c>
      <c r="J145" s="28">
        <f>I145</f>
        <v>13</v>
      </c>
      <c r="K145" s="27"/>
    </row>
    <row r="146" spans="2:12" x14ac:dyDescent="0.25">
      <c r="B146" s="1">
        <v>2303</v>
      </c>
      <c r="C146" s="57">
        <v>8230</v>
      </c>
      <c r="D146" s="1">
        <v>1157</v>
      </c>
      <c r="E146" s="1">
        <v>591</v>
      </c>
      <c r="F146" s="1">
        <v>2300</v>
      </c>
      <c r="G146" s="1">
        <v>7301</v>
      </c>
      <c r="H146" t="s">
        <v>143</v>
      </c>
      <c r="I146" s="28">
        <v>7</v>
      </c>
      <c r="J146" s="28">
        <f>I146</f>
        <v>7</v>
      </c>
    </row>
    <row r="147" spans="2:12" x14ac:dyDescent="0.25">
      <c r="B147" s="1">
        <v>2301</v>
      </c>
      <c r="C147" s="57">
        <v>8250</v>
      </c>
      <c r="D147" s="1">
        <v>1003</v>
      </c>
      <c r="E147" s="1">
        <v>591</v>
      </c>
      <c r="F147" s="1">
        <v>2310</v>
      </c>
      <c r="G147" s="1">
        <v>7300</v>
      </c>
      <c r="H147" t="s">
        <v>144</v>
      </c>
      <c r="I147" s="28">
        <f>121.42+17</f>
        <v>138.42000000000002</v>
      </c>
      <c r="J147" s="28">
        <f t="shared" ref="J147:J155" si="2">I147*1.03</f>
        <v>142.57260000000002</v>
      </c>
      <c r="K147" t="s">
        <v>145</v>
      </c>
    </row>
    <row r="148" spans="2:12" x14ac:dyDescent="0.25">
      <c r="B148" s="1">
        <v>2301</v>
      </c>
      <c r="C148" s="57">
        <v>8250.1</v>
      </c>
      <c r="D148" s="1">
        <v>1003</v>
      </c>
      <c r="E148" s="1">
        <v>591</v>
      </c>
      <c r="F148" s="1">
        <v>2310</v>
      </c>
      <c r="G148" s="1">
        <v>7300</v>
      </c>
      <c r="H148" t="s">
        <v>146</v>
      </c>
      <c r="I148" s="28">
        <v>200</v>
      </c>
      <c r="J148" s="28">
        <f t="shared" si="2"/>
        <v>206</v>
      </c>
    </row>
    <row r="149" spans="2:12" x14ac:dyDescent="0.25">
      <c r="B149" s="1">
        <v>2303</v>
      </c>
      <c r="C149" s="57">
        <v>8250.2000000000007</v>
      </c>
      <c r="D149" s="1">
        <v>1157</v>
      </c>
      <c r="E149" s="1">
        <v>591</v>
      </c>
      <c r="F149" s="1">
        <v>2300</v>
      </c>
      <c r="G149" s="1">
        <v>7300</v>
      </c>
      <c r="H149" t="s">
        <v>147</v>
      </c>
      <c r="I149" s="28">
        <f>350+72.92+550</f>
        <v>972.92000000000007</v>
      </c>
      <c r="J149" s="28">
        <f t="shared" si="2"/>
        <v>1002.1076</v>
      </c>
    </row>
    <row r="150" spans="2:12" x14ac:dyDescent="0.25">
      <c r="B150" s="1">
        <v>2301</v>
      </c>
      <c r="C150" s="57">
        <v>8250.2999999999993</v>
      </c>
      <c r="D150" s="1">
        <v>1003</v>
      </c>
      <c r="E150" s="1">
        <v>591</v>
      </c>
      <c r="F150" s="1">
        <v>2310</v>
      </c>
      <c r="G150" s="1">
        <v>7300</v>
      </c>
      <c r="H150" t="s">
        <v>148</v>
      </c>
      <c r="I150" s="28">
        <v>700</v>
      </c>
      <c r="J150" s="28">
        <f t="shared" si="2"/>
        <v>721</v>
      </c>
    </row>
    <row r="151" spans="2:12" x14ac:dyDescent="0.25">
      <c r="B151" s="1">
        <v>2301</v>
      </c>
      <c r="C151" s="57">
        <v>8250.4</v>
      </c>
      <c r="D151" s="1">
        <v>1003</v>
      </c>
      <c r="E151" s="1">
        <v>591</v>
      </c>
      <c r="F151" s="1">
        <v>2310</v>
      </c>
      <c r="G151" s="1">
        <v>7300</v>
      </c>
      <c r="H151" t="s">
        <v>149</v>
      </c>
      <c r="I151" s="28">
        <v>700</v>
      </c>
      <c r="J151" s="28">
        <f t="shared" si="2"/>
        <v>721</v>
      </c>
    </row>
    <row r="152" spans="2:12" x14ac:dyDescent="0.25">
      <c r="B152" s="1">
        <v>2301</v>
      </c>
      <c r="C152" s="57">
        <v>8250.5</v>
      </c>
      <c r="D152" s="1">
        <v>1003</v>
      </c>
      <c r="E152" s="1">
        <v>591</v>
      </c>
      <c r="F152" s="1">
        <v>2310</v>
      </c>
      <c r="G152" s="1">
        <v>7300</v>
      </c>
      <c r="H152" t="s">
        <v>150</v>
      </c>
      <c r="I152" s="28">
        <f>135*2.4</f>
        <v>324</v>
      </c>
      <c r="J152" s="28">
        <f t="shared" si="2"/>
        <v>333.72</v>
      </c>
    </row>
    <row r="153" spans="2:12" x14ac:dyDescent="0.25">
      <c r="B153" s="1">
        <v>2302</v>
      </c>
      <c r="C153" s="57">
        <v>8250</v>
      </c>
      <c r="D153" s="1">
        <v>1157</v>
      </c>
      <c r="E153" s="1">
        <v>591</v>
      </c>
      <c r="F153" s="1">
        <v>2300</v>
      </c>
      <c r="G153" s="1">
        <v>7300</v>
      </c>
      <c r="H153" t="s">
        <v>151</v>
      </c>
      <c r="I153" s="28">
        <f>10+98+52</f>
        <v>160</v>
      </c>
      <c r="J153" s="28">
        <f t="shared" si="2"/>
        <v>164.8</v>
      </c>
      <c r="K153" t="s">
        <v>14</v>
      </c>
    </row>
    <row r="154" spans="2:12" x14ac:dyDescent="0.25">
      <c r="B154" s="1">
        <v>2303</v>
      </c>
      <c r="C154" s="57">
        <v>8250</v>
      </c>
      <c r="D154" s="1">
        <v>1157</v>
      </c>
      <c r="E154" s="1">
        <v>591</v>
      </c>
      <c r="F154" s="1">
        <v>2300</v>
      </c>
      <c r="G154" s="1">
        <v>7300</v>
      </c>
      <c r="H154" t="s">
        <v>152</v>
      </c>
      <c r="I154" s="28">
        <v>0</v>
      </c>
      <c r="J154" s="28">
        <f t="shared" si="2"/>
        <v>0</v>
      </c>
      <c r="K154" t="s">
        <v>14</v>
      </c>
    </row>
    <row r="155" spans="2:12" x14ac:dyDescent="0.25">
      <c r="B155" s="1">
        <v>2302</v>
      </c>
      <c r="C155" s="57">
        <v>8250.2999999999993</v>
      </c>
      <c r="D155" s="1">
        <v>1157</v>
      </c>
      <c r="E155" s="1">
        <v>591</v>
      </c>
      <c r="F155" s="1">
        <v>2300</v>
      </c>
      <c r="G155" s="1">
        <v>7300</v>
      </c>
      <c r="H155" t="s">
        <v>153</v>
      </c>
      <c r="I155" s="28">
        <v>500</v>
      </c>
      <c r="J155" s="28">
        <f t="shared" si="2"/>
        <v>515</v>
      </c>
    </row>
    <row r="156" spans="2:12" x14ac:dyDescent="0.25">
      <c r="B156" s="1"/>
      <c r="C156" s="1"/>
      <c r="D156" s="1"/>
      <c r="E156" s="1"/>
      <c r="F156" s="1"/>
      <c r="G156" s="1"/>
      <c r="I156" s="27"/>
      <c r="J156" s="12"/>
    </row>
    <row r="157" spans="2:12" ht="15.5" x14ac:dyDescent="0.35">
      <c r="B157" s="1"/>
      <c r="C157" s="1"/>
      <c r="D157" s="1"/>
      <c r="E157" s="1"/>
      <c r="F157" s="1"/>
      <c r="G157" s="1"/>
      <c r="I157" s="42" t="s">
        <v>19</v>
      </c>
      <c r="J157" s="43"/>
    </row>
    <row r="158" spans="2:12" x14ac:dyDescent="0.25">
      <c r="B158" s="1"/>
      <c r="C158" s="1"/>
      <c r="D158" s="1"/>
      <c r="E158" s="1"/>
      <c r="F158" s="1"/>
      <c r="G158" s="1"/>
      <c r="I158" s="44">
        <f>I29+I40+I50+I57+I64+I68+I79+I85+I93+I97+I110+I115+I127+I132+I139</f>
        <v>779057.73580000014</v>
      </c>
      <c r="J158" s="44">
        <f>J29+J40+J50+J57+J64+J68+J79+J85+J93+J97+J110+J115+J127+J132+J139</f>
        <v>732038.43345428561</v>
      </c>
      <c r="K158" s="9">
        <f>+J158-I158</f>
        <v>-47019.302345714532</v>
      </c>
      <c r="L158" s="45">
        <f>+K158/I158</f>
        <v>-6.0354066438261175E-2</v>
      </c>
    </row>
    <row r="159" spans="2:12" ht="15.5" x14ac:dyDescent="0.35">
      <c r="B159" s="1"/>
      <c r="C159" s="1"/>
      <c r="D159" s="1"/>
      <c r="E159" s="1"/>
      <c r="F159" s="1"/>
      <c r="G159" s="1"/>
      <c r="I159" s="42" t="s">
        <v>20</v>
      </c>
      <c r="J159" s="43"/>
    </row>
    <row r="160" spans="2:12" x14ac:dyDescent="0.25">
      <c r="B160" s="1"/>
      <c r="C160" s="1"/>
      <c r="D160" s="1"/>
      <c r="E160" s="1"/>
      <c r="F160" s="1"/>
      <c r="G160" s="1"/>
      <c r="I160" s="44">
        <f>+I26-I158</f>
        <v>-6422.8058000002056</v>
      </c>
      <c r="J160" s="44">
        <f>+J26-J158</f>
        <v>6661.2965457143728</v>
      </c>
      <c r="K160" s="9">
        <f>+J160-I160</f>
        <v>13084.102345714578</v>
      </c>
      <c r="L160" s="46">
        <f>+K160/I160</f>
        <v>-2.0371318631047757</v>
      </c>
    </row>
    <row r="161" spans="1:12" x14ac:dyDescent="0.25">
      <c r="B161" s="1"/>
      <c r="C161" s="1"/>
      <c r="D161" s="1"/>
      <c r="E161" s="1"/>
      <c r="F161" s="1"/>
      <c r="G161" s="1"/>
      <c r="I161" s="47"/>
      <c r="J161" s="48"/>
      <c r="K161" s="7"/>
      <c r="L161" s="49"/>
    </row>
    <row r="162" spans="1:12" x14ac:dyDescent="0.25">
      <c r="A162" t="s">
        <v>154</v>
      </c>
      <c r="B162" s="1"/>
      <c r="C162" s="1"/>
      <c r="D162" s="1"/>
      <c r="E162" s="1"/>
      <c r="F162" s="1"/>
      <c r="G162" s="1"/>
      <c r="I162" s="28">
        <f>SUM(I163:I164)</f>
        <v>6281</v>
      </c>
      <c r="J162" s="28">
        <f>SUM(J163:J164)</f>
        <v>5903.6875</v>
      </c>
      <c r="K162" s="7">
        <f>+J162-I162</f>
        <v>-377.3125</v>
      </c>
    </row>
    <row r="163" spans="1:12" x14ac:dyDescent="0.25">
      <c r="B163" s="1">
        <v>2301</v>
      </c>
      <c r="C163" s="1">
        <v>8114</v>
      </c>
      <c r="D163" s="1">
        <v>1003</v>
      </c>
      <c r="E163" s="1">
        <v>591</v>
      </c>
      <c r="F163" s="1">
        <v>2310</v>
      </c>
      <c r="G163" s="1">
        <v>7300</v>
      </c>
      <c r="H163" t="s">
        <v>155</v>
      </c>
      <c r="I163" s="28">
        <f>4711</f>
        <v>4711</v>
      </c>
      <c r="J163" s="28">
        <f>((J29+J40+J50)*0.0125)*0.75</f>
        <v>4427.765625</v>
      </c>
      <c r="K163" t="s">
        <v>156</v>
      </c>
    </row>
    <row r="164" spans="1:12" x14ac:dyDescent="0.25">
      <c r="B164" s="1">
        <v>2302</v>
      </c>
      <c r="C164" s="1">
        <v>8114</v>
      </c>
      <c r="D164" s="1">
        <v>1157</v>
      </c>
      <c r="E164" s="1">
        <v>591</v>
      </c>
      <c r="F164" s="1">
        <v>2300</v>
      </c>
      <c r="G164" s="1">
        <v>7300</v>
      </c>
      <c r="H164" t="s">
        <v>155</v>
      </c>
      <c r="I164" s="28">
        <f>1570</f>
        <v>1570</v>
      </c>
      <c r="J164" s="28">
        <f>((J29+J40+J50)*0.0125)*0.25</f>
        <v>1475.921875</v>
      </c>
      <c r="K164" t="s">
        <v>156</v>
      </c>
    </row>
    <row r="165" spans="1:12" x14ac:dyDescent="0.25">
      <c r="B165" s="1"/>
      <c r="C165" s="1"/>
    </row>
    <row r="166" spans="1:12" x14ac:dyDescent="0.25">
      <c r="B166" s="1"/>
      <c r="C166" s="1"/>
      <c r="D166" s="1"/>
      <c r="E166" s="1"/>
      <c r="F166" s="1"/>
      <c r="G166" s="1"/>
      <c r="J166" s="50"/>
    </row>
    <row r="167" spans="1:12" ht="15.5" x14ac:dyDescent="0.35">
      <c r="B167" s="1"/>
      <c r="C167" s="1"/>
      <c r="D167" s="1"/>
      <c r="E167" s="1"/>
      <c r="F167" s="1"/>
      <c r="G167" s="1"/>
      <c r="I167" s="42" t="s">
        <v>157</v>
      </c>
      <c r="J167" s="50"/>
    </row>
    <row r="168" spans="1:12" x14ac:dyDescent="0.25">
      <c r="B168" s="1"/>
      <c r="C168" s="1"/>
      <c r="D168" s="1"/>
      <c r="E168" s="1"/>
      <c r="F168" s="1"/>
      <c r="G168" s="1"/>
      <c r="I168" s="51">
        <f>I160-I162</f>
        <v>-12703.805800000206</v>
      </c>
      <c r="J168" s="52">
        <f>J160-J162</f>
        <v>757.60904571437277</v>
      </c>
      <c r="K168" s="9">
        <f>+J168-I168</f>
        <v>13461.414845714578</v>
      </c>
      <c r="L168" s="45">
        <f>+K168/I168</f>
        <v>-1.0596363843750163</v>
      </c>
    </row>
    <row r="169" spans="1:12" x14ac:dyDescent="0.25">
      <c r="B169" s="1"/>
      <c r="C169" s="1"/>
      <c r="D169" s="1"/>
      <c r="E169" s="1"/>
      <c r="F169" s="1"/>
      <c r="G169" s="1"/>
      <c r="J169" s="53"/>
    </row>
    <row r="170" spans="1:12" x14ac:dyDescent="0.25">
      <c r="B170" s="1"/>
      <c r="C170" s="1"/>
      <c r="D170" s="1"/>
      <c r="E170" s="1"/>
      <c r="F170" s="1"/>
      <c r="G170" s="1"/>
      <c r="J170" s="53"/>
    </row>
    <row r="171" spans="1:12" x14ac:dyDescent="0.25">
      <c r="B171" s="1"/>
      <c r="C171" s="1"/>
      <c r="D171" s="1"/>
      <c r="F171" s="1"/>
      <c r="G171" s="1"/>
      <c r="J171" s="53"/>
    </row>
    <row r="172" spans="1:12" x14ac:dyDescent="0.25">
      <c r="B172" s="1"/>
      <c r="C172" s="1"/>
      <c r="D172" s="1"/>
      <c r="E172" s="1"/>
      <c r="F172" s="1"/>
      <c r="G172" s="1"/>
      <c r="J172" s="53"/>
    </row>
    <row r="173" spans="1:12" x14ac:dyDescent="0.25">
      <c r="B173" s="1"/>
      <c r="C173" s="1"/>
      <c r="D173" s="1"/>
      <c r="E173" s="1"/>
      <c r="F173" s="1"/>
      <c r="G173" s="1"/>
      <c r="J173" s="53"/>
    </row>
    <row r="174" spans="1:12" x14ac:dyDescent="0.25">
      <c r="B174" s="1"/>
      <c r="C174" s="1"/>
      <c r="D174" s="1"/>
      <c r="E174" s="1"/>
      <c r="F174" s="1"/>
      <c r="G174" s="1"/>
      <c r="J174" s="53"/>
    </row>
    <row r="175" spans="1:12" x14ac:dyDescent="0.25">
      <c r="B175" s="1"/>
      <c r="C175" s="1"/>
      <c r="D175" s="1"/>
      <c r="E175" s="1"/>
      <c r="F175" s="1"/>
      <c r="G175" s="1"/>
      <c r="J175" s="53"/>
    </row>
    <row r="176" spans="1:12" x14ac:dyDescent="0.25">
      <c r="B176" s="1"/>
      <c r="C176" s="1"/>
      <c r="D176" s="1"/>
      <c r="E176" s="1"/>
      <c r="F176" s="1"/>
      <c r="G176" s="1"/>
      <c r="J176" s="53"/>
    </row>
    <row r="177" spans="2:10" x14ac:dyDescent="0.25">
      <c r="B177" s="1"/>
      <c r="C177" s="1"/>
      <c r="D177" s="1"/>
      <c r="E177" s="1"/>
      <c r="F177" s="1"/>
      <c r="G177" s="1"/>
      <c r="J177" s="53"/>
    </row>
    <row r="178" spans="2:10" x14ac:dyDescent="0.25">
      <c r="B178" s="1"/>
      <c r="C178" s="1"/>
      <c r="D178" s="1"/>
      <c r="E178" s="1"/>
      <c r="F178" s="1"/>
      <c r="G178" s="1"/>
      <c r="J178" s="53"/>
    </row>
    <row r="179" spans="2:10" x14ac:dyDescent="0.25">
      <c r="B179" s="1"/>
      <c r="C179" s="1"/>
      <c r="D179" s="1"/>
      <c r="E179" s="1"/>
      <c r="F179" s="1"/>
      <c r="G179" s="1"/>
      <c r="J179" s="53"/>
    </row>
    <row r="180" spans="2:10" x14ac:dyDescent="0.25">
      <c r="B180" s="1"/>
      <c r="C180" s="1"/>
      <c r="D180" s="1"/>
      <c r="E180" s="1"/>
      <c r="F180" s="1"/>
      <c r="G180" s="1"/>
    </row>
    <row r="181" spans="2:10" x14ac:dyDescent="0.25">
      <c r="B181" s="1"/>
      <c r="C181" s="1"/>
      <c r="D181" s="1"/>
      <c r="E181" s="1"/>
      <c r="F181" s="1"/>
      <c r="G181" s="1"/>
      <c r="J181" s="54"/>
    </row>
    <row r="182" spans="2:10" x14ac:dyDescent="0.25">
      <c r="B182" s="1"/>
      <c r="C182" s="1"/>
      <c r="D182" s="1"/>
      <c r="E182" s="1"/>
      <c r="F182" s="1"/>
      <c r="G182" s="1"/>
    </row>
    <row r="183" spans="2:10" x14ac:dyDescent="0.25">
      <c r="B183" s="1"/>
      <c r="C183" s="1"/>
      <c r="D183" s="1"/>
      <c r="E183" s="1"/>
      <c r="F183" s="1"/>
      <c r="G183" s="1"/>
    </row>
    <row r="184" spans="2:10" x14ac:dyDescent="0.25">
      <c r="B184" s="1"/>
      <c r="C184" s="1"/>
      <c r="D184" s="1"/>
      <c r="E184" s="1"/>
      <c r="F184" s="1"/>
      <c r="G184" s="1"/>
    </row>
    <row r="185" spans="2:10" x14ac:dyDescent="0.25">
      <c r="B185" s="1"/>
      <c r="C185" s="1"/>
      <c r="D185" s="1"/>
      <c r="E185" s="1"/>
      <c r="F185" s="1"/>
      <c r="G185" s="1"/>
    </row>
    <row r="186" spans="2:10" x14ac:dyDescent="0.25">
      <c r="B186" s="1"/>
      <c r="C186" s="1"/>
      <c r="D186" s="1"/>
      <c r="E186" s="1"/>
      <c r="F186" s="1"/>
      <c r="G186" s="1"/>
    </row>
    <row r="187" spans="2:10" x14ac:dyDescent="0.25">
      <c r="B187" s="1"/>
      <c r="C187" s="1"/>
      <c r="D187" s="1"/>
      <c r="E187" s="1"/>
      <c r="F187" s="1"/>
      <c r="G187" s="1"/>
    </row>
    <row r="188" spans="2:10" x14ac:dyDescent="0.25">
      <c r="B188" s="1"/>
      <c r="C188" s="1"/>
      <c r="D188" s="1"/>
      <c r="E188" s="1"/>
      <c r="F188" s="1"/>
      <c r="G188" s="1"/>
    </row>
    <row r="189" spans="2:10" x14ac:dyDescent="0.25">
      <c r="B189" s="1"/>
      <c r="C189" s="1"/>
      <c r="D189" s="1"/>
      <c r="E189" s="1"/>
      <c r="F189" s="1"/>
      <c r="G189" s="1"/>
    </row>
    <row r="190" spans="2:10" x14ac:dyDescent="0.25">
      <c r="B190" s="1"/>
      <c r="C190" s="1"/>
      <c r="D190" s="1"/>
      <c r="E190" s="1"/>
      <c r="F190" s="1"/>
      <c r="G190" s="1"/>
    </row>
    <row r="191" spans="2:10" x14ac:dyDescent="0.25">
      <c r="B191" s="1"/>
      <c r="C191" s="1"/>
    </row>
    <row r="192" spans="2:10" x14ac:dyDescent="0.25">
      <c r="B192" s="1"/>
      <c r="C192" s="1"/>
    </row>
    <row r="193" spans="2:3" x14ac:dyDescent="0.25">
      <c r="B193" s="1"/>
      <c r="C193" s="1"/>
    </row>
    <row r="194" spans="2:3" x14ac:dyDescent="0.25">
      <c r="B194" s="1"/>
      <c r="C194" s="1"/>
    </row>
    <row r="195" spans="2:3" x14ac:dyDescent="0.25">
      <c r="B195" s="1"/>
      <c r="C195" s="1"/>
    </row>
    <row r="196" spans="2:3" x14ac:dyDescent="0.25">
      <c r="B196" s="1"/>
      <c r="C196" s="1"/>
    </row>
    <row r="197" spans="2:3" x14ac:dyDescent="0.25">
      <c r="B197" s="1"/>
      <c r="C197" s="1"/>
    </row>
    <row r="198" spans="2:3" x14ac:dyDescent="0.25">
      <c r="B198" s="1"/>
      <c r="C198" s="1"/>
    </row>
    <row r="199" spans="2:3" x14ac:dyDescent="0.25">
      <c r="B199" s="1"/>
      <c r="C199" s="1"/>
    </row>
    <row r="200" spans="2:3" x14ac:dyDescent="0.25">
      <c r="B200" s="1"/>
      <c r="C200" s="1"/>
    </row>
    <row r="201" spans="2:3" x14ac:dyDescent="0.25">
      <c r="B201" s="1"/>
      <c r="C201" s="1"/>
    </row>
    <row r="202" spans="2:3" x14ac:dyDescent="0.25">
      <c r="B202" s="1"/>
      <c r="C202" s="1"/>
    </row>
    <row r="203" spans="2:3" x14ac:dyDescent="0.25">
      <c r="B203" s="1"/>
      <c r="C203" s="1"/>
    </row>
    <row r="204" spans="2:3" x14ac:dyDescent="0.25">
      <c r="B204" s="1"/>
      <c r="C204" s="1"/>
    </row>
    <row r="205" spans="2:3" x14ac:dyDescent="0.25">
      <c r="B205" s="1"/>
      <c r="C205" s="1"/>
    </row>
    <row r="206" spans="2:3" x14ac:dyDescent="0.25">
      <c r="B206" s="1"/>
      <c r="C206" s="1"/>
    </row>
    <row r="207" spans="2:3" x14ac:dyDescent="0.25">
      <c r="B207" s="1"/>
      <c r="C207" s="1"/>
    </row>
    <row r="208" spans="2:3" x14ac:dyDescent="0.25">
      <c r="B208" s="1"/>
      <c r="C208" s="1"/>
    </row>
    <row r="209" spans="2:3" x14ac:dyDescent="0.25">
      <c r="B209" s="1"/>
      <c r="C209" s="1"/>
    </row>
    <row r="210" spans="2:3" x14ac:dyDescent="0.25">
      <c r="B210" s="1"/>
      <c r="C210" s="1"/>
    </row>
    <row r="211" spans="2:3" x14ac:dyDescent="0.25">
      <c r="B211" s="1"/>
      <c r="C211" s="1"/>
    </row>
    <row r="212" spans="2:3" x14ac:dyDescent="0.25">
      <c r="B212" s="1"/>
      <c r="C212" s="1"/>
    </row>
    <row r="213" spans="2:3" x14ac:dyDescent="0.25">
      <c r="B213" s="1"/>
      <c r="C213" s="1"/>
    </row>
    <row r="214" spans="2:3" x14ac:dyDescent="0.25">
      <c r="B214" s="1"/>
      <c r="C214" s="1"/>
    </row>
    <row r="215" spans="2:3" x14ac:dyDescent="0.25">
      <c r="B215" s="1"/>
      <c r="C215" s="1"/>
    </row>
    <row r="216" spans="2:3" x14ac:dyDescent="0.25">
      <c r="B216" s="1"/>
      <c r="C216" s="1"/>
    </row>
    <row r="217" spans="2:3" x14ac:dyDescent="0.25">
      <c r="B217" s="1"/>
      <c r="C217" s="1"/>
    </row>
    <row r="218" spans="2:3" x14ac:dyDescent="0.25">
      <c r="B218" s="1"/>
      <c r="C218" s="1"/>
    </row>
    <row r="219" spans="2:3" x14ac:dyDescent="0.25">
      <c r="B219" s="1"/>
      <c r="C219" s="1"/>
    </row>
    <row r="220" spans="2:3" x14ac:dyDescent="0.25">
      <c r="B220" s="1"/>
      <c r="C220" s="1"/>
    </row>
    <row r="221" spans="2:3" x14ac:dyDescent="0.25">
      <c r="B221" s="1"/>
      <c r="C221" s="1"/>
    </row>
    <row r="222" spans="2:3" x14ac:dyDescent="0.25">
      <c r="B222" s="1"/>
      <c r="C222" s="1"/>
    </row>
    <row r="223" spans="2:3" x14ac:dyDescent="0.25">
      <c r="B223" s="1"/>
      <c r="C223" s="1"/>
    </row>
    <row r="224" spans="2:3" x14ac:dyDescent="0.25">
      <c r="B224" s="1"/>
      <c r="C224" s="1"/>
    </row>
    <row r="225" spans="2:3" x14ac:dyDescent="0.25">
      <c r="B225" s="1"/>
      <c r="C225" s="1"/>
    </row>
    <row r="226" spans="2:3" x14ac:dyDescent="0.25">
      <c r="B226" s="1"/>
      <c r="C226" s="1"/>
    </row>
    <row r="227" spans="2:3" x14ac:dyDescent="0.25">
      <c r="B227" s="1"/>
      <c r="C227" s="1"/>
    </row>
    <row r="228" spans="2:3" x14ac:dyDescent="0.25">
      <c r="B228" s="1"/>
      <c r="C228" s="1"/>
    </row>
    <row r="229" spans="2:3" x14ac:dyDescent="0.25">
      <c r="B229" s="1"/>
      <c r="C229" s="1"/>
    </row>
    <row r="230" spans="2:3" x14ac:dyDescent="0.25">
      <c r="B230" s="1"/>
      <c r="C230" s="1"/>
    </row>
    <row r="231" spans="2:3" x14ac:dyDescent="0.25">
      <c r="B231" s="1"/>
      <c r="C231" s="1"/>
    </row>
    <row r="232" spans="2:3" x14ac:dyDescent="0.25">
      <c r="B232" s="1"/>
      <c r="C232" s="1"/>
    </row>
    <row r="233" spans="2:3" x14ac:dyDescent="0.25">
      <c r="B233" s="1"/>
      <c r="C233" s="1"/>
    </row>
    <row r="234" spans="2:3" x14ac:dyDescent="0.25">
      <c r="B234" s="1"/>
      <c r="C234" s="1"/>
    </row>
    <row r="235" spans="2:3" x14ac:dyDescent="0.25">
      <c r="B235" s="1"/>
      <c r="C235" s="1"/>
    </row>
    <row r="236" spans="2:3" x14ac:dyDescent="0.25">
      <c r="B236" s="1"/>
      <c r="C236" s="1"/>
    </row>
    <row r="237" spans="2:3" x14ac:dyDescent="0.25">
      <c r="B237" s="1"/>
      <c r="C237" s="1"/>
    </row>
    <row r="238" spans="2:3" x14ac:dyDescent="0.25">
      <c r="B238" s="1"/>
      <c r="C238" s="1"/>
    </row>
    <row r="239" spans="2:3" x14ac:dyDescent="0.25">
      <c r="B239" s="1"/>
      <c r="C239" s="1"/>
    </row>
    <row r="240" spans="2:3" x14ac:dyDescent="0.25">
      <c r="B240" s="1"/>
      <c r="C240" s="1"/>
    </row>
    <row r="241" spans="2:3" x14ac:dyDescent="0.25">
      <c r="B241" s="1"/>
      <c r="C241" s="1"/>
    </row>
    <row r="242" spans="2:3" x14ac:dyDescent="0.25">
      <c r="B242" s="1"/>
      <c r="C242" s="1"/>
    </row>
    <row r="243" spans="2:3" x14ac:dyDescent="0.25">
      <c r="B243" s="1"/>
      <c r="C243" s="1"/>
    </row>
    <row r="244" spans="2:3" x14ac:dyDescent="0.25">
      <c r="B244" s="1"/>
      <c r="C244" s="1"/>
    </row>
    <row r="245" spans="2:3" x14ac:dyDescent="0.25">
      <c r="B245" s="1"/>
      <c r="C245" s="1"/>
    </row>
    <row r="246" spans="2:3" x14ac:dyDescent="0.25">
      <c r="B246" s="1"/>
      <c r="C246" s="1"/>
    </row>
    <row r="247" spans="2:3" x14ac:dyDescent="0.25">
      <c r="B247" s="1"/>
      <c r="C247" s="1"/>
    </row>
    <row r="248" spans="2:3" x14ac:dyDescent="0.25">
      <c r="B248" s="1"/>
      <c r="C248" s="1"/>
    </row>
    <row r="249" spans="2:3" x14ac:dyDescent="0.25">
      <c r="B249" s="1"/>
      <c r="C249" s="1"/>
    </row>
    <row r="250" spans="2:3" x14ac:dyDescent="0.25">
      <c r="B250" s="1"/>
      <c r="C250" s="1"/>
    </row>
    <row r="251" spans="2:3" x14ac:dyDescent="0.25">
      <c r="B251" s="1"/>
      <c r="C251" s="1"/>
    </row>
    <row r="252" spans="2:3" x14ac:dyDescent="0.25">
      <c r="B252" s="1"/>
      <c r="C252" s="1"/>
    </row>
    <row r="253" spans="2:3" x14ac:dyDescent="0.25">
      <c r="B253" s="1"/>
      <c r="C253" s="1"/>
    </row>
    <row r="254" spans="2:3" x14ac:dyDescent="0.25">
      <c r="B254" s="1"/>
      <c r="C254" s="1"/>
    </row>
    <row r="255" spans="2:3" x14ac:dyDescent="0.25">
      <c r="B255" s="1"/>
      <c r="C255" s="1"/>
    </row>
    <row r="256" spans="2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1"/>
      <c r="C274" s="1"/>
    </row>
    <row r="275" spans="2:3" x14ac:dyDescent="0.25">
      <c r="B275" s="1"/>
      <c r="C275" s="1"/>
    </row>
    <row r="276" spans="2:3" x14ac:dyDescent="0.25">
      <c r="B276" s="1"/>
      <c r="C276" s="1"/>
    </row>
    <row r="277" spans="2:3" x14ac:dyDescent="0.25">
      <c r="B277" s="1"/>
      <c r="C277" s="1"/>
    </row>
    <row r="278" spans="2:3" x14ac:dyDescent="0.25">
      <c r="B278" s="1"/>
      <c r="C278" s="1"/>
    </row>
    <row r="279" spans="2:3" x14ac:dyDescent="0.25">
      <c r="B279" s="1"/>
      <c r="C279" s="1"/>
    </row>
    <row r="280" spans="2:3" x14ac:dyDescent="0.25">
      <c r="B280" s="1"/>
      <c r="C280" s="1"/>
    </row>
    <row r="281" spans="2:3" x14ac:dyDescent="0.25">
      <c r="B281" s="1"/>
      <c r="C281" s="1"/>
    </row>
    <row r="282" spans="2:3" x14ac:dyDescent="0.25">
      <c r="B282" s="1"/>
      <c r="C282" s="1"/>
    </row>
    <row r="283" spans="2:3" x14ac:dyDescent="0.25">
      <c r="B283" s="1"/>
      <c r="C283" s="1"/>
    </row>
    <row r="284" spans="2:3" x14ac:dyDescent="0.25">
      <c r="B284" s="1"/>
      <c r="C284" s="1"/>
    </row>
    <row r="285" spans="2:3" x14ac:dyDescent="0.25">
      <c r="B285" s="1"/>
      <c r="C285" s="1"/>
    </row>
    <row r="286" spans="2:3" x14ac:dyDescent="0.25">
      <c r="B286" s="1"/>
      <c r="C286" s="1"/>
    </row>
    <row r="287" spans="2:3" x14ac:dyDescent="0.25">
      <c r="B287" s="1"/>
      <c r="C287" s="1"/>
    </row>
    <row r="288" spans="2:3" x14ac:dyDescent="0.25">
      <c r="B288" s="1"/>
      <c r="C288" s="1"/>
    </row>
    <row r="289" spans="2:3" x14ac:dyDescent="0.25">
      <c r="B289" s="1"/>
      <c r="C289" s="1"/>
    </row>
    <row r="290" spans="2:3" x14ac:dyDescent="0.25">
      <c r="B290" s="1"/>
      <c r="C290" s="1"/>
    </row>
    <row r="291" spans="2:3" x14ac:dyDescent="0.25">
      <c r="B291" s="1"/>
      <c r="C291" s="1"/>
    </row>
    <row r="292" spans="2:3" x14ac:dyDescent="0.25">
      <c r="B292" s="1"/>
      <c r="C292" s="1"/>
    </row>
    <row r="293" spans="2:3" x14ac:dyDescent="0.25">
      <c r="B293" s="1"/>
      <c r="C293" s="1"/>
    </row>
    <row r="294" spans="2:3" x14ac:dyDescent="0.25">
      <c r="B294" s="1"/>
      <c r="C294" s="1"/>
    </row>
    <row r="295" spans="2:3" x14ac:dyDescent="0.25">
      <c r="B295" s="1"/>
      <c r="C295" s="1"/>
    </row>
    <row r="296" spans="2:3" x14ac:dyDescent="0.25">
      <c r="B296" s="1"/>
      <c r="C296" s="1"/>
    </row>
    <row r="297" spans="2:3" x14ac:dyDescent="0.25">
      <c r="B297" s="1"/>
      <c r="C297" s="1"/>
    </row>
    <row r="298" spans="2:3" x14ac:dyDescent="0.25">
      <c r="B298" s="1"/>
      <c r="C298" s="1"/>
    </row>
    <row r="299" spans="2:3" x14ac:dyDescent="0.25">
      <c r="B299" s="1"/>
      <c r="C299" s="1"/>
    </row>
    <row r="300" spans="2:3" x14ac:dyDescent="0.25">
      <c r="B300" s="1"/>
      <c r="C300" s="1"/>
    </row>
    <row r="301" spans="2:3" x14ac:dyDescent="0.25">
      <c r="B301" s="1"/>
      <c r="C301" s="1"/>
    </row>
    <row r="302" spans="2:3" x14ac:dyDescent="0.25">
      <c r="B302" s="1"/>
      <c r="C302" s="1"/>
    </row>
    <row r="303" spans="2:3" x14ac:dyDescent="0.25">
      <c r="B303" s="1"/>
      <c r="C303" s="1"/>
    </row>
    <row r="304" spans="2:3" x14ac:dyDescent="0.25">
      <c r="B304" s="1"/>
      <c r="C304" s="1"/>
    </row>
    <row r="305" spans="2:3" x14ac:dyDescent="0.25">
      <c r="B305" s="1"/>
      <c r="C305" s="1"/>
    </row>
    <row r="306" spans="2:3" x14ac:dyDescent="0.25">
      <c r="B306" s="1"/>
      <c r="C306" s="1"/>
    </row>
    <row r="307" spans="2:3" x14ac:dyDescent="0.25">
      <c r="B307" s="1"/>
      <c r="C307" s="1"/>
    </row>
    <row r="308" spans="2:3" x14ac:dyDescent="0.25">
      <c r="B308" s="1"/>
      <c r="C308" s="1"/>
    </row>
    <row r="309" spans="2:3" x14ac:dyDescent="0.25">
      <c r="B309" s="1"/>
      <c r="C309" s="1"/>
    </row>
    <row r="310" spans="2:3" x14ac:dyDescent="0.25">
      <c r="B310" s="1"/>
      <c r="C310" s="1"/>
    </row>
    <row r="311" spans="2:3" x14ac:dyDescent="0.25">
      <c r="B311" s="1"/>
      <c r="C311" s="1"/>
    </row>
    <row r="312" spans="2:3" x14ac:dyDescent="0.25">
      <c r="B312" s="1"/>
      <c r="C312" s="1"/>
    </row>
    <row r="313" spans="2:3" x14ac:dyDescent="0.25">
      <c r="B313" s="1"/>
      <c r="C313" s="1"/>
    </row>
    <row r="314" spans="2:3" x14ac:dyDescent="0.25">
      <c r="B314" s="1"/>
      <c r="C314" s="1"/>
    </row>
    <row r="315" spans="2:3" x14ac:dyDescent="0.25">
      <c r="B315" s="1"/>
      <c r="C315" s="1"/>
    </row>
    <row r="316" spans="2:3" x14ac:dyDescent="0.25">
      <c r="B316" s="1"/>
      <c r="C316" s="1"/>
    </row>
    <row r="317" spans="2:3" x14ac:dyDescent="0.25">
      <c r="B317" s="1"/>
      <c r="C317" s="1"/>
    </row>
    <row r="318" spans="2:3" x14ac:dyDescent="0.25">
      <c r="B318" s="1"/>
      <c r="C318" s="1"/>
    </row>
    <row r="319" spans="2:3" x14ac:dyDescent="0.25">
      <c r="B319" s="1"/>
      <c r="C319" s="1"/>
    </row>
    <row r="320" spans="2:3" x14ac:dyDescent="0.25">
      <c r="B320" s="1"/>
      <c r="C320" s="1"/>
    </row>
    <row r="321" spans="2:3" x14ac:dyDescent="0.25">
      <c r="B321" s="1"/>
      <c r="C321" s="1"/>
    </row>
    <row r="322" spans="2:3" x14ac:dyDescent="0.25">
      <c r="B322" s="1"/>
      <c r="C322" s="1"/>
    </row>
    <row r="323" spans="2:3" x14ac:dyDescent="0.25">
      <c r="B323" s="1"/>
      <c r="C323" s="1"/>
    </row>
    <row r="324" spans="2:3" x14ac:dyDescent="0.25">
      <c r="B324" s="1"/>
      <c r="C324" s="1"/>
    </row>
    <row r="325" spans="2:3" x14ac:dyDescent="0.25">
      <c r="B325" s="1"/>
      <c r="C325" s="1"/>
    </row>
    <row r="326" spans="2:3" x14ac:dyDescent="0.25">
      <c r="B326" s="1"/>
      <c r="C326" s="1"/>
    </row>
    <row r="327" spans="2:3" x14ac:dyDescent="0.25">
      <c r="B327" s="1"/>
      <c r="C327" s="1"/>
    </row>
    <row r="328" spans="2:3" x14ac:dyDescent="0.25">
      <c r="B328" s="1"/>
      <c r="C328" s="1"/>
    </row>
    <row r="329" spans="2:3" x14ac:dyDescent="0.25">
      <c r="B329" s="1"/>
      <c r="C329" s="1"/>
    </row>
    <row r="330" spans="2:3" x14ac:dyDescent="0.25">
      <c r="B330" s="1"/>
      <c r="C330" s="1"/>
    </row>
    <row r="331" spans="2:3" x14ac:dyDescent="0.25">
      <c r="B331" s="1"/>
      <c r="C331" s="1"/>
    </row>
    <row r="332" spans="2:3" x14ac:dyDescent="0.25">
      <c r="B332" s="1"/>
      <c r="C332" s="1"/>
    </row>
    <row r="333" spans="2:3" x14ac:dyDescent="0.25">
      <c r="B333" s="1"/>
      <c r="C333" s="1"/>
    </row>
    <row r="334" spans="2:3" x14ac:dyDescent="0.25">
      <c r="B334" s="1"/>
      <c r="C334" s="1"/>
    </row>
    <row r="335" spans="2:3" x14ac:dyDescent="0.25">
      <c r="B335" s="1"/>
      <c r="C335" s="1"/>
    </row>
    <row r="336" spans="2:3" x14ac:dyDescent="0.25">
      <c r="B336" s="1"/>
      <c r="C336" s="1"/>
    </row>
    <row r="337" spans="2:3" x14ac:dyDescent="0.25">
      <c r="B337" s="1"/>
      <c r="C337" s="1"/>
    </row>
    <row r="338" spans="2:3" x14ac:dyDescent="0.25">
      <c r="B338" s="1"/>
      <c r="C338" s="1"/>
    </row>
    <row r="339" spans="2:3" x14ac:dyDescent="0.25">
      <c r="B339" s="1"/>
      <c r="C339" s="1"/>
    </row>
    <row r="340" spans="2:3" x14ac:dyDescent="0.25">
      <c r="B340" s="1"/>
      <c r="C340" s="1"/>
    </row>
    <row r="341" spans="2:3" x14ac:dyDescent="0.25">
      <c r="B341" s="1"/>
      <c r="C341" s="1"/>
    </row>
    <row r="342" spans="2:3" x14ac:dyDescent="0.25">
      <c r="B342" s="1"/>
      <c r="C342" s="1"/>
    </row>
    <row r="343" spans="2:3" x14ac:dyDescent="0.25">
      <c r="B343" s="1"/>
      <c r="C343" s="1"/>
    </row>
    <row r="344" spans="2:3" x14ac:dyDescent="0.25">
      <c r="B344" s="1"/>
      <c r="C344" s="1"/>
    </row>
    <row r="345" spans="2:3" x14ac:dyDescent="0.25">
      <c r="B345" s="1"/>
      <c r="C345" s="1"/>
    </row>
    <row r="346" spans="2:3" x14ac:dyDescent="0.25">
      <c r="B346" s="1"/>
      <c r="C346" s="1"/>
    </row>
    <row r="347" spans="2:3" x14ac:dyDescent="0.25">
      <c r="B347" s="1"/>
      <c r="C347" s="1"/>
    </row>
    <row r="348" spans="2:3" x14ac:dyDescent="0.25">
      <c r="B348" s="1"/>
      <c r="C348" s="1"/>
    </row>
    <row r="349" spans="2:3" x14ac:dyDescent="0.25">
      <c r="B349" s="1"/>
      <c r="C349" s="1"/>
    </row>
    <row r="350" spans="2:3" x14ac:dyDescent="0.25">
      <c r="B350" s="1"/>
      <c r="C350" s="1"/>
    </row>
    <row r="351" spans="2:3" x14ac:dyDescent="0.25">
      <c r="B351" s="1"/>
      <c r="C351" s="1"/>
    </row>
    <row r="352" spans="2:3" x14ac:dyDescent="0.25">
      <c r="B352" s="1"/>
      <c r="C352" s="1"/>
    </row>
    <row r="353" spans="2:3" x14ac:dyDescent="0.25">
      <c r="B353" s="1"/>
      <c r="C353" s="1"/>
    </row>
    <row r="354" spans="2:3" x14ac:dyDescent="0.25">
      <c r="B354" s="1"/>
      <c r="C354" s="1"/>
    </row>
    <row r="355" spans="2:3" x14ac:dyDescent="0.25">
      <c r="B355" s="1"/>
      <c r="C355" s="1"/>
    </row>
    <row r="356" spans="2:3" x14ac:dyDescent="0.25">
      <c r="B356" s="1"/>
      <c r="C356" s="1"/>
    </row>
    <row r="357" spans="2:3" x14ac:dyDescent="0.25">
      <c r="B357" s="1"/>
      <c r="C357" s="1"/>
    </row>
    <row r="358" spans="2:3" x14ac:dyDescent="0.25">
      <c r="B358" s="1"/>
      <c r="C358" s="1"/>
    </row>
    <row r="359" spans="2:3" x14ac:dyDescent="0.25">
      <c r="B359" s="1"/>
      <c r="C359" s="1"/>
    </row>
    <row r="360" spans="2:3" x14ac:dyDescent="0.25">
      <c r="B360" s="1"/>
      <c r="C360" s="1"/>
    </row>
    <row r="361" spans="2:3" x14ac:dyDescent="0.25">
      <c r="B361" s="1"/>
      <c r="C361" s="1"/>
    </row>
    <row r="362" spans="2:3" x14ac:dyDescent="0.25">
      <c r="B362" s="1"/>
      <c r="C362" s="1"/>
    </row>
    <row r="363" spans="2:3" x14ac:dyDescent="0.25">
      <c r="B363" s="1"/>
      <c r="C363" s="1"/>
    </row>
    <row r="364" spans="2:3" x14ac:dyDescent="0.25">
      <c r="B364" s="1"/>
      <c r="C364" s="1"/>
    </row>
    <row r="365" spans="2:3" x14ac:dyDescent="0.25">
      <c r="B365" s="1"/>
      <c r="C365" s="1"/>
    </row>
    <row r="366" spans="2:3" x14ac:dyDescent="0.25">
      <c r="B366" s="1"/>
      <c r="C366" s="1"/>
    </row>
    <row r="367" spans="2:3" x14ac:dyDescent="0.25">
      <c r="B367" s="1"/>
      <c r="C367" s="1"/>
    </row>
    <row r="368" spans="2:3" x14ac:dyDescent="0.25">
      <c r="B368" s="1"/>
      <c r="C368" s="1"/>
    </row>
    <row r="369" spans="2:3" x14ac:dyDescent="0.25">
      <c r="B369" s="1"/>
      <c r="C369" s="1"/>
    </row>
    <row r="370" spans="2:3" x14ac:dyDescent="0.25">
      <c r="B370" s="1"/>
      <c r="C370" s="1"/>
    </row>
    <row r="371" spans="2:3" x14ac:dyDescent="0.25">
      <c r="B371" s="1"/>
      <c r="C371" s="1"/>
    </row>
    <row r="372" spans="2:3" x14ac:dyDescent="0.25">
      <c r="B372" s="1"/>
      <c r="C372" s="1"/>
    </row>
    <row r="373" spans="2:3" x14ac:dyDescent="0.25">
      <c r="B373" s="1"/>
      <c r="C373" s="1"/>
    </row>
    <row r="374" spans="2:3" x14ac:dyDescent="0.25">
      <c r="B374" s="1"/>
      <c r="C374" s="1"/>
    </row>
    <row r="375" spans="2:3" x14ac:dyDescent="0.25">
      <c r="B375" s="1"/>
      <c r="C375" s="1"/>
    </row>
    <row r="376" spans="2:3" x14ac:dyDescent="0.25">
      <c r="B376" s="1"/>
      <c r="C376" s="1"/>
    </row>
    <row r="377" spans="2:3" x14ac:dyDescent="0.25">
      <c r="B377" s="1"/>
      <c r="C377" s="1"/>
    </row>
    <row r="378" spans="2:3" x14ac:dyDescent="0.25">
      <c r="B378" s="1"/>
      <c r="C378" s="1"/>
    </row>
    <row r="379" spans="2:3" x14ac:dyDescent="0.25">
      <c r="B379" s="1"/>
      <c r="C379" s="1"/>
    </row>
    <row r="380" spans="2:3" x14ac:dyDescent="0.25">
      <c r="B380" s="1"/>
      <c r="C380" s="1"/>
    </row>
    <row r="381" spans="2:3" x14ac:dyDescent="0.25">
      <c r="B381" s="1"/>
      <c r="C381" s="1"/>
    </row>
    <row r="382" spans="2:3" x14ac:dyDescent="0.25">
      <c r="B382" s="1"/>
      <c r="C382" s="1"/>
    </row>
    <row r="383" spans="2:3" x14ac:dyDescent="0.25">
      <c r="B383" s="1"/>
      <c r="C383" s="1"/>
    </row>
    <row r="384" spans="2:3" x14ac:dyDescent="0.25">
      <c r="B384" s="1"/>
      <c r="C384" s="1"/>
    </row>
    <row r="385" spans="2:3" x14ac:dyDescent="0.25">
      <c r="B385" s="1"/>
      <c r="C385" s="1"/>
    </row>
    <row r="386" spans="2:3" x14ac:dyDescent="0.25">
      <c r="B386" s="1"/>
      <c r="C386" s="1"/>
    </row>
    <row r="387" spans="2:3" x14ac:dyDescent="0.25">
      <c r="B387" s="1"/>
      <c r="C387" s="1"/>
    </row>
    <row r="388" spans="2:3" x14ac:dyDescent="0.25">
      <c r="B388" s="1"/>
      <c r="C388" s="1"/>
    </row>
    <row r="389" spans="2:3" x14ac:dyDescent="0.25">
      <c r="B389" s="1"/>
      <c r="C389" s="1"/>
    </row>
    <row r="390" spans="2:3" x14ac:dyDescent="0.25">
      <c r="B390" s="1"/>
      <c r="C390" s="1"/>
    </row>
    <row r="391" spans="2:3" x14ac:dyDescent="0.25">
      <c r="B391" s="1"/>
      <c r="C391" s="1"/>
    </row>
    <row r="392" spans="2:3" x14ac:dyDescent="0.25">
      <c r="B392" s="1"/>
      <c r="C392" s="1"/>
    </row>
    <row r="393" spans="2:3" x14ac:dyDescent="0.25">
      <c r="B393" s="1"/>
      <c r="C393" s="1"/>
    </row>
    <row r="394" spans="2:3" x14ac:dyDescent="0.25">
      <c r="B394" s="1"/>
      <c r="C394" s="1"/>
    </row>
    <row r="395" spans="2:3" x14ac:dyDescent="0.25">
      <c r="B395" s="1"/>
      <c r="C395" s="1"/>
    </row>
    <row r="396" spans="2:3" x14ac:dyDescent="0.25">
      <c r="B396" s="1"/>
      <c r="C396" s="1"/>
    </row>
    <row r="397" spans="2:3" x14ac:dyDescent="0.25">
      <c r="B397" s="1"/>
      <c r="C397" s="1"/>
    </row>
    <row r="398" spans="2:3" x14ac:dyDescent="0.25">
      <c r="B398" s="1"/>
      <c r="C398" s="1"/>
    </row>
    <row r="399" spans="2:3" x14ac:dyDescent="0.25">
      <c r="B399" s="1"/>
      <c r="C399" s="1"/>
    </row>
    <row r="400" spans="2:3" x14ac:dyDescent="0.25">
      <c r="B400" s="1"/>
      <c r="C400" s="1"/>
    </row>
    <row r="401" spans="2:3" x14ac:dyDescent="0.25">
      <c r="B401" s="1"/>
      <c r="C401" s="1"/>
    </row>
    <row r="402" spans="2:3" x14ac:dyDescent="0.25">
      <c r="B402" s="1"/>
      <c r="C402" s="1"/>
    </row>
    <row r="403" spans="2:3" x14ac:dyDescent="0.25">
      <c r="B403" s="1"/>
      <c r="C403" s="1"/>
    </row>
    <row r="404" spans="2:3" x14ac:dyDescent="0.25">
      <c r="B404" s="1"/>
      <c r="C404" s="1"/>
    </row>
    <row r="405" spans="2:3" x14ac:dyDescent="0.25">
      <c r="B405" s="1"/>
      <c r="C405" s="1"/>
    </row>
    <row r="406" spans="2:3" x14ac:dyDescent="0.25">
      <c r="B406" s="1"/>
      <c r="C406" s="1"/>
    </row>
    <row r="407" spans="2:3" x14ac:dyDescent="0.25">
      <c r="B407" s="1"/>
      <c r="C407" s="1"/>
    </row>
    <row r="408" spans="2:3" x14ac:dyDescent="0.25">
      <c r="B408" s="1"/>
      <c r="C408" s="1"/>
    </row>
    <row r="409" spans="2:3" x14ac:dyDescent="0.25">
      <c r="B409" s="1"/>
      <c r="C409" s="1"/>
    </row>
    <row r="410" spans="2:3" x14ac:dyDescent="0.25">
      <c r="B410" s="1"/>
      <c r="C410" s="1"/>
    </row>
    <row r="411" spans="2:3" x14ac:dyDescent="0.25">
      <c r="B411" s="1"/>
      <c r="C411" s="1"/>
    </row>
    <row r="412" spans="2:3" x14ac:dyDescent="0.25">
      <c r="B412" s="1"/>
      <c r="C412" s="1"/>
    </row>
    <row r="413" spans="2:3" x14ac:dyDescent="0.25">
      <c r="B413" s="1"/>
      <c r="C413" s="1"/>
    </row>
    <row r="414" spans="2:3" x14ac:dyDescent="0.25">
      <c r="B414" s="1"/>
      <c r="C414" s="1"/>
    </row>
    <row r="415" spans="2:3" x14ac:dyDescent="0.25">
      <c r="B415" s="1"/>
      <c r="C415" s="1"/>
    </row>
    <row r="416" spans="2:3" x14ac:dyDescent="0.25">
      <c r="B416" s="1"/>
      <c r="C416" s="1"/>
    </row>
    <row r="417" spans="2:3" x14ac:dyDescent="0.25">
      <c r="B417" s="1"/>
      <c r="C417" s="1"/>
    </row>
    <row r="418" spans="2:3" x14ac:dyDescent="0.25">
      <c r="B418" s="1"/>
      <c r="C418" s="1"/>
    </row>
    <row r="419" spans="2:3" x14ac:dyDescent="0.25">
      <c r="B419" s="1"/>
      <c r="C419" s="1"/>
    </row>
    <row r="420" spans="2:3" x14ac:dyDescent="0.25">
      <c r="B420" s="1"/>
      <c r="C420" s="1"/>
    </row>
    <row r="421" spans="2:3" x14ac:dyDescent="0.25">
      <c r="B421" s="1"/>
      <c r="C421" s="1"/>
    </row>
    <row r="422" spans="2:3" x14ac:dyDescent="0.25">
      <c r="B422" s="1"/>
      <c r="C422" s="1"/>
    </row>
    <row r="423" spans="2:3" x14ac:dyDescent="0.25">
      <c r="B423" s="1"/>
      <c r="C423" s="1"/>
    </row>
    <row r="424" spans="2:3" x14ac:dyDescent="0.25">
      <c r="B424" s="1"/>
      <c r="C424" s="1"/>
    </row>
    <row r="425" spans="2:3" x14ac:dyDescent="0.25">
      <c r="B425" s="1"/>
      <c r="C425" s="1"/>
    </row>
    <row r="426" spans="2:3" x14ac:dyDescent="0.25">
      <c r="B426" s="1"/>
      <c r="C426" s="1"/>
    </row>
    <row r="427" spans="2:3" x14ac:dyDescent="0.25">
      <c r="B427" s="1"/>
      <c r="C427" s="1"/>
    </row>
    <row r="428" spans="2:3" x14ac:dyDescent="0.25">
      <c r="B428" s="1"/>
      <c r="C428" s="1"/>
    </row>
    <row r="429" spans="2:3" x14ac:dyDescent="0.25">
      <c r="B429" s="1"/>
      <c r="C429" s="1"/>
    </row>
    <row r="430" spans="2:3" x14ac:dyDescent="0.25">
      <c r="B430" s="1"/>
      <c r="C430" s="1"/>
    </row>
    <row r="431" spans="2:3" x14ac:dyDescent="0.25">
      <c r="B431" s="1"/>
      <c r="C431" s="1"/>
    </row>
    <row r="432" spans="2:3" x14ac:dyDescent="0.25">
      <c r="B432" s="1"/>
      <c r="C432" s="1"/>
    </row>
    <row r="433" spans="2:3" x14ac:dyDescent="0.25">
      <c r="B433" s="1"/>
      <c r="C433" s="1"/>
    </row>
    <row r="434" spans="2:3" x14ac:dyDescent="0.25">
      <c r="B434" s="1"/>
      <c r="C434" s="1"/>
    </row>
    <row r="435" spans="2:3" x14ac:dyDescent="0.25">
      <c r="B435" s="1"/>
      <c r="C435" s="1"/>
    </row>
    <row r="436" spans="2:3" x14ac:dyDescent="0.25">
      <c r="B436" s="1"/>
      <c r="C436" s="1"/>
    </row>
    <row r="437" spans="2:3" x14ac:dyDescent="0.25">
      <c r="B437" s="1"/>
      <c r="C437" s="1"/>
    </row>
    <row r="438" spans="2:3" x14ac:dyDescent="0.25">
      <c r="B438" s="1"/>
      <c r="C438" s="1"/>
    </row>
    <row r="439" spans="2:3" x14ac:dyDescent="0.25">
      <c r="B439" s="1"/>
      <c r="C439" s="1"/>
    </row>
    <row r="440" spans="2:3" x14ac:dyDescent="0.25">
      <c r="B440" s="1"/>
      <c r="C440" s="1"/>
    </row>
    <row r="441" spans="2:3" x14ac:dyDescent="0.25">
      <c r="B441" s="1"/>
      <c r="C441" s="1"/>
    </row>
    <row r="442" spans="2:3" x14ac:dyDescent="0.25">
      <c r="B442" s="1"/>
      <c r="C442" s="1"/>
    </row>
    <row r="443" spans="2:3" x14ac:dyDescent="0.25">
      <c r="B443" s="1"/>
      <c r="C443" s="1"/>
    </row>
    <row r="444" spans="2:3" x14ac:dyDescent="0.25">
      <c r="B444" s="1"/>
      <c r="C444" s="1"/>
    </row>
    <row r="445" spans="2:3" x14ac:dyDescent="0.25">
      <c r="B445" s="1"/>
      <c r="C445" s="1"/>
    </row>
    <row r="446" spans="2:3" x14ac:dyDescent="0.25">
      <c r="B446" s="1"/>
      <c r="C446" s="1"/>
    </row>
    <row r="447" spans="2:3" x14ac:dyDescent="0.25">
      <c r="B447" s="1"/>
      <c r="C447" s="1"/>
    </row>
    <row r="448" spans="2:3" x14ac:dyDescent="0.25">
      <c r="B448" s="1"/>
      <c r="C448" s="1"/>
    </row>
    <row r="449" spans="2:3" x14ac:dyDescent="0.25">
      <c r="B449" s="1"/>
      <c r="C449" s="1"/>
    </row>
    <row r="450" spans="2:3" x14ac:dyDescent="0.25">
      <c r="B450" s="1"/>
      <c r="C450" s="1"/>
    </row>
    <row r="451" spans="2:3" x14ac:dyDescent="0.25">
      <c r="B451" s="1"/>
      <c r="C451" s="1"/>
    </row>
    <row r="452" spans="2:3" x14ac:dyDescent="0.25">
      <c r="B452" s="1"/>
      <c r="C452" s="1"/>
    </row>
    <row r="453" spans="2:3" x14ac:dyDescent="0.25">
      <c r="B453" s="1"/>
      <c r="C453" s="1"/>
    </row>
    <row r="454" spans="2:3" x14ac:dyDescent="0.25">
      <c r="B454" s="1"/>
      <c r="C454" s="1"/>
    </row>
    <row r="455" spans="2:3" x14ac:dyDescent="0.25">
      <c r="B455" s="1"/>
      <c r="C455" s="1"/>
    </row>
    <row r="456" spans="2:3" x14ac:dyDescent="0.25">
      <c r="B456" s="1"/>
      <c r="C456" s="1"/>
    </row>
    <row r="457" spans="2:3" x14ac:dyDescent="0.25">
      <c r="B457" s="1"/>
      <c r="C457" s="1"/>
    </row>
    <row r="458" spans="2:3" x14ac:dyDescent="0.25">
      <c r="B458" s="1"/>
      <c r="C458" s="1"/>
    </row>
    <row r="459" spans="2:3" x14ac:dyDescent="0.25">
      <c r="B459" s="1"/>
      <c r="C459" s="1"/>
    </row>
    <row r="460" spans="2:3" x14ac:dyDescent="0.25">
      <c r="B460" s="1"/>
      <c r="C460" s="1"/>
    </row>
    <row r="461" spans="2:3" x14ac:dyDescent="0.25">
      <c r="B461" s="1"/>
      <c r="C461" s="1"/>
    </row>
    <row r="462" spans="2:3" x14ac:dyDescent="0.25">
      <c r="B462" s="1"/>
      <c r="C462" s="1"/>
    </row>
    <row r="463" spans="2:3" x14ac:dyDescent="0.25">
      <c r="B463" s="1"/>
      <c r="C463" s="1"/>
    </row>
    <row r="464" spans="2:3" x14ac:dyDescent="0.25">
      <c r="B464" s="1"/>
      <c r="C464" s="1"/>
    </row>
    <row r="465" spans="2:3" x14ac:dyDescent="0.25">
      <c r="B465" s="1"/>
      <c r="C465" s="1"/>
    </row>
    <row r="466" spans="2:3" x14ac:dyDescent="0.25">
      <c r="B466" s="1"/>
      <c r="C466" s="1"/>
    </row>
    <row r="467" spans="2:3" x14ac:dyDescent="0.25">
      <c r="B467" s="1"/>
      <c r="C467" s="1"/>
    </row>
    <row r="468" spans="2:3" x14ac:dyDescent="0.25">
      <c r="B468" s="1"/>
      <c r="C468" s="1"/>
    </row>
    <row r="469" spans="2:3" x14ac:dyDescent="0.25">
      <c r="B469" s="1"/>
      <c r="C469" s="1"/>
    </row>
    <row r="470" spans="2:3" x14ac:dyDescent="0.25">
      <c r="B470" s="1"/>
      <c r="C470" s="1"/>
    </row>
    <row r="471" spans="2:3" x14ac:dyDescent="0.25">
      <c r="B471" s="1"/>
      <c r="C471" s="1"/>
    </row>
    <row r="472" spans="2:3" x14ac:dyDescent="0.25">
      <c r="B472" s="1"/>
      <c r="C472" s="1"/>
    </row>
    <row r="473" spans="2:3" x14ac:dyDescent="0.25">
      <c r="B473" s="1"/>
      <c r="C473" s="1"/>
    </row>
    <row r="474" spans="2:3" x14ac:dyDescent="0.25">
      <c r="B474" s="1"/>
      <c r="C474" s="1"/>
    </row>
    <row r="475" spans="2:3" x14ac:dyDescent="0.25">
      <c r="B475" s="1"/>
      <c r="C475" s="1"/>
    </row>
    <row r="476" spans="2:3" x14ac:dyDescent="0.25">
      <c r="B476" s="1"/>
      <c r="C476" s="1"/>
    </row>
    <row r="477" spans="2:3" x14ac:dyDescent="0.25">
      <c r="B477" s="1"/>
      <c r="C477" s="1"/>
    </row>
    <row r="478" spans="2:3" x14ac:dyDescent="0.25">
      <c r="B478" s="1"/>
      <c r="C478" s="1"/>
    </row>
    <row r="479" spans="2:3" x14ac:dyDescent="0.25">
      <c r="B479" s="1"/>
      <c r="C479" s="1"/>
    </row>
    <row r="480" spans="2:3" x14ac:dyDescent="0.25">
      <c r="B480" s="1"/>
      <c r="C480" s="1"/>
    </row>
    <row r="481" spans="2:3" x14ac:dyDescent="0.25">
      <c r="B481" s="1"/>
      <c r="C481" s="1"/>
    </row>
    <row r="482" spans="2:3" x14ac:dyDescent="0.25">
      <c r="B482" s="1"/>
      <c r="C482" s="1"/>
    </row>
    <row r="483" spans="2:3" x14ac:dyDescent="0.25">
      <c r="B483" s="1"/>
      <c r="C483" s="1"/>
    </row>
    <row r="484" spans="2:3" x14ac:dyDescent="0.25">
      <c r="B484" s="1"/>
      <c r="C484" s="1"/>
    </row>
    <row r="485" spans="2:3" x14ac:dyDescent="0.25">
      <c r="B485" s="1"/>
      <c r="C485" s="1"/>
    </row>
    <row r="486" spans="2:3" x14ac:dyDescent="0.25">
      <c r="B486" s="1"/>
      <c r="C486" s="1"/>
    </row>
    <row r="487" spans="2:3" x14ac:dyDescent="0.25">
      <c r="B487" s="1"/>
      <c r="C487" s="1"/>
    </row>
    <row r="488" spans="2:3" x14ac:dyDescent="0.25">
      <c r="B488" s="1"/>
      <c r="C488" s="1"/>
    </row>
    <row r="489" spans="2:3" x14ac:dyDescent="0.25">
      <c r="B489" s="1"/>
      <c r="C489" s="1"/>
    </row>
    <row r="490" spans="2:3" x14ac:dyDescent="0.25">
      <c r="B490" s="1"/>
      <c r="C490" s="1"/>
    </row>
    <row r="491" spans="2:3" x14ac:dyDescent="0.25">
      <c r="B491" s="1"/>
      <c r="C491" s="1"/>
    </row>
    <row r="492" spans="2:3" x14ac:dyDescent="0.25">
      <c r="B492" s="1"/>
      <c r="C492" s="1"/>
    </row>
    <row r="493" spans="2:3" x14ac:dyDescent="0.25">
      <c r="B493" s="1"/>
      <c r="C493" s="1"/>
    </row>
    <row r="494" spans="2:3" x14ac:dyDescent="0.25">
      <c r="B494" s="1"/>
      <c r="C494" s="1"/>
    </row>
    <row r="495" spans="2:3" x14ac:dyDescent="0.25">
      <c r="B495" s="1"/>
      <c r="C495" s="1"/>
    </row>
    <row r="496" spans="2:3" x14ac:dyDescent="0.25">
      <c r="B496" s="1"/>
      <c r="C496" s="1"/>
    </row>
    <row r="497" spans="2:3" x14ac:dyDescent="0.25">
      <c r="B497" s="1"/>
      <c r="C497" s="1"/>
    </row>
    <row r="498" spans="2:3" x14ac:dyDescent="0.25">
      <c r="B498" s="1"/>
      <c r="C498" s="1"/>
    </row>
    <row r="499" spans="2:3" x14ac:dyDescent="0.25">
      <c r="B499" s="1"/>
      <c r="C499" s="1"/>
    </row>
    <row r="500" spans="2:3" x14ac:dyDescent="0.25">
      <c r="B500" s="1"/>
      <c r="C500" s="1"/>
    </row>
    <row r="501" spans="2:3" x14ac:dyDescent="0.25">
      <c r="B501" s="1"/>
      <c r="C501" s="1"/>
    </row>
    <row r="502" spans="2:3" x14ac:dyDescent="0.25">
      <c r="B502" s="1"/>
      <c r="C502" s="1"/>
    </row>
    <row r="503" spans="2:3" x14ac:dyDescent="0.25">
      <c r="B503" s="1"/>
      <c r="C503" s="1"/>
    </row>
    <row r="504" spans="2:3" x14ac:dyDescent="0.25">
      <c r="B504" s="1"/>
      <c r="C504" s="1"/>
    </row>
    <row r="505" spans="2:3" x14ac:dyDescent="0.25">
      <c r="B505" s="1"/>
      <c r="C505" s="1"/>
    </row>
    <row r="506" spans="2:3" x14ac:dyDescent="0.25">
      <c r="B506" s="1"/>
      <c r="C506" s="1"/>
    </row>
    <row r="507" spans="2:3" x14ac:dyDescent="0.25">
      <c r="B507" s="1"/>
      <c r="C507" s="1"/>
    </row>
    <row r="508" spans="2:3" x14ac:dyDescent="0.25">
      <c r="B508" s="1"/>
      <c r="C508" s="1"/>
    </row>
    <row r="509" spans="2:3" x14ac:dyDescent="0.25">
      <c r="B509" s="1"/>
      <c r="C509" s="1"/>
    </row>
  </sheetData>
  <mergeCells count="2">
    <mergeCell ref="D2:G2"/>
    <mergeCell ref="B2:C2"/>
  </mergeCells>
  <phoneticPr fontId="0" type="noConversion"/>
  <printOptions horizontalCentered="1"/>
  <pageMargins left="0.5" right="0.25" top="0.5" bottom="0.5" header="0.5" footer="0.25"/>
  <pageSetup scale="64" fitToHeight="2" orientation="portrait" r:id="rId1"/>
  <headerFooter alignWithMargins="0">
    <oddHeader>&amp;LSAMPLE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CMail</vt:lpstr>
      <vt:lpstr>CMail!Print_Area</vt:lpstr>
      <vt:lpstr>CMail!Print_Titles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Carina Negreanu</cp:lastModifiedBy>
  <cp:lastPrinted>2003-11-20T05:27:37Z</cp:lastPrinted>
  <dcterms:created xsi:type="dcterms:W3CDTF">1998-01-05T20:51:09Z</dcterms:created>
  <dcterms:modified xsi:type="dcterms:W3CDTF">2020-01-27T12:03:59Z</dcterms:modified>
</cp:coreProperties>
</file>