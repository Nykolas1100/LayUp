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8FD51B-0B63-49F2-8B9A-D5D5C71DC704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" i="1" l="1"/>
  <c r="E26" i="1"/>
  <c r="H26" i="1"/>
  <c r="K26" i="1"/>
</calcChain>
</file>

<file path=xl/sharedStrings.xml><?xml version="1.0" encoding="utf-8"?>
<sst xmlns="http://schemas.openxmlformats.org/spreadsheetml/2006/main" count="45" uniqueCount="42">
  <si>
    <t>Institutional sum</t>
  </si>
  <si>
    <t xml:space="preserve">Per pupil sum </t>
  </si>
  <si>
    <t>Funds available</t>
  </si>
  <si>
    <t>Whole school issues</t>
  </si>
  <si>
    <t>Total</t>
  </si>
  <si>
    <t>GCSE revision support</t>
  </si>
  <si>
    <t>Independent learning software and digital resources</t>
  </si>
  <si>
    <t>Number of pupils</t>
  </si>
  <si>
    <t>Total sum per year</t>
  </si>
  <si>
    <t>Subject-specific issues</t>
  </si>
  <si>
    <t>Homework/cover lesson support at KS3/KS4</t>
  </si>
  <si>
    <t>Homework support at KS3</t>
  </si>
  <si>
    <t xml:space="preserve">Cross-curricular resources </t>
  </si>
  <si>
    <t>Training (80/20 rule*)</t>
  </si>
  <si>
    <t>CPD about ICT and laptop use for 30 staff</t>
  </si>
  <si>
    <t>Homework support at KS4/GCSE</t>
  </si>
  <si>
    <t xml:space="preserve">Inclusion work with ten SEN staff </t>
  </si>
  <si>
    <t>CPD about SEN for eight staff</t>
  </si>
  <si>
    <t xml:space="preserve">Inclusion work with 15 SEN staff </t>
  </si>
  <si>
    <t>Training and hardware (80/20 rule*)</t>
  </si>
  <si>
    <t>Year 1</t>
  </si>
  <si>
    <t>Year 2</t>
  </si>
  <si>
    <t>Year 3</t>
  </si>
  <si>
    <t>KS3 SATs revision support</t>
  </si>
  <si>
    <t>CPD about ICT and laptop use for 20 staff</t>
  </si>
  <si>
    <t>GCSE and KS3 SATs revision support</t>
  </si>
  <si>
    <r>
      <t xml:space="preserve">ICT </t>
    </r>
    <r>
      <rPr>
        <sz val="9"/>
        <rFont val="Trebuchet MS"/>
        <family val="2"/>
      </rPr>
      <t>(software and digital resources)</t>
    </r>
  </si>
  <si>
    <r>
      <t xml:space="preserve">English </t>
    </r>
    <r>
      <rPr>
        <sz val="9"/>
        <rFont val="Trebuchet MS"/>
        <family val="2"/>
      </rPr>
      <t>(software and digital resources)</t>
    </r>
  </si>
  <si>
    <r>
      <t xml:space="preserve">Mathematics </t>
    </r>
    <r>
      <rPr>
        <sz val="9"/>
        <rFont val="Trebuchet MS"/>
        <family val="2"/>
      </rPr>
      <t>(software and digital resources)</t>
    </r>
  </si>
  <si>
    <r>
      <t xml:space="preserve">Science </t>
    </r>
    <r>
      <rPr>
        <sz val="9"/>
        <rFont val="Trebuchet MS"/>
        <family val="2"/>
      </rPr>
      <t>(software and digital resources)</t>
    </r>
  </si>
  <si>
    <r>
      <t xml:space="preserve">D&amp;T </t>
    </r>
    <r>
      <rPr>
        <sz val="9"/>
        <rFont val="Trebuchet MS"/>
        <family val="2"/>
      </rPr>
      <t>(software and digital resources)</t>
    </r>
  </si>
  <si>
    <r>
      <t xml:space="preserve">History </t>
    </r>
    <r>
      <rPr>
        <sz val="9"/>
        <rFont val="Trebuchet MS"/>
        <family val="2"/>
      </rPr>
      <t>(software and digital resources)</t>
    </r>
  </si>
  <si>
    <r>
      <t>Geography</t>
    </r>
    <r>
      <rPr>
        <sz val="9"/>
        <rFont val="Trebuchet MS"/>
        <family val="2"/>
      </rPr>
      <t xml:space="preserve"> (software and digital resources)</t>
    </r>
  </si>
  <si>
    <r>
      <t>MFL</t>
    </r>
    <r>
      <rPr>
        <sz val="9"/>
        <rFont val="Trebuchet MS"/>
        <family val="2"/>
      </rPr>
      <t xml:space="preserve"> (software and digital resources)</t>
    </r>
  </si>
  <si>
    <r>
      <t xml:space="preserve">RE </t>
    </r>
    <r>
      <rPr>
        <sz val="9"/>
        <rFont val="Trebuchet MS"/>
        <family val="2"/>
      </rPr>
      <t>(software and digital resources)</t>
    </r>
  </si>
  <si>
    <r>
      <t>Art &amp; Design</t>
    </r>
    <r>
      <rPr>
        <sz val="9"/>
        <rFont val="Trebuchet MS"/>
        <family val="2"/>
      </rPr>
      <t xml:space="preserve"> (software and digital resources)</t>
    </r>
  </si>
  <si>
    <r>
      <t xml:space="preserve">Music </t>
    </r>
    <r>
      <rPr>
        <sz val="9"/>
        <rFont val="Trebuchet MS"/>
        <family val="2"/>
      </rPr>
      <t>(software and digital resources)</t>
    </r>
  </si>
  <si>
    <r>
      <t xml:space="preserve">PE </t>
    </r>
    <r>
      <rPr>
        <sz val="9"/>
        <rFont val="Trebuchet MS"/>
        <family val="2"/>
      </rPr>
      <t>(software and digital resources)</t>
    </r>
  </si>
  <si>
    <r>
      <t xml:space="preserve">Business Studies </t>
    </r>
    <r>
      <rPr>
        <sz val="9"/>
        <rFont val="Trebuchet MS"/>
        <family val="2"/>
      </rPr>
      <t>(software and digital resources)</t>
    </r>
  </si>
  <si>
    <r>
      <t xml:space="preserve">PSHE/Citizenship </t>
    </r>
    <r>
      <rPr>
        <sz val="9"/>
        <rFont val="Trebuchet MS"/>
        <family val="2"/>
      </rPr>
      <t>(software and digital resources)</t>
    </r>
  </si>
  <si>
    <t>Secondary Development Plan for eLC Budget 2003 to 2006</t>
  </si>
  <si>
    <t>*80/20 rule refers to the Elgibility Rules for Curriculum Online Content: "DfES requires that a minimum of approximately 80% of a Product’s constituent parts be digital products and/or services, with up to 20% being support materials, ie non-digital products and/or services that are designed to support the classroom use of the Product. For a delivery-staggered Product, the 80% digital and 20% support criteria may be measured over the expected life of the Product."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</si>
</sst>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5" formatCode="&quot;£&quot;#,##0_);\(&quot;£&quot;#,##0\)"/>
    <numFmt numFmtId="7" formatCode="&quot;£&quot;#,##0.00_);\(&quot;£&quot;#,##0.00\)"/>
    <numFmt numFmtId="44" formatCode="_(&quot;£&quot;* #,##0.00_);_(&quot;£&quot;* \(#,##0.00\);_(&quot;£&quot;* &quot;-&quot;??_);_(@_)"/>
    <numFmt numFmtId="164" formatCode="&quot;£&quot;#,##0.00"/>
    <numFmt numFmtId="165" formatCode="&quot;£&quot;#,##0"/>
  </numFmts>
  <fonts count="8" x14ac:knownFonts="1">
    <font>
      <sz val="10"/>
      <name val="Arial"/>
    </font>
    <font>
      <sz val="10"/>
      <name val="Arial"/>
    </font>
    <font>
      <sz val="9"/>
      <name val="Trebuchet MS"/>
      <family val="2"/>
    </font>
    <font>
      <b/>
      <sz val="9"/>
      <name val="Trebuchet MS"/>
      <family val="2"/>
    </font>
    <font>
      <b/>
      <sz val="9"/>
      <color indexed="16"/>
      <name val="Trebuchet MS"/>
      <family val="2"/>
    </font>
    <font>
      <b/>
      <sz val="9"/>
      <color indexed="9"/>
      <name val="Trebuchet MS"/>
      <family val="2"/>
    </font>
    <font>
      <sz val="7"/>
      <name val="Trebuchet MS"/>
      <family val="2"/>
    </font>
    <font>
      <sz val="16"/>
      <color indexed="56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7" fontId="2" fillId="0" borderId="0" xfId="1" applyNumberFormat="1" applyFont="1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7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4" fontId="3" fillId="0" borderId="0" xfId="1" applyFont="1" applyFill="1" applyBorder="1"/>
    <xf numFmtId="164" fontId="2" fillId="0" borderId="0" xfId="0" applyNumberFormat="1" applyFont="1" applyFill="1" applyBorder="1"/>
    <xf numFmtId="0" fontId="3" fillId="0" borderId="0" xfId="0" applyFont="1" applyFill="1" applyBorder="1" applyAlignment="1">
      <alignment wrapText="1"/>
    </xf>
    <xf numFmtId="164" fontId="3" fillId="0" borderId="0" xfId="0" applyNumberFormat="1" applyFont="1" applyFill="1" applyBorder="1"/>
    <xf numFmtId="5" fontId="2" fillId="0" borderId="0" xfId="1" applyNumberFormat="1" applyFont="1" applyFill="1" applyBorder="1"/>
    <xf numFmtId="165" fontId="2" fillId="0" borderId="0" xfId="0" applyNumberFormat="1" applyFont="1" applyFill="1" applyBorder="1"/>
    <xf numFmtId="165" fontId="3" fillId="0" borderId="0" xfId="0" applyNumberFormat="1" applyFont="1" applyFill="1" applyBorder="1"/>
    <xf numFmtId="0" fontId="4" fillId="2" borderId="0" xfId="0" applyFont="1" applyFill="1" applyBorder="1" applyAlignment="1">
      <alignment horizontal="center" wrapText="1"/>
    </xf>
    <xf numFmtId="5" fontId="4" fillId="2" borderId="0" xfId="1" applyNumberFormat="1" applyFont="1" applyFill="1" applyBorder="1"/>
    <xf numFmtId="0" fontId="4" fillId="0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wrapText="1"/>
    </xf>
    <xf numFmtId="165" fontId="4" fillId="2" borderId="0" xfId="0" applyNumberFormat="1" applyFont="1" applyFill="1" applyBorder="1"/>
    <xf numFmtId="164" fontId="4" fillId="2" borderId="0" xfId="0" applyNumberFormat="1" applyFont="1" applyFill="1" applyBorder="1"/>
    <xf numFmtId="0" fontId="4" fillId="2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right" vertical="top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vertical="top" wrapText="1"/>
    </xf>
    <xf numFmtId="165" fontId="2" fillId="0" borderId="0" xfId="0" applyNumberFormat="1" applyFont="1" applyFill="1" applyBorder="1" applyAlignment="1">
      <alignment vertical="top"/>
    </xf>
    <xf numFmtId="0" fontId="7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8"/>
  <sheetViews>
    <sheetView showGridLines="0" tabSelected="1" workbookViewId="0">
      <selection activeCell="B2" sqref="B2:K2"/>
    </sheetView>
  </sheetViews>
  <sheetFormatPr defaultColWidth="9.1796875" defaultRowHeight="12" x14ac:dyDescent="0.3"/>
  <cols>
    <col min="1" max="1" width="3.54296875" style="1" customWidth="1"/>
    <col min="2" max="2" width="19" style="1" customWidth="1"/>
    <col min="3" max="3" width="3.7265625" style="1" customWidth="1"/>
    <col min="4" max="4" width="24.7265625" style="3" customWidth="1"/>
    <col min="5" max="5" width="7.7265625" style="1" customWidth="1"/>
    <col min="6" max="6" width="3.7265625" style="1" customWidth="1"/>
    <col min="7" max="7" width="24.7265625" style="3" customWidth="1"/>
    <col min="8" max="8" width="7.7265625" style="1" customWidth="1"/>
    <col min="9" max="9" width="3.7265625" style="1" customWidth="1"/>
    <col min="10" max="10" width="24.7265625" style="3" customWidth="1"/>
    <col min="11" max="11" width="7.7265625" style="1" customWidth="1"/>
    <col min="12" max="16384" width="9.1796875" style="1"/>
  </cols>
  <sheetData>
    <row r="2" spans="2:11" ht="20.5" x14ac:dyDescent="0.45">
      <c r="B2" s="31" t="s">
        <v>40</v>
      </c>
      <c r="C2" s="31"/>
      <c r="D2" s="31"/>
      <c r="E2" s="31"/>
      <c r="F2" s="31"/>
      <c r="G2" s="31"/>
      <c r="H2" s="31"/>
      <c r="I2" s="31"/>
      <c r="J2" s="31"/>
      <c r="K2" s="31"/>
    </row>
    <row r="3" spans="2:11" x14ac:dyDescent="0.3">
      <c r="J3" s="1"/>
    </row>
    <row r="4" spans="2:11" s="2" customFormat="1" x14ac:dyDescent="0.3">
      <c r="B4" s="19" t="s">
        <v>2</v>
      </c>
      <c r="C4" s="19"/>
      <c r="D4" s="4" t="s">
        <v>0</v>
      </c>
      <c r="E4" s="14">
        <v>1000</v>
      </c>
      <c r="F4" s="5"/>
      <c r="G4" s="4"/>
      <c r="H4" s="1"/>
      <c r="I4" s="1"/>
      <c r="J4" s="6"/>
      <c r="K4" s="1"/>
    </row>
    <row r="5" spans="2:11" s="2" customFormat="1" x14ac:dyDescent="0.3">
      <c r="D5" s="4" t="s">
        <v>1</v>
      </c>
      <c r="E5" s="5">
        <v>9.85</v>
      </c>
      <c r="F5" s="5"/>
      <c r="G5" s="4"/>
      <c r="H5" s="1"/>
      <c r="I5" s="1"/>
      <c r="J5" s="6"/>
      <c r="K5" s="1"/>
    </row>
    <row r="6" spans="2:11" s="2" customFormat="1" x14ac:dyDescent="0.3">
      <c r="D6" s="6" t="s">
        <v>7</v>
      </c>
      <c r="E6" s="1">
        <v>1000</v>
      </c>
      <c r="F6" s="1"/>
      <c r="G6" s="4"/>
      <c r="H6" s="1"/>
      <c r="I6" s="1"/>
      <c r="J6" s="6"/>
      <c r="K6" s="1"/>
    </row>
    <row r="7" spans="2:11" s="2" customFormat="1" x14ac:dyDescent="0.3">
      <c r="B7" s="23" t="s">
        <v>8</v>
      </c>
      <c r="C7" s="23"/>
      <c r="D7" s="17"/>
      <c r="E7" s="18">
        <f>E4+(E5*E6)</f>
        <v>10850</v>
      </c>
      <c r="F7" s="8"/>
      <c r="G7" s="7"/>
      <c r="J7" s="9"/>
    </row>
    <row r="8" spans="2:11" s="2" customFormat="1" x14ac:dyDescent="0.3">
      <c r="D8" s="7"/>
      <c r="E8" s="10"/>
      <c r="F8" s="10"/>
      <c r="G8" s="7"/>
      <c r="J8" s="9"/>
    </row>
    <row r="9" spans="2:11" x14ac:dyDescent="0.3">
      <c r="D9" s="34" t="s">
        <v>20</v>
      </c>
      <c r="E9" s="34"/>
      <c r="F9" s="7"/>
      <c r="G9" s="34" t="s">
        <v>21</v>
      </c>
      <c r="H9" s="34"/>
      <c r="I9" s="7"/>
      <c r="J9" s="34" t="s">
        <v>22</v>
      </c>
      <c r="K9" s="34"/>
    </row>
    <row r="10" spans="2:11" x14ac:dyDescent="0.3">
      <c r="D10" s="28"/>
      <c r="E10" s="28"/>
      <c r="F10" s="7"/>
      <c r="G10" s="28"/>
      <c r="H10" s="28"/>
      <c r="I10" s="7"/>
      <c r="J10" s="28"/>
      <c r="K10" s="28"/>
    </row>
    <row r="11" spans="2:11" ht="24" x14ac:dyDescent="0.3">
      <c r="B11" s="24" t="s">
        <v>3</v>
      </c>
      <c r="C11" s="19"/>
      <c r="D11" s="3" t="s">
        <v>14</v>
      </c>
      <c r="E11" s="15">
        <v>2250</v>
      </c>
      <c r="F11" s="11"/>
      <c r="G11" s="3" t="s">
        <v>24</v>
      </c>
      <c r="H11" s="15">
        <v>1500</v>
      </c>
      <c r="I11" s="11"/>
      <c r="J11" s="29" t="s">
        <v>17</v>
      </c>
      <c r="K11" s="30">
        <v>750</v>
      </c>
    </row>
    <row r="12" spans="2:11" ht="24" x14ac:dyDescent="0.3">
      <c r="B12" s="25"/>
      <c r="D12" s="29" t="s">
        <v>11</v>
      </c>
      <c r="E12" s="30">
        <v>2750</v>
      </c>
      <c r="F12" s="11"/>
      <c r="G12" s="3" t="s">
        <v>15</v>
      </c>
      <c r="H12" s="15">
        <v>2500</v>
      </c>
      <c r="I12" s="11"/>
      <c r="J12" s="3" t="s">
        <v>10</v>
      </c>
      <c r="K12" s="15">
        <v>1500</v>
      </c>
    </row>
    <row r="13" spans="2:11" ht="24" x14ac:dyDescent="0.3">
      <c r="B13" s="25"/>
      <c r="D13" s="29" t="s">
        <v>5</v>
      </c>
      <c r="E13" s="30">
        <v>1500</v>
      </c>
      <c r="F13" s="11"/>
      <c r="G13" s="3" t="s">
        <v>23</v>
      </c>
      <c r="H13" s="15">
        <v>1500</v>
      </c>
      <c r="I13" s="11"/>
      <c r="J13" s="3" t="s">
        <v>25</v>
      </c>
      <c r="K13" s="15">
        <v>1500</v>
      </c>
    </row>
    <row r="14" spans="2:11" ht="30" customHeight="1" x14ac:dyDescent="0.3">
      <c r="B14" s="26"/>
      <c r="C14" s="9"/>
      <c r="D14" s="29" t="s">
        <v>12</v>
      </c>
      <c r="E14" s="30">
        <v>250</v>
      </c>
      <c r="F14" s="11"/>
      <c r="G14" s="3" t="s">
        <v>6</v>
      </c>
      <c r="H14" s="15">
        <v>400</v>
      </c>
      <c r="I14" s="11"/>
      <c r="J14" s="3" t="s">
        <v>6</v>
      </c>
      <c r="K14" s="15">
        <v>250</v>
      </c>
    </row>
    <row r="15" spans="2:11" ht="24" x14ac:dyDescent="0.3">
      <c r="B15" s="26"/>
      <c r="C15" s="9"/>
      <c r="D15" s="29" t="s">
        <v>13</v>
      </c>
      <c r="E15" s="30">
        <v>1000</v>
      </c>
      <c r="F15" s="11"/>
      <c r="G15" s="3" t="s">
        <v>16</v>
      </c>
      <c r="H15" s="15">
        <v>1500</v>
      </c>
      <c r="I15" s="11"/>
      <c r="J15" s="3" t="s">
        <v>18</v>
      </c>
      <c r="K15" s="15">
        <v>2250</v>
      </c>
    </row>
    <row r="16" spans="2:11" ht="24" x14ac:dyDescent="0.3">
      <c r="B16" s="26"/>
      <c r="C16" s="9"/>
      <c r="E16" s="15"/>
      <c r="F16" s="11"/>
      <c r="H16" s="15"/>
      <c r="I16" s="11"/>
      <c r="J16" s="3" t="s">
        <v>19</v>
      </c>
      <c r="K16" s="15">
        <v>1600</v>
      </c>
    </row>
    <row r="17" spans="2:11" x14ac:dyDescent="0.3">
      <c r="B17" s="26"/>
      <c r="C17" s="9"/>
      <c r="D17" s="33"/>
      <c r="E17" s="33"/>
      <c r="F17" s="33"/>
      <c r="G17" s="33"/>
      <c r="H17" s="33"/>
      <c r="I17" s="33"/>
      <c r="J17" s="33"/>
      <c r="K17" s="33"/>
    </row>
    <row r="18" spans="2:11" s="2" customFormat="1" x14ac:dyDescent="0.3">
      <c r="B18" s="27"/>
      <c r="D18" s="12"/>
      <c r="E18" s="16"/>
      <c r="F18" s="13"/>
      <c r="G18" s="12"/>
      <c r="H18" s="16"/>
      <c r="I18" s="13"/>
      <c r="J18" s="12"/>
      <c r="K18" s="16"/>
    </row>
    <row r="19" spans="2:11" ht="24" x14ac:dyDescent="0.3">
      <c r="B19" s="24" t="s">
        <v>9</v>
      </c>
      <c r="C19" s="19"/>
      <c r="D19" s="12" t="s">
        <v>26</v>
      </c>
      <c r="E19" s="15">
        <v>1000</v>
      </c>
      <c r="F19" s="11"/>
      <c r="G19" s="12" t="s">
        <v>26</v>
      </c>
      <c r="H19" s="15">
        <v>1000</v>
      </c>
      <c r="I19" s="11"/>
      <c r="J19" s="12" t="s">
        <v>26</v>
      </c>
      <c r="K19" s="15">
        <v>1000</v>
      </c>
    </row>
    <row r="20" spans="2:11" ht="24" x14ac:dyDescent="0.3">
      <c r="B20" s="25"/>
      <c r="D20" s="12" t="s">
        <v>27</v>
      </c>
      <c r="E20" s="15">
        <v>500</v>
      </c>
      <c r="F20" s="11"/>
      <c r="G20" s="12" t="s">
        <v>31</v>
      </c>
      <c r="H20" s="15">
        <v>500</v>
      </c>
      <c r="I20" s="11"/>
      <c r="J20" s="12" t="s">
        <v>36</v>
      </c>
      <c r="K20" s="15">
        <v>500</v>
      </c>
    </row>
    <row r="21" spans="2:11" ht="24" x14ac:dyDescent="0.3">
      <c r="B21" s="27"/>
      <c r="C21" s="2"/>
      <c r="D21" s="12" t="s">
        <v>28</v>
      </c>
      <c r="E21" s="15">
        <v>500</v>
      </c>
      <c r="F21" s="11"/>
      <c r="G21" s="12" t="s">
        <v>32</v>
      </c>
      <c r="H21" s="15">
        <v>500</v>
      </c>
      <c r="I21" s="11"/>
      <c r="J21" s="12" t="s">
        <v>37</v>
      </c>
      <c r="K21" s="15">
        <v>500</v>
      </c>
    </row>
    <row r="22" spans="2:11" ht="24" x14ac:dyDescent="0.3">
      <c r="B22" s="25"/>
      <c r="D22" s="12" t="s">
        <v>29</v>
      </c>
      <c r="E22" s="15">
        <v>500</v>
      </c>
      <c r="F22" s="11"/>
      <c r="G22" s="12" t="s">
        <v>33</v>
      </c>
      <c r="H22" s="15">
        <v>500</v>
      </c>
      <c r="I22" s="11"/>
      <c r="J22" s="12" t="s">
        <v>39</v>
      </c>
      <c r="K22" s="15">
        <v>500</v>
      </c>
    </row>
    <row r="23" spans="2:11" ht="24" x14ac:dyDescent="0.3">
      <c r="B23" s="25"/>
      <c r="D23" s="12" t="s">
        <v>30</v>
      </c>
      <c r="E23" s="15">
        <v>500</v>
      </c>
      <c r="F23" s="11"/>
      <c r="G23" s="12" t="s">
        <v>34</v>
      </c>
      <c r="H23" s="15">
        <v>500</v>
      </c>
      <c r="I23" s="11"/>
      <c r="J23" s="12" t="s">
        <v>38</v>
      </c>
      <c r="K23" s="15">
        <v>500</v>
      </c>
    </row>
    <row r="24" spans="2:11" ht="24" x14ac:dyDescent="0.3">
      <c r="B24" s="9"/>
      <c r="C24" s="9"/>
      <c r="D24" s="12"/>
      <c r="E24" s="15"/>
      <c r="F24" s="11"/>
      <c r="G24" s="12" t="s">
        <v>35</v>
      </c>
      <c r="H24" s="15">
        <v>500</v>
      </c>
      <c r="I24" s="11"/>
      <c r="J24" s="12"/>
      <c r="K24" s="15"/>
    </row>
    <row r="25" spans="2:11" s="2" customFormat="1" x14ac:dyDescent="0.3">
      <c r="B25" s="9"/>
      <c r="C25" s="9"/>
      <c r="D25" s="12"/>
      <c r="E25" s="16"/>
      <c r="F25" s="13"/>
      <c r="G25" s="12"/>
      <c r="H25" s="16"/>
      <c r="I25" s="13"/>
      <c r="J25" s="12"/>
      <c r="K25" s="16"/>
    </row>
    <row r="26" spans="2:11" s="2" customFormat="1" x14ac:dyDescent="0.3">
      <c r="B26" s="23" t="s">
        <v>4</v>
      </c>
      <c r="C26" s="23"/>
      <c r="D26" s="20"/>
      <c r="E26" s="21">
        <f>SUM(E11:E24)</f>
        <v>10750</v>
      </c>
      <c r="F26" s="22"/>
      <c r="G26" s="20"/>
      <c r="H26" s="21">
        <f>SUM(H11:H24)</f>
        <v>10900</v>
      </c>
      <c r="I26" s="22"/>
      <c r="J26" s="20"/>
      <c r="K26" s="21">
        <f>SUM(K11:K24)</f>
        <v>10850</v>
      </c>
    </row>
    <row r="28" spans="2:11" ht="35.25" customHeight="1" x14ac:dyDescent="0.3">
      <c r="B28" s="32" t="s">
        <v>41</v>
      </c>
      <c r="C28" s="32"/>
      <c r="D28" s="32"/>
      <c r="E28" s="32"/>
      <c r="F28" s="32"/>
      <c r="G28" s="32"/>
      <c r="H28" s="32"/>
      <c r="I28" s="32"/>
      <c r="J28" s="32"/>
      <c r="K28" s="32"/>
    </row>
  </sheetData>
  <mergeCells count="6">
    <mergeCell ref="B2:K2"/>
    <mergeCell ref="B28:K28"/>
    <mergeCell ref="D17:K17"/>
    <mergeCell ref="D9:E9"/>
    <mergeCell ref="G9:H9"/>
    <mergeCell ref="J9:K9"/>
  </mergeCells>
  <pageMargins left="0.75" right="0.75" top="1" bottom="1" header="0.5" footer="0.5"/>
  <pageSetup paperSize="9" orientation="landscape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Pearson Information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Pearson</dc:creator>
  <cp:lastModifiedBy>Carina Negreanu</cp:lastModifiedBy>
  <dcterms:created xsi:type="dcterms:W3CDTF">2003-11-02T10:29:54Z</dcterms:created>
  <dcterms:modified xsi:type="dcterms:W3CDTF">2020-01-27T12:39:26Z</dcterms:modified>
</cp:coreProperties>
</file>