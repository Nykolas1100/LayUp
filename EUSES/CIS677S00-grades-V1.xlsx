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C671B8-AA35-4537-9B52-E1BCF96F213E}" xr6:coauthVersionLast="45" xr6:coauthVersionMax="45" xr10:uidLastSave="{00000000-0000-0000-0000-000000000000}"/>
  <bookViews>
    <workbookView xWindow="3420" yWindow="3420" windowWidth="28800" windowHeight="15460"/>
  </bookViews>
  <sheets>
    <sheet name="5-1-00" sheetId="1" r:id="rId1"/>
  </sheets>
  <definedNames>
    <definedName name="Average">'5-1-00'!$A$6:$X$6</definedName>
    <definedName name="citations">'5-1-00'!$G$102:$H$118</definedName>
    <definedName name="_xlnm.Criteria">'5-1-00'!#REF!</definedName>
    <definedName name="Cutoff">'5-1-00'!$A$102:$A$111</definedName>
    <definedName name="_xlnm.Database">'5-1-00'!#REF!</definedName>
    <definedName name="_xlnm.Print_Area" localSheetId="0">'5-1-00'!$A$1:$W$101</definedName>
    <definedName name="Record">'5-1-00'!$A$11:$W$100</definedName>
    <definedName name="semester_projects">'5-1-00'!$G$102:$G$118</definedName>
    <definedName name="Sum">'5-1-00'!$Q:$Q</definedName>
    <definedName name="Total">'5-1-00'!$A$5:$X$5</definedName>
  </definedNames>
  <calcPr calcId="191029" fullCalcOnLoad="1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</calcChain>
</file>

<file path=xl/comments1.xml><?xml version="1.0" encoding="utf-8"?>
<comments xmlns="http://schemas.openxmlformats.org/spreadsheetml/2006/main">
  <authors>
    <author>Michael Bieber</author>
  </authors>
  <commentList>
    <comment ref="H1" authorId="0" shapeId="0">
      <text>
        <r>
          <rPr>
            <b/>
            <sz val="9"/>
            <color indexed="81"/>
            <rFont val="Geneva"/>
          </rPr>
          <t>Michael Bieber:</t>
        </r>
        <r>
          <rPr>
            <sz val="9"/>
            <color indexed="81"/>
            <rFont val="Geneva"/>
          </rPr>
          <t xml:space="preserve">
CHUNKING WILDCARD CREDIT - If you chunked more than 10 weeks, you could get 10 points per week as extra credit.</t>
        </r>
      </text>
    </comment>
    <comment ref="M2" authorId="0" shapeId="0">
      <text>
        <r>
          <rPr>
            <b/>
            <sz val="9"/>
            <color indexed="81"/>
            <rFont val="Geneva"/>
          </rPr>
          <t>Michael Bieber:</t>
        </r>
        <r>
          <rPr>
            <sz val="9"/>
            <color indexed="81"/>
            <rFont val="Geneva"/>
          </rPr>
          <t xml:space="preserve">
CHUNKING QUALITY - There seemed to be some "sabatouge" of the chunking quality system.  Many people just gave everyone in their conference 4's and 5's, including people who had never entered a chunk in the system or had stopped chunking in February.  Because so many of you did not do this in good faith, I decided to abandon grading of chunking quality this semester.  Also, if you apparently did not participate in good faith, I did not award points for this category.</t>
        </r>
      </text>
    </comment>
    <comment ref="N2" authorId="0" shapeId="0">
      <text>
        <r>
          <rPr>
            <b/>
            <sz val="9"/>
            <color indexed="81"/>
            <rFont val="Geneva"/>
          </rPr>
          <t>Michael Bieber:</t>
        </r>
        <r>
          <rPr>
            <sz val="9"/>
            <color indexed="81"/>
            <rFont val="Geneva"/>
          </rPr>
          <t xml:space="preserve">
MENTORING ARTICLE REVIEWS - If your name was on one, you got that grade; if your name was on two, you got the average grade</t>
        </r>
      </text>
    </comment>
    <comment ref="O2" authorId="0" shapeId="0">
      <text>
        <r>
          <rPr>
            <b/>
            <sz val="9"/>
            <color indexed="81"/>
            <rFont val="Geneva"/>
          </rPr>
          <t>Michael Bieber:</t>
        </r>
        <r>
          <rPr>
            <sz val="9"/>
            <color indexed="81"/>
            <rFont val="Geneva"/>
          </rPr>
          <t xml:space="preserve">
CITATION ANALYSIS - On campus students had to post citations in the citation analysis conference.  Distance students had to post these in the Article Critique conferences.</t>
        </r>
      </text>
    </comment>
    <comment ref="P2" authorId="0" shapeId="0">
      <text>
        <r>
          <rPr>
            <b/>
            <sz val="9"/>
            <color indexed="81"/>
            <rFont val="Geneva"/>
          </rPr>
          <t>Michael Bieber:</t>
        </r>
        <r>
          <rPr>
            <sz val="9"/>
            <color indexed="81"/>
            <rFont val="Geneva"/>
          </rPr>
          <t xml:space="preserve">
SEMESTER PROJECT - For distance students, if I gave you a zero, I don't have your site or could not access it on the Web.  Please send me a zipped copy, or if it is a single document, email me that document.</t>
        </r>
      </text>
    </comment>
  </commentList>
</comments>
</file>

<file path=xl/sharedStrings.xml><?xml version="1.0" encoding="utf-8"?>
<sst xmlns="http://schemas.openxmlformats.org/spreadsheetml/2006/main" count="331" uniqueCount="133">
  <si>
    <t>Credit</t>
  </si>
  <si>
    <t>Wildcard</t>
  </si>
  <si>
    <t>Indiv. Art.</t>
  </si>
  <si>
    <t>Reviews</t>
  </si>
  <si>
    <t>Penalty</t>
  </si>
  <si>
    <t>Missing=I</t>
  </si>
  <si>
    <t>5016</t>
  </si>
  <si>
    <t>9651</t>
  </si>
  <si>
    <t>1508</t>
  </si>
  <si>
    <t>0724</t>
  </si>
  <si>
    <t>6225</t>
  </si>
  <si>
    <t>5280</t>
  </si>
  <si>
    <t>6218</t>
  </si>
  <si>
    <t>6500</t>
  </si>
  <si>
    <t>0851</t>
  </si>
  <si>
    <t>1599</t>
  </si>
  <si>
    <t>7202</t>
  </si>
  <si>
    <t>4023</t>
  </si>
  <si>
    <t>8108</t>
  </si>
  <si>
    <t>2485</t>
  </si>
  <si>
    <t>1736</t>
  </si>
  <si>
    <t>0221</t>
  </si>
  <si>
    <t>1266</t>
  </si>
  <si>
    <t>5182</t>
  </si>
  <si>
    <t>2964</t>
  </si>
  <si>
    <t>9536</t>
  </si>
  <si>
    <t>2132</t>
  </si>
  <si>
    <t>6684</t>
  </si>
  <si>
    <t>8957</t>
  </si>
  <si>
    <t>2967</t>
  </si>
  <si>
    <t>7141</t>
  </si>
  <si>
    <t>1739</t>
  </si>
  <si>
    <t>1263</t>
  </si>
  <si>
    <t>3066</t>
  </si>
  <si>
    <t>1847</t>
  </si>
  <si>
    <t>9697</t>
  </si>
  <si>
    <t>2077</t>
  </si>
  <si>
    <t>0650</t>
  </si>
  <si>
    <t>9502</t>
  </si>
  <si>
    <t>1708</t>
  </si>
  <si>
    <t>4664</t>
  </si>
  <si>
    <t>2946</t>
  </si>
  <si>
    <t>4694</t>
  </si>
  <si>
    <t>2329</t>
  </si>
  <si>
    <t>1010</t>
  </si>
  <si>
    <t>3881</t>
  </si>
  <si>
    <t>4352</t>
  </si>
  <si>
    <t>4954</t>
  </si>
  <si>
    <t>3809</t>
  </si>
  <si>
    <t>4072</t>
  </si>
  <si>
    <t>6960</t>
  </si>
  <si>
    <t>8081</t>
  </si>
  <si>
    <t>2009</t>
  </si>
  <si>
    <t>2804</t>
  </si>
  <si>
    <t>8264</t>
  </si>
  <si>
    <t>7227</t>
  </si>
  <si>
    <t>4196</t>
  </si>
  <si>
    <t>7056</t>
  </si>
  <si>
    <t>4793</t>
  </si>
  <si>
    <t>7788</t>
  </si>
  <si>
    <t>5906</t>
  </si>
  <si>
    <t>3102</t>
  </si>
  <si>
    <t>9918</t>
  </si>
  <si>
    <t>7781</t>
  </si>
  <si>
    <t>2700</t>
  </si>
  <si>
    <t>8777</t>
  </si>
  <si>
    <t>2845</t>
  </si>
  <si>
    <t>8233</t>
  </si>
  <si>
    <t>5015</t>
  </si>
  <si>
    <t>8448</t>
  </si>
  <si>
    <t>9058</t>
  </si>
  <si>
    <t>3298</t>
  </si>
  <si>
    <t>6780</t>
  </si>
  <si>
    <t>1561</t>
  </si>
  <si>
    <t>0355</t>
  </si>
  <si>
    <t>8852</t>
  </si>
  <si>
    <t>7854</t>
  </si>
  <si>
    <t>3698</t>
  </si>
  <si>
    <t>3129</t>
  </si>
  <si>
    <t>4215</t>
  </si>
  <si>
    <t>1828</t>
  </si>
  <si>
    <t>0840</t>
  </si>
  <si>
    <t>1861</t>
  </si>
  <si>
    <t>5715</t>
  </si>
  <si>
    <t>5450</t>
  </si>
  <si>
    <t>6327</t>
  </si>
  <si>
    <t>3074</t>
  </si>
  <si>
    <t>5565</t>
  </si>
  <si>
    <t>3627</t>
  </si>
  <si>
    <t>average if 2</t>
  </si>
  <si>
    <t>total</t>
  </si>
  <si>
    <t>points</t>
  </si>
  <si>
    <t>Without Extra Credit</t>
  </si>
  <si>
    <t>With Extra Credit</t>
  </si>
  <si>
    <t>Code</t>
  </si>
  <si>
    <t>section</t>
  </si>
  <si>
    <t>Grade Weight</t>
  </si>
  <si>
    <t>Article</t>
  </si>
  <si>
    <t>Review 2</t>
  </si>
  <si>
    <t>Review 1</t>
  </si>
  <si>
    <t>Semester</t>
  </si>
  <si>
    <t>Quantity</t>
  </si>
  <si>
    <t>Extra Credit</t>
  </si>
  <si>
    <t>Quality</t>
  </si>
  <si>
    <t>ID</t>
  </si>
  <si>
    <t>CIS677 S'00</t>
  </si>
  <si>
    <t>4959K</t>
  </si>
  <si>
    <t>4959P</t>
  </si>
  <si>
    <t>Homework</t>
  </si>
  <si>
    <t>Mentoring</t>
  </si>
  <si>
    <t>Citation</t>
  </si>
  <si>
    <t>Project</t>
  </si>
  <si>
    <t>Chunking</t>
  </si>
  <si>
    <t>Extra</t>
  </si>
  <si>
    <t>Midterm</t>
  </si>
  <si>
    <t>Final</t>
  </si>
  <si>
    <t>Class</t>
  </si>
  <si>
    <t>Review</t>
  </si>
  <si>
    <t>Analysis</t>
  </si>
  <si>
    <t>Total</t>
  </si>
  <si>
    <t>Grade</t>
  </si>
  <si>
    <t>Average</t>
  </si>
  <si>
    <t>A</t>
  </si>
  <si>
    <t>B+</t>
  </si>
  <si>
    <t>B</t>
  </si>
  <si>
    <t>C+</t>
  </si>
  <si>
    <t>C</t>
  </si>
  <si>
    <t>D</t>
  </si>
  <si>
    <t>F</t>
  </si>
  <si>
    <t>I</t>
  </si>
  <si>
    <t>-</t>
  </si>
  <si>
    <t>Student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</si>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</sst>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"/>
    <numFmt numFmtId="173" formatCode="0.0%"/>
    <numFmt numFmtId="174" formatCode=".0000"/>
    <numFmt numFmtId="178" formatCode="0.#"/>
    <numFmt numFmtId="179" formatCode="#.#"/>
  </numFmts>
  <fonts count="11">
    <font>
      <sz val="10"/>
      <name val="Helv"/>
    </font>
    <font>
      <b/>
      <i/>
      <sz val="12"/>
      <name val="Arial"/>
    </font>
    <font>
      <b/>
      <sz val="12"/>
      <name val="Arial"/>
    </font>
    <font>
      <i/>
      <sz val="12"/>
      <name val="Arial"/>
    </font>
    <font>
      <sz val="12"/>
      <name val="Arial"/>
    </font>
    <font>
      <sz val="12"/>
      <name val="Geneva"/>
    </font>
    <font>
      <sz val="12"/>
      <color indexed="10"/>
      <name val="Geneva"/>
    </font>
    <font>
      <i/>
      <sz val="12"/>
      <name val="Geneva"/>
    </font>
    <font>
      <b/>
      <sz val="9"/>
      <color indexed="81"/>
      <name val="Geneva"/>
    </font>
    <font>
      <sz val="12"/>
      <color indexed="10"/>
      <name val="Arial"/>
    </font>
    <font>
      <sz val="9"/>
      <color indexed="81"/>
      <name val="Genev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4" fillId="0" borderId="0" xfId="0" applyFont="1"/>
    <xf numFmtId="16" fontId="4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right"/>
    </xf>
    <xf numFmtId="16" fontId="4" fillId="0" borderId="0" xfId="0" applyNumberFormat="1" applyFont="1" applyProtection="1">
      <protection locked="0"/>
    </xf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172" fontId="2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72" fontId="2" fillId="0" borderId="0" xfId="0" applyNumberFormat="1" applyFont="1"/>
    <xf numFmtId="172" fontId="4" fillId="0" borderId="0" xfId="0" applyNumberFormat="1" applyFont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72" fontId="1" fillId="0" borderId="0" xfId="0" applyNumberFormat="1" applyFont="1" applyAlignment="1">
      <alignment horizontal="center"/>
    </xf>
    <xf numFmtId="172" fontId="4" fillId="0" borderId="0" xfId="0" applyNumberFormat="1" applyFont="1"/>
    <xf numFmtId="0" fontId="2" fillId="0" borderId="0" xfId="0" applyFont="1" applyAlignment="1">
      <alignment horizontal="fill"/>
    </xf>
    <xf numFmtId="1" fontId="4" fillId="0" borderId="0" xfId="0" applyNumberFormat="1" applyFont="1"/>
    <xf numFmtId="178" fontId="2" fillId="0" borderId="0" xfId="0" applyNumberFormat="1" applyFont="1"/>
    <xf numFmtId="172" fontId="4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1" fontId="4" fillId="0" borderId="0" xfId="0" applyNumberFormat="1" applyFont="1" applyProtection="1">
      <protection locked="0"/>
    </xf>
    <xf numFmtId="179" fontId="4" fillId="0" borderId="0" xfId="0" applyNumberFormat="1" applyFont="1"/>
    <xf numFmtId="173" fontId="3" fillId="0" borderId="0" xfId="0" applyNumberFormat="1" applyFont="1"/>
    <xf numFmtId="9" fontId="2" fillId="0" borderId="0" xfId="0" applyNumberFormat="1" applyFont="1"/>
    <xf numFmtId="9" fontId="4" fillId="0" borderId="0" xfId="0" applyNumberFormat="1" applyFont="1"/>
    <xf numFmtId="9" fontId="4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Fill="1" applyBorder="1"/>
    <xf numFmtId="0" fontId="6" fillId="0" borderId="0" xfId="0" applyFont="1"/>
    <xf numFmtId="0" fontId="5" fillId="0" borderId="2" xfId="0" applyFont="1" applyBorder="1"/>
    <xf numFmtId="0" fontId="6" fillId="0" borderId="2" xfId="0" applyFont="1" applyBorder="1"/>
    <xf numFmtId="0" fontId="7" fillId="0" borderId="0" xfId="0" applyFont="1"/>
    <xf numFmtId="16" fontId="1" fillId="0" borderId="0" xfId="0" applyNumberFormat="1" applyFont="1" applyAlignment="1">
      <alignment horizontal="center"/>
    </xf>
    <xf numFmtId="172" fontId="2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1" fontId="2" fillId="0" borderId="0" xfId="0" applyNumberFormat="1" applyFont="1" applyBorder="1" applyAlignment="1">
      <alignment horizontal="center"/>
    </xf>
    <xf numFmtId="0" fontId="9" fillId="0" borderId="0" xfId="0" applyFont="1"/>
    <xf numFmtId="1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72" fontId="1" fillId="0" borderId="1" xfId="0" applyNumberFormat="1" applyFont="1" applyBorder="1" applyAlignment="1">
      <alignment horizontal="center"/>
    </xf>
    <xf numFmtId="9" fontId="3" fillId="0" borderId="0" xfId="0" applyNumberFormat="1" applyFont="1"/>
    <xf numFmtId="172" fontId="3" fillId="0" borderId="0" xfId="0" applyNumberFormat="1" applyFont="1"/>
    <xf numFmtId="9" fontId="1" fillId="0" borderId="0" xfId="0" applyNumberFormat="1" applyFont="1"/>
    <xf numFmtId="0" fontId="3" fillId="0" borderId="0" xfId="0" applyFont="1"/>
    <xf numFmtId="0" fontId="1" fillId="0" borderId="3" xfId="0" applyFont="1" applyBorder="1" applyAlignment="1">
      <alignment horizontal="left"/>
    </xf>
    <xf numFmtId="16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 applyProtection="1">
      <alignment horizontal="center"/>
      <protection locked="0"/>
    </xf>
    <xf numFmtId="172" fontId="1" fillId="0" borderId="4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fill"/>
    </xf>
    <xf numFmtId="0" fontId="1" fillId="0" borderId="3" xfId="0" applyFont="1" applyBorder="1"/>
    <xf numFmtId="1" fontId="3" fillId="0" borderId="3" xfId="0" applyNumberFormat="1" applyFont="1" applyBorder="1"/>
    <xf numFmtId="0" fontId="1" fillId="0" borderId="2" xfId="0" applyFont="1" applyBorder="1" applyAlignment="1">
      <alignment horizontal="left"/>
    </xf>
    <xf numFmtId="178" fontId="2" fillId="0" borderId="2" xfId="0" applyNumberFormat="1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fill"/>
    </xf>
    <xf numFmtId="178" fontId="2" fillId="0" borderId="2" xfId="0" applyNumberFormat="1" applyFont="1" applyBorder="1"/>
    <xf numFmtId="172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/>
    <xf numFmtId="172" fontId="4" fillId="0" borderId="2" xfId="0" applyNumberFormat="1" applyFont="1" applyBorder="1"/>
    <xf numFmtId="0" fontId="4" fillId="0" borderId="2" xfId="0" applyFont="1" applyBorder="1"/>
    <xf numFmtId="16" fontId="4" fillId="0" borderId="2" xfId="0" applyNumberFormat="1" applyFont="1" applyBorder="1" applyProtection="1">
      <protection locked="0"/>
    </xf>
    <xf numFmtId="0" fontId="4" fillId="0" borderId="2" xfId="0" applyFont="1" applyBorder="1" applyProtection="1">
      <protection locked="0"/>
    </xf>
    <xf numFmtId="16" fontId="1" fillId="0" borderId="0" xfId="0" applyNumberFormat="1" applyFont="1" applyAlignment="1">
      <alignment horizontal="right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P120"/>
  <sheetViews>
    <sheetView tabSelected="1" workbookViewId="0">
      <pane xSplit="2760" ySplit="3240" topLeftCell="A11" activePane="topRight"/>
      <selection pane="topRight" activeCell="Z8" sqref="Z8"/>
      <selection pane="bottomLeft" activeCell="A11" sqref="A11"/>
      <selection pane="bottomRight" activeCell="O11" sqref="O11"/>
    </sheetView>
  </sheetViews>
  <sheetFormatPr defaultColWidth="9.81640625" defaultRowHeight="15.5"/>
  <cols>
    <col min="1" max="1" width="9.1796875" style="8" customWidth="1"/>
    <col min="2" max="2" width="9.453125" style="8" customWidth="1"/>
    <col min="3" max="3" width="7.453125" style="8" customWidth="1"/>
    <col min="4" max="6" width="11.453125" style="8" customWidth="1"/>
    <col min="7" max="7" width="9.453125" style="8" customWidth="1"/>
    <col min="8" max="8" width="11.1796875" style="8" customWidth="1"/>
    <col min="9" max="9" width="9.6328125" style="8" customWidth="1"/>
    <col min="10" max="10" width="4.1796875" style="8" customWidth="1"/>
    <col min="11" max="11" width="10.36328125" style="8" customWidth="1"/>
    <col min="12" max="12" width="10.1796875" style="8" customWidth="1"/>
    <col min="13" max="13" width="10" style="8" customWidth="1"/>
    <col min="14" max="14" width="13.1796875" style="8" customWidth="1"/>
    <col min="15" max="15" width="10.1796875" style="8" customWidth="1"/>
    <col min="16" max="16" width="13" style="8" customWidth="1"/>
    <col min="17" max="17" width="11.81640625" style="54" customWidth="1"/>
    <col min="18" max="18" width="7.81640625" style="8" customWidth="1"/>
    <col min="19" max="19" width="11" style="8" customWidth="1"/>
    <col min="20" max="20" width="8" style="8" customWidth="1"/>
    <col min="21" max="21" width="16" style="8" customWidth="1"/>
    <col min="22" max="22" width="12.453125" style="8" customWidth="1"/>
    <col min="23" max="16384" width="9.81640625" style="8"/>
  </cols>
  <sheetData>
    <row r="1" spans="1:42" s="2" customFormat="1">
      <c r="A1" s="77" t="s">
        <v>105</v>
      </c>
      <c r="D1" s="3" t="s">
        <v>113</v>
      </c>
      <c r="E1" s="3" t="s">
        <v>109</v>
      </c>
      <c r="F1" s="3" t="s">
        <v>109</v>
      </c>
      <c r="G1" s="3" t="s">
        <v>132</v>
      </c>
      <c r="H1" s="3" t="s">
        <v>112</v>
      </c>
      <c r="I1" s="3" t="s">
        <v>114</v>
      </c>
      <c r="Q1" s="55" t="s">
        <v>108</v>
      </c>
      <c r="R1" s="4"/>
      <c r="T1" s="63" t="s">
        <v>92</v>
      </c>
      <c r="V1" s="63" t="s">
        <v>93</v>
      </c>
      <c r="X1" s="63"/>
    </row>
    <row r="2" spans="1:42" s="6" customFormat="1">
      <c r="A2" s="1" t="s">
        <v>131</v>
      </c>
      <c r="C2" s="5"/>
      <c r="D2" s="3" t="s">
        <v>97</v>
      </c>
      <c r="E2" s="3" t="s">
        <v>97</v>
      </c>
      <c r="F2" s="3" t="s">
        <v>97</v>
      </c>
      <c r="G2" s="3" t="s">
        <v>113</v>
      </c>
      <c r="H2" s="3" t="s">
        <v>1</v>
      </c>
      <c r="I2" s="3" t="s">
        <v>4</v>
      </c>
      <c r="J2" s="5"/>
      <c r="K2" s="7" t="s">
        <v>2</v>
      </c>
      <c r="L2" s="7" t="s">
        <v>112</v>
      </c>
      <c r="M2" s="7" t="s">
        <v>112</v>
      </c>
      <c r="N2" s="7" t="s">
        <v>109</v>
      </c>
      <c r="O2" s="3" t="s">
        <v>110</v>
      </c>
      <c r="P2" s="7" t="s">
        <v>100</v>
      </c>
      <c r="Q2" s="56" t="s">
        <v>90</v>
      </c>
      <c r="R2" s="3" t="s">
        <v>114</v>
      </c>
      <c r="S2" s="3"/>
      <c r="T2" s="64" t="s">
        <v>90</v>
      </c>
      <c r="U2" s="3" t="s">
        <v>115</v>
      </c>
      <c r="V2" s="64" t="s">
        <v>90</v>
      </c>
      <c r="W2" s="3" t="s">
        <v>115</v>
      </c>
      <c r="X2" s="73"/>
      <c r="Y2" s="8"/>
    </row>
    <row r="3" spans="1:42" s="9" customFormat="1">
      <c r="A3" s="76" t="s">
        <v>94</v>
      </c>
      <c r="B3" s="6" t="s">
        <v>95</v>
      </c>
      <c r="C3" s="10"/>
      <c r="D3" s="7" t="s">
        <v>117</v>
      </c>
      <c r="E3" s="7" t="s">
        <v>99</v>
      </c>
      <c r="F3" s="7" t="s">
        <v>98</v>
      </c>
      <c r="G3" s="7" t="s">
        <v>0</v>
      </c>
      <c r="H3" s="7" t="s">
        <v>102</v>
      </c>
      <c r="I3" s="7"/>
      <c r="J3" s="10"/>
      <c r="K3" s="7" t="s">
        <v>117</v>
      </c>
      <c r="L3" s="7" t="s">
        <v>101</v>
      </c>
      <c r="M3" s="7" t="s">
        <v>103</v>
      </c>
      <c r="N3" s="7" t="s">
        <v>3</v>
      </c>
      <c r="O3" s="7" t="s">
        <v>118</v>
      </c>
      <c r="P3" s="7" t="s">
        <v>111</v>
      </c>
      <c r="Q3" s="56" t="s">
        <v>91</v>
      </c>
      <c r="R3" s="7">
        <v>33318</v>
      </c>
      <c r="S3" s="7"/>
      <c r="T3" s="65" t="s">
        <v>91</v>
      </c>
      <c r="U3" s="7"/>
      <c r="V3" s="65" t="s">
        <v>91</v>
      </c>
      <c r="W3" s="7"/>
      <c r="X3" s="74"/>
      <c r="Y3" s="11"/>
    </row>
    <row r="4" spans="1:42" s="9" customFormat="1">
      <c r="A4" s="10"/>
      <c r="B4" s="7"/>
      <c r="C4" s="10"/>
      <c r="D4" s="7"/>
      <c r="E4" s="7"/>
      <c r="F4" s="7"/>
      <c r="G4" s="7"/>
      <c r="H4" s="7"/>
      <c r="I4" s="7"/>
      <c r="J4" s="10"/>
      <c r="K4" s="7"/>
      <c r="L4" s="7"/>
      <c r="M4" s="7"/>
      <c r="N4" s="42" t="s">
        <v>89</v>
      </c>
      <c r="O4" s="7"/>
      <c r="P4" s="7"/>
      <c r="Q4" s="56"/>
      <c r="R4" s="7"/>
      <c r="S4" s="7"/>
      <c r="T4" s="65"/>
      <c r="U4" s="7"/>
      <c r="V4" s="65"/>
      <c r="W4" s="7"/>
      <c r="X4" s="74"/>
      <c r="Y4" s="11"/>
    </row>
    <row r="5" spans="1:42" s="18" customFormat="1">
      <c r="A5" s="4" t="s">
        <v>119</v>
      </c>
      <c r="B5" s="13"/>
      <c r="C5" s="14"/>
      <c r="D5" s="14">
        <v>100</v>
      </c>
      <c r="E5" s="14">
        <v>100</v>
      </c>
      <c r="F5" s="14">
        <v>100</v>
      </c>
      <c r="G5" s="14">
        <v>100</v>
      </c>
      <c r="H5" s="14">
        <v>30</v>
      </c>
      <c r="I5" s="14">
        <v>5</v>
      </c>
      <c r="J5" s="14"/>
      <c r="K5" s="15">
        <v>100</v>
      </c>
      <c r="L5" s="15">
        <v>100</v>
      </c>
      <c r="M5" s="15">
        <v>100</v>
      </c>
      <c r="N5" s="15">
        <v>100</v>
      </c>
      <c r="O5" s="15">
        <v>100</v>
      </c>
      <c r="P5" s="15">
        <v>100</v>
      </c>
      <c r="Q5" s="57">
        <v>600</v>
      </c>
      <c r="R5" s="15">
        <v>112</v>
      </c>
      <c r="S5" s="15"/>
      <c r="T5" s="64">
        <v>100.36</v>
      </c>
      <c r="U5" s="13" t="s">
        <v>120</v>
      </c>
      <c r="V5" s="64">
        <v>109.15</v>
      </c>
      <c r="W5" s="13" t="s">
        <v>120</v>
      </c>
      <c r="X5" s="75"/>
      <c r="Y5" s="17"/>
      <c r="Z5" s="17"/>
    </row>
    <row r="6" spans="1:42" s="20" customFormat="1">
      <c r="A6" s="81" t="s">
        <v>121</v>
      </c>
      <c r="B6" s="21"/>
      <c r="C6" s="82"/>
      <c r="D6" s="80">
        <f>AVERAGE(D11:D100)</f>
        <v>84.230769230769226</v>
      </c>
      <c r="E6" s="80">
        <f>AVERAGE(E11:E100)</f>
        <v>88.80952380952381</v>
      </c>
      <c r="F6" s="80">
        <f>AVERAGE(F11:F100)</f>
        <v>91.9</v>
      </c>
      <c r="G6" s="80">
        <f>AVERAGE(G11:G100)</f>
        <v>100</v>
      </c>
      <c r="H6" s="80">
        <f>AVERAGE(H11:H100)</f>
        <v>21.677966101694917</v>
      </c>
      <c r="I6" s="80"/>
      <c r="J6" s="82"/>
      <c r="K6" s="21">
        <v>87.505882352941171</v>
      </c>
      <c r="L6" s="21">
        <v>97.338235294117652</v>
      </c>
      <c r="M6" s="21">
        <v>62.584269662921351</v>
      </c>
      <c r="N6" s="21">
        <v>84.361111111111114</v>
      </c>
      <c r="O6" s="21">
        <v>81.666666666666671</v>
      </c>
      <c r="P6" s="21">
        <v>79.900000000000006</v>
      </c>
      <c r="Q6" s="58">
        <v>82.226027514626324</v>
      </c>
      <c r="R6" s="21">
        <v>93.898876404494388</v>
      </c>
      <c r="S6" s="21"/>
      <c r="T6" s="66">
        <v>79.452238095238073</v>
      </c>
      <c r="U6" s="50" t="s">
        <v>5</v>
      </c>
      <c r="V6" s="66">
        <v>82.826682539682537</v>
      </c>
      <c r="W6" s="22" t="s">
        <v>5</v>
      </c>
      <c r="X6" s="72"/>
      <c r="Y6" s="23"/>
      <c r="Z6" s="19"/>
    </row>
    <row r="7" spans="1:42" s="20" customFormat="1">
      <c r="A7" s="49" t="s">
        <v>96</v>
      </c>
      <c r="B7" s="16"/>
      <c r="C7" s="14"/>
      <c r="D7" s="79">
        <v>5</v>
      </c>
      <c r="E7" s="79"/>
      <c r="F7" s="79"/>
      <c r="G7" s="79">
        <v>3</v>
      </c>
      <c r="H7" s="79">
        <v>5</v>
      </c>
      <c r="I7" s="79">
        <v>-5</v>
      </c>
      <c r="J7" s="14"/>
      <c r="K7" s="46">
        <v>12</v>
      </c>
      <c r="L7" s="46">
        <v>23</v>
      </c>
      <c r="M7" s="46">
        <v>3</v>
      </c>
      <c r="N7" s="46">
        <v>12</v>
      </c>
      <c r="O7" s="46">
        <v>5</v>
      </c>
      <c r="P7" s="46">
        <v>25</v>
      </c>
      <c r="Q7" s="59"/>
      <c r="R7" s="46">
        <v>20</v>
      </c>
      <c r="S7" s="43"/>
      <c r="T7" s="67"/>
      <c r="U7" s="22"/>
      <c r="V7" s="67"/>
      <c r="W7" s="22"/>
      <c r="X7" s="72"/>
      <c r="Y7" s="23"/>
      <c r="Z7" s="19"/>
    </row>
    <row r="8" spans="1:42">
      <c r="A8" s="24" t="s">
        <v>130</v>
      </c>
      <c r="B8" s="24" t="s">
        <v>130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60"/>
      <c r="R8" s="24" t="s">
        <v>130</v>
      </c>
      <c r="S8" s="24" t="s">
        <v>130</v>
      </c>
      <c r="T8" s="68" t="s">
        <v>130</v>
      </c>
      <c r="U8" s="24" t="s">
        <v>130</v>
      </c>
      <c r="V8" s="68"/>
      <c r="W8" s="24" t="s">
        <v>130</v>
      </c>
      <c r="X8" s="73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60"/>
      <c r="R9" s="24"/>
      <c r="S9" s="24"/>
      <c r="T9" s="68"/>
      <c r="U9" s="24"/>
      <c r="V9" s="68"/>
      <c r="W9" s="24"/>
      <c r="X9" s="73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s="27" customFormat="1">
      <c r="A10" s="5" t="s">
        <v>104</v>
      </c>
      <c r="B10" s="5" t="s">
        <v>116</v>
      </c>
      <c r="C10" s="5"/>
      <c r="D10" s="5"/>
      <c r="E10" s="5"/>
      <c r="F10" s="5"/>
      <c r="G10" s="5"/>
      <c r="H10" s="5"/>
      <c r="I10" s="5"/>
      <c r="J10" s="5"/>
      <c r="K10" s="8"/>
      <c r="L10" s="8"/>
      <c r="M10" s="8"/>
      <c r="N10" s="8"/>
      <c r="O10" s="8"/>
      <c r="P10" s="8"/>
      <c r="Q10" s="61"/>
      <c r="R10" s="8"/>
      <c r="S10" s="5"/>
      <c r="T10" s="69"/>
      <c r="U10" s="26"/>
      <c r="V10" s="69"/>
      <c r="W10" s="26"/>
      <c r="X10" s="75"/>
      <c r="Y10" s="17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s="27" customFormat="1">
      <c r="A11" s="78">
        <v>3483</v>
      </c>
      <c r="B11" s="8">
        <v>104</v>
      </c>
      <c r="C11" s="8"/>
      <c r="D11" s="44"/>
      <c r="E11" s="44">
        <v>89</v>
      </c>
      <c r="F11" s="44"/>
      <c r="G11" s="36">
        <v>100</v>
      </c>
      <c r="H11" s="36">
        <v>30</v>
      </c>
      <c r="I11" s="8"/>
      <c r="J11" s="8"/>
      <c r="K11" s="44">
        <v>103</v>
      </c>
      <c r="L11" s="36">
        <v>100</v>
      </c>
      <c r="M11" s="36">
        <v>100</v>
      </c>
      <c r="N11" s="25">
        <v>89</v>
      </c>
      <c r="O11" s="8">
        <v>100</v>
      </c>
      <c r="P11" s="8">
        <v>100</v>
      </c>
      <c r="Q11" s="62">
        <v>592</v>
      </c>
      <c r="R11" s="39">
        <v>92</v>
      </c>
      <c r="S11" s="28"/>
      <c r="T11" s="71">
        <v>95.468571428571423</v>
      </c>
      <c r="U11" s="20" t="s">
        <v>122</v>
      </c>
      <c r="V11" s="70">
        <v>99.968571428571423</v>
      </c>
      <c r="W11" s="20" t="s">
        <v>122</v>
      </c>
      <c r="X11" s="75"/>
      <c r="Y11" s="17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spans="1:42" s="27" customFormat="1">
      <c r="A12" s="8" t="s">
        <v>21</v>
      </c>
      <c r="B12" s="8">
        <v>102</v>
      </c>
      <c r="C12" s="8"/>
      <c r="D12" s="44"/>
      <c r="E12" s="44">
        <v>60</v>
      </c>
      <c r="F12" s="44">
        <v>64</v>
      </c>
      <c r="G12" s="36">
        <v>100</v>
      </c>
      <c r="H12" s="36">
        <v>14</v>
      </c>
      <c r="I12" s="8"/>
      <c r="J12" s="8"/>
      <c r="K12" s="44">
        <v>81</v>
      </c>
      <c r="L12" s="36">
        <v>100</v>
      </c>
      <c r="M12" s="36">
        <v>0</v>
      </c>
      <c r="N12" s="25">
        <v>62</v>
      </c>
      <c r="O12" s="8">
        <v>100</v>
      </c>
      <c r="P12" s="8">
        <v>105</v>
      </c>
      <c r="Q12" s="62">
        <v>448</v>
      </c>
      <c r="R12" s="39">
        <v>102</v>
      </c>
      <c r="S12" s="17"/>
      <c r="T12" s="71">
        <v>89.624285714285719</v>
      </c>
      <c r="U12" s="20" t="s">
        <v>124</v>
      </c>
      <c r="V12" s="70">
        <v>93.324285714285722</v>
      </c>
      <c r="W12" s="20" t="s">
        <v>122</v>
      </c>
      <c r="X12" s="75"/>
      <c r="Y12" s="17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 s="27" customFormat="1">
      <c r="A13" s="8" t="s">
        <v>74</v>
      </c>
      <c r="B13" s="8">
        <v>852</v>
      </c>
      <c r="C13" s="8"/>
      <c r="D13" s="44"/>
      <c r="E13" s="44">
        <v>98</v>
      </c>
      <c r="F13" s="44"/>
      <c r="G13" s="36">
        <v>100</v>
      </c>
      <c r="H13" s="36">
        <v>27</v>
      </c>
      <c r="I13" s="8"/>
      <c r="J13" s="8"/>
      <c r="K13" s="44">
        <v>96</v>
      </c>
      <c r="L13" s="36">
        <v>100</v>
      </c>
      <c r="M13" s="36">
        <v>100</v>
      </c>
      <c r="N13" s="25">
        <v>98</v>
      </c>
      <c r="O13" s="8">
        <v>100</v>
      </c>
      <c r="P13" s="8">
        <v>89</v>
      </c>
      <c r="Q13" s="62">
        <v>583</v>
      </c>
      <c r="R13" s="39">
        <v>106</v>
      </c>
      <c r="S13" s="17"/>
      <c r="T13" s="71">
        <v>95.458571428571432</v>
      </c>
      <c r="U13" s="20" t="s">
        <v>122</v>
      </c>
      <c r="V13" s="70">
        <v>99.808571428571426</v>
      </c>
      <c r="W13" s="20" t="s">
        <v>122</v>
      </c>
      <c r="X13" s="75"/>
      <c r="Y13" s="17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spans="1:42" s="27" customFormat="1">
      <c r="A14" s="8" t="s">
        <v>37</v>
      </c>
      <c r="B14" s="8">
        <v>104</v>
      </c>
      <c r="C14" s="8"/>
      <c r="D14" s="44"/>
      <c r="E14" s="44">
        <v>92</v>
      </c>
      <c r="F14" s="44">
        <v>95</v>
      </c>
      <c r="G14" s="36">
        <v>100</v>
      </c>
      <c r="H14" s="36"/>
      <c r="I14" s="8"/>
      <c r="J14" s="8"/>
      <c r="K14" s="44">
        <v>94</v>
      </c>
      <c r="L14" s="36"/>
      <c r="M14" s="36">
        <v>0</v>
      </c>
      <c r="N14" s="25">
        <v>93.5</v>
      </c>
      <c r="O14" s="8">
        <v>100</v>
      </c>
      <c r="P14" s="8">
        <v>105</v>
      </c>
      <c r="Q14" s="62">
        <v>392.5</v>
      </c>
      <c r="R14" s="39">
        <v>106</v>
      </c>
      <c r="S14" s="28"/>
      <c r="T14" s="71">
        <v>72.678571428571431</v>
      </c>
      <c r="U14" s="20" t="s">
        <v>129</v>
      </c>
      <c r="V14" s="70">
        <v>75.678571428571431</v>
      </c>
      <c r="W14" s="20" t="s">
        <v>129</v>
      </c>
      <c r="X14" s="75"/>
      <c r="Y14" s="17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 s="27" customFormat="1">
      <c r="A15" s="8" t="s">
        <v>9</v>
      </c>
      <c r="B15" s="8">
        <v>102</v>
      </c>
      <c r="C15" s="8"/>
      <c r="D15" s="44">
        <v>99</v>
      </c>
      <c r="E15" s="44">
        <v>92</v>
      </c>
      <c r="F15" s="44">
        <v>95</v>
      </c>
      <c r="G15" s="36">
        <v>100</v>
      </c>
      <c r="H15" s="36">
        <v>30</v>
      </c>
      <c r="I15" s="8"/>
      <c r="J15" s="8"/>
      <c r="K15" s="44">
        <v>104</v>
      </c>
      <c r="L15" s="36">
        <v>100</v>
      </c>
      <c r="M15" s="36">
        <v>100</v>
      </c>
      <c r="N15" s="25">
        <v>93.5</v>
      </c>
      <c r="O15" s="8">
        <v>100</v>
      </c>
      <c r="P15" s="8">
        <v>105</v>
      </c>
      <c r="Q15" s="62">
        <v>602.5</v>
      </c>
      <c r="R15" s="39">
        <v>105</v>
      </c>
      <c r="S15" s="17"/>
      <c r="T15" s="71">
        <v>99.7</v>
      </c>
      <c r="U15" s="20" t="s">
        <v>122</v>
      </c>
      <c r="V15" s="70">
        <v>109.15</v>
      </c>
      <c r="W15" s="20" t="s">
        <v>122</v>
      </c>
      <c r="X15" s="75"/>
      <c r="Y15" s="17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 s="27" customFormat="1">
      <c r="A16" s="8" t="s">
        <v>81</v>
      </c>
      <c r="B16" s="8">
        <v>852</v>
      </c>
      <c r="C16" s="8"/>
      <c r="D16" s="44"/>
      <c r="E16" s="44">
        <v>87</v>
      </c>
      <c r="F16" s="44"/>
      <c r="G16" s="36"/>
      <c r="H16" s="36"/>
      <c r="I16" s="8"/>
      <c r="J16" s="8"/>
      <c r="K16" s="44">
        <v>83</v>
      </c>
      <c r="L16" s="36"/>
      <c r="M16" s="36">
        <v>100</v>
      </c>
      <c r="N16" s="25">
        <v>87</v>
      </c>
      <c r="O16" s="8">
        <v>100</v>
      </c>
      <c r="P16" s="8">
        <v>0</v>
      </c>
      <c r="Q16" s="62">
        <v>370</v>
      </c>
      <c r="R16" s="39">
        <v>87</v>
      </c>
      <c r="S16" s="28"/>
      <c r="T16" s="71">
        <v>43.935714285714283</v>
      </c>
      <c r="U16" s="20" t="s">
        <v>129</v>
      </c>
      <c r="V16" s="70">
        <v>43.935714285714283</v>
      </c>
      <c r="W16" s="20" t="s">
        <v>129</v>
      </c>
      <c r="X16" s="75"/>
      <c r="Y16" s="17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 s="27" customFormat="1">
      <c r="A17" s="8" t="s">
        <v>14</v>
      </c>
      <c r="B17" s="8">
        <v>102</v>
      </c>
      <c r="C17" s="8"/>
      <c r="D17" s="44"/>
      <c r="E17" s="44">
        <v>100</v>
      </c>
      <c r="F17" s="44">
        <v>100</v>
      </c>
      <c r="G17" s="36">
        <v>100</v>
      </c>
      <c r="H17" s="36">
        <v>20</v>
      </c>
      <c r="I17" s="8"/>
      <c r="J17" s="8"/>
      <c r="K17" s="44">
        <v>91</v>
      </c>
      <c r="L17" s="36">
        <v>100</v>
      </c>
      <c r="M17" s="36">
        <v>100</v>
      </c>
      <c r="N17" s="25">
        <v>100</v>
      </c>
      <c r="O17" s="8">
        <v>100</v>
      </c>
      <c r="P17" s="8">
        <v>68</v>
      </c>
      <c r="Q17" s="62">
        <v>559</v>
      </c>
      <c r="R17" s="39">
        <v>104</v>
      </c>
      <c r="S17" s="17"/>
      <c r="T17" s="71">
        <v>89.491428571428571</v>
      </c>
      <c r="U17" s="20" t="s">
        <v>124</v>
      </c>
      <c r="V17" s="70">
        <v>93.491428571428571</v>
      </c>
      <c r="W17" s="20" t="s">
        <v>122</v>
      </c>
      <c r="X17" s="75"/>
      <c r="Y17" s="17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 s="27" customFormat="1">
      <c r="A18" s="8" t="s">
        <v>44</v>
      </c>
      <c r="B18" s="8">
        <v>104</v>
      </c>
      <c r="C18" s="8"/>
      <c r="D18" s="44"/>
      <c r="E18" s="44">
        <v>87</v>
      </c>
      <c r="F18" s="44">
        <v>109</v>
      </c>
      <c r="G18" s="36">
        <v>100</v>
      </c>
      <c r="H18" s="36">
        <v>21</v>
      </c>
      <c r="I18" s="8"/>
      <c r="J18" s="8"/>
      <c r="K18" s="44">
        <v>109</v>
      </c>
      <c r="L18" s="36">
        <v>100</v>
      </c>
      <c r="M18" s="36">
        <v>50</v>
      </c>
      <c r="N18" s="25">
        <v>98</v>
      </c>
      <c r="O18" s="8">
        <v>100</v>
      </c>
      <c r="P18" s="8">
        <v>89</v>
      </c>
      <c r="Q18" s="62">
        <v>546</v>
      </c>
      <c r="R18" s="39">
        <v>85</v>
      </c>
      <c r="S18" s="17"/>
      <c r="T18" s="71">
        <v>91.768571428571434</v>
      </c>
      <c r="U18" s="20" t="s">
        <v>123</v>
      </c>
      <c r="V18" s="70">
        <v>95.818571428571431</v>
      </c>
      <c r="W18" s="20" t="s">
        <v>122</v>
      </c>
      <c r="X18" s="75"/>
      <c r="Y18" s="17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 s="27" customFormat="1">
      <c r="A19" s="8" t="s">
        <v>32</v>
      </c>
      <c r="B19" s="8">
        <v>102</v>
      </c>
      <c r="C19" s="8"/>
      <c r="D19" s="44"/>
      <c r="E19" s="44">
        <v>96</v>
      </c>
      <c r="F19" s="44">
        <v>96</v>
      </c>
      <c r="G19" s="36">
        <v>100</v>
      </c>
      <c r="H19" s="36">
        <v>30</v>
      </c>
      <c r="I19" s="8"/>
      <c r="J19" s="8"/>
      <c r="K19" s="44">
        <v>74</v>
      </c>
      <c r="L19" s="36">
        <v>100</v>
      </c>
      <c r="M19" s="36">
        <v>100</v>
      </c>
      <c r="N19" s="25">
        <v>96</v>
      </c>
      <c r="O19" s="8">
        <v>100</v>
      </c>
      <c r="P19" s="8">
        <v>68</v>
      </c>
      <c r="Q19" s="62">
        <v>538</v>
      </c>
      <c r="R19" s="39">
        <v>103</v>
      </c>
      <c r="S19" s="28"/>
      <c r="T19" s="71">
        <v>86.79285714285713</v>
      </c>
      <c r="U19" s="20" t="s">
        <v>124</v>
      </c>
      <c r="V19" s="70">
        <v>91.29285714285713</v>
      </c>
      <c r="W19" s="20" t="s">
        <v>123</v>
      </c>
      <c r="X19" s="75"/>
      <c r="Y19" s="17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 s="27" customFormat="1">
      <c r="A20" s="8" t="s">
        <v>22</v>
      </c>
      <c r="B20" s="8">
        <v>102</v>
      </c>
      <c r="C20" s="8"/>
      <c r="D20" s="44"/>
      <c r="E20" s="44">
        <v>87</v>
      </c>
      <c r="F20" s="44"/>
      <c r="G20" s="36"/>
      <c r="H20" s="36"/>
      <c r="I20" s="8"/>
      <c r="J20" s="8"/>
      <c r="K20" s="44">
        <v>92</v>
      </c>
      <c r="L20" s="36">
        <v>79</v>
      </c>
      <c r="M20" s="36">
        <v>100</v>
      </c>
      <c r="N20" s="25">
        <v>87</v>
      </c>
      <c r="O20" s="8">
        <v>100</v>
      </c>
      <c r="P20" s="8">
        <v>47</v>
      </c>
      <c r="Q20" s="62">
        <v>505</v>
      </c>
      <c r="R20" s="39">
        <v>81</v>
      </c>
      <c r="S20" s="17"/>
      <c r="T20" s="71">
        <v>73.864285714285714</v>
      </c>
      <c r="U20" s="20" t="s">
        <v>126</v>
      </c>
      <c r="V20" s="70">
        <v>73.864285714285714</v>
      </c>
      <c r="W20" s="20" t="s">
        <v>126</v>
      </c>
      <c r="X20" s="75"/>
      <c r="Y20" s="17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 s="27" customFormat="1">
      <c r="A21" s="8" t="s">
        <v>8</v>
      </c>
      <c r="B21" s="8">
        <v>102</v>
      </c>
      <c r="C21" s="8"/>
      <c r="D21" s="44"/>
      <c r="E21" s="44">
        <v>87</v>
      </c>
      <c r="F21" s="44"/>
      <c r="G21" s="36">
        <v>100</v>
      </c>
      <c r="H21" s="36"/>
      <c r="I21" s="8"/>
      <c r="J21" s="8"/>
      <c r="K21" s="44"/>
      <c r="L21" s="36"/>
      <c r="M21" s="36">
        <v>0</v>
      </c>
      <c r="N21" s="25">
        <v>87</v>
      </c>
      <c r="O21" s="8">
        <v>100</v>
      </c>
      <c r="P21" s="8">
        <v>68</v>
      </c>
      <c r="Q21" s="62">
        <v>255</v>
      </c>
      <c r="R21" s="39">
        <v>59</v>
      </c>
      <c r="S21" s="17"/>
      <c r="T21" s="71">
        <v>42.975714285714282</v>
      </c>
      <c r="U21" s="20" t="s">
        <v>129</v>
      </c>
      <c r="V21" s="70">
        <v>45.975714285714282</v>
      </c>
      <c r="W21" s="20" t="s">
        <v>129</v>
      </c>
      <c r="X21" s="75"/>
      <c r="Y21" s="17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 s="27" customFormat="1">
      <c r="A22" s="8" t="s">
        <v>73</v>
      </c>
      <c r="B22" s="8">
        <v>852</v>
      </c>
      <c r="C22" s="8"/>
      <c r="D22" s="44"/>
      <c r="E22" s="44">
        <v>97</v>
      </c>
      <c r="F22" s="44"/>
      <c r="G22" s="36"/>
      <c r="H22" s="36"/>
      <c r="I22" s="8"/>
      <c r="J22" s="8"/>
      <c r="K22" s="44">
        <v>72</v>
      </c>
      <c r="L22" s="36"/>
      <c r="M22" s="36">
        <v>0</v>
      </c>
      <c r="N22" s="25">
        <v>97</v>
      </c>
      <c r="O22" s="8">
        <v>0</v>
      </c>
      <c r="P22" s="8">
        <v>85</v>
      </c>
      <c r="Q22" s="62">
        <v>254</v>
      </c>
      <c r="R22" s="39">
        <v>87</v>
      </c>
      <c r="S22" s="17"/>
      <c r="T22" s="71">
        <v>57.065714285714286</v>
      </c>
      <c r="U22" s="20" t="s">
        <v>129</v>
      </c>
      <c r="V22" s="70">
        <v>57.065714285714286</v>
      </c>
      <c r="W22" s="20" t="s">
        <v>129</v>
      </c>
      <c r="X22" s="75"/>
      <c r="Y22" s="17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 s="27" customFormat="1">
      <c r="A23" s="8" t="s">
        <v>15</v>
      </c>
      <c r="B23" s="8">
        <v>102</v>
      </c>
      <c r="C23" s="8"/>
      <c r="D23" s="44"/>
      <c r="E23" s="44">
        <v>92</v>
      </c>
      <c r="F23" s="44">
        <v>95</v>
      </c>
      <c r="G23" s="36">
        <v>100</v>
      </c>
      <c r="H23" s="36">
        <v>20</v>
      </c>
      <c r="I23" s="8"/>
      <c r="J23" s="8"/>
      <c r="K23" s="44">
        <v>99</v>
      </c>
      <c r="L23" s="36">
        <v>100</v>
      </c>
      <c r="M23" s="36">
        <v>0</v>
      </c>
      <c r="N23" s="25">
        <v>93.5</v>
      </c>
      <c r="O23" s="8">
        <v>100</v>
      </c>
      <c r="P23" s="8">
        <v>47</v>
      </c>
      <c r="Q23" s="62">
        <v>439.5</v>
      </c>
      <c r="R23" s="39">
        <v>102</v>
      </c>
      <c r="S23" s="17"/>
      <c r="T23" s="71">
        <v>81.064285714285717</v>
      </c>
      <c r="U23" s="20" t="s">
        <v>124</v>
      </c>
      <c r="V23" s="70">
        <v>85.064285714285717</v>
      </c>
      <c r="W23" s="20" t="s">
        <v>124</v>
      </c>
      <c r="X23" s="75"/>
      <c r="Y23" s="1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 s="27" customFormat="1">
      <c r="A24" s="8" t="s">
        <v>39</v>
      </c>
      <c r="B24" s="8">
        <v>104</v>
      </c>
      <c r="C24" s="8"/>
      <c r="D24" s="44"/>
      <c r="E24" s="44">
        <v>96</v>
      </c>
      <c r="F24" s="44">
        <v>96</v>
      </c>
      <c r="G24" s="36">
        <v>100</v>
      </c>
      <c r="H24" s="36"/>
      <c r="I24" s="8"/>
      <c r="J24" s="8"/>
      <c r="K24" s="44">
        <v>93</v>
      </c>
      <c r="L24" s="36"/>
      <c r="M24" s="36">
        <v>100</v>
      </c>
      <c r="N24" s="25">
        <v>96</v>
      </c>
      <c r="O24" s="8">
        <v>100</v>
      </c>
      <c r="P24" s="8">
        <v>68</v>
      </c>
      <c r="Q24" s="62">
        <v>457</v>
      </c>
      <c r="R24" s="39">
        <v>97</v>
      </c>
      <c r="S24" s="17"/>
      <c r="T24" s="71">
        <v>65.001428571428576</v>
      </c>
      <c r="U24" s="20" t="s">
        <v>129</v>
      </c>
      <c r="V24" s="70">
        <v>68.001428571428576</v>
      </c>
      <c r="W24" s="20" t="s">
        <v>129</v>
      </c>
      <c r="X24" s="75"/>
      <c r="Y24" s="17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 s="27" customFormat="1">
      <c r="A25" s="8" t="s">
        <v>20</v>
      </c>
      <c r="B25" s="8">
        <v>102</v>
      </c>
      <c r="C25" s="8"/>
      <c r="D25" s="44"/>
      <c r="E25" s="44">
        <v>60</v>
      </c>
      <c r="F25" s="44">
        <v>64</v>
      </c>
      <c r="G25" s="36">
        <v>100</v>
      </c>
      <c r="H25" s="36">
        <v>24</v>
      </c>
      <c r="I25" s="8"/>
      <c r="J25" s="8"/>
      <c r="K25" s="44">
        <v>87</v>
      </c>
      <c r="L25" s="36">
        <v>100</v>
      </c>
      <c r="M25" s="36">
        <v>0</v>
      </c>
      <c r="N25" s="25">
        <v>62</v>
      </c>
      <c r="O25" s="8">
        <v>100</v>
      </c>
      <c r="P25" s="8">
        <v>105</v>
      </c>
      <c r="Q25" s="62">
        <v>454</v>
      </c>
      <c r="R25" s="39">
        <v>105</v>
      </c>
      <c r="S25" s="17"/>
      <c r="T25" s="71">
        <v>90.88</v>
      </c>
      <c r="U25" s="20" t="s">
        <v>123</v>
      </c>
      <c r="V25" s="70">
        <v>95.08</v>
      </c>
      <c r="W25" s="20" t="s">
        <v>122</v>
      </c>
      <c r="X25" s="75"/>
      <c r="Y25" s="17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 s="27" customFormat="1">
      <c r="A26" s="8" t="s">
        <v>31</v>
      </c>
      <c r="B26" s="8">
        <v>102</v>
      </c>
      <c r="C26" s="8"/>
      <c r="D26" s="44"/>
      <c r="E26" s="44">
        <v>93</v>
      </c>
      <c r="F26" s="44"/>
      <c r="G26" s="36">
        <v>100</v>
      </c>
      <c r="H26" s="36">
        <v>30</v>
      </c>
      <c r="I26" s="8"/>
      <c r="J26" s="8"/>
      <c r="K26" s="44">
        <v>83</v>
      </c>
      <c r="L26" s="36">
        <v>100</v>
      </c>
      <c r="M26" s="36">
        <v>100</v>
      </c>
      <c r="N26" s="25">
        <v>93</v>
      </c>
      <c r="O26" s="8">
        <v>100</v>
      </c>
      <c r="P26" s="8">
        <v>89</v>
      </c>
      <c r="Q26" s="62">
        <v>565</v>
      </c>
      <c r="R26" s="39">
        <v>75</v>
      </c>
      <c r="S26" s="28"/>
      <c r="T26" s="71">
        <v>87.762857142857143</v>
      </c>
      <c r="U26" s="20" t="s">
        <v>124</v>
      </c>
      <c r="V26" s="70">
        <v>92.262857142857143</v>
      </c>
      <c r="W26" s="20" t="s">
        <v>123</v>
      </c>
      <c r="X26" s="75"/>
      <c r="Y26" s="17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 s="27" customFormat="1">
      <c r="A27" s="8" t="s">
        <v>80</v>
      </c>
      <c r="B27" s="8">
        <v>852</v>
      </c>
      <c r="C27" s="8"/>
      <c r="D27" s="44"/>
      <c r="E27" s="44">
        <v>90</v>
      </c>
      <c r="F27" s="44">
        <v>90</v>
      </c>
      <c r="G27" s="36"/>
      <c r="H27" s="36"/>
      <c r="I27" s="8"/>
      <c r="J27" s="8"/>
      <c r="K27" s="44">
        <v>79</v>
      </c>
      <c r="L27" s="36">
        <v>96</v>
      </c>
      <c r="M27" s="36">
        <v>0</v>
      </c>
      <c r="N27" s="25">
        <v>90</v>
      </c>
      <c r="O27" s="8">
        <v>100</v>
      </c>
      <c r="P27" s="8">
        <v>88</v>
      </c>
      <c r="Q27" s="62">
        <v>453</v>
      </c>
      <c r="R27" s="39">
        <v>91</v>
      </c>
      <c r="S27" s="28"/>
      <c r="T27" s="71">
        <v>85.61</v>
      </c>
      <c r="U27" s="20" t="s">
        <v>124</v>
      </c>
      <c r="V27" s="70">
        <v>85.61</v>
      </c>
      <c r="W27" s="20" t="s">
        <v>124</v>
      </c>
      <c r="X27" s="75"/>
      <c r="Y27" s="17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 s="27" customFormat="1">
      <c r="A28" s="8" t="s">
        <v>34</v>
      </c>
      <c r="B28" s="8">
        <v>102</v>
      </c>
      <c r="C28" s="8"/>
      <c r="D28" s="44"/>
      <c r="E28" s="44">
        <v>92</v>
      </c>
      <c r="F28" s="44">
        <v>95</v>
      </c>
      <c r="G28" s="36">
        <v>100</v>
      </c>
      <c r="H28" s="36">
        <v>20</v>
      </c>
      <c r="I28" s="8"/>
      <c r="J28" s="8"/>
      <c r="K28" s="44">
        <v>87</v>
      </c>
      <c r="L28" s="36">
        <v>100</v>
      </c>
      <c r="M28" s="36">
        <v>100</v>
      </c>
      <c r="N28" s="25">
        <v>93.5</v>
      </c>
      <c r="O28" s="8">
        <v>100</v>
      </c>
      <c r="P28" s="8">
        <v>100</v>
      </c>
      <c r="Q28" s="62">
        <v>580.5</v>
      </c>
      <c r="R28" s="39">
        <v>104</v>
      </c>
      <c r="S28" s="28"/>
      <c r="T28" s="71">
        <v>96.231428571428566</v>
      </c>
      <c r="U28" s="20" t="s">
        <v>122</v>
      </c>
      <c r="V28" s="70">
        <v>100.23142857142857</v>
      </c>
      <c r="W28" s="20" t="s">
        <v>122</v>
      </c>
      <c r="X28" s="75"/>
      <c r="Y28" s="17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 s="27" customFormat="1">
      <c r="A29" s="8" t="s">
        <v>82</v>
      </c>
      <c r="B29" s="8">
        <v>852</v>
      </c>
      <c r="C29" s="8"/>
      <c r="D29" s="44"/>
      <c r="E29" s="44"/>
      <c r="F29" s="44"/>
      <c r="G29" s="36"/>
      <c r="H29" s="36">
        <v>8</v>
      </c>
      <c r="I29" s="8"/>
      <c r="J29" s="8"/>
      <c r="K29" s="44">
        <v>86</v>
      </c>
      <c r="L29" s="36">
        <v>100</v>
      </c>
      <c r="M29" s="36">
        <v>100</v>
      </c>
      <c r="N29" s="25">
        <v>0</v>
      </c>
      <c r="O29" s="8">
        <v>0</v>
      </c>
      <c r="P29" s="8">
        <v>85</v>
      </c>
      <c r="Q29" s="62">
        <v>371</v>
      </c>
      <c r="R29" s="39">
        <v>94</v>
      </c>
      <c r="S29" s="28"/>
      <c r="T29" s="71">
        <v>74.355714285714285</v>
      </c>
      <c r="U29" s="20" t="s">
        <v>129</v>
      </c>
      <c r="V29" s="70">
        <v>74.755714285714291</v>
      </c>
      <c r="W29" s="20" t="s">
        <v>129</v>
      </c>
      <c r="X29" s="75"/>
      <c r="Y29" s="17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 s="27" customFormat="1">
      <c r="A30" s="8" t="s">
        <v>52</v>
      </c>
      <c r="B30" s="8">
        <v>104</v>
      </c>
      <c r="C30" s="8"/>
      <c r="D30" s="44"/>
      <c r="E30" s="44">
        <v>103</v>
      </c>
      <c r="F30" s="44"/>
      <c r="G30" s="36">
        <v>100</v>
      </c>
      <c r="H30" s="36">
        <v>30</v>
      </c>
      <c r="I30" s="8"/>
      <c r="J30" s="8"/>
      <c r="K30" s="44"/>
      <c r="L30" s="36">
        <v>100</v>
      </c>
      <c r="M30" s="36">
        <v>100</v>
      </c>
      <c r="N30" s="25">
        <v>103</v>
      </c>
      <c r="O30" s="8">
        <v>100</v>
      </c>
      <c r="P30" s="8">
        <v>78</v>
      </c>
      <c r="Q30" s="62">
        <v>481</v>
      </c>
      <c r="R30" s="39">
        <v>68</v>
      </c>
      <c r="S30" s="17"/>
      <c r="T30" s="71">
        <v>75.002857142857138</v>
      </c>
      <c r="U30" s="20" t="s">
        <v>129</v>
      </c>
      <c r="V30" s="70">
        <v>79.502857142857138</v>
      </c>
      <c r="W30" s="20" t="s">
        <v>129</v>
      </c>
      <c r="X30" s="75"/>
      <c r="Y30" s="17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 s="27" customFormat="1">
      <c r="A31" s="8" t="s">
        <v>36</v>
      </c>
      <c r="B31" s="8">
        <v>104</v>
      </c>
      <c r="C31" s="8"/>
      <c r="D31" s="44"/>
      <c r="E31" s="44">
        <v>87</v>
      </c>
      <c r="F31" s="44"/>
      <c r="G31" s="36">
        <v>100</v>
      </c>
      <c r="H31" s="36"/>
      <c r="I31" s="8"/>
      <c r="J31" s="8"/>
      <c r="K31" s="44">
        <v>82</v>
      </c>
      <c r="L31" s="36">
        <v>100</v>
      </c>
      <c r="M31" s="36">
        <v>20</v>
      </c>
      <c r="N31" s="25">
        <v>87</v>
      </c>
      <c r="O31" s="8">
        <v>100</v>
      </c>
      <c r="P31" s="8">
        <v>68</v>
      </c>
      <c r="Q31" s="62">
        <v>457</v>
      </c>
      <c r="R31" s="39">
        <v>102</v>
      </c>
      <c r="S31" s="28"/>
      <c r="T31" s="71">
        <v>84.094285714285718</v>
      </c>
      <c r="U31" s="20" t="s">
        <v>124</v>
      </c>
      <c r="V31" s="70">
        <v>87.094285714285718</v>
      </c>
      <c r="W31" s="20" t="s">
        <v>124</v>
      </c>
      <c r="X31" s="75"/>
      <c r="Y31" s="17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 s="27" customFormat="1">
      <c r="A32" s="8" t="s">
        <v>26</v>
      </c>
      <c r="B32" s="8">
        <v>102</v>
      </c>
      <c r="C32" s="8"/>
      <c r="D32" s="44"/>
      <c r="E32" s="44">
        <v>93</v>
      </c>
      <c r="F32" s="44"/>
      <c r="G32" s="36">
        <v>100</v>
      </c>
      <c r="H32" s="36">
        <v>26</v>
      </c>
      <c r="I32" s="8"/>
      <c r="J32" s="8"/>
      <c r="K32" s="44">
        <v>77</v>
      </c>
      <c r="L32" s="36">
        <v>100</v>
      </c>
      <c r="M32" s="36">
        <v>100</v>
      </c>
      <c r="N32" s="25">
        <v>93</v>
      </c>
      <c r="O32" s="8">
        <v>100</v>
      </c>
      <c r="P32" s="8">
        <v>89</v>
      </c>
      <c r="Q32" s="62">
        <v>559</v>
      </c>
      <c r="R32" s="39">
        <v>86</v>
      </c>
      <c r="S32" s="17"/>
      <c r="T32" s="71">
        <v>89.007142857142867</v>
      </c>
      <c r="U32" s="20" t="s">
        <v>124</v>
      </c>
      <c r="V32" s="70">
        <v>93.307142857142864</v>
      </c>
      <c r="W32" s="20" t="s">
        <v>122</v>
      </c>
      <c r="X32" s="75"/>
      <c r="Y32" s="17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 s="27" customFormat="1">
      <c r="A33" s="8" t="s">
        <v>43</v>
      </c>
      <c r="B33" s="8">
        <v>104</v>
      </c>
      <c r="C33" s="8"/>
      <c r="D33" s="44"/>
      <c r="E33" s="44">
        <v>96</v>
      </c>
      <c r="F33" s="44">
        <v>96</v>
      </c>
      <c r="G33" s="36"/>
      <c r="H33" s="36">
        <v>12</v>
      </c>
      <c r="I33" s="8">
        <v>5</v>
      </c>
      <c r="J33" s="8"/>
      <c r="K33" s="44">
        <v>64</v>
      </c>
      <c r="L33" s="36">
        <v>100</v>
      </c>
      <c r="M33" s="36">
        <v>0</v>
      </c>
      <c r="N33" s="25">
        <v>96</v>
      </c>
      <c r="O33" s="8">
        <v>100</v>
      </c>
      <c r="P33" s="8">
        <v>68</v>
      </c>
      <c r="Q33" s="62">
        <v>428</v>
      </c>
      <c r="R33" s="39">
        <v>0</v>
      </c>
      <c r="S33" s="17"/>
      <c r="T33" s="71">
        <v>64.2</v>
      </c>
      <c r="U33" s="20" t="s">
        <v>127</v>
      </c>
      <c r="V33" s="70">
        <v>59.8</v>
      </c>
      <c r="W33" s="20" t="s">
        <v>128</v>
      </c>
      <c r="X33" s="75"/>
      <c r="Y33" s="17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 s="27" customFormat="1">
      <c r="A34" s="8" t="s">
        <v>19</v>
      </c>
      <c r="B34" s="8">
        <v>102</v>
      </c>
      <c r="C34" s="8"/>
      <c r="D34" s="44">
        <v>53</v>
      </c>
      <c r="E34" s="44">
        <v>96</v>
      </c>
      <c r="F34" s="44">
        <v>96</v>
      </c>
      <c r="G34" s="36">
        <v>100</v>
      </c>
      <c r="H34" s="36">
        <v>30</v>
      </c>
      <c r="I34" s="8"/>
      <c r="J34" s="8"/>
      <c r="K34" s="44">
        <v>81</v>
      </c>
      <c r="L34" s="36">
        <v>100</v>
      </c>
      <c r="M34" s="36">
        <v>100</v>
      </c>
      <c r="N34" s="25">
        <v>96</v>
      </c>
      <c r="O34" s="8">
        <v>100</v>
      </c>
      <c r="P34" s="8">
        <v>68</v>
      </c>
      <c r="Q34" s="62">
        <v>545</v>
      </c>
      <c r="R34" s="39">
        <v>97</v>
      </c>
      <c r="S34" s="17"/>
      <c r="T34" s="71">
        <v>86.561428571428564</v>
      </c>
      <c r="U34" s="20" t="s">
        <v>124</v>
      </c>
      <c r="V34" s="70">
        <v>93.71142857142857</v>
      </c>
      <c r="W34" s="20" t="s">
        <v>122</v>
      </c>
      <c r="X34" s="75"/>
      <c r="Y34" s="17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 s="27" customFormat="1">
      <c r="A35" s="8" t="s">
        <v>64</v>
      </c>
      <c r="B35" s="8">
        <v>852</v>
      </c>
      <c r="C35" s="8"/>
      <c r="D35" s="44"/>
      <c r="E35" s="44">
        <v>66</v>
      </c>
      <c r="F35" s="44">
        <v>79</v>
      </c>
      <c r="G35" s="36"/>
      <c r="H35" s="36"/>
      <c r="I35" s="8"/>
      <c r="J35" s="8"/>
      <c r="K35" s="44">
        <v>64</v>
      </c>
      <c r="L35" s="36"/>
      <c r="M35" s="36">
        <v>0</v>
      </c>
      <c r="N35" s="25">
        <v>72.5</v>
      </c>
      <c r="O35" s="8">
        <v>0</v>
      </c>
      <c r="P35" s="8">
        <v>100</v>
      </c>
      <c r="Q35" s="62">
        <v>236.5</v>
      </c>
      <c r="R35" s="39">
        <v>95</v>
      </c>
      <c r="S35" s="17"/>
      <c r="T35" s="71">
        <v>58.344285714285711</v>
      </c>
      <c r="U35" s="20" t="s">
        <v>129</v>
      </c>
      <c r="V35" s="70">
        <v>58.344285714285711</v>
      </c>
      <c r="W35" s="20" t="s">
        <v>129</v>
      </c>
      <c r="X35" s="75"/>
      <c r="Y35" s="17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 s="27" customFormat="1">
      <c r="A36" s="8" t="s">
        <v>53</v>
      </c>
      <c r="B36" s="8">
        <v>104</v>
      </c>
      <c r="C36" s="8"/>
      <c r="D36" s="44"/>
      <c r="E36" s="44">
        <v>92</v>
      </c>
      <c r="F36" s="44">
        <v>95</v>
      </c>
      <c r="G36" s="36">
        <v>100</v>
      </c>
      <c r="H36" s="36"/>
      <c r="I36" s="8"/>
      <c r="J36" s="8"/>
      <c r="K36" s="44">
        <v>53</v>
      </c>
      <c r="L36" s="36"/>
      <c r="M36" s="36">
        <v>100</v>
      </c>
      <c r="N36" s="25">
        <v>93.5</v>
      </c>
      <c r="O36" s="8">
        <v>100</v>
      </c>
      <c r="P36" s="8">
        <v>47</v>
      </c>
      <c r="Q36" s="62">
        <v>393.5</v>
      </c>
      <c r="R36" s="39">
        <v>107</v>
      </c>
      <c r="S36" s="17"/>
      <c r="T36" s="71">
        <v>56.437142857142859</v>
      </c>
      <c r="U36" s="20" t="s">
        <v>129</v>
      </c>
      <c r="V36" s="70">
        <v>59.437142857142859</v>
      </c>
      <c r="W36" s="20" t="s">
        <v>129</v>
      </c>
      <c r="X36" s="75"/>
      <c r="Y36" s="17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 s="27" customFormat="1">
      <c r="A37" s="8" t="s">
        <v>66</v>
      </c>
      <c r="B37" s="8">
        <v>852</v>
      </c>
      <c r="C37" s="8"/>
      <c r="D37" s="44">
        <v>45</v>
      </c>
      <c r="E37" s="44">
        <v>103</v>
      </c>
      <c r="F37" s="44"/>
      <c r="G37" s="36">
        <v>100</v>
      </c>
      <c r="H37" s="36">
        <v>18</v>
      </c>
      <c r="I37" s="8"/>
      <c r="J37" s="8"/>
      <c r="K37" s="44">
        <v>44</v>
      </c>
      <c r="L37" s="36">
        <v>100</v>
      </c>
      <c r="M37" s="36">
        <v>0</v>
      </c>
      <c r="N37" s="25">
        <v>103</v>
      </c>
      <c r="O37" s="8">
        <v>100</v>
      </c>
      <c r="P37" s="8">
        <v>78</v>
      </c>
      <c r="Q37" s="62">
        <v>425</v>
      </c>
      <c r="R37" s="39">
        <v>64</v>
      </c>
      <c r="S37" s="17"/>
      <c r="T37" s="71">
        <v>76.568571428571431</v>
      </c>
      <c r="U37" s="20" t="s">
        <v>125</v>
      </c>
      <c r="V37" s="70">
        <v>82.718571428571437</v>
      </c>
      <c r="W37" s="20" t="s">
        <v>124</v>
      </c>
      <c r="X37" s="75"/>
      <c r="Y37" s="17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 s="27" customFormat="1">
      <c r="A38" s="8" t="s">
        <v>41</v>
      </c>
      <c r="B38" s="8">
        <v>104</v>
      </c>
      <c r="C38" s="8"/>
      <c r="D38" s="44"/>
      <c r="E38" s="44">
        <v>87</v>
      </c>
      <c r="F38" s="44">
        <v>109</v>
      </c>
      <c r="G38" s="36">
        <v>100</v>
      </c>
      <c r="H38" s="36">
        <v>30</v>
      </c>
      <c r="I38" s="8"/>
      <c r="J38" s="8"/>
      <c r="K38" s="44">
        <v>90</v>
      </c>
      <c r="L38" s="36">
        <v>100</v>
      </c>
      <c r="M38" s="36">
        <v>0</v>
      </c>
      <c r="N38" s="25">
        <v>98</v>
      </c>
      <c r="O38" s="8">
        <v>100</v>
      </c>
      <c r="P38" s="8">
        <v>89</v>
      </c>
      <c r="Q38" s="62">
        <v>477</v>
      </c>
      <c r="R38" s="39">
        <v>109</v>
      </c>
      <c r="S38" s="17"/>
      <c r="T38" s="71">
        <v>92.274285714285725</v>
      </c>
      <c r="U38" s="20" t="s">
        <v>123</v>
      </c>
      <c r="V38" s="70">
        <v>96.774285714285725</v>
      </c>
      <c r="W38" s="20" t="s">
        <v>122</v>
      </c>
      <c r="X38" s="75"/>
      <c r="Y38" s="17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 s="27" customFormat="1">
      <c r="A39" s="8" t="s">
        <v>24</v>
      </c>
      <c r="B39" s="8">
        <v>102</v>
      </c>
      <c r="C39" s="8"/>
      <c r="D39" s="44"/>
      <c r="E39" s="44">
        <v>98</v>
      </c>
      <c r="F39" s="44"/>
      <c r="G39" s="36">
        <v>100</v>
      </c>
      <c r="H39" s="36">
        <v>23</v>
      </c>
      <c r="I39" s="8"/>
      <c r="J39" s="8"/>
      <c r="K39" s="44">
        <v>87</v>
      </c>
      <c r="L39" s="36">
        <v>100</v>
      </c>
      <c r="M39" s="36">
        <v>0</v>
      </c>
      <c r="N39" s="25">
        <v>98</v>
      </c>
      <c r="O39" s="8">
        <v>100</v>
      </c>
      <c r="P39" s="8">
        <v>89</v>
      </c>
      <c r="Q39" s="62">
        <v>474</v>
      </c>
      <c r="R39" s="39">
        <v>103</v>
      </c>
      <c r="S39" s="17"/>
      <c r="T39" s="71">
        <v>90.842857142857127</v>
      </c>
      <c r="U39" s="20" t="s">
        <v>123</v>
      </c>
      <c r="V39" s="70">
        <v>94.992857142857133</v>
      </c>
      <c r="W39" s="20" t="s">
        <v>122</v>
      </c>
      <c r="X39" s="75"/>
      <c r="Y39" s="17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 s="27" customFormat="1">
      <c r="A40" s="8" t="s">
        <v>29</v>
      </c>
      <c r="B40" s="8">
        <v>102</v>
      </c>
      <c r="C40" s="8"/>
      <c r="D40" s="44"/>
      <c r="E40" s="44">
        <v>100</v>
      </c>
      <c r="F40" s="44">
        <v>100</v>
      </c>
      <c r="G40" s="36"/>
      <c r="H40" s="36"/>
      <c r="I40" s="8"/>
      <c r="J40" s="8"/>
      <c r="K40" s="44">
        <v>105</v>
      </c>
      <c r="L40" s="36"/>
      <c r="M40" s="36">
        <v>0</v>
      </c>
      <c r="N40" s="25">
        <v>100</v>
      </c>
      <c r="O40" s="8">
        <v>100</v>
      </c>
      <c r="P40" s="8">
        <v>88</v>
      </c>
      <c r="Q40" s="62">
        <v>393</v>
      </c>
      <c r="R40" s="39"/>
      <c r="S40" s="17"/>
      <c r="T40" s="71">
        <v>51.6</v>
      </c>
      <c r="U40" s="20" t="s">
        <v>129</v>
      </c>
      <c r="V40" s="70">
        <v>51.6</v>
      </c>
      <c r="W40" s="20" t="s">
        <v>129</v>
      </c>
      <c r="X40" s="75"/>
      <c r="Y40" s="17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 s="27" customFormat="1">
      <c r="A41" s="8" t="s">
        <v>33</v>
      </c>
      <c r="B41" s="8">
        <v>102</v>
      </c>
      <c r="C41" s="8"/>
      <c r="D41" s="44"/>
      <c r="E41" s="44">
        <v>93</v>
      </c>
      <c r="F41" s="44"/>
      <c r="G41" s="36">
        <v>100</v>
      </c>
      <c r="H41" s="36"/>
      <c r="I41" s="8"/>
      <c r="J41" s="8"/>
      <c r="K41" s="44">
        <v>90</v>
      </c>
      <c r="L41" s="36"/>
      <c r="M41" s="36">
        <v>100</v>
      </c>
      <c r="N41" s="25">
        <v>93</v>
      </c>
      <c r="O41" s="8">
        <v>100</v>
      </c>
      <c r="P41" s="8">
        <v>89</v>
      </c>
      <c r="Q41" s="62">
        <v>472</v>
      </c>
      <c r="R41" s="39">
        <v>93</v>
      </c>
      <c r="S41" s="28"/>
      <c r="T41" s="71">
        <v>68.817142857142855</v>
      </c>
      <c r="U41" s="20" t="s">
        <v>129</v>
      </c>
      <c r="V41" s="70">
        <v>71.817142857142855</v>
      </c>
      <c r="W41" s="20" t="s">
        <v>129</v>
      </c>
      <c r="X41" s="75"/>
      <c r="Y41" s="17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 s="27" customFormat="1">
      <c r="A42" s="8" t="s">
        <v>86</v>
      </c>
      <c r="B42" s="8">
        <v>852</v>
      </c>
      <c r="C42" s="8"/>
      <c r="D42" s="44"/>
      <c r="E42" s="44">
        <v>97</v>
      </c>
      <c r="F42" s="44">
        <v>82</v>
      </c>
      <c r="G42" s="36"/>
      <c r="H42" s="36"/>
      <c r="I42" s="8"/>
      <c r="J42" s="8"/>
      <c r="K42" s="44">
        <v>84</v>
      </c>
      <c r="L42" s="36">
        <v>42</v>
      </c>
      <c r="M42" s="36">
        <v>100</v>
      </c>
      <c r="N42" s="25">
        <v>89.5</v>
      </c>
      <c r="O42" s="8">
        <v>0</v>
      </c>
      <c r="P42" s="8">
        <v>0</v>
      </c>
      <c r="Q42" s="62">
        <v>315.5</v>
      </c>
      <c r="R42" s="39">
        <v>102</v>
      </c>
      <c r="S42" s="28"/>
      <c r="T42" s="71">
        <v>51.694285714285719</v>
      </c>
      <c r="U42" s="20" t="s">
        <v>129</v>
      </c>
      <c r="V42" s="70">
        <v>51.694285714285719</v>
      </c>
      <c r="W42" s="20" t="s">
        <v>129</v>
      </c>
      <c r="X42" s="75"/>
      <c r="Y42" s="17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 s="27" customFormat="1">
      <c r="A43" s="8" t="s">
        <v>61</v>
      </c>
      <c r="B43" s="8">
        <v>852</v>
      </c>
      <c r="C43" s="8"/>
      <c r="D43" s="44"/>
      <c r="E43" s="44">
        <v>77</v>
      </c>
      <c r="F43" s="44">
        <v>95</v>
      </c>
      <c r="G43" s="36"/>
      <c r="H43" s="36">
        <v>10</v>
      </c>
      <c r="I43" s="8"/>
      <c r="J43" s="8"/>
      <c r="K43" s="44">
        <v>100</v>
      </c>
      <c r="L43" s="36">
        <v>98</v>
      </c>
      <c r="M43" s="36">
        <v>100</v>
      </c>
      <c r="N43" s="25">
        <v>86</v>
      </c>
      <c r="O43" s="8">
        <v>100</v>
      </c>
      <c r="P43" s="8">
        <v>115</v>
      </c>
      <c r="Q43" s="62">
        <v>599</v>
      </c>
      <c r="R43" s="39">
        <v>105</v>
      </c>
      <c r="S43" s="28"/>
      <c r="T43" s="71">
        <v>100.36</v>
      </c>
      <c r="U43" s="20" t="s">
        <v>122</v>
      </c>
      <c r="V43" s="70">
        <v>100.86</v>
      </c>
      <c r="W43" s="20" t="s">
        <v>122</v>
      </c>
      <c r="X43" s="75"/>
      <c r="Y43" s="17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 s="27" customFormat="1">
      <c r="A44" s="8" t="s">
        <v>78</v>
      </c>
      <c r="B44" s="8">
        <v>852</v>
      </c>
      <c r="C44" s="8"/>
      <c r="D44" s="44"/>
      <c r="E44" s="44">
        <v>86</v>
      </c>
      <c r="F44" s="44">
        <v>88</v>
      </c>
      <c r="G44" s="36">
        <v>100</v>
      </c>
      <c r="H44" s="36"/>
      <c r="I44" s="8"/>
      <c r="J44" s="8"/>
      <c r="K44" s="44"/>
      <c r="L44" s="36"/>
      <c r="M44" s="36">
        <v>100</v>
      </c>
      <c r="N44" s="25">
        <v>87</v>
      </c>
      <c r="O44" s="8">
        <v>75</v>
      </c>
      <c r="P44" s="8">
        <v>100</v>
      </c>
      <c r="Q44" s="62">
        <v>362</v>
      </c>
      <c r="R44" s="39">
        <v>65</v>
      </c>
      <c r="S44" s="28"/>
      <c r="T44" s="71">
        <v>53.797142857142859</v>
      </c>
      <c r="U44" s="20" t="s">
        <v>129</v>
      </c>
      <c r="V44" s="70">
        <v>56.797142857142859</v>
      </c>
      <c r="W44" s="20" t="s">
        <v>129</v>
      </c>
      <c r="X44" s="75"/>
      <c r="Y44" s="17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 s="27" customFormat="1">
      <c r="A45" s="8" t="s">
        <v>71</v>
      </c>
      <c r="B45" s="8">
        <v>852</v>
      </c>
      <c r="C45" s="8"/>
      <c r="D45" s="44"/>
      <c r="E45" s="44">
        <v>90</v>
      </c>
      <c r="F45" s="44">
        <v>90</v>
      </c>
      <c r="G45" s="36">
        <v>100</v>
      </c>
      <c r="H45" s="36">
        <v>26</v>
      </c>
      <c r="I45" s="8"/>
      <c r="J45" s="8"/>
      <c r="K45" s="44">
        <v>89</v>
      </c>
      <c r="L45" s="36">
        <v>100</v>
      </c>
      <c r="M45" s="36">
        <v>100</v>
      </c>
      <c r="N45" s="25">
        <v>90</v>
      </c>
      <c r="O45" s="8">
        <v>100</v>
      </c>
      <c r="P45" s="8">
        <v>88</v>
      </c>
      <c r="Q45" s="62">
        <v>567</v>
      </c>
      <c r="R45" s="39">
        <v>114</v>
      </c>
      <c r="S45" s="17"/>
      <c r="T45" s="71">
        <v>94.837142857142851</v>
      </c>
      <c r="U45" s="20" t="s">
        <v>122</v>
      </c>
      <c r="V45" s="70">
        <v>99.137142857142848</v>
      </c>
      <c r="W45" s="20" t="s">
        <v>122</v>
      </c>
      <c r="X45" s="75"/>
      <c r="Y45" s="17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 s="27" customFormat="1">
      <c r="A46" s="8" t="s">
        <v>88</v>
      </c>
      <c r="B46" s="8">
        <v>852</v>
      </c>
      <c r="C46" s="8"/>
      <c r="D46" s="44"/>
      <c r="E46" s="44"/>
      <c r="F46" s="44"/>
      <c r="G46" s="36"/>
      <c r="H46" s="36"/>
      <c r="I46" s="8"/>
      <c r="J46" s="8"/>
      <c r="K46" s="44">
        <v>90</v>
      </c>
      <c r="L46" s="36"/>
      <c r="M46" s="36">
        <v>0</v>
      </c>
      <c r="N46" s="25">
        <v>0</v>
      </c>
      <c r="O46" s="8">
        <v>100</v>
      </c>
      <c r="P46" s="8">
        <v>0</v>
      </c>
      <c r="Q46" s="62">
        <v>190</v>
      </c>
      <c r="R46" s="39">
        <v>103</v>
      </c>
      <c r="S46" s="17"/>
      <c r="T46" s="71">
        <v>34.192857142857143</v>
      </c>
      <c r="U46" s="20" t="s">
        <v>129</v>
      </c>
      <c r="V46" s="70">
        <v>34.192857142857143</v>
      </c>
      <c r="W46" s="20" t="s">
        <v>129</v>
      </c>
      <c r="X46" s="75"/>
      <c r="Y46" s="17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 s="27" customFormat="1">
      <c r="A47" s="8" t="s">
        <v>77</v>
      </c>
      <c r="B47" s="8">
        <v>852</v>
      </c>
      <c r="C47" s="8"/>
      <c r="D47" s="44"/>
      <c r="E47" s="44">
        <v>77</v>
      </c>
      <c r="F47" s="44">
        <v>95</v>
      </c>
      <c r="G47" s="36"/>
      <c r="H47" s="36"/>
      <c r="I47" s="8"/>
      <c r="J47" s="8"/>
      <c r="K47" s="44">
        <v>73</v>
      </c>
      <c r="L47" s="36"/>
      <c r="M47" s="36">
        <v>0</v>
      </c>
      <c r="N47" s="25">
        <v>86</v>
      </c>
      <c r="O47" s="8">
        <v>100</v>
      </c>
      <c r="P47" s="8">
        <v>85</v>
      </c>
      <c r="Q47" s="62">
        <v>344</v>
      </c>
      <c r="R47" s="39">
        <v>59</v>
      </c>
      <c r="S47" s="17"/>
      <c r="T47" s="71">
        <v>55.865714285714283</v>
      </c>
      <c r="U47" s="20" t="s">
        <v>129</v>
      </c>
      <c r="V47" s="70">
        <v>55.865714285714283</v>
      </c>
      <c r="W47" s="20" t="s">
        <v>129</v>
      </c>
      <c r="X47" s="75"/>
      <c r="Y47" s="17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spans="1:42" s="27" customFormat="1">
      <c r="A48" s="8" t="s">
        <v>48</v>
      </c>
      <c r="B48" s="8">
        <v>104</v>
      </c>
      <c r="C48" s="8"/>
      <c r="D48" s="44"/>
      <c r="E48" s="44">
        <v>60</v>
      </c>
      <c r="F48" s="44">
        <v>64</v>
      </c>
      <c r="G48" s="36">
        <v>100</v>
      </c>
      <c r="H48" s="36">
        <v>30</v>
      </c>
      <c r="I48" s="8"/>
      <c r="J48" s="8"/>
      <c r="K48" s="44">
        <v>88</v>
      </c>
      <c r="L48" s="36">
        <v>100</v>
      </c>
      <c r="M48" s="36">
        <v>100</v>
      </c>
      <c r="N48" s="25">
        <v>62</v>
      </c>
      <c r="O48" s="8">
        <v>100</v>
      </c>
      <c r="P48" s="8">
        <v>105</v>
      </c>
      <c r="Q48" s="62">
        <v>555</v>
      </c>
      <c r="R48" s="39">
        <v>85</v>
      </c>
      <c r="S48" s="17"/>
      <c r="T48" s="71">
        <v>90.428571428571431</v>
      </c>
      <c r="U48" s="20" t="s">
        <v>123</v>
      </c>
      <c r="V48" s="70">
        <v>94.928571428571431</v>
      </c>
      <c r="W48" s="20" t="s">
        <v>122</v>
      </c>
      <c r="X48" s="75"/>
      <c r="Y48" s="17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spans="1:42" s="27" customFormat="1">
      <c r="A49" s="8" t="s">
        <v>45</v>
      </c>
      <c r="B49" s="8">
        <v>104</v>
      </c>
      <c r="C49" s="8"/>
      <c r="D49" s="44"/>
      <c r="E49" s="44">
        <v>97</v>
      </c>
      <c r="F49" s="44"/>
      <c r="G49" s="36">
        <v>100</v>
      </c>
      <c r="H49" s="36"/>
      <c r="I49" s="8"/>
      <c r="J49" s="8"/>
      <c r="K49" s="44">
        <v>100</v>
      </c>
      <c r="L49" s="36"/>
      <c r="M49" s="36">
        <v>100</v>
      </c>
      <c r="N49" s="25">
        <v>97</v>
      </c>
      <c r="O49" s="8">
        <v>100</v>
      </c>
      <c r="P49" s="8">
        <v>91</v>
      </c>
      <c r="Q49" s="62">
        <v>488</v>
      </c>
      <c r="R49" s="39">
        <v>94</v>
      </c>
      <c r="S49" s="17"/>
      <c r="T49" s="71">
        <v>71.175714285714292</v>
      </c>
      <c r="U49" s="20" t="s">
        <v>129</v>
      </c>
      <c r="V49" s="70">
        <v>74.175714285714292</v>
      </c>
      <c r="W49" s="20" t="s">
        <v>129</v>
      </c>
      <c r="X49" s="75"/>
      <c r="Y49" s="17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spans="1:42" s="27" customFormat="1">
      <c r="A50" s="8" t="s">
        <v>17</v>
      </c>
      <c r="B50" s="8">
        <v>102</v>
      </c>
      <c r="C50" s="8"/>
      <c r="D50" s="44">
        <v>65</v>
      </c>
      <c r="E50" s="44">
        <v>97</v>
      </c>
      <c r="F50" s="44"/>
      <c r="G50" s="36">
        <v>100</v>
      </c>
      <c r="H50" s="36">
        <v>30</v>
      </c>
      <c r="I50" s="8"/>
      <c r="J50" s="8"/>
      <c r="K50" s="44">
        <v>101</v>
      </c>
      <c r="L50" s="36">
        <v>100</v>
      </c>
      <c r="M50" s="36">
        <v>0</v>
      </c>
      <c r="N50" s="25">
        <v>97</v>
      </c>
      <c r="O50" s="8">
        <v>100</v>
      </c>
      <c r="P50" s="8">
        <v>91</v>
      </c>
      <c r="Q50" s="62">
        <v>489</v>
      </c>
      <c r="R50" s="39">
        <v>109</v>
      </c>
      <c r="S50" s="17"/>
      <c r="T50" s="71">
        <v>93.974285714285713</v>
      </c>
      <c r="U50" s="20" t="s">
        <v>122</v>
      </c>
      <c r="V50" s="70">
        <v>101.72428571428571</v>
      </c>
      <c r="W50" s="20" t="s">
        <v>122</v>
      </c>
      <c r="X50" s="75"/>
      <c r="Y50" s="17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</row>
    <row r="51" spans="1:42" s="27" customFormat="1">
      <c r="A51" s="8" t="s">
        <v>49</v>
      </c>
      <c r="B51" s="8">
        <v>104</v>
      </c>
      <c r="C51" s="8"/>
      <c r="D51" s="44">
        <v>100</v>
      </c>
      <c r="E51" s="44">
        <v>97</v>
      </c>
      <c r="F51" s="44"/>
      <c r="G51" s="36">
        <v>100</v>
      </c>
      <c r="H51" s="36"/>
      <c r="I51" s="8"/>
      <c r="J51" s="8"/>
      <c r="K51" s="44">
        <v>95</v>
      </c>
      <c r="L51" s="36"/>
      <c r="M51" s="36">
        <v>100</v>
      </c>
      <c r="N51" s="25">
        <v>97</v>
      </c>
      <c r="O51" s="8">
        <v>100</v>
      </c>
      <c r="P51" s="8">
        <v>91</v>
      </c>
      <c r="Q51" s="62">
        <v>483</v>
      </c>
      <c r="R51" s="39">
        <v>104</v>
      </c>
      <c r="S51" s="17"/>
      <c r="T51" s="71">
        <v>72.361428571428576</v>
      </c>
      <c r="U51" s="20" t="s">
        <v>129</v>
      </c>
      <c r="V51" s="70">
        <v>80.361428571428576</v>
      </c>
      <c r="W51" s="20" t="s">
        <v>129</v>
      </c>
      <c r="X51" s="75"/>
      <c r="Y51" s="17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</row>
    <row r="52" spans="1:42" s="27" customFormat="1">
      <c r="A52" s="8" t="s">
        <v>56</v>
      </c>
      <c r="B52" s="8">
        <v>104</v>
      </c>
      <c r="C52" s="8"/>
      <c r="D52" s="44"/>
      <c r="E52" s="44">
        <v>89</v>
      </c>
      <c r="F52" s="44"/>
      <c r="G52" s="36">
        <v>100</v>
      </c>
      <c r="H52" s="36"/>
      <c r="I52" s="8"/>
      <c r="J52" s="8"/>
      <c r="K52" s="44">
        <v>79</v>
      </c>
      <c r="L52" s="36">
        <v>85</v>
      </c>
      <c r="M52" s="36">
        <v>0</v>
      </c>
      <c r="N52" s="25">
        <v>89</v>
      </c>
      <c r="O52" s="8">
        <v>100</v>
      </c>
      <c r="P52" s="8">
        <v>100</v>
      </c>
      <c r="Q52" s="62">
        <v>453</v>
      </c>
      <c r="R52" s="39">
        <v>95</v>
      </c>
      <c r="S52" s="17"/>
      <c r="T52" s="71">
        <v>86.67428571428573</v>
      </c>
      <c r="U52" s="20" t="s">
        <v>124</v>
      </c>
      <c r="V52" s="70">
        <v>89.67428571428573</v>
      </c>
      <c r="W52" s="20" t="s">
        <v>124</v>
      </c>
      <c r="X52" s="75"/>
      <c r="Y52" s="17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</row>
    <row r="53" spans="1:42" s="27" customFormat="1">
      <c r="A53" s="8" t="s">
        <v>79</v>
      </c>
      <c r="B53" s="8">
        <v>852</v>
      </c>
      <c r="C53" s="8"/>
      <c r="D53" s="44"/>
      <c r="E53" s="44">
        <v>86</v>
      </c>
      <c r="F53" s="44">
        <v>88</v>
      </c>
      <c r="G53" s="36"/>
      <c r="H53" s="36"/>
      <c r="I53" s="8"/>
      <c r="J53" s="8"/>
      <c r="K53" s="44">
        <v>80</v>
      </c>
      <c r="L53" s="36"/>
      <c r="M53" s="36">
        <v>0</v>
      </c>
      <c r="N53" s="25">
        <v>87</v>
      </c>
      <c r="O53" s="8">
        <v>75</v>
      </c>
      <c r="P53" s="8">
        <v>100</v>
      </c>
      <c r="Q53" s="62">
        <v>342</v>
      </c>
      <c r="R53" s="39">
        <v>93</v>
      </c>
      <c r="S53" s="28"/>
      <c r="T53" s="71">
        <v>65.397142857142853</v>
      </c>
      <c r="U53" s="20" t="s">
        <v>129</v>
      </c>
      <c r="V53" s="70">
        <v>65.397142857142853</v>
      </c>
      <c r="W53" s="20" t="s">
        <v>129</v>
      </c>
      <c r="X53" s="75"/>
      <c r="Y53" s="17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</row>
    <row r="54" spans="1:42" s="27" customFormat="1">
      <c r="A54" s="8" t="s">
        <v>46</v>
      </c>
      <c r="B54" s="8">
        <v>104</v>
      </c>
      <c r="C54" s="8"/>
      <c r="D54" s="44">
        <v>93</v>
      </c>
      <c r="E54" s="44">
        <v>108</v>
      </c>
      <c r="F54" s="44"/>
      <c r="G54" s="36">
        <v>100</v>
      </c>
      <c r="H54" s="36">
        <v>30</v>
      </c>
      <c r="I54" s="8"/>
      <c r="J54" s="8"/>
      <c r="K54" s="44">
        <v>96</v>
      </c>
      <c r="L54" s="36">
        <v>100</v>
      </c>
      <c r="M54" s="36">
        <v>100</v>
      </c>
      <c r="N54" s="25">
        <v>108</v>
      </c>
      <c r="O54" s="8">
        <v>100</v>
      </c>
      <c r="P54" s="8">
        <v>87</v>
      </c>
      <c r="Q54" s="62">
        <v>591</v>
      </c>
      <c r="R54" s="39">
        <v>99</v>
      </c>
      <c r="S54" s="17"/>
      <c r="T54" s="71">
        <v>94.90857142857142</v>
      </c>
      <c r="U54" s="20" t="s">
        <v>122</v>
      </c>
      <c r="V54" s="70">
        <v>104.05857142857143</v>
      </c>
      <c r="W54" s="20" t="s">
        <v>122</v>
      </c>
      <c r="X54" s="75"/>
      <c r="Y54" s="17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1:42" s="27" customFormat="1">
      <c r="A55" s="8" t="s">
        <v>40</v>
      </c>
      <c r="B55" s="8">
        <v>104</v>
      </c>
      <c r="C55" s="8"/>
      <c r="D55" s="44"/>
      <c r="E55" s="44">
        <v>98</v>
      </c>
      <c r="F55" s="44"/>
      <c r="G55" s="36"/>
      <c r="H55" s="36">
        <v>17</v>
      </c>
      <c r="I55" s="8"/>
      <c r="J55" s="8"/>
      <c r="K55" s="44">
        <v>98</v>
      </c>
      <c r="L55" s="36">
        <v>100</v>
      </c>
      <c r="M55" s="36">
        <v>0</v>
      </c>
      <c r="N55" s="25">
        <v>98</v>
      </c>
      <c r="O55" s="8">
        <v>100</v>
      </c>
      <c r="P55" s="8">
        <v>105</v>
      </c>
      <c r="Q55" s="62">
        <v>501</v>
      </c>
      <c r="R55" s="39">
        <v>65</v>
      </c>
      <c r="S55" s="17"/>
      <c r="T55" s="71">
        <v>89.377142857142857</v>
      </c>
      <c r="U55" s="20" t="s">
        <v>124</v>
      </c>
      <c r="V55" s="70">
        <v>90.227142857142852</v>
      </c>
      <c r="W55" s="20" t="s">
        <v>123</v>
      </c>
      <c r="X55" s="75"/>
      <c r="Y55" s="17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</row>
    <row r="56" spans="1:42" s="27" customFormat="1">
      <c r="A56" s="8" t="s">
        <v>42</v>
      </c>
      <c r="B56" s="8">
        <v>104</v>
      </c>
      <c r="C56" s="8"/>
      <c r="D56" s="44"/>
      <c r="E56" s="44">
        <v>64</v>
      </c>
      <c r="F56" s="44"/>
      <c r="G56" s="36">
        <v>100</v>
      </c>
      <c r="H56" s="36">
        <v>26</v>
      </c>
      <c r="I56" s="8"/>
      <c r="J56" s="8"/>
      <c r="K56" s="44">
        <v>89</v>
      </c>
      <c r="L56" s="36">
        <v>100</v>
      </c>
      <c r="M56" s="36">
        <v>0</v>
      </c>
      <c r="N56" s="25">
        <v>64</v>
      </c>
      <c r="O56" s="8">
        <v>100</v>
      </c>
      <c r="P56" s="8">
        <v>47</v>
      </c>
      <c r="Q56" s="62">
        <v>400</v>
      </c>
      <c r="R56" s="39">
        <v>103</v>
      </c>
      <c r="S56" s="17"/>
      <c r="T56" s="71">
        <v>76.502857142857138</v>
      </c>
      <c r="U56" s="20" t="s">
        <v>125</v>
      </c>
      <c r="V56" s="70">
        <v>80.802857142857135</v>
      </c>
      <c r="W56" s="20" t="s">
        <v>124</v>
      </c>
      <c r="X56" s="75"/>
      <c r="Y56" s="17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</row>
    <row r="57" spans="1:42" s="27" customFormat="1">
      <c r="A57" s="8" t="s">
        <v>58</v>
      </c>
      <c r="B57" s="8">
        <v>104</v>
      </c>
      <c r="C57" s="8"/>
      <c r="D57" s="44"/>
      <c r="E57" s="44">
        <v>100</v>
      </c>
      <c r="F57" s="44"/>
      <c r="G57" s="36">
        <v>100</v>
      </c>
      <c r="H57" s="36">
        <v>10</v>
      </c>
      <c r="I57" s="8"/>
      <c r="J57" s="8"/>
      <c r="K57" s="44">
        <v>93</v>
      </c>
      <c r="L57" s="36">
        <v>100</v>
      </c>
      <c r="M57" s="36">
        <v>100</v>
      </c>
      <c r="N57" s="25">
        <v>100</v>
      </c>
      <c r="O57" s="8">
        <v>100</v>
      </c>
      <c r="P57" s="8">
        <v>89</v>
      </c>
      <c r="Q57" s="62">
        <v>582</v>
      </c>
      <c r="R57" s="39">
        <v>95</v>
      </c>
      <c r="S57" s="28"/>
      <c r="T57" s="71">
        <v>93.374285714285719</v>
      </c>
      <c r="U57" s="20" t="s">
        <v>122</v>
      </c>
      <c r="V57" s="70">
        <v>96.874285714285719</v>
      </c>
      <c r="W57" s="20" t="s">
        <v>122</v>
      </c>
      <c r="X57" s="75"/>
      <c r="Y57" s="17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</row>
    <row r="58" spans="1:42" s="27" customFormat="1">
      <c r="A58" s="8" t="s">
        <v>47</v>
      </c>
      <c r="B58" s="8">
        <v>104</v>
      </c>
      <c r="C58" s="8"/>
      <c r="D58" s="44"/>
      <c r="E58" s="44">
        <v>87</v>
      </c>
      <c r="F58" s="44">
        <v>109</v>
      </c>
      <c r="G58" s="36">
        <v>100</v>
      </c>
      <c r="H58" s="36">
        <v>30</v>
      </c>
      <c r="I58" s="8"/>
      <c r="J58" s="8"/>
      <c r="K58" s="44">
        <v>95</v>
      </c>
      <c r="L58" s="36">
        <v>100</v>
      </c>
      <c r="M58" s="36">
        <v>100</v>
      </c>
      <c r="N58" s="25">
        <v>98</v>
      </c>
      <c r="O58" s="8">
        <v>100</v>
      </c>
      <c r="P58" s="8">
        <v>89</v>
      </c>
      <c r="Q58" s="62">
        <v>582</v>
      </c>
      <c r="R58" s="39">
        <v>105</v>
      </c>
      <c r="S58" s="17"/>
      <c r="T58" s="71">
        <v>95.16</v>
      </c>
      <c r="U58" s="20" t="s">
        <v>122</v>
      </c>
      <c r="V58" s="70">
        <v>99.66</v>
      </c>
      <c r="W58" s="20" t="s">
        <v>122</v>
      </c>
      <c r="X58" s="75"/>
      <c r="Y58" s="17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1:42" s="27" customFormat="1">
      <c r="A59" s="8" t="s">
        <v>106</v>
      </c>
      <c r="B59" s="8">
        <v>104</v>
      </c>
      <c r="C59" s="8"/>
      <c r="D59" s="44"/>
      <c r="E59" s="44">
        <v>108</v>
      </c>
      <c r="F59" s="44"/>
      <c r="G59" s="36">
        <v>100</v>
      </c>
      <c r="H59" s="36">
        <v>11</v>
      </c>
      <c r="I59" s="8"/>
      <c r="J59" s="8"/>
      <c r="K59" s="44">
        <v>85</v>
      </c>
      <c r="L59" s="36">
        <v>100</v>
      </c>
      <c r="M59" s="36">
        <v>100</v>
      </c>
      <c r="N59" s="25">
        <v>108</v>
      </c>
      <c r="O59" s="8">
        <v>100</v>
      </c>
      <c r="P59" s="8">
        <v>68</v>
      </c>
      <c r="Q59" s="62">
        <v>561</v>
      </c>
      <c r="R59" s="39">
        <v>94</v>
      </c>
      <c r="S59" s="17"/>
      <c r="T59" s="71">
        <v>87.945714285714274</v>
      </c>
      <c r="U59" s="20" t="s">
        <v>124</v>
      </c>
      <c r="V59" s="70">
        <v>91.495714285714271</v>
      </c>
      <c r="W59" s="20" t="s">
        <v>123</v>
      </c>
      <c r="X59" s="75"/>
      <c r="Y59" s="17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 s="27" customFormat="1">
      <c r="A60" s="8" t="s">
        <v>107</v>
      </c>
      <c r="B60" s="8">
        <v>104</v>
      </c>
      <c r="C60" s="8"/>
      <c r="D60" s="44"/>
      <c r="E60" s="44">
        <v>108</v>
      </c>
      <c r="F60" s="44"/>
      <c r="G60" s="36">
        <v>100</v>
      </c>
      <c r="H60" s="36">
        <v>24</v>
      </c>
      <c r="I60" s="8"/>
      <c r="J60" s="8"/>
      <c r="K60" s="44">
        <v>52</v>
      </c>
      <c r="L60" s="36">
        <v>100</v>
      </c>
      <c r="M60" s="36">
        <v>100</v>
      </c>
      <c r="N60" s="25">
        <v>108</v>
      </c>
      <c r="O60" s="8">
        <v>100</v>
      </c>
      <c r="P60" s="8">
        <v>78</v>
      </c>
      <c r="Q60" s="62">
        <v>538</v>
      </c>
      <c r="R60" s="39">
        <v>89</v>
      </c>
      <c r="S60" s="28"/>
      <c r="T60" s="71">
        <v>85.592857142857142</v>
      </c>
      <c r="U60" s="20" t="s">
        <v>124</v>
      </c>
      <c r="V60" s="70">
        <v>89.792857142857144</v>
      </c>
      <c r="W60" s="20" t="s">
        <v>124</v>
      </c>
      <c r="X60" s="75"/>
      <c r="Y60" s="17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1" spans="1:42" s="27" customFormat="1">
      <c r="A61" s="8" t="s">
        <v>68</v>
      </c>
      <c r="B61" s="8">
        <v>852</v>
      </c>
      <c r="C61" s="8"/>
      <c r="D61" s="44"/>
      <c r="E61" s="44">
        <v>88</v>
      </c>
      <c r="F61" s="44">
        <v>100</v>
      </c>
      <c r="G61" s="36"/>
      <c r="H61" s="36">
        <v>4</v>
      </c>
      <c r="I61" s="8"/>
      <c r="J61" s="8"/>
      <c r="K61" s="44">
        <v>105</v>
      </c>
      <c r="L61" s="36">
        <v>100</v>
      </c>
      <c r="M61" s="36">
        <v>0</v>
      </c>
      <c r="N61" s="25">
        <v>94</v>
      </c>
      <c r="O61" s="8">
        <v>0</v>
      </c>
      <c r="P61" s="8">
        <v>0</v>
      </c>
      <c r="Q61" s="62">
        <v>299</v>
      </c>
      <c r="R61" s="39">
        <v>111</v>
      </c>
      <c r="S61" s="17"/>
      <c r="T61" s="71">
        <v>66.701428571428579</v>
      </c>
      <c r="U61" s="20" t="s">
        <v>129</v>
      </c>
      <c r="V61" s="70">
        <v>66.901428571428582</v>
      </c>
      <c r="W61" s="20" t="s">
        <v>129</v>
      </c>
      <c r="X61" s="75"/>
      <c r="Y61" s="1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</row>
    <row r="62" spans="1:42" s="27" customFormat="1">
      <c r="A62" s="8" t="s">
        <v>6</v>
      </c>
      <c r="B62" s="8">
        <v>102</v>
      </c>
      <c r="C62" s="8"/>
      <c r="D62" s="44"/>
      <c r="E62" s="44">
        <v>100</v>
      </c>
      <c r="F62" s="44">
        <v>100</v>
      </c>
      <c r="G62" s="36"/>
      <c r="H62" s="36">
        <v>19</v>
      </c>
      <c r="I62" s="8"/>
      <c r="J62" s="8"/>
      <c r="K62" s="44">
        <v>91</v>
      </c>
      <c r="L62" s="36">
        <v>100</v>
      </c>
      <c r="M62" s="36">
        <v>100</v>
      </c>
      <c r="N62" s="25">
        <v>100</v>
      </c>
      <c r="O62" s="8">
        <v>100</v>
      </c>
      <c r="P62" s="8">
        <v>87</v>
      </c>
      <c r="Q62" s="62">
        <v>578</v>
      </c>
      <c r="R62" s="39">
        <v>108</v>
      </c>
      <c r="S62" s="28"/>
      <c r="T62" s="71">
        <v>94.955714285714294</v>
      </c>
      <c r="U62" s="20" t="s">
        <v>122</v>
      </c>
      <c r="V62" s="70">
        <v>95.905714285714296</v>
      </c>
      <c r="W62" s="20" t="s">
        <v>122</v>
      </c>
      <c r="X62" s="75"/>
      <c r="Y62" s="17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</row>
    <row r="63" spans="1:42" s="27" customFormat="1">
      <c r="A63" s="8" t="s">
        <v>23</v>
      </c>
      <c r="B63" s="8">
        <v>102</v>
      </c>
      <c r="C63" s="8"/>
      <c r="D63" s="44"/>
      <c r="E63" s="44">
        <v>96</v>
      </c>
      <c r="F63" s="44">
        <v>96</v>
      </c>
      <c r="G63" s="36">
        <v>100</v>
      </c>
      <c r="H63" s="36">
        <v>30</v>
      </c>
      <c r="I63" s="8"/>
      <c r="J63" s="8"/>
      <c r="K63" s="44">
        <v>89</v>
      </c>
      <c r="L63" s="36">
        <v>100</v>
      </c>
      <c r="M63" s="36">
        <v>100</v>
      </c>
      <c r="N63" s="25">
        <v>96</v>
      </c>
      <c r="O63" s="8">
        <v>100</v>
      </c>
      <c r="P63" s="8">
        <v>68</v>
      </c>
      <c r="Q63" s="62">
        <v>553</v>
      </c>
      <c r="R63" s="39">
        <v>107</v>
      </c>
      <c r="S63" s="17"/>
      <c r="T63" s="71">
        <v>89.307142857142864</v>
      </c>
      <c r="U63" s="20" t="s">
        <v>124</v>
      </c>
      <c r="V63" s="70">
        <v>93.807142857142864</v>
      </c>
      <c r="W63" s="20" t="s">
        <v>122</v>
      </c>
      <c r="X63" s="75"/>
      <c r="Y63" s="17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</row>
    <row r="64" spans="1:42" s="27" customFormat="1">
      <c r="A64" s="8" t="s">
        <v>23</v>
      </c>
      <c r="B64" s="8">
        <v>102</v>
      </c>
      <c r="C64" s="8"/>
      <c r="D64" s="45"/>
      <c r="E64" s="45"/>
      <c r="F64" s="45"/>
      <c r="G64" s="38"/>
      <c r="H64" s="38">
        <v>10</v>
      </c>
      <c r="I64" s="8"/>
      <c r="J64" s="8"/>
      <c r="K64" s="45">
        <v>80</v>
      </c>
      <c r="L64" s="36">
        <v>100</v>
      </c>
      <c r="M64" s="36">
        <v>100</v>
      </c>
      <c r="N64" s="25">
        <v>0</v>
      </c>
      <c r="O64" s="8">
        <v>0</v>
      </c>
      <c r="P64" s="8">
        <v>85</v>
      </c>
      <c r="Q64" s="62">
        <v>365</v>
      </c>
      <c r="R64" s="40">
        <v>99</v>
      </c>
      <c r="S64" s="17"/>
      <c r="T64" s="71">
        <v>74.528571428571439</v>
      </c>
      <c r="U64" s="20" t="s">
        <v>129</v>
      </c>
      <c r="V64" s="70">
        <v>75.028571428571439</v>
      </c>
      <c r="W64" s="20" t="s">
        <v>129</v>
      </c>
      <c r="X64" s="75"/>
      <c r="Y64" s="17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</row>
    <row r="65" spans="1:42" s="27" customFormat="1">
      <c r="A65" s="8" t="s">
        <v>11</v>
      </c>
      <c r="B65" s="8">
        <v>102</v>
      </c>
      <c r="C65" s="8"/>
      <c r="D65" s="44"/>
      <c r="E65" s="44">
        <v>89</v>
      </c>
      <c r="F65" s="44"/>
      <c r="G65" s="36">
        <v>100</v>
      </c>
      <c r="H65" s="36"/>
      <c r="I65" s="8"/>
      <c r="J65" s="8"/>
      <c r="K65" s="44">
        <v>85</v>
      </c>
      <c r="L65" s="36"/>
      <c r="M65" s="36">
        <v>100</v>
      </c>
      <c r="N65" s="25">
        <v>89</v>
      </c>
      <c r="O65" s="8">
        <v>100</v>
      </c>
      <c r="P65" s="8">
        <v>100</v>
      </c>
      <c r="Q65" s="62">
        <v>474</v>
      </c>
      <c r="R65" s="39">
        <v>100</v>
      </c>
      <c r="S65" s="17"/>
      <c r="T65" s="71">
        <v>71.737142857142857</v>
      </c>
      <c r="U65" s="20" t="s">
        <v>129</v>
      </c>
      <c r="V65" s="70">
        <v>74.737142857142857</v>
      </c>
      <c r="W65" s="20" t="s">
        <v>129</v>
      </c>
      <c r="X65" s="75"/>
      <c r="Y65" s="17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</row>
    <row r="66" spans="1:42" s="27" customFormat="1">
      <c r="A66" s="8" t="s">
        <v>84</v>
      </c>
      <c r="B66" s="8">
        <v>852</v>
      </c>
      <c r="C66" s="8"/>
      <c r="D66" s="44"/>
      <c r="E66" s="44">
        <v>88</v>
      </c>
      <c r="F66" s="44">
        <v>100</v>
      </c>
      <c r="G66" s="36">
        <v>100</v>
      </c>
      <c r="H66" s="36"/>
      <c r="I66" s="8"/>
      <c r="J66" s="8"/>
      <c r="K66" s="44">
        <v>77</v>
      </c>
      <c r="L66" s="36">
        <v>86</v>
      </c>
      <c r="M66" s="36">
        <v>100</v>
      </c>
      <c r="N66" s="25">
        <v>94</v>
      </c>
      <c r="O66" s="8">
        <v>50</v>
      </c>
      <c r="P66" s="8">
        <v>85</v>
      </c>
      <c r="Q66" s="62">
        <v>492</v>
      </c>
      <c r="R66" s="39">
        <v>109</v>
      </c>
      <c r="S66" s="28"/>
      <c r="T66" s="71">
        <v>86.514285714285734</v>
      </c>
      <c r="U66" s="20" t="s">
        <v>124</v>
      </c>
      <c r="V66" s="70">
        <v>89.514285714285734</v>
      </c>
      <c r="W66" s="20" t="s">
        <v>124</v>
      </c>
      <c r="X66" s="75"/>
      <c r="Y66" s="17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spans="1:42" s="27" customFormat="1">
      <c r="A67" s="8" t="s">
        <v>87</v>
      </c>
      <c r="B67" s="8">
        <v>852</v>
      </c>
      <c r="C67" s="8"/>
      <c r="D67" s="44"/>
      <c r="E67" s="44">
        <v>90</v>
      </c>
      <c r="F67" s="44">
        <v>90</v>
      </c>
      <c r="G67" s="36"/>
      <c r="H67" s="36">
        <v>9</v>
      </c>
      <c r="I67" s="8"/>
      <c r="J67" s="8"/>
      <c r="K67" s="44">
        <v>93</v>
      </c>
      <c r="L67" s="36">
        <v>100</v>
      </c>
      <c r="M67" s="36">
        <v>100</v>
      </c>
      <c r="N67" s="25">
        <v>90</v>
      </c>
      <c r="O67" s="8">
        <v>100</v>
      </c>
      <c r="P67" s="8">
        <v>88</v>
      </c>
      <c r="Q67" s="62">
        <v>571</v>
      </c>
      <c r="R67" s="39">
        <v>109</v>
      </c>
      <c r="S67" s="17"/>
      <c r="T67" s="71">
        <v>94.424285714285702</v>
      </c>
      <c r="U67" s="20" t="s">
        <v>122</v>
      </c>
      <c r="V67" s="70">
        <v>94.874285714285705</v>
      </c>
      <c r="W67" s="20" t="s">
        <v>122</v>
      </c>
      <c r="X67" s="75"/>
      <c r="Y67" s="17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spans="1:42" s="27" customFormat="1">
      <c r="A68" s="8" t="s">
        <v>83</v>
      </c>
      <c r="B68" s="8">
        <v>852</v>
      </c>
      <c r="C68" s="8"/>
      <c r="D68" s="44"/>
      <c r="E68" s="44">
        <v>97</v>
      </c>
      <c r="F68" s="44">
        <v>82</v>
      </c>
      <c r="G68" s="36">
        <v>100</v>
      </c>
      <c r="H68" s="36">
        <v>8</v>
      </c>
      <c r="I68" s="8"/>
      <c r="J68" s="8"/>
      <c r="K68" s="44">
        <v>103</v>
      </c>
      <c r="L68" s="36">
        <v>100</v>
      </c>
      <c r="M68" s="36">
        <v>100</v>
      </c>
      <c r="N68" s="25">
        <v>89.5</v>
      </c>
      <c r="O68" s="8">
        <v>0</v>
      </c>
      <c r="P68" s="8">
        <v>0</v>
      </c>
      <c r="Q68" s="62">
        <v>392.5</v>
      </c>
      <c r="R68" s="39">
        <v>102</v>
      </c>
      <c r="S68" s="17"/>
      <c r="T68" s="71">
        <v>67.314285714285717</v>
      </c>
      <c r="U68" s="20" t="s">
        <v>129</v>
      </c>
      <c r="V68" s="70">
        <v>70.714285714285722</v>
      </c>
      <c r="W68" s="20" t="s">
        <v>129</v>
      </c>
      <c r="X68" s="75"/>
      <c r="Y68" s="17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spans="1:42" s="27" customFormat="1">
      <c r="A69" s="8" t="s">
        <v>60</v>
      </c>
      <c r="B69" s="8">
        <v>852</v>
      </c>
      <c r="C69" s="8"/>
      <c r="D69" s="44">
        <v>99</v>
      </c>
      <c r="E69" s="44">
        <v>86</v>
      </c>
      <c r="F69" s="44">
        <v>88</v>
      </c>
      <c r="G69" s="36">
        <v>100</v>
      </c>
      <c r="H69" s="36">
        <v>30</v>
      </c>
      <c r="I69" s="8"/>
      <c r="J69" s="8"/>
      <c r="K69" s="44">
        <v>91</v>
      </c>
      <c r="L69" s="36">
        <v>100</v>
      </c>
      <c r="M69" s="36">
        <v>100</v>
      </c>
      <c r="N69" s="25">
        <v>87</v>
      </c>
      <c r="O69" s="8">
        <v>75</v>
      </c>
      <c r="P69" s="8">
        <v>100</v>
      </c>
      <c r="Q69" s="62">
        <v>553</v>
      </c>
      <c r="R69" s="39">
        <v>109</v>
      </c>
      <c r="S69" s="28"/>
      <c r="T69" s="71">
        <v>95.574285714285708</v>
      </c>
      <c r="U69" s="20" t="s">
        <v>122</v>
      </c>
      <c r="V69" s="70">
        <v>105.02428571428571</v>
      </c>
      <c r="W69" s="20" t="s">
        <v>122</v>
      </c>
      <c r="X69" s="75"/>
      <c r="Y69" s="17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spans="1:42" s="27" customFormat="1">
      <c r="A70" s="8" t="s">
        <v>12</v>
      </c>
      <c r="B70" s="8">
        <v>102</v>
      </c>
      <c r="C70" s="8"/>
      <c r="D70" s="44"/>
      <c r="E70" s="44">
        <v>100</v>
      </c>
      <c r="F70" s="44"/>
      <c r="G70" s="36">
        <v>100</v>
      </c>
      <c r="H70" s="36">
        <v>6</v>
      </c>
      <c r="I70" s="8"/>
      <c r="J70" s="8"/>
      <c r="K70" s="44">
        <v>100</v>
      </c>
      <c r="L70" s="36">
        <v>100</v>
      </c>
      <c r="M70" s="36">
        <v>0</v>
      </c>
      <c r="N70" s="25">
        <v>100</v>
      </c>
      <c r="O70" s="8">
        <v>100</v>
      </c>
      <c r="P70" s="8">
        <v>105</v>
      </c>
      <c r="Q70" s="62">
        <v>505</v>
      </c>
      <c r="R70" s="39">
        <v>110</v>
      </c>
      <c r="S70" s="17"/>
      <c r="T70" s="71">
        <v>97.892857142857139</v>
      </c>
      <c r="U70" s="20" t="s">
        <v>122</v>
      </c>
      <c r="V70" s="70">
        <v>101.19285714285714</v>
      </c>
      <c r="W70" s="20" t="s">
        <v>122</v>
      </c>
      <c r="X70" s="75"/>
      <c r="Y70" s="17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spans="1:42" s="27" customFormat="1">
      <c r="A71" s="8" t="s">
        <v>10</v>
      </c>
      <c r="B71" s="8">
        <v>102</v>
      </c>
      <c r="C71" s="8"/>
      <c r="D71" s="44"/>
      <c r="E71" s="44">
        <v>100</v>
      </c>
      <c r="F71" s="44">
        <v>100</v>
      </c>
      <c r="G71" s="36">
        <v>100</v>
      </c>
      <c r="H71" s="36"/>
      <c r="I71" s="8"/>
      <c r="J71" s="8"/>
      <c r="K71" s="44">
        <v>99</v>
      </c>
      <c r="L71" s="36"/>
      <c r="M71" s="36">
        <v>0</v>
      </c>
      <c r="N71" s="25">
        <v>100</v>
      </c>
      <c r="O71" s="8">
        <v>100</v>
      </c>
      <c r="P71" s="8">
        <v>87</v>
      </c>
      <c r="Q71" s="62">
        <v>386</v>
      </c>
      <c r="R71" s="39">
        <v>97</v>
      </c>
      <c r="S71" s="17"/>
      <c r="T71" s="71">
        <v>67.951428571428565</v>
      </c>
      <c r="U71" s="20" t="s">
        <v>129</v>
      </c>
      <c r="V71" s="70">
        <v>70.951428571428565</v>
      </c>
      <c r="W71" s="20" t="s">
        <v>129</v>
      </c>
      <c r="X71" s="75"/>
      <c r="Y71" s="17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 s="27" customFormat="1">
      <c r="A72" s="8" t="s">
        <v>85</v>
      </c>
      <c r="B72" s="8">
        <v>852</v>
      </c>
      <c r="C72" s="8"/>
      <c r="D72" s="44"/>
      <c r="E72" s="44"/>
      <c r="F72" s="44"/>
      <c r="G72" s="36">
        <v>100</v>
      </c>
      <c r="H72" s="36"/>
      <c r="I72" s="8"/>
      <c r="J72" s="8"/>
      <c r="K72" s="44">
        <v>80</v>
      </c>
      <c r="L72" s="36"/>
      <c r="M72" s="36"/>
      <c r="N72" s="25">
        <v>0</v>
      </c>
      <c r="O72" s="8">
        <v>100</v>
      </c>
      <c r="P72" s="8">
        <v>88</v>
      </c>
      <c r="Q72" s="62">
        <v>268</v>
      </c>
      <c r="R72" s="39">
        <v>86</v>
      </c>
      <c r="S72" s="28"/>
      <c r="T72" s="71">
        <v>51.957142857142856</v>
      </c>
      <c r="U72" s="20" t="s">
        <v>129</v>
      </c>
      <c r="V72" s="70">
        <v>54.957142857142856</v>
      </c>
      <c r="W72" s="20" t="s">
        <v>129</v>
      </c>
      <c r="X72" s="75"/>
      <c r="Y72" s="17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3" spans="1:42" s="27" customFormat="1">
      <c r="A73" s="8" t="s">
        <v>13</v>
      </c>
      <c r="B73" s="8">
        <v>102</v>
      </c>
      <c r="C73" s="8"/>
      <c r="D73" s="44"/>
      <c r="E73" s="44">
        <v>93</v>
      </c>
      <c r="F73" s="44"/>
      <c r="G73" s="36">
        <v>100</v>
      </c>
      <c r="H73" s="36">
        <v>30</v>
      </c>
      <c r="I73" s="8"/>
      <c r="J73" s="8"/>
      <c r="K73" s="44">
        <v>96</v>
      </c>
      <c r="L73" s="36">
        <v>100</v>
      </c>
      <c r="M73" s="36">
        <v>0</v>
      </c>
      <c r="N73" s="25">
        <v>93</v>
      </c>
      <c r="O73" s="8">
        <v>100</v>
      </c>
      <c r="P73" s="8">
        <v>89</v>
      </c>
      <c r="Q73" s="62">
        <v>478</v>
      </c>
      <c r="R73" s="39">
        <v>112</v>
      </c>
      <c r="S73" s="17"/>
      <c r="T73" s="71">
        <v>92.93</v>
      </c>
      <c r="U73" s="20" t="s">
        <v>123</v>
      </c>
      <c r="V73" s="70">
        <v>97.43</v>
      </c>
      <c r="W73" s="20" t="s">
        <v>122</v>
      </c>
      <c r="X73" s="75"/>
      <c r="Y73" s="17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spans="1:42" s="27" customFormat="1">
      <c r="A74" s="8" t="s">
        <v>27</v>
      </c>
      <c r="B74" s="8">
        <v>102</v>
      </c>
      <c r="C74" s="8"/>
      <c r="D74" s="44"/>
      <c r="E74" s="44">
        <v>100</v>
      </c>
      <c r="F74" s="44">
        <v>100</v>
      </c>
      <c r="G74" s="36">
        <v>100</v>
      </c>
      <c r="H74" s="36"/>
      <c r="I74" s="8"/>
      <c r="J74" s="8"/>
      <c r="K74" s="44">
        <v>98</v>
      </c>
      <c r="L74" s="36"/>
      <c r="M74" s="36">
        <v>100</v>
      </c>
      <c r="N74" s="25">
        <v>100</v>
      </c>
      <c r="O74" s="8">
        <v>100</v>
      </c>
      <c r="P74" s="8">
        <v>100</v>
      </c>
      <c r="Q74" s="62">
        <v>498</v>
      </c>
      <c r="R74" s="39">
        <v>87</v>
      </c>
      <c r="S74" s="17"/>
      <c r="T74" s="71">
        <v>72.295714285714283</v>
      </c>
      <c r="U74" s="20" t="s">
        <v>129</v>
      </c>
      <c r="V74" s="70">
        <v>75.295714285714283</v>
      </c>
      <c r="W74" s="20" t="s">
        <v>129</v>
      </c>
      <c r="X74" s="75"/>
      <c r="Y74" s="17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</row>
    <row r="75" spans="1:42" s="27" customFormat="1">
      <c r="A75" s="8" t="s">
        <v>72</v>
      </c>
      <c r="B75" s="8">
        <v>852</v>
      </c>
      <c r="C75" s="8"/>
      <c r="D75" s="44"/>
      <c r="E75" s="44">
        <v>57</v>
      </c>
      <c r="F75" s="44"/>
      <c r="G75" s="36">
        <v>100</v>
      </c>
      <c r="H75" s="36"/>
      <c r="I75" s="8"/>
      <c r="J75" s="8"/>
      <c r="K75" s="44">
        <v>85</v>
      </c>
      <c r="L75" s="36"/>
      <c r="M75" s="36">
        <v>100</v>
      </c>
      <c r="N75" s="25">
        <v>57</v>
      </c>
      <c r="O75" s="8">
        <v>0</v>
      </c>
      <c r="P75" s="8">
        <v>85</v>
      </c>
      <c r="Q75" s="62">
        <v>327</v>
      </c>
      <c r="R75" s="39">
        <v>99</v>
      </c>
      <c r="S75" s="17"/>
      <c r="T75" s="71">
        <v>58.96857142857143</v>
      </c>
      <c r="U75" s="20" t="s">
        <v>129</v>
      </c>
      <c r="V75" s="70">
        <v>61.96857142857143</v>
      </c>
      <c r="W75" s="20" t="s">
        <v>129</v>
      </c>
      <c r="X75" s="75"/>
      <c r="Y75" s="17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</row>
    <row r="76" spans="1:42" s="27" customFormat="1">
      <c r="A76" s="8" t="s">
        <v>50</v>
      </c>
      <c r="B76" s="8">
        <v>104</v>
      </c>
      <c r="C76" s="8"/>
      <c r="D76" s="44">
        <v>86</v>
      </c>
      <c r="E76" s="44">
        <v>103</v>
      </c>
      <c r="F76" s="44"/>
      <c r="G76" s="36"/>
      <c r="H76" s="36">
        <v>26</v>
      </c>
      <c r="I76" s="8"/>
      <c r="J76" s="8"/>
      <c r="K76" s="44">
        <v>85</v>
      </c>
      <c r="L76" s="36">
        <v>100</v>
      </c>
      <c r="M76" s="36">
        <v>100</v>
      </c>
      <c r="N76" s="25">
        <v>103</v>
      </c>
      <c r="O76" s="8">
        <v>100</v>
      </c>
      <c r="P76" s="8">
        <v>78</v>
      </c>
      <c r="Q76" s="62">
        <v>566</v>
      </c>
      <c r="R76" s="39">
        <v>101</v>
      </c>
      <c r="S76" s="17"/>
      <c r="T76" s="71">
        <v>91.09571428571428</v>
      </c>
      <c r="U76" s="20" t="s">
        <v>123</v>
      </c>
      <c r="V76" s="70">
        <v>96.695714285714274</v>
      </c>
      <c r="W76" s="20" t="s">
        <v>122</v>
      </c>
      <c r="X76" s="75"/>
      <c r="Y76" s="17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</row>
    <row r="77" spans="1:42" s="27" customFormat="1">
      <c r="A77" s="8" t="s">
        <v>57</v>
      </c>
      <c r="B77" s="8">
        <v>104</v>
      </c>
      <c r="C77" s="8"/>
      <c r="D77" s="44"/>
      <c r="E77" s="44">
        <v>87</v>
      </c>
      <c r="F77" s="44">
        <v>109</v>
      </c>
      <c r="G77" s="36">
        <v>100</v>
      </c>
      <c r="H77" s="36">
        <v>20</v>
      </c>
      <c r="I77" s="8"/>
      <c r="J77" s="8"/>
      <c r="K77" s="44">
        <v>82</v>
      </c>
      <c r="L77" s="36">
        <v>100</v>
      </c>
      <c r="M77" s="36">
        <v>100</v>
      </c>
      <c r="N77" s="25">
        <v>98</v>
      </c>
      <c r="O77" s="8">
        <v>100</v>
      </c>
      <c r="P77" s="8">
        <v>89</v>
      </c>
      <c r="Q77" s="62">
        <v>569</v>
      </c>
      <c r="R77" s="39">
        <v>95</v>
      </c>
      <c r="S77" s="28"/>
      <c r="T77" s="71">
        <v>91.814285714285717</v>
      </c>
      <c r="U77" s="20" t="s">
        <v>123</v>
      </c>
      <c r="V77" s="70">
        <v>95.814285714285717</v>
      </c>
      <c r="W77" s="20" t="s">
        <v>122</v>
      </c>
      <c r="X77" s="75"/>
      <c r="Y77" s="17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</row>
    <row r="78" spans="1:42" s="27" customFormat="1">
      <c r="A78" s="8" t="s">
        <v>30</v>
      </c>
      <c r="B78" s="8">
        <v>102</v>
      </c>
      <c r="C78" s="8"/>
      <c r="D78" s="44"/>
      <c r="E78" s="44">
        <v>96</v>
      </c>
      <c r="F78" s="44">
        <v>96</v>
      </c>
      <c r="G78" s="36">
        <v>100</v>
      </c>
      <c r="H78" s="36">
        <v>30</v>
      </c>
      <c r="I78" s="8"/>
      <c r="J78" s="8"/>
      <c r="K78" s="44">
        <v>89</v>
      </c>
      <c r="L78" s="36">
        <v>100</v>
      </c>
      <c r="M78" s="36">
        <v>0</v>
      </c>
      <c r="N78" s="25">
        <v>96</v>
      </c>
      <c r="O78" s="8">
        <v>100</v>
      </c>
      <c r="P78" s="8">
        <v>68</v>
      </c>
      <c r="Q78" s="62">
        <v>453</v>
      </c>
      <c r="R78" s="39">
        <v>77</v>
      </c>
      <c r="S78" s="28"/>
      <c r="T78" s="71">
        <v>80.95</v>
      </c>
      <c r="U78" s="20" t="s">
        <v>124</v>
      </c>
      <c r="V78" s="70">
        <v>85.45</v>
      </c>
      <c r="W78" s="20" t="s">
        <v>124</v>
      </c>
      <c r="X78" s="75"/>
      <c r="Y78" s="17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</row>
    <row r="79" spans="1:42" s="27" customFormat="1">
      <c r="A79" s="8" t="s">
        <v>16</v>
      </c>
      <c r="B79" s="8">
        <v>102</v>
      </c>
      <c r="C79" s="8"/>
      <c r="D79" s="44"/>
      <c r="E79" s="44">
        <v>87</v>
      </c>
      <c r="F79" s="44">
        <v>109</v>
      </c>
      <c r="G79" s="36">
        <v>100</v>
      </c>
      <c r="H79" s="36">
        <v>18</v>
      </c>
      <c r="I79" s="8"/>
      <c r="J79" s="8"/>
      <c r="K79" s="44">
        <v>85</v>
      </c>
      <c r="L79" s="36">
        <v>100</v>
      </c>
      <c r="M79" s="36">
        <v>0</v>
      </c>
      <c r="N79" s="25">
        <v>98</v>
      </c>
      <c r="O79" s="8">
        <v>100</v>
      </c>
      <c r="P79" s="8">
        <v>89</v>
      </c>
      <c r="Q79" s="62">
        <v>472</v>
      </c>
      <c r="R79" s="39">
        <v>89</v>
      </c>
      <c r="S79" s="17"/>
      <c r="T79" s="71">
        <v>88.102857142857147</v>
      </c>
      <c r="U79" s="20" t="s">
        <v>124</v>
      </c>
      <c r="V79" s="70">
        <v>92.002857142857152</v>
      </c>
      <c r="W79" s="20" t="s">
        <v>123</v>
      </c>
      <c r="X79" s="75"/>
      <c r="Y79" s="17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spans="1:42" s="27" customFormat="1">
      <c r="A80" s="8" t="s">
        <v>55</v>
      </c>
      <c r="B80" s="8">
        <v>104</v>
      </c>
      <c r="C80" s="8"/>
      <c r="D80" s="44">
        <v>85</v>
      </c>
      <c r="E80" s="44">
        <v>92</v>
      </c>
      <c r="F80" s="44">
        <v>95</v>
      </c>
      <c r="G80" s="36">
        <v>100</v>
      </c>
      <c r="H80" s="36">
        <v>30</v>
      </c>
      <c r="I80" s="8">
        <v>2</v>
      </c>
      <c r="J80" s="8"/>
      <c r="K80" s="44">
        <v>79</v>
      </c>
      <c r="L80" s="36">
        <v>100</v>
      </c>
      <c r="M80" s="36">
        <v>100</v>
      </c>
      <c r="N80" s="25">
        <v>93.5</v>
      </c>
      <c r="O80" s="8">
        <v>100</v>
      </c>
      <c r="P80" s="8">
        <v>47</v>
      </c>
      <c r="Q80" s="62">
        <v>519.5</v>
      </c>
      <c r="R80" s="39">
        <v>64</v>
      </c>
      <c r="S80" s="28"/>
      <c r="T80" s="71">
        <v>74.878571428571433</v>
      </c>
      <c r="U80" s="20" t="s">
        <v>126</v>
      </c>
      <c r="V80" s="70">
        <v>81.628571428571433</v>
      </c>
      <c r="W80" s="20" t="s">
        <v>124</v>
      </c>
      <c r="X80" s="75"/>
      <c r="Y80" s="17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</row>
    <row r="81" spans="1:42" s="27" customFormat="1">
      <c r="A81" s="8" t="s">
        <v>63</v>
      </c>
      <c r="B81" s="8">
        <v>852</v>
      </c>
      <c r="C81" s="8"/>
      <c r="D81" s="44">
        <v>86</v>
      </c>
      <c r="E81" s="44">
        <v>66</v>
      </c>
      <c r="F81" s="44">
        <v>79</v>
      </c>
      <c r="G81" s="37"/>
      <c r="H81" s="36">
        <v>4</v>
      </c>
      <c r="I81" s="8"/>
      <c r="J81" s="8"/>
      <c r="K81" s="44">
        <v>76</v>
      </c>
      <c r="L81" s="36">
        <v>100</v>
      </c>
      <c r="M81" s="36">
        <v>0</v>
      </c>
      <c r="N81" s="25">
        <v>72.5</v>
      </c>
      <c r="O81" s="8">
        <v>0</v>
      </c>
      <c r="P81" s="8">
        <v>100</v>
      </c>
      <c r="Q81" s="62">
        <v>348.5</v>
      </c>
      <c r="R81" s="39">
        <v>99</v>
      </c>
      <c r="S81" s="17"/>
      <c r="T81" s="71">
        <v>83.498571428571424</v>
      </c>
      <c r="U81" s="20" t="s">
        <v>124</v>
      </c>
      <c r="V81" s="70">
        <v>87.998571428571424</v>
      </c>
      <c r="W81" s="20" t="s">
        <v>124</v>
      </c>
      <c r="X81" s="75"/>
      <c r="Y81" s="17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spans="1:42" s="27" customFormat="1">
      <c r="A82" s="8" t="s">
        <v>59</v>
      </c>
      <c r="B82" s="8">
        <v>852</v>
      </c>
      <c r="C82" s="8"/>
      <c r="D82" s="44"/>
      <c r="E82" s="44"/>
      <c r="F82" s="44"/>
      <c r="G82" s="36">
        <v>100</v>
      </c>
      <c r="H82" s="36"/>
      <c r="I82" s="8"/>
      <c r="J82" s="8"/>
      <c r="K82" s="44">
        <v>75</v>
      </c>
      <c r="L82" s="41">
        <v>38</v>
      </c>
      <c r="M82" s="36">
        <v>100</v>
      </c>
      <c r="N82" s="25">
        <v>0</v>
      </c>
      <c r="O82" s="8">
        <v>0</v>
      </c>
      <c r="P82" s="8">
        <v>100</v>
      </c>
      <c r="Q82" s="62">
        <v>313</v>
      </c>
      <c r="R82" s="39">
        <v>99</v>
      </c>
      <c r="S82" s="28"/>
      <c r="T82" s="71">
        <v>63.418571428571433</v>
      </c>
      <c r="U82" s="20" t="s">
        <v>129</v>
      </c>
      <c r="V82" s="70">
        <v>66.418571428571425</v>
      </c>
      <c r="W82" s="20" t="s">
        <v>129</v>
      </c>
      <c r="X82" s="75"/>
      <c r="Y82" s="17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spans="1:42" s="27" customFormat="1">
      <c r="A83" s="8" t="s">
        <v>76</v>
      </c>
      <c r="B83" s="8">
        <v>852</v>
      </c>
      <c r="C83" s="8"/>
      <c r="D83" s="44"/>
      <c r="E83" s="44">
        <v>57</v>
      </c>
      <c r="F83" s="44"/>
      <c r="G83" s="36">
        <v>100</v>
      </c>
      <c r="H83" s="36">
        <v>6</v>
      </c>
      <c r="I83" s="8"/>
      <c r="J83" s="8"/>
      <c r="K83" s="44">
        <v>88</v>
      </c>
      <c r="L83" s="36">
        <v>100</v>
      </c>
      <c r="M83" s="36">
        <v>100</v>
      </c>
      <c r="N83" s="25">
        <v>57</v>
      </c>
      <c r="O83" s="8">
        <v>0</v>
      </c>
      <c r="P83" s="8">
        <v>85</v>
      </c>
      <c r="Q83" s="62">
        <v>430</v>
      </c>
      <c r="R83" s="39">
        <v>97</v>
      </c>
      <c r="S83" s="17"/>
      <c r="T83" s="71">
        <v>81.971428571428575</v>
      </c>
      <c r="U83" s="20" t="s">
        <v>124</v>
      </c>
      <c r="V83" s="70">
        <v>85.271428571428572</v>
      </c>
      <c r="W83" s="20" t="s">
        <v>124</v>
      </c>
      <c r="X83" s="75"/>
      <c r="Y83" s="17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spans="1:42" s="27" customFormat="1">
      <c r="A84" s="8" t="s">
        <v>51</v>
      </c>
      <c r="B84" s="8">
        <v>104</v>
      </c>
      <c r="C84" s="8"/>
      <c r="D84" s="44"/>
      <c r="E84" s="44">
        <v>92</v>
      </c>
      <c r="F84" s="44">
        <v>95</v>
      </c>
      <c r="G84" s="36">
        <v>100</v>
      </c>
      <c r="H84" s="36">
        <v>30</v>
      </c>
      <c r="I84" s="8"/>
      <c r="J84" s="8"/>
      <c r="K84" s="44">
        <v>91</v>
      </c>
      <c r="L84" s="36">
        <v>100</v>
      </c>
      <c r="M84" s="36">
        <v>0</v>
      </c>
      <c r="N84" s="25">
        <v>93.5</v>
      </c>
      <c r="O84" s="8">
        <v>100</v>
      </c>
      <c r="P84" s="8">
        <v>105</v>
      </c>
      <c r="Q84" s="62">
        <v>489.5</v>
      </c>
      <c r="R84" s="39">
        <v>102</v>
      </c>
      <c r="S84" s="17"/>
      <c r="T84" s="71">
        <v>94.604285714285709</v>
      </c>
      <c r="U84" s="20" t="s">
        <v>122</v>
      </c>
      <c r="V84" s="70">
        <v>99.104285714285709</v>
      </c>
      <c r="W84" s="20" t="s">
        <v>122</v>
      </c>
      <c r="X84" s="75"/>
      <c r="Y84" s="17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5" spans="1:42" s="27" customFormat="1">
      <c r="A85" s="8" t="s">
        <v>18</v>
      </c>
      <c r="B85" s="8">
        <v>102</v>
      </c>
      <c r="C85" s="8"/>
      <c r="D85" s="44"/>
      <c r="E85" s="44">
        <v>100</v>
      </c>
      <c r="F85" s="44">
        <v>100</v>
      </c>
      <c r="G85" s="36">
        <v>100</v>
      </c>
      <c r="H85" s="36">
        <v>20</v>
      </c>
      <c r="I85" s="8"/>
      <c r="J85" s="8"/>
      <c r="K85" s="44">
        <v>107</v>
      </c>
      <c r="L85" s="36">
        <v>100</v>
      </c>
      <c r="M85" s="36">
        <v>100</v>
      </c>
      <c r="N85" s="25">
        <v>100</v>
      </c>
      <c r="O85" s="8">
        <v>100</v>
      </c>
      <c r="P85" s="8">
        <v>87</v>
      </c>
      <c r="Q85" s="62">
        <v>594</v>
      </c>
      <c r="R85" s="39">
        <v>105</v>
      </c>
      <c r="S85" s="17"/>
      <c r="T85" s="71">
        <v>96.34</v>
      </c>
      <c r="U85" s="20" t="s">
        <v>122</v>
      </c>
      <c r="V85" s="70">
        <v>100.34</v>
      </c>
      <c r="W85" s="20" t="s">
        <v>122</v>
      </c>
      <c r="X85" s="75"/>
      <c r="Y85" s="17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</row>
    <row r="86" spans="1:42" s="27" customFormat="1">
      <c r="A86" s="8" t="s">
        <v>67</v>
      </c>
      <c r="B86" s="8">
        <v>852</v>
      </c>
      <c r="C86" s="8"/>
      <c r="D86" s="44"/>
      <c r="E86" s="44">
        <v>86</v>
      </c>
      <c r="F86" s="44">
        <v>88</v>
      </c>
      <c r="G86" s="36"/>
      <c r="H86" s="36">
        <v>14</v>
      </c>
      <c r="I86" s="8"/>
      <c r="J86" s="8"/>
      <c r="K86" s="44">
        <v>86</v>
      </c>
      <c r="L86" s="36">
        <v>100</v>
      </c>
      <c r="M86" s="36">
        <v>100</v>
      </c>
      <c r="N86" s="25">
        <v>87</v>
      </c>
      <c r="O86" s="8">
        <v>75</v>
      </c>
      <c r="P86" s="8">
        <v>100</v>
      </c>
      <c r="Q86" s="62">
        <v>548</v>
      </c>
      <c r="R86" s="39">
        <v>94</v>
      </c>
      <c r="S86" s="17"/>
      <c r="T86" s="71">
        <v>92.295714285714268</v>
      </c>
      <c r="U86" s="20" t="s">
        <v>123</v>
      </c>
      <c r="V86" s="70">
        <v>92.995714285714271</v>
      </c>
      <c r="W86" s="20" t="s">
        <v>123</v>
      </c>
      <c r="X86" s="75"/>
      <c r="Y86" s="17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spans="1:42" s="27" customFormat="1">
      <c r="A87" s="8" t="s">
        <v>54</v>
      </c>
      <c r="B87" s="8">
        <v>104</v>
      </c>
      <c r="C87" s="8"/>
      <c r="D87" s="44"/>
      <c r="E87" s="44">
        <v>60</v>
      </c>
      <c r="F87" s="44">
        <v>64</v>
      </c>
      <c r="G87" s="36">
        <v>100</v>
      </c>
      <c r="H87" s="36">
        <v>30</v>
      </c>
      <c r="I87" s="8"/>
      <c r="J87" s="8"/>
      <c r="K87" s="44">
        <v>94</v>
      </c>
      <c r="L87" s="36">
        <v>100</v>
      </c>
      <c r="M87" s="36">
        <v>100</v>
      </c>
      <c r="N87" s="25">
        <v>62</v>
      </c>
      <c r="O87" s="8">
        <v>100</v>
      </c>
      <c r="P87" s="8">
        <v>100</v>
      </c>
      <c r="Q87" s="62">
        <v>556</v>
      </c>
      <c r="R87" s="39">
        <v>97</v>
      </c>
      <c r="S87" s="28"/>
      <c r="T87" s="71">
        <v>92.041428571428568</v>
      </c>
      <c r="U87" s="20" t="s">
        <v>123</v>
      </c>
      <c r="V87" s="70">
        <v>96.541428571428568</v>
      </c>
      <c r="W87" s="20" t="s">
        <v>122</v>
      </c>
      <c r="X87" s="75"/>
      <c r="Y87" s="17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</row>
    <row r="88" spans="1:42" s="27" customFormat="1">
      <c r="A88" s="8" t="s">
        <v>69</v>
      </c>
      <c r="B88" s="8">
        <v>852</v>
      </c>
      <c r="C88" s="8"/>
      <c r="D88" s="44"/>
      <c r="E88" s="44">
        <v>77</v>
      </c>
      <c r="F88" s="44">
        <v>95</v>
      </c>
      <c r="G88" s="36"/>
      <c r="H88" s="36">
        <v>30</v>
      </c>
      <c r="I88" s="8"/>
      <c r="J88" s="8"/>
      <c r="K88" s="44">
        <v>92</v>
      </c>
      <c r="L88" s="36">
        <v>100</v>
      </c>
      <c r="M88" s="36">
        <v>100</v>
      </c>
      <c r="N88" s="25">
        <v>86</v>
      </c>
      <c r="O88" s="8">
        <v>100</v>
      </c>
      <c r="P88" s="8">
        <v>115</v>
      </c>
      <c r="Q88" s="62">
        <v>593</v>
      </c>
      <c r="R88" s="39">
        <v>102</v>
      </c>
      <c r="S88" s="17"/>
      <c r="T88" s="71">
        <v>99.324285714285708</v>
      </c>
      <c r="U88" s="20" t="s">
        <v>122</v>
      </c>
      <c r="V88" s="70">
        <v>100.82428571428571</v>
      </c>
      <c r="W88" s="20" t="s">
        <v>122</v>
      </c>
      <c r="X88" s="75"/>
      <c r="Y88" s="17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</row>
    <row r="89" spans="1:42" s="27" customFormat="1">
      <c r="A89" s="8" t="s">
        <v>65</v>
      </c>
      <c r="B89" s="8">
        <v>852</v>
      </c>
      <c r="C89" s="8"/>
      <c r="D89" s="44"/>
      <c r="E89" s="44">
        <v>97</v>
      </c>
      <c r="F89" s="44">
        <v>82</v>
      </c>
      <c r="G89" s="36">
        <v>100</v>
      </c>
      <c r="H89" s="36"/>
      <c r="I89" s="8"/>
      <c r="J89" s="8"/>
      <c r="K89" s="44">
        <v>112</v>
      </c>
      <c r="L89" s="41">
        <v>100</v>
      </c>
      <c r="M89" s="36">
        <v>0</v>
      </c>
      <c r="N89" s="25">
        <v>89.5</v>
      </c>
      <c r="O89" s="8">
        <v>0</v>
      </c>
      <c r="P89" s="8">
        <v>0</v>
      </c>
      <c r="Q89" s="62">
        <v>301.5</v>
      </c>
      <c r="R89" s="39">
        <v>109</v>
      </c>
      <c r="S89" s="17"/>
      <c r="T89" s="71">
        <v>66.644285714285715</v>
      </c>
      <c r="U89" s="20" t="s">
        <v>129</v>
      </c>
      <c r="V89" s="70">
        <v>69.644285714285715</v>
      </c>
      <c r="W89" s="20" t="s">
        <v>129</v>
      </c>
      <c r="X89" s="75"/>
      <c r="Y89" s="17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</row>
    <row r="90" spans="1:42" s="27" customFormat="1">
      <c r="A90" s="8" t="s">
        <v>75</v>
      </c>
      <c r="B90" s="8">
        <v>852</v>
      </c>
      <c r="C90" s="8"/>
      <c r="D90" s="44"/>
      <c r="E90" s="44">
        <v>90</v>
      </c>
      <c r="F90" s="44">
        <v>90</v>
      </c>
      <c r="G90" s="36">
        <v>100</v>
      </c>
      <c r="H90" s="36">
        <v>30</v>
      </c>
      <c r="I90" s="8"/>
      <c r="J90" s="8"/>
      <c r="K90" s="44">
        <v>100</v>
      </c>
      <c r="L90" s="36">
        <v>100</v>
      </c>
      <c r="M90" s="36">
        <v>100</v>
      </c>
      <c r="N90" s="25">
        <v>90</v>
      </c>
      <c r="O90" s="8">
        <v>100</v>
      </c>
      <c r="P90" s="8">
        <v>88</v>
      </c>
      <c r="Q90" s="62">
        <v>578</v>
      </c>
      <c r="R90" s="39">
        <v>103</v>
      </c>
      <c r="S90" s="17"/>
      <c r="T90" s="71">
        <v>94.192857142857136</v>
      </c>
      <c r="U90" s="20" t="s">
        <v>122</v>
      </c>
      <c r="V90" s="70">
        <v>98.692857142857136</v>
      </c>
      <c r="W90" s="20" t="s">
        <v>122</v>
      </c>
      <c r="X90" s="75"/>
      <c r="Y90" s="17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spans="1:42" s="27" customFormat="1">
      <c r="A91" s="8" t="s">
        <v>28</v>
      </c>
      <c r="B91" s="8">
        <v>102</v>
      </c>
      <c r="C91" s="8"/>
      <c r="D91" s="44"/>
      <c r="E91" s="44">
        <v>60</v>
      </c>
      <c r="F91" s="44">
        <v>64</v>
      </c>
      <c r="G91" s="36">
        <v>100</v>
      </c>
      <c r="H91" s="36">
        <v>30</v>
      </c>
      <c r="I91" s="8"/>
      <c r="J91" s="8"/>
      <c r="K91" s="44">
        <v>56</v>
      </c>
      <c r="L91" s="36">
        <v>100</v>
      </c>
      <c r="M91" s="36">
        <v>100</v>
      </c>
      <c r="N91" s="25">
        <v>62</v>
      </c>
      <c r="O91" s="8">
        <v>100</v>
      </c>
      <c r="P91" s="8">
        <v>105</v>
      </c>
      <c r="Q91" s="62">
        <v>523</v>
      </c>
      <c r="R91" s="39">
        <v>90</v>
      </c>
      <c r="S91" s="17"/>
      <c r="T91" s="71">
        <v>87.481428571428566</v>
      </c>
      <c r="U91" s="20" t="s">
        <v>124</v>
      </c>
      <c r="V91" s="70">
        <v>91.981428571428566</v>
      </c>
      <c r="W91" s="20" t="s">
        <v>123</v>
      </c>
      <c r="X91" s="75"/>
      <c r="Y91" s="17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spans="1:42" s="27" customFormat="1">
      <c r="A92" s="8" t="s">
        <v>70</v>
      </c>
      <c r="B92" s="8">
        <v>852</v>
      </c>
      <c r="C92" s="8"/>
      <c r="D92" s="44"/>
      <c r="E92" s="44">
        <v>96</v>
      </c>
      <c r="F92" s="44"/>
      <c r="G92" s="36">
        <v>100</v>
      </c>
      <c r="H92" s="36">
        <v>6</v>
      </c>
      <c r="I92" s="8"/>
      <c r="J92" s="8"/>
      <c r="K92" s="44">
        <v>99</v>
      </c>
      <c r="L92" s="36">
        <v>100</v>
      </c>
      <c r="M92" s="36">
        <v>100</v>
      </c>
      <c r="N92" s="25">
        <v>96</v>
      </c>
      <c r="O92" s="8">
        <v>0</v>
      </c>
      <c r="P92" s="8">
        <v>85</v>
      </c>
      <c r="Q92" s="62">
        <v>480</v>
      </c>
      <c r="R92" s="39">
        <v>95</v>
      </c>
      <c r="S92" s="17"/>
      <c r="T92" s="71">
        <v>87.6142857142857</v>
      </c>
      <c r="U92" s="20" t="s">
        <v>124</v>
      </c>
      <c r="V92" s="70">
        <v>90.914285714285697</v>
      </c>
      <c r="W92" s="20" t="s">
        <v>123</v>
      </c>
      <c r="X92" s="75"/>
      <c r="Y92" s="17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spans="1:42" s="27" customFormat="1">
      <c r="A93" s="8" t="s">
        <v>38</v>
      </c>
      <c r="B93" s="8">
        <v>104</v>
      </c>
      <c r="C93" s="8"/>
      <c r="D93" s="44"/>
      <c r="E93" s="44">
        <v>100</v>
      </c>
      <c r="F93" s="44"/>
      <c r="G93" s="36">
        <v>100</v>
      </c>
      <c r="H93" s="36">
        <v>30</v>
      </c>
      <c r="I93" s="8"/>
      <c r="J93" s="8"/>
      <c r="K93" s="44">
        <v>109</v>
      </c>
      <c r="L93" s="36">
        <v>100</v>
      </c>
      <c r="M93" s="36">
        <v>100</v>
      </c>
      <c r="N93" s="25">
        <v>100</v>
      </c>
      <c r="O93" s="8">
        <v>100</v>
      </c>
      <c r="P93" s="8">
        <v>89</v>
      </c>
      <c r="Q93" s="62">
        <v>598</v>
      </c>
      <c r="R93" s="39">
        <v>110</v>
      </c>
      <c r="S93" s="28"/>
      <c r="T93" s="71">
        <v>97.972857142857137</v>
      </c>
      <c r="U93" s="20" t="s">
        <v>122</v>
      </c>
      <c r="V93" s="70">
        <v>102.47285714285714</v>
      </c>
      <c r="W93" s="20" t="s">
        <v>122</v>
      </c>
      <c r="X93" s="75"/>
      <c r="Y93" s="17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spans="1:42" s="27" customFormat="1">
      <c r="A94" s="8" t="s">
        <v>25</v>
      </c>
      <c r="B94" s="8">
        <v>102</v>
      </c>
      <c r="C94" s="8"/>
      <c r="D94" s="44">
        <v>89</v>
      </c>
      <c r="E94" s="44">
        <v>103</v>
      </c>
      <c r="F94" s="44"/>
      <c r="G94" s="36"/>
      <c r="H94" s="36">
        <v>18</v>
      </c>
      <c r="I94" s="8"/>
      <c r="J94" s="8"/>
      <c r="K94" s="44">
        <v>71</v>
      </c>
      <c r="L94" s="36">
        <v>100</v>
      </c>
      <c r="M94" s="36">
        <v>0</v>
      </c>
      <c r="N94" s="25">
        <v>103</v>
      </c>
      <c r="O94" s="8">
        <v>100</v>
      </c>
      <c r="P94" s="8">
        <v>78</v>
      </c>
      <c r="Q94" s="62">
        <v>452</v>
      </c>
      <c r="R94" s="39">
        <v>86</v>
      </c>
      <c r="S94" s="17"/>
      <c r="T94" s="71">
        <v>83.737142857142857</v>
      </c>
      <c r="U94" s="20" t="s">
        <v>124</v>
      </c>
      <c r="V94" s="70">
        <v>89.087142857142865</v>
      </c>
      <c r="W94" s="20" t="s">
        <v>124</v>
      </c>
      <c r="X94" s="75"/>
      <c r="Y94" s="17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</row>
    <row r="95" spans="1:42" s="27" customFormat="1">
      <c r="A95" s="8" t="s">
        <v>7</v>
      </c>
      <c r="B95" s="8">
        <v>102</v>
      </c>
      <c r="C95" s="8"/>
      <c r="D95" s="44"/>
      <c r="E95" s="44">
        <v>64</v>
      </c>
      <c r="F95" s="44"/>
      <c r="G95" s="36">
        <v>100</v>
      </c>
      <c r="H95" s="36">
        <v>24</v>
      </c>
      <c r="I95" s="8"/>
      <c r="J95" s="8"/>
      <c r="K95" s="44">
        <v>58</v>
      </c>
      <c r="L95" s="36">
        <v>100</v>
      </c>
      <c r="M95" s="36">
        <v>100</v>
      </c>
      <c r="N95" s="25">
        <v>64</v>
      </c>
      <c r="O95" s="8">
        <v>100</v>
      </c>
      <c r="P95" s="8">
        <v>47</v>
      </c>
      <c r="Q95" s="62">
        <v>469</v>
      </c>
      <c r="R95" s="39">
        <v>93</v>
      </c>
      <c r="S95" s="28"/>
      <c r="T95" s="71">
        <v>73.997142857142862</v>
      </c>
      <c r="U95" s="20" t="s">
        <v>126</v>
      </c>
      <c r="V95" s="70">
        <v>78.197142857142865</v>
      </c>
      <c r="W95" s="20" t="s">
        <v>125</v>
      </c>
      <c r="X95" s="75"/>
      <c r="Y95" s="17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spans="1:42" s="27" customFormat="1">
      <c r="A96" s="8" t="s">
        <v>35</v>
      </c>
      <c r="B96" s="8">
        <v>104</v>
      </c>
      <c r="C96" s="8"/>
      <c r="D96" s="44"/>
      <c r="E96" s="44">
        <v>87</v>
      </c>
      <c r="F96" s="44">
        <v>109</v>
      </c>
      <c r="G96" s="36">
        <v>100</v>
      </c>
      <c r="H96" s="36"/>
      <c r="I96" s="8"/>
      <c r="J96" s="8"/>
      <c r="K96" s="44"/>
      <c r="L96" s="36">
        <v>95</v>
      </c>
      <c r="M96" s="36">
        <v>0</v>
      </c>
      <c r="N96" s="25">
        <v>98</v>
      </c>
      <c r="O96" s="8">
        <v>100</v>
      </c>
      <c r="P96" s="8">
        <v>89</v>
      </c>
      <c r="Q96" s="62">
        <v>382</v>
      </c>
      <c r="R96" s="39">
        <v>79</v>
      </c>
      <c r="S96" s="28"/>
      <c r="T96" s="71">
        <v>74.967142857142861</v>
      </c>
      <c r="U96" s="20" t="s">
        <v>129</v>
      </c>
      <c r="V96" s="70">
        <v>77.967142857142861</v>
      </c>
      <c r="W96" s="20" t="s">
        <v>129</v>
      </c>
      <c r="X96" s="75"/>
      <c r="Y96" s="17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spans="1:42" s="27" customFormat="1">
      <c r="A97" s="8" t="s">
        <v>62</v>
      </c>
      <c r="B97" s="8">
        <v>852</v>
      </c>
      <c r="C97" s="8"/>
      <c r="D97" s="44">
        <v>95</v>
      </c>
      <c r="E97" s="44">
        <v>66</v>
      </c>
      <c r="F97" s="44">
        <v>79</v>
      </c>
      <c r="G97" s="36"/>
      <c r="H97" s="36">
        <v>30</v>
      </c>
      <c r="I97" s="8"/>
      <c r="J97" s="8"/>
      <c r="K97" s="44">
        <v>96</v>
      </c>
      <c r="L97" s="36">
        <v>100</v>
      </c>
      <c r="M97" s="36">
        <v>100</v>
      </c>
      <c r="N97" s="25">
        <v>72.5</v>
      </c>
      <c r="O97" s="8">
        <v>0</v>
      </c>
      <c r="P97" s="8">
        <v>100</v>
      </c>
      <c r="Q97" s="62">
        <v>468.5</v>
      </c>
      <c r="R97" s="39">
        <v>98</v>
      </c>
      <c r="S97" s="28"/>
      <c r="T97" s="71">
        <v>88.72</v>
      </c>
      <c r="U97" s="20" t="s">
        <v>124</v>
      </c>
      <c r="V97" s="70">
        <v>94.97</v>
      </c>
      <c r="W97" s="20" t="s">
        <v>122</v>
      </c>
      <c r="X97" s="75"/>
      <c r="Y97" s="17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spans="1:42" s="27" customFormat="1">
      <c r="A98" s="8" t="s">
        <v>122</v>
      </c>
      <c r="B98" s="8">
        <v>102</v>
      </c>
      <c r="C98" s="8"/>
      <c r="D98" s="44">
        <v>100</v>
      </c>
      <c r="E98" s="44"/>
      <c r="F98" s="44"/>
      <c r="G98" s="36"/>
      <c r="H98" s="36"/>
      <c r="I98" s="8"/>
      <c r="J98" s="8"/>
      <c r="K98" s="44"/>
      <c r="L98" s="36"/>
      <c r="M98" s="36">
        <v>100</v>
      </c>
      <c r="N98" s="25">
        <v>0</v>
      </c>
      <c r="O98" s="8">
        <v>100</v>
      </c>
      <c r="P98" s="8">
        <v>89</v>
      </c>
      <c r="Q98" s="62">
        <v>289</v>
      </c>
      <c r="R98" s="39">
        <v>79</v>
      </c>
      <c r="S98" s="28"/>
      <c r="T98" s="71">
        <v>44.357142857142861</v>
      </c>
      <c r="U98" s="20" t="s">
        <v>129</v>
      </c>
      <c r="V98" s="70">
        <v>49.357142857142861</v>
      </c>
      <c r="W98" s="20" t="s">
        <v>129</v>
      </c>
      <c r="X98" s="75"/>
      <c r="Y98" s="17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 s="27" customFormat="1">
      <c r="A99" s="8" t="s">
        <v>124</v>
      </c>
      <c r="B99" s="8">
        <v>102</v>
      </c>
      <c r="C99" s="8"/>
      <c r="D99" s="44"/>
      <c r="E99" s="44">
        <v>87</v>
      </c>
      <c r="F99" s="44"/>
      <c r="G99" s="36">
        <v>100</v>
      </c>
      <c r="H99" s="36">
        <v>20</v>
      </c>
      <c r="I99" s="8"/>
      <c r="J99" s="8"/>
      <c r="K99" s="44">
        <v>95</v>
      </c>
      <c r="L99" s="36">
        <v>100</v>
      </c>
      <c r="M99" s="36">
        <v>100</v>
      </c>
      <c r="N99" s="25">
        <v>87</v>
      </c>
      <c r="O99" s="8">
        <v>100</v>
      </c>
      <c r="P99" s="8">
        <v>100</v>
      </c>
      <c r="Q99" s="62">
        <v>582</v>
      </c>
      <c r="R99" s="39">
        <v>97</v>
      </c>
      <c r="S99" s="28"/>
      <c r="T99" s="71">
        <v>95.161428571428573</v>
      </c>
      <c r="U99" s="20" t="s">
        <v>122</v>
      </c>
      <c r="V99" s="70">
        <v>99.161428571428573</v>
      </c>
      <c r="W99" s="20" t="s">
        <v>122</v>
      </c>
      <c r="X99" s="75"/>
      <c r="Y99" s="1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spans="1:42" s="27" customFormat="1">
      <c r="A100" s="8" t="s">
        <v>126</v>
      </c>
      <c r="B100" s="8">
        <v>852</v>
      </c>
      <c r="C100" s="8"/>
      <c r="D100" s="44"/>
      <c r="E100" s="44">
        <v>88</v>
      </c>
      <c r="F100" s="44">
        <v>100</v>
      </c>
      <c r="G100" s="36"/>
      <c r="H100" s="36"/>
      <c r="I100" s="8"/>
      <c r="J100" s="8"/>
      <c r="K100" s="44">
        <v>104</v>
      </c>
      <c r="L100" s="36"/>
      <c r="M100" s="36">
        <v>0</v>
      </c>
      <c r="N100" s="25">
        <v>94</v>
      </c>
      <c r="O100" s="8">
        <v>0</v>
      </c>
      <c r="P100" s="8">
        <v>0</v>
      </c>
      <c r="Q100" s="62">
        <v>198</v>
      </c>
      <c r="R100" s="39">
        <v>65</v>
      </c>
      <c r="S100" s="28"/>
      <c r="T100" s="71">
        <v>35.367142857142852</v>
      </c>
      <c r="U100" s="20" t="s">
        <v>129</v>
      </c>
      <c r="V100" s="70">
        <v>35.367142857142852</v>
      </c>
      <c r="W100" s="20" t="s">
        <v>129</v>
      </c>
      <c r="X100" s="75"/>
      <c r="Y100" s="17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</row>
    <row r="101" spans="1:42">
      <c r="Q101" s="31"/>
      <c r="R101" s="17"/>
      <c r="S101" s="30"/>
      <c r="T101" s="30"/>
      <c r="U101" s="30"/>
      <c r="V101" s="30"/>
      <c r="W101" s="30"/>
    </row>
    <row r="102" spans="1:42">
      <c r="A102" s="6"/>
      <c r="C102" s="6"/>
      <c r="D102" s="12"/>
      <c r="E102" s="12"/>
      <c r="F102" s="34"/>
      <c r="G102" s="12"/>
      <c r="H102" s="25"/>
      <c r="I102" s="6"/>
      <c r="J102" s="6"/>
      <c r="K102" s="12"/>
      <c r="L102" s="12"/>
      <c r="M102" s="12"/>
      <c r="N102" s="12"/>
      <c r="O102" s="12"/>
      <c r="P102" s="12"/>
      <c r="Q102" s="52"/>
    </row>
    <row r="103" spans="1:42">
      <c r="A103" s="6"/>
      <c r="C103" s="6"/>
      <c r="D103" s="12"/>
      <c r="E103" s="12"/>
      <c r="F103" s="12"/>
      <c r="G103" s="12"/>
      <c r="H103" s="25"/>
      <c r="I103" s="6"/>
      <c r="J103" s="6"/>
      <c r="K103" s="12"/>
      <c r="L103" s="12"/>
      <c r="M103" s="12"/>
      <c r="N103" s="12"/>
      <c r="O103" s="12"/>
      <c r="P103" s="12"/>
      <c r="Q103" s="52"/>
    </row>
    <row r="104" spans="1:42">
      <c r="A104" s="35"/>
      <c r="C104" s="35"/>
      <c r="D104" s="12"/>
      <c r="E104" s="12"/>
      <c r="F104" s="12"/>
      <c r="G104" s="12"/>
      <c r="H104" s="25"/>
      <c r="I104" s="35"/>
      <c r="J104" s="35"/>
      <c r="K104" s="12"/>
      <c r="L104" s="12"/>
      <c r="M104" s="12"/>
      <c r="N104" s="12"/>
      <c r="O104" s="12"/>
      <c r="P104" s="12"/>
      <c r="Q104" s="52"/>
    </row>
    <row r="105" spans="1:42">
      <c r="A105" s="6"/>
      <c r="C105" s="6"/>
      <c r="D105" s="12"/>
      <c r="E105" s="12"/>
      <c r="F105" s="34"/>
      <c r="G105" s="12"/>
      <c r="H105" s="25"/>
      <c r="I105" s="6"/>
      <c r="J105" s="6"/>
      <c r="K105" s="12"/>
      <c r="L105" s="12"/>
      <c r="M105" s="12"/>
      <c r="N105" s="12"/>
      <c r="O105" s="12"/>
      <c r="P105" s="12"/>
      <c r="Q105" s="52"/>
    </row>
    <row r="106" spans="1:42">
      <c r="A106" s="6"/>
      <c r="C106" s="6"/>
      <c r="D106" s="12"/>
      <c r="E106" s="12"/>
      <c r="F106" s="12"/>
      <c r="G106" s="12"/>
      <c r="H106" s="25"/>
      <c r="I106" s="6"/>
      <c r="J106" s="6"/>
      <c r="K106" s="12"/>
      <c r="L106" s="12"/>
      <c r="M106" s="12"/>
      <c r="N106" s="12"/>
      <c r="O106" s="12"/>
      <c r="P106" s="12"/>
      <c r="Q106" s="52"/>
    </row>
    <row r="107" spans="1:42">
      <c r="A107" s="6"/>
      <c r="C107" s="6"/>
      <c r="D107" s="12"/>
      <c r="E107" s="12"/>
      <c r="F107" s="12"/>
      <c r="G107" s="12"/>
      <c r="H107" s="48"/>
      <c r="I107" s="6"/>
      <c r="J107" s="6"/>
      <c r="K107" s="12"/>
      <c r="L107" s="12"/>
      <c r="M107" s="12"/>
      <c r="N107" s="12"/>
      <c r="O107" s="12"/>
      <c r="P107" s="12"/>
      <c r="Q107" s="52"/>
    </row>
    <row r="108" spans="1:42">
      <c r="A108" s="6"/>
      <c r="C108" s="6"/>
      <c r="D108" s="12"/>
      <c r="E108" s="12"/>
      <c r="F108" s="34"/>
      <c r="G108" s="12"/>
      <c r="H108" s="48"/>
      <c r="I108" s="6"/>
      <c r="J108" s="6"/>
      <c r="K108" s="12"/>
      <c r="L108" s="12"/>
      <c r="M108" s="12"/>
      <c r="N108" s="12"/>
      <c r="O108" s="12"/>
      <c r="P108" s="12"/>
      <c r="Q108" s="52"/>
    </row>
    <row r="109" spans="1:42">
      <c r="D109" s="32"/>
      <c r="E109" s="12"/>
      <c r="F109" s="12"/>
      <c r="G109" s="12"/>
      <c r="H109" s="48"/>
      <c r="K109" s="12"/>
      <c r="L109" s="12"/>
      <c r="M109" s="12"/>
      <c r="N109" s="12"/>
      <c r="O109" s="12"/>
      <c r="P109" s="12"/>
      <c r="Q109" s="52"/>
    </row>
    <row r="110" spans="1:42">
      <c r="A110" s="32"/>
      <c r="C110" s="32"/>
      <c r="D110" s="12"/>
      <c r="E110" s="32"/>
      <c r="F110" s="32"/>
      <c r="G110" s="12"/>
      <c r="H110" s="48"/>
      <c r="I110" s="32"/>
      <c r="J110" s="32"/>
      <c r="K110" s="32"/>
      <c r="L110" s="32"/>
      <c r="M110" s="32"/>
      <c r="N110" s="32"/>
      <c r="O110" s="32"/>
      <c r="P110" s="32"/>
      <c r="Q110" s="53"/>
    </row>
    <row r="111" spans="1:42">
      <c r="A111" s="3"/>
      <c r="C111" s="33"/>
      <c r="D111" s="33"/>
      <c r="E111" s="33"/>
      <c r="F111" s="33"/>
      <c r="G111" s="12"/>
      <c r="H111" s="48"/>
      <c r="I111" s="33"/>
      <c r="J111" s="33"/>
      <c r="K111" s="6"/>
      <c r="L111" s="6"/>
      <c r="M111" s="6"/>
      <c r="N111" s="6"/>
      <c r="O111" s="6"/>
      <c r="P111" s="6"/>
      <c r="Q111" s="51"/>
    </row>
    <row r="112" spans="1:42">
      <c r="A112" s="3"/>
      <c r="G112" s="12"/>
    </row>
    <row r="113" spans="1:8">
      <c r="A113" s="6"/>
      <c r="G113" s="12"/>
    </row>
    <row r="114" spans="1:8">
      <c r="A114" s="6"/>
      <c r="G114" s="12"/>
    </row>
    <row r="115" spans="1:8">
      <c r="A115" s="6"/>
      <c r="G115" s="12"/>
    </row>
    <row r="116" spans="1:8">
      <c r="A116" s="35"/>
      <c r="G116" s="12"/>
    </row>
    <row r="117" spans="1:8">
      <c r="A117" s="6"/>
      <c r="G117" s="12"/>
    </row>
    <row r="118" spans="1:8">
      <c r="A118" s="6"/>
      <c r="G118" s="12"/>
    </row>
    <row r="119" spans="1:8">
      <c r="A119" s="6"/>
      <c r="H119" s="47"/>
    </row>
    <row r="120" spans="1:8">
      <c r="A120" s="6"/>
    </row>
  </sheetData>
  <printOptions headings="1" gridLines="1" gridLinesSet="0"/>
  <pageMargins left="0.3" right="0.3" top="0.8" bottom="0" header="0.5" footer="0.5"/>
  <pageSetup scale="81" orientation="landscape" horizontalDpi="4294967292" verticalDpi="4294967292"/>
  <headerFooter alignWithMargins="0">
    <oddFooter>677F98 Grading 12/21/98&amp;RPage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5-1-00</vt:lpstr>
      <vt:lpstr>Average</vt:lpstr>
      <vt:lpstr>citations</vt:lpstr>
      <vt:lpstr>Cutoff</vt:lpstr>
      <vt:lpstr>'5-1-00'!Print_Area</vt:lpstr>
      <vt:lpstr>Record</vt:lpstr>
      <vt:lpstr>semester_projects</vt:lpstr>
      <vt:lpstr>Sum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2000-05-14T15:38:06Z</dcterms:created>
  <dcterms:modified xsi:type="dcterms:W3CDTF">2020-01-27T11:19:54Z</dcterms:modified>
</cp:coreProperties>
</file>