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B90B35-0748-461B-B70D-68CAC606FB47}" xr6:coauthVersionLast="45" xr6:coauthVersionMax="45" xr10:uidLastSave="{00000000-0000-0000-0000-000000000000}"/>
  <bookViews>
    <workbookView xWindow="3420" yWindow="3420" windowWidth="28800" windowHeight="15460"/>
  </bookViews>
  <sheets>
    <sheet name="Final Grades" sheetId="1" r:id="rId1"/>
    <sheet name="Homework" sheetId="2" r:id="rId2"/>
    <sheet name="Labs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calcChain.xml><?xml version="1.0" encoding="utf-8"?>
<calcChain xmlns="http://schemas.openxmlformats.org/spreadsheetml/2006/main">
  <c r="B3" i="1" l="1"/>
  <c r="B3" i="1" a="1"/>
  <c r="C3" i="1"/>
  <c r="C3" i="1" a="1"/>
  <c r="H3" i="1"/>
  <c r="I3" i="1"/>
  <c r="J3" i="1"/>
  <c r="B4" i="1"/>
  <c r="C4" i="1"/>
  <c r="H4" i="1"/>
  <c r="I4" i="1"/>
  <c r="J4" i="1"/>
  <c r="B5" i="1"/>
  <c r="C5" i="1"/>
  <c r="H5" i="1"/>
  <c r="I5" i="1"/>
  <c r="J5" i="1"/>
  <c r="B6" i="1"/>
  <c r="C6" i="1"/>
  <c r="H6" i="1"/>
  <c r="I6" i="1"/>
  <c r="J6" i="1"/>
  <c r="B7" i="1"/>
  <c r="C7" i="1"/>
  <c r="H7" i="1"/>
  <c r="I7" i="1"/>
  <c r="J7" i="1"/>
  <c r="B8" i="1"/>
  <c r="C8" i="1"/>
  <c r="H8" i="1"/>
  <c r="I8" i="1"/>
  <c r="J8" i="1"/>
  <c r="H10" i="1"/>
  <c r="I10" i="1"/>
  <c r="J10" i="1"/>
  <c r="I3" i="2"/>
  <c r="J3" i="2"/>
  <c r="I4" i="2"/>
  <c r="J4" i="2"/>
  <c r="I5" i="2"/>
  <c r="J5" i="2"/>
  <c r="I6" i="2"/>
  <c r="J6" i="2"/>
  <c r="I7" i="2"/>
  <c r="J7" i="2"/>
  <c r="I8" i="2"/>
  <c r="J8" i="2"/>
  <c r="I10" i="2"/>
  <c r="J10" i="2"/>
  <c r="G3" i="3"/>
  <c r="H3" i="3"/>
  <c r="G4" i="3"/>
  <c r="H4" i="3"/>
  <c r="G5" i="3"/>
  <c r="H5" i="3"/>
  <c r="G6" i="3"/>
  <c r="H6" i="3"/>
  <c r="G7" i="3"/>
  <c r="H7" i="3"/>
  <c r="G8" i="3"/>
  <c r="H8" i="3"/>
  <c r="G10" i="3"/>
  <c r="H10" i="3"/>
</calcChain>
</file>

<file path=xl/sharedStrings.xml><?xml version="1.0" encoding="utf-8"?>
<sst xmlns="http://schemas.openxmlformats.org/spreadsheetml/2006/main" count="43" uniqueCount="26">
  <si>
    <t>HW</t>
  </si>
  <si>
    <t xml:space="preserve"> Labs</t>
  </si>
  <si>
    <t xml:space="preserve"> Ex 1</t>
  </si>
  <si>
    <t xml:space="preserve"> Ex 2</t>
  </si>
  <si>
    <t>Ex 3</t>
  </si>
  <si>
    <t>Final</t>
  </si>
  <si>
    <t>Grand</t>
  </si>
  <si>
    <t>%</t>
  </si>
  <si>
    <t>Total</t>
  </si>
  <si>
    <t>Bowman, Richard</t>
  </si>
  <si>
    <t>Curie, Marie</t>
  </si>
  <si>
    <t>Einstein, Albert</t>
  </si>
  <si>
    <t>Galiiei, Galileo</t>
  </si>
  <si>
    <t>Kepler, Johannes</t>
  </si>
  <si>
    <t>Newton, Isaac</t>
  </si>
  <si>
    <t>Perfect, I. M.</t>
  </si>
  <si>
    <t xml:space="preserve"> </t>
  </si>
  <si>
    <t>CHAPTER</t>
  </si>
  <si>
    <t>Score</t>
  </si>
  <si>
    <t>Galilei, Galileo</t>
  </si>
  <si>
    <t>OK</t>
  </si>
  <si>
    <t>Metric</t>
  </si>
  <si>
    <t>Accel</t>
  </si>
  <si>
    <t>Force</t>
  </si>
  <si>
    <t>Energy</t>
  </si>
  <si>
    <t>Friction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</si>
</sst>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7" x14ac:knownFonts="1">
    <font>
      <sz val="10"/>
      <name val="Arial"/>
    </font>
    <font>
      <sz val="10"/>
      <color indexed="8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172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Border="1"/>
    <xf numFmtId="0" fontId="1" fillId="0" borderId="0" xfId="0" applyFont="1" applyBorder="1"/>
    <xf numFmtId="172" fontId="2" fillId="0" borderId="0" xfId="0" applyNumberFormat="1" applyFont="1"/>
    <xf numFmtId="0" fontId="3" fillId="0" borderId="0" xfId="0" applyFont="1" applyBorder="1"/>
    <xf numFmtId="0" fontId="2" fillId="0" borderId="0" xfId="0" applyFont="1" applyBorder="1"/>
    <xf numFmtId="0" fontId="4" fillId="0" borderId="0" xfId="0" applyFont="1" applyAlignment="1">
      <alignment horizontal="center"/>
    </xf>
    <xf numFmtId="0" fontId="5" fillId="0" borderId="0" xfId="0" applyFont="1"/>
    <xf numFmtId="172" fontId="5" fillId="0" borderId="0" xfId="0" applyNumberFormat="1" applyFont="1"/>
    <xf numFmtId="1" fontId="5" fillId="0" borderId="0" xfId="0" applyNumberFormat="1" applyFont="1"/>
    <xf numFmtId="0" fontId="5" fillId="0" borderId="0" xfId="0" applyFont="1" applyAlignment="1">
      <alignment horizontal="right"/>
    </xf>
    <xf numFmtId="0" fontId="6" fillId="0" borderId="0" xfId="0" applyFont="1" applyBorder="1"/>
    <xf numFmtId="0" fontId="5" fillId="0" borderId="0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abSelected="1" workbookViewId="0"/>
  </sheetViews>
  <sheetFormatPr defaultRowHeight="12.5" x14ac:dyDescent="0.25"/>
  <cols>
    <col min="1" max="1" width="23.7265625" customWidth="1"/>
    <col min="2" max="8" width="5.7265625" customWidth="1"/>
    <col min="9" max="9" width="7.1796875" customWidth="1"/>
    <col min="10" max="10" width="5.7265625" customWidth="1"/>
    <col min="11" max="11" width="6.7265625" customWidth="1"/>
  </cols>
  <sheetData>
    <row r="1" spans="1:11" ht="16" customHeight="1" x14ac:dyDescent="0.35">
      <c r="A1" s="4"/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/>
    </row>
    <row r="2" spans="1:11" ht="16" customHeight="1" x14ac:dyDescent="0.35">
      <c r="A2" s="4"/>
      <c r="B2" s="10"/>
      <c r="C2" s="10"/>
      <c r="D2" s="10"/>
      <c r="E2" s="10"/>
      <c r="F2" s="10"/>
      <c r="G2" s="10"/>
      <c r="H2" s="10" t="s">
        <v>8</v>
      </c>
      <c r="I2" s="10"/>
      <c r="J2" s="10"/>
    </row>
    <row r="3" spans="1:11" ht="16" customHeight="1" x14ac:dyDescent="0.3">
      <c r="A3" s="11" t="s">
        <v>9</v>
      </c>
      <c r="B3" s="16">
        <f t="array" ref="B3:B8">Homework!$J$3:$J$8</f>
        <v>47.142857142857139</v>
      </c>
      <c r="C3" s="11">
        <f t="array" ref="C3:C8">Labs!$H$3:$H$8</f>
        <v>128</v>
      </c>
      <c r="D3" s="11">
        <v>88</v>
      </c>
      <c r="E3" s="11">
        <v>78</v>
      </c>
      <c r="F3" s="11">
        <v>91</v>
      </c>
      <c r="G3" s="11">
        <v>177</v>
      </c>
      <c r="H3" s="13">
        <f t="shared" ref="H3:H8" si="0">SUM(B3:G3)</f>
        <v>609.14285714285711</v>
      </c>
      <c r="I3" s="12">
        <f>H3*100/700</f>
        <v>87.020408163265301</v>
      </c>
      <c r="J3" s="10" t="str">
        <f>IF(I3&gt;=89,"A",IF(I3&gt;=79,"B",IF(I3&gt;=69,"C",IF(I3&gt;=59,"D","F"))))</f>
        <v>B</v>
      </c>
    </row>
    <row r="4" spans="1:11" ht="16" customHeight="1" x14ac:dyDescent="0.3">
      <c r="A4" s="11" t="s">
        <v>10</v>
      </c>
      <c r="B4" s="16">
        <v>59.142857142857146</v>
      </c>
      <c r="C4" s="11">
        <v>137.33333333333334</v>
      </c>
      <c r="D4" s="11">
        <v>99</v>
      </c>
      <c r="E4" s="11">
        <v>97</v>
      </c>
      <c r="F4" s="11">
        <v>95</v>
      </c>
      <c r="G4" s="11">
        <v>196</v>
      </c>
      <c r="H4" s="13">
        <f t="shared" si="0"/>
        <v>683.47619047619048</v>
      </c>
      <c r="I4" s="12">
        <f t="shared" ref="I4:I8" si="1">H4*100/700</f>
        <v>97.639455782312936</v>
      </c>
      <c r="J4" s="10" t="str">
        <f t="shared" ref="J4:J8" si="2">IF(I4&gt;=89,"A",IF(I4&gt;=79,"B",IF(I4&gt;=69,"C",IF(I4&gt;=59,"D","F"))))</f>
        <v>A</v>
      </c>
      <c r="K4" s="2"/>
    </row>
    <row r="5" spans="1:11" ht="16" customHeight="1" x14ac:dyDescent="0.3">
      <c r="A5" s="11" t="s">
        <v>11</v>
      </c>
      <c r="B5" s="16">
        <v>59.142857142857146</v>
      </c>
      <c r="C5" s="11">
        <v>132</v>
      </c>
      <c r="D5" s="11">
        <v>77</v>
      </c>
      <c r="E5" s="11">
        <v>93</v>
      </c>
      <c r="F5" s="11">
        <v>98</v>
      </c>
      <c r="G5" s="11">
        <v>199</v>
      </c>
      <c r="H5" s="13">
        <f t="shared" si="0"/>
        <v>658.14285714285711</v>
      </c>
      <c r="I5" s="12">
        <f t="shared" si="1"/>
        <v>94.020408163265301</v>
      </c>
      <c r="J5" s="10" t="str">
        <f t="shared" si="2"/>
        <v>A</v>
      </c>
      <c r="K5" s="2"/>
    </row>
    <row r="6" spans="1:11" ht="16" customHeight="1" x14ac:dyDescent="0.3">
      <c r="A6" s="11" t="s">
        <v>12</v>
      </c>
      <c r="B6" s="16">
        <v>59.142857142857146</v>
      </c>
      <c r="C6" s="11">
        <v>133.33333333333334</v>
      </c>
      <c r="D6" s="11">
        <v>89</v>
      </c>
      <c r="E6" s="11">
        <v>89</v>
      </c>
      <c r="F6" s="11">
        <v>89</v>
      </c>
      <c r="G6" s="11">
        <v>182</v>
      </c>
      <c r="H6" s="13">
        <f t="shared" si="0"/>
        <v>641.47619047619048</v>
      </c>
      <c r="I6" s="12">
        <f t="shared" si="1"/>
        <v>91.639455782312922</v>
      </c>
      <c r="J6" s="10" t="str">
        <f t="shared" si="2"/>
        <v>A</v>
      </c>
      <c r="K6" s="2"/>
    </row>
    <row r="7" spans="1:11" ht="16" customHeight="1" x14ac:dyDescent="0.3">
      <c r="A7" s="11" t="s">
        <v>13</v>
      </c>
      <c r="B7" s="16">
        <v>59.142857142857146</v>
      </c>
      <c r="C7" s="11">
        <v>137.33333333333334</v>
      </c>
      <c r="D7" s="11">
        <v>91</v>
      </c>
      <c r="E7" s="11">
        <v>93</v>
      </c>
      <c r="F7" s="11">
        <v>95</v>
      </c>
      <c r="G7" s="11">
        <v>190</v>
      </c>
      <c r="H7" s="13">
        <f t="shared" si="0"/>
        <v>665.47619047619048</v>
      </c>
      <c r="I7" s="12">
        <f t="shared" si="1"/>
        <v>95.068027210884367</v>
      </c>
      <c r="J7" s="10" t="str">
        <f t="shared" si="2"/>
        <v>A</v>
      </c>
      <c r="K7" s="2"/>
    </row>
    <row r="8" spans="1:11" ht="16" customHeight="1" x14ac:dyDescent="0.3">
      <c r="A8" s="11" t="s">
        <v>14</v>
      </c>
      <c r="B8" s="16">
        <v>60</v>
      </c>
      <c r="C8" s="11">
        <v>140</v>
      </c>
      <c r="D8" s="11">
        <v>95</v>
      </c>
      <c r="E8" s="11">
        <v>95</v>
      </c>
      <c r="F8" s="11">
        <v>95</v>
      </c>
      <c r="G8" s="11">
        <v>190</v>
      </c>
      <c r="H8" s="13">
        <f t="shared" si="0"/>
        <v>675</v>
      </c>
      <c r="I8" s="12">
        <f t="shared" si="1"/>
        <v>96.428571428571431</v>
      </c>
      <c r="J8" s="10" t="str">
        <f t="shared" si="2"/>
        <v>A</v>
      </c>
      <c r="K8" s="2"/>
    </row>
    <row r="9" spans="1:11" ht="16" customHeight="1" x14ac:dyDescent="0.3">
      <c r="A9" s="11"/>
      <c r="B9" s="12"/>
      <c r="C9" s="12"/>
      <c r="D9" s="11"/>
      <c r="E9" s="11"/>
      <c r="F9" s="11"/>
      <c r="G9" s="11"/>
      <c r="H9" s="13"/>
      <c r="I9" s="12"/>
      <c r="J9" s="1"/>
      <c r="K9" s="2"/>
    </row>
    <row r="10" spans="1:11" ht="16" customHeight="1" x14ac:dyDescent="0.3">
      <c r="A10" s="11" t="s">
        <v>15</v>
      </c>
      <c r="B10" s="11">
        <v>60</v>
      </c>
      <c r="C10" s="11">
        <v>140</v>
      </c>
      <c r="D10" s="11">
        <v>100</v>
      </c>
      <c r="E10" s="11">
        <v>100</v>
      </c>
      <c r="F10" s="11">
        <v>100</v>
      </c>
      <c r="G10" s="11">
        <v>200</v>
      </c>
      <c r="H10" s="13">
        <f>SUM(B10:G10)</f>
        <v>700</v>
      </c>
      <c r="I10" s="12">
        <f>H10*100/700</f>
        <v>100</v>
      </c>
      <c r="J10" s="10" t="str">
        <f>IF(I10&gt;=89,"A",IF(I10&gt;=79,"B",IF(I10&gt;=69,"C",IF(I10&gt;=59,"D","F"))))</f>
        <v>A</v>
      </c>
      <c r="K10" s="2"/>
    </row>
    <row r="11" spans="1:11" ht="16" customHeight="1" x14ac:dyDescent="0.35">
      <c r="A11" s="4"/>
      <c r="B11" s="7"/>
      <c r="C11" s="7"/>
      <c r="D11" s="4"/>
      <c r="E11" s="4"/>
      <c r="F11" s="4"/>
      <c r="G11" s="4"/>
      <c r="H11" s="4"/>
      <c r="I11" s="4"/>
      <c r="J11" s="1"/>
      <c r="K11" s="2"/>
    </row>
    <row r="12" spans="1:11" ht="16" customHeight="1" x14ac:dyDescent="0.25">
      <c r="B12" s="2"/>
      <c r="C12" s="2"/>
      <c r="J12" s="1"/>
      <c r="K12" s="2"/>
    </row>
    <row r="13" spans="1:11" ht="16" customHeight="1" x14ac:dyDescent="0.25">
      <c r="B13" s="2"/>
      <c r="C13" s="2"/>
      <c r="J13" s="1"/>
      <c r="K13" s="2"/>
    </row>
    <row r="14" spans="1:11" ht="16" customHeight="1" x14ac:dyDescent="0.25">
      <c r="B14" s="2"/>
      <c r="C14" s="2"/>
      <c r="J14" s="1"/>
      <c r="K14" s="2"/>
    </row>
    <row r="15" spans="1:11" ht="16" customHeight="1" x14ac:dyDescent="0.25">
      <c r="B15" s="2"/>
      <c r="C15" s="2"/>
      <c r="J15" s="1"/>
      <c r="K15" s="2"/>
    </row>
    <row r="16" spans="1:11" ht="16" customHeight="1" x14ac:dyDescent="0.25">
      <c r="B16" s="2"/>
      <c r="C16" s="2"/>
      <c r="J16" s="1"/>
      <c r="K16" s="2"/>
    </row>
    <row r="17" spans="2:11" ht="16" customHeight="1" x14ac:dyDescent="0.25">
      <c r="B17" s="2"/>
      <c r="C17" s="2"/>
      <c r="J17" s="1"/>
      <c r="K17" s="2"/>
    </row>
    <row r="18" spans="2:11" ht="16" customHeight="1" x14ac:dyDescent="0.25">
      <c r="B18" s="2"/>
      <c r="C18" s="2"/>
      <c r="J18" s="1"/>
      <c r="K18" s="2"/>
    </row>
    <row r="19" spans="2:11" ht="16" customHeight="1" x14ac:dyDescent="0.25">
      <c r="B19" s="2"/>
      <c r="C19" s="2"/>
      <c r="J19" s="1"/>
      <c r="K19" s="2"/>
    </row>
    <row r="20" spans="2:11" ht="16" customHeight="1" x14ac:dyDescent="0.25">
      <c r="B20" s="2"/>
      <c r="C20" s="2"/>
      <c r="J20" s="1"/>
      <c r="K20" s="2"/>
    </row>
    <row r="21" spans="2:11" ht="16" customHeight="1" x14ac:dyDescent="0.25">
      <c r="B21" s="2"/>
      <c r="C21" s="2"/>
      <c r="J21" s="1"/>
      <c r="K21" s="2"/>
    </row>
    <row r="22" spans="2:11" ht="16" customHeight="1" x14ac:dyDescent="0.25">
      <c r="B22" s="2"/>
      <c r="C22" s="2"/>
      <c r="J22" s="1"/>
      <c r="K22" s="2"/>
    </row>
    <row r="23" spans="2:11" ht="16" customHeight="1" x14ac:dyDescent="0.25">
      <c r="B23" s="2"/>
      <c r="C23" s="2"/>
      <c r="J23" s="1"/>
      <c r="K23" s="2"/>
    </row>
    <row r="24" spans="2:11" ht="16" customHeight="1" x14ac:dyDescent="0.25">
      <c r="B24" s="2"/>
      <c r="C24" s="2"/>
      <c r="J24" s="1"/>
      <c r="K24" s="2"/>
    </row>
    <row r="25" spans="2:11" ht="16" customHeight="1" x14ac:dyDescent="0.25">
      <c r="B25" s="2"/>
      <c r="C25" s="2"/>
      <c r="J25" s="1"/>
      <c r="K25" s="2"/>
    </row>
    <row r="26" spans="2:11" ht="16" customHeight="1" x14ac:dyDescent="0.25">
      <c r="B26" s="2"/>
      <c r="C26" s="2"/>
      <c r="J26" s="1"/>
      <c r="K26" s="2"/>
    </row>
    <row r="27" spans="2:11" ht="16" customHeight="1" x14ac:dyDescent="0.25">
      <c r="B27" s="2"/>
      <c r="C27" s="2"/>
      <c r="J27" s="1"/>
      <c r="K27" s="2"/>
    </row>
    <row r="28" spans="2:11" ht="16" customHeight="1" x14ac:dyDescent="0.25">
      <c r="B28" s="2"/>
      <c r="C28" s="2"/>
      <c r="J28" s="1"/>
      <c r="K28" s="2"/>
    </row>
    <row r="29" spans="2:11" ht="16" customHeight="1" x14ac:dyDescent="0.25">
      <c r="B29" s="2"/>
      <c r="C29" s="2"/>
      <c r="J29" s="1"/>
      <c r="K29" s="2"/>
    </row>
    <row r="30" spans="2:11" ht="16" customHeight="1" x14ac:dyDescent="0.25">
      <c r="B30" s="2"/>
      <c r="C30" s="2"/>
      <c r="J30" s="1"/>
      <c r="K30" s="2"/>
    </row>
    <row r="31" spans="2:11" ht="16" customHeight="1" x14ac:dyDescent="0.25">
      <c r="B31" s="2"/>
      <c r="C31" s="2"/>
      <c r="J31" s="1"/>
      <c r="K31" s="2"/>
    </row>
    <row r="32" spans="2:11" ht="16" customHeight="1" x14ac:dyDescent="0.25">
      <c r="B32" s="2"/>
      <c r="C32" s="2"/>
      <c r="J32" s="1"/>
      <c r="K32" s="2"/>
    </row>
    <row r="33" spans="2:11" ht="16" customHeight="1" x14ac:dyDescent="0.25">
      <c r="B33" s="2"/>
      <c r="C33" s="2"/>
      <c r="J33" s="1"/>
      <c r="K33" s="2"/>
    </row>
    <row r="34" spans="2:11" ht="16" customHeight="1" x14ac:dyDescent="0.25">
      <c r="B34" s="2"/>
      <c r="C34" s="2"/>
      <c r="J34" s="1"/>
    </row>
    <row r="35" spans="2:11" ht="16" customHeight="1" x14ac:dyDescent="0.25">
      <c r="B35" s="2"/>
      <c r="C35" s="2"/>
      <c r="J35" s="1"/>
    </row>
    <row r="36" spans="2:11" ht="16" customHeight="1" x14ac:dyDescent="0.25">
      <c r="B36" s="2"/>
      <c r="C36" s="2"/>
      <c r="J36" s="1"/>
    </row>
    <row r="37" spans="2:11" ht="16" customHeight="1" x14ac:dyDescent="0.25">
      <c r="B37" s="2"/>
      <c r="C37" s="2"/>
      <c r="G37" t="s">
        <v>16</v>
      </c>
      <c r="J37" s="1"/>
    </row>
    <row r="38" spans="2:11" ht="16" customHeight="1" x14ac:dyDescent="0.25">
      <c r="B38" s="2"/>
      <c r="C38" s="2"/>
      <c r="J38" s="1"/>
    </row>
    <row r="39" spans="2:11" ht="16" customHeight="1" x14ac:dyDescent="0.25">
      <c r="B39" s="2"/>
      <c r="C39" s="2"/>
      <c r="J39" s="1"/>
    </row>
    <row r="40" spans="2:11" ht="16" customHeight="1" x14ac:dyDescent="0.25">
      <c r="B40" s="2"/>
      <c r="C40" s="2"/>
      <c r="J40" s="1"/>
    </row>
    <row r="41" spans="2:11" ht="16" customHeight="1" x14ac:dyDescent="0.25">
      <c r="B41" s="2"/>
      <c r="C41" s="2"/>
      <c r="J41" s="1"/>
    </row>
    <row r="42" spans="2:11" ht="16" customHeight="1" x14ac:dyDescent="0.25">
      <c r="B42" s="2"/>
      <c r="C42" s="2"/>
      <c r="J42" s="1"/>
    </row>
    <row r="43" spans="2:11" ht="16" customHeight="1" x14ac:dyDescent="0.25">
      <c r="B43" s="2"/>
      <c r="C43" s="2"/>
      <c r="J43" s="1"/>
    </row>
    <row r="44" spans="2:11" ht="16" customHeight="1" x14ac:dyDescent="0.25">
      <c r="B44" s="2"/>
      <c r="C44" s="2"/>
      <c r="J44" s="1"/>
    </row>
    <row r="45" spans="2:11" x14ac:dyDescent="0.25">
      <c r="B45" s="2"/>
      <c r="C45" s="2"/>
      <c r="J45" s="1"/>
    </row>
    <row r="46" spans="2:11" x14ac:dyDescent="0.25">
      <c r="B46" s="2"/>
      <c r="C46" s="2"/>
      <c r="J46" s="1"/>
    </row>
    <row r="47" spans="2:11" x14ac:dyDescent="0.25">
      <c r="B47" s="2"/>
      <c r="C47" s="2"/>
      <c r="J47" s="1"/>
    </row>
    <row r="48" spans="2:11" x14ac:dyDescent="0.25">
      <c r="B48" s="2"/>
      <c r="C48" s="2"/>
      <c r="J48" s="1"/>
    </row>
    <row r="49" spans="2:10" x14ac:dyDescent="0.25">
      <c r="B49" s="2"/>
      <c r="C49" s="2"/>
      <c r="J49" s="1"/>
    </row>
    <row r="50" spans="2:10" x14ac:dyDescent="0.25">
      <c r="B50" s="2"/>
      <c r="C50" s="2"/>
      <c r="J50" s="1"/>
    </row>
    <row r="51" spans="2:10" x14ac:dyDescent="0.25">
      <c r="B51" s="2"/>
      <c r="C51" s="2"/>
      <c r="J51" s="1"/>
    </row>
    <row r="52" spans="2:10" x14ac:dyDescent="0.25">
      <c r="B52" s="2"/>
      <c r="C52" s="2"/>
      <c r="J52" s="1"/>
    </row>
    <row r="53" spans="2:10" x14ac:dyDescent="0.25">
      <c r="B53" s="2"/>
      <c r="C53" s="2"/>
      <c r="J53" s="1"/>
    </row>
    <row r="54" spans="2:10" x14ac:dyDescent="0.25">
      <c r="B54" s="2"/>
      <c r="C54" s="2"/>
      <c r="J54" s="1"/>
    </row>
    <row r="55" spans="2:10" x14ac:dyDescent="0.25">
      <c r="B55" s="2"/>
      <c r="C55" s="2"/>
      <c r="J55" s="1"/>
    </row>
    <row r="56" spans="2:10" x14ac:dyDescent="0.25">
      <c r="B56" s="2"/>
      <c r="C56" s="2"/>
      <c r="J56" s="1"/>
    </row>
    <row r="57" spans="2:10" x14ac:dyDescent="0.25">
      <c r="B57" s="2"/>
      <c r="C57" s="2"/>
      <c r="J57" s="1"/>
    </row>
    <row r="58" spans="2:10" x14ac:dyDescent="0.25">
      <c r="B58" s="2"/>
      <c r="C58" s="2"/>
      <c r="J58" s="1"/>
    </row>
    <row r="59" spans="2:10" x14ac:dyDescent="0.25">
      <c r="J59" s="1"/>
    </row>
    <row r="61" spans="2:10" x14ac:dyDescent="0.25">
      <c r="J61" s="1"/>
    </row>
  </sheetData>
  <pageMargins left="0.75" right="0.75" top="1" bottom="0.5" header="0.5" footer="0.5"/>
  <pageSetup orientation="portrait" horizontalDpi="240" verticalDpi="144" r:id="rId1"/>
  <headerFooter alignWithMargins="0">
    <oddHeader>&amp;CGrades-PHYS 101
Final Grades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tabSelected="1" workbookViewId="0"/>
  </sheetViews>
  <sheetFormatPr defaultRowHeight="12.5" x14ac:dyDescent="0.25"/>
  <cols>
    <col min="1" max="1" width="23.7265625" customWidth="1"/>
    <col min="2" max="31" width="5.7265625" customWidth="1"/>
    <col min="32" max="32" width="5.54296875" customWidth="1"/>
    <col min="33" max="33" width="5.7265625" customWidth="1"/>
  </cols>
  <sheetData>
    <row r="1" spans="1:21" ht="16" customHeight="1" x14ac:dyDescent="0.3">
      <c r="A1" s="14" t="s">
        <v>17</v>
      </c>
      <c r="B1" s="14">
        <v>1</v>
      </c>
      <c r="C1" s="11">
        <v>2</v>
      </c>
      <c r="D1" s="11">
        <v>5</v>
      </c>
      <c r="E1" s="11">
        <v>6</v>
      </c>
      <c r="F1" s="11">
        <v>8</v>
      </c>
      <c r="G1" s="11">
        <v>9</v>
      </c>
      <c r="H1" s="11">
        <v>11</v>
      </c>
      <c r="I1" s="11" t="s">
        <v>8</v>
      </c>
      <c r="J1" s="11" t="s">
        <v>18</v>
      </c>
      <c r="K1" s="11"/>
      <c r="L1" s="11"/>
    </row>
    <row r="2" spans="1:21" ht="16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21" ht="16" customHeight="1" x14ac:dyDescent="0.3">
      <c r="A3" s="11" t="s">
        <v>9</v>
      </c>
      <c r="B3" s="15">
        <v>8</v>
      </c>
      <c r="C3" s="15">
        <v>7</v>
      </c>
      <c r="D3" s="15">
        <v>8</v>
      </c>
      <c r="E3" s="16">
        <v>8</v>
      </c>
      <c r="F3" s="16">
        <v>9</v>
      </c>
      <c r="G3" s="16">
        <v>5</v>
      </c>
      <c r="H3" s="16">
        <v>10</v>
      </c>
      <c r="I3" s="16">
        <f t="shared" ref="I3:I8" si="0">AVERAGE(B3:H3)</f>
        <v>7.8571428571428568</v>
      </c>
      <c r="J3" s="16">
        <f t="shared" ref="J3:J8" si="1">I3*60/10</f>
        <v>47.142857142857139</v>
      </c>
      <c r="K3" s="16"/>
      <c r="L3" s="11"/>
      <c r="S3" s="2"/>
    </row>
    <row r="4" spans="1:21" ht="16" customHeight="1" x14ac:dyDescent="0.3">
      <c r="A4" s="11" t="s">
        <v>10</v>
      </c>
      <c r="B4" s="15">
        <v>9</v>
      </c>
      <c r="C4" s="15">
        <v>10</v>
      </c>
      <c r="D4" s="15">
        <v>10</v>
      </c>
      <c r="E4" s="15">
        <v>10</v>
      </c>
      <c r="F4" s="15">
        <v>10</v>
      </c>
      <c r="G4" s="15">
        <v>10</v>
      </c>
      <c r="H4" s="15">
        <v>10</v>
      </c>
      <c r="I4" s="16">
        <f t="shared" si="0"/>
        <v>9.8571428571428577</v>
      </c>
      <c r="J4" s="16">
        <f t="shared" si="1"/>
        <v>59.142857142857146</v>
      </c>
      <c r="K4" s="16"/>
      <c r="L4" s="11"/>
      <c r="S4" s="2"/>
    </row>
    <row r="5" spans="1:21" ht="16" customHeight="1" x14ac:dyDescent="0.3">
      <c r="A5" s="11" t="s">
        <v>11</v>
      </c>
      <c r="B5" s="15">
        <v>10</v>
      </c>
      <c r="C5" s="15">
        <v>9</v>
      </c>
      <c r="D5" s="15">
        <v>10</v>
      </c>
      <c r="E5" s="15">
        <v>10</v>
      </c>
      <c r="F5" s="15">
        <v>10</v>
      </c>
      <c r="G5" s="15">
        <v>10</v>
      </c>
      <c r="H5" s="15">
        <v>10</v>
      </c>
      <c r="I5" s="16">
        <f t="shared" si="0"/>
        <v>9.8571428571428577</v>
      </c>
      <c r="J5" s="16">
        <f t="shared" si="1"/>
        <v>59.142857142857146</v>
      </c>
      <c r="K5" s="16"/>
      <c r="L5" s="11"/>
      <c r="S5" s="2"/>
    </row>
    <row r="6" spans="1:21" ht="16" customHeight="1" x14ac:dyDescent="0.3">
      <c r="A6" s="11" t="s">
        <v>19</v>
      </c>
      <c r="B6" s="15">
        <v>10</v>
      </c>
      <c r="C6" s="15">
        <v>10</v>
      </c>
      <c r="D6" s="15">
        <v>9</v>
      </c>
      <c r="E6" s="15">
        <v>10</v>
      </c>
      <c r="F6" s="15">
        <v>10</v>
      </c>
      <c r="G6" s="15">
        <v>10</v>
      </c>
      <c r="H6" s="15">
        <v>10</v>
      </c>
      <c r="I6" s="16">
        <f t="shared" si="0"/>
        <v>9.8571428571428577</v>
      </c>
      <c r="J6" s="16">
        <f t="shared" si="1"/>
        <v>59.142857142857146</v>
      </c>
      <c r="K6" s="16"/>
      <c r="L6" s="11"/>
      <c r="S6" s="2"/>
    </row>
    <row r="7" spans="1:21" ht="16" customHeight="1" x14ac:dyDescent="0.3">
      <c r="A7" s="11" t="s">
        <v>13</v>
      </c>
      <c r="B7" s="15">
        <v>10</v>
      </c>
      <c r="C7" s="15">
        <v>10</v>
      </c>
      <c r="D7" s="15">
        <v>10</v>
      </c>
      <c r="E7" s="15">
        <v>9</v>
      </c>
      <c r="F7" s="15">
        <v>10</v>
      </c>
      <c r="G7" s="15">
        <v>10</v>
      </c>
      <c r="H7" s="15">
        <v>10</v>
      </c>
      <c r="I7" s="16">
        <f t="shared" si="0"/>
        <v>9.8571428571428577</v>
      </c>
      <c r="J7" s="16">
        <f t="shared" si="1"/>
        <v>59.142857142857146</v>
      </c>
      <c r="K7" s="16"/>
      <c r="L7" s="11"/>
      <c r="S7" s="2"/>
    </row>
    <row r="8" spans="1:21" ht="16" customHeight="1" x14ac:dyDescent="0.3">
      <c r="A8" s="11" t="s">
        <v>14</v>
      </c>
      <c r="B8" s="15">
        <v>10</v>
      </c>
      <c r="C8" s="15">
        <v>10</v>
      </c>
      <c r="D8" s="15">
        <v>10</v>
      </c>
      <c r="E8" s="15">
        <v>10</v>
      </c>
      <c r="F8" s="15" t="s">
        <v>20</v>
      </c>
      <c r="G8" s="15" t="s">
        <v>20</v>
      </c>
      <c r="H8" s="15">
        <v>10</v>
      </c>
      <c r="I8" s="16">
        <f t="shared" si="0"/>
        <v>10</v>
      </c>
      <c r="J8" s="16">
        <f t="shared" si="1"/>
        <v>60</v>
      </c>
      <c r="K8" s="16"/>
      <c r="L8" s="11"/>
      <c r="S8" s="2"/>
    </row>
    <row r="9" spans="1:21" ht="16" customHeight="1" x14ac:dyDescent="0.3">
      <c r="A9" s="11"/>
      <c r="B9" s="15"/>
      <c r="C9" s="15"/>
      <c r="D9" s="16"/>
      <c r="E9" s="16"/>
      <c r="F9" s="16"/>
      <c r="G9" s="16"/>
      <c r="H9" s="16"/>
      <c r="I9" s="16"/>
      <c r="J9" s="16"/>
      <c r="K9" s="16"/>
      <c r="L9" s="11"/>
      <c r="S9" s="2"/>
    </row>
    <row r="10" spans="1:21" ht="16" customHeight="1" x14ac:dyDescent="0.3">
      <c r="A10" s="11" t="s">
        <v>15</v>
      </c>
      <c r="B10" s="15">
        <v>10</v>
      </c>
      <c r="C10" s="15">
        <v>10</v>
      </c>
      <c r="D10" s="15">
        <v>10</v>
      </c>
      <c r="E10" s="15">
        <v>10</v>
      </c>
      <c r="F10" s="15">
        <v>10</v>
      </c>
      <c r="G10" s="15">
        <v>10</v>
      </c>
      <c r="H10" s="16">
        <v>10</v>
      </c>
      <c r="I10" s="16">
        <f>AVERAGE(B10:H10)</f>
        <v>10</v>
      </c>
      <c r="J10" s="16">
        <f>I10*60/10</f>
        <v>60</v>
      </c>
      <c r="K10" s="16"/>
      <c r="L10" s="11"/>
      <c r="S10" s="2"/>
    </row>
    <row r="11" spans="1:21" ht="16" customHeight="1" x14ac:dyDescent="0.3">
      <c r="A11" s="11"/>
      <c r="B11" s="16"/>
      <c r="C11" s="16"/>
      <c r="D11" s="15"/>
      <c r="E11" s="16"/>
      <c r="F11" s="16"/>
      <c r="G11" s="16"/>
      <c r="H11" s="16"/>
      <c r="I11" s="16"/>
      <c r="J11" s="16"/>
      <c r="K11" s="16"/>
      <c r="L11" s="16"/>
      <c r="M11" s="11"/>
      <c r="T11" s="2"/>
    </row>
    <row r="12" spans="1:21" ht="16" customHeight="1" x14ac:dyDescent="0.35">
      <c r="A12" s="4"/>
      <c r="B12" s="9"/>
      <c r="C12" s="9"/>
      <c r="D12" s="8"/>
      <c r="E12" s="9"/>
      <c r="F12" s="9"/>
      <c r="G12" s="9"/>
      <c r="H12" s="9"/>
      <c r="I12" s="9"/>
      <c r="J12" s="9"/>
      <c r="K12" s="9"/>
      <c r="L12" s="16"/>
      <c r="M12" s="16"/>
      <c r="N12" s="11"/>
      <c r="U12" s="2"/>
    </row>
    <row r="13" spans="1:21" ht="16" customHeight="1" x14ac:dyDescent="0.35">
      <c r="B13" s="5"/>
      <c r="C13" s="5"/>
      <c r="D13" s="6"/>
      <c r="E13" s="5"/>
      <c r="F13" s="5"/>
      <c r="G13" s="5"/>
      <c r="H13" s="5"/>
      <c r="I13" s="5"/>
      <c r="J13" s="5"/>
      <c r="K13" s="5"/>
      <c r="L13" s="9"/>
      <c r="M13" s="9"/>
      <c r="U13" s="2"/>
    </row>
    <row r="14" spans="1:21" ht="16" customHeight="1" x14ac:dyDescent="0.25">
      <c r="B14" s="5"/>
      <c r="C14" s="5"/>
      <c r="D14" s="6"/>
      <c r="E14" s="5"/>
      <c r="F14" s="5"/>
      <c r="G14" s="5"/>
      <c r="H14" s="5"/>
      <c r="I14" s="5"/>
      <c r="J14" s="5"/>
      <c r="K14" s="5"/>
      <c r="L14" s="5"/>
      <c r="M14" s="5"/>
      <c r="U14" s="2"/>
    </row>
    <row r="15" spans="1:21" ht="16" customHeight="1" x14ac:dyDescent="0.25">
      <c r="B15" s="5"/>
      <c r="C15" s="5"/>
      <c r="D15" s="6"/>
      <c r="E15" s="5"/>
      <c r="F15" s="5"/>
      <c r="G15" s="5"/>
      <c r="H15" s="5"/>
      <c r="I15" s="5"/>
      <c r="J15" s="5"/>
      <c r="K15" s="5"/>
      <c r="L15" s="5"/>
      <c r="M15" s="5"/>
      <c r="U15" s="2"/>
    </row>
    <row r="16" spans="1:21" ht="16" customHeight="1" x14ac:dyDescent="0.25">
      <c r="B16" s="5"/>
      <c r="C16" s="5"/>
      <c r="D16" s="6"/>
      <c r="E16" s="5"/>
      <c r="F16" s="5"/>
      <c r="G16" s="5"/>
      <c r="H16" s="5"/>
      <c r="I16" s="5"/>
      <c r="J16" s="5"/>
      <c r="K16" s="5"/>
      <c r="L16" s="5"/>
      <c r="M16" s="5"/>
      <c r="U16" s="2"/>
    </row>
    <row r="17" spans="2:21" ht="16" customHeight="1" x14ac:dyDescent="0.25">
      <c r="B17" s="5"/>
      <c r="C17" s="5"/>
      <c r="D17" s="6"/>
      <c r="E17" s="5"/>
      <c r="F17" s="5"/>
      <c r="G17" s="5"/>
      <c r="H17" s="5"/>
      <c r="I17" s="5"/>
      <c r="J17" s="5"/>
      <c r="K17" s="5"/>
      <c r="L17" s="5"/>
      <c r="M17" s="5"/>
      <c r="U17" s="2"/>
    </row>
    <row r="18" spans="2:21" ht="16" customHeight="1" x14ac:dyDescent="0.25">
      <c r="B18" s="5"/>
      <c r="C18" s="5"/>
      <c r="D18" s="6"/>
      <c r="E18" s="5"/>
      <c r="F18" s="5"/>
      <c r="G18" s="5"/>
      <c r="H18" s="5"/>
      <c r="I18" s="5"/>
      <c r="J18" s="5"/>
      <c r="K18" s="5"/>
      <c r="L18" s="5"/>
      <c r="M18" s="5"/>
      <c r="U18" s="2"/>
    </row>
    <row r="19" spans="2:21" ht="16" customHeight="1" x14ac:dyDescent="0.25">
      <c r="B19" s="5"/>
      <c r="C19" s="5"/>
      <c r="D19" s="6"/>
      <c r="E19" s="5"/>
      <c r="F19" s="5"/>
      <c r="G19" s="5"/>
      <c r="H19" s="5"/>
      <c r="I19" s="5"/>
      <c r="J19" s="5"/>
      <c r="K19" s="5"/>
      <c r="L19" s="5"/>
      <c r="M19" s="5"/>
      <c r="U19" s="2"/>
    </row>
    <row r="20" spans="2:21" ht="16" customHeight="1" x14ac:dyDescent="0.25">
      <c r="B20" s="5"/>
      <c r="C20" s="5"/>
      <c r="D20" s="6"/>
      <c r="E20" s="5"/>
      <c r="F20" s="5"/>
      <c r="G20" s="5"/>
      <c r="H20" s="5"/>
      <c r="I20" s="5"/>
      <c r="J20" s="5"/>
      <c r="K20" s="5"/>
      <c r="L20" s="5"/>
      <c r="M20" s="5"/>
      <c r="U20" s="2"/>
    </row>
    <row r="21" spans="2:21" ht="16" customHeight="1" x14ac:dyDescent="0.25">
      <c r="B21" s="5"/>
      <c r="C21" s="5"/>
      <c r="D21" s="6"/>
      <c r="E21" s="5"/>
      <c r="F21" s="5"/>
      <c r="G21" s="5"/>
      <c r="H21" s="5"/>
      <c r="I21" s="5"/>
      <c r="J21" s="5"/>
      <c r="K21" s="5"/>
      <c r="L21" s="5"/>
      <c r="M21" s="5"/>
      <c r="U21" s="2"/>
    </row>
    <row r="22" spans="2:21" ht="16" customHeight="1" x14ac:dyDescent="0.25">
      <c r="B22" s="5"/>
      <c r="C22" s="5"/>
      <c r="D22" s="6"/>
      <c r="E22" s="5"/>
      <c r="F22" s="5"/>
      <c r="G22" s="5"/>
      <c r="H22" s="5"/>
      <c r="I22" s="5"/>
      <c r="J22" s="5"/>
      <c r="K22" s="5"/>
      <c r="L22" s="5"/>
      <c r="M22" s="5"/>
      <c r="U22" s="2"/>
    </row>
    <row r="23" spans="2:21" ht="16" customHeight="1" x14ac:dyDescent="0.25">
      <c r="B23" s="5"/>
      <c r="C23" s="5"/>
      <c r="D23" s="6"/>
      <c r="E23" s="5"/>
      <c r="F23" s="5"/>
      <c r="G23" s="5"/>
      <c r="H23" s="5"/>
      <c r="I23" s="5"/>
      <c r="J23" s="5"/>
      <c r="K23" s="5"/>
      <c r="L23" s="5"/>
      <c r="M23" s="5"/>
      <c r="U23" s="2"/>
    </row>
    <row r="24" spans="2:21" ht="16" customHeight="1" x14ac:dyDescent="0.25">
      <c r="B24" s="5"/>
      <c r="C24" s="5"/>
      <c r="D24" s="6"/>
      <c r="E24" s="5"/>
      <c r="F24" s="5"/>
      <c r="G24" s="5"/>
      <c r="H24" s="5"/>
      <c r="I24" s="5"/>
      <c r="J24" s="5"/>
      <c r="K24" s="5"/>
      <c r="L24" s="5"/>
      <c r="M24" s="5"/>
      <c r="U24" s="2"/>
    </row>
    <row r="25" spans="2:21" ht="16" customHeight="1" x14ac:dyDescent="0.25">
      <c r="B25" s="5"/>
      <c r="C25" s="5"/>
      <c r="D25" s="6"/>
      <c r="E25" s="5"/>
      <c r="F25" s="5"/>
      <c r="G25" s="5"/>
      <c r="H25" s="5"/>
      <c r="I25" s="5"/>
      <c r="J25" s="5"/>
      <c r="K25" s="5"/>
      <c r="L25" s="5"/>
      <c r="M25" s="5"/>
      <c r="U25" s="2"/>
    </row>
    <row r="26" spans="2:21" ht="16" customHeight="1" x14ac:dyDescent="0.25">
      <c r="B26" s="5"/>
      <c r="C26" s="5"/>
      <c r="D26" s="6"/>
      <c r="E26" s="5"/>
      <c r="F26" s="5"/>
      <c r="G26" s="5"/>
      <c r="H26" s="5"/>
      <c r="I26" s="5"/>
      <c r="J26" s="5"/>
      <c r="K26" s="5"/>
      <c r="L26" s="5"/>
      <c r="M26" s="5"/>
      <c r="U26" s="2"/>
    </row>
    <row r="27" spans="2:21" ht="16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  <c r="L27" s="5"/>
      <c r="M27" s="5"/>
      <c r="U27" s="2"/>
    </row>
    <row r="28" spans="2:21" ht="16" customHeight="1" x14ac:dyDescent="0.25">
      <c r="B28" s="5"/>
      <c r="C28" s="5"/>
      <c r="D28" s="6"/>
      <c r="E28" s="5"/>
      <c r="F28" s="5"/>
      <c r="G28" s="5"/>
      <c r="H28" s="5"/>
      <c r="I28" s="5"/>
      <c r="J28" s="5"/>
      <c r="K28" s="5"/>
      <c r="L28" s="5"/>
      <c r="M28" s="5"/>
      <c r="U28" s="2"/>
    </row>
    <row r="29" spans="2:21" ht="16" customHeight="1" x14ac:dyDescent="0.25">
      <c r="B29" s="5"/>
      <c r="C29" s="5"/>
      <c r="D29" s="6"/>
      <c r="E29" s="5"/>
      <c r="F29" s="5"/>
      <c r="G29" s="5"/>
      <c r="H29" s="5"/>
      <c r="I29" s="5"/>
      <c r="J29" s="5"/>
      <c r="K29" s="5"/>
      <c r="L29" s="5"/>
      <c r="M29" s="5"/>
      <c r="U29" s="2"/>
    </row>
    <row r="30" spans="2:21" ht="16" customHeight="1" x14ac:dyDescent="0.25">
      <c r="B30" s="5"/>
      <c r="C30" s="5"/>
      <c r="D30" s="6"/>
      <c r="E30" s="5"/>
      <c r="F30" s="5"/>
      <c r="G30" s="5"/>
      <c r="H30" s="5"/>
      <c r="I30" s="5"/>
      <c r="J30" s="5"/>
      <c r="K30" s="5"/>
      <c r="L30" s="5"/>
      <c r="M30" s="5"/>
      <c r="U30" s="2"/>
    </row>
    <row r="31" spans="2:21" ht="16" customHeight="1" x14ac:dyDescent="0.25">
      <c r="B31" s="5"/>
      <c r="C31" s="5"/>
      <c r="D31" s="6"/>
      <c r="E31" s="5"/>
      <c r="F31" s="5"/>
      <c r="G31" s="5"/>
      <c r="H31" s="5"/>
      <c r="I31" s="5"/>
      <c r="J31" s="5"/>
      <c r="K31" s="5"/>
      <c r="L31" s="5"/>
      <c r="M31" s="5"/>
      <c r="U31" s="2"/>
    </row>
    <row r="32" spans="2:21" ht="16" customHeight="1" x14ac:dyDescent="0.25">
      <c r="B32" s="5"/>
      <c r="C32" s="5"/>
      <c r="D32" s="6"/>
      <c r="E32" s="5"/>
      <c r="F32" s="5"/>
      <c r="G32" s="5"/>
      <c r="H32" s="5"/>
      <c r="I32" s="5"/>
      <c r="J32" s="5"/>
      <c r="K32" s="5"/>
      <c r="L32" s="5"/>
      <c r="M32" s="5"/>
      <c r="U32" s="2"/>
    </row>
    <row r="33" spans="2:21" ht="16" customHeight="1" x14ac:dyDescent="0.25"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  <c r="U33" s="2"/>
    </row>
    <row r="34" spans="2:21" ht="16" customHeight="1" x14ac:dyDescent="0.25"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  <c r="U34" s="2"/>
    </row>
    <row r="35" spans="2:21" ht="16" customHeight="1" x14ac:dyDescent="0.25"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U35" s="2"/>
    </row>
    <row r="36" spans="2:21" ht="16" customHeight="1" x14ac:dyDescent="0.25"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5"/>
      <c r="U36" s="2"/>
    </row>
    <row r="37" spans="2:21" ht="16" customHeight="1" x14ac:dyDescent="0.25"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  <c r="U37" s="2"/>
    </row>
    <row r="38" spans="2:21" ht="16" customHeight="1" x14ac:dyDescent="0.25"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  <c r="U38" s="2"/>
    </row>
    <row r="39" spans="2:21" ht="16" customHeight="1" x14ac:dyDescent="0.25"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U39" s="2"/>
    </row>
    <row r="40" spans="2:21" ht="16" customHeight="1" x14ac:dyDescent="0.25"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  <c r="U40" s="2"/>
    </row>
    <row r="41" spans="2:21" ht="16" customHeight="1" x14ac:dyDescent="0.25">
      <c r="D41" s="3"/>
      <c r="L41" s="5"/>
      <c r="M41" s="5"/>
      <c r="U41" s="2"/>
    </row>
    <row r="42" spans="2:21" ht="16" customHeight="1" x14ac:dyDescent="0.25">
      <c r="D42" s="3"/>
      <c r="U42" s="2"/>
    </row>
    <row r="43" spans="2:21" ht="16" customHeight="1" x14ac:dyDescent="0.25">
      <c r="D43" s="3"/>
      <c r="U43" s="2"/>
    </row>
    <row r="44" spans="2:21" ht="16" customHeight="1" x14ac:dyDescent="0.25">
      <c r="D44" s="3"/>
      <c r="U44" s="2"/>
    </row>
    <row r="45" spans="2:21" ht="16" customHeight="1" x14ac:dyDescent="0.25">
      <c r="D45" s="3"/>
      <c r="U45" s="2"/>
    </row>
    <row r="46" spans="2:21" ht="16" customHeight="1" x14ac:dyDescent="0.25">
      <c r="D46" s="3"/>
      <c r="U46" s="2"/>
    </row>
    <row r="47" spans="2:21" ht="16" customHeight="1" x14ac:dyDescent="0.25">
      <c r="D47" s="3"/>
      <c r="U47" s="2"/>
    </row>
    <row r="48" spans="2:21" ht="16" customHeight="1" x14ac:dyDescent="0.25">
      <c r="D48" s="3"/>
      <c r="U48" s="2"/>
    </row>
    <row r="49" spans="4:21" ht="16" customHeight="1" x14ac:dyDescent="0.25">
      <c r="D49" s="3"/>
      <c r="U49" s="2"/>
    </row>
    <row r="50" spans="4:21" ht="16" customHeight="1" x14ac:dyDescent="0.25">
      <c r="D50" s="3"/>
      <c r="U50" s="2"/>
    </row>
    <row r="51" spans="4:21" ht="16" customHeight="1" x14ac:dyDescent="0.25">
      <c r="D51" s="3"/>
      <c r="U51" s="2"/>
    </row>
    <row r="52" spans="4:21" ht="16" customHeight="1" x14ac:dyDescent="0.25">
      <c r="D52" s="3"/>
      <c r="U52" s="2"/>
    </row>
    <row r="53" spans="4:21" ht="16" customHeight="1" x14ac:dyDescent="0.25">
      <c r="D53" s="3"/>
      <c r="U53" s="2"/>
    </row>
    <row r="54" spans="4:21" ht="16" customHeight="1" x14ac:dyDescent="0.25">
      <c r="D54" s="3"/>
      <c r="U54" s="2"/>
    </row>
    <row r="55" spans="4:21" ht="16" customHeight="1" x14ac:dyDescent="0.25">
      <c r="D55" s="3"/>
      <c r="U55" s="2"/>
    </row>
    <row r="56" spans="4:21" ht="16" customHeight="1" x14ac:dyDescent="0.25">
      <c r="D56" s="3"/>
      <c r="U56" s="2"/>
    </row>
    <row r="57" spans="4:21" ht="16" customHeight="1" x14ac:dyDescent="0.25">
      <c r="D57" s="3"/>
      <c r="U57" s="2"/>
    </row>
    <row r="58" spans="4:21" ht="16" customHeight="1" x14ac:dyDescent="0.25">
      <c r="D58" s="3"/>
      <c r="U58" s="2"/>
    </row>
    <row r="59" spans="4:21" ht="16" customHeight="1" x14ac:dyDescent="0.25">
      <c r="U59" s="2"/>
    </row>
  </sheetData>
  <pageMargins left="0.75" right="0.75" top="1" bottom="0.5" header="0.5" footer="0.5"/>
  <pageSetup orientation="portrait" horizontalDpi="240" verticalDpi="144" r:id="rId1"/>
  <headerFooter alignWithMargins="0">
    <oddHeader>&amp;CGrades-PHYS 101
Homework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"/>
  <sheetViews>
    <sheetView tabSelected="1" topLeftCell="A6" workbookViewId="0"/>
  </sheetViews>
  <sheetFormatPr defaultRowHeight="12.5" x14ac:dyDescent="0.25"/>
  <cols>
    <col min="1" max="1" width="23.7265625" customWidth="1"/>
    <col min="2" max="15" width="6.1796875" customWidth="1"/>
    <col min="16" max="22" width="5.7265625" customWidth="1"/>
  </cols>
  <sheetData>
    <row r="1" spans="1:20" ht="16" customHeight="1" x14ac:dyDescent="0.35">
      <c r="A1" s="11"/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25</v>
      </c>
      <c r="G1" s="11" t="s">
        <v>8</v>
      </c>
      <c r="H1" s="11" t="s">
        <v>18</v>
      </c>
      <c r="I1" s="11"/>
      <c r="J1" s="11"/>
      <c r="K1" s="11"/>
      <c r="L1" s="11"/>
      <c r="M1" s="11"/>
      <c r="N1" s="11"/>
      <c r="O1" s="11"/>
      <c r="P1" s="11"/>
      <c r="Q1" s="11"/>
      <c r="R1" s="4"/>
      <c r="S1" s="4"/>
      <c r="T1" s="4"/>
    </row>
    <row r="2" spans="1:20" ht="16" customHeigh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4"/>
      <c r="S2" s="4"/>
      <c r="T2" s="4"/>
    </row>
    <row r="3" spans="1:20" ht="16" customHeight="1" x14ac:dyDescent="0.35">
      <c r="A3" s="11" t="s">
        <v>9</v>
      </c>
      <c r="B3" s="17">
        <v>13</v>
      </c>
      <c r="C3" s="17">
        <v>18</v>
      </c>
      <c r="D3" s="17">
        <v>20</v>
      </c>
      <c r="E3" s="17">
        <v>18</v>
      </c>
      <c r="F3" s="17">
        <v>27</v>
      </c>
      <c r="G3" s="17">
        <f>SUM(B3:F3)</f>
        <v>96</v>
      </c>
      <c r="H3" s="17">
        <f>G3*140/105</f>
        <v>128</v>
      </c>
      <c r="I3" s="17"/>
      <c r="J3" s="11"/>
      <c r="K3" s="11"/>
      <c r="L3" s="12"/>
      <c r="M3" s="11"/>
      <c r="N3" s="11"/>
      <c r="O3" s="11"/>
      <c r="P3" s="11"/>
      <c r="Q3" s="11"/>
      <c r="R3" s="4"/>
      <c r="S3" s="4"/>
      <c r="T3" s="4"/>
    </row>
    <row r="4" spans="1:20" ht="16" customHeight="1" x14ac:dyDescent="0.35">
      <c r="A4" s="11" t="s">
        <v>10</v>
      </c>
      <c r="B4" s="11">
        <v>15</v>
      </c>
      <c r="C4" s="11">
        <v>20</v>
      </c>
      <c r="D4" s="11">
        <v>19</v>
      </c>
      <c r="E4" s="11">
        <v>20</v>
      </c>
      <c r="F4" s="11">
        <v>29</v>
      </c>
      <c r="G4" s="17">
        <f t="shared" ref="G4:G8" si="0">SUM(B4:F4)</f>
        <v>103</v>
      </c>
      <c r="H4" s="17">
        <f t="shared" ref="H4:H8" si="1">G4*140/105</f>
        <v>137.33333333333334</v>
      </c>
      <c r="I4" s="11"/>
      <c r="J4" s="11"/>
      <c r="K4" s="11"/>
      <c r="L4" s="12"/>
      <c r="M4" s="11"/>
      <c r="N4" s="11"/>
      <c r="O4" s="11"/>
      <c r="P4" s="11"/>
      <c r="Q4" s="11"/>
      <c r="R4" s="4"/>
      <c r="S4" s="4"/>
      <c r="T4" s="4"/>
    </row>
    <row r="5" spans="1:20" ht="16" customHeight="1" x14ac:dyDescent="0.35">
      <c r="A5" s="11" t="s">
        <v>11</v>
      </c>
      <c r="B5" s="11">
        <v>14</v>
      </c>
      <c r="C5" s="11">
        <v>18</v>
      </c>
      <c r="D5" s="11">
        <v>20</v>
      </c>
      <c r="E5" s="11">
        <v>18</v>
      </c>
      <c r="F5" s="11">
        <v>29</v>
      </c>
      <c r="G5" s="17">
        <f t="shared" si="0"/>
        <v>99</v>
      </c>
      <c r="H5" s="17">
        <f t="shared" si="1"/>
        <v>132</v>
      </c>
      <c r="I5" s="11"/>
      <c r="J5" s="11"/>
      <c r="K5" s="11"/>
      <c r="L5" s="12"/>
      <c r="M5" s="11"/>
      <c r="N5" s="11"/>
      <c r="O5" s="11"/>
      <c r="P5" s="11"/>
      <c r="Q5" s="11"/>
      <c r="R5" s="4"/>
      <c r="S5" s="4"/>
      <c r="T5" s="4"/>
    </row>
    <row r="6" spans="1:20" ht="16" customHeight="1" x14ac:dyDescent="0.35">
      <c r="A6" s="11" t="s">
        <v>19</v>
      </c>
      <c r="B6" s="11">
        <v>14</v>
      </c>
      <c r="C6" s="11">
        <v>18</v>
      </c>
      <c r="D6" s="11">
        <v>20</v>
      </c>
      <c r="E6" s="11">
        <v>18</v>
      </c>
      <c r="F6" s="11">
        <v>30</v>
      </c>
      <c r="G6" s="17">
        <f t="shared" si="0"/>
        <v>100</v>
      </c>
      <c r="H6" s="17">
        <f t="shared" si="1"/>
        <v>133.33333333333334</v>
      </c>
      <c r="I6" s="11"/>
      <c r="J6" s="11"/>
      <c r="K6" s="11"/>
      <c r="L6" s="12"/>
      <c r="M6" s="11"/>
      <c r="N6" s="11"/>
      <c r="O6" s="11"/>
      <c r="P6" s="11"/>
      <c r="Q6" s="11"/>
      <c r="R6" s="4"/>
      <c r="S6" s="4"/>
      <c r="T6" s="4"/>
    </row>
    <row r="7" spans="1:20" ht="16" customHeight="1" x14ac:dyDescent="0.35">
      <c r="A7" s="11" t="s">
        <v>13</v>
      </c>
      <c r="B7" s="11">
        <v>15</v>
      </c>
      <c r="C7" s="11">
        <v>20</v>
      </c>
      <c r="D7" s="11">
        <v>19</v>
      </c>
      <c r="E7" s="11">
        <v>20</v>
      </c>
      <c r="F7" s="11">
        <v>29</v>
      </c>
      <c r="G7" s="17">
        <f t="shared" si="0"/>
        <v>103</v>
      </c>
      <c r="H7" s="17">
        <f t="shared" si="1"/>
        <v>137.33333333333334</v>
      </c>
      <c r="I7" s="11"/>
      <c r="J7" s="11"/>
      <c r="K7" s="11"/>
      <c r="L7" s="12"/>
      <c r="M7" s="11"/>
      <c r="N7" s="11"/>
      <c r="O7" s="11"/>
      <c r="P7" s="11"/>
      <c r="Q7" s="11"/>
      <c r="R7" s="4"/>
      <c r="S7" s="4"/>
      <c r="T7" s="4"/>
    </row>
    <row r="8" spans="1:20" ht="16" customHeight="1" x14ac:dyDescent="0.35">
      <c r="A8" s="11" t="s">
        <v>14</v>
      </c>
      <c r="B8" s="11">
        <v>15</v>
      </c>
      <c r="C8" s="11">
        <v>20</v>
      </c>
      <c r="D8" s="11">
        <v>20</v>
      </c>
      <c r="E8" s="11">
        <v>20</v>
      </c>
      <c r="F8" s="11">
        <v>30</v>
      </c>
      <c r="G8" s="17">
        <f t="shared" si="0"/>
        <v>105</v>
      </c>
      <c r="H8" s="17">
        <f t="shared" si="1"/>
        <v>140</v>
      </c>
      <c r="I8" s="11"/>
      <c r="J8" s="11"/>
      <c r="K8" s="11"/>
      <c r="L8" s="12"/>
      <c r="M8" s="11"/>
      <c r="N8" s="11"/>
      <c r="O8" s="11"/>
      <c r="P8" s="11"/>
      <c r="Q8" s="11"/>
      <c r="R8" s="4"/>
      <c r="S8" s="4"/>
      <c r="T8" s="4"/>
    </row>
    <row r="9" spans="1:20" ht="16" customHeight="1" x14ac:dyDescent="0.3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  <c r="M9" s="11"/>
      <c r="N9" s="11"/>
      <c r="O9" s="11"/>
      <c r="P9" s="11"/>
      <c r="Q9" s="11"/>
      <c r="R9" s="4"/>
      <c r="S9" s="4"/>
      <c r="T9" s="4"/>
    </row>
    <row r="10" spans="1:20" ht="16" customHeight="1" x14ac:dyDescent="0.35">
      <c r="A10" s="11" t="s">
        <v>15</v>
      </c>
      <c r="B10" s="11">
        <v>15</v>
      </c>
      <c r="C10" s="11">
        <v>20</v>
      </c>
      <c r="D10" s="11">
        <v>20</v>
      </c>
      <c r="E10" s="11">
        <v>20</v>
      </c>
      <c r="F10" s="11">
        <v>30</v>
      </c>
      <c r="G10" s="17">
        <f>SUM(B10:F10)</f>
        <v>105</v>
      </c>
      <c r="H10" s="17">
        <f>G10*140/105</f>
        <v>140</v>
      </c>
      <c r="I10" s="11"/>
      <c r="J10" s="11"/>
      <c r="K10" s="11"/>
      <c r="L10" s="12"/>
      <c r="M10" s="11"/>
      <c r="N10" s="11"/>
      <c r="O10" s="11"/>
      <c r="P10" s="11"/>
      <c r="Q10" s="11"/>
      <c r="R10" s="4"/>
      <c r="S10" s="4"/>
      <c r="T10" s="4"/>
    </row>
    <row r="11" spans="1:20" ht="16" customHeight="1" x14ac:dyDescent="0.3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2"/>
      <c r="M11" s="11"/>
      <c r="N11" s="11"/>
      <c r="O11" s="11"/>
      <c r="P11" s="11"/>
      <c r="Q11" s="11"/>
      <c r="R11" s="4"/>
      <c r="S11" s="4"/>
      <c r="T11" s="4"/>
    </row>
    <row r="12" spans="1:20" ht="16" customHeight="1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12"/>
      <c r="M12" s="11"/>
      <c r="N12" s="11"/>
      <c r="O12" s="11"/>
      <c r="P12" s="11"/>
      <c r="Q12" s="11"/>
      <c r="R12" s="4"/>
      <c r="S12" s="4"/>
      <c r="T12" s="4"/>
    </row>
    <row r="13" spans="1:20" ht="16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7"/>
      <c r="M13" s="4"/>
      <c r="N13" s="4"/>
      <c r="O13" s="4"/>
      <c r="P13" s="4"/>
      <c r="Q13" s="4"/>
      <c r="R13" s="4"/>
      <c r="S13" s="4"/>
      <c r="T13" s="4"/>
    </row>
    <row r="14" spans="1:20" ht="16" customHeight="1" x14ac:dyDescent="0.35">
      <c r="L14" s="7"/>
      <c r="M14" s="4"/>
      <c r="N14" s="4"/>
      <c r="O14" s="4"/>
      <c r="P14" s="4"/>
      <c r="Q14" s="4"/>
      <c r="R14" s="4"/>
      <c r="S14" s="4"/>
      <c r="T14" s="4"/>
    </row>
    <row r="15" spans="1:20" ht="16" customHeight="1" x14ac:dyDescent="0.25">
      <c r="L15" s="2"/>
    </row>
    <row r="16" spans="1:20" ht="16" customHeight="1" x14ac:dyDescent="0.25">
      <c r="L16" s="2"/>
    </row>
    <row r="17" spans="12:12" ht="16" customHeight="1" x14ac:dyDescent="0.25">
      <c r="L17" s="2"/>
    </row>
    <row r="18" spans="12:12" ht="16" customHeight="1" x14ac:dyDescent="0.25">
      <c r="L18" s="2"/>
    </row>
    <row r="19" spans="12:12" ht="16" customHeight="1" x14ac:dyDescent="0.25">
      <c r="L19" s="2"/>
    </row>
    <row r="20" spans="12:12" ht="16" customHeight="1" x14ac:dyDescent="0.25">
      <c r="L20" s="2"/>
    </row>
    <row r="21" spans="12:12" ht="16" customHeight="1" x14ac:dyDescent="0.25">
      <c r="L21" s="2"/>
    </row>
    <row r="22" spans="12:12" ht="16" customHeight="1" x14ac:dyDescent="0.25">
      <c r="L22" s="2"/>
    </row>
    <row r="23" spans="12:12" ht="16" customHeight="1" x14ac:dyDescent="0.25">
      <c r="L23" s="2"/>
    </row>
    <row r="24" spans="12:12" ht="16" customHeight="1" x14ac:dyDescent="0.25">
      <c r="L24" s="2"/>
    </row>
    <row r="25" spans="12:12" ht="16" customHeight="1" x14ac:dyDescent="0.25">
      <c r="L25" s="2"/>
    </row>
    <row r="26" spans="12:12" ht="16" customHeight="1" x14ac:dyDescent="0.25">
      <c r="L26" s="2"/>
    </row>
    <row r="27" spans="12:12" ht="16" customHeight="1" x14ac:dyDescent="0.25">
      <c r="L27" s="2"/>
    </row>
    <row r="28" spans="12:12" ht="16" customHeight="1" x14ac:dyDescent="0.25">
      <c r="L28" s="2"/>
    </row>
    <row r="29" spans="12:12" ht="16" customHeight="1" x14ac:dyDescent="0.25">
      <c r="L29" s="2"/>
    </row>
    <row r="30" spans="12:12" ht="16" customHeight="1" x14ac:dyDescent="0.25">
      <c r="L30" s="2"/>
    </row>
    <row r="31" spans="12:12" ht="16" customHeight="1" x14ac:dyDescent="0.25">
      <c r="L31" s="2"/>
    </row>
    <row r="32" spans="12:12" ht="16" customHeight="1" x14ac:dyDescent="0.25">
      <c r="L32" s="2"/>
    </row>
    <row r="33" spans="12:12" ht="16" customHeight="1" x14ac:dyDescent="0.25">
      <c r="L33" s="2"/>
    </row>
    <row r="34" spans="12:12" ht="16" customHeight="1" x14ac:dyDescent="0.25">
      <c r="L34" s="2"/>
    </row>
    <row r="35" spans="12:12" ht="16" customHeight="1" x14ac:dyDescent="0.25">
      <c r="L35" s="2"/>
    </row>
    <row r="36" spans="12:12" ht="16" customHeight="1" x14ac:dyDescent="0.25">
      <c r="L36" s="2"/>
    </row>
    <row r="37" spans="12:12" ht="16" customHeight="1" x14ac:dyDescent="0.25">
      <c r="L37" s="2"/>
    </row>
    <row r="38" spans="12:12" ht="16" customHeight="1" x14ac:dyDescent="0.25">
      <c r="L38" s="2"/>
    </row>
    <row r="39" spans="12:12" ht="16" customHeight="1" x14ac:dyDescent="0.25">
      <c r="L39" s="2"/>
    </row>
    <row r="40" spans="12:12" ht="16" customHeight="1" x14ac:dyDescent="0.25">
      <c r="L40" s="2"/>
    </row>
    <row r="41" spans="12:12" ht="16" customHeight="1" x14ac:dyDescent="0.25">
      <c r="L41" s="2"/>
    </row>
    <row r="42" spans="12:12" ht="16" customHeight="1" x14ac:dyDescent="0.25">
      <c r="L42" s="2"/>
    </row>
    <row r="43" spans="12:12" x14ac:dyDescent="0.25">
      <c r="L43" s="2"/>
    </row>
    <row r="44" spans="12:12" x14ac:dyDescent="0.25">
      <c r="L44" s="2"/>
    </row>
    <row r="45" spans="12:12" x14ac:dyDescent="0.25">
      <c r="L45" s="2"/>
    </row>
    <row r="46" spans="12:12" x14ac:dyDescent="0.25">
      <c r="L46" s="2"/>
    </row>
    <row r="47" spans="12:12" x14ac:dyDescent="0.25">
      <c r="L47" s="2"/>
    </row>
    <row r="48" spans="12:12" x14ac:dyDescent="0.25">
      <c r="L48" s="2"/>
    </row>
    <row r="49" spans="12:12" x14ac:dyDescent="0.25">
      <c r="L49" s="2"/>
    </row>
    <row r="50" spans="12:12" x14ac:dyDescent="0.25">
      <c r="L50" s="2"/>
    </row>
    <row r="51" spans="12:12" x14ac:dyDescent="0.25">
      <c r="L51" s="2"/>
    </row>
    <row r="52" spans="12:12" x14ac:dyDescent="0.25">
      <c r="L52" s="2"/>
    </row>
    <row r="53" spans="12:12" x14ac:dyDescent="0.25">
      <c r="L53" s="2"/>
    </row>
    <row r="54" spans="12:12" x14ac:dyDescent="0.25">
      <c r="L54" s="2"/>
    </row>
    <row r="55" spans="12:12" x14ac:dyDescent="0.25">
      <c r="L55" s="2"/>
    </row>
    <row r="56" spans="12:12" x14ac:dyDescent="0.25">
      <c r="L56" s="2"/>
    </row>
    <row r="57" spans="12:12" x14ac:dyDescent="0.25">
      <c r="L57" s="2"/>
    </row>
    <row r="58" spans="12:12" x14ac:dyDescent="0.25">
      <c r="L58" s="2"/>
    </row>
    <row r="59" spans="12:12" x14ac:dyDescent="0.25">
      <c r="L59" s="2"/>
    </row>
  </sheetData>
  <pageMargins left="0.75" right="0.75" top="1" bottom="0.5" header="0.5" footer="0.5"/>
  <pageSetup orientation="portrait" horizontalDpi="240" verticalDpi="144" r:id="rId1"/>
  <headerFooter alignWithMargins="0">
    <oddHeader>&amp;CGrades-PHYS 101
Labs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pageSetup orientation="portrait" horizontalDpi="240" verticalDpi="144" copies="0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pageSetup orientation="portrait" horizontalDpi="240" verticalDpi="144" copies="0" r:id="rId1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pageSetup orientation="portrait" horizontalDpi="240" verticalDpi="144" copies="0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pageSetup orientation="portrait" horizontalDpi="240" verticalDpi="144" copies="0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pageSetup orientation="portrait" horizontalDpi="240" verticalDpi="144" copies="0" r:id="rId1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pageSetup orientation="portrait" horizontalDpi="240" verticalDpi="144" copies="0" r:id="rId1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pageSetup orientation="portrait" horizontalDpi="240" verticalDpi="144" copies="0" r:id="rId1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pageSetup orientation="portrait" horizontalDpi="240" verticalDpi="144" copies="0" r:id="rId1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pageSetup orientation="portrait" horizontalDpi="240" verticalDpi="144" copies="0" r:id="rId1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pageSetup orientation="portrait" horizontalDpi="240" verticalDpi="144" copies="0" r:id="rId1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pageSetup orientation="portrait" horizontalDpi="240" verticalDpi="144" copies="0" r:id="rId1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pageSetup orientation="portrait" horizontalDpi="240" verticalDpi="144" copies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Final Grades</vt:lpstr>
      <vt:lpstr>Homework</vt:lpstr>
      <vt:lpstr>Labs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Grades-PHYS 110 Intro Ast</dc:title>
  <dc:subject/>
  <dc:creator>Richard L. Bowman</dc:creator>
  <cp:keywords/>
  <dc:description/>
  <cp:lastModifiedBy>Carina Negreanu</cp:lastModifiedBy>
  <cp:lastPrinted>1996-11-14T18:40:46Z</cp:lastPrinted>
  <dcterms:created xsi:type="dcterms:W3CDTF">1996-10-31T21:05:35Z</dcterms:created>
  <dcterms:modified xsi:type="dcterms:W3CDTF">2020-01-27T11:09:49Z</dcterms:modified>
</cp:coreProperties>
</file>