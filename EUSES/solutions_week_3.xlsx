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A9B7B02-DA4E-4C87-AFBA-2C34FEC54525}" xr6:coauthVersionLast="45" xr6:coauthVersionMax="45" xr10:uidLastSave="{00000000-0000-0000-0000-000000000000}"/>
  <bookViews>
    <workbookView xWindow="380" yWindow="380" windowWidth="28800" windowHeight="15460" activeTab="3"/>
  </bookViews>
  <sheets>
    <sheet name="2.1" sheetId="1" r:id="rId1"/>
    <sheet name="2.2" sheetId="23" r:id="rId2"/>
    <sheet name="2.3" sheetId="18" r:id="rId3"/>
    <sheet name="2.5" sheetId="19" r:id="rId4"/>
    <sheet name="2.8" sheetId="20" r:id="rId5"/>
    <sheet name="2.12" sheetId="22" r:id="rId6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4" i="22" l="1"/>
  <c r="C31" i="22"/>
  <c r="A29" i="22"/>
  <c r="C20" i="22"/>
  <c r="C27" i="22" s="1"/>
  <c r="C10" i="22"/>
  <c r="C12" i="22" s="1"/>
  <c r="D35" i="20"/>
  <c r="D36" i="20" s="1"/>
  <c r="D37" i="20" s="1"/>
  <c r="H19" i="23"/>
  <c r="D15" i="20"/>
  <c r="D16" i="20" s="1"/>
  <c r="D17" i="20" s="1"/>
  <c r="C11" i="19"/>
  <c r="C20" i="19"/>
  <c r="C20" i="18"/>
  <c r="C11" i="18"/>
  <c r="C12" i="1"/>
  <c r="C13" i="1"/>
  <c r="C14" i="1"/>
  <c r="C15" i="1"/>
  <c r="C11" i="1"/>
  <c r="C17" i="1" s="1"/>
  <c r="C14" i="22" l="1"/>
  <c r="C11" i="22"/>
  <c r="C22" i="22"/>
</calcChain>
</file>

<file path=xl/sharedStrings.xml><?xml version="1.0" encoding="utf-8"?>
<sst xmlns="http://schemas.openxmlformats.org/spreadsheetml/2006/main" count="138" uniqueCount="62">
  <si>
    <t>BOSTON COLLEGE</t>
  </si>
  <si>
    <t>MF-852 Financial Econometrics</t>
  </si>
  <si>
    <t>x</t>
  </si>
  <si>
    <t>3 Homework RR  pp 60</t>
  </si>
  <si>
    <t>X</t>
  </si>
  <si>
    <t>f(x)</t>
  </si>
  <si>
    <t>Mean</t>
  </si>
  <si>
    <t>Variance</t>
  </si>
  <si>
    <t>f(X)</t>
  </si>
  <si>
    <t>p</t>
  </si>
  <si>
    <t>N</t>
  </si>
  <si>
    <t>USE EXCEL</t>
  </si>
  <si>
    <t>1,1</t>
  </si>
  <si>
    <t>1,2;  2,1</t>
  </si>
  <si>
    <t>1,3;  3,1</t>
  </si>
  <si>
    <t>2,2</t>
  </si>
  <si>
    <t>1,4;  4;1</t>
  </si>
  <si>
    <t>2,3;  3,2</t>
  </si>
  <si>
    <t>1,5;  5,1</t>
  </si>
  <si>
    <t>2,4;  4,2</t>
  </si>
  <si>
    <t>3,3</t>
  </si>
  <si>
    <t>1,6;  6,1</t>
  </si>
  <si>
    <t>2,5;  5,2</t>
  </si>
  <si>
    <t>3,4;  4,3</t>
  </si>
  <si>
    <t>2,6;  6,2</t>
  </si>
  <si>
    <t>3,5;  5,3</t>
  </si>
  <si>
    <t>4,4</t>
  </si>
  <si>
    <t>3,6;  6,3</t>
  </si>
  <si>
    <t>4,5;  5,4</t>
  </si>
  <si>
    <t>4,6;  6,4</t>
  </si>
  <si>
    <t>5,5</t>
  </si>
  <si>
    <t>5,6;  6,5</t>
  </si>
  <si>
    <t>6,6</t>
  </si>
  <si>
    <t>There may be a smarter way to do this but here is my solution</t>
  </si>
  <si>
    <t>A.  Solution with Excel</t>
  </si>
  <si>
    <t>answer</t>
  </si>
  <si>
    <t>B.  Solution using Ramanathan table</t>
  </si>
  <si>
    <t>(See memo on website about reading probability tables!!!)</t>
  </si>
  <si>
    <t xml:space="preserve">   Let x be "success" defined as a bad chip.  Then we need 1-P(x&gt;=3).</t>
  </si>
  <si>
    <t>from Table A.6, p. 600</t>
  </si>
  <si>
    <t xml:space="preserve">   Let x be "success" defined as a bulb that does not germinate.  Then we need 1-P(x&gt;=3).</t>
  </si>
  <si>
    <t xml:space="preserve">   Let x be "success" defined as a bad chip.  Then we need P(x&lt;=2).</t>
  </si>
  <si>
    <t xml:space="preserve">   Let x be "success" defined as a bulb that does NOT germinate.  Then we need P(x&lt;=2).</t>
  </si>
  <si>
    <t>For 2.1</t>
  </si>
  <si>
    <t>Std. Dev.</t>
  </si>
  <si>
    <t>For 2.2</t>
  </si>
  <si>
    <t>mean of Xbar</t>
  </si>
  <si>
    <t>std. dev. Of Xbar</t>
  </si>
  <si>
    <t>Solution</t>
  </si>
  <si>
    <t>P(xbar&gt;32)</t>
  </si>
  <si>
    <t>P(xbar&lt;25)</t>
  </si>
  <si>
    <t>=P(z &gt; (32-26)/1.2)</t>
  </si>
  <si>
    <t>=P(z &gt; 5</t>
  </si>
  <si>
    <t>=P(z &lt; (25-26)/1.2)</t>
  </si>
  <si>
    <t>=P(z &lt; -0.833)</t>
  </si>
  <si>
    <t>=P(z &gt; 0.833)</t>
  </si>
  <si>
    <t>by symmetry of normal distribution</t>
  </si>
  <si>
    <t>=.5 - .2967</t>
  </si>
  <si>
    <t>(approximately)</t>
  </si>
  <si>
    <t>(approximately, table only goes to 0.83)</t>
  </si>
  <si>
    <t>Note that with binomial distribution, the expected number of non-germinations is .2 times 20, or 4.  Thus on average we expect only 16 germinations.</t>
  </si>
  <si>
    <t>So most of the time we should get a refund!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</si>
</sst>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0.0000"/>
    <numFmt numFmtId="176" formatCode="0.000"/>
  </numFmts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74" fontId="0" fillId="0" borderId="0" xfId="0" applyNumberFormat="1"/>
    <xf numFmtId="176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9"/>
  <sheetViews>
    <sheetView topLeftCell="A17" workbookViewId="0">
      <selection activeCell="E23" sqref="E23:L40"/>
    </sheetView>
  </sheetViews>
  <sheetFormatPr defaultRowHeight="12.5" x14ac:dyDescent="0.25"/>
  <cols>
    <col min="1" max="1" width="27.816406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4" spans="1:3" ht="13" x14ac:dyDescent="0.3">
      <c r="B4" s="1" t="s">
        <v>11</v>
      </c>
    </row>
    <row r="6" spans="1:3" x14ac:dyDescent="0.25">
      <c r="A6" t="s">
        <v>3</v>
      </c>
    </row>
    <row r="7" spans="1:3" x14ac:dyDescent="0.25">
      <c r="B7" t="s">
        <v>10</v>
      </c>
      <c r="C7">
        <v>4</v>
      </c>
    </row>
    <row r="8" spans="1:3" x14ac:dyDescent="0.25">
      <c r="B8" t="s">
        <v>9</v>
      </c>
      <c r="C8">
        <v>0.5</v>
      </c>
    </row>
    <row r="10" spans="1:3" ht="13" x14ac:dyDescent="0.3">
      <c r="B10" s="1" t="s">
        <v>4</v>
      </c>
      <c r="C10" s="1" t="s">
        <v>8</v>
      </c>
    </row>
    <row r="11" spans="1:3" x14ac:dyDescent="0.25">
      <c r="B11">
        <v>0</v>
      </c>
      <c r="C11" s="2">
        <f>BINOMDIST(B11,$C$7,$C$8,0)</f>
        <v>6.25E-2</v>
      </c>
    </row>
    <row r="12" spans="1:3" x14ac:dyDescent="0.25">
      <c r="B12">
        <v>1</v>
      </c>
      <c r="C12" s="2">
        <f>BINOMDIST(B12,$C$7,$C$8,0)</f>
        <v>0.24999999999999994</v>
      </c>
    </row>
    <row r="13" spans="1:3" x14ac:dyDescent="0.25">
      <c r="B13">
        <v>2</v>
      </c>
      <c r="C13" s="2">
        <f>BINOMDIST(B13,$C$7,$C$8,0)</f>
        <v>0.375</v>
      </c>
    </row>
    <row r="14" spans="1:3" x14ac:dyDescent="0.25">
      <c r="B14">
        <v>3</v>
      </c>
      <c r="C14" s="2">
        <f>BINOMDIST(B14,$C$7,$C$8,0)</f>
        <v>0.25</v>
      </c>
    </row>
    <row r="15" spans="1:3" x14ac:dyDescent="0.25">
      <c r="B15">
        <v>4</v>
      </c>
      <c r="C15" s="2">
        <f>BINOMDIST(B15,$C$7,$C$8,0)</f>
        <v>6.25E-2</v>
      </c>
    </row>
    <row r="17" spans="3:12" x14ac:dyDescent="0.25">
      <c r="C17" s="2">
        <f>SUM(C11:C16)</f>
        <v>1</v>
      </c>
    </row>
    <row r="23" spans="3:12" x14ac:dyDescent="0.25">
      <c r="E23" t="s">
        <v>0</v>
      </c>
    </row>
    <row r="24" spans="3:12" x14ac:dyDescent="0.25">
      <c r="E24" t="s">
        <v>1</v>
      </c>
    </row>
    <row r="26" spans="3:12" x14ac:dyDescent="0.25">
      <c r="E26" t="s">
        <v>33</v>
      </c>
    </row>
    <row r="28" spans="3:12" x14ac:dyDescent="0.25">
      <c r="F28" t="s">
        <v>4</v>
      </c>
      <c r="L28" t="s">
        <v>5</v>
      </c>
    </row>
    <row r="29" spans="3:12" x14ac:dyDescent="0.25">
      <c r="F29">
        <v>2</v>
      </c>
      <c r="H29" t="s">
        <v>12</v>
      </c>
      <c r="L29">
        <v>2.7777777777777776E-2</v>
      </c>
    </row>
    <row r="30" spans="3:12" x14ac:dyDescent="0.25">
      <c r="F30">
        <v>3</v>
      </c>
      <c r="H30" t="s">
        <v>13</v>
      </c>
      <c r="L30">
        <v>5.5555555555555552E-2</v>
      </c>
    </row>
    <row r="31" spans="3:12" x14ac:dyDescent="0.25">
      <c r="F31">
        <v>4</v>
      </c>
      <c r="H31" t="s">
        <v>14</v>
      </c>
      <c r="I31" t="s">
        <v>15</v>
      </c>
      <c r="L31">
        <v>8.3333333333333329E-2</v>
      </c>
    </row>
    <row r="32" spans="3:12" x14ac:dyDescent="0.25">
      <c r="F32">
        <v>5</v>
      </c>
      <c r="H32" t="s">
        <v>16</v>
      </c>
      <c r="I32" t="s">
        <v>17</v>
      </c>
      <c r="L32">
        <v>0.1111111111111111</v>
      </c>
    </row>
    <row r="33" spans="6:12" x14ac:dyDescent="0.25">
      <c r="F33">
        <v>6</v>
      </c>
      <c r="H33" t="s">
        <v>18</v>
      </c>
      <c r="I33" t="s">
        <v>19</v>
      </c>
      <c r="J33" t="s">
        <v>20</v>
      </c>
      <c r="L33">
        <v>0.1388888888888889</v>
      </c>
    </row>
    <row r="34" spans="6:12" x14ac:dyDescent="0.25">
      <c r="F34">
        <v>7</v>
      </c>
      <c r="H34" t="s">
        <v>21</v>
      </c>
      <c r="I34" t="s">
        <v>22</v>
      </c>
      <c r="J34" t="s">
        <v>23</v>
      </c>
      <c r="L34">
        <v>0.16666666666666666</v>
      </c>
    </row>
    <row r="35" spans="6:12" x14ac:dyDescent="0.25">
      <c r="F35">
        <v>8</v>
      </c>
      <c r="H35" t="s">
        <v>24</v>
      </c>
      <c r="I35" t="s">
        <v>25</v>
      </c>
      <c r="J35" t="s">
        <v>26</v>
      </c>
      <c r="L35">
        <v>0.1388888888888889</v>
      </c>
    </row>
    <row r="36" spans="6:12" x14ac:dyDescent="0.25">
      <c r="F36">
        <v>9</v>
      </c>
      <c r="H36" t="s">
        <v>27</v>
      </c>
      <c r="I36" t="s">
        <v>28</v>
      </c>
      <c r="L36">
        <v>0.1111111111111111</v>
      </c>
    </row>
    <row r="37" spans="6:12" x14ac:dyDescent="0.25">
      <c r="F37">
        <v>10</v>
      </c>
      <c r="H37" t="s">
        <v>29</v>
      </c>
      <c r="I37" t="s">
        <v>30</v>
      </c>
      <c r="L37">
        <v>8.3333333333333329E-2</v>
      </c>
    </row>
    <row r="38" spans="6:12" x14ac:dyDescent="0.25">
      <c r="F38">
        <v>11</v>
      </c>
      <c r="H38" t="s">
        <v>31</v>
      </c>
      <c r="L38">
        <v>5.5555555555555552E-2</v>
      </c>
    </row>
    <row r="39" spans="6:12" x14ac:dyDescent="0.25">
      <c r="F39">
        <v>12</v>
      </c>
      <c r="H39" t="s">
        <v>32</v>
      </c>
      <c r="L39">
        <v>2.7777777777777776E-2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9"/>
  <sheetViews>
    <sheetView workbookViewId="0">
      <selection activeCell="B6" sqref="B6:H19"/>
    </sheetView>
  </sheetViews>
  <sheetFormatPr defaultRowHeight="12.5" x14ac:dyDescent="0.25"/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33</v>
      </c>
    </row>
    <row r="6" spans="1:8" ht="13" x14ac:dyDescent="0.3">
      <c r="B6" s="1" t="s">
        <v>4</v>
      </c>
      <c r="H6" s="1" t="s">
        <v>5</v>
      </c>
    </row>
    <row r="7" spans="1:8" x14ac:dyDescent="0.25">
      <c r="B7">
        <v>2</v>
      </c>
      <c r="D7" t="s">
        <v>12</v>
      </c>
      <c r="H7">
        <v>2.7777777777777776E-2</v>
      </c>
    </row>
    <row r="8" spans="1:8" x14ac:dyDescent="0.25">
      <c r="B8">
        <v>3</v>
      </c>
      <c r="D8" t="s">
        <v>13</v>
      </c>
      <c r="H8">
        <v>5.5555555555555552E-2</v>
      </c>
    </row>
    <row r="9" spans="1:8" x14ac:dyDescent="0.25">
      <c r="B9">
        <v>4</v>
      </c>
      <c r="D9" t="s">
        <v>14</v>
      </c>
      <c r="E9" t="s">
        <v>15</v>
      </c>
      <c r="H9">
        <v>8.3333333333333329E-2</v>
      </c>
    </row>
    <row r="10" spans="1:8" x14ac:dyDescent="0.25">
      <c r="B10">
        <v>5</v>
      </c>
      <c r="D10" t="s">
        <v>16</v>
      </c>
      <c r="E10" t="s">
        <v>17</v>
      </c>
      <c r="H10">
        <v>0.1111111111111111</v>
      </c>
    </row>
    <row r="11" spans="1:8" x14ac:dyDescent="0.25">
      <c r="B11">
        <v>6</v>
      </c>
      <c r="D11" t="s">
        <v>18</v>
      </c>
      <c r="E11" t="s">
        <v>19</v>
      </c>
      <c r="F11" t="s">
        <v>20</v>
      </c>
      <c r="H11">
        <v>0.1388888888888889</v>
      </c>
    </row>
    <row r="12" spans="1:8" x14ac:dyDescent="0.25">
      <c r="B12">
        <v>7</v>
      </c>
      <c r="D12" t="s">
        <v>21</v>
      </c>
      <c r="E12" t="s">
        <v>22</v>
      </c>
      <c r="F12" t="s">
        <v>23</v>
      </c>
      <c r="H12">
        <v>0.16666666666666666</v>
      </c>
    </row>
    <row r="13" spans="1:8" x14ac:dyDescent="0.25">
      <c r="B13">
        <v>8</v>
      </c>
      <c r="D13" t="s">
        <v>24</v>
      </c>
      <c r="E13" t="s">
        <v>25</v>
      </c>
      <c r="F13" t="s">
        <v>26</v>
      </c>
      <c r="H13">
        <v>0.1388888888888889</v>
      </c>
    </row>
    <row r="14" spans="1:8" x14ac:dyDescent="0.25">
      <c r="B14">
        <v>9</v>
      </c>
      <c r="D14" t="s">
        <v>27</v>
      </c>
      <c r="E14" t="s">
        <v>28</v>
      </c>
      <c r="H14">
        <v>0.1111111111111111</v>
      </c>
    </row>
    <row r="15" spans="1:8" x14ac:dyDescent="0.25">
      <c r="B15">
        <v>10</v>
      </c>
      <c r="D15" t="s">
        <v>29</v>
      </c>
      <c r="E15" t="s">
        <v>30</v>
      </c>
      <c r="H15">
        <v>8.3333333333333329E-2</v>
      </c>
    </row>
    <row r="16" spans="1:8" x14ac:dyDescent="0.25">
      <c r="B16">
        <v>11</v>
      </c>
      <c r="D16" t="s">
        <v>31</v>
      </c>
      <c r="H16">
        <v>5.5555555555555552E-2</v>
      </c>
    </row>
    <row r="17" spans="2:8" x14ac:dyDescent="0.25">
      <c r="B17">
        <v>12</v>
      </c>
      <c r="D17" t="s">
        <v>32</v>
      </c>
      <c r="H17">
        <v>2.7777777777777776E-2</v>
      </c>
    </row>
    <row r="19" spans="2:8" x14ac:dyDescent="0.25">
      <c r="H19">
        <f>SUM(H7:H18)</f>
        <v>1.0000000000000002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20"/>
  <sheetViews>
    <sheetView workbookViewId="0">
      <selection activeCell="A5" sqref="A5:L21"/>
    </sheetView>
  </sheetViews>
  <sheetFormatPr defaultRowHeight="12.5" x14ac:dyDescent="0.25"/>
  <cols>
    <col min="1" max="1" width="35" bestFit="1" customWidth="1"/>
    <col min="2" max="2" width="7.26953125" bestFit="1" customWidth="1"/>
    <col min="3" max="3" width="6.54296875" bestFit="1" customWidth="1"/>
    <col min="4" max="7" width="4.7265625" bestFit="1" customWidth="1"/>
    <col min="8" max="8" width="4.26953125" customWidth="1"/>
    <col min="9" max="13" width="4.5429687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5" spans="1:5" x14ac:dyDescent="0.25">
      <c r="A5" t="s">
        <v>34</v>
      </c>
    </row>
    <row r="6" spans="1:5" x14ac:dyDescent="0.25">
      <c r="A6" t="s">
        <v>41</v>
      </c>
    </row>
    <row r="8" spans="1:5" x14ac:dyDescent="0.25">
      <c r="B8" t="s">
        <v>10</v>
      </c>
      <c r="C8">
        <v>20</v>
      </c>
    </row>
    <row r="9" spans="1:5" x14ac:dyDescent="0.25">
      <c r="B9" t="s">
        <v>9</v>
      </c>
      <c r="C9">
        <v>0.1</v>
      </c>
    </row>
    <row r="10" spans="1:5" x14ac:dyDescent="0.25">
      <c r="B10" t="s">
        <v>2</v>
      </c>
      <c r="C10">
        <v>2</v>
      </c>
      <c r="E10" t="s">
        <v>37</v>
      </c>
    </row>
    <row r="11" spans="1:5" x14ac:dyDescent="0.25">
      <c r="B11" t="s">
        <v>35</v>
      </c>
      <c r="C11" s="3">
        <f>BINOMDIST(C10,C8,C9,1)</f>
        <v>0.67692680518946591</v>
      </c>
    </row>
    <row r="14" spans="1:5" x14ac:dyDescent="0.25">
      <c r="A14" t="s">
        <v>36</v>
      </c>
      <c r="C14" s="2"/>
    </row>
    <row r="15" spans="1:5" x14ac:dyDescent="0.25">
      <c r="A15" t="s">
        <v>38</v>
      </c>
    </row>
    <row r="17" spans="2:5" x14ac:dyDescent="0.25">
      <c r="B17" t="s">
        <v>10</v>
      </c>
      <c r="C17">
        <v>20</v>
      </c>
    </row>
    <row r="18" spans="2:5" x14ac:dyDescent="0.25">
      <c r="B18" t="s">
        <v>9</v>
      </c>
      <c r="C18">
        <v>0.1</v>
      </c>
    </row>
    <row r="19" spans="2:5" x14ac:dyDescent="0.25">
      <c r="B19" t="s">
        <v>2</v>
      </c>
      <c r="C19">
        <v>3</v>
      </c>
      <c r="E19" t="s">
        <v>37</v>
      </c>
    </row>
    <row r="20" spans="2:5" x14ac:dyDescent="0.25">
      <c r="B20" t="s">
        <v>35</v>
      </c>
      <c r="C20">
        <f>1-0.3231</f>
        <v>0.67690000000000006</v>
      </c>
      <c r="E20" t="s">
        <v>39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25"/>
  <sheetViews>
    <sheetView tabSelected="1" workbookViewId="0">
      <selection activeCell="A26" sqref="A26"/>
    </sheetView>
  </sheetViews>
  <sheetFormatPr defaultRowHeight="12.5" x14ac:dyDescent="0.25"/>
  <cols>
    <col min="1" max="1" width="30.7265625" bestFit="1" customWidth="1"/>
    <col min="2" max="2" width="6.54296875" bestFit="1" customWidth="1"/>
    <col min="3" max="4" width="5.54296875" bestFit="1" customWidth="1"/>
    <col min="5" max="7" width="4.7265625" bestFit="1" customWidth="1"/>
    <col min="8" max="8" width="4.26953125" customWidth="1"/>
    <col min="9" max="13" width="4.5429687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5" spans="1:5" x14ac:dyDescent="0.25">
      <c r="A5" t="s">
        <v>34</v>
      </c>
    </row>
    <row r="6" spans="1:5" x14ac:dyDescent="0.25">
      <c r="A6" t="s">
        <v>42</v>
      </c>
    </row>
    <row r="8" spans="1:5" x14ac:dyDescent="0.25">
      <c r="B8" t="s">
        <v>10</v>
      </c>
      <c r="C8">
        <v>20</v>
      </c>
    </row>
    <row r="9" spans="1:5" x14ac:dyDescent="0.25">
      <c r="B9" t="s">
        <v>9</v>
      </c>
      <c r="C9">
        <v>0.2</v>
      </c>
    </row>
    <row r="10" spans="1:5" x14ac:dyDescent="0.25">
      <c r="B10" t="s">
        <v>2</v>
      </c>
      <c r="C10">
        <v>2</v>
      </c>
      <c r="E10" t="s">
        <v>37</v>
      </c>
    </row>
    <row r="11" spans="1:5" x14ac:dyDescent="0.25">
      <c r="B11" t="s">
        <v>35</v>
      </c>
      <c r="C11" s="3">
        <f>BINOMDIST(C10,C8,C9,1)</f>
        <v>0.20608471894847391</v>
      </c>
      <c r="D11" s="3"/>
    </row>
    <row r="14" spans="1:5" x14ac:dyDescent="0.25">
      <c r="A14" t="s">
        <v>36</v>
      </c>
      <c r="C14" s="2"/>
    </row>
    <row r="15" spans="1:5" x14ac:dyDescent="0.25">
      <c r="A15" t="s">
        <v>40</v>
      </c>
    </row>
    <row r="17" spans="1:5" x14ac:dyDescent="0.25">
      <c r="B17" t="s">
        <v>10</v>
      </c>
      <c r="C17">
        <v>20</v>
      </c>
    </row>
    <row r="18" spans="1:5" x14ac:dyDescent="0.25">
      <c r="B18" t="s">
        <v>9</v>
      </c>
      <c r="C18">
        <v>0.2</v>
      </c>
    </row>
    <row r="19" spans="1:5" x14ac:dyDescent="0.25">
      <c r="B19" t="s">
        <v>2</v>
      </c>
      <c r="C19">
        <v>3</v>
      </c>
      <c r="E19" t="s">
        <v>37</v>
      </c>
    </row>
    <row r="20" spans="1:5" x14ac:dyDescent="0.25">
      <c r="B20" t="s">
        <v>35</v>
      </c>
      <c r="C20" s="3">
        <f>1-0.7939</f>
        <v>0.20609999999999995</v>
      </c>
      <c r="E20" t="s">
        <v>39</v>
      </c>
    </row>
    <row r="24" spans="1:5" x14ac:dyDescent="0.25">
      <c r="A24" t="s">
        <v>60</v>
      </c>
    </row>
    <row r="25" spans="1:5" x14ac:dyDescent="0.25">
      <c r="A25" t="s">
        <v>61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37"/>
  <sheetViews>
    <sheetView topLeftCell="A12" workbookViewId="0">
      <selection activeCell="A38" sqref="A38"/>
    </sheetView>
  </sheetViews>
  <sheetFormatPr defaultRowHeight="12.5" x14ac:dyDescent="0.25"/>
  <cols>
    <col min="1" max="1" width="30.7265625" bestFit="1" customWidth="1"/>
    <col min="2" max="2" width="4.54296875" bestFit="1" customWidth="1"/>
    <col min="3" max="4" width="8.54296875" bestFit="1" customWidth="1"/>
    <col min="5" max="6" width="4.54296875" bestFit="1" customWidth="1"/>
    <col min="7" max="7" width="9.453125" bestFit="1" customWidth="1"/>
    <col min="8" max="8" width="11.1796875" bestFit="1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6" spans="1:4" x14ac:dyDescent="0.25">
      <c r="A6" t="s">
        <v>43</v>
      </c>
    </row>
    <row r="7" spans="1:4" ht="13" x14ac:dyDescent="0.3">
      <c r="C7" s="1" t="s">
        <v>4</v>
      </c>
      <c r="D7" s="1" t="s">
        <v>8</v>
      </c>
    </row>
    <row r="8" spans="1:4" x14ac:dyDescent="0.25">
      <c r="C8">
        <v>0</v>
      </c>
      <c r="D8" s="2">
        <v>6.25E-2</v>
      </c>
    </row>
    <row r="9" spans="1:4" x14ac:dyDescent="0.25">
      <c r="C9">
        <v>1</v>
      </c>
      <c r="D9" s="2">
        <v>0.25</v>
      </c>
    </row>
    <row r="10" spans="1:4" x14ac:dyDescent="0.25">
      <c r="C10">
        <v>2</v>
      </c>
      <c r="D10" s="2">
        <v>0.375</v>
      </c>
    </row>
    <row r="11" spans="1:4" x14ac:dyDescent="0.25">
      <c r="C11">
        <v>3</v>
      </c>
      <c r="D11" s="2">
        <v>0.25</v>
      </c>
    </row>
    <row r="12" spans="1:4" x14ac:dyDescent="0.25">
      <c r="C12">
        <v>4</v>
      </c>
      <c r="D12" s="2">
        <v>6.25E-2</v>
      </c>
    </row>
    <row r="15" spans="1:4" x14ac:dyDescent="0.25">
      <c r="C15" t="s">
        <v>6</v>
      </c>
      <c r="D15">
        <f>SUMPRODUCT(C8:C12,D8:D12)</f>
        <v>2</v>
      </c>
    </row>
    <row r="16" spans="1:4" x14ac:dyDescent="0.25">
      <c r="C16" t="s">
        <v>7</v>
      </c>
      <c r="D16">
        <f>SUMPRODUCT((C8:C12-D15)*(C8:C12-D15),D8:D12)</f>
        <v>1</v>
      </c>
    </row>
    <row r="17" spans="1:4" x14ac:dyDescent="0.25">
      <c r="C17" t="s">
        <v>44</v>
      </c>
      <c r="D17">
        <f>SQRT(D16)</f>
        <v>1</v>
      </c>
    </row>
    <row r="20" spans="1:4" x14ac:dyDescent="0.25">
      <c r="A20" t="s">
        <v>45</v>
      </c>
    </row>
    <row r="21" spans="1:4" ht="13" x14ac:dyDescent="0.3">
      <c r="C21" s="1" t="s">
        <v>4</v>
      </c>
      <c r="D21" s="1" t="s">
        <v>5</v>
      </c>
    </row>
    <row r="22" spans="1:4" x14ac:dyDescent="0.25">
      <c r="C22">
        <v>2</v>
      </c>
      <c r="D22">
        <v>2.7777777777777776E-2</v>
      </c>
    </row>
    <row r="23" spans="1:4" x14ac:dyDescent="0.25">
      <c r="C23">
        <v>3</v>
      </c>
      <c r="D23">
        <v>5.5555555555555552E-2</v>
      </c>
    </row>
    <row r="24" spans="1:4" x14ac:dyDescent="0.25">
      <c r="C24">
        <v>4</v>
      </c>
      <c r="D24">
        <v>8.3333333333333329E-2</v>
      </c>
    </row>
    <row r="25" spans="1:4" x14ac:dyDescent="0.25">
      <c r="C25">
        <v>5</v>
      </c>
      <c r="D25">
        <v>0.1111111111111111</v>
      </c>
    </row>
    <row r="26" spans="1:4" x14ac:dyDescent="0.25">
      <c r="C26">
        <v>6</v>
      </c>
      <c r="D26">
        <v>0.1388888888888889</v>
      </c>
    </row>
    <row r="27" spans="1:4" x14ac:dyDescent="0.25">
      <c r="C27">
        <v>7</v>
      </c>
      <c r="D27">
        <v>0.16666666666666666</v>
      </c>
    </row>
    <row r="28" spans="1:4" x14ac:dyDescent="0.25">
      <c r="C28">
        <v>8</v>
      </c>
      <c r="D28">
        <v>0.1388888888888889</v>
      </c>
    </row>
    <row r="29" spans="1:4" x14ac:dyDescent="0.25">
      <c r="C29">
        <v>9</v>
      </c>
      <c r="D29">
        <v>0.1111111111111111</v>
      </c>
    </row>
    <row r="30" spans="1:4" x14ac:dyDescent="0.25">
      <c r="C30">
        <v>10</v>
      </c>
      <c r="D30">
        <v>8.3333333333333329E-2</v>
      </c>
    </row>
    <row r="31" spans="1:4" x14ac:dyDescent="0.25">
      <c r="C31">
        <v>11</v>
      </c>
      <c r="D31">
        <v>5.5555555555555552E-2</v>
      </c>
    </row>
    <row r="32" spans="1:4" x14ac:dyDescent="0.25">
      <c r="C32">
        <v>12</v>
      </c>
      <c r="D32">
        <v>2.7777777777777776E-2</v>
      </c>
    </row>
    <row r="35" spans="3:4" x14ac:dyDescent="0.25">
      <c r="C35" t="s">
        <v>6</v>
      </c>
      <c r="D35">
        <f>SUMPRODUCT(C22:C32,D22:D32)</f>
        <v>6.9999999999999991</v>
      </c>
    </row>
    <row r="36" spans="3:4" x14ac:dyDescent="0.25">
      <c r="C36" t="s">
        <v>7</v>
      </c>
      <c r="D36">
        <f>SUMPRODUCT((C22:C32-D35)*(C22:C32-D35),D22:D32)</f>
        <v>5.8333333333333339</v>
      </c>
    </row>
    <row r="37" spans="3:4" x14ac:dyDescent="0.25">
      <c r="C37" t="s">
        <v>44</v>
      </c>
      <c r="D37">
        <f>SQRT(D36)</f>
        <v>2.4152294576982398</v>
      </c>
    </row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35"/>
  <sheetViews>
    <sheetView topLeftCell="A9" workbookViewId="0">
      <selection activeCell="B37" sqref="B37"/>
    </sheetView>
  </sheetViews>
  <sheetFormatPr defaultRowHeight="12.5" x14ac:dyDescent="0.25"/>
  <cols>
    <col min="1" max="1" width="30.7265625" bestFit="1" customWidth="1"/>
    <col min="2" max="2" width="17.7265625" bestFit="1" customWidth="1"/>
    <col min="3" max="4" width="8.54296875" bestFit="1" customWidth="1"/>
    <col min="5" max="6" width="4.54296875" bestFit="1" customWidth="1"/>
    <col min="7" max="7" width="9.453125" bestFit="1" customWidth="1"/>
    <col min="8" max="8" width="11.179687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5" spans="1:5" x14ac:dyDescent="0.25">
      <c r="A5" t="s">
        <v>34</v>
      </c>
    </row>
    <row r="8" spans="1:5" x14ac:dyDescent="0.25">
      <c r="B8" t="s">
        <v>10</v>
      </c>
      <c r="C8">
        <v>25</v>
      </c>
    </row>
    <row r="9" spans="1:5" x14ac:dyDescent="0.25">
      <c r="B9" t="s">
        <v>46</v>
      </c>
      <c r="C9">
        <v>26</v>
      </c>
    </row>
    <row r="10" spans="1:5" x14ac:dyDescent="0.25">
      <c r="B10" t="s">
        <v>47</v>
      </c>
      <c r="C10">
        <f>SQRT(36/C8)</f>
        <v>1.2</v>
      </c>
    </row>
    <row r="11" spans="1:5" x14ac:dyDescent="0.25">
      <c r="B11" t="s">
        <v>49</v>
      </c>
      <c r="C11" s="3">
        <f>1-NORMDIST(32,C9,C10,1)</f>
        <v>2.8665157192353519E-7</v>
      </c>
      <c r="E11" t="s">
        <v>37</v>
      </c>
    </row>
    <row r="12" spans="1:5" x14ac:dyDescent="0.25">
      <c r="B12" t="s">
        <v>50</v>
      </c>
      <c r="C12" s="3">
        <f>NORMDIST(25,C9,C10,1)</f>
        <v>0.20232838096364303</v>
      </c>
    </row>
    <row r="13" spans="1:5" x14ac:dyDescent="0.25">
      <c r="C13" s="3"/>
    </row>
    <row r="14" spans="1:5" x14ac:dyDescent="0.25">
      <c r="B14" t="s">
        <v>48</v>
      </c>
      <c r="C14" s="3">
        <f>1-C12-C11</f>
        <v>0.79767133238478505</v>
      </c>
    </row>
    <row r="16" spans="1:5" x14ac:dyDescent="0.25">
      <c r="A16" t="s">
        <v>36</v>
      </c>
      <c r="C16" s="2"/>
    </row>
    <row r="18" spans="1:5" x14ac:dyDescent="0.25">
      <c r="B18" t="s">
        <v>10</v>
      </c>
      <c r="C18">
        <v>25</v>
      </c>
    </row>
    <row r="19" spans="1:5" x14ac:dyDescent="0.25">
      <c r="B19" t="s">
        <v>46</v>
      </c>
      <c r="C19">
        <v>26</v>
      </c>
    </row>
    <row r="20" spans="1:5" x14ac:dyDescent="0.25">
      <c r="B20" t="s">
        <v>47</v>
      </c>
      <c r="C20">
        <f>SQRT(36/C18)</f>
        <v>1.2</v>
      </c>
    </row>
    <row r="22" spans="1:5" x14ac:dyDescent="0.25">
      <c r="B22" t="s">
        <v>49</v>
      </c>
      <c r="C22" s="3">
        <f>1-NORMDIST(32,C19,C20,1)</f>
        <v>2.8665157192353519E-7</v>
      </c>
    </row>
    <row r="23" spans="1:5" x14ac:dyDescent="0.25">
      <c r="B23" s="4" t="s">
        <v>51</v>
      </c>
    </row>
    <row r="24" spans="1:5" x14ac:dyDescent="0.25">
      <c r="B24" s="4" t="s">
        <v>52</v>
      </c>
      <c r="C24">
        <v>0</v>
      </c>
      <c r="E24" t="s">
        <v>37</v>
      </c>
    </row>
    <row r="27" spans="1:5" x14ac:dyDescent="0.25">
      <c r="B27" t="s">
        <v>50</v>
      </c>
      <c r="C27" s="3">
        <f>NORMDIST(25,C19,C20,1)</f>
        <v>0.20232838096364303</v>
      </c>
    </row>
    <row r="28" spans="1:5" x14ac:dyDescent="0.25">
      <c r="B28" s="4" t="s">
        <v>53</v>
      </c>
    </row>
    <row r="29" spans="1:5" x14ac:dyDescent="0.25">
      <c r="A29">
        <f>(25-26)/1.2</f>
        <v>-0.83333333333333337</v>
      </c>
      <c r="B29" s="4" t="s">
        <v>54</v>
      </c>
    </row>
    <row r="30" spans="1:5" x14ac:dyDescent="0.25">
      <c r="B30" s="4" t="s">
        <v>55</v>
      </c>
      <c r="E30" t="s">
        <v>56</v>
      </c>
    </row>
    <row r="31" spans="1:5" x14ac:dyDescent="0.25">
      <c r="B31" s="4" t="s">
        <v>57</v>
      </c>
      <c r="C31">
        <f>0.5-0.2967</f>
        <v>0.20329999999999998</v>
      </c>
      <c r="E31" t="s">
        <v>37</v>
      </c>
    </row>
    <row r="32" spans="1:5" x14ac:dyDescent="0.25">
      <c r="B32" t="s">
        <v>59</v>
      </c>
    </row>
    <row r="34" spans="2:3" x14ac:dyDescent="0.25">
      <c r="B34" t="s">
        <v>48</v>
      </c>
      <c r="C34">
        <f>1-C24-C31</f>
        <v>0.79669999999999996</v>
      </c>
    </row>
    <row r="35" spans="2:3" x14ac:dyDescent="0.25">
      <c r="B35" t="s">
        <v>58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2.1</vt:lpstr>
      <vt:lpstr>2.2</vt:lpstr>
      <vt:lpstr>2.3</vt:lpstr>
      <vt:lpstr>2.5</vt:lpstr>
      <vt:lpstr>2.8</vt:lpstr>
      <vt:lpstr>2.12</vt:lpstr>
    </vt:vector>
  </TitlesOfParts>
  <Company>Boston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Sempertegui</dc:creator>
  <cp:lastModifiedBy>Carina Negreanu</cp:lastModifiedBy>
  <dcterms:created xsi:type="dcterms:W3CDTF">2003-09-14T17:42:21Z</dcterms:created>
  <dcterms:modified xsi:type="dcterms:W3CDTF">2020-01-27T12:40:52Z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-395315130</vt:i4>
  </property>
  <property fmtid="{D5CDD505-2E9C-101B-9397-08002B2CF9AE}" pid="3" name="_EmailSubject">
    <vt:lpwstr/>
  </property>
  <property fmtid="{D5CDD505-2E9C-101B-9397-08002B2CF9AE}" pid="4" name="_AuthorEmail">
    <vt:lpwstr>semperte@bc.edu</vt:lpwstr>
  </property>
  <property fmtid="{D5CDD505-2E9C-101B-9397-08002B2CF9AE}" pid="5" name="_AuthorEmailDisplayName">
    <vt:lpwstr>Paulina Sempertegui</vt:lpwstr>
  </property>
  <property fmtid="{D5CDD505-2E9C-101B-9397-08002B2CF9AE}" pid="6" name="_ReviewingToolsShownOnce">
    <vt:lpwstr/>
  </property>
</Properties>
</file>