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3134EE3-17CF-4410-8412-606137817549}" xr6:coauthVersionLast="45" xr6:coauthVersionMax="45" xr10:uidLastSave="{00000000-0000-0000-0000-000000000000}"/>
  <bookViews>
    <workbookView xWindow="2280" yWindow="2280" windowWidth="28800" windowHeight="15460"/>
  </bookViews>
  <sheets>
    <sheet name="สช.อาชีว" sheetId="1" r:id="rId1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7" i="1" l="1"/>
  <c r="E63" i="1"/>
  <c r="E68" i="1"/>
  <c r="E58" i="1"/>
  <c r="E73" i="1"/>
  <c r="F73" i="1"/>
  <c r="G73" i="1"/>
  <c r="D58" i="1"/>
  <c r="D63" i="1"/>
  <c r="D68" i="1"/>
  <c r="D73" i="1"/>
  <c r="C63" i="1"/>
  <c r="C68" i="1"/>
  <c r="C58" i="1"/>
  <c r="B58" i="1" s="1"/>
  <c r="C73" i="1"/>
  <c r="B73" i="1" s="1"/>
  <c r="J72" i="1"/>
  <c r="J69" i="1" s="1"/>
  <c r="D69" i="1" s="1"/>
  <c r="I72" i="1"/>
  <c r="G72" i="1"/>
  <c r="D72" i="1" s="1"/>
  <c r="F72" i="1"/>
  <c r="F69" i="1" s="1"/>
  <c r="B67" i="1"/>
  <c r="F70" i="1"/>
  <c r="F71" i="1"/>
  <c r="E23" i="1"/>
  <c r="E21" i="1"/>
  <c r="E20" i="1"/>
  <c r="D21" i="1"/>
  <c r="D23" i="1"/>
  <c r="D20" i="1"/>
  <c r="G71" i="1"/>
  <c r="D71" i="1" s="1"/>
  <c r="G70" i="1"/>
  <c r="D70" i="1" s="1"/>
  <c r="H57" i="1"/>
  <c r="H62" i="1"/>
  <c r="H72" i="1"/>
  <c r="I71" i="1"/>
  <c r="C71" i="1" s="1"/>
  <c r="B71" i="1" s="1"/>
  <c r="I70" i="1"/>
  <c r="C70" i="1" s="1"/>
  <c r="B70" i="1" s="1"/>
  <c r="J71" i="1"/>
  <c r="H73" i="1"/>
  <c r="G54" i="1"/>
  <c r="D54" i="1" s="1"/>
  <c r="J54" i="1"/>
  <c r="D55" i="1"/>
  <c r="D56" i="1"/>
  <c r="D57" i="1"/>
  <c r="J59" i="1"/>
  <c r="G59" i="1"/>
  <c r="D59" i="1" s="1"/>
  <c r="D60" i="1"/>
  <c r="D61" i="1"/>
  <c r="D62" i="1"/>
  <c r="B62" i="1" s="1"/>
  <c r="G64" i="1"/>
  <c r="J64" i="1"/>
  <c r="D64" i="1"/>
  <c r="D65" i="1"/>
  <c r="D66" i="1"/>
  <c r="J70" i="1"/>
  <c r="G69" i="1"/>
  <c r="H63" i="1"/>
  <c r="E62" i="1"/>
  <c r="C62" i="1"/>
  <c r="C57" i="1"/>
  <c r="B57" i="1" s="1"/>
  <c r="C56" i="1"/>
  <c r="B56" i="1"/>
  <c r="C55" i="1"/>
  <c r="B55" i="1"/>
  <c r="H58" i="1"/>
  <c r="F59" i="1"/>
  <c r="E59" i="1" s="1"/>
  <c r="E57" i="1"/>
  <c r="H56" i="1"/>
  <c r="H71" i="1" s="1"/>
  <c r="H61" i="1"/>
  <c r="H66" i="1"/>
  <c r="E66" i="1"/>
  <c r="C66" i="1"/>
  <c r="B66" i="1"/>
  <c r="E46" i="1"/>
  <c r="D46" i="1" s="1"/>
  <c r="C46" i="1" s="1"/>
  <c r="B46" i="1" s="1"/>
  <c r="E43" i="1"/>
  <c r="D43" i="1" s="1"/>
  <c r="C43" i="1" s="1"/>
  <c r="B43" i="1" s="1"/>
  <c r="E44" i="1"/>
  <c r="E41" i="1"/>
  <c r="I64" i="1"/>
  <c r="H64" i="1"/>
  <c r="F54" i="1"/>
  <c r="C54" i="1" s="1"/>
  <c r="B54" i="1" s="1"/>
  <c r="I54" i="1"/>
  <c r="H54" i="1" s="1"/>
  <c r="F14" i="1"/>
  <c r="E13" i="1"/>
  <c r="I9" i="1"/>
  <c r="E42" i="1"/>
  <c r="E39" i="1"/>
  <c r="E45" i="1" s="1"/>
  <c r="F45" i="1"/>
  <c r="C45" i="1" s="1"/>
  <c r="G45" i="1"/>
  <c r="H43" i="1"/>
  <c r="H46" i="1" s="1"/>
  <c r="H40" i="1"/>
  <c r="J46" i="1"/>
  <c r="I46" i="1"/>
  <c r="I44" i="1" s="1"/>
  <c r="C44" i="1" s="1"/>
  <c r="F38" i="1"/>
  <c r="E38" i="1" s="1"/>
  <c r="G38" i="1"/>
  <c r="C40" i="1"/>
  <c r="E40" i="1"/>
  <c r="B40" i="1"/>
  <c r="D40" i="1"/>
  <c r="G27" i="1"/>
  <c r="D27" i="1" s="1"/>
  <c r="J27" i="1"/>
  <c r="D17" i="1"/>
  <c r="E55" i="1"/>
  <c r="E70" i="1"/>
  <c r="J45" i="1"/>
  <c r="J44" i="1" s="1"/>
  <c r="D44" i="1" s="1"/>
  <c r="F25" i="1"/>
  <c r="C25" i="1" s="1"/>
  <c r="B25" i="1" s="1"/>
  <c r="E61" i="1"/>
  <c r="E60" i="1"/>
  <c r="J28" i="1"/>
  <c r="D28" i="1" s="1"/>
  <c r="B63" i="1"/>
  <c r="H65" i="1"/>
  <c r="H70" i="1" s="1"/>
  <c r="H60" i="1"/>
  <c r="H55" i="1"/>
  <c r="E56" i="1"/>
  <c r="E65" i="1"/>
  <c r="C65" i="1"/>
  <c r="C60" i="1"/>
  <c r="C61" i="1"/>
  <c r="B68" i="1"/>
  <c r="B61" i="1"/>
  <c r="B65" i="1"/>
  <c r="B60" i="1"/>
  <c r="F64" i="1"/>
  <c r="E64" i="1" s="1"/>
  <c r="C64" i="1"/>
  <c r="B64" i="1"/>
  <c r="I45" i="1"/>
  <c r="C42" i="1"/>
  <c r="B42" i="1" s="1"/>
  <c r="I41" i="1"/>
  <c r="H41" i="1" s="1"/>
  <c r="C41" i="1"/>
  <c r="B41" i="1" s="1"/>
  <c r="C39" i="1"/>
  <c r="I59" i="1"/>
  <c r="H59" i="1" s="1"/>
  <c r="C59" i="1"/>
  <c r="F27" i="1"/>
  <c r="C27" i="1" s="1"/>
  <c r="E27" i="1"/>
  <c r="E17" i="1"/>
  <c r="D12" i="1"/>
  <c r="E12" i="1"/>
  <c r="F9" i="1"/>
  <c r="C9" i="1" s="1"/>
  <c r="B9" i="1" s="1"/>
  <c r="G9" i="1"/>
  <c r="J9" i="1"/>
  <c r="D9" i="1"/>
  <c r="E9" i="1"/>
  <c r="H9" i="1"/>
  <c r="C10" i="1"/>
  <c r="B10" i="1" s="1"/>
  <c r="D10" i="1"/>
  <c r="E10" i="1"/>
  <c r="H10" i="1"/>
  <c r="C11" i="1"/>
  <c r="D11" i="1"/>
  <c r="B11" i="1"/>
  <c r="E11" i="1"/>
  <c r="H11" i="1"/>
  <c r="C12" i="1"/>
  <c r="B12" i="1"/>
  <c r="H12" i="1"/>
  <c r="C13" i="1"/>
  <c r="D13" i="1"/>
  <c r="B13" i="1" s="1"/>
  <c r="H13" i="1"/>
  <c r="I14" i="1"/>
  <c r="C14" i="1"/>
  <c r="G14" i="1"/>
  <c r="J14" i="1"/>
  <c r="D14" i="1" s="1"/>
  <c r="B14" i="1" s="1"/>
  <c r="E14" i="1"/>
  <c r="H14" i="1"/>
  <c r="C15" i="1"/>
  <c r="D15" i="1"/>
  <c r="B15" i="1"/>
  <c r="E15" i="1"/>
  <c r="H15" i="1"/>
  <c r="C16" i="1"/>
  <c r="D16" i="1"/>
  <c r="B16" i="1"/>
  <c r="E16" i="1"/>
  <c r="H16" i="1"/>
  <c r="C17" i="1"/>
  <c r="B17" i="1"/>
  <c r="H17" i="1"/>
  <c r="C18" i="1"/>
  <c r="D18" i="1"/>
  <c r="B18" i="1"/>
  <c r="E18" i="1"/>
  <c r="H18" i="1"/>
  <c r="F19" i="1"/>
  <c r="E19" i="1" s="1"/>
  <c r="I19" i="1"/>
  <c r="H19" i="1" s="1"/>
  <c r="C19" i="1"/>
  <c r="G19" i="1"/>
  <c r="J19" i="1"/>
  <c r="D19" i="1"/>
  <c r="B19" i="1"/>
  <c r="C20" i="1"/>
  <c r="B20" i="1" s="1"/>
  <c r="H20" i="1"/>
  <c r="C21" i="1"/>
  <c r="B21" i="1"/>
  <c r="H21" i="1"/>
  <c r="C22" i="1"/>
  <c r="B22" i="1"/>
  <c r="H22" i="1"/>
  <c r="C23" i="1"/>
  <c r="B23" i="1" s="1"/>
  <c r="H23" i="1"/>
  <c r="F26" i="1"/>
  <c r="E26" i="1" s="1"/>
  <c r="F28" i="1"/>
  <c r="C28" i="1" s="1"/>
  <c r="B28" i="1" s="1"/>
  <c r="F24" i="1"/>
  <c r="I25" i="1"/>
  <c r="I24" i="1" s="1"/>
  <c r="I26" i="1"/>
  <c r="H26" i="1" s="1"/>
  <c r="I27" i="1"/>
  <c r="H27" i="1" s="1"/>
  <c r="I28" i="1"/>
  <c r="G25" i="1"/>
  <c r="G26" i="1"/>
  <c r="D26" i="1" s="1"/>
  <c r="G28" i="1"/>
  <c r="G24" i="1"/>
  <c r="J25" i="1"/>
  <c r="J26" i="1"/>
  <c r="D25" i="1"/>
  <c r="E25" i="1"/>
  <c r="H25" i="1"/>
  <c r="C26" i="1"/>
  <c r="I38" i="1"/>
  <c r="J38" i="1"/>
  <c r="D38" i="1"/>
  <c r="H38" i="1"/>
  <c r="D39" i="1"/>
  <c r="B39" i="1"/>
  <c r="H39" i="1"/>
  <c r="J41" i="1"/>
  <c r="D41" i="1"/>
  <c r="D42" i="1"/>
  <c r="H42" i="1"/>
  <c r="H45" i="1"/>
  <c r="H44" i="1" s="1"/>
  <c r="B26" i="1" l="1"/>
  <c r="B44" i="1"/>
  <c r="B59" i="1"/>
  <c r="B27" i="1"/>
  <c r="C24" i="1"/>
  <c r="E69" i="1"/>
  <c r="I69" i="1"/>
  <c r="H69" i="1" s="1"/>
  <c r="D45" i="1"/>
  <c r="B45" i="1" s="1"/>
  <c r="E24" i="1"/>
  <c r="E71" i="1"/>
  <c r="C38" i="1"/>
  <c r="B38" i="1" s="1"/>
  <c r="E28" i="1"/>
  <c r="C72" i="1"/>
  <c r="B72" i="1" s="1"/>
  <c r="E54" i="1"/>
  <c r="H28" i="1"/>
  <c r="J24" i="1"/>
  <c r="D24" i="1" s="1"/>
  <c r="E72" i="1"/>
  <c r="C69" i="1" l="1"/>
  <c r="B69" i="1" s="1"/>
  <c r="B24" i="1"/>
  <c r="H24" i="1"/>
</calcChain>
</file>

<file path=xl/sharedStrings.xml><?xml version="1.0" encoding="utf-8"?>
<sst xmlns="http://schemas.openxmlformats.org/spreadsheetml/2006/main" count="227" uniqueCount="55">
  <si>
    <t xml:space="preserve">            รวม</t>
  </si>
  <si>
    <t xml:space="preserve">        ภูมิภาค</t>
  </si>
  <si>
    <t>หลักสูตร/ชั้น/ประเภทวิชา</t>
  </si>
  <si>
    <t xml:space="preserve">           Total</t>
  </si>
  <si>
    <t xml:space="preserve">     Bangkok Metropolis</t>
  </si>
  <si>
    <t xml:space="preserve">     Other Provinces</t>
  </si>
  <si>
    <t>Program/Grade/Type of Courses</t>
  </si>
  <si>
    <t>รวม</t>
  </si>
  <si>
    <t>ชาย</t>
  </si>
  <si>
    <t>หญิง</t>
  </si>
  <si>
    <t>Total</t>
  </si>
  <si>
    <t>Male</t>
  </si>
  <si>
    <t>Female</t>
  </si>
  <si>
    <t>ปวช.ปีที่ 1</t>
  </si>
  <si>
    <t>Lower Cert. of Voc./1st year</t>
  </si>
  <si>
    <t xml:space="preserve">     พาณิชยกรรม</t>
  </si>
  <si>
    <t xml:space="preserve">     Commerce</t>
  </si>
  <si>
    <t xml:space="preserve">     ช่างอุตสาหกรรม</t>
  </si>
  <si>
    <t xml:space="preserve">     Industrial Trades</t>
  </si>
  <si>
    <t xml:space="preserve">     เกษตรกรรม</t>
  </si>
  <si>
    <t>-</t>
  </si>
  <si>
    <t xml:space="preserve">  -</t>
  </si>
  <si>
    <t xml:space="preserve">     Agricultural Trades</t>
  </si>
  <si>
    <t xml:space="preserve">     ศิลปหัตถกรรม</t>
  </si>
  <si>
    <t xml:space="preserve">     Arts and Crafts Technology</t>
  </si>
  <si>
    <t>ปวช.ปีที่ 2</t>
  </si>
  <si>
    <t>Lower Cert. of Voc./2nd year</t>
  </si>
  <si>
    <t xml:space="preserve"> -</t>
  </si>
  <si>
    <t>ปวช.ปีที่ 3</t>
  </si>
  <si>
    <t>Lower Cert. of Voc./3rd year</t>
  </si>
  <si>
    <t>ปวช.รวม</t>
  </si>
  <si>
    <t>Lower Cert. of Voc./Total All Grades</t>
  </si>
  <si>
    <t>ตาราง 12  (ต่อ)</t>
  </si>
  <si>
    <t>TABLE 12  (continued)</t>
  </si>
  <si>
    <t>ปวท.ปีที่ 1</t>
  </si>
  <si>
    <t>Dip. of Tech./1st year</t>
  </si>
  <si>
    <t xml:space="preserve">     บริหารธุรกิจ</t>
  </si>
  <si>
    <t xml:space="preserve">     Business Administration</t>
  </si>
  <si>
    <t>ปวท.ปีที่ 2</t>
  </si>
  <si>
    <t>Dip. of Tech./2nd year</t>
  </si>
  <si>
    <t>ปวท.รวม</t>
  </si>
  <si>
    <t>Dip. of Tech./Total All Grades</t>
  </si>
  <si>
    <t>ปวส.ปีที่ 1</t>
  </si>
  <si>
    <t>Higher Cert. of Voc./1st year</t>
  </si>
  <si>
    <t>ปวส.ปีที่ 2</t>
  </si>
  <si>
    <t>Higher Cert. of Voc./2nd year</t>
  </si>
  <si>
    <t>ปวส.ปีที่ 3</t>
  </si>
  <si>
    <t>ปวส.รวม</t>
  </si>
  <si>
    <t xml:space="preserve">       กรุงเทพมหานคร</t>
  </si>
  <si>
    <t xml:space="preserve">     เวชกรรม</t>
  </si>
  <si>
    <t xml:space="preserve">     Chirotracter</t>
  </si>
  <si>
    <t>Higher Cert. of Voc./3rd year</t>
  </si>
  <si>
    <t>Higher Cert. of Voc./Total All Grades</t>
  </si>
  <si>
    <t>ตาราง 12  จำนวนนักเรียนในโรงเรียนเอกชน ระบบโรงเรียน ประเภทอาชีวศึกษา ปีการศึกษา 2545</t>
  </si>
  <si>
    <t>TABLE 12  NUMBER OF STUDENTS IN PRIVATE VOCATIONAL EDUCATION SCHOOLS, ACADEMIC YEAR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</si>
</sst>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_"/>
    <numFmt numFmtId="177" formatCode="\฿\t#,##0_);[Red]\(\฿\t#,##0\)"/>
  </numFmts>
  <fonts count="15">
    <font>
      <sz val="12"/>
      <name val="EucrosiaUPC"/>
    </font>
    <font>
      <sz val="12"/>
      <name val="EucrosiaUPC"/>
      <family val="1"/>
      <charset val="222"/>
    </font>
    <font>
      <sz val="16"/>
      <name val="DilleniaUPC"/>
      <family val="1"/>
      <charset val="222"/>
    </font>
    <font>
      <b/>
      <sz val="16"/>
      <name val="DilleniaUPC"/>
      <family val="1"/>
      <charset val="222"/>
    </font>
    <font>
      <b/>
      <sz val="20"/>
      <name val="DilleniaUPC"/>
      <family val="1"/>
    </font>
    <font>
      <b/>
      <sz val="17"/>
      <name val="DilleniaUPC"/>
      <family val="1"/>
    </font>
    <font>
      <sz val="18"/>
      <name val="DilleniaUPC"/>
      <family val="1"/>
    </font>
    <font>
      <b/>
      <sz val="20"/>
      <name val="DilleniaUPC"/>
      <family val="1"/>
      <charset val="222"/>
    </font>
    <font>
      <b/>
      <sz val="18"/>
      <name val="DilleniaUPC"/>
      <family val="1"/>
      <charset val="222"/>
    </font>
    <font>
      <sz val="11"/>
      <name val="–พ’ฉ"/>
      <charset val="128"/>
    </font>
    <font>
      <sz val="10"/>
      <name val="Arial"/>
      <family val="2"/>
    </font>
    <font>
      <sz val="16"/>
      <color indexed="9"/>
      <name val="CordiaUPC"/>
      <family val="2"/>
      <charset val="222"/>
    </font>
    <font>
      <sz val="16"/>
      <name val="CordiaUPC"/>
      <family val="2"/>
      <charset val="222"/>
    </font>
    <font>
      <b/>
      <sz val="14"/>
      <name val="CordiaUPC"/>
      <family val="2"/>
      <charset val="222"/>
    </font>
    <font>
      <sz val="14"/>
      <name val="CordiaUPC"/>
      <family val="2"/>
      <charset val="222"/>
    </font>
  </fonts>
  <fills count="7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0" fontId="4" fillId="0" borderId="0" xfId="0" applyFont="1"/>
    <xf numFmtId="0" fontId="5" fillId="0" borderId="0" xfId="0" applyFont="1"/>
    <xf numFmtId="0" fontId="2" fillId="0" borderId="0" xfId="0" applyFont="1" applyBorder="1"/>
    <xf numFmtId="176" fontId="3" fillId="0" borderId="0" xfId="0" applyNumberFormat="1" applyFont="1"/>
    <xf numFmtId="176" fontId="2" fillId="0" borderId="0" xfId="0" applyNumberFormat="1" applyFont="1"/>
    <xf numFmtId="176" fontId="2" fillId="0" borderId="0" xfId="0" applyNumberFormat="1" applyFont="1" applyBorder="1"/>
    <xf numFmtId="0" fontId="4" fillId="2" borderId="0" xfId="0" applyFont="1" applyFill="1"/>
    <xf numFmtId="0" fontId="5" fillId="3" borderId="0" xfId="0" applyFont="1" applyFill="1"/>
    <xf numFmtId="0" fontId="11" fillId="2" borderId="0" xfId="0" applyFont="1" applyFill="1"/>
    <xf numFmtId="0" fontId="12" fillId="2" borderId="0" xfId="0" applyFont="1" applyFill="1"/>
    <xf numFmtId="0" fontId="12" fillId="3" borderId="0" xfId="0" applyFont="1" applyFill="1"/>
    <xf numFmtId="0" fontId="3" fillId="4" borderId="0" xfId="0" applyFont="1" applyFill="1"/>
    <xf numFmtId="0" fontId="7" fillId="4" borderId="0" xfId="0" applyFont="1" applyFill="1"/>
    <xf numFmtId="0" fontId="8" fillId="4" borderId="0" xfId="0" applyFont="1" applyFill="1"/>
    <xf numFmtId="0" fontId="6" fillId="4" borderId="0" xfId="0" applyFont="1" applyFill="1"/>
    <xf numFmtId="0" fontId="13" fillId="5" borderId="1" xfId="0" applyFont="1" applyFill="1" applyBorder="1"/>
    <xf numFmtId="176" fontId="13" fillId="5" borderId="2" xfId="0" applyNumberFormat="1" applyFont="1" applyFill="1" applyBorder="1"/>
    <xf numFmtId="176" fontId="13" fillId="5" borderId="1" xfId="0" applyNumberFormat="1" applyFont="1" applyFill="1" applyBorder="1"/>
    <xf numFmtId="176" fontId="13" fillId="5" borderId="3" xfId="0" applyNumberFormat="1" applyFont="1" applyFill="1" applyBorder="1"/>
    <xf numFmtId="0" fontId="13" fillId="5" borderId="0" xfId="0" applyFont="1" applyFill="1" applyAlignment="1">
      <alignment horizontal="center"/>
    </xf>
    <xf numFmtId="176" fontId="13" fillId="5" borderId="4" xfId="0" applyNumberFormat="1" applyFont="1" applyFill="1" applyBorder="1"/>
    <xf numFmtId="176" fontId="13" fillId="5" borderId="5" xfId="0" applyNumberFormat="1" applyFont="1" applyFill="1" applyBorder="1"/>
    <xf numFmtId="176" fontId="13" fillId="5" borderId="6" xfId="0" applyNumberFormat="1" applyFont="1" applyFill="1" applyBorder="1"/>
    <xf numFmtId="0" fontId="13" fillId="6" borderId="0" xfId="0" applyFont="1" applyFill="1"/>
    <xf numFmtId="176" fontId="13" fillId="6" borderId="7" xfId="0" applyNumberFormat="1" applyFont="1" applyFill="1" applyBorder="1" applyAlignment="1">
      <alignment horizontal="center"/>
    </xf>
    <xf numFmtId="0" fontId="13" fillId="6" borderId="5" xfId="0" applyFont="1" applyFill="1" applyBorder="1"/>
    <xf numFmtId="176" fontId="13" fillId="6" borderId="8" xfId="0" applyNumberFormat="1" applyFont="1" applyFill="1" applyBorder="1" applyAlignment="1">
      <alignment horizontal="center"/>
    </xf>
    <xf numFmtId="176" fontId="13" fillId="0" borderId="7" xfId="0" applyNumberFormat="1" applyFont="1" applyBorder="1"/>
    <xf numFmtId="0" fontId="13" fillId="0" borderId="0" xfId="0" applyFont="1"/>
    <xf numFmtId="0" fontId="14" fillId="6" borderId="0" xfId="0" applyFont="1" applyFill="1"/>
    <xf numFmtId="176" fontId="14" fillId="0" borderId="7" xfId="0" applyNumberFormat="1" applyFont="1" applyBorder="1"/>
    <xf numFmtId="176" fontId="14" fillId="0" borderId="9" xfId="0" applyNumberFormat="1" applyFont="1" applyBorder="1"/>
    <xf numFmtId="0" fontId="14" fillId="0" borderId="0" xfId="0" applyFont="1"/>
    <xf numFmtId="0" fontId="14" fillId="6" borderId="0" xfId="0" applyFont="1" applyFill="1" applyBorder="1"/>
    <xf numFmtId="176" fontId="14" fillId="0" borderId="7" xfId="0" applyNumberFormat="1" applyFont="1" applyBorder="1" applyAlignment="1">
      <alignment horizontal="right"/>
    </xf>
    <xf numFmtId="0" fontId="14" fillId="0" borderId="0" xfId="0" applyFont="1" applyBorder="1"/>
    <xf numFmtId="0" fontId="14" fillId="6" borderId="5" xfId="0" applyFont="1" applyFill="1" applyBorder="1"/>
    <xf numFmtId="176" fontId="14" fillId="0" borderId="8" xfId="0" applyNumberFormat="1" applyFont="1" applyBorder="1"/>
    <xf numFmtId="176" fontId="14" fillId="0" borderId="8" xfId="0" applyNumberFormat="1" applyFont="1" applyBorder="1" applyAlignment="1">
      <alignment horizontal="center"/>
    </xf>
    <xf numFmtId="0" fontId="14" fillId="0" borderId="5" xfId="0" applyFont="1" applyBorder="1"/>
    <xf numFmtId="0" fontId="14" fillId="0" borderId="9" xfId="0" applyFont="1" applyBorder="1"/>
    <xf numFmtId="176" fontId="14" fillId="0" borderId="7" xfId="0" applyNumberFormat="1" applyFont="1" applyBorder="1" applyAlignment="1">
      <alignment horizontal="center"/>
    </xf>
    <xf numFmtId="0" fontId="13" fillId="6" borderId="1" xfId="0" applyFont="1" applyFill="1" applyBorder="1"/>
    <xf numFmtId="176" fontId="13" fillId="0" borderId="10" xfId="0" applyNumberFormat="1" applyFont="1" applyBorder="1"/>
    <xf numFmtId="0" fontId="13" fillId="0" borderId="1" xfId="0" applyFont="1" applyBorder="1"/>
    <xf numFmtId="0" fontId="13" fillId="5" borderId="2" xfId="0" applyFont="1" applyFill="1" applyBorder="1"/>
    <xf numFmtId="0" fontId="13" fillId="5" borderId="3" xfId="0" applyFont="1" applyFill="1" applyBorder="1"/>
    <xf numFmtId="0" fontId="13" fillId="5" borderId="4" xfId="0" applyFont="1" applyFill="1" applyBorder="1"/>
    <xf numFmtId="0" fontId="13" fillId="5" borderId="5" xfId="0" applyFont="1" applyFill="1" applyBorder="1"/>
    <xf numFmtId="0" fontId="13" fillId="5" borderId="6" xfId="0" applyFont="1" applyFill="1" applyBorder="1"/>
    <xf numFmtId="0" fontId="13" fillId="6" borderId="7" xfId="0" applyFont="1" applyFill="1" applyBorder="1" applyAlignment="1">
      <alignment horizontal="center"/>
    </xf>
    <xf numFmtId="0" fontId="13" fillId="6" borderId="8" xfId="0" applyFont="1" applyFill="1" applyBorder="1" applyAlignment="1">
      <alignment horizontal="center"/>
    </xf>
    <xf numFmtId="0" fontId="13" fillId="6" borderId="0" xfId="0" applyFont="1" applyFill="1" applyBorder="1"/>
    <xf numFmtId="0" fontId="13" fillId="0" borderId="7" xfId="0" applyFont="1" applyBorder="1" applyAlignment="1">
      <alignment horizontal="center"/>
    </xf>
    <xf numFmtId="0" fontId="13" fillId="0" borderId="0" xfId="0" applyFont="1" applyBorder="1"/>
    <xf numFmtId="176" fontId="14" fillId="0" borderId="8" xfId="0" applyNumberFormat="1" applyFont="1" applyBorder="1" applyAlignment="1">
      <alignment horizontal="right"/>
    </xf>
    <xf numFmtId="176" fontId="13" fillId="0" borderId="7" xfId="0" applyNumberFormat="1" applyFont="1" applyBorder="1" applyAlignment="1">
      <alignment horizontal="center"/>
    </xf>
    <xf numFmtId="176" fontId="14" fillId="0" borderId="10" xfId="0" applyNumberFormat="1" applyFont="1" applyBorder="1"/>
    <xf numFmtId="176" fontId="14" fillId="0" borderId="0" xfId="0" applyNumberFormat="1" applyFont="1" applyBorder="1" applyAlignment="1">
      <alignment horizontal="center"/>
    </xf>
    <xf numFmtId="176" fontId="14" fillId="0" borderId="10" xfId="0" applyNumberFormat="1" applyFont="1" applyBorder="1" applyAlignment="1">
      <alignment horizontal="center"/>
    </xf>
    <xf numFmtId="176" fontId="14" fillId="0" borderId="1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K116"/>
  <sheetViews>
    <sheetView tabSelected="1" workbookViewId="0">
      <selection activeCell="E55" sqref="E55"/>
    </sheetView>
  </sheetViews>
  <sheetFormatPr defaultColWidth="9.15234375" defaultRowHeight="25"/>
  <cols>
    <col min="1" max="1" width="23" style="1" customWidth="1"/>
    <col min="2" max="2" width="10" style="1" customWidth="1"/>
    <col min="3" max="10" width="9.15234375" style="1"/>
    <col min="11" max="11" width="39.69140625" style="1" customWidth="1"/>
    <col min="12" max="16384" width="9.15234375" style="1"/>
  </cols>
  <sheetData>
    <row r="1" spans="1:11" s="4" customFormat="1" ht="30">
      <c r="A1" s="12" t="s">
        <v>53</v>
      </c>
      <c r="B1" s="13"/>
      <c r="C1" s="13"/>
      <c r="D1" s="13"/>
      <c r="E1" s="13"/>
      <c r="F1" s="13"/>
      <c r="G1" s="13"/>
      <c r="H1" s="13"/>
      <c r="I1" s="13"/>
      <c r="J1" s="13"/>
      <c r="K1" s="10"/>
    </row>
    <row r="2" spans="1:11" s="5" customFormat="1" ht="27">
      <c r="A2" s="14" t="s">
        <v>54</v>
      </c>
      <c r="B2" s="14"/>
      <c r="C2" s="14"/>
      <c r="D2" s="14"/>
      <c r="E2" s="14"/>
      <c r="F2" s="14"/>
      <c r="G2" s="14"/>
      <c r="H2" s="14"/>
      <c r="I2" s="14"/>
      <c r="J2" s="14"/>
      <c r="K2" s="11"/>
    </row>
    <row r="3" spans="1:11" s="2" customFormat="1" ht="10.5" customHeight="1"/>
    <row r="4" spans="1:11" s="2" customFormat="1">
      <c r="A4" s="19"/>
      <c r="B4" s="49" t="s">
        <v>0</v>
      </c>
      <c r="C4" s="19"/>
      <c r="D4" s="50"/>
      <c r="E4" s="49" t="s">
        <v>48</v>
      </c>
      <c r="F4" s="19"/>
      <c r="G4" s="50"/>
      <c r="H4" s="49" t="s">
        <v>1</v>
      </c>
      <c r="I4" s="19"/>
      <c r="J4" s="50"/>
      <c r="K4" s="19"/>
    </row>
    <row r="5" spans="1:11" s="2" customFormat="1">
      <c r="A5" s="23" t="s">
        <v>2</v>
      </c>
      <c r="B5" s="51" t="s">
        <v>3</v>
      </c>
      <c r="C5" s="52"/>
      <c r="D5" s="53"/>
      <c r="E5" s="51" t="s">
        <v>4</v>
      </c>
      <c r="F5" s="52"/>
      <c r="G5" s="53"/>
      <c r="H5" s="51" t="s">
        <v>5</v>
      </c>
      <c r="I5" s="52"/>
      <c r="J5" s="53"/>
      <c r="K5" s="23" t="s">
        <v>6</v>
      </c>
    </row>
    <row r="6" spans="1:11" s="2" customFormat="1">
      <c r="A6" s="27"/>
      <c r="B6" s="54" t="s">
        <v>7</v>
      </c>
      <c r="C6" s="54" t="s">
        <v>8</v>
      </c>
      <c r="D6" s="54" t="s">
        <v>9</v>
      </c>
      <c r="E6" s="54" t="s">
        <v>7</v>
      </c>
      <c r="F6" s="54" t="s">
        <v>8</v>
      </c>
      <c r="G6" s="54" t="s">
        <v>9</v>
      </c>
      <c r="H6" s="54" t="s">
        <v>7</v>
      </c>
      <c r="I6" s="54" t="s">
        <v>8</v>
      </c>
      <c r="J6" s="54" t="s">
        <v>9</v>
      </c>
      <c r="K6" s="27"/>
    </row>
    <row r="7" spans="1:11" s="2" customFormat="1">
      <c r="A7" s="29"/>
      <c r="B7" s="55" t="s">
        <v>10</v>
      </c>
      <c r="C7" s="55" t="s">
        <v>11</v>
      </c>
      <c r="D7" s="55" t="s">
        <v>12</v>
      </c>
      <c r="E7" s="55" t="s">
        <v>10</v>
      </c>
      <c r="F7" s="55" t="s">
        <v>11</v>
      </c>
      <c r="G7" s="55" t="s">
        <v>12</v>
      </c>
      <c r="H7" s="55" t="s">
        <v>10</v>
      </c>
      <c r="I7" s="55" t="s">
        <v>11</v>
      </c>
      <c r="J7" s="55" t="s">
        <v>12</v>
      </c>
      <c r="K7" s="29"/>
    </row>
    <row r="8" spans="1:11" s="2" customFormat="1" ht="9" customHeight="1">
      <c r="A8" s="56"/>
      <c r="B8" s="57"/>
      <c r="C8" s="57"/>
      <c r="D8" s="57"/>
      <c r="E8" s="57"/>
      <c r="F8" s="57"/>
      <c r="G8" s="57"/>
      <c r="H8" s="57"/>
      <c r="I8" s="57"/>
      <c r="J8" s="57"/>
      <c r="K8" s="58"/>
    </row>
    <row r="9" spans="1:11" s="2" customFormat="1">
      <c r="A9" s="27" t="s">
        <v>13</v>
      </c>
      <c r="B9" s="31">
        <f t="shared" ref="B9:B28" si="0">+C9+D9</f>
        <v>79208</v>
      </c>
      <c r="C9" s="31">
        <f t="shared" ref="C9:D28" si="1">+F9+I9</f>
        <v>37382</v>
      </c>
      <c r="D9" s="31">
        <f t="shared" si="1"/>
        <v>41826</v>
      </c>
      <c r="E9" s="31">
        <f t="shared" ref="E9:E28" si="2">+F9+G9</f>
        <v>24571</v>
      </c>
      <c r="F9" s="31">
        <f>SUM(F10:F13)</f>
        <v>12168</v>
      </c>
      <c r="G9" s="31">
        <f>SUM(G10:G13)</f>
        <v>12403</v>
      </c>
      <c r="H9" s="31">
        <f t="shared" ref="H9:H28" si="3">+I9+J9</f>
        <v>54637</v>
      </c>
      <c r="I9" s="31">
        <f>SUM(I10:I13)</f>
        <v>25214</v>
      </c>
      <c r="J9" s="31">
        <f>SUM(J10:J13)</f>
        <v>29423</v>
      </c>
      <c r="K9" s="32" t="s">
        <v>14</v>
      </c>
    </row>
    <row r="10" spans="1:11" ht="25.5">
      <c r="A10" s="33" t="s">
        <v>15</v>
      </c>
      <c r="B10" s="34">
        <f t="shared" si="0"/>
        <v>52564</v>
      </c>
      <c r="C10" s="34">
        <f t="shared" si="1"/>
        <v>11404</v>
      </c>
      <c r="D10" s="34">
        <f t="shared" si="1"/>
        <v>41160</v>
      </c>
      <c r="E10" s="34">
        <f t="shared" si="2"/>
        <v>17585</v>
      </c>
      <c r="F10" s="34">
        <v>5399</v>
      </c>
      <c r="G10" s="34">
        <v>12186</v>
      </c>
      <c r="H10" s="34">
        <f t="shared" si="3"/>
        <v>34979</v>
      </c>
      <c r="I10" s="34">
        <v>6005</v>
      </c>
      <c r="J10" s="34">
        <v>28974</v>
      </c>
      <c r="K10" s="36" t="s">
        <v>16</v>
      </c>
    </row>
    <row r="11" spans="1:11" ht="25.5">
      <c r="A11" s="33" t="s">
        <v>17</v>
      </c>
      <c r="B11" s="34">
        <f t="shared" si="0"/>
        <v>25951</v>
      </c>
      <c r="C11" s="34">
        <f t="shared" si="1"/>
        <v>25405</v>
      </c>
      <c r="D11" s="34">
        <f t="shared" si="1"/>
        <v>546</v>
      </c>
      <c r="E11" s="34">
        <f t="shared" si="2"/>
        <v>6420</v>
      </c>
      <c r="F11" s="34">
        <v>6307</v>
      </c>
      <c r="G11" s="34">
        <v>113</v>
      </c>
      <c r="H11" s="34">
        <f t="shared" si="3"/>
        <v>19531</v>
      </c>
      <c r="I11" s="34">
        <v>19098</v>
      </c>
      <c r="J11" s="34">
        <v>433</v>
      </c>
      <c r="K11" s="36" t="s">
        <v>18</v>
      </c>
    </row>
    <row r="12" spans="1:11" ht="25.5">
      <c r="A12" s="33" t="s">
        <v>19</v>
      </c>
      <c r="B12" s="34">
        <f t="shared" si="0"/>
        <v>70</v>
      </c>
      <c r="C12" s="34">
        <f t="shared" si="1"/>
        <v>70</v>
      </c>
      <c r="D12" s="34" t="str">
        <f>IF((+G12+J12)=0, "     -",G12+J12)</f>
        <v xml:space="preserve">     -</v>
      </c>
      <c r="E12" s="34" t="str">
        <f>IF((+F12+G12)=0,"     - ",F12+G12)</f>
        <v xml:space="preserve">     - </v>
      </c>
      <c r="F12" s="45" t="s">
        <v>20</v>
      </c>
      <c r="G12" s="45" t="s">
        <v>20</v>
      </c>
      <c r="H12" s="34">
        <f t="shared" si="3"/>
        <v>70</v>
      </c>
      <c r="I12" s="34">
        <v>70</v>
      </c>
      <c r="J12" s="45" t="s">
        <v>20</v>
      </c>
      <c r="K12" s="36" t="s">
        <v>22</v>
      </c>
    </row>
    <row r="13" spans="1:11" ht="25.5">
      <c r="A13" s="40" t="s">
        <v>23</v>
      </c>
      <c r="B13" s="41">
        <f t="shared" si="0"/>
        <v>623</v>
      </c>
      <c r="C13" s="41">
        <f t="shared" si="1"/>
        <v>503</v>
      </c>
      <c r="D13" s="41">
        <f t="shared" si="1"/>
        <v>120</v>
      </c>
      <c r="E13" s="41">
        <f>+F13+G13</f>
        <v>566</v>
      </c>
      <c r="F13" s="59">
        <v>462</v>
      </c>
      <c r="G13" s="41">
        <v>104</v>
      </c>
      <c r="H13" s="41">
        <f t="shared" si="3"/>
        <v>57</v>
      </c>
      <c r="I13" s="41">
        <v>41</v>
      </c>
      <c r="J13" s="41">
        <v>16</v>
      </c>
      <c r="K13" s="43" t="s">
        <v>24</v>
      </c>
    </row>
    <row r="14" spans="1:11" s="2" customFormat="1">
      <c r="A14" s="27" t="s">
        <v>25</v>
      </c>
      <c r="B14" s="31">
        <f t="shared" si="0"/>
        <v>54698</v>
      </c>
      <c r="C14" s="31">
        <f t="shared" si="1"/>
        <v>25340</v>
      </c>
      <c r="D14" s="31">
        <f t="shared" si="1"/>
        <v>29358</v>
      </c>
      <c r="E14" s="31">
        <f t="shared" si="2"/>
        <v>18316</v>
      </c>
      <c r="F14" s="31">
        <f>SUM(F15:F18)</f>
        <v>9038</v>
      </c>
      <c r="G14" s="31">
        <f>SUM(G15:G18)</f>
        <v>9278</v>
      </c>
      <c r="H14" s="31">
        <f t="shared" si="3"/>
        <v>36382</v>
      </c>
      <c r="I14" s="31">
        <f>SUM(I15:I18)</f>
        <v>16302</v>
      </c>
      <c r="J14" s="31">
        <f>SUM(J15:J18)</f>
        <v>20080</v>
      </c>
      <c r="K14" s="32" t="s">
        <v>26</v>
      </c>
    </row>
    <row r="15" spans="1:11" ht="25.5">
      <c r="A15" s="33" t="s">
        <v>15</v>
      </c>
      <c r="B15" s="34">
        <f t="shared" si="0"/>
        <v>36620</v>
      </c>
      <c r="C15" s="34">
        <f t="shared" si="1"/>
        <v>7637</v>
      </c>
      <c r="D15" s="34">
        <f t="shared" si="1"/>
        <v>28983</v>
      </c>
      <c r="E15" s="34">
        <f t="shared" si="2"/>
        <v>12997</v>
      </c>
      <c r="F15" s="34">
        <v>3806</v>
      </c>
      <c r="G15" s="34">
        <v>9191</v>
      </c>
      <c r="H15" s="34">
        <f t="shared" si="3"/>
        <v>23623</v>
      </c>
      <c r="I15" s="34">
        <v>3831</v>
      </c>
      <c r="J15" s="34">
        <v>19792</v>
      </c>
      <c r="K15" s="36" t="s">
        <v>16</v>
      </c>
    </row>
    <row r="16" spans="1:11" ht="25.5">
      <c r="A16" s="33" t="s">
        <v>17</v>
      </c>
      <c r="B16" s="34">
        <f t="shared" si="0"/>
        <v>17709</v>
      </c>
      <c r="C16" s="34">
        <f t="shared" si="1"/>
        <v>17386</v>
      </c>
      <c r="D16" s="34">
        <f t="shared" si="1"/>
        <v>323</v>
      </c>
      <c r="E16" s="34">
        <f t="shared" si="2"/>
        <v>5046</v>
      </c>
      <c r="F16" s="34">
        <v>4998</v>
      </c>
      <c r="G16" s="34">
        <v>48</v>
      </c>
      <c r="H16" s="34">
        <f t="shared" si="3"/>
        <v>12663</v>
      </c>
      <c r="I16" s="34">
        <v>12388</v>
      </c>
      <c r="J16" s="34">
        <v>275</v>
      </c>
      <c r="K16" s="36" t="s">
        <v>18</v>
      </c>
    </row>
    <row r="17" spans="1:11" ht="25.5">
      <c r="A17" s="33" t="s">
        <v>19</v>
      </c>
      <c r="B17" s="34">
        <f t="shared" si="0"/>
        <v>60</v>
      </c>
      <c r="C17" s="34">
        <f t="shared" si="1"/>
        <v>60</v>
      </c>
      <c r="D17" s="34" t="str">
        <f>IF((+G17+J17)=0, "     -",G17+J17)</f>
        <v xml:space="preserve">     -</v>
      </c>
      <c r="E17" s="34" t="str">
        <f>IF((+F17+G17)=0,"     - ",F17+G17)</f>
        <v xml:space="preserve">     - </v>
      </c>
      <c r="F17" s="45" t="s">
        <v>20</v>
      </c>
      <c r="G17" s="45" t="s">
        <v>20</v>
      </c>
      <c r="H17" s="34">
        <f t="shared" si="3"/>
        <v>60</v>
      </c>
      <c r="I17" s="34">
        <v>60</v>
      </c>
      <c r="J17" s="45" t="s">
        <v>20</v>
      </c>
      <c r="K17" s="36" t="s">
        <v>22</v>
      </c>
    </row>
    <row r="18" spans="1:11" ht="25.5">
      <c r="A18" s="40" t="s">
        <v>23</v>
      </c>
      <c r="B18" s="41">
        <f t="shared" si="0"/>
        <v>309</v>
      </c>
      <c r="C18" s="41">
        <f t="shared" si="1"/>
        <v>257</v>
      </c>
      <c r="D18" s="41">
        <f t="shared" si="1"/>
        <v>52</v>
      </c>
      <c r="E18" s="41">
        <f t="shared" si="2"/>
        <v>273</v>
      </c>
      <c r="F18" s="41">
        <v>234</v>
      </c>
      <c r="G18" s="41">
        <v>39</v>
      </c>
      <c r="H18" s="41">
        <f t="shared" si="3"/>
        <v>36</v>
      </c>
      <c r="I18" s="41">
        <v>23</v>
      </c>
      <c r="J18" s="41">
        <v>13</v>
      </c>
      <c r="K18" s="43" t="s">
        <v>24</v>
      </c>
    </row>
    <row r="19" spans="1:11" s="2" customFormat="1">
      <c r="A19" s="27" t="s">
        <v>28</v>
      </c>
      <c r="B19" s="31">
        <f t="shared" si="0"/>
        <v>47360</v>
      </c>
      <c r="C19" s="31">
        <f t="shared" si="1"/>
        <v>21936</v>
      </c>
      <c r="D19" s="31">
        <f t="shared" si="1"/>
        <v>25424</v>
      </c>
      <c r="E19" s="31">
        <f t="shared" si="2"/>
        <v>16149</v>
      </c>
      <c r="F19" s="31">
        <f>SUM(F20:F23)</f>
        <v>7793</v>
      </c>
      <c r="G19" s="31">
        <f>SUM(G20:G23)</f>
        <v>8356</v>
      </c>
      <c r="H19" s="31">
        <f t="shared" si="3"/>
        <v>31211</v>
      </c>
      <c r="I19" s="31">
        <f>SUM(I20:I23)</f>
        <v>14143</v>
      </c>
      <c r="J19" s="31">
        <f>SUM(J20:J23)</f>
        <v>17068</v>
      </c>
      <c r="K19" s="32" t="s">
        <v>29</v>
      </c>
    </row>
    <row r="20" spans="1:11" ht="25.5">
      <c r="A20" s="33" t="s">
        <v>15</v>
      </c>
      <c r="B20" s="34">
        <f t="shared" si="0"/>
        <v>30914</v>
      </c>
      <c r="C20" s="34">
        <f t="shared" si="1"/>
        <v>5817</v>
      </c>
      <c r="D20" s="34">
        <f t="shared" si="1"/>
        <v>25097</v>
      </c>
      <c r="E20" s="34">
        <f>+F20+G20</f>
        <v>11229</v>
      </c>
      <c r="F20" s="34">
        <v>2976</v>
      </c>
      <c r="G20" s="34">
        <v>8253</v>
      </c>
      <c r="H20" s="34">
        <f t="shared" si="3"/>
        <v>19685</v>
      </c>
      <c r="I20" s="34">
        <v>2841</v>
      </c>
      <c r="J20" s="34">
        <v>16844</v>
      </c>
      <c r="K20" s="36" t="s">
        <v>16</v>
      </c>
    </row>
    <row r="21" spans="1:11" ht="25.5">
      <c r="A21" s="33" t="s">
        <v>17</v>
      </c>
      <c r="B21" s="34">
        <f t="shared" si="0"/>
        <v>16039</v>
      </c>
      <c r="C21" s="34">
        <f t="shared" si="1"/>
        <v>15779</v>
      </c>
      <c r="D21" s="34">
        <f t="shared" si="1"/>
        <v>260</v>
      </c>
      <c r="E21" s="34">
        <f>+F21+G21</f>
        <v>4623</v>
      </c>
      <c r="F21" s="34">
        <v>4574</v>
      </c>
      <c r="G21" s="34">
        <v>49</v>
      </c>
      <c r="H21" s="34">
        <f t="shared" si="3"/>
        <v>11416</v>
      </c>
      <c r="I21" s="34">
        <v>11205</v>
      </c>
      <c r="J21" s="34">
        <v>211</v>
      </c>
      <c r="K21" s="36" t="s">
        <v>18</v>
      </c>
    </row>
    <row r="22" spans="1:11" ht="25.5">
      <c r="A22" s="33" t="s">
        <v>19</v>
      </c>
      <c r="B22" s="34">
        <f t="shared" si="0"/>
        <v>56</v>
      </c>
      <c r="C22" s="34">
        <f t="shared" si="1"/>
        <v>56</v>
      </c>
      <c r="D22" s="45" t="s">
        <v>20</v>
      </c>
      <c r="E22" s="45" t="s">
        <v>20</v>
      </c>
      <c r="F22" s="45" t="s">
        <v>20</v>
      </c>
      <c r="G22" s="45" t="s">
        <v>20</v>
      </c>
      <c r="H22" s="34">
        <f t="shared" si="3"/>
        <v>56</v>
      </c>
      <c r="I22" s="34">
        <v>56</v>
      </c>
      <c r="J22" s="45" t="s">
        <v>20</v>
      </c>
      <c r="K22" s="36" t="s">
        <v>22</v>
      </c>
    </row>
    <row r="23" spans="1:11" ht="25.5">
      <c r="A23" s="40" t="s">
        <v>23</v>
      </c>
      <c r="B23" s="41">
        <f t="shared" si="0"/>
        <v>351</v>
      </c>
      <c r="C23" s="41">
        <f t="shared" si="1"/>
        <v>284</v>
      </c>
      <c r="D23" s="41">
        <f t="shared" si="1"/>
        <v>67</v>
      </c>
      <c r="E23" s="41">
        <f>+F23+G23</f>
        <v>297</v>
      </c>
      <c r="F23" s="41">
        <v>243</v>
      </c>
      <c r="G23" s="41">
        <v>54</v>
      </c>
      <c r="H23" s="41">
        <f t="shared" si="3"/>
        <v>54</v>
      </c>
      <c r="I23" s="41">
        <v>41</v>
      </c>
      <c r="J23" s="41">
        <v>13</v>
      </c>
      <c r="K23" s="43" t="s">
        <v>24</v>
      </c>
    </row>
    <row r="24" spans="1:11" s="2" customFormat="1">
      <c r="A24" s="27" t="s">
        <v>30</v>
      </c>
      <c r="B24" s="31">
        <f t="shared" si="0"/>
        <v>181266</v>
      </c>
      <c r="C24" s="31">
        <f t="shared" si="1"/>
        <v>84658</v>
      </c>
      <c r="D24" s="31">
        <f t="shared" si="1"/>
        <v>96608</v>
      </c>
      <c r="E24" s="31">
        <f t="shared" si="2"/>
        <v>59036</v>
      </c>
      <c r="F24" s="31">
        <f>SUM(F25:F28)</f>
        <v>28999</v>
      </c>
      <c r="G24" s="31">
        <f>SUM(G25:G28)</f>
        <v>30037</v>
      </c>
      <c r="H24" s="31">
        <f t="shared" si="3"/>
        <v>122230</v>
      </c>
      <c r="I24" s="31">
        <f>SUM(I25:I28)</f>
        <v>55659</v>
      </c>
      <c r="J24" s="31">
        <f>SUM(J25:J28)</f>
        <v>66571</v>
      </c>
      <c r="K24" s="32" t="s">
        <v>31</v>
      </c>
    </row>
    <row r="25" spans="1:11" ht="25.5">
      <c r="A25" s="33" t="s">
        <v>15</v>
      </c>
      <c r="B25" s="34">
        <f t="shared" si="0"/>
        <v>120098</v>
      </c>
      <c r="C25" s="34">
        <f t="shared" si="1"/>
        <v>24858</v>
      </c>
      <c r="D25" s="34">
        <f t="shared" si="1"/>
        <v>95240</v>
      </c>
      <c r="E25" s="34">
        <f t="shared" si="2"/>
        <v>41811</v>
      </c>
      <c r="F25" s="34">
        <f t="shared" ref="F25:G28" si="4">+F20+F15+F10</f>
        <v>12181</v>
      </c>
      <c r="G25" s="34">
        <f t="shared" si="4"/>
        <v>29630</v>
      </c>
      <c r="H25" s="34">
        <f t="shared" si="3"/>
        <v>78287</v>
      </c>
      <c r="I25" s="34">
        <f t="shared" ref="I25:J28" si="5">+I20+I15+I10</f>
        <v>12677</v>
      </c>
      <c r="J25" s="34">
        <f t="shared" si="5"/>
        <v>65610</v>
      </c>
      <c r="K25" s="36" t="s">
        <v>16</v>
      </c>
    </row>
    <row r="26" spans="1:11" ht="25.5">
      <c r="A26" s="33" t="s">
        <v>17</v>
      </c>
      <c r="B26" s="34">
        <f t="shared" si="0"/>
        <v>59699</v>
      </c>
      <c r="C26" s="34">
        <f t="shared" si="1"/>
        <v>58570</v>
      </c>
      <c r="D26" s="34">
        <f t="shared" si="1"/>
        <v>1129</v>
      </c>
      <c r="E26" s="34">
        <f t="shared" si="2"/>
        <v>16089</v>
      </c>
      <c r="F26" s="34">
        <f t="shared" si="4"/>
        <v>15879</v>
      </c>
      <c r="G26" s="34">
        <f t="shared" si="4"/>
        <v>210</v>
      </c>
      <c r="H26" s="34">
        <f t="shared" si="3"/>
        <v>43610</v>
      </c>
      <c r="I26" s="34">
        <f t="shared" si="5"/>
        <v>42691</v>
      </c>
      <c r="J26" s="34">
        <f t="shared" si="5"/>
        <v>919</v>
      </c>
      <c r="K26" s="36" t="s">
        <v>18</v>
      </c>
    </row>
    <row r="27" spans="1:11" ht="25.5">
      <c r="A27" s="33" t="s">
        <v>19</v>
      </c>
      <c r="B27" s="34">
        <f t="shared" si="0"/>
        <v>186</v>
      </c>
      <c r="C27" s="34">
        <f t="shared" si="1"/>
        <v>186</v>
      </c>
      <c r="D27" s="34" t="str">
        <f>IF((+G27+J27)=0, "     -",G27+J27)</f>
        <v xml:space="preserve">     -</v>
      </c>
      <c r="E27" s="34" t="str">
        <f>IF((+F27+G27)=0,"     - ",F27+G27)</f>
        <v xml:space="preserve">     - </v>
      </c>
      <c r="F27" s="34" t="str">
        <f>IF((+F22+F17+F12)=0,"    -",+F22+F17+F12)</f>
        <v xml:space="preserve">    -</v>
      </c>
      <c r="G27" s="34" t="str">
        <f>IF((+G22+G17+G12)=0,"      -",+G22+G17+G12)</f>
        <v xml:space="preserve">      -</v>
      </c>
      <c r="H27" s="34">
        <f t="shared" si="3"/>
        <v>186</v>
      </c>
      <c r="I27" s="34">
        <f t="shared" si="5"/>
        <v>186</v>
      </c>
      <c r="J27" s="34" t="str">
        <f>IF((+J22+J17+J12)=0,"      -",+J22+J17+J12)</f>
        <v xml:space="preserve">      -</v>
      </c>
      <c r="K27" s="36" t="s">
        <v>22</v>
      </c>
    </row>
    <row r="28" spans="1:11" ht="25.5">
      <c r="A28" s="40" t="s">
        <v>23</v>
      </c>
      <c r="B28" s="41">
        <f t="shared" si="0"/>
        <v>1283</v>
      </c>
      <c r="C28" s="41">
        <f t="shared" si="1"/>
        <v>1044</v>
      </c>
      <c r="D28" s="41">
        <f t="shared" si="1"/>
        <v>239</v>
      </c>
      <c r="E28" s="41">
        <f t="shared" si="2"/>
        <v>1136</v>
      </c>
      <c r="F28" s="41">
        <f t="shared" si="4"/>
        <v>939</v>
      </c>
      <c r="G28" s="41">
        <f t="shared" si="4"/>
        <v>197</v>
      </c>
      <c r="H28" s="41">
        <f t="shared" si="3"/>
        <v>147</v>
      </c>
      <c r="I28" s="41">
        <f t="shared" si="5"/>
        <v>105</v>
      </c>
      <c r="J28" s="41">
        <f t="shared" si="5"/>
        <v>42</v>
      </c>
      <c r="K28" s="43" t="s">
        <v>24</v>
      </c>
    </row>
    <row r="29" spans="1:11" s="2" customFormat="1">
      <c r="A29" s="15"/>
      <c r="B29" s="7"/>
      <c r="C29" s="7"/>
      <c r="D29" s="7"/>
      <c r="E29" s="7"/>
      <c r="F29" s="7"/>
      <c r="G29" s="7"/>
      <c r="H29" s="7"/>
      <c r="I29" s="7"/>
      <c r="J29" s="7"/>
    </row>
    <row r="30" spans="1:11" ht="29">
      <c r="A30" s="16" t="s">
        <v>32</v>
      </c>
      <c r="B30" s="8"/>
      <c r="C30" s="8"/>
      <c r="D30" s="8"/>
      <c r="E30" s="8"/>
      <c r="F30" s="8"/>
      <c r="G30" s="8"/>
      <c r="H30" s="8"/>
      <c r="I30" s="8"/>
      <c r="J30" s="8"/>
    </row>
    <row r="31" spans="1:11" ht="26.5">
      <c r="A31" s="17" t="s">
        <v>33</v>
      </c>
      <c r="B31" s="8"/>
      <c r="C31" s="8"/>
      <c r="D31" s="8"/>
      <c r="E31" s="8"/>
      <c r="F31" s="8"/>
      <c r="G31" s="8"/>
      <c r="H31" s="8"/>
      <c r="I31" s="8"/>
      <c r="J31" s="8"/>
    </row>
    <row r="32" spans="1:11" ht="9.75" customHeight="1">
      <c r="A32" s="18"/>
      <c r="B32" s="8"/>
      <c r="C32" s="8"/>
      <c r="D32" s="8"/>
      <c r="E32" s="8"/>
      <c r="F32" s="8"/>
      <c r="G32" s="8"/>
      <c r="H32" s="8"/>
      <c r="I32" s="8"/>
      <c r="J32" s="8"/>
    </row>
    <row r="33" spans="1:11" s="2" customFormat="1">
      <c r="A33" s="19"/>
      <c r="B33" s="20" t="s">
        <v>0</v>
      </c>
      <c r="C33" s="21"/>
      <c r="D33" s="22"/>
      <c r="E33" s="20" t="s">
        <v>48</v>
      </c>
      <c r="F33" s="21"/>
      <c r="G33" s="22"/>
      <c r="H33" s="20" t="s">
        <v>1</v>
      </c>
      <c r="I33" s="21"/>
      <c r="J33" s="22"/>
      <c r="K33" s="19"/>
    </row>
    <row r="34" spans="1:11" s="2" customFormat="1">
      <c r="A34" s="23" t="s">
        <v>2</v>
      </c>
      <c r="B34" s="24" t="s">
        <v>3</v>
      </c>
      <c r="C34" s="25"/>
      <c r="D34" s="26"/>
      <c r="E34" s="24" t="s">
        <v>4</v>
      </c>
      <c r="F34" s="25"/>
      <c r="G34" s="26"/>
      <c r="H34" s="24" t="s">
        <v>5</v>
      </c>
      <c r="I34" s="25"/>
      <c r="J34" s="26"/>
      <c r="K34" s="23" t="s">
        <v>6</v>
      </c>
    </row>
    <row r="35" spans="1:11" s="2" customFormat="1">
      <c r="A35" s="27"/>
      <c r="B35" s="28" t="s">
        <v>7</v>
      </c>
      <c r="C35" s="28" t="s">
        <v>8</v>
      </c>
      <c r="D35" s="28" t="s">
        <v>9</v>
      </c>
      <c r="E35" s="28" t="s">
        <v>7</v>
      </c>
      <c r="F35" s="28" t="s">
        <v>8</v>
      </c>
      <c r="G35" s="28" t="s">
        <v>9</v>
      </c>
      <c r="H35" s="28" t="s">
        <v>7</v>
      </c>
      <c r="I35" s="28" t="s">
        <v>8</v>
      </c>
      <c r="J35" s="28" t="s">
        <v>9</v>
      </c>
      <c r="K35" s="27"/>
    </row>
    <row r="36" spans="1:11" s="2" customFormat="1">
      <c r="A36" s="29"/>
      <c r="B36" s="30" t="s">
        <v>10</v>
      </c>
      <c r="C36" s="30" t="s">
        <v>11</v>
      </c>
      <c r="D36" s="30" t="s">
        <v>12</v>
      </c>
      <c r="E36" s="30" t="s">
        <v>10</v>
      </c>
      <c r="F36" s="30" t="s">
        <v>11</v>
      </c>
      <c r="G36" s="30" t="s">
        <v>12</v>
      </c>
      <c r="H36" s="30" t="s">
        <v>10</v>
      </c>
      <c r="I36" s="30" t="s">
        <v>11</v>
      </c>
      <c r="J36" s="30" t="s">
        <v>12</v>
      </c>
      <c r="K36" s="29"/>
    </row>
    <row r="37" spans="1:11" s="2" customFormat="1" ht="11.25" customHeight="1">
      <c r="A37" s="56"/>
      <c r="B37" s="60"/>
      <c r="C37" s="60"/>
      <c r="D37" s="60"/>
      <c r="E37" s="60"/>
      <c r="F37" s="60"/>
      <c r="G37" s="60"/>
      <c r="H37" s="60"/>
      <c r="I37" s="60"/>
      <c r="J37" s="60"/>
      <c r="K37" s="58"/>
    </row>
    <row r="38" spans="1:11" s="2" customFormat="1" ht="25.5">
      <c r="A38" s="27" t="s">
        <v>34</v>
      </c>
      <c r="B38" s="31">
        <f>+C38+D38</f>
        <v>44</v>
      </c>
      <c r="C38" s="31">
        <f>+F38+I38</f>
        <v>19</v>
      </c>
      <c r="D38" s="31">
        <f>+G38+J38</f>
        <v>25</v>
      </c>
      <c r="E38" s="34" t="str">
        <f t="shared" ref="E38:E44" si="6">IF((+F38+G38)=0,"     - ",F38+G38)</f>
        <v xml:space="preserve">     - </v>
      </c>
      <c r="F38" s="60" t="str">
        <f>IF(SUM(F39:F40)=0,"-",SUM(F39:F40))</f>
        <v>-</v>
      </c>
      <c r="G38" s="60" t="str">
        <f>IF(SUM(G39:G40)=0,"-",SUM(G39:G40))</f>
        <v>-</v>
      </c>
      <c r="H38" s="31">
        <f>+I38+J38</f>
        <v>44</v>
      </c>
      <c r="I38" s="31">
        <f>SUM(I39:I40)</f>
        <v>19</v>
      </c>
      <c r="J38" s="31">
        <f>SUM(J39:J40)</f>
        <v>25</v>
      </c>
      <c r="K38" s="32" t="s">
        <v>35</v>
      </c>
    </row>
    <row r="39" spans="1:11" ht="25.5">
      <c r="A39" s="33" t="s">
        <v>36</v>
      </c>
      <c r="B39" s="34">
        <f>+C39+D39</f>
        <v>44</v>
      </c>
      <c r="C39" s="34">
        <f>+F39+I39</f>
        <v>19</v>
      </c>
      <c r="D39" s="34">
        <f>+G39+J39</f>
        <v>25</v>
      </c>
      <c r="E39" s="34" t="str">
        <f t="shared" si="6"/>
        <v xml:space="preserve">     - </v>
      </c>
      <c r="F39" s="45" t="s">
        <v>20</v>
      </c>
      <c r="G39" s="45" t="s">
        <v>20</v>
      </c>
      <c r="H39" s="34">
        <f>+I39+J39</f>
        <v>44</v>
      </c>
      <c r="I39" s="34">
        <v>19</v>
      </c>
      <c r="J39" s="34">
        <v>25</v>
      </c>
      <c r="K39" s="36" t="s">
        <v>37</v>
      </c>
    </row>
    <row r="40" spans="1:11" ht="25.5">
      <c r="A40" s="40" t="s">
        <v>17</v>
      </c>
      <c r="B40" s="41" t="str">
        <f>IF((+E40+H40)=0, "     -",E40+H40)</f>
        <v xml:space="preserve">     -</v>
      </c>
      <c r="C40" s="41" t="str">
        <f>IF((+F40+I40)=0, "     -",F40+I40)</f>
        <v xml:space="preserve">     -</v>
      </c>
      <c r="D40" s="41" t="str">
        <f>IF((+G40+J40)=0, "     -",G40+J40)</f>
        <v xml:space="preserve">     -</v>
      </c>
      <c r="E40" s="41" t="str">
        <f t="shared" si="6"/>
        <v xml:space="preserve">     - </v>
      </c>
      <c r="F40" s="42" t="s">
        <v>20</v>
      </c>
      <c r="G40" s="42" t="s">
        <v>20</v>
      </c>
      <c r="H40" s="41" t="str">
        <f>IF((+I40+J40)=0,"     - ",I40+J40)</f>
        <v xml:space="preserve">     - </v>
      </c>
      <c r="I40" s="42" t="s">
        <v>27</v>
      </c>
      <c r="J40" s="42" t="s">
        <v>27</v>
      </c>
      <c r="K40" s="43" t="s">
        <v>18</v>
      </c>
    </row>
    <row r="41" spans="1:11" s="2" customFormat="1" ht="25.5">
      <c r="A41" s="27" t="s">
        <v>38</v>
      </c>
      <c r="B41" s="31">
        <f>+C41+D41</f>
        <v>65</v>
      </c>
      <c r="C41" s="31">
        <f t="shared" ref="C41:D45" si="7">+F41+I41</f>
        <v>27</v>
      </c>
      <c r="D41" s="31">
        <f t="shared" si="7"/>
        <v>38</v>
      </c>
      <c r="E41" s="61" t="str">
        <f t="shared" si="6"/>
        <v xml:space="preserve">     - </v>
      </c>
      <c r="F41" s="45" t="s">
        <v>20</v>
      </c>
      <c r="G41" s="62" t="s">
        <v>20</v>
      </c>
      <c r="H41" s="31">
        <f>+I41+J41</f>
        <v>65</v>
      </c>
      <c r="I41" s="31">
        <f>SUM(I42:I43)</f>
        <v>27</v>
      </c>
      <c r="J41" s="31">
        <f>SUM(J42:J43)</f>
        <v>38</v>
      </c>
      <c r="K41" s="32" t="s">
        <v>39</v>
      </c>
    </row>
    <row r="42" spans="1:11" ht="25.5">
      <c r="A42" s="33" t="s">
        <v>36</v>
      </c>
      <c r="B42" s="34">
        <f>+C42+D42</f>
        <v>65</v>
      </c>
      <c r="C42" s="34">
        <f t="shared" si="7"/>
        <v>27</v>
      </c>
      <c r="D42" s="34">
        <f t="shared" si="7"/>
        <v>38</v>
      </c>
      <c r="E42" s="34" t="str">
        <f t="shared" si="6"/>
        <v xml:space="preserve">     - </v>
      </c>
      <c r="F42" s="45" t="s">
        <v>27</v>
      </c>
      <c r="G42" s="45" t="s">
        <v>27</v>
      </c>
      <c r="H42" s="34">
        <f>+I42+J42</f>
        <v>65</v>
      </c>
      <c r="I42" s="34">
        <v>27</v>
      </c>
      <c r="J42" s="34">
        <v>38</v>
      </c>
      <c r="K42" s="36" t="s">
        <v>37</v>
      </c>
    </row>
    <row r="43" spans="1:11" ht="25.5">
      <c r="A43" s="40" t="s">
        <v>17</v>
      </c>
      <c r="B43" s="41" t="str">
        <f>IF((+C43+D43)=0,"     - ",C43+D43)</f>
        <v xml:space="preserve">     - </v>
      </c>
      <c r="C43" s="41" t="str">
        <f>IF((+D43+E43)=0,"     - ",D43+E43)</f>
        <v xml:space="preserve">     - </v>
      </c>
      <c r="D43" s="41" t="str">
        <f>IF((+E43+F43)=0,"     - ",E43+F43)</f>
        <v xml:space="preserve">     - </v>
      </c>
      <c r="E43" s="41" t="str">
        <f t="shared" si="6"/>
        <v xml:space="preserve">     - </v>
      </c>
      <c r="F43" s="42" t="s">
        <v>20</v>
      </c>
      <c r="G43" s="42" t="s">
        <v>20</v>
      </c>
      <c r="H43" s="41" t="str">
        <f>IF((+I43+J43)=0,"     - ",I43+J43)</f>
        <v xml:space="preserve">     - </v>
      </c>
      <c r="I43" s="42" t="s">
        <v>21</v>
      </c>
      <c r="J43" s="42" t="s">
        <v>21</v>
      </c>
      <c r="K43" s="43" t="s">
        <v>18</v>
      </c>
    </row>
    <row r="44" spans="1:11" s="2" customFormat="1" ht="25.5">
      <c r="A44" s="27" t="s">
        <v>40</v>
      </c>
      <c r="B44" s="31">
        <f>+C44+D44</f>
        <v>109</v>
      </c>
      <c r="C44" s="31">
        <f t="shared" si="7"/>
        <v>46</v>
      </c>
      <c r="D44" s="31">
        <f t="shared" si="7"/>
        <v>63</v>
      </c>
      <c r="E44" s="61" t="str">
        <f t="shared" si="6"/>
        <v xml:space="preserve">     - </v>
      </c>
      <c r="F44" s="63" t="s">
        <v>20</v>
      </c>
      <c r="G44" s="62" t="s">
        <v>20</v>
      </c>
      <c r="H44" s="31">
        <f>SUM(H45:H46)</f>
        <v>109</v>
      </c>
      <c r="I44" s="31">
        <f>SUM(I45:I46)</f>
        <v>46</v>
      </c>
      <c r="J44" s="31">
        <f>SUM(J45:J46)</f>
        <v>63</v>
      </c>
      <c r="K44" s="32" t="s">
        <v>41</v>
      </c>
    </row>
    <row r="45" spans="1:11" ht="25.5">
      <c r="A45" s="33" t="s">
        <v>36</v>
      </c>
      <c r="B45" s="34">
        <f>+C45+D45</f>
        <v>109</v>
      </c>
      <c r="C45" s="34">
        <f t="shared" si="7"/>
        <v>46</v>
      </c>
      <c r="D45" s="35">
        <f t="shared" si="7"/>
        <v>63</v>
      </c>
      <c r="E45" s="45" t="str">
        <f>IF((+E42+E39)=0,"-",(+E42+E39))</f>
        <v>-</v>
      </c>
      <c r="F45" s="45" t="str">
        <f>IF((+F42+F39)=0,"-",(+F42+F39))</f>
        <v>-</v>
      </c>
      <c r="G45" s="45" t="str">
        <f>IF((+G42+G39)=0,"-",(+G42+G39))</f>
        <v>-</v>
      </c>
      <c r="H45" s="64">
        <f>+H42+H39</f>
        <v>109</v>
      </c>
      <c r="I45" s="34">
        <f>+I42+I39</f>
        <v>46</v>
      </c>
      <c r="J45" s="34">
        <f>+J42+J39</f>
        <v>63</v>
      </c>
      <c r="K45" s="36" t="s">
        <v>37</v>
      </c>
    </row>
    <row r="46" spans="1:11" ht="25.5">
      <c r="A46" s="40" t="s">
        <v>17</v>
      </c>
      <c r="B46" s="41" t="str">
        <f>IF((+C46+D46)=0,"     - ",C46+D46)</f>
        <v xml:space="preserve">     - </v>
      </c>
      <c r="C46" s="41" t="str">
        <f>IF((+D46+E46)=0,"     - ",D46+E46)</f>
        <v xml:space="preserve">     - </v>
      </c>
      <c r="D46" s="41" t="str">
        <f>IF((+E46+F46)=0,"     - ",E46+F46)</f>
        <v xml:space="preserve">     - </v>
      </c>
      <c r="E46" s="41" t="str">
        <f>IF((+F46+G46)=0,"     - ",F46+G46)</f>
        <v xml:space="preserve">     - </v>
      </c>
      <c r="F46" s="42" t="s">
        <v>20</v>
      </c>
      <c r="G46" s="42" t="s">
        <v>20</v>
      </c>
      <c r="H46" s="42" t="str">
        <f>IF((+H43+H40)=0,"-",(+H43+H40))</f>
        <v>-</v>
      </c>
      <c r="I46" s="42" t="str">
        <f>IF((+I43+I40)=0,"-",(+I43+I40))</f>
        <v>-</v>
      </c>
      <c r="J46" s="42" t="str">
        <f>IF((+J43+J40)=0,"-",(+J43+J40))</f>
        <v>-</v>
      </c>
      <c r="K46" s="43" t="s">
        <v>18</v>
      </c>
    </row>
    <row r="47" spans="1:11" ht="29">
      <c r="A47" s="16" t="s">
        <v>32</v>
      </c>
      <c r="B47" s="9"/>
      <c r="C47" s="9"/>
      <c r="D47" s="9"/>
      <c r="E47" s="9"/>
      <c r="F47" s="9"/>
      <c r="G47" s="9"/>
      <c r="H47" s="9"/>
      <c r="I47" s="9"/>
      <c r="J47" s="9"/>
      <c r="K47" s="6"/>
    </row>
    <row r="48" spans="1:11" ht="26.5">
      <c r="A48" s="17" t="s">
        <v>33</v>
      </c>
      <c r="B48" s="9"/>
      <c r="C48" s="9"/>
      <c r="D48" s="9"/>
      <c r="E48" s="9"/>
      <c r="F48" s="9"/>
      <c r="G48" s="9"/>
      <c r="H48" s="9"/>
      <c r="I48" s="9"/>
      <c r="J48" s="9"/>
      <c r="K48" s="6"/>
    </row>
    <row r="49" spans="1:11" ht="14.25" customHeight="1">
      <c r="A49" s="17"/>
      <c r="B49" s="9"/>
      <c r="C49" s="9"/>
      <c r="D49" s="9"/>
      <c r="E49" s="9"/>
      <c r="F49" s="9"/>
      <c r="G49" s="9"/>
      <c r="H49" s="9"/>
      <c r="I49" s="9"/>
      <c r="J49" s="9"/>
      <c r="K49" s="6"/>
    </row>
    <row r="50" spans="1:11" s="2" customFormat="1">
      <c r="A50" s="19"/>
      <c r="B50" s="20" t="s">
        <v>0</v>
      </c>
      <c r="C50" s="21"/>
      <c r="D50" s="22"/>
      <c r="E50" s="20" t="s">
        <v>48</v>
      </c>
      <c r="F50" s="21"/>
      <c r="G50" s="22"/>
      <c r="H50" s="20" t="s">
        <v>1</v>
      </c>
      <c r="I50" s="21"/>
      <c r="J50" s="22"/>
      <c r="K50" s="19"/>
    </row>
    <row r="51" spans="1:11" s="2" customFormat="1">
      <c r="A51" s="23" t="s">
        <v>2</v>
      </c>
      <c r="B51" s="24" t="s">
        <v>3</v>
      </c>
      <c r="C51" s="25"/>
      <c r="D51" s="26"/>
      <c r="E51" s="24" t="s">
        <v>4</v>
      </c>
      <c r="F51" s="25"/>
      <c r="G51" s="26"/>
      <c r="H51" s="24" t="s">
        <v>5</v>
      </c>
      <c r="I51" s="25"/>
      <c r="J51" s="26"/>
      <c r="K51" s="23" t="s">
        <v>6</v>
      </c>
    </row>
    <row r="52" spans="1:11" s="2" customFormat="1">
      <c r="A52" s="27"/>
      <c r="B52" s="28" t="s">
        <v>7</v>
      </c>
      <c r="C52" s="28" t="s">
        <v>8</v>
      </c>
      <c r="D52" s="28" t="s">
        <v>9</v>
      </c>
      <c r="E52" s="28" t="s">
        <v>7</v>
      </c>
      <c r="F52" s="28" t="s">
        <v>8</v>
      </c>
      <c r="G52" s="28" t="s">
        <v>9</v>
      </c>
      <c r="H52" s="28" t="s">
        <v>7</v>
      </c>
      <c r="I52" s="28" t="s">
        <v>8</v>
      </c>
      <c r="J52" s="28" t="s">
        <v>9</v>
      </c>
      <c r="K52" s="27"/>
    </row>
    <row r="53" spans="1:11" s="2" customFormat="1">
      <c r="A53" s="29"/>
      <c r="B53" s="30" t="s">
        <v>10</v>
      </c>
      <c r="C53" s="30" t="s">
        <v>11</v>
      </c>
      <c r="D53" s="30" t="s">
        <v>12</v>
      </c>
      <c r="E53" s="30" t="s">
        <v>10</v>
      </c>
      <c r="F53" s="30" t="s">
        <v>11</v>
      </c>
      <c r="G53" s="30" t="s">
        <v>12</v>
      </c>
      <c r="H53" s="30" t="s">
        <v>10</v>
      </c>
      <c r="I53" s="30" t="s">
        <v>11</v>
      </c>
      <c r="J53" s="30" t="s">
        <v>12</v>
      </c>
      <c r="K53" s="29"/>
    </row>
    <row r="54" spans="1:11" s="2" customFormat="1">
      <c r="A54" s="27" t="s">
        <v>42</v>
      </c>
      <c r="B54" s="31">
        <f>+C54+D54</f>
        <v>87776</v>
      </c>
      <c r="C54" s="31">
        <f t="shared" ref="C54:D58" si="8">+F54+I54</f>
        <v>35933</v>
      </c>
      <c r="D54" s="31">
        <f t="shared" si="8"/>
        <v>51843</v>
      </c>
      <c r="E54" s="31">
        <f>+F54+G54</f>
        <v>23163</v>
      </c>
      <c r="F54" s="31">
        <f>SUM(F55:F58)</f>
        <v>9195</v>
      </c>
      <c r="G54" s="31">
        <f>SUM(G55:G58)</f>
        <v>13968</v>
      </c>
      <c r="H54" s="31">
        <f t="shared" ref="H54:H65" si="9">+I54+J54</f>
        <v>64613</v>
      </c>
      <c r="I54" s="31">
        <f>SUM(I55:I58)</f>
        <v>26738</v>
      </c>
      <c r="J54" s="31">
        <f>SUM(J55:J58)</f>
        <v>37875</v>
      </c>
      <c r="K54" s="32" t="s">
        <v>43</v>
      </c>
    </row>
    <row r="55" spans="1:11" ht="25.5">
      <c r="A55" s="33" t="s">
        <v>36</v>
      </c>
      <c r="B55" s="34">
        <f>+C55+D55</f>
        <v>66380</v>
      </c>
      <c r="C55" s="34">
        <f t="shared" si="8"/>
        <v>15350</v>
      </c>
      <c r="D55" s="35">
        <f t="shared" si="8"/>
        <v>51030</v>
      </c>
      <c r="E55" s="34">
        <f>IF((+F55+G55)=0,"     - ",F55+G55)</f>
        <v>18550</v>
      </c>
      <c r="F55" s="34">
        <v>4779</v>
      </c>
      <c r="G55" s="34">
        <v>13771</v>
      </c>
      <c r="H55" s="34">
        <f t="shared" si="9"/>
        <v>47830</v>
      </c>
      <c r="I55" s="34">
        <v>10571</v>
      </c>
      <c r="J55" s="34">
        <v>37259</v>
      </c>
      <c r="K55" s="36" t="s">
        <v>37</v>
      </c>
    </row>
    <row r="56" spans="1:11" ht="25.5">
      <c r="A56" s="33" t="s">
        <v>17</v>
      </c>
      <c r="B56" s="34">
        <f>+C56+D56</f>
        <v>20912</v>
      </c>
      <c r="C56" s="34">
        <f t="shared" si="8"/>
        <v>20253</v>
      </c>
      <c r="D56" s="35">
        <f t="shared" si="8"/>
        <v>659</v>
      </c>
      <c r="E56" s="34">
        <f>IF((+F56+G56)=0,"     - ",F56+G56)</f>
        <v>4260</v>
      </c>
      <c r="F56" s="34">
        <v>4169</v>
      </c>
      <c r="G56" s="34">
        <v>91</v>
      </c>
      <c r="H56" s="34">
        <f t="shared" si="9"/>
        <v>16652</v>
      </c>
      <c r="I56" s="34">
        <v>16084</v>
      </c>
      <c r="J56" s="34">
        <v>568</v>
      </c>
      <c r="K56" s="36" t="s">
        <v>18</v>
      </c>
    </row>
    <row r="57" spans="1:11" ht="25.5">
      <c r="A57" s="37" t="s">
        <v>23</v>
      </c>
      <c r="B57" s="34">
        <f>+C57+D57</f>
        <v>423</v>
      </c>
      <c r="C57" s="34">
        <f t="shared" si="8"/>
        <v>314</v>
      </c>
      <c r="D57" s="35">
        <f t="shared" si="8"/>
        <v>109</v>
      </c>
      <c r="E57" s="34">
        <f>+F57+G57</f>
        <v>292</v>
      </c>
      <c r="F57" s="34">
        <v>231</v>
      </c>
      <c r="G57" s="34">
        <v>61</v>
      </c>
      <c r="H57" s="34">
        <f>IF((+I57+J57)=0,"     - ",I57+J57)</f>
        <v>131</v>
      </c>
      <c r="I57" s="38">
        <v>83</v>
      </c>
      <c r="J57" s="38">
        <v>48</v>
      </c>
      <c r="K57" s="39" t="s">
        <v>24</v>
      </c>
    </row>
    <row r="58" spans="1:11" ht="25.5">
      <c r="A58" s="40" t="s">
        <v>49</v>
      </c>
      <c r="B58" s="41">
        <f>+C58+D58</f>
        <v>61</v>
      </c>
      <c r="C58" s="41">
        <f t="shared" si="8"/>
        <v>16</v>
      </c>
      <c r="D58" s="41">
        <f t="shared" si="8"/>
        <v>45</v>
      </c>
      <c r="E58" s="41">
        <f>+F58+G58</f>
        <v>61</v>
      </c>
      <c r="F58" s="41">
        <v>16</v>
      </c>
      <c r="G58" s="41">
        <v>45</v>
      </c>
      <c r="H58" s="41" t="str">
        <f>IF((+I58+J58)=0,"     - ",I58+J58)</f>
        <v xml:space="preserve">     - </v>
      </c>
      <c r="I58" s="42" t="s">
        <v>20</v>
      </c>
      <c r="J58" s="42" t="s">
        <v>20</v>
      </c>
      <c r="K58" s="43" t="s">
        <v>50</v>
      </c>
    </row>
    <row r="59" spans="1:11" s="2" customFormat="1">
      <c r="A59" s="27" t="s">
        <v>44</v>
      </c>
      <c r="B59" s="31">
        <f t="shared" ref="B59:B64" si="10">+C59+D59</f>
        <v>80174</v>
      </c>
      <c r="C59" s="31">
        <f t="shared" ref="C59:D68" si="11">+F59+I59</f>
        <v>31453</v>
      </c>
      <c r="D59" s="31">
        <f t="shared" si="11"/>
        <v>48721</v>
      </c>
      <c r="E59" s="31">
        <f>+F59+G59</f>
        <v>20723</v>
      </c>
      <c r="F59" s="31">
        <f>SUM(F60:F63)</f>
        <v>7891</v>
      </c>
      <c r="G59" s="31">
        <f>SUM(G60:G63)</f>
        <v>12832</v>
      </c>
      <c r="H59" s="31">
        <f t="shared" si="9"/>
        <v>59451</v>
      </c>
      <c r="I59" s="31">
        <f>SUM(I60:I63)</f>
        <v>23562</v>
      </c>
      <c r="J59" s="31">
        <f>SUM(J60:J63)</f>
        <v>35889</v>
      </c>
      <c r="K59" s="32" t="s">
        <v>45</v>
      </c>
    </row>
    <row r="60" spans="1:11" ht="25.5">
      <c r="A60" s="33" t="s">
        <v>36</v>
      </c>
      <c r="B60" s="34">
        <f t="shared" si="10"/>
        <v>61617</v>
      </c>
      <c r="C60" s="34">
        <f t="shared" si="11"/>
        <v>13448</v>
      </c>
      <c r="D60" s="34">
        <f t="shared" si="11"/>
        <v>48169</v>
      </c>
      <c r="E60" s="34">
        <f>+F60+G60</f>
        <v>16688</v>
      </c>
      <c r="F60" s="34">
        <v>3967</v>
      </c>
      <c r="G60" s="34">
        <v>12721</v>
      </c>
      <c r="H60" s="34">
        <f t="shared" si="9"/>
        <v>44929</v>
      </c>
      <c r="I60" s="34">
        <v>9481</v>
      </c>
      <c r="J60" s="34">
        <v>35448</v>
      </c>
      <c r="K60" s="36" t="s">
        <v>37</v>
      </c>
    </row>
    <row r="61" spans="1:11" ht="25.5">
      <c r="A61" s="33" t="s">
        <v>17</v>
      </c>
      <c r="B61" s="34">
        <f t="shared" si="10"/>
        <v>18252</v>
      </c>
      <c r="C61" s="34">
        <f t="shared" si="11"/>
        <v>17809</v>
      </c>
      <c r="D61" s="34">
        <f t="shared" si="11"/>
        <v>443</v>
      </c>
      <c r="E61" s="34">
        <f>+F61+G61</f>
        <v>3803</v>
      </c>
      <c r="F61" s="34">
        <v>3779</v>
      </c>
      <c r="G61" s="34">
        <v>24</v>
      </c>
      <c r="H61" s="34">
        <f t="shared" si="9"/>
        <v>14449</v>
      </c>
      <c r="I61" s="34">
        <v>14030</v>
      </c>
      <c r="J61" s="34">
        <v>419</v>
      </c>
      <c r="K61" s="36" t="s">
        <v>18</v>
      </c>
    </row>
    <row r="62" spans="1:11" ht="25.5">
      <c r="A62" s="37" t="s">
        <v>23</v>
      </c>
      <c r="B62" s="34">
        <f>+C62+D62</f>
        <v>246</v>
      </c>
      <c r="C62" s="34">
        <f>+F62+I62</f>
        <v>179</v>
      </c>
      <c r="D62" s="34">
        <f>+G62+J62</f>
        <v>67</v>
      </c>
      <c r="E62" s="34">
        <f>IF((+F62+G62)=0,"     - ",F62+G62)</f>
        <v>173</v>
      </c>
      <c r="F62" s="34">
        <v>128</v>
      </c>
      <c r="G62" s="34">
        <v>45</v>
      </c>
      <c r="H62" s="34">
        <f>IF((+I62+J62)=0,"     - ",I62+J62)</f>
        <v>73</v>
      </c>
      <c r="I62" s="38">
        <v>51</v>
      </c>
      <c r="J62" s="38">
        <v>22</v>
      </c>
      <c r="K62" s="44" t="s">
        <v>24</v>
      </c>
    </row>
    <row r="63" spans="1:11" ht="25.5">
      <c r="A63" s="40" t="s">
        <v>49</v>
      </c>
      <c r="B63" s="41">
        <f t="shared" si="10"/>
        <v>59</v>
      </c>
      <c r="C63" s="41">
        <f t="shared" si="11"/>
        <v>17</v>
      </c>
      <c r="D63" s="41">
        <f t="shared" si="11"/>
        <v>42</v>
      </c>
      <c r="E63" s="41">
        <f>IF((+F63+G63)=0,"     - ",F63+G63)</f>
        <v>59</v>
      </c>
      <c r="F63" s="41">
        <v>17</v>
      </c>
      <c r="G63" s="41">
        <v>42</v>
      </c>
      <c r="H63" s="41" t="str">
        <f>IF((+I63+J63)=0,"     - ",I63+J63)</f>
        <v xml:space="preserve">     - </v>
      </c>
      <c r="I63" s="42" t="s">
        <v>20</v>
      </c>
      <c r="J63" s="42" t="s">
        <v>20</v>
      </c>
      <c r="K63" s="43" t="s">
        <v>50</v>
      </c>
    </row>
    <row r="64" spans="1:11">
      <c r="A64" s="27" t="s">
        <v>46</v>
      </c>
      <c r="B64" s="31">
        <f t="shared" si="10"/>
        <v>2475</v>
      </c>
      <c r="C64" s="31">
        <f t="shared" si="11"/>
        <v>2022</v>
      </c>
      <c r="D64" s="31">
        <f t="shared" si="11"/>
        <v>453</v>
      </c>
      <c r="E64" s="31">
        <f t="shared" ref="E64:E71" si="12">+F64+G64</f>
        <v>712</v>
      </c>
      <c r="F64" s="31">
        <f>SUM(F65:F68)</f>
        <v>467</v>
      </c>
      <c r="G64" s="31">
        <f>SUM(G65:G68)</f>
        <v>245</v>
      </c>
      <c r="H64" s="31">
        <f>+I64+J64</f>
        <v>1763</v>
      </c>
      <c r="I64" s="31">
        <f>SUM(I65:I68)</f>
        <v>1555</v>
      </c>
      <c r="J64" s="31">
        <f>SUM(J65:J68)</f>
        <v>208</v>
      </c>
      <c r="K64" s="32" t="s">
        <v>51</v>
      </c>
    </row>
    <row r="65" spans="1:11" s="2" customFormat="1" ht="25.5">
      <c r="A65" s="33" t="s">
        <v>36</v>
      </c>
      <c r="B65" s="34">
        <f>IF((+E65+H65)=0, "     -",E65+H65)</f>
        <v>556</v>
      </c>
      <c r="C65" s="34">
        <f t="shared" si="11"/>
        <v>176</v>
      </c>
      <c r="D65" s="34">
        <f t="shared" si="11"/>
        <v>380</v>
      </c>
      <c r="E65" s="34">
        <f t="shared" si="12"/>
        <v>299</v>
      </c>
      <c r="F65" s="34">
        <v>95</v>
      </c>
      <c r="G65" s="34">
        <v>204</v>
      </c>
      <c r="H65" s="34">
        <f t="shared" si="9"/>
        <v>257</v>
      </c>
      <c r="I65" s="34">
        <v>81</v>
      </c>
      <c r="J65" s="34">
        <v>176</v>
      </c>
      <c r="K65" s="36" t="s">
        <v>37</v>
      </c>
    </row>
    <row r="66" spans="1:11" s="2" customFormat="1" ht="25.5">
      <c r="A66" s="33" t="s">
        <v>17</v>
      </c>
      <c r="B66" s="34">
        <f>IF((+E66+H66)=0, "     -",E66+H66)</f>
        <v>1866</v>
      </c>
      <c r="C66" s="34">
        <f t="shared" si="11"/>
        <v>1831</v>
      </c>
      <c r="D66" s="34">
        <f t="shared" si="11"/>
        <v>35</v>
      </c>
      <c r="E66" s="34">
        <f>+F66+G66</f>
        <v>360</v>
      </c>
      <c r="F66" s="34">
        <v>357</v>
      </c>
      <c r="G66" s="34">
        <v>3</v>
      </c>
      <c r="H66" s="34">
        <f>+I66+J66</f>
        <v>1506</v>
      </c>
      <c r="I66" s="38">
        <v>1474</v>
      </c>
      <c r="J66" s="38">
        <v>32</v>
      </c>
      <c r="K66" s="36" t="s">
        <v>18</v>
      </c>
    </row>
    <row r="67" spans="1:11" s="2" customFormat="1" ht="25.5">
      <c r="A67" s="33" t="s">
        <v>23</v>
      </c>
      <c r="B67" s="34" t="str">
        <f>IF((+E67+H67)=0, "     -",E67+H67)</f>
        <v xml:space="preserve">     -</v>
      </c>
      <c r="C67" s="45" t="s">
        <v>20</v>
      </c>
      <c r="D67" s="45" t="s">
        <v>20</v>
      </c>
      <c r="E67" s="34" t="str">
        <f>IF((+H67+K67)=0, "     -",H67+K67)</f>
        <v xml:space="preserve">     -</v>
      </c>
      <c r="F67" s="45" t="s">
        <v>20</v>
      </c>
      <c r="G67" s="45" t="s">
        <v>20</v>
      </c>
      <c r="H67" s="45" t="s">
        <v>20</v>
      </c>
      <c r="I67" s="45" t="s">
        <v>20</v>
      </c>
      <c r="J67" s="45" t="s">
        <v>20</v>
      </c>
      <c r="K67" s="39" t="s">
        <v>24</v>
      </c>
    </row>
    <row r="68" spans="1:11" s="2" customFormat="1" ht="25.5">
      <c r="A68" s="33" t="s">
        <v>49</v>
      </c>
      <c r="B68" s="34">
        <f>IF((+E68+H68)=0, "     -",E68+H68)</f>
        <v>53</v>
      </c>
      <c r="C68" s="34">
        <f t="shared" si="11"/>
        <v>15</v>
      </c>
      <c r="D68" s="34">
        <f t="shared" si="11"/>
        <v>38</v>
      </c>
      <c r="E68" s="34">
        <f t="shared" si="12"/>
        <v>53</v>
      </c>
      <c r="F68" s="34">
        <v>15</v>
      </c>
      <c r="G68" s="34">
        <v>38</v>
      </c>
      <c r="H68" s="45" t="s">
        <v>20</v>
      </c>
      <c r="I68" s="45" t="s">
        <v>20</v>
      </c>
      <c r="J68" s="45" t="s">
        <v>20</v>
      </c>
      <c r="K68" s="39" t="s">
        <v>24</v>
      </c>
    </row>
    <row r="69" spans="1:11">
      <c r="A69" s="46" t="s">
        <v>47</v>
      </c>
      <c r="B69" s="47">
        <f>+C69+D69</f>
        <v>170425</v>
      </c>
      <c r="C69" s="47">
        <f t="shared" ref="C69:D71" si="13">+F69+I69</f>
        <v>69408</v>
      </c>
      <c r="D69" s="47">
        <f t="shared" si="13"/>
        <v>101017</v>
      </c>
      <c r="E69" s="47">
        <f t="shared" si="12"/>
        <v>44598</v>
      </c>
      <c r="F69" s="47">
        <f>SUM(F70:F73)</f>
        <v>17553</v>
      </c>
      <c r="G69" s="47">
        <f>SUM(G70:G73)</f>
        <v>27045</v>
      </c>
      <c r="H69" s="47">
        <f>+I69+J69</f>
        <v>125827</v>
      </c>
      <c r="I69" s="47">
        <f>SUM(I70:I73)</f>
        <v>51855</v>
      </c>
      <c r="J69" s="47">
        <f>SUM(J70:J73)</f>
        <v>73972</v>
      </c>
      <c r="K69" s="48" t="s">
        <v>52</v>
      </c>
    </row>
    <row r="70" spans="1:11" s="2" customFormat="1" ht="25.5">
      <c r="A70" s="33" t="s">
        <v>36</v>
      </c>
      <c r="B70" s="34">
        <f>+C70+D70</f>
        <v>128553</v>
      </c>
      <c r="C70" s="34">
        <f t="shared" si="13"/>
        <v>28974</v>
      </c>
      <c r="D70" s="34">
        <f t="shared" si="13"/>
        <v>99579</v>
      </c>
      <c r="E70" s="34">
        <f t="shared" si="12"/>
        <v>35537</v>
      </c>
      <c r="F70" s="34">
        <f>+F65+F60+F55</f>
        <v>8841</v>
      </c>
      <c r="G70" s="34">
        <f>+G65+G60+G55</f>
        <v>26696</v>
      </c>
      <c r="H70" s="34">
        <f>+H65+H60+H55</f>
        <v>93016</v>
      </c>
      <c r="I70" s="34">
        <f>+I65+I60+I55</f>
        <v>20133</v>
      </c>
      <c r="J70" s="34">
        <f>+J65+J60+J55</f>
        <v>72883</v>
      </c>
      <c r="K70" s="36" t="s">
        <v>37</v>
      </c>
    </row>
    <row r="71" spans="1:11" s="2" customFormat="1" ht="25.5">
      <c r="A71" s="33" t="s">
        <v>17</v>
      </c>
      <c r="B71" s="34">
        <f>+C71+D71</f>
        <v>41030</v>
      </c>
      <c r="C71" s="34">
        <f t="shared" si="13"/>
        <v>39893</v>
      </c>
      <c r="D71" s="34">
        <f t="shared" si="13"/>
        <v>1137</v>
      </c>
      <c r="E71" s="34">
        <f t="shared" si="12"/>
        <v>8423</v>
      </c>
      <c r="F71" s="34">
        <f>+F66+F61+F56</f>
        <v>8305</v>
      </c>
      <c r="G71" s="34">
        <f>+G56+G61+G66</f>
        <v>118</v>
      </c>
      <c r="H71" s="34">
        <f>+H66+H61+H56</f>
        <v>32607</v>
      </c>
      <c r="I71" s="34">
        <f>+I56+I61+I66</f>
        <v>31588</v>
      </c>
      <c r="J71" s="34">
        <f>+J56+J61+J66</f>
        <v>1019</v>
      </c>
      <c r="K71" s="36" t="s">
        <v>18</v>
      </c>
    </row>
    <row r="72" spans="1:11" s="2" customFormat="1" ht="25.5">
      <c r="A72" s="37" t="s">
        <v>23</v>
      </c>
      <c r="B72" s="34">
        <f>+C72+D72</f>
        <v>669</v>
      </c>
      <c r="C72" s="34">
        <f>+F72+I72</f>
        <v>493</v>
      </c>
      <c r="D72" s="34">
        <f>+G72+J72</f>
        <v>176</v>
      </c>
      <c r="E72" s="34">
        <f>+F72+G72</f>
        <v>465</v>
      </c>
      <c r="F72" s="34">
        <f>+F57+F62+F67</f>
        <v>359</v>
      </c>
      <c r="G72" s="34">
        <f>+G57+G62+G67</f>
        <v>106</v>
      </c>
      <c r="H72" s="34">
        <f>+H57+H62+H68</f>
        <v>204</v>
      </c>
      <c r="I72" s="34">
        <f>+I57+I62+I67</f>
        <v>134</v>
      </c>
      <c r="J72" s="34">
        <f>+J57+J62+J67</f>
        <v>70</v>
      </c>
      <c r="K72" s="39" t="s">
        <v>24</v>
      </c>
    </row>
    <row r="73" spans="1:11" ht="25.5">
      <c r="A73" s="40" t="s">
        <v>49</v>
      </c>
      <c r="B73" s="41">
        <f>+C73+D73</f>
        <v>173</v>
      </c>
      <c r="C73" s="41">
        <f>IF((+C58+C63+C68)=0,"     - ",C58+C63+C68)</f>
        <v>48</v>
      </c>
      <c r="D73" s="41">
        <f>IF((+D58+D63+D68)=0,"     - ",D58+D63+D68)</f>
        <v>125</v>
      </c>
      <c r="E73" s="41">
        <f>IF((+E58+E63+E68)=0,"     - ",E58+E63+E68)</f>
        <v>173</v>
      </c>
      <c r="F73" s="41">
        <f>IF((+F58+F63+F68)=0,"     - ",F58+F63+F68)</f>
        <v>48</v>
      </c>
      <c r="G73" s="41">
        <f>IF((+G58+G63+G68)=0,"     - ",G58+G63+G68)</f>
        <v>125</v>
      </c>
      <c r="H73" s="41" t="str">
        <f>IF((+I73+J73)=0,"     - ",I73+J73)</f>
        <v xml:space="preserve">     - </v>
      </c>
      <c r="I73" s="42" t="s">
        <v>20</v>
      </c>
      <c r="J73" s="42" t="s">
        <v>20</v>
      </c>
      <c r="K73" s="43" t="s">
        <v>50</v>
      </c>
    </row>
    <row r="74" spans="1:11">
      <c r="B74" s="3"/>
      <c r="C74" s="3"/>
      <c r="D74" s="3"/>
      <c r="E74" s="3"/>
      <c r="F74" s="3"/>
      <c r="G74" s="3"/>
      <c r="H74" s="3"/>
      <c r="I74" s="3"/>
      <c r="J74" s="3"/>
    </row>
    <row r="75" spans="1:11">
      <c r="B75" s="3"/>
      <c r="C75" s="3"/>
      <c r="D75" s="3"/>
      <c r="E75" s="3"/>
      <c r="F75" s="3"/>
      <c r="G75" s="3"/>
      <c r="H75" s="3"/>
      <c r="I75" s="3"/>
      <c r="J75" s="3"/>
    </row>
    <row r="76" spans="1:11">
      <c r="B76" s="3"/>
      <c r="C76" s="3"/>
      <c r="D76" s="3"/>
      <c r="E76" s="3"/>
      <c r="F76" s="3"/>
      <c r="G76" s="3"/>
      <c r="H76" s="3"/>
      <c r="I76" s="3"/>
      <c r="J76" s="3"/>
    </row>
    <row r="77" spans="1:11">
      <c r="B77" s="3"/>
      <c r="C77" s="3"/>
      <c r="D77" s="3"/>
      <c r="E77" s="3"/>
      <c r="F77" s="3"/>
      <c r="G77" s="3"/>
      <c r="H77" s="3"/>
      <c r="I77" s="3"/>
      <c r="J77" s="3"/>
    </row>
    <row r="78" spans="1:11">
      <c r="B78" s="3"/>
      <c r="C78" s="3"/>
      <c r="D78" s="3"/>
      <c r="E78" s="3"/>
      <c r="F78" s="3"/>
      <c r="G78" s="3"/>
      <c r="H78" s="3"/>
      <c r="I78" s="3"/>
      <c r="J78" s="3"/>
    </row>
    <row r="79" spans="1:11">
      <c r="B79" s="3"/>
      <c r="C79" s="3"/>
      <c r="D79" s="3"/>
      <c r="E79" s="3"/>
      <c r="F79" s="3"/>
      <c r="G79" s="3"/>
      <c r="H79" s="3"/>
      <c r="I79" s="3"/>
      <c r="J79" s="3"/>
    </row>
    <row r="80" spans="1:11">
      <c r="B80" s="3"/>
      <c r="C80" s="3"/>
      <c r="D80" s="3"/>
      <c r="E80" s="3"/>
      <c r="F80" s="3"/>
      <c r="G80" s="3"/>
      <c r="H80" s="3"/>
      <c r="I80" s="3"/>
      <c r="J80" s="3"/>
    </row>
    <row r="81" spans="2:10">
      <c r="B81" s="3"/>
      <c r="C81" s="3"/>
      <c r="D81" s="3"/>
      <c r="E81" s="3"/>
      <c r="F81" s="3"/>
      <c r="G81" s="3"/>
      <c r="H81" s="3"/>
      <c r="I81" s="3"/>
      <c r="J81" s="3"/>
    </row>
    <row r="82" spans="2:10">
      <c r="B82" s="3"/>
      <c r="C82" s="3"/>
      <c r="D82" s="3"/>
      <c r="E82" s="3"/>
      <c r="F82" s="3"/>
      <c r="G82" s="3"/>
      <c r="H82" s="3"/>
      <c r="I82" s="3"/>
      <c r="J82" s="3"/>
    </row>
    <row r="83" spans="2:10">
      <c r="B83" s="3"/>
      <c r="C83" s="3"/>
      <c r="D83" s="3"/>
      <c r="E83" s="3"/>
      <c r="F83" s="3"/>
      <c r="G83" s="3"/>
      <c r="H83" s="3"/>
      <c r="I83" s="3"/>
      <c r="J83" s="3"/>
    </row>
    <row r="84" spans="2:10">
      <c r="B84" s="3"/>
      <c r="C84" s="3"/>
      <c r="D84" s="3"/>
      <c r="E84" s="3"/>
      <c r="F84" s="3"/>
      <c r="G84" s="3"/>
      <c r="H84" s="3"/>
      <c r="I84" s="3"/>
      <c r="J84" s="3"/>
    </row>
    <row r="85" spans="2:10">
      <c r="B85" s="3"/>
      <c r="C85" s="3"/>
      <c r="D85" s="3"/>
      <c r="E85" s="3"/>
      <c r="F85" s="3"/>
      <c r="G85" s="3"/>
      <c r="H85" s="3"/>
      <c r="I85" s="3"/>
      <c r="J85" s="3"/>
    </row>
    <row r="86" spans="2:10">
      <c r="B86" s="3"/>
      <c r="C86" s="3"/>
      <c r="D86" s="3"/>
      <c r="E86" s="3"/>
      <c r="F86" s="3"/>
      <c r="G86" s="3"/>
      <c r="H86" s="3"/>
      <c r="I86" s="3"/>
      <c r="J86" s="3"/>
    </row>
    <row r="87" spans="2:10">
      <c r="B87" s="3"/>
      <c r="C87" s="3"/>
      <c r="D87" s="3"/>
      <c r="E87" s="3"/>
      <c r="F87" s="3"/>
      <c r="G87" s="3"/>
      <c r="H87" s="3"/>
      <c r="I87" s="3"/>
      <c r="J87" s="3"/>
    </row>
    <row r="88" spans="2:10">
      <c r="B88" s="3"/>
      <c r="C88" s="3"/>
      <c r="D88" s="3"/>
      <c r="E88" s="3"/>
      <c r="F88" s="3"/>
      <c r="G88" s="3"/>
      <c r="H88" s="3"/>
      <c r="I88" s="3"/>
      <c r="J88" s="3"/>
    </row>
    <row r="89" spans="2:10">
      <c r="B89" s="3"/>
      <c r="C89" s="3"/>
      <c r="D89" s="3"/>
      <c r="E89" s="3"/>
      <c r="F89" s="3"/>
      <c r="G89" s="3"/>
      <c r="H89" s="3"/>
      <c r="I89" s="3"/>
      <c r="J89" s="3"/>
    </row>
    <row r="90" spans="2:10">
      <c r="B90" s="3"/>
      <c r="C90" s="3"/>
      <c r="D90" s="3"/>
      <c r="E90" s="3"/>
      <c r="F90" s="3"/>
      <c r="G90" s="3"/>
      <c r="H90" s="3"/>
      <c r="I90" s="3"/>
      <c r="J90" s="3"/>
    </row>
    <row r="91" spans="2:10">
      <c r="B91" s="3"/>
      <c r="C91" s="3"/>
      <c r="D91" s="3"/>
      <c r="E91" s="3"/>
      <c r="F91" s="3"/>
      <c r="G91" s="3"/>
      <c r="H91" s="3"/>
      <c r="I91" s="3"/>
      <c r="J91" s="3"/>
    </row>
    <row r="92" spans="2:10">
      <c r="B92" s="3"/>
      <c r="C92" s="3"/>
      <c r="D92" s="3"/>
      <c r="E92" s="3"/>
      <c r="F92" s="3"/>
      <c r="G92" s="3"/>
      <c r="H92" s="3"/>
      <c r="I92" s="3"/>
      <c r="J92" s="3"/>
    </row>
    <row r="93" spans="2:10">
      <c r="B93" s="3"/>
      <c r="C93" s="3"/>
      <c r="D93" s="3"/>
      <c r="E93" s="3"/>
      <c r="F93" s="3"/>
      <c r="G93" s="3"/>
      <c r="H93" s="3"/>
      <c r="I93" s="3"/>
      <c r="J93" s="3"/>
    </row>
    <row r="94" spans="2:10">
      <c r="B94" s="3"/>
      <c r="C94" s="3"/>
      <c r="D94" s="3"/>
      <c r="E94" s="3"/>
      <c r="F94" s="3"/>
      <c r="G94" s="3"/>
      <c r="H94" s="3"/>
      <c r="I94" s="3"/>
      <c r="J94" s="3"/>
    </row>
    <row r="95" spans="2:10">
      <c r="B95" s="3"/>
      <c r="C95" s="3"/>
      <c r="D95" s="3"/>
      <c r="E95" s="3"/>
      <c r="F95" s="3"/>
      <c r="G95" s="3"/>
      <c r="H95" s="3"/>
      <c r="I95" s="3"/>
      <c r="J95" s="3"/>
    </row>
    <row r="96" spans="2:10">
      <c r="B96" s="3"/>
      <c r="C96" s="3"/>
      <c r="D96" s="3"/>
      <c r="E96" s="3"/>
      <c r="F96" s="3"/>
      <c r="G96" s="3"/>
      <c r="H96" s="3"/>
      <c r="I96" s="3"/>
      <c r="J96" s="3"/>
    </row>
    <row r="97" spans="2:10">
      <c r="B97" s="3"/>
      <c r="C97" s="3"/>
      <c r="D97" s="3"/>
      <c r="E97" s="3"/>
      <c r="F97" s="3"/>
      <c r="G97" s="3"/>
      <c r="H97" s="3"/>
      <c r="I97" s="3"/>
      <c r="J97" s="3"/>
    </row>
    <row r="98" spans="2:10">
      <c r="B98" s="3"/>
      <c r="C98" s="3"/>
      <c r="D98" s="3"/>
      <c r="E98" s="3"/>
      <c r="F98" s="3"/>
      <c r="G98" s="3"/>
      <c r="H98" s="3"/>
      <c r="I98" s="3"/>
      <c r="J98" s="3"/>
    </row>
    <row r="99" spans="2:10">
      <c r="B99" s="3"/>
      <c r="C99" s="3"/>
      <c r="D99" s="3"/>
      <c r="E99" s="3"/>
      <c r="F99" s="3"/>
      <c r="G99" s="3"/>
      <c r="H99" s="3"/>
      <c r="I99" s="3"/>
      <c r="J99" s="3"/>
    </row>
    <row r="100" spans="2:10">
      <c r="B100" s="3"/>
      <c r="C100" s="3"/>
      <c r="D100" s="3"/>
      <c r="E100" s="3"/>
      <c r="F100" s="3"/>
      <c r="G100" s="3"/>
      <c r="H100" s="3"/>
      <c r="I100" s="3"/>
      <c r="J100" s="3"/>
    </row>
    <row r="101" spans="2:10">
      <c r="B101" s="3"/>
      <c r="C101" s="3"/>
      <c r="D101" s="3"/>
      <c r="E101" s="3"/>
      <c r="F101" s="3"/>
      <c r="G101" s="3"/>
      <c r="H101" s="3"/>
      <c r="I101" s="3"/>
      <c r="J101" s="3"/>
    </row>
    <row r="102" spans="2:10">
      <c r="B102" s="3"/>
      <c r="C102" s="3"/>
      <c r="D102" s="3"/>
      <c r="E102" s="3"/>
      <c r="F102" s="3"/>
      <c r="G102" s="3"/>
      <c r="H102" s="3"/>
      <c r="I102" s="3"/>
      <c r="J102" s="3"/>
    </row>
    <row r="103" spans="2:10">
      <c r="B103" s="3"/>
      <c r="C103" s="3"/>
      <c r="D103" s="3"/>
      <c r="E103" s="3"/>
      <c r="F103" s="3"/>
      <c r="G103" s="3"/>
      <c r="H103" s="3"/>
      <c r="I103" s="3"/>
      <c r="J103" s="3"/>
    </row>
    <row r="104" spans="2:10">
      <c r="B104" s="3"/>
      <c r="C104" s="3"/>
      <c r="D104" s="3"/>
      <c r="E104" s="3"/>
      <c r="F104" s="3"/>
      <c r="G104" s="3"/>
      <c r="H104" s="3"/>
      <c r="I104" s="3"/>
      <c r="J104" s="3"/>
    </row>
    <row r="105" spans="2:10">
      <c r="B105" s="3"/>
      <c r="C105" s="3"/>
      <c r="D105" s="3"/>
      <c r="E105" s="3"/>
      <c r="F105" s="3"/>
      <c r="G105" s="3"/>
      <c r="H105" s="3"/>
      <c r="I105" s="3"/>
      <c r="J105" s="3"/>
    </row>
    <row r="106" spans="2:10">
      <c r="B106" s="3"/>
      <c r="C106" s="3"/>
      <c r="D106" s="3"/>
      <c r="E106" s="3"/>
      <c r="F106" s="3"/>
      <c r="G106" s="3"/>
      <c r="H106" s="3"/>
      <c r="I106" s="3"/>
      <c r="J106" s="3"/>
    </row>
    <row r="107" spans="2:10">
      <c r="B107" s="3"/>
      <c r="C107" s="3"/>
      <c r="D107" s="3"/>
      <c r="E107" s="3"/>
      <c r="F107" s="3"/>
      <c r="G107" s="3"/>
      <c r="H107" s="3"/>
      <c r="I107" s="3"/>
      <c r="J107" s="3"/>
    </row>
    <row r="108" spans="2:10">
      <c r="B108" s="3"/>
      <c r="C108" s="3"/>
      <c r="D108" s="3"/>
      <c r="E108" s="3"/>
      <c r="F108" s="3"/>
      <c r="G108" s="3"/>
      <c r="H108" s="3"/>
      <c r="I108" s="3"/>
      <c r="J108" s="3"/>
    </row>
    <row r="109" spans="2:10">
      <c r="B109" s="3"/>
      <c r="C109" s="3"/>
      <c r="D109" s="3"/>
      <c r="E109" s="3"/>
      <c r="F109" s="3"/>
      <c r="G109" s="3"/>
      <c r="H109" s="3"/>
      <c r="I109" s="3"/>
      <c r="J109" s="3"/>
    </row>
    <row r="110" spans="2:10">
      <c r="B110" s="3"/>
      <c r="C110" s="3"/>
      <c r="D110" s="3"/>
      <c r="E110" s="3"/>
      <c r="F110" s="3"/>
      <c r="G110" s="3"/>
      <c r="H110" s="3"/>
      <c r="I110" s="3"/>
      <c r="J110" s="3"/>
    </row>
    <row r="111" spans="2:10">
      <c r="B111" s="3"/>
      <c r="C111" s="3"/>
      <c r="D111" s="3"/>
      <c r="E111" s="3"/>
      <c r="F111" s="3"/>
      <c r="G111" s="3"/>
      <c r="H111" s="3"/>
      <c r="I111" s="3"/>
      <c r="J111" s="3"/>
    </row>
    <row r="112" spans="2:10">
      <c r="B112" s="3"/>
      <c r="C112" s="3"/>
      <c r="D112" s="3"/>
      <c r="E112" s="3"/>
      <c r="F112" s="3"/>
      <c r="G112" s="3"/>
      <c r="H112" s="3"/>
      <c r="I112" s="3"/>
      <c r="J112" s="3"/>
    </row>
    <row r="113" spans="2:10">
      <c r="B113" s="3"/>
      <c r="C113" s="3"/>
      <c r="D113" s="3"/>
      <c r="E113" s="3"/>
      <c r="F113" s="3"/>
      <c r="G113" s="3"/>
      <c r="H113" s="3"/>
      <c r="I113" s="3"/>
      <c r="J113" s="3"/>
    </row>
    <row r="114" spans="2:10">
      <c r="B114" s="3"/>
      <c r="C114" s="3"/>
      <c r="D114" s="3"/>
      <c r="E114" s="3"/>
      <c r="F114" s="3"/>
      <c r="G114" s="3"/>
      <c r="H114" s="3"/>
      <c r="I114" s="3"/>
      <c r="J114" s="3"/>
    </row>
    <row r="115" spans="2:10">
      <c r="B115" s="3"/>
      <c r="C115" s="3"/>
      <c r="D115" s="3"/>
      <c r="E115" s="3"/>
      <c r="F115" s="3"/>
      <c r="G115" s="3"/>
      <c r="H115" s="3"/>
      <c r="I115" s="3"/>
      <c r="J115" s="3"/>
    </row>
    <row r="116" spans="2:10">
      <c r="C116" s="3"/>
      <c r="D116" s="3"/>
      <c r="E116" s="3"/>
      <c r="F116" s="3"/>
      <c r="G116" s="3"/>
      <c r="H116" s="3"/>
      <c r="I116" s="3"/>
      <c r="J116" s="3"/>
    </row>
  </sheetData>
  <phoneticPr fontId="0" type="noConversion"/>
  <pageMargins left="0.27559055118110237" right="7.874015748031496E-2" top="0.19685039370078741" bottom="0.43307086614173229" header="0.51181102362204722" footer="0.35433070866141736"/>
  <pageSetup paperSize="9" scale="85" orientation="landscape" horizontalDpi="180" verticalDpi="4294967292" r:id="rId1"/>
  <headerFooter alignWithMargins="0"/>
  <rowBreaks count="2" manualBreakCount="2">
    <brk id="28" max="16383" man="1"/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สช.อาชีว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Likhit  Lee</dc:creator>
  <cp:lastModifiedBy>Carina Negreanu</cp:lastModifiedBy>
  <cp:lastPrinted>2003-03-19T03:10:30Z</cp:lastPrinted>
  <dcterms:created xsi:type="dcterms:W3CDTF">2020-01-27T11:56:18Z</dcterms:created>
  <dcterms:modified xsi:type="dcterms:W3CDTF">2020-01-27T11:56:19Z</dcterms:modified>
</cp:coreProperties>
</file>