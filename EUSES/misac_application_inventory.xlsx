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mc:Ignorable="x15 xr xr6 xr10">
  <fileVersion appName="xl" lastEdited="7" lowestEdited="7" rupBuild="22026"/>
  <workbookPr/>
  <mc:AlternateContent xmlns:mc="http://schemas.openxmlformats.org/markup-compatibility/2006">
    <mc:Choice Requires="x15">
      <x15ac:absPath xmlns:x15ac="http://schemas.microsoft.com/office/spreadsheetml/2010/11/ac" url="C:\Users\t-caneg\Downloads\ExcelFileFomatUpdater\ExcelFileFomatUpdater\bin\Debug\"/>
    </mc:Choice>
  </mc:AlternateContent>
  <xr:revisionPtr revIDLastSave="0" documentId="8_{27FC2682-68F0-4CD4-A518-2B209E0B881D}" xr6:coauthVersionLast="45" xr6:coauthVersionMax="45" xr10:uidLastSave="{00000000-0000-0000-0000-000000000000}"/>
  <bookViews>
    <workbookView xWindow="3420" yWindow="3420" windowWidth="28800" windowHeight="15460"/>
  </bookViews>
  <sheets>
    <sheet name="Sheet1" sheetId="1" r:id="rId1"/>
    <sheet name="Sheet2" sheetId="2" r:id="rId2"/>
    <sheet name="Sheet3" sheetId="3" r:id="rId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</extLst>
</workbook>
</file>

<file path=xl/calcChain.xml><?xml version="1.0" encoding="utf-8"?>
<calcChain xmlns="http://schemas.openxmlformats.org/spreadsheetml/2006/main">
  <c r="A1" i="1" l="1"/>
  <c r="A49" i="2"/>
</calcChain>
</file>

<file path=xl/sharedStrings.xml><?xml version="1.0" encoding="utf-8"?>
<sst xmlns="http://schemas.openxmlformats.org/spreadsheetml/2006/main" count="762" uniqueCount="477">
  <si>
    <t>City</t>
  </si>
  <si>
    <t>Ventura</t>
  </si>
  <si>
    <t>Workstations</t>
  </si>
  <si>
    <t>Gateways</t>
  </si>
  <si>
    <t>Servers</t>
  </si>
  <si>
    <t>Compaq/DEC/Gateway</t>
  </si>
  <si>
    <t>Printer Standard</t>
  </si>
  <si>
    <t>HP</t>
  </si>
  <si>
    <t>Hardware</t>
  </si>
  <si>
    <t>Operating Systems</t>
  </si>
  <si>
    <t>Workstation</t>
  </si>
  <si>
    <t>Server</t>
  </si>
  <si>
    <t>NT 4.0</t>
  </si>
  <si>
    <t>NT Alpha/Vax</t>
  </si>
  <si>
    <t>Applications</t>
  </si>
  <si>
    <t>Bus License</t>
  </si>
  <si>
    <t>ADMINS (home grown)</t>
  </si>
  <si>
    <t>Building Permits</t>
  </si>
  <si>
    <t>Code Enforcement</t>
  </si>
  <si>
    <t>Police Dispatch</t>
  </si>
  <si>
    <t>West Covina contract</t>
  </si>
  <si>
    <t>Fire</t>
  </si>
  <si>
    <t>Sunpro - West Covina contract</t>
  </si>
  <si>
    <t>Imaging</t>
  </si>
  <si>
    <t>Docutech</t>
  </si>
  <si>
    <t>GIS</t>
  </si>
  <si>
    <t>Arc View/Server</t>
  </si>
  <si>
    <t>Fleet Maint</t>
  </si>
  <si>
    <t>Flett Anywhere</t>
  </si>
  <si>
    <t>Constituent Tracking</t>
  </si>
  <si>
    <t>none</t>
  </si>
  <si>
    <t>Library Automation</t>
  </si>
  <si>
    <t>None</t>
  </si>
  <si>
    <t>Animal License</t>
  </si>
  <si>
    <t>E-mail</t>
  </si>
  <si>
    <t>Rancho Mirage</t>
  </si>
  <si>
    <t>HP &amp; Dell - Keep</t>
  </si>
  <si>
    <t>HP - Keep</t>
  </si>
  <si>
    <t>Win 98</t>
  </si>
  <si>
    <t>NT4.0</t>
  </si>
  <si>
    <t>Finance</t>
  </si>
  <si>
    <t>Pentamation</t>
  </si>
  <si>
    <t>Sierra</t>
  </si>
  <si>
    <t>Pentamation - keep</t>
  </si>
  <si>
    <t>Office</t>
  </si>
  <si>
    <t>Office 2000</t>
  </si>
  <si>
    <t>Woodland</t>
  </si>
  <si>
    <t>HP Vectra, Gateway Solo Laptop</t>
  </si>
  <si>
    <t>HP Netserver HP9000</t>
  </si>
  <si>
    <t>HP Laserjet, Inkjet</t>
  </si>
  <si>
    <t>95 (40%) NT (60%)</t>
  </si>
  <si>
    <t>Novell, NT, HP-UX</t>
  </si>
  <si>
    <t>Recware</t>
  </si>
  <si>
    <t>Helpdesk</t>
  </si>
  <si>
    <t>Helpstar</t>
  </si>
  <si>
    <t>ccmail</t>
  </si>
  <si>
    <t>outlook/exchange</t>
  </si>
  <si>
    <t>Chula Vista</t>
  </si>
  <si>
    <t>clone</t>
  </si>
  <si>
    <t>Clone,Unisys, HP</t>
  </si>
  <si>
    <t>IFAS - Keep</t>
  </si>
  <si>
    <t>Lifeline CAD</t>
  </si>
  <si>
    <t xml:space="preserve">Laserfiche  </t>
  </si>
  <si>
    <t>Faster</t>
  </si>
  <si>
    <t>In-house</t>
  </si>
  <si>
    <t>Utility Billing</t>
  </si>
  <si>
    <t>Work Order</t>
  </si>
  <si>
    <t>Stantec</t>
  </si>
  <si>
    <t>Parking Citations</t>
  </si>
  <si>
    <t>Petaluma</t>
  </si>
  <si>
    <t>clone, HP Vectora, Compaq</t>
  </si>
  <si>
    <t>HP Netserver, Clone</t>
  </si>
  <si>
    <t>NT 4.0 (mainly)</t>
  </si>
  <si>
    <t>NT, HP/MPE</t>
  </si>
  <si>
    <t>Replace</t>
  </si>
  <si>
    <t>CUPA (MS Access), Firehouse (Foxpro)</t>
  </si>
  <si>
    <t>ESRI- ArcInfo, ArcView Autocad Map</t>
  </si>
  <si>
    <t>Fleet SW</t>
  </si>
  <si>
    <t>Cobol going to Access</t>
  </si>
  <si>
    <t>PetWhere</t>
  </si>
  <si>
    <t>Springbrook</t>
  </si>
  <si>
    <t>Rohnert Park</t>
  </si>
  <si>
    <t>95/98/NT</t>
  </si>
  <si>
    <t>Dell Optiplex GN/GX</t>
  </si>
  <si>
    <t>HP3000 AS/400</t>
  </si>
  <si>
    <t>THE - Shared Petaluma</t>
  </si>
  <si>
    <t>Office 97/Outlook98</t>
  </si>
  <si>
    <t>Insurance Certificates</t>
  </si>
  <si>
    <t xml:space="preserve">Parcel </t>
  </si>
  <si>
    <t>PC based</t>
  </si>
  <si>
    <t>Cash Register</t>
  </si>
  <si>
    <t>Quadrant</t>
  </si>
  <si>
    <t>Hawthorne</t>
  </si>
  <si>
    <t>Gateway GP7</t>
  </si>
  <si>
    <t>Varied</t>
  </si>
  <si>
    <t>95/98</t>
  </si>
  <si>
    <t>NT/Unix/OpenVMS</t>
  </si>
  <si>
    <t>Eden Systems</t>
  </si>
  <si>
    <t>Progressive Systems (going in)</t>
  </si>
  <si>
    <t>Eden Systems (going in)</t>
  </si>
  <si>
    <t>Tiburon</t>
  </si>
  <si>
    <t>FileMagic</t>
  </si>
  <si>
    <t>Cascade Systems</t>
  </si>
  <si>
    <t>Progressive Systems</t>
  </si>
  <si>
    <t>Glendale</t>
  </si>
  <si>
    <t>Dells, Clones</t>
  </si>
  <si>
    <t>Sun, Dec Alpha, Dell</t>
  </si>
  <si>
    <t>HP, Epson</t>
  </si>
  <si>
    <t>95/98 some NT</t>
  </si>
  <si>
    <t>NT/Unix/-Solaris/Novel</t>
  </si>
  <si>
    <t>Kiva being installed</t>
  </si>
  <si>
    <t>Tiburon/Printrak</t>
  </si>
  <si>
    <t>ESRI - keep</t>
  </si>
  <si>
    <t>Fleet Command keep, Maintstem - keep</t>
  </si>
  <si>
    <t>In-house - keep</t>
  </si>
  <si>
    <t>In-house access - keep</t>
  </si>
  <si>
    <t>Harris - keep</t>
  </si>
  <si>
    <t>Personel</t>
  </si>
  <si>
    <t>Peoplesoft</t>
  </si>
  <si>
    <t>Danville</t>
  </si>
  <si>
    <t>HP Vectra VLi8, VL400</t>
  </si>
  <si>
    <t>HP Netservers LH3, LC3</t>
  </si>
  <si>
    <t>NT</t>
  </si>
  <si>
    <t xml:space="preserve">Sierra    </t>
  </si>
  <si>
    <t>Laserfiche</t>
  </si>
  <si>
    <t>Geomedia 4.0</t>
  </si>
  <si>
    <t>MP2 5.0</t>
  </si>
  <si>
    <t>Rectrac - Vermont Sys</t>
  </si>
  <si>
    <t>Track it - Blue Ocean</t>
  </si>
  <si>
    <t>Santa Clarita</t>
  </si>
  <si>
    <t>Compaq Ep Series</t>
  </si>
  <si>
    <t>Compaq Proliant, ML370</t>
  </si>
  <si>
    <t>Novell 5.1</t>
  </si>
  <si>
    <t xml:space="preserve">Pentamation   </t>
  </si>
  <si>
    <t>(lA County)</t>
  </si>
  <si>
    <t>Tidemark</t>
  </si>
  <si>
    <t>LA County</t>
  </si>
  <si>
    <t>Liberty</t>
  </si>
  <si>
    <t>ESRI</t>
  </si>
  <si>
    <t>ExtraFleet</t>
  </si>
  <si>
    <t>Groupwise5.5</t>
  </si>
  <si>
    <t>Sierra Digital Safari</t>
  </si>
  <si>
    <t>Data Warehouse</t>
  </si>
  <si>
    <t>SQL 7</t>
  </si>
  <si>
    <t>Webserver</t>
  </si>
  <si>
    <t>NT/IIS/ Site Server</t>
  </si>
  <si>
    <t>3rd Party Credit</t>
  </si>
  <si>
    <t>Cybercash</t>
  </si>
  <si>
    <t>Redondo Beach</t>
  </si>
  <si>
    <t>clone/Dell</t>
  </si>
  <si>
    <t>HP/Dell/clone</t>
  </si>
  <si>
    <t>HP, Epson, Printronix</t>
  </si>
  <si>
    <t>Novell 5.1,4.11,HP-ux, Linux(Redhat)</t>
  </si>
  <si>
    <t>CMSI - In house</t>
  </si>
  <si>
    <t>In house</t>
  </si>
  <si>
    <t>Hitech Systems</t>
  </si>
  <si>
    <t>Lasefiche</t>
  </si>
  <si>
    <t>ESRI / Bentley</t>
  </si>
  <si>
    <t>Dynix</t>
  </si>
  <si>
    <t xml:space="preserve">Groupwise </t>
  </si>
  <si>
    <t>Monrovia</t>
  </si>
  <si>
    <t>HP / Xerox</t>
  </si>
  <si>
    <t>95/98/2000</t>
  </si>
  <si>
    <t>Exchange 5.5</t>
  </si>
  <si>
    <t>Office 97/2000</t>
  </si>
  <si>
    <t>SFG - keep</t>
  </si>
  <si>
    <t>Spillman</t>
  </si>
  <si>
    <t>Sunpro RMS</t>
  </si>
  <si>
    <t>CFA</t>
  </si>
  <si>
    <t>SFG</t>
  </si>
  <si>
    <t>Tidemark?</t>
  </si>
  <si>
    <t>IIS</t>
  </si>
  <si>
    <t>Mission Viejo</t>
  </si>
  <si>
    <t xml:space="preserve">Dell Optiplex </t>
  </si>
  <si>
    <t>Nt Compaq, HP9000 Unix</t>
  </si>
  <si>
    <t>IBM Netfinities, RS/6000</t>
  </si>
  <si>
    <t>Novell, nT, HP-UX, Sun Solaris</t>
  </si>
  <si>
    <t>Bi-Tech IFAS</t>
  </si>
  <si>
    <t>Datamax Visiflow</t>
  </si>
  <si>
    <t>DMP's City GIS</t>
  </si>
  <si>
    <t>HLP Chameleion</t>
  </si>
  <si>
    <t>MS Office</t>
  </si>
  <si>
    <t>Groupwise</t>
  </si>
  <si>
    <t>Checkpoint</t>
  </si>
  <si>
    <t>Firewall</t>
  </si>
  <si>
    <t>PC Guardian</t>
  </si>
  <si>
    <t>Class</t>
  </si>
  <si>
    <t>Anti virus</t>
  </si>
  <si>
    <t>CA InnocuLan</t>
  </si>
  <si>
    <t>McAfee</t>
  </si>
  <si>
    <t>Fremont</t>
  </si>
  <si>
    <t xml:space="preserve">Toshiba, Bell, </t>
  </si>
  <si>
    <t>dell</t>
  </si>
  <si>
    <t>CAD- PRC, RMS-Tiburon</t>
  </si>
  <si>
    <t>Cimage DMS by Access Systems</t>
  </si>
  <si>
    <t>Coati</t>
  </si>
  <si>
    <t>Clone</t>
  </si>
  <si>
    <t xml:space="preserve">Clone  </t>
  </si>
  <si>
    <t>MOM</t>
  </si>
  <si>
    <t>Cypress</t>
  </si>
  <si>
    <t>clones</t>
  </si>
  <si>
    <t>compaq</t>
  </si>
  <si>
    <t>NT(apps), Novel</t>
  </si>
  <si>
    <t>legacy</t>
  </si>
  <si>
    <t>West Covina Dispatch</t>
  </si>
  <si>
    <t>Alhambra</t>
  </si>
  <si>
    <t>Clone PII 400</t>
  </si>
  <si>
    <t>Clone PIII 450</t>
  </si>
  <si>
    <t>TRW data lookup</t>
  </si>
  <si>
    <t>Decision Management (city clerk)</t>
  </si>
  <si>
    <t>ESRI, Oracle, Kiva, MapInfo</t>
  </si>
  <si>
    <t>Bakersfield</t>
  </si>
  <si>
    <t>IBM</t>
  </si>
  <si>
    <t>IBM Netfinity</t>
  </si>
  <si>
    <t>Lexmark</t>
  </si>
  <si>
    <t>95,2000,NT</t>
  </si>
  <si>
    <t>Novell, NT, Linux</t>
  </si>
  <si>
    <t>HTE - keep</t>
  </si>
  <si>
    <t>Fax Server</t>
  </si>
  <si>
    <t>IVR</t>
  </si>
  <si>
    <t>Selectron</t>
  </si>
  <si>
    <t>IBM Netvista - Clones</t>
  </si>
  <si>
    <t>Y</t>
  </si>
  <si>
    <t xml:space="preserve">In-house </t>
  </si>
  <si>
    <t>n</t>
  </si>
  <si>
    <t xml:space="preserve">Profound/IPMA </t>
  </si>
  <si>
    <t xml:space="preserve">InfoComp </t>
  </si>
  <si>
    <t xml:space="preserve">Pentamation </t>
  </si>
  <si>
    <t xml:space="preserve">Peoplesoft </t>
  </si>
  <si>
    <t xml:space="preserve">Fund Balance </t>
  </si>
  <si>
    <t>N</t>
  </si>
  <si>
    <t xml:space="preserve">HTE </t>
  </si>
  <si>
    <t xml:space="preserve">HDL </t>
  </si>
  <si>
    <t xml:space="preserve">MOM </t>
  </si>
  <si>
    <t xml:space="preserve">Tidemark </t>
  </si>
  <si>
    <t xml:space="preserve">IMMIS </t>
  </si>
  <si>
    <t xml:space="preserve">Sierra </t>
  </si>
  <si>
    <t xml:space="preserve">Sierra Permits Plus </t>
  </si>
  <si>
    <t xml:space="preserve">Kiva </t>
  </si>
  <si>
    <t xml:space="preserve">Tidemark  </t>
  </si>
  <si>
    <t xml:space="preserve">PRC on Digital </t>
  </si>
  <si>
    <t>N,Y</t>
  </si>
  <si>
    <t xml:space="preserve">Cad-Tiburon  RMS Tiburon </t>
  </si>
  <si>
    <t>RMS-HTE -</t>
  </si>
  <si>
    <t>PRC  CAD  install Vision RMS</t>
  </si>
  <si>
    <t xml:space="preserve">PRC CAD, Sunpro RMS </t>
  </si>
  <si>
    <t xml:space="preserve">Laserfiche </t>
  </si>
  <si>
    <t xml:space="preserve">Mars </t>
  </si>
  <si>
    <t xml:space="preserve">ESRI </t>
  </si>
  <si>
    <t>y</t>
  </si>
  <si>
    <t xml:space="preserve">Fleet 2000 </t>
  </si>
  <si>
    <t xml:space="preserve">CCG-Faster </t>
  </si>
  <si>
    <t xml:space="preserve">Transman </t>
  </si>
  <si>
    <t xml:space="preserve">Dynix </t>
  </si>
  <si>
    <t xml:space="preserve">GEAC </t>
  </si>
  <si>
    <t xml:space="preserve">Millenium </t>
  </si>
  <si>
    <t xml:space="preserve">Applix </t>
  </si>
  <si>
    <t>Infocomp</t>
  </si>
  <si>
    <t>Universal DB2, Oracle, Sybase</t>
  </si>
  <si>
    <t>N,N,Y</t>
  </si>
  <si>
    <t xml:space="preserve">Corel </t>
  </si>
  <si>
    <t xml:space="preserve">Cad Intergraph,  RMS HTE </t>
  </si>
  <si>
    <t>Sunpro  RMS</t>
  </si>
  <si>
    <t xml:space="preserve">Data Research Associates </t>
  </si>
  <si>
    <t>Sparta System Trackwise</t>
  </si>
  <si>
    <t>MISAC Member Application Inventory</t>
  </si>
  <si>
    <t>Mountain View</t>
  </si>
  <si>
    <t>HP Vectra</t>
  </si>
  <si>
    <t>HP Lsi</t>
  </si>
  <si>
    <t>95/98 Some NT</t>
  </si>
  <si>
    <t>BiTech IFAS</t>
  </si>
  <si>
    <t>In-House (Sunnyvale)</t>
  </si>
  <si>
    <t>2-3Year</t>
  </si>
  <si>
    <t>CAD - PRC RMS-Tiburon</t>
  </si>
  <si>
    <t>2-3years</t>
  </si>
  <si>
    <t>Excalibur Docs, BMI Addresses</t>
  </si>
  <si>
    <t>ESRI - Autoview</t>
  </si>
  <si>
    <t>Innovative Interfaces</t>
  </si>
  <si>
    <t>Recreation</t>
  </si>
  <si>
    <t>Look at Hansen</t>
  </si>
  <si>
    <t>BiTech</t>
  </si>
  <si>
    <t>Pix &amp; Fenceline</t>
  </si>
  <si>
    <t>Rightfax</t>
  </si>
  <si>
    <t>AVT</t>
  </si>
  <si>
    <t xml:space="preserve">Rightfax </t>
  </si>
  <si>
    <t>Davis</t>
  </si>
  <si>
    <t>Dell Powedge</t>
  </si>
  <si>
    <t>Dell Optiplex</t>
  </si>
  <si>
    <t>HP 4M</t>
  </si>
  <si>
    <t>Novell, NT</t>
  </si>
  <si>
    <t>?</t>
  </si>
  <si>
    <t>THE</t>
  </si>
  <si>
    <t>CAD-PRC, RMS Vision</t>
  </si>
  <si>
    <t>Sunpro</t>
  </si>
  <si>
    <t>Questsys</t>
  </si>
  <si>
    <t>ESRI Arcview</t>
  </si>
  <si>
    <t>HTE</t>
  </si>
  <si>
    <t>Santa Barbara</t>
  </si>
  <si>
    <t>160 Dell Optiplexes</t>
  </si>
  <si>
    <t>11 Dell PowerEdge 1 Hp Netserver</t>
  </si>
  <si>
    <t>98, NT (2000 in Spring)</t>
  </si>
  <si>
    <t>NT (2000) in Spring</t>
  </si>
  <si>
    <t>Eden (be careful)</t>
  </si>
  <si>
    <t>CCS</t>
  </si>
  <si>
    <t>Out to Bid</t>
  </si>
  <si>
    <t>Arcview</t>
  </si>
  <si>
    <t>In House</t>
  </si>
  <si>
    <t>ISP</t>
  </si>
  <si>
    <t>Cox Communications - fiber</t>
  </si>
  <si>
    <t>98,NT,2000</t>
  </si>
  <si>
    <t>NT,2000, DG Unix</t>
  </si>
  <si>
    <t>INNOVATIVE</t>
  </si>
  <si>
    <t>Cox Commuications</t>
  </si>
  <si>
    <t>GTE - DSL (768/768)</t>
  </si>
  <si>
    <t>Netware/NT</t>
  </si>
  <si>
    <t>Database</t>
  </si>
  <si>
    <t>Oracle</t>
  </si>
  <si>
    <t>Police Training</t>
  </si>
  <si>
    <t>TMS</t>
  </si>
  <si>
    <t>Police Evidence</t>
  </si>
  <si>
    <t>NA</t>
  </si>
  <si>
    <t>Looking at Valley Oaks</t>
  </si>
  <si>
    <r>
      <t xml:space="preserve">Win 95/98/NY/2K </t>
    </r>
    <r>
      <rPr>
        <sz val="8"/>
        <rFont val="Arial"/>
        <family val="2"/>
      </rPr>
      <t>Switching to 2K for all new/replacement PC</t>
    </r>
  </si>
  <si>
    <r>
      <t xml:space="preserve">HP - MPE </t>
    </r>
    <r>
      <rPr>
        <sz val="8"/>
        <rFont val="Arial"/>
        <family val="2"/>
      </rPr>
      <t>Switching to ASP service, NT or 2K middle ware server</t>
    </r>
  </si>
  <si>
    <t>Infocomp MPE</t>
  </si>
  <si>
    <t>Tidemark + In house</t>
  </si>
  <si>
    <t>Quetal</t>
  </si>
  <si>
    <t>Staffing: Telestaff</t>
  </si>
  <si>
    <t>ESRI - Arcinfo, Arcview</t>
  </si>
  <si>
    <t>GIS Web Service</t>
  </si>
  <si>
    <t>Autodesk mapguide</t>
  </si>
  <si>
    <t>County</t>
  </si>
  <si>
    <t>InfoComp -&gt; Chameleon</t>
  </si>
  <si>
    <t>Cimage application for Red Light camera citations</t>
  </si>
  <si>
    <t>in GIS</t>
  </si>
  <si>
    <t>Info Comp - MPE</t>
  </si>
  <si>
    <t>Alameda County Educ</t>
  </si>
  <si>
    <t>Bank of America</t>
  </si>
  <si>
    <t>Cheyene/Castelle</t>
  </si>
  <si>
    <t>Class - not in operation</t>
  </si>
  <si>
    <t>Enron Monitoring</t>
  </si>
  <si>
    <t>Web Development</t>
  </si>
  <si>
    <t>Team Fusion - net objects</t>
  </si>
  <si>
    <t>Fontana</t>
  </si>
  <si>
    <t>Compaq</t>
  </si>
  <si>
    <t>Compaq,HP, DEC</t>
  </si>
  <si>
    <t>HP Laserjet</t>
  </si>
  <si>
    <t>Novell, NT, SCO-UNIX,OpenVMS</t>
  </si>
  <si>
    <t>SQL</t>
  </si>
  <si>
    <t>Exchange</t>
  </si>
  <si>
    <t>Office 97/Outlook 98</t>
  </si>
  <si>
    <t>Pentamation Encompass</t>
  </si>
  <si>
    <t>Tiburon Phoenix</t>
  </si>
  <si>
    <t>Laserfiche and Minolta</t>
  </si>
  <si>
    <t>Track-it</t>
  </si>
  <si>
    <t>Digital Island</t>
  </si>
  <si>
    <t>Cisco Pix</t>
  </si>
  <si>
    <t>Mcafee</t>
  </si>
  <si>
    <t>Rohnert Park currently is using the following:</t>
  </si>
  <si>
    <t>HP/3000-937 running MPEi/X 6.0 (for our Infocomp financial system including</t>
  </si>
  <si>
    <t>the following:)</t>
  </si>
  <si>
    <t>Budget</t>
  </si>
  <si>
    <t>Payroll</t>
  </si>
  <si>
    <t>General Ledger</t>
  </si>
  <si>
    <t>Accounts Payable</t>
  </si>
  <si>
    <t>Accounts Receivable</t>
  </si>
  <si>
    <t>Purchase Orders/Requisitions</t>
  </si>
  <si>
    <t>Stores/Inventory (no longer used due to internet ordering / next day</t>
  </si>
  <si>
    <t>delivery)</t>
  </si>
  <si>
    <t>Business License</t>
  </si>
  <si>
    <t>Building Permits (no longer used due to better PC-based systems PT-WIN)</t>
  </si>
  <si>
    <t>Utility Billing (water, sewer, garbage)</t>
  </si>
  <si>
    <t>Fixed Assets</t>
  </si>
  <si>
    <t>HP/3000-927 running MPEi/X 5.5 (for an obsolete Police Records Management</t>
  </si>
  <si>
    <t>System - VT-POSSE)</t>
  </si>
  <si>
    <t>IBM AS/400-720e running OS400 R4V4  (for HTE CRIMES - Rohnert Park &amp;</t>
  </si>
  <si>
    <t>Petaluma)</t>
  </si>
  <si>
    <t>Windows NT 4.0 network with 10 servers and 200 clients</t>
  </si>
  <si>
    <t>Cisco switches (we are having stability problems with the Cisco products)</t>
  </si>
  <si>
    <t>2 Domains - Police and Non-Police</t>
  </si>
  <si>
    <t>2 MS-Exchanges - Police and Non-Police</t>
  </si>
  <si>
    <t>Clients are a mix of Windows 95, Windows 98, Windows NT Workstation, Windows</t>
  </si>
  <si>
    <t>Applications include:</t>
  </si>
  <si>
    <t>McAfee Anti-Virus (Total Defense)</t>
  </si>
  <si>
    <t>MS-Office 97 Pro, MS-Office 2000</t>
  </si>
  <si>
    <t>MS-Outlook 98, MS-Outlook 2000</t>
  </si>
  <si>
    <t>MS-SMS 2.0</t>
  </si>
  <si>
    <t>WRQ Reflection (terminal emulator)</t>
  </si>
  <si>
    <t>Minisoft MS-92 (terminal emulator)</t>
  </si>
  <si>
    <t>IBM Client Access (terminal emulator)</t>
  </si>
  <si>
    <t xml:space="preserve">Visio </t>
  </si>
  <si>
    <t>Internet Information Server</t>
  </si>
  <si>
    <t>SQL database</t>
  </si>
  <si>
    <t>Cash Register is Receipt Accounting System (RAS) from Quandrant Systems Inc.</t>
  </si>
  <si>
    <t>Recreation uses CLASS</t>
  </si>
  <si>
    <t>Building Permits uses Permit Tracking for Windows - known as PT-WIN</t>
  </si>
  <si>
    <t>Performing Arts uses Select Ticketing</t>
  </si>
  <si>
    <t>Fire uses SunPro / FireHouse</t>
  </si>
  <si>
    <t>Animal Shelter uses the software from the Humane Society</t>
  </si>
  <si>
    <t>We lease Dell computers, servers, and notebooks (3-year rolling leases)</t>
  </si>
  <si>
    <t>Dell-Direct is best for this</t>
  </si>
  <si>
    <t>We use the Select 4.0/5.0 State Contract for licensing software (40%+</t>
  </si>
  <si>
    <t>discounts)</t>
  </si>
  <si>
    <t>We lease T1 lines to connect our facilities and run both voice and data over</t>
  </si>
  <si>
    <t>them. State rates are $86/end/month.</t>
  </si>
  <si>
    <t>Our website is at www.ci.rohnert-park.ca.us</t>
  </si>
  <si>
    <t>Personnel:</t>
  </si>
  <si>
    <t>FTE 2, 1 filled, 1 vacant</t>
  </si>
  <si>
    <t>We allow people from all departments to do about anything they want in the</t>
  </si>
  <si>
    <t>support / enhancement effort</t>
  </si>
  <si>
    <t>We outsource network support to ExtraTeam in Sacramento.</t>
  </si>
  <si>
    <t>I currently have a budget of $500,000 - $600,000.</t>
  </si>
  <si>
    <t>I arranged for on-going employee training at a local training facility so</t>
  </si>
  <si>
    <t>our people can take approved class whenever needed.</t>
  </si>
  <si>
    <t>Thanks,</t>
  </si>
  <si>
    <t>James Grundman</t>
  </si>
  <si>
    <t>Information Systems Manager</t>
  </si>
  <si>
    <t>City of Rohnert Park</t>
  </si>
  <si>
    <t>6800 Hunter Drive, Suite B</t>
  </si>
  <si>
    <t>Rohnert Park, CA 94928</t>
  </si>
  <si>
    <t>707-585-6760 Office</t>
  </si>
  <si>
    <t>707-291-4353 Cell</t>
  </si>
  <si>
    <t>jgrundman@rpcity.org</t>
  </si>
  <si>
    <t>HP Kayaks  (400+)</t>
  </si>
  <si>
    <t>HP Netservers  (11)</t>
  </si>
  <si>
    <t>HP (85+)</t>
  </si>
  <si>
    <t>NT 4.0, SP4</t>
  </si>
  <si>
    <t>Novell 4.11, NT, HPUX 11, MPEiX 5.5</t>
  </si>
  <si>
    <t>GroupWise 5.5</t>
  </si>
  <si>
    <t>Corel2000/MSO2000</t>
  </si>
  <si>
    <t>SAP conversion</t>
  </si>
  <si>
    <t xml:space="preserve">SAP </t>
  </si>
  <si>
    <t>Permits (Aceela)</t>
  </si>
  <si>
    <t>Permits (Accela)</t>
  </si>
  <si>
    <t>Spillman Data Systems</t>
  </si>
  <si>
    <t>Ventura County FD</t>
  </si>
  <si>
    <t>Laserfiche (Police records)</t>
  </si>
  <si>
    <t>ESRI, Oracle</t>
  </si>
  <si>
    <t>Ventura County</t>
  </si>
  <si>
    <t>HEAT</t>
  </si>
  <si>
    <t>SAP/ICCS</t>
  </si>
  <si>
    <t>SAP</t>
  </si>
  <si>
    <t>ARCInfo &amp; Accela</t>
  </si>
  <si>
    <t>VCNet (host)</t>
  </si>
  <si>
    <t>PacBell/T1</t>
  </si>
  <si>
    <t>Novell BorderMgr</t>
  </si>
  <si>
    <t>Trend Micro</t>
  </si>
  <si>
    <t>RightFax</t>
  </si>
  <si>
    <t>Simi Valley</t>
  </si>
  <si>
    <t>Visalia</t>
  </si>
  <si>
    <t>Micron</t>
  </si>
  <si>
    <t>HP Netserver/9 000/3000</t>
  </si>
  <si>
    <t>HP/Tektronix</t>
  </si>
  <si>
    <t>98, NT</t>
  </si>
  <si>
    <t>NT, HP-UX, HP/MPE</t>
  </si>
  <si>
    <t>CCS/HCS</t>
  </si>
  <si>
    <t>Accela</t>
  </si>
  <si>
    <t>PSSI</t>
  </si>
  <si>
    <t>FleetAnywhere</t>
  </si>
  <si>
    <t>Bridgetrak</t>
  </si>
  <si>
    <t>PBI</t>
  </si>
  <si>
    <t>Cisco PIX</t>
  </si>
  <si>
    <t>Zetafax</t>
  </si>
  <si>
    <t>M</t>
  </si>
  <si>
    <t xml:space="preserve">Work Order </t>
  </si>
  <si>
    <t>Parcel</t>
  </si>
  <si>
    <t>Anit virus</t>
  </si>
  <si>
    <t>Anaheim</t>
  </si>
  <si>
    <t>AMS</t>
  </si>
  <si>
    <t>Heat</t>
  </si>
  <si>
    <t>H.T.E.</t>
  </si>
  <si>
    <t>Genesys</t>
  </si>
  <si>
    <t>Pac Bell</t>
  </si>
  <si>
    <t>Checkpoint/Nokia</t>
  </si>
  <si>
    <t>NT, Novel</t>
  </si>
  <si>
    <t>NT, 2000</t>
  </si>
  <si>
    <t>Faster-CS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</si>
</sst>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3" x14ac:knownFonts="1">
    <font>
      <sz val="10"/>
      <name val="Arial"/>
    </font>
    <font>
      <sz val="14"/>
      <name val="Arial"/>
      <family val="2"/>
    </font>
    <font>
      <sz val="8"/>
      <name val="Arial"/>
      <family val="2"/>
    </font>
  </fonts>
  <fills count="2">
    <fill>
      <patternFill patternType="none"/>
    </fill>
    <fill>
      <patternFill patternType="gray125"/>
    </fill>
  </fills>
  <borders count="22">
    <border>
      <left/>
      <right/>
      <top/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/>
      <diagonal/>
    </border>
    <border>
      <left/>
      <right style="thin">
        <color indexed="64"/>
      </right>
      <top/>
      <bottom style="medium">
        <color indexed="64"/>
      </bottom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/>
      <diagonal/>
    </border>
    <border>
      <left style="thin">
        <color indexed="64"/>
      </left>
      <right/>
      <top/>
      <bottom/>
      <diagonal/>
    </border>
    <border>
      <left style="medium">
        <color indexed="64"/>
      </left>
      <right style="medium">
        <color indexed="64"/>
      </right>
      <top/>
      <bottom/>
      <diagonal/>
    </border>
    <border>
      <left style="medium">
        <color indexed="64"/>
      </left>
      <right/>
      <top style="thick">
        <color indexed="64"/>
      </top>
      <bottom/>
      <diagonal/>
    </border>
    <border>
      <left/>
      <right style="medium">
        <color indexed="64"/>
      </right>
      <top style="thick">
        <color indexed="64"/>
      </top>
      <bottom/>
      <diagonal/>
    </border>
    <border>
      <left style="medium">
        <color indexed="64"/>
      </left>
      <right/>
      <top/>
      <bottom style="thick">
        <color indexed="64"/>
      </bottom>
      <diagonal/>
    </border>
    <border>
      <left/>
      <right style="medium">
        <color indexed="64"/>
      </right>
      <top/>
      <bottom style="thick">
        <color indexed="64"/>
      </bottom>
      <diagonal/>
    </border>
  </borders>
  <cellStyleXfs count="1">
    <xf numFmtId="0" fontId="0" fillId="0" borderId="0"/>
  </cellStyleXfs>
  <cellXfs count="35">
    <xf numFmtId="0" fontId="0" fillId="0" borderId="0" xfId="0"/>
    <xf numFmtId="0" fontId="1" fillId="0" borderId="0" xfId="0" applyFont="1"/>
    <xf numFmtId="0" fontId="2" fillId="0" borderId="0" xfId="0" applyFont="1"/>
    <xf numFmtId="0" fontId="2" fillId="0" borderId="0" xfId="0" applyFont="1" applyBorder="1"/>
    <xf numFmtId="0" fontId="2" fillId="0" borderId="1" xfId="0" applyFont="1" applyBorder="1"/>
    <xf numFmtId="0" fontId="2" fillId="0" borderId="2" xfId="0" applyFont="1" applyBorder="1"/>
    <xf numFmtId="0" fontId="2" fillId="0" borderId="3" xfId="0" applyFont="1" applyBorder="1"/>
    <xf numFmtId="0" fontId="2" fillId="0" borderId="4" xfId="0" applyFont="1" applyBorder="1"/>
    <xf numFmtId="0" fontId="2" fillId="0" borderId="5" xfId="0" applyFont="1" applyBorder="1"/>
    <xf numFmtId="0" fontId="2" fillId="0" borderId="6" xfId="0" applyFont="1" applyBorder="1"/>
    <xf numFmtId="0" fontId="2" fillId="0" borderId="7" xfId="0" applyFont="1" applyBorder="1"/>
    <xf numFmtId="0" fontId="2" fillId="0" borderId="8" xfId="0" applyFont="1" applyBorder="1"/>
    <xf numFmtId="0" fontId="2" fillId="0" borderId="9" xfId="0" applyFont="1" applyBorder="1"/>
    <xf numFmtId="0" fontId="2" fillId="0" borderId="10" xfId="0" applyFont="1" applyBorder="1"/>
    <xf numFmtId="0" fontId="2" fillId="0" borderId="11" xfId="0" applyFont="1" applyBorder="1"/>
    <xf numFmtId="0" fontId="2" fillId="0" borderId="12" xfId="0" applyFont="1" applyBorder="1"/>
    <xf numFmtId="0" fontId="2" fillId="0" borderId="13" xfId="0" applyFont="1" applyBorder="1"/>
    <xf numFmtId="0" fontId="2" fillId="0" borderId="14" xfId="0" applyFont="1" applyBorder="1"/>
    <xf numFmtId="0" fontId="2" fillId="0" borderId="15" xfId="0" applyFont="1" applyBorder="1"/>
    <xf numFmtId="0" fontId="2" fillId="0" borderId="16" xfId="0" applyFont="1" applyBorder="1"/>
    <xf numFmtId="0" fontId="2" fillId="0" borderId="17" xfId="0" applyFont="1" applyBorder="1"/>
    <xf numFmtId="14" fontId="2" fillId="0" borderId="0" xfId="0" applyNumberFormat="1" applyFont="1" applyAlignment="1">
      <alignment horizontal="left"/>
    </xf>
    <xf numFmtId="49" fontId="2" fillId="0" borderId="4" xfId="0" applyNumberFormat="1" applyFont="1" applyBorder="1"/>
    <xf numFmtId="49" fontId="2" fillId="0" borderId="6" xfId="0" applyNumberFormat="1" applyFont="1" applyBorder="1"/>
    <xf numFmtId="0" fontId="0" fillId="0" borderId="0" xfId="0" applyBorder="1"/>
    <xf numFmtId="0" fontId="0" fillId="0" borderId="4" xfId="0" applyBorder="1"/>
    <xf numFmtId="0" fontId="0" fillId="0" borderId="5" xfId="0" applyBorder="1"/>
    <xf numFmtId="0" fontId="2" fillId="0" borderId="18" xfId="0" applyFont="1" applyBorder="1"/>
    <xf numFmtId="0" fontId="2" fillId="0" borderId="19" xfId="0" applyFont="1" applyBorder="1"/>
    <xf numFmtId="0" fontId="2" fillId="0" borderId="20" xfId="0" applyFont="1" applyBorder="1"/>
    <xf numFmtId="0" fontId="2" fillId="0" borderId="21" xfId="0" applyFont="1" applyBorder="1"/>
    <xf numFmtId="0" fontId="2" fillId="0" borderId="0" xfId="0" applyFont="1" applyFill="1" applyBorder="1"/>
    <xf numFmtId="0" fontId="0" fillId="0" borderId="4" xfId="0" applyFill="1" applyBorder="1"/>
    <xf numFmtId="0" fontId="0" fillId="0" borderId="5" xfId="0" applyFill="1" applyBorder="1"/>
    <xf numFmtId="0" fontId="0" fillId="0" borderId="17" xfId="0" applyFill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3</xdr:col>
      <xdr:colOff>139700</xdr:colOff>
      <xdr:row>0</xdr:row>
      <xdr:rowOff>0</xdr:rowOff>
    </xdr:from>
    <xdr:to>
      <xdr:col>3</xdr:col>
      <xdr:colOff>800100</xdr:colOff>
      <xdr:row>2</xdr:row>
      <xdr:rowOff>107950</xdr:rowOff>
    </xdr:to>
    <xdr:pic>
      <xdr:nvPicPr>
        <xdr:cNvPr id="1025" name="Picture 1">
          <a:extLst>
            <a:ext uri="{FF2B5EF4-FFF2-40B4-BE49-F238E27FC236}">
              <a16:creationId xmlns:a16="http://schemas.microsoft.com/office/drawing/2014/main" id="{6186A755-1F3F-40F2-8AD0-763EE372D85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019550" y="0"/>
          <a:ext cx="660400" cy="4889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sp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xmlns:mc="http://schemas.openxmlformats.org/markup-compatibility/2006" xmlns:a14="http://schemas.microsoft.com/office/drawing/2010/main" val="090000" mc:Ignorable="a14" a14:legacySpreadsheetColorIndex="9"/>
        </a:solidFill>
        <a:ln w="9525" cap="flat" cmpd="sng" algn="ctr">
          <a:solidFill>
            <a:srgbClr xmlns:mc="http://schemas.openxmlformats.org/markup-compatibility/2006" xmlns:a14="http://schemas.microsoft.com/office/drawing/2010/main" val="400000" mc:Ignorable="a14" a14:legacySpreadsheetColorIndex="64"/>
          </a:solidFill>
          <a:prstDash val="solid"/>
          <a:round/>
          <a:headEnd type="none" w="med" len="med"/>
          <a:tailEnd type="none" w="med" len="med"/>
        </a:ln>
        <a:effectLst/>
        <a:extLs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a:spPr>
      <a:bodyPr vertOverflow="clip" wrap="square" lIns="18288" tIns="0" rIns="0" bIns="0" upright="1"/>
      <a:lstStyle/>
    </a:spDef>
    <a:ln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xmlns:mc="http://schemas.openxmlformats.org/markup-compatibility/2006" xmlns:a14="http://schemas.microsoft.com/office/drawing/2010/main" val="090000" mc:Ignorable="a14" a14:legacySpreadsheetColorIndex="9"/>
        </a:solidFill>
        <a:ln w="9525" cap="flat" cmpd="sng" algn="ctr">
          <a:solidFill>
            <a:srgbClr xmlns:mc="http://schemas.openxmlformats.org/markup-compatibility/2006" xmlns:a14="http://schemas.microsoft.com/office/drawing/2010/main" val="400000" mc:Ignorable="a14" a14:legacySpreadsheetColorIndex="64"/>
          </a:solidFill>
          <a:prstDash val="solid"/>
          <a:round/>
          <a:headEnd type="none" w="med" len="med"/>
          <a:tailEnd type="none" w="med" len="med"/>
        </a:ln>
        <a:effectLst/>
        <a:extLs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a:spPr>
      <a:bodyPr vertOverflow="clip" wrap="square" lIns="18288" tIns="0" rIns="0" bIns="0" upright="1"/>
      <a:lstStyle/>
    </a:lnDef>
  </a:objectDefaults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B33"/>
  <sheetViews>
    <sheetView tabSelected="1" zoomScale="75" workbookViewId="0">
      <pane xSplit="1" ySplit="5" topLeftCell="B6" activePane="bottomRight" state="frozenSplit"/>
      <selection pane="topRight" activeCell="B1" sqref="B1"/>
      <selection pane="bottomLeft" activeCell="A6" sqref="A6"/>
      <selection pane="bottomRight" activeCell="BK38" sqref="BK38"/>
    </sheetView>
  </sheetViews>
  <sheetFormatPr defaultRowHeight="12.5" x14ac:dyDescent="0.25"/>
  <cols>
    <col min="1" max="1" width="14.26953125" customWidth="1"/>
    <col min="2" max="2" width="21" customWidth="1"/>
    <col min="3" max="3" width="20.26953125" customWidth="1"/>
    <col min="4" max="4" width="14.7265625" customWidth="1"/>
    <col min="5" max="5" width="3.26953125" customWidth="1"/>
    <col min="6" max="6" width="22.7265625" customWidth="1"/>
    <col min="7" max="7" width="26.1796875" customWidth="1"/>
    <col min="8" max="8" width="3.1796875" customWidth="1"/>
    <col min="9" max="10" width="9.7265625" customWidth="1"/>
    <col min="11" max="11" width="12.7265625" customWidth="1"/>
    <col min="12" max="12" width="6.26953125" customWidth="1"/>
    <col min="13" max="13" width="12.7265625" customWidth="1"/>
    <col min="14" max="14" width="6" customWidth="1"/>
    <col min="15" max="15" width="16" customWidth="1"/>
    <col min="16" max="16" width="5.7265625" customWidth="1"/>
    <col min="17" max="17" width="18.26953125" customWidth="1"/>
    <col min="18" max="18" width="6.7265625" customWidth="1"/>
    <col min="19" max="19" width="17.7265625" customWidth="1"/>
    <col min="20" max="20" width="5.26953125" customWidth="1"/>
    <col min="21" max="21" width="17.26953125" customWidth="1"/>
    <col min="22" max="22" width="5.7265625" customWidth="1"/>
    <col min="23" max="23" width="19.81640625" customWidth="1"/>
    <col min="24" max="24" width="6" customWidth="1"/>
    <col min="25" max="25" width="15.81640625" customWidth="1"/>
    <col min="26" max="26" width="6.7265625" customWidth="1"/>
    <col min="27" max="27" width="17" customWidth="1"/>
    <col min="28" max="28" width="6.54296875" customWidth="1"/>
    <col min="29" max="29" width="25.1796875" customWidth="1"/>
    <col min="30" max="30" width="8.453125" customWidth="1"/>
    <col min="31" max="31" width="25.1796875" customWidth="1"/>
    <col min="32" max="32" width="7" customWidth="1"/>
    <col min="33" max="33" width="15.54296875" customWidth="1"/>
    <col min="34" max="34" width="7" customWidth="1"/>
    <col min="35" max="35" width="16.1796875" customWidth="1"/>
    <col min="36" max="36" width="7" customWidth="1"/>
    <col min="37" max="37" width="16.7265625" customWidth="1"/>
    <col min="38" max="38" width="6.54296875" customWidth="1"/>
    <col min="39" max="39" width="16.54296875" customWidth="1"/>
    <col min="40" max="40" width="6.26953125" customWidth="1"/>
    <col min="41" max="41" width="20.81640625" customWidth="1"/>
    <col min="42" max="42" width="6.1796875" customWidth="1"/>
    <col min="43" max="43" width="17.54296875" customWidth="1"/>
    <col min="44" max="44" width="6.7265625" customWidth="1"/>
    <col min="45" max="45" width="15.26953125" customWidth="1"/>
    <col min="46" max="46" width="5.7265625" customWidth="1"/>
    <col min="47" max="47" width="14.26953125" customWidth="1"/>
    <col min="48" max="48" width="6.7265625" customWidth="1"/>
    <col min="49" max="49" width="14.1796875" customWidth="1"/>
    <col min="50" max="50" width="7.26953125" customWidth="1"/>
    <col min="51" max="51" width="11" customWidth="1"/>
    <col min="52" max="52" width="6.453125" customWidth="1"/>
    <col min="53" max="53" width="13.26953125" customWidth="1"/>
    <col min="54" max="54" width="6.1796875" customWidth="1"/>
    <col min="55" max="55" width="17" customWidth="1"/>
    <col min="56" max="56" width="6.54296875" customWidth="1"/>
    <col min="57" max="57" width="11.81640625" customWidth="1"/>
    <col min="58" max="58" width="7" customWidth="1"/>
    <col min="59" max="59" width="14.1796875" customWidth="1"/>
    <col min="60" max="60" width="6.1796875" customWidth="1"/>
    <col min="61" max="61" width="13.26953125" customWidth="1"/>
    <col min="62" max="62" width="8.1796875" customWidth="1"/>
    <col min="63" max="63" width="22" customWidth="1"/>
    <col min="64" max="64" width="7.54296875" customWidth="1"/>
    <col min="65" max="65" width="14.1796875" customWidth="1"/>
    <col min="66" max="66" width="6.453125" customWidth="1"/>
    <col min="67" max="67" width="17.7265625" customWidth="1"/>
    <col min="68" max="68" width="6.453125" customWidth="1"/>
    <col min="69" max="69" width="15" customWidth="1"/>
    <col min="70" max="70" width="6.453125" customWidth="1"/>
    <col min="71" max="71" width="15.1796875" customWidth="1"/>
    <col min="72" max="72" width="6.26953125" customWidth="1"/>
    <col min="73" max="73" width="16" customWidth="1"/>
    <col min="74" max="74" width="6.54296875" customWidth="1"/>
    <col min="75" max="75" width="13.54296875" customWidth="1"/>
    <col min="76" max="76" width="6.7265625" customWidth="1"/>
    <col min="78" max="78" width="6.81640625" customWidth="1"/>
    <col min="79" max="79" width="10.26953125" customWidth="1"/>
  </cols>
  <sheetData>
    <row r="1" spans="1:80" x14ac:dyDescent="0.25">
      <c r="A1" s="21">
        <f ca="1">TODAY()</f>
        <v>43857</v>
      </c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  <c r="AA1" s="2"/>
      <c r="AB1" s="2"/>
      <c r="AC1" s="2"/>
      <c r="AD1" s="2"/>
      <c r="AE1" s="2"/>
      <c r="AF1" s="2"/>
      <c r="AG1" s="2"/>
      <c r="AH1" s="2"/>
      <c r="AI1" s="2"/>
      <c r="AJ1" s="2"/>
      <c r="AK1" s="2"/>
      <c r="AL1" s="2"/>
      <c r="AM1" s="2"/>
      <c r="AN1" s="2"/>
      <c r="AO1" s="2"/>
      <c r="AP1" s="2"/>
      <c r="AQ1" s="2"/>
      <c r="AR1" s="2"/>
      <c r="AS1" s="2"/>
      <c r="AT1" s="2"/>
      <c r="AU1" s="2"/>
      <c r="AV1" s="2"/>
      <c r="AW1" s="2"/>
      <c r="AX1" s="2"/>
      <c r="AY1" s="2"/>
      <c r="AZ1" s="2"/>
      <c r="BA1" s="2"/>
      <c r="BB1" s="2"/>
      <c r="BC1" s="2"/>
      <c r="BD1" s="2"/>
      <c r="BE1" s="2"/>
      <c r="BF1" s="2"/>
      <c r="BG1" s="2"/>
      <c r="BH1" s="2"/>
      <c r="BI1" s="2"/>
      <c r="BJ1" s="2"/>
      <c r="BK1" s="2"/>
      <c r="BL1" s="2"/>
      <c r="BM1" s="2"/>
      <c r="BN1" s="2"/>
      <c r="BO1" s="2"/>
      <c r="BP1" s="2"/>
      <c r="BQ1" s="2"/>
      <c r="BR1" s="2"/>
      <c r="BS1" s="2"/>
      <c r="BT1" s="2"/>
      <c r="BU1" s="2"/>
      <c r="BV1" s="2"/>
      <c r="BW1" s="2"/>
      <c r="BX1" s="2"/>
      <c r="BY1" s="2"/>
      <c r="BZ1" s="2"/>
      <c r="CA1" s="2"/>
      <c r="CB1" s="2"/>
    </row>
    <row r="2" spans="1:80" ht="17.5" x14ac:dyDescent="0.35">
      <c r="A2" s="2"/>
      <c r="B2" s="2"/>
      <c r="C2" s="2"/>
      <c r="D2" s="2"/>
      <c r="E2" s="2"/>
      <c r="F2" s="1" t="s">
        <v>265</v>
      </c>
      <c r="G2" s="2"/>
      <c r="H2" s="2"/>
      <c r="I2" s="2"/>
      <c r="J2" s="2"/>
      <c r="K2" s="2"/>
      <c r="L2" s="2"/>
      <c r="M2" s="2"/>
      <c r="N2" s="2"/>
      <c r="O2" s="2"/>
      <c r="P2" s="2"/>
      <c r="Q2" s="2"/>
      <c r="R2" s="2"/>
      <c r="S2" s="2"/>
      <c r="T2" s="2"/>
      <c r="U2" s="2"/>
      <c r="V2" s="2"/>
      <c r="W2" s="2"/>
      <c r="X2" s="2"/>
      <c r="Y2" s="2"/>
      <c r="Z2" s="2"/>
      <c r="AA2" s="2"/>
      <c r="AB2" s="2"/>
      <c r="AC2" s="2"/>
      <c r="AD2" s="2"/>
      <c r="AE2" s="2"/>
      <c r="AF2" s="2"/>
      <c r="AG2" s="2"/>
      <c r="AH2" s="2"/>
      <c r="AI2" s="2"/>
      <c r="AJ2" s="2"/>
      <c r="AK2" s="2"/>
      <c r="AL2" s="2"/>
      <c r="AM2" s="2"/>
      <c r="AN2" s="2"/>
      <c r="AO2" s="2"/>
      <c r="AP2" s="2"/>
      <c r="AQ2" s="2"/>
      <c r="AR2" s="2"/>
      <c r="AS2" s="2"/>
      <c r="AT2" s="2"/>
      <c r="AU2" s="2"/>
      <c r="AV2" s="2"/>
      <c r="AW2" s="2"/>
      <c r="AX2" s="2"/>
      <c r="AY2" s="2"/>
      <c r="AZ2" s="2"/>
      <c r="BA2" s="2"/>
      <c r="BB2" s="2"/>
      <c r="BC2" s="2"/>
      <c r="BD2" s="2"/>
      <c r="BE2" s="2"/>
      <c r="BF2" s="2"/>
      <c r="BG2" s="2"/>
      <c r="BH2" s="2"/>
      <c r="BI2" s="2"/>
      <c r="BJ2" s="2"/>
      <c r="BK2" s="2"/>
      <c r="BL2" s="2"/>
      <c r="BM2" s="2"/>
      <c r="BN2" s="2"/>
      <c r="BO2" s="2"/>
      <c r="BP2" s="2"/>
      <c r="BQ2" s="2"/>
      <c r="BR2" s="2"/>
      <c r="BS2" s="2"/>
      <c r="BT2" s="2"/>
      <c r="BU2" s="2"/>
      <c r="BV2" s="2"/>
      <c r="BW2" s="2"/>
      <c r="BX2" s="2"/>
      <c r="BY2" s="2"/>
      <c r="BZ2" s="2"/>
      <c r="CA2" s="2"/>
      <c r="CB2" s="2"/>
    </row>
    <row r="3" spans="1:80" ht="13" thickBot="1" x14ac:dyDescent="0.3">
      <c r="A3" s="2"/>
      <c r="B3" s="2"/>
      <c r="C3" s="2"/>
      <c r="D3" s="2"/>
      <c r="E3" s="2"/>
      <c r="F3" s="2"/>
      <c r="G3" s="2"/>
      <c r="H3" s="2"/>
      <c r="I3" s="2"/>
      <c r="J3" s="2"/>
      <c r="K3" s="3"/>
      <c r="L3" s="10"/>
      <c r="M3" s="10"/>
      <c r="N3" s="10"/>
      <c r="O3" s="10"/>
      <c r="P3" s="10"/>
      <c r="Q3" s="10"/>
      <c r="R3" s="10"/>
      <c r="S3" s="10"/>
      <c r="T3" s="10"/>
      <c r="U3" s="10"/>
      <c r="V3" s="10"/>
      <c r="W3" s="10"/>
      <c r="X3" s="10"/>
      <c r="Y3" s="10"/>
      <c r="Z3" s="10"/>
      <c r="AA3" s="10"/>
      <c r="AB3" s="10"/>
      <c r="AC3" s="10"/>
      <c r="AD3" s="10"/>
      <c r="AE3" s="10"/>
      <c r="AF3" s="10"/>
      <c r="AG3" s="10"/>
      <c r="AH3" s="10"/>
      <c r="AI3" s="10"/>
      <c r="AJ3" s="10"/>
      <c r="AK3" s="10"/>
      <c r="AL3" s="10"/>
      <c r="AM3" s="10"/>
      <c r="AN3" s="10"/>
      <c r="AO3" s="10"/>
      <c r="AP3" s="10"/>
      <c r="AQ3" s="10"/>
      <c r="AR3" s="10"/>
      <c r="AS3" s="10"/>
      <c r="AT3" s="10"/>
      <c r="AU3" s="10"/>
      <c r="AV3" s="10"/>
      <c r="AW3" s="10"/>
      <c r="AX3" s="10"/>
      <c r="AY3" s="10"/>
      <c r="AZ3" s="10"/>
      <c r="BA3" s="10"/>
      <c r="BB3" s="10"/>
      <c r="BC3" s="10"/>
      <c r="BD3" s="10"/>
      <c r="BE3" s="10"/>
      <c r="BF3" s="10"/>
      <c r="BG3" s="10"/>
      <c r="BH3" s="10"/>
      <c r="BI3" s="10"/>
      <c r="BJ3" s="10"/>
      <c r="BK3" s="10"/>
      <c r="BL3" s="10"/>
      <c r="BM3" s="10"/>
      <c r="BN3" s="10"/>
      <c r="BO3" s="10"/>
      <c r="BP3" s="10"/>
      <c r="BQ3" s="10"/>
      <c r="BR3" s="10"/>
      <c r="BS3" s="10"/>
      <c r="BT3" s="10"/>
      <c r="BU3" s="10"/>
      <c r="BV3" s="10"/>
      <c r="BW3" s="10"/>
      <c r="BX3" s="10"/>
      <c r="BY3" s="10"/>
      <c r="BZ3" s="10"/>
      <c r="CA3" s="10"/>
      <c r="CB3" s="10"/>
    </row>
    <row r="4" spans="1:80" ht="13" thickTop="1" x14ac:dyDescent="0.25">
      <c r="A4" s="16"/>
      <c r="B4" s="4"/>
      <c r="C4" s="5" t="s">
        <v>8</v>
      </c>
      <c r="D4" s="6"/>
      <c r="E4" s="2"/>
      <c r="F4" s="4"/>
      <c r="G4" s="6" t="s">
        <v>9</v>
      </c>
      <c r="H4" s="3"/>
      <c r="I4" s="27"/>
      <c r="J4" s="28"/>
      <c r="K4" s="27"/>
      <c r="L4" s="12"/>
      <c r="M4" s="5"/>
      <c r="N4" s="12"/>
      <c r="O4" s="5"/>
      <c r="P4" s="12"/>
      <c r="Q4" s="5"/>
      <c r="R4" s="12"/>
      <c r="S4" s="5" t="s">
        <v>14</v>
      </c>
      <c r="T4" s="12"/>
      <c r="U4" s="5"/>
      <c r="V4" s="12"/>
      <c r="W4" s="5"/>
      <c r="X4" s="12"/>
      <c r="Y4" s="18"/>
      <c r="Z4" s="12"/>
      <c r="AA4" s="18"/>
      <c r="AB4" s="12"/>
      <c r="AC4" s="5"/>
      <c r="AD4" s="12"/>
      <c r="AE4" s="5"/>
      <c r="AF4" s="12"/>
      <c r="AG4" s="5"/>
      <c r="AH4" s="12"/>
      <c r="AI4" s="5"/>
      <c r="AJ4" s="5"/>
      <c r="AK4" s="5"/>
      <c r="AL4" s="12"/>
      <c r="AM4" s="5"/>
      <c r="AN4" s="12"/>
      <c r="AO4" s="5"/>
      <c r="AP4" s="12"/>
      <c r="AQ4" s="5"/>
      <c r="AR4" s="12"/>
      <c r="AS4" s="5"/>
      <c r="AT4" s="12"/>
      <c r="AU4" s="5"/>
      <c r="AV4" s="12"/>
      <c r="AW4" s="5"/>
      <c r="AX4" s="12"/>
      <c r="AY4" s="5"/>
      <c r="AZ4" s="12"/>
      <c r="BA4" s="5"/>
      <c r="BB4" s="12"/>
      <c r="BC4" s="5"/>
      <c r="BD4" s="12"/>
      <c r="BE4" s="18"/>
      <c r="BF4" s="12"/>
      <c r="BG4" s="5"/>
      <c r="BH4" s="12"/>
      <c r="BI4" s="5"/>
      <c r="BJ4" s="12"/>
      <c r="BK4" s="5"/>
      <c r="BL4" s="12"/>
      <c r="BM4" s="5"/>
      <c r="BN4" s="12"/>
      <c r="BO4" s="5"/>
      <c r="BP4" s="5"/>
      <c r="BQ4" s="18"/>
      <c r="BR4" s="12"/>
      <c r="BS4" s="5"/>
      <c r="BT4" s="12"/>
      <c r="BU4" s="5"/>
      <c r="BV4" s="12"/>
      <c r="BW4" s="5"/>
      <c r="BX4" s="12"/>
      <c r="BY4" s="5"/>
      <c r="BZ4" s="12"/>
      <c r="CA4" s="5"/>
      <c r="CB4" s="6"/>
    </row>
    <row r="5" spans="1:80" ht="13" thickBot="1" x14ac:dyDescent="0.3">
      <c r="A5" s="17" t="s">
        <v>0</v>
      </c>
      <c r="B5" s="9" t="s">
        <v>2</v>
      </c>
      <c r="C5" s="10" t="s">
        <v>4</v>
      </c>
      <c r="D5" s="11" t="s">
        <v>6</v>
      </c>
      <c r="E5" s="2"/>
      <c r="F5" s="9" t="s">
        <v>10</v>
      </c>
      <c r="G5" s="11" t="s">
        <v>11</v>
      </c>
      <c r="H5" s="3"/>
      <c r="I5" s="7" t="s">
        <v>315</v>
      </c>
      <c r="J5" s="8" t="s">
        <v>74</v>
      </c>
      <c r="K5" s="9" t="s">
        <v>34</v>
      </c>
      <c r="L5" s="13" t="s">
        <v>74</v>
      </c>
      <c r="M5" s="10" t="s">
        <v>44</v>
      </c>
      <c r="N5" s="13" t="s">
        <v>74</v>
      </c>
      <c r="O5" s="10" t="s">
        <v>40</v>
      </c>
      <c r="P5" s="13" t="s">
        <v>74</v>
      </c>
      <c r="Q5" s="10" t="s">
        <v>15</v>
      </c>
      <c r="R5" s="13" t="s">
        <v>74</v>
      </c>
      <c r="S5" s="10" t="s">
        <v>17</v>
      </c>
      <c r="T5" s="13" t="s">
        <v>74</v>
      </c>
      <c r="U5" s="10" t="s">
        <v>18</v>
      </c>
      <c r="V5" s="13" t="s">
        <v>74</v>
      </c>
      <c r="W5" s="10" t="s">
        <v>19</v>
      </c>
      <c r="X5" s="13" t="s">
        <v>74</v>
      </c>
      <c r="Y5" s="15" t="s">
        <v>317</v>
      </c>
      <c r="Z5" s="13" t="s">
        <v>74</v>
      </c>
      <c r="AA5" s="15" t="s">
        <v>319</v>
      </c>
      <c r="AB5" s="13" t="s">
        <v>74</v>
      </c>
      <c r="AC5" s="10" t="s">
        <v>21</v>
      </c>
      <c r="AD5" s="13" t="s">
        <v>74</v>
      </c>
      <c r="AE5" s="10" t="s">
        <v>23</v>
      </c>
      <c r="AF5" s="13" t="s">
        <v>74</v>
      </c>
      <c r="AG5" s="10" t="s">
        <v>25</v>
      </c>
      <c r="AH5" s="13" t="s">
        <v>74</v>
      </c>
      <c r="AI5" s="10" t="s">
        <v>329</v>
      </c>
      <c r="AJ5" s="10" t="s">
        <v>74</v>
      </c>
      <c r="AK5" s="10" t="s">
        <v>27</v>
      </c>
      <c r="AL5" s="13" t="s">
        <v>74</v>
      </c>
      <c r="AM5" s="10" t="s">
        <v>29</v>
      </c>
      <c r="AN5" s="13" t="s">
        <v>74</v>
      </c>
      <c r="AO5" s="10" t="s">
        <v>31</v>
      </c>
      <c r="AP5" s="13" t="s">
        <v>74</v>
      </c>
      <c r="AQ5" s="10" t="s">
        <v>33</v>
      </c>
      <c r="AR5" s="13" t="s">
        <v>74</v>
      </c>
      <c r="AS5" s="10" t="s">
        <v>278</v>
      </c>
      <c r="AT5" s="13" t="s">
        <v>74</v>
      </c>
      <c r="AU5" s="10" t="s">
        <v>53</v>
      </c>
      <c r="AV5" s="13" t="s">
        <v>74</v>
      </c>
      <c r="AW5" s="10" t="s">
        <v>65</v>
      </c>
      <c r="AX5" s="13" t="s">
        <v>74</v>
      </c>
      <c r="AY5" s="10" t="s">
        <v>66</v>
      </c>
      <c r="AZ5" s="13" t="s">
        <v>74</v>
      </c>
      <c r="BA5" s="10" t="s">
        <v>68</v>
      </c>
      <c r="BB5" s="13" t="s">
        <v>74</v>
      </c>
      <c r="BC5" s="10" t="s">
        <v>87</v>
      </c>
      <c r="BD5" s="13" t="s">
        <v>74</v>
      </c>
      <c r="BE5" s="15" t="s">
        <v>88</v>
      </c>
      <c r="BF5" s="13" t="s">
        <v>74</v>
      </c>
      <c r="BG5" s="10" t="s">
        <v>90</v>
      </c>
      <c r="BH5" s="13" t="s">
        <v>74</v>
      </c>
      <c r="BI5" s="10" t="s">
        <v>117</v>
      </c>
      <c r="BJ5" s="13" t="s">
        <v>74</v>
      </c>
      <c r="BK5" s="10" t="s">
        <v>142</v>
      </c>
      <c r="BL5" s="13" t="s">
        <v>74</v>
      </c>
      <c r="BM5" s="10" t="s">
        <v>144</v>
      </c>
      <c r="BN5" s="13" t="s">
        <v>74</v>
      </c>
      <c r="BO5" s="10" t="s">
        <v>307</v>
      </c>
      <c r="BP5" s="10" t="s">
        <v>74</v>
      </c>
      <c r="BQ5" s="15" t="s">
        <v>341</v>
      </c>
      <c r="BR5" s="13" t="s">
        <v>74</v>
      </c>
      <c r="BS5" s="10" t="s">
        <v>146</v>
      </c>
      <c r="BT5" s="13" t="s">
        <v>74</v>
      </c>
      <c r="BU5" s="10" t="s">
        <v>184</v>
      </c>
      <c r="BV5" s="13" t="s">
        <v>74</v>
      </c>
      <c r="BW5" s="10" t="s">
        <v>187</v>
      </c>
      <c r="BX5" s="13" t="s">
        <v>74</v>
      </c>
      <c r="BY5" s="10" t="s">
        <v>218</v>
      </c>
      <c r="BZ5" s="13" t="s">
        <v>74</v>
      </c>
      <c r="CA5" s="15" t="s">
        <v>219</v>
      </c>
      <c r="CB5" s="11" t="s">
        <v>74</v>
      </c>
    </row>
    <row r="6" spans="1:80" x14ac:dyDescent="0.25">
      <c r="A6" s="2" t="s">
        <v>205</v>
      </c>
      <c r="B6" s="7" t="s">
        <v>206</v>
      </c>
      <c r="C6" s="3" t="s">
        <v>207</v>
      </c>
      <c r="D6" s="8" t="s">
        <v>7</v>
      </c>
      <c r="E6" s="2"/>
      <c r="F6" s="22">
        <v>98</v>
      </c>
      <c r="G6" s="8" t="s">
        <v>122</v>
      </c>
      <c r="H6" s="3"/>
      <c r="I6" s="7"/>
      <c r="J6" s="8"/>
      <c r="K6" s="7"/>
      <c r="L6" s="14"/>
      <c r="M6" s="3"/>
      <c r="N6" s="14"/>
      <c r="O6" s="3" t="s">
        <v>223</v>
      </c>
      <c r="P6" s="14" t="s">
        <v>222</v>
      </c>
      <c r="Q6" s="3" t="s">
        <v>223</v>
      </c>
      <c r="R6" s="14" t="s">
        <v>222</v>
      </c>
      <c r="S6" s="3"/>
      <c r="T6" s="14"/>
      <c r="U6" s="3" t="s">
        <v>208</v>
      </c>
      <c r="V6" s="14"/>
      <c r="W6" s="3" t="s">
        <v>240</v>
      </c>
      <c r="X6" s="14" t="s">
        <v>230</v>
      </c>
      <c r="Y6" s="19"/>
      <c r="Z6" s="14"/>
      <c r="AA6" s="19"/>
      <c r="AB6" s="14"/>
      <c r="AC6" s="3" t="s">
        <v>240</v>
      </c>
      <c r="AD6" s="14" t="s">
        <v>230</v>
      </c>
      <c r="AE6" s="3" t="s">
        <v>209</v>
      </c>
      <c r="AF6" s="14"/>
      <c r="AG6" s="3" t="s">
        <v>210</v>
      </c>
      <c r="AH6" s="14"/>
      <c r="AI6" s="3"/>
      <c r="AJ6" s="3"/>
      <c r="AK6" s="3" t="s">
        <v>250</v>
      </c>
      <c r="AL6" s="14" t="s">
        <v>222</v>
      </c>
      <c r="AM6" s="3"/>
      <c r="AN6" s="14"/>
      <c r="AO6" s="3" t="s">
        <v>253</v>
      </c>
      <c r="AP6" s="14" t="s">
        <v>230</v>
      </c>
      <c r="AQ6" s="3"/>
      <c r="AR6" s="14"/>
      <c r="AS6" s="3"/>
      <c r="AT6" s="14"/>
      <c r="AU6" s="3"/>
      <c r="AV6" s="14"/>
      <c r="AW6" s="3"/>
      <c r="AX6" s="14"/>
      <c r="AY6" s="3"/>
      <c r="AZ6" s="14"/>
      <c r="BA6" s="3"/>
      <c r="BB6" s="14"/>
      <c r="BC6" s="3"/>
      <c r="BD6" s="14"/>
      <c r="BE6" s="19"/>
      <c r="BF6" s="14"/>
      <c r="BG6" s="3"/>
      <c r="BH6" s="14"/>
      <c r="BI6" s="3"/>
      <c r="BJ6" s="14"/>
      <c r="BK6" s="3"/>
      <c r="BL6" s="14"/>
      <c r="BM6" s="3"/>
      <c r="BN6" s="14"/>
      <c r="BO6" s="3"/>
      <c r="BP6" s="3"/>
      <c r="BQ6" s="19"/>
      <c r="BR6" s="14"/>
      <c r="BS6" s="3"/>
      <c r="BT6" s="14"/>
      <c r="BU6" s="3"/>
      <c r="BV6" s="14"/>
      <c r="BW6" s="3"/>
      <c r="BX6" s="14"/>
      <c r="BY6" s="3"/>
      <c r="BZ6" s="14"/>
      <c r="CA6" s="3"/>
      <c r="CB6" s="8"/>
    </row>
    <row r="7" spans="1:80" x14ac:dyDescent="0.25">
      <c r="A7" s="2" t="s">
        <v>467</v>
      </c>
      <c r="B7" s="7" t="s">
        <v>3</v>
      </c>
      <c r="C7" s="3" t="s">
        <v>344</v>
      </c>
      <c r="D7" s="8" t="s">
        <v>7</v>
      </c>
      <c r="E7" s="2"/>
      <c r="F7" s="22" t="s">
        <v>475</v>
      </c>
      <c r="G7" s="8" t="s">
        <v>474</v>
      </c>
      <c r="H7" s="3"/>
      <c r="I7" s="7"/>
      <c r="J7" s="8"/>
      <c r="K7" s="7" t="s">
        <v>163</v>
      </c>
      <c r="L7" s="14"/>
      <c r="M7" s="3" t="s">
        <v>164</v>
      </c>
      <c r="N7" s="14"/>
      <c r="O7" s="3" t="s">
        <v>468</v>
      </c>
      <c r="P7" s="14" t="s">
        <v>222</v>
      </c>
      <c r="Q7" s="3" t="s">
        <v>234</v>
      </c>
      <c r="R7" s="14" t="s">
        <v>230</v>
      </c>
      <c r="S7" s="3" t="s">
        <v>135</v>
      </c>
      <c r="T7" s="14" t="s">
        <v>230</v>
      </c>
      <c r="U7" s="3" t="s">
        <v>135</v>
      </c>
      <c r="V7" s="14" t="s">
        <v>230</v>
      </c>
      <c r="W7" s="3" t="s">
        <v>240</v>
      </c>
      <c r="X7" s="14" t="s">
        <v>222</v>
      </c>
      <c r="Y7" s="19"/>
      <c r="Z7" s="14"/>
      <c r="AA7" s="19"/>
      <c r="AB7" s="14"/>
      <c r="AC7" s="3"/>
      <c r="AD7" s="14"/>
      <c r="AE7" s="3" t="s">
        <v>124</v>
      </c>
      <c r="AF7" s="14" t="s">
        <v>222</v>
      </c>
      <c r="AG7" s="3" t="s">
        <v>138</v>
      </c>
      <c r="AH7" s="14" t="s">
        <v>230</v>
      </c>
      <c r="AI7" s="3"/>
      <c r="AJ7" s="3"/>
      <c r="AK7" s="3" t="s">
        <v>476</v>
      </c>
      <c r="AL7" s="14" t="s">
        <v>230</v>
      </c>
      <c r="AM7" s="3"/>
      <c r="AN7" s="14"/>
      <c r="AO7" s="3" t="s">
        <v>158</v>
      </c>
      <c r="AP7" s="14" t="s">
        <v>222</v>
      </c>
      <c r="AQ7" s="3"/>
      <c r="AR7" s="14"/>
      <c r="AS7" s="3"/>
      <c r="AT7" s="14"/>
      <c r="AU7" s="3" t="s">
        <v>469</v>
      </c>
      <c r="AV7" s="14"/>
      <c r="AW7" s="3" t="s">
        <v>470</v>
      </c>
      <c r="AX7" s="14" t="s">
        <v>222</v>
      </c>
      <c r="AY7" s="3" t="s">
        <v>64</v>
      </c>
      <c r="AZ7" s="14" t="s">
        <v>222</v>
      </c>
      <c r="BA7" s="3"/>
      <c r="BB7" s="14"/>
      <c r="BC7" s="3"/>
      <c r="BD7" s="14"/>
      <c r="BE7" s="19" t="s">
        <v>135</v>
      </c>
      <c r="BF7" s="14"/>
      <c r="BG7" s="3"/>
      <c r="BH7" s="14"/>
      <c r="BI7" s="3" t="s">
        <v>471</v>
      </c>
      <c r="BJ7" s="14" t="s">
        <v>222</v>
      </c>
      <c r="BK7" s="3"/>
      <c r="BL7" s="14"/>
      <c r="BM7" s="3" t="s">
        <v>171</v>
      </c>
      <c r="BN7" s="14"/>
      <c r="BO7" s="3" t="s">
        <v>472</v>
      </c>
      <c r="BP7" s="3"/>
      <c r="BQ7" s="19"/>
      <c r="BR7" s="14"/>
      <c r="BS7" s="3"/>
      <c r="BT7" s="14"/>
      <c r="BU7" s="3" t="s">
        <v>473</v>
      </c>
      <c r="BV7" s="14"/>
      <c r="BW7" s="3" t="s">
        <v>189</v>
      </c>
      <c r="BX7" s="14"/>
      <c r="BY7" s="3"/>
      <c r="BZ7" s="14"/>
      <c r="CA7" s="3" t="s">
        <v>220</v>
      </c>
      <c r="CB7" s="8"/>
    </row>
    <row r="8" spans="1:80" x14ac:dyDescent="0.25">
      <c r="A8" s="2" t="s">
        <v>211</v>
      </c>
      <c r="B8" s="7" t="s">
        <v>212</v>
      </c>
      <c r="C8" s="3" t="s">
        <v>213</v>
      </c>
      <c r="D8" s="8" t="s">
        <v>214</v>
      </c>
      <c r="E8" s="2"/>
      <c r="F8" s="22" t="s">
        <v>215</v>
      </c>
      <c r="G8" s="8" t="s">
        <v>216</v>
      </c>
      <c r="H8" s="3"/>
      <c r="I8" s="7"/>
      <c r="J8" s="8"/>
      <c r="K8" s="7" t="s">
        <v>182</v>
      </c>
      <c r="L8" s="14" t="s">
        <v>230</v>
      </c>
      <c r="M8" s="3" t="s">
        <v>260</v>
      </c>
      <c r="N8" s="14" t="s">
        <v>222</v>
      </c>
      <c r="O8" s="3" t="s">
        <v>217</v>
      </c>
      <c r="P8" s="14" t="s">
        <v>230</v>
      </c>
      <c r="Q8" s="3" t="s">
        <v>231</v>
      </c>
      <c r="R8" s="14" t="s">
        <v>230</v>
      </c>
      <c r="S8" s="3" t="s">
        <v>236</v>
      </c>
      <c r="T8" s="14" t="s">
        <v>230</v>
      </c>
      <c r="U8" s="3" t="s">
        <v>236</v>
      </c>
      <c r="V8" s="14" t="s">
        <v>230</v>
      </c>
      <c r="W8" s="3" t="s">
        <v>242</v>
      </c>
      <c r="X8" s="14" t="s">
        <v>241</v>
      </c>
      <c r="Y8" s="19"/>
      <c r="Z8" s="14"/>
      <c r="AA8" s="19"/>
      <c r="AB8" s="14"/>
      <c r="AC8" s="3" t="s">
        <v>261</v>
      </c>
      <c r="AD8" s="14" t="s">
        <v>230</v>
      </c>
      <c r="AE8" s="3" t="s">
        <v>246</v>
      </c>
      <c r="AF8" s="14" t="s">
        <v>230</v>
      </c>
      <c r="AG8" s="3" t="s">
        <v>248</v>
      </c>
      <c r="AH8" s="14" t="s">
        <v>230</v>
      </c>
      <c r="AI8" s="3"/>
      <c r="AJ8" s="3"/>
      <c r="AK8" s="3" t="s">
        <v>231</v>
      </c>
      <c r="AL8" s="14" t="s">
        <v>230</v>
      </c>
      <c r="AM8" s="3"/>
      <c r="AN8" s="14"/>
      <c r="AO8" s="3"/>
      <c r="AP8" s="14"/>
      <c r="AQ8" s="3"/>
      <c r="AR8" s="14"/>
      <c r="AS8" s="3" t="s">
        <v>231</v>
      </c>
      <c r="AT8" s="14" t="s">
        <v>224</v>
      </c>
      <c r="AU8" s="3"/>
      <c r="AV8" s="14"/>
      <c r="AW8" s="3"/>
      <c r="AX8" s="14"/>
      <c r="AY8" s="3"/>
      <c r="AZ8" s="14"/>
      <c r="BA8" s="3"/>
      <c r="BB8" s="14"/>
      <c r="BC8" s="3"/>
      <c r="BD8" s="14"/>
      <c r="BE8" s="19"/>
      <c r="BF8" s="14"/>
      <c r="BG8" s="3"/>
      <c r="BH8" s="14"/>
      <c r="BI8" s="3" t="s">
        <v>217</v>
      </c>
      <c r="BJ8" s="14"/>
      <c r="BK8" s="3" t="s">
        <v>258</v>
      </c>
      <c r="BL8" s="14" t="s">
        <v>259</v>
      </c>
      <c r="BM8" s="3"/>
      <c r="BN8" s="14"/>
      <c r="BO8" s="3"/>
      <c r="BP8" s="3"/>
      <c r="BQ8" s="19"/>
      <c r="BR8" s="14"/>
      <c r="BS8" s="3"/>
      <c r="BT8" s="14"/>
      <c r="BU8" s="3"/>
      <c r="BV8" s="14"/>
      <c r="BW8" s="3"/>
      <c r="BX8" s="14"/>
      <c r="BY8" s="3" t="s">
        <v>284</v>
      </c>
      <c r="BZ8" s="14" t="s">
        <v>230</v>
      </c>
      <c r="CA8" s="8" t="s">
        <v>220</v>
      </c>
      <c r="CB8" s="20"/>
    </row>
    <row r="9" spans="1:80" x14ac:dyDescent="0.25">
      <c r="A9" s="2" t="s">
        <v>57</v>
      </c>
      <c r="B9" s="7" t="s">
        <v>58</v>
      </c>
      <c r="C9" s="3" t="s">
        <v>59</v>
      </c>
      <c r="D9" s="8" t="s">
        <v>7</v>
      </c>
      <c r="E9" s="2"/>
      <c r="F9" s="22" t="s">
        <v>309</v>
      </c>
      <c r="G9" s="8" t="s">
        <v>310</v>
      </c>
      <c r="H9" s="3"/>
      <c r="I9" s="7"/>
      <c r="J9" s="8"/>
      <c r="K9" s="7" t="s">
        <v>163</v>
      </c>
      <c r="L9" s="14"/>
      <c r="M9" s="3" t="s">
        <v>45</v>
      </c>
      <c r="N9" s="14"/>
      <c r="O9" s="3" t="s">
        <v>60</v>
      </c>
      <c r="P9" s="14" t="s">
        <v>230</v>
      </c>
      <c r="Q9" s="3" t="s">
        <v>232</v>
      </c>
      <c r="R9" s="14" t="s">
        <v>230</v>
      </c>
      <c r="S9" s="3" t="s">
        <v>237</v>
      </c>
      <c r="T9" s="14" t="s">
        <v>230</v>
      </c>
      <c r="U9" s="3"/>
      <c r="V9" s="14"/>
      <c r="W9" s="3" t="s">
        <v>61</v>
      </c>
      <c r="X9" s="14"/>
      <c r="Y9" s="19"/>
      <c r="Z9" s="14"/>
      <c r="AA9" s="19"/>
      <c r="AB9" s="14"/>
      <c r="AC9" s="3" t="s">
        <v>262</v>
      </c>
      <c r="AD9" s="14"/>
      <c r="AE9" s="3" t="s">
        <v>62</v>
      </c>
      <c r="AF9" s="14"/>
      <c r="AG9" s="3" t="s">
        <v>138</v>
      </c>
      <c r="AH9" s="14"/>
      <c r="AI9" s="3"/>
      <c r="AJ9" s="3"/>
      <c r="AK9" s="3" t="s">
        <v>63</v>
      </c>
      <c r="AL9" s="14"/>
      <c r="AM9" s="3" t="s">
        <v>64</v>
      </c>
      <c r="AN9" s="14"/>
      <c r="AO9" s="3" t="s">
        <v>311</v>
      </c>
      <c r="AP9" s="14"/>
      <c r="AQ9" s="3" t="s">
        <v>64</v>
      </c>
      <c r="AR9" s="14"/>
      <c r="AS9" s="3" t="s">
        <v>52</v>
      </c>
      <c r="AT9" s="14"/>
      <c r="AU9" s="3"/>
      <c r="AV9" s="14"/>
      <c r="AW9" s="3" t="s">
        <v>80</v>
      </c>
      <c r="AX9" s="14"/>
      <c r="AY9" s="3" t="s">
        <v>67</v>
      </c>
      <c r="AZ9" s="14"/>
      <c r="BA9" s="3" t="s">
        <v>64</v>
      </c>
      <c r="BB9" s="14"/>
      <c r="BC9" s="3" t="s">
        <v>64</v>
      </c>
      <c r="BD9" s="14"/>
      <c r="BE9" s="19" t="s">
        <v>42</v>
      </c>
      <c r="BF9" s="14"/>
      <c r="BG9" s="3" t="s">
        <v>91</v>
      </c>
      <c r="BH9" s="14"/>
      <c r="BI9" s="3" t="s">
        <v>280</v>
      </c>
      <c r="BJ9" s="14"/>
      <c r="BK9" s="3"/>
      <c r="BL9" s="14"/>
      <c r="BM9" t="s">
        <v>171</v>
      </c>
      <c r="BN9" s="14"/>
      <c r="BO9" s="3" t="s">
        <v>312</v>
      </c>
      <c r="BP9" s="3"/>
      <c r="BQ9" s="19"/>
      <c r="BR9" s="14"/>
      <c r="BS9" s="3"/>
      <c r="BT9" s="14"/>
      <c r="BU9" s="3" t="s">
        <v>281</v>
      </c>
      <c r="BV9" s="14"/>
      <c r="BW9" s="3" t="s">
        <v>189</v>
      </c>
      <c r="BX9" s="14"/>
      <c r="BY9" s="3" t="s">
        <v>282</v>
      </c>
      <c r="BZ9" s="14"/>
      <c r="CA9" s="3" t="s">
        <v>283</v>
      </c>
      <c r="CB9" s="8"/>
    </row>
    <row r="10" spans="1:80" x14ac:dyDescent="0.25">
      <c r="A10" s="2" t="s">
        <v>195</v>
      </c>
      <c r="B10" s="7" t="s">
        <v>196</v>
      </c>
      <c r="C10" s="3" t="s">
        <v>197</v>
      </c>
      <c r="D10" s="8" t="s">
        <v>7</v>
      </c>
      <c r="E10" s="2"/>
      <c r="F10" s="22" t="s">
        <v>95</v>
      </c>
      <c r="G10" s="8" t="s">
        <v>122</v>
      </c>
      <c r="H10" s="3"/>
      <c r="I10" s="7"/>
      <c r="J10" s="8"/>
      <c r="K10" s="7"/>
      <c r="L10" s="14"/>
      <c r="M10" s="3"/>
      <c r="N10" s="14"/>
      <c r="O10" s="3" t="s">
        <v>198</v>
      </c>
      <c r="P10" s="14"/>
      <c r="Q10" s="3" t="s">
        <v>233</v>
      </c>
      <c r="R10" s="14" t="s">
        <v>222</v>
      </c>
      <c r="S10" s="3"/>
      <c r="T10" s="14"/>
      <c r="U10" s="3"/>
      <c r="V10" s="14"/>
      <c r="W10" s="3"/>
      <c r="X10" s="14"/>
      <c r="Y10" s="19"/>
      <c r="Z10" s="14"/>
      <c r="AA10" s="19"/>
      <c r="AB10" s="14"/>
      <c r="AC10" s="3"/>
      <c r="AD10" s="14"/>
      <c r="AE10" s="3"/>
      <c r="AF10" s="14"/>
      <c r="AG10" s="3"/>
      <c r="AH10" s="14"/>
      <c r="AI10" s="3"/>
      <c r="AJ10" s="3"/>
      <c r="AK10" s="3"/>
      <c r="AL10" s="14"/>
      <c r="AM10" s="3"/>
      <c r="AN10" s="14"/>
      <c r="AO10" s="3"/>
      <c r="AP10" s="14"/>
      <c r="AQ10" s="3"/>
      <c r="AR10" s="14"/>
      <c r="AS10" s="3"/>
      <c r="AT10" s="14"/>
      <c r="AU10" s="3"/>
      <c r="AV10" s="14"/>
      <c r="AW10" s="3"/>
      <c r="AX10" s="14"/>
      <c r="AY10" s="3"/>
      <c r="AZ10" s="14"/>
      <c r="BA10" s="3"/>
      <c r="BB10" s="14"/>
      <c r="BC10" s="3"/>
      <c r="BD10" s="14"/>
      <c r="BE10" s="19"/>
      <c r="BF10" s="14"/>
      <c r="BG10" s="3"/>
      <c r="BH10" s="14"/>
      <c r="BI10" s="3"/>
      <c r="BJ10" s="14"/>
      <c r="BK10" s="3"/>
      <c r="BL10" s="14"/>
      <c r="BM10" s="3"/>
      <c r="BN10" s="14"/>
      <c r="BO10" s="3"/>
      <c r="BP10" s="3"/>
      <c r="BQ10" s="19"/>
      <c r="BR10" s="14"/>
      <c r="BS10" s="3"/>
      <c r="BT10" s="14"/>
      <c r="BU10" s="3"/>
      <c r="BV10" s="14"/>
      <c r="BW10" s="3"/>
      <c r="BX10" s="14"/>
      <c r="BY10" s="3"/>
      <c r="BZ10" s="14"/>
      <c r="CA10" s="3"/>
      <c r="CB10" s="8"/>
    </row>
    <row r="11" spans="1:80" x14ac:dyDescent="0.25">
      <c r="A11" s="2" t="s">
        <v>199</v>
      </c>
      <c r="B11" s="7" t="s">
        <v>200</v>
      </c>
      <c r="C11" s="3" t="s">
        <v>201</v>
      </c>
      <c r="D11" s="8" t="s">
        <v>7</v>
      </c>
      <c r="E11" s="2"/>
      <c r="F11" s="22">
        <v>98</v>
      </c>
      <c r="G11" s="8" t="s">
        <v>202</v>
      </c>
      <c r="H11" s="3"/>
      <c r="I11" s="7"/>
      <c r="J11" s="8"/>
      <c r="K11" s="7"/>
      <c r="L11" s="14"/>
      <c r="M11" s="3"/>
      <c r="N11" s="14"/>
      <c r="O11" s="3" t="s">
        <v>203</v>
      </c>
      <c r="P11" s="14"/>
      <c r="Q11" s="3" t="s">
        <v>203</v>
      </c>
      <c r="R11" s="14"/>
      <c r="S11" s="3" t="s">
        <v>203</v>
      </c>
      <c r="T11" s="14"/>
      <c r="U11" s="3"/>
      <c r="V11" s="14"/>
      <c r="W11" s="3" t="s">
        <v>204</v>
      </c>
      <c r="X11" s="14"/>
      <c r="Y11" s="19"/>
      <c r="Z11" s="14"/>
      <c r="AA11" s="19"/>
      <c r="AB11" s="14"/>
      <c r="AC11" s="3"/>
      <c r="AD11" s="14"/>
      <c r="AE11" s="3" t="s">
        <v>124</v>
      </c>
      <c r="AF11" s="14"/>
      <c r="AG11" s="3"/>
      <c r="AH11" s="14"/>
      <c r="AI11" s="3"/>
      <c r="AJ11" s="3"/>
      <c r="AK11" s="3"/>
      <c r="AL11" s="14"/>
      <c r="AM11" s="3"/>
      <c r="AN11" s="14"/>
      <c r="AO11" s="3"/>
      <c r="AP11" s="14"/>
      <c r="AQ11" s="3"/>
      <c r="AR11" s="14"/>
      <c r="AS11" s="3"/>
      <c r="AT11" s="14"/>
      <c r="AU11" s="3"/>
      <c r="AV11" s="14"/>
      <c r="AW11" s="3"/>
      <c r="AX11" s="14"/>
      <c r="AY11" s="3"/>
      <c r="AZ11" s="14"/>
      <c r="BA11" s="3"/>
      <c r="BB11" s="14"/>
      <c r="BC11" s="3"/>
      <c r="BD11" s="14"/>
      <c r="BE11" s="19"/>
      <c r="BF11" s="14"/>
      <c r="BG11" s="3"/>
      <c r="BH11" s="14"/>
      <c r="BI11" s="3"/>
      <c r="BJ11" s="14"/>
      <c r="BK11" s="3"/>
      <c r="BL11" s="14"/>
      <c r="BM11" s="3"/>
      <c r="BN11" s="14"/>
      <c r="BO11" s="3"/>
      <c r="BP11" s="3"/>
      <c r="BQ11" s="19"/>
      <c r="BR11" s="14"/>
      <c r="BS11" s="3"/>
      <c r="BT11" s="14"/>
      <c r="BU11" s="3"/>
      <c r="BV11" s="14"/>
      <c r="BW11" s="3"/>
      <c r="BX11" s="14"/>
      <c r="BY11" s="3"/>
      <c r="BZ11" s="14"/>
      <c r="CA11" s="3"/>
      <c r="CB11" s="8"/>
    </row>
    <row r="12" spans="1:80" x14ac:dyDescent="0.25">
      <c r="A12" s="2" t="s">
        <v>119</v>
      </c>
      <c r="B12" s="7" t="s">
        <v>120</v>
      </c>
      <c r="C12" s="3" t="s">
        <v>121</v>
      </c>
      <c r="D12" s="8" t="s">
        <v>7</v>
      </c>
      <c r="E12" s="2"/>
      <c r="F12" s="22" t="s">
        <v>122</v>
      </c>
      <c r="G12" s="8" t="s">
        <v>39</v>
      </c>
      <c r="H12" s="3"/>
      <c r="I12" s="7"/>
      <c r="J12" s="8"/>
      <c r="K12" s="7"/>
      <c r="L12" s="14"/>
      <c r="M12" s="3"/>
      <c r="N12" s="14"/>
      <c r="O12" s="3" t="s">
        <v>229</v>
      </c>
      <c r="P12" s="14" t="s">
        <v>222</v>
      </c>
      <c r="Q12" s="3" t="s">
        <v>123</v>
      </c>
      <c r="R12" s="14"/>
      <c r="S12" s="3"/>
      <c r="T12" s="14"/>
      <c r="U12" s="3"/>
      <c r="V12" s="14"/>
      <c r="W12" s="3"/>
      <c r="X12" s="14"/>
      <c r="Y12" s="19"/>
      <c r="Z12" s="14"/>
      <c r="AA12" s="19"/>
      <c r="AB12" s="14"/>
      <c r="AC12" s="3"/>
      <c r="AD12" s="14"/>
      <c r="AE12" s="3" t="s">
        <v>124</v>
      </c>
      <c r="AF12" s="14"/>
      <c r="AG12" s="3" t="s">
        <v>125</v>
      </c>
      <c r="AH12" s="14"/>
      <c r="AI12" s="3"/>
      <c r="AJ12" s="3"/>
      <c r="AK12" s="3" t="s">
        <v>126</v>
      </c>
      <c r="AL12" s="14"/>
      <c r="AM12" s="3"/>
      <c r="AN12" s="14"/>
      <c r="AO12" s="3"/>
      <c r="AP12" s="14"/>
      <c r="AQ12" s="3"/>
      <c r="AR12" s="14"/>
      <c r="AS12" s="3" t="s">
        <v>127</v>
      </c>
      <c r="AT12" s="14"/>
      <c r="AU12" s="3" t="s">
        <v>128</v>
      </c>
      <c r="AV12" s="14"/>
      <c r="AW12" s="3"/>
      <c r="AX12" s="14"/>
      <c r="AY12" s="3"/>
      <c r="AZ12" s="14"/>
      <c r="BA12" s="3"/>
      <c r="BB12" s="14"/>
      <c r="BC12" s="3"/>
      <c r="BD12" s="14"/>
      <c r="BE12" s="19"/>
      <c r="BF12" s="14"/>
      <c r="BG12" s="3"/>
      <c r="BH12" s="14"/>
      <c r="BI12" s="3"/>
      <c r="BJ12" s="14"/>
      <c r="BK12" s="3"/>
      <c r="BL12" s="14"/>
      <c r="BM12" s="3"/>
      <c r="BN12" s="14"/>
      <c r="BO12" s="3"/>
      <c r="BP12" s="3"/>
      <c r="BQ12" s="19"/>
      <c r="BR12" s="14"/>
      <c r="BS12" s="3"/>
      <c r="BT12" s="14"/>
      <c r="BU12" s="3"/>
      <c r="BV12" s="14"/>
      <c r="BW12" s="3"/>
      <c r="BX12" s="14"/>
      <c r="BY12" s="3"/>
      <c r="BZ12" s="14"/>
      <c r="CA12" s="3"/>
      <c r="CB12" s="8"/>
    </row>
    <row r="13" spans="1:80" x14ac:dyDescent="0.25">
      <c r="A13" s="2" t="s">
        <v>285</v>
      </c>
      <c r="B13" s="7" t="s">
        <v>287</v>
      </c>
      <c r="C13" s="3" t="s">
        <v>286</v>
      </c>
      <c r="D13" s="8" t="s">
        <v>288</v>
      </c>
      <c r="E13" s="2"/>
      <c r="F13" s="22">
        <v>98</v>
      </c>
      <c r="G13" s="8" t="s">
        <v>289</v>
      </c>
      <c r="H13" s="3"/>
      <c r="I13" s="7"/>
      <c r="J13" s="8"/>
      <c r="K13" s="7"/>
      <c r="L13" s="14"/>
      <c r="M13" s="3"/>
      <c r="N13" s="14"/>
      <c r="O13" s="3" t="s">
        <v>231</v>
      </c>
      <c r="P13" s="14" t="s">
        <v>290</v>
      </c>
      <c r="Q13" s="3" t="s">
        <v>231</v>
      </c>
      <c r="R13" s="14" t="s">
        <v>230</v>
      </c>
      <c r="S13" s="3" t="s">
        <v>296</v>
      </c>
      <c r="T13" s="14"/>
      <c r="U13" s="3" t="s">
        <v>291</v>
      </c>
      <c r="V13" s="14"/>
      <c r="W13" s="3" t="s">
        <v>292</v>
      </c>
      <c r="X13" s="14"/>
      <c r="Y13" s="19"/>
      <c r="Z13" s="14"/>
      <c r="AA13" s="19"/>
      <c r="AB13" s="14"/>
      <c r="AC13" s="3" t="s">
        <v>293</v>
      </c>
      <c r="AD13" s="14"/>
      <c r="AE13" s="3" t="s">
        <v>294</v>
      </c>
      <c r="AF13" s="14"/>
      <c r="AG13" s="3" t="s">
        <v>295</v>
      </c>
      <c r="AH13" s="14"/>
      <c r="AI13" s="3"/>
      <c r="AJ13" s="3"/>
      <c r="AK13" s="3" t="s">
        <v>296</v>
      </c>
      <c r="AL13" s="14"/>
      <c r="AM13" s="3"/>
      <c r="AN13" s="14"/>
      <c r="AO13" s="3"/>
      <c r="AP13" s="14"/>
      <c r="AQ13" s="3"/>
      <c r="AR13" s="14"/>
      <c r="AS13" s="3"/>
      <c r="AT13" s="14"/>
      <c r="AU13" s="3"/>
      <c r="AV13" s="14"/>
      <c r="AW13" s="3"/>
      <c r="AX13" s="14"/>
      <c r="AY13" s="3"/>
      <c r="AZ13" s="14"/>
      <c r="BA13" s="3"/>
      <c r="BB13" s="14"/>
      <c r="BC13" s="3"/>
      <c r="BD13" s="14"/>
      <c r="BE13" s="19"/>
      <c r="BF13" s="14"/>
      <c r="BG13" s="3"/>
      <c r="BH13" s="14"/>
      <c r="BI13" s="3"/>
      <c r="BJ13" s="14"/>
      <c r="BK13" s="3"/>
      <c r="BL13" s="14"/>
      <c r="BM13" s="3"/>
      <c r="BN13" s="14"/>
      <c r="BO13" s="3"/>
      <c r="BP13" s="3"/>
      <c r="BQ13" s="19"/>
      <c r="BR13" s="14"/>
      <c r="BS13" s="3"/>
      <c r="BT13" s="14"/>
      <c r="BU13" s="3"/>
      <c r="BV13" s="14"/>
      <c r="BW13" s="3"/>
      <c r="BX13" s="14"/>
      <c r="BY13" s="3"/>
      <c r="BZ13" s="14"/>
      <c r="CA13" s="3"/>
      <c r="CB13" s="8"/>
    </row>
    <row r="14" spans="1:80" x14ac:dyDescent="0.25">
      <c r="A14" s="2" t="s">
        <v>190</v>
      </c>
      <c r="B14" s="7" t="s">
        <v>191</v>
      </c>
      <c r="C14" s="3" t="s">
        <v>192</v>
      </c>
      <c r="D14" s="8" t="s">
        <v>7</v>
      </c>
      <c r="E14" s="2"/>
      <c r="F14" s="25" t="s">
        <v>322</v>
      </c>
      <c r="G14" s="8" t="s">
        <v>314</v>
      </c>
      <c r="H14" s="3"/>
      <c r="I14" s="7" t="s">
        <v>316</v>
      </c>
      <c r="J14" s="8"/>
      <c r="K14" s="7" t="s">
        <v>182</v>
      </c>
      <c r="L14" s="14"/>
      <c r="M14" s="3" t="s">
        <v>181</v>
      </c>
      <c r="N14" s="14"/>
      <c r="O14" t="s">
        <v>323</v>
      </c>
      <c r="P14" s="14"/>
      <c r="Q14" s="3" t="s">
        <v>226</v>
      </c>
      <c r="R14" s="14" t="s">
        <v>222</v>
      </c>
      <c r="S14" s="3" t="s">
        <v>135</v>
      </c>
      <c r="T14" s="14"/>
      <c r="U14" s="3" t="s">
        <v>135</v>
      </c>
      <c r="V14" s="14"/>
      <c r="W14" s="3" t="s">
        <v>193</v>
      </c>
      <c r="X14" s="14" t="s">
        <v>222</v>
      </c>
      <c r="Y14" s="19" t="s">
        <v>318</v>
      </c>
      <c r="Z14" s="14"/>
      <c r="AA14" s="19" t="s">
        <v>326</v>
      </c>
      <c r="AB14" s="14"/>
      <c r="AC14" s="3" t="s">
        <v>327</v>
      </c>
      <c r="AD14" s="14"/>
      <c r="AE14" s="3" t="s">
        <v>194</v>
      </c>
      <c r="AF14" s="14"/>
      <c r="AG14" s="3" t="s">
        <v>328</v>
      </c>
      <c r="AH14" s="14"/>
      <c r="AI14" s="3" t="s">
        <v>330</v>
      </c>
      <c r="AJ14" s="3"/>
      <c r="AK14" s="3" t="s">
        <v>251</v>
      </c>
      <c r="AL14" s="14" t="s">
        <v>222</v>
      </c>
      <c r="AM14" s="3"/>
      <c r="AN14" s="14"/>
      <c r="AO14" s="3" t="s">
        <v>331</v>
      </c>
      <c r="AP14" s="14"/>
      <c r="AQ14" s="3" t="s">
        <v>332</v>
      </c>
      <c r="AR14" s="14" t="s">
        <v>222</v>
      </c>
      <c r="AS14" s="3" t="s">
        <v>186</v>
      </c>
      <c r="AT14" s="14"/>
      <c r="AU14" s="3" t="s">
        <v>256</v>
      </c>
      <c r="AV14" s="14" t="s">
        <v>249</v>
      </c>
      <c r="AW14" s="3"/>
      <c r="AX14" s="14"/>
      <c r="AY14" s="3"/>
      <c r="AZ14" s="14"/>
      <c r="BA14" s="3" t="s">
        <v>333</v>
      </c>
      <c r="BB14" s="14"/>
      <c r="BC14" s="3" t="s">
        <v>321</v>
      </c>
      <c r="BD14" s="14"/>
      <c r="BE14" s="19" t="s">
        <v>334</v>
      </c>
      <c r="BF14" s="14"/>
      <c r="BG14" s="3" t="s">
        <v>335</v>
      </c>
      <c r="BH14" s="14"/>
      <c r="BI14" s="3" t="s">
        <v>118</v>
      </c>
      <c r="BJ14" s="14"/>
      <c r="BK14" s="3" t="s">
        <v>30</v>
      </c>
      <c r="BL14" s="14"/>
      <c r="BM14" s="3" t="s">
        <v>171</v>
      </c>
      <c r="BN14" s="14"/>
      <c r="BO14" s="3" t="s">
        <v>336</v>
      </c>
      <c r="BP14" s="3"/>
      <c r="BQ14" s="19" t="s">
        <v>342</v>
      </c>
      <c r="BR14" s="14"/>
      <c r="BS14" s="3" t="s">
        <v>337</v>
      </c>
      <c r="BT14" s="14"/>
      <c r="BU14" s="3" t="s">
        <v>340</v>
      </c>
      <c r="BV14" s="14"/>
      <c r="BW14" s="3"/>
      <c r="BX14" s="14"/>
      <c r="BY14" s="3" t="s">
        <v>338</v>
      </c>
      <c r="BZ14" s="14" t="s">
        <v>222</v>
      </c>
      <c r="CA14" s="3" t="s">
        <v>339</v>
      </c>
      <c r="CB14" s="8"/>
    </row>
    <row r="15" spans="1:80" ht="13" thickBot="1" x14ac:dyDescent="0.3">
      <c r="A15" s="2" t="s">
        <v>343</v>
      </c>
      <c r="B15" s="25" t="s">
        <v>344</v>
      </c>
      <c r="C15" s="24" t="s">
        <v>345</v>
      </c>
      <c r="D15" s="26" t="s">
        <v>346</v>
      </c>
      <c r="F15" s="22" t="s">
        <v>108</v>
      </c>
      <c r="G15" s="8" t="s">
        <v>347</v>
      </c>
      <c r="H15" s="3"/>
      <c r="I15" s="7"/>
      <c r="J15" s="8"/>
      <c r="K15" t="s">
        <v>349</v>
      </c>
      <c r="M15" t="s">
        <v>350</v>
      </c>
      <c r="O15" s="10" t="s">
        <v>41</v>
      </c>
      <c r="Q15" s="3" t="s">
        <v>232</v>
      </c>
      <c r="S15" t="s">
        <v>351</v>
      </c>
      <c r="U15" t="s">
        <v>154</v>
      </c>
      <c r="W15" t="s">
        <v>352</v>
      </c>
      <c r="X15" s="14"/>
      <c r="Y15" s="19"/>
      <c r="Z15" s="14"/>
      <c r="AA15" s="19"/>
      <c r="AB15" s="14"/>
      <c r="AC15" t="s">
        <v>320</v>
      </c>
      <c r="AE15" t="s">
        <v>353</v>
      </c>
      <c r="AG15" t="s">
        <v>138</v>
      </c>
      <c r="AO15" s="3"/>
      <c r="AP15" s="14"/>
      <c r="AQ15" s="3"/>
      <c r="AR15" s="14"/>
      <c r="AS15" t="s">
        <v>52</v>
      </c>
      <c r="AU15" t="s">
        <v>354</v>
      </c>
      <c r="AW15" t="s">
        <v>41</v>
      </c>
      <c r="AX15" s="14"/>
      <c r="AY15" s="3"/>
      <c r="AZ15" s="14"/>
      <c r="BA15" s="3"/>
      <c r="BB15" s="14"/>
      <c r="BC15" s="3"/>
      <c r="BD15" s="14"/>
      <c r="BE15" s="19"/>
      <c r="BF15" s="14"/>
      <c r="BG15" s="3"/>
      <c r="BH15" s="14"/>
      <c r="BI15" s="3"/>
      <c r="BJ15" s="14"/>
      <c r="BK15" s="3"/>
      <c r="BL15" s="14"/>
      <c r="BM15" s="3"/>
      <c r="BN15" s="14"/>
      <c r="BO15" t="s">
        <v>355</v>
      </c>
      <c r="BP15" s="3"/>
      <c r="BQ15" s="19"/>
      <c r="BR15" s="14"/>
      <c r="BS15" s="3"/>
      <c r="BT15" s="14"/>
      <c r="BU15" t="s">
        <v>356</v>
      </c>
      <c r="BW15" t="s">
        <v>357</v>
      </c>
      <c r="CA15" t="s">
        <v>220</v>
      </c>
      <c r="CB15" s="8"/>
    </row>
    <row r="16" spans="1:80" x14ac:dyDescent="0.25">
      <c r="A16" s="2" t="s">
        <v>104</v>
      </c>
      <c r="B16" s="7" t="s">
        <v>105</v>
      </c>
      <c r="C16" s="3" t="s">
        <v>106</v>
      </c>
      <c r="D16" s="8" t="s">
        <v>107</v>
      </c>
      <c r="E16" s="2"/>
      <c r="F16" s="22" t="s">
        <v>108</v>
      </c>
      <c r="G16" s="8" t="s">
        <v>109</v>
      </c>
      <c r="H16" s="3"/>
      <c r="I16" s="7"/>
      <c r="J16" s="8"/>
      <c r="K16" s="7"/>
      <c r="L16" s="14"/>
      <c r="M16" s="3"/>
      <c r="N16" s="14"/>
      <c r="O16" s="3" t="s">
        <v>228</v>
      </c>
      <c r="P16" s="14" t="s">
        <v>230</v>
      </c>
      <c r="Q16" s="3" t="s">
        <v>110</v>
      </c>
      <c r="R16" s="14"/>
      <c r="S16" s="3" t="s">
        <v>238</v>
      </c>
      <c r="T16" s="14" t="s">
        <v>230</v>
      </c>
      <c r="U16" s="3" t="s">
        <v>238</v>
      </c>
      <c r="V16" s="14" t="s">
        <v>230</v>
      </c>
      <c r="W16" s="3" t="s">
        <v>111</v>
      </c>
      <c r="X16" s="14"/>
      <c r="Y16" s="19"/>
      <c r="Z16" s="14"/>
      <c r="AA16" s="19"/>
      <c r="AB16" s="14"/>
      <c r="AC16" s="3"/>
      <c r="AD16" s="14"/>
      <c r="AE16" s="3" t="s">
        <v>247</v>
      </c>
      <c r="AF16" s="14" t="s">
        <v>222</v>
      </c>
      <c r="AG16" s="3" t="s">
        <v>112</v>
      </c>
      <c r="AH16" s="14"/>
      <c r="AI16" s="3"/>
      <c r="AJ16" s="3"/>
      <c r="AK16" s="3" t="s">
        <v>113</v>
      </c>
      <c r="AL16" s="14" t="s">
        <v>230</v>
      </c>
      <c r="AM16" s="3" t="s">
        <v>114</v>
      </c>
      <c r="AN16" s="14" t="s">
        <v>230</v>
      </c>
      <c r="AO16" s="3" t="s">
        <v>254</v>
      </c>
      <c r="AP16" s="14" t="s">
        <v>230</v>
      </c>
      <c r="AQ16" s="3" t="s">
        <v>115</v>
      </c>
      <c r="AR16" s="14" t="s">
        <v>230</v>
      </c>
      <c r="AS16" s="3"/>
      <c r="AT16" s="14"/>
      <c r="AU16" s="3"/>
      <c r="AV16" s="14"/>
      <c r="AW16" s="3" t="s">
        <v>116</v>
      </c>
      <c r="AX16" s="14"/>
      <c r="AY16" s="3"/>
      <c r="AZ16" s="14"/>
      <c r="BA16" s="3"/>
      <c r="BB16" s="14"/>
      <c r="BC16" s="3"/>
      <c r="BD16" s="14"/>
      <c r="BE16" s="19"/>
      <c r="BF16" s="14"/>
      <c r="BG16" s="3"/>
      <c r="BH16" s="14"/>
      <c r="BI16" s="3" t="s">
        <v>118</v>
      </c>
      <c r="BJ16" s="14"/>
      <c r="BK16" s="3"/>
      <c r="BL16" s="14"/>
      <c r="BM16" s="3"/>
      <c r="BN16" s="14"/>
      <c r="BO16" s="3"/>
      <c r="BP16" s="3"/>
      <c r="BQ16" s="19"/>
      <c r="BR16" s="14"/>
      <c r="BS16" s="3"/>
      <c r="BT16" s="14"/>
      <c r="BU16" s="3"/>
      <c r="BV16" s="14"/>
      <c r="BW16" s="3"/>
      <c r="BX16" s="14"/>
      <c r="BY16" s="3"/>
      <c r="BZ16" s="14"/>
      <c r="CA16" s="3"/>
      <c r="CB16" s="8"/>
    </row>
    <row r="17" spans="1:80" x14ac:dyDescent="0.25">
      <c r="A17" s="2" t="s">
        <v>92</v>
      </c>
      <c r="B17" s="7" t="s">
        <v>93</v>
      </c>
      <c r="C17" s="3" t="s">
        <v>94</v>
      </c>
      <c r="D17" s="8" t="s">
        <v>7</v>
      </c>
      <c r="E17" s="2"/>
      <c r="F17" s="22" t="s">
        <v>95</v>
      </c>
      <c r="G17" s="8" t="s">
        <v>96</v>
      </c>
      <c r="H17" s="3"/>
      <c r="I17" s="7"/>
      <c r="J17" s="8"/>
      <c r="K17" s="7"/>
      <c r="L17" s="14"/>
      <c r="M17" s="3"/>
      <c r="N17" s="14"/>
      <c r="O17" s="3" t="s">
        <v>97</v>
      </c>
      <c r="P17" s="14"/>
      <c r="Q17" s="3" t="s">
        <v>98</v>
      </c>
      <c r="R17" s="14"/>
      <c r="S17" s="3" t="s">
        <v>99</v>
      </c>
      <c r="T17" s="14"/>
      <c r="U17" s="3"/>
      <c r="V17" s="14"/>
      <c r="W17" s="3" t="s">
        <v>100</v>
      </c>
      <c r="X17" s="14"/>
      <c r="Y17" s="19"/>
      <c r="Z17" s="14"/>
      <c r="AA17" s="19"/>
      <c r="AB17" s="14"/>
      <c r="AC17" s="3"/>
      <c r="AD17" s="14"/>
      <c r="AE17" s="3" t="s">
        <v>101</v>
      </c>
      <c r="AF17" s="14"/>
      <c r="AG17" s="3"/>
      <c r="AH17" s="14"/>
      <c r="AI17" s="3"/>
      <c r="AJ17" s="3"/>
      <c r="AK17" s="3" t="s">
        <v>102</v>
      </c>
      <c r="AL17" s="14"/>
      <c r="AM17" s="3"/>
      <c r="AN17" s="14"/>
      <c r="AO17" s="3"/>
      <c r="AP17" s="14"/>
      <c r="AQ17" s="3"/>
      <c r="AR17" s="14"/>
      <c r="AS17" s="3"/>
      <c r="AT17" s="14"/>
      <c r="AU17" s="3"/>
      <c r="AV17" s="14"/>
      <c r="AW17" s="3"/>
      <c r="AX17" s="14"/>
      <c r="AY17" s="3"/>
      <c r="AZ17" s="14"/>
      <c r="BA17" s="3"/>
      <c r="BB17" s="14"/>
      <c r="BC17" s="3"/>
      <c r="BD17" s="14"/>
      <c r="BE17" s="19"/>
      <c r="BF17" s="14"/>
      <c r="BG17" s="3" t="s">
        <v>103</v>
      </c>
      <c r="BH17" s="14"/>
      <c r="BI17" s="3"/>
      <c r="BJ17" s="14"/>
      <c r="BK17" s="3"/>
      <c r="BL17" s="14"/>
      <c r="BM17" s="3"/>
      <c r="BN17" s="14"/>
      <c r="BO17" s="3"/>
      <c r="BP17" s="3"/>
      <c r="BQ17" s="19"/>
      <c r="BR17" s="14"/>
      <c r="BS17" s="3"/>
      <c r="BT17" s="14"/>
      <c r="BU17" s="3"/>
      <c r="BV17" s="14"/>
      <c r="BW17" s="3"/>
      <c r="BX17" s="14"/>
      <c r="BY17" s="3"/>
      <c r="BZ17" s="14"/>
      <c r="CA17" s="3"/>
      <c r="CB17" s="8"/>
    </row>
    <row r="18" spans="1:80" x14ac:dyDescent="0.25">
      <c r="A18" s="2" t="s">
        <v>172</v>
      </c>
      <c r="B18" s="7" t="s">
        <v>173</v>
      </c>
      <c r="C18" s="3" t="s">
        <v>174</v>
      </c>
      <c r="D18" s="8" t="s">
        <v>7</v>
      </c>
      <c r="E18" s="2"/>
      <c r="F18" s="22">
        <v>98</v>
      </c>
      <c r="G18" s="8" t="s">
        <v>176</v>
      </c>
      <c r="H18" s="3"/>
      <c r="I18" s="7"/>
      <c r="J18" s="8"/>
      <c r="K18" s="7" t="s">
        <v>182</v>
      </c>
      <c r="L18" s="14"/>
      <c r="M18" s="3" t="s">
        <v>181</v>
      </c>
      <c r="N18" s="14"/>
      <c r="O18" s="3" t="s">
        <v>177</v>
      </c>
      <c r="P18" s="14"/>
      <c r="Q18" s="3"/>
      <c r="R18" s="14"/>
      <c r="S18" s="3"/>
      <c r="T18" s="14"/>
      <c r="U18" s="3"/>
      <c r="V18" s="14"/>
      <c r="W18" s="3"/>
      <c r="X18" s="14"/>
      <c r="Y18" s="19"/>
      <c r="Z18" s="14"/>
      <c r="AA18" s="19"/>
      <c r="AB18" s="14"/>
      <c r="AC18" s="3"/>
      <c r="AD18" s="14"/>
      <c r="AE18" s="3" t="s">
        <v>178</v>
      </c>
      <c r="AF18" s="14"/>
      <c r="AG18" s="3" t="s">
        <v>179</v>
      </c>
      <c r="AH18" s="14"/>
      <c r="AI18" s="3"/>
      <c r="AJ18" s="3"/>
      <c r="AK18" s="3"/>
      <c r="AL18" s="14"/>
      <c r="AM18" s="3" t="s">
        <v>264</v>
      </c>
      <c r="AN18" s="14"/>
      <c r="AO18" s="3" t="s">
        <v>158</v>
      </c>
      <c r="AP18" s="14"/>
      <c r="AQ18" s="3" t="s">
        <v>180</v>
      </c>
      <c r="AR18" s="14"/>
      <c r="AS18" s="3" t="s">
        <v>186</v>
      </c>
      <c r="AT18" s="14"/>
      <c r="AU18" s="3"/>
      <c r="AV18" s="14"/>
      <c r="AW18" s="3"/>
      <c r="AX18" s="14"/>
      <c r="AY18" s="3"/>
      <c r="AZ18" s="14"/>
      <c r="BB18" s="14"/>
      <c r="BD18" s="14"/>
      <c r="BF18" s="14"/>
      <c r="BG18" s="3"/>
      <c r="BH18" s="14"/>
      <c r="BI18" s="3"/>
      <c r="BJ18" s="14"/>
      <c r="BK18" s="3"/>
      <c r="BL18" s="14"/>
      <c r="BM18" s="3"/>
      <c r="BN18" s="14"/>
      <c r="BO18" s="3"/>
      <c r="BP18" s="3"/>
      <c r="BQ18" s="19"/>
      <c r="BR18" s="14"/>
      <c r="BS18" s="3"/>
      <c r="BT18" s="14"/>
      <c r="BU18" s="3" t="s">
        <v>183</v>
      </c>
      <c r="BV18" s="14"/>
      <c r="BW18" s="3" t="s">
        <v>188</v>
      </c>
      <c r="BX18" s="14"/>
      <c r="BY18" s="3"/>
      <c r="BZ18" s="14"/>
      <c r="CA18" s="3"/>
      <c r="CB18" s="8"/>
    </row>
    <row r="19" spans="1:80" x14ac:dyDescent="0.25">
      <c r="A19" s="2" t="s">
        <v>160</v>
      </c>
      <c r="B19" s="7" t="s">
        <v>221</v>
      </c>
      <c r="C19" s="3" t="s">
        <v>175</v>
      </c>
      <c r="D19" s="8" t="s">
        <v>161</v>
      </c>
      <c r="E19" s="2"/>
      <c r="F19" s="22" t="s">
        <v>162</v>
      </c>
      <c r="G19" s="8" t="s">
        <v>39</v>
      </c>
      <c r="H19" s="3"/>
      <c r="I19" s="7" t="s">
        <v>348</v>
      </c>
      <c r="J19" s="8"/>
      <c r="K19" s="7" t="s">
        <v>163</v>
      </c>
      <c r="L19" s="14"/>
      <c r="M19" s="3" t="s">
        <v>164</v>
      </c>
      <c r="N19" s="14"/>
      <c r="O19" s="3" t="s">
        <v>165</v>
      </c>
      <c r="P19" s="14"/>
      <c r="Q19" s="3" t="s">
        <v>234</v>
      </c>
      <c r="R19" s="14" t="s">
        <v>230</v>
      </c>
      <c r="S19" s="3" t="s">
        <v>239</v>
      </c>
      <c r="T19" s="14" t="s">
        <v>230</v>
      </c>
      <c r="U19" s="3" t="s">
        <v>234</v>
      </c>
      <c r="V19" s="14" t="s">
        <v>230</v>
      </c>
      <c r="W19" s="3" t="s">
        <v>166</v>
      </c>
      <c r="X19" s="14"/>
      <c r="Y19" s="19"/>
      <c r="Z19" s="14"/>
      <c r="AA19" s="19"/>
      <c r="AB19" s="14"/>
      <c r="AC19" s="3" t="s">
        <v>167</v>
      </c>
      <c r="AD19" s="14"/>
      <c r="AE19" s="3" t="s">
        <v>137</v>
      </c>
      <c r="AF19" s="14" t="s">
        <v>230</v>
      </c>
      <c r="AG19" s="3"/>
      <c r="AH19" s="14"/>
      <c r="AI19" s="3"/>
      <c r="AJ19" s="3"/>
      <c r="AK19" s="3" t="s">
        <v>168</v>
      </c>
      <c r="AL19" s="14"/>
      <c r="AM19" s="3"/>
      <c r="AN19" s="14"/>
      <c r="AO19" s="3" t="s">
        <v>158</v>
      </c>
      <c r="AP19" s="14"/>
      <c r="AQ19" s="3"/>
      <c r="AR19" s="14"/>
      <c r="AS19" s="3" t="s">
        <v>52</v>
      </c>
      <c r="AT19" s="14"/>
      <c r="AU19" s="3" t="s">
        <v>128</v>
      </c>
      <c r="AV19" s="14"/>
      <c r="AW19" s="3" t="s">
        <v>169</v>
      </c>
      <c r="AX19" s="14"/>
      <c r="AY19" s="3" t="s">
        <v>170</v>
      </c>
      <c r="AZ19" s="14"/>
      <c r="BA19" s="3"/>
      <c r="BB19" s="14"/>
      <c r="BC19" s="3"/>
      <c r="BD19" s="14"/>
      <c r="BE19" s="19"/>
      <c r="BF19" s="14"/>
      <c r="BG19" s="3"/>
      <c r="BH19" s="14"/>
      <c r="BI19" s="3"/>
      <c r="BJ19" s="14"/>
      <c r="BK19" s="3"/>
      <c r="BL19" s="14"/>
      <c r="BM19" s="3" t="s">
        <v>171</v>
      </c>
      <c r="BN19" s="14"/>
      <c r="BO19" s="3" t="s">
        <v>313</v>
      </c>
      <c r="BP19" s="3"/>
      <c r="BQ19" s="19"/>
      <c r="BR19" s="14"/>
      <c r="BS19" s="3"/>
      <c r="BT19" s="14"/>
      <c r="BU19" s="3" t="s">
        <v>185</v>
      </c>
      <c r="BV19" s="14"/>
      <c r="BW19" s="3" t="s">
        <v>189</v>
      </c>
      <c r="BX19" s="14"/>
      <c r="BY19" s="3"/>
      <c r="BZ19" s="14"/>
      <c r="CA19" s="3"/>
      <c r="CB19" s="8"/>
    </row>
    <row r="20" spans="1:80" x14ac:dyDescent="0.25">
      <c r="A20" s="2" t="s">
        <v>266</v>
      </c>
      <c r="B20" s="7" t="s">
        <v>267</v>
      </c>
      <c r="C20" s="3" t="s">
        <v>268</v>
      </c>
      <c r="D20" s="8" t="s">
        <v>7</v>
      </c>
      <c r="E20" s="2"/>
      <c r="F20" s="22" t="s">
        <v>269</v>
      </c>
      <c r="G20" s="8" t="s">
        <v>122</v>
      </c>
      <c r="H20" s="3"/>
      <c r="I20" s="7"/>
      <c r="J20" s="8"/>
      <c r="K20" s="7"/>
      <c r="L20" s="14"/>
      <c r="M20" s="3"/>
      <c r="N20" s="14"/>
      <c r="O20" s="3" t="s">
        <v>270</v>
      </c>
      <c r="P20" s="14" t="s">
        <v>230</v>
      </c>
      <c r="Q20" s="3" t="s">
        <v>270</v>
      </c>
      <c r="R20" s="14" t="s">
        <v>230</v>
      </c>
      <c r="S20" s="3" t="s">
        <v>271</v>
      </c>
      <c r="T20" s="14" t="s">
        <v>230</v>
      </c>
      <c r="U20" s="3"/>
      <c r="V20" s="14"/>
      <c r="W20" s="3" t="s">
        <v>273</v>
      </c>
      <c r="X20" s="14" t="s">
        <v>272</v>
      </c>
      <c r="Y20" s="19"/>
      <c r="Z20" s="14"/>
      <c r="AA20" s="19"/>
      <c r="AB20" s="14"/>
      <c r="AC20" s="3" t="s">
        <v>273</v>
      </c>
      <c r="AD20" s="14" t="s">
        <v>274</v>
      </c>
      <c r="AE20" s="3" t="s">
        <v>275</v>
      </c>
      <c r="AF20" s="14"/>
      <c r="AG20" s="3" t="s">
        <v>276</v>
      </c>
      <c r="AH20" s="14"/>
      <c r="AI20" s="3"/>
      <c r="AJ20" s="3"/>
      <c r="AK20" s="3" t="s">
        <v>279</v>
      </c>
      <c r="AL20" s="14"/>
      <c r="AM20" s="3"/>
      <c r="AN20" s="14"/>
      <c r="AO20" s="3" t="s">
        <v>277</v>
      </c>
      <c r="AP20" s="14"/>
      <c r="AQ20" s="3"/>
      <c r="AR20" s="14"/>
      <c r="AS20" s="3" t="s">
        <v>52</v>
      </c>
      <c r="AT20" s="14" t="s">
        <v>222</v>
      </c>
      <c r="AU20" s="3"/>
      <c r="AV20" s="14"/>
      <c r="AW20" s="3"/>
      <c r="AX20" s="14"/>
      <c r="AY20" s="3"/>
      <c r="AZ20" s="14"/>
      <c r="BA20" s="3"/>
      <c r="BB20" s="14"/>
      <c r="BC20" s="3"/>
      <c r="BD20" s="14"/>
      <c r="BE20" s="19"/>
      <c r="BF20" s="14"/>
      <c r="BG20" s="3"/>
      <c r="BH20" s="14"/>
      <c r="BI20" s="3"/>
      <c r="BJ20" s="14"/>
      <c r="BK20" s="3"/>
      <c r="BL20" s="14"/>
      <c r="BM20" s="3"/>
      <c r="BN20" s="14"/>
      <c r="BO20" s="3"/>
      <c r="BP20" s="3"/>
      <c r="BQ20" s="19"/>
      <c r="BR20" s="14"/>
      <c r="BS20" s="3"/>
      <c r="BT20" s="14"/>
      <c r="BU20" s="3"/>
      <c r="BV20" s="14"/>
      <c r="BW20" s="3"/>
      <c r="BX20" s="14"/>
      <c r="BY20" s="3"/>
      <c r="BZ20" s="14"/>
      <c r="CA20" s="3"/>
      <c r="CB20" s="8"/>
    </row>
    <row r="21" spans="1:80" x14ac:dyDescent="0.25">
      <c r="A21" s="2" t="s">
        <v>69</v>
      </c>
      <c r="B21" s="7" t="s">
        <v>70</v>
      </c>
      <c r="C21" s="3" t="s">
        <v>71</v>
      </c>
      <c r="D21" s="8" t="s">
        <v>7</v>
      </c>
      <c r="E21" s="2"/>
      <c r="F21" s="22" t="s">
        <v>72</v>
      </c>
      <c r="G21" s="8" t="s">
        <v>73</v>
      </c>
      <c r="H21" s="3"/>
      <c r="I21" s="7"/>
      <c r="J21" s="8"/>
      <c r="K21" s="7"/>
      <c r="L21" s="14"/>
      <c r="M21" s="3"/>
      <c r="N21" s="14"/>
      <c r="O21" s="3" t="s">
        <v>225</v>
      </c>
      <c r="P21" s="14" t="s">
        <v>222</v>
      </c>
      <c r="Q21" s="3" t="s">
        <v>235</v>
      </c>
      <c r="R21" s="14" t="s">
        <v>222</v>
      </c>
      <c r="S21" s="3" t="s">
        <v>74</v>
      </c>
      <c r="T21" s="14"/>
      <c r="U21" s="3"/>
      <c r="V21" s="14"/>
      <c r="W21" s="3" t="s">
        <v>243</v>
      </c>
      <c r="X21" s="14" t="s">
        <v>222</v>
      </c>
      <c r="Y21" s="19"/>
      <c r="Z21" s="14"/>
      <c r="AA21" s="19"/>
      <c r="AB21" s="14"/>
      <c r="AC21" s="3" t="s">
        <v>75</v>
      </c>
      <c r="AD21" s="14"/>
      <c r="AE21" s="3"/>
      <c r="AF21" s="14"/>
      <c r="AG21" s="3" t="s">
        <v>76</v>
      </c>
      <c r="AH21" s="14"/>
      <c r="AI21" s="3"/>
      <c r="AJ21" s="3"/>
      <c r="AK21" s="3" t="s">
        <v>77</v>
      </c>
      <c r="AL21" s="14"/>
      <c r="AM21" s="3"/>
      <c r="AN21" s="14"/>
      <c r="AO21" s="3" t="s">
        <v>78</v>
      </c>
      <c r="AP21" s="14"/>
      <c r="AQ21" s="3" t="s">
        <v>79</v>
      </c>
      <c r="AR21" s="14"/>
      <c r="AS21" s="3"/>
      <c r="AT21" s="14"/>
      <c r="AU21" s="3"/>
      <c r="AV21" s="14"/>
      <c r="AW21" s="3" t="s">
        <v>80</v>
      </c>
      <c r="AX21" s="14"/>
      <c r="AY21" s="3"/>
      <c r="AZ21" s="14"/>
      <c r="BA21" s="3"/>
      <c r="BB21" s="14"/>
      <c r="BC21" s="3"/>
      <c r="BD21" s="14"/>
      <c r="BE21" s="19"/>
      <c r="BF21" s="14"/>
      <c r="BG21" s="3"/>
      <c r="BH21" s="14"/>
      <c r="BI21" s="3"/>
      <c r="BJ21" s="14"/>
      <c r="BK21" s="3"/>
      <c r="BL21" s="14"/>
      <c r="BM21" s="3"/>
      <c r="BN21" s="14"/>
      <c r="BO21" s="3"/>
      <c r="BP21" s="3"/>
      <c r="BQ21" s="19"/>
      <c r="BR21" s="14"/>
      <c r="BS21" s="3"/>
      <c r="BT21" s="14"/>
      <c r="BU21" s="3"/>
      <c r="BV21" s="14"/>
      <c r="BW21" s="3"/>
      <c r="BX21" s="14"/>
      <c r="BY21" s="3"/>
      <c r="BZ21" s="14"/>
      <c r="CA21" s="3"/>
      <c r="CB21" s="8"/>
    </row>
    <row r="22" spans="1:80" x14ac:dyDescent="0.25">
      <c r="A22" s="2" t="s">
        <v>35</v>
      </c>
      <c r="B22" s="7" t="s">
        <v>36</v>
      </c>
      <c r="C22" s="3" t="s">
        <v>37</v>
      </c>
      <c r="D22" s="8"/>
      <c r="E22" s="2"/>
      <c r="F22" s="22" t="s">
        <v>38</v>
      </c>
      <c r="G22" s="8" t="s">
        <v>39</v>
      </c>
      <c r="H22" s="3"/>
      <c r="I22" s="7"/>
      <c r="J22" s="8"/>
      <c r="K22" s="7"/>
      <c r="L22" s="14"/>
      <c r="M22" s="3" t="s">
        <v>45</v>
      </c>
      <c r="N22" s="14"/>
      <c r="O22" s="3" t="s">
        <v>227</v>
      </c>
      <c r="P22" s="14" t="s">
        <v>230</v>
      </c>
      <c r="Q22" s="3" t="s">
        <v>236</v>
      </c>
      <c r="R22" s="14" t="s">
        <v>230</v>
      </c>
      <c r="S22" s="3" t="s">
        <v>42</v>
      </c>
      <c r="T22" s="14"/>
      <c r="U22" s="3"/>
      <c r="V22" s="14"/>
      <c r="W22" s="3"/>
      <c r="X22" s="14"/>
      <c r="Y22" s="19"/>
      <c r="Z22" s="14"/>
      <c r="AA22" s="19"/>
      <c r="AB22" s="14"/>
      <c r="AC22" s="3"/>
      <c r="AD22" s="14"/>
      <c r="AE22" s="3" t="s">
        <v>246</v>
      </c>
      <c r="AF22" s="14" t="s">
        <v>230</v>
      </c>
      <c r="AG22" s="3"/>
      <c r="AH22" s="14"/>
      <c r="AI22" s="3"/>
      <c r="AJ22" s="3"/>
      <c r="AK22" s="3"/>
      <c r="AL22" s="14"/>
      <c r="AM22" s="3"/>
      <c r="AN22" s="14"/>
      <c r="AO22" s="3" t="s">
        <v>263</v>
      </c>
      <c r="AP22" s="14" t="s">
        <v>222</v>
      </c>
      <c r="AQ22" s="3"/>
      <c r="AR22" s="14"/>
      <c r="AS22" s="3"/>
      <c r="AT22" s="14"/>
      <c r="AU22" s="3"/>
      <c r="AV22" s="14"/>
      <c r="AW22" s="3"/>
      <c r="AX22" s="14"/>
      <c r="AY22" s="3"/>
      <c r="AZ22" s="14"/>
      <c r="BA22" s="3"/>
      <c r="BB22" s="14"/>
      <c r="BC22" s="3"/>
      <c r="BD22" s="14"/>
      <c r="BE22" s="19"/>
      <c r="BF22" s="14"/>
      <c r="BG22" s="3"/>
      <c r="BH22" s="14"/>
      <c r="BI22" s="3"/>
      <c r="BJ22" s="14"/>
      <c r="BK22" s="3"/>
      <c r="BL22" s="14"/>
      <c r="BM22" s="3"/>
      <c r="BN22" s="14"/>
      <c r="BO22" s="3"/>
      <c r="BP22" s="3"/>
      <c r="BQ22" s="19"/>
      <c r="BR22" s="14"/>
      <c r="BS22" s="3"/>
      <c r="BT22" s="14"/>
      <c r="BU22" s="3"/>
      <c r="BV22" s="14"/>
      <c r="BW22" s="3"/>
      <c r="BX22" s="14"/>
      <c r="BY22" s="3"/>
      <c r="BZ22" s="14"/>
      <c r="CA22" s="3"/>
      <c r="CB22" s="8"/>
    </row>
    <row r="23" spans="1:80" x14ac:dyDescent="0.25">
      <c r="A23" s="2" t="s">
        <v>148</v>
      </c>
      <c r="B23" s="7" t="s">
        <v>149</v>
      </c>
      <c r="C23" s="3" t="s">
        <v>150</v>
      </c>
      <c r="D23" s="8" t="s">
        <v>151</v>
      </c>
      <c r="E23" s="2"/>
      <c r="F23" s="22" t="s">
        <v>95</v>
      </c>
      <c r="G23" s="8" t="s">
        <v>152</v>
      </c>
      <c r="H23" s="3"/>
      <c r="I23" s="7"/>
      <c r="J23" s="8"/>
      <c r="K23" s="7" t="s">
        <v>159</v>
      </c>
      <c r="L23" s="14"/>
      <c r="M23" s="3"/>
      <c r="N23" s="14"/>
      <c r="O23" s="3" t="s">
        <v>153</v>
      </c>
      <c r="P23" s="14"/>
      <c r="Q23" s="3" t="s">
        <v>324</v>
      </c>
      <c r="R23" s="14" t="s">
        <v>222</v>
      </c>
      <c r="S23" s="3" t="s">
        <v>135</v>
      </c>
      <c r="T23" s="14"/>
      <c r="U23" s="3" t="s">
        <v>325</v>
      </c>
      <c r="V23" s="14"/>
      <c r="W23" s="3" t="s">
        <v>155</v>
      </c>
      <c r="X23" s="14"/>
      <c r="Y23" s="19"/>
      <c r="Z23" s="14"/>
      <c r="AA23" s="19"/>
      <c r="AB23" s="14"/>
      <c r="AC23" s="3"/>
      <c r="AD23" s="14"/>
      <c r="AE23" s="3" t="s">
        <v>156</v>
      </c>
      <c r="AF23" s="14"/>
      <c r="AG23" s="3" t="s">
        <v>157</v>
      </c>
      <c r="AH23" s="14"/>
      <c r="AI23" s="3"/>
      <c r="AJ23" s="3"/>
      <c r="AK23" s="3"/>
      <c r="AL23" s="14"/>
      <c r="AM23" s="3"/>
      <c r="AN23" s="14"/>
      <c r="AO23" s="3" t="s">
        <v>158</v>
      </c>
      <c r="AP23" s="14"/>
      <c r="AQ23" s="3" t="s">
        <v>64</v>
      </c>
      <c r="AR23" s="14"/>
      <c r="AS23" s="3"/>
      <c r="AT23" s="14"/>
      <c r="AU23" s="3"/>
      <c r="AV23" s="14"/>
      <c r="AW23" s="3"/>
      <c r="AX23" s="14"/>
      <c r="AY23" s="3"/>
      <c r="AZ23" s="14"/>
      <c r="BA23" s="3" t="s">
        <v>64</v>
      </c>
      <c r="BB23" s="14"/>
      <c r="BC23" s="3"/>
      <c r="BD23" s="14"/>
      <c r="BE23" s="19"/>
      <c r="BF23" s="14"/>
      <c r="BG23" s="3"/>
      <c r="BH23" s="14"/>
      <c r="BI23" s="3"/>
      <c r="BJ23" s="14"/>
      <c r="BK23" s="3"/>
      <c r="BL23" s="14"/>
      <c r="BM23" s="3"/>
      <c r="BN23" s="14"/>
      <c r="BO23" s="3"/>
      <c r="BP23" s="3"/>
      <c r="BQ23" s="19"/>
      <c r="BR23" s="14"/>
      <c r="BS23" s="3"/>
      <c r="BT23" s="14"/>
      <c r="BU23" s="3"/>
      <c r="BV23" s="14"/>
      <c r="BW23" s="3"/>
      <c r="BX23" s="14"/>
      <c r="BY23" s="3"/>
      <c r="BZ23" s="14"/>
      <c r="CA23" s="3"/>
      <c r="CB23" s="8"/>
    </row>
    <row r="24" spans="1:80" x14ac:dyDescent="0.25">
      <c r="A24" s="2" t="s">
        <v>81</v>
      </c>
      <c r="B24" s="7" t="s">
        <v>83</v>
      </c>
      <c r="C24" s="3" t="s">
        <v>84</v>
      </c>
      <c r="D24" s="8"/>
      <c r="E24" s="2"/>
      <c r="F24" s="22" t="s">
        <v>82</v>
      </c>
      <c r="G24" s="8"/>
      <c r="H24" s="3"/>
      <c r="I24" s="7"/>
      <c r="J24" s="8"/>
      <c r="K24" s="7"/>
      <c r="L24" s="14"/>
      <c r="M24" s="3" t="s">
        <v>86</v>
      </c>
      <c r="N24" s="14"/>
      <c r="O24" s="3" t="s">
        <v>226</v>
      </c>
      <c r="P24" s="14" t="s">
        <v>222</v>
      </c>
      <c r="Q24" s="3" t="s">
        <v>226</v>
      </c>
      <c r="R24" s="14" t="s">
        <v>222</v>
      </c>
      <c r="S24" s="3" t="s">
        <v>89</v>
      </c>
      <c r="T24" s="14"/>
      <c r="U24" s="3"/>
      <c r="V24" s="14"/>
      <c r="W24" s="3" t="s">
        <v>85</v>
      </c>
      <c r="X24" s="14"/>
      <c r="Y24" s="19"/>
      <c r="Z24" s="14"/>
      <c r="AA24" s="19"/>
      <c r="AB24" s="14"/>
      <c r="AC24" s="3"/>
      <c r="AD24" s="14"/>
      <c r="AE24" s="3"/>
      <c r="AF24" s="14"/>
      <c r="AG24" s="3"/>
      <c r="AH24" s="14"/>
      <c r="AI24" s="3"/>
      <c r="AJ24" s="3"/>
      <c r="AK24" s="3"/>
      <c r="AL24" s="14"/>
      <c r="AM24" s="3"/>
      <c r="AN24" s="14"/>
      <c r="AO24" s="3"/>
      <c r="AP24" s="14"/>
      <c r="AQ24" s="3" t="s">
        <v>226</v>
      </c>
      <c r="AR24" s="14" t="s">
        <v>222</v>
      </c>
      <c r="AS24" s="3"/>
      <c r="AT24" s="14"/>
      <c r="AU24" s="3"/>
      <c r="AV24" s="14"/>
      <c r="AW24" s="3" t="s">
        <v>257</v>
      </c>
      <c r="AX24" s="14" t="s">
        <v>249</v>
      </c>
      <c r="AY24" s="3"/>
      <c r="AZ24" s="14"/>
      <c r="BA24" s="3"/>
      <c r="BB24" s="14"/>
      <c r="BC24" s="3" t="s">
        <v>64</v>
      </c>
      <c r="BD24" s="14"/>
      <c r="BE24" s="19" t="s">
        <v>64</v>
      </c>
      <c r="BF24" s="14"/>
      <c r="BG24" s="3" t="s">
        <v>91</v>
      </c>
      <c r="BH24" s="14"/>
      <c r="BI24" s="3"/>
      <c r="BJ24" s="14"/>
      <c r="BK24" s="3"/>
      <c r="BL24" s="14"/>
      <c r="BM24" s="3"/>
      <c r="BN24" s="14"/>
      <c r="BO24" s="3"/>
      <c r="BP24" s="3"/>
      <c r="BQ24" s="19"/>
      <c r="BR24" s="14"/>
      <c r="BS24" s="3"/>
      <c r="BT24" s="14"/>
      <c r="BU24" s="3"/>
      <c r="BV24" s="14"/>
      <c r="BW24" s="3"/>
      <c r="BX24" s="14"/>
      <c r="BY24" s="3"/>
      <c r="BZ24" s="14"/>
      <c r="CA24" s="3"/>
      <c r="CB24" s="8"/>
    </row>
    <row r="25" spans="1:80" x14ac:dyDescent="0.25">
      <c r="A25" s="2" t="s">
        <v>297</v>
      </c>
      <c r="B25" s="7" t="s">
        <v>298</v>
      </c>
      <c r="C25" s="3" t="s">
        <v>299</v>
      </c>
      <c r="D25" s="8" t="s">
        <v>7</v>
      </c>
      <c r="E25" s="2"/>
      <c r="F25" s="22" t="s">
        <v>300</v>
      </c>
      <c r="G25" s="8" t="s">
        <v>301</v>
      </c>
      <c r="H25" s="3"/>
      <c r="I25" s="7"/>
      <c r="J25" s="8"/>
      <c r="K25" s="7"/>
      <c r="L25" s="14"/>
      <c r="M25" s="3"/>
      <c r="N25" s="14"/>
      <c r="O25" s="3" t="s">
        <v>302</v>
      </c>
      <c r="P25" s="14"/>
      <c r="Q25" s="3" t="s">
        <v>303</v>
      </c>
      <c r="R25" s="14" t="s">
        <v>222</v>
      </c>
      <c r="S25" s="3" t="s">
        <v>303</v>
      </c>
      <c r="T25" s="14" t="s">
        <v>222</v>
      </c>
      <c r="U25" s="3" t="s">
        <v>154</v>
      </c>
      <c r="V25" s="14"/>
      <c r="W25" s="3"/>
      <c r="X25" s="14"/>
      <c r="Y25" s="19"/>
      <c r="Z25" s="14"/>
      <c r="AA25" s="19"/>
      <c r="AB25" s="14"/>
      <c r="AC25" s="3"/>
      <c r="AD25" s="14"/>
      <c r="AE25" s="3" t="s">
        <v>304</v>
      </c>
      <c r="AF25" s="14"/>
      <c r="AG25" s="3" t="s">
        <v>305</v>
      </c>
      <c r="AH25" s="14"/>
      <c r="AI25" s="3"/>
      <c r="AJ25" s="3"/>
      <c r="AK25" s="3"/>
      <c r="AL25" s="14"/>
      <c r="AM25" s="3" t="s">
        <v>306</v>
      </c>
      <c r="AN25" s="14"/>
      <c r="AO25" s="3"/>
      <c r="AP25" s="14"/>
      <c r="AQ25" s="3"/>
      <c r="AR25" s="14"/>
      <c r="AS25" s="3"/>
      <c r="AT25" s="14"/>
      <c r="AU25" s="3"/>
      <c r="AV25" s="14"/>
      <c r="AW25" s="3"/>
      <c r="AX25" s="14"/>
      <c r="AY25" s="3"/>
      <c r="AZ25" s="14"/>
      <c r="BA25" s="3"/>
      <c r="BB25" s="14"/>
      <c r="BC25" s="3"/>
      <c r="BD25" s="14"/>
      <c r="BE25" s="19"/>
      <c r="BF25" s="14"/>
      <c r="BG25" s="3"/>
      <c r="BH25" s="14"/>
      <c r="BI25" s="3"/>
      <c r="BJ25" s="14"/>
      <c r="BK25" s="3"/>
      <c r="BL25" s="14"/>
      <c r="BM25" s="3" t="s">
        <v>306</v>
      </c>
      <c r="BN25" s="14"/>
      <c r="BO25" s="3" t="s">
        <v>308</v>
      </c>
      <c r="BP25" s="3"/>
      <c r="BQ25" s="19"/>
      <c r="BR25" s="14"/>
      <c r="BS25" s="3"/>
      <c r="BT25" s="14"/>
      <c r="BU25" s="3"/>
      <c r="BV25" s="14"/>
      <c r="BW25" s="3"/>
      <c r="BX25" s="14"/>
      <c r="BY25" s="3"/>
      <c r="BZ25" s="14"/>
      <c r="CA25" s="3"/>
      <c r="CB25" s="8"/>
    </row>
    <row r="26" spans="1:80" x14ac:dyDescent="0.25">
      <c r="A26" s="2" t="s">
        <v>129</v>
      </c>
      <c r="B26" s="7" t="s">
        <v>130</v>
      </c>
      <c r="C26" s="3" t="s">
        <v>131</v>
      </c>
      <c r="D26" s="8" t="s">
        <v>7</v>
      </c>
      <c r="E26" s="2"/>
      <c r="F26" s="22">
        <v>95</v>
      </c>
      <c r="G26" s="8" t="s">
        <v>132</v>
      </c>
      <c r="H26" s="3"/>
      <c r="I26" s="7"/>
      <c r="J26" s="8"/>
      <c r="K26" s="7" t="s">
        <v>140</v>
      </c>
      <c r="L26" s="14"/>
      <c r="M26" s="3" t="s">
        <v>86</v>
      </c>
      <c r="N26" s="14"/>
      <c r="O26" s="3" t="s">
        <v>133</v>
      </c>
      <c r="P26" s="14"/>
      <c r="Q26" s="3" t="s">
        <v>134</v>
      </c>
      <c r="R26" s="14"/>
      <c r="S26" s="3" t="s">
        <v>135</v>
      </c>
      <c r="T26" s="14"/>
      <c r="U26" s="3" t="s">
        <v>135</v>
      </c>
      <c r="V26" s="14"/>
      <c r="W26" s="3" t="s">
        <v>136</v>
      </c>
      <c r="X26" s="14"/>
      <c r="Y26" s="19"/>
      <c r="Z26" s="14"/>
      <c r="AA26" s="19"/>
      <c r="AB26" s="14"/>
      <c r="AC26" s="3" t="s">
        <v>136</v>
      </c>
      <c r="AD26" s="14"/>
      <c r="AE26" s="3" t="s">
        <v>137</v>
      </c>
      <c r="AF26" s="14"/>
      <c r="AG26" s="3" t="s">
        <v>138</v>
      </c>
      <c r="AH26" s="14"/>
      <c r="AI26" s="3"/>
      <c r="AJ26" s="3"/>
      <c r="AK26" s="3" t="s">
        <v>139</v>
      </c>
      <c r="AL26" s="14"/>
      <c r="AM26" s="3"/>
      <c r="AN26" s="14"/>
      <c r="AO26" s="3" t="s">
        <v>136</v>
      </c>
      <c r="AP26" s="14"/>
      <c r="AQ26" s="3"/>
      <c r="AR26" s="14"/>
      <c r="AS26" s="3" t="s">
        <v>141</v>
      </c>
      <c r="AT26" s="14"/>
      <c r="AU26" s="3"/>
      <c r="AV26" s="14"/>
      <c r="AW26" s="3"/>
      <c r="AX26" s="14"/>
      <c r="AY26" s="3"/>
      <c r="AZ26" s="14"/>
      <c r="BA26" s="3"/>
      <c r="BB26" s="14"/>
      <c r="BC26" s="3"/>
      <c r="BD26" s="14"/>
      <c r="BE26" s="19"/>
      <c r="BF26" s="14"/>
      <c r="BG26" s="3"/>
      <c r="BH26" s="14"/>
      <c r="BI26" s="3"/>
      <c r="BJ26" s="14"/>
      <c r="BK26" s="3" t="s">
        <v>143</v>
      </c>
      <c r="BL26" s="14"/>
      <c r="BM26" s="3" t="s">
        <v>145</v>
      </c>
      <c r="BN26" s="14"/>
      <c r="BO26" s="3"/>
      <c r="BP26" s="3"/>
      <c r="BQ26" s="19"/>
      <c r="BR26" s="14"/>
      <c r="BS26" s="3" t="s">
        <v>147</v>
      </c>
      <c r="BT26" s="14"/>
      <c r="BU26" s="3"/>
      <c r="BV26" s="14"/>
      <c r="BW26" s="3"/>
      <c r="BX26" s="14"/>
      <c r="BY26" s="3"/>
      <c r="BZ26" s="14"/>
      <c r="CA26" s="3"/>
      <c r="CB26" s="8"/>
    </row>
    <row r="27" spans="1:80" x14ac:dyDescent="0.25">
      <c r="A27" s="2" t="s">
        <v>448</v>
      </c>
      <c r="B27" s="31" t="s">
        <v>423</v>
      </c>
      <c r="C27" s="31" t="s">
        <v>424</v>
      </c>
      <c r="D27" s="31" t="s">
        <v>425</v>
      </c>
      <c r="F27" s="31" t="s">
        <v>426</v>
      </c>
      <c r="G27" s="31" t="s">
        <v>427</v>
      </c>
      <c r="I27" s="31" t="s">
        <v>428</v>
      </c>
      <c r="J27" s="31" t="s">
        <v>230</v>
      </c>
      <c r="K27" s="31" t="s">
        <v>429</v>
      </c>
      <c r="L27" t="s">
        <v>230</v>
      </c>
      <c r="M27" s="31" t="s">
        <v>430</v>
      </c>
      <c r="N27" t="s">
        <v>230</v>
      </c>
      <c r="O27" s="31" t="s">
        <v>431</v>
      </c>
      <c r="P27" t="s">
        <v>230</v>
      </c>
      <c r="Q27" s="31" t="s">
        <v>432</v>
      </c>
      <c r="R27" t="s">
        <v>230</v>
      </c>
      <c r="S27" s="31" t="s">
        <v>433</v>
      </c>
      <c r="T27" s="31" t="s">
        <v>230</v>
      </c>
      <c r="U27" s="31" t="s">
        <v>434</v>
      </c>
      <c r="V27" t="s">
        <v>222</v>
      </c>
      <c r="W27" s="31" t="s">
        <v>435</v>
      </c>
      <c r="X27" s="31" t="s">
        <v>230</v>
      </c>
      <c r="Y27" t="s">
        <v>436</v>
      </c>
      <c r="Z27" s="31" t="s">
        <v>230</v>
      </c>
      <c r="AA27" t="s">
        <v>437</v>
      </c>
      <c r="AB27" s="31" t="s">
        <v>230</v>
      </c>
      <c r="AG27" s="31" t="s">
        <v>438</v>
      </c>
      <c r="AH27" t="s">
        <v>230</v>
      </c>
      <c r="AI27" t="s">
        <v>438</v>
      </c>
      <c r="AJ27" t="s">
        <v>230</v>
      </c>
      <c r="AM27" t="s">
        <v>439</v>
      </c>
      <c r="AN27" t="s">
        <v>230</v>
      </c>
      <c r="AO27" t="s">
        <v>440</v>
      </c>
      <c r="AP27" t="s">
        <v>230</v>
      </c>
      <c r="AS27" t="s">
        <v>441</v>
      </c>
      <c r="AT27" t="s">
        <v>230</v>
      </c>
      <c r="AW27" t="s">
        <v>442</v>
      </c>
      <c r="AX27" t="s">
        <v>230</v>
      </c>
      <c r="BA27" t="s">
        <v>441</v>
      </c>
      <c r="BB27" t="s">
        <v>230</v>
      </c>
      <c r="BE27" t="s">
        <v>443</v>
      </c>
      <c r="BF27" t="s">
        <v>222</v>
      </c>
      <c r="BG27" t="s">
        <v>444</v>
      </c>
      <c r="BH27" t="s">
        <v>230</v>
      </c>
      <c r="BK27" t="s">
        <v>445</v>
      </c>
      <c r="BL27" t="s">
        <v>230</v>
      </c>
      <c r="BM27" t="s">
        <v>446</v>
      </c>
      <c r="BN27" t="s">
        <v>230</v>
      </c>
      <c r="BO27" t="s">
        <v>447</v>
      </c>
      <c r="BP27" t="s">
        <v>230</v>
      </c>
      <c r="BS27" s="3"/>
      <c r="BT27" s="14"/>
      <c r="BU27" s="3"/>
      <c r="BV27" s="14"/>
      <c r="BW27" s="3"/>
      <c r="BX27" s="14"/>
      <c r="BY27" s="3"/>
      <c r="BZ27" s="14"/>
      <c r="CA27" s="3"/>
      <c r="CB27" s="8"/>
    </row>
    <row r="28" spans="1:80" x14ac:dyDescent="0.25">
      <c r="A28" s="2" t="s">
        <v>1</v>
      </c>
      <c r="B28" s="7" t="s">
        <v>3</v>
      </c>
      <c r="C28" s="3" t="s">
        <v>5</v>
      </c>
      <c r="D28" s="8" t="s">
        <v>7</v>
      </c>
      <c r="E28" s="2"/>
      <c r="F28" s="22" t="s">
        <v>12</v>
      </c>
      <c r="G28" s="8" t="s">
        <v>13</v>
      </c>
      <c r="H28" s="3"/>
      <c r="I28" s="7"/>
      <c r="J28" s="8"/>
      <c r="K28" s="7" t="s">
        <v>56</v>
      </c>
      <c r="L28" s="14"/>
      <c r="M28" s="3"/>
      <c r="N28" s="14"/>
      <c r="O28" s="3"/>
      <c r="P28" s="14"/>
      <c r="Q28" s="3" t="s">
        <v>16</v>
      </c>
      <c r="R28" s="14"/>
      <c r="S28" s="3" t="s">
        <v>16</v>
      </c>
      <c r="T28" s="14"/>
      <c r="U28" s="3" t="s">
        <v>16</v>
      </c>
      <c r="V28" s="14"/>
      <c r="W28" s="3" t="s">
        <v>20</v>
      </c>
      <c r="X28" s="14"/>
      <c r="Y28" s="19"/>
      <c r="Z28" s="14"/>
      <c r="AA28" s="19"/>
      <c r="AB28" s="14"/>
      <c r="AC28" s="3" t="s">
        <v>22</v>
      </c>
      <c r="AD28" s="14"/>
      <c r="AE28" s="3" t="s">
        <v>24</v>
      </c>
      <c r="AF28" s="14"/>
      <c r="AG28" s="3" t="s">
        <v>26</v>
      </c>
      <c r="AH28" s="14"/>
      <c r="AI28" s="3"/>
      <c r="AJ28" s="3"/>
      <c r="AK28" s="3" t="s">
        <v>28</v>
      </c>
      <c r="AL28" s="14"/>
      <c r="AM28" s="3" t="s">
        <v>30</v>
      </c>
      <c r="AN28" s="14"/>
      <c r="AO28" s="3" t="s">
        <v>32</v>
      </c>
      <c r="AP28" s="14"/>
      <c r="AQ28" s="3" t="s">
        <v>30</v>
      </c>
      <c r="AR28" s="14"/>
      <c r="AS28" s="3"/>
      <c r="AT28" s="14"/>
      <c r="AU28" s="3"/>
      <c r="AV28" s="14"/>
      <c r="AW28" s="3"/>
      <c r="AX28" s="14"/>
      <c r="AY28" s="3"/>
      <c r="AZ28" s="14"/>
      <c r="BA28" s="3"/>
      <c r="BB28" s="14"/>
      <c r="BC28" s="3"/>
      <c r="BD28" s="14"/>
      <c r="BE28" s="19"/>
      <c r="BF28" s="14"/>
      <c r="BG28" s="3"/>
      <c r="BH28" s="14"/>
      <c r="BI28" s="3"/>
      <c r="BJ28" s="14"/>
      <c r="BK28" s="3"/>
      <c r="BL28" s="14"/>
      <c r="BM28" s="3"/>
      <c r="BN28" s="14"/>
      <c r="BO28" s="3"/>
      <c r="BP28" s="3"/>
      <c r="BQ28" s="19"/>
      <c r="BR28" s="14"/>
      <c r="BS28" s="3"/>
      <c r="BT28" s="14"/>
      <c r="BU28" s="3"/>
      <c r="BV28" s="14"/>
      <c r="BW28" s="3"/>
      <c r="BX28" s="14"/>
      <c r="BY28" s="3"/>
      <c r="BZ28" s="14"/>
      <c r="CA28" s="3"/>
      <c r="CB28" s="8"/>
    </row>
    <row r="29" spans="1:80" x14ac:dyDescent="0.25">
      <c r="A29" s="2" t="s">
        <v>449</v>
      </c>
      <c r="B29" t="s">
        <v>450</v>
      </c>
      <c r="C29" t="s">
        <v>451</v>
      </c>
      <c r="D29" t="s">
        <v>452</v>
      </c>
      <c r="F29" t="s">
        <v>453</v>
      </c>
      <c r="G29" t="s">
        <v>454</v>
      </c>
      <c r="I29" t="s">
        <v>163</v>
      </c>
      <c r="J29" t="s">
        <v>230</v>
      </c>
      <c r="K29" t="s">
        <v>181</v>
      </c>
      <c r="L29" t="s">
        <v>230</v>
      </c>
      <c r="M29" t="s">
        <v>455</v>
      </c>
      <c r="N29" t="s">
        <v>222</v>
      </c>
      <c r="O29" t="s">
        <v>456</v>
      </c>
      <c r="P29" t="s">
        <v>230</v>
      </c>
      <c r="Q29" t="s">
        <v>456</v>
      </c>
      <c r="R29" t="s">
        <v>230</v>
      </c>
      <c r="S29" t="s">
        <v>456</v>
      </c>
      <c r="T29" t="s">
        <v>230</v>
      </c>
      <c r="U29" t="s">
        <v>457</v>
      </c>
      <c r="V29" t="s">
        <v>230</v>
      </c>
      <c r="W29" t="s">
        <v>167</v>
      </c>
      <c r="X29" t="s">
        <v>230</v>
      </c>
      <c r="Y29" t="s">
        <v>124</v>
      </c>
      <c r="Z29" t="s">
        <v>230</v>
      </c>
      <c r="AA29" t="s">
        <v>138</v>
      </c>
      <c r="AB29" t="s">
        <v>230</v>
      </c>
      <c r="AC29" t="s">
        <v>458</v>
      </c>
      <c r="AD29" t="s">
        <v>230</v>
      </c>
      <c r="AK29" t="s">
        <v>52</v>
      </c>
      <c r="AL29" t="s">
        <v>230</v>
      </c>
      <c r="AM29" t="s">
        <v>459</v>
      </c>
      <c r="AN29" t="s">
        <v>230</v>
      </c>
      <c r="BA29" t="s">
        <v>455</v>
      </c>
      <c r="BB29" t="s">
        <v>222</v>
      </c>
      <c r="BE29" t="s">
        <v>171</v>
      </c>
      <c r="BF29" t="s">
        <v>230</v>
      </c>
      <c r="BG29" t="s">
        <v>460</v>
      </c>
      <c r="BH29" t="s">
        <v>230</v>
      </c>
      <c r="BK29" t="s">
        <v>461</v>
      </c>
      <c r="BL29" t="s">
        <v>230</v>
      </c>
      <c r="BM29" t="s">
        <v>189</v>
      </c>
      <c r="BN29" t="s">
        <v>230</v>
      </c>
      <c r="BO29" t="s">
        <v>462</v>
      </c>
      <c r="BP29" t="s">
        <v>463</v>
      </c>
      <c r="BS29" s="3"/>
      <c r="BT29" s="14"/>
      <c r="BU29" s="3"/>
      <c r="BV29" s="14"/>
      <c r="BW29" s="3"/>
      <c r="BX29" s="14"/>
      <c r="BY29" s="3"/>
      <c r="BZ29" s="14"/>
      <c r="CA29" s="3"/>
      <c r="CB29" s="8"/>
    </row>
    <row r="30" spans="1:80" ht="13" thickBot="1" x14ac:dyDescent="0.3">
      <c r="A30" s="2" t="s">
        <v>46</v>
      </c>
      <c r="B30" s="9" t="s">
        <v>47</v>
      </c>
      <c r="C30" s="10" t="s">
        <v>48</v>
      </c>
      <c r="D30" s="11" t="s">
        <v>49</v>
      </c>
      <c r="E30" s="2"/>
      <c r="F30" s="23" t="s">
        <v>50</v>
      </c>
      <c r="G30" s="11" t="s">
        <v>51</v>
      </c>
      <c r="H30" s="3"/>
      <c r="I30" s="29"/>
      <c r="J30" s="30"/>
      <c r="K30" s="29" t="s">
        <v>55</v>
      </c>
      <c r="L30" s="13"/>
      <c r="M30" s="10"/>
      <c r="N30" s="13"/>
      <c r="O30" s="10" t="s">
        <v>41</v>
      </c>
      <c r="P30" s="13" t="s">
        <v>230</v>
      </c>
      <c r="Q30" s="10" t="s">
        <v>41</v>
      </c>
      <c r="R30" s="13" t="s">
        <v>230</v>
      </c>
      <c r="S30" s="10" t="s">
        <v>43</v>
      </c>
      <c r="T30" s="13"/>
      <c r="U30" s="10" t="s">
        <v>227</v>
      </c>
      <c r="V30" s="13" t="s">
        <v>230</v>
      </c>
      <c r="W30" s="10" t="s">
        <v>244</v>
      </c>
      <c r="X30" s="13" t="s">
        <v>230</v>
      </c>
      <c r="Y30" s="15"/>
      <c r="Z30" s="13"/>
      <c r="AA30" s="15"/>
      <c r="AB30" s="13"/>
      <c r="AC30" s="10" t="s">
        <v>245</v>
      </c>
      <c r="AD30" s="13" t="s">
        <v>230</v>
      </c>
      <c r="AE30" s="10"/>
      <c r="AF30" s="13"/>
      <c r="AG30" s="10"/>
      <c r="AH30" s="13"/>
      <c r="AI30" s="10"/>
      <c r="AJ30" s="10"/>
      <c r="AK30" s="10" t="s">
        <v>252</v>
      </c>
      <c r="AL30" s="13" t="s">
        <v>230</v>
      </c>
      <c r="AM30" s="10"/>
      <c r="AN30" s="13"/>
      <c r="AO30" s="10" t="s">
        <v>255</v>
      </c>
      <c r="AP30" s="13" t="s">
        <v>230</v>
      </c>
      <c r="AQ30" s="10"/>
      <c r="AR30" s="13"/>
      <c r="AS30" s="10" t="s">
        <v>52</v>
      </c>
      <c r="AT30" s="13"/>
      <c r="AU30" s="10" t="s">
        <v>54</v>
      </c>
      <c r="AV30" s="13"/>
      <c r="AW30" s="10"/>
      <c r="AX30" s="13"/>
      <c r="AY30" s="10"/>
      <c r="AZ30" s="13"/>
      <c r="BA30" s="10"/>
      <c r="BB30" s="13"/>
      <c r="BC30" s="10"/>
      <c r="BD30" s="13"/>
      <c r="BE30" s="15"/>
      <c r="BF30" s="13"/>
      <c r="BG30" s="10"/>
      <c r="BH30" s="13"/>
      <c r="BI30" s="10"/>
      <c r="BJ30" s="13"/>
      <c r="BK30" s="10"/>
      <c r="BL30" s="13"/>
      <c r="BM30" s="10"/>
      <c r="BN30" s="13"/>
      <c r="BO30" s="10"/>
      <c r="BP30" s="10"/>
      <c r="BQ30" s="15"/>
      <c r="BR30" s="13"/>
      <c r="BS30" s="10"/>
      <c r="BT30" s="13"/>
      <c r="BU30" s="10"/>
      <c r="BV30" s="13"/>
      <c r="BW30" s="10"/>
      <c r="BX30" s="13"/>
      <c r="BY30" s="10"/>
      <c r="BZ30" s="13"/>
      <c r="CA30" s="10"/>
      <c r="CB30" s="11"/>
    </row>
    <row r="33" spans="49:61" x14ac:dyDescent="0.25">
      <c r="AW33" s="32" t="s">
        <v>65</v>
      </c>
      <c r="AX33" s="33" t="s">
        <v>74</v>
      </c>
      <c r="AY33" s="32" t="s">
        <v>464</v>
      </c>
      <c r="AZ33" s="33" t="s">
        <v>74</v>
      </c>
      <c r="BA33" s="34" t="s">
        <v>465</v>
      </c>
      <c r="BB33" s="32" t="s">
        <v>117</v>
      </c>
      <c r="BC33" s="33" t="s">
        <v>74</v>
      </c>
      <c r="BD33" s="34" t="s">
        <v>144</v>
      </c>
      <c r="BE33" s="34" t="s">
        <v>307</v>
      </c>
      <c r="BF33" s="32" t="s">
        <v>184</v>
      </c>
      <c r="BG33" s="33" t="s">
        <v>74</v>
      </c>
      <c r="BH33" s="34" t="s">
        <v>466</v>
      </c>
      <c r="BI33" s="34" t="s">
        <v>219</v>
      </c>
    </row>
  </sheetData>
  <phoneticPr fontId="0" type="noConversion"/>
  <pageMargins left="0.75" right="0.75" top="1" bottom="1" header="0.5" footer="0.5"/>
  <pageSetup orientation="portrait" r:id="rId1"/>
  <headerFooter alignWithMargins="0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2:A87"/>
  <sheetViews>
    <sheetView workbookViewId="0">
      <selection activeCell="A2" sqref="A2:A87"/>
    </sheetView>
  </sheetViews>
  <sheetFormatPr defaultRowHeight="12.5" x14ac:dyDescent="0.25"/>
  <sheetData>
    <row r="2" spans="1:1" x14ac:dyDescent="0.25">
      <c r="A2" t="s">
        <v>358</v>
      </c>
    </row>
    <row r="4" spans="1:1" x14ac:dyDescent="0.25">
      <c r="A4" t="s">
        <v>359</v>
      </c>
    </row>
    <row r="5" spans="1:1" x14ac:dyDescent="0.25">
      <c r="A5" t="s">
        <v>360</v>
      </c>
    </row>
    <row r="6" spans="1:1" x14ac:dyDescent="0.25">
      <c r="A6" t="s">
        <v>361</v>
      </c>
    </row>
    <row r="7" spans="1:1" x14ac:dyDescent="0.25">
      <c r="A7" t="s">
        <v>362</v>
      </c>
    </row>
    <row r="8" spans="1:1" x14ac:dyDescent="0.25">
      <c r="A8" t="s">
        <v>363</v>
      </c>
    </row>
    <row r="9" spans="1:1" x14ac:dyDescent="0.25">
      <c r="A9" t="s">
        <v>364</v>
      </c>
    </row>
    <row r="10" spans="1:1" x14ac:dyDescent="0.25">
      <c r="A10" t="s">
        <v>365</v>
      </c>
    </row>
    <row r="11" spans="1:1" x14ac:dyDescent="0.25">
      <c r="A11" t="s">
        <v>366</v>
      </c>
    </row>
    <row r="12" spans="1:1" x14ac:dyDescent="0.25">
      <c r="A12" t="s">
        <v>367</v>
      </c>
    </row>
    <row r="13" spans="1:1" x14ac:dyDescent="0.25">
      <c r="A13" t="s">
        <v>368</v>
      </c>
    </row>
    <row r="14" spans="1:1" x14ac:dyDescent="0.25">
      <c r="A14" t="s">
        <v>33</v>
      </c>
    </row>
    <row r="15" spans="1:1" x14ac:dyDescent="0.25">
      <c r="A15" t="s">
        <v>369</v>
      </c>
    </row>
    <row r="16" spans="1:1" x14ac:dyDescent="0.25">
      <c r="A16" t="s">
        <v>370</v>
      </c>
    </row>
    <row r="17" spans="1:1" x14ac:dyDescent="0.25">
      <c r="A17" t="s">
        <v>371</v>
      </c>
    </row>
    <row r="18" spans="1:1" x14ac:dyDescent="0.25">
      <c r="A18" t="s">
        <v>372</v>
      </c>
    </row>
    <row r="19" spans="1:1" x14ac:dyDescent="0.25">
      <c r="A19" t="s">
        <v>88</v>
      </c>
    </row>
    <row r="20" spans="1:1" x14ac:dyDescent="0.25">
      <c r="A20" t="s">
        <v>87</v>
      </c>
    </row>
    <row r="23" spans="1:1" x14ac:dyDescent="0.25">
      <c r="A23" t="s">
        <v>373</v>
      </c>
    </row>
    <row r="24" spans="1:1" x14ac:dyDescent="0.25">
      <c r="A24" t="s">
        <v>374</v>
      </c>
    </row>
    <row r="25" spans="1:1" x14ac:dyDescent="0.25">
      <c r="A25" t="s">
        <v>375</v>
      </c>
    </row>
    <row r="26" spans="1:1" x14ac:dyDescent="0.25">
      <c r="A26" t="s">
        <v>376</v>
      </c>
    </row>
    <row r="28" spans="1:1" x14ac:dyDescent="0.25">
      <c r="A28" t="s">
        <v>377</v>
      </c>
    </row>
    <row r="29" spans="1:1" x14ac:dyDescent="0.25">
      <c r="A29" t="s">
        <v>378</v>
      </c>
    </row>
    <row r="31" spans="1:1" x14ac:dyDescent="0.25">
      <c r="A31" t="s">
        <v>379</v>
      </c>
    </row>
    <row r="32" spans="1:1" x14ac:dyDescent="0.25">
      <c r="A32" t="s">
        <v>380</v>
      </c>
    </row>
    <row r="34" spans="1:1" x14ac:dyDescent="0.25">
      <c r="A34" t="s">
        <v>381</v>
      </c>
    </row>
    <row r="35" spans="1:1" x14ac:dyDescent="0.25">
      <c r="A35">
        <v>2000</v>
      </c>
    </row>
    <row r="37" spans="1:1" x14ac:dyDescent="0.25">
      <c r="A37" t="s">
        <v>382</v>
      </c>
    </row>
    <row r="38" spans="1:1" x14ac:dyDescent="0.25">
      <c r="A38" t="s">
        <v>383</v>
      </c>
    </row>
    <row r="39" spans="1:1" x14ac:dyDescent="0.25">
      <c r="A39" t="s">
        <v>384</v>
      </c>
    </row>
    <row r="40" spans="1:1" x14ac:dyDescent="0.25">
      <c r="A40" t="s">
        <v>385</v>
      </c>
    </row>
    <row r="41" spans="1:1" x14ac:dyDescent="0.25">
      <c r="A41" t="s">
        <v>386</v>
      </c>
    </row>
    <row r="42" spans="1:1" x14ac:dyDescent="0.25">
      <c r="A42" t="s">
        <v>387</v>
      </c>
    </row>
    <row r="43" spans="1:1" x14ac:dyDescent="0.25">
      <c r="A43" t="s">
        <v>388</v>
      </c>
    </row>
    <row r="44" spans="1:1" x14ac:dyDescent="0.25">
      <c r="A44" t="s">
        <v>389</v>
      </c>
    </row>
    <row r="45" spans="1:1" x14ac:dyDescent="0.25">
      <c r="A45" t="s">
        <v>390</v>
      </c>
    </row>
    <row r="46" spans="1:1" x14ac:dyDescent="0.25">
      <c r="A46" t="s">
        <v>391</v>
      </c>
    </row>
    <row r="47" spans="1:1" x14ac:dyDescent="0.25">
      <c r="A47" t="s">
        <v>392</v>
      </c>
    </row>
    <row r="48" spans="1:1" x14ac:dyDescent="0.25">
      <c r="A48" t="s">
        <v>393</v>
      </c>
    </row>
    <row r="49" spans="1:1" x14ac:dyDescent="0.25">
      <c r="A49" t="e">
        <f>- Mike is difficult to deal with.</f>
        <v>#NAME?</v>
      </c>
    </row>
    <row r="52" spans="1:1" x14ac:dyDescent="0.25">
      <c r="A52" t="s">
        <v>394</v>
      </c>
    </row>
    <row r="53" spans="1:1" x14ac:dyDescent="0.25">
      <c r="A53" t="s">
        <v>395</v>
      </c>
    </row>
    <row r="54" spans="1:1" x14ac:dyDescent="0.25">
      <c r="A54" t="s">
        <v>396</v>
      </c>
    </row>
    <row r="55" spans="1:1" x14ac:dyDescent="0.25">
      <c r="A55" t="s">
        <v>397</v>
      </c>
    </row>
    <row r="56" spans="1:1" x14ac:dyDescent="0.25">
      <c r="A56" t="s">
        <v>398</v>
      </c>
    </row>
    <row r="58" spans="1:1" x14ac:dyDescent="0.25">
      <c r="A58" t="s">
        <v>399</v>
      </c>
    </row>
    <row r="59" spans="1:1" x14ac:dyDescent="0.25">
      <c r="A59" t="s">
        <v>400</v>
      </c>
    </row>
    <row r="60" spans="1:1" x14ac:dyDescent="0.25">
      <c r="A60" t="s">
        <v>401</v>
      </c>
    </row>
    <row r="61" spans="1:1" x14ac:dyDescent="0.25">
      <c r="A61" t="s">
        <v>402</v>
      </c>
    </row>
    <row r="62" spans="1:1" x14ac:dyDescent="0.25">
      <c r="A62" t="s">
        <v>403</v>
      </c>
    </row>
    <row r="63" spans="1:1" x14ac:dyDescent="0.25">
      <c r="A63" t="s">
        <v>404</v>
      </c>
    </row>
    <row r="65" spans="1:1" x14ac:dyDescent="0.25">
      <c r="A65" t="s">
        <v>405</v>
      </c>
    </row>
    <row r="67" spans="1:1" x14ac:dyDescent="0.25">
      <c r="A67" t="s">
        <v>406</v>
      </c>
    </row>
    <row r="68" spans="1:1" x14ac:dyDescent="0.25">
      <c r="A68" t="s">
        <v>407</v>
      </c>
    </row>
    <row r="69" spans="1:1" x14ac:dyDescent="0.25">
      <c r="A69" t="s">
        <v>408</v>
      </c>
    </row>
    <row r="70" spans="1:1" x14ac:dyDescent="0.25">
      <c r="A70" t="s">
        <v>409</v>
      </c>
    </row>
    <row r="71" spans="1:1" x14ac:dyDescent="0.25">
      <c r="A71" t="s">
        <v>410</v>
      </c>
    </row>
    <row r="73" spans="1:1" x14ac:dyDescent="0.25">
      <c r="A73" t="s">
        <v>411</v>
      </c>
    </row>
    <row r="75" spans="1:1" x14ac:dyDescent="0.25">
      <c r="A75" t="s">
        <v>412</v>
      </c>
    </row>
    <row r="76" spans="1:1" x14ac:dyDescent="0.25">
      <c r="A76" t="s">
        <v>413</v>
      </c>
    </row>
    <row r="78" spans="1:1" x14ac:dyDescent="0.25">
      <c r="A78" t="s">
        <v>414</v>
      </c>
    </row>
    <row r="80" spans="1:1" x14ac:dyDescent="0.25">
      <c r="A80" t="s">
        <v>415</v>
      </c>
    </row>
    <row r="81" spans="1:1" x14ac:dyDescent="0.25">
      <c r="A81" t="s">
        <v>416</v>
      </c>
    </row>
    <row r="82" spans="1:1" x14ac:dyDescent="0.25">
      <c r="A82" t="s">
        <v>417</v>
      </c>
    </row>
    <row r="83" spans="1:1" x14ac:dyDescent="0.25">
      <c r="A83" t="s">
        <v>418</v>
      </c>
    </row>
    <row r="84" spans="1:1" x14ac:dyDescent="0.25">
      <c r="A84" t="s">
        <v>419</v>
      </c>
    </row>
    <row r="85" spans="1:1" x14ac:dyDescent="0.25">
      <c r="A85" t="s">
        <v>420</v>
      </c>
    </row>
    <row r="86" spans="1:1" x14ac:dyDescent="0.25">
      <c r="A86" t="s">
        <v>421</v>
      </c>
    </row>
    <row r="87" spans="1:1" x14ac:dyDescent="0.25">
      <c r="A87" t="s">
        <v>422</v>
      </c>
    </row>
  </sheetData>
  <phoneticPr fontId="0" type="noConversion"/>
  <pageMargins left="0.75" right="0.75" top="1" bottom="1" header="0.5" footer="0.5"/>
  <headerFooter alignWithMargins="0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2.5" x14ac:dyDescent="0.25"/>
  <sheetData/>
  <phoneticPr fontId="0" type="noConversion"/>
  <pageMargins left="0.75" right="0.75" top="1" bottom="1" header="0.5" footer="0.5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Company>City of Monrovia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City of Monrovia</dc:creator>
  <cp:lastModifiedBy>Carina Negreanu</cp:lastModifiedBy>
  <dcterms:created xsi:type="dcterms:W3CDTF">2000-08-30T14:55:05Z</dcterms:created>
  <dcterms:modified xsi:type="dcterms:W3CDTF">2020-01-27T10:32:18Z</dcterms:modified>
</cp:coreProperties>
</file>