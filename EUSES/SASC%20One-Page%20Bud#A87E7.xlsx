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5A3919-859D-429B-A78C-B02CA808C277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1" i="1" l="1"/>
  <c r="H22" i="1"/>
  <c r="D23" i="1"/>
  <c r="H23" i="1"/>
  <c r="H24" i="1" s="1"/>
</calcChain>
</file>

<file path=xl/sharedStrings.xml><?xml version="1.0" encoding="utf-8"?>
<sst xmlns="http://schemas.openxmlformats.org/spreadsheetml/2006/main" count="84" uniqueCount="84">
  <si>
    <t>Priority</t>
  </si>
  <si>
    <t>Title/Description</t>
  </si>
  <si>
    <t>$/Yr/M</t>
  </si>
  <si>
    <t>US Executive</t>
  </si>
  <si>
    <t>Digital History Project (China, Islam, Other)</t>
  </si>
  <si>
    <t>Global Coverage Virtual Intelligence Community</t>
  </si>
  <si>
    <t>European and Russian Open Source Information Network</t>
  </si>
  <si>
    <t>Asia-Pacific Open Source Information Network</t>
  </si>
  <si>
    <t>NGO Data Warehouse and Network</t>
  </si>
  <si>
    <t>University of the Republic &amp; Global Outreach Program</t>
  </si>
  <si>
    <t>JCOM Total</t>
  </si>
  <si>
    <t>and such other foreign language historical, political, economic, social, and related information, as needed</t>
  </si>
  <si>
    <r>
      <t>Generic Open Source Intelligence Training Program</t>
    </r>
    <r>
      <rPr>
        <sz val="10"/>
        <rFont val="Arial"/>
      </rPr>
      <t xml:space="preserve"> creates distance learning modules as well as</t>
    </r>
  </si>
  <si>
    <t>Future Collaborative Intelligence Environment II</t>
  </si>
  <si>
    <t>language skills and regional network of on-the-ground collectors of grey literature and oral information.</t>
  </si>
  <si>
    <t>US will providing funding, technology, and management oversight, ally will provide manpower and access.</t>
  </si>
  <si>
    <t>of mid-career subject-matter experts from government and private sector, and over time create a global</t>
  </si>
  <si>
    <t>information, including commercial imagery, and development of the eighteen functionalities identified by</t>
  </si>
  <si>
    <r>
      <t>Digital History Project</t>
    </r>
    <r>
      <rPr>
        <sz val="10"/>
        <rFont val="Arial"/>
      </rPr>
      <t xml:space="preserve"> will, within one year, digitize essential Chinese pages and essential Islamic pages,</t>
    </r>
  </si>
  <si>
    <t>PACOM/State</t>
  </si>
  <si>
    <t>CENTCOM/State</t>
  </si>
  <si>
    <t>SOUTHCOM/State</t>
  </si>
  <si>
    <t>Foreign Affairs Total</t>
  </si>
  <si>
    <t>Trade Total</t>
  </si>
  <si>
    <t>DoD Total</t>
  </si>
  <si>
    <t>to create a foundation for rapidly visualizing and modeling historical information relevant to national security.</t>
  </si>
  <si>
    <t>to optimize access by USG and US business to local economic and regulatory and taxation information.</t>
  </si>
  <si>
    <r>
      <t>International Trade and Chamber of Commerce Network</t>
    </r>
    <r>
      <rPr>
        <sz val="10"/>
        <rFont val="Arial"/>
      </rPr>
      <t xml:space="preserve"> will establish Internet information sharing network</t>
    </r>
  </si>
  <si>
    <t>Note:  Departments of Justice and Commerce, and others, will be fully integrated across all projects.</t>
  </si>
  <si>
    <t>EUCOM/State</t>
  </si>
  <si>
    <r>
      <t>Program Objective:</t>
    </r>
    <r>
      <rPr>
        <sz val="10"/>
        <rFont val="Arial"/>
      </rPr>
      <t xml:space="preserve"> to improve US foreign affairs, defense, and trade decision-making by establishing a</t>
    </r>
  </si>
  <si>
    <t>structured program to acquire and facilitate sharing and use of global multi-lingual open sources, including</t>
  </si>
  <si>
    <t>networks of international experts with deep local and topical knowledge.  In establishing an "information</t>
  </si>
  <si>
    <t>commons" and a multi-cultural open source information sharing architecture, both US government and US</t>
  </si>
  <si>
    <t>business will derive advantage--at the same time, US education will be internationalized and enhanced.</t>
  </si>
  <si>
    <r>
      <t>NGO Data Warehouse and Network</t>
    </r>
    <r>
      <rPr>
        <sz val="10"/>
        <rFont val="Arial"/>
      </rPr>
      <t xml:space="preserve"> will provide free storage and network access to all NGOs, and will</t>
    </r>
  </si>
  <si>
    <t>in cooperation with the Pearson Peacekeeping Center in Canada, the International Committee of the Red</t>
  </si>
  <si>
    <t>Cross, and selected lead elements of the NGO community, put vital NGO "local knowledge" online for US use.</t>
  </si>
  <si>
    <r>
      <t>Global Coverage Virtual Intelligence Community</t>
    </r>
    <r>
      <rPr>
        <sz val="10"/>
        <rFont val="Arial"/>
      </rPr>
      <t xml:space="preserve"> will establish series of topical task forces to manage</t>
    </r>
  </si>
  <si>
    <t>global force protection monitoring and rapid response surge assessments.  A special emphasis will be placed</t>
  </si>
  <si>
    <t>on long-term topics not qualifying for classified collection and analysis but still vital to national security.</t>
  </si>
  <si>
    <r>
      <t>Digital Marshall Plan</t>
    </r>
    <r>
      <rPr>
        <sz val="10"/>
        <rFont val="Arial"/>
      </rPr>
      <t xml:space="preserve"> will provide appropriate incentives and assistance accelerating the provision of T3+</t>
    </r>
  </si>
  <si>
    <t>Internet connectivity in lower tier countries.  Utilization of abandoned DoD satellite capabilities possible.</t>
  </si>
  <si>
    <t>network of professionals comfortable with sharing unclassified information across organizational lines.</t>
  </si>
  <si>
    <t>Focus will be on "information peacekeeping" and enhanced information support to national decision-making.</t>
  </si>
  <si>
    <r>
      <t>University of the Republic &amp; Global Outreach Program</t>
    </r>
    <r>
      <rPr>
        <sz val="10"/>
        <rFont val="Arial"/>
      </rPr>
      <t xml:space="preserve"> will bring together and educate "cohorts"</t>
    </r>
  </si>
  <si>
    <t>Digital Marshall Plan/Foreign Area Reserve Division</t>
  </si>
  <si>
    <t>Locations</t>
  </si>
  <si>
    <t>CIA as needed to comprise the full computer-aided analysis toolkit.  University partners will test prototypes.</t>
  </si>
  <si>
    <t>Experimental joint reserve division of foreign area specialists will support implementation overseas.</t>
  </si>
  <si>
    <t>Open Source Information Program (OSIP) Year One Objectives</t>
  </si>
  <si>
    <t>OSINT Training and Distance Learning Program</t>
  </si>
  <si>
    <t>Southern Open Source Information Network</t>
  </si>
  <si>
    <t>Northern Open Source Information Network</t>
  </si>
  <si>
    <t>Africa-Central Asia Open Source Information Network</t>
  </si>
  <si>
    <t>NORTHCOM/State</t>
  </si>
  <si>
    <t>Area CINCs (5) Total</t>
  </si>
  <si>
    <t>GlobalTrade &amp; Transportation Open Source Info. Network</t>
  </si>
  <si>
    <r>
      <t>Regional Open Source Information Networks</t>
    </r>
    <r>
      <rPr>
        <sz val="10"/>
        <rFont val="Arial"/>
      </rPr>
      <t xml:space="preserve"> (5) will each leverage a single major ally's indigenous</t>
    </r>
  </si>
  <si>
    <r>
      <t xml:space="preserve">Future Intelligence Collaborative Environment II </t>
    </r>
    <r>
      <rPr>
        <sz val="10"/>
        <rFont val="Arial"/>
      </rPr>
      <t>will fund procurement of essential shared commercial</t>
    </r>
  </si>
  <si>
    <t>INSCOM/Ft. Lvwrth</t>
  </si>
  <si>
    <t>INSCOM/353rd CA</t>
  </si>
  <si>
    <t>SOCOM/UVA/UMI</t>
  </si>
  <si>
    <t>FL VA MI</t>
  </si>
  <si>
    <t>VA NY TX</t>
  </si>
  <si>
    <t>VA KS OK</t>
  </si>
  <si>
    <t>VA HI MA</t>
  </si>
  <si>
    <t>JCOM/MIT/GMU</t>
  </si>
  <si>
    <t>TRANSCOM/DoC</t>
  </si>
  <si>
    <t>CO MI CA</t>
  </si>
  <si>
    <t>FL RI AL</t>
  </si>
  <si>
    <t>VA MA CA</t>
  </si>
  <si>
    <t>HI WA GA</t>
  </si>
  <si>
    <t>FL TX SC</t>
  </si>
  <si>
    <t>VA WVA</t>
  </si>
  <si>
    <t>MI NY MI</t>
  </si>
  <si>
    <t>Date of Information: 20 January 2004</t>
  </si>
  <si>
    <t>JCOM/Ft. Lvwth</t>
  </si>
  <si>
    <t>VA KS all</t>
  </si>
  <si>
    <t>OSD/State</t>
  </si>
  <si>
    <t xml:space="preserve">VA OK </t>
  </si>
  <si>
    <t>NMITC/GMU/EWC</t>
  </si>
  <si>
    <t>single 4 person Mobile Training Team to visit every CINC, every ally, every Embassy, every NGO.  Key</t>
  </si>
  <si>
    <t>universities in multiple states would be integrated  into this initiative.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</si>
</sst>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172" fontId="0" fillId="0" borderId="4" xfId="0" applyNumberFormat="1" applyBorder="1"/>
    <xf numFmtId="0" fontId="0" fillId="0" borderId="5" xfId="0" applyBorder="1"/>
    <xf numFmtId="0" fontId="0" fillId="0" borderId="6" xfId="0" applyBorder="1"/>
    <xf numFmtId="2" fontId="0" fillId="0" borderId="7" xfId="0" applyNumberFormat="1" applyBorder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/>
    <xf numFmtId="0" fontId="0" fillId="0" borderId="10" xfId="0" applyBorder="1"/>
    <xf numFmtId="172" fontId="0" fillId="0" borderId="11" xfId="0" applyNumberFormat="1" applyBorder="1"/>
    <xf numFmtId="0" fontId="1" fillId="0" borderId="12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3" xfId="0" applyFont="1" applyBorder="1"/>
    <xf numFmtId="0" fontId="2" fillId="0" borderId="3" xfId="0" applyFont="1" applyBorder="1"/>
    <xf numFmtId="0" fontId="0" fillId="0" borderId="7" xfId="0" applyBorder="1"/>
    <xf numFmtId="0" fontId="0" fillId="0" borderId="11" xfId="0" applyBorder="1"/>
    <xf numFmtId="0" fontId="1" fillId="0" borderId="19" xfId="0" applyFont="1" applyBorder="1"/>
    <xf numFmtId="0" fontId="0" fillId="0" borderId="20" xfId="0" applyBorder="1"/>
    <xf numFmtId="0" fontId="0" fillId="0" borderId="21" xfId="0" applyBorder="1"/>
    <xf numFmtId="0" fontId="2" fillId="0" borderId="10" xfId="0" applyFont="1" applyBorder="1"/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right"/>
    </xf>
    <xf numFmtId="0" fontId="0" fillId="0" borderId="2" xfId="0" applyBorder="1"/>
    <xf numFmtId="172" fontId="0" fillId="0" borderId="18" xfId="0" applyNumberFormat="1" applyBorder="1"/>
    <xf numFmtId="172" fontId="0" fillId="0" borderId="0" xfId="0" applyNumberFormat="1" applyBorder="1"/>
    <xf numFmtId="172" fontId="0" fillId="0" borderId="6" xfId="0" applyNumberFormat="1" applyBorder="1"/>
    <xf numFmtId="172" fontId="0" fillId="0" borderId="7" xfId="0" applyNumberFormat="1" applyBorder="1"/>
    <xf numFmtId="0" fontId="3" fillId="0" borderId="24" xfId="0" applyFont="1" applyBorder="1" applyAlignment="1">
      <alignment horizontal="left"/>
    </xf>
    <xf numFmtId="0" fontId="4" fillId="0" borderId="25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5" zoomScaleNormal="100" workbookViewId="0">
      <selection activeCell="J38" sqref="J38"/>
    </sheetView>
  </sheetViews>
  <sheetFormatPr defaultRowHeight="12.5" x14ac:dyDescent="0.25"/>
  <cols>
    <col min="1" max="1" width="8" customWidth="1"/>
    <col min="5" max="5" width="20.453125" customWidth="1"/>
    <col min="6" max="6" width="16.81640625" customWidth="1"/>
    <col min="7" max="7" width="10.54296875" customWidth="1"/>
    <col min="8" max="8" width="7.453125" customWidth="1"/>
  </cols>
  <sheetData>
    <row r="1" spans="1:8" ht="19" thickTop="1" thickBot="1" x14ac:dyDescent="0.45">
      <c r="A1" s="37" t="s">
        <v>50</v>
      </c>
      <c r="B1" s="38"/>
      <c r="C1" s="38"/>
      <c r="D1" s="38"/>
      <c r="E1" s="38"/>
      <c r="F1" s="38"/>
      <c r="G1" s="39"/>
      <c r="H1" s="40"/>
    </row>
    <row r="2" spans="1:8" ht="13.5" thickTop="1" x14ac:dyDescent="0.3">
      <c r="A2" s="2" t="s">
        <v>30</v>
      </c>
      <c r="B2" s="20"/>
      <c r="C2" s="20"/>
      <c r="D2" s="20"/>
      <c r="E2" s="20"/>
      <c r="F2" s="20"/>
      <c r="G2" s="20"/>
      <c r="H2" s="21"/>
    </row>
    <row r="3" spans="1:8" x14ac:dyDescent="0.25">
      <c r="A3" s="3" t="s">
        <v>31</v>
      </c>
      <c r="B3" s="4"/>
      <c r="C3" s="4"/>
      <c r="D3" s="4"/>
      <c r="E3" s="4"/>
      <c r="F3" s="4"/>
      <c r="G3" s="4"/>
      <c r="H3" s="5"/>
    </row>
    <row r="4" spans="1:8" x14ac:dyDescent="0.25">
      <c r="A4" s="3" t="s">
        <v>32</v>
      </c>
      <c r="B4" s="4"/>
      <c r="C4" s="4"/>
      <c r="D4" s="4"/>
      <c r="E4" s="4"/>
      <c r="F4" s="4"/>
      <c r="G4" s="4"/>
      <c r="H4" s="5"/>
    </row>
    <row r="5" spans="1:8" x14ac:dyDescent="0.25">
      <c r="A5" s="3" t="s">
        <v>33</v>
      </c>
      <c r="B5" s="4"/>
      <c r="C5" s="4"/>
      <c r="D5" s="4"/>
      <c r="E5" s="4"/>
      <c r="F5" s="4"/>
      <c r="G5" s="4"/>
      <c r="H5" s="5"/>
    </row>
    <row r="6" spans="1:8" ht="13" thickBot="1" x14ac:dyDescent="0.3">
      <c r="A6" s="7" t="s">
        <v>34</v>
      </c>
      <c r="B6" s="8"/>
      <c r="C6" s="8"/>
      <c r="D6" s="8"/>
      <c r="E6" s="8"/>
      <c r="F6" s="8"/>
      <c r="G6" s="8"/>
      <c r="H6" s="24"/>
    </row>
    <row r="7" spans="1:8" ht="14" thickTop="1" thickBot="1" x14ac:dyDescent="0.35">
      <c r="A7" s="10" t="s">
        <v>0</v>
      </c>
      <c r="B7" s="15" t="s">
        <v>1</v>
      </c>
      <c r="C7" s="11"/>
      <c r="D7" s="12"/>
      <c r="E7" s="12"/>
      <c r="F7" s="15" t="s">
        <v>3</v>
      </c>
      <c r="G7" s="30" t="s">
        <v>47</v>
      </c>
      <c r="H7" s="31" t="s">
        <v>2</v>
      </c>
    </row>
    <row r="8" spans="1:8" x14ac:dyDescent="0.25">
      <c r="A8" s="3">
        <v>1</v>
      </c>
      <c r="B8" s="16" t="s">
        <v>4</v>
      </c>
      <c r="C8" s="4"/>
      <c r="D8" s="4"/>
      <c r="E8" s="4"/>
      <c r="F8" s="16" t="s">
        <v>60</v>
      </c>
      <c r="G8" s="18" t="s">
        <v>65</v>
      </c>
      <c r="H8" s="6">
        <v>5</v>
      </c>
    </row>
    <row r="9" spans="1:8" x14ac:dyDescent="0.25">
      <c r="A9" s="3">
        <v>2</v>
      </c>
      <c r="B9" s="16" t="s">
        <v>8</v>
      </c>
      <c r="C9" s="4"/>
      <c r="D9" s="4"/>
      <c r="E9" s="4"/>
      <c r="F9" s="16" t="s">
        <v>61</v>
      </c>
      <c r="G9" s="18" t="s">
        <v>64</v>
      </c>
      <c r="H9" s="6">
        <v>10</v>
      </c>
    </row>
    <row r="10" spans="1:8" x14ac:dyDescent="0.25">
      <c r="A10" s="3">
        <v>3</v>
      </c>
      <c r="B10" s="16" t="s">
        <v>5</v>
      </c>
      <c r="C10" s="4"/>
      <c r="D10" s="4"/>
      <c r="E10" s="4"/>
      <c r="F10" s="16" t="s">
        <v>62</v>
      </c>
      <c r="G10" s="18" t="s">
        <v>63</v>
      </c>
      <c r="H10" s="6">
        <v>10</v>
      </c>
    </row>
    <row r="11" spans="1:8" x14ac:dyDescent="0.25">
      <c r="A11" s="3">
        <v>4</v>
      </c>
      <c r="B11" s="16" t="s">
        <v>51</v>
      </c>
      <c r="C11" s="4"/>
      <c r="D11" s="4"/>
      <c r="E11" s="4"/>
      <c r="F11" s="16" t="s">
        <v>81</v>
      </c>
      <c r="G11" s="18" t="s">
        <v>66</v>
      </c>
      <c r="H11" s="6">
        <v>10</v>
      </c>
    </row>
    <row r="12" spans="1:8" x14ac:dyDescent="0.25">
      <c r="A12" s="3">
        <v>5</v>
      </c>
      <c r="B12" s="16" t="s">
        <v>13</v>
      </c>
      <c r="C12" s="4"/>
      <c r="D12" s="4"/>
      <c r="E12" s="4"/>
      <c r="F12" s="16" t="s">
        <v>67</v>
      </c>
      <c r="G12" s="18" t="s">
        <v>71</v>
      </c>
      <c r="H12" s="6">
        <v>10</v>
      </c>
    </row>
    <row r="13" spans="1:8" x14ac:dyDescent="0.25">
      <c r="A13" s="3">
        <v>6</v>
      </c>
      <c r="B13" s="16" t="s">
        <v>7</v>
      </c>
      <c r="C13" s="4"/>
      <c r="D13" s="4"/>
      <c r="E13" s="4"/>
      <c r="F13" s="16" t="s">
        <v>19</v>
      </c>
      <c r="G13" s="18" t="s">
        <v>72</v>
      </c>
      <c r="H13" s="6">
        <v>10</v>
      </c>
    </row>
    <row r="14" spans="1:8" x14ac:dyDescent="0.25">
      <c r="A14" s="3">
        <v>7</v>
      </c>
      <c r="B14" s="16" t="s">
        <v>54</v>
      </c>
      <c r="C14" s="4"/>
      <c r="D14" s="4"/>
      <c r="E14" s="4"/>
      <c r="F14" s="16" t="s">
        <v>20</v>
      </c>
      <c r="G14" s="18" t="s">
        <v>70</v>
      </c>
      <c r="H14" s="6">
        <v>10</v>
      </c>
    </row>
    <row r="15" spans="1:8" x14ac:dyDescent="0.25">
      <c r="A15" s="3">
        <v>8</v>
      </c>
      <c r="B15" s="16" t="s">
        <v>52</v>
      </c>
      <c r="C15" s="4"/>
      <c r="D15" s="4"/>
      <c r="E15" s="4"/>
      <c r="F15" s="16" t="s">
        <v>21</v>
      </c>
      <c r="G15" s="18" t="s">
        <v>73</v>
      </c>
      <c r="H15" s="6">
        <v>10</v>
      </c>
    </row>
    <row r="16" spans="1:8" x14ac:dyDescent="0.25">
      <c r="A16" s="3">
        <v>9</v>
      </c>
      <c r="B16" s="16" t="s">
        <v>6</v>
      </c>
      <c r="C16" s="4"/>
      <c r="D16" s="4"/>
      <c r="E16" s="4"/>
      <c r="F16" s="16" t="s">
        <v>29</v>
      </c>
      <c r="G16" s="18" t="s">
        <v>75</v>
      </c>
      <c r="H16" s="6">
        <v>10</v>
      </c>
    </row>
    <row r="17" spans="1:8" x14ac:dyDescent="0.25">
      <c r="A17" s="3">
        <v>10</v>
      </c>
      <c r="B17" s="16" t="s">
        <v>53</v>
      </c>
      <c r="C17" s="4"/>
      <c r="D17" s="4"/>
      <c r="E17" s="4"/>
      <c r="F17" s="16" t="s">
        <v>55</v>
      </c>
      <c r="G17" s="18" t="s">
        <v>69</v>
      </c>
      <c r="H17" s="6">
        <v>10</v>
      </c>
    </row>
    <row r="18" spans="1:8" x14ac:dyDescent="0.25">
      <c r="A18" s="3">
        <v>11</v>
      </c>
      <c r="B18" s="16" t="s">
        <v>57</v>
      </c>
      <c r="C18" s="4"/>
      <c r="D18" s="4"/>
      <c r="E18" s="4"/>
      <c r="F18" s="16" t="s">
        <v>68</v>
      </c>
      <c r="G18" s="18" t="s">
        <v>74</v>
      </c>
      <c r="H18" s="6">
        <v>5</v>
      </c>
    </row>
    <row r="19" spans="1:8" x14ac:dyDescent="0.25">
      <c r="A19" s="3">
        <v>12</v>
      </c>
      <c r="B19" s="16" t="s">
        <v>46</v>
      </c>
      <c r="C19" s="4"/>
      <c r="D19" s="4"/>
      <c r="E19" s="4"/>
      <c r="F19" s="16" t="s">
        <v>77</v>
      </c>
      <c r="G19" s="18" t="s">
        <v>78</v>
      </c>
      <c r="H19" s="6">
        <v>10</v>
      </c>
    </row>
    <row r="20" spans="1:8" ht="13" thickBot="1" x14ac:dyDescent="0.3">
      <c r="A20" s="13">
        <v>13</v>
      </c>
      <c r="B20" s="17" t="s">
        <v>9</v>
      </c>
      <c r="C20" s="1"/>
      <c r="D20" s="1"/>
      <c r="E20" s="1"/>
      <c r="F20" s="17" t="s">
        <v>79</v>
      </c>
      <c r="G20" s="19" t="s">
        <v>80</v>
      </c>
      <c r="H20" s="14">
        <v>15</v>
      </c>
    </row>
    <row r="21" spans="1:8" ht="13" thickBot="1" x14ac:dyDescent="0.3">
      <c r="A21" s="7" t="s">
        <v>28</v>
      </c>
      <c r="B21" s="8"/>
      <c r="C21" s="8"/>
      <c r="D21" s="8"/>
      <c r="E21" s="8"/>
      <c r="F21" s="8"/>
      <c r="G21" s="8"/>
      <c r="H21" s="9">
        <f>SUM(H8:H20)</f>
        <v>125</v>
      </c>
    </row>
    <row r="22" spans="1:8" ht="13" thickTop="1" x14ac:dyDescent="0.25">
      <c r="A22" s="32" t="s">
        <v>76</v>
      </c>
      <c r="B22" s="20"/>
      <c r="C22" s="20"/>
      <c r="D22" s="20"/>
      <c r="E22" s="20"/>
      <c r="F22" s="20" t="s">
        <v>10</v>
      </c>
      <c r="G22" s="20"/>
      <c r="H22" s="33">
        <f>SUM(H12+H19)</f>
        <v>20</v>
      </c>
    </row>
    <row r="23" spans="1:8" x14ac:dyDescent="0.25">
      <c r="A23" s="3" t="s">
        <v>22</v>
      </c>
      <c r="B23" s="4"/>
      <c r="C23" s="4"/>
      <c r="D23" s="34">
        <f>SUM(H9+H10+H11+H20)</f>
        <v>45</v>
      </c>
      <c r="E23" s="4"/>
      <c r="F23" s="4" t="s">
        <v>56</v>
      </c>
      <c r="G23" s="4"/>
      <c r="H23" s="6">
        <f>SUM(H8+H13+H14+H15+H16+H17)</f>
        <v>55</v>
      </c>
    </row>
    <row r="24" spans="1:8" ht="13" thickBot="1" x14ac:dyDescent="0.3">
      <c r="A24" s="7" t="s">
        <v>23</v>
      </c>
      <c r="B24" s="8"/>
      <c r="C24" s="8"/>
      <c r="D24" s="35">
        <v>5</v>
      </c>
      <c r="E24" s="8"/>
      <c r="F24" s="8" t="s">
        <v>24</v>
      </c>
      <c r="G24" s="8"/>
      <c r="H24" s="36">
        <f>SUM(H22+H23)</f>
        <v>75</v>
      </c>
    </row>
    <row r="25" spans="1:8" ht="13.5" thickTop="1" x14ac:dyDescent="0.3">
      <c r="A25" s="2" t="s">
        <v>18</v>
      </c>
      <c r="B25" s="20"/>
      <c r="C25" s="20"/>
      <c r="D25" s="20"/>
      <c r="E25" s="20"/>
      <c r="F25" s="20"/>
      <c r="G25" s="20"/>
      <c r="H25" s="21"/>
    </row>
    <row r="26" spans="1:8" x14ac:dyDescent="0.25">
      <c r="A26" s="3" t="s">
        <v>11</v>
      </c>
      <c r="B26" s="4"/>
      <c r="C26" s="4"/>
      <c r="D26" s="4"/>
      <c r="E26" s="4"/>
      <c r="F26" s="4"/>
      <c r="G26" s="4"/>
      <c r="H26" s="5"/>
    </row>
    <row r="27" spans="1:8" ht="13" thickBot="1" x14ac:dyDescent="0.3">
      <c r="A27" s="13" t="s">
        <v>25</v>
      </c>
      <c r="B27" s="1"/>
      <c r="C27" s="1"/>
      <c r="D27" s="1"/>
      <c r="E27" s="1"/>
      <c r="F27" s="1"/>
      <c r="G27" s="1"/>
      <c r="H27" s="25"/>
    </row>
    <row r="28" spans="1:8" ht="13" x14ac:dyDescent="0.3">
      <c r="A28" s="22" t="s">
        <v>35</v>
      </c>
      <c r="B28" s="4"/>
      <c r="C28" s="4"/>
      <c r="D28" s="4"/>
      <c r="E28" s="4"/>
      <c r="F28" s="4"/>
      <c r="G28" s="4"/>
      <c r="H28" s="5"/>
    </row>
    <row r="29" spans="1:8" x14ac:dyDescent="0.25">
      <c r="A29" s="3" t="s">
        <v>36</v>
      </c>
      <c r="B29" s="4"/>
      <c r="C29" s="4"/>
      <c r="D29" s="4"/>
      <c r="E29" s="4"/>
      <c r="F29" s="4"/>
      <c r="G29" s="4"/>
      <c r="H29" s="5"/>
    </row>
    <row r="30" spans="1:8" ht="13" thickBot="1" x14ac:dyDescent="0.3">
      <c r="A30" s="13" t="s">
        <v>37</v>
      </c>
      <c r="B30" s="1"/>
      <c r="C30" s="1"/>
      <c r="D30" s="1"/>
      <c r="E30" s="1"/>
      <c r="F30" s="1"/>
      <c r="G30" s="1"/>
      <c r="H30" s="25"/>
    </row>
    <row r="31" spans="1:8" ht="13" x14ac:dyDescent="0.3">
      <c r="A31" s="26" t="s">
        <v>38</v>
      </c>
      <c r="B31" s="27"/>
      <c r="C31" s="27"/>
      <c r="D31" s="27"/>
      <c r="E31" s="27"/>
      <c r="F31" s="27"/>
      <c r="G31" s="27"/>
      <c r="H31" s="28"/>
    </row>
    <row r="32" spans="1:8" x14ac:dyDescent="0.25">
      <c r="A32" s="3" t="s">
        <v>39</v>
      </c>
      <c r="B32" s="4"/>
      <c r="C32" s="4"/>
      <c r="D32" s="4"/>
      <c r="E32" s="4"/>
      <c r="F32" s="4"/>
      <c r="G32" s="4"/>
      <c r="H32" s="5"/>
    </row>
    <row r="33" spans="1:8" ht="13" thickBot="1" x14ac:dyDescent="0.3">
      <c r="A33" s="13" t="s">
        <v>40</v>
      </c>
      <c r="B33" s="1"/>
      <c r="C33" s="1"/>
      <c r="D33" s="1"/>
      <c r="E33" s="1"/>
      <c r="F33" s="1"/>
      <c r="G33" s="1"/>
      <c r="H33" s="25"/>
    </row>
    <row r="34" spans="1:8" ht="13" x14ac:dyDescent="0.3">
      <c r="A34" s="26" t="s">
        <v>12</v>
      </c>
      <c r="B34" s="27"/>
      <c r="C34" s="27"/>
      <c r="D34" s="27"/>
      <c r="E34" s="27"/>
      <c r="F34" s="27"/>
      <c r="G34" s="27"/>
      <c r="H34" s="28"/>
    </row>
    <row r="35" spans="1:8" x14ac:dyDescent="0.25">
      <c r="A35" s="3" t="s">
        <v>82</v>
      </c>
      <c r="B35" s="4"/>
      <c r="C35" s="4"/>
      <c r="D35" s="4"/>
      <c r="E35" s="4"/>
      <c r="F35" s="4"/>
      <c r="G35" s="4"/>
      <c r="H35" s="5"/>
    </row>
    <row r="36" spans="1:8" ht="13" thickBot="1" x14ac:dyDescent="0.3">
      <c r="A36" s="3" t="s">
        <v>83</v>
      </c>
      <c r="H36" s="25"/>
    </row>
    <row r="37" spans="1:8" ht="13" x14ac:dyDescent="0.3">
      <c r="A37" s="26" t="s">
        <v>59</v>
      </c>
      <c r="B37" s="27"/>
      <c r="C37" s="27"/>
      <c r="D37" s="27"/>
      <c r="E37" s="27"/>
      <c r="F37" s="27"/>
      <c r="G37" s="27"/>
      <c r="H37" s="28"/>
    </row>
    <row r="38" spans="1:8" x14ac:dyDescent="0.25">
      <c r="A38" s="23" t="s">
        <v>17</v>
      </c>
      <c r="B38" s="4"/>
      <c r="C38" s="4"/>
      <c r="D38" s="4"/>
      <c r="E38" s="4"/>
      <c r="F38" s="4"/>
      <c r="G38" s="4"/>
      <c r="H38" s="5"/>
    </row>
    <row r="39" spans="1:8" ht="13" thickBot="1" x14ac:dyDescent="0.3">
      <c r="A39" s="29" t="s">
        <v>48</v>
      </c>
      <c r="B39" s="1"/>
      <c r="C39" s="1"/>
      <c r="D39" s="1"/>
      <c r="E39" s="1"/>
      <c r="F39" s="1"/>
      <c r="G39" s="1"/>
      <c r="H39" s="25"/>
    </row>
    <row r="40" spans="1:8" ht="13" x14ac:dyDescent="0.3">
      <c r="A40" s="26" t="s">
        <v>58</v>
      </c>
      <c r="B40" s="27"/>
      <c r="C40" s="27"/>
      <c r="D40" s="27"/>
      <c r="E40" s="27"/>
      <c r="F40" s="27"/>
      <c r="G40" s="27"/>
      <c r="H40" s="28"/>
    </row>
    <row r="41" spans="1:8" x14ac:dyDescent="0.25">
      <c r="A41" s="3" t="s">
        <v>14</v>
      </c>
      <c r="B41" s="4"/>
      <c r="C41" s="4"/>
      <c r="D41" s="4"/>
      <c r="E41" s="4"/>
      <c r="F41" s="4"/>
      <c r="G41" s="4"/>
      <c r="H41" s="5"/>
    </row>
    <row r="42" spans="1:8" ht="13" thickBot="1" x14ac:dyDescent="0.3">
      <c r="A42" s="13" t="s">
        <v>15</v>
      </c>
      <c r="B42" s="1"/>
      <c r="C42" s="1"/>
      <c r="D42" s="1"/>
      <c r="E42" s="1"/>
      <c r="F42" s="1"/>
      <c r="G42" s="1"/>
      <c r="H42" s="25"/>
    </row>
    <row r="43" spans="1:8" ht="13" x14ac:dyDescent="0.3">
      <c r="A43" s="22" t="s">
        <v>27</v>
      </c>
      <c r="B43" s="4"/>
      <c r="C43" s="4"/>
      <c r="D43" s="4"/>
      <c r="E43" s="4"/>
      <c r="F43" s="4"/>
      <c r="G43" s="4"/>
      <c r="H43" s="5"/>
    </row>
    <row r="44" spans="1:8" ht="13" thickBot="1" x14ac:dyDescent="0.3">
      <c r="A44" s="3" t="s">
        <v>26</v>
      </c>
      <c r="B44" s="4"/>
      <c r="C44" s="4"/>
      <c r="D44" s="4"/>
      <c r="E44" s="4"/>
      <c r="F44" s="4"/>
      <c r="G44" s="4"/>
      <c r="H44" s="5"/>
    </row>
    <row r="45" spans="1:8" ht="13" x14ac:dyDescent="0.3">
      <c r="A45" s="26" t="s">
        <v>41</v>
      </c>
      <c r="B45" s="27"/>
      <c r="C45" s="27"/>
      <c r="D45" s="27"/>
      <c r="E45" s="27"/>
      <c r="F45" s="27"/>
      <c r="G45" s="27"/>
      <c r="H45" s="28"/>
    </row>
    <row r="46" spans="1:8" x14ac:dyDescent="0.25">
      <c r="A46" s="3" t="s">
        <v>42</v>
      </c>
      <c r="B46" s="4"/>
      <c r="C46" s="4"/>
      <c r="D46" s="4"/>
      <c r="E46" s="4"/>
      <c r="F46" s="4"/>
      <c r="G46" s="4"/>
      <c r="H46" s="5"/>
    </row>
    <row r="47" spans="1:8" ht="13" thickBot="1" x14ac:dyDescent="0.3">
      <c r="A47" s="13" t="s">
        <v>49</v>
      </c>
      <c r="B47" s="1"/>
      <c r="C47" s="1"/>
      <c r="D47" s="1"/>
      <c r="E47" s="1"/>
      <c r="F47" s="1"/>
      <c r="G47" s="1"/>
      <c r="H47" s="25"/>
    </row>
    <row r="48" spans="1:8" ht="13" x14ac:dyDescent="0.3">
      <c r="A48" s="22" t="s">
        <v>45</v>
      </c>
      <c r="B48" s="4"/>
      <c r="C48" s="4"/>
      <c r="D48" s="4"/>
      <c r="E48" s="4"/>
      <c r="F48" s="4"/>
      <c r="G48" s="4"/>
      <c r="H48" s="5"/>
    </row>
    <row r="49" spans="1:8" x14ac:dyDescent="0.25">
      <c r="A49" s="3" t="s">
        <v>16</v>
      </c>
      <c r="B49" s="4"/>
      <c r="C49" s="4"/>
      <c r="D49" s="4"/>
      <c r="E49" s="4"/>
      <c r="F49" s="4"/>
      <c r="G49" s="4"/>
      <c r="H49" s="5"/>
    </row>
    <row r="50" spans="1:8" x14ac:dyDescent="0.25">
      <c r="A50" s="3" t="s">
        <v>43</v>
      </c>
      <c r="B50" s="4"/>
      <c r="C50" s="4"/>
      <c r="D50" s="4"/>
      <c r="E50" s="4"/>
      <c r="F50" s="4"/>
      <c r="G50" s="4"/>
      <c r="H50" s="5"/>
    </row>
    <row r="51" spans="1:8" ht="13" thickBot="1" x14ac:dyDescent="0.3">
      <c r="A51" s="7" t="s">
        <v>44</v>
      </c>
      <c r="B51" s="8"/>
      <c r="C51" s="8"/>
      <c r="D51" s="8"/>
      <c r="E51" s="8"/>
      <c r="F51" s="8"/>
      <c r="G51" s="8"/>
      <c r="H51" s="24"/>
    </row>
    <row r="52" spans="1:8" ht="13" thickTop="1" x14ac:dyDescent="0.25"/>
  </sheetData>
  <phoneticPr fontId="0" type="noConversion"/>
  <pageMargins left="0.75" right="0.75" top="1" bottom="1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Steele</dc:creator>
  <cp:lastModifiedBy>Carina Negreanu</cp:lastModifiedBy>
  <cp:lastPrinted>2004-01-21T18:14:53Z</cp:lastPrinted>
  <dcterms:created xsi:type="dcterms:W3CDTF">2001-05-25T13:01:00Z</dcterms:created>
  <dcterms:modified xsi:type="dcterms:W3CDTF">2020-01-27T12:04:34Z</dcterms:modified>
</cp:coreProperties>
</file>