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7D28B92-33AE-49DE-A559-5F01CEA6CC4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dayofweek">Sheet2!$A$1:$B$7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5" i="1" l="1"/>
  <c r="A7" i="1"/>
  <c r="A9" i="1"/>
  <c r="A11" i="1" s="1"/>
  <c r="C23" i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B34" i="1"/>
  <c r="A4" i="1"/>
  <c r="B4" i="1"/>
  <c r="B5" i="1"/>
  <c r="A6" i="1"/>
  <c r="B6" i="1" s="1"/>
  <c r="B7" i="1"/>
  <c r="A8" i="1"/>
  <c r="B8" i="1" s="1"/>
  <c r="A10" i="1"/>
  <c r="B10" i="1" s="1"/>
  <c r="B3" i="1"/>
  <c r="A13" i="1" l="1"/>
  <c r="B11" i="1"/>
  <c r="A12" i="1"/>
  <c r="B12" i="1" s="1"/>
  <c r="B9" i="1"/>
  <c r="B13" i="1" l="1"/>
  <c r="A14" i="1"/>
  <c r="B14" i="1" s="1"/>
  <c r="A15" i="1"/>
  <c r="A16" i="1" l="1"/>
  <c r="B16" i="1" s="1"/>
  <c r="B15" i="1"/>
  <c r="A17" i="1"/>
  <c r="B17" i="1" l="1"/>
  <c r="A18" i="1"/>
  <c r="B18" i="1" s="1"/>
  <c r="A19" i="1"/>
  <c r="A21" i="1" l="1"/>
  <c r="A20" i="1"/>
  <c r="B22" i="1" s="1"/>
  <c r="B23" i="1" l="1"/>
  <c r="A23" i="1"/>
  <c r="A22" i="1"/>
  <c r="B24" i="1" s="1"/>
  <c r="B25" i="1" l="1"/>
  <c r="A24" i="1"/>
  <c r="B26" i="1" s="1"/>
  <c r="A25" i="1"/>
  <c r="A27" i="1" l="1"/>
  <c r="B27" i="1"/>
  <c r="A26" i="1"/>
  <c r="B28" i="1" s="1"/>
  <c r="B29" i="1" l="1"/>
  <c r="A28" i="1"/>
  <c r="A29" i="1"/>
  <c r="A31" i="1" l="1"/>
  <c r="A30" i="1"/>
  <c r="B30" i="1" s="1"/>
  <c r="A33" i="1" l="1"/>
  <c r="B33" i="1" s="1"/>
  <c r="A32" i="1"/>
  <c r="B32" i="1" s="1"/>
  <c r="B31" i="1"/>
</calcChain>
</file>

<file path=xl/sharedStrings.xml><?xml version="1.0" encoding="utf-8"?>
<sst xmlns="http://schemas.openxmlformats.org/spreadsheetml/2006/main" count="125" uniqueCount="83">
  <si>
    <t>Lecture 1</t>
  </si>
  <si>
    <t>Lecture 2</t>
  </si>
  <si>
    <t>Lecture 3</t>
  </si>
  <si>
    <t>Lecture 4</t>
  </si>
  <si>
    <t>Lecture 5</t>
  </si>
  <si>
    <t>Lecture 6</t>
  </si>
  <si>
    <t>Lecture 7</t>
  </si>
  <si>
    <t>Lecture 9</t>
  </si>
  <si>
    <t>Lecture 10</t>
  </si>
  <si>
    <t>Lecture 11</t>
  </si>
  <si>
    <t>Lecture 12</t>
  </si>
  <si>
    <t>Lecture 13</t>
  </si>
  <si>
    <t>Lecture 14</t>
  </si>
  <si>
    <t>Lecture 15</t>
  </si>
  <si>
    <t>Lecture 17</t>
  </si>
  <si>
    <t>Lecture 18</t>
  </si>
  <si>
    <t>Th</t>
  </si>
  <si>
    <t>Tu</t>
  </si>
  <si>
    <t>Final Exam</t>
  </si>
  <si>
    <t>Date</t>
  </si>
  <si>
    <t>Instructor</t>
  </si>
  <si>
    <r>
      <t xml:space="preserve">                 </t>
    </r>
    <r>
      <rPr>
        <b/>
        <sz val="14"/>
        <rFont val="Arial"/>
        <family val="2"/>
      </rPr>
      <t>Class Calender</t>
    </r>
  </si>
  <si>
    <t>Lecture No.</t>
  </si>
  <si>
    <t xml:space="preserve">         Topic</t>
  </si>
  <si>
    <t xml:space="preserve"> </t>
  </si>
  <si>
    <t>done</t>
  </si>
  <si>
    <t>Comm.</t>
  </si>
  <si>
    <t>Clock</t>
  </si>
  <si>
    <t>IO Power Delivery -1</t>
  </si>
  <si>
    <t xml:space="preserve">IO Power Delivery -2 </t>
  </si>
  <si>
    <t>Peak Distortion Analysis 1</t>
  </si>
  <si>
    <t>Peak Distortion Analysis 2</t>
  </si>
  <si>
    <t xml:space="preserve">Test Board Block Diagram </t>
  </si>
  <si>
    <t>IO buffer, behavior model, IBIS</t>
  </si>
  <si>
    <t>EXAM 1</t>
  </si>
  <si>
    <t>Exam 1</t>
  </si>
  <si>
    <t>Lab 2</t>
  </si>
  <si>
    <t>Lab 3</t>
  </si>
  <si>
    <t>Lab 4</t>
  </si>
  <si>
    <t>Lab 5</t>
  </si>
  <si>
    <t>EXAM review</t>
  </si>
  <si>
    <t>Su</t>
  </si>
  <si>
    <t>Mo</t>
  </si>
  <si>
    <t>We</t>
  </si>
  <si>
    <t>Fr</t>
  </si>
  <si>
    <t>Sa</t>
  </si>
  <si>
    <t>break</t>
  </si>
  <si>
    <t>Review</t>
  </si>
  <si>
    <t>HSPICE Clock Slew Project1</t>
  </si>
  <si>
    <t>Last Class</t>
  </si>
  <si>
    <t>#</t>
  </si>
  <si>
    <t>Lecture 19</t>
  </si>
  <si>
    <t>Serial Data - 1 Differential Signaling</t>
  </si>
  <si>
    <t>Serial Data - 2 Differential Signaling</t>
  </si>
  <si>
    <t>Serial Data - 3 Differential Signaling</t>
  </si>
  <si>
    <t>Mellitz</t>
  </si>
  <si>
    <t>Read cycle</t>
  </si>
  <si>
    <t>Lecture 20</t>
  </si>
  <si>
    <t>Lab 1</t>
  </si>
  <si>
    <t>clock skew</t>
  </si>
  <si>
    <t>clock jitter (jit1)</t>
  </si>
  <si>
    <t>Frequency domain 1</t>
  </si>
  <si>
    <t>Frequency domain 2</t>
  </si>
  <si>
    <t>Frequency domain 3</t>
  </si>
  <si>
    <t>Ballou</t>
  </si>
  <si>
    <t>Anserson</t>
  </si>
  <si>
    <t>Serial Data - 1 GHz differerential modeling</t>
  </si>
  <si>
    <t>Serial Data - 2 GHz differerential modeling</t>
  </si>
  <si>
    <t>Introduction. DDR2, HSPICE Modeling/project2</t>
  </si>
  <si>
    <t>Agilent VNA class/ Reading layouts Allegro</t>
  </si>
  <si>
    <t>Probing, Triggering, Grounding</t>
  </si>
  <si>
    <t xml:space="preserve">Final EXAM review </t>
  </si>
  <si>
    <t>Exam 2 (cover from Exam 1 to PDA)</t>
  </si>
  <si>
    <t>Set up for test environment for DDR2 /Allegro</t>
  </si>
  <si>
    <t>Lecture 16</t>
  </si>
  <si>
    <t>Lecture 21</t>
  </si>
  <si>
    <t>Lecture 22</t>
  </si>
  <si>
    <t>TEK scope class /Wavestar</t>
  </si>
  <si>
    <r>
      <t>Anderson</t>
    </r>
    <r>
      <rPr>
        <i/>
        <sz val="10"/>
        <rFont val="Arial"/>
        <family val="2"/>
      </rPr>
      <t>/Mellitz</t>
    </r>
  </si>
  <si>
    <t>Agilent / Murphy</t>
  </si>
  <si>
    <t>Tektronix / Hitt</t>
  </si>
  <si>
    <t>Mellitz/Huray/Chen</t>
  </si>
  <si>
    <r>
      <t>Anderson/</t>
    </r>
    <r>
      <rPr>
        <i/>
        <sz val="10"/>
        <rFont val="Arial"/>
        <family val="2"/>
      </rPr>
      <t>Mellitz/Huray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</si>
</sst>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color indexed="10"/>
      <name val="Arial"/>
    </font>
    <font>
      <sz val="10"/>
      <color indexed="12"/>
      <name val="Arial"/>
    </font>
    <font>
      <sz val="10"/>
      <color indexed="61"/>
      <name val="Arial"/>
    </font>
    <font>
      <sz val="10"/>
      <color indexed="14"/>
      <name val="Arial"/>
    </font>
    <font>
      <sz val="10"/>
      <color indexed="16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0" fillId="0" borderId="1" xfId="0" applyFill="1" applyBorder="1" applyAlignment="1">
      <alignment wrapText="1"/>
    </xf>
    <xf numFmtId="0" fontId="3" fillId="0" borderId="1" xfId="0" applyFont="1" applyBorder="1"/>
    <xf numFmtId="14" fontId="0" fillId="0" borderId="1" xfId="0" applyNumberFormat="1" applyFill="1" applyBorder="1"/>
    <xf numFmtId="0" fontId="0" fillId="0" borderId="1" xfId="0" applyFill="1" applyBorder="1"/>
    <xf numFmtId="14" fontId="0" fillId="0" borderId="0" xfId="0" applyNumberFormat="1" applyFill="1" applyBorder="1"/>
    <xf numFmtId="0" fontId="0" fillId="0" borderId="0" xfId="0" applyFill="1"/>
    <xf numFmtId="0" fontId="0" fillId="0" borderId="2" xfId="0" applyFill="1" applyBorder="1"/>
    <xf numFmtId="0" fontId="4" fillId="0" borderId="1" xfId="0" applyFont="1" applyBorder="1"/>
    <xf numFmtId="9" fontId="0" fillId="0" borderId="1" xfId="0" quotePrefix="1" applyNumberFormat="1" applyFill="1" applyBorder="1" applyAlignment="1">
      <alignment wrapText="1"/>
    </xf>
    <xf numFmtId="0" fontId="0" fillId="2" borderId="0" xfId="0" applyFill="1"/>
    <xf numFmtId="14" fontId="0" fillId="2" borderId="1" xfId="0" applyNumberFormat="1" applyFill="1" applyBorder="1"/>
    <xf numFmtId="0" fontId="0" fillId="2" borderId="0" xfId="0" applyFill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14" fontId="5" fillId="0" borderId="1" xfId="0" applyNumberFormat="1" applyFont="1" applyFill="1" applyBorder="1"/>
    <xf numFmtId="14" fontId="5" fillId="2" borderId="1" xfId="0" applyNumberFormat="1" applyFont="1" applyFill="1" applyBorder="1"/>
    <xf numFmtId="0" fontId="6" fillId="0" borderId="0" xfId="0" applyFont="1"/>
    <xf numFmtId="0" fontId="6" fillId="0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8"/>
  <sheetViews>
    <sheetView tabSelected="1" topLeftCell="A8" zoomScaleNormal="100" workbookViewId="0">
      <selection activeCell="A35" sqref="A35"/>
    </sheetView>
  </sheetViews>
  <sheetFormatPr defaultRowHeight="12.5" x14ac:dyDescent="0.25"/>
  <cols>
    <col min="1" max="1" width="11.26953125" bestFit="1" customWidth="1"/>
    <col min="2" max="3" width="5.26953125" customWidth="1"/>
    <col min="4" max="4" width="10.81640625" customWidth="1"/>
    <col min="5" max="5" width="40.1796875" customWidth="1"/>
    <col min="6" max="6" width="21.26953125" customWidth="1"/>
    <col min="7" max="7" width="21.26953125" style="1" customWidth="1"/>
  </cols>
  <sheetData>
    <row r="1" spans="1:7" ht="18" x14ac:dyDescent="0.4">
      <c r="D1" s="3"/>
      <c r="E1" s="2" t="s">
        <v>21</v>
      </c>
    </row>
    <row r="2" spans="1:7" ht="13" x14ac:dyDescent="0.3">
      <c r="A2" s="4" t="s">
        <v>19</v>
      </c>
      <c r="B2" s="9"/>
      <c r="C2" s="15" t="s">
        <v>50</v>
      </c>
      <c r="D2" s="5" t="s">
        <v>22</v>
      </c>
      <c r="E2" s="6" t="s">
        <v>23</v>
      </c>
      <c r="F2" s="5" t="s">
        <v>20</v>
      </c>
      <c r="G2" s="7" t="s">
        <v>26</v>
      </c>
    </row>
    <row r="3" spans="1:7" x14ac:dyDescent="0.25">
      <c r="A3" s="22">
        <v>37999</v>
      </c>
      <c r="B3" t="str">
        <f>VLOOKUP(WEEKDAY(A3),Sheet2!B1:dayofweek,2)</f>
        <v>Tu</v>
      </c>
      <c r="C3">
        <v>1</v>
      </c>
      <c r="D3" s="11" t="s">
        <v>0</v>
      </c>
      <c r="E3" t="s">
        <v>33</v>
      </c>
      <c r="F3" s="11" t="s">
        <v>55</v>
      </c>
      <c r="G3" s="8" t="s">
        <v>25</v>
      </c>
    </row>
    <row r="4" spans="1:7" x14ac:dyDescent="0.25">
      <c r="A4" s="22">
        <f>A3+2</f>
        <v>38001</v>
      </c>
      <c r="B4" t="str">
        <f>VLOOKUP(WEEKDAY(A4),Sheet2!B2:dayofweek,2)</f>
        <v>Th</v>
      </c>
      <c r="C4">
        <v>2</v>
      </c>
      <c r="D4" s="11" t="s">
        <v>1</v>
      </c>
      <c r="E4" t="s">
        <v>33</v>
      </c>
      <c r="F4" s="11" t="s">
        <v>55</v>
      </c>
      <c r="G4" s="8" t="s">
        <v>25</v>
      </c>
    </row>
    <row r="5" spans="1:7" x14ac:dyDescent="0.25">
      <c r="A5" s="22">
        <f>A3+7</f>
        <v>38006</v>
      </c>
      <c r="B5" t="str">
        <f>VLOOKUP(WEEKDAY(A5),Sheet2!B3:dayofweek,2)</f>
        <v>Tu</v>
      </c>
      <c r="C5">
        <v>3</v>
      </c>
      <c r="D5" s="11" t="s">
        <v>2</v>
      </c>
      <c r="E5" t="s">
        <v>27</v>
      </c>
      <c r="F5" s="11" t="s">
        <v>55</v>
      </c>
      <c r="G5" s="8" t="s">
        <v>25</v>
      </c>
    </row>
    <row r="6" spans="1:7" ht="13.15" customHeight="1" x14ac:dyDescent="0.25">
      <c r="A6" s="22">
        <f>A5+2</f>
        <v>38008</v>
      </c>
      <c r="B6" t="str">
        <f>VLOOKUP(WEEKDAY(A6),Sheet2!B4:dayofweek,2)</f>
        <v>Th</v>
      </c>
      <c r="C6">
        <v>4</v>
      </c>
      <c r="D6" s="11" t="s">
        <v>3</v>
      </c>
      <c r="E6" t="s">
        <v>48</v>
      </c>
      <c r="F6" s="11" t="s">
        <v>55</v>
      </c>
      <c r="G6" s="8" t="s">
        <v>25</v>
      </c>
    </row>
    <row r="7" spans="1:7" x14ac:dyDescent="0.25">
      <c r="A7" s="23">
        <f>A5+7</f>
        <v>38013</v>
      </c>
      <c r="B7" s="17" t="str">
        <f>VLOOKUP(WEEKDAY(A7),Sheet2!B5:dayofweek,2)</f>
        <v>Tu</v>
      </c>
      <c r="C7" s="17">
        <v>5</v>
      </c>
      <c r="D7" s="17"/>
      <c r="E7" s="17"/>
      <c r="F7" s="17"/>
      <c r="G7" s="19"/>
    </row>
    <row r="8" spans="1:7" x14ac:dyDescent="0.25">
      <c r="A8" s="22">
        <f>A7+2</f>
        <v>38015</v>
      </c>
      <c r="B8" t="str">
        <f>VLOOKUP(WEEKDAY(A8),Sheet2!B6:dayofweek,2)</f>
        <v>Th</v>
      </c>
      <c r="C8">
        <v>6</v>
      </c>
      <c r="D8" s="11" t="s">
        <v>4</v>
      </c>
      <c r="E8" t="s">
        <v>28</v>
      </c>
      <c r="F8" s="11" t="s">
        <v>64</v>
      </c>
      <c r="G8" s="8" t="s">
        <v>25</v>
      </c>
    </row>
    <row r="9" spans="1:7" x14ac:dyDescent="0.25">
      <c r="A9" s="22">
        <f>A7+7</f>
        <v>38020</v>
      </c>
      <c r="B9" t="str">
        <f>VLOOKUP(WEEKDAY(A9),Sheet2!B7:dayofweek,2)</f>
        <v>Tu</v>
      </c>
      <c r="C9">
        <v>7</v>
      </c>
      <c r="D9" s="11" t="s">
        <v>5</v>
      </c>
      <c r="E9" t="s">
        <v>29</v>
      </c>
      <c r="F9" s="11" t="s">
        <v>64</v>
      </c>
      <c r="G9" s="8" t="s">
        <v>25</v>
      </c>
    </row>
    <row r="10" spans="1:7" x14ac:dyDescent="0.25">
      <c r="A10" s="22">
        <f>A9+2</f>
        <v>38022</v>
      </c>
      <c r="B10" t="str">
        <f>VLOOKUP(WEEKDAY(A10),Sheet2!B8:dayofweek,2)</f>
        <v>Th</v>
      </c>
      <c r="C10">
        <v>8</v>
      </c>
      <c r="D10" s="11" t="s">
        <v>6</v>
      </c>
      <c r="E10" t="s">
        <v>40</v>
      </c>
      <c r="F10" s="11" t="s">
        <v>81</v>
      </c>
      <c r="G10" s="8"/>
    </row>
    <row r="11" spans="1:7" ht="14.5" customHeight="1" x14ac:dyDescent="0.25">
      <c r="A11" s="22">
        <f>A9+7</f>
        <v>38027</v>
      </c>
      <c r="B11" t="str">
        <f>VLOOKUP(WEEKDAY(A11),Sheet2!B9:dayofweek,2)</f>
        <v>Tu</v>
      </c>
      <c r="C11">
        <v>9</v>
      </c>
      <c r="D11" s="11" t="s">
        <v>47</v>
      </c>
      <c r="E11" t="s">
        <v>61</v>
      </c>
      <c r="F11" s="11" t="s">
        <v>55</v>
      </c>
      <c r="G11" s="8" t="s">
        <v>25</v>
      </c>
    </row>
    <row r="12" spans="1:7" x14ac:dyDescent="0.25">
      <c r="A12" s="22">
        <f>A11+2</f>
        <v>38029</v>
      </c>
      <c r="B12" t="str">
        <f>VLOOKUP(WEEKDAY(A12),Sheet2!B10:dayofweek,2)</f>
        <v>Th</v>
      </c>
      <c r="C12">
        <v>10</v>
      </c>
      <c r="D12" s="11" t="s">
        <v>35</v>
      </c>
      <c r="E12" t="s">
        <v>62</v>
      </c>
      <c r="F12" s="11" t="s">
        <v>55</v>
      </c>
      <c r="G12" s="8" t="s">
        <v>25</v>
      </c>
    </row>
    <row r="13" spans="1:7" x14ac:dyDescent="0.25">
      <c r="A13" s="22">
        <f>A11+7</f>
        <v>38034</v>
      </c>
      <c r="B13" t="str">
        <f>VLOOKUP(WEEKDAY(A13),Sheet2!B11:dayofweek,2)</f>
        <v>Tu</v>
      </c>
      <c r="C13">
        <v>11</v>
      </c>
      <c r="D13" s="11" t="s">
        <v>7</v>
      </c>
      <c r="E13" t="s">
        <v>63</v>
      </c>
      <c r="F13" s="11" t="s">
        <v>81</v>
      </c>
      <c r="G13" s="8" t="s">
        <v>24</v>
      </c>
    </row>
    <row r="14" spans="1:7" x14ac:dyDescent="0.25">
      <c r="A14" s="10">
        <f>A13+2</f>
        <v>38036</v>
      </c>
      <c r="B14" t="str">
        <f>VLOOKUP(WEEKDAY(A14),Sheet2!B12:dayofweek,2)</f>
        <v>Th</v>
      </c>
      <c r="C14">
        <v>12</v>
      </c>
      <c r="D14" s="11" t="s">
        <v>8</v>
      </c>
      <c r="E14" t="s">
        <v>34</v>
      </c>
      <c r="F14" s="11" t="s">
        <v>55</v>
      </c>
      <c r="G14" s="8" t="s">
        <v>25</v>
      </c>
    </row>
    <row r="15" spans="1:7" x14ac:dyDescent="0.25">
      <c r="A15" s="10">
        <f>A13+7</f>
        <v>38041</v>
      </c>
      <c r="B15" t="str">
        <f>VLOOKUP(WEEKDAY(A15),Sheet2!B13:dayofweek,2)</f>
        <v>Tu</v>
      </c>
      <c r="C15">
        <v>13</v>
      </c>
      <c r="D15" s="11" t="s">
        <v>9</v>
      </c>
      <c r="E15" t="s">
        <v>52</v>
      </c>
      <c r="F15" s="11" t="s">
        <v>55</v>
      </c>
      <c r="G15" s="8" t="s">
        <v>25</v>
      </c>
    </row>
    <row r="16" spans="1:7" x14ac:dyDescent="0.25">
      <c r="A16" s="10">
        <f>A15+2</f>
        <v>38043</v>
      </c>
      <c r="B16" t="str">
        <f>VLOOKUP(WEEKDAY(A16),Sheet2!B14:dayofweek,2)</f>
        <v>Th</v>
      </c>
      <c r="C16">
        <v>14</v>
      </c>
      <c r="D16" s="11" t="s">
        <v>10</v>
      </c>
      <c r="E16" t="s">
        <v>53</v>
      </c>
      <c r="F16" s="11" t="s">
        <v>55</v>
      </c>
      <c r="G16" s="8" t="s">
        <v>25</v>
      </c>
    </row>
    <row r="17" spans="1:8" x14ac:dyDescent="0.25">
      <c r="A17" s="10">
        <f>A15+7</f>
        <v>38048</v>
      </c>
      <c r="B17" t="str">
        <f>VLOOKUP(WEEKDAY(A17),Sheet2!B15:dayofweek,2)</f>
        <v>Tu</v>
      </c>
      <c r="C17">
        <v>15</v>
      </c>
      <c r="D17" s="14" t="s">
        <v>11</v>
      </c>
      <c r="E17" t="s">
        <v>54</v>
      </c>
      <c r="F17" s="11" t="s">
        <v>55</v>
      </c>
      <c r="G17" s="8" t="s">
        <v>25</v>
      </c>
    </row>
    <row r="18" spans="1:8" x14ac:dyDescent="0.25">
      <c r="A18" s="10">
        <f>A17+2</f>
        <v>38050</v>
      </c>
      <c r="B18" t="str">
        <f>VLOOKUP(WEEKDAY(A18),Sheet2!B16:dayofweek,2)</f>
        <v>Th</v>
      </c>
      <c r="C18">
        <v>16</v>
      </c>
      <c r="D18" s="14" t="s">
        <v>12</v>
      </c>
      <c r="E18" t="s">
        <v>66</v>
      </c>
      <c r="F18" s="11" t="s">
        <v>55</v>
      </c>
      <c r="G18" s="8" t="s">
        <v>25</v>
      </c>
    </row>
    <row r="19" spans="1:8" x14ac:dyDescent="0.25">
      <c r="A19" s="18">
        <f>A17+7</f>
        <v>38055</v>
      </c>
      <c r="B19" s="17" t="s">
        <v>17</v>
      </c>
      <c r="C19" s="17"/>
      <c r="D19" s="20" t="s">
        <v>46</v>
      </c>
      <c r="E19" s="17"/>
      <c r="F19" s="20"/>
      <c r="G19" s="21"/>
    </row>
    <row r="20" spans="1:8" x14ac:dyDescent="0.25">
      <c r="A20" s="18">
        <f>A19+2</f>
        <v>38057</v>
      </c>
      <c r="B20" s="17" t="s">
        <v>16</v>
      </c>
      <c r="C20" s="17"/>
      <c r="D20" s="20" t="s">
        <v>46</v>
      </c>
      <c r="E20" s="17"/>
      <c r="F20" s="20"/>
      <c r="G20" s="21"/>
    </row>
    <row r="21" spans="1:8" ht="13.9" customHeight="1" x14ac:dyDescent="0.25">
      <c r="A21" s="10">
        <f>A19+7</f>
        <v>38062</v>
      </c>
      <c r="B21" t="s">
        <v>17</v>
      </c>
      <c r="C21">
        <v>17</v>
      </c>
      <c r="D21" s="14" t="s">
        <v>13</v>
      </c>
      <c r="E21" t="s">
        <v>67</v>
      </c>
      <c r="F21" s="11" t="s">
        <v>55</v>
      </c>
      <c r="G21" s="8" t="s">
        <v>25</v>
      </c>
      <c r="H21" s="13"/>
    </row>
    <row r="22" spans="1:8" x14ac:dyDescent="0.25">
      <c r="A22" s="10">
        <f>A21+2</f>
        <v>38064</v>
      </c>
      <c r="B22" t="str">
        <f>VLOOKUP(WEEKDAY(A20),Sheet2!B18:dayofweek,2)</f>
        <v>Th</v>
      </c>
      <c r="C22">
        <v>18</v>
      </c>
      <c r="D22" s="14" t="s">
        <v>74</v>
      </c>
      <c r="E22" t="s">
        <v>30</v>
      </c>
      <c r="F22" s="11" t="s">
        <v>81</v>
      </c>
      <c r="G22" s="8" t="s">
        <v>25</v>
      </c>
    </row>
    <row r="23" spans="1:8" x14ac:dyDescent="0.25">
      <c r="A23" s="10">
        <f>A21+7</f>
        <v>38069</v>
      </c>
      <c r="B23" t="str">
        <f>VLOOKUP(WEEKDAY(A21),Sheet2!B19:dayofweek,2)</f>
        <v>Tu</v>
      </c>
      <c r="C23">
        <f t="shared" ref="C23:C32" si="0">C22+1</f>
        <v>19</v>
      </c>
      <c r="D23" s="14" t="s">
        <v>14</v>
      </c>
      <c r="E23" t="s">
        <v>31</v>
      </c>
      <c r="F23" s="11" t="s">
        <v>81</v>
      </c>
      <c r="G23" s="16"/>
    </row>
    <row r="24" spans="1:8" x14ac:dyDescent="0.25">
      <c r="A24" s="10">
        <f>A23+2</f>
        <v>38071</v>
      </c>
      <c r="B24" t="str">
        <f>VLOOKUP(WEEKDAY(A22),Sheet2!B20:dayofweek,2)</f>
        <v>Th</v>
      </c>
      <c r="C24">
        <f t="shared" si="0"/>
        <v>20</v>
      </c>
      <c r="D24" s="14" t="s">
        <v>15</v>
      </c>
      <c r="E24" t="s">
        <v>71</v>
      </c>
      <c r="F24" s="11" t="s">
        <v>55</v>
      </c>
      <c r="G24" s="8" t="s">
        <v>25</v>
      </c>
    </row>
    <row r="25" spans="1:8" x14ac:dyDescent="0.25">
      <c r="A25" s="10">
        <f t="shared" ref="A25:A33" si="1">A23+7</f>
        <v>38076</v>
      </c>
      <c r="B25" t="str">
        <f>VLOOKUP(WEEKDAY(A23),Sheet2!B21:dayofweek,2)</f>
        <v>Tu</v>
      </c>
      <c r="C25">
        <f t="shared" si="0"/>
        <v>21</v>
      </c>
      <c r="D25" s="14" t="s">
        <v>51</v>
      </c>
      <c r="E25" s="28" t="s">
        <v>32</v>
      </c>
      <c r="F25" s="11" t="s">
        <v>65</v>
      </c>
      <c r="G25" s="8" t="s">
        <v>25</v>
      </c>
    </row>
    <row r="26" spans="1:8" ht="13" x14ac:dyDescent="0.3">
      <c r="A26" s="10">
        <f>A25+2</f>
        <v>38078</v>
      </c>
      <c r="B26" t="str">
        <f>VLOOKUP(WEEKDAY(A24),Sheet2!B22:dayofweek,2)</f>
        <v>Th</v>
      </c>
      <c r="C26">
        <f t="shared" si="0"/>
        <v>22</v>
      </c>
      <c r="D26" s="14" t="s">
        <v>57</v>
      </c>
      <c r="E26" s="26" t="s">
        <v>68</v>
      </c>
      <c r="F26" s="11" t="s">
        <v>78</v>
      </c>
      <c r="G26" s="8" t="s">
        <v>24</v>
      </c>
    </row>
    <row r="27" spans="1:8" s="13" customFormat="1" x14ac:dyDescent="0.25">
      <c r="A27" s="10">
        <f t="shared" si="1"/>
        <v>38083</v>
      </c>
      <c r="B27" t="str">
        <f>VLOOKUP(WEEKDAY(A25),Sheet2!B23:dayofweek,2)</f>
        <v>Tu</v>
      </c>
      <c r="C27">
        <f t="shared" si="0"/>
        <v>23</v>
      </c>
      <c r="D27" s="14" t="s">
        <v>75</v>
      </c>
      <c r="E27" s="27" t="s">
        <v>69</v>
      </c>
      <c r="F27" s="11" t="s">
        <v>79</v>
      </c>
      <c r="G27" s="8"/>
    </row>
    <row r="28" spans="1:8" x14ac:dyDescent="0.25">
      <c r="A28" s="10">
        <f>A27+2</f>
        <v>38085</v>
      </c>
      <c r="B28" t="str">
        <f>VLOOKUP(WEEKDAY(A26),Sheet2!B24:dayofweek,2)</f>
        <v>Th</v>
      </c>
      <c r="C28">
        <f t="shared" si="0"/>
        <v>24</v>
      </c>
      <c r="D28" s="14" t="s">
        <v>76</v>
      </c>
      <c r="E28" s="27" t="s">
        <v>77</v>
      </c>
      <c r="F28" s="11" t="s">
        <v>80</v>
      </c>
      <c r="G28" s="8"/>
    </row>
    <row r="29" spans="1:8" ht="13" x14ac:dyDescent="0.3">
      <c r="A29" s="10">
        <f t="shared" si="1"/>
        <v>38090</v>
      </c>
      <c r="B29" t="str">
        <f>VLOOKUP(WEEKDAY(A27),Sheet2!B25:dayofweek,2)</f>
        <v>Tu</v>
      </c>
      <c r="C29">
        <f t="shared" si="0"/>
        <v>25</v>
      </c>
      <c r="D29" s="11" t="s">
        <v>58</v>
      </c>
      <c r="E29" s="26" t="s">
        <v>73</v>
      </c>
      <c r="F29" s="11" t="s">
        <v>82</v>
      </c>
      <c r="G29" s="8"/>
    </row>
    <row r="30" spans="1:8" ht="13" x14ac:dyDescent="0.3">
      <c r="A30" s="10">
        <f>A29+2</f>
        <v>38092</v>
      </c>
      <c r="B30" t="str">
        <f>VLOOKUP(WEEKDAY(A30),Sheet2!B28:dayofweek,2)</f>
        <v>Th</v>
      </c>
      <c r="C30">
        <f t="shared" si="0"/>
        <v>26</v>
      </c>
      <c r="D30" s="11" t="s">
        <v>36</v>
      </c>
      <c r="E30" s="25" t="s">
        <v>70</v>
      </c>
      <c r="F30" s="11" t="s">
        <v>82</v>
      </c>
      <c r="G30" s="8"/>
    </row>
    <row r="31" spans="1:8" ht="13" x14ac:dyDescent="0.3">
      <c r="A31" s="10">
        <f t="shared" si="1"/>
        <v>38097</v>
      </c>
      <c r="B31" t="str">
        <f>VLOOKUP(WEEKDAY(A31),Sheet2!B29:dayofweek,2)</f>
        <v>Tu</v>
      </c>
      <c r="C31">
        <f t="shared" si="0"/>
        <v>27</v>
      </c>
      <c r="D31" s="11" t="s">
        <v>37</v>
      </c>
      <c r="E31" s="25" t="s">
        <v>59</v>
      </c>
      <c r="F31" s="11" t="s">
        <v>82</v>
      </c>
      <c r="G31" s="8"/>
    </row>
    <row r="32" spans="1:8" ht="13.5" customHeight="1" x14ac:dyDescent="0.3">
      <c r="A32" s="10">
        <f>A31+2</f>
        <v>38099</v>
      </c>
      <c r="B32" t="str">
        <f>VLOOKUP(WEEKDAY(A32),Sheet2!B30:dayofweek,2)</f>
        <v>Th</v>
      </c>
      <c r="C32">
        <f t="shared" si="0"/>
        <v>28</v>
      </c>
      <c r="D32" s="11" t="s">
        <v>38</v>
      </c>
      <c r="E32" s="24" t="s">
        <v>60</v>
      </c>
      <c r="F32" s="11" t="s">
        <v>82</v>
      </c>
      <c r="G32" s="8"/>
    </row>
    <row r="33" spans="1:7" ht="13" x14ac:dyDescent="0.3">
      <c r="A33" s="10">
        <f t="shared" si="1"/>
        <v>38104</v>
      </c>
      <c r="B33" t="str">
        <f>VLOOKUP(WEEKDAY(A33),Sheet2!B31:dayofweek,2)</f>
        <v>Tu</v>
      </c>
      <c r="C33">
        <f>C32+1</f>
        <v>29</v>
      </c>
      <c r="D33" s="11" t="s">
        <v>39</v>
      </c>
      <c r="E33" s="24" t="s">
        <v>56</v>
      </c>
      <c r="F33" s="11" t="s">
        <v>82</v>
      </c>
      <c r="G33" s="8" t="s">
        <v>49</v>
      </c>
    </row>
    <row r="34" spans="1:7" x14ac:dyDescent="0.25">
      <c r="A34" s="10">
        <v>38113</v>
      </c>
      <c r="B34" t="str">
        <f>VLOOKUP(WEEKDAY(A34),Sheet2!B34:dayofweek,2)</f>
        <v>Th</v>
      </c>
      <c r="C34">
        <v>31</v>
      </c>
      <c r="D34" s="11" t="s">
        <v>18</v>
      </c>
      <c r="E34" s="24" t="s">
        <v>72</v>
      </c>
      <c r="F34" s="11"/>
      <c r="G34" s="8"/>
    </row>
    <row r="35" spans="1:7" x14ac:dyDescent="0.25">
      <c r="A35" s="12"/>
      <c r="G35"/>
    </row>
    <row r="36" spans="1:7" x14ac:dyDescent="0.25">
      <c r="A36" s="12"/>
      <c r="G36"/>
    </row>
    <row r="37" spans="1:7" x14ac:dyDescent="0.25">
      <c r="A37" s="12"/>
    </row>
    <row r="38" spans="1:7" x14ac:dyDescent="0.25">
      <c r="A38" s="12"/>
    </row>
  </sheetData>
  <phoneticPr fontId="0" type="noConversion"/>
  <pageMargins left="0.75" right="0.75" top="1" bottom="1" header="0.5" footer="0.5"/>
  <pageSetup scale="7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7"/>
    </sheetView>
  </sheetViews>
  <sheetFormatPr defaultRowHeight="12.5" x14ac:dyDescent="0.25"/>
  <sheetData>
    <row r="1" spans="1:2" x14ac:dyDescent="0.25">
      <c r="A1">
        <v>1</v>
      </c>
      <c r="B1" t="s">
        <v>41</v>
      </c>
    </row>
    <row r="2" spans="1:2" x14ac:dyDescent="0.25">
      <c r="A2">
        <v>2</v>
      </c>
      <c r="B2" t="s">
        <v>42</v>
      </c>
    </row>
    <row r="3" spans="1:2" x14ac:dyDescent="0.25">
      <c r="A3">
        <v>3</v>
      </c>
      <c r="B3" t="s">
        <v>17</v>
      </c>
    </row>
    <row r="4" spans="1:2" x14ac:dyDescent="0.25">
      <c r="A4">
        <v>4</v>
      </c>
      <c r="B4" t="s">
        <v>43</v>
      </c>
    </row>
    <row r="5" spans="1:2" x14ac:dyDescent="0.25">
      <c r="A5">
        <v>5</v>
      </c>
      <c r="B5" t="s">
        <v>16</v>
      </c>
    </row>
    <row r="6" spans="1:2" x14ac:dyDescent="0.25">
      <c r="A6">
        <v>6</v>
      </c>
      <c r="B6" t="s">
        <v>44</v>
      </c>
    </row>
    <row r="7" spans="1:2" x14ac:dyDescent="0.25">
      <c r="A7">
        <v>7</v>
      </c>
      <c r="B7" t="s">
        <v>45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dayofweek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hli8</dc:creator>
  <cp:lastModifiedBy>Carina Negreanu</cp:lastModifiedBy>
  <cp:lastPrinted>2003-08-29T15:42:57Z</cp:lastPrinted>
  <dcterms:created xsi:type="dcterms:W3CDTF">2003-01-10T14:03:20Z</dcterms:created>
  <dcterms:modified xsi:type="dcterms:W3CDTF">2020-01-27T11:17:54Z</dcterms:modified>
</cp:coreProperties>
</file>