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4E196C-480F-45D5-BE1F-5FFD935E48CA}" xr6:coauthVersionLast="45" xr6:coauthVersionMax="45" xr10:uidLastSave="{00000000-0000-0000-0000-000000000000}"/>
  <bookViews>
    <workbookView xWindow="3420" yWindow="3420" windowWidth="28800" windowHeight="15460"/>
  </bookViews>
  <sheets>
    <sheet name="budget" sheetId="1" r:id="rId1"/>
    <sheet name="funding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 s="1"/>
  <c r="H15" i="1" s="1"/>
  <c r="J14" i="1"/>
  <c r="C15" i="1"/>
  <c r="D15" i="1"/>
  <c r="E15" i="1"/>
  <c r="F15" i="1"/>
  <c r="G15" i="1"/>
  <c r="J15" i="1"/>
  <c r="L15" i="1"/>
  <c r="L73" i="1" s="1"/>
  <c r="L83" i="1" s="1"/>
  <c r="C18" i="1"/>
  <c r="C20" i="1" s="1"/>
  <c r="D18" i="1"/>
  <c r="H18" i="1" s="1"/>
  <c r="H20" i="1" s="1"/>
  <c r="E18" i="1"/>
  <c r="E20" i="1" s="1"/>
  <c r="E73" i="1" s="1"/>
  <c r="E83" i="1" s="1"/>
  <c r="F18" i="1"/>
  <c r="F20" i="1" s="1"/>
  <c r="G18" i="1"/>
  <c r="G20" i="1" s="1"/>
  <c r="J18" i="1"/>
  <c r="C19" i="1"/>
  <c r="D19" i="1"/>
  <c r="E19" i="1"/>
  <c r="F19" i="1"/>
  <c r="H19" i="1"/>
  <c r="J19" i="1"/>
  <c r="J20" i="1"/>
  <c r="L20" i="1"/>
  <c r="C23" i="1"/>
  <c r="C27" i="1" s="1"/>
  <c r="D23" i="1"/>
  <c r="H23" i="1" s="1"/>
  <c r="E23" i="1"/>
  <c r="E27" i="1" s="1"/>
  <c r="F23" i="1"/>
  <c r="F27" i="1" s="1"/>
  <c r="G23" i="1"/>
  <c r="J23" i="1"/>
  <c r="C24" i="1"/>
  <c r="D24" i="1"/>
  <c r="H24" i="1" s="1"/>
  <c r="E24" i="1"/>
  <c r="F24" i="1"/>
  <c r="J24" i="1"/>
  <c r="J27" i="1" s="1"/>
  <c r="C25" i="1"/>
  <c r="D25" i="1"/>
  <c r="E25" i="1"/>
  <c r="F25" i="1"/>
  <c r="H25" i="1"/>
  <c r="J25" i="1"/>
  <c r="C26" i="1"/>
  <c r="D26" i="1"/>
  <c r="E26" i="1"/>
  <c r="F26" i="1"/>
  <c r="H26" i="1"/>
  <c r="J26" i="1"/>
  <c r="G27" i="1"/>
  <c r="L27" i="1"/>
  <c r="C30" i="1"/>
  <c r="C36" i="1" s="1"/>
  <c r="D30" i="1"/>
  <c r="D36" i="1" s="1"/>
  <c r="E30" i="1"/>
  <c r="E36" i="1" s="1"/>
  <c r="F30" i="1"/>
  <c r="F36" i="1" s="1"/>
  <c r="G30" i="1"/>
  <c r="G36" i="1" s="1"/>
  <c r="J30" i="1"/>
  <c r="J36" i="1" s="1"/>
  <c r="C31" i="1"/>
  <c r="D31" i="1"/>
  <c r="H31" i="1" s="1"/>
  <c r="E31" i="1"/>
  <c r="F31" i="1"/>
  <c r="J31" i="1"/>
  <c r="C32" i="1"/>
  <c r="D32" i="1"/>
  <c r="E32" i="1"/>
  <c r="H32" i="1" s="1"/>
  <c r="F32" i="1"/>
  <c r="J32" i="1"/>
  <c r="C33" i="1"/>
  <c r="D33" i="1"/>
  <c r="E33" i="1"/>
  <c r="H33" i="1" s="1"/>
  <c r="F33" i="1"/>
  <c r="J33" i="1"/>
  <c r="C34" i="1"/>
  <c r="D34" i="1"/>
  <c r="E34" i="1"/>
  <c r="F34" i="1"/>
  <c r="H34" i="1"/>
  <c r="J34" i="1"/>
  <c r="C35" i="1"/>
  <c r="D35" i="1"/>
  <c r="E35" i="1"/>
  <c r="F35" i="1"/>
  <c r="H35" i="1"/>
  <c r="J35" i="1"/>
  <c r="L36" i="1"/>
  <c r="C39" i="1"/>
  <c r="C40" i="1" s="1"/>
  <c r="D39" i="1"/>
  <c r="D40" i="1" s="1"/>
  <c r="E39" i="1"/>
  <c r="E40" i="1" s="1"/>
  <c r="F39" i="1"/>
  <c r="F40" i="1" s="1"/>
  <c r="G39" i="1"/>
  <c r="G40" i="1" s="1"/>
  <c r="H39" i="1"/>
  <c r="H40" i="1" s="1"/>
  <c r="J39" i="1"/>
  <c r="J40" i="1"/>
  <c r="L40" i="1"/>
  <c r="C43" i="1"/>
  <c r="D43" i="1"/>
  <c r="E43" i="1"/>
  <c r="F43" i="1"/>
  <c r="G43" i="1"/>
  <c r="H43" i="1" s="1"/>
  <c r="H53" i="1" s="1"/>
  <c r="J43" i="1"/>
  <c r="C44" i="1"/>
  <c r="C53" i="1" s="1"/>
  <c r="D44" i="1"/>
  <c r="H44" i="1" s="1"/>
  <c r="E44" i="1"/>
  <c r="E53" i="1" s="1"/>
  <c r="F44" i="1"/>
  <c r="F53" i="1" s="1"/>
  <c r="J44" i="1"/>
  <c r="C45" i="1"/>
  <c r="D45" i="1"/>
  <c r="E45" i="1"/>
  <c r="H45" i="1" s="1"/>
  <c r="F45" i="1"/>
  <c r="J45" i="1"/>
  <c r="C46" i="1"/>
  <c r="D46" i="1"/>
  <c r="E46" i="1"/>
  <c r="F46" i="1"/>
  <c r="H46" i="1"/>
  <c r="J46" i="1"/>
  <c r="C47" i="1"/>
  <c r="D47" i="1"/>
  <c r="E47" i="1"/>
  <c r="F47" i="1"/>
  <c r="H47" i="1"/>
  <c r="J47" i="1"/>
  <c r="J53" i="1" s="1"/>
  <c r="C48" i="1"/>
  <c r="D48" i="1"/>
  <c r="E48" i="1"/>
  <c r="F48" i="1"/>
  <c r="H48" i="1"/>
  <c r="J48" i="1"/>
  <c r="C49" i="1"/>
  <c r="D49" i="1"/>
  <c r="E49" i="1"/>
  <c r="F49" i="1"/>
  <c r="H49" i="1"/>
  <c r="J49" i="1"/>
  <c r="C50" i="1"/>
  <c r="D50" i="1"/>
  <c r="E50" i="1"/>
  <c r="F50" i="1"/>
  <c r="H50" i="1"/>
  <c r="J50" i="1"/>
  <c r="C51" i="1"/>
  <c r="D51" i="1"/>
  <c r="H51" i="1" s="1"/>
  <c r="E51" i="1"/>
  <c r="F51" i="1"/>
  <c r="J51" i="1"/>
  <c r="C52" i="1"/>
  <c r="D52" i="1"/>
  <c r="E52" i="1"/>
  <c r="F52" i="1"/>
  <c r="H52" i="1"/>
  <c r="J52" i="1"/>
  <c r="L53" i="1"/>
  <c r="J57" i="1"/>
  <c r="C62" i="1"/>
  <c r="C64" i="1" s="1"/>
  <c r="D62" i="1"/>
  <c r="E62" i="1"/>
  <c r="F62" i="1"/>
  <c r="G62" i="1"/>
  <c r="H62" i="1"/>
  <c r="J62" i="1"/>
  <c r="C63" i="1"/>
  <c r="D63" i="1"/>
  <c r="E63" i="1"/>
  <c r="F63" i="1"/>
  <c r="H63" i="1"/>
  <c r="J63" i="1"/>
  <c r="D64" i="1"/>
  <c r="E64" i="1"/>
  <c r="F64" i="1"/>
  <c r="G64" i="1"/>
  <c r="H64" i="1"/>
  <c r="J64" i="1"/>
  <c r="L64" i="1"/>
  <c r="C68" i="1"/>
  <c r="D68" i="1"/>
  <c r="H68" i="1" s="1"/>
  <c r="E68" i="1"/>
  <c r="J68" i="1"/>
  <c r="C69" i="1"/>
  <c r="E69" i="1"/>
  <c r="H69" i="1" s="1"/>
  <c r="C70" i="1"/>
  <c r="D70" i="1"/>
  <c r="E70" i="1"/>
  <c r="H70" i="1"/>
  <c r="C71" i="1"/>
  <c r="D71" i="1"/>
  <c r="E71" i="1"/>
  <c r="F71" i="1"/>
  <c r="G71" i="1"/>
  <c r="J71" i="1"/>
  <c r="L71" i="1"/>
  <c r="C77" i="1"/>
  <c r="C81" i="1" s="1"/>
  <c r="D77" i="1"/>
  <c r="D81" i="1" s="1"/>
  <c r="E77" i="1"/>
  <c r="E81" i="1" s="1"/>
  <c r="F77" i="1"/>
  <c r="F81" i="1" s="1"/>
  <c r="H77" i="1"/>
  <c r="H81" i="1" s="1"/>
  <c r="J77" i="1"/>
  <c r="J81" i="1" s="1"/>
  <c r="C79" i="1"/>
  <c r="D79" i="1"/>
  <c r="E79" i="1"/>
  <c r="F79" i="1"/>
  <c r="H79" i="1"/>
  <c r="G95" i="1" s="1"/>
  <c r="J79" i="1"/>
  <c r="G81" i="1"/>
  <c r="L81" i="1"/>
  <c r="H99" i="1"/>
  <c r="J101" i="1"/>
  <c r="D6" i="2"/>
  <c r="D13" i="2" s="1"/>
  <c r="E6" i="2"/>
  <c r="E13" i="2" s="1"/>
  <c r="F6" i="2"/>
  <c r="D7" i="2"/>
  <c r="E7" i="2"/>
  <c r="F7" i="2"/>
  <c r="D8" i="2"/>
  <c r="F8" i="2" s="1"/>
  <c r="E8" i="2"/>
  <c r="D9" i="2"/>
  <c r="E9" i="2"/>
  <c r="F9" i="2"/>
  <c r="F11" i="2"/>
  <c r="H13" i="2"/>
  <c r="G22" i="2"/>
  <c r="G33" i="2" s="1"/>
  <c r="H22" i="2"/>
  <c r="H33" i="2" s="1"/>
  <c r="G23" i="2"/>
  <c r="G24" i="2"/>
  <c r="D25" i="2"/>
  <c r="D33" i="2" s="1"/>
  <c r="F25" i="2"/>
  <c r="F33" i="2" s="1"/>
  <c r="G25" i="2"/>
  <c r="D26" i="2"/>
  <c r="F26" i="2"/>
  <c r="G26" i="2"/>
  <c r="D27" i="2"/>
  <c r="F27" i="2"/>
  <c r="G27" i="2"/>
  <c r="G29" i="2"/>
  <c r="G31" i="2"/>
  <c r="E33" i="2"/>
  <c r="F73" i="1" l="1"/>
  <c r="F83" i="1" s="1"/>
  <c r="C73" i="1"/>
  <c r="C83" i="1" s="1"/>
  <c r="J73" i="1"/>
  <c r="J83" i="1" s="1"/>
  <c r="H27" i="1"/>
  <c r="H71" i="1"/>
  <c r="F13" i="2"/>
  <c r="H73" i="1"/>
  <c r="G35" i="2"/>
  <c r="G94" i="1"/>
  <c r="G53" i="1"/>
  <c r="G73" i="1" s="1"/>
  <c r="G83" i="1" s="1"/>
  <c r="H30" i="1"/>
  <c r="H36" i="1" s="1"/>
  <c r="D20" i="1"/>
  <c r="D73" i="1" s="1"/>
  <c r="D83" i="1" s="1"/>
  <c r="G97" i="1"/>
  <c r="G96" i="1"/>
  <c r="D27" i="1"/>
  <c r="D53" i="1"/>
  <c r="F96" i="1" l="1"/>
  <c r="H96" i="1" s="1"/>
  <c r="H83" i="1"/>
  <c r="F97" i="1"/>
  <c r="H97" i="1" s="1"/>
  <c r="F94" i="1"/>
  <c r="F95" i="1"/>
  <c r="H95" i="1" s="1"/>
  <c r="G101" i="1"/>
  <c r="H94" i="1" l="1"/>
  <c r="H101" i="1" s="1"/>
  <c r="F101" i="1"/>
</calcChain>
</file>

<file path=xl/sharedStrings.xml><?xml version="1.0" encoding="utf-8"?>
<sst xmlns="http://schemas.openxmlformats.org/spreadsheetml/2006/main" count="150" uniqueCount="83">
  <si>
    <t xml:space="preserve">UK TRANSPLANT </t>
  </si>
  <si>
    <t>SPECIAL HEALTH AUTHORITY</t>
  </si>
  <si>
    <t>FINANCIAL FRAMEWORK FOR 2003/04</t>
  </si>
  <si>
    <t>COST CENTRE / DIVISION</t>
  </si>
  <si>
    <t>BUDGET</t>
  </si>
  <si>
    <t>OUTTURN</t>
  </si>
  <si>
    <t>WTE</t>
  </si>
  <si>
    <t>PAY</t>
  </si>
  <si>
    <t>NON PAY</t>
  </si>
  <si>
    <t>INCOME</t>
  </si>
  <si>
    <t>SAVINGS</t>
  </si>
  <si>
    <t>TOTAL</t>
  </si>
  <si>
    <t>2002/03</t>
  </si>
  <si>
    <t>2001/02</t>
  </si>
  <si>
    <t>£000</t>
  </si>
  <si>
    <t>UK TRANSPLANT</t>
  </si>
  <si>
    <t>CHIEF EXECUTIVE &amp; SHA</t>
  </si>
  <si>
    <t>MEDICAL DIRECTORATE</t>
  </si>
  <si>
    <t xml:space="preserve">MEDICAL DIRECTOR </t>
  </si>
  <si>
    <t>ANALYSIS &amp; AUDIT SERVICES</t>
  </si>
  <si>
    <t>COMMUNICATIONS DIRECTORATE</t>
  </si>
  <si>
    <t>DIRECTOR OF COMMUNICATION</t>
  </si>
  <si>
    <t>CAMPAIGNS</t>
  </si>
  <si>
    <t>PUBLICATIONS</t>
  </si>
  <si>
    <t>PRESS &amp; EXTERNAL RELATIONS</t>
  </si>
  <si>
    <t>FINANCE AND PERFORMANCE MANAGEMENT</t>
  </si>
  <si>
    <t>FINANCE DIRECTOR</t>
  </si>
  <si>
    <t>FINANCIAL SERVICES</t>
  </si>
  <si>
    <t>ADDITIONAL COORDINATORS</t>
  </si>
  <si>
    <t>NON HEART BEATING SCHEMES</t>
  </si>
  <si>
    <t>LIVING DONOR SCHEMES</t>
  </si>
  <si>
    <t>DONOR LIAISON</t>
  </si>
  <si>
    <t>PERSONNEL</t>
  </si>
  <si>
    <t>INFORMATION, TECHNOLOGY AND SUPPORT SERVICES</t>
  </si>
  <si>
    <t>DIRECTOR OF I,T  &amp; SS</t>
  </si>
  <si>
    <t>DATA PROTECTION SERVICES</t>
  </si>
  <si>
    <t>FACILITIES MANAGEMENT</t>
  </si>
  <si>
    <t>ADVISORY GROUP EXECUTIVE</t>
  </si>
  <si>
    <t>DATABASE EXECUTIVE</t>
  </si>
  <si>
    <t>ICT SERVICES</t>
  </si>
  <si>
    <t>ISI SERVICES</t>
  </si>
  <si>
    <t>HELP DESK</t>
  </si>
  <si>
    <t>DTD SERVICES</t>
  </si>
  <si>
    <t>ADS SERVICES</t>
  </si>
  <si>
    <t>2000/01</t>
  </si>
  <si>
    <t>DONOR CARE</t>
  </si>
  <si>
    <t>DIRECTOR OF DONOR CARE</t>
  </si>
  <si>
    <t>DUTY OFFICE</t>
  </si>
  <si>
    <t>RESERVES</t>
  </si>
  <si>
    <t>CORE RESERVE</t>
  </si>
  <si>
    <t>BUSINESS CASE RESERVE</t>
  </si>
  <si>
    <t>BUSINESS CASE REQUESTS</t>
  </si>
  <si>
    <t>TOTAL UK TRANSPLANT</t>
  </si>
  <si>
    <t>OTHER ACTIVITIES</t>
  </si>
  <si>
    <t>CTS EYE BANKS</t>
  </si>
  <si>
    <t>ORGAN DONOR REGISTER</t>
  </si>
  <si>
    <t>TOTAL OTHER</t>
  </si>
  <si>
    <t>TOTAL BUDGET</t>
  </si>
  <si>
    <t>Savings include 5% Vacancy Factor and 2% non pay efficiency saving per Directorate</t>
  </si>
  <si>
    <t>FUNDING REQUIREMENT</t>
  </si>
  <si>
    <t>CORE</t>
  </si>
  <si>
    <t>ODR</t>
  </si>
  <si>
    <t>CAPITAL</t>
  </si>
  <si>
    <t>ENGLAND (86.3%)</t>
  </si>
  <si>
    <t>SCOTLAND (7.5%)</t>
  </si>
  <si>
    <t>WALES (4.1%)</t>
  </si>
  <si>
    <t>NORTHERN IRELAND (2.1%)</t>
  </si>
  <si>
    <t>REPUBLIC OF IRELAND</t>
  </si>
  <si>
    <t>FUNDING REQUIREMENT FOR 2003/04</t>
  </si>
  <si>
    <t>INDICATIVE FUNDING (CASH)</t>
  </si>
  <si>
    <t>Campaigns</t>
  </si>
  <si>
    <t>ENGLAND (86.3%) Core</t>
  </si>
  <si>
    <t>ENGLAND (86.3%) Campaigns</t>
  </si>
  <si>
    <t>ENGLAND (86.3%) Renal</t>
  </si>
  <si>
    <t>Carried Fwd from 2002/03</t>
  </si>
  <si>
    <t>Deficit</t>
  </si>
  <si>
    <r>
      <t>1</t>
    </r>
    <r>
      <rPr>
        <sz val="12"/>
        <color indexed="8"/>
        <rFont val="Garamond"/>
        <family val="1"/>
      </rPr>
      <t>. Based on Alan Bells's email of 23 January 2003</t>
    </r>
  </si>
  <si>
    <r>
      <t xml:space="preserve">2. </t>
    </r>
    <r>
      <rPr>
        <sz val="12"/>
        <color indexed="8"/>
        <rFont val="Garamond"/>
        <family val="1"/>
      </rPr>
      <t>Based on discussions with DOH and gross budget of £900k</t>
    </r>
  </si>
  <si>
    <r>
      <t>3</t>
    </r>
    <r>
      <rPr>
        <sz val="12"/>
        <color indexed="8"/>
        <rFont val="Garamond"/>
        <family val="1"/>
      </rPr>
      <t>. Based on appropriate % x Funding requirement</t>
    </r>
  </si>
  <si>
    <r>
      <t>4</t>
    </r>
    <r>
      <rPr>
        <sz val="12"/>
        <color indexed="8"/>
        <rFont val="Garamond"/>
        <family val="1"/>
      </rPr>
      <t>. Estimate of 2002/03 carry forward</t>
    </r>
  </si>
  <si>
    <t xml:space="preserve">The above is based on cash, but does not reflect I &amp; E on which budgets are based. An element of the </t>
  </si>
  <si>
    <t>carry forward will be required to pay 2002/03 creditors.</t>
  </si>
  <si>
    <t>Annex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</si>
</sst>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3" x14ac:knownFonts="1">
    <font>
      <sz val="10"/>
      <name val="Arial"/>
    </font>
    <font>
      <sz val="12"/>
      <color indexed="12"/>
      <name val="Garamond"/>
      <family val="1"/>
    </font>
    <font>
      <b/>
      <sz val="12"/>
      <color indexed="12"/>
      <name val="Garamond"/>
      <family val="1"/>
    </font>
    <font>
      <vertAlign val="superscript"/>
      <sz val="12"/>
      <color indexed="12"/>
      <name val="Garamond"/>
      <family val="1"/>
    </font>
    <font>
      <sz val="10"/>
      <color indexed="12"/>
      <name val="Garamond"/>
      <family val="1"/>
    </font>
    <font>
      <b/>
      <sz val="14"/>
      <color indexed="12"/>
      <name val="Garamond"/>
      <family val="1"/>
    </font>
    <font>
      <b/>
      <vertAlign val="superscript"/>
      <sz val="12"/>
      <color indexed="12"/>
      <name val="Garamond"/>
      <family val="1"/>
    </font>
    <font>
      <b/>
      <sz val="12"/>
      <color indexed="8"/>
      <name val="Garamond"/>
      <family val="1"/>
    </font>
    <font>
      <sz val="10"/>
      <color indexed="8"/>
      <name val="Garamond"/>
      <family val="1"/>
    </font>
    <font>
      <sz val="12"/>
      <color indexed="8"/>
      <name val="Garamond"/>
      <family val="1"/>
    </font>
    <font>
      <vertAlign val="superscript"/>
      <sz val="12"/>
      <color indexed="8"/>
      <name val="Garamond"/>
      <family val="1"/>
    </font>
    <font>
      <vertAlign val="subscript"/>
      <sz val="12"/>
      <color indexed="8"/>
      <name val="Garamond"/>
      <family val="1"/>
    </font>
    <font>
      <b/>
      <sz val="12"/>
      <color indexed="10"/>
      <name val="Garamond"/>
      <family val="1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 indent="1"/>
    </xf>
    <xf numFmtId="164" fontId="1" fillId="0" borderId="0" xfId="0" applyNumberFormat="1" applyFont="1"/>
    <xf numFmtId="0" fontId="4" fillId="0" borderId="0" xfId="0" applyFont="1" applyAlignment="1">
      <alignment horizontal="left" indent="1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 indent="1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 indent="1"/>
    </xf>
    <xf numFmtId="164" fontId="2" fillId="0" borderId="9" xfId="0" applyNumberFormat="1" applyFont="1" applyBorder="1" applyAlignment="1">
      <alignment horizontal="center"/>
    </xf>
    <xf numFmtId="164" fontId="2" fillId="0" borderId="9" xfId="0" quotePrefix="1" applyNumberFormat="1" applyFont="1" applyBorder="1" applyAlignment="1">
      <alignment horizontal="center"/>
    </xf>
    <xf numFmtId="164" fontId="2" fillId="0" borderId="10" xfId="0" quotePrefix="1" applyNumberFormat="1" applyFont="1" applyBorder="1" applyAlignment="1">
      <alignment horizontal="center"/>
    </xf>
    <xf numFmtId="164" fontId="2" fillId="0" borderId="11" xfId="0" quotePrefix="1" applyNumberFormat="1" applyFont="1" applyBorder="1" applyAlignment="1">
      <alignment horizontal="center"/>
    </xf>
    <xf numFmtId="164" fontId="2" fillId="0" borderId="12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indent="1"/>
    </xf>
    <xf numFmtId="164" fontId="2" fillId="0" borderId="14" xfId="0" applyNumberFormat="1" applyFont="1" applyBorder="1" applyAlignment="1">
      <alignment horizontal="center"/>
    </xf>
    <xf numFmtId="164" fontId="2" fillId="0" borderId="14" xfId="0" quotePrefix="1" applyNumberFormat="1" applyFont="1" applyBorder="1" applyAlignment="1">
      <alignment horizontal="center"/>
    </xf>
    <xf numFmtId="164" fontId="2" fillId="0" borderId="15" xfId="0" quotePrefix="1" applyNumberFormat="1" applyFont="1" applyBorder="1" applyAlignment="1">
      <alignment horizontal="center"/>
    </xf>
    <xf numFmtId="164" fontId="2" fillId="0" borderId="16" xfId="0" quotePrefix="1" applyNumberFormat="1" applyFont="1" applyBorder="1" applyAlignment="1">
      <alignment horizontal="center"/>
    </xf>
    <xf numFmtId="0" fontId="1" fillId="0" borderId="2" xfId="0" applyFont="1" applyBorder="1"/>
    <xf numFmtId="0" fontId="1" fillId="0" borderId="7" xfId="0" applyFont="1" applyBorder="1"/>
    <xf numFmtId="0" fontId="5" fillId="0" borderId="17" xfId="0" applyFont="1" applyBorder="1" applyAlignment="1">
      <alignment horizontal="left" indent="1"/>
    </xf>
    <xf numFmtId="2" fontId="2" fillId="0" borderId="4" xfId="0" applyNumberFormat="1" applyFont="1" applyBorder="1" applyAlignment="1">
      <alignment horizontal="center"/>
    </xf>
    <xf numFmtId="164" fontId="4" fillId="0" borderId="4" xfId="0" applyNumberFormat="1" applyFon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0" fontId="1" fillId="0" borderId="17" xfId="0" applyFont="1" applyBorder="1" applyAlignment="1">
      <alignment horizontal="left" indent="1"/>
    </xf>
    <xf numFmtId="2" fontId="1" fillId="0" borderId="4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2" fillId="0" borderId="17" xfId="0" applyFont="1" applyBorder="1" applyAlignment="1">
      <alignment horizontal="left" indent="1"/>
    </xf>
    <xf numFmtId="165" fontId="1" fillId="0" borderId="4" xfId="0" applyNumberFormat="1" applyFont="1" applyBorder="1"/>
    <xf numFmtId="165" fontId="1" fillId="0" borderId="5" xfId="0" applyNumberFormat="1" applyFont="1" applyBorder="1"/>
    <xf numFmtId="165" fontId="1" fillId="0" borderId="6" xfId="0" applyNumberFormat="1" applyFont="1" applyBorder="1"/>
    <xf numFmtId="165" fontId="1" fillId="0" borderId="18" xfId="0" applyNumberFormat="1" applyFont="1" applyBorder="1"/>
    <xf numFmtId="164" fontId="1" fillId="0" borderId="7" xfId="0" applyNumberFormat="1" applyFont="1" applyBorder="1"/>
    <xf numFmtId="2" fontId="1" fillId="0" borderId="19" xfId="0" applyNumberFormat="1" applyFont="1" applyBorder="1"/>
    <xf numFmtId="165" fontId="1" fillId="0" borderId="19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4" fontId="1" fillId="0" borderId="21" xfId="0" applyNumberFormat="1" applyFont="1" applyBorder="1"/>
    <xf numFmtId="165" fontId="1" fillId="0" borderId="22" xfId="0" applyNumberFormat="1" applyFont="1" applyBorder="1"/>
    <xf numFmtId="165" fontId="1" fillId="0" borderId="7" xfId="0" applyNumberFormat="1" applyFont="1" applyBorder="1"/>
    <xf numFmtId="2" fontId="1" fillId="0" borderId="23" xfId="0" applyNumberFormat="1" applyFont="1" applyBorder="1"/>
    <xf numFmtId="165" fontId="1" fillId="0" borderId="0" xfId="0" applyNumberFormat="1" applyFont="1" applyBorder="1"/>
    <xf numFmtId="165" fontId="1" fillId="0" borderId="23" xfId="0" applyNumberFormat="1" applyFont="1" applyBorder="1"/>
    <xf numFmtId="0" fontId="1" fillId="0" borderId="4" xfId="0" applyFont="1" applyBorder="1"/>
    <xf numFmtId="164" fontId="1" fillId="0" borderId="0" xfId="0" applyNumberFormat="1" applyFont="1" applyBorder="1"/>
    <xf numFmtId="2" fontId="1" fillId="0" borderId="24" xfId="0" applyNumberFormat="1" applyFont="1" applyBorder="1"/>
    <xf numFmtId="165" fontId="1" fillId="0" borderId="24" xfId="0" applyNumberFormat="1" applyFont="1" applyBorder="1"/>
    <xf numFmtId="2" fontId="1" fillId="0" borderId="20" xfId="0" applyNumberFormat="1" applyFont="1" applyBorder="1"/>
    <xf numFmtId="2" fontId="1" fillId="0" borderId="21" xfId="0" applyNumberFormat="1" applyFont="1" applyBorder="1"/>
    <xf numFmtId="0" fontId="2" fillId="0" borderId="25" xfId="0" applyFont="1" applyBorder="1" applyAlignment="1">
      <alignment horizontal="left" indent="1"/>
    </xf>
    <xf numFmtId="2" fontId="1" fillId="0" borderId="9" xfId="0" applyNumberFormat="1" applyFont="1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165" fontId="1" fillId="0" borderId="26" xfId="0" applyNumberFormat="1" applyFont="1" applyBorder="1"/>
    <xf numFmtId="164" fontId="1" fillId="0" borderId="12" xfId="0" applyNumberFormat="1" applyFont="1" applyBorder="1"/>
    <xf numFmtId="0" fontId="1" fillId="0" borderId="0" xfId="0" applyFont="1" applyBorder="1" applyAlignment="1">
      <alignment horizontal="left" indent="1"/>
    </xf>
    <xf numFmtId="2" fontId="1" fillId="0" borderId="0" xfId="0" applyNumberFormat="1" applyFont="1" applyBorder="1"/>
    <xf numFmtId="165" fontId="1" fillId="0" borderId="0" xfId="0" applyNumberFormat="1" applyFont="1"/>
    <xf numFmtId="165" fontId="2" fillId="0" borderId="2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5" fontId="2" fillId="0" borderId="9" xfId="0" quotePrefix="1" applyNumberFormat="1" applyFont="1" applyBorder="1" applyAlignment="1">
      <alignment horizontal="center"/>
    </xf>
    <xf numFmtId="165" fontId="2" fillId="0" borderId="10" xfId="0" quotePrefix="1" applyNumberFormat="1" applyFont="1" applyBorder="1" applyAlignment="1">
      <alignment horizontal="center"/>
    </xf>
    <xf numFmtId="165" fontId="2" fillId="0" borderId="11" xfId="0" quotePrefix="1" applyNumberFormat="1" applyFont="1" applyBorder="1" applyAlignment="1">
      <alignment horizontal="center"/>
    </xf>
    <xf numFmtId="165" fontId="2" fillId="0" borderId="12" xfId="0" quotePrefix="1" applyNumberFormat="1" applyFont="1" applyBorder="1" applyAlignment="1">
      <alignment horizontal="center"/>
    </xf>
    <xf numFmtId="165" fontId="1" fillId="0" borderId="2" xfId="0" applyNumberFormat="1" applyFont="1" applyBorder="1"/>
    <xf numFmtId="0" fontId="1" fillId="0" borderId="25" xfId="0" applyFont="1" applyBorder="1" applyAlignment="1">
      <alignment horizontal="left" indent="1"/>
    </xf>
    <xf numFmtId="164" fontId="1" fillId="0" borderId="9" xfId="0" applyNumberFormat="1" applyFont="1" applyBorder="1"/>
    <xf numFmtId="164" fontId="1" fillId="0" borderId="10" xfId="0" applyNumberFormat="1" applyFont="1" applyBorder="1"/>
    <xf numFmtId="164" fontId="1" fillId="0" borderId="11" xfId="0" applyNumberFormat="1" applyFont="1" applyBorder="1"/>
    <xf numFmtId="0" fontId="1" fillId="0" borderId="26" xfId="0" applyFont="1" applyBorder="1"/>
    <xf numFmtId="0" fontId="1" fillId="0" borderId="0" xfId="0" applyFont="1" applyBorder="1"/>
    <xf numFmtId="0" fontId="1" fillId="0" borderId="0" xfId="0" applyFont="1" applyAlignment="1">
      <alignment horizontal="left" indent="1"/>
    </xf>
    <xf numFmtId="2" fontId="1" fillId="0" borderId="0" xfId="0" applyNumberFormat="1" applyFont="1"/>
    <xf numFmtId="0" fontId="1" fillId="0" borderId="27" xfId="0" applyFont="1" applyBorder="1"/>
    <xf numFmtId="164" fontId="1" fillId="0" borderId="27" xfId="0" applyNumberFormat="1" applyFont="1" applyBorder="1"/>
    <xf numFmtId="2" fontId="2" fillId="0" borderId="1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2" fontId="2" fillId="0" borderId="8" xfId="0" quotePrefix="1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2" fontId="1" fillId="0" borderId="3" xfId="0" applyNumberFormat="1" applyFont="1" applyBorder="1"/>
    <xf numFmtId="3" fontId="1" fillId="0" borderId="3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29" xfId="0" applyNumberFormat="1" applyFont="1" applyBorder="1"/>
    <xf numFmtId="3" fontId="1" fillId="0" borderId="30" xfId="0" applyNumberFormat="1" applyFont="1" applyBorder="1"/>
    <xf numFmtId="3" fontId="1" fillId="0" borderId="18" xfId="0" applyNumberFormat="1" applyFont="1" applyBorder="1"/>
    <xf numFmtId="3" fontId="1" fillId="0" borderId="31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0" fontId="1" fillId="0" borderId="21" xfId="0" applyFont="1" applyBorder="1"/>
    <xf numFmtId="0" fontId="1" fillId="0" borderId="32" xfId="0" applyFont="1" applyBorder="1"/>
    <xf numFmtId="164" fontId="1" fillId="0" borderId="32" xfId="0" applyNumberFormat="1" applyFont="1" applyBorder="1"/>
    <xf numFmtId="2" fontId="1" fillId="0" borderId="32" xfId="0" applyNumberFormat="1" applyFont="1" applyBorder="1"/>
    <xf numFmtId="164" fontId="1" fillId="0" borderId="25" xfId="0" applyNumberFormat="1" applyFont="1" applyBorder="1"/>
    <xf numFmtId="164" fontId="1" fillId="0" borderId="33" xfId="0" applyNumberFormat="1" applyFont="1" applyBorder="1"/>
    <xf numFmtId="0" fontId="1" fillId="0" borderId="12" xfId="0" applyFont="1" applyBorder="1"/>
    <xf numFmtId="0" fontId="6" fillId="0" borderId="0" xfId="0" applyFont="1"/>
    <xf numFmtId="0" fontId="8" fillId="0" borderId="0" xfId="0" applyFont="1"/>
    <xf numFmtId="165" fontId="8" fillId="0" borderId="0" xfId="0" applyNumberFormat="1" applyFont="1"/>
    <xf numFmtId="0" fontId="9" fillId="0" borderId="13" xfId="0" applyFont="1" applyBorder="1" applyAlignment="1">
      <alignment horizontal="left" indent="1"/>
    </xf>
    <xf numFmtId="0" fontId="9" fillId="0" borderId="27" xfId="0" applyFont="1" applyBorder="1"/>
    <xf numFmtId="164" fontId="9" fillId="0" borderId="28" xfId="0" applyNumberFormat="1" applyFont="1" applyBorder="1"/>
    <xf numFmtId="2" fontId="7" fillId="0" borderId="1" xfId="0" applyNumberFormat="1" applyFont="1" applyBorder="1" applyAlignment="1">
      <alignment horizontal="center"/>
    </xf>
    <xf numFmtId="164" fontId="7" fillId="0" borderId="28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10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 indent="1"/>
    </xf>
    <xf numFmtId="0" fontId="9" fillId="0" borderId="0" xfId="0" applyFont="1" applyBorder="1"/>
    <xf numFmtId="164" fontId="9" fillId="0" borderId="34" xfId="0" applyNumberFormat="1" applyFont="1" applyBorder="1"/>
    <xf numFmtId="2" fontId="7" fillId="0" borderId="8" xfId="0" quotePrefix="1" applyNumberFormat="1" applyFont="1" applyBorder="1" applyAlignment="1">
      <alignment horizontal="center"/>
    </xf>
    <xf numFmtId="164" fontId="7" fillId="0" borderId="11" xfId="0" quotePrefix="1" applyNumberFormat="1" applyFont="1" applyBorder="1" applyAlignment="1">
      <alignment horizontal="center"/>
    </xf>
    <xf numFmtId="0" fontId="7" fillId="0" borderId="12" xfId="0" quotePrefix="1" applyFont="1" applyBorder="1" applyAlignment="1">
      <alignment horizontal="center"/>
    </xf>
    <xf numFmtId="2" fontId="9" fillId="0" borderId="3" xfId="0" applyNumberFormat="1" applyFont="1" applyBorder="1"/>
    <xf numFmtId="164" fontId="9" fillId="0" borderId="6" xfId="0" applyNumberFormat="1" applyFont="1" applyBorder="1"/>
    <xf numFmtId="0" fontId="9" fillId="0" borderId="7" xfId="0" applyFont="1" applyBorder="1"/>
    <xf numFmtId="3" fontId="9" fillId="0" borderId="3" xfId="0" applyNumberFormat="1" applyFont="1" applyBorder="1"/>
    <xf numFmtId="3" fontId="9" fillId="0" borderId="6" xfId="0" applyNumberFormat="1" applyFont="1" applyBorder="1"/>
    <xf numFmtId="3" fontId="9" fillId="0" borderId="7" xfId="0" applyNumberFormat="1" applyFont="1" applyBorder="1"/>
    <xf numFmtId="3" fontId="9" fillId="0" borderId="29" xfId="0" applyNumberFormat="1" applyFont="1" applyBorder="1"/>
    <xf numFmtId="3" fontId="9" fillId="0" borderId="30" xfId="0" applyNumberFormat="1" applyFont="1" applyBorder="1"/>
    <xf numFmtId="3" fontId="9" fillId="0" borderId="18" xfId="0" applyNumberFormat="1" applyFont="1" applyBorder="1"/>
    <xf numFmtId="0" fontId="7" fillId="0" borderId="17" xfId="0" applyFont="1" applyBorder="1" applyAlignment="1">
      <alignment horizontal="left" indent="1"/>
    </xf>
    <xf numFmtId="3" fontId="9" fillId="0" borderId="31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0" fontId="9" fillId="0" borderId="21" xfId="0" applyFont="1" applyBorder="1"/>
    <xf numFmtId="0" fontId="9" fillId="0" borderId="25" xfId="0" applyFont="1" applyBorder="1" applyAlignment="1">
      <alignment horizontal="left" indent="1"/>
    </xf>
    <xf numFmtId="0" fontId="9" fillId="0" borderId="32" xfId="0" applyFont="1" applyBorder="1"/>
    <xf numFmtId="164" fontId="9" fillId="0" borderId="33" xfId="0" applyNumberFormat="1" applyFont="1" applyBorder="1"/>
    <xf numFmtId="2" fontId="9" fillId="0" borderId="35" xfId="0" applyNumberFormat="1" applyFont="1" applyBorder="1"/>
    <xf numFmtId="164" fontId="9" fillId="0" borderId="36" xfId="0" applyNumberFormat="1" applyFont="1" applyBorder="1"/>
    <xf numFmtId="0" fontId="9" fillId="0" borderId="12" xfId="0" applyFont="1" applyBorder="1"/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7" fillId="0" borderId="0" xfId="0" applyNumberFormat="1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0" xfId="0" applyFont="1"/>
    <xf numFmtId="2" fontId="7" fillId="0" borderId="0" xfId="0" quotePrefix="1" applyNumberFormat="1" applyFont="1" applyBorder="1" applyAlignment="1">
      <alignment horizontal="center"/>
    </xf>
    <xf numFmtId="164" fontId="7" fillId="0" borderId="0" xfId="0" quotePrefix="1" applyNumberFormat="1" applyFont="1" applyBorder="1" applyAlignment="1">
      <alignment horizontal="center"/>
    </xf>
    <xf numFmtId="0" fontId="7" fillId="0" borderId="0" xfId="0" quotePrefix="1" applyFont="1" applyAlignment="1">
      <alignment horizontal="center"/>
    </xf>
    <xf numFmtId="165" fontId="7" fillId="0" borderId="0" xfId="0" quotePrefix="1" applyNumberFormat="1" applyFont="1" applyBorder="1" applyAlignment="1">
      <alignment horizontal="center"/>
    </xf>
    <xf numFmtId="0" fontId="7" fillId="0" borderId="0" xfId="0" quotePrefix="1" applyFont="1" applyBorder="1" applyAlignment="1">
      <alignment horizontal="center"/>
    </xf>
    <xf numFmtId="165" fontId="9" fillId="0" borderId="0" xfId="0" applyNumberFormat="1" applyFont="1"/>
    <xf numFmtId="0" fontId="10" fillId="0" borderId="0" xfId="0" applyFont="1"/>
    <xf numFmtId="0" fontId="11" fillId="0" borderId="0" xfId="0" applyFont="1"/>
    <xf numFmtId="165" fontId="7" fillId="0" borderId="0" xfId="0" applyNumberFormat="1" applyFont="1"/>
    <xf numFmtId="0" fontId="7" fillId="0" borderId="0" xfId="0" applyFont="1" applyBorder="1" applyAlignment="1">
      <alignment horizontal="left" indent="1"/>
    </xf>
    <xf numFmtId="165" fontId="12" fillId="0" borderId="0" xfId="0" applyNumberFormat="1" applyFont="1"/>
    <xf numFmtId="2" fontId="2" fillId="0" borderId="37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37" xfId="0" applyNumberFormat="1" applyFont="1" applyBorder="1" applyAlignment="1">
      <alignment horizontal="center"/>
    </xf>
    <xf numFmtId="164" fontId="2" fillId="0" borderId="38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il\attach\BUDGETS%20for%202003%20-%20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ing 2"/>
      <sheetName val="funding"/>
      <sheetName val="summary"/>
      <sheetName val="CECE"/>
      <sheetName val="MDSS"/>
      <sheetName val="CDCD"/>
      <sheetName val="MDAG"/>
      <sheetName val="CDPR"/>
      <sheetName val="CDPS"/>
      <sheetName val="CDCA"/>
      <sheetName val="OPIM"/>
      <sheetName val="FS"/>
      <sheetName val="FSFN"/>
      <sheetName val="OPFM"/>
      <sheetName val="PEPE"/>
      <sheetName val="OPOP"/>
      <sheetName val="PRDO"/>
      <sheetName val="OPDE"/>
      <sheetName val="OPHD"/>
      <sheetName val="OPIT"/>
      <sheetName val="OPCO"/>
      <sheetName val="OPDA"/>
      <sheetName val="OPAD"/>
      <sheetName val="EBEB"/>
      <sheetName val="OPDR"/>
      <sheetName val="RESERVES"/>
      <sheetName val="MDMD"/>
      <sheetName val="DCDC"/>
      <sheetName val="PRDL"/>
      <sheetName val="PRCO"/>
      <sheetName val="PRLD"/>
      <sheetName val="PRNH"/>
    </sheetNames>
    <sheetDataSet>
      <sheetData sheetId="0"/>
      <sheetData sheetId="1"/>
      <sheetData sheetId="2">
        <row r="94">
          <cell r="F94">
            <v>9575.0807066999987</v>
          </cell>
          <cell r="G94">
            <v>228.78130000000002</v>
          </cell>
        </row>
        <row r="95">
          <cell r="F95">
            <v>832.13331749999998</v>
          </cell>
          <cell r="G95">
            <v>19.8825</v>
          </cell>
        </row>
        <row r="96">
          <cell r="F96">
            <v>454.89954690000002</v>
          </cell>
          <cell r="G96">
            <v>10.869100000000001</v>
          </cell>
        </row>
        <row r="97">
          <cell r="F97">
            <v>232.99732890000001</v>
          </cell>
          <cell r="G97">
            <v>5.5671000000000008</v>
          </cell>
        </row>
      </sheetData>
      <sheetData sheetId="3">
        <row r="21">
          <cell r="B21">
            <v>3.86</v>
          </cell>
          <cell r="C21">
            <v>224.49999999999997</v>
          </cell>
        </row>
        <row r="37">
          <cell r="C37">
            <v>162.30000000000001</v>
          </cell>
        </row>
        <row r="45">
          <cell r="C45">
            <v>-40</v>
          </cell>
        </row>
        <row r="47">
          <cell r="E47">
            <v>341</v>
          </cell>
        </row>
      </sheetData>
      <sheetData sheetId="4">
        <row r="19">
          <cell r="B19">
            <v>19.5</v>
          </cell>
          <cell r="C19">
            <v>572.20000000000005</v>
          </cell>
        </row>
        <row r="29">
          <cell r="C29">
            <v>23.3</v>
          </cell>
        </row>
        <row r="38">
          <cell r="C38">
            <v>0</v>
          </cell>
        </row>
        <row r="40">
          <cell r="E40">
            <v>577.19999999999993</v>
          </cell>
        </row>
      </sheetData>
      <sheetData sheetId="5">
        <row r="21">
          <cell r="B21">
            <v>3</v>
          </cell>
          <cell r="C21">
            <v>109.5</v>
          </cell>
        </row>
        <row r="33">
          <cell r="C33">
            <v>23.4</v>
          </cell>
        </row>
        <row r="42">
          <cell r="C42">
            <v>0</v>
          </cell>
        </row>
        <row r="44">
          <cell r="E44">
            <v>159.39999999999998</v>
          </cell>
        </row>
      </sheetData>
      <sheetData sheetId="6">
        <row r="18">
          <cell r="B18">
            <v>2.5</v>
          </cell>
          <cell r="C18">
            <v>74.199999999999989</v>
          </cell>
        </row>
        <row r="38">
          <cell r="C38">
            <v>81</v>
          </cell>
        </row>
        <row r="47">
          <cell r="C47">
            <v>0</v>
          </cell>
        </row>
        <row r="49">
          <cell r="E49">
            <v>153.5</v>
          </cell>
        </row>
      </sheetData>
      <sheetData sheetId="7">
        <row r="21">
          <cell r="B21">
            <v>4.4000000000000004</v>
          </cell>
          <cell r="C21">
            <v>104.89999999999999</v>
          </cell>
        </row>
        <row r="29">
          <cell r="C29">
            <v>28</v>
          </cell>
        </row>
        <row r="34">
          <cell r="E34">
            <v>103.2</v>
          </cell>
        </row>
      </sheetData>
      <sheetData sheetId="8">
        <row r="24">
          <cell r="B24">
            <v>2.4</v>
          </cell>
          <cell r="C24">
            <v>86.100000000000009</v>
          </cell>
        </row>
        <row r="52">
          <cell r="C52">
            <v>106.2</v>
          </cell>
        </row>
        <row r="57">
          <cell r="E57">
            <v>171.39999999999998</v>
          </cell>
        </row>
      </sheetData>
      <sheetData sheetId="9">
        <row r="22">
          <cell r="B22">
            <v>1</v>
          </cell>
          <cell r="C22">
            <v>42.1</v>
          </cell>
        </row>
        <row r="30">
          <cell r="C30">
            <v>845.5</v>
          </cell>
        </row>
        <row r="35">
          <cell r="E35">
            <v>0</v>
          </cell>
        </row>
      </sheetData>
      <sheetData sheetId="10">
        <row r="16">
          <cell r="B16">
            <v>1</v>
          </cell>
          <cell r="C16">
            <v>35</v>
          </cell>
        </row>
        <row r="31">
          <cell r="C31">
            <v>17</v>
          </cell>
        </row>
        <row r="36">
          <cell r="E36">
            <v>55.2</v>
          </cell>
        </row>
      </sheetData>
      <sheetData sheetId="11">
        <row r="20">
          <cell r="B20">
            <v>4.5</v>
          </cell>
          <cell r="C20">
            <v>219</v>
          </cell>
        </row>
        <row r="28">
          <cell r="C28">
            <v>8</v>
          </cell>
        </row>
        <row r="37">
          <cell r="C37">
            <v>0</v>
          </cell>
        </row>
        <row r="39">
          <cell r="E39">
            <v>224</v>
          </cell>
        </row>
      </sheetData>
      <sheetData sheetId="12">
        <row r="18">
          <cell r="B18">
            <v>2.54</v>
          </cell>
          <cell r="C18">
            <v>55.300000000000004</v>
          </cell>
        </row>
        <row r="31">
          <cell r="C31">
            <v>75.3</v>
          </cell>
        </row>
        <row r="40">
          <cell r="C40">
            <v>0</v>
          </cell>
        </row>
        <row r="42">
          <cell r="E42">
            <v>130.9</v>
          </cell>
        </row>
      </sheetData>
      <sheetData sheetId="13">
        <row r="19">
          <cell r="B19">
            <v>4.46</v>
          </cell>
          <cell r="C19">
            <v>92.5</v>
          </cell>
        </row>
        <row r="58">
          <cell r="C58">
            <v>332.9</v>
          </cell>
        </row>
        <row r="67">
          <cell r="C67">
            <v>0</v>
          </cell>
        </row>
        <row r="69">
          <cell r="E69">
            <v>489.6</v>
          </cell>
        </row>
      </sheetData>
      <sheetData sheetId="14">
        <row r="19">
          <cell r="B19">
            <v>2.7</v>
          </cell>
          <cell r="C19">
            <v>59.199999999999996</v>
          </cell>
        </row>
        <row r="30">
          <cell r="C30">
            <v>48.2</v>
          </cell>
        </row>
        <row r="39">
          <cell r="C39">
            <v>0</v>
          </cell>
        </row>
        <row r="41">
          <cell r="E41">
            <v>103</v>
          </cell>
        </row>
      </sheetData>
      <sheetData sheetId="15">
        <row r="19">
          <cell r="B19">
            <v>2</v>
          </cell>
          <cell r="C19">
            <v>82.4</v>
          </cell>
        </row>
        <row r="33">
          <cell r="C33">
            <v>12</v>
          </cell>
        </row>
        <row r="42">
          <cell r="C42">
            <v>0</v>
          </cell>
        </row>
        <row r="44">
          <cell r="E44">
            <v>106.6</v>
          </cell>
        </row>
      </sheetData>
      <sheetData sheetId="16">
        <row r="20">
          <cell r="B20">
            <v>14</v>
          </cell>
          <cell r="C20">
            <v>383.79999999999995</v>
          </cell>
        </row>
        <row r="29">
          <cell r="C29">
            <v>203</v>
          </cell>
        </row>
        <row r="38">
          <cell r="C38">
            <v>0</v>
          </cell>
        </row>
        <row r="40">
          <cell r="E40">
            <v>566.20000000000005</v>
          </cell>
        </row>
      </sheetData>
      <sheetData sheetId="17">
        <row r="21">
          <cell r="B21">
            <v>24.5</v>
          </cell>
          <cell r="C21">
            <v>497.8</v>
          </cell>
        </row>
        <row r="31">
          <cell r="C31">
            <v>223</v>
          </cell>
        </row>
        <row r="40">
          <cell r="C40">
            <v>-70</v>
          </cell>
        </row>
        <row r="42">
          <cell r="E42">
            <v>691.8</v>
          </cell>
        </row>
      </sheetData>
      <sheetData sheetId="18">
        <row r="19">
          <cell r="B19">
            <v>2</v>
          </cell>
          <cell r="C19">
            <v>28.7</v>
          </cell>
        </row>
        <row r="30">
          <cell r="C30">
            <v>0</v>
          </cell>
        </row>
        <row r="39">
          <cell r="C39">
            <v>0</v>
          </cell>
        </row>
        <row r="41">
          <cell r="E41">
            <v>47.1</v>
          </cell>
        </row>
      </sheetData>
      <sheetData sheetId="19">
        <row r="19">
          <cell r="B19">
            <v>1</v>
          </cell>
          <cell r="C19">
            <v>47.3</v>
          </cell>
        </row>
        <row r="42">
          <cell r="C42">
            <v>558</v>
          </cell>
        </row>
        <row r="51">
          <cell r="C51">
            <v>0</v>
          </cell>
        </row>
        <row r="53">
          <cell r="E53">
            <v>179</v>
          </cell>
        </row>
      </sheetData>
      <sheetData sheetId="20">
        <row r="20">
          <cell r="B20">
            <v>8</v>
          </cell>
          <cell r="C20">
            <v>239.2</v>
          </cell>
        </row>
        <row r="35">
          <cell r="C35">
            <v>0</v>
          </cell>
        </row>
        <row r="44">
          <cell r="C44">
            <v>0</v>
          </cell>
        </row>
        <row r="46">
          <cell r="E46">
            <v>562.4</v>
          </cell>
        </row>
      </sheetData>
      <sheetData sheetId="21">
        <row r="18">
          <cell r="B18">
            <v>3.54</v>
          </cell>
          <cell r="C18">
            <v>110.5</v>
          </cell>
        </row>
        <row r="29">
          <cell r="C29">
            <v>0</v>
          </cell>
        </row>
        <row r="38">
          <cell r="C38">
            <v>0</v>
          </cell>
        </row>
        <row r="40">
          <cell r="E40">
            <v>191.6</v>
          </cell>
        </row>
      </sheetData>
      <sheetData sheetId="22">
        <row r="19">
          <cell r="B19">
            <v>10</v>
          </cell>
          <cell r="C19">
            <v>312.29999999999995</v>
          </cell>
        </row>
        <row r="30">
          <cell r="C30">
            <v>0</v>
          </cell>
        </row>
        <row r="39">
          <cell r="C39">
            <v>0</v>
          </cell>
        </row>
        <row r="41">
          <cell r="E41">
            <v>298.3</v>
          </cell>
        </row>
      </sheetData>
      <sheetData sheetId="23">
        <row r="16">
          <cell r="B16">
            <v>0</v>
          </cell>
          <cell r="C16">
            <v>0</v>
          </cell>
        </row>
        <row r="27">
          <cell r="C27">
            <v>801.6</v>
          </cell>
        </row>
        <row r="36">
          <cell r="C36">
            <v>0</v>
          </cell>
        </row>
        <row r="38">
          <cell r="E38">
            <v>674</v>
          </cell>
        </row>
      </sheetData>
      <sheetData sheetId="24">
        <row r="19">
          <cell r="B19">
            <v>2.5</v>
          </cell>
          <cell r="C19">
            <v>48.3</v>
          </cell>
        </row>
        <row r="34">
          <cell r="C34">
            <v>223.7</v>
          </cell>
        </row>
        <row r="43">
          <cell r="C43">
            <v>0</v>
          </cell>
        </row>
        <row r="45">
          <cell r="E45">
            <v>282.7</v>
          </cell>
        </row>
      </sheetData>
      <sheetData sheetId="25">
        <row r="20">
          <cell r="B20">
            <v>0</v>
          </cell>
          <cell r="C20">
            <v>172.40559999999999</v>
          </cell>
          <cell r="E20">
            <v>488</v>
          </cell>
        </row>
        <row r="27">
          <cell r="C27">
            <v>95</v>
          </cell>
          <cell r="E27">
            <v>0</v>
          </cell>
        </row>
        <row r="39">
          <cell r="C39">
            <v>1110</v>
          </cell>
        </row>
        <row r="47">
          <cell r="B47">
            <v>3</v>
          </cell>
          <cell r="C47">
            <v>45</v>
          </cell>
        </row>
        <row r="55">
          <cell r="C55">
            <v>65.5</v>
          </cell>
        </row>
      </sheetData>
      <sheetData sheetId="26">
        <row r="19">
          <cell r="B19">
            <v>1.9600000000000002</v>
          </cell>
          <cell r="C19">
            <v>136.60000000000002</v>
          </cell>
        </row>
        <row r="33">
          <cell r="C33">
            <v>31.9</v>
          </cell>
        </row>
        <row r="42">
          <cell r="C42">
            <v>0</v>
          </cell>
        </row>
        <row r="44">
          <cell r="E44">
            <v>150.70000000000002</v>
          </cell>
        </row>
      </sheetData>
      <sheetData sheetId="27">
        <row r="19">
          <cell r="B19">
            <v>7</v>
          </cell>
          <cell r="C19">
            <v>287.39999999999998</v>
          </cell>
        </row>
        <row r="35">
          <cell r="C35">
            <v>115</v>
          </cell>
        </row>
        <row r="44">
          <cell r="C44">
            <v>0</v>
          </cell>
        </row>
        <row r="46">
          <cell r="E46">
            <v>493.5</v>
          </cell>
        </row>
      </sheetData>
      <sheetData sheetId="28">
        <row r="19">
          <cell r="C19">
            <v>0</v>
          </cell>
        </row>
        <row r="33">
          <cell r="C33">
            <v>654.34699999999998</v>
          </cell>
        </row>
        <row r="42">
          <cell r="C42">
            <v>0</v>
          </cell>
        </row>
        <row r="44">
          <cell r="E44">
            <v>631</v>
          </cell>
        </row>
      </sheetData>
      <sheetData sheetId="29">
        <row r="19">
          <cell r="B19">
            <v>0</v>
          </cell>
          <cell r="C19">
            <v>0</v>
          </cell>
        </row>
        <row r="33">
          <cell r="C33">
            <v>291.39699999999999</v>
          </cell>
        </row>
        <row r="42">
          <cell r="C42">
            <v>0</v>
          </cell>
        </row>
        <row r="44">
          <cell r="E44">
            <v>609</v>
          </cell>
        </row>
      </sheetData>
      <sheetData sheetId="30">
        <row r="19">
          <cell r="B19">
            <v>0</v>
          </cell>
          <cell r="C19">
            <v>0</v>
          </cell>
        </row>
        <row r="33">
          <cell r="C33">
            <v>965.96549999999991</v>
          </cell>
        </row>
        <row r="42">
          <cell r="C42">
            <v>0</v>
          </cell>
        </row>
        <row r="44">
          <cell r="E44">
            <v>931.5</v>
          </cell>
        </row>
      </sheetData>
      <sheetData sheetId="31">
        <row r="19">
          <cell r="B19">
            <v>0</v>
          </cell>
          <cell r="C19">
            <v>0</v>
          </cell>
        </row>
        <row r="34">
          <cell r="C34">
            <v>729.42579999999987</v>
          </cell>
        </row>
        <row r="43">
          <cell r="C43">
            <v>0</v>
          </cell>
        </row>
        <row r="45">
          <cell r="E45">
            <v>703.4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1"/>
  <sheetViews>
    <sheetView tabSelected="1" topLeftCell="E1" workbookViewId="0">
      <selection activeCell="J1" sqref="J1"/>
    </sheetView>
  </sheetViews>
  <sheetFormatPr defaultColWidth="9.1796875" defaultRowHeight="18" x14ac:dyDescent="0.35"/>
  <cols>
    <col min="1" max="1" width="4.7265625" style="1" customWidth="1"/>
    <col min="2" max="2" width="59.7265625" style="88" customWidth="1"/>
    <col min="3" max="3" width="9.1796875" style="1"/>
    <col min="4" max="4" width="10.453125" style="6" customWidth="1"/>
    <col min="5" max="5" width="11.54296875" style="6" customWidth="1"/>
    <col min="6" max="6" width="10.81640625" style="6" customWidth="1"/>
    <col min="7" max="7" width="14.7265625" style="6" customWidth="1"/>
    <col min="8" max="8" width="11.54296875" style="6" customWidth="1"/>
    <col min="9" max="9" width="5.81640625" style="3" customWidth="1"/>
    <col min="10" max="10" width="14.1796875" style="1" customWidth="1"/>
    <col min="11" max="11" width="9.1796875" style="1"/>
    <col min="12" max="12" width="15.81640625" style="1" hidden="1" customWidth="1"/>
    <col min="13" max="16384" width="9.1796875" style="1"/>
  </cols>
  <sheetData>
    <row r="1" spans="2:12" x14ac:dyDescent="0.35">
      <c r="B1" s="171" t="s">
        <v>0</v>
      </c>
      <c r="C1" s="171"/>
      <c r="D1" s="171"/>
      <c r="E1" s="171"/>
      <c r="F1" s="171"/>
      <c r="G1" s="171"/>
      <c r="H1" s="171"/>
      <c r="J1" s="1" t="s">
        <v>82</v>
      </c>
    </row>
    <row r="2" spans="2:12" x14ac:dyDescent="0.35">
      <c r="B2" s="171" t="s">
        <v>1</v>
      </c>
      <c r="C2" s="171"/>
      <c r="D2" s="171"/>
      <c r="E2" s="171"/>
      <c r="F2" s="171"/>
      <c r="G2" s="171"/>
      <c r="H2" s="171"/>
    </row>
    <row r="3" spans="2:12" x14ac:dyDescent="0.35">
      <c r="B3" s="171" t="s">
        <v>2</v>
      </c>
      <c r="C3" s="171"/>
      <c r="D3" s="171"/>
      <c r="E3" s="171"/>
      <c r="F3" s="171"/>
      <c r="G3" s="171"/>
      <c r="H3" s="171"/>
    </row>
    <row r="4" spans="2:12" x14ac:dyDescent="0.35">
      <c r="B4" s="4"/>
      <c r="C4" s="4"/>
      <c r="D4" s="4"/>
      <c r="E4" s="4"/>
      <c r="F4" s="4"/>
      <c r="G4" s="4"/>
      <c r="H4" s="4"/>
    </row>
    <row r="5" spans="2:12" x14ac:dyDescent="0.35">
      <c r="B5" s="5"/>
    </row>
    <row r="6" spans="2:12" ht="13.5" customHeight="1" thickBot="1" x14ac:dyDescent="0.4">
      <c r="B6" s="7"/>
      <c r="C6" s="2"/>
      <c r="D6" s="8"/>
      <c r="E6" s="8"/>
      <c r="F6" s="8"/>
      <c r="G6" s="8"/>
      <c r="H6" s="8"/>
    </row>
    <row r="7" spans="2:12" ht="25.5" customHeight="1" x14ac:dyDescent="0.35">
      <c r="B7" s="9" t="s">
        <v>3</v>
      </c>
      <c r="C7" s="172" t="s">
        <v>4</v>
      </c>
      <c r="D7" s="173"/>
      <c r="E7" s="173"/>
      <c r="F7" s="173"/>
      <c r="G7" s="173"/>
      <c r="H7" s="174"/>
      <c r="J7" s="10" t="s">
        <v>4</v>
      </c>
      <c r="L7" s="11" t="s">
        <v>5</v>
      </c>
    </row>
    <row r="8" spans="2:12" ht="25.5" customHeight="1" x14ac:dyDescent="0.35">
      <c r="B8" s="12"/>
      <c r="C8" s="13" t="s">
        <v>6</v>
      </c>
      <c r="D8" s="13" t="s">
        <v>7</v>
      </c>
      <c r="E8" s="13" t="s">
        <v>8</v>
      </c>
      <c r="F8" s="13" t="s">
        <v>9</v>
      </c>
      <c r="G8" s="14" t="s">
        <v>10</v>
      </c>
      <c r="H8" s="15" t="s">
        <v>11</v>
      </c>
      <c r="J8" s="16" t="s">
        <v>12</v>
      </c>
      <c r="L8" s="16" t="s">
        <v>13</v>
      </c>
    </row>
    <row r="9" spans="2:12" ht="18.5" thickBot="1" x14ac:dyDescent="0.4">
      <c r="B9" s="17"/>
      <c r="C9" s="18"/>
      <c r="D9" s="19" t="s">
        <v>14</v>
      </c>
      <c r="E9" s="19" t="s">
        <v>14</v>
      </c>
      <c r="F9" s="19" t="s">
        <v>14</v>
      </c>
      <c r="G9" s="20" t="s">
        <v>14</v>
      </c>
      <c r="H9" s="21" t="s">
        <v>14</v>
      </c>
      <c r="J9" s="22" t="s">
        <v>14</v>
      </c>
      <c r="L9" s="22" t="s">
        <v>14</v>
      </c>
    </row>
    <row r="10" spans="2:12" x14ac:dyDescent="0.35">
      <c r="B10" s="23"/>
      <c r="C10" s="24"/>
      <c r="D10" s="25"/>
      <c r="E10" s="25"/>
      <c r="F10" s="25"/>
      <c r="G10" s="26"/>
      <c r="H10" s="27"/>
      <c r="J10" s="28"/>
      <c r="L10" s="29"/>
    </row>
    <row r="11" spans="2:12" ht="18.5" x14ac:dyDescent="0.4">
      <c r="B11" s="30" t="s">
        <v>15</v>
      </c>
      <c r="C11" s="31"/>
      <c r="D11" s="32"/>
      <c r="E11" s="32"/>
      <c r="F11" s="32"/>
      <c r="G11" s="33"/>
      <c r="H11" s="34"/>
      <c r="J11" s="29"/>
      <c r="L11" s="29"/>
    </row>
    <row r="12" spans="2:12" x14ac:dyDescent="0.35">
      <c r="B12" s="35"/>
      <c r="C12" s="36"/>
      <c r="D12" s="37"/>
      <c r="E12" s="37"/>
      <c r="F12" s="37"/>
      <c r="G12" s="38"/>
      <c r="H12" s="39"/>
      <c r="J12" s="29"/>
      <c r="L12" s="29"/>
    </row>
    <row r="13" spans="2:12" x14ac:dyDescent="0.35">
      <c r="B13" s="40" t="s">
        <v>16</v>
      </c>
      <c r="C13" s="36"/>
      <c r="D13" s="37"/>
      <c r="E13" s="37"/>
      <c r="F13" s="37"/>
      <c r="G13" s="38"/>
      <c r="H13" s="39"/>
      <c r="J13" s="29"/>
      <c r="L13" s="29"/>
    </row>
    <row r="14" spans="2:12" x14ac:dyDescent="0.35">
      <c r="B14" s="35" t="s">
        <v>16</v>
      </c>
      <c r="C14" s="36">
        <f>+[1]CECE!B21</f>
        <v>3.86</v>
      </c>
      <c r="D14" s="41">
        <f>+[1]CECE!C21</f>
        <v>224.49999999999997</v>
      </c>
      <c r="E14" s="41">
        <f>+[1]CECE!C37</f>
        <v>162.30000000000001</v>
      </c>
      <c r="F14" s="41">
        <f>+[1]CECE!C45</f>
        <v>-40</v>
      </c>
      <c r="G14" s="42">
        <f>-11.2-3.2</f>
        <v>-14.399999999999999</v>
      </c>
      <c r="H14" s="43">
        <f>+D14+E14+F14+G14</f>
        <v>332.4</v>
      </c>
      <c r="J14" s="44">
        <f>+[1]CECE!E47</f>
        <v>341</v>
      </c>
      <c r="L14" s="45"/>
    </row>
    <row r="15" spans="2:12" x14ac:dyDescent="0.35">
      <c r="B15" s="40" t="s">
        <v>11</v>
      </c>
      <c r="C15" s="46">
        <f t="shared" ref="C15:H15" si="0">+C14</f>
        <v>3.86</v>
      </c>
      <c r="D15" s="47">
        <f t="shared" si="0"/>
        <v>224.49999999999997</v>
      </c>
      <c r="E15" s="47">
        <f t="shared" si="0"/>
        <v>162.30000000000001</v>
      </c>
      <c r="F15" s="47">
        <f t="shared" si="0"/>
        <v>-40</v>
      </c>
      <c r="G15" s="47">
        <f t="shared" si="0"/>
        <v>-14.399999999999999</v>
      </c>
      <c r="H15" s="48">
        <f t="shared" si="0"/>
        <v>332.4</v>
      </c>
      <c r="J15" s="49">
        <f>+J14</f>
        <v>341</v>
      </c>
      <c r="L15" s="50">
        <f>+L14</f>
        <v>0</v>
      </c>
    </row>
    <row r="16" spans="2:12" x14ac:dyDescent="0.35">
      <c r="B16" s="40"/>
      <c r="C16" s="36"/>
      <c r="D16" s="41"/>
      <c r="E16" s="41"/>
      <c r="F16" s="41"/>
      <c r="G16" s="42"/>
      <c r="H16" s="43"/>
      <c r="J16" s="51"/>
      <c r="L16" s="45"/>
    </row>
    <row r="17" spans="2:12" x14ac:dyDescent="0.35">
      <c r="B17" s="40" t="s">
        <v>17</v>
      </c>
      <c r="C17" s="36"/>
      <c r="D17" s="41"/>
      <c r="E17" s="41"/>
      <c r="F17" s="41"/>
      <c r="G17" s="42"/>
      <c r="H17" s="43"/>
      <c r="J17" s="52"/>
      <c r="L17" s="45"/>
    </row>
    <row r="18" spans="2:12" x14ac:dyDescent="0.35">
      <c r="B18" s="35" t="s">
        <v>18</v>
      </c>
      <c r="C18" s="36">
        <f>+[1]MDMD!B19</f>
        <v>1.9600000000000002</v>
      </c>
      <c r="D18" s="41">
        <f>+[1]MDMD!C19</f>
        <v>136.60000000000002</v>
      </c>
      <c r="E18" s="41">
        <f>+[1]MDMD!C33</f>
        <v>31.9</v>
      </c>
      <c r="F18" s="41">
        <f>+[1]MDMD!C42</f>
        <v>0</v>
      </c>
      <c r="G18" s="42">
        <f>-35.4-1.1</f>
        <v>-36.5</v>
      </c>
      <c r="H18" s="43">
        <f>+D18+E18+F18+G18</f>
        <v>132.00000000000003</v>
      </c>
      <c r="J18" s="52">
        <f>+[1]MDMD!E44</f>
        <v>150.70000000000002</v>
      </c>
      <c r="L18" s="45"/>
    </row>
    <row r="19" spans="2:12" x14ac:dyDescent="0.35">
      <c r="B19" s="35" t="s">
        <v>19</v>
      </c>
      <c r="C19" s="36">
        <f>+[1]MDSS!B19</f>
        <v>19.5</v>
      </c>
      <c r="D19" s="41">
        <f>+[1]MDSS!C19</f>
        <v>572.20000000000005</v>
      </c>
      <c r="E19" s="41">
        <f>+[1]MDSS!C29</f>
        <v>23.3</v>
      </c>
      <c r="F19" s="41">
        <f>+[1]MDSS!C38</f>
        <v>0</v>
      </c>
      <c r="G19" s="42">
        <v>0</v>
      </c>
      <c r="H19" s="43">
        <f>+D19+E19+F19+G19</f>
        <v>595.5</v>
      </c>
      <c r="J19" s="52">
        <f>+[1]MDSS!E40</f>
        <v>577.19999999999993</v>
      </c>
      <c r="L19" s="45"/>
    </row>
    <row r="20" spans="2:12" x14ac:dyDescent="0.35">
      <c r="B20" s="40" t="s">
        <v>11</v>
      </c>
      <c r="C20" s="46">
        <f t="shared" ref="C20:H20" si="1">SUM(C18:C19)</f>
        <v>21.46</v>
      </c>
      <c r="D20" s="47">
        <f t="shared" si="1"/>
        <v>708.80000000000007</v>
      </c>
      <c r="E20" s="47">
        <f t="shared" si="1"/>
        <v>55.2</v>
      </c>
      <c r="F20" s="47">
        <f t="shared" si="1"/>
        <v>0</v>
      </c>
      <c r="G20" s="47">
        <f t="shared" si="1"/>
        <v>-36.5</v>
      </c>
      <c r="H20" s="48">
        <f t="shared" si="1"/>
        <v>727.5</v>
      </c>
      <c r="J20" s="49">
        <f>SUM(J18:J19)</f>
        <v>727.9</v>
      </c>
      <c r="L20" s="50">
        <f>SUM(L18:L19)</f>
        <v>0</v>
      </c>
    </row>
    <row r="21" spans="2:12" x14ac:dyDescent="0.35">
      <c r="B21" s="35"/>
      <c r="C21" s="53"/>
      <c r="D21" s="54"/>
      <c r="E21" s="55"/>
      <c r="F21" s="55"/>
      <c r="G21" s="54"/>
      <c r="H21" s="43"/>
      <c r="J21" s="51"/>
      <c r="L21" s="45"/>
    </row>
    <row r="22" spans="2:12" x14ac:dyDescent="0.35">
      <c r="B22" s="40" t="s">
        <v>20</v>
      </c>
      <c r="C22" s="36"/>
      <c r="D22" s="54"/>
      <c r="E22" s="41"/>
      <c r="F22" s="41"/>
      <c r="G22" s="54"/>
      <c r="H22" s="43"/>
      <c r="J22" s="52"/>
      <c r="L22" s="45"/>
    </row>
    <row r="23" spans="2:12" x14ac:dyDescent="0.35">
      <c r="B23" s="35" t="s">
        <v>21</v>
      </c>
      <c r="C23" s="36">
        <f>+[1]CDCD!B21</f>
        <v>3</v>
      </c>
      <c r="D23" s="54">
        <f>+[1]CDCD!C21</f>
        <v>109.5</v>
      </c>
      <c r="E23" s="41">
        <f>+[1]CDCD!C33</f>
        <v>23.4</v>
      </c>
      <c r="F23" s="41">
        <f>+[1]CDCD!C42</f>
        <v>0</v>
      </c>
      <c r="G23" s="54">
        <f>-17.13-3.2</f>
        <v>-20.329999999999998</v>
      </c>
      <c r="H23" s="43">
        <f>+D23+E23+F23+G23</f>
        <v>112.57000000000001</v>
      </c>
      <c r="J23" s="52">
        <f>+[1]CDCD!E44</f>
        <v>159.39999999999998</v>
      </c>
      <c r="L23" s="45"/>
    </row>
    <row r="24" spans="2:12" x14ac:dyDescent="0.35">
      <c r="B24" s="35" t="s">
        <v>22</v>
      </c>
      <c r="C24" s="36">
        <f>+[1]CDCA!B22</f>
        <v>1</v>
      </c>
      <c r="D24" s="54">
        <f>+[1]CDCA!C22</f>
        <v>42.1</v>
      </c>
      <c r="E24" s="41">
        <f>+[1]CDCA!C30</f>
        <v>845.5</v>
      </c>
      <c r="F24" s="41">
        <f>+[1]CDCA!C33</f>
        <v>0</v>
      </c>
      <c r="G24" s="54">
        <v>0</v>
      </c>
      <c r="H24" s="43">
        <f>+D24+E24+F24+G24</f>
        <v>887.6</v>
      </c>
      <c r="J24" s="52">
        <f>+[1]CDCA!E35</f>
        <v>0</v>
      </c>
      <c r="L24" s="45"/>
    </row>
    <row r="25" spans="2:12" x14ac:dyDescent="0.35">
      <c r="B25" s="35" t="s">
        <v>23</v>
      </c>
      <c r="C25" s="56">
        <f>+[1]CDPS!B24</f>
        <v>2.4</v>
      </c>
      <c r="D25" s="57">
        <f>+[1]CDPS!C24</f>
        <v>86.100000000000009</v>
      </c>
      <c r="E25" s="37">
        <f>+[1]CDPS!C52</f>
        <v>106.2</v>
      </c>
      <c r="F25" s="37">
        <f>+[1]CDPS!C55</f>
        <v>0</v>
      </c>
      <c r="G25" s="57">
        <v>0</v>
      </c>
      <c r="H25" s="43">
        <f>+D25+E25+F25+G25</f>
        <v>192.3</v>
      </c>
      <c r="J25" s="29">
        <f>+[1]CDPS!E57</f>
        <v>171.39999999999998</v>
      </c>
      <c r="L25" s="45"/>
    </row>
    <row r="26" spans="2:12" x14ac:dyDescent="0.35">
      <c r="B26" s="35" t="s">
        <v>24</v>
      </c>
      <c r="C26" s="58">
        <f>+[1]CDPR!B21</f>
        <v>4.4000000000000004</v>
      </c>
      <c r="D26" s="54">
        <f>+[1]CDPR!C21</f>
        <v>104.89999999999999</v>
      </c>
      <c r="E26" s="59">
        <f>+[1]CDPR!C29</f>
        <v>28</v>
      </c>
      <c r="F26" s="59">
        <f>+[1]CDPR!C32</f>
        <v>0</v>
      </c>
      <c r="G26" s="54">
        <v>0</v>
      </c>
      <c r="H26" s="43">
        <f>+D26+E26+F26+G26</f>
        <v>132.89999999999998</v>
      </c>
      <c r="J26" s="52">
        <f>+[1]CDPR!E34</f>
        <v>103.2</v>
      </c>
      <c r="L26" s="45">
        <v>0</v>
      </c>
    </row>
    <row r="27" spans="2:12" x14ac:dyDescent="0.35">
      <c r="B27" s="40" t="s">
        <v>11</v>
      </c>
      <c r="C27" s="46">
        <f t="shared" ref="C27:H27" si="2">SUM(C23:C26)</f>
        <v>10.8</v>
      </c>
      <c r="D27" s="47">
        <f t="shared" si="2"/>
        <v>342.59999999999997</v>
      </c>
      <c r="E27" s="47">
        <f t="shared" si="2"/>
        <v>1003.1</v>
      </c>
      <c r="F27" s="47">
        <f t="shared" si="2"/>
        <v>0</v>
      </c>
      <c r="G27" s="47">
        <f t="shared" si="2"/>
        <v>-20.329999999999998</v>
      </c>
      <c r="H27" s="48">
        <f t="shared" si="2"/>
        <v>1325.37</v>
      </c>
      <c r="J27" s="49">
        <f>SUM(J23:J26)</f>
        <v>433.99999999999994</v>
      </c>
      <c r="L27" s="50">
        <f>SUM(L23:L25)</f>
        <v>0</v>
      </c>
    </row>
    <row r="28" spans="2:12" x14ac:dyDescent="0.35">
      <c r="B28" s="35"/>
      <c r="C28" s="36"/>
      <c r="D28" s="41"/>
      <c r="E28" s="41"/>
      <c r="F28" s="41"/>
      <c r="G28" s="42"/>
      <c r="H28" s="43"/>
      <c r="J28" s="51"/>
      <c r="L28" s="45"/>
    </row>
    <row r="29" spans="2:12" x14ac:dyDescent="0.35">
      <c r="B29" s="40" t="s">
        <v>25</v>
      </c>
      <c r="C29" s="36"/>
      <c r="D29" s="41"/>
      <c r="E29" s="41"/>
      <c r="F29" s="41"/>
      <c r="G29" s="42"/>
      <c r="H29" s="43"/>
      <c r="J29" s="52"/>
      <c r="L29" s="45"/>
    </row>
    <row r="30" spans="2:12" x14ac:dyDescent="0.35">
      <c r="B30" s="35" t="s">
        <v>26</v>
      </c>
      <c r="C30" s="36">
        <f>+[1]FS!B20</f>
        <v>4.5</v>
      </c>
      <c r="D30" s="41">
        <f>+[1]FS!C20</f>
        <v>219</v>
      </c>
      <c r="E30" s="41">
        <f>+[1]FS!C28</f>
        <v>8</v>
      </c>
      <c r="F30" s="41">
        <f>+[1]FS!C37</f>
        <v>0</v>
      </c>
      <c r="G30" s="42">
        <f>-13.7-54.4</f>
        <v>-68.099999999999994</v>
      </c>
      <c r="H30" s="43">
        <f t="shared" ref="H30:H35" si="3">+D30+E30+F30+G30</f>
        <v>158.9</v>
      </c>
      <c r="J30" s="52">
        <f>+[1]FS!E39</f>
        <v>224</v>
      </c>
      <c r="L30" s="45"/>
    </row>
    <row r="31" spans="2:12" x14ac:dyDescent="0.35">
      <c r="B31" s="35" t="s">
        <v>27</v>
      </c>
      <c r="C31" s="36">
        <f>+[1]FSFN!B18</f>
        <v>2.54</v>
      </c>
      <c r="D31" s="41">
        <f>+[1]FSFN!C18</f>
        <v>55.300000000000004</v>
      </c>
      <c r="E31" s="41">
        <f>+[1]FSFN!C31</f>
        <v>75.3</v>
      </c>
      <c r="F31" s="41">
        <f>+[1]FSFN!C40</f>
        <v>0</v>
      </c>
      <c r="G31" s="42">
        <v>0</v>
      </c>
      <c r="H31" s="43">
        <f t="shared" si="3"/>
        <v>130.6</v>
      </c>
      <c r="J31" s="52">
        <f>+[1]FSFN!E42</f>
        <v>130.9</v>
      </c>
      <c r="L31" s="45"/>
    </row>
    <row r="32" spans="2:12" x14ac:dyDescent="0.35">
      <c r="B32" s="35" t="s">
        <v>28</v>
      </c>
      <c r="C32" s="36">
        <f>+[1]PRCO!B19</f>
        <v>0</v>
      </c>
      <c r="D32" s="41">
        <f>+[1]PRCO!C19</f>
        <v>0</v>
      </c>
      <c r="E32" s="41">
        <f>+[1]PRCO!C33</f>
        <v>291.39699999999999</v>
      </c>
      <c r="F32" s="41">
        <f>+[1]PRCO!C42</f>
        <v>0</v>
      </c>
      <c r="G32" s="42">
        <v>0</v>
      </c>
      <c r="H32" s="43">
        <f t="shared" si="3"/>
        <v>291.39699999999999</v>
      </c>
      <c r="J32" s="52">
        <f>+[1]PRCO!E44</f>
        <v>609</v>
      </c>
      <c r="L32" s="45"/>
    </row>
    <row r="33" spans="2:12" x14ac:dyDescent="0.35">
      <c r="B33" s="35" t="s">
        <v>29</v>
      </c>
      <c r="C33" s="36">
        <f>+[1]PRNH!B19</f>
        <v>0</v>
      </c>
      <c r="D33" s="41">
        <f>+[1]PRNH!C19</f>
        <v>0</v>
      </c>
      <c r="E33" s="41">
        <f>+[1]PRNH!C34</f>
        <v>729.42579999999987</v>
      </c>
      <c r="F33" s="41">
        <f>+[1]PRNH!C43</f>
        <v>0</v>
      </c>
      <c r="G33" s="42">
        <v>0</v>
      </c>
      <c r="H33" s="43">
        <f t="shared" si="3"/>
        <v>729.42579999999987</v>
      </c>
      <c r="J33" s="52">
        <f>+[1]PRNH!E45</f>
        <v>703.4</v>
      </c>
      <c r="L33" s="45"/>
    </row>
    <row r="34" spans="2:12" x14ac:dyDescent="0.35">
      <c r="B34" s="35" t="s">
        <v>30</v>
      </c>
      <c r="C34" s="36">
        <f>+[1]PRLD!B19</f>
        <v>0</v>
      </c>
      <c r="D34" s="41">
        <f>+[1]PRLD!C19</f>
        <v>0</v>
      </c>
      <c r="E34" s="41">
        <f>+[1]PRLD!C33</f>
        <v>965.96549999999991</v>
      </c>
      <c r="F34" s="41">
        <f>+[1]PRLD!C42</f>
        <v>0</v>
      </c>
      <c r="G34" s="42">
        <v>0</v>
      </c>
      <c r="H34" s="43">
        <f t="shared" si="3"/>
        <v>965.96549999999991</v>
      </c>
      <c r="J34" s="52">
        <f>+[1]PRLD!E44</f>
        <v>931.5</v>
      </c>
      <c r="L34" s="45"/>
    </row>
    <row r="35" spans="2:12" x14ac:dyDescent="0.35">
      <c r="B35" s="35" t="s">
        <v>31</v>
      </c>
      <c r="C35" s="36">
        <f>+[1]PRDL!B19</f>
        <v>0</v>
      </c>
      <c r="D35" s="41">
        <f>+[1]PRDL!C19</f>
        <v>0</v>
      </c>
      <c r="E35" s="41">
        <f>+[1]PRDL!C33</f>
        <v>654.34699999999998</v>
      </c>
      <c r="F35" s="41">
        <f>+[1]PRDL!C42</f>
        <v>0</v>
      </c>
      <c r="G35" s="42">
        <v>0</v>
      </c>
      <c r="H35" s="43">
        <f t="shared" si="3"/>
        <v>654.34699999999998</v>
      </c>
      <c r="J35" s="52">
        <f>+[1]PRDL!E44</f>
        <v>631</v>
      </c>
      <c r="L35" s="45"/>
    </row>
    <row r="36" spans="2:12" x14ac:dyDescent="0.35">
      <c r="B36" s="40" t="s">
        <v>11</v>
      </c>
      <c r="C36" s="46">
        <f>SUM(C30:C35)</f>
        <v>7.04</v>
      </c>
      <c r="D36" s="46">
        <f t="shared" ref="D36:J36" si="4">SUM(D30:D35)</f>
        <v>274.3</v>
      </c>
      <c r="E36" s="46">
        <f t="shared" si="4"/>
        <v>2724.4353000000001</v>
      </c>
      <c r="F36" s="46">
        <f t="shared" si="4"/>
        <v>0</v>
      </c>
      <c r="G36" s="46">
        <f t="shared" si="4"/>
        <v>-68.099999999999994</v>
      </c>
      <c r="H36" s="60">
        <f t="shared" si="4"/>
        <v>2930.6352999999999</v>
      </c>
      <c r="J36" s="61">
        <f t="shared" si="4"/>
        <v>3229.8</v>
      </c>
      <c r="L36" s="50">
        <f>SUM(L30:L31)</f>
        <v>0</v>
      </c>
    </row>
    <row r="37" spans="2:12" x14ac:dyDescent="0.35">
      <c r="B37" s="40"/>
      <c r="C37" s="36"/>
      <c r="D37" s="41"/>
      <c r="E37" s="41"/>
      <c r="F37" s="41"/>
      <c r="G37" s="42"/>
      <c r="H37" s="43"/>
      <c r="J37" s="52"/>
      <c r="L37" s="45"/>
    </row>
    <row r="38" spans="2:12" x14ac:dyDescent="0.35">
      <c r="B38" s="40" t="s">
        <v>32</v>
      </c>
      <c r="C38" s="36"/>
      <c r="D38" s="41"/>
      <c r="E38" s="41"/>
      <c r="F38" s="41"/>
      <c r="G38" s="42"/>
      <c r="H38" s="43"/>
      <c r="J38" s="52"/>
      <c r="L38" s="45"/>
    </row>
    <row r="39" spans="2:12" x14ac:dyDescent="0.35">
      <c r="B39" s="35" t="s">
        <v>32</v>
      </c>
      <c r="C39" s="36">
        <f>+[1]PEPE!B19</f>
        <v>2.7</v>
      </c>
      <c r="D39" s="41">
        <f>+[1]PEPE!C19</f>
        <v>59.199999999999996</v>
      </c>
      <c r="E39" s="41">
        <f>+[1]PEPE!C30</f>
        <v>48.2</v>
      </c>
      <c r="F39" s="41">
        <f>+[1]PEPE!C39</f>
        <v>0</v>
      </c>
      <c r="G39" s="42">
        <f>-2.9-1</f>
        <v>-3.9</v>
      </c>
      <c r="H39" s="43">
        <f>+D39+E39+F39+G39</f>
        <v>103.5</v>
      </c>
      <c r="J39" s="44">
        <f>+[1]PEPE!E41</f>
        <v>103</v>
      </c>
      <c r="L39" s="45"/>
    </row>
    <row r="40" spans="2:12" x14ac:dyDescent="0.35">
      <c r="B40" s="40" t="s">
        <v>11</v>
      </c>
      <c r="C40" s="46">
        <f t="shared" ref="C40:H40" si="5">SUM(C39)</f>
        <v>2.7</v>
      </c>
      <c r="D40" s="47">
        <f t="shared" si="5"/>
        <v>59.199999999999996</v>
      </c>
      <c r="E40" s="47">
        <f t="shared" si="5"/>
        <v>48.2</v>
      </c>
      <c r="F40" s="47">
        <f t="shared" si="5"/>
        <v>0</v>
      </c>
      <c r="G40" s="47">
        <f t="shared" si="5"/>
        <v>-3.9</v>
      </c>
      <c r="H40" s="48">
        <f t="shared" si="5"/>
        <v>103.5</v>
      </c>
      <c r="J40" s="52">
        <f>SUM(J39)</f>
        <v>103</v>
      </c>
      <c r="L40" s="50">
        <f>SUM(L39)</f>
        <v>0</v>
      </c>
    </row>
    <row r="41" spans="2:12" x14ac:dyDescent="0.35">
      <c r="B41" s="35"/>
      <c r="C41" s="36"/>
      <c r="D41" s="41"/>
      <c r="E41" s="41"/>
      <c r="F41" s="41"/>
      <c r="G41" s="42"/>
      <c r="H41" s="43"/>
      <c r="J41" s="51"/>
      <c r="L41" s="45"/>
    </row>
    <row r="42" spans="2:12" x14ac:dyDescent="0.35">
      <c r="B42" s="40" t="s">
        <v>33</v>
      </c>
      <c r="C42" s="36"/>
      <c r="D42" s="41"/>
      <c r="E42" s="41"/>
      <c r="F42" s="41"/>
      <c r="G42" s="42"/>
      <c r="H42" s="43"/>
      <c r="J42" s="52"/>
      <c r="L42" s="45"/>
    </row>
    <row r="43" spans="2:12" x14ac:dyDescent="0.35">
      <c r="B43" s="35" t="s">
        <v>34</v>
      </c>
      <c r="C43" s="36">
        <f>+[1]OPOP!B19</f>
        <v>2</v>
      </c>
      <c r="D43" s="41">
        <f>+[1]OPOP!C19</f>
        <v>82.4</v>
      </c>
      <c r="E43" s="41">
        <f>+[1]OPOP!C33</f>
        <v>12</v>
      </c>
      <c r="F43" s="41">
        <f>+[1]OPOP!C42</f>
        <v>0</v>
      </c>
      <c r="G43" s="42">
        <f>-75.9-25</f>
        <v>-100.9</v>
      </c>
      <c r="H43" s="43">
        <f t="shared" ref="H43:H52" si="6">+D43+E43+F43+G43</f>
        <v>-6.5</v>
      </c>
      <c r="J43" s="52">
        <f>+[1]OPOP!E44</f>
        <v>106.6</v>
      </c>
      <c r="L43" s="45"/>
    </row>
    <row r="44" spans="2:12" x14ac:dyDescent="0.35">
      <c r="B44" s="35" t="s">
        <v>35</v>
      </c>
      <c r="C44" s="36">
        <f>+[1]OPIM!B16</f>
        <v>1</v>
      </c>
      <c r="D44" s="41">
        <f>+[1]OPIM!C16</f>
        <v>35</v>
      </c>
      <c r="E44" s="41">
        <f>+[1]OPIM!C31</f>
        <v>17</v>
      </c>
      <c r="F44" s="41">
        <f>+[1]OPIM!C34</f>
        <v>0</v>
      </c>
      <c r="G44" s="42">
        <v>0</v>
      </c>
      <c r="H44" s="43">
        <f t="shared" si="6"/>
        <v>52</v>
      </c>
      <c r="J44" s="52">
        <f>+[1]OPIM!E36</f>
        <v>55.2</v>
      </c>
      <c r="L44" s="45"/>
    </row>
    <row r="45" spans="2:12" x14ac:dyDescent="0.35">
      <c r="B45" s="35" t="s">
        <v>36</v>
      </c>
      <c r="C45" s="36">
        <f>+[1]OPFM!B19</f>
        <v>4.46</v>
      </c>
      <c r="D45" s="41">
        <f>+[1]OPFM!C19</f>
        <v>92.5</v>
      </c>
      <c r="E45" s="41">
        <f>+[1]OPFM!C58</f>
        <v>332.9</v>
      </c>
      <c r="F45" s="41">
        <f>+[1]OPFM!C67</f>
        <v>0</v>
      </c>
      <c r="G45" s="42">
        <v>0</v>
      </c>
      <c r="H45" s="43">
        <f t="shared" si="6"/>
        <v>425.4</v>
      </c>
      <c r="J45" s="52">
        <f>+[1]OPFM!E69</f>
        <v>489.6</v>
      </c>
      <c r="L45" s="45"/>
    </row>
    <row r="46" spans="2:12" x14ac:dyDescent="0.35">
      <c r="B46" s="35" t="s">
        <v>37</v>
      </c>
      <c r="C46" s="36">
        <f>+[1]MDAG!B18</f>
        <v>2.5</v>
      </c>
      <c r="D46" s="41">
        <f>+[1]MDAG!C18</f>
        <v>74.199999999999989</v>
      </c>
      <c r="E46" s="41">
        <f>+[1]MDAG!C38</f>
        <v>81</v>
      </c>
      <c r="F46" s="41">
        <f>+[1]MDAG!C47</f>
        <v>0</v>
      </c>
      <c r="G46" s="42">
        <v>0</v>
      </c>
      <c r="H46" s="43">
        <f t="shared" si="6"/>
        <v>155.19999999999999</v>
      </c>
      <c r="J46" s="52">
        <f>+[1]MDAG!E49</f>
        <v>153.5</v>
      </c>
      <c r="L46" s="45"/>
    </row>
    <row r="47" spans="2:12" x14ac:dyDescent="0.35">
      <c r="B47" s="35" t="s">
        <v>38</v>
      </c>
      <c r="C47" s="36">
        <f>+[1]OPDE!B21</f>
        <v>24.5</v>
      </c>
      <c r="D47" s="41">
        <f>+[1]OPDE!C21</f>
        <v>497.8</v>
      </c>
      <c r="E47" s="41">
        <f>+[1]OPDE!C31</f>
        <v>223</v>
      </c>
      <c r="F47" s="41">
        <f>+[1]OPDE!C40</f>
        <v>-70</v>
      </c>
      <c r="G47" s="42">
        <v>0</v>
      </c>
      <c r="H47" s="43">
        <f t="shared" si="6"/>
        <v>650.79999999999995</v>
      </c>
      <c r="J47" s="52">
        <f>+[1]OPDE!E42</f>
        <v>691.8</v>
      </c>
      <c r="L47" s="45"/>
    </row>
    <row r="48" spans="2:12" x14ac:dyDescent="0.35">
      <c r="B48" s="35" t="s">
        <v>39</v>
      </c>
      <c r="C48" s="36">
        <f>+[1]OPIT!B19</f>
        <v>1</v>
      </c>
      <c r="D48" s="41">
        <f>+[1]OPIT!C19</f>
        <v>47.3</v>
      </c>
      <c r="E48" s="41">
        <f>+[1]OPIT!C42</f>
        <v>558</v>
      </c>
      <c r="F48" s="41">
        <f>+[1]OPIT!C51</f>
        <v>0</v>
      </c>
      <c r="G48" s="42">
        <v>0</v>
      </c>
      <c r="H48" s="43">
        <f t="shared" si="6"/>
        <v>605.29999999999995</v>
      </c>
      <c r="J48" s="52">
        <f>+[1]OPIT!E53</f>
        <v>179</v>
      </c>
      <c r="L48" s="45"/>
    </row>
    <row r="49" spans="2:12" x14ac:dyDescent="0.35">
      <c r="B49" s="35" t="s">
        <v>40</v>
      </c>
      <c r="C49" s="36">
        <f>+[1]OPCO!B20</f>
        <v>8</v>
      </c>
      <c r="D49" s="41">
        <f>+[1]OPCO!C20</f>
        <v>239.2</v>
      </c>
      <c r="E49" s="41">
        <f>+[1]OPCO!C35</f>
        <v>0</v>
      </c>
      <c r="F49" s="41">
        <f>+[1]OPCO!C44</f>
        <v>0</v>
      </c>
      <c r="G49" s="42">
        <v>0</v>
      </c>
      <c r="H49" s="43">
        <f t="shared" si="6"/>
        <v>239.2</v>
      </c>
      <c r="J49" s="52">
        <f>+[1]OPCO!E46</f>
        <v>562.4</v>
      </c>
      <c r="L49" s="45"/>
    </row>
    <row r="50" spans="2:12" x14ac:dyDescent="0.35">
      <c r="B50" s="35" t="s">
        <v>41</v>
      </c>
      <c r="C50" s="36">
        <f>+[1]OPHD!B19</f>
        <v>2</v>
      </c>
      <c r="D50" s="41">
        <f>+[1]OPHD!C19</f>
        <v>28.7</v>
      </c>
      <c r="E50" s="41">
        <f>+[1]OPHD!C30</f>
        <v>0</v>
      </c>
      <c r="F50" s="41">
        <f>+[1]OPHD!C39</f>
        <v>0</v>
      </c>
      <c r="G50" s="42">
        <v>0</v>
      </c>
      <c r="H50" s="43">
        <f t="shared" si="6"/>
        <v>28.7</v>
      </c>
      <c r="J50" s="52">
        <f>+[1]OPHD!E41</f>
        <v>47.1</v>
      </c>
      <c r="L50" s="45">
        <v>0</v>
      </c>
    </row>
    <row r="51" spans="2:12" x14ac:dyDescent="0.35">
      <c r="B51" s="35" t="s">
        <v>42</v>
      </c>
      <c r="C51" s="36">
        <f>+[1]OPDA!B18</f>
        <v>3.54</v>
      </c>
      <c r="D51" s="41">
        <f>+[1]OPDA!C18</f>
        <v>110.5</v>
      </c>
      <c r="E51" s="41">
        <f>+[1]OPDA!C29</f>
        <v>0</v>
      </c>
      <c r="F51" s="41">
        <f>+[1]OPDA!C38</f>
        <v>0</v>
      </c>
      <c r="G51" s="42">
        <v>0</v>
      </c>
      <c r="H51" s="43">
        <f t="shared" si="6"/>
        <v>110.5</v>
      </c>
      <c r="J51" s="52">
        <f>+[1]OPDA!E40</f>
        <v>191.6</v>
      </c>
      <c r="L51" s="45"/>
    </row>
    <row r="52" spans="2:12" x14ac:dyDescent="0.35">
      <c r="B52" s="35" t="s">
        <v>43</v>
      </c>
      <c r="C52" s="36">
        <f>+[1]OPAD!B19</f>
        <v>10</v>
      </c>
      <c r="D52" s="41">
        <f>+[1]OPAD!C19</f>
        <v>312.29999999999995</v>
      </c>
      <c r="E52" s="41">
        <f>+[1]OPAD!C30</f>
        <v>0</v>
      </c>
      <c r="F52" s="41">
        <f>+[1]OPAD!C39</f>
        <v>0</v>
      </c>
      <c r="G52" s="42">
        <v>0</v>
      </c>
      <c r="H52" s="43">
        <f t="shared" si="6"/>
        <v>312.29999999999995</v>
      </c>
      <c r="J52" s="44">
        <f>+[1]OPAD!E41</f>
        <v>298.3</v>
      </c>
      <c r="L52" s="45"/>
    </row>
    <row r="53" spans="2:12" x14ac:dyDescent="0.35">
      <c r="B53" s="40" t="s">
        <v>11</v>
      </c>
      <c r="C53" s="46">
        <f>SUM(C43:C52)</f>
        <v>59</v>
      </c>
      <c r="D53" s="47">
        <f t="shared" ref="D53:L53" si="7">SUM(D43:D52)</f>
        <v>1519.9</v>
      </c>
      <c r="E53" s="47">
        <f t="shared" si="7"/>
        <v>1223.9000000000001</v>
      </c>
      <c r="F53" s="47">
        <f t="shared" si="7"/>
        <v>-70</v>
      </c>
      <c r="G53" s="47">
        <f t="shared" si="7"/>
        <v>-100.9</v>
      </c>
      <c r="H53" s="48">
        <f t="shared" si="7"/>
        <v>2572.8999999999996</v>
      </c>
      <c r="J53" s="49">
        <f t="shared" si="7"/>
        <v>2775.1</v>
      </c>
      <c r="L53" s="50">
        <f t="shared" si="7"/>
        <v>0</v>
      </c>
    </row>
    <row r="54" spans="2:12" ht="18.5" thickBot="1" x14ac:dyDescent="0.4">
      <c r="B54" s="62"/>
      <c r="C54" s="63"/>
      <c r="D54" s="64"/>
      <c r="E54" s="64"/>
      <c r="F54" s="64"/>
      <c r="G54" s="65"/>
      <c r="H54" s="66"/>
      <c r="J54" s="67"/>
      <c r="L54" s="68"/>
    </row>
    <row r="55" spans="2:12" ht="18.5" thickBot="1" x14ac:dyDescent="0.4">
      <c r="B55" s="69"/>
      <c r="C55" s="70"/>
      <c r="D55" s="54"/>
      <c r="E55" s="54"/>
      <c r="F55" s="54"/>
      <c r="G55" s="54"/>
      <c r="H55" s="54"/>
      <c r="J55" s="71"/>
    </row>
    <row r="56" spans="2:12" x14ac:dyDescent="0.35">
      <c r="B56" s="9" t="s">
        <v>3</v>
      </c>
      <c r="C56" s="168" t="s">
        <v>4</v>
      </c>
      <c r="D56" s="169"/>
      <c r="E56" s="169"/>
      <c r="F56" s="169"/>
      <c r="G56" s="169"/>
      <c r="H56" s="170"/>
      <c r="J56" s="72" t="s">
        <v>4</v>
      </c>
      <c r="L56" s="72" t="s">
        <v>5</v>
      </c>
    </row>
    <row r="57" spans="2:12" x14ac:dyDescent="0.35">
      <c r="B57" s="12"/>
      <c r="C57" s="31" t="s">
        <v>6</v>
      </c>
      <c r="D57" s="73" t="s">
        <v>7</v>
      </c>
      <c r="E57" s="73" t="s">
        <v>8</v>
      </c>
      <c r="F57" s="73" t="s">
        <v>9</v>
      </c>
      <c r="G57" s="14" t="s">
        <v>10</v>
      </c>
      <c r="H57" s="74" t="s">
        <v>11</v>
      </c>
      <c r="J57" s="75" t="str">
        <f>+J8</f>
        <v>2002/03</v>
      </c>
      <c r="L57" s="75" t="s">
        <v>44</v>
      </c>
    </row>
    <row r="58" spans="2:12" ht="18.5" thickBot="1" x14ac:dyDescent="0.4">
      <c r="B58" s="17"/>
      <c r="C58" s="76"/>
      <c r="D58" s="77" t="s">
        <v>14</v>
      </c>
      <c r="E58" s="77" t="s">
        <v>14</v>
      </c>
      <c r="F58" s="77" t="s">
        <v>14</v>
      </c>
      <c r="G58" s="78"/>
      <c r="H58" s="79" t="s">
        <v>14</v>
      </c>
      <c r="J58" s="80" t="s">
        <v>14</v>
      </c>
      <c r="L58" s="80" t="s">
        <v>14</v>
      </c>
    </row>
    <row r="59" spans="2:12" x14ac:dyDescent="0.35">
      <c r="B59" s="35"/>
      <c r="C59" s="36"/>
      <c r="D59" s="41"/>
      <c r="E59" s="41"/>
      <c r="F59" s="41"/>
      <c r="G59" s="42"/>
      <c r="H59" s="43"/>
      <c r="J59" s="81"/>
      <c r="L59" s="29"/>
    </row>
    <row r="60" spans="2:12" x14ac:dyDescent="0.35">
      <c r="B60" s="40"/>
      <c r="C60" s="36"/>
      <c r="D60" s="41"/>
      <c r="E60" s="41"/>
      <c r="F60" s="41"/>
      <c r="G60" s="42"/>
      <c r="H60" s="43"/>
      <c r="J60" s="51"/>
      <c r="L60" s="45"/>
    </row>
    <row r="61" spans="2:12" x14ac:dyDescent="0.35">
      <c r="B61" s="40" t="s">
        <v>45</v>
      </c>
      <c r="C61" s="36"/>
      <c r="D61" s="41"/>
      <c r="E61" s="41"/>
      <c r="F61" s="41"/>
      <c r="G61" s="42"/>
      <c r="H61" s="43"/>
      <c r="J61" s="52"/>
      <c r="L61" s="45"/>
    </row>
    <row r="62" spans="2:12" x14ac:dyDescent="0.35">
      <c r="B62" s="35" t="s">
        <v>46</v>
      </c>
      <c r="C62" s="36">
        <f>+[1]DCDC!B19</f>
        <v>7</v>
      </c>
      <c r="D62" s="41">
        <f>+[1]DCDC!C19</f>
        <v>287.39999999999998</v>
      </c>
      <c r="E62" s="41">
        <f>+[1]DCDC!C35</f>
        <v>115</v>
      </c>
      <c r="F62" s="41">
        <f>+[1]DCDC!C44</f>
        <v>0</v>
      </c>
      <c r="G62" s="42">
        <f>-33.5-6.4</f>
        <v>-39.9</v>
      </c>
      <c r="H62" s="43">
        <f>+D62+E62+F62+G62</f>
        <v>362.5</v>
      </c>
      <c r="J62" s="52">
        <f>+[1]DCDC!E46</f>
        <v>493.5</v>
      </c>
      <c r="L62" s="45"/>
    </row>
    <row r="63" spans="2:12" x14ac:dyDescent="0.35">
      <c r="B63" s="35" t="s">
        <v>47</v>
      </c>
      <c r="C63" s="36">
        <f>+[1]PRDO!B20</f>
        <v>14</v>
      </c>
      <c r="D63" s="41">
        <f>+[1]PRDO!C20</f>
        <v>383.79999999999995</v>
      </c>
      <c r="E63" s="41">
        <f>+[1]PRDO!C29</f>
        <v>203</v>
      </c>
      <c r="F63" s="41">
        <f>+[1]PRDO!C38</f>
        <v>0</v>
      </c>
      <c r="G63" s="42">
        <v>0</v>
      </c>
      <c r="H63" s="43">
        <f>+D63+E63+F63+G63</f>
        <v>586.79999999999995</v>
      </c>
      <c r="J63" s="52">
        <f>+[1]PRDO!E40</f>
        <v>566.20000000000005</v>
      </c>
      <c r="L63" s="45"/>
    </row>
    <row r="64" spans="2:12" x14ac:dyDescent="0.35">
      <c r="B64" s="40" t="s">
        <v>11</v>
      </c>
      <c r="C64" s="46">
        <f t="shared" ref="C64:H64" si="8">SUM(C62:C63)</f>
        <v>21</v>
      </c>
      <c r="D64" s="47">
        <f t="shared" si="8"/>
        <v>671.19999999999993</v>
      </c>
      <c r="E64" s="47">
        <f t="shared" si="8"/>
        <v>318</v>
      </c>
      <c r="F64" s="47">
        <f t="shared" si="8"/>
        <v>0</v>
      </c>
      <c r="G64" s="47">
        <f t="shared" si="8"/>
        <v>-39.9</v>
      </c>
      <c r="H64" s="48">
        <f t="shared" si="8"/>
        <v>949.3</v>
      </c>
      <c r="J64" s="49">
        <f>SUM(J62:J63)</f>
        <v>1059.7</v>
      </c>
      <c r="L64" s="50">
        <f>SUM(L62:L63)</f>
        <v>0</v>
      </c>
    </row>
    <row r="65" spans="2:12" x14ac:dyDescent="0.35">
      <c r="B65" s="40"/>
      <c r="C65" s="36"/>
      <c r="D65" s="41"/>
      <c r="E65" s="41"/>
      <c r="F65" s="41"/>
      <c r="G65" s="42"/>
      <c r="H65" s="43"/>
      <c r="J65" s="51"/>
      <c r="L65" s="45"/>
    </row>
    <row r="66" spans="2:12" x14ac:dyDescent="0.35">
      <c r="B66" s="40"/>
      <c r="C66" s="36"/>
      <c r="D66" s="41"/>
      <c r="E66" s="41"/>
      <c r="F66" s="41"/>
      <c r="G66" s="42"/>
      <c r="H66" s="43"/>
      <c r="J66" s="51"/>
      <c r="L66" s="45"/>
    </row>
    <row r="67" spans="2:12" x14ac:dyDescent="0.35">
      <c r="B67" s="40" t="s">
        <v>48</v>
      </c>
      <c r="C67" s="36"/>
      <c r="D67" s="41"/>
      <c r="E67" s="41"/>
      <c r="F67" s="41"/>
      <c r="G67" s="42"/>
      <c r="H67" s="43"/>
      <c r="J67" s="52"/>
      <c r="L67" s="45"/>
    </row>
    <row r="68" spans="2:12" x14ac:dyDescent="0.35">
      <c r="B68" s="35" t="s">
        <v>49</v>
      </c>
      <c r="C68" s="36">
        <f>+[1]RESERVES!B20</f>
        <v>0</v>
      </c>
      <c r="D68" s="41">
        <f>+[1]RESERVES!C20</f>
        <v>172.40559999999999</v>
      </c>
      <c r="E68" s="41">
        <f>+[1]RESERVES!C27</f>
        <v>95</v>
      </c>
      <c r="F68" s="41">
        <v>0</v>
      </c>
      <c r="G68" s="42">
        <v>0</v>
      </c>
      <c r="H68" s="43">
        <f>+D68+E68+F68+G68</f>
        <v>267.40559999999999</v>
      </c>
      <c r="J68" s="52">
        <f>+[1]RESERVES!E20+[1]RESERVES!E27</f>
        <v>488</v>
      </c>
      <c r="L68" s="45"/>
    </row>
    <row r="69" spans="2:12" x14ac:dyDescent="0.35">
      <c r="B69" s="35" t="s">
        <v>50</v>
      </c>
      <c r="C69" s="36">
        <f>+[1]RESERVES!B39</f>
        <v>0</v>
      </c>
      <c r="D69" s="41">
        <v>0</v>
      </c>
      <c r="E69" s="41">
        <f>+[1]RESERVES!C39</f>
        <v>1110</v>
      </c>
      <c r="F69" s="41">
        <v>0</v>
      </c>
      <c r="G69" s="42">
        <v>0</v>
      </c>
      <c r="H69" s="43">
        <f>+D69+E69+F69+G69</f>
        <v>1110</v>
      </c>
      <c r="J69" s="52">
        <v>0</v>
      </c>
      <c r="L69" s="45"/>
    </row>
    <row r="70" spans="2:12" x14ac:dyDescent="0.35">
      <c r="B70" s="35" t="s">
        <v>51</v>
      </c>
      <c r="C70" s="36">
        <f>+[1]RESERVES!B47</f>
        <v>3</v>
      </c>
      <c r="D70" s="41">
        <f>+[1]RESERVES!C47</f>
        <v>45</v>
      </c>
      <c r="E70" s="41">
        <f>+[1]RESERVES!C55</f>
        <v>65.5</v>
      </c>
      <c r="F70" s="41">
        <v>0</v>
      </c>
      <c r="G70" s="42">
        <v>0</v>
      </c>
      <c r="H70" s="43">
        <f>+D70+E70+F70+G70</f>
        <v>110.5</v>
      </c>
      <c r="J70" s="52">
        <v>0</v>
      </c>
      <c r="L70" s="45"/>
    </row>
    <row r="71" spans="2:12" x14ac:dyDescent="0.35">
      <c r="B71" s="40" t="s">
        <v>11</v>
      </c>
      <c r="C71" s="46">
        <f t="shared" ref="C71:H71" si="9">SUM(C68:C70)</f>
        <v>3</v>
      </c>
      <c r="D71" s="47">
        <f t="shared" si="9"/>
        <v>217.40559999999999</v>
      </c>
      <c r="E71" s="47">
        <f t="shared" si="9"/>
        <v>1270.5</v>
      </c>
      <c r="F71" s="47">
        <f t="shared" si="9"/>
        <v>0</v>
      </c>
      <c r="G71" s="47">
        <f t="shared" si="9"/>
        <v>0</v>
      </c>
      <c r="H71" s="48">
        <f t="shared" si="9"/>
        <v>1487.9056</v>
      </c>
      <c r="J71" s="49">
        <f>SUM(J68:J70)</f>
        <v>488</v>
      </c>
      <c r="L71" s="50">
        <f>SUM(L68:L68)</f>
        <v>0</v>
      </c>
    </row>
    <row r="72" spans="2:12" x14ac:dyDescent="0.35">
      <c r="B72" s="35"/>
      <c r="C72" s="36"/>
      <c r="D72" s="41"/>
      <c r="E72" s="41"/>
      <c r="F72" s="41"/>
      <c r="G72" s="42"/>
      <c r="H72" s="43"/>
      <c r="J72" s="49"/>
      <c r="L72" s="45"/>
    </row>
    <row r="73" spans="2:12" x14ac:dyDescent="0.35">
      <c r="B73" s="40" t="s">
        <v>52</v>
      </c>
      <c r="C73" s="46">
        <f t="shared" ref="C73:H73" si="10">+C15+C20+C27+C36+C40+C53+C64+C71</f>
        <v>128.86000000000001</v>
      </c>
      <c r="D73" s="47">
        <f t="shared" si="10"/>
        <v>4017.9056</v>
      </c>
      <c r="E73" s="47">
        <f t="shared" si="10"/>
        <v>6805.6352999999999</v>
      </c>
      <c r="F73" s="47">
        <f t="shared" si="10"/>
        <v>-110</v>
      </c>
      <c r="G73" s="47">
        <f t="shared" si="10"/>
        <v>-284.02999999999997</v>
      </c>
      <c r="H73" s="48">
        <f t="shared" si="10"/>
        <v>10429.510899999999</v>
      </c>
      <c r="J73" s="49">
        <f>+J15+J20+J27+J36+J40+J53+J64+J71</f>
        <v>9158.5000000000018</v>
      </c>
      <c r="L73" s="50" t="e">
        <f>+L15+L20+L27+L36+L40+#REF!+L53+#REF!+L64+#REF!+L71</f>
        <v>#REF!</v>
      </c>
    </row>
    <row r="74" spans="2:12" x14ac:dyDescent="0.35">
      <c r="B74" s="35"/>
      <c r="C74" s="36"/>
      <c r="D74" s="41"/>
      <c r="E74" s="41"/>
      <c r="F74" s="41"/>
      <c r="G74" s="42"/>
      <c r="H74" s="43"/>
      <c r="J74" s="51"/>
      <c r="L74" s="45"/>
    </row>
    <row r="75" spans="2:12" x14ac:dyDescent="0.35">
      <c r="B75" s="40" t="s">
        <v>53</v>
      </c>
      <c r="C75" s="36"/>
      <c r="D75" s="41"/>
      <c r="E75" s="41"/>
      <c r="F75" s="41"/>
      <c r="G75" s="42"/>
      <c r="H75" s="43"/>
      <c r="J75" s="52"/>
      <c r="L75" s="45"/>
    </row>
    <row r="76" spans="2:12" x14ac:dyDescent="0.35">
      <c r="B76" s="35"/>
      <c r="C76" s="36"/>
      <c r="D76" s="41"/>
      <c r="E76" s="41"/>
      <c r="F76" s="41"/>
      <c r="G76" s="42"/>
      <c r="H76" s="43"/>
      <c r="J76" s="52"/>
      <c r="L76" s="45"/>
    </row>
    <row r="77" spans="2:12" x14ac:dyDescent="0.35">
      <c r="B77" s="35" t="s">
        <v>54</v>
      </c>
      <c r="C77" s="36">
        <f>+[1]EBEB!B16</f>
        <v>0</v>
      </c>
      <c r="D77" s="41">
        <f>+[1]EBEB!C16</f>
        <v>0</v>
      </c>
      <c r="E77" s="41">
        <f>+[1]EBEB!C27</f>
        <v>801.6</v>
      </c>
      <c r="F77" s="41">
        <f>+[1]EBEB!C36</f>
        <v>0</v>
      </c>
      <c r="G77" s="42">
        <v>-16</v>
      </c>
      <c r="H77" s="43">
        <f>+D77+E77+F77+G77</f>
        <v>785.6</v>
      </c>
      <c r="J77" s="52">
        <f>+[1]EBEB!E38</f>
        <v>674</v>
      </c>
      <c r="L77" s="45"/>
    </row>
    <row r="78" spans="2:12" x14ac:dyDescent="0.35">
      <c r="B78" s="35"/>
      <c r="C78" s="36"/>
      <c r="D78" s="41"/>
      <c r="E78" s="41"/>
      <c r="F78" s="41"/>
      <c r="G78" s="42"/>
      <c r="H78" s="43"/>
      <c r="J78" s="52"/>
      <c r="L78" s="45"/>
    </row>
    <row r="79" spans="2:12" x14ac:dyDescent="0.35">
      <c r="B79" s="35" t="s">
        <v>55</v>
      </c>
      <c r="C79" s="36">
        <f>+[1]OPDR!B19</f>
        <v>2.5</v>
      </c>
      <c r="D79" s="41">
        <f>+[1]OPDR!C19</f>
        <v>48.3</v>
      </c>
      <c r="E79" s="41">
        <f>+[1]OPDR!C34</f>
        <v>223.7</v>
      </c>
      <c r="F79" s="41">
        <f>+[1]OPDR!C43</f>
        <v>0</v>
      </c>
      <c r="G79" s="42">
        <v>-6.9</v>
      </c>
      <c r="H79" s="43">
        <f>+D79+E79+F79+G79</f>
        <v>265.10000000000002</v>
      </c>
      <c r="J79" s="52">
        <f>+[1]OPDR!E45</f>
        <v>282.7</v>
      </c>
      <c r="L79" s="45"/>
    </row>
    <row r="80" spans="2:12" x14ac:dyDescent="0.35">
      <c r="B80" s="35"/>
      <c r="C80" s="36"/>
      <c r="D80" s="41"/>
      <c r="E80" s="41"/>
      <c r="F80" s="41"/>
      <c r="G80" s="42"/>
      <c r="H80" s="43"/>
      <c r="J80" s="52"/>
      <c r="L80" s="45"/>
    </row>
    <row r="81" spans="2:12" x14ac:dyDescent="0.35">
      <c r="B81" s="40" t="s">
        <v>56</v>
      </c>
      <c r="C81" s="46">
        <f t="shared" ref="C81:H81" si="11">+C77+C79</f>
        <v>2.5</v>
      </c>
      <c r="D81" s="47">
        <f t="shared" si="11"/>
        <v>48.3</v>
      </c>
      <c r="E81" s="47">
        <f t="shared" si="11"/>
        <v>1025.3</v>
      </c>
      <c r="F81" s="47">
        <f t="shared" si="11"/>
        <v>0</v>
      </c>
      <c r="G81" s="47">
        <f t="shared" si="11"/>
        <v>-22.9</v>
      </c>
      <c r="H81" s="48">
        <f t="shared" si="11"/>
        <v>1050.7</v>
      </c>
      <c r="J81" s="49">
        <f>+J77+J79</f>
        <v>956.7</v>
      </c>
      <c r="L81" s="50" t="e">
        <f>+L77+L79+#REF!</f>
        <v>#REF!</v>
      </c>
    </row>
    <row r="82" spans="2:12" x14ac:dyDescent="0.35">
      <c r="B82" s="35"/>
      <c r="C82" s="36"/>
      <c r="D82" s="41"/>
      <c r="E82" s="41"/>
      <c r="F82" s="41"/>
      <c r="G82" s="42"/>
      <c r="H82" s="43"/>
      <c r="J82" s="49"/>
      <c r="L82" s="45"/>
    </row>
    <row r="83" spans="2:12" x14ac:dyDescent="0.35">
      <c r="B83" s="40" t="s">
        <v>57</v>
      </c>
      <c r="C83" s="46">
        <f t="shared" ref="C83:H83" si="12">+C73+C81</f>
        <v>131.36000000000001</v>
      </c>
      <c r="D83" s="47">
        <f t="shared" si="12"/>
        <v>4066.2056000000002</v>
      </c>
      <c r="E83" s="47">
        <f t="shared" si="12"/>
        <v>7830.9353000000001</v>
      </c>
      <c r="F83" s="47">
        <f t="shared" si="12"/>
        <v>-110</v>
      </c>
      <c r="G83" s="47">
        <f t="shared" si="12"/>
        <v>-306.92999999999995</v>
      </c>
      <c r="H83" s="48">
        <f t="shared" si="12"/>
        <v>11480.2109</v>
      </c>
      <c r="J83" s="49">
        <f>+J73+J81</f>
        <v>10115.200000000003</v>
      </c>
      <c r="L83" s="50" t="e">
        <f>+L73+L81</f>
        <v>#REF!</v>
      </c>
    </row>
    <row r="84" spans="2:12" ht="18.5" thickBot="1" x14ac:dyDescent="0.4">
      <c r="B84" s="82"/>
      <c r="C84" s="63"/>
      <c r="D84" s="83"/>
      <c r="E84" s="83"/>
      <c r="F84" s="83"/>
      <c r="G84" s="84"/>
      <c r="H84" s="85"/>
      <c r="J84" s="86"/>
      <c r="L84" s="68"/>
    </row>
    <row r="85" spans="2:12" x14ac:dyDescent="0.35">
      <c r="B85" s="69"/>
      <c r="C85" s="70"/>
      <c r="D85" s="57"/>
      <c r="E85" s="57"/>
      <c r="F85" s="57"/>
      <c r="G85" s="57"/>
      <c r="H85" s="57"/>
      <c r="J85" s="87"/>
      <c r="L85" s="57"/>
    </row>
    <row r="86" spans="2:12" x14ac:dyDescent="0.35">
      <c r="B86" s="88" t="s">
        <v>58</v>
      </c>
      <c r="C86" s="89"/>
    </row>
    <row r="87" spans="2:12" x14ac:dyDescent="0.35">
      <c r="C87" s="89"/>
    </row>
    <row r="88" spans="2:12" x14ac:dyDescent="0.35">
      <c r="C88" s="89"/>
    </row>
    <row r="89" spans="2:12" x14ac:dyDescent="0.35">
      <c r="B89" s="5" t="s">
        <v>59</v>
      </c>
      <c r="C89" s="89"/>
    </row>
    <row r="90" spans="2:12" ht="18.5" thickBot="1" x14ac:dyDescent="0.4">
      <c r="B90" s="5"/>
      <c r="C90" s="89"/>
    </row>
    <row r="91" spans="2:12" x14ac:dyDescent="0.35">
      <c r="B91" s="23"/>
      <c r="C91" s="90"/>
      <c r="D91" s="91"/>
      <c r="E91" s="91"/>
      <c r="F91" s="92" t="s">
        <v>60</v>
      </c>
      <c r="G91" s="93" t="s">
        <v>61</v>
      </c>
      <c r="H91" s="10" t="s">
        <v>11</v>
      </c>
      <c r="J91" s="10" t="s">
        <v>62</v>
      </c>
    </row>
    <row r="92" spans="2:12" ht="18.5" thickBot="1" x14ac:dyDescent="0.4">
      <c r="B92" s="35"/>
      <c r="C92" s="87"/>
      <c r="D92" s="57"/>
      <c r="E92" s="57"/>
      <c r="F92" s="94" t="s">
        <v>14</v>
      </c>
      <c r="G92" s="21" t="s">
        <v>14</v>
      </c>
      <c r="H92" s="95" t="s">
        <v>14</v>
      </c>
      <c r="J92" s="95" t="s">
        <v>14</v>
      </c>
    </row>
    <row r="93" spans="2:12" x14ac:dyDescent="0.35">
      <c r="B93" s="35"/>
      <c r="C93" s="87"/>
      <c r="D93" s="57"/>
      <c r="E93" s="57"/>
      <c r="F93" s="96"/>
      <c r="G93" s="39"/>
      <c r="H93" s="29"/>
      <c r="J93" s="29"/>
    </row>
    <row r="94" spans="2:12" x14ac:dyDescent="0.35">
      <c r="B94" s="35" t="s">
        <v>63</v>
      </c>
      <c r="C94" s="87"/>
      <c r="D94" s="57"/>
      <c r="E94" s="57"/>
      <c r="F94" s="97">
        <f>+($H$73+$H$77-120)*0.863</f>
        <v>9575.0807066999987</v>
      </c>
      <c r="G94" s="98">
        <f>+$H$79*0.863</f>
        <v>228.78130000000002</v>
      </c>
      <c r="H94" s="99">
        <f>+F94+G94</f>
        <v>9803.8620066999993</v>
      </c>
      <c r="J94" s="29">
        <v>0</v>
      </c>
      <c r="K94" s="3"/>
    </row>
    <row r="95" spans="2:12" x14ac:dyDescent="0.35">
      <c r="B95" s="35" t="s">
        <v>64</v>
      </c>
      <c r="C95" s="87"/>
      <c r="D95" s="57"/>
      <c r="E95" s="57"/>
      <c r="F95" s="97">
        <f>+($H$73+$H$77-120)*0.075</f>
        <v>832.13331749999998</v>
      </c>
      <c r="G95" s="98">
        <f>+$H$79*0.075</f>
        <v>19.8825</v>
      </c>
      <c r="H95" s="99">
        <f>+F95+G95</f>
        <v>852.01581750000003</v>
      </c>
      <c r="J95" s="29">
        <v>0</v>
      </c>
    </row>
    <row r="96" spans="2:12" x14ac:dyDescent="0.35">
      <c r="B96" s="35" t="s">
        <v>65</v>
      </c>
      <c r="C96" s="87"/>
      <c r="D96" s="57"/>
      <c r="E96" s="57"/>
      <c r="F96" s="97">
        <f>+($H$73+$H$77-120)*0.041</f>
        <v>454.89954690000002</v>
      </c>
      <c r="G96" s="98">
        <f>+$H$79*0.041</f>
        <v>10.869100000000001</v>
      </c>
      <c r="H96" s="99">
        <f>+F96+G96</f>
        <v>465.76864690000002</v>
      </c>
      <c r="J96" s="29">
        <v>0</v>
      </c>
    </row>
    <row r="97" spans="1:10" x14ac:dyDescent="0.35">
      <c r="B97" s="35" t="s">
        <v>66</v>
      </c>
      <c r="C97" s="87"/>
      <c r="D97" s="57"/>
      <c r="E97" s="57"/>
      <c r="F97" s="97">
        <f>+($H$73+$H$77-120)*0.021</f>
        <v>232.99732890000001</v>
      </c>
      <c r="G97" s="98">
        <f>+$H$79*0.021</f>
        <v>5.5671000000000008</v>
      </c>
      <c r="H97" s="99">
        <f>+F97+G97</f>
        <v>238.56442890000002</v>
      </c>
      <c r="J97" s="29">
        <v>0</v>
      </c>
    </row>
    <row r="98" spans="1:10" x14ac:dyDescent="0.35">
      <c r="B98" s="35"/>
      <c r="C98" s="87"/>
      <c r="D98" s="57"/>
      <c r="E98" s="57"/>
      <c r="F98" s="97"/>
      <c r="G98" s="98"/>
      <c r="H98" s="99"/>
      <c r="J98" s="29"/>
    </row>
    <row r="99" spans="1:10" x14ac:dyDescent="0.35">
      <c r="B99" s="35" t="s">
        <v>67</v>
      </c>
      <c r="C99" s="87"/>
      <c r="D99" s="57"/>
      <c r="E99" s="57"/>
      <c r="F99" s="97">
        <v>120</v>
      </c>
      <c r="G99" s="98">
        <v>0</v>
      </c>
      <c r="H99" s="99">
        <f>+F99+G99</f>
        <v>120</v>
      </c>
      <c r="J99" s="29">
        <v>0</v>
      </c>
    </row>
    <row r="100" spans="1:10" x14ac:dyDescent="0.35">
      <c r="B100" s="35"/>
      <c r="C100" s="87"/>
      <c r="D100" s="57"/>
      <c r="E100" s="57"/>
      <c r="F100" s="100"/>
      <c r="G100" s="101"/>
      <c r="H100" s="102"/>
      <c r="J100" s="29"/>
    </row>
    <row r="101" spans="1:10" x14ac:dyDescent="0.35">
      <c r="B101" s="40" t="s">
        <v>11</v>
      </c>
      <c r="C101" s="87"/>
      <c r="D101" s="57"/>
      <c r="E101" s="57"/>
      <c r="F101" s="103">
        <f>+SUM(F94:F100)</f>
        <v>11215.1109</v>
      </c>
      <c r="G101" s="104">
        <f>+SUM(G94:G100)</f>
        <v>265.09999999999997</v>
      </c>
      <c r="H101" s="105">
        <f>+SUM(H94:H100)</f>
        <v>11480.210899999998</v>
      </c>
      <c r="J101" s="106">
        <f>+SUM(J94:J100)</f>
        <v>0</v>
      </c>
    </row>
    <row r="102" spans="1:10" ht="18.5" thickBot="1" x14ac:dyDescent="0.4">
      <c r="B102" s="82"/>
      <c r="C102" s="107"/>
      <c r="D102" s="108"/>
      <c r="E102" s="109"/>
      <c r="F102" s="110"/>
      <c r="G102" s="111"/>
      <c r="H102" s="112"/>
      <c r="J102" s="112"/>
    </row>
    <row r="103" spans="1:10" x14ac:dyDescent="0.35">
      <c r="C103" s="89"/>
    </row>
    <row r="104" spans="1:10" x14ac:dyDescent="0.35">
      <c r="C104" s="89"/>
    </row>
    <row r="105" spans="1:10" x14ac:dyDescent="0.35">
      <c r="C105" s="89"/>
    </row>
    <row r="106" spans="1:10" x14ac:dyDescent="0.35">
      <c r="C106" s="89"/>
    </row>
    <row r="107" spans="1:10" x14ac:dyDescent="0.35">
      <c r="C107" s="89"/>
    </row>
    <row r="108" spans="1:10" x14ac:dyDescent="0.35">
      <c r="A108" s="113"/>
      <c r="C108" s="89"/>
    </row>
    <row r="109" spans="1:10" x14ac:dyDescent="0.35">
      <c r="A109" s="113"/>
      <c r="C109" s="89"/>
    </row>
    <row r="110" spans="1:10" x14ac:dyDescent="0.35">
      <c r="A110" s="113"/>
      <c r="C110" s="89"/>
    </row>
    <row r="111" spans="1:10" x14ac:dyDescent="0.35">
      <c r="A111" s="113"/>
      <c r="C111" s="89"/>
    </row>
    <row r="112" spans="1:10" x14ac:dyDescent="0.35">
      <c r="A112" s="113"/>
      <c r="C112" s="89"/>
    </row>
    <row r="113" spans="1:3" x14ac:dyDescent="0.35">
      <c r="A113" s="113"/>
      <c r="C113" s="89"/>
    </row>
    <row r="114" spans="1:3" x14ac:dyDescent="0.35">
      <c r="A114" s="113"/>
      <c r="C114" s="89"/>
    </row>
    <row r="115" spans="1:3" x14ac:dyDescent="0.35">
      <c r="A115" s="113"/>
      <c r="C115" s="89"/>
    </row>
    <row r="116" spans="1:3" x14ac:dyDescent="0.35">
      <c r="A116" s="113"/>
      <c r="C116" s="89"/>
    </row>
    <row r="117" spans="1:3" x14ac:dyDescent="0.35">
      <c r="C117" s="89"/>
    </row>
    <row r="118" spans="1:3" x14ac:dyDescent="0.35">
      <c r="C118" s="89"/>
    </row>
    <row r="119" spans="1:3" x14ac:dyDescent="0.35">
      <c r="C119" s="89"/>
    </row>
    <row r="120" spans="1:3" x14ac:dyDescent="0.35">
      <c r="C120" s="89"/>
    </row>
    <row r="121" spans="1:3" x14ac:dyDescent="0.35">
      <c r="C121" s="89"/>
    </row>
    <row r="122" spans="1:3" x14ac:dyDescent="0.35">
      <c r="C122" s="89"/>
    </row>
    <row r="123" spans="1:3" x14ac:dyDescent="0.35">
      <c r="C123" s="89"/>
    </row>
    <row r="124" spans="1:3" x14ac:dyDescent="0.35">
      <c r="C124" s="89"/>
    </row>
    <row r="125" spans="1:3" x14ac:dyDescent="0.35">
      <c r="C125" s="89"/>
    </row>
    <row r="126" spans="1:3" x14ac:dyDescent="0.35">
      <c r="C126" s="89"/>
    </row>
    <row r="127" spans="1:3" x14ac:dyDescent="0.35">
      <c r="C127" s="89"/>
    </row>
    <row r="128" spans="1:3" x14ac:dyDescent="0.35">
      <c r="C128" s="89"/>
    </row>
    <row r="129" spans="3:3" x14ac:dyDescent="0.35">
      <c r="C129" s="89"/>
    </row>
    <row r="130" spans="3:3" x14ac:dyDescent="0.35">
      <c r="C130" s="89"/>
    </row>
    <row r="131" spans="3:3" x14ac:dyDescent="0.35">
      <c r="C131" s="89"/>
    </row>
    <row r="132" spans="3:3" x14ac:dyDescent="0.35">
      <c r="C132" s="89"/>
    </row>
    <row r="133" spans="3:3" x14ac:dyDescent="0.35">
      <c r="C133" s="89"/>
    </row>
    <row r="134" spans="3:3" x14ac:dyDescent="0.35">
      <c r="C134" s="89"/>
    </row>
    <row r="135" spans="3:3" x14ac:dyDescent="0.35">
      <c r="C135" s="89"/>
    </row>
    <row r="136" spans="3:3" x14ac:dyDescent="0.35">
      <c r="C136" s="89"/>
    </row>
    <row r="137" spans="3:3" x14ac:dyDescent="0.35">
      <c r="C137" s="89"/>
    </row>
    <row r="138" spans="3:3" x14ac:dyDescent="0.35">
      <c r="C138" s="89"/>
    </row>
    <row r="139" spans="3:3" x14ac:dyDescent="0.35">
      <c r="C139" s="89"/>
    </row>
    <row r="140" spans="3:3" x14ac:dyDescent="0.35">
      <c r="C140" s="89"/>
    </row>
    <row r="141" spans="3:3" x14ac:dyDescent="0.35">
      <c r="C141" s="89"/>
    </row>
    <row r="142" spans="3:3" x14ac:dyDescent="0.35">
      <c r="C142" s="89"/>
    </row>
    <row r="143" spans="3:3" x14ac:dyDescent="0.35">
      <c r="C143" s="89"/>
    </row>
    <row r="144" spans="3:3" x14ac:dyDescent="0.35">
      <c r="C144" s="89"/>
    </row>
    <row r="145" spans="3:3" x14ac:dyDescent="0.35">
      <c r="C145" s="89"/>
    </row>
    <row r="146" spans="3:3" x14ac:dyDescent="0.35">
      <c r="C146" s="89"/>
    </row>
    <row r="147" spans="3:3" x14ac:dyDescent="0.35">
      <c r="C147" s="89"/>
    </row>
    <row r="148" spans="3:3" x14ac:dyDescent="0.35">
      <c r="C148" s="89"/>
    </row>
    <row r="149" spans="3:3" x14ac:dyDescent="0.35">
      <c r="C149" s="89"/>
    </row>
    <row r="150" spans="3:3" x14ac:dyDescent="0.35">
      <c r="C150" s="89"/>
    </row>
    <row r="151" spans="3:3" x14ac:dyDescent="0.35">
      <c r="C151" s="89"/>
    </row>
    <row r="152" spans="3:3" x14ac:dyDescent="0.35">
      <c r="C152" s="89"/>
    </row>
    <row r="153" spans="3:3" x14ac:dyDescent="0.35">
      <c r="C153" s="89"/>
    </row>
    <row r="154" spans="3:3" x14ac:dyDescent="0.35">
      <c r="C154" s="89"/>
    </row>
    <row r="155" spans="3:3" x14ac:dyDescent="0.35">
      <c r="C155" s="89"/>
    </row>
    <row r="156" spans="3:3" x14ac:dyDescent="0.35">
      <c r="C156" s="89"/>
    </row>
    <row r="157" spans="3:3" x14ac:dyDescent="0.35">
      <c r="C157" s="89"/>
    </row>
    <row r="158" spans="3:3" x14ac:dyDescent="0.35">
      <c r="C158" s="89"/>
    </row>
    <row r="159" spans="3:3" x14ac:dyDescent="0.35">
      <c r="C159" s="89"/>
    </row>
    <row r="160" spans="3:3" x14ac:dyDescent="0.35">
      <c r="C160" s="89"/>
    </row>
    <row r="161" spans="3:3" x14ac:dyDescent="0.35">
      <c r="C161" s="89"/>
    </row>
    <row r="162" spans="3:3" x14ac:dyDescent="0.35">
      <c r="C162" s="89"/>
    </row>
    <row r="163" spans="3:3" x14ac:dyDescent="0.35">
      <c r="C163" s="89"/>
    </row>
    <row r="164" spans="3:3" x14ac:dyDescent="0.35">
      <c r="C164" s="89"/>
    </row>
    <row r="165" spans="3:3" x14ac:dyDescent="0.35">
      <c r="C165" s="89"/>
    </row>
    <row r="166" spans="3:3" x14ac:dyDescent="0.35">
      <c r="C166" s="89"/>
    </row>
    <row r="167" spans="3:3" x14ac:dyDescent="0.35">
      <c r="C167" s="89"/>
    </row>
    <row r="168" spans="3:3" x14ac:dyDescent="0.35">
      <c r="C168" s="89"/>
    </row>
    <row r="169" spans="3:3" x14ac:dyDescent="0.35">
      <c r="C169" s="89"/>
    </row>
    <row r="170" spans="3:3" x14ac:dyDescent="0.35">
      <c r="C170" s="89"/>
    </row>
    <row r="171" spans="3:3" x14ac:dyDescent="0.35">
      <c r="C171" s="89"/>
    </row>
    <row r="172" spans="3:3" x14ac:dyDescent="0.35">
      <c r="C172" s="89"/>
    </row>
    <row r="173" spans="3:3" x14ac:dyDescent="0.35">
      <c r="C173" s="89"/>
    </row>
    <row r="174" spans="3:3" x14ac:dyDescent="0.35">
      <c r="C174" s="89"/>
    </row>
    <row r="175" spans="3:3" x14ac:dyDescent="0.35">
      <c r="C175" s="89"/>
    </row>
    <row r="176" spans="3:3" x14ac:dyDescent="0.35">
      <c r="C176" s="89"/>
    </row>
    <row r="177" spans="3:3" x14ac:dyDescent="0.35">
      <c r="C177" s="89"/>
    </row>
    <row r="178" spans="3:3" x14ac:dyDescent="0.35">
      <c r="C178" s="89"/>
    </row>
    <row r="179" spans="3:3" x14ac:dyDescent="0.35">
      <c r="C179" s="89"/>
    </row>
    <row r="180" spans="3:3" x14ac:dyDescent="0.35">
      <c r="C180" s="89"/>
    </row>
    <row r="181" spans="3:3" x14ac:dyDescent="0.35">
      <c r="C181" s="89"/>
    </row>
    <row r="182" spans="3:3" x14ac:dyDescent="0.35">
      <c r="C182" s="89"/>
    </row>
    <row r="183" spans="3:3" x14ac:dyDescent="0.35">
      <c r="C183" s="89"/>
    </row>
    <row r="184" spans="3:3" x14ac:dyDescent="0.35">
      <c r="C184" s="89"/>
    </row>
    <row r="185" spans="3:3" x14ac:dyDescent="0.35">
      <c r="C185" s="89"/>
    </row>
    <row r="186" spans="3:3" x14ac:dyDescent="0.35">
      <c r="C186" s="89"/>
    </row>
    <row r="187" spans="3:3" x14ac:dyDescent="0.35">
      <c r="C187" s="89"/>
    </row>
    <row r="188" spans="3:3" x14ac:dyDescent="0.35">
      <c r="C188" s="89"/>
    </row>
    <row r="189" spans="3:3" x14ac:dyDescent="0.35">
      <c r="C189" s="89"/>
    </row>
    <row r="190" spans="3:3" x14ac:dyDescent="0.35">
      <c r="C190" s="89"/>
    </row>
    <row r="191" spans="3:3" x14ac:dyDescent="0.35">
      <c r="C191" s="89"/>
    </row>
    <row r="192" spans="3:3" x14ac:dyDescent="0.35">
      <c r="C192" s="89"/>
    </row>
    <row r="193" spans="3:3" x14ac:dyDescent="0.35">
      <c r="C193" s="89"/>
    </row>
    <row r="194" spans="3:3" x14ac:dyDescent="0.35">
      <c r="C194" s="89"/>
    </row>
    <row r="195" spans="3:3" x14ac:dyDescent="0.35">
      <c r="C195" s="89"/>
    </row>
    <row r="196" spans="3:3" x14ac:dyDescent="0.35">
      <c r="C196" s="89"/>
    </row>
    <row r="197" spans="3:3" x14ac:dyDescent="0.35">
      <c r="C197" s="89"/>
    </row>
    <row r="198" spans="3:3" x14ac:dyDescent="0.35">
      <c r="C198" s="89"/>
    </row>
    <row r="199" spans="3:3" x14ac:dyDescent="0.35">
      <c r="C199" s="89"/>
    </row>
    <row r="200" spans="3:3" x14ac:dyDescent="0.35">
      <c r="C200" s="89"/>
    </row>
    <row r="201" spans="3:3" x14ac:dyDescent="0.35">
      <c r="C201" s="89"/>
    </row>
    <row r="202" spans="3:3" x14ac:dyDescent="0.35">
      <c r="C202" s="89"/>
    </row>
    <row r="203" spans="3:3" x14ac:dyDescent="0.35">
      <c r="C203" s="89"/>
    </row>
    <row r="204" spans="3:3" x14ac:dyDescent="0.35">
      <c r="C204" s="89"/>
    </row>
    <row r="205" spans="3:3" x14ac:dyDescent="0.35">
      <c r="C205" s="89"/>
    </row>
    <row r="206" spans="3:3" x14ac:dyDescent="0.35">
      <c r="C206" s="89"/>
    </row>
    <row r="207" spans="3:3" x14ac:dyDescent="0.35">
      <c r="C207" s="89"/>
    </row>
    <row r="208" spans="3:3" x14ac:dyDescent="0.35">
      <c r="C208" s="89"/>
    </row>
    <row r="209" spans="3:3" x14ac:dyDescent="0.35">
      <c r="C209" s="89"/>
    </row>
    <row r="210" spans="3:3" x14ac:dyDescent="0.35">
      <c r="C210" s="89"/>
    </row>
    <row r="211" spans="3:3" x14ac:dyDescent="0.35">
      <c r="C211" s="89"/>
    </row>
    <row r="212" spans="3:3" x14ac:dyDescent="0.35">
      <c r="C212" s="89"/>
    </row>
    <row r="213" spans="3:3" x14ac:dyDescent="0.35">
      <c r="C213" s="89"/>
    </row>
    <row r="214" spans="3:3" x14ac:dyDescent="0.35">
      <c r="C214" s="89"/>
    </row>
    <row r="215" spans="3:3" x14ac:dyDescent="0.35">
      <c r="C215" s="89"/>
    </row>
    <row r="216" spans="3:3" x14ac:dyDescent="0.35">
      <c r="C216" s="89"/>
    </row>
    <row r="217" spans="3:3" x14ac:dyDescent="0.35">
      <c r="C217" s="89"/>
    </row>
    <row r="218" spans="3:3" x14ac:dyDescent="0.35">
      <c r="C218" s="89"/>
    </row>
    <row r="219" spans="3:3" x14ac:dyDescent="0.35">
      <c r="C219" s="89"/>
    </row>
    <row r="220" spans="3:3" x14ac:dyDescent="0.35">
      <c r="C220" s="89"/>
    </row>
    <row r="221" spans="3:3" x14ac:dyDescent="0.35">
      <c r="C221" s="89"/>
    </row>
    <row r="222" spans="3:3" x14ac:dyDescent="0.35">
      <c r="C222" s="89"/>
    </row>
    <row r="223" spans="3:3" x14ac:dyDescent="0.35">
      <c r="C223" s="89"/>
    </row>
    <row r="224" spans="3:3" x14ac:dyDescent="0.35">
      <c r="C224" s="89"/>
    </row>
    <row r="225" spans="3:3" x14ac:dyDescent="0.35">
      <c r="C225" s="89"/>
    </row>
    <row r="226" spans="3:3" x14ac:dyDescent="0.35">
      <c r="C226" s="89"/>
    </row>
    <row r="227" spans="3:3" x14ac:dyDescent="0.35">
      <c r="C227" s="89"/>
    </row>
    <row r="228" spans="3:3" x14ac:dyDescent="0.35">
      <c r="C228" s="89"/>
    </row>
    <row r="229" spans="3:3" x14ac:dyDescent="0.35">
      <c r="C229" s="89"/>
    </row>
    <row r="230" spans="3:3" x14ac:dyDescent="0.35">
      <c r="C230" s="89"/>
    </row>
    <row r="231" spans="3:3" x14ac:dyDescent="0.35">
      <c r="C231" s="89"/>
    </row>
    <row r="232" spans="3:3" x14ac:dyDescent="0.35">
      <c r="C232" s="89"/>
    </row>
    <row r="233" spans="3:3" x14ac:dyDescent="0.35">
      <c r="C233" s="89"/>
    </row>
    <row r="234" spans="3:3" x14ac:dyDescent="0.35">
      <c r="C234" s="89"/>
    </row>
    <row r="235" spans="3:3" x14ac:dyDescent="0.35">
      <c r="C235" s="89"/>
    </row>
    <row r="236" spans="3:3" x14ac:dyDescent="0.35">
      <c r="C236" s="89"/>
    </row>
    <row r="237" spans="3:3" x14ac:dyDescent="0.35">
      <c r="C237" s="89"/>
    </row>
    <row r="238" spans="3:3" x14ac:dyDescent="0.35">
      <c r="C238" s="89"/>
    </row>
    <row r="239" spans="3:3" x14ac:dyDescent="0.35">
      <c r="C239" s="89"/>
    </row>
    <row r="240" spans="3:3" x14ac:dyDescent="0.35">
      <c r="C240" s="89"/>
    </row>
    <row r="241" spans="3:3" x14ac:dyDescent="0.35">
      <c r="C241" s="89"/>
    </row>
    <row r="242" spans="3:3" x14ac:dyDescent="0.35">
      <c r="C242" s="89"/>
    </row>
    <row r="243" spans="3:3" x14ac:dyDescent="0.35">
      <c r="C243" s="89"/>
    </row>
    <row r="244" spans="3:3" x14ac:dyDescent="0.35">
      <c r="C244" s="89"/>
    </row>
    <row r="245" spans="3:3" x14ac:dyDescent="0.35">
      <c r="C245" s="89"/>
    </row>
    <row r="246" spans="3:3" x14ac:dyDescent="0.35">
      <c r="C246" s="89"/>
    </row>
    <row r="247" spans="3:3" x14ac:dyDescent="0.35">
      <c r="C247" s="89"/>
    </row>
    <row r="248" spans="3:3" x14ac:dyDescent="0.35">
      <c r="C248" s="89"/>
    </row>
    <row r="249" spans="3:3" x14ac:dyDescent="0.35">
      <c r="C249" s="89"/>
    </row>
    <row r="250" spans="3:3" x14ac:dyDescent="0.35">
      <c r="C250" s="89"/>
    </row>
    <row r="251" spans="3:3" x14ac:dyDescent="0.35">
      <c r="C251" s="89"/>
    </row>
    <row r="252" spans="3:3" x14ac:dyDescent="0.35">
      <c r="C252" s="89"/>
    </row>
    <row r="253" spans="3:3" x14ac:dyDescent="0.35">
      <c r="C253" s="89"/>
    </row>
    <row r="254" spans="3:3" x14ac:dyDescent="0.35">
      <c r="C254" s="89"/>
    </row>
    <row r="255" spans="3:3" x14ac:dyDescent="0.35">
      <c r="C255" s="89"/>
    </row>
    <row r="256" spans="3:3" x14ac:dyDescent="0.35">
      <c r="C256" s="89"/>
    </row>
    <row r="257" spans="3:3" x14ac:dyDescent="0.35">
      <c r="C257" s="89"/>
    </row>
    <row r="258" spans="3:3" x14ac:dyDescent="0.35">
      <c r="C258" s="89"/>
    </row>
    <row r="259" spans="3:3" x14ac:dyDescent="0.35">
      <c r="C259" s="89"/>
    </row>
    <row r="260" spans="3:3" x14ac:dyDescent="0.35">
      <c r="C260" s="89"/>
    </row>
    <row r="261" spans="3:3" x14ac:dyDescent="0.35">
      <c r="C261" s="89"/>
    </row>
    <row r="262" spans="3:3" x14ac:dyDescent="0.35">
      <c r="C262" s="89"/>
    </row>
    <row r="263" spans="3:3" x14ac:dyDescent="0.35">
      <c r="C263" s="89"/>
    </row>
    <row r="264" spans="3:3" x14ac:dyDescent="0.35">
      <c r="C264" s="89"/>
    </row>
    <row r="265" spans="3:3" x14ac:dyDescent="0.35">
      <c r="C265" s="89"/>
    </row>
    <row r="266" spans="3:3" x14ac:dyDescent="0.35">
      <c r="C266" s="89"/>
    </row>
    <row r="267" spans="3:3" x14ac:dyDescent="0.35">
      <c r="C267" s="89"/>
    </row>
    <row r="268" spans="3:3" x14ac:dyDescent="0.35">
      <c r="C268" s="89"/>
    </row>
    <row r="269" spans="3:3" x14ac:dyDescent="0.35">
      <c r="C269" s="89"/>
    </row>
    <row r="270" spans="3:3" x14ac:dyDescent="0.35">
      <c r="C270" s="89"/>
    </row>
    <row r="271" spans="3:3" x14ac:dyDescent="0.35">
      <c r="C271" s="89"/>
    </row>
    <row r="272" spans="3:3" x14ac:dyDescent="0.35">
      <c r="C272" s="89"/>
    </row>
    <row r="273" spans="3:3" x14ac:dyDescent="0.35">
      <c r="C273" s="89"/>
    </row>
    <row r="274" spans="3:3" x14ac:dyDescent="0.35">
      <c r="C274" s="89"/>
    </row>
    <row r="275" spans="3:3" x14ac:dyDescent="0.35">
      <c r="C275" s="89"/>
    </row>
    <row r="276" spans="3:3" x14ac:dyDescent="0.35">
      <c r="C276" s="89"/>
    </row>
    <row r="277" spans="3:3" x14ac:dyDescent="0.35">
      <c r="C277" s="89"/>
    </row>
    <row r="278" spans="3:3" x14ac:dyDescent="0.35">
      <c r="C278" s="89"/>
    </row>
    <row r="279" spans="3:3" x14ac:dyDescent="0.35">
      <c r="C279" s="89"/>
    </row>
    <row r="280" spans="3:3" x14ac:dyDescent="0.35">
      <c r="C280" s="89"/>
    </row>
    <row r="281" spans="3:3" x14ac:dyDescent="0.35">
      <c r="C281" s="89"/>
    </row>
    <row r="282" spans="3:3" x14ac:dyDescent="0.35">
      <c r="C282" s="89"/>
    </row>
    <row r="283" spans="3:3" x14ac:dyDescent="0.35">
      <c r="C283" s="89"/>
    </row>
    <row r="284" spans="3:3" x14ac:dyDescent="0.35">
      <c r="C284" s="89"/>
    </row>
    <row r="285" spans="3:3" x14ac:dyDescent="0.35">
      <c r="C285" s="89"/>
    </row>
    <row r="286" spans="3:3" x14ac:dyDescent="0.35">
      <c r="C286" s="89"/>
    </row>
    <row r="287" spans="3:3" x14ac:dyDescent="0.35">
      <c r="C287" s="89"/>
    </row>
    <row r="288" spans="3:3" x14ac:dyDescent="0.35">
      <c r="C288" s="89"/>
    </row>
    <row r="289" spans="3:3" x14ac:dyDescent="0.35">
      <c r="C289" s="89"/>
    </row>
    <row r="290" spans="3:3" x14ac:dyDescent="0.35">
      <c r="C290" s="89"/>
    </row>
    <row r="291" spans="3:3" x14ac:dyDescent="0.35">
      <c r="C291" s="89"/>
    </row>
    <row r="292" spans="3:3" x14ac:dyDescent="0.35">
      <c r="C292" s="89"/>
    </row>
    <row r="293" spans="3:3" x14ac:dyDescent="0.35">
      <c r="C293" s="89"/>
    </row>
    <row r="294" spans="3:3" x14ac:dyDescent="0.35">
      <c r="C294" s="89"/>
    </row>
    <row r="295" spans="3:3" x14ac:dyDescent="0.35">
      <c r="C295" s="89"/>
    </row>
    <row r="296" spans="3:3" x14ac:dyDescent="0.35">
      <c r="C296" s="89"/>
    </row>
    <row r="297" spans="3:3" x14ac:dyDescent="0.35">
      <c r="C297" s="89"/>
    </row>
    <row r="298" spans="3:3" x14ac:dyDescent="0.35">
      <c r="C298" s="89"/>
    </row>
    <row r="299" spans="3:3" x14ac:dyDescent="0.35">
      <c r="C299" s="89"/>
    </row>
    <row r="300" spans="3:3" x14ac:dyDescent="0.35">
      <c r="C300" s="89"/>
    </row>
    <row r="301" spans="3:3" x14ac:dyDescent="0.35">
      <c r="C301" s="89"/>
    </row>
    <row r="302" spans="3:3" x14ac:dyDescent="0.35">
      <c r="C302" s="89"/>
    </row>
    <row r="303" spans="3:3" x14ac:dyDescent="0.35">
      <c r="C303" s="89"/>
    </row>
    <row r="304" spans="3:3" x14ac:dyDescent="0.35">
      <c r="C304" s="89"/>
    </row>
    <row r="305" spans="3:3" x14ac:dyDescent="0.35">
      <c r="C305" s="89"/>
    </row>
    <row r="306" spans="3:3" x14ac:dyDescent="0.35">
      <c r="C306" s="89"/>
    </row>
    <row r="307" spans="3:3" x14ac:dyDescent="0.35">
      <c r="C307" s="89"/>
    </row>
    <row r="308" spans="3:3" x14ac:dyDescent="0.35">
      <c r="C308" s="89"/>
    </row>
    <row r="309" spans="3:3" x14ac:dyDescent="0.35">
      <c r="C309" s="89"/>
    </row>
    <row r="310" spans="3:3" x14ac:dyDescent="0.35">
      <c r="C310" s="89"/>
    </row>
    <row r="311" spans="3:3" x14ac:dyDescent="0.35">
      <c r="C311" s="89"/>
    </row>
    <row r="312" spans="3:3" x14ac:dyDescent="0.35">
      <c r="C312" s="89"/>
    </row>
    <row r="313" spans="3:3" x14ac:dyDescent="0.35">
      <c r="C313" s="89"/>
    </row>
    <row r="314" spans="3:3" x14ac:dyDescent="0.35">
      <c r="C314" s="89"/>
    </row>
    <row r="315" spans="3:3" x14ac:dyDescent="0.35">
      <c r="C315" s="89"/>
    </row>
    <row r="316" spans="3:3" x14ac:dyDescent="0.35">
      <c r="C316" s="89"/>
    </row>
    <row r="317" spans="3:3" x14ac:dyDescent="0.35">
      <c r="C317" s="89"/>
    </row>
    <row r="318" spans="3:3" x14ac:dyDescent="0.35">
      <c r="C318" s="89"/>
    </row>
    <row r="319" spans="3:3" x14ac:dyDescent="0.35">
      <c r="C319" s="89"/>
    </row>
    <row r="320" spans="3:3" x14ac:dyDescent="0.35">
      <c r="C320" s="89"/>
    </row>
    <row r="321" spans="3:3" x14ac:dyDescent="0.35">
      <c r="C321" s="89"/>
    </row>
    <row r="322" spans="3:3" x14ac:dyDescent="0.35">
      <c r="C322" s="89"/>
    </row>
    <row r="323" spans="3:3" x14ac:dyDescent="0.35">
      <c r="C323" s="89"/>
    </row>
    <row r="324" spans="3:3" x14ac:dyDescent="0.35">
      <c r="C324" s="89"/>
    </row>
    <row r="325" spans="3:3" x14ac:dyDescent="0.35">
      <c r="C325" s="89"/>
    </row>
    <row r="326" spans="3:3" x14ac:dyDescent="0.35">
      <c r="C326" s="89"/>
    </row>
    <row r="327" spans="3:3" x14ac:dyDescent="0.35">
      <c r="C327" s="89"/>
    </row>
    <row r="328" spans="3:3" x14ac:dyDescent="0.35">
      <c r="C328" s="89"/>
    </row>
    <row r="329" spans="3:3" x14ac:dyDescent="0.35">
      <c r="C329" s="89"/>
    </row>
    <row r="330" spans="3:3" x14ac:dyDescent="0.35">
      <c r="C330" s="89"/>
    </row>
    <row r="331" spans="3:3" x14ac:dyDescent="0.35">
      <c r="C331" s="89"/>
    </row>
    <row r="332" spans="3:3" x14ac:dyDescent="0.35">
      <c r="C332" s="89"/>
    </row>
    <row r="333" spans="3:3" x14ac:dyDescent="0.35">
      <c r="C333" s="89"/>
    </row>
    <row r="334" spans="3:3" x14ac:dyDescent="0.35">
      <c r="C334" s="89"/>
    </row>
    <row r="335" spans="3:3" x14ac:dyDescent="0.35">
      <c r="C335" s="89"/>
    </row>
    <row r="336" spans="3:3" x14ac:dyDescent="0.35">
      <c r="C336" s="89"/>
    </row>
    <row r="337" spans="3:3" x14ac:dyDescent="0.35">
      <c r="C337" s="89"/>
    </row>
    <row r="338" spans="3:3" x14ac:dyDescent="0.35">
      <c r="C338" s="89"/>
    </row>
    <row r="339" spans="3:3" x14ac:dyDescent="0.35">
      <c r="C339" s="89"/>
    </row>
    <row r="340" spans="3:3" x14ac:dyDescent="0.35">
      <c r="C340" s="89"/>
    </row>
    <row r="341" spans="3:3" x14ac:dyDescent="0.35">
      <c r="C341" s="89"/>
    </row>
    <row r="342" spans="3:3" x14ac:dyDescent="0.35">
      <c r="C342" s="89"/>
    </row>
    <row r="343" spans="3:3" x14ac:dyDescent="0.35">
      <c r="C343" s="89"/>
    </row>
    <row r="344" spans="3:3" x14ac:dyDescent="0.35">
      <c r="C344" s="89"/>
    </row>
    <row r="345" spans="3:3" x14ac:dyDescent="0.35">
      <c r="C345" s="89"/>
    </row>
    <row r="346" spans="3:3" x14ac:dyDescent="0.35">
      <c r="C346" s="89"/>
    </row>
    <row r="347" spans="3:3" x14ac:dyDescent="0.35">
      <c r="C347" s="89"/>
    </row>
    <row r="348" spans="3:3" x14ac:dyDescent="0.35">
      <c r="C348" s="89"/>
    </row>
    <row r="349" spans="3:3" x14ac:dyDescent="0.35">
      <c r="C349" s="89"/>
    </row>
    <row r="350" spans="3:3" x14ac:dyDescent="0.35">
      <c r="C350" s="89"/>
    </row>
    <row r="351" spans="3:3" x14ac:dyDescent="0.35">
      <c r="C351" s="89"/>
    </row>
    <row r="352" spans="3:3" x14ac:dyDescent="0.35">
      <c r="C352" s="89"/>
    </row>
    <row r="353" spans="3:3" x14ac:dyDescent="0.35">
      <c r="C353" s="89"/>
    </row>
    <row r="354" spans="3:3" x14ac:dyDescent="0.35">
      <c r="C354" s="89"/>
    </row>
    <row r="355" spans="3:3" x14ac:dyDescent="0.35">
      <c r="C355" s="89"/>
    </row>
    <row r="356" spans="3:3" x14ac:dyDescent="0.35">
      <c r="C356" s="89"/>
    </row>
    <row r="357" spans="3:3" x14ac:dyDescent="0.35">
      <c r="C357" s="89"/>
    </row>
    <row r="358" spans="3:3" x14ac:dyDescent="0.35">
      <c r="C358" s="89"/>
    </row>
    <row r="359" spans="3:3" x14ac:dyDescent="0.35">
      <c r="C359" s="89"/>
    </row>
    <row r="360" spans="3:3" x14ac:dyDescent="0.35">
      <c r="C360" s="89"/>
    </row>
    <row r="361" spans="3:3" x14ac:dyDescent="0.35">
      <c r="C361" s="89"/>
    </row>
    <row r="362" spans="3:3" x14ac:dyDescent="0.35">
      <c r="C362" s="89"/>
    </row>
    <row r="363" spans="3:3" x14ac:dyDescent="0.35">
      <c r="C363" s="89"/>
    </row>
    <row r="364" spans="3:3" x14ac:dyDescent="0.35">
      <c r="C364" s="89"/>
    </row>
    <row r="365" spans="3:3" x14ac:dyDescent="0.35">
      <c r="C365" s="89"/>
    </row>
    <row r="366" spans="3:3" x14ac:dyDescent="0.35">
      <c r="C366" s="89"/>
    </row>
    <row r="367" spans="3:3" x14ac:dyDescent="0.35">
      <c r="C367" s="89"/>
    </row>
    <row r="368" spans="3:3" x14ac:dyDescent="0.35">
      <c r="C368" s="89"/>
    </row>
    <row r="369" spans="3:3" x14ac:dyDescent="0.35">
      <c r="C369" s="89"/>
    </row>
    <row r="370" spans="3:3" x14ac:dyDescent="0.35">
      <c r="C370" s="89"/>
    </row>
    <row r="371" spans="3:3" x14ac:dyDescent="0.35">
      <c r="C371" s="89"/>
    </row>
    <row r="372" spans="3:3" x14ac:dyDescent="0.35">
      <c r="C372" s="89"/>
    </row>
    <row r="373" spans="3:3" x14ac:dyDescent="0.35">
      <c r="C373" s="89"/>
    </row>
    <row r="374" spans="3:3" x14ac:dyDescent="0.35">
      <c r="C374" s="89"/>
    </row>
    <row r="375" spans="3:3" x14ac:dyDescent="0.35">
      <c r="C375" s="89"/>
    </row>
    <row r="376" spans="3:3" x14ac:dyDescent="0.35">
      <c r="C376" s="89"/>
    </row>
    <row r="377" spans="3:3" x14ac:dyDescent="0.35">
      <c r="C377" s="89"/>
    </row>
    <row r="378" spans="3:3" x14ac:dyDescent="0.35">
      <c r="C378" s="89"/>
    </row>
    <row r="379" spans="3:3" x14ac:dyDescent="0.35">
      <c r="C379" s="89"/>
    </row>
    <row r="380" spans="3:3" x14ac:dyDescent="0.35">
      <c r="C380" s="89"/>
    </row>
    <row r="381" spans="3:3" x14ac:dyDescent="0.35">
      <c r="C381" s="89"/>
    </row>
    <row r="382" spans="3:3" x14ac:dyDescent="0.35">
      <c r="C382" s="89"/>
    </row>
    <row r="383" spans="3:3" x14ac:dyDescent="0.35">
      <c r="C383" s="89"/>
    </row>
    <row r="384" spans="3:3" x14ac:dyDescent="0.35">
      <c r="C384" s="89"/>
    </row>
    <row r="385" spans="3:3" x14ac:dyDescent="0.35">
      <c r="C385" s="89"/>
    </row>
    <row r="386" spans="3:3" x14ac:dyDescent="0.35">
      <c r="C386" s="89"/>
    </row>
    <row r="387" spans="3:3" x14ac:dyDescent="0.35">
      <c r="C387" s="89"/>
    </row>
    <row r="388" spans="3:3" x14ac:dyDescent="0.35">
      <c r="C388" s="89"/>
    </row>
    <row r="389" spans="3:3" x14ac:dyDescent="0.35">
      <c r="C389" s="89"/>
    </row>
    <row r="390" spans="3:3" x14ac:dyDescent="0.35">
      <c r="C390" s="89"/>
    </row>
    <row r="391" spans="3:3" x14ac:dyDescent="0.35">
      <c r="C391" s="89"/>
    </row>
    <row r="392" spans="3:3" x14ac:dyDescent="0.35">
      <c r="C392" s="89"/>
    </row>
    <row r="393" spans="3:3" x14ac:dyDescent="0.35">
      <c r="C393" s="89"/>
    </row>
    <row r="394" spans="3:3" x14ac:dyDescent="0.35">
      <c r="C394" s="89"/>
    </row>
    <row r="395" spans="3:3" x14ac:dyDescent="0.35">
      <c r="C395" s="89"/>
    </row>
    <row r="396" spans="3:3" x14ac:dyDescent="0.35">
      <c r="C396" s="89"/>
    </row>
    <row r="397" spans="3:3" x14ac:dyDescent="0.35">
      <c r="C397" s="89"/>
    </row>
    <row r="398" spans="3:3" x14ac:dyDescent="0.35">
      <c r="C398" s="89"/>
    </row>
    <row r="399" spans="3:3" x14ac:dyDescent="0.35">
      <c r="C399" s="89"/>
    </row>
    <row r="400" spans="3:3" x14ac:dyDescent="0.35">
      <c r="C400" s="89"/>
    </row>
    <row r="401" spans="3:3" x14ac:dyDescent="0.35">
      <c r="C401" s="89"/>
    </row>
    <row r="402" spans="3:3" x14ac:dyDescent="0.35">
      <c r="C402" s="89"/>
    </row>
    <row r="403" spans="3:3" x14ac:dyDescent="0.35">
      <c r="C403" s="89"/>
    </row>
    <row r="404" spans="3:3" x14ac:dyDescent="0.35">
      <c r="C404" s="89"/>
    </row>
    <row r="405" spans="3:3" x14ac:dyDescent="0.35">
      <c r="C405" s="89"/>
    </row>
    <row r="406" spans="3:3" x14ac:dyDescent="0.35">
      <c r="C406" s="89"/>
    </row>
    <row r="407" spans="3:3" x14ac:dyDescent="0.35">
      <c r="C407" s="89"/>
    </row>
    <row r="408" spans="3:3" x14ac:dyDescent="0.35">
      <c r="C408" s="89"/>
    </row>
    <row r="409" spans="3:3" x14ac:dyDescent="0.35">
      <c r="C409" s="89"/>
    </row>
    <row r="410" spans="3:3" x14ac:dyDescent="0.35">
      <c r="C410" s="89"/>
    </row>
    <row r="411" spans="3:3" x14ac:dyDescent="0.35">
      <c r="C411" s="89"/>
    </row>
    <row r="412" spans="3:3" x14ac:dyDescent="0.35">
      <c r="C412" s="89"/>
    </row>
    <row r="413" spans="3:3" x14ac:dyDescent="0.35">
      <c r="C413" s="89"/>
    </row>
    <row r="414" spans="3:3" x14ac:dyDescent="0.35">
      <c r="C414" s="89"/>
    </row>
    <row r="415" spans="3:3" x14ac:dyDescent="0.35">
      <c r="C415" s="89"/>
    </row>
    <row r="416" spans="3:3" x14ac:dyDescent="0.35">
      <c r="C416" s="89"/>
    </row>
    <row r="417" spans="3:3" x14ac:dyDescent="0.35">
      <c r="C417" s="89"/>
    </row>
    <row r="418" spans="3:3" x14ac:dyDescent="0.35">
      <c r="C418" s="89"/>
    </row>
    <row r="419" spans="3:3" x14ac:dyDescent="0.35">
      <c r="C419" s="89"/>
    </row>
    <row r="420" spans="3:3" x14ac:dyDescent="0.35">
      <c r="C420" s="89"/>
    </row>
    <row r="421" spans="3:3" x14ac:dyDescent="0.35">
      <c r="C421" s="89"/>
    </row>
    <row r="422" spans="3:3" x14ac:dyDescent="0.35">
      <c r="C422" s="89"/>
    </row>
    <row r="423" spans="3:3" x14ac:dyDescent="0.35">
      <c r="C423" s="89"/>
    </row>
    <row r="424" spans="3:3" x14ac:dyDescent="0.35">
      <c r="C424" s="89"/>
    </row>
    <row r="425" spans="3:3" x14ac:dyDescent="0.35">
      <c r="C425" s="89"/>
    </row>
    <row r="426" spans="3:3" x14ac:dyDescent="0.35">
      <c r="C426" s="89"/>
    </row>
    <row r="427" spans="3:3" x14ac:dyDescent="0.35">
      <c r="C427" s="89"/>
    </row>
    <row r="428" spans="3:3" x14ac:dyDescent="0.35">
      <c r="C428" s="89"/>
    </row>
    <row r="429" spans="3:3" x14ac:dyDescent="0.35">
      <c r="C429" s="89"/>
    </row>
    <row r="430" spans="3:3" x14ac:dyDescent="0.35">
      <c r="C430" s="89"/>
    </row>
    <row r="431" spans="3:3" x14ac:dyDescent="0.35">
      <c r="C431" s="89"/>
    </row>
    <row r="432" spans="3:3" x14ac:dyDescent="0.35">
      <c r="C432" s="89"/>
    </row>
    <row r="433" spans="3:3" x14ac:dyDescent="0.35">
      <c r="C433" s="89"/>
    </row>
    <row r="434" spans="3:3" x14ac:dyDescent="0.35">
      <c r="C434" s="89"/>
    </row>
    <row r="435" spans="3:3" x14ac:dyDescent="0.35">
      <c r="C435" s="89"/>
    </row>
    <row r="436" spans="3:3" x14ac:dyDescent="0.35">
      <c r="C436" s="89"/>
    </row>
    <row r="437" spans="3:3" x14ac:dyDescent="0.35">
      <c r="C437" s="89"/>
    </row>
    <row r="438" spans="3:3" x14ac:dyDescent="0.35">
      <c r="C438" s="89"/>
    </row>
    <row r="439" spans="3:3" x14ac:dyDescent="0.35">
      <c r="C439" s="89"/>
    </row>
    <row r="440" spans="3:3" x14ac:dyDescent="0.35">
      <c r="C440" s="89"/>
    </row>
    <row r="441" spans="3:3" x14ac:dyDescent="0.35">
      <c r="C441" s="89"/>
    </row>
    <row r="442" spans="3:3" x14ac:dyDescent="0.35">
      <c r="C442" s="89"/>
    </row>
    <row r="443" spans="3:3" x14ac:dyDescent="0.35">
      <c r="C443" s="89"/>
    </row>
    <row r="444" spans="3:3" x14ac:dyDescent="0.35">
      <c r="C444" s="89"/>
    </row>
    <row r="445" spans="3:3" x14ac:dyDescent="0.35">
      <c r="C445" s="89"/>
    </row>
    <row r="446" spans="3:3" x14ac:dyDescent="0.35">
      <c r="C446" s="89"/>
    </row>
    <row r="447" spans="3:3" x14ac:dyDescent="0.35">
      <c r="C447" s="89"/>
    </row>
    <row r="448" spans="3:3" x14ac:dyDescent="0.35">
      <c r="C448" s="89"/>
    </row>
    <row r="449" spans="3:3" x14ac:dyDescent="0.35">
      <c r="C449" s="89"/>
    </row>
    <row r="450" spans="3:3" x14ac:dyDescent="0.35">
      <c r="C450" s="89"/>
    </row>
    <row r="451" spans="3:3" x14ac:dyDescent="0.35">
      <c r="C451" s="89"/>
    </row>
    <row r="452" spans="3:3" x14ac:dyDescent="0.35">
      <c r="C452" s="89"/>
    </row>
    <row r="453" spans="3:3" x14ac:dyDescent="0.35">
      <c r="C453" s="89"/>
    </row>
    <row r="454" spans="3:3" x14ac:dyDescent="0.35">
      <c r="C454" s="89"/>
    </row>
    <row r="455" spans="3:3" x14ac:dyDescent="0.35">
      <c r="C455" s="89"/>
    </row>
    <row r="456" spans="3:3" x14ac:dyDescent="0.35">
      <c r="C456" s="89"/>
    </row>
    <row r="457" spans="3:3" x14ac:dyDescent="0.35">
      <c r="C457" s="89"/>
    </row>
    <row r="458" spans="3:3" x14ac:dyDescent="0.35">
      <c r="C458" s="89"/>
    </row>
    <row r="459" spans="3:3" x14ac:dyDescent="0.35">
      <c r="C459" s="89"/>
    </row>
    <row r="460" spans="3:3" x14ac:dyDescent="0.35">
      <c r="C460" s="89"/>
    </row>
    <row r="461" spans="3:3" x14ac:dyDescent="0.35">
      <c r="C461" s="89"/>
    </row>
    <row r="462" spans="3:3" x14ac:dyDescent="0.35">
      <c r="C462" s="89"/>
    </row>
    <row r="463" spans="3:3" x14ac:dyDescent="0.35">
      <c r="C463" s="89"/>
    </row>
    <row r="464" spans="3:3" x14ac:dyDescent="0.35">
      <c r="C464" s="89"/>
    </row>
    <row r="465" spans="3:3" x14ac:dyDescent="0.35">
      <c r="C465" s="89"/>
    </row>
    <row r="466" spans="3:3" x14ac:dyDescent="0.35">
      <c r="C466" s="89"/>
    </row>
    <row r="467" spans="3:3" x14ac:dyDescent="0.35">
      <c r="C467" s="89"/>
    </row>
    <row r="468" spans="3:3" x14ac:dyDescent="0.35">
      <c r="C468" s="89"/>
    </row>
    <row r="469" spans="3:3" x14ac:dyDescent="0.35">
      <c r="C469" s="89"/>
    </row>
    <row r="470" spans="3:3" x14ac:dyDescent="0.35">
      <c r="C470" s="89"/>
    </row>
    <row r="471" spans="3:3" x14ac:dyDescent="0.35">
      <c r="C471" s="89"/>
    </row>
    <row r="472" spans="3:3" x14ac:dyDescent="0.35">
      <c r="C472" s="89"/>
    </row>
    <row r="473" spans="3:3" x14ac:dyDescent="0.35">
      <c r="C473" s="89"/>
    </row>
    <row r="474" spans="3:3" x14ac:dyDescent="0.35">
      <c r="C474" s="89"/>
    </row>
    <row r="475" spans="3:3" x14ac:dyDescent="0.35">
      <c r="C475" s="89"/>
    </row>
    <row r="476" spans="3:3" x14ac:dyDescent="0.35">
      <c r="C476" s="89"/>
    </row>
    <row r="477" spans="3:3" x14ac:dyDescent="0.35">
      <c r="C477" s="89"/>
    </row>
    <row r="478" spans="3:3" x14ac:dyDescent="0.35">
      <c r="C478" s="89"/>
    </row>
    <row r="479" spans="3:3" x14ac:dyDescent="0.35">
      <c r="C479" s="89"/>
    </row>
    <row r="480" spans="3:3" x14ac:dyDescent="0.35">
      <c r="C480" s="89"/>
    </row>
    <row r="481" spans="3:3" x14ac:dyDescent="0.35">
      <c r="C481" s="89"/>
    </row>
    <row r="482" spans="3:3" x14ac:dyDescent="0.35">
      <c r="C482" s="89"/>
    </row>
    <row r="483" spans="3:3" x14ac:dyDescent="0.35">
      <c r="C483" s="89"/>
    </row>
    <row r="484" spans="3:3" x14ac:dyDescent="0.35">
      <c r="C484" s="89"/>
    </row>
    <row r="485" spans="3:3" x14ac:dyDescent="0.35">
      <c r="C485" s="89"/>
    </row>
    <row r="486" spans="3:3" x14ac:dyDescent="0.35">
      <c r="C486" s="89"/>
    </row>
    <row r="487" spans="3:3" x14ac:dyDescent="0.35">
      <c r="C487" s="89"/>
    </row>
    <row r="488" spans="3:3" x14ac:dyDescent="0.35">
      <c r="C488" s="89"/>
    </row>
    <row r="489" spans="3:3" x14ac:dyDescent="0.35">
      <c r="C489" s="89"/>
    </row>
    <row r="490" spans="3:3" x14ac:dyDescent="0.35">
      <c r="C490" s="89"/>
    </row>
    <row r="491" spans="3:3" x14ac:dyDescent="0.35">
      <c r="C491" s="89"/>
    </row>
    <row r="492" spans="3:3" x14ac:dyDescent="0.35">
      <c r="C492" s="89"/>
    </row>
    <row r="493" spans="3:3" x14ac:dyDescent="0.35">
      <c r="C493" s="89"/>
    </row>
    <row r="494" spans="3:3" x14ac:dyDescent="0.35">
      <c r="C494" s="89"/>
    </row>
    <row r="495" spans="3:3" x14ac:dyDescent="0.35">
      <c r="C495" s="89"/>
    </row>
    <row r="496" spans="3:3" x14ac:dyDescent="0.35">
      <c r="C496" s="89"/>
    </row>
    <row r="497" spans="3:3" x14ac:dyDescent="0.35">
      <c r="C497" s="89"/>
    </row>
    <row r="498" spans="3:3" x14ac:dyDescent="0.35">
      <c r="C498" s="89"/>
    </row>
    <row r="499" spans="3:3" x14ac:dyDescent="0.35">
      <c r="C499" s="89"/>
    </row>
    <row r="500" spans="3:3" x14ac:dyDescent="0.35">
      <c r="C500" s="89"/>
    </row>
    <row r="501" spans="3:3" x14ac:dyDescent="0.35">
      <c r="C501" s="89"/>
    </row>
    <row r="502" spans="3:3" x14ac:dyDescent="0.35">
      <c r="C502" s="89"/>
    </row>
    <row r="503" spans="3:3" x14ac:dyDescent="0.35">
      <c r="C503" s="89"/>
    </row>
    <row r="504" spans="3:3" x14ac:dyDescent="0.35">
      <c r="C504" s="89"/>
    </row>
    <row r="505" spans="3:3" x14ac:dyDescent="0.35">
      <c r="C505" s="89"/>
    </row>
    <row r="506" spans="3:3" x14ac:dyDescent="0.35">
      <c r="C506" s="89"/>
    </row>
    <row r="507" spans="3:3" x14ac:dyDescent="0.35">
      <c r="C507" s="89"/>
    </row>
    <row r="508" spans="3:3" x14ac:dyDescent="0.35">
      <c r="C508" s="89"/>
    </row>
    <row r="509" spans="3:3" x14ac:dyDescent="0.35">
      <c r="C509" s="89"/>
    </row>
    <row r="510" spans="3:3" x14ac:dyDescent="0.35">
      <c r="C510" s="89"/>
    </row>
    <row r="511" spans="3:3" x14ac:dyDescent="0.35">
      <c r="C511" s="89"/>
    </row>
    <row r="512" spans="3:3" x14ac:dyDescent="0.35">
      <c r="C512" s="89"/>
    </row>
    <row r="513" spans="3:3" x14ac:dyDescent="0.35">
      <c r="C513" s="89"/>
    </row>
    <row r="514" spans="3:3" x14ac:dyDescent="0.35">
      <c r="C514" s="89"/>
    </row>
    <row r="515" spans="3:3" x14ac:dyDescent="0.35">
      <c r="C515" s="89"/>
    </row>
    <row r="516" spans="3:3" x14ac:dyDescent="0.35">
      <c r="C516" s="89"/>
    </row>
    <row r="517" spans="3:3" x14ac:dyDescent="0.35">
      <c r="C517" s="89"/>
    </row>
    <row r="518" spans="3:3" x14ac:dyDescent="0.35">
      <c r="C518" s="89"/>
    </row>
    <row r="519" spans="3:3" x14ac:dyDescent="0.35">
      <c r="C519" s="89"/>
    </row>
    <row r="520" spans="3:3" x14ac:dyDescent="0.35">
      <c r="C520" s="89"/>
    </row>
    <row r="521" spans="3:3" x14ac:dyDescent="0.35">
      <c r="C521" s="89"/>
    </row>
    <row r="522" spans="3:3" x14ac:dyDescent="0.35">
      <c r="C522" s="89"/>
    </row>
    <row r="523" spans="3:3" x14ac:dyDescent="0.35">
      <c r="C523" s="89"/>
    </row>
    <row r="524" spans="3:3" x14ac:dyDescent="0.35">
      <c r="C524" s="89"/>
    </row>
    <row r="525" spans="3:3" x14ac:dyDescent="0.35">
      <c r="C525" s="89"/>
    </row>
    <row r="526" spans="3:3" x14ac:dyDescent="0.35">
      <c r="C526" s="89"/>
    </row>
    <row r="527" spans="3:3" x14ac:dyDescent="0.35">
      <c r="C527" s="89"/>
    </row>
    <row r="528" spans="3:3" x14ac:dyDescent="0.35">
      <c r="C528" s="89"/>
    </row>
    <row r="529" spans="3:3" x14ac:dyDescent="0.35">
      <c r="C529" s="89"/>
    </row>
    <row r="530" spans="3:3" x14ac:dyDescent="0.35">
      <c r="C530" s="89"/>
    </row>
    <row r="531" spans="3:3" x14ac:dyDescent="0.35">
      <c r="C531" s="89"/>
    </row>
    <row r="532" spans="3:3" x14ac:dyDescent="0.35">
      <c r="C532" s="89"/>
    </row>
    <row r="533" spans="3:3" x14ac:dyDescent="0.35">
      <c r="C533" s="89"/>
    </row>
    <row r="534" spans="3:3" x14ac:dyDescent="0.35">
      <c r="C534" s="89"/>
    </row>
    <row r="535" spans="3:3" x14ac:dyDescent="0.35">
      <c r="C535" s="89"/>
    </row>
    <row r="536" spans="3:3" x14ac:dyDescent="0.35">
      <c r="C536" s="89"/>
    </row>
    <row r="537" spans="3:3" x14ac:dyDescent="0.35">
      <c r="C537" s="89"/>
    </row>
    <row r="538" spans="3:3" x14ac:dyDescent="0.35">
      <c r="C538" s="89"/>
    </row>
    <row r="539" spans="3:3" x14ac:dyDescent="0.35">
      <c r="C539" s="89"/>
    </row>
    <row r="540" spans="3:3" x14ac:dyDescent="0.35">
      <c r="C540" s="89"/>
    </row>
    <row r="541" spans="3:3" x14ac:dyDescent="0.35">
      <c r="C541" s="89"/>
    </row>
    <row r="542" spans="3:3" x14ac:dyDescent="0.35">
      <c r="C542" s="89"/>
    </row>
    <row r="543" spans="3:3" x14ac:dyDescent="0.35">
      <c r="C543" s="89"/>
    </row>
    <row r="544" spans="3:3" x14ac:dyDescent="0.35">
      <c r="C544" s="89"/>
    </row>
    <row r="545" spans="3:3" x14ac:dyDescent="0.35">
      <c r="C545" s="89"/>
    </row>
    <row r="546" spans="3:3" x14ac:dyDescent="0.35">
      <c r="C546" s="89"/>
    </row>
    <row r="547" spans="3:3" x14ac:dyDescent="0.35">
      <c r="C547" s="89"/>
    </row>
    <row r="548" spans="3:3" x14ac:dyDescent="0.35">
      <c r="C548" s="89"/>
    </row>
    <row r="549" spans="3:3" x14ac:dyDescent="0.35">
      <c r="C549" s="89"/>
    </row>
    <row r="550" spans="3:3" x14ac:dyDescent="0.35">
      <c r="C550" s="89"/>
    </row>
    <row r="551" spans="3:3" x14ac:dyDescent="0.35">
      <c r="C551" s="89"/>
    </row>
    <row r="552" spans="3:3" x14ac:dyDescent="0.35">
      <c r="C552" s="89"/>
    </row>
    <row r="553" spans="3:3" x14ac:dyDescent="0.35">
      <c r="C553" s="89"/>
    </row>
    <row r="554" spans="3:3" x14ac:dyDescent="0.35">
      <c r="C554" s="89"/>
    </row>
    <row r="555" spans="3:3" x14ac:dyDescent="0.35">
      <c r="C555" s="89"/>
    </row>
    <row r="556" spans="3:3" x14ac:dyDescent="0.35">
      <c r="C556" s="89"/>
    </row>
    <row r="557" spans="3:3" x14ac:dyDescent="0.35">
      <c r="C557" s="89"/>
    </row>
    <row r="558" spans="3:3" x14ac:dyDescent="0.35">
      <c r="C558" s="89"/>
    </row>
    <row r="559" spans="3:3" x14ac:dyDescent="0.35">
      <c r="C559" s="89"/>
    </row>
    <row r="560" spans="3:3" x14ac:dyDescent="0.35">
      <c r="C560" s="89"/>
    </row>
    <row r="561" spans="3:3" x14ac:dyDescent="0.35">
      <c r="C561" s="89"/>
    </row>
    <row r="562" spans="3:3" x14ac:dyDescent="0.35">
      <c r="C562" s="89"/>
    </row>
    <row r="563" spans="3:3" x14ac:dyDescent="0.35">
      <c r="C563" s="89"/>
    </row>
    <row r="564" spans="3:3" x14ac:dyDescent="0.35">
      <c r="C564" s="89"/>
    </row>
    <row r="565" spans="3:3" x14ac:dyDescent="0.35">
      <c r="C565" s="89"/>
    </row>
    <row r="566" spans="3:3" x14ac:dyDescent="0.35">
      <c r="C566" s="89"/>
    </row>
    <row r="567" spans="3:3" x14ac:dyDescent="0.35">
      <c r="C567" s="89"/>
    </row>
    <row r="568" spans="3:3" x14ac:dyDescent="0.35">
      <c r="C568" s="89"/>
    </row>
    <row r="569" spans="3:3" x14ac:dyDescent="0.35">
      <c r="C569" s="89"/>
    </row>
    <row r="570" spans="3:3" x14ac:dyDescent="0.35">
      <c r="C570" s="89"/>
    </row>
    <row r="571" spans="3:3" x14ac:dyDescent="0.35">
      <c r="C571" s="89"/>
    </row>
    <row r="572" spans="3:3" x14ac:dyDescent="0.35">
      <c r="C572" s="89"/>
    </row>
    <row r="573" spans="3:3" x14ac:dyDescent="0.35">
      <c r="C573" s="89"/>
    </row>
    <row r="574" spans="3:3" x14ac:dyDescent="0.35">
      <c r="C574" s="89"/>
    </row>
    <row r="575" spans="3:3" x14ac:dyDescent="0.35">
      <c r="C575" s="89"/>
    </row>
    <row r="576" spans="3:3" x14ac:dyDescent="0.35">
      <c r="C576" s="89"/>
    </row>
    <row r="577" spans="3:3" x14ac:dyDescent="0.35">
      <c r="C577" s="89"/>
    </row>
    <row r="578" spans="3:3" x14ac:dyDescent="0.35">
      <c r="C578" s="89"/>
    </row>
    <row r="579" spans="3:3" x14ac:dyDescent="0.35">
      <c r="C579" s="89"/>
    </row>
    <row r="580" spans="3:3" x14ac:dyDescent="0.35">
      <c r="C580" s="89"/>
    </row>
    <row r="581" spans="3:3" x14ac:dyDescent="0.35">
      <c r="C581" s="89"/>
    </row>
    <row r="582" spans="3:3" x14ac:dyDescent="0.35">
      <c r="C582" s="89"/>
    </row>
    <row r="583" spans="3:3" x14ac:dyDescent="0.35">
      <c r="C583" s="89"/>
    </row>
    <row r="584" spans="3:3" x14ac:dyDescent="0.35">
      <c r="C584" s="89"/>
    </row>
    <row r="585" spans="3:3" x14ac:dyDescent="0.35">
      <c r="C585" s="89"/>
    </row>
    <row r="586" spans="3:3" x14ac:dyDescent="0.35">
      <c r="C586" s="89"/>
    </row>
    <row r="587" spans="3:3" x14ac:dyDescent="0.35">
      <c r="C587" s="89"/>
    </row>
    <row r="588" spans="3:3" x14ac:dyDescent="0.35">
      <c r="C588" s="89"/>
    </row>
    <row r="589" spans="3:3" x14ac:dyDescent="0.35">
      <c r="C589" s="89"/>
    </row>
    <row r="590" spans="3:3" x14ac:dyDescent="0.35">
      <c r="C590" s="89"/>
    </row>
    <row r="591" spans="3:3" x14ac:dyDescent="0.35">
      <c r="C591" s="89"/>
    </row>
    <row r="592" spans="3:3" x14ac:dyDescent="0.35">
      <c r="C592" s="89"/>
    </row>
    <row r="593" spans="3:3" x14ac:dyDescent="0.35">
      <c r="C593" s="89"/>
    </row>
    <row r="594" spans="3:3" x14ac:dyDescent="0.35">
      <c r="C594" s="89"/>
    </row>
    <row r="595" spans="3:3" x14ac:dyDescent="0.35">
      <c r="C595" s="89"/>
    </row>
    <row r="596" spans="3:3" x14ac:dyDescent="0.35">
      <c r="C596" s="89"/>
    </row>
    <row r="597" spans="3:3" x14ac:dyDescent="0.35">
      <c r="C597" s="89"/>
    </row>
    <row r="598" spans="3:3" x14ac:dyDescent="0.35">
      <c r="C598" s="89"/>
    </row>
    <row r="599" spans="3:3" x14ac:dyDescent="0.35">
      <c r="C599" s="89"/>
    </row>
    <row r="600" spans="3:3" x14ac:dyDescent="0.35">
      <c r="C600" s="89"/>
    </row>
    <row r="601" spans="3:3" x14ac:dyDescent="0.35">
      <c r="C601" s="89"/>
    </row>
    <row r="602" spans="3:3" x14ac:dyDescent="0.35">
      <c r="C602" s="89"/>
    </row>
    <row r="603" spans="3:3" x14ac:dyDescent="0.35">
      <c r="C603" s="89"/>
    </row>
    <row r="604" spans="3:3" x14ac:dyDescent="0.35">
      <c r="C604" s="89"/>
    </row>
    <row r="605" spans="3:3" x14ac:dyDescent="0.35">
      <c r="C605" s="89"/>
    </row>
    <row r="606" spans="3:3" x14ac:dyDescent="0.35">
      <c r="C606" s="89"/>
    </row>
    <row r="607" spans="3:3" x14ac:dyDescent="0.35">
      <c r="C607" s="89"/>
    </row>
    <row r="608" spans="3:3" x14ac:dyDescent="0.35">
      <c r="C608" s="89"/>
    </row>
    <row r="609" spans="3:3" x14ac:dyDescent="0.35">
      <c r="C609" s="89"/>
    </row>
    <row r="610" spans="3:3" x14ac:dyDescent="0.35">
      <c r="C610" s="89"/>
    </row>
    <row r="611" spans="3:3" x14ac:dyDescent="0.35">
      <c r="C611" s="89"/>
    </row>
    <row r="612" spans="3:3" x14ac:dyDescent="0.35">
      <c r="C612" s="89"/>
    </row>
    <row r="613" spans="3:3" x14ac:dyDescent="0.35">
      <c r="C613" s="89"/>
    </row>
    <row r="614" spans="3:3" x14ac:dyDescent="0.35">
      <c r="C614" s="89"/>
    </row>
    <row r="615" spans="3:3" x14ac:dyDescent="0.35">
      <c r="C615" s="89"/>
    </row>
    <row r="616" spans="3:3" x14ac:dyDescent="0.35">
      <c r="C616" s="89"/>
    </row>
    <row r="617" spans="3:3" x14ac:dyDescent="0.35">
      <c r="C617" s="89"/>
    </row>
    <row r="618" spans="3:3" x14ac:dyDescent="0.35">
      <c r="C618" s="89"/>
    </row>
    <row r="619" spans="3:3" x14ac:dyDescent="0.35">
      <c r="C619" s="89"/>
    </row>
    <row r="620" spans="3:3" x14ac:dyDescent="0.35">
      <c r="C620" s="89"/>
    </row>
    <row r="621" spans="3:3" x14ac:dyDescent="0.35">
      <c r="C621" s="89"/>
    </row>
    <row r="622" spans="3:3" x14ac:dyDescent="0.35">
      <c r="C622" s="89"/>
    </row>
    <row r="623" spans="3:3" x14ac:dyDescent="0.35">
      <c r="C623" s="89"/>
    </row>
    <row r="624" spans="3:3" x14ac:dyDescent="0.35">
      <c r="C624" s="89"/>
    </row>
    <row r="625" spans="3:3" x14ac:dyDescent="0.35">
      <c r="C625" s="89"/>
    </row>
    <row r="626" spans="3:3" x14ac:dyDescent="0.35">
      <c r="C626" s="89"/>
    </row>
    <row r="627" spans="3:3" x14ac:dyDescent="0.35">
      <c r="C627" s="89"/>
    </row>
    <row r="628" spans="3:3" x14ac:dyDescent="0.35">
      <c r="C628" s="89"/>
    </row>
    <row r="629" spans="3:3" x14ac:dyDescent="0.35">
      <c r="C629" s="89"/>
    </row>
    <row r="630" spans="3:3" x14ac:dyDescent="0.35">
      <c r="C630" s="89"/>
    </row>
    <row r="631" spans="3:3" x14ac:dyDescent="0.35">
      <c r="C631" s="89"/>
    </row>
    <row r="632" spans="3:3" x14ac:dyDescent="0.35">
      <c r="C632" s="89"/>
    </row>
    <row r="633" spans="3:3" x14ac:dyDescent="0.35">
      <c r="C633" s="89"/>
    </row>
    <row r="634" spans="3:3" x14ac:dyDescent="0.35">
      <c r="C634" s="89"/>
    </row>
    <row r="635" spans="3:3" x14ac:dyDescent="0.35">
      <c r="C635" s="89"/>
    </row>
    <row r="636" spans="3:3" x14ac:dyDescent="0.35">
      <c r="C636" s="89"/>
    </row>
    <row r="637" spans="3:3" x14ac:dyDescent="0.35">
      <c r="C637" s="89"/>
    </row>
    <row r="638" spans="3:3" x14ac:dyDescent="0.35">
      <c r="C638" s="89"/>
    </row>
    <row r="639" spans="3:3" x14ac:dyDescent="0.35">
      <c r="C639" s="89"/>
    </row>
    <row r="640" spans="3:3" x14ac:dyDescent="0.35">
      <c r="C640" s="89"/>
    </row>
    <row r="641" spans="3:3" x14ac:dyDescent="0.35">
      <c r="C641" s="89"/>
    </row>
    <row r="642" spans="3:3" x14ac:dyDescent="0.35">
      <c r="C642" s="89"/>
    </row>
    <row r="643" spans="3:3" x14ac:dyDescent="0.35">
      <c r="C643" s="89"/>
    </row>
    <row r="644" spans="3:3" x14ac:dyDescent="0.35">
      <c r="C644" s="89"/>
    </row>
    <row r="645" spans="3:3" x14ac:dyDescent="0.35">
      <c r="C645" s="89"/>
    </row>
    <row r="646" spans="3:3" x14ac:dyDescent="0.35">
      <c r="C646" s="89"/>
    </row>
    <row r="647" spans="3:3" x14ac:dyDescent="0.35">
      <c r="C647" s="89"/>
    </row>
    <row r="648" spans="3:3" x14ac:dyDescent="0.35">
      <c r="C648" s="89"/>
    </row>
    <row r="649" spans="3:3" x14ac:dyDescent="0.35">
      <c r="C649" s="89"/>
    </row>
    <row r="650" spans="3:3" x14ac:dyDescent="0.35">
      <c r="C650" s="89"/>
    </row>
    <row r="651" spans="3:3" x14ac:dyDescent="0.35">
      <c r="C651" s="89"/>
    </row>
    <row r="652" spans="3:3" x14ac:dyDescent="0.35">
      <c r="C652" s="89"/>
    </row>
    <row r="653" spans="3:3" x14ac:dyDescent="0.35">
      <c r="C653" s="89"/>
    </row>
    <row r="654" spans="3:3" x14ac:dyDescent="0.35">
      <c r="C654" s="89"/>
    </row>
    <row r="655" spans="3:3" x14ac:dyDescent="0.35">
      <c r="C655" s="89"/>
    </row>
    <row r="656" spans="3:3" x14ac:dyDescent="0.35">
      <c r="C656" s="89"/>
    </row>
    <row r="657" spans="3:3" x14ac:dyDescent="0.35">
      <c r="C657" s="89"/>
    </row>
    <row r="658" spans="3:3" x14ac:dyDescent="0.35">
      <c r="C658" s="89"/>
    </row>
    <row r="659" spans="3:3" x14ac:dyDescent="0.35">
      <c r="C659" s="89"/>
    </row>
    <row r="660" spans="3:3" x14ac:dyDescent="0.35">
      <c r="C660" s="89"/>
    </row>
    <row r="661" spans="3:3" x14ac:dyDescent="0.35">
      <c r="C661" s="89"/>
    </row>
    <row r="662" spans="3:3" x14ac:dyDescent="0.35">
      <c r="C662" s="89"/>
    </row>
    <row r="663" spans="3:3" x14ac:dyDescent="0.35">
      <c r="C663" s="89"/>
    </row>
    <row r="664" spans="3:3" x14ac:dyDescent="0.35">
      <c r="C664" s="89"/>
    </row>
    <row r="665" spans="3:3" x14ac:dyDescent="0.35">
      <c r="C665" s="89"/>
    </row>
    <row r="666" spans="3:3" x14ac:dyDescent="0.35">
      <c r="C666" s="89"/>
    </row>
    <row r="667" spans="3:3" x14ac:dyDescent="0.35">
      <c r="C667" s="89"/>
    </row>
    <row r="668" spans="3:3" x14ac:dyDescent="0.35">
      <c r="C668" s="89"/>
    </row>
    <row r="669" spans="3:3" x14ac:dyDescent="0.35">
      <c r="C669" s="89"/>
    </row>
    <row r="670" spans="3:3" x14ac:dyDescent="0.35">
      <c r="C670" s="89"/>
    </row>
    <row r="671" spans="3:3" x14ac:dyDescent="0.35">
      <c r="C671" s="89"/>
    </row>
    <row r="672" spans="3:3" x14ac:dyDescent="0.35">
      <c r="C672" s="89"/>
    </row>
    <row r="673" spans="3:3" x14ac:dyDescent="0.35">
      <c r="C673" s="89"/>
    </row>
    <row r="674" spans="3:3" x14ac:dyDescent="0.35">
      <c r="C674" s="89"/>
    </row>
    <row r="675" spans="3:3" x14ac:dyDescent="0.35">
      <c r="C675" s="89"/>
    </row>
    <row r="676" spans="3:3" x14ac:dyDescent="0.35">
      <c r="C676" s="89"/>
    </row>
    <row r="677" spans="3:3" x14ac:dyDescent="0.35">
      <c r="C677" s="89"/>
    </row>
    <row r="678" spans="3:3" x14ac:dyDescent="0.35">
      <c r="C678" s="89"/>
    </row>
    <row r="679" spans="3:3" x14ac:dyDescent="0.35">
      <c r="C679" s="89"/>
    </row>
    <row r="680" spans="3:3" x14ac:dyDescent="0.35">
      <c r="C680" s="89"/>
    </row>
    <row r="681" spans="3:3" x14ac:dyDescent="0.35">
      <c r="C681" s="89"/>
    </row>
    <row r="682" spans="3:3" x14ac:dyDescent="0.35">
      <c r="C682" s="89"/>
    </row>
    <row r="683" spans="3:3" x14ac:dyDescent="0.35">
      <c r="C683" s="89"/>
    </row>
    <row r="684" spans="3:3" x14ac:dyDescent="0.35">
      <c r="C684" s="89"/>
    </row>
    <row r="685" spans="3:3" x14ac:dyDescent="0.35">
      <c r="C685" s="89"/>
    </row>
    <row r="686" spans="3:3" x14ac:dyDescent="0.35">
      <c r="C686" s="89"/>
    </row>
    <row r="687" spans="3:3" x14ac:dyDescent="0.35">
      <c r="C687" s="89"/>
    </row>
    <row r="688" spans="3:3" x14ac:dyDescent="0.35">
      <c r="C688" s="89"/>
    </row>
    <row r="689" spans="3:3" x14ac:dyDescent="0.35">
      <c r="C689" s="89"/>
    </row>
    <row r="690" spans="3:3" x14ac:dyDescent="0.35">
      <c r="C690" s="89"/>
    </row>
    <row r="691" spans="3:3" x14ac:dyDescent="0.35">
      <c r="C691" s="89"/>
    </row>
    <row r="692" spans="3:3" x14ac:dyDescent="0.35">
      <c r="C692" s="89"/>
    </row>
    <row r="693" spans="3:3" x14ac:dyDescent="0.35">
      <c r="C693" s="89"/>
    </row>
    <row r="694" spans="3:3" x14ac:dyDescent="0.35">
      <c r="C694" s="89"/>
    </row>
    <row r="695" spans="3:3" x14ac:dyDescent="0.35">
      <c r="C695" s="89"/>
    </row>
    <row r="696" spans="3:3" x14ac:dyDescent="0.35">
      <c r="C696" s="89"/>
    </row>
    <row r="697" spans="3:3" x14ac:dyDescent="0.35">
      <c r="C697" s="89"/>
    </row>
    <row r="698" spans="3:3" x14ac:dyDescent="0.35">
      <c r="C698" s="89"/>
    </row>
    <row r="699" spans="3:3" x14ac:dyDescent="0.35">
      <c r="C699" s="89"/>
    </row>
    <row r="700" spans="3:3" x14ac:dyDescent="0.35">
      <c r="C700" s="89"/>
    </row>
    <row r="701" spans="3:3" x14ac:dyDescent="0.35">
      <c r="C701" s="89"/>
    </row>
    <row r="702" spans="3:3" x14ac:dyDescent="0.35">
      <c r="C702" s="89"/>
    </row>
    <row r="703" spans="3:3" x14ac:dyDescent="0.35">
      <c r="C703" s="89"/>
    </row>
    <row r="704" spans="3:3" x14ac:dyDescent="0.35">
      <c r="C704" s="89"/>
    </row>
    <row r="705" spans="3:3" x14ac:dyDescent="0.35">
      <c r="C705" s="89"/>
    </row>
    <row r="706" spans="3:3" x14ac:dyDescent="0.35">
      <c r="C706" s="89"/>
    </row>
    <row r="707" spans="3:3" x14ac:dyDescent="0.35">
      <c r="C707" s="89"/>
    </row>
    <row r="708" spans="3:3" x14ac:dyDescent="0.35">
      <c r="C708" s="89"/>
    </row>
    <row r="709" spans="3:3" x14ac:dyDescent="0.35">
      <c r="C709" s="89"/>
    </row>
    <row r="710" spans="3:3" x14ac:dyDescent="0.35">
      <c r="C710" s="89"/>
    </row>
    <row r="711" spans="3:3" x14ac:dyDescent="0.35">
      <c r="C711" s="89"/>
    </row>
    <row r="712" spans="3:3" x14ac:dyDescent="0.35">
      <c r="C712" s="89"/>
    </row>
    <row r="713" spans="3:3" x14ac:dyDescent="0.35">
      <c r="C713" s="89"/>
    </row>
    <row r="714" spans="3:3" x14ac:dyDescent="0.35">
      <c r="C714" s="89"/>
    </row>
    <row r="715" spans="3:3" x14ac:dyDescent="0.35">
      <c r="C715" s="89"/>
    </row>
    <row r="716" spans="3:3" x14ac:dyDescent="0.35">
      <c r="C716" s="89"/>
    </row>
    <row r="717" spans="3:3" x14ac:dyDescent="0.35">
      <c r="C717" s="89"/>
    </row>
    <row r="718" spans="3:3" x14ac:dyDescent="0.35">
      <c r="C718" s="89"/>
    </row>
    <row r="719" spans="3:3" x14ac:dyDescent="0.35">
      <c r="C719" s="89"/>
    </row>
    <row r="720" spans="3:3" x14ac:dyDescent="0.35">
      <c r="C720" s="89"/>
    </row>
    <row r="721" spans="3:3" x14ac:dyDescent="0.35">
      <c r="C721" s="89"/>
    </row>
    <row r="722" spans="3:3" x14ac:dyDescent="0.35">
      <c r="C722" s="89"/>
    </row>
    <row r="723" spans="3:3" x14ac:dyDescent="0.35">
      <c r="C723" s="89"/>
    </row>
    <row r="724" spans="3:3" x14ac:dyDescent="0.35">
      <c r="C724" s="89"/>
    </row>
    <row r="725" spans="3:3" x14ac:dyDescent="0.35">
      <c r="C725" s="89"/>
    </row>
    <row r="726" spans="3:3" x14ac:dyDescent="0.35">
      <c r="C726" s="89"/>
    </row>
    <row r="727" spans="3:3" x14ac:dyDescent="0.35">
      <c r="C727" s="89"/>
    </row>
    <row r="728" spans="3:3" x14ac:dyDescent="0.35">
      <c r="C728" s="89"/>
    </row>
    <row r="729" spans="3:3" x14ac:dyDescent="0.35">
      <c r="C729" s="89"/>
    </row>
    <row r="730" spans="3:3" x14ac:dyDescent="0.35">
      <c r="C730" s="89"/>
    </row>
    <row r="731" spans="3:3" x14ac:dyDescent="0.35">
      <c r="C731" s="89"/>
    </row>
    <row r="732" spans="3:3" x14ac:dyDescent="0.35">
      <c r="C732" s="89"/>
    </row>
    <row r="733" spans="3:3" x14ac:dyDescent="0.35">
      <c r="C733" s="89"/>
    </row>
    <row r="734" spans="3:3" x14ac:dyDescent="0.35">
      <c r="C734" s="89"/>
    </row>
    <row r="735" spans="3:3" x14ac:dyDescent="0.35">
      <c r="C735" s="89"/>
    </row>
    <row r="736" spans="3:3" x14ac:dyDescent="0.35">
      <c r="C736" s="89"/>
    </row>
    <row r="737" spans="3:3" x14ac:dyDescent="0.35">
      <c r="C737" s="89"/>
    </row>
    <row r="738" spans="3:3" x14ac:dyDescent="0.35">
      <c r="C738" s="89"/>
    </row>
    <row r="739" spans="3:3" x14ac:dyDescent="0.35">
      <c r="C739" s="89"/>
    </row>
    <row r="740" spans="3:3" x14ac:dyDescent="0.35">
      <c r="C740" s="89"/>
    </row>
    <row r="741" spans="3:3" x14ac:dyDescent="0.35">
      <c r="C741" s="89"/>
    </row>
    <row r="742" spans="3:3" x14ac:dyDescent="0.35">
      <c r="C742" s="89"/>
    </row>
    <row r="743" spans="3:3" x14ac:dyDescent="0.35">
      <c r="C743" s="89"/>
    </row>
    <row r="744" spans="3:3" x14ac:dyDescent="0.35">
      <c r="C744" s="89"/>
    </row>
    <row r="745" spans="3:3" x14ac:dyDescent="0.35">
      <c r="C745" s="89"/>
    </row>
    <row r="746" spans="3:3" x14ac:dyDescent="0.35">
      <c r="C746" s="89"/>
    </row>
    <row r="747" spans="3:3" x14ac:dyDescent="0.35">
      <c r="C747" s="89"/>
    </row>
    <row r="748" spans="3:3" x14ac:dyDescent="0.35">
      <c r="C748" s="89"/>
    </row>
    <row r="749" spans="3:3" x14ac:dyDescent="0.35">
      <c r="C749" s="89"/>
    </row>
    <row r="750" spans="3:3" x14ac:dyDescent="0.35">
      <c r="C750" s="89"/>
    </row>
    <row r="751" spans="3:3" x14ac:dyDescent="0.35">
      <c r="C751" s="89"/>
    </row>
    <row r="752" spans="3:3" x14ac:dyDescent="0.35">
      <c r="C752" s="89"/>
    </row>
    <row r="753" spans="3:3" x14ac:dyDescent="0.35">
      <c r="C753" s="89"/>
    </row>
    <row r="754" spans="3:3" x14ac:dyDescent="0.35">
      <c r="C754" s="89"/>
    </row>
    <row r="755" spans="3:3" x14ac:dyDescent="0.35">
      <c r="C755" s="89"/>
    </row>
    <row r="756" spans="3:3" x14ac:dyDescent="0.35">
      <c r="C756" s="89"/>
    </row>
    <row r="757" spans="3:3" x14ac:dyDescent="0.35">
      <c r="C757" s="89"/>
    </row>
    <row r="758" spans="3:3" x14ac:dyDescent="0.35">
      <c r="C758" s="89"/>
    </row>
    <row r="759" spans="3:3" x14ac:dyDescent="0.35">
      <c r="C759" s="89"/>
    </row>
    <row r="760" spans="3:3" x14ac:dyDescent="0.35">
      <c r="C760" s="89"/>
    </row>
    <row r="761" spans="3:3" x14ac:dyDescent="0.35">
      <c r="C761" s="89"/>
    </row>
    <row r="762" spans="3:3" x14ac:dyDescent="0.35">
      <c r="C762" s="89"/>
    </row>
    <row r="763" spans="3:3" x14ac:dyDescent="0.35">
      <c r="C763" s="89"/>
    </row>
    <row r="764" spans="3:3" x14ac:dyDescent="0.35">
      <c r="C764" s="89"/>
    </row>
    <row r="765" spans="3:3" x14ac:dyDescent="0.35">
      <c r="C765" s="89"/>
    </row>
    <row r="766" spans="3:3" x14ac:dyDescent="0.35">
      <c r="C766" s="89"/>
    </row>
    <row r="767" spans="3:3" x14ac:dyDescent="0.35">
      <c r="C767" s="89"/>
    </row>
    <row r="768" spans="3:3" x14ac:dyDescent="0.35">
      <c r="C768" s="89"/>
    </row>
    <row r="769" spans="3:3" x14ac:dyDescent="0.35">
      <c r="C769" s="89"/>
    </row>
    <row r="770" spans="3:3" x14ac:dyDescent="0.35">
      <c r="C770" s="89"/>
    </row>
    <row r="771" spans="3:3" x14ac:dyDescent="0.35">
      <c r="C771" s="89"/>
    </row>
    <row r="772" spans="3:3" x14ac:dyDescent="0.35">
      <c r="C772" s="89"/>
    </row>
    <row r="773" spans="3:3" x14ac:dyDescent="0.35">
      <c r="C773" s="89"/>
    </row>
    <row r="774" spans="3:3" x14ac:dyDescent="0.35">
      <c r="C774" s="89"/>
    </row>
    <row r="775" spans="3:3" x14ac:dyDescent="0.35">
      <c r="C775" s="89"/>
    </row>
    <row r="776" spans="3:3" x14ac:dyDescent="0.35">
      <c r="C776" s="89"/>
    </row>
    <row r="777" spans="3:3" x14ac:dyDescent="0.35">
      <c r="C777" s="89"/>
    </row>
    <row r="778" spans="3:3" x14ac:dyDescent="0.35">
      <c r="C778" s="89"/>
    </row>
    <row r="779" spans="3:3" x14ac:dyDescent="0.35">
      <c r="C779" s="89"/>
    </row>
    <row r="780" spans="3:3" x14ac:dyDescent="0.35">
      <c r="C780" s="89"/>
    </row>
    <row r="781" spans="3:3" x14ac:dyDescent="0.35">
      <c r="C781" s="89"/>
    </row>
    <row r="782" spans="3:3" x14ac:dyDescent="0.35">
      <c r="C782" s="89"/>
    </row>
    <row r="783" spans="3:3" x14ac:dyDescent="0.35">
      <c r="C783" s="89"/>
    </row>
    <row r="784" spans="3:3" x14ac:dyDescent="0.35">
      <c r="C784" s="89"/>
    </row>
    <row r="785" spans="3:3" x14ac:dyDescent="0.35">
      <c r="C785" s="89"/>
    </row>
    <row r="786" spans="3:3" x14ac:dyDescent="0.35">
      <c r="C786" s="89"/>
    </row>
    <row r="787" spans="3:3" x14ac:dyDescent="0.35">
      <c r="C787" s="89"/>
    </row>
    <row r="788" spans="3:3" x14ac:dyDescent="0.35">
      <c r="C788" s="89"/>
    </row>
    <row r="789" spans="3:3" x14ac:dyDescent="0.35">
      <c r="C789" s="89"/>
    </row>
    <row r="790" spans="3:3" x14ac:dyDescent="0.35">
      <c r="C790" s="89"/>
    </row>
    <row r="791" spans="3:3" x14ac:dyDescent="0.35">
      <c r="C791" s="89"/>
    </row>
    <row r="792" spans="3:3" x14ac:dyDescent="0.35">
      <c r="C792" s="89"/>
    </row>
    <row r="793" spans="3:3" x14ac:dyDescent="0.35">
      <c r="C793" s="89"/>
    </row>
    <row r="794" spans="3:3" x14ac:dyDescent="0.35">
      <c r="C794" s="89"/>
    </row>
    <row r="795" spans="3:3" x14ac:dyDescent="0.35">
      <c r="C795" s="89"/>
    </row>
    <row r="796" spans="3:3" x14ac:dyDescent="0.35">
      <c r="C796" s="89"/>
    </row>
    <row r="797" spans="3:3" x14ac:dyDescent="0.35">
      <c r="C797" s="89"/>
    </row>
    <row r="798" spans="3:3" x14ac:dyDescent="0.35">
      <c r="C798" s="89"/>
    </row>
    <row r="799" spans="3:3" x14ac:dyDescent="0.35">
      <c r="C799" s="89"/>
    </row>
    <row r="800" spans="3:3" x14ac:dyDescent="0.35">
      <c r="C800" s="89"/>
    </row>
    <row r="801" spans="3:3" x14ac:dyDescent="0.35">
      <c r="C801" s="89"/>
    </row>
    <row r="802" spans="3:3" x14ac:dyDescent="0.35">
      <c r="C802" s="89"/>
    </row>
    <row r="803" spans="3:3" x14ac:dyDescent="0.35">
      <c r="C803" s="89"/>
    </row>
    <row r="804" spans="3:3" x14ac:dyDescent="0.35">
      <c r="C804" s="89"/>
    </row>
    <row r="805" spans="3:3" x14ac:dyDescent="0.35">
      <c r="C805" s="89"/>
    </row>
    <row r="806" spans="3:3" x14ac:dyDescent="0.35">
      <c r="C806" s="89"/>
    </row>
    <row r="807" spans="3:3" x14ac:dyDescent="0.35">
      <c r="C807" s="89"/>
    </row>
    <row r="808" spans="3:3" x14ac:dyDescent="0.35">
      <c r="C808" s="89"/>
    </row>
    <row r="809" spans="3:3" x14ac:dyDescent="0.35">
      <c r="C809" s="89"/>
    </row>
    <row r="810" spans="3:3" x14ac:dyDescent="0.35">
      <c r="C810" s="89"/>
    </row>
    <row r="811" spans="3:3" x14ac:dyDescent="0.35">
      <c r="C811" s="89"/>
    </row>
    <row r="812" spans="3:3" x14ac:dyDescent="0.35">
      <c r="C812" s="89"/>
    </row>
    <row r="813" spans="3:3" x14ac:dyDescent="0.35">
      <c r="C813" s="89"/>
    </row>
    <row r="814" spans="3:3" x14ac:dyDescent="0.35">
      <c r="C814" s="89"/>
    </row>
    <row r="815" spans="3:3" x14ac:dyDescent="0.35">
      <c r="C815" s="89"/>
    </row>
    <row r="816" spans="3:3" x14ac:dyDescent="0.35">
      <c r="C816" s="89"/>
    </row>
    <row r="817" spans="3:3" x14ac:dyDescent="0.35">
      <c r="C817" s="89"/>
    </row>
    <row r="818" spans="3:3" x14ac:dyDescent="0.35">
      <c r="C818" s="89"/>
    </row>
    <row r="819" spans="3:3" x14ac:dyDescent="0.35">
      <c r="C819" s="89"/>
    </row>
    <row r="820" spans="3:3" x14ac:dyDescent="0.35">
      <c r="C820" s="89"/>
    </row>
    <row r="821" spans="3:3" x14ac:dyDescent="0.35">
      <c r="C821" s="89"/>
    </row>
    <row r="822" spans="3:3" x14ac:dyDescent="0.35">
      <c r="C822" s="89"/>
    </row>
    <row r="823" spans="3:3" x14ac:dyDescent="0.35">
      <c r="C823" s="89"/>
    </row>
    <row r="824" spans="3:3" x14ac:dyDescent="0.35">
      <c r="C824" s="89"/>
    </row>
    <row r="825" spans="3:3" x14ac:dyDescent="0.35">
      <c r="C825" s="89"/>
    </row>
    <row r="826" spans="3:3" x14ac:dyDescent="0.35">
      <c r="C826" s="89"/>
    </row>
    <row r="827" spans="3:3" x14ac:dyDescent="0.35">
      <c r="C827" s="89"/>
    </row>
    <row r="828" spans="3:3" x14ac:dyDescent="0.35">
      <c r="C828" s="89"/>
    </row>
    <row r="829" spans="3:3" x14ac:dyDescent="0.35">
      <c r="C829" s="89"/>
    </row>
    <row r="830" spans="3:3" x14ac:dyDescent="0.35">
      <c r="C830" s="89"/>
    </row>
    <row r="831" spans="3:3" x14ac:dyDescent="0.35">
      <c r="C831" s="89"/>
    </row>
    <row r="832" spans="3:3" x14ac:dyDescent="0.35">
      <c r="C832" s="89"/>
    </row>
    <row r="833" spans="3:3" x14ac:dyDescent="0.35">
      <c r="C833" s="89"/>
    </row>
    <row r="834" spans="3:3" x14ac:dyDescent="0.35">
      <c r="C834" s="89"/>
    </row>
    <row r="835" spans="3:3" x14ac:dyDescent="0.35">
      <c r="C835" s="89"/>
    </row>
    <row r="836" spans="3:3" x14ac:dyDescent="0.35">
      <c r="C836" s="89"/>
    </row>
    <row r="837" spans="3:3" x14ac:dyDescent="0.35">
      <c r="C837" s="89"/>
    </row>
    <row r="838" spans="3:3" x14ac:dyDescent="0.35">
      <c r="C838" s="89"/>
    </row>
    <row r="839" spans="3:3" x14ac:dyDescent="0.35">
      <c r="C839" s="89"/>
    </row>
    <row r="840" spans="3:3" x14ac:dyDescent="0.35">
      <c r="C840" s="89"/>
    </row>
    <row r="841" spans="3:3" x14ac:dyDescent="0.35">
      <c r="C841" s="89"/>
    </row>
    <row r="842" spans="3:3" x14ac:dyDescent="0.35">
      <c r="C842" s="89"/>
    </row>
    <row r="843" spans="3:3" x14ac:dyDescent="0.35">
      <c r="C843" s="89"/>
    </row>
    <row r="844" spans="3:3" x14ac:dyDescent="0.35">
      <c r="C844" s="89"/>
    </row>
    <row r="845" spans="3:3" x14ac:dyDescent="0.35">
      <c r="C845" s="89"/>
    </row>
    <row r="846" spans="3:3" x14ac:dyDescent="0.35">
      <c r="C846" s="89"/>
    </row>
    <row r="847" spans="3:3" x14ac:dyDescent="0.35">
      <c r="C847" s="89"/>
    </row>
    <row r="848" spans="3:3" x14ac:dyDescent="0.35">
      <c r="C848" s="89"/>
    </row>
    <row r="849" spans="3:3" x14ac:dyDescent="0.35">
      <c r="C849" s="89"/>
    </row>
    <row r="850" spans="3:3" x14ac:dyDescent="0.35">
      <c r="C850" s="89"/>
    </row>
    <row r="851" spans="3:3" x14ac:dyDescent="0.35">
      <c r="C851" s="89"/>
    </row>
    <row r="852" spans="3:3" x14ac:dyDescent="0.35">
      <c r="C852" s="89"/>
    </row>
    <row r="853" spans="3:3" x14ac:dyDescent="0.35">
      <c r="C853" s="89"/>
    </row>
    <row r="854" spans="3:3" x14ac:dyDescent="0.35">
      <c r="C854" s="89"/>
    </row>
    <row r="855" spans="3:3" x14ac:dyDescent="0.35">
      <c r="C855" s="89"/>
    </row>
    <row r="856" spans="3:3" x14ac:dyDescent="0.35">
      <c r="C856" s="89"/>
    </row>
    <row r="857" spans="3:3" x14ac:dyDescent="0.35">
      <c r="C857" s="89"/>
    </row>
    <row r="858" spans="3:3" x14ac:dyDescent="0.35">
      <c r="C858" s="89"/>
    </row>
    <row r="859" spans="3:3" x14ac:dyDescent="0.35">
      <c r="C859" s="89"/>
    </row>
    <row r="860" spans="3:3" x14ac:dyDescent="0.35">
      <c r="C860" s="89"/>
    </row>
    <row r="861" spans="3:3" x14ac:dyDescent="0.35">
      <c r="C861" s="89"/>
    </row>
    <row r="862" spans="3:3" x14ac:dyDescent="0.35">
      <c r="C862" s="89"/>
    </row>
    <row r="863" spans="3:3" x14ac:dyDescent="0.35">
      <c r="C863" s="89"/>
    </row>
    <row r="864" spans="3:3" x14ac:dyDescent="0.35">
      <c r="C864" s="89"/>
    </row>
    <row r="865" spans="3:3" x14ac:dyDescent="0.35">
      <c r="C865" s="89"/>
    </row>
    <row r="866" spans="3:3" x14ac:dyDescent="0.35">
      <c r="C866" s="89"/>
    </row>
    <row r="867" spans="3:3" x14ac:dyDescent="0.35">
      <c r="C867" s="89"/>
    </row>
    <row r="868" spans="3:3" x14ac:dyDescent="0.35">
      <c r="C868" s="89"/>
    </row>
    <row r="869" spans="3:3" x14ac:dyDescent="0.35">
      <c r="C869" s="89"/>
    </row>
    <row r="870" spans="3:3" x14ac:dyDescent="0.35">
      <c r="C870" s="89"/>
    </row>
    <row r="871" spans="3:3" x14ac:dyDescent="0.35">
      <c r="C871" s="89"/>
    </row>
    <row r="872" spans="3:3" x14ac:dyDescent="0.35">
      <c r="C872" s="89"/>
    </row>
    <row r="873" spans="3:3" x14ac:dyDescent="0.35">
      <c r="C873" s="89"/>
    </row>
    <row r="874" spans="3:3" x14ac:dyDescent="0.35">
      <c r="C874" s="89"/>
    </row>
    <row r="875" spans="3:3" x14ac:dyDescent="0.35">
      <c r="C875" s="89"/>
    </row>
    <row r="876" spans="3:3" x14ac:dyDescent="0.35">
      <c r="C876" s="89"/>
    </row>
    <row r="877" spans="3:3" x14ac:dyDescent="0.35">
      <c r="C877" s="89"/>
    </row>
    <row r="878" spans="3:3" x14ac:dyDescent="0.35">
      <c r="C878" s="89"/>
    </row>
    <row r="879" spans="3:3" x14ac:dyDescent="0.35">
      <c r="C879" s="89"/>
    </row>
    <row r="880" spans="3:3" x14ac:dyDescent="0.35">
      <c r="C880" s="89"/>
    </row>
    <row r="881" spans="3:3" x14ac:dyDescent="0.35">
      <c r="C881" s="89"/>
    </row>
    <row r="882" spans="3:3" x14ac:dyDescent="0.35">
      <c r="C882" s="89"/>
    </row>
    <row r="883" spans="3:3" x14ac:dyDescent="0.35">
      <c r="C883" s="89"/>
    </row>
    <row r="884" spans="3:3" x14ac:dyDescent="0.35">
      <c r="C884" s="89"/>
    </row>
    <row r="885" spans="3:3" x14ac:dyDescent="0.35">
      <c r="C885" s="89"/>
    </row>
    <row r="886" spans="3:3" x14ac:dyDescent="0.35">
      <c r="C886" s="89"/>
    </row>
    <row r="887" spans="3:3" x14ac:dyDescent="0.35">
      <c r="C887" s="89"/>
    </row>
    <row r="888" spans="3:3" x14ac:dyDescent="0.35">
      <c r="C888" s="89"/>
    </row>
    <row r="889" spans="3:3" x14ac:dyDescent="0.35">
      <c r="C889" s="89"/>
    </row>
    <row r="890" spans="3:3" x14ac:dyDescent="0.35">
      <c r="C890" s="89"/>
    </row>
    <row r="891" spans="3:3" x14ac:dyDescent="0.35">
      <c r="C891" s="89"/>
    </row>
    <row r="892" spans="3:3" x14ac:dyDescent="0.35">
      <c r="C892" s="89"/>
    </row>
    <row r="893" spans="3:3" x14ac:dyDescent="0.35">
      <c r="C893" s="89"/>
    </row>
    <row r="894" spans="3:3" x14ac:dyDescent="0.35">
      <c r="C894" s="89"/>
    </row>
    <row r="895" spans="3:3" x14ac:dyDescent="0.35">
      <c r="C895" s="89"/>
    </row>
    <row r="896" spans="3:3" x14ac:dyDescent="0.35">
      <c r="C896" s="89"/>
    </row>
    <row r="897" spans="3:3" x14ac:dyDescent="0.35">
      <c r="C897" s="89"/>
    </row>
    <row r="898" spans="3:3" x14ac:dyDescent="0.35">
      <c r="C898" s="89"/>
    </row>
    <row r="899" spans="3:3" x14ac:dyDescent="0.35">
      <c r="C899" s="89"/>
    </row>
    <row r="900" spans="3:3" x14ac:dyDescent="0.35">
      <c r="C900" s="89"/>
    </row>
    <row r="901" spans="3:3" x14ac:dyDescent="0.35">
      <c r="C901" s="89"/>
    </row>
    <row r="902" spans="3:3" x14ac:dyDescent="0.35">
      <c r="C902" s="89"/>
    </row>
    <row r="903" spans="3:3" x14ac:dyDescent="0.35">
      <c r="C903" s="89"/>
    </row>
    <row r="904" spans="3:3" x14ac:dyDescent="0.35">
      <c r="C904" s="89"/>
    </row>
    <row r="905" spans="3:3" x14ac:dyDescent="0.35">
      <c r="C905" s="89"/>
    </row>
    <row r="906" spans="3:3" x14ac:dyDescent="0.35">
      <c r="C906" s="89"/>
    </row>
    <row r="907" spans="3:3" x14ac:dyDescent="0.35">
      <c r="C907" s="89"/>
    </row>
    <row r="908" spans="3:3" x14ac:dyDescent="0.35">
      <c r="C908" s="89"/>
    </row>
    <row r="909" spans="3:3" x14ac:dyDescent="0.35">
      <c r="C909" s="89"/>
    </row>
    <row r="910" spans="3:3" x14ac:dyDescent="0.35">
      <c r="C910" s="89"/>
    </row>
    <row r="911" spans="3:3" x14ac:dyDescent="0.35">
      <c r="C911" s="89"/>
    </row>
    <row r="912" spans="3:3" x14ac:dyDescent="0.35">
      <c r="C912" s="89"/>
    </row>
    <row r="913" spans="3:3" x14ac:dyDescent="0.35">
      <c r="C913" s="89"/>
    </row>
    <row r="914" spans="3:3" x14ac:dyDescent="0.35">
      <c r="C914" s="89"/>
    </row>
    <row r="915" spans="3:3" x14ac:dyDescent="0.35">
      <c r="C915" s="89"/>
    </row>
    <row r="916" spans="3:3" x14ac:dyDescent="0.35">
      <c r="C916" s="89"/>
    </row>
    <row r="917" spans="3:3" x14ac:dyDescent="0.35">
      <c r="C917" s="89"/>
    </row>
    <row r="918" spans="3:3" x14ac:dyDescent="0.35">
      <c r="C918" s="89"/>
    </row>
    <row r="919" spans="3:3" x14ac:dyDescent="0.35">
      <c r="C919" s="89"/>
    </row>
    <row r="920" spans="3:3" x14ac:dyDescent="0.35">
      <c r="C920" s="89"/>
    </row>
    <row r="921" spans="3:3" x14ac:dyDescent="0.35">
      <c r="C921" s="89"/>
    </row>
    <row r="922" spans="3:3" x14ac:dyDescent="0.35">
      <c r="C922" s="89"/>
    </row>
    <row r="923" spans="3:3" x14ac:dyDescent="0.35">
      <c r="C923" s="89"/>
    </row>
    <row r="924" spans="3:3" x14ac:dyDescent="0.35">
      <c r="C924" s="89"/>
    </row>
    <row r="925" spans="3:3" x14ac:dyDescent="0.35">
      <c r="C925" s="89"/>
    </row>
    <row r="926" spans="3:3" x14ac:dyDescent="0.35">
      <c r="C926" s="89"/>
    </row>
    <row r="927" spans="3:3" x14ac:dyDescent="0.35">
      <c r="C927" s="89"/>
    </row>
    <row r="928" spans="3:3" x14ac:dyDescent="0.35">
      <c r="C928" s="89"/>
    </row>
    <row r="929" spans="3:3" x14ac:dyDescent="0.35">
      <c r="C929" s="89"/>
    </row>
    <row r="930" spans="3:3" x14ac:dyDescent="0.35">
      <c r="C930" s="89"/>
    </row>
    <row r="931" spans="3:3" x14ac:dyDescent="0.35">
      <c r="C931" s="89"/>
    </row>
    <row r="932" spans="3:3" x14ac:dyDescent="0.35">
      <c r="C932" s="89"/>
    </row>
    <row r="933" spans="3:3" x14ac:dyDescent="0.35">
      <c r="C933" s="89"/>
    </row>
    <row r="934" spans="3:3" x14ac:dyDescent="0.35">
      <c r="C934" s="89"/>
    </row>
    <row r="935" spans="3:3" x14ac:dyDescent="0.35">
      <c r="C935" s="89"/>
    </row>
    <row r="936" spans="3:3" x14ac:dyDescent="0.35">
      <c r="C936" s="89"/>
    </row>
    <row r="937" spans="3:3" x14ac:dyDescent="0.35">
      <c r="C937" s="89"/>
    </row>
    <row r="938" spans="3:3" x14ac:dyDescent="0.35">
      <c r="C938" s="89"/>
    </row>
    <row r="939" spans="3:3" x14ac:dyDescent="0.35">
      <c r="C939" s="89"/>
    </row>
    <row r="940" spans="3:3" x14ac:dyDescent="0.35">
      <c r="C940" s="89"/>
    </row>
    <row r="941" spans="3:3" x14ac:dyDescent="0.35">
      <c r="C941" s="89"/>
    </row>
    <row r="942" spans="3:3" x14ac:dyDescent="0.35">
      <c r="C942" s="89"/>
    </row>
    <row r="943" spans="3:3" x14ac:dyDescent="0.35">
      <c r="C943" s="89"/>
    </row>
    <row r="944" spans="3:3" x14ac:dyDescent="0.35">
      <c r="C944" s="89"/>
    </row>
    <row r="945" spans="3:3" x14ac:dyDescent="0.35">
      <c r="C945" s="89"/>
    </row>
    <row r="946" spans="3:3" x14ac:dyDescent="0.35">
      <c r="C946" s="89"/>
    </row>
    <row r="947" spans="3:3" x14ac:dyDescent="0.35">
      <c r="C947" s="89"/>
    </row>
    <row r="948" spans="3:3" x14ac:dyDescent="0.35">
      <c r="C948" s="89"/>
    </row>
    <row r="949" spans="3:3" x14ac:dyDescent="0.35">
      <c r="C949" s="89"/>
    </row>
    <row r="950" spans="3:3" x14ac:dyDescent="0.35">
      <c r="C950" s="89"/>
    </row>
    <row r="951" spans="3:3" x14ac:dyDescent="0.35">
      <c r="C951" s="89"/>
    </row>
    <row r="952" spans="3:3" x14ac:dyDescent="0.35">
      <c r="C952" s="89"/>
    </row>
    <row r="953" spans="3:3" x14ac:dyDescent="0.35">
      <c r="C953" s="89"/>
    </row>
    <row r="954" spans="3:3" x14ac:dyDescent="0.35">
      <c r="C954" s="89"/>
    </row>
    <row r="955" spans="3:3" x14ac:dyDescent="0.35">
      <c r="C955" s="89"/>
    </row>
    <row r="956" spans="3:3" x14ac:dyDescent="0.35">
      <c r="C956" s="89"/>
    </row>
    <row r="957" spans="3:3" x14ac:dyDescent="0.35">
      <c r="C957" s="89"/>
    </row>
    <row r="958" spans="3:3" x14ac:dyDescent="0.35">
      <c r="C958" s="89"/>
    </row>
    <row r="959" spans="3:3" x14ac:dyDescent="0.35">
      <c r="C959" s="89"/>
    </row>
    <row r="960" spans="3:3" x14ac:dyDescent="0.35">
      <c r="C960" s="89"/>
    </row>
    <row r="961" spans="3:3" x14ac:dyDescent="0.35">
      <c r="C961" s="89"/>
    </row>
    <row r="962" spans="3:3" x14ac:dyDescent="0.35">
      <c r="C962" s="89"/>
    </row>
    <row r="963" spans="3:3" x14ac:dyDescent="0.35">
      <c r="C963" s="89"/>
    </row>
    <row r="964" spans="3:3" x14ac:dyDescent="0.35">
      <c r="C964" s="89"/>
    </row>
    <row r="965" spans="3:3" x14ac:dyDescent="0.35">
      <c r="C965" s="89"/>
    </row>
    <row r="966" spans="3:3" x14ac:dyDescent="0.35">
      <c r="C966" s="89"/>
    </row>
    <row r="967" spans="3:3" x14ac:dyDescent="0.35">
      <c r="C967" s="89"/>
    </row>
    <row r="968" spans="3:3" x14ac:dyDescent="0.35">
      <c r="C968" s="89"/>
    </row>
    <row r="969" spans="3:3" x14ac:dyDescent="0.35">
      <c r="C969" s="89"/>
    </row>
    <row r="970" spans="3:3" x14ac:dyDescent="0.35">
      <c r="C970" s="89"/>
    </row>
    <row r="971" spans="3:3" x14ac:dyDescent="0.35">
      <c r="C971" s="89"/>
    </row>
    <row r="972" spans="3:3" x14ac:dyDescent="0.35">
      <c r="C972" s="89"/>
    </row>
    <row r="973" spans="3:3" x14ac:dyDescent="0.35">
      <c r="C973" s="89"/>
    </row>
    <row r="974" spans="3:3" x14ac:dyDescent="0.35">
      <c r="C974" s="89"/>
    </row>
    <row r="975" spans="3:3" x14ac:dyDescent="0.35">
      <c r="C975" s="89"/>
    </row>
    <row r="976" spans="3:3" x14ac:dyDescent="0.35">
      <c r="C976" s="89"/>
    </row>
    <row r="977" spans="3:3" x14ac:dyDescent="0.35">
      <c r="C977" s="89"/>
    </row>
    <row r="978" spans="3:3" x14ac:dyDescent="0.35">
      <c r="C978" s="89"/>
    </row>
    <row r="979" spans="3:3" x14ac:dyDescent="0.35">
      <c r="C979" s="89"/>
    </row>
    <row r="980" spans="3:3" x14ac:dyDescent="0.35">
      <c r="C980" s="89"/>
    </row>
    <row r="981" spans="3:3" x14ac:dyDescent="0.35">
      <c r="C981" s="89"/>
    </row>
    <row r="982" spans="3:3" x14ac:dyDescent="0.35">
      <c r="C982" s="89"/>
    </row>
    <row r="983" spans="3:3" x14ac:dyDescent="0.35">
      <c r="C983" s="89"/>
    </row>
    <row r="984" spans="3:3" x14ac:dyDescent="0.35">
      <c r="C984" s="89"/>
    </row>
    <row r="985" spans="3:3" x14ac:dyDescent="0.35">
      <c r="C985" s="89"/>
    </row>
    <row r="986" spans="3:3" x14ac:dyDescent="0.35">
      <c r="C986" s="89"/>
    </row>
    <row r="987" spans="3:3" x14ac:dyDescent="0.35">
      <c r="C987" s="89"/>
    </row>
    <row r="988" spans="3:3" x14ac:dyDescent="0.35">
      <c r="C988" s="89"/>
    </row>
    <row r="989" spans="3:3" x14ac:dyDescent="0.35">
      <c r="C989" s="89"/>
    </row>
    <row r="990" spans="3:3" x14ac:dyDescent="0.35">
      <c r="C990" s="89"/>
    </row>
    <row r="991" spans="3:3" x14ac:dyDescent="0.35">
      <c r="C991" s="89"/>
    </row>
    <row r="992" spans="3:3" x14ac:dyDescent="0.35">
      <c r="C992" s="89"/>
    </row>
    <row r="993" spans="3:3" x14ac:dyDescent="0.35">
      <c r="C993" s="89"/>
    </row>
    <row r="994" spans="3:3" x14ac:dyDescent="0.35">
      <c r="C994" s="89"/>
    </row>
    <row r="995" spans="3:3" x14ac:dyDescent="0.35">
      <c r="C995" s="89"/>
    </row>
    <row r="996" spans="3:3" x14ac:dyDescent="0.35">
      <c r="C996" s="89"/>
    </row>
    <row r="997" spans="3:3" x14ac:dyDescent="0.35">
      <c r="C997" s="89"/>
    </row>
    <row r="998" spans="3:3" x14ac:dyDescent="0.35">
      <c r="C998" s="89"/>
    </row>
    <row r="999" spans="3:3" x14ac:dyDescent="0.35">
      <c r="C999" s="89"/>
    </row>
    <row r="1000" spans="3:3" x14ac:dyDescent="0.35">
      <c r="C1000" s="89"/>
    </row>
    <row r="1001" spans="3:3" x14ac:dyDescent="0.35">
      <c r="C1001" s="89"/>
    </row>
    <row r="1002" spans="3:3" x14ac:dyDescent="0.35">
      <c r="C1002" s="89"/>
    </row>
    <row r="1003" spans="3:3" x14ac:dyDescent="0.35">
      <c r="C1003" s="89"/>
    </row>
    <row r="1004" spans="3:3" x14ac:dyDescent="0.35">
      <c r="C1004" s="89"/>
    </row>
    <row r="1005" spans="3:3" x14ac:dyDescent="0.35">
      <c r="C1005" s="89"/>
    </row>
    <row r="1006" spans="3:3" x14ac:dyDescent="0.35">
      <c r="C1006" s="89"/>
    </row>
    <row r="1007" spans="3:3" x14ac:dyDescent="0.35">
      <c r="C1007" s="89"/>
    </row>
    <row r="1008" spans="3:3" x14ac:dyDescent="0.35">
      <c r="C1008" s="89"/>
    </row>
    <row r="1009" spans="3:3" x14ac:dyDescent="0.35">
      <c r="C1009" s="89"/>
    </row>
    <row r="1010" spans="3:3" x14ac:dyDescent="0.35">
      <c r="C1010" s="89"/>
    </row>
    <row r="1011" spans="3:3" x14ac:dyDescent="0.35">
      <c r="C1011" s="89"/>
    </row>
    <row r="1012" spans="3:3" x14ac:dyDescent="0.35">
      <c r="C1012" s="89"/>
    </row>
    <row r="1013" spans="3:3" x14ac:dyDescent="0.35">
      <c r="C1013" s="89"/>
    </row>
    <row r="1014" spans="3:3" x14ac:dyDescent="0.35">
      <c r="C1014" s="89"/>
    </row>
    <row r="1015" spans="3:3" x14ac:dyDescent="0.35">
      <c r="C1015" s="89"/>
    </row>
    <row r="1016" spans="3:3" x14ac:dyDescent="0.35">
      <c r="C1016" s="89"/>
    </row>
    <row r="1017" spans="3:3" x14ac:dyDescent="0.35">
      <c r="C1017" s="89"/>
    </row>
    <row r="1018" spans="3:3" x14ac:dyDescent="0.35">
      <c r="C1018" s="89"/>
    </row>
    <row r="1019" spans="3:3" x14ac:dyDescent="0.35">
      <c r="C1019" s="89"/>
    </row>
    <row r="1020" spans="3:3" x14ac:dyDescent="0.35">
      <c r="C1020" s="89"/>
    </row>
    <row r="1021" spans="3:3" x14ac:dyDescent="0.35">
      <c r="C1021" s="89"/>
    </row>
    <row r="1022" spans="3:3" x14ac:dyDescent="0.35">
      <c r="C1022" s="89"/>
    </row>
    <row r="1023" spans="3:3" x14ac:dyDescent="0.35">
      <c r="C1023" s="89"/>
    </row>
    <row r="1024" spans="3:3" x14ac:dyDescent="0.35">
      <c r="C1024" s="89"/>
    </row>
    <row r="1025" spans="3:3" x14ac:dyDescent="0.35">
      <c r="C1025" s="89"/>
    </row>
    <row r="1026" spans="3:3" x14ac:dyDescent="0.35">
      <c r="C1026" s="89"/>
    </row>
    <row r="1027" spans="3:3" x14ac:dyDescent="0.35">
      <c r="C1027" s="89"/>
    </row>
    <row r="1028" spans="3:3" x14ac:dyDescent="0.35">
      <c r="C1028" s="89"/>
    </row>
    <row r="1029" spans="3:3" x14ac:dyDescent="0.35">
      <c r="C1029" s="89"/>
    </row>
    <row r="1030" spans="3:3" x14ac:dyDescent="0.35">
      <c r="C1030" s="89"/>
    </row>
    <row r="1031" spans="3:3" x14ac:dyDescent="0.35">
      <c r="C1031" s="89"/>
    </row>
    <row r="1032" spans="3:3" x14ac:dyDescent="0.35">
      <c r="C1032" s="89"/>
    </row>
    <row r="1033" spans="3:3" x14ac:dyDescent="0.35">
      <c r="C1033" s="89"/>
    </row>
    <row r="1034" spans="3:3" x14ac:dyDescent="0.35">
      <c r="C1034" s="89"/>
    </row>
    <row r="1035" spans="3:3" x14ac:dyDescent="0.35">
      <c r="C1035" s="89"/>
    </row>
    <row r="1036" spans="3:3" x14ac:dyDescent="0.35">
      <c r="C1036" s="89"/>
    </row>
    <row r="1037" spans="3:3" x14ac:dyDescent="0.35">
      <c r="C1037" s="89"/>
    </row>
    <row r="1038" spans="3:3" x14ac:dyDescent="0.35">
      <c r="C1038" s="89"/>
    </row>
    <row r="1039" spans="3:3" x14ac:dyDescent="0.35">
      <c r="C1039" s="89"/>
    </row>
    <row r="1040" spans="3:3" x14ac:dyDescent="0.35">
      <c r="C1040" s="89"/>
    </row>
    <row r="1041" spans="3:3" x14ac:dyDescent="0.35">
      <c r="C1041" s="89"/>
    </row>
    <row r="1042" spans="3:3" x14ac:dyDescent="0.35">
      <c r="C1042" s="89"/>
    </row>
    <row r="1043" spans="3:3" x14ac:dyDescent="0.35">
      <c r="C1043" s="89"/>
    </row>
    <row r="1044" spans="3:3" x14ac:dyDescent="0.35">
      <c r="C1044" s="89"/>
    </row>
    <row r="1045" spans="3:3" x14ac:dyDescent="0.35">
      <c r="C1045" s="89"/>
    </row>
    <row r="1046" spans="3:3" x14ac:dyDescent="0.35">
      <c r="C1046" s="89"/>
    </row>
    <row r="1047" spans="3:3" x14ac:dyDescent="0.35">
      <c r="C1047" s="89"/>
    </row>
    <row r="1048" spans="3:3" x14ac:dyDescent="0.35">
      <c r="C1048" s="89"/>
    </row>
    <row r="1049" spans="3:3" x14ac:dyDescent="0.35">
      <c r="C1049" s="89"/>
    </row>
    <row r="1050" spans="3:3" x14ac:dyDescent="0.35">
      <c r="C1050" s="89"/>
    </row>
    <row r="1051" spans="3:3" x14ac:dyDescent="0.35">
      <c r="C1051" s="89"/>
    </row>
    <row r="1052" spans="3:3" x14ac:dyDescent="0.35">
      <c r="C1052" s="89"/>
    </row>
    <row r="1053" spans="3:3" x14ac:dyDescent="0.35">
      <c r="C1053" s="89"/>
    </row>
    <row r="1054" spans="3:3" x14ac:dyDescent="0.35">
      <c r="C1054" s="89"/>
    </row>
    <row r="1055" spans="3:3" x14ac:dyDescent="0.35">
      <c r="C1055" s="89"/>
    </row>
    <row r="1056" spans="3:3" x14ac:dyDescent="0.35">
      <c r="C1056" s="89"/>
    </row>
    <row r="1057" spans="3:3" x14ac:dyDescent="0.35">
      <c r="C1057" s="89"/>
    </row>
    <row r="1058" spans="3:3" x14ac:dyDescent="0.35">
      <c r="C1058" s="89"/>
    </row>
    <row r="1059" spans="3:3" x14ac:dyDescent="0.35">
      <c r="C1059" s="89"/>
    </row>
    <row r="1060" spans="3:3" x14ac:dyDescent="0.35">
      <c r="C1060" s="89"/>
    </row>
    <row r="1061" spans="3:3" x14ac:dyDescent="0.35">
      <c r="C1061" s="89"/>
    </row>
    <row r="1062" spans="3:3" x14ac:dyDescent="0.35">
      <c r="C1062" s="89"/>
    </row>
    <row r="1063" spans="3:3" x14ac:dyDescent="0.35">
      <c r="C1063" s="89"/>
    </row>
    <row r="1064" spans="3:3" x14ac:dyDescent="0.35">
      <c r="C1064" s="89"/>
    </row>
    <row r="1065" spans="3:3" x14ac:dyDescent="0.35">
      <c r="C1065" s="89"/>
    </row>
    <row r="1066" spans="3:3" x14ac:dyDescent="0.35">
      <c r="C1066" s="89"/>
    </row>
    <row r="1067" spans="3:3" x14ac:dyDescent="0.35">
      <c r="C1067" s="89"/>
    </row>
    <row r="1068" spans="3:3" x14ac:dyDescent="0.35">
      <c r="C1068" s="89"/>
    </row>
    <row r="1069" spans="3:3" x14ac:dyDescent="0.35">
      <c r="C1069" s="89"/>
    </row>
    <row r="1070" spans="3:3" x14ac:dyDescent="0.35">
      <c r="C1070" s="89"/>
    </row>
    <row r="1071" spans="3:3" x14ac:dyDescent="0.35">
      <c r="C1071" s="89"/>
    </row>
    <row r="1072" spans="3:3" x14ac:dyDescent="0.35">
      <c r="C1072" s="89"/>
    </row>
    <row r="1073" spans="3:3" x14ac:dyDescent="0.35">
      <c r="C1073" s="89"/>
    </row>
    <row r="1074" spans="3:3" x14ac:dyDescent="0.35">
      <c r="C1074" s="89"/>
    </row>
    <row r="1075" spans="3:3" x14ac:dyDescent="0.35">
      <c r="C1075" s="89"/>
    </row>
    <row r="1076" spans="3:3" x14ac:dyDescent="0.35">
      <c r="C1076" s="89"/>
    </row>
    <row r="1077" spans="3:3" x14ac:dyDescent="0.35">
      <c r="C1077" s="89"/>
    </row>
    <row r="1078" spans="3:3" x14ac:dyDescent="0.35">
      <c r="C1078" s="89"/>
    </row>
    <row r="1079" spans="3:3" x14ac:dyDescent="0.35">
      <c r="C1079" s="89"/>
    </row>
    <row r="1080" spans="3:3" x14ac:dyDescent="0.35">
      <c r="C1080" s="89"/>
    </row>
    <row r="1081" spans="3:3" x14ac:dyDescent="0.35">
      <c r="C1081" s="89"/>
    </row>
    <row r="1082" spans="3:3" x14ac:dyDescent="0.35">
      <c r="C1082" s="89"/>
    </row>
    <row r="1083" spans="3:3" x14ac:dyDescent="0.35">
      <c r="C1083" s="89"/>
    </row>
    <row r="1084" spans="3:3" x14ac:dyDescent="0.35">
      <c r="C1084" s="89"/>
    </row>
    <row r="1085" spans="3:3" x14ac:dyDescent="0.35">
      <c r="C1085" s="89"/>
    </row>
    <row r="1086" spans="3:3" x14ac:dyDescent="0.35">
      <c r="C1086" s="89"/>
    </row>
    <row r="1087" spans="3:3" x14ac:dyDescent="0.35">
      <c r="C1087" s="89"/>
    </row>
    <row r="1088" spans="3:3" x14ac:dyDescent="0.35">
      <c r="C1088" s="89"/>
    </row>
    <row r="1089" spans="3:3" x14ac:dyDescent="0.35">
      <c r="C1089" s="89"/>
    </row>
    <row r="1090" spans="3:3" x14ac:dyDescent="0.35">
      <c r="C1090" s="89"/>
    </row>
    <row r="1091" spans="3:3" x14ac:dyDescent="0.35">
      <c r="C1091" s="89"/>
    </row>
    <row r="1092" spans="3:3" x14ac:dyDescent="0.35">
      <c r="C1092" s="89"/>
    </row>
    <row r="1093" spans="3:3" x14ac:dyDescent="0.35">
      <c r="C1093" s="89"/>
    </row>
    <row r="1094" spans="3:3" x14ac:dyDescent="0.35">
      <c r="C1094" s="89"/>
    </row>
    <row r="1095" spans="3:3" x14ac:dyDescent="0.35">
      <c r="C1095" s="89"/>
    </row>
    <row r="1096" spans="3:3" x14ac:dyDescent="0.35">
      <c r="C1096" s="89"/>
    </row>
    <row r="1097" spans="3:3" x14ac:dyDescent="0.35">
      <c r="C1097" s="89"/>
    </row>
    <row r="1098" spans="3:3" x14ac:dyDescent="0.35">
      <c r="C1098" s="89"/>
    </row>
    <row r="1099" spans="3:3" x14ac:dyDescent="0.35">
      <c r="C1099" s="89"/>
    </row>
    <row r="1100" spans="3:3" x14ac:dyDescent="0.35">
      <c r="C1100" s="89"/>
    </row>
    <row r="1101" spans="3:3" x14ac:dyDescent="0.35">
      <c r="C1101" s="89"/>
    </row>
    <row r="1102" spans="3:3" x14ac:dyDescent="0.35">
      <c r="C1102" s="89"/>
    </row>
    <row r="1103" spans="3:3" x14ac:dyDescent="0.35">
      <c r="C1103" s="89"/>
    </row>
    <row r="1104" spans="3:3" x14ac:dyDescent="0.35">
      <c r="C1104" s="89"/>
    </row>
    <row r="1105" spans="3:3" x14ac:dyDescent="0.35">
      <c r="C1105" s="89"/>
    </row>
    <row r="1106" spans="3:3" x14ac:dyDescent="0.35">
      <c r="C1106" s="89"/>
    </row>
    <row r="1107" spans="3:3" x14ac:dyDescent="0.35">
      <c r="C1107" s="89"/>
    </row>
    <row r="1108" spans="3:3" x14ac:dyDescent="0.35">
      <c r="C1108" s="89"/>
    </row>
    <row r="1109" spans="3:3" x14ac:dyDescent="0.35">
      <c r="C1109" s="89"/>
    </row>
    <row r="1110" spans="3:3" x14ac:dyDescent="0.35">
      <c r="C1110" s="89"/>
    </row>
    <row r="1111" spans="3:3" x14ac:dyDescent="0.35">
      <c r="C1111" s="89"/>
    </row>
    <row r="1112" spans="3:3" x14ac:dyDescent="0.35">
      <c r="C1112" s="89"/>
    </row>
    <row r="1113" spans="3:3" x14ac:dyDescent="0.35">
      <c r="C1113" s="89"/>
    </row>
    <row r="1114" spans="3:3" x14ac:dyDescent="0.35">
      <c r="C1114" s="89"/>
    </row>
    <row r="1115" spans="3:3" x14ac:dyDescent="0.35">
      <c r="C1115" s="89"/>
    </row>
    <row r="1116" spans="3:3" x14ac:dyDescent="0.35">
      <c r="C1116" s="89"/>
    </row>
    <row r="1117" spans="3:3" x14ac:dyDescent="0.35">
      <c r="C1117" s="89"/>
    </row>
    <row r="1118" spans="3:3" x14ac:dyDescent="0.35">
      <c r="C1118" s="89"/>
    </row>
    <row r="1119" spans="3:3" x14ac:dyDescent="0.35">
      <c r="C1119" s="89"/>
    </row>
    <row r="1120" spans="3:3" x14ac:dyDescent="0.35">
      <c r="C1120" s="89"/>
    </row>
    <row r="1121" spans="3:3" x14ac:dyDescent="0.35">
      <c r="C1121" s="89"/>
    </row>
    <row r="1122" spans="3:3" x14ac:dyDescent="0.35">
      <c r="C1122" s="89"/>
    </row>
    <row r="1123" spans="3:3" x14ac:dyDescent="0.35">
      <c r="C1123" s="89"/>
    </row>
    <row r="1124" spans="3:3" x14ac:dyDescent="0.35">
      <c r="C1124" s="89"/>
    </row>
    <row r="1125" spans="3:3" x14ac:dyDescent="0.35">
      <c r="C1125" s="89"/>
    </row>
    <row r="1126" spans="3:3" x14ac:dyDescent="0.35">
      <c r="C1126" s="89"/>
    </row>
    <row r="1127" spans="3:3" x14ac:dyDescent="0.35">
      <c r="C1127" s="89"/>
    </row>
    <row r="1128" spans="3:3" x14ac:dyDescent="0.35">
      <c r="C1128" s="89"/>
    </row>
    <row r="1129" spans="3:3" x14ac:dyDescent="0.35">
      <c r="C1129" s="89"/>
    </row>
    <row r="1130" spans="3:3" x14ac:dyDescent="0.35">
      <c r="C1130" s="89"/>
    </row>
    <row r="1131" spans="3:3" x14ac:dyDescent="0.35">
      <c r="C1131" s="89"/>
    </row>
    <row r="1132" spans="3:3" x14ac:dyDescent="0.35">
      <c r="C1132" s="89"/>
    </row>
    <row r="1133" spans="3:3" x14ac:dyDescent="0.35">
      <c r="C1133" s="89"/>
    </row>
    <row r="1134" spans="3:3" x14ac:dyDescent="0.35">
      <c r="C1134" s="89"/>
    </row>
    <row r="1135" spans="3:3" x14ac:dyDescent="0.35">
      <c r="C1135" s="89"/>
    </row>
    <row r="1136" spans="3:3" x14ac:dyDescent="0.35">
      <c r="C1136" s="89"/>
    </row>
    <row r="1137" spans="3:3" x14ac:dyDescent="0.35">
      <c r="C1137" s="89"/>
    </row>
    <row r="1138" spans="3:3" x14ac:dyDescent="0.35">
      <c r="C1138" s="89"/>
    </row>
    <row r="1139" spans="3:3" x14ac:dyDescent="0.35">
      <c r="C1139" s="89"/>
    </row>
    <row r="1140" spans="3:3" x14ac:dyDescent="0.35">
      <c r="C1140" s="89"/>
    </row>
    <row r="1141" spans="3:3" x14ac:dyDescent="0.35">
      <c r="C1141" s="89"/>
    </row>
    <row r="1142" spans="3:3" x14ac:dyDescent="0.35">
      <c r="C1142" s="89"/>
    </row>
    <row r="1143" spans="3:3" x14ac:dyDescent="0.35">
      <c r="C1143" s="89"/>
    </row>
    <row r="1144" spans="3:3" x14ac:dyDescent="0.35">
      <c r="C1144" s="89"/>
    </row>
    <row r="1145" spans="3:3" x14ac:dyDescent="0.35">
      <c r="C1145" s="89"/>
    </row>
    <row r="1146" spans="3:3" x14ac:dyDescent="0.35">
      <c r="C1146" s="89"/>
    </row>
    <row r="1147" spans="3:3" x14ac:dyDescent="0.35">
      <c r="C1147" s="89"/>
    </row>
    <row r="1148" spans="3:3" x14ac:dyDescent="0.35">
      <c r="C1148" s="89"/>
    </row>
    <row r="1149" spans="3:3" x14ac:dyDescent="0.35">
      <c r="C1149" s="89"/>
    </row>
    <row r="1150" spans="3:3" x14ac:dyDescent="0.35">
      <c r="C1150" s="89"/>
    </row>
    <row r="1151" spans="3:3" x14ac:dyDescent="0.35">
      <c r="C1151" s="89"/>
    </row>
    <row r="1152" spans="3:3" x14ac:dyDescent="0.35">
      <c r="C1152" s="89"/>
    </row>
    <row r="1153" spans="3:3" x14ac:dyDescent="0.35">
      <c r="C1153" s="89"/>
    </row>
    <row r="1154" spans="3:3" x14ac:dyDescent="0.35">
      <c r="C1154" s="89"/>
    </row>
    <row r="1155" spans="3:3" x14ac:dyDescent="0.35">
      <c r="C1155" s="89"/>
    </row>
    <row r="1156" spans="3:3" x14ac:dyDescent="0.35">
      <c r="C1156" s="89"/>
    </row>
    <row r="1157" spans="3:3" x14ac:dyDescent="0.35">
      <c r="C1157" s="89"/>
    </row>
    <row r="1158" spans="3:3" x14ac:dyDescent="0.35">
      <c r="C1158" s="89"/>
    </row>
    <row r="1159" spans="3:3" x14ac:dyDescent="0.35">
      <c r="C1159" s="89"/>
    </row>
    <row r="1160" spans="3:3" x14ac:dyDescent="0.35">
      <c r="C1160" s="89"/>
    </row>
    <row r="1161" spans="3:3" x14ac:dyDescent="0.35">
      <c r="C1161" s="89"/>
    </row>
    <row r="1162" spans="3:3" x14ac:dyDescent="0.35">
      <c r="C1162" s="89"/>
    </row>
    <row r="1163" spans="3:3" x14ac:dyDescent="0.35">
      <c r="C1163" s="89"/>
    </row>
    <row r="1164" spans="3:3" x14ac:dyDescent="0.35">
      <c r="C1164" s="89"/>
    </row>
    <row r="1165" spans="3:3" x14ac:dyDescent="0.35">
      <c r="C1165" s="89"/>
    </row>
    <row r="1166" spans="3:3" x14ac:dyDescent="0.35">
      <c r="C1166" s="89"/>
    </row>
    <row r="1167" spans="3:3" x14ac:dyDescent="0.35">
      <c r="C1167" s="89"/>
    </row>
    <row r="1168" spans="3:3" x14ac:dyDescent="0.35">
      <c r="C1168" s="89"/>
    </row>
    <row r="1169" spans="3:3" x14ac:dyDescent="0.35">
      <c r="C1169" s="89"/>
    </row>
    <row r="1170" spans="3:3" x14ac:dyDescent="0.35">
      <c r="C1170" s="89"/>
    </row>
    <row r="1171" spans="3:3" x14ac:dyDescent="0.35">
      <c r="C1171" s="89"/>
    </row>
    <row r="1172" spans="3:3" x14ac:dyDescent="0.35">
      <c r="C1172" s="89"/>
    </row>
    <row r="1173" spans="3:3" x14ac:dyDescent="0.35">
      <c r="C1173" s="89"/>
    </row>
    <row r="1174" spans="3:3" x14ac:dyDescent="0.35">
      <c r="C1174" s="89"/>
    </row>
    <row r="1175" spans="3:3" x14ac:dyDescent="0.35">
      <c r="C1175" s="89"/>
    </row>
    <row r="1176" spans="3:3" x14ac:dyDescent="0.35">
      <c r="C1176" s="89"/>
    </row>
    <row r="1177" spans="3:3" x14ac:dyDescent="0.35">
      <c r="C1177" s="89"/>
    </row>
    <row r="1178" spans="3:3" x14ac:dyDescent="0.35">
      <c r="C1178" s="89"/>
    </row>
    <row r="1179" spans="3:3" x14ac:dyDescent="0.35">
      <c r="C1179" s="89"/>
    </row>
    <row r="1180" spans="3:3" x14ac:dyDescent="0.35">
      <c r="C1180" s="89"/>
    </row>
    <row r="1181" spans="3:3" x14ac:dyDescent="0.35">
      <c r="C1181" s="89"/>
    </row>
    <row r="1182" spans="3:3" x14ac:dyDescent="0.35">
      <c r="C1182" s="89"/>
    </row>
    <row r="1183" spans="3:3" x14ac:dyDescent="0.35">
      <c r="C1183" s="89"/>
    </row>
    <row r="1184" spans="3:3" x14ac:dyDescent="0.35">
      <c r="C1184" s="89"/>
    </row>
    <row r="1185" spans="3:3" x14ac:dyDescent="0.35">
      <c r="C1185" s="89"/>
    </row>
    <row r="1186" spans="3:3" x14ac:dyDescent="0.35">
      <c r="C1186" s="89"/>
    </row>
    <row r="1187" spans="3:3" x14ac:dyDescent="0.35">
      <c r="C1187" s="89"/>
    </row>
    <row r="1188" spans="3:3" x14ac:dyDescent="0.35">
      <c r="C1188" s="89"/>
    </row>
    <row r="1189" spans="3:3" x14ac:dyDescent="0.35">
      <c r="C1189" s="89"/>
    </row>
    <row r="1190" spans="3:3" x14ac:dyDescent="0.35">
      <c r="C1190" s="89"/>
    </row>
    <row r="1191" spans="3:3" x14ac:dyDescent="0.35">
      <c r="C1191" s="89"/>
    </row>
    <row r="1192" spans="3:3" x14ac:dyDescent="0.35">
      <c r="C1192" s="89"/>
    </row>
    <row r="1193" spans="3:3" x14ac:dyDescent="0.35">
      <c r="C1193" s="89"/>
    </row>
    <row r="1194" spans="3:3" x14ac:dyDescent="0.35">
      <c r="C1194" s="89"/>
    </row>
    <row r="1195" spans="3:3" x14ac:dyDescent="0.35">
      <c r="C1195" s="89"/>
    </row>
    <row r="1196" spans="3:3" x14ac:dyDescent="0.35">
      <c r="C1196" s="89"/>
    </row>
    <row r="1197" spans="3:3" x14ac:dyDescent="0.35">
      <c r="C1197" s="89"/>
    </row>
    <row r="1198" spans="3:3" x14ac:dyDescent="0.35">
      <c r="C1198" s="89"/>
    </row>
    <row r="1199" spans="3:3" x14ac:dyDescent="0.35">
      <c r="C1199" s="89"/>
    </row>
    <row r="1200" spans="3:3" x14ac:dyDescent="0.35">
      <c r="C1200" s="89"/>
    </row>
    <row r="1201" spans="3:3" x14ac:dyDescent="0.35">
      <c r="C1201" s="89"/>
    </row>
    <row r="1202" spans="3:3" x14ac:dyDescent="0.35">
      <c r="C1202" s="89"/>
    </row>
    <row r="1203" spans="3:3" x14ac:dyDescent="0.35">
      <c r="C1203" s="89"/>
    </row>
    <row r="1204" spans="3:3" x14ac:dyDescent="0.35">
      <c r="C1204" s="89"/>
    </row>
    <row r="1205" spans="3:3" x14ac:dyDescent="0.35">
      <c r="C1205" s="89"/>
    </row>
    <row r="1206" spans="3:3" x14ac:dyDescent="0.35">
      <c r="C1206" s="89"/>
    </row>
    <row r="1207" spans="3:3" x14ac:dyDescent="0.35">
      <c r="C1207" s="89"/>
    </row>
    <row r="1208" spans="3:3" x14ac:dyDescent="0.35">
      <c r="C1208" s="89"/>
    </row>
    <row r="1209" spans="3:3" x14ac:dyDescent="0.35">
      <c r="C1209" s="89"/>
    </row>
    <row r="1210" spans="3:3" x14ac:dyDescent="0.35">
      <c r="C1210" s="89"/>
    </row>
    <row r="1211" spans="3:3" x14ac:dyDescent="0.35">
      <c r="C1211" s="89"/>
    </row>
    <row r="1212" spans="3:3" x14ac:dyDescent="0.35">
      <c r="C1212" s="89"/>
    </row>
    <row r="1213" spans="3:3" x14ac:dyDescent="0.35">
      <c r="C1213" s="89"/>
    </row>
    <row r="1214" spans="3:3" x14ac:dyDescent="0.35">
      <c r="C1214" s="89"/>
    </row>
    <row r="1215" spans="3:3" x14ac:dyDescent="0.35">
      <c r="C1215" s="89"/>
    </row>
    <row r="1216" spans="3:3" x14ac:dyDescent="0.35">
      <c r="C1216" s="89"/>
    </row>
    <row r="1217" spans="3:3" x14ac:dyDescent="0.35">
      <c r="C1217" s="89"/>
    </row>
    <row r="1218" spans="3:3" x14ac:dyDescent="0.35">
      <c r="C1218" s="89"/>
    </row>
    <row r="1219" spans="3:3" x14ac:dyDescent="0.35">
      <c r="C1219" s="89"/>
    </row>
    <row r="1220" spans="3:3" x14ac:dyDescent="0.35">
      <c r="C1220" s="89"/>
    </row>
    <row r="1221" spans="3:3" x14ac:dyDescent="0.35">
      <c r="C1221" s="89"/>
    </row>
    <row r="1222" spans="3:3" x14ac:dyDescent="0.35">
      <c r="C1222" s="89"/>
    </row>
    <row r="1223" spans="3:3" x14ac:dyDescent="0.35">
      <c r="C1223" s="89"/>
    </row>
    <row r="1224" spans="3:3" x14ac:dyDescent="0.35">
      <c r="C1224" s="89"/>
    </row>
    <row r="1225" spans="3:3" x14ac:dyDescent="0.35">
      <c r="C1225" s="89"/>
    </row>
    <row r="1226" spans="3:3" x14ac:dyDescent="0.35">
      <c r="C1226" s="89"/>
    </row>
    <row r="1227" spans="3:3" x14ac:dyDescent="0.35">
      <c r="C1227" s="89"/>
    </row>
    <row r="1228" spans="3:3" x14ac:dyDescent="0.35">
      <c r="C1228" s="89"/>
    </row>
    <row r="1229" spans="3:3" x14ac:dyDescent="0.35">
      <c r="C1229" s="89"/>
    </row>
    <row r="1230" spans="3:3" x14ac:dyDescent="0.35">
      <c r="C1230" s="89"/>
    </row>
    <row r="1231" spans="3:3" x14ac:dyDescent="0.35">
      <c r="C1231" s="89"/>
    </row>
    <row r="1232" spans="3:3" x14ac:dyDescent="0.35">
      <c r="C1232" s="89"/>
    </row>
    <row r="1233" spans="3:3" x14ac:dyDescent="0.35">
      <c r="C1233" s="89"/>
    </row>
    <row r="1234" spans="3:3" x14ac:dyDescent="0.35">
      <c r="C1234" s="89"/>
    </row>
    <row r="1235" spans="3:3" x14ac:dyDescent="0.35">
      <c r="C1235" s="89"/>
    </row>
    <row r="1236" spans="3:3" x14ac:dyDescent="0.35">
      <c r="C1236" s="89"/>
    </row>
    <row r="1237" spans="3:3" x14ac:dyDescent="0.35">
      <c r="C1237" s="89"/>
    </row>
    <row r="1238" spans="3:3" x14ac:dyDescent="0.35">
      <c r="C1238" s="89"/>
    </row>
    <row r="1239" spans="3:3" x14ac:dyDescent="0.35">
      <c r="C1239" s="89"/>
    </row>
    <row r="1240" spans="3:3" x14ac:dyDescent="0.35">
      <c r="C1240" s="89"/>
    </row>
    <row r="1241" spans="3:3" x14ac:dyDescent="0.35">
      <c r="C1241" s="89"/>
    </row>
    <row r="1242" spans="3:3" x14ac:dyDescent="0.35">
      <c r="C1242" s="89"/>
    </row>
    <row r="1243" spans="3:3" x14ac:dyDescent="0.35">
      <c r="C1243" s="89"/>
    </row>
    <row r="1244" spans="3:3" x14ac:dyDescent="0.35">
      <c r="C1244" s="89"/>
    </row>
    <row r="1245" spans="3:3" x14ac:dyDescent="0.35">
      <c r="C1245" s="89"/>
    </row>
    <row r="1246" spans="3:3" x14ac:dyDescent="0.35">
      <c r="C1246" s="89"/>
    </row>
    <row r="1247" spans="3:3" x14ac:dyDescent="0.35">
      <c r="C1247" s="89"/>
    </row>
    <row r="1248" spans="3:3" x14ac:dyDescent="0.35">
      <c r="C1248" s="89"/>
    </row>
    <row r="1249" spans="3:3" x14ac:dyDescent="0.35">
      <c r="C1249" s="89"/>
    </row>
    <row r="1250" spans="3:3" x14ac:dyDescent="0.35">
      <c r="C1250" s="89"/>
    </row>
    <row r="1251" spans="3:3" x14ac:dyDescent="0.35">
      <c r="C1251" s="89"/>
    </row>
    <row r="1252" spans="3:3" x14ac:dyDescent="0.35">
      <c r="C1252" s="89"/>
    </row>
    <row r="1253" spans="3:3" x14ac:dyDescent="0.35">
      <c r="C1253" s="89"/>
    </row>
    <row r="1254" spans="3:3" x14ac:dyDescent="0.35">
      <c r="C1254" s="89"/>
    </row>
    <row r="1255" spans="3:3" x14ac:dyDescent="0.35">
      <c r="C1255" s="89"/>
    </row>
    <row r="1256" spans="3:3" x14ac:dyDescent="0.35">
      <c r="C1256" s="89"/>
    </row>
    <row r="1257" spans="3:3" x14ac:dyDescent="0.35">
      <c r="C1257" s="89"/>
    </row>
    <row r="1258" spans="3:3" x14ac:dyDescent="0.35">
      <c r="C1258" s="89"/>
    </row>
    <row r="1259" spans="3:3" x14ac:dyDescent="0.35">
      <c r="C1259" s="89"/>
    </row>
    <row r="1260" spans="3:3" x14ac:dyDescent="0.35">
      <c r="C1260" s="89"/>
    </row>
    <row r="1261" spans="3:3" x14ac:dyDescent="0.35">
      <c r="C1261" s="89"/>
    </row>
    <row r="1262" spans="3:3" x14ac:dyDescent="0.35">
      <c r="C1262" s="89"/>
    </row>
    <row r="1263" spans="3:3" x14ac:dyDescent="0.35">
      <c r="C1263" s="89"/>
    </row>
    <row r="1264" spans="3:3" x14ac:dyDescent="0.35">
      <c r="C1264" s="89"/>
    </row>
    <row r="1265" spans="3:3" x14ac:dyDescent="0.35">
      <c r="C1265" s="89"/>
    </row>
    <row r="1266" spans="3:3" x14ac:dyDescent="0.35">
      <c r="C1266" s="89"/>
    </row>
    <row r="1267" spans="3:3" x14ac:dyDescent="0.35">
      <c r="C1267" s="89"/>
    </row>
    <row r="1268" spans="3:3" x14ac:dyDescent="0.35">
      <c r="C1268" s="89"/>
    </row>
    <row r="1269" spans="3:3" x14ac:dyDescent="0.35">
      <c r="C1269" s="89"/>
    </row>
    <row r="1270" spans="3:3" x14ac:dyDescent="0.35">
      <c r="C1270" s="89"/>
    </row>
    <row r="1271" spans="3:3" x14ac:dyDescent="0.35">
      <c r="C1271" s="89"/>
    </row>
    <row r="1272" spans="3:3" x14ac:dyDescent="0.35">
      <c r="C1272" s="89"/>
    </row>
    <row r="1273" spans="3:3" x14ac:dyDescent="0.35">
      <c r="C1273" s="89"/>
    </row>
    <row r="1274" spans="3:3" x14ac:dyDescent="0.35">
      <c r="C1274" s="89"/>
    </row>
    <row r="1275" spans="3:3" x14ac:dyDescent="0.35">
      <c r="C1275" s="89"/>
    </row>
    <row r="1276" spans="3:3" x14ac:dyDescent="0.35">
      <c r="C1276" s="89"/>
    </row>
    <row r="1277" spans="3:3" x14ac:dyDescent="0.35">
      <c r="C1277" s="89"/>
    </row>
    <row r="1278" spans="3:3" x14ac:dyDescent="0.35">
      <c r="C1278" s="89"/>
    </row>
    <row r="1279" spans="3:3" x14ac:dyDescent="0.35">
      <c r="C1279" s="89"/>
    </row>
    <row r="1280" spans="3:3" x14ac:dyDescent="0.35">
      <c r="C1280" s="89"/>
    </row>
    <row r="1281" spans="3:3" x14ac:dyDescent="0.35">
      <c r="C1281" s="89"/>
    </row>
    <row r="1282" spans="3:3" x14ac:dyDescent="0.35">
      <c r="C1282" s="89"/>
    </row>
    <row r="1283" spans="3:3" x14ac:dyDescent="0.35">
      <c r="C1283" s="89"/>
    </row>
    <row r="1284" spans="3:3" x14ac:dyDescent="0.35">
      <c r="C1284" s="89"/>
    </row>
    <row r="1285" spans="3:3" x14ac:dyDescent="0.35">
      <c r="C1285" s="89"/>
    </row>
    <row r="1286" spans="3:3" x14ac:dyDescent="0.35">
      <c r="C1286" s="89"/>
    </row>
    <row r="1287" spans="3:3" x14ac:dyDescent="0.35">
      <c r="C1287" s="89"/>
    </row>
    <row r="1288" spans="3:3" x14ac:dyDescent="0.35">
      <c r="C1288" s="89"/>
    </row>
    <row r="1289" spans="3:3" x14ac:dyDescent="0.35">
      <c r="C1289" s="89"/>
    </row>
    <row r="1290" spans="3:3" x14ac:dyDescent="0.35">
      <c r="C1290" s="89"/>
    </row>
    <row r="1291" spans="3:3" x14ac:dyDescent="0.35">
      <c r="C1291" s="89"/>
    </row>
    <row r="1292" spans="3:3" x14ac:dyDescent="0.35">
      <c r="C1292" s="89"/>
    </row>
    <row r="1293" spans="3:3" x14ac:dyDescent="0.35">
      <c r="C1293" s="89"/>
    </row>
    <row r="1294" spans="3:3" x14ac:dyDescent="0.35">
      <c r="C1294" s="89"/>
    </row>
    <row r="1295" spans="3:3" x14ac:dyDescent="0.35">
      <c r="C1295" s="89"/>
    </row>
    <row r="1296" spans="3:3" x14ac:dyDescent="0.35">
      <c r="C1296" s="89"/>
    </row>
    <row r="1297" spans="3:3" x14ac:dyDescent="0.35">
      <c r="C1297" s="89"/>
    </row>
    <row r="1298" spans="3:3" x14ac:dyDescent="0.35">
      <c r="C1298" s="89"/>
    </row>
    <row r="1299" spans="3:3" x14ac:dyDescent="0.35">
      <c r="C1299" s="89"/>
    </row>
    <row r="1300" spans="3:3" x14ac:dyDescent="0.35">
      <c r="C1300" s="89"/>
    </row>
    <row r="1301" spans="3:3" x14ac:dyDescent="0.35">
      <c r="C1301" s="89"/>
    </row>
    <row r="1302" spans="3:3" x14ac:dyDescent="0.35">
      <c r="C1302" s="89"/>
    </row>
    <row r="1303" spans="3:3" x14ac:dyDescent="0.35">
      <c r="C1303" s="89"/>
    </row>
    <row r="1304" spans="3:3" x14ac:dyDescent="0.35">
      <c r="C1304" s="89"/>
    </row>
    <row r="1305" spans="3:3" x14ac:dyDescent="0.35">
      <c r="C1305" s="89"/>
    </row>
    <row r="1306" spans="3:3" x14ac:dyDescent="0.35">
      <c r="C1306" s="89"/>
    </row>
    <row r="1307" spans="3:3" x14ac:dyDescent="0.35">
      <c r="C1307" s="89"/>
    </row>
    <row r="1308" spans="3:3" x14ac:dyDescent="0.35">
      <c r="C1308" s="89"/>
    </row>
    <row r="1309" spans="3:3" x14ac:dyDescent="0.35">
      <c r="C1309" s="89"/>
    </row>
    <row r="1310" spans="3:3" x14ac:dyDescent="0.35">
      <c r="C1310" s="89"/>
    </row>
    <row r="1311" spans="3:3" x14ac:dyDescent="0.35">
      <c r="C1311" s="89"/>
    </row>
    <row r="1312" spans="3:3" x14ac:dyDescent="0.35">
      <c r="C1312" s="89"/>
    </row>
    <row r="1313" spans="3:3" x14ac:dyDescent="0.35">
      <c r="C1313" s="89"/>
    </row>
    <row r="1314" spans="3:3" x14ac:dyDescent="0.35">
      <c r="C1314" s="89"/>
    </row>
    <row r="1315" spans="3:3" x14ac:dyDescent="0.35">
      <c r="C1315" s="89"/>
    </row>
    <row r="1316" spans="3:3" x14ac:dyDescent="0.35">
      <c r="C1316" s="89"/>
    </row>
    <row r="1317" spans="3:3" x14ac:dyDescent="0.35">
      <c r="C1317" s="89"/>
    </row>
    <row r="1318" spans="3:3" x14ac:dyDescent="0.35">
      <c r="C1318" s="89"/>
    </row>
    <row r="1319" spans="3:3" x14ac:dyDescent="0.35">
      <c r="C1319" s="89"/>
    </row>
    <row r="1320" spans="3:3" x14ac:dyDescent="0.35">
      <c r="C1320" s="89"/>
    </row>
    <row r="1321" spans="3:3" x14ac:dyDescent="0.35">
      <c r="C1321" s="89"/>
    </row>
    <row r="1322" spans="3:3" x14ac:dyDescent="0.35">
      <c r="C1322" s="89"/>
    </row>
    <row r="1323" spans="3:3" x14ac:dyDescent="0.35">
      <c r="C1323" s="89"/>
    </row>
    <row r="1324" spans="3:3" x14ac:dyDescent="0.35">
      <c r="C1324" s="89"/>
    </row>
    <row r="1325" spans="3:3" x14ac:dyDescent="0.35">
      <c r="C1325" s="89"/>
    </row>
    <row r="1326" spans="3:3" x14ac:dyDescent="0.35">
      <c r="C1326" s="89"/>
    </row>
    <row r="1327" spans="3:3" x14ac:dyDescent="0.35">
      <c r="C1327" s="89"/>
    </row>
    <row r="1328" spans="3:3" x14ac:dyDescent="0.35">
      <c r="C1328" s="89"/>
    </row>
    <row r="1329" spans="3:3" x14ac:dyDescent="0.35">
      <c r="C1329" s="89"/>
    </row>
    <row r="1330" spans="3:3" x14ac:dyDescent="0.35">
      <c r="C1330" s="89"/>
    </row>
    <row r="1331" spans="3:3" x14ac:dyDescent="0.35">
      <c r="C1331" s="89"/>
    </row>
    <row r="1332" spans="3:3" x14ac:dyDescent="0.35">
      <c r="C1332" s="89"/>
    </row>
    <row r="1333" spans="3:3" x14ac:dyDescent="0.35">
      <c r="C1333" s="89"/>
    </row>
    <row r="1334" spans="3:3" x14ac:dyDescent="0.35">
      <c r="C1334" s="89"/>
    </row>
    <row r="1335" spans="3:3" x14ac:dyDescent="0.35">
      <c r="C1335" s="89"/>
    </row>
    <row r="1336" spans="3:3" x14ac:dyDescent="0.35">
      <c r="C1336" s="89"/>
    </row>
    <row r="1337" spans="3:3" x14ac:dyDescent="0.35">
      <c r="C1337" s="89"/>
    </row>
    <row r="1338" spans="3:3" x14ac:dyDescent="0.35">
      <c r="C1338" s="89"/>
    </row>
    <row r="1339" spans="3:3" x14ac:dyDescent="0.35">
      <c r="C1339" s="89"/>
    </row>
    <row r="1340" spans="3:3" x14ac:dyDescent="0.35">
      <c r="C1340" s="89"/>
    </row>
    <row r="1341" spans="3:3" x14ac:dyDescent="0.35">
      <c r="C1341" s="89"/>
    </row>
    <row r="1342" spans="3:3" x14ac:dyDescent="0.35">
      <c r="C1342" s="89"/>
    </row>
    <row r="1343" spans="3:3" x14ac:dyDescent="0.35">
      <c r="C1343" s="89"/>
    </row>
    <row r="1344" spans="3:3" x14ac:dyDescent="0.35">
      <c r="C1344" s="89"/>
    </row>
    <row r="1345" spans="3:3" x14ac:dyDescent="0.35">
      <c r="C1345" s="89"/>
    </row>
    <row r="1346" spans="3:3" x14ac:dyDescent="0.35">
      <c r="C1346" s="89"/>
    </row>
    <row r="1347" spans="3:3" x14ac:dyDescent="0.35">
      <c r="C1347" s="89"/>
    </row>
    <row r="1348" spans="3:3" x14ac:dyDescent="0.35">
      <c r="C1348" s="89"/>
    </row>
    <row r="1349" spans="3:3" x14ac:dyDescent="0.35">
      <c r="C1349" s="89"/>
    </row>
    <row r="1350" spans="3:3" x14ac:dyDescent="0.35">
      <c r="C1350" s="89"/>
    </row>
    <row r="1351" spans="3:3" x14ac:dyDescent="0.35">
      <c r="C1351" s="89"/>
    </row>
    <row r="1352" spans="3:3" x14ac:dyDescent="0.35">
      <c r="C1352" s="89"/>
    </row>
    <row r="1353" spans="3:3" x14ac:dyDescent="0.35">
      <c r="C1353" s="89"/>
    </row>
    <row r="1354" spans="3:3" x14ac:dyDescent="0.35">
      <c r="C1354" s="89"/>
    </row>
    <row r="1355" spans="3:3" x14ac:dyDescent="0.35">
      <c r="C1355" s="89"/>
    </row>
    <row r="1356" spans="3:3" x14ac:dyDescent="0.35">
      <c r="C1356" s="89"/>
    </row>
    <row r="1357" spans="3:3" x14ac:dyDescent="0.35">
      <c r="C1357" s="89"/>
    </row>
    <row r="1358" spans="3:3" x14ac:dyDescent="0.35">
      <c r="C1358" s="89"/>
    </row>
    <row r="1359" spans="3:3" x14ac:dyDescent="0.35">
      <c r="C1359" s="89"/>
    </row>
    <row r="1360" spans="3:3" x14ac:dyDescent="0.35">
      <c r="C1360" s="89"/>
    </row>
    <row r="1361" spans="3:3" x14ac:dyDescent="0.35">
      <c r="C1361" s="89"/>
    </row>
    <row r="1362" spans="3:3" x14ac:dyDescent="0.35">
      <c r="C1362" s="89"/>
    </row>
    <row r="1363" spans="3:3" x14ac:dyDescent="0.35">
      <c r="C1363" s="89"/>
    </row>
    <row r="1364" spans="3:3" x14ac:dyDescent="0.35">
      <c r="C1364" s="89"/>
    </row>
    <row r="1365" spans="3:3" x14ac:dyDescent="0.35">
      <c r="C1365" s="89"/>
    </row>
    <row r="1366" spans="3:3" x14ac:dyDescent="0.35">
      <c r="C1366" s="89"/>
    </row>
    <row r="1367" spans="3:3" x14ac:dyDescent="0.35">
      <c r="C1367" s="89"/>
    </row>
    <row r="1368" spans="3:3" x14ac:dyDescent="0.35">
      <c r="C1368" s="89"/>
    </row>
    <row r="1369" spans="3:3" x14ac:dyDescent="0.35">
      <c r="C1369" s="89"/>
    </row>
    <row r="1370" spans="3:3" x14ac:dyDescent="0.35">
      <c r="C1370" s="89"/>
    </row>
    <row r="1371" spans="3:3" x14ac:dyDescent="0.35">
      <c r="C1371" s="89"/>
    </row>
    <row r="1372" spans="3:3" x14ac:dyDescent="0.35">
      <c r="C1372" s="89"/>
    </row>
    <row r="1373" spans="3:3" x14ac:dyDescent="0.35">
      <c r="C1373" s="89"/>
    </row>
    <row r="1374" spans="3:3" x14ac:dyDescent="0.35">
      <c r="C1374" s="89"/>
    </row>
    <row r="1375" spans="3:3" x14ac:dyDescent="0.35">
      <c r="C1375" s="89"/>
    </row>
    <row r="1376" spans="3:3" x14ac:dyDescent="0.35">
      <c r="C1376" s="89"/>
    </row>
    <row r="1377" spans="3:3" x14ac:dyDescent="0.35">
      <c r="C1377" s="89"/>
    </row>
    <row r="1378" spans="3:3" x14ac:dyDescent="0.35">
      <c r="C1378" s="89"/>
    </row>
    <row r="1379" spans="3:3" x14ac:dyDescent="0.35">
      <c r="C1379" s="89"/>
    </row>
    <row r="1380" spans="3:3" x14ac:dyDescent="0.35">
      <c r="C1380" s="89"/>
    </row>
    <row r="1381" spans="3:3" x14ac:dyDescent="0.35">
      <c r="C1381" s="89"/>
    </row>
    <row r="1382" spans="3:3" x14ac:dyDescent="0.35">
      <c r="C1382" s="89"/>
    </row>
    <row r="1383" spans="3:3" x14ac:dyDescent="0.35">
      <c r="C1383" s="89"/>
    </row>
    <row r="1384" spans="3:3" x14ac:dyDescent="0.35">
      <c r="C1384" s="89"/>
    </row>
    <row r="1385" spans="3:3" x14ac:dyDescent="0.35">
      <c r="C1385" s="89"/>
    </row>
    <row r="1386" spans="3:3" x14ac:dyDescent="0.35">
      <c r="C1386" s="89"/>
    </row>
    <row r="1387" spans="3:3" x14ac:dyDescent="0.35">
      <c r="C1387" s="89"/>
    </row>
    <row r="1388" spans="3:3" x14ac:dyDescent="0.35">
      <c r="C1388" s="89"/>
    </row>
    <row r="1389" spans="3:3" x14ac:dyDescent="0.35">
      <c r="C1389" s="89"/>
    </row>
    <row r="1390" spans="3:3" x14ac:dyDescent="0.35">
      <c r="C1390" s="89"/>
    </row>
    <row r="1391" spans="3:3" x14ac:dyDescent="0.35">
      <c r="C1391" s="89"/>
    </row>
    <row r="1392" spans="3:3" x14ac:dyDescent="0.35">
      <c r="C1392" s="89"/>
    </row>
    <row r="1393" spans="3:3" x14ac:dyDescent="0.35">
      <c r="C1393" s="89"/>
    </row>
    <row r="1394" spans="3:3" x14ac:dyDescent="0.35">
      <c r="C1394" s="89"/>
    </row>
    <row r="1395" spans="3:3" x14ac:dyDescent="0.35">
      <c r="C1395" s="89"/>
    </row>
    <row r="1396" spans="3:3" x14ac:dyDescent="0.35">
      <c r="C1396" s="89"/>
    </row>
    <row r="1397" spans="3:3" x14ac:dyDescent="0.35">
      <c r="C1397" s="89"/>
    </row>
    <row r="1398" spans="3:3" x14ac:dyDescent="0.35">
      <c r="C1398" s="89"/>
    </row>
    <row r="1399" spans="3:3" x14ac:dyDescent="0.35">
      <c r="C1399" s="89"/>
    </row>
    <row r="1400" spans="3:3" x14ac:dyDescent="0.35">
      <c r="C1400" s="89"/>
    </row>
    <row r="1401" spans="3:3" x14ac:dyDescent="0.35">
      <c r="C1401" s="89"/>
    </row>
    <row r="1402" spans="3:3" x14ac:dyDescent="0.35">
      <c r="C1402" s="89"/>
    </row>
    <row r="1403" spans="3:3" x14ac:dyDescent="0.35">
      <c r="C1403" s="89"/>
    </row>
    <row r="1404" spans="3:3" x14ac:dyDescent="0.35">
      <c r="C1404" s="89"/>
    </row>
    <row r="1405" spans="3:3" x14ac:dyDescent="0.35">
      <c r="C1405" s="89"/>
    </row>
    <row r="1406" spans="3:3" x14ac:dyDescent="0.35">
      <c r="C1406" s="89"/>
    </row>
    <row r="1407" spans="3:3" x14ac:dyDescent="0.35">
      <c r="C1407" s="89"/>
    </row>
    <row r="1408" spans="3:3" x14ac:dyDescent="0.35">
      <c r="C1408" s="89"/>
    </row>
    <row r="1409" spans="3:3" x14ac:dyDescent="0.35">
      <c r="C1409" s="89"/>
    </row>
    <row r="1410" spans="3:3" x14ac:dyDescent="0.35">
      <c r="C1410" s="89"/>
    </row>
    <row r="1411" spans="3:3" x14ac:dyDescent="0.35">
      <c r="C1411" s="89"/>
    </row>
    <row r="1412" spans="3:3" x14ac:dyDescent="0.35">
      <c r="C1412" s="89"/>
    </row>
    <row r="1413" spans="3:3" x14ac:dyDescent="0.35">
      <c r="C1413" s="89"/>
    </row>
    <row r="1414" spans="3:3" x14ac:dyDescent="0.35">
      <c r="C1414" s="89"/>
    </row>
    <row r="1415" spans="3:3" x14ac:dyDescent="0.35">
      <c r="C1415" s="89"/>
    </row>
    <row r="1416" spans="3:3" x14ac:dyDescent="0.35">
      <c r="C1416" s="89"/>
    </row>
    <row r="1417" spans="3:3" x14ac:dyDescent="0.35">
      <c r="C1417" s="89"/>
    </row>
    <row r="1418" spans="3:3" x14ac:dyDescent="0.35">
      <c r="C1418" s="89"/>
    </row>
    <row r="1419" spans="3:3" x14ac:dyDescent="0.35">
      <c r="C1419" s="89"/>
    </row>
    <row r="1420" spans="3:3" x14ac:dyDescent="0.35">
      <c r="C1420" s="89"/>
    </row>
    <row r="1421" spans="3:3" x14ac:dyDescent="0.35">
      <c r="C1421" s="89"/>
    </row>
    <row r="1422" spans="3:3" x14ac:dyDescent="0.35">
      <c r="C1422" s="89"/>
    </row>
    <row r="1423" spans="3:3" x14ac:dyDescent="0.35">
      <c r="C1423" s="89"/>
    </row>
    <row r="1424" spans="3:3" x14ac:dyDescent="0.35">
      <c r="C1424" s="89"/>
    </row>
    <row r="1425" spans="3:3" x14ac:dyDescent="0.35">
      <c r="C1425" s="89"/>
    </row>
    <row r="1426" spans="3:3" x14ac:dyDescent="0.35">
      <c r="C1426" s="89"/>
    </row>
    <row r="1427" spans="3:3" x14ac:dyDescent="0.35">
      <c r="C1427" s="89"/>
    </row>
    <row r="1428" spans="3:3" x14ac:dyDescent="0.35">
      <c r="C1428" s="89"/>
    </row>
    <row r="1429" spans="3:3" x14ac:dyDescent="0.35">
      <c r="C1429" s="89"/>
    </row>
    <row r="1430" spans="3:3" x14ac:dyDescent="0.35">
      <c r="C1430" s="89"/>
    </row>
    <row r="1431" spans="3:3" x14ac:dyDescent="0.35">
      <c r="C1431" s="89"/>
    </row>
    <row r="1432" spans="3:3" x14ac:dyDescent="0.35">
      <c r="C1432" s="89"/>
    </row>
    <row r="1433" spans="3:3" x14ac:dyDescent="0.35">
      <c r="C1433" s="89"/>
    </row>
    <row r="1434" spans="3:3" x14ac:dyDescent="0.35">
      <c r="C1434" s="89"/>
    </row>
    <row r="1435" spans="3:3" x14ac:dyDescent="0.35">
      <c r="C1435" s="89"/>
    </row>
    <row r="1436" spans="3:3" x14ac:dyDescent="0.35">
      <c r="C1436" s="89"/>
    </row>
    <row r="1437" spans="3:3" x14ac:dyDescent="0.35">
      <c r="C1437" s="89"/>
    </row>
    <row r="1438" spans="3:3" x14ac:dyDescent="0.35">
      <c r="C1438" s="89"/>
    </row>
    <row r="1439" spans="3:3" x14ac:dyDescent="0.35">
      <c r="C1439" s="89"/>
    </row>
    <row r="1440" spans="3:3" x14ac:dyDescent="0.35">
      <c r="C1440" s="89"/>
    </row>
    <row r="1441" spans="3:3" x14ac:dyDescent="0.35">
      <c r="C1441" s="89"/>
    </row>
    <row r="1442" spans="3:3" x14ac:dyDescent="0.35">
      <c r="C1442" s="89"/>
    </row>
    <row r="1443" spans="3:3" x14ac:dyDescent="0.35">
      <c r="C1443" s="89"/>
    </row>
    <row r="1444" spans="3:3" x14ac:dyDescent="0.35">
      <c r="C1444" s="89"/>
    </row>
    <row r="1445" spans="3:3" x14ac:dyDescent="0.35">
      <c r="C1445" s="89"/>
    </row>
    <row r="1446" spans="3:3" x14ac:dyDescent="0.35">
      <c r="C1446" s="89"/>
    </row>
    <row r="1447" spans="3:3" x14ac:dyDescent="0.35">
      <c r="C1447" s="89"/>
    </row>
    <row r="1448" spans="3:3" x14ac:dyDescent="0.35">
      <c r="C1448" s="89"/>
    </row>
    <row r="1449" spans="3:3" x14ac:dyDescent="0.35">
      <c r="C1449" s="89"/>
    </row>
    <row r="1450" spans="3:3" x14ac:dyDescent="0.35">
      <c r="C1450" s="89"/>
    </row>
    <row r="1451" spans="3:3" x14ac:dyDescent="0.35">
      <c r="C1451" s="89"/>
    </row>
  </sheetData>
  <mergeCells count="5">
    <mergeCell ref="C56:H56"/>
    <mergeCell ref="B1:H1"/>
    <mergeCell ref="B2:H2"/>
    <mergeCell ref="B3:H3"/>
    <mergeCell ref="C7:H7"/>
  </mergeCells>
  <phoneticPr fontId="0" type="noConversion"/>
  <pageMargins left="0.34" right="0.27" top="0.79" bottom="1" header="0.5" footer="0.5"/>
  <pageSetup paperSize="9" scale="60" fitToHeight="3" orientation="portrait" r:id="rId1"/>
  <headerFooter alignWithMargins="0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7"/>
  <sheetViews>
    <sheetView workbookViewId="0">
      <selection activeCell="C19" sqref="C19"/>
    </sheetView>
  </sheetViews>
  <sheetFormatPr defaultColWidth="9.1796875" defaultRowHeight="13" x14ac:dyDescent="0.3"/>
  <cols>
    <col min="1" max="1" width="33.453125" style="114" customWidth="1"/>
    <col min="2" max="2" width="3.26953125" style="114" customWidth="1"/>
    <col min="3" max="3" width="4.453125" style="114" customWidth="1"/>
    <col min="4" max="4" width="8.7265625" style="114" customWidth="1"/>
    <col min="5" max="5" width="6.453125" style="114" customWidth="1"/>
    <col min="6" max="6" width="12.7265625" style="114" customWidth="1"/>
    <col min="7" max="7" width="9.1796875" style="115"/>
    <col min="8" max="8" width="11" style="114" customWidth="1"/>
    <col min="9" max="16384" width="9.1796875" style="114"/>
  </cols>
  <sheetData>
    <row r="1" spans="1:8" ht="15.5" x14ac:dyDescent="0.35">
      <c r="A1" s="175" t="s">
        <v>68</v>
      </c>
      <c r="B1" s="175"/>
      <c r="C1" s="175"/>
      <c r="D1" s="175"/>
      <c r="E1" s="175"/>
      <c r="F1" s="175"/>
      <c r="G1" s="175"/>
      <c r="H1" s="175"/>
    </row>
    <row r="2" spans="1:8" ht="13.5" thickBot="1" x14ac:dyDescent="0.35"/>
    <row r="3" spans="1:8" ht="18" x14ac:dyDescent="0.35">
      <c r="A3" s="116"/>
      <c r="B3" s="117"/>
      <c r="C3" s="118"/>
      <c r="D3" s="119" t="s">
        <v>60</v>
      </c>
      <c r="E3" s="120" t="s">
        <v>61</v>
      </c>
      <c r="F3" s="121" t="s">
        <v>11</v>
      </c>
      <c r="G3" s="122"/>
      <c r="H3" s="121" t="s">
        <v>62</v>
      </c>
    </row>
    <row r="4" spans="1:8" ht="18.5" thickBot="1" x14ac:dyDescent="0.4">
      <c r="A4" s="123"/>
      <c r="B4" s="124"/>
      <c r="C4" s="125"/>
      <c r="D4" s="126" t="s">
        <v>14</v>
      </c>
      <c r="E4" s="127" t="s">
        <v>14</v>
      </c>
      <c r="F4" s="128" t="s">
        <v>14</v>
      </c>
      <c r="G4" s="122"/>
      <c r="H4" s="128" t="s">
        <v>14</v>
      </c>
    </row>
    <row r="5" spans="1:8" ht="18" x14ac:dyDescent="0.35">
      <c r="A5" s="123"/>
      <c r="B5" s="124"/>
      <c r="C5" s="125"/>
      <c r="D5" s="129"/>
      <c r="E5" s="130"/>
      <c r="F5" s="131"/>
      <c r="G5" s="122"/>
      <c r="H5" s="131"/>
    </row>
    <row r="6" spans="1:8" ht="18" x14ac:dyDescent="0.35">
      <c r="A6" s="123" t="s">
        <v>63</v>
      </c>
      <c r="B6" s="124"/>
      <c r="C6" s="125"/>
      <c r="D6" s="132">
        <f>+[1]summary!F94</f>
        <v>9575.0807066999987</v>
      </c>
      <c r="E6" s="133">
        <f>+[1]summary!G94</f>
        <v>228.78130000000002</v>
      </c>
      <c r="F6" s="134">
        <f>+D6+E6</f>
        <v>9803.8620066999993</v>
      </c>
      <c r="G6" s="122"/>
      <c r="H6" s="131">
        <v>200</v>
      </c>
    </row>
    <row r="7" spans="1:8" ht="18" x14ac:dyDescent="0.35">
      <c r="A7" s="123" t="s">
        <v>64</v>
      </c>
      <c r="B7" s="124"/>
      <c r="C7" s="125"/>
      <c r="D7" s="132">
        <f>+[1]summary!F95</f>
        <v>832.13331749999998</v>
      </c>
      <c r="E7" s="133">
        <f>+[1]summary!G95</f>
        <v>19.8825</v>
      </c>
      <c r="F7" s="134">
        <f>+D7+E7</f>
        <v>852.01581750000003</v>
      </c>
      <c r="G7" s="122"/>
      <c r="H7" s="131">
        <v>17.399999999999999</v>
      </c>
    </row>
    <row r="8" spans="1:8" ht="18" x14ac:dyDescent="0.35">
      <c r="A8" s="123" t="s">
        <v>65</v>
      </c>
      <c r="B8" s="124"/>
      <c r="C8" s="125"/>
      <c r="D8" s="132">
        <f>+[1]summary!F96</f>
        <v>454.89954690000002</v>
      </c>
      <c r="E8" s="133">
        <f>+[1]summary!G96</f>
        <v>10.869100000000001</v>
      </c>
      <c r="F8" s="134">
        <f>+D8+E8</f>
        <v>465.76864690000002</v>
      </c>
      <c r="G8" s="122"/>
      <c r="H8" s="131">
        <v>9.5</v>
      </c>
    </row>
    <row r="9" spans="1:8" ht="18" x14ac:dyDescent="0.35">
      <c r="A9" s="123" t="s">
        <v>66</v>
      </c>
      <c r="B9" s="124"/>
      <c r="C9" s="125"/>
      <c r="D9" s="132">
        <f>+[1]summary!F97</f>
        <v>232.99732890000001</v>
      </c>
      <c r="E9" s="133">
        <f>+[1]summary!G97</f>
        <v>5.5671000000000008</v>
      </c>
      <c r="F9" s="134">
        <f>+D9+E9</f>
        <v>238.56442890000002</v>
      </c>
      <c r="G9" s="122"/>
      <c r="H9" s="131">
        <v>4.9000000000000004</v>
      </c>
    </row>
    <row r="10" spans="1:8" ht="18" x14ac:dyDescent="0.35">
      <c r="A10" s="123"/>
      <c r="B10" s="124"/>
      <c r="C10" s="125"/>
      <c r="D10" s="132"/>
      <c r="E10" s="133"/>
      <c r="F10" s="134"/>
      <c r="G10" s="122"/>
      <c r="H10" s="131"/>
    </row>
    <row r="11" spans="1:8" ht="18" x14ac:dyDescent="0.35">
      <c r="A11" s="123" t="s">
        <v>67</v>
      </c>
      <c r="B11" s="124"/>
      <c r="C11" s="125"/>
      <c r="D11" s="132">
        <v>120</v>
      </c>
      <c r="E11" s="133">
        <v>0</v>
      </c>
      <c r="F11" s="134">
        <f>+D11+E11</f>
        <v>120</v>
      </c>
      <c r="G11" s="122"/>
      <c r="H11" s="131">
        <v>0</v>
      </c>
    </row>
    <row r="12" spans="1:8" ht="18" x14ac:dyDescent="0.35">
      <c r="A12" s="123"/>
      <c r="B12" s="124"/>
      <c r="C12" s="125"/>
      <c r="D12" s="135"/>
      <c r="E12" s="136"/>
      <c r="F12" s="137"/>
      <c r="G12" s="122"/>
      <c r="H12" s="131"/>
    </row>
    <row r="13" spans="1:8" ht="18" x14ac:dyDescent="0.35">
      <c r="A13" s="138" t="s">
        <v>11</v>
      </c>
      <c r="B13" s="124"/>
      <c r="C13" s="125"/>
      <c r="D13" s="139">
        <f>+SUM(D6:D12)</f>
        <v>11215.1109</v>
      </c>
      <c r="E13" s="140">
        <f>+SUM(E6:E12)</f>
        <v>265.09999999999997</v>
      </c>
      <c r="F13" s="141">
        <f>+SUM(F6:F12)</f>
        <v>11480.210899999998</v>
      </c>
      <c r="G13" s="122"/>
      <c r="H13" s="142">
        <f>+SUM(H6:H12)</f>
        <v>231.8</v>
      </c>
    </row>
    <row r="14" spans="1:8" ht="18.5" thickBot="1" x14ac:dyDescent="0.4">
      <c r="A14" s="143"/>
      <c r="B14" s="144"/>
      <c r="C14" s="145"/>
      <c r="D14" s="146"/>
      <c r="E14" s="147"/>
      <c r="F14" s="148"/>
      <c r="G14" s="122"/>
      <c r="H14" s="148"/>
    </row>
    <row r="17" spans="1:8" ht="15.5" x14ac:dyDescent="0.35">
      <c r="A17" s="175" t="s">
        <v>69</v>
      </c>
      <c r="B17" s="175"/>
      <c r="C17" s="175"/>
      <c r="D17" s="175"/>
      <c r="E17" s="175"/>
      <c r="F17" s="175"/>
      <c r="G17" s="175"/>
      <c r="H17" s="175"/>
    </row>
    <row r="18" spans="1:8" ht="15.5" x14ac:dyDescent="0.35">
      <c r="A18" s="149"/>
      <c r="B18" s="149"/>
      <c r="C18" s="149"/>
      <c r="D18" s="149"/>
      <c r="E18" s="149"/>
      <c r="F18" s="149"/>
      <c r="G18" s="150"/>
      <c r="H18" s="149"/>
    </row>
    <row r="19" spans="1:8" ht="15.5" x14ac:dyDescent="0.35">
      <c r="A19" s="149"/>
      <c r="B19" s="149"/>
      <c r="C19" s="149"/>
      <c r="D19" s="151" t="s">
        <v>60</v>
      </c>
      <c r="E19" s="152" t="s">
        <v>61</v>
      </c>
      <c r="F19" s="153" t="s">
        <v>70</v>
      </c>
      <c r="G19" s="154" t="s">
        <v>11</v>
      </c>
      <c r="H19" s="155" t="s">
        <v>62</v>
      </c>
    </row>
    <row r="20" spans="1:8" ht="15.5" x14ac:dyDescent="0.35">
      <c r="A20" s="156"/>
      <c r="B20" s="156"/>
      <c r="C20" s="156"/>
      <c r="D20" s="157" t="s">
        <v>14</v>
      </c>
      <c r="E20" s="158" t="s">
        <v>14</v>
      </c>
      <c r="F20" s="159" t="s">
        <v>14</v>
      </c>
      <c r="G20" s="160" t="s">
        <v>14</v>
      </c>
      <c r="H20" s="161" t="s">
        <v>14</v>
      </c>
    </row>
    <row r="21" spans="1:8" ht="15.5" x14ac:dyDescent="0.35">
      <c r="A21" s="156"/>
      <c r="B21" s="156"/>
      <c r="C21" s="156"/>
      <c r="D21" s="156"/>
      <c r="E21" s="156"/>
      <c r="G21" s="162"/>
      <c r="H21" s="156"/>
    </row>
    <row r="22" spans="1:8" ht="18" x14ac:dyDescent="0.35">
      <c r="A22" s="123" t="s">
        <v>71</v>
      </c>
      <c r="B22" s="156"/>
      <c r="C22" s="163">
        <v>1</v>
      </c>
      <c r="D22" s="162">
        <v>4119</v>
      </c>
      <c r="E22" s="162">
        <v>117</v>
      </c>
      <c r="F22" s="114">
        <v>0</v>
      </c>
      <c r="G22" s="162">
        <f>+D22+E22+F22</f>
        <v>4236</v>
      </c>
      <c r="H22" s="162">
        <f>200</f>
        <v>200</v>
      </c>
    </row>
    <row r="23" spans="1:8" ht="18" x14ac:dyDescent="0.35">
      <c r="A23" s="123" t="s">
        <v>72</v>
      </c>
      <c r="B23" s="156"/>
      <c r="C23" s="163">
        <v>2</v>
      </c>
      <c r="D23" s="162">
        <v>0</v>
      </c>
      <c r="E23" s="162">
        <v>0</v>
      </c>
      <c r="F23" s="162">
        <v>766</v>
      </c>
      <c r="G23" s="162">
        <f t="shared" ref="G23:G31" si="0">+D23+E23+F23</f>
        <v>766</v>
      </c>
      <c r="H23" s="162"/>
    </row>
    <row r="24" spans="1:8" ht="18" x14ac:dyDescent="0.35">
      <c r="A24" s="123" t="s">
        <v>73</v>
      </c>
      <c r="B24" s="156"/>
      <c r="C24" s="163">
        <v>1</v>
      </c>
      <c r="D24" s="162">
        <v>3150</v>
      </c>
      <c r="E24" s="162"/>
      <c r="G24" s="162">
        <f t="shared" si="0"/>
        <v>3150</v>
      </c>
      <c r="H24" s="162"/>
    </row>
    <row r="25" spans="1:8" ht="17.5" x14ac:dyDescent="0.45">
      <c r="A25" s="123" t="s">
        <v>64</v>
      </c>
      <c r="B25" s="156"/>
      <c r="C25" s="164">
        <v>3</v>
      </c>
      <c r="D25" s="162">
        <f>788.4-23</f>
        <v>765.4</v>
      </c>
      <c r="E25" s="162">
        <v>20</v>
      </c>
      <c r="F25" s="162">
        <f>+($F$23)/86.3*7.5</f>
        <v>66.570104287369645</v>
      </c>
      <c r="G25" s="162">
        <f t="shared" si="0"/>
        <v>851.97010428736962</v>
      </c>
      <c r="H25" s="162">
        <v>17.399999999999999</v>
      </c>
    </row>
    <row r="26" spans="1:8" ht="17.5" x14ac:dyDescent="0.45">
      <c r="A26" s="123" t="s">
        <v>65</v>
      </c>
      <c r="B26" s="156"/>
      <c r="C26" s="164">
        <v>3</v>
      </c>
      <c r="D26" s="162">
        <f>430.6-12</f>
        <v>418.6</v>
      </c>
      <c r="E26" s="162">
        <v>11</v>
      </c>
      <c r="F26" s="162">
        <f>+($F$23)/86.3*4.1</f>
        <v>36.391657010428737</v>
      </c>
      <c r="G26" s="162">
        <f t="shared" si="0"/>
        <v>465.99165701042875</v>
      </c>
      <c r="H26" s="162">
        <v>9.5</v>
      </c>
    </row>
    <row r="27" spans="1:8" ht="17.5" x14ac:dyDescent="0.45">
      <c r="A27" s="123" t="s">
        <v>66</v>
      </c>
      <c r="B27" s="156"/>
      <c r="C27" s="164">
        <v>3</v>
      </c>
      <c r="D27" s="162">
        <f>220.4-6</f>
        <v>214.4</v>
      </c>
      <c r="E27" s="162">
        <v>6</v>
      </c>
      <c r="F27" s="162">
        <f>+($F$23)/86.3*2.1</f>
        <v>18.639629200463499</v>
      </c>
      <c r="G27" s="162">
        <f t="shared" si="0"/>
        <v>239.03962920046351</v>
      </c>
      <c r="H27" s="162">
        <v>4.9000000000000004</v>
      </c>
    </row>
    <row r="28" spans="1:8" ht="15.5" x14ac:dyDescent="0.35">
      <c r="A28" s="123"/>
      <c r="B28" s="156"/>
      <c r="C28" s="156"/>
      <c r="D28" s="162"/>
      <c r="E28" s="162"/>
      <c r="G28" s="162"/>
      <c r="H28" s="162"/>
    </row>
    <row r="29" spans="1:8" ht="18" x14ac:dyDescent="0.35">
      <c r="A29" s="123" t="s">
        <v>74</v>
      </c>
      <c r="B29" s="156"/>
      <c r="C29" s="163">
        <v>4</v>
      </c>
      <c r="D29" s="162">
        <v>1600</v>
      </c>
      <c r="E29" s="162"/>
      <c r="G29" s="162">
        <f t="shared" si="0"/>
        <v>1600</v>
      </c>
      <c r="H29" s="162"/>
    </row>
    <row r="30" spans="1:8" ht="15.5" x14ac:dyDescent="0.35">
      <c r="A30" s="123"/>
      <c r="B30" s="156"/>
      <c r="C30" s="156"/>
      <c r="D30" s="162"/>
      <c r="E30" s="162"/>
      <c r="G30" s="162"/>
      <c r="H30" s="162"/>
    </row>
    <row r="31" spans="1:8" ht="15.5" x14ac:dyDescent="0.35">
      <c r="A31" s="123" t="s">
        <v>67</v>
      </c>
      <c r="B31" s="156"/>
      <c r="C31" s="156"/>
      <c r="D31" s="162">
        <v>120</v>
      </c>
      <c r="E31" s="162">
        <v>0</v>
      </c>
      <c r="G31" s="162">
        <f t="shared" si="0"/>
        <v>120</v>
      </c>
      <c r="H31" s="162"/>
    </row>
    <row r="32" spans="1:8" ht="15.5" x14ac:dyDescent="0.35">
      <c r="A32" s="123"/>
      <c r="B32" s="156"/>
      <c r="C32" s="156"/>
      <c r="D32" s="162"/>
      <c r="E32" s="162"/>
      <c r="G32" s="162"/>
      <c r="H32" s="162"/>
    </row>
    <row r="33" spans="1:8" s="156" customFormat="1" ht="15.5" x14ac:dyDescent="0.35">
      <c r="A33" s="138" t="s">
        <v>11</v>
      </c>
      <c r="D33" s="165">
        <f>+SUM(D22:D32)</f>
        <v>10387.4</v>
      </c>
      <c r="E33" s="165">
        <f>+SUM(E22:E32)</f>
        <v>154</v>
      </c>
      <c r="F33" s="165">
        <f>+SUM(F22:F32)</f>
        <v>887.60139049826182</v>
      </c>
      <c r="G33" s="165">
        <f>+SUM(G22:G32)</f>
        <v>11429.001390498262</v>
      </c>
      <c r="H33" s="165">
        <f>+SUM(H22:H32)</f>
        <v>231.8</v>
      </c>
    </row>
    <row r="34" spans="1:8" s="156" customFormat="1" ht="15.5" x14ac:dyDescent="0.35">
      <c r="A34" s="166"/>
      <c r="D34" s="165"/>
      <c r="E34" s="165"/>
      <c r="F34" s="165"/>
      <c r="G34" s="165"/>
      <c r="H34" s="165"/>
    </row>
    <row r="35" spans="1:8" s="156" customFormat="1" ht="15.5" x14ac:dyDescent="0.35">
      <c r="A35" s="166" t="s">
        <v>75</v>
      </c>
      <c r="D35" s="165"/>
      <c r="E35" s="165"/>
      <c r="F35" s="165"/>
      <c r="G35" s="167">
        <f>+G33-F13</f>
        <v>-51.209509501735738</v>
      </c>
      <c r="H35" s="165"/>
    </row>
    <row r="36" spans="1:8" ht="15.5" x14ac:dyDescent="0.35">
      <c r="A36" s="156"/>
      <c r="B36" s="156"/>
      <c r="C36" s="156"/>
      <c r="D36" s="156"/>
      <c r="E36" s="156"/>
      <c r="F36" s="156"/>
      <c r="G36" s="162"/>
      <c r="H36" s="156"/>
    </row>
    <row r="37" spans="1:8" ht="18" x14ac:dyDescent="0.35">
      <c r="A37" s="163" t="s">
        <v>76</v>
      </c>
      <c r="B37" s="156"/>
      <c r="C37" s="156"/>
      <c r="D37" s="156"/>
      <c r="E37" s="156"/>
      <c r="F37" s="156"/>
      <c r="G37" s="162"/>
      <c r="H37" s="156"/>
    </row>
    <row r="38" spans="1:8" ht="18" x14ac:dyDescent="0.35">
      <c r="A38" s="163" t="s">
        <v>77</v>
      </c>
      <c r="B38" s="156"/>
      <c r="C38" s="156"/>
      <c r="D38" s="156"/>
      <c r="E38" s="156"/>
      <c r="F38" s="156"/>
      <c r="G38" s="162"/>
      <c r="H38" s="156"/>
    </row>
    <row r="39" spans="1:8" ht="18" x14ac:dyDescent="0.35">
      <c r="A39" s="163" t="s">
        <v>78</v>
      </c>
      <c r="B39" s="156"/>
      <c r="C39" s="156"/>
      <c r="D39" s="156"/>
      <c r="E39" s="156"/>
      <c r="F39" s="156"/>
      <c r="G39" s="162"/>
      <c r="H39" s="156"/>
    </row>
    <row r="40" spans="1:8" ht="18" x14ac:dyDescent="0.35">
      <c r="A40" s="163" t="s">
        <v>79</v>
      </c>
      <c r="B40" s="156"/>
      <c r="C40" s="156"/>
      <c r="D40" s="156"/>
      <c r="E40" s="156"/>
      <c r="F40" s="156"/>
      <c r="G40" s="162"/>
      <c r="H40" s="156"/>
    </row>
    <row r="41" spans="1:8" ht="15.5" x14ac:dyDescent="0.35">
      <c r="A41" s="156"/>
      <c r="B41" s="156"/>
      <c r="C41" s="156"/>
      <c r="D41" s="156"/>
      <c r="E41" s="156"/>
      <c r="F41" s="156"/>
      <c r="G41" s="162"/>
      <c r="H41" s="156"/>
    </row>
    <row r="42" spans="1:8" ht="15.5" x14ac:dyDescent="0.35">
      <c r="A42" s="156" t="s">
        <v>80</v>
      </c>
      <c r="B42" s="156"/>
      <c r="C42" s="156"/>
      <c r="D42" s="156"/>
      <c r="E42" s="156"/>
      <c r="F42" s="156"/>
      <c r="G42" s="162"/>
      <c r="H42" s="156"/>
    </row>
    <row r="43" spans="1:8" ht="15.5" x14ac:dyDescent="0.35">
      <c r="A43" s="156" t="s">
        <v>81</v>
      </c>
      <c r="B43" s="156"/>
      <c r="C43" s="156"/>
      <c r="D43" s="156"/>
      <c r="E43" s="156"/>
      <c r="F43" s="156"/>
      <c r="G43" s="162"/>
      <c r="H43" s="156"/>
    </row>
    <row r="44" spans="1:8" ht="15.5" x14ac:dyDescent="0.35">
      <c r="A44" s="156"/>
      <c r="B44" s="156"/>
      <c r="C44" s="156"/>
      <c r="D44" s="156"/>
      <c r="E44" s="156"/>
      <c r="F44" s="156"/>
      <c r="G44" s="162"/>
      <c r="H44" s="156"/>
    </row>
    <row r="45" spans="1:8" ht="15.5" x14ac:dyDescent="0.35">
      <c r="A45" s="156"/>
      <c r="B45" s="156"/>
      <c r="C45" s="156"/>
      <c r="D45" s="156"/>
      <c r="E45" s="156"/>
      <c r="F45" s="156"/>
      <c r="G45" s="162"/>
      <c r="H45" s="156"/>
    </row>
    <row r="46" spans="1:8" ht="15.5" x14ac:dyDescent="0.35">
      <c r="A46" s="156"/>
      <c r="B46" s="156"/>
      <c r="C46" s="156"/>
      <c r="D46" s="156"/>
      <c r="E46" s="156"/>
      <c r="F46" s="156"/>
      <c r="G46" s="162"/>
      <c r="H46" s="156"/>
    </row>
    <row r="47" spans="1:8" ht="15.5" x14ac:dyDescent="0.35">
      <c r="A47" s="156"/>
      <c r="B47" s="156"/>
      <c r="C47" s="156"/>
      <c r="D47" s="156"/>
      <c r="E47" s="156"/>
      <c r="F47" s="156"/>
      <c r="G47" s="162"/>
      <c r="H47" s="156"/>
    </row>
    <row r="48" spans="1:8" ht="15.5" x14ac:dyDescent="0.35">
      <c r="A48" s="156"/>
      <c r="B48" s="156"/>
      <c r="C48" s="156"/>
      <c r="D48" s="156"/>
      <c r="E48" s="156"/>
      <c r="F48" s="156"/>
      <c r="G48" s="162"/>
      <c r="H48" s="156"/>
    </row>
    <row r="49" spans="1:8" ht="15.5" x14ac:dyDescent="0.35">
      <c r="A49" s="156"/>
      <c r="B49" s="156"/>
      <c r="C49" s="156"/>
      <c r="D49" s="156"/>
      <c r="E49" s="156"/>
      <c r="F49" s="156"/>
      <c r="G49" s="162"/>
      <c r="H49" s="156"/>
    </row>
    <row r="50" spans="1:8" ht="15.5" x14ac:dyDescent="0.35">
      <c r="A50" s="156"/>
      <c r="B50" s="156"/>
      <c r="C50" s="156"/>
      <c r="D50" s="156"/>
      <c r="E50" s="156"/>
      <c r="F50" s="156"/>
      <c r="G50" s="162"/>
      <c r="H50" s="156"/>
    </row>
    <row r="51" spans="1:8" ht="15.5" x14ac:dyDescent="0.35">
      <c r="A51" s="156"/>
      <c r="B51" s="156"/>
      <c r="C51" s="156"/>
      <c r="D51" s="156"/>
      <c r="E51" s="156"/>
      <c r="F51" s="156"/>
      <c r="G51" s="162"/>
      <c r="H51" s="156"/>
    </row>
    <row r="52" spans="1:8" ht="15.5" x14ac:dyDescent="0.35">
      <c r="A52" s="156"/>
      <c r="B52" s="156"/>
      <c r="C52" s="156"/>
      <c r="D52" s="156"/>
      <c r="E52" s="156"/>
      <c r="F52" s="156"/>
      <c r="G52" s="162"/>
      <c r="H52" s="156"/>
    </row>
    <row r="53" spans="1:8" ht="15.5" x14ac:dyDescent="0.35">
      <c r="A53" s="156"/>
      <c r="B53" s="156"/>
      <c r="C53" s="156"/>
      <c r="D53" s="156"/>
      <c r="E53" s="156"/>
      <c r="F53" s="156"/>
      <c r="G53" s="162"/>
      <c r="H53" s="156"/>
    </row>
    <row r="54" spans="1:8" ht="15.5" x14ac:dyDescent="0.35">
      <c r="A54" s="156"/>
      <c r="B54" s="156"/>
      <c r="C54" s="156"/>
      <c r="D54" s="156"/>
      <c r="E54" s="156"/>
      <c r="F54" s="156"/>
      <c r="G54" s="162"/>
      <c r="H54" s="156"/>
    </row>
    <row r="55" spans="1:8" ht="15.5" x14ac:dyDescent="0.35">
      <c r="A55" s="156"/>
      <c r="B55" s="156"/>
      <c r="C55" s="156"/>
      <c r="D55" s="156"/>
      <c r="E55" s="156"/>
      <c r="F55" s="156"/>
      <c r="G55" s="162"/>
      <c r="H55" s="156"/>
    </row>
    <row r="56" spans="1:8" ht="15.5" x14ac:dyDescent="0.35">
      <c r="A56" s="156"/>
      <c r="B56" s="156"/>
      <c r="C56" s="156"/>
      <c r="D56" s="156"/>
      <c r="E56" s="156"/>
      <c r="F56" s="156"/>
      <c r="G56" s="162"/>
      <c r="H56" s="156"/>
    </row>
    <row r="57" spans="1:8" ht="15.5" x14ac:dyDescent="0.35">
      <c r="A57" s="156"/>
      <c r="B57" s="156"/>
      <c r="C57" s="156"/>
      <c r="D57" s="156"/>
      <c r="E57" s="156"/>
      <c r="F57" s="156"/>
      <c r="G57" s="162"/>
      <c r="H57" s="156"/>
    </row>
    <row r="58" spans="1:8" ht="15.5" x14ac:dyDescent="0.35">
      <c r="A58" s="156"/>
      <c r="B58" s="156"/>
      <c r="C58" s="156"/>
      <c r="D58" s="156"/>
      <c r="E58" s="156"/>
      <c r="F58" s="156"/>
      <c r="G58" s="162"/>
      <c r="H58" s="156"/>
    </row>
    <row r="59" spans="1:8" ht="15.5" x14ac:dyDescent="0.35">
      <c r="A59" s="156"/>
      <c r="B59" s="156"/>
      <c r="C59" s="156"/>
      <c r="D59" s="156"/>
      <c r="E59" s="156"/>
      <c r="F59" s="156"/>
      <c r="G59" s="162"/>
      <c r="H59" s="156"/>
    </row>
    <row r="60" spans="1:8" ht="15.5" x14ac:dyDescent="0.35">
      <c r="A60" s="156"/>
      <c r="B60" s="156"/>
      <c r="C60" s="156"/>
      <c r="D60" s="156"/>
      <c r="E60" s="156"/>
      <c r="F60" s="156"/>
      <c r="G60" s="162"/>
      <c r="H60" s="156"/>
    </row>
    <row r="61" spans="1:8" ht="15.5" x14ac:dyDescent="0.35">
      <c r="A61" s="156"/>
      <c r="B61" s="156"/>
      <c r="C61" s="156"/>
      <c r="D61" s="156"/>
      <c r="E61" s="156"/>
      <c r="F61" s="156"/>
      <c r="G61" s="162"/>
      <c r="H61" s="156"/>
    </row>
    <row r="62" spans="1:8" ht="15.5" x14ac:dyDescent="0.35">
      <c r="A62" s="156"/>
      <c r="B62" s="156"/>
      <c r="C62" s="156"/>
      <c r="D62" s="156"/>
      <c r="E62" s="156"/>
      <c r="F62" s="156"/>
      <c r="G62" s="162"/>
      <c r="H62" s="156"/>
    </row>
    <row r="63" spans="1:8" ht="15.5" x14ac:dyDescent="0.35">
      <c r="A63" s="156"/>
      <c r="B63" s="156"/>
      <c r="C63" s="156"/>
      <c r="D63" s="156"/>
      <c r="E63" s="156"/>
      <c r="F63" s="156"/>
      <c r="G63" s="162"/>
      <c r="H63" s="156"/>
    </row>
    <row r="64" spans="1:8" ht="15.5" x14ac:dyDescent="0.35">
      <c r="A64" s="156"/>
      <c r="B64" s="156"/>
      <c r="C64" s="156"/>
      <c r="D64" s="156"/>
      <c r="E64" s="156"/>
      <c r="F64" s="156"/>
      <c r="G64" s="162"/>
      <c r="H64" s="156"/>
    </row>
    <row r="65" spans="1:8" ht="15.5" x14ac:dyDescent="0.35">
      <c r="A65" s="156"/>
      <c r="B65" s="156"/>
      <c r="C65" s="156"/>
      <c r="D65" s="156"/>
      <c r="E65" s="156"/>
      <c r="F65" s="156"/>
      <c r="G65" s="162"/>
      <c r="H65" s="156"/>
    </row>
    <row r="66" spans="1:8" ht="15.5" x14ac:dyDescent="0.35">
      <c r="A66" s="156"/>
      <c r="B66" s="156"/>
      <c r="C66" s="156"/>
      <c r="D66" s="156"/>
      <c r="E66" s="156"/>
      <c r="F66" s="156"/>
      <c r="G66" s="162"/>
      <c r="H66" s="156"/>
    </row>
    <row r="67" spans="1:8" ht="15.5" x14ac:dyDescent="0.35">
      <c r="A67" s="156"/>
      <c r="B67" s="156"/>
      <c r="C67" s="156"/>
      <c r="D67" s="156"/>
      <c r="E67" s="156"/>
      <c r="F67" s="156"/>
      <c r="G67" s="162"/>
      <c r="H67" s="156"/>
    </row>
    <row r="68" spans="1:8" ht="15.5" x14ac:dyDescent="0.35">
      <c r="A68" s="156"/>
      <c r="B68" s="156"/>
      <c r="C68" s="156"/>
      <c r="D68" s="156"/>
      <c r="E68" s="156"/>
      <c r="F68" s="156"/>
      <c r="G68" s="162"/>
      <c r="H68" s="156"/>
    </row>
    <row r="69" spans="1:8" ht="15.5" x14ac:dyDescent="0.35">
      <c r="A69" s="156"/>
      <c r="B69" s="156"/>
      <c r="C69" s="156"/>
      <c r="D69" s="156"/>
      <c r="E69" s="156"/>
      <c r="F69" s="156"/>
      <c r="G69" s="162"/>
      <c r="H69" s="156"/>
    </row>
    <row r="70" spans="1:8" ht="15.5" x14ac:dyDescent="0.35">
      <c r="A70" s="156"/>
      <c r="B70" s="156"/>
      <c r="C70" s="156"/>
      <c r="D70" s="156"/>
      <c r="E70" s="156"/>
      <c r="F70" s="156"/>
      <c r="G70" s="162"/>
      <c r="H70" s="156"/>
    </row>
    <row r="71" spans="1:8" ht="15.5" x14ac:dyDescent="0.35">
      <c r="A71" s="156"/>
      <c r="B71" s="156"/>
      <c r="C71" s="156"/>
      <c r="D71" s="156"/>
      <c r="E71" s="156"/>
      <c r="F71" s="156"/>
      <c r="G71" s="162"/>
      <c r="H71" s="156"/>
    </row>
    <row r="72" spans="1:8" ht="15.5" x14ac:dyDescent="0.35">
      <c r="A72" s="156"/>
      <c r="B72" s="156"/>
      <c r="C72" s="156"/>
      <c r="D72" s="156"/>
      <c r="E72" s="156"/>
      <c r="F72" s="156"/>
      <c r="G72" s="162"/>
      <c r="H72" s="156"/>
    </row>
    <row r="73" spans="1:8" ht="15.5" x14ac:dyDescent="0.35">
      <c r="A73" s="156"/>
      <c r="B73" s="156"/>
      <c r="C73" s="156"/>
      <c r="D73" s="156"/>
      <c r="E73" s="156"/>
      <c r="F73" s="156"/>
      <c r="G73" s="162"/>
      <c r="H73" s="156"/>
    </row>
    <row r="74" spans="1:8" ht="15.5" x14ac:dyDescent="0.35">
      <c r="A74" s="156"/>
      <c r="B74" s="156"/>
      <c r="C74" s="156"/>
      <c r="D74" s="156"/>
      <c r="E74" s="156"/>
      <c r="F74" s="156"/>
      <c r="G74" s="162"/>
      <c r="H74" s="156"/>
    </row>
    <row r="75" spans="1:8" ht="15.5" x14ac:dyDescent="0.35">
      <c r="A75" s="156"/>
      <c r="B75" s="156"/>
      <c r="C75" s="156"/>
      <c r="D75" s="156"/>
      <c r="E75" s="156"/>
      <c r="F75" s="156"/>
      <c r="G75" s="162"/>
      <c r="H75" s="156"/>
    </row>
    <row r="76" spans="1:8" ht="15.5" x14ac:dyDescent="0.35">
      <c r="A76" s="156"/>
      <c r="B76" s="156"/>
      <c r="C76" s="156"/>
      <c r="D76" s="156"/>
      <c r="E76" s="156"/>
      <c r="F76" s="156"/>
      <c r="G76" s="162"/>
      <c r="H76" s="156"/>
    </row>
    <row r="77" spans="1:8" ht="15.5" x14ac:dyDescent="0.35">
      <c r="A77" s="156"/>
      <c r="B77" s="156"/>
      <c r="C77" s="156"/>
      <c r="D77" s="156"/>
      <c r="E77" s="156"/>
      <c r="F77" s="156"/>
      <c r="G77" s="162"/>
      <c r="H77" s="156"/>
    </row>
    <row r="78" spans="1:8" ht="15.5" x14ac:dyDescent="0.35">
      <c r="A78" s="156"/>
      <c r="B78" s="156"/>
      <c r="C78" s="156"/>
      <c r="D78" s="156"/>
      <c r="E78" s="156"/>
      <c r="F78" s="156"/>
      <c r="G78" s="162"/>
      <c r="H78" s="156"/>
    </row>
    <row r="79" spans="1:8" ht="15.5" x14ac:dyDescent="0.35">
      <c r="A79" s="156"/>
      <c r="B79" s="156"/>
      <c r="C79" s="156"/>
      <c r="D79" s="156"/>
      <c r="E79" s="156"/>
      <c r="F79" s="156"/>
      <c r="G79" s="162"/>
      <c r="H79" s="156"/>
    </row>
    <row r="80" spans="1:8" ht="15.5" x14ac:dyDescent="0.35">
      <c r="A80" s="156"/>
      <c r="B80" s="156"/>
      <c r="C80" s="156"/>
      <c r="D80" s="156"/>
      <c r="E80" s="156"/>
      <c r="F80" s="156"/>
      <c r="G80" s="162"/>
      <c r="H80" s="156"/>
    </row>
    <row r="81" spans="1:8" ht="15.5" x14ac:dyDescent="0.35">
      <c r="A81" s="156"/>
      <c r="B81" s="156"/>
      <c r="C81" s="156"/>
      <c r="D81" s="156"/>
      <c r="E81" s="156"/>
      <c r="F81" s="156"/>
      <c r="G81" s="162"/>
      <c r="H81" s="156"/>
    </row>
    <row r="82" spans="1:8" ht="15.5" x14ac:dyDescent="0.35">
      <c r="A82" s="156"/>
      <c r="B82" s="156"/>
      <c r="C82" s="156"/>
      <c r="D82" s="156"/>
      <c r="E82" s="156"/>
      <c r="F82" s="156"/>
      <c r="G82" s="162"/>
      <c r="H82" s="156"/>
    </row>
    <row r="83" spans="1:8" ht="15.5" x14ac:dyDescent="0.35">
      <c r="A83" s="156"/>
      <c r="B83" s="156"/>
      <c r="C83" s="156"/>
      <c r="D83" s="156"/>
      <c r="E83" s="156"/>
      <c r="F83" s="156"/>
      <c r="G83" s="162"/>
      <c r="H83" s="156"/>
    </row>
    <row r="84" spans="1:8" ht="15.5" x14ac:dyDescent="0.35">
      <c r="A84" s="156"/>
      <c r="B84" s="156"/>
      <c r="C84" s="156"/>
      <c r="D84" s="156"/>
      <c r="E84" s="156"/>
      <c r="F84" s="156"/>
      <c r="G84" s="162"/>
      <c r="H84" s="156"/>
    </row>
    <row r="85" spans="1:8" ht="15.5" x14ac:dyDescent="0.35">
      <c r="A85" s="156"/>
      <c r="B85" s="156"/>
      <c r="C85" s="156"/>
      <c r="D85" s="156"/>
      <c r="E85" s="156"/>
      <c r="F85" s="156"/>
      <c r="G85" s="162"/>
      <c r="H85" s="156"/>
    </row>
    <row r="86" spans="1:8" ht="15.5" x14ac:dyDescent="0.35">
      <c r="A86" s="156"/>
      <c r="B86" s="156"/>
      <c r="C86" s="156"/>
      <c r="D86" s="156"/>
      <c r="E86" s="156"/>
      <c r="F86" s="156"/>
      <c r="G86" s="162"/>
      <c r="H86" s="156"/>
    </row>
    <row r="87" spans="1:8" ht="15.5" x14ac:dyDescent="0.35">
      <c r="A87" s="156"/>
      <c r="B87" s="156"/>
      <c r="C87" s="156"/>
      <c r="D87" s="156"/>
      <c r="E87" s="156"/>
      <c r="F87" s="156"/>
      <c r="G87" s="162"/>
      <c r="H87" s="156"/>
    </row>
  </sheetData>
  <mergeCells count="2">
    <mergeCell ref="A1:H1"/>
    <mergeCell ref="A17:H17"/>
  </mergeCells>
  <phoneticPr fontId="0" type="noConversion"/>
  <pageMargins left="0.35433070866141736" right="0.35433070866141736" top="0.98425196850393704" bottom="0.98425196850393704" header="0.51181102362204722" footer="0.51181102362204722"/>
  <pageSetup paperSize="9" scale="9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funding</vt:lpstr>
      <vt:lpstr>Sheet3</vt:lpstr>
    </vt:vector>
  </TitlesOfParts>
  <Company>Uk Transplant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 Transplant</dc:creator>
  <cp:lastModifiedBy>Carina Negreanu</cp:lastModifiedBy>
  <cp:lastPrinted>2003-04-22T10:16:55Z</cp:lastPrinted>
  <dcterms:created xsi:type="dcterms:W3CDTF">2003-04-17T10:53:19Z</dcterms:created>
  <dcterms:modified xsi:type="dcterms:W3CDTF">2020-01-27T11:17:39Z</dcterms:modified>
</cp:coreProperties>
</file>